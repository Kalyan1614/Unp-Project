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rajak\Downloads\"/>
    </mc:Choice>
  </mc:AlternateContent>
  <xr:revisionPtr revIDLastSave="0" documentId="8_{E1186509-FB94-9B43-A4CB-54132F889696}" xr6:coauthVersionLast="47" xr6:coauthVersionMax="47" xr10:uidLastSave="{00000000-0000-0000-0000-000000000000}"/>
  <bookViews>
    <workbookView xWindow="-108" yWindow="-108" windowWidth="23256" windowHeight="12456" firstSheet="3" activeTab="2" xr2:uid="{E10EB037-9512-4344-A1E9-DE730A31687B}"/>
  </bookViews>
  <sheets>
    <sheet name="Data" sheetId="1" r:id="rId1"/>
    <sheet name="temp" sheetId="2" r:id="rId2"/>
    <sheet name="Pivot table 1" sheetId="3" r:id="rId3"/>
    <sheet name="Pivot table 2" sheetId="4" r:id="rId4"/>
    <sheet name="Pivot table_3" sheetId="8" r:id="rId5"/>
    <sheet name="Pivot table 4" sheetId="9" r:id="rId6"/>
    <sheet name="Pivot table 5" sheetId="5" r:id="rId7"/>
    <sheet name="Pivot table 6" sheetId="10" r:id="rId8"/>
    <sheet name="Add inf" sheetId="13" r:id="rId9"/>
    <sheet name="DASH BOARD" sheetId="12" r:id="rId10"/>
  </sheets>
  <definedNames>
    <definedName name="Slicer_AGE_RANGE">#N/A</definedName>
    <definedName name="Slicer_CNT_FAM_MEMBERS">#N/A</definedName>
    <definedName name="Slicer_CODE_GENDER">#N/A</definedName>
    <definedName name="Slicer_EMPLOYMENT_STATUS">#N/A</definedName>
    <definedName name="Slicer_NAME_EDUCATION_TYPE">#N/A</definedName>
    <definedName name="Slicer_NAME_FAMILY_STATUS">#N/A</definedName>
    <definedName name="Slicer_NAME_HOUSING_TYPE">#N/A</definedName>
    <definedName name="Slicer_NAME_INCOME_TYP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M2" i="1"/>
  <c r="N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3" i="1"/>
  <c r="P2" i="1"/>
  <c r="K3" i="1"/>
  <c r="M3" i="1"/>
  <c r="N3" i="1"/>
  <c r="K4" i="1"/>
  <c r="M4" i="1"/>
  <c r="N4" i="1"/>
  <c r="K5" i="1"/>
  <c r="M5" i="1"/>
  <c r="N5" i="1"/>
  <c r="K6" i="1"/>
  <c r="M6" i="1"/>
  <c r="N6" i="1"/>
  <c r="K7" i="1"/>
  <c r="M7" i="1"/>
  <c r="N7" i="1"/>
  <c r="K8" i="1"/>
  <c r="M8" i="1"/>
  <c r="N8" i="1"/>
  <c r="K9" i="1"/>
  <c r="M9" i="1"/>
  <c r="N9" i="1"/>
  <c r="K10" i="1"/>
  <c r="M10" i="1"/>
  <c r="N10" i="1"/>
  <c r="K11" i="1"/>
  <c r="M11" i="1"/>
  <c r="N11" i="1"/>
  <c r="K12" i="1"/>
  <c r="M12" i="1"/>
  <c r="N12" i="1"/>
  <c r="K13" i="1"/>
  <c r="M13" i="1"/>
  <c r="N13" i="1"/>
  <c r="K14" i="1"/>
  <c r="M14" i="1"/>
  <c r="N14" i="1"/>
  <c r="K15" i="1"/>
  <c r="M15" i="1"/>
  <c r="N15" i="1"/>
  <c r="K16" i="1"/>
  <c r="M16" i="1"/>
  <c r="N16" i="1"/>
  <c r="K17" i="1"/>
  <c r="M17" i="1"/>
  <c r="N17" i="1"/>
  <c r="K18" i="1"/>
  <c r="M18" i="1"/>
  <c r="N18" i="1"/>
  <c r="K19" i="1"/>
  <c r="M19" i="1"/>
  <c r="N19" i="1"/>
  <c r="K20" i="1"/>
  <c r="M20" i="1"/>
  <c r="N20" i="1"/>
  <c r="K21" i="1"/>
  <c r="M21" i="1"/>
  <c r="N21" i="1"/>
  <c r="K22" i="1"/>
  <c r="M22" i="1"/>
  <c r="N22" i="1"/>
  <c r="K23" i="1"/>
  <c r="M23" i="1"/>
  <c r="N23" i="1"/>
  <c r="K24" i="1"/>
  <c r="M24" i="1"/>
  <c r="N24" i="1"/>
  <c r="K25" i="1"/>
  <c r="M25" i="1"/>
  <c r="N25" i="1"/>
  <c r="K26" i="1"/>
  <c r="M26" i="1"/>
  <c r="N26" i="1"/>
  <c r="K27" i="1"/>
  <c r="M27" i="1"/>
  <c r="N27" i="1"/>
  <c r="K28" i="1"/>
  <c r="M28" i="1"/>
  <c r="N28" i="1"/>
  <c r="K29" i="1"/>
  <c r="M29" i="1"/>
  <c r="N29" i="1"/>
  <c r="K30" i="1"/>
  <c r="M30" i="1"/>
  <c r="N30" i="1"/>
  <c r="K31" i="1"/>
  <c r="M31" i="1"/>
  <c r="N31" i="1"/>
  <c r="K32" i="1"/>
  <c r="M32" i="1"/>
  <c r="N32" i="1"/>
  <c r="K33" i="1"/>
  <c r="M33" i="1"/>
  <c r="N33" i="1"/>
  <c r="K34" i="1"/>
  <c r="M34" i="1"/>
  <c r="N34" i="1"/>
  <c r="K35" i="1"/>
  <c r="M35" i="1"/>
  <c r="N35" i="1"/>
  <c r="K36" i="1"/>
  <c r="M36" i="1"/>
  <c r="N36" i="1"/>
  <c r="K37" i="1"/>
  <c r="M37" i="1"/>
  <c r="N37" i="1"/>
  <c r="K38" i="1"/>
  <c r="M38" i="1"/>
  <c r="N38" i="1"/>
  <c r="K39" i="1"/>
  <c r="M39" i="1"/>
  <c r="N39" i="1"/>
  <c r="K40" i="1"/>
  <c r="M40" i="1"/>
  <c r="N40" i="1"/>
  <c r="K41" i="1"/>
  <c r="M41" i="1"/>
  <c r="N41" i="1"/>
  <c r="K42" i="1"/>
  <c r="M42" i="1"/>
  <c r="N42" i="1"/>
  <c r="K43" i="1"/>
  <c r="M43" i="1"/>
  <c r="N43" i="1"/>
  <c r="K44" i="1"/>
  <c r="M44" i="1"/>
  <c r="N44" i="1"/>
  <c r="K45" i="1"/>
  <c r="M45" i="1"/>
  <c r="N45" i="1"/>
  <c r="K46" i="1"/>
  <c r="M46" i="1"/>
  <c r="N46" i="1"/>
  <c r="K47" i="1"/>
  <c r="M47" i="1"/>
  <c r="N47" i="1"/>
  <c r="K48" i="1"/>
  <c r="M48" i="1"/>
  <c r="N48" i="1"/>
  <c r="K49" i="1"/>
  <c r="M49" i="1"/>
  <c r="N49" i="1"/>
  <c r="K50" i="1"/>
  <c r="M50" i="1"/>
  <c r="N50" i="1"/>
  <c r="K51" i="1"/>
  <c r="M51" i="1"/>
  <c r="N51" i="1"/>
  <c r="K52" i="1"/>
  <c r="M52" i="1"/>
  <c r="N52" i="1"/>
  <c r="K53" i="1"/>
  <c r="M53" i="1"/>
  <c r="N53" i="1"/>
  <c r="K54" i="1"/>
  <c r="M54" i="1"/>
  <c r="N54" i="1"/>
  <c r="K55" i="1"/>
  <c r="M55" i="1"/>
  <c r="N55" i="1"/>
  <c r="K56" i="1"/>
  <c r="M56" i="1"/>
  <c r="N56" i="1"/>
  <c r="K57" i="1"/>
  <c r="M57" i="1"/>
  <c r="N57" i="1"/>
  <c r="K58" i="1"/>
  <c r="M58" i="1"/>
  <c r="N58" i="1"/>
  <c r="K59" i="1"/>
  <c r="M59" i="1"/>
  <c r="N59" i="1"/>
  <c r="K60" i="1"/>
  <c r="M60" i="1"/>
  <c r="N60" i="1"/>
  <c r="K61" i="1"/>
  <c r="M61" i="1"/>
  <c r="N61" i="1"/>
  <c r="K62" i="1"/>
  <c r="M62" i="1"/>
  <c r="N62" i="1"/>
  <c r="K63" i="1"/>
  <c r="M63" i="1"/>
  <c r="N63" i="1"/>
  <c r="K64" i="1"/>
  <c r="M64" i="1"/>
  <c r="N64" i="1"/>
  <c r="K65" i="1"/>
  <c r="M65" i="1"/>
  <c r="N65" i="1"/>
  <c r="K66" i="1"/>
  <c r="M66" i="1"/>
  <c r="N66" i="1"/>
  <c r="K67" i="1"/>
  <c r="M67" i="1"/>
  <c r="N67" i="1"/>
  <c r="K68" i="1"/>
  <c r="M68" i="1"/>
  <c r="N68" i="1"/>
  <c r="K69" i="1"/>
  <c r="M69" i="1"/>
  <c r="N69" i="1"/>
  <c r="K70" i="1"/>
  <c r="M70" i="1"/>
  <c r="N70" i="1"/>
  <c r="K71" i="1"/>
  <c r="M71" i="1"/>
  <c r="N71" i="1"/>
  <c r="K72" i="1"/>
  <c r="M72" i="1"/>
  <c r="N72" i="1"/>
  <c r="K73" i="1"/>
  <c r="M73" i="1"/>
  <c r="N73" i="1"/>
  <c r="K74" i="1"/>
  <c r="M74" i="1"/>
  <c r="N74" i="1"/>
  <c r="K75" i="1"/>
  <c r="M75" i="1"/>
  <c r="N75" i="1"/>
  <c r="K76" i="1"/>
  <c r="M76" i="1"/>
  <c r="N76" i="1"/>
  <c r="K77" i="1"/>
  <c r="M77" i="1"/>
  <c r="N77" i="1"/>
  <c r="K78" i="1"/>
  <c r="M78" i="1"/>
  <c r="N78" i="1"/>
  <c r="K79" i="1"/>
  <c r="M79" i="1"/>
  <c r="N79" i="1"/>
  <c r="K80" i="1"/>
  <c r="M80" i="1"/>
  <c r="N80" i="1"/>
  <c r="K81" i="1"/>
  <c r="M81" i="1"/>
  <c r="N81" i="1"/>
  <c r="K82" i="1"/>
  <c r="M82" i="1"/>
  <c r="N82" i="1"/>
  <c r="K83" i="1"/>
  <c r="M83" i="1"/>
  <c r="N83" i="1"/>
  <c r="K84" i="1"/>
  <c r="M84" i="1"/>
  <c r="N84" i="1"/>
  <c r="K85" i="1"/>
  <c r="M85" i="1"/>
  <c r="N85" i="1"/>
  <c r="K86" i="1"/>
  <c r="M86" i="1"/>
  <c r="N86" i="1"/>
  <c r="K87" i="1"/>
  <c r="M87" i="1"/>
  <c r="N87" i="1"/>
  <c r="K88" i="1"/>
  <c r="M88" i="1"/>
  <c r="N88" i="1"/>
  <c r="K89" i="1"/>
  <c r="M89" i="1"/>
  <c r="N89" i="1"/>
  <c r="K90" i="1"/>
  <c r="M90" i="1"/>
  <c r="N90" i="1"/>
  <c r="K91" i="1"/>
  <c r="M91" i="1"/>
  <c r="N91" i="1"/>
  <c r="K92" i="1"/>
  <c r="M92" i="1"/>
  <c r="N92" i="1"/>
  <c r="K93" i="1"/>
  <c r="M93" i="1"/>
  <c r="N93" i="1"/>
  <c r="K94" i="1"/>
  <c r="M94" i="1"/>
  <c r="N94" i="1"/>
  <c r="K95" i="1"/>
  <c r="M95" i="1"/>
  <c r="N95" i="1"/>
  <c r="K96" i="1"/>
  <c r="M96" i="1"/>
  <c r="N96" i="1"/>
  <c r="K97" i="1"/>
  <c r="M97" i="1"/>
  <c r="N97" i="1"/>
  <c r="K98" i="1"/>
  <c r="M98" i="1"/>
  <c r="N98" i="1"/>
  <c r="K99" i="1"/>
  <c r="M99" i="1"/>
  <c r="N99" i="1"/>
  <c r="K100" i="1"/>
  <c r="M100" i="1"/>
  <c r="N100" i="1"/>
  <c r="K101" i="1"/>
  <c r="M101" i="1"/>
  <c r="N101" i="1"/>
  <c r="K102" i="1"/>
  <c r="M102" i="1"/>
  <c r="N102" i="1"/>
  <c r="K103" i="1"/>
  <c r="M103" i="1"/>
  <c r="N103" i="1"/>
  <c r="K104" i="1"/>
  <c r="M104" i="1"/>
  <c r="N104" i="1"/>
  <c r="K105" i="1"/>
  <c r="M105" i="1"/>
  <c r="N105" i="1"/>
  <c r="K106" i="1"/>
  <c r="M106" i="1"/>
  <c r="N106" i="1"/>
  <c r="K107" i="1"/>
  <c r="M107" i="1"/>
  <c r="N107" i="1"/>
  <c r="K108" i="1"/>
  <c r="M108" i="1"/>
  <c r="N108" i="1"/>
  <c r="K109" i="1"/>
  <c r="M109" i="1"/>
  <c r="N109" i="1"/>
  <c r="K110" i="1"/>
  <c r="M110" i="1"/>
  <c r="N110" i="1"/>
  <c r="K111" i="1"/>
  <c r="M111" i="1"/>
  <c r="N111" i="1"/>
  <c r="K112" i="1"/>
  <c r="M112" i="1"/>
  <c r="N112" i="1"/>
  <c r="K113" i="1"/>
  <c r="M113" i="1"/>
  <c r="N113" i="1"/>
  <c r="K114" i="1"/>
  <c r="M114" i="1"/>
  <c r="N114" i="1"/>
  <c r="K115" i="1"/>
  <c r="M115" i="1"/>
  <c r="N115" i="1"/>
  <c r="K116" i="1"/>
  <c r="M116" i="1"/>
  <c r="N116" i="1"/>
  <c r="K117" i="1"/>
  <c r="M117" i="1"/>
  <c r="N117" i="1"/>
  <c r="K118" i="1"/>
  <c r="M118" i="1"/>
  <c r="N118" i="1"/>
  <c r="K119" i="1"/>
  <c r="M119" i="1"/>
  <c r="N119" i="1"/>
  <c r="K120" i="1"/>
  <c r="M120" i="1"/>
  <c r="N120" i="1"/>
  <c r="K121" i="1"/>
  <c r="M121" i="1"/>
  <c r="N121" i="1"/>
  <c r="K122" i="1"/>
  <c r="M122" i="1"/>
  <c r="N122" i="1"/>
  <c r="K123" i="1"/>
  <c r="M123" i="1"/>
  <c r="N123" i="1"/>
  <c r="K124" i="1"/>
  <c r="M124" i="1"/>
  <c r="N124" i="1"/>
  <c r="K125" i="1"/>
  <c r="M125" i="1"/>
  <c r="N125" i="1"/>
  <c r="K126" i="1"/>
  <c r="M126" i="1"/>
  <c r="N126" i="1"/>
  <c r="K127" i="1"/>
  <c r="M127" i="1"/>
  <c r="N127" i="1"/>
  <c r="K128" i="1"/>
  <c r="M128" i="1"/>
  <c r="N128" i="1"/>
  <c r="K129" i="1"/>
  <c r="M129" i="1"/>
  <c r="N129" i="1"/>
  <c r="K130" i="1"/>
  <c r="M130" i="1"/>
  <c r="N130" i="1"/>
  <c r="K131" i="1"/>
  <c r="M131" i="1"/>
  <c r="N131" i="1"/>
  <c r="K132" i="1"/>
  <c r="M132" i="1"/>
  <c r="N132" i="1"/>
  <c r="K133" i="1"/>
  <c r="M133" i="1"/>
  <c r="N133" i="1"/>
  <c r="K134" i="1"/>
  <c r="M134" i="1"/>
  <c r="N134" i="1"/>
  <c r="K135" i="1"/>
  <c r="M135" i="1"/>
  <c r="N135" i="1"/>
  <c r="K136" i="1"/>
  <c r="M136" i="1"/>
  <c r="N136" i="1"/>
  <c r="K137" i="1"/>
  <c r="M137" i="1"/>
  <c r="N137" i="1"/>
  <c r="K138" i="1"/>
  <c r="M138" i="1"/>
  <c r="N138" i="1"/>
  <c r="K139" i="1"/>
  <c r="M139" i="1"/>
  <c r="N139" i="1"/>
  <c r="K140" i="1"/>
  <c r="M140" i="1"/>
  <c r="N140" i="1"/>
  <c r="K141" i="1"/>
  <c r="M141" i="1"/>
  <c r="N141" i="1"/>
  <c r="K142" i="1"/>
  <c r="M142" i="1"/>
  <c r="N142" i="1"/>
  <c r="K143" i="1"/>
  <c r="M143" i="1"/>
  <c r="N143" i="1"/>
  <c r="K144" i="1"/>
  <c r="M144" i="1"/>
  <c r="N144" i="1"/>
  <c r="K145" i="1"/>
  <c r="M145" i="1"/>
  <c r="N145" i="1"/>
  <c r="K146" i="1"/>
  <c r="M146" i="1"/>
  <c r="N146" i="1"/>
  <c r="K147" i="1"/>
  <c r="M147" i="1"/>
  <c r="N147" i="1"/>
  <c r="K148" i="1"/>
  <c r="M148" i="1"/>
  <c r="N148" i="1"/>
  <c r="K149" i="1"/>
  <c r="M149" i="1"/>
  <c r="N149" i="1"/>
  <c r="K150" i="1"/>
  <c r="M150" i="1"/>
  <c r="N150" i="1"/>
  <c r="K151" i="1"/>
  <c r="M151" i="1"/>
  <c r="N151" i="1"/>
  <c r="K152" i="1"/>
  <c r="M152" i="1"/>
  <c r="N152" i="1"/>
  <c r="K153" i="1"/>
  <c r="M153" i="1"/>
  <c r="N153" i="1"/>
  <c r="K154" i="1"/>
  <c r="M154" i="1"/>
  <c r="N154" i="1"/>
  <c r="K155" i="1"/>
  <c r="M155" i="1"/>
  <c r="N155" i="1"/>
  <c r="K156" i="1"/>
  <c r="M156" i="1"/>
  <c r="N156" i="1"/>
  <c r="K157" i="1"/>
  <c r="M157" i="1"/>
  <c r="N157" i="1"/>
  <c r="K158" i="1"/>
  <c r="M158" i="1"/>
  <c r="N158" i="1"/>
  <c r="K159" i="1"/>
  <c r="M159" i="1"/>
  <c r="N159" i="1"/>
  <c r="K160" i="1"/>
  <c r="M160" i="1"/>
  <c r="N160" i="1"/>
  <c r="K161" i="1"/>
  <c r="M161" i="1"/>
  <c r="N161" i="1"/>
  <c r="K162" i="1"/>
  <c r="M162" i="1"/>
  <c r="N162" i="1"/>
  <c r="K163" i="1"/>
  <c r="M163" i="1"/>
  <c r="N163" i="1"/>
  <c r="K164" i="1"/>
  <c r="M164" i="1"/>
  <c r="N164" i="1"/>
  <c r="K165" i="1"/>
  <c r="M165" i="1"/>
  <c r="N165" i="1"/>
  <c r="K166" i="1"/>
  <c r="M166" i="1"/>
  <c r="N166" i="1"/>
  <c r="K167" i="1"/>
  <c r="M167" i="1"/>
  <c r="N167" i="1"/>
  <c r="K168" i="1"/>
  <c r="M168" i="1"/>
  <c r="N168" i="1"/>
  <c r="K169" i="1"/>
  <c r="M169" i="1"/>
  <c r="N169" i="1"/>
  <c r="K170" i="1"/>
  <c r="M170" i="1"/>
  <c r="N170" i="1"/>
  <c r="K171" i="1"/>
  <c r="M171" i="1"/>
  <c r="N171" i="1"/>
  <c r="K172" i="1"/>
  <c r="M172" i="1"/>
  <c r="N172" i="1"/>
  <c r="K173" i="1"/>
  <c r="M173" i="1"/>
  <c r="N173" i="1"/>
  <c r="K174" i="1"/>
  <c r="M174" i="1"/>
  <c r="N174" i="1"/>
  <c r="K175" i="1"/>
  <c r="M175" i="1"/>
  <c r="N175" i="1"/>
  <c r="K176" i="1"/>
  <c r="M176" i="1"/>
  <c r="N176" i="1"/>
  <c r="K177" i="1"/>
  <c r="M177" i="1"/>
  <c r="N177" i="1"/>
  <c r="K178" i="1"/>
  <c r="M178" i="1"/>
  <c r="N178" i="1"/>
  <c r="K179" i="1"/>
  <c r="M179" i="1"/>
  <c r="N179" i="1"/>
  <c r="K180" i="1"/>
  <c r="M180" i="1"/>
  <c r="N180" i="1"/>
  <c r="K181" i="1"/>
  <c r="M181" i="1"/>
  <c r="N181" i="1"/>
  <c r="K182" i="1"/>
  <c r="M182" i="1"/>
  <c r="N182" i="1"/>
  <c r="K183" i="1"/>
  <c r="M183" i="1"/>
  <c r="N183" i="1"/>
  <c r="K184" i="1"/>
  <c r="M184" i="1"/>
  <c r="N184" i="1"/>
  <c r="K185" i="1"/>
  <c r="M185" i="1"/>
  <c r="N185" i="1"/>
  <c r="K186" i="1"/>
  <c r="M186" i="1"/>
  <c r="N186" i="1"/>
  <c r="K187" i="1"/>
  <c r="M187" i="1"/>
  <c r="N187" i="1"/>
  <c r="K188" i="1"/>
  <c r="M188" i="1"/>
  <c r="N188" i="1"/>
  <c r="K189" i="1"/>
  <c r="M189" i="1"/>
  <c r="N189" i="1"/>
  <c r="K190" i="1"/>
  <c r="M190" i="1"/>
  <c r="N190" i="1"/>
  <c r="K191" i="1"/>
  <c r="M191" i="1"/>
  <c r="N191" i="1"/>
  <c r="K192" i="1"/>
  <c r="M192" i="1"/>
  <c r="N192" i="1"/>
  <c r="K193" i="1"/>
  <c r="M193" i="1"/>
  <c r="N193" i="1"/>
  <c r="K194" i="1"/>
  <c r="M194" i="1"/>
  <c r="N194" i="1"/>
  <c r="K195" i="1"/>
  <c r="M195" i="1"/>
  <c r="N195" i="1"/>
  <c r="K196" i="1"/>
  <c r="M196" i="1"/>
  <c r="N196" i="1"/>
  <c r="K197" i="1"/>
  <c r="M197" i="1"/>
  <c r="N197" i="1"/>
  <c r="K198" i="1"/>
  <c r="M198" i="1"/>
  <c r="N198" i="1"/>
  <c r="K199" i="1"/>
  <c r="M199" i="1"/>
  <c r="N199" i="1"/>
  <c r="K200" i="1"/>
  <c r="M200" i="1"/>
  <c r="N200" i="1"/>
  <c r="K201" i="1"/>
  <c r="M201" i="1"/>
  <c r="N201" i="1"/>
  <c r="K202" i="1"/>
  <c r="M202" i="1"/>
  <c r="N202" i="1"/>
  <c r="K203" i="1"/>
  <c r="M203" i="1"/>
  <c r="N203" i="1"/>
  <c r="K204" i="1"/>
  <c r="M204" i="1"/>
  <c r="N204" i="1"/>
  <c r="K205" i="1"/>
  <c r="M205" i="1"/>
  <c r="N205" i="1"/>
  <c r="K206" i="1"/>
  <c r="M206" i="1"/>
  <c r="N206" i="1"/>
  <c r="K207" i="1"/>
  <c r="M207" i="1"/>
  <c r="N207" i="1"/>
  <c r="K208" i="1"/>
  <c r="M208" i="1"/>
  <c r="N208" i="1"/>
  <c r="K209" i="1"/>
  <c r="M209" i="1"/>
  <c r="N209" i="1"/>
  <c r="K210" i="1"/>
  <c r="M210" i="1"/>
  <c r="N210" i="1"/>
  <c r="K211" i="1"/>
  <c r="M211" i="1"/>
  <c r="N211" i="1"/>
  <c r="K212" i="1"/>
  <c r="M212" i="1"/>
  <c r="N212" i="1"/>
  <c r="K213" i="1"/>
  <c r="M213" i="1"/>
  <c r="N213" i="1"/>
  <c r="K214" i="1"/>
  <c r="M214" i="1"/>
  <c r="N214" i="1"/>
  <c r="K215" i="1"/>
  <c r="M215" i="1"/>
  <c r="N215" i="1"/>
  <c r="K216" i="1"/>
  <c r="M216" i="1"/>
  <c r="N216" i="1"/>
  <c r="K217" i="1"/>
  <c r="M217" i="1"/>
  <c r="N217" i="1"/>
  <c r="K218" i="1"/>
  <c r="M218" i="1"/>
  <c r="N218" i="1"/>
  <c r="K219" i="1"/>
  <c r="M219" i="1"/>
  <c r="N219" i="1"/>
  <c r="K220" i="1"/>
  <c r="M220" i="1"/>
  <c r="N220" i="1"/>
  <c r="K221" i="1"/>
  <c r="M221" i="1"/>
  <c r="N221" i="1"/>
  <c r="K222" i="1"/>
  <c r="M222" i="1"/>
  <c r="N222" i="1"/>
  <c r="K223" i="1"/>
  <c r="M223" i="1"/>
  <c r="N223" i="1"/>
  <c r="K224" i="1"/>
  <c r="M224" i="1"/>
  <c r="N224" i="1"/>
  <c r="K225" i="1"/>
  <c r="M225" i="1"/>
  <c r="N225" i="1"/>
  <c r="K226" i="1"/>
  <c r="M226" i="1"/>
  <c r="N226" i="1"/>
  <c r="K227" i="1"/>
  <c r="M227" i="1"/>
  <c r="N227" i="1"/>
  <c r="K228" i="1"/>
  <c r="M228" i="1"/>
  <c r="N228" i="1"/>
  <c r="K229" i="1"/>
  <c r="M229" i="1"/>
  <c r="N229" i="1"/>
  <c r="K230" i="1"/>
  <c r="M230" i="1"/>
  <c r="N230" i="1"/>
  <c r="K231" i="1"/>
  <c r="M231" i="1"/>
  <c r="N231" i="1"/>
  <c r="K232" i="1"/>
  <c r="M232" i="1"/>
  <c r="N232" i="1"/>
  <c r="K233" i="1"/>
  <c r="M233" i="1"/>
  <c r="N233" i="1"/>
  <c r="K234" i="1"/>
  <c r="M234" i="1"/>
  <c r="N234" i="1"/>
  <c r="K235" i="1"/>
  <c r="M235" i="1"/>
  <c r="N235" i="1"/>
  <c r="K236" i="1"/>
  <c r="M236" i="1"/>
  <c r="N236" i="1"/>
  <c r="K237" i="1"/>
  <c r="M237" i="1"/>
  <c r="N237" i="1"/>
  <c r="K238" i="1"/>
  <c r="M238" i="1"/>
  <c r="N238" i="1"/>
  <c r="K239" i="1"/>
  <c r="M239" i="1"/>
  <c r="N239" i="1"/>
  <c r="K240" i="1"/>
  <c r="M240" i="1"/>
  <c r="N240" i="1"/>
  <c r="K241" i="1"/>
  <c r="M241" i="1"/>
  <c r="N241" i="1"/>
  <c r="K242" i="1"/>
  <c r="M242" i="1"/>
  <c r="N242" i="1"/>
  <c r="K243" i="1"/>
  <c r="M243" i="1"/>
  <c r="N243" i="1"/>
  <c r="K244" i="1"/>
  <c r="M244" i="1"/>
  <c r="N244" i="1"/>
  <c r="K245" i="1"/>
  <c r="M245" i="1"/>
  <c r="N245" i="1"/>
  <c r="K246" i="1"/>
  <c r="M246" i="1"/>
  <c r="N246" i="1"/>
  <c r="K247" i="1"/>
  <c r="M247" i="1"/>
  <c r="N247" i="1"/>
  <c r="K248" i="1"/>
  <c r="M248" i="1"/>
  <c r="N248" i="1"/>
  <c r="K249" i="1"/>
  <c r="M249" i="1"/>
  <c r="N249" i="1"/>
  <c r="K250" i="1"/>
  <c r="M250" i="1"/>
  <c r="N250" i="1"/>
  <c r="K251" i="1"/>
  <c r="M251" i="1"/>
  <c r="N251" i="1"/>
  <c r="K252" i="1"/>
  <c r="M252" i="1"/>
  <c r="N252" i="1"/>
  <c r="K253" i="1"/>
  <c r="M253" i="1"/>
  <c r="N253" i="1"/>
  <c r="K254" i="1"/>
  <c r="M254" i="1"/>
  <c r="N254" i="1"/>
  <c r="K255" i="1"/>
  <c r="M255" i="1"/>
  <c r="N255" i="1"/>
  <c r="K256" i="1"/>
  <c r="M256" i="1"/>
  <c r="N256" i="1"/>
  <c r="K257" i="1"/>
  <c r="M257" i="1"/>
  <c r="N257" i="1"/>
  <c r="K258" i="1"/>
  <c r="M258" i="1"/>
  <c r="N258" i="1"/>
  <c r="K259" i="1"/>
  <c r="M259" i="1"/>
  <c r="N259" i="1"/>
  <c r="K260" i="1"/>
  <c r="M260" i="1"/>
  <c r="N260" i="1"/>
  <c r="K261" i="1"/>
  <c r="M261" i="1"/>
  <c r="N261" i="1"/>
  <c r="K262" i="1"/>
  <c r="M262" i="1"/>
  <c r="N262" i="1"/>
  <c r="K263" i="1"/>
  <c r="M263" i="1"/>
  <c r="N263" i="1"/>
  <c r="K264" i="1"/>
  <c r="M264" i="1"/>
  <c r="N264" i="1"/>
  <c r="K265" i="1"/>
  <c r="M265" i="1"/>
  <c r="N265" i="1"/>
  <c r="K266" i="1"/>
  <c r="M266" i="1"/>
  <c r="N266" i="1"/>
  <c r="K267" i="1"/>
  <c r="M267" i="1"/>
  <c r="N267" i="1"/>
  <c r="K268" i="1"/>
  <c r="M268" i="1"/>
  <c r="N268" i="1"/>
  <c r="K269" i="1"/>
  <c r="M269" i="1"/>
  <c r="N269" i="1"/>
  <c r="K270" i="1"/>
  <c r="M270" i="1"/>
  <c r="N270" i="1"/>
  <c r="K271" i="1"/>
  <c r="M271" i="1"/>
  <c r="N271" i="1"/>
  <c r="K272" i="1"/>
  <c r="M272" i="1"/>
  <c r="N272" i="1"/>
  <c r="K273" i="1"/>
  <c r="M273" i="1"/>
  <c r="N273" i="1"/>
  <c r="K274" i="1"/>
  <c r="M274" i="1"/>
  <c r="N274" i="1"/>
  <c r="K275" i="1"/>
  <c r="M275" i="1"/>
  <c r="N275" i="1"/>
  <c r="K276" i="1"/>
  <c r="M276" i="1"/>
  <c r="N276" i="1"/>
  <c r="K277" i="1"/>
  <c r="M277" i="1"/>
  <c r="N277" i="1"/>
  <c r="K278" i="1"/>
  <c r="M278" i="1"/>
  <c r="N278" i="1"/>
  <c r="K279" i="1"/>
  <c r="M279" i="1"/>
  <c r="N279" i="1"/>
  <c r="K280" i="1"/>
  <c r="M280" i="1"/>
  <c r="N280" i="1"/>
  <c r="K281" i="1"/>
  <c r="M281" i="1"/>
  <c r="N281" i="1"/>
  <c r="K282" i="1"/>
  <c r="M282" i="1"/>
  <c r="N282" i="1"/>
  <c r="K283" i="1"/>
  <c r="M283" i="1"/>
  <c r="N283" i="1"/>
  <c r="K284" i="1"/>
  <c r="M284" i="1"/>
  <c r="N284" i="1"/>
  <c r="K285" i="1"/>
  <c r="M285" i="1"/>
  <c r="N285" i="1"/>
  <c r="K286" i="1"/>
  <c r="M286" i="1"/>
  <c r="N286" i="1"/>
  <c r="K287" i="1"/>
  <c r="M287" i="1"/>
  <c r="N287" i="1"/>
  <c r="K288" i="1"/>
  <c r="M288" i="1"/>
  <c r="N288" i="1"/>
  <c r="K289" i="1"/>
  <c r="M289" i="1"/>
  <c r="N289" i="1"/>
  <c r="K290" i="1"/>
  <c r="M290" i="1"/>
  <c r="N290" i="1"/>
  <c r="K291" i="1"/>
  <c r="M291" i="1"/>
  <c r="N291" i="1"/>
  <c r="K292" i="1"/>
  <c r="M292" i="1"/>
  <c r="N292" i="1"/>
  <c r="K293" i="1"/>
  <c r="M293" i="1"/>
  <c r="N293" i="1"/>
  <c r="K294" i="1"/>
  <c r="M294" i="1"/>
  <c r="N294" i="1"/>
  <c r="K295" i="1"/>
  <c r="M295" i="1"/>
  <c r="N295" i="1"/>
  <c r="K296" i="1"/>
  <c r="M296" i="1"/>
  <c r="N296" i="1"/>
  <c r="K297" i="1"/>
  <c r="M297" i="1"/>
  <c r="N297" i="1"/>
  <c r="K298" i="1"/>
  <c r="M298" i="1"/>
  <c r="N298" i="1"/>
  <c r="K299" i="1"/>
  <c r="M299" i="1"/>
  <c r="N299" i="1"/>
  <c r="K300" i="1"/>
  <c r="M300" i="1"/>
  <c r="N300" i="1"/>
  <c r="K301" i="1"/>
  <c r="M301" i="1"/>
  <c r="N301" i="1"/>
  <c r="K302" i="1"/>
  <c r="M302" i="1"/>
  <c r="N302" i="1"/>
  <c r="K303" i="1"/>
  <c r="M303" i="1"/>
  <c r="N303" i="1"/>
  <c r="K304" i="1"/>
  <c r="M304" i="1"/>
  <c r="N304" i="1"/>
  <c r="K305" i="1"/>
  <c r="M305" i="1"/>
  <c r="N305" i="1"/>
  <c r="K306" i="1"/>
  <c r="M306" i="1"/>
  <c r="N306" i="1"/>
  <c r="K307" i="1"/>
  <c r="M307" i="1"/>
  <c r="N307" i="1"/>
  <c r="K308" i="1"/>
  <c r="M308" i="1"/>
  <c r="N308" i="1"/>
  <c r="K309" i="1"/>
  <c r="M309" i="1"/>
  <c r="N309" i="1"/>
  <c r="K310" i="1"/>
  <c r="M310" i="1"/>
  <c r="N310" i="1"/>
  <c r="K311" i="1"/>
  <c r="M311" i="1"/>
  <c r="N311" i="1"/>
  <c r="K312" i="1"/>
  <c r="M312" i="1"/>
  <c r="N312" i="1"/>
  <c r="K313" i="1"/>
  <c r="M313" i="1"/>
  <c r="N313" i="1"/>
  <c r="K314" i="1"/>
  <c r="M314" i="1"/>
  <c r="N314" i="1"/>
  <c r="K315" i="1"/>
  <c r="M315" i="1"/>
  <c r="N315" i="1"/>
  <c r="K316" i="1"/>
  <c r="M316" i="1"/>
  <c r="N316" i="1"/>
  <c r="K317" i="1"/>
  <c r="M317" i="1"/>
  <c r="N317" i="1"/>
  <c r="K318" i="1"/>
  <c r="M318" i="1"/>
  <c r="N318" i="1"/>
  <c r="K319" i="1"/>
  <c r="M319" i="1"/>
  <c r="N319" i="1"/>
  <c r="K320" i="1"/>
  <c r="M320" i="1"/>
  <c r="N320" i="1"/>
  <c r="K321" i="1"/>
  <c r="M321" i="1"/>
  <c r="N321" i="1"/>
  <c r="K322" i="1"/>
  <c r="M322" i="1"/>
  <c r="N322" i="1"/>
  <c r="K323" i="1"/>
  <c r="M323" i="1"/>
  <c r="N323" i="1"/>
  <c r="K324" i="1"/>
  <c r="M324" i="1"/>
  <c r="N324" i="1"/>
  <c r="K325" i="1"/>
  <c r="M325" i="1"/>
  <c r="N325" i="1"/>
  <c r="K326" i="1"/>
  <c r="M326" i="1"/>
  <c r="N326" i="1"/>
  <c r="K327" i="1"/>
  <c r="M327" i="1"/>
  <c r="N327" i="1"/>
  <c r="K328" i="1"/>
  <c r="M328" i="1"/>
  <c r="N328" i="1"/>
  <c r="K329" i="1"/>
  <c r="M329" i="1"/>
  <c r="N329" i="1"/>
  <c r="K330" i="1"/>
  <c r="M330" i="1"/>
  <c r="N330" i="1"/>
  <c r="K331" i="1"/>
  <c r="M331" i="1"/>
  <c r="N331" i="1"/>
  <c r="K332" i="1"/>
  <c r="M332" i="1"/>
  <c r="N332" i="1"/>
  <c r="K333" i="1"/>
  <c r="M333" i="1"/>
  <c r="N333" i="1"/>
  <c r="K334" i="1"/>
  <c r="M334" i="1"/>
  <c r="N334" i="1"/>
  <c r="K335" i="1"/>
  <c r="M335" i="1"/>
  <c r="N335" i="1"/>
  <c r="K336" i="1"/>
  <c r="M336" i="1"/>
  <c r="N336" i="1"/>
  <c r="K337" i="1"/>
  <c r="M337" i="1"/>
  <c r="N337" i="1"/>
  <c r="K338" i="1"/>
  <c r="M338" i="1"/>
  <c r="N338" i="1"/>
  <c r="K339" i="1"/>
  <c r="M339" i="1"/>
  <c r="N339" i="1"/>
  <c r="K340" i="1"/>
  <c r="M340" i="1"/>
  <c r="N340" i="1"/>
  <c r="K341" i="1"/>
  <c r="M341" i="1"/>
  <c r="N341" i="1"/>
  <c r="K342" i="1"/>
  <c r="M342" i="1"/>
  <c r="N342" i="1"/>
  <c r="K343" i="1"/>
  <c r="M343" i="1"/>
  <c r="N343" i="1"/>
  <c r="K344" i="1"/>
  <c r="M344" i="1"/>
  <c r="N344" i="1"/>
  <c r="K345" i="1"/>
  <c r="M345" i="1"/>
  <c r="N345" i="1"/>
  <c r="K346" i="1"/>
  <c r="M346" i="1"/>
  <c r="N346" i="1"/>
  <c r="K347" i="1"/>
  <c r="M347" i="1"/>
  <c r="N347" i="1"/>
  <c r="K348" i="1"/>
  <c r="M348" i="1"/>
  <c r="N348" i="1"/>
  <c r="K349" i="1"/>
  <c r="M349" i="1"/>
  <c r="N349" i="1"/>
  <c r="K350" i="1"/>
  <c r="M350" i="1"/>
  <c r="N350" i="1"/>
  <c r="K351" i="1"/>
  <c r="M351" i="1"/>
  <c r="N351" i="1"/>
  <c r="K352" i="1"/>
  <c r="M352" i="1"/>
  <c r="N352" i="1"/>
  <c r="K353" i="1"/>
  <c r="M353" i="1"/>
  <c r="N353" i="1"/>
  <c r="K354" i="1"/>
  <c r="M354" i="1"/>
  <c r="N354" i="1"/>
  <c r="K355" i="1"/>
  <c r="M355" i="1"/>
  <c r="N355" i="1"/>
  <c r="K356" i="1"/>
  <c r="M356" i="1"/>
  <c r="N356" i="1"/>
  <c r="K357" i="1"/>
  <c r="M357" i="1"/>
  <c r="N357" i="1"/>
  <c r="K358" i="1"/>
  <c r="M358" i="1"/>
  <c r="N358" i="1"/>
  <c r="K359" i="1"/>
  <c r="M359" i="1"/>
  <c r="N359" i="1"/>
  <c r="K360" i="1"/>
  <c r="M360" i="1"/>
  <c r="N360" i="1"/>
  <c r="K361" i="1"/>
  <c r="M361" i="1"/>
  <c r="N361" i="1"/>
  <c r="K362" i="1"/>
  <c r="M362" i="1"/>
  <c r="N362" i="1"/>
  <c r="K363" i="1"/>
  <c r="M363" i="1"/>
  <c r="N363" i="1"/>
  <c r="K364" i="1"/>
  <c r="M364" i="1"/>
  <c r="N364" i="1"/>
  <c r="K365" i="1"/>
  <c r="M365" i="1"/>
  <c r="N365" i="1"/>
  <c r="K366" i="1"/>
  <c r="M366" i="1"/>
  <c r="N366" i="1"/>
  <c r="K367" i="1"/>
  <c r="M367" i="1"/>
  <c r="N367" i="1"/>
  <c r="K368" i="1"/>
  <c r="M368" i="1"/>
  <c r="N368" i="1"/>
  <c r="K369" i="1"/>
  <c r="M369" i="1"/>
  <c r="N369" i="1"/>
  <c r="K370" i="1"/>
  <c r="M370" i="1"/>
  <c r="N370" i="1"/>
  <c r="K371" i="1"/>
  <c r="M371" i="1"/>
  <c r="N371" i="1"/>
  <c r="K372" i="1"/>
  <c r="M372" i="1"/>
  <c r="N372" i="1"/>
  <c r="K373" i="1"/>
  <c r="M373" i="1"/>
  <c r="N373" i="1"/>
  <c r="K374" i="1"/>
  <c r="M374" i="1"/>
  <c r="N374" i="1"/>
  <c r="K375" i="1"/>
  <c r="M375" i="1"/>
  <c r="N375" i="1"/>
  <c r="K376" i="1"/>
  <c r="M376" i="1"/>
  <c r="N376" i="1"/>
  <c r="K377" i="1"/>
  <c r="M377" i="1"/>
  <c r="N377" i="1"/>
  <c r="K378" i="1"/>
  <c r="M378" i="1"/>
  <c r="N378" i="1"/>
  <c r="K379" i="1"/>
  <c r="M379" i="1"/>
  <c r="N379" i="1"/>
  <c r="K380" i="1"/>
  <c r="M380" i="1"/>
  <c r="N380" i="1"/>
  <c r="K381" i="1"/>
  <c r="M381" i="1"/>
  <c r="N381" i="1"/>
  <c r="K382" i="1"/>
  <c r="M382" i="1"/>
  <c r="N382" i="1"/>
  <c r="K383" i="1"/>
  <c r="M383" i="1"/>
  <c r="N383" i="1"/>
  <c r="K384" i="1"/>
  <c r="M384" i="1"/>
  <c r="N384" i="1"/>
  <c r="K385" i="1"/>
  <c r="M385" i="1"/>
  <c r="N385" i="1"/>
  <c r="K386" i="1"/>
  <c r="M386" i="1"/>
  <c r="N386" i="1"/>
  <c r="K387" i="1"/>
  <c r="M387" i="1"/>
  <c r="N387" i="1"/>
  <c r="K388" i="1"/>
  <c r="M388" i="1"/>
  <c r="N388" i="1"/>
  <c r="K389" i="1"/>
  <c r="M389" i="1"/>
  <c r="N389" i="1"/>
  <c r="K390" i="1"/>
  <c r="M390" i="1"/>
  <c r="N390" i="1"/>
  <c r="K391" i="1"/>
  <c r="M391" i="1"/>
  <c r="N391" i="1"/>
  <c r="K392" i="1"/>
  <c r="M392" i="1"/>
  <c r="N392" i="1"/>
  <c r="K393" i="1"/>
  <c r="M393" i="1"/>
  <c r="N393" i="1"/>
  <c r="K394" i="1"/>
  <c r="M394" i="1"/>
  <c r="N394" i="1"/>
  <c r="K395" i="1"/>
  <c r="M395" i="1"/>
  <c r="N395" i="1"/>
  <c r="K396" i="1"/>
  <c r="M396" i="1"/>
  <c r="N396" i="1"/>
  <c r="K397" i="1"/>
  <c r="M397" i="1"/>
  <c r="N397" i="1"/>
  <c r="K398" i="1"/>
  <c r="M398" i="1"/>
  <c r="N398" i="1"/>
  <c r="K399" i="1"/>
  <c r="M399" i="1"/>
  <c r="N399" i="1"/>
  <c r="K400" i="1"/>
  <c r="M400" i="1"/>
  <c r="N400" i="1"/>
  <c r="K401" i="1"/>
  <c r="M401" i="1"/>
  <c r="N401" i="1"/>
  <c r="K402" i="1"/>
  <c r="M402" i="1"/>
  <c r="N402" i="1"/>
  <c r="K403" i="1"/>
  <c r="M403" i="1"/>
  <c r="N403" i="1"/>
  <c r="K404" i="1"/>
  <c r="M404" i="1"/>
  <c r="N404" i="1"/>
  <c r="K405" i="1"/>
  <c r="M405" i="1"/>
  <c r="N405" i="1"/>
  <c r="K406" i="1"/>
  <c r="M406" i="1"/>
  <c r="N406" i="1"/>
  <c r="K407" i="1"/>
  <c r="M407" i="1"/>
  <c r="N407" i="1"/>
  <c r="K408" i="1"/>
  <c r="M408" i="1"/>
  <c r="N408" i="1"/>
  <c r="K409" i="1"/>
  <c r="M409" i="1"/>
  <c r="N409" i="1"/>
  <c r="K410" i="1"/>
  <c r="M410" i="1"/>
  <c r="N410" i="1"/>
  <c r="K411" i="1"/>
  <c r="M411" i="1"/>
  <c r="N411" i="1"/>
  <c r="K412" i="1"/>
  <c r="M412" i="1"/>
  <c r="N412" i="1"/>
  <c r="K413" i="1"/>
  <c r="M413" i="1"/>
  <c r="N413" i="1"/>
  <c r="K414" i="1"/>
  <c r="M414" i="1"/>
  <c r="N414" i="1"/>
  <c r="K415" i="1"/>
  <c r="M415" i="1"/>
  <c r="N415" i="1"/>
  <c r="K416" i="1"/>
  <c r="M416" i="1"/>
  <c r="N416" i="1"/>
  <c r="K417" i="1"/>
  <c r="M417" i="1"/>
  <c r="N417" i="1"/>
  <c r="K418" i="1"/>
  <c r="M418" i="1"/>
  <c r="N418" i="1"/>
  <c r="K419" i="1"/>
  <c r="M419" i="1"/>
  <c r="N419" i="1"/>
  <c r="K420" i="1"/>
  <c r="M420" i="1"/>
  <c r="N420" i="1"/>
  <c r="K421" i="1"/>
  <c r="M421" i="1"/>
  <c r="N421" i="1"/>
  <c r="K422" i="1"/>
  <c r="M422" i="1"/>
  <c r="N422" i="1"/>
  <c r="K423" i="1"/>
  <c r="M423" i="1"/>
  <c r="N423" i="1"/>
  <c r="K424" i="1"/>
  <c r="M424" i="1"/>
  <c r="N424" i="1"/>
  <c r="K425" i="1"/>
  <c r="M425" i="1"/>
  <c r="N425" i="1"/>
  <c r="K426" i="1"/>
  <c r="M426" i="1"/>
  <c r="N426" i="1"/>
  <c r="K427" i="1"/>
  <c r="M427" i="1"/>
  <c r="N427" i="1"/>
  <c r="K428" i="1"/>
  <c r="M428" i="1"/>
  <c r="N428" i="1"/>
  <c r="K429" i="1"/>
  <c r="M429" i="1"/>
  <c r="N429" i="1"/>
  <c r="K430" i="1"/>
  <c r="M430" i="1"/>
  <c r="N430" i="1"/>
  <c r="K431" i="1"/>
  <c r="M431" i="1"/>
  <c r="N431" i="1"/>
  <c r="K432" i="1"/>
  <c r="M432" i="1"/>
  <c r="N432" i="1"/>
  <c r="K433" i="1"/>
  <c r="M433" i="1"/>
  <c r="N433" i="1"/>
  <c r="K434" i="1"/>
  <c r="M434" i="1"/>
  <c r="N434" i="1"/>
  <c r="K435" i="1"/>
  <c r="M435" i="1"/>
  <c r="N435" i="1"/>
  <c r="K436" i="1"/>
  <c r="M436" i="1"/>
  <c r="N436" i="1"/>
  <c r="K437" i="1"/>
  <c r="M437" i="1"/>
  <c r="N437" i="1"/>
  <c r="K438" i="1"/>
  <c r="M438" i="1"/>
  <c r="N438" i="1"/>
  <c r="K439" i="1"/>
  <c r="M439" i="1"/>
  <c r="N439" i="1"/>
  <c r="K440" i="1"/>
  <c r="M440" i="1"/>
  <c r="N440" i="1"/>
  <c r="K441" i="1"/>
  <c r="M441" i="1"/>
  <c r="N441" i="1"/>
  <c r="K442" i="1"/>
  <c r="M442" i="1"/>
  <c r="N442" i="1"/>
  <c r="K443" i="1"/>
  <c r="M443" i="1"/>
  <c r="N443" i="1"/>
  <c r="K444" i="1"/>
  <c r="M444" i="1"/>
  <c r="N444" i="1"/>
  <c r="K445" i="1"/>
  <c r="M445" i="1"/>
  <c r="N445" i="1"/>
  <c r="K446" i="1"/>
  <c r="M446" i="1"/>
  <c r="N446" i="1"/>
  <c r="K447" i="1"/>
  <c r="M447" i="1"/>
  <c r="N447" i="1"/>
  <c r="K448" i="1"/>
  <c r="M448" i="1"/>
  <c r="N448" i="1"/>
  <c r="K449" i="1"/>
  <c r="M449" i="1"/>
  <c r="N449" i="1"/>
  <c r="K450" i="1"/>
  <c r="M450" i="1"/>
  <c r="N450" i="1"/>
  <c r="K451" i="1"/>
  <c r="M451" i="1"/>
  <c r="N451" i="1"/>
  <c r="K452" i="1"/>
  <c r="M452" i="1"/>
  <c r="N452" i="1"/>
  <c r="K453" i="1"/>
  <c r="M453" i="1"/>
  <c r="N453" i="1"/>
  <c r="K454" i="1"/>
  <c r="M454" i="1"/>
  <c r="N454" i="1"/>
  <c r="K455" i="1"/>
  <c r="M455" i="1"/>
  <c r="N455" i="1"/>
  <c r="K456" i="1"/>
  <c r="M456" i="1"/>
  <c r="N456" i="1"/>
  <c r="K457" i="1"/>
  <c r="M457" i="1"/>
  <c r="N457" i="1"/>
  <c r="K458" i="1"/>
  <c r="M458" i="1"/>
  <c r="N458" i="1"/>
  <c r="K459" i="1"/>
  <c r="M459" i="1"/>
  <c r="N459" i="1"/>
  <c r="K460" i="1"/>
  <c r="M460" i="1"/>
  <c r="N460" i="1"/>
  <c r="K461" i="1"/>
  <c r="M461" i="1"/>
  <c r="N461" i="1"/>
  <c r="K462" i="1"/>
  <c r="M462" i="1"/>
  <c r="N462" i="1"/>
  <c r="K463" i="1"/>
  <c r="M463" i="1"/>
  <c r="N463" i="1"/>
  <c r="K464" i="1"/>
  <c r="M464" i="1"/>
  <c r="N464" i="1"/>
  <c r="K465" i="1"/>
  <c r="M465" i="1"/>
  <c r="N465" i="1"/>
  <c r="K466" i="1"/>
  <c r="M466" i="1"/>
  <c r="N466" i="1"/>
  <c r="K467" i="1"/>
  <c r="M467" i="1"/>
  <c r="N467" i="1"/>
  <c r="K468" i="1"/>
  <c r="M468" i="1"/>
  <c r="N468" i="1"/>
  <c r="K469" i="1"/>
  <c r="M469" i="1"/>
  <c r="N469" i="1"/>
  <c r="K470" i="1"/>
  <c r="M470" i="1"/>
  <c r="N470" i="1"/>
  <c r="K471" i="1"/>
  <c r="M471" i="1"/>
  <c r="N471" i="1"/>
  <c r="K472" i="1"/>
  <c r="M472" i="1"/>
  <c r="N472" i="1"/>
  <c r="K473" i="1"/>
  <c r="M473" i="1"/>
  <c r="N473" i="1"/>
  <c r="K474" i="1"/>
  <c r="M474" i="1"/>
  <c r="N474" i="1"/>
  <c r="K475" i="1"/>
  <c r="M475" i="1"/>
  <c r="N475" i="1"/>
  <c r="K476" i="1"/>
  <c r="M476" i="1"/>
  <c r="N476" i="1"/>
  <c r="K477" i="1"/>
  <c r="M477" i="1"/>
  <c r="N477" i="1"/>
  <c r="K478" i="1"/>
  <c r="M478" i="1"/>
  <c r="N478" i="1"/>
  <c r="K479" i="1"/>
  <c r="M479" i="1"/>
  <c r="N479" i="1"/>
  <c r="K480" i="1"/>
  <c r="M480" i="1"/>
  <c r="N480" i="1"/>
  <c r="K481" i="1"/>
  <c r="M481" i="1"/>
  <c r="N481" i="1"/>
  <c r="K482" i="1"/>
  <c r="M482" i="1"/>
  <c r="N482" i="1"/>
  <c r="K483" i="1"/>
  <c r="M483" i="1"/>
  <c r="N483" i="1"/>
  <c r="K484" i="1"/>
  <c r="M484" i="1"/>
  <c r="N484" i="1"/>
  <c r="K485" i="1"/>
  <c r="M485" i="1"/>
  <c r="N485" i="1"/>
  <c r="K486" i="1"/>
  <c r="M486" i="1"/>
  <c r="N486" i="1"/>
  <c r="K487" i="1"/>
  <c r="M487" i="1"/>
  <c r="N487" i="1"/>
  <c r="K488" i="1"/>
  <c r="M488" i="1"/>
  <c r="N488" i="1"/>
  <c r="K489" i="1"/>
  <c r="M489" i="1"/>
  <c r="N489" i="1"/>
  <c r="K490" i="1"/>
  <c r="M490" i="1"/>
  <c r="N490" i="1"/>
  <c r="K491" i="1"/>
  <c r="M491" i="1"/>
  <c r="N491" i="1"/>
  <c r="K492" i="1"/>
  <c r="M492" i="1"/>
  <c r="N492" i="1"/>
  <c r="K493" i="1"/>
  <c r="M493" i="1"/>
  <c r="N493" i="1"/>
  <c r="K494" i="1"/>
  <c r="M494" i="1"/>
  <c r="N494" i="1"/>
  <c r="K495" i="1"/>
  <c r="M495" i="1"/>
  <c r="N495" i="1"/>
  <c r="K496" i="1"/>
  <c r="M496" i="1"/>
  <c r="N496" i="1"/>
  <c r="K497" i="1"/>
  <c r="M497" i="1"/>
  <c r="N497" i="1"/>
  <c r="K498" i="1"/>
  <c r="M498" i="1"/>
  <c r="N498" i="1"/>
  <c r="K499" i="1"/>
  <c r="M499" i="1"/>
  <c r="N499" i="1"/>
  <c r="K500" i="1"/>
  <c r="M500" i="1"/>
  <c r="N500" i="1"/>
  <c r="K501" i="1"/>
  <c r="M501" i="1"/>
  <c r="N501" i="1"/>
  <c r="K502" i="1"/>
  <c r="M502" i="1"/>
  <c r="N502" i="1"/>
  <c r="K503" i="1"/>
  <c r="M503" i="1"/>
  <c r="N503" i="1"/>
  <c r="K504" i="1"/>
  <c r="M504" i="1"/>
  <c r="N504" i="1"/>
  <c r="K505" i="1"/>
  <c r="M505" i="1"/>
  <c r="N505" i="1"/>
  <c r="K506" i="1"/>
  <c r="M506" i="1"/>
  <c r="N506" i="1"/>
  <c r="K507" i="1"/>
  <c r="M507" i="1"/>
  <c r="N507" i="1"/>
  <c r="K508" i="1"/>
  <c r="M508" i="1"/>
  <c r="N508" i="1"/>
  <c r="K509" i="1"/>
  <c r="M509" i="1"/>
  <c r="N509" i="1"/>
  <c r="K510" i="1"/>
  <c r="M510" i="1"/>
  <c r="N510" i="1"/>
  <c r="K511" i="1"/>
  <c r="M511" i="1"/>
  <c r="N511" i="1"/>
  <c r="K512" i="1"/>
  <c r="M512" i="1"/>
  <c r="N512" i="1"/>
  <c r="K513" i="1"/>
  <c r="M513" i="1"/>
  <c r="N513" i="1"/>
  <c r="K514" i="1"/>
  <c r="M514" i="1"/>
  <c r="N514" i="1"/>
  <c r="K515" i="1"/>
  <c r="M515" i="1"/>
  <c r="N515" i="1"/>
  <c r="K516" i="1"/>
  <c r="M516" i="1"/>
  <c r="N516" i="1"/>
  <c r="K517" i="1"/>
  <c r="M517" i="1"/>
  <c r="N517" i="1"/>
  <c r="K518" i="1"/>
  <c r="M518" i="1"/>
  <c r="N518" i="1"/>
  <c r="K519" i="1"/>
  <c r="M519" i="1"/>
  <c r="N519" i="1"/>
  <c r="K520" i="1"/>
  <c r="M520" i="1"/>
  <c r="N520" i="1"/>
  <c r="K521" i="1"/>
  <c r="M521" i="1"/>
  <c r="N521" i="1"/>
  <c r="K522" i="1"/>
  <c r="M522" i="1"/>
  <c r="N522" i="1"/>
  <c r="K523" i="1"/>
  <c r="M523" i="1"/>
  <c r="N523" i="1"/>
  <c r="K524" i="1"/>
  <c r="M524" i="1"/>
  <c r="N524" i="1"/>
  <c r="K525" i="1"/>
  <c r="M525" i="1"/>
  <c r="N525" i="1"/>
  <c r="K526" i="1"/>
  <c r="M526" i="1"/>
  <c r="N526" i="1"/>
  <c r="K527" i="1"/>
  <c r="M527" i="1"/>
  <c r="N527" i="1"/>
  <c r="K528" i="1"/>
  <c r="M528" i="1"/>
  <c r="N528" i="1"/>
  <c r="K529" i="1"/>
  <c r="M529" i="1"/>
  <c r="N529" i="1"/>
  <c r="K530" i="1"/>
  <c r="M530" i="1"/>
  <c r="N530" i="1"/>
  <c r="K531" i="1"/>
  <c r="M531" i="1"/>
  <c r="N531" i="1"/>
  <c r="K532" i="1"/>
  <c r="M532" i="1"/>
  <c r="N532" i="1"/>
  <c r="K533" i="1"/>
  <c r="M533" i="1"/>
  <c r="N533" i="1"/>
  <c r="K534" i="1"/>
  <c r="M534" i="1"/>
  <c r="N534" i="1"/>
  <c r="K535" i="1"/>
  <c r="M535" i="1"/>
  <c r="N535" i="1"/>
  <c r="K536" i="1"/>
  <c r="M536" i="1"/>
  <c r="N536" i="1"/>
  <c r="K537" i="1"/>
  <c r="M537" i="1"/>
  <c r="N537" i="1"/>
  <c r="K538" i="1"/>
  <c r="M538" i="1"/>
  <c r="N538" i="1"/>
  <c r="K539" i="1"/>
  <c r="M539" i="1"/>
  <c r="N539" i="1"/>
  <c r="K540" i="1"/>
  <c r="M540" i="1"/>
  <c r="N540" i="1"/>
  <c r="K541" i="1"/>
  <c r="M541" i="1"/>
  <c r="N541" i="1"/>
  <c r="K542" i="1"/>
  <c r="M542" i="1"/>
  <c r="N542" i="1"/>
  <c r="K543" i="1"/>
  <c r="M543" i="1"/>
  <c r="N543" i="1"/>
  <c r="K544" i="1"/>
  <c r="M544" i="1"/>
  <c r="N544" i="1"/>
  <c r="K545" i="1"/>
  <c r="M545" i="1"/>
  <c r="N545" i="1"/>
  <c r="K546" i="1"/>
  <c r="M546" i="1"/>
  <c r="N546" i="1"/>
  <c r="K547" i="1"/>
  <c r="M547" i="1"/>
  <c r="N547" i="1"/>
  <c r="K548" i="1"/>
  <c r="M548" i="1"/>
  <c r="N548" i="1"/>
  <c r="K549" i="1"/>
  <c r="M549" i="1"/>
  <c r="N549" i="1"/>
  <c r="K550" i="1"/>
  <c r="M550" i="1"/>
  <c r="N550" i="1"/>
  <c r="K551" i="1"/>
  <c r="M551" i="1"/>
  <c r="N551" i="1"/>
  <c r="K552" i="1"/>
  <c r="M552" i="1"/>
  <c r="N552" i="1"/>
  <c r="K553" i="1"/>
  <c r="M553" i="1"/>
  <c r="N553" i="1"/>
  <c r="K554" i="1"/>
  <c r="M554" i="1"/>
  <c r="N554" i="1"/>
  <c r="K555" i="1"/>
  <c r="M555" i="1"/>
  <c r="N555" i="1"/>
  <c r="K556" i="1"/>
  <c r="M556" i="1"/>
  <c r="N556" i="1"/>
  <c r="K557" i="1"/>
  <c r="M557" i="1"/>
  <c r="N557" i="1"/>
  <c r="K558" i="1"/>
  <c r="M558" i="1"/>
  <c r="N558" i="1"/>
  <c r="K559" i="1"/>
  <c r="M559" i="1"/>
  <c r="N559" i="1"/>
  <c r="K560" i="1"/>
  <c r="M560" i="1"/>
  <c r="N560" i="1"/>
  <c r="K561" i="1"/>
  <c r="M561" i="1"/>
  <c r="N561" i="1"/>
  <c r="K562" i="1"/>
  <c r="M562" i="1"/>
  <c r="N562" i="1"/>
  <c r="K563" i="1"/>
  <c r="M563" i="1"/>
  <c r="N563" i="1"/>
  <c r="K564" i="1"/>
  <c r="M564" i="1"/>
  <c r="N564" i="1"/>
  <c r="K565" i="1"/>
  <c r="M565" i="1"/>
  <c r="N565" i="1"/>
  <c r="K566" i="1"/>
  <c r="M566" i="1"/>
  <c r="N566" i="1"/>
  <c r="K567" i="1"/>
  <c r="M567" i="1"/>
  <c r="N567" i="1"/>
  <c r="K568" i="1"/>
  <c r="M568" i="1"/>
  <c r="N568" i="1"/>
  <c r="K569" i="1"/>
  <c r="M569" i="1"/>
  <c r="N569" i="1"/>
  <c r="K570" i="1"/>
  <c r="M570" i="1"/>
  <c r="N570" i="1"/>
  <c r="K571" i="1"/>
  <c r="M571" i="1"/>
  <c r="N571" i="1"/>
  <c r="K572" i="1"/>
  <c r="M572" i="1"/>
  <c r="N572" i="1"/>
  <c r="K573" i="1"/>
  <c r="M573" i="1"/>
  <c r="N573" i="1"/>
  <c r="K574" i="1"/>
  <c r="M574" i="1"/>
  <c r="N574" i="1"/>
  <c r="K575" i="1"/>
  <c r="M575" i="1"/>
  <c r="N575" i="1"/>
  <c r="K576" i="1"/>
  <c r="M576" i="1"/>
  <c r="N576" i="1"/>
  <c r="K577" i="1"/>
  <c r="M577" i="1"/>
  <c r="N577" i="1"/>
  <c r="K578" i="1"/>
  <c r="M578" i="1"/>
  <c r="N578" i="1"/>
  <c r="K579" i="1"/>
  <c r="M579" i="1"/>
  <c r="N579" i="1"/>
  <c r="K580" i="1"/>
  <c r="M580" i="1"/>
  <c r="N580" i="1"/>
  <c r="K581" i="1"/>
  <c r="M581" i="1"/>
  <c r="N581" i="1"/>
  <c r="K582" i="1"/>
  <c r="M582" i="1"/>
  <c r="N582" i="1"/>
  <c r="K583" i="1"/>
  <c r="M583" i="1"/>
  <c r="N583" i="1"/>
  <c r="K584" i="1"/>
  <c r="M584" i="1"/>
  <c r="N584" i="1"/>
  <c r="K585" i="1"/>
  <c r="M585" i="1"/>
  <c r="N585" i="1"/>
  <c r="K586" i="1"/>
  <c r="M586" i="1"/>
  <c r="N586" i="1"/>
  <c r="K587" i="1"/>
  <c r="M587" i="1"/>
  <c r="N587" i="1"/>
  <c r="K588" i="1"/>
  <c r="M588" i="1"/>
  <c r="N588" i="1"/>
  <c r="K589" i="1"/>
  <c r="M589" i="1"/>
  <c r="N589" i="1"/>
  <c r="K590" i="1"/>
  <c r="M590" i="1"/>
  <c r="N590" i="1"/>
  <c r="K591" i="1"/>
  <c r="M591" i="1"/>
  <c r="N591" i="1"/>
  <c r="K592" i="1"/>
  <c r="M592" i="1"/>
  <c r="N592" i="1"/>
  <c r="K593" i="1"/>
  <c r="M593" i="1"/>
  <c r="N593" i="1"/>
  <c r="K594" i="1"/>
  <c r="M594" i="1"/>
  <c r="N594" i="1"/>
  <c r="K595" i="1"/>
  <c r="M595" i="1"/>
  <c r="N595" i="1"/>
  <c r="K596" i="1"/>
  <c r="M596" i="1"/>
  <c r="N596" i="1"/>
  <c r="K597" i="1"/>
  <c r="M597" i="1"/>
  <c r="N597" i="1"/>
  <c r="K598" i="1"/>
  <c r="M598" i="1"/>
  <c r="N598" i="1"/>
  <c r="K599" i="1"/>
  <c r="M599" i="1"/>
  <c r="N599" i="1"/>
  <c r="K600" i="1"/>
  <c r="M600" i="1"/>
  <c r="N600" i="1"/>
  <c r="K601" i="1"/>
  <c r="M601" i="1"/>
  <c r="N601" i="1"/>
  <c r="K602" i="1"/>
  <c r="M602" i="1"/>
  <c r="N602" i="1"/>
  <c r="K603" i="1"/>
  <c r="M603" i="1"/>
  <c r="N603" i="1"/>
  <c r="K604" i="1"/>
  <c r="M604" i="1"/>
  <c r="N604" i="1"/>
  <c r="K605" i="1"/>
  <c r="M605" i="1"/>
  <c r="N605" i="1"/>
  <c r="K606" i="1"/>
  <c r="M606" i="1"/>
  <c r="N606" i="1"/>
  <c r="K607" i="1"/>
  <c r="M607" i="1"/>
  <c r="N607" i="1"/>
  <c r="K608" i="1"/>
  <c r="M608" i="1"/>
  <c r="N608" i="1"/>
  <c r="K609" i="1"/>
  <c r="M609" i="1"/>
  <c r="N609" i="1"/>
  <c r="K610" i="1"/>
  <c r="M610" i="1"/>
  <c r="N610" i="1"/>
  <c r="K611" i="1"/>
  <c r="M611" i="1"/>
  <c r="N611" i="1"/>
  <c r="K612" i="1"/>
  <c r="M612" i="1"/>
  <c r="N612" i="1"/>
  <c r="K613" i="1"/>
  <c r="M613" i="1"/>
  <c r="N613" i="1"/>
  <c r="K614" i="1"/>
  <c r="M614" i="1"/>
  <c r="N614" i="1"/>
  <c r="K615" i="1"/>
  <c r="M615" i="1"/>
  <c r="N615" i="1"/>
  <c r="K616" i="1"/>
  <c r="M616" i="1"/>
  <c r="N616" i="1"/>
  <c r="K617" i="1"/>
  <c r="M617" i="1"/>
  <c r="N617" i="1"/>
  <c r="K618" i="1"/>
  <c r="M618" i="1"/>
  <c r="N618" i="1"/>
  <c r="K619" i="1"/>
  <c r="M619" i="1"/>
  <c r="N619" i="1"/>
  <c r="K620" i="1"/>
  <c r="M620" i="1"/>
  <c r="N620" i="1"/>
  <c r="K621" i="1"/>
  <c r="M621" i="1"/>
  <c r="N621" i="1"/>
  <c r="K622" i="1"/>
  <c r="M622" i="1"/>
  <c r="N622" i="1"/>
  <c r="K623" i="1"/>
  <c r="M623" i="1"/>
  <c r="N623" i="1"/>
  <c r="K624" i="1"/>
  <c r="M624" i="1"/>
  <c r="N624" i="1"/>
  <c r="K625" i="1"/>
  <c r="M625" i="1"/>
  <c r="N625" i="1"/>
  <c r="K626" i="1"/>
  <c r="M626" i="1"/>
  <c r="N626" i="1"/>
  <c r="K627" i="1"/>
  <c r="M627" i="1"/>
  <c r="N627" i="1"/>
  <c r="K628" i="1"/>
  <c r="M628" i="1"/>
  <c r="N628" i="1"/>
  <c r="K629" i="1"/>
  <c r="M629" i="1"/>
  <c r="N629" i="1"/>
  <c r="K630" i="1"/>
  <c r="M630" i="1"/>
  <c r="N630" i="1"/>
  <c r="K631" i="1"/>
  <c r="M631" i="1"/>
  <c r="N631" i="1"/>
  <c r="K632" i="1"/>
  <c r="M632" i="1"/>
  <c r="N632" i="1"/>
  <c r="K633" i="1"/>
  <c r="M633" i="1"/>
  <c r="N633" i="1"/>
  <c r="K634" i="1"/>
  <c r="M634" i="1"/>
  <c r="N634" i="1"/>
  <c r="K635" i="1"/>
  <c r="M635" i="1"/>
  <c r="N635" i="1"/>
  <c r="K636" i="1"/>
  <c r="M636" i="1"/>
  <c r="N636" i="1"/>
  <c r="K637" i="1"/>
  <c r="M637" i="1"/>
  <c r="N637" i="1"/>
  <c r="K638" i="1"/>
  <c r="M638" i="1"/>
  <c r="N638" i="1"/>
  <c r="K639" i="1"/>
  <c r="M639" i="1"/>
  <c r="N639" i="1"/>
  <c r="K640" i="1"/>
  <c r="M640" i="1"/>
  <c r="N640" i="1"/>
  <c r="K641" i="1"/>
  <c r="M641" i="1"/>
  <c r="N641" i="1"/>
  <c r="K642" i="1"/>
  <c r="M642" i="1"/>
  <c r="N642" i="1"/>
  <c r="K643" i="1"/>
  <c r="M643" i="1"/>
  <c r="N643" i="1"/>
  <c r="K644" i="1"/>
  <c r="M644" i="1"/>
  <c r="N644" i="1"/>
  <c r="K645" i="1"/>
  <c r="M645" i="1"/>
  <c r="N645" i="1"/>
  <c r="K646" i="1"/>
  <c r="M646" i="1"/>
  <c r="N646" i="1"/>
  <c r="K647" i="1"/>
  <c r="M647" i="1"/>
  <c r="N647" i="1"/>
  <c r="K648" i="1"/>
  <c r="M648" i="1"/>
  <c r="N648" i="1"/>
  <c r="K649" i="1"/>
  <c r="M649" i="1"/>
  <c r="N649" i="1"/>
  <c r="K650" i="1"/>
  <c r="M650" i="1"/>
  <c r="N650" i="1"/>
  <c r="K651" i="1"/>
  <c r="M651" i="1"/>
  <c r="N651" i="1"/>
  <c r="K652" i="1"/>
  <c r="M652" i="1"/>
  <c r="N652" i="1"/>
  <c r="K653" i="1"/>
  <c r="M653" i="1"/>
  <c r="N653" i="1"/>
  <c r="K654" i="1"/>
  <c r="M654" i="1"/>
  <c r="N654" i="1"/>
  <c r="K655" i="1"/>
  <c r="M655" i="1"/>
  <c r="N655" i="1"/>
  <c r="K656" i="1"/>
  <c r="M656" i="1"/>
  <c r="N656" i="1"/>
  <c r="K657" i="1"/>
  <c r="M657" i="1"/>
  <c r="N657" i="1"/>
  <c r="K658" i="1"/>
  <c r="M658" i="1"/>
  <c r="N658" i="1"/>
  <c r="K659" i="1"/>
  <c r="M659" i="1"/>
  <c r="N659" i="1"/>
  <c r="K660" i="1"/>
  <c r="M660" i="1"/>
  <c r="N660" i="1"/>
  <c r="K661" i="1"/>
  <c r="M661" i="1"/>
  <c r="N661" i="1"/>
  <c r="K662" i="1"/>
  <c r="M662" i="1"/>
  <c r="N662" i="1"/>
  <c r="K663" i="1"/>
  <c r="M663" i="1"/>
  <c r="N663" i="1"/>
  <c r="K664" i="1"/>
  <c r="M664" i="1"/>
  <c r="N664" i="1"/>
  <c r="K665" i="1"/>
  <c r="M665" i="1"/>
  <c r="N665" i="1"/>
  <c r="K666" i="1"/>
  <c r="M666" i="1"/>
  <c r="N666" i="1"/>
  <c r="K667" i="1"/>
  <c r="M667" i="1"/>
  <c r="N667" i="1"/>
  <c r="K668" i="1"/>
  <c r="M668" i="1"/>
  <c r="N668" i="1"/>
  <c r="K669" i="1"/>
  <c r="M669" i="1"/>
  <c r="N669" i="1"/>
  <c r="K670" i="1"/>
  <c r="M670" i="1"/>
  <c r="N670" i="1"/>
  <c r="K671" i="1"/>
  <c r="M671" i="1"/>
  <c r="N671" i="1"/>
  <c r="K672" i="1"/>
  <c r="M672" i="1"/>
  <c r="N672" i="1"/>
  <c r="K673" i="1"/>
  <c r="M673" i="1"/>
  <c r="N673" i="1"/>
  <c r="K674" i="1"/>
  <c r="M674" i="1"/>
  <c r="N674" i="1"/>
  <c r="K675" i="1"/>
  <c r="M675" i="1"/>
  <c r="N675" i="1"/>
  <c r="K676" i="1"/>
  <c r="M676" i="1"/>
  <c r="N676" i="1"/>
  <c r="K677" i="1"/>
  <c r="M677" i="1"/>
  <c r="N677" i="1"/>
  <c r="K678" i="1"/>
  <c r="M678" i="1"/>
  <c r="N678" i="1"/>
  <c r="K679" i="1"/>
  <c r="M679" i="1"/>
  <c r="N679" i="1"/>
  <c r="K680" i="1"/>
  <c r="M680" i="1"/>
  <c r="N680" i="1"/>
  <c r="K681" i="1"/>
  <c r="M681" i="1"/>
  <c r="N681" i="1"/>
  <c r="K682" i="1"/>
  <c r="M682" i="1"/>
  <c r="N682" i="1"/>
  <c r="K683" i="1"/>
  <c r="M683" i="1"/>
  <c r="N683" i="1"/>
  <c r="K684" i="1"/>
  <c r="M684" i="1"/>
  <c r="N684" i="1"/>
  <c r="K685" i="1"/>
  <c r="M685" i="1"/>
  <c r="N685" i="1"/>
  <c r="K686" i="1"/>
  <c r="M686" i="1"/>
  <c r="N686" i="1"/>
  <c r="K687" i="1"/>
  <c r="M687" i="1"/>
  <c r="N687" i="1"/>
  <c r="K688" i="1"/>
  <c r="M688" i="1"/>
  <c r="N688" i="1"/>
  <c r="K689" i="1"/>
  <c r="M689" i="1"/>
  <c r="N689" i="1"/>
  <c r="K690" i="1"/>
  <c r="M690" i="1"/>
  <c r="N690" i="1"/>
  <c r="K691" i="1"/>
  <c r="M691" i="1"/>
  <c r="N691" i="1"/>
  <c r="K692" i="1"/>
  <c r="M692" i="1"/>
  <c r="N692" i="1"/>
  <c r="K693" i="1"/>
  <c r="M693" i="1"/>
  <c r="N693" i="1"/>
  <c r="K694" i="1"/>
  <c r="M694" i="1"/>
  <c r="N694" i="1"/>
  <c r="K695" i="1"/>
  <c r="M695" i="1"/>
  <c r="N695" i="1"/>
  <c r="K696" i="1"/>
  <c r="M696" i="1"/>
  <c r="N696" i="1"/>
  <c r="K697" i="1"/>
  <c r="M697" i="1"/>
  <c r="N697" i="1"/>
  <c r="K698" i="1"/>
  <c r="M698" i="1"/>
  <c r="N698" i="1"/>
  <c r="K699" i="1"/>
  <c r="M699" i="1"/>
  <c r="N699" i="1"/>
  <c r="K700" i="1"/>
  <c r="M700" i="1"/>
  <c r="N700" i="1"/>
  <c r="K701" i="1"/>
  <c r="M701" i="1"/>
  <c r="N701" i="1"/>
  <c r="K702" i="1"/>
  <c r="M702" i="1"/>
  <c r="N702" i="1"/>
  <c r="K703" i="1"/>
  <c r="M703" i="1"/>
  <c r="N703" i="1"/>
  <c r="K704" i="1"/>
  <c r="M704" i="1"/>
  <c r="N704" i="1"/>
  <c r="K705" i="1"/>
  <c r="M705" i="1"/>
  <c r="N705" i="1"/>
  <c r="K706" i="1"/>
  <c r="M706" i="1"/>
  <c r="N706" i="1"/>
  <c r="K707" i="1"/>
  <c r="M707" i="1"/>
  <c r="N707" i="1"/>
  <c r="K708" i="1"/>
  <c r="M708" i="1"/>
  <c r="N708" i="1"/>
  <c r="K709" i="1"/>
  <c r="M709" i="1"/>
  <c r="N709" i="1"/>
  <c r="K710" i="1"/>
  <c r="M710" i="1"/>
  <c r="N710" i="1"/>
  <c r="K711" i="1"/>
  <c r="M711" i="1"/>
  <c r="N711" i="1"/>
  <c r="K712" i="1"/>
  <c r="M712" i="1"/>
  <c r="N712" i="1"/>
  <c r="K713" i="1"/>
  <c r="M713" i="1"/>
  <c r="N713" i="1"/>
  <c r="K714" i="1"/>
  <c r="M714" i="1"/>
  <c r="N714" i="1"/>
  <c r="K715" i="1"/>
  <c r="M715" i="1"/>
  <c r="N715" i="1"/>
  <c r="K716" i="1"/>
  <c r="M716" i="1"/>
  <c r="N716" i="1"/>
  <c r="K717" i="1"/>
  <c r="M717" i="1"/>
  <c r="N717" i="1"/>
  <c r="K718" i="1"/>
  <c r="M718" i="1"/>
  <c r="N718" i="1"/>
  <c r="K719" i="1"/>
  <c r="M719" i="1"/>
  <c r="N719" i="1"/>
  <c r="K720" i="1"/>
  <c r="M720" i="1"/>
  <c r="N720" i="1"/>
  <c r="K721" i="1"/>
  <c r="M721" i="1"/>
  <c r="N721" i="1"/>
  <c r="K722" i="1"/>
  <c r="M722" i="1"/>
  <c r="N722" i="1"/>
  <c r="K723" i="1"/>
  <c r="M723" i="1"/>
  <c r="N723" i="1"/>
  <c r="K724" i="1"/>
  <c r="M724" i="1"/>
  <c r="N724" i="1"/>
  <c r="K725" i="1"/>
  <c r="M725" i="1"/>
  <c r="N725" i="1"/>
  <c r="K726" i="1"/>
  <c r="M726" i="1"/>
  <c r="N726" i="1"/>
  <c r="K727" i="1"/>
  <c r="M727" i="1"/>
  <c r="N727" i="1"/>
  <c r="K728" i="1"/>
  <c r="M728" i="1"/>
  <c r="N728" i="1"/>
  <c r="K729" i="1"/>
  <c r="M729" i="1"/>
  <c r="N729" i="1"/>
  <c r="K730" i="1"/>
  <c r="M730" i="1"/>
  <c r="N730" i="1"/>
  <c r="K731" i="1"/>
  <c r="M731" i="1"/>
  <c r="N731" i="1"/>
  <c r="K732" i="1"/>
  <c r="M732" i="1"/>
  <c r="N732" i="1"/>
  <c r="K733" i="1"/>
  <c r="M733" i="1"/>
  <c r="N733" i="1"/>
  <c r="K734" i="1"/>
  <c r="M734" i="1"/>
  <c r="N734" i="1"/>
  <c r="K735" i="1"/>
  <c r="M735" i="1"/>
  <c r="N735" i="1"/>
  <c r="K736" i="1"/>
  <c r="M736" i="1"/>
  <c r="N736" i="1"/>
  <c r="K737" i="1"/>
  <c r="M737" i="1"/>
  <c r="N737" i="1"/>
  <c r="K738" i="1"/>
  <c r="M738" i="1"/>
  <c r="N738" i="1"/>
  <c r="K739" i="1"/>
  <c r="M739" i="1"/>
  <c r="N739" i="1"/>
  <c r="K740" i="1"/>
  <c r="M740" i="1"/>
  <c r="N740" i="1"/>
  <c r="K741" i="1"/>
  <c r="M741" i="1"/>
  <c r="N741" i="1"/>
  <c r="K742" i="1"/>
  <c r="M742" i="1"/>
  <c r="N742" i="1"/>
  <c r="K743" i="1"/>
  <c r="M743" i="1"/>
  <c r="N743" i="1"/>
  <c r="K744" i="1"/>
  <c r="M744" i="1"/>
  <c r="N744" i="1"/>
  <c r="K745" i="1"/>
  <c r="M745" i="1"/>
  <c r="N745" i="1"/>
  <c r="K746" i="1"/>
  <c r="M746" i="1"/>
  <c r="N746" i="1"/>
  <c r="K747" i="1"/>
  <c r="M747" i="1"/>
  <c r="N747" i="1"/>
  <c r="K748" i="1"/>
  <c r="M748" i="1"/>
  <c r="N748" i="1"/>
  <c r="K749" i="1"/>
  <c r="M749" i="1"/>
  <c r="N749" i="1"/>
  <c r="K750" i="1"/>
  <c r="M750" i="1"/>
  <c r="N750" i="1"/>
  <c r="K751" i="1"/>
  <c r="M751" i="1"/>
  <c r="N751" i="1"/>
  <c r="K752" i="1"/>
  <c r="M752" i="1"/>
  <c r="N752" i="1"/>
  <c r="K753" i="1"/>
  <c r="M753" i="1"/>
  <c r="N753" i="1"/>
  <c r="K754" i="1"/>
  <c r="M754" i="1"/>
  <c r="N754" i="1"/>
  <c r="K755" i="1"/>
  <c r="M755" i="1"/>
  <c r="N755" i="1"/>
  <c r="K756" i="1"/>
  <c r="M756" i="1"/>
  <c r="N756" i="1"/>
  <c r="K757" i="1"/>
  <c r="M757" i="1"/>
  <c r="N757" i="1"/>
  <c r="K758" i="1"/>
  <c r="M758" i="1"/>
  <c r="N758" i="1"/>
  <c r="K759" i="1"/>
  <c r="M759" i="1"/>
  <c r="N759" i="1"/>
  <c r="K760" i="1"/>
  <c r="M760" i="1"/>
  <c r="N760" i="1"/>
  <c r="K761" i="1"/>
  <c r="M761" i="1"/>
  <c r="N761" i="1"/>
  <c r="K762" i="1"/>
  <c r="M762" i="1"/>
  <c r="N762" i="1"/>
  <c r="K763" i="1"/>
  <c r="M763" i="1"/>
  <c r="N763" i="1"/>
  <c r="K764" i="1"/>
  <c r="M764" i="1"/>
  <c r="N764" i="1"/>
  <c r="K765" i="1"/>
  <c r="M765" i="1"/>
  <c r="N765" i="1"/>
  <c r="K766" i="1"/>
  <c r="M766" i="1"/>
  <c r="N766" i="1"/>
  <c r="K767" i="1"/>
  <c r="M767" i="1"/>
  <c r="N767" i="1"/>
  <c r="K768" i="1"/>
  <c r="M768" i="1"/>
  <c r="N768" i="1"/>
  <c r="K769" i="1"/>
  <c r="M769" i="1"/>
  <c r="N769" i="1"/>
  <c r="K770" i="1"/>
  <c r="M770" i="1"/>
  <c r="N770" i="1"/>
  <c r="K771" i="1"/>
  <c r="M771" i="1"/>
  <c r="N771" i="1"/>
  <c r="K772" i="1"/>
  <c r="M772" i="1"/>
  <c r="N772" i="1"/>
  <c r="K773" i="1"/>
  <c r="M773" i="1"/>
  <c r="N773" i="1"/>
  <c r="K774" i="1"/>
  <c r="M774" i="1"/>
  <c r="N774" i="1"/>
  <c r="K775" i="1"/>
  <c r="M775" i="1"/>
  <c r="N775" i="1"/>
  <c r="K776" i="1"/>
  <c r="M776" i="1"/>
  <c r="N776" i="1"/>
  <c r="K777" i="1"/>
  <c r="M777" i="1"/>
  <c r="N777" i="1"/>
  <c r="K778" i="1"/>
  <c r="M778" i="1"/>
  <c r="N778" i="1"/>
  <c r="K779" i="1"/>
  <c r="M779" i="1"/>
  <c r="N779" i="1"/>
  <c r="K780" i="1"/>
  <c r="M780" i="1"/>
  <c r="N780" i="1"/>
  <c r="K781" i="1"/>
  <c r="M781" i="1"/>
  <c r="N781" i="1"/>
  <c r="K782" i="1"/>
  <c r="M782" i="1"/>
  <c r="N782" i="1"/>
  <c r="K783" i="1"/>
  <c r="M783" i="1"/>
  <c r="N783" i="1"/>
  <c r="K784" i="1"/>
  <c r="M784" i="1"/>
  <c r="N784" i="1"/>
  <c r="K785" i="1"/>
  <c r="M785" i="1"/>
  <c r="N785" i="1"/>
  <c r="K786" i="1"/>
  <c r="M786" i="1"/>
  <c r="N786" i="1"/>
  <c r="K787" i="1"/>
  <c r="M787" i="1"/>
  <c r="N787" i="1"/>
  <c r="K788" i="1"/>
  <c r="M788" i="1"/>
  <c r="N788" i="1"/>
  <c r="K789" i="1"/>
  <c r="M789" i="1"/>
  <c r="N789" i="1"/>
  <c r="K790" i="1"/>
  <c r="M790" i="1"/>
  <c r="N790" i="1"/>
  <c r="K791" i="1"/>
  <c r="M791" i="1"/>
  <c r="N791" i="1"/>
  <c r="K792" i="1"/>
  <c r="M792" i="1"/>
  <c r="N792" i="1"/>
  <c r="K793" i="1"/>
  <c r="M793" i="1"/>
  <c r="N793" i="1"/>
  <c r="K794" i="1"/>
  <c r="M794" i="1"/>
  <c r="N794" i="1"/>
  <c r="K795" i="1"/>
  <c r="M795" i="1"/>
  <c r="N795" i="1"/>
  <c r="K796" i="1"/>
  <c r="M796" i="1"/>
  <c r="N796" i="1"/>
  <c r="K797" i="1"/>
  <c r="M797" i="1"/>
  <c r="N797" i="1"/>
  <c r="K798" i="1"/>
  <c r="M798" i="1"/>
  <c r="N798" i="1"/>
  <c r="K799" i="1"/>
  <c r="M799" i="1"/>
  <c r="N799" i="1"/>
  <c r="K800" i="1"/>
  <c r="M800" i="1"/>
  <c r="N800" i="1"/>
  <c r="K801" i="1"/>
  <c r="M801" i="1"/>
  <c r="N801" i="1"/>
  <c r="K802" i="1"/>
  <c r="M802" i="1"/>
  <c r="N802" i="1"/>
  <c r="K803" i="1"/>
  <c r="M803" i="1"/>
  <c r="N803" i="1"/>
  <c r="K804" i="1"/>
  <c r="M804" i="1"/>
  <c r="N804" i="1"/>
  <c r="K805" i="1"/>
  <c r="M805" i="1"/>
  <c r="N805" i="1"/>
  <c r="K806" i="1"/>
  <c r="M806" i="1"/>
  <c r="N806" i="1"/>
  <c r="K807" i="1"/>
  <c r="M807" i="1"/>
  <c r="N807" i="1"/>
  <c r="K808" i="1"/>
  <c r="M808" i="1"/>
  <c r="N808" i="1"/>
  <c r="K809" i="1"/>
  <c r="M809" i="1"/>
  <c r="N809" i="1"/>
  <c r="K810" i="1"/>
  <c r="M810" i="1"/>
  <c r="N810" i="1"/>
  <c r="K811" i="1"/>
  <c r="M811" i="1"/>
  <c r="N811" i="1"/>
  <c r="K812" i="1"/>
  <c r="M812" i="1"/>
  <c r="N812" i="1"/>
  <c r="K813" i="1"/>
  <c r="M813" i="1"/>
  <c r="N813" i="1"/>
  <c r="K814" i="1"/>
  <c r="M814" i="1"/>
  <c r="N814" i="1"/>
  <c r="K815" i="1"/>
  <c r="M815" i="1"/>
  <c r="N815" i="1"/>
  <c r="K816" i="1"/>
  <c r="M816" i="1"/>
  <c r="N816" i="1"/>
  <c r="K817" i="1"/>
  <c r="M817" i="1"/>
  <c r="N817" i="1"/>
  <c r="K818" i="1"/>
  <c r="M818" i="1"/>
  <c r="N818" i="1"/>
  <c r="K819" i="1"/>
  <c r="M819" i="1"/>
  <c r="N819" i="1"/>
  <c r="K820" i="1"/>
  <c r="M820" i="1"/>
  <c r="N820" i="1"/>
  <c r="K821" i="1"/>
  <c r="M821" i="1"/>
  <c r="N821" i="1"/>
  <c r="K822" i="1"/>
  <c r="M822" i="1"/>
  <c r="N822" i="1"/>
  <c r="K823" i="1"/>
  <c r="M823" i="1"/>
  <c r="N823" i="1"/>
  <c r="K824" i="1"/>
  <c r="M824" i="1"/>
  <c r="N824" i="1"/>
  <c r="K825" i="1"/>
  <c r="M825" i="1"/>
  <c r="N825" i="1"/>
  <c r="K826" i="1"/>
  <c r="M826" i="1"/>
  <c r="N826" i="1"/>
  <c r="K827" i="1"/>
  <c r="M827" i="1"/>
  <c r="N827" i="1"/>
  <c r="K828" i="1"/>
  <c r="M828" i="1"/>
  <c r="N828" i="1"/>
  <c r="K829" i="1"/>
  <c r="M829" i="1"/>
  <c r="N829" i="1"/>
  <c r="K830" i="1"/>
  <c r="M830" i="1"/>
  <c r="N830" i="1"/>
  <c r="K831" i="1"/>
  <c r="M831" i="1"/>
  <c r="N831" i="1"/>
  <c r="K832" i="1"/>
  <c r="M832" i="1"/>
  <c r="N832" i="1"/>
  <c r="K833" i="1"/>
  <c r="M833" i="1"/>
  <c r="N833" i="1"/>
  <c r="K834" i="1"/>
  <c r="M834" i="1"/>
  <c r="N834" i="1"/>
  <c r="K835" i="1"/>
  <c r="M835" i="1"/>
  <c r="N835" i="1"/>
  <c r="K836" i="1"/>
  <c r="M836" i="1"/>
  <c r="N836" i="1"/>
  <c r="K837" i="1"/>
  <c r="M837" i="1"/>
  <c r="N837" i="1"/>
  <c r="K838" i="1"/>
  <c r="M838" i="1"/>
  <c r="N838" i="1"/>
  <c r="K839" i="1"/>
  <c r="M839" i="1"/>
  <c r="N839" i="1"/>
  <c r="K840" i="1"/>
  <c r="M840" i="1"/>
  <c r="N840" i="1"/>
  <c r="K841" i="1"/>
  <c r="M841" i="1"/>
  <c r="N841" i="1"/>
  <c r="K842" i="1"/>
  <c r="M842" i="1"/>
  <c r="N842" i="1"/>
  <c r="K843" i="1"/>
  <c r="M843" i="1"/>
  <c r="N843" i="1"/>
  <c r="K844" i="1"/>
  <c r="M844" i="1"/>
  <c r="N844" i="1"/>
  <c r="K845" i="1"/>
  <c r="M845" i="1"/>
  <c r="N845" i="1"/>
  <c r="K846" i="1"/>
  <c r="M846" i="1"/>
  <c r="N846" i="1"/>
  <c r="K847" i="1"/>
  <c r="M847" i="1"/>
  <c r="N847" i="1"/>
  <c r="K848" i="1"/>
  <c r="M848" i="1"/>
  <c r="N848" i="1"/>
  <c r="K849" i="1"/>
  <c r="M849" i="1"/>
  <c r="N849" i="1"/>
  <c r="K850" i="1"/>
  <c r="M850" i="1"/>
  <c r="N850" i="1"/>
  <c r="K851" i="1"/>
  <c r="M851" i="1"/>
  <c r="N851" i="1"/>
  <c r="K852" i="1"/>
  <c r="M852" i="1"/>
  <c r="N852" i="1"/>
  <c r="K853" i="1"/>
  <c r="M853" i="1"/>
  <c r="N853" i="1"/>
  <c r="K854" i="1"/>
  <c r="M854" i="1"/>
  <c r="N854" i="1"/>
  <c r="K855" i="1"/>
  <c r="M855" i="1"/>
  <c r="N855" i="1"/>
  <c r="K856" i="1"/>
  <c r="M856" i="1"/>
  <c r="N856" i="1"/>
  <c r="K857" i="1"/>
  <c r="M857" i="1"/>
  <c r="N857" i="1"/>
  <c r="K858" i="1"/>
  <c r="M858" i="1"/>
  <c r="N858" i="1"/>
  <c r="K859" i="1"/>
  <c r="M859" i="1"/>
  <c r="N859" i="1"/>
  <c r="K860" i="1"/>
  <c r="M860" i="1"/>
  <c r="N860" i="1"/>
  <c r="K861" i="1"/>
  <c r="M861" i="1"/>
  <c r="N861" i="1"/>
  <c r="K862" i="1"/>
  <c r="M862" i="1"/>
  <c r="N862" i="1"/>
  <c r="K863" i="1"/>
  <c r="M863" i="1"/>
  <c r="N863" i="1"/>
  <c r="K864" i="1"/>
  <c r="M864" i="1"/>
  <c r="N864" i="1"/>
  <c r="K865" i="1"/>
  <c r="M865" i="1"/>
  <c r="N865" i="1"/>
  <c r="K866" i="1"/>
  <c r="M866" i="1"/>
  <c r="N866" i="1"/>
  <c r="K867" i="1"/>
  <c r="M867" i="1"/>
  <c r="N867" i="1"/>
  <c r="K868" i="1"/>
  <c r="M868" i="1"/>
  <c r="N868" i="1"/>
  <c r="K869" i="1"/>
  <c r="M869" i="1"/>
  <c r="N869" i="1"/>
  <c r="K870" i="1"/>
  <c r="M870" i="1"/>
  <c r="N870" i="1"/>
  <c r="K871" i="1"/>
  <c r="M871" i="1"/>
  <c r="N871" i="1"/>
  <c r="K872" i="1"/>
  <c r="M872" i="1"/>
  <c r="N872" i="1"/>
  <c r="K873" i="1"/>
  <c r="M873" i="1"/>
  <c r="N873" i="1"/>
  <c r="K874" i="1"/>
  <c r="M874" i="1"/>
  <c r="N874" i="1"/>
  <c r="K875" i="1"/>
  <c r="M875" i="1"/>
  <c r="N875" i="1"/>
  <c r="K876" i="1"/>
  <c r="M876" i="1"/>
  <c r="N876" i="1"/>
  <c r="K877" i="1"/>
  <c r="M877" i="1"/>
  <c r="N877" i="1"/>
  <c r="K878" i="1"/>
  <c r="M878" i="1"/>
  <c r="N878" i="1"/>
  <c r="K879" i="1"/>
  <c r="M879" i="1"/>
  <c r="N879" i="1"/>
  <c r="K880" i="1"/>
  <c r="M880" i="1"/>
  <c r="N880" i="1"/>
  <c r="K881" i="1"/>
  <c r="M881" i="1"/>
  <c r="N881" i="1"/>
  <c r="K882" i="1"/>
  <c r="M882" i="1"/>
  <c r="N882" i="1"/>
  <c r="K883" i="1"/>
  <c r="M883" i="1"/>
  <c r="N883" i="1"/>
  <c r="K884" i="1"/>
  <c r="M884" i="1"/>
  <c r="N884" i="1"/>
  <c r="K885" i="1"/>
  <c r="M885" i="1"/>
  <c r="N885" i="1"/>
  <c r="K886" i="1"/>
  <c r="M886" i="1"/>
  <c r="N886" i="1"/>
  <c r="K887" i="1"/>
  <c r="M887" i="1"/>
  <c r="N887" i="1"/>
  <c r="K888" i="1"/>
  <c r="M888" i="1"/>
  <c r="N888" i="1"/>
  <c r="K889" i="1"/>
  <c r="M889" i="1"/>
  <c r="N889" i="1"/>
  <c r="K890" i="1"/>
  <c r="M890" i="1"/>
  <c r="N890" i="1"/>
  <c r="K891" i="1"/>
  <c r="M891" i="1"/>
  <c r="N891" i="1"/>
  <c r="K892" i="1"/>
  <c r="M892" i="1"/>
  <c r="N892" i="1"/>
  <c r="K893" i="1"/>
  <c r="M893" i="1"/>
  <c r="N893" i="1"/>
  <c r="K894" i="1"/>
  <c r="M894" i="1"/>
  <c r="N894" i="1"/>
  <c r="K895" i="1"/>
  <c r="M895" i="1"/>
  <c r="N895" i="1"/>
  <c r="K896" i="1"/>
  <c r="M896" i="1"/>
  <c r="N896" i="1"/>
  <c r="K897" i="1"/>
  <c r="M897" i="1"/>
  <c r="N897" i="1"/>
  <c r="K898" i="1"/>
  <c r="M898" i="1"/>
  <c r="N898" i="1"/>
  <c r="K899" i="1"/>
  <c r="M899" i="1"/>
  <c r="N899" i="1"/>
  <c r="K900" i="1"/>
  <c r="M900" i="1"/>
  <c r="N900" i="1"/>
  <c r="K901" i="1"/>
  <c r="M901" i="1"/>
  <c r="N901" i="1"/>
  <c r="K902" i="1"/>
  <c r="M902" i="1"/>
  <c r="N902" i="1"/>
  <c r="K903" i="1"/>
  <c r="M903" i="1"/>
  <c r="N903" i="1"/>
  <c r="K904" i="1"/>
  <c r="M904" i="1"/>
  <c r="N904" i="1"/>
  <c r="K905" i="1"/>
  <c r="M905" i="1"/>
  <c r="N905" i="1"/>
  <c r="K906" i="1"/>
  <c r="M906" i="1"/>
  <c r="N906" i="1"/>
  <c r="K907" i="1"/>
  <c r="M907" i="1"/>
  <c r="N907" i="1"/>
  <c r="K908" i="1"/>
  <c r="M908" i="1"/>
  <c r="N908" i="1"/>
  <c r="K909" i="1"/>
  <c r="M909" i="1"/>
  <c r="N909" i="1"/>
  <c r="K910" i="1"/>
  <c r="M910" i="1"/>
  <c r="N910" i="1"/>
  <c r="K911" i="1"/>
  <c r="M911" i="1"/>
  <c r="N911" i="1"/>
  <c r="K912" i="1"/>
  <c r="M912" i="1"/>
  <c r="N912" i="1"/>
  <c r="K913" i="1"/>
  <c r="M913" i="1"/>
  <c r="N913" i="1"/>
  <c r="K914" i="1"/>
  <c r="M914" i="1"/>
  <c r="N914" i="1"/>
  <c r="K915" i="1"/>
  <c r="M915" i="1"/>
  <c r="N915" i="1"/>
  <c r="K916" i="1"/>
  <c r="M916" i="1"/>
  <c r="N916" i="1"/>
  <c r="K917" i="1"/>
  <c r="M917" i="1"/>
  <c r="N917" i="1"/>
  <c r="K918" i="1"/>
  <c r="M918" i="1"/>
  <c r="N918" i="1"/>
  <c r="K919" i="1"/>
  <c r="M919" i="1"/>
  <c r="N919" i="1"/>
  <c r="K920" i="1"/>
  <c r="M920" i="1"/>
  <c r="N920" i="1"/>
  <c r="K921" i="1"/>
  <c r="M921" i="1"/>
  <c r="N921" i="1"/>
  <c r="K922" i="1"/>
  <c r="M922" i="1"/>
  <c r="N922" i="1"/>
  <c r="K923" i="1"/>
  <c r="M923" i="1"/>
  <c r="N923" i="1"/>
  <c r="K924" i="1"/>
  <c r="M924" i="1"/>
  <c r="N924" i="1"/>
  <c r="K925" i="1"/>
  <c r="M925" i="1"/>
  <c r="N925" i="1"/>
  <c r="K926" i="1"/>
  <c r="M926" i="1"/>
  <c r="N926" i="1"/>
  <c r="K927" i="1"/>
  <c r="M927" i="1"/>
  <c r="N927" i="1"/>
  <c r="K928" i="1"/>
  <c r="M928" i="1"/>
  <c r="N928" i="1"/>
  <c r="K929" i="1"/>
  <c r="M929" i="1"/>
  <c r="N929" i="1"/>
  <c r="K930" i="1"/>
  <c r="M930" i="1"/>
  <c r="N930" i="1"/>
  <c r="K931" i="1"/>
  <c r="M931" i="1"/>
  <c r="N931" i="1"/>
  <c r="K932" i="1"/>
  <c r="M932" i="1"/>
  <c r="N932" i="1"/>
  <c r="K933" i="1"/>
  <c r="M933" i="1"/>
  <c r="N933" i="1"/>
  <c r="K934" i="1"/>
  <c r="M934" i="1"/>
  <c r="N934" i="1"/>
  <c r="K935" i="1"/>
  <c r="M935" i="1"/>
  <c r="N935" i="1"/>
  <c r="K936" i="1"/>
  <c r="M936" i="1"/>
  <c r="N936" i="1"/>
  <c r="K937" i="1"/>
  <c r="M937" i="1"/>
  <c r="N937" i="1"/>
  <c r="K938" i="1"/>
  <c r="M938" i="1"/>
  <c r="N938" i="1"/>
  <c r="K939" i="1"/>
  <c r="M939" i="1"/>
  <c r="N939" i="1"/>
  <c r="K940" i="1"/>
  <c r="M940" i="1"/>
  <c r="N940" i="1"/>
  <c r="K941" i="1"/>
  <c r="M941" i="1"/>
  <c r="N941" i="1"/>
  <c r="K942" i="1"/>
  <c r="M942" i="1"/>
  <c r="N942" i="1"/>
  <c r="K943" i="1"/>
  <c r="M943" i="1"/>
  <c r="N943" i="1"/>
  <c r="K944" i="1"/>
  <c r="M944" i="1"/>
  <c r="N944" i="1"/>
  <c r="K945" i="1"/>
  <c r="M945" i="1"/>
  <c r="N945" i="1"/>
  <c r="K946" i="1"/>
  <c r="M946" i="1"/>
  <c r="N946" i="1"/>
  <c r="K947" i="1"/>
  <c r="M947" i="1"/>
  <c r="N947" i="1"/>
  <c r="K948" i="1"/>
  <c r="M948" i="1"/>
  <c r="N948" i="1"/>
  <c r="K949" i="1"/>
  <c r="M949" i="1"/>
  <c r="N949" i="1"/>
  <c r="K950" i="1"/>
  <c r="M950" i="1"/>
  <c r="N950" i="1"/>
  <c r="K951" i="1"/>
  <c r="M951" i="1"/>
  <c r="N951" i="1"/>
  <c r="K952" i="1"/>
  <c r="M952" i="1"/>
  <c r="N952" i="1"/>
  <c r="K953" i="1"/>
  <c r="M953" i="1"/>
  <c r="N953" i="1"/>
  <c r="K954" i="1"/>
  <c r="M954" i="1"/>
  <c r="N954" i="1"/>
  <c r="K955" i="1"/>
  <c r="M955" i="1"/>
  <c r="N955" i="1"/>
  <c r="K956" i="1"/>
  <c r="M956" i="1"/>
  <c r="N956" i="1"/>
  <c r="K957" i="1"/>
  <c r="M957" i="1"/>
  <c r="N957" i="1"/>
  <c r="K958" i="1"/>
  <c r="M958" i="1"/>
  <c r="N958" i="1"/>
  <c r="K959" i="1"/>
  <c r="M959" i="1"/>
  <c r="N959" i="1"/>
  <c r="K960" i="1"/>
  <c r="M960" i="1"/>
  <c r="N960" i="1"/>
  <c r="K961" i="1"/>
  <c r="M961" i="1"/>
  <c r="N961" i="1"/>
  <c r="K962" i="1"/>
  <c r="M962" i="1"/>
  <c r="N962" i="1"/>
  <c r="K963" i="1"/>
  <c r="M963" i="1"/>
  <c r="N963" i="1"/>
  <c r="K964" i="1"/>
  <c r="M964" i="1"/>
  <c r="N964" i="1"/>
  <c r="K965" i="1"/>
  <c r="M965" i="1"/>
  <c r="N965" i="1"/>
  <c r="K966" i="1"/>
  <c r="M966" i="1"/>
  <c r="N966" i="1"/>
  <c r="K967" i="1"/>
  <c r="M967" i="1"/>
  <c r="N967" i="1"/>
  <c r="K968" i="1"/>
  <c r="M968" i="1"/>
  <c r="N968" i="1"/>
  <c r="K969" i="1"/>
  <c r="M969" i="1"/>
  <c r="N969" i="1"/>
  <c r="K970" i="1"/>
  <c r="M970" i="1"/>
  <c r="N970" i="1"/>
  <c r="K971" i="1"/>
  <c r="M971" i="1"/>
  <c r="N971" i="1"/>
  <c r="K972" i="1"/>
  <c r="M972" i="1"/>
  <c r="N972" i="1"/>
  <c r="K973" i="1"/>
  <c r="M973" i="1"/>
  <c r="N973" i="1"/>
  <c r="K974" i="1"/>
  <c r="M974" i="1"/>
  <c r="N974" i="1"/>
  <c r="K975" i="1"/>
  <c r="M975" i="1"/>
  <c r="N975" i="1"/>
  <c r="K976" i="1"/>
  <c r="M976" i="1"/>
  <c r="N976" i="1"/>
  <c r="K977" i="1"/>
  <c r="M977" i="1"/>
  <c r="N977" i="1"/>
  <c r="K978" i="1"/>
  <c r="M978" i="1"/>
  <c r="N978" i="1"/>
  <c r="K979" i="1"/>
  <c r="M979" i="1"/>
  <c r="N979" i="1"/>
  <c r="K980" i="1"/>
  <c r="M980" i="1"/>
  <c r="N980" i="1"/>
  <c r="K981" i="1"/>
  <c r="M981" i="1"/>
  <c r="N981" i="1"/>
  <c r="K982" i="1"/>
  <c r="M982" i="1"/>
  <c r="N982" i="1"/>
  <c r="K983" i="1"/>
  <c r="M983" i="1"/>
  <c r="N983" i="1"/>
  <c r="K984" i="1"/>
  <c r="M984" i="1"/>
  <c r="N984" i="1"/>
  <c r="K985" i="1"/>
  <c r="M985" i="1"/>
  <c r="N985" i="1"/>
  <c r="K986" i="1"/>
  <c r="M986" i="1"/>
  <c r="N986" i="1"/>
  <c r="K987" i="1"/>
  <c r="M987" i="1"/>
  <c r="N987" i="1"/>
  <c r="K988" i="1"/>
  <c r="M988" i="1"/>
  <c r="N988" i="1"/>
  <c r="K989" i="1"/>
  <c r="M989" i="1"/>
  <c r="N989" i="1"/>
  <c r="K990" i="1"/>
  <c r="M990" i="1"/>
  <c r="N990" i="1"/>
  <c r="K991" i="1"/>
  <c r="M991" i="1"/>
  <c r="N991" i="1"/>
  <c r="K992" i="1"/>
  <c r="M992" i="1"/>
  <c r="N992" i="1"/>
  <c r="K993" i="1"/>
  <c r="M993" i="1"/>
  <c r="N993" i="1"/>
  <c r="K994" i="1"/>
  <c r="M994" i="1"/>
  <c r="N994" i="1"/>
  <c r="K995" i="1"/>
  <c r="M995" i="1"/>
  <c r="N995" i="1"/>
  <c r="K996" i="1"/>
  <c r="M996" i="1"/>
  <c r="N996" i="1"/>
  <c r="K997" i="1"/>
  <c r="M997" i="1"/>
  <c r="N997" i="1"/>
  <c r="K998" i="1"/>
  <c r="M998" i="1"/>
  <c r="N998" i="1"/>
  <c r="K999" i="1"/>
  <c r="M999" i="1"/>
  <c r="N999" i="1"/>
  <c r="K1000" i="1"/>
  <c r="M1000" i="1"/>
  <c r="N1000" i="1"/>
  <c r="K1001" i="1"/>
  <c r="M1001" i="1"/>
  <c r="N1001" i="1"/>
  <c r="K1002" i="1"/>
  <c r="M1002" i="1"/>
  <c r="N1002" i="1"/>
  <c r="K1003" i="1"/>
  <c r="M1003" i="1"/>
  <c r="N1003" i="1"/>
  <c r="K1004" i="1"/>
  <c r="M1004" i="1"/>
  <c r="N1004" i="1"/>
  <c r="K1005" i="1"/>
  <c r="M1005" i="1"/>
  <c r="N1005" i="1"/>
  <c r="K1006" i="1"/>
  <c r="M1006" i="1"/>
  <c r="N1006" i="1"/>
  <c r="K1007" i="1"/>
  <c r="M1007" i="1"/>
  <c r="N1007" i="1"/>
  <c r="K1008" i="1"/>
  <c r="M1008" i="1"/>
  <c r="N1008" i="1"/>
  <c r="K1009" i="1"/>
  <c r="M1009" i="1"/>
  <c r="N1009" i="1"/>
  <c r="K1010" i="1"/>
  <c r="M1010" i="1"/>
  <c r="N1010" i="1"/>
  <c r="K1011" i="1"/>
  <c r="M1011" i="1"/>
  <c r="N1011" i="1"/>
  <c r="K1012" i="1"/>
  <c r="M1012" i="1"/>
  <c r="N1012" i="1"/>
  <c r="K1013" i="1"/>
  <c r="M1013" i="1"/>
  <c r="N1013" i="1"/>
  <c r="K1014" i="1"/>
  <c r="M1014" i="1"/>
  <c r="N1014" i="1"/>
  <c r="K1015" i="1"/>
  <c r="M1015" i="1"/>
  <c r="N1015" i="1"/>
  <c r="K1016" i="1"/>
  <c r="M1016" i="1"/>
  <c r="N1016" i="1"/>
  <c r="K1017" i="1"/>
  <c r="M1017" i="1"/>
  <c r="N1017" i="1"/>
  <c r="K1018" i="1"/>
  <c r="M1018" i="1"/>
  <c r="N1018" i="1"/>
  <c r="K1019" i="1"/>
  <c r="M1019" i="1"/>
  <c r="N1019" i="1"/>
  <c r="K1020" i="1"/>
  <c r="M1020" i="1"/>
  <c r="N1020" i="1"/>
  <c r="K1021" i="1"/>
  <c r="M1021" i="1"/>
  <c r="N1021" i="1"/>
  <c r="K1022" i="1"/>
  <c r="M1022" i="1"/>
  <c r="N1022" i="1"/>
  <c r="K1023" i="1"/>
  <c r="M1023" i="1"/>
  <c r="N1023" i="1"/>
  <c r="K1024" i="1"/>
  <c r="M1024" i="1"/>
  <c r="N1024" i="1"/>
  <c r="K1025" i="1"/>
  <c r="M1025" i="1"/>
  <c r="N1025" i="1"/>
  <c r="K1026" i="1"/>
  <c r="M1026" i="1"/>
  <c r="N1026" i="1"/>
  <c r="K1027" i="1"/>
  <c r="M1027" i="1"/>
  <c r="N1027" i="1"/>
  <c r="K1028" i="1"/>
  <c r="M1028" i="1"/>
  <c r="N1028" i="1"/>
  <c r="K1029" i="1"/>
  <c r="M1029" i="1"/>
  <c r="N1029" i="1"/>
  <c r="K1030" i="1"/>
  <c r="M1030" i="1"/>
  <c r="N1030" i="1"/>
  <c r="K1031" i="1"/>
  <c r="M1031" i="1"/>
  <c r="N1031" i="1"/>
  <c r="K1032" i="1"/>
  <c r="M1032" i="1"/>
  <c r="N1032" i="1"/>
  <c r="K1033" i="1"/>
  <c r="M1033" i="1"/>
  <c r="N1033" i="1"/>
  <c r="K1034" i="1"/>
  <c r="M1034" i="1"/>
  <c r="N1034" i="1"/>
  <c r="K1035" i="1"/>
  <c r="M1035" i="1"/>
  <c r="N1035" i="1"/>
  <c r="K1036" i="1"/>
  <c r="M1036" i="1"/>
  <c r="N1036" i="1"/>
  <c r="K1037" i="1"/>
  <c r="M1037" i="1"/>
  <c r="N1037" i="1"/>
  <c r="K1038" i="1"/>
  <c r="M1038" i="1"/>
  <c r="N1038" i="1"/>
  <c r="K1039" i="1"/>
  <c r="M1039" i="1"/>
  <c r="N1039" i="1"/>
  <c r="K1040" i="1"/>
  <c r="M1040" i="1"/>
  <c r="N1040" i="1"/>
  <c r="K1041" i="1"/>
  <c r="M1041" i="1"/>
  <c r="N1041" i="1"/>
  <c r="K1042" i="1"/>
  <c r="M1042" i="1"/>
  <c r="N1042" i="1"/>
  <c r="K1043" i="1"/>
  <c r="M1043" i="1"/>
  <c r="N1043" i="1"/>
  <c r="K1044" i="1"/>
  <c r="M1044" i="1"/>
  <c r="N1044" i="1"/>
  <c r="K1045" i="1"/>
  <c r="M1045" i="1"/>
  <c r="N1045" i="1"/>
  <c r="K1046" i="1"/>
  <c r="M1046" i="1"/>
  <c r="N1046" i="1"/>
  <c r="K1047" i="1"/>
  <c r="M1047" i="1"/>
  <c r="N1047" i="1"/>
  <c r="K1048" i="1"/>
  <c r="M1048" i="1"/>
  <c r="N1048" i="1"/>
  <c r="K1049" i="1"/>
  <c r="M1049" i="1"/>
  <c r="N1049" i="1"/>
  <c r="K1050" i="1"/>
  <c r="M1050" i="1"/>
  <c r="N1050" i="1"/>
  <c r="K1051" i="1"/>
  <c r="M1051" i="1"/>
  <c r="N1051" i="1"/>
  <c r="K1052" i="1"/>
  <c r="M1052" i="1"/>
  <c r="N1052" i="1"/>
  <c r="K1053" i="1"/>
  <c r="M1053" i="1"/>
  <c r="N1053" i="1"/>
  <c r="K1054" i="1"/>
  <c r="M1054" i="1"/>
  <c r="N1054" i="1"/>
  <c r="K1055" i="1"/>
  <c r="M1055" i="1"/>
  <c r="N1055" i="1"/>
  <c r="K1056" i="1"/>
  <c r="M1056" i="1"/>
  <c r="N1056" i="1"/>
  <c r="K1057" i="1"/>
  <c r="M1057" i="1"/>
  <c r="N1057" i="1"/>
  <c r="K1058" i="1"/>
  <c r="M1058" i="1"/>
  <c r="N1058" i="1"/>
  <c r="K1059" i="1"/>
  <c r="M1059" i="1"/>
  <c r="N1059" i="1"/>
  <c r="K1060" i="1"/>
  <c r="M1060" i="1"/>
  <c r="N1060" i="1"/>
  <c r="K1061" i="1"/>
  <c r="M1061" i="1"/>
  <c r="N1061" i="1"/>
  <c r="K1062" i="1"/>
  <c r="M1062" i="1"/>
  <c r="N1062" i="1"/>
  <c r="K1063" i="1"/>
  <c r="M1063" i="1"/>
  <c r="N1063" i="1"/>
  <c r="K1064" i="1"/>
  <c r="M1064" i="1"/>
  <c r="N1064" i="1"/>
  <c r="K1065" i="1"/>
  <c r="M1065" i="1"/>
  <c r="N1065" i="1"/>
  <c r="K1066" i="1"/>
  <c r="M1066" i="1"/>
  <c r="N1066" i="1"/>
  <c r="K1067" i="1"/>
  <c r="M1067" i="1"/>
  <c r="N1067" i="1"/>
  <c r="K1068" i="1"/>
  <c r="M1068" i="1"/>
  <c r="N1068" i="1"/>
  <c r="K1069" i="1"/>
  <c r="M1069" i="1"/>
  <c r="N1069" i="1"/>
  <c r="K1070" i="1"/>
  <c r="M1070" i="1"/>
  <c r="N1070" i="1"/>
  <c r="K1071" i="1"/>
  <c r="M1071" i="1"/>
  <c r="N1071" i="1"/>
  <c r="K1072" i="1"/>
  <c r="M1072" i="1"/>
  <c r="N1072" i="1"/>
  <c r="K1073" i="1"/>
  <c r="M1073" i="1"/>
  <c r="N1073" i="1"/>
  <c r="K1074" i="1"/>
  <c r="M1074" i="1"/>
  <c r="N1074" i="1"/>
  <c r="K1075" i="1"/>
  <c r="M1075" i="1"/>
  <c r="N1075" i="1"/>
  <c r="K1076" i="1"/>
  <c r="M1076" i="1"/>
  <c r="N1076" i="1"/>
  <c r="K1077" i="1"/>
  <c r="M1077" i="1"/>
  <c r="N1077" i="1"/>
  <c r="K1078" i="1"/>
  <c r="M1078" i="1"/>
  <c r="N1078" i="1"/>
  <c r="K1079" i="1"/>
  <c r="M1079" i="1"/>
  <c r="N1079" i="1"/>
  <c r="K1080" i="1"/>
  <c r="M1080" i="1"/>
  <c r="N1080" i="1"/>
  <c r="K1081" i="1"/>
  <c r="M1081" i="1"/>
  <c r="N1081" i="1"/>
  <c r="K1082" i="1"/>
  <c r="M1082" i="1"/>
  <c r="N1082" i="1"/>
  <c r="K1083" i="1"/>
  <c r="M1083" i="1"/>
  <c r="N1083" i="1"/>
  <c r="K1084" i="1"/>
  <c r="M1084" i="1"/>
  <c r="N1084" i="1"/>
  <c r="K1085" i="1"/>
  <c r="M1085" i="1"/>
  <c r="N1085" i="1"/>
  <c r="K1086" i="1"/>
  <c r="M1086" i="1"/>
  <c r="N1086" i="1"/>
  <c r="K1087" i="1"/>
  <c r="M1087" i="1"/>
  <c r="N1087" i="1"/>
  <c r="K1088" i="1"/>
  <c r="M1088" i="1"/>
  <c r="N1088" i="1"/>
  <c r="K1089" i="1"/>
  <c r="M1089" i="1"/>
  <c r="N1089" i="1"/>
  <c r="K1090" i="1"/>
  <c r="M1090" i="1"/>
  <c r="N1090" i="1"/>
  <c r="K1091" i="1"/>
  <c r="M1091" i="1"/>
  <c r="N1091" i="1"/>
  <c r="K1092" i="1"/>
  <c r="M1092" i="1"/>
  <c r="N1092" i="1"/>
  <c r="K1093" i="1"/>
  <c r="M1093" i="1"/>
  <c r="N1093" i="1"/>
  <c r="K1094" i="1"/>
  <c r="M1094" i="1"/>
  <c r="N1094" i="1"/>
  <c r="K1095" i="1"/>
  <c r="M1095" i="1"/>
  <c r="N1095" i="1"/>
  <c r="K1096" i="1"/>
  <c r="M1096" i="1"/>
  <c r="N1096" i="1"/>
  <c r="K1097" i="1"/>
  <c r="M1097" i="1"/>
  <c r="N1097" i="1"/>
  <c r="K1098" i="1"/>
  <c r="M1098" i="1"/>
  <c r="N1098" i="1"/>
  <c r="K1099" i="1"/>
  <c r="M1099" i="1"/>
  <c r="N1099" i="1"/>
  <c r="K1100" i="1"/>
  <c r="M1100" i="1"/>
  <c r="N1100" i="1"/>
  <c r="K1101" i="1"/>
  <c r="M1101" i="1"/>
  <c r="N1101" i="1"/>
  <c r="K1102" i="1"/>
  <c r="M1102" i="1"/>
  <c r="N1102" i="1"/>
  <c r="K1103" i="1"/>
  <c r="M1103" i="1"/>
  <c r="N1103" i="1"/>
  <c r="K1104" i="1"/>
  <c r="M1104" i="1"/>
  <c r="N1104" i="1"/>
  <c r="K1105" i="1"/>
  <c r="M1105" i="1"/>
  <c r="N1105" i="1"/>
  <c r="K1106" i="1"/>
  <c r="M1106" i="1"/>
  <c r="N1106" i="1"/>
  <c r="K1107" i="1"/>
  <c r="M1107" i="1"/>
  <c r="N1107" i="1"/>
  <c r="K1108" i="1"/>
  <c r="M1108" i="1"/>
  <c r="N1108" i="1"/>
  <c r="K1109" i="1"/>
  <c r="M1109" i="1"/>
  <c r="N1109" i="1"/>
  <c r="K1110" i="1"/>
  <c r="M1110" i="1"/>
  <c r="N1110" i="1"/>
  <c r="K1111" i="1"/>
  <c r="M1111" i="1"/>
  <c r="N1111" i="1"/>
  <c r="K1112" i="1"/>
  <c r="M1112" i="1"/>
  <c r="N1112" i="1"/>
  <c r="K1113" i="1"/>
  <c r="M1113" i="1"/>
  <c r="N1113" i="1"/>
  <c r="K1114" i="1"/>
  <c r="M1114" i="1"/>
  <c r="N1114" i="1"/>
  <c r="K1115" i="1"/>
  <c r="M1115" i="1"/>
  <c r="N1115" i="1"/>
  <c r="K1116" i="1"/>
  <c r="M1116" i="1"/>
  <c r="N1116" i="1"/>
  <c r="K1117" i="1"/>
  <c r="M1117" i="1"/>
  <c r="N1117" i="1"/>
  <c r="K1118" i="1"/>
  <c r="M1118" i="1"/>
  <c r="N1118" i="1"/>
  <c r="K1119" i="1"/>
  <c r="M1119" i="1"/>
  <c r="N1119" i="1"/>
  <c r="K1120" i="1"/>
  <c r="M1120" i="1"/>
  <c r="N1120" i="1"/>
  <c r="K1121" i="1"/>
  <c r="M1121" i="1"/>
  <c r="N1121" i="1"/>
  <c r="K1122" i="1"/>
  <c r="M1122" i="1"/>
  <c r="N1122" i="1"/>
  <c r="K1123" i="1"/>
  <c r="M1123" i="1"/>
  <c r="N1123" i="1"/>
  <c r="K1124" i="1"/>
  <c r="M1124" i="1"/>
  <c r="N1124" i="1"/>
  <c r="K1125" i="1"/>
  <c r="M1125" i="1"/>
  <c r="N1125" i="1"/>
  <c r="K1126" i="1"/>
  <c r="M1126" i="1"/>
  <c r="N1126" i="1"/>
  <c r="K1127" i="1"/>
  <c r="M1127" i="1"/>
  <c r="N1127" i="1"/>
  <c r="K1128" i="1"/>
  <c r="M1128" i="1"/>
  <c r="N1128" i="1"/>
  <c r="K1129" i="1"/>
  <c r="M1129" i="1"/>
  <c r="N1129" i="1"/>
  <c r="K1130" i="1"/>
  <c r="M1130" i="1"/>
  <c r="N1130" i="1"/>
  <c r="K1131" i="1"/>
  <c r="M1131" i="1"/>
  <c r="N1131" i="1"/>
  <c r="K1132" i="1"/>
  <c r="M1132" i="1"/>
  <c r="N1132" i="1"/>
  <c r="K1133" i="1"/>
  <c r="M1133" i="1"/>
  <c r="N1133" i="1"/>
  <c r="K1134" i="1"/>
  <c r="M1134" i="1"/>
  <c r="N1134" i="1"/>
  <c r="K1135" i="1"/>
  <c r="M1135" i="1"/>
  <c r="N1135" i="1"/>
  <c r="K1136" i="1"/>
  <c r="M1136" i="1"/>
  <c r="N1136" i="1"/>
  <c r="K1137" i="1"/>
  <c r="M1137" i="1"/>
  <c r="N1137" i="1"/>
  <c r="K1138" i="1"/>
  <c r="M1138" i="1"/>
  <c r="N1138" i="1"/>
  <c r="K1139" i="1"/>
  <c r="M1139" i="1"/>
  <c r="N1139" i="1"/>
  <c r="K1140" i="1"/>
  <c r="M1140" i="1"/>
  <c r="N1140" i="1"/>
  <c r="K1141" i="1"/>
  <c r="M1141" i="1"/>
  <c r="N1141" i="1"/>
  <c r="K1142" i="1"/>
  <c r="M1142" i="1"/>
  <c r="N1142" i="1"/>
  <c r="K1143" i="1"/>
  <c r="M1143" i="1"/>
  <c r="N1143" i="1"/>
  <c r="K1144" i="1"/>
  <c r="M1144" i="1"/>
  <c r="N1144" i="1"/>
  <c r="K1145" i="1"/>
  <c r="M1145" i="1"/>
  <c r="N1145" i="1"/>
  <c r="K1146" i="1"/>
  <c r="M1146" i="1"/>
  <c r="N1146" i="1"/>
  <c r="K1147" i="1"/>
  <c r="M1147" i="1"/>
  <c r="N1147" i="1"/>
  <c r="K1148" i="1"/>
  <c r="M1148" i="1"/>
  <c r="N1148" i="1"/>
  <c r="K1149" i="1"/>
  <c r="M1149" i="1"/>
  <c r="N1149" i="1"/>
  <c r="K1150" i="1"/>
  <c r="M1150" i="1"/>
  <c r="N1150" i="1"/>
  <c r="K1151" i="1"/>
  <c r="M1151" i="1"/>
  <c r="N1151" i="1"/>
  <c r="K1152" i="1"/>
  <c r="M1152" i="1"/>
  <c r="N1152" i="1"/>
  <c r="K1153" i="1"/>
  <c r="M1153" i="1"/>
  <c r="N1153" i="1"/>
  <c r="K1154" i="1"/>
  <c r="M1154" i="1"/>
  <c r="N1154" i="1"/>
  <c r="K1155" i="1"/>
  <c r="M1155" i="1"/>
  <c r="N1155" i="1"/>
  <c r="K1156" i="1"/>
  <c r="M1156" i="1"/>
  <c r="N1156" i="1"/>
  <c r="K1157" i="1"/>
  <c r="M1157" i="1"/>
  <c r="N1157" i="1"/>
  <c r="K1158" i="1"/>
  <c r="M1158" i="1"/>
  <c r="N1158" i="1"/>
  <c r="K1159" i="1"/>
  <c r="M1159" i="1"/>
  <c r="N1159" i="1"/>
  <c r="K1160" i="1"/>
  <c r="M1160" i="1"/>
  <c r="N1160" i="1"/>
  <c r="K1161" i="1"/>
  <c r="M1161" i="1"/>
  <c r="N1161" i="1"/>
  <c r="K1162" i="1"/>
  <c r="M1162" i="1"/>
  <c r="N1162" i="1"/>
  <c r="K1163" i="1"/>
  <c r="M1163" i="1"/>
  <c r="N1163" i="1"/>
  <c r="K1164" i="1"/>
  <c r="M1164" i="1"/>
  <c r="N1164" i="1"/>
  <c r="K1165" i="1"/>
  <c r="M1165" i="1"/>
  <c r="N1165" i="1"/>
  <c r="K1166" i="1"/>
  <c r="M1166" i="1"/>
  <c r="N1166" i="1"/>
  <c r="K1167" i="1"/>
  <c r="M1167" i="1"/>
  <c r="N1167" i="1"/>
  <c r="K1168" i="1"/>
  <c r="M1168" i="1"/>
  <c r="N1168" i="1"/>
  <c r="K1169" i="1"/>
  <c r="M1169" i="1"/>
  <c r="N1169" i="1"/>
  <c r="K1170" i="1"/>
  <c r="M1170" i="1"/>
  <c r="N1170" i="1"/>
  <c r="K1171" i="1"/>
  <c r="M1171" i="1"/>
  <c r="N1171" i="1"/>
  <c r="K1172" i="1"/>
  <c r="M1172" i="1"/>
  <c r="N1172" i="1"/>
  <c r="K1173" i="1"/>
  <c r="M1173" i="1"/>
  <c r="N1173" i="1"/>
  <c r="K1174" i="1"/>
  <c r="M1174" i="1"/>
  <c r="N1174" i="1"/>
  <c r="K1175" i="1"/>
  <c r="M1175" i="1"/>
  <c r="N1175" i="1"/>
  <c r="K1176" i="1"/>
  <c r="M1176" i="1"/>
  <c r="N1176" i="1"/>
  <c r="K1177" i="1"/>
  <c r="M1177" i="1"/>
  <c r="N1177" i="1"/>
  <c r="K1178" i="1"/>
  <c r="M1178" i="1"/>
  <c r="N1178" i="1"/>
  <c r="K1179" i="1"/>
  <c r="M1179" i="1"/>
  <c r="N1179" i="1"/>
  <c r="K1180" i="1"/>
  <c r="M1180" i="1"/>
  <c r="N1180" i="1"/>
  <c r="K1181" i="1"/>
  <c r="M1181" i="1"/>
  <c r="N1181" i="1"/>
  <c r="K1182" i="1"/>
  <c r="M1182" i="1"/>
  <c r="N1182" i="1"/>
  <c r="K1183" i="1"/>
  <c r="M1183" i="1"/>
  <c r="N1183" i="1"/>
  <c r="K1184" i="1"/>
  <c r="M1184" i="1"/>
  <c r="N1184" i="1"/>
  <c r="K1185" i="1"/>
  <c r="M1185" i="1"/>
  <c r="N1185" i="1"/>
  <c r="K1186" i="1"/>
  <c r="M1186" i="1"/>
  <c r="N1186" i="1"/>
  <c r="K1187" i="1"/>
  <c r="M1187" i="1"/>
  <c r="N1187" i="1"/>
  <c r="K1188" i="1"/>
  <c r="M1188" i="1"/>
  <c r="N1188" i="1"/>
  <c r="K1189" i="1"/>
  <c r="M1189" i="1"/>
  <c r="N1189" i="1"/>
  <c r="K1190" i="1"/>
  <c r="M1190" i="1"/>
  <c r="N1190" i="1"/>
  <c r="K1191" i="1"/>
  <c r="M1191" i="1"/>
  <c r="N1191" i="1"/>
  <c r="K1192" i="1"/>
  <c r="M1192" i="1"/>
  <c r="N1192" i="1"/>
  <c r="K1193" i="1"/>
  <c r="M1193" i="1"/>
  <c r="N1193" i="1"/>
  <c r="K1194" i="1"/>
  <c r="M1194" i="1"/>
  <c r="N1194" i="1"/>
  <c r="K1195" i="1"/>
  <c r="M1195" i="1"/>
  <c r="N1195" i="1"/>
  <c r="K1196" i="1"/>
  <c r="M1196" i="1"/>
  <c r="N1196" i="1"/>
  <c r="K1197" i="1"/>
  <c r="M1197" i="1"/>
  <c r="N1197" i="1"/>
  <c r="K1198" i="1"/>
  <c r="M1198" i="1"/>
  <c r="N1198" i="1"/>
  <c r="K1199" i="1"/>
  <c r="M1199" i="1"/>
  <c r="N1199" i="1"/>
  <c r="K1200" i="1"/>
  <c r="M1200" i="1"/>
  <c r="N1200" i="1"/>
  <c r="K1201" i="1"/>
  <c r="M1201" i="1"/>
  <c r="N1201" i="1"/>
  <c r="K1202" i="1"/>
  <c r="M1202" i="1"/>
  <c r="N1202" i="1"/>
  <c r="K1203" i="1"/>
  <c r="M1203" i="1"/>
  <c r="N1203" i="1"/>
  <c r="K1204" i="1"/>
  <c r="M1204" i="1"/>
  <c r="N1204" i="1"/>
  <c r="K1205" i="1"/>
  <c r="M1205" i="1"/>
  <c r="N1205" i="1"/>
  <c r="K1206" i="1"/>
  <c r="M1206" i="1"/>
  <c r="N1206" i="1"/>
  <c r="K1207" i="1"/>
  <c r="M1207" i="1"/>
  <c r="N1207" i="1"/>
  <c r="K1208" i="1"/>
  <c r="M1208" i="1"/>
  <c r="N1208" i="1"/>
  <c r="K1209" i="1"/>
  <c r="M1209" i="1"/>
  <c r="N1209" i="1"/>
  <c r="K1210" i="1"/>
  <c r="M1210" i="1"/>
  <c r="N1210" i="1"/>
  <c r="K1211" i="1"/>
  <c r="M1211" i="1"/>
  <c r="N1211" i="1"/>
  <c r="K1212" i="1"/>
  <c r="M1212" i="1"/>
  <c r="N1212" i="1"/>
  <c r="K1213" i="1"/>
  <c r="M1213" i="1"/>
  <c r="N1213" i="1"/>
  <c r="K1214" i="1"/>
  <c r="M1214" i="1"/>
  <c r="N1214" i="1"/>
  <c r="K1215" i="1"/>
  <c r="M1215" i="1"/>
  <c r="N1215" i="1"/>
  <c r="K1216" i="1"/>
  <c r="M1216" i="1"/>
  <c r="N1216" i="1"/>
  <c r="K1217" i="1"/>
  <c r="M1217" i="1"/>
  <c r="N1217" i="1"/>
  <c r="K1218" i="1"/>
  <c r="M1218" i="1"/>
  <c r="N1218" i="1"/>
  <c r="K1219" i="1"/>
  <c r="M1219" i="1"/>
  <c r="N1219" i="1"/>
  <c r="K1220" i="1"/>
  <c r="M1220" i="1"/>
  <c r="N1220" i="1"/>
  <c r="K1221" i="1"/>
  <c r="M1221" i="1"/>
  <c r="N1221" i="1"/>
  <c r="K1222" i="1"/>
  <c r="M1222" i="1"/>
  <c r="N1222" i="1"/>
  <c r="K1223" i="1"/>
  <c r="M1223" i="1"/>
  <c r="N1223" i="1"/>
  <c r="K1224" i="1"/>
  <c r="M1224" i="1"/>
  <c r="N1224" i="1"/>
  <c r="K1225" i="1"/>
  <c r="M1225" i="1"/>
  <c r="N1225" i="1"/>
  <c r="K1226" i="1"/>
  <c r="M1226" i="1"/>
  <c r="N1226" i="1"/>
  <c r="K1227" i="1"/>
  <c r="M1227" i="1"/>
  <c r="N1227" i="1"/>
  <c r="K1228" i="1"/>
  <c r="M1228" i="1"/>
  <c r="N1228" i="1"/>
  <c r="K1229" i="1"/>
  <c r="M1229" i="1"/>
  <c r="N1229" i="1"/>
  <c r="K1230" i="1"/>
  <c r="M1230" i="1"/>
  <c r="N1230" i="1"/>
  <c r="K1231" i="1"/>
  <c r="M1231" i="1"/>
  <c r="N1231" i="1"/>
  <c r="K1232" i="1"/>
  <c r="M1232" i="1"/>
  <c r="N1232" i="1"/>
  <c r="K1233" i="1"/>
  <c r="M1233" i="1"/>
  <c r="N1233" i="1"/>
  <c r="K1234" i="1"/>
  <c r="M1234" i="1"/>
  <c r="N1234" i="1"/>
  <c r="K1235" i="1"/>
  <c r="M1235" i="1"/>
  <c r="N1235" i="1"/>
  <c r="K1236" i="1"/>
  <c r="M1236" i="1"/>
  <c r="N1236" i="1"/>
  <c r="K1237" i="1"/>
  <c r="M1237" i="1"/>
  <c r="N1237" i="1"/>
  <c r="K1238" i="1"/>
  <c r="M1238" i="1"/>
  <c r="N1238" i="1"/>
  <c r="K1239" i="1"/>
  <c r="M1239" i="1"/>
  <c r="N1239" i="1"/>
  <c r="K1240" i="1"/>
  <c r="M1240" i="1"/>
  <c r="N1240" i="1"/>
  <c r="K1241" i="1"/>
  <c r="M1241" i="1"/>
  <c r="N1241" i="1"/>
  <c r="K1242" i="1"/>
  <c r="M1242" i="1"/>
  <c r="N1242" i="1"/>
  <c r="K1243" i="1"/>
  <c r="M1243" i="1"/>
  <c r="N1243" i="1"/>
  <c r="K1244" i="1"/>
  <c r="M1244" i="1"/>
  <c r="N1244" i="1"/>
  <c r="K1245" i="1"/>
  <c r="M1245" i="1"/>
  <c r="N1245" i="1"/>
  <c r="K1246" i="1"/>
  <c r="M1246" i="1"/>
  <c r="N1246" i="1"/>
  <c r="K1247" i="1"/>
  <c r="M1247" i="1"/>
  <c r="N1247" i="1"/>
  <c r="K1248" i="1"/>
  <c r="M1248" i="1"/>
  <c r="N1248" i="1"/>
  <c r="K1249" i="1"/>
  <c r="M1249" i="1"/>
  <c r="N1249" i="1"/>
  <c r="K1250" i="1"/>
  <c r="M1250" i="1"/>
  <c r="N1250" i="1"/>
  <c r="K1251" i="1"/>
  <c r="M1251" i="1"/>
  <c r="N1251" i="1"/>
  <c r="K1252" i="1"/>
  <c r="M1252" i="1"/>
  <c r="N1252" i="1"/>
  <c r="K1253" i="1"/>
  <c r="M1253" i="1"/>
  <c r="N1253" i="1"/>
  <c r="K1254" i="1"/>
  <c r="M1254" i="1"/>
  <c r="N1254" i="1"/>
  <c r="K1255" i="1"/>
  <c r="M1255" i="1"/>
  <c r="N1255" i="1"/>
  <c r="K1256" i="1"/>
  <c r="M1256" i="1"/>
  <c r="N1256" i="1"/>
  <c r="K1257" i="1"/>
  <c r="M1257" i="1"/>
  <c r="N1257" i="1"/>
  <c r="K1258" i="1"/>
  <c r="M1258" i="1"/>
  <c r="N1258" i="1"/>
  <c r="K1259" i="1"/>
  <c r="M1259" i="1"/>
  <c r="N1259" i="1"/>
  <c r="K1260" i="1"/>
  <c r="M1260" i="1"/>
  <c r="N1260" i="1"/>
  <c r="K1261" i="1"/>
  <c r="M1261" i="1"/>
  <c r="N1261" i="1"/>
  <c r="K1262" i="1"/>
  <c r="M1262" i="1"/>
  <c r="N1262" i="1"/>
  <c r="K1263" i="1"/>
  <c r="M1263" i="1"/>
  <c r="N1263" i="1"/>
  <c r="K1264" i="1"/>
  <c r="M1264" i="1"/>
  <c r="N1264" i="1"/>
  <c r="K1265" i="1"/>
  <c r="M1265" i="1"/>
  <c r="N1265" i="1"/>
  <c r="K1266" i="1"/>
  <c r="M1266" i="1"/>
  <c r="N1266" i="1"/>
  <c r="K1267" i="1"/>
  <c r="M1267" i="1"/>
  <c r="N1267" i="1"/>
  <c r="K1268" i="1"/>
  <c r="M1268" i="1"/>
  <c r="N1268" i="1"/>
  <c r="K1269" i="1"/>
  <c r="M1269" i="1"/>
  <c r="N1269" i="1"/>
  <c r="K1270" i="1"/>
  <c r="M1270" i="1"/>
  <c r="N1270" i="1"/>
  <c r="K1271" i="1"/>
  <c r="M1271" i="1"/>
  <c r="N1271" i="1"/>
  <c r="K1272" i="1"/>
  <c r="M1272" i="1"/>
  <c r="N1272" i="1"/>
  <c r="K1273" i="1"/>
  <c r="M1273" i="1"/>
  <c r="N1273" i="1"/>
  <c r="K1274" i="1"/>
  <c r="M1274" i="1"/>
  <c r="N1274" i="1"/>
  <c r="K1275" i="1"/>
  <c r="M1275" i="1"/>
  <c r="N1275" i="1"/>
  <c r="K1276" i="1"/>
  <c r="M1276" i="1"/>
  <c r="N1276" i="1"/>
  <c r="K1277" i="1"/>
  <c r="M1277" i="1"/>
  <c r="N1277" i="1"/>
  <c r="K1278" i="1"/>
  <c r="M1278" i="1"/>
  <c r="N1278" i="1"/>
  <c r="K1279" i="1"/>
  <c r="M1279" i="1"/>
  <c r="N1279" i="1"/>
  <c r="K1280" i="1"/>
  <c r="M1280" i="1"/>
  <c r="N1280" i="1"/>
  <c r="K1281" i="1"/>
  <c r="M1281" i="1"/>
  <c r="N1281" i="1"/>
  <c r="K1282" i="1"/>
  <c r="M1282" i="1"/>
  <c r="N1282" i="1"/>
  <c r="K1283" i="1"/>
  <c r="M1283" i="1"/>
  <c r="N1283" i="1"/>
  <c r="K1284" i="1"/>
  <c r="M1284" i="1"/>
  <c r="N1284" i="1"/>
  <c r="K1285" i="1"/>
  <c r="M1285" i="1"/>
  <c r="N1285" i="1"/>
  <c r="K1286" i="1"/>
  <c r="M1286" i="1"/>
  <c r="N1286" i="1"/>
  <c r="K1287" i="1"/>
  <c r="M1287" i="1"/>
  <c r="N1287" i="1"/>
  <c r="K1288" i="1"/>
  <c r="M1288" i="1"/>
  <c r="N1288" i="1"/>
  <c r="K1289" i="1"/>
  <c r="M1289" i="1"/>
  <c r="N1289" i="1"/>
  <c r="K1290" i="1"/>
  <c r="M1290" i="1"/>
  <c r="N1290" i="1"/>
  <c r="K1291" i="1"/>
  <c r="M1291" i="1"/>
  <c r="N1291" i="1"/>
  <c r="K1292" i="1"/>
  <c r="M1292" i="1"/>
  <c r="N1292" i="1"/>
  <c r="K1293" i="1"/>
  <c r="M1293" i="1"/>
  <c r="N1293" i="1"/>
  <c r="K1294" i="1"/>
  <c r="M1294" i="1"/>
  <c r="N1294" i="1"/>
  <c r="K1295" i="1"/>
  <c r="M1295" i="1"/>
  <c r="N1295" i="1"/>
  <c r="K1296" i="1"/>
  <c r="M1296" i="1"/>
  <c r="N1296" i="1"/>
  <c r="K1297" i="1"/>
  <c r="M1297" i="1"/>
  <c r="N1297" i="1"/>
  <c r="K1298" i="1"/>
  <c r="M1298" i="1"/>
  <c r="N1298" i="1"/>
  <c r="K1299" i="1"/>
  <c r="M1299" i="1"/>
  <c r="N1299" i="1"/>
  <c r="K1300" i="1"/>
  <c r="M1300" i="1"/>
  <c r="N1300" i="1"/>
  <c r="K1301" i="1"/>
  <c r="M1301" i="1"/>
  <c r="N1301" i="1"/>
  <c r="K1302" i="1"/>
  <c r="M1302" i="1"/>
  <c r="N1302" i="1"/>
  <c r="K1303" i="1"/>
  <c r="M1303" i="1"/>
  <c r="N1303" i="1"/>
  <c r="K1304" i="1"/>
  <c r="M1304" i="1"/>
  <c r="N1304" i="1"/>
  <c r="K1305" i="1"/>
  <c r="M1305" i="1"/>
  <c r="N1305" i="1"/>
  <c r="K1306" i="1"/>
  <c r="M1306" i="1"/>
  <c r="N1306" i="1"/>
  <c r="K1307" i="1"/>
  <c r="M1307" i="1"/>
  <c r="N1307" i="1"/>
  <c r="K1308" i="1"/>
  <c r="M1308" i="1"/>
  <c r="N1308" i="1"/>
  <c r="K1309" i="1"/>
  <c r="M1309" i="1"/>
  <c r="N1309" i="1"/>
  <c r="K1310" i="1"/>
  <c r="M1310" i="1"/>
  <c r="N1310" i="1"/>
  <c r="K1311" i="1"/>
  <c r="M1311" i="1"/>
  <c r="N1311" i="1"/>
  <c r="K1312" i="1"/>
  <c r="M1312" i="1"/>
  <c r="N1312" i="1"/>
  <c r="K1313" i="1"/>
  <c r="M1313" i="1"/>
  <c r="N1313" i="1"/>
  <c r="K1314" i="1"/>
  <c r="M1314" i="1"/>
  <c r="N1314" i="1"/>
  <c r="K1315" i="1"/>
  <c r="M1315" i="1"/>
  <c r="N1315" i="1"/>
  <c r="K1316" i="1"/>
  <c r="M1316" i="1"/>
  <c r="N1316" i="1"/>
  <c r="K1317" i="1"/>
  <c r="M1317" i="1"/>
  <c r="N1317" i="1"/>
  <c r="K1318" i="1"/>
  <c r="M1318" i="1"/>
  <c r="N1318" i="1"/>
  <c r="K1319" i="1"/>
  <c r="M1319" i="1"/>
  <c r="N1319" i="1"/>
  <c r="K1320" i="1"/>
  <c r="M1320" i="1"/>
  <c r="N1320" i="1"/>
  <c r="K1321" i="1"/>
  <c r="M1321" i="1"/>
  <c r="N1321" i="1"/>
  <c r="K1322" i="1"/>
  <c r="M1322" i="1"/>
  <c r="N1322" i="1"/>
  <c r="K1323" i="1"/>
  <c r="M1323" i="1"/>
  <c r="N1323" i="1"/>
  <c r="K1324" i="1"/>
  <c r="M1324" i="1"/>
  <c r="N1324" i="1"/>
  <c r="K1325" i="1"/>
  <c r="M1325" i="1"/>
  <c r="N1325" i="1"/>
  <c r="K1326" i="1"/>
  <c r="M1326" i="1"/>
  <c r="N1326" i="1"/>
  <c r="K1327" i="1"/>
  <c r="M1327" i="1"/>
  <c r="N1327" i="1"/>
  <c r="K1328" i="1"/>
  <c r="M1328" i="1"/>
  <c r="N1328" i="1"/>
  <c r="K1329" i="1"/>
  <c r="M1329" i="1"/>
  <c r="N1329" i="1"/>
  <c r="K1330" i="1"/>
  <c r="M1330" i="1"/>
  <c r="N1330" i="1"/>
  <c r="K1331" i="1"/>
  <c r="M1331" i="1"/>
  <c r="N1331" i="1"/>
  <c r="K1332" i="1"/>
  <c r="M1332" i="1"/>
  <c r="N1332" i="1"/>
  <c r="K1333" i="1"/>
  <c r="M1333" i="1"/>
  <c r="N1333" i="1"/>
  <c r="K1334" i="1"/>
  <c r="M1334" i="1"/>
  <c r="N1334" i="1"/>
  <c r="K1335" i="1"/>
  <c r="M1335" i="1"/>
  <c r="N1335" i="1"/>
  <c r="K1336" i="1"/>
  <c r="M1336" i="1"/>
  <c r="N1336" i="1"/>
  <c r="K1337" i="1"/>
  <c r="M1337" i="1"/>
  <c r="N1337" i="1"/>
  <c r="K1338" i="1"/>
  <c r="M1338" i="1"/>
  <c r="N1338" i="1"/>
  <c r="K1339" i="1"/>
  <c r="M1339" i="1"/>
  <c r="N1339" i="1"/>
  <c r="K1340" i="1"/>
  <c r="M1340" i="1"/>
  <c r="N1340" i="1"/>
  <c r="K1341" i="1"/>
  <c r="M1341" i="1"/>
  <c r="N1341" i="1"/>
  <c r="K1342" i="1"/>
  <c r="M1342" i="1"/>
  <c r="N1342" i="1"/>
  <c r="K1343" i="1"/>
  <c r="M1343" i="1"/>
  <c r="N1343" i="1"/>
  <c r="K1344" i="1"/>
  <c r="M1344" i="1"/>
  <c r="N1344" i="1"/>
  <c r="K1345" i="1"/>
  <c r="M1345" i="1"/>
  <c r="N1345" i="1"/>
  <c r="K1346" i="1"/>
  <c r="M1346" i="1"/>
  <c r="N1346" i="1"/>
  <c r="K1347" i="1"/>
  <c r="M1347" i="1"/>
  <c r="N1347" i="1"/>
  <c r="K1348" i="1"/>
  <c r="M1348" i="1"/>
  <c r="N1348" i="1"/>
  <c r="K1349" i="1"/>
  <c r="M1349" i="1"/>
  <c r="N1349" i="1"/>
  <c r="K1350" i="1"/>
  <c r="M1350" i="1"/>
  <c r="N1350" i="1"/>
  <c r="K1351" i="1"/>
  <c r="M1351" i="1"/>
  <c r="N1351" i="1"/>
  <c r="K1352" i="1"/>
  <c r="M1352" i="1"/>
  <c r="N1352" i="1"/>
  <c r="K1353" i="1"/>
  <c r="M1353" i="1"/>
  <c r="N1353" i="1"/>
  <c r="K1354" i="1"/>
  <c r="M1354" i="1"/>
  <c r="N1354" i="1"/>
  <c r="K1355" i="1"/>
  <c r="M1355" i="1"/>
  <c r="N1355" i="1"/>
  <c r="K1356" i="1"/>
  <c r="M1356" i="1"/>
  <c r="N1356" i="1"/>
  <c r="K1357" i="1"/>
  <c r="M1357" i="1"/>
  <c r="N1357" i="1"/>
  <c r="K1358" i="1"/>
  <c r="M1358" i="1"/>
  <c r="N1358" i="1"/>
  <c r="K1359" i="1"/>
  <c r="M1359" i="1"/>
  <c r="N1359" i="1"/>
  <c r="K1360" i="1"/>
  <c r="M1360" i="1"/>
  <c r="N1360" i="1"/>
  <c r="K1361" i="1"/>
  <c r="M1361" i="1"/>
  <c r="N1361" i="1"/>
  <c r="K1362" i="1"/>
  <c r="M1362" i="1"/>
  <c r="N1362" i="1"/>
  <c r="K1363" i="1"/>
  <c r="M1363" i="1"/>
  <c r="N1363" i="1"/>
  <c r="K1364" i="1"/>
  <c r="M1364" i="1"/>
  <c r="N1364" i="1"/>
  <c r="K1365" i="1"/>
  <c r="M1365" i="1"/>
  <c r="N1365" i="1"/>
  <c r="K1366" i="1"/>
  <c r="M1366" i="1"/>
  <c r="N1366" i="1"/>
  <c r="K1367" i="1"/>
  <c r="M1367" i="1"/>
  <c r="N1367" i="1"/>
  <c r="K1368" i="1"/>
  <c r="M1368" i="1"/>
  <c r="N1368" i="1"/>
  <c r="K1369" i="1"/>
  <c r="M1369" i="1"/>
  <c r="N1369" i="1"/>
  <c r="K1370" i="1"/>
  <c r="M1370" i="1"/>
  <c r="N1370" i="1"/>
  <c r="K1371" i="1"/>
  <c r="M1371" i="1"/>
  <c r="N1371" i="1"/>
  <c r="K1372" i="1"/>
  <c r="M1372" i="1"/>
  <c r="N1372" i="1"/>
  <c r="K1373" i="1"/>
  <c r="M1373" i="1"/>
  <c r="N1373" i="1"/>
  <c r="K1374" i="1"/>
  <c r="M1374" i="1"/>
  <c r="N1374" i="1"/>
  <c r="K1375" i="1"/>
  <c r="M1375" i="1"/>
  <c r="N1375" i="1"/>
  <c r="K1376" i="1"/>
  <c r="M1376" i="1"/>
  <c r="N1376" i="1"/>
  <c r="K1377" i="1"/>
  <c r="M1377" i="1"/>
  <c r="N1377" i="1"/>
  <c r="K1378" i="1"/>
  <c r="M1378" i="1"/>
  <c r="N1378" i="1"/>
  <c r="K1379" i="1"/>
  <c r="M1379" i="1"/>
  <c r="N1379" i="1"/>
  <c r="K1380" i="1"/>
  <c r="M1380" i="1"/>
  <c r="N1380" i="1"/>
  <c r="K1381" i="1"/>
  <c r="M1381" i="1"/>
  <c r="N1381" i="1"/>
  <c r="K1382" i="1"/>
  <c r="M1382" i="1"/>
  <c r="N1382" i="1"/>
  <c r="K1383" i="1"/>
  <c r="M1383" i="1"/>
  <c r="N1383" i="1"/>
  <c r="K1384" i="1"/>
  <c r="M1384" i="1"/>
  <c r="N1384" i="1"/>
  <c r="K1385" i="1"/>
  <c r="M1385" i="1"/>
  <c r="N1385" i="1"/>
  <c r="K1386" i="1"/>
  <c r="M1386" i="1"/>
  <c r="N1386" i="1"/>
  <c r="K1387" i="1"/>
  <c r="M1387" i="1"/>
  <c r="N1387" i="1"/>
  <c r="K1388" i="1"/>
  <c r="M1388" i="1"/>
  <c r="N1388" i="1"/>
  <c r="K1389" i="1"/>
  <c r="M1389" i="1"/>
  <c r="N1389" i="1"/>
  <c r="K1390" i="1"/>
  <c r="M1390" i="1"/>
  <c r="N1390" i="1"/>
  <c r="K1391" i="1"/>
  <c r="M1391" i="1"/>
  <c r="N1391" i="1"/>
  <c r="K1392" i="1"/>
  <c r="M1392" i="1"/>
  <c r="N1392" i="1"/>
  <c r="K1393" i="1"/>
  <c r="M1393" i="1"/>
  <c r="N1393" i="1"/>
  <c r="K1394" i="1"/>
  <c r="M1394" i="1"/>
  <c r="N1394" i="1"/>
  <c r="K1395" i="1"/>
  <c r="M1395" i="1"/>
  <c r="N1395" i="1"/>
  <c r="K1396" i="1"/>
  <c r="M1396" i="1"/>
  <c r="N1396" i="1"/>
  <c r="K1397" i="1"/>
  <c r="M1397" i="1"/>
  <c r="N1397" i="1"/>
  <c r="K1398" i="1"/>
  <c r="M1398" i="1"/>
  <c r="N1398" i="1"/>
  <c r="K1399" i="1"/>
  <c r="M1399" i="1"/>
  <c r="N1399" i="1"/>
  <c r="K1400" i="1"/>
  <c r="M1400" i="1"/>
  <c r="N1400" i="1"/>
  <c r="K1401" i="1"/>
  <c r="M1401" i="1"/>
  <c r="N1401" i="1"/>
  <c r="K1402" i="1"/>
  <c r="M1402" i="1"/>
  <c r="N1402" i="1"/>
  <c r="K1403" i="1"/>
  <c r="M1403" i="1"/>
  <c r="N1403" i="1"/>
  <c r="K1404" i="1"/>
  <c r="M1404" i="1"/>
  <c r="N1404" i="1"/>
  <c r="K1405" i="1"/>
  <c r="M1405" i="1"/>
  <c r="N1405" i="1"/>
  <c r="K1406" i="1"/>
  <c r="M1406" i="1"/>
  <c r="N1406" i="1"/>
  <c r="K1407" i="1"/>
  <c r="M1407" i="1"/>
  <c r="N1407" i="1"/>
  <c r="K1408" i="1"/>
  <c r="M1408" i="1"/>
  <c r="N1408" i="1"/>
  <c r="K1409" i="1"/>
  <c r="M1409" i="1"/>
  <c r="N1409" i="1"/>
  <c r="K1410" i="1"/>
  <c r="M1410" i="1"/>
  <c r="N1410" i="1"/>
  <c r="K1411" i="1"/>
  <c r="M1411" i="1"/>
  <c r="N1411" i="1"/>
  <c r="K1412" i="1"/>
  <c r="M1412" i="1"/>
  <c r="N1412" i="1"/>
  <c r="K1413" i="1"/>
  <c r="M1413" i="1"/>
  <c r="N1413" i="1"/>
  <c r="K1414" i="1"/>
  <c r="M1414" i="1"/>
  <c r="N1414" i="1"/>
  <c r="K1415" i="1"/>
  <c r="M1415" i="1"/>
  <c r="N1415" i="1"/>
  <c r="K1416" i="1"/>
  <c r="M1416" i="1"/>
  <c r="N1416" i="1"/>
  <c r="K1417" i="1"/>
  <c r="M1417" i="1"/>
  <c r="N1417" i="1"/>
  <c r="K1418" i="1"/>
  <c r="M1418" i="1"/>
  <c r="N1418" i="1"/>
  <c r="K1419" i="1"/>
  <c r="M1419" i="1"/>
  <c r="N1419" i="1"/>
  <c r="K1420" i="1"/>
  <c r="M1420" i="1"/>
  <c r="N1420" i="1"/>
  <c r="K1421" i="1"/>
  <c r="M1421" i="1"/>
  <c r="N1421" i="1"/>
  <c r="K1422" i="1"/>
  <c r="M1422" i="1"/>
  <c r="N1422" i="1"/>
  <c r="K1423" i="1"/>
  <c r="M1423" i="1"/>
  <c r="N1423" i="1"/>
  <c r="K1424" i="1"/>
  <c r="M1424" i="1"/>
  <c r="N1424" i="1"/>
  <c r="K1425" i="1"/>
  <c r="M1425" i="1"/>
  <c r="N1425" i="1"/>
  <c r="K1426" i="1"/>
  <c r="M1426" i="1"/>
  <c r="N1426" i="1"/>
  <c r="K1427" i="1"/>
  <c r="M1427" i="1"/>
  <c r="N1427" i="1"/>
  <c r="K1428" i="1"/>
  <c r="M1428" i="1"/>
  <c r="N1428" i="1"/>
  <c r="K1429" i="1"/>
  <c r="M1429" i="1"/>
  <c r="N1429" i="1"/>
  <c r="K1430" i="1"/>
  <c r="M1430" i="1"/>
  <c r="N1430" i="1"/>
  <c r="K1431" i="1"/>
  <c r="M1431" i="1"/>
  <c r="N1431" i="1"/>
  <c r="K1432" i="1"/>
  <c r="M1432" i="1"/>
  <c r="N1432" i="1"/>
  <c r="K1433" i="1"/>
  <c r="M1433" i="1"/>
  <c r="N1433" i="1"/>
  <c r="K1434" i="1"/>
  <c r="M1434" i="1"/>
  <c r="N1434" i="1"/>
  <c r="K1435" i="1"/>
  <c r="M1435" i="1"/>
  <c r="N1435" i="1"/>
  <c r="K1436" i="1"/>
  <c r="M1436" i="1"/>
  <c r="N1436" i="1"/>
  <c r="K1437" i="1"/>
  <c r="M1437" i="1"/>
  <c r="N1437" i="1"/>
  <c r="K1438" i="1"/>
  <c r="M1438" i="1"/>
  <c r="N1438" i="1"/>
  <c r="K1439" i="1"/>
  <c r="M1439" i="1"/>
  <c r="N1439" i="1"/>
  <c r="K1440" i="1"/>
  <c r="M1440" i="1"/>
  <c r="N1440" i="1"/>
  <c r="K1441" i="1"/>
  <c r="M1441" i="1"/>
  <c r="N1441" i="1"/>
  <c r="K1442" i="1"/>
  <c r="M1442" i="1"/>
  <c r="N1442" i="1"/>
  <c r="K1443" i="1"/>
  <c r="M1443" i="1"/>
  <c r="N1443" i="1"/>
  <c r="K1444" i="1"/>
  <c r="M1444" i="1"/>
  <c r="N1444" i="1"/>
  <c r="K1445" i="1"/>
  <c r="M1445" i="1"/>
  <c r="N1445" i="1"/>
  <c r="K1446" i="1"/>
  <c r="M1446" i="1"/>
  <c r="N1446" i="1"/>
  <c r="K1447" i="1"/>
  <c r="M1447" i="1"/>
  <c r="N1447" i="1"/>
  <c r="K1448" i="1"/>
  <c r="M1448" i="1"/>
  <c r="N1448" i="1"/>
  <c r="K1449" i="1"/>
  <c r="M1449" i="1"/>
  <c r="N1449" i="1"/>
  <c r="K1450" i="1"/>
  <c r="M1450" i="1"/>
  <c r="N1450" i="1"/>
  <c r="K1451" i="1"/>
  <c r="M1451" i="1"/>
  <c r="N1451" i="1"/>
  <c r="K1452" i="1"/>
  <c r="M1452" i="1"/>
  <c r="N1452" i="1"/>
  <c r="K1453" i="1"/>
  <c r="M1453" i="1"/>
  <c r="N1453" i="1"/>
  <c r="K1454" i="1"/>
  <c r="M1454" i="1"/>
  <c r="N1454" i="1"/>
  <c r="K1455" i="1"/>
  <c r="M1455" i="1"/>
  <c r="N1455" i="1"/>
  <c r="K1456" i="1"/>
  <c r="M1456" i="1"/>
  <c r="N1456" i="1"/>
  <c r="K1457" i="1"/>
  <c r="M1457" i="1"/>
  <c r="N1457" i="1"/>
  <c r="K1458" i="1"/>
  <c r="M1458" i="1"/>
  <c r="N1458" i="1"/>
  <c r="K1459" i="1"/>
  <c r="M1459" i="1"/>
  <c r="N1459" i="1"/>
  <c r="K1460" i="1"/>
  <c r="M1460" i="1"/>
  <c r="N1460" i="1"/>
  <c r="K1461" i="1"/>
  <c r="M1461" i="1"/>
  <c r="N1461" i="1"/>
  <c r="K1462" i="1"/>
  <c r="M1462" i="1"/>
  <c r="N1462" i="1"/>
  <c r="K1463" i="1"/>
  <c r="M1463" i="1"/>
  <c r="N1463" i="1"/>
  <c r="K1464" i="1"/>
  <c r="M1464" i="1"/>
  <c r="N1464" i="1"/>
  <c r="K1465" i="1"/>
  <c r="M1465" i="1"/>
  <c r="N1465" i="1"/>
  <c r="K1466" i="1"/>
  <c r="M1466" i="1"/>
  <c r="N1466" i="1"/>
  <c r="K1467" i="1"/>
  <c r="M1467" i="1"/>
  <c r="N1467" i="1"/>
  <c r="K1468" i="1"/>
  <c r="M1468" i="1"/>
  <c r="N1468" i="1"/>
  <c r="K1469" i="1"/>
  <c r="M1469" i="1"/>
  <c r="N1469" i="1"/>
  <c r="K1470" i="1"/>
  <c r="M1470" i="1"/>
  <c r="N1470" i="1"/>
  <c r="K1471" i="1"/>
  <c r="M1471" i="1"/>
  <c r="N1471" i="1"/>
  <c r="K1472" i="1"/>
  <c r="M1472" i="1"/>
  <c r="N1472" i="1"/>
  <c r="K1473" i="1"/>
  <c r="M1473" i="1"/>
  <c r="N1473" i="1"/>
  <c r="K1474" i="1"/>
  <c r="M1474" i="1"/>
  <c r="N1474" i="1"/>
  <c r="K1475" i="1"/>
  <c r="M1475" i="1"/>
  <c r="N1475" i="1"/>
  <c r="K1476" i="1"/>
  <c r="M1476" i="1"/>
  <c r="N1476" i="1"/>
  <c r="K1477" i="1"/>
  <c r="M1477" i="1"/>
  <c r="N1477" i="1"/>
  <c r="K1478" i="1"/>
  <c r="M1478" i="1"/>
  <c r="N1478" i="1"/>
  <c r="K1479" i="1"/>
  <c r="M1479" i="1"/>
  <c r="N1479" i="1"/>
  <c r="K1480" i="1"/>
  <c r="M1480" i="1"/>
  <c r="N1480" i="1"/>
  <c r="K1481" i="1"/>
  <c r="M1481" i="1"/>
  <c r="N1481" i="1"/>
  <c r="K1482" i="1"/>
  <c r="M1482" i="1"/>
  <c r="N1482" i="1"/>
  <c r="K1483" i="1"/>
  <c r="M1483" i="1"/>
  <c r="N1483" i="1"/>
  <c r="K1484" i="1"/>
  <c r="M1484" i="1"/>
  <c r="N1484" i="1"/>
  <c r="K1485" i="1"/>
  <c r="M1485" i="1"/>
  <c r="N1485" i="1"/>
  <c r="K1486" i="1"/>
  <c r="M1486" i="1"/>
  <c r="N1486" i="1"/>
  <c r="K1487" i="1"/>
  <c r="M1487" i="1"/>
  <c r="N1487" i="1"/>
  <c r="K1488" i="1"/>
  <c r="M1488" i="1"/>
  <c r="N1488" i="1"/>
  <c r="K1489" i="1"/>
  <c r="M1489" i="1"/>
  <c r="N1489" i="1"/>
  <c r="K1490" i="1"/>
  <c r="M1490" i="1"/>
  <c r="N1490" i="1"/>
  <c r="K1491" i="1"/>
  <c r="M1491" i="1"/>
  <c r="N1491" i="1"/>
  <c r="K1492" i="1"/>
  <c r="M1492" i="1"/>
  <c r="N1492" i="1"/>
  <c r="K1493" i="1"/>
  <c r="M1493" i="1"/>
  <c r="N1493" i="1"/>
  <c r="K1494" i="1"/>
  <c r="M1494" i="1"/>
  <c r="N1494" i="1"/>
  <c r="K1495" i="1"/>
  <c r="M1495" i="1"/>
  <c r="N1495" i="1"/>
  <c r="K1496" i="1"/>
  <c r="M1496" i="1"/>
  <c r="N1496" i="1"/>
  <c r="K1497" i="1"/>
  <c r="M1497" i="1"/>
  <c r="N1497" i="1"/>
  <c r="K1498" i="1"/>
  <c r="M1498" i="1"/>
  <c r="N1498" i="1"/>
  <c r="K1499" i="1"/>
  <c r="M1499" i="1"/>
  <c r="N1499" i="1"/>
  <c r="K1500" i="1"/>
  <c r="M1500" i="1"/>
  <c r="N1500" i="1"/>
  <c r="K1501" i="1"/>
  <c r="M1501" i="1"/>
  <c r="N1501" i="1"/>
  <c r="K1502" i="1"/>
  <c r="M1502" i="1"/>
  <c r="N1502" i="1"/>
  <c r="K1503" i="1"/>
  <c r="M1503" i="1"/>
  <c r="N1503" i="1"/>
  <c r="K1504" i="1"/>
  <c r="M1504" i="1"/>
  <c r="N1504" i="1"/>
  <c r="K1505" i="1"/>
  <c r="M1505" i="1"/>
  <c r="N1505" i="1"/>
  <c r="K1506" i="1"/>
  <c r="M1506" i="1"/>
  <c r="N1506" i="1"/>
  <c r="K1507" i="1"/>
  <c r="M1507" i="1"/>
  <c r="N1507" i="1"/>
  <c r="K1508" i="1"/>
  <c r="M1508" i="1"/>
  <c r="N1508" i="1"/>
  <c r="K1509" i="1"/>
  <c r="M1509" i="1"/>
  <c r="N1509" i="1"/>
  <c r="K1510" i="1"/>
  <c r="M1510" i="1"/>
  <c r="N1510" i="1"/>
  <c r="K1511" i="1"/>
  <c r="M1511" i="1"/>
  <c r="N1511" i="1"/>
  <c r="K1512" i="1"/>
  <c r="M1512" i="1"/>
  <c r="N1512" i="1"/>
  <c r="K1513" i="1"/>
  <c r="M1513" i="1"/>
  <c r="N1513" i="1"/>
  <c r="K1514" i="1"/>
  <c r="M1514" i="1"/>
  <c r="N1514" i="1"/>
  <c r="K1515" i="1"/>
  <c r="M1515" i="1"/>
  <c r="N1515" i="1"/>
  <c r="K1516" i="1"/>
  <c r="M1516" i="1"/>
  <c r="N1516" i="1"/>
  <c r="K1517" i="1"/>
  <c r="M1517" i="1"/>
  <c r="N1517" i="1"/>
  <c r="K1518" i="1"/>
  <c r="M1518" i="1"/>
  <c r="N1518" i="1"/>
  <c r="K1519" i="1"/>
  <c r="M1519" i="1"/>
  <c r="N1519" i="1"/>
  <c r="K1520" i="1"/>
  <c r="M1520" i="1"/>
  <c r="N1520" i="1"/>
  <c r="K1521" i="1"/>
  <c r="M1521" i="1"/>
  <c r="N1521" i="1"/>
  <c r="K1522" i="1"/>
  <c r="M1522" i="1"/>
  <c r="N1522" i="1"/>
  <c r="K1523" i="1"/>
  <c r="M1523" i="1"/>
  <c r="N1523" i="1"/>
  <c r="K1524" i="1"/>
  <c r="M1524" i="1"/>
  <c r="N1524" i="1"/>
  <c r="K1525" i="1"/>
  <c r="M1525" i="1"/>
  <c r="N1525" i="1"/>
  <c r="K1526" i="1"/>
  <c r="M1526" i="1"/>
  <c r="N1526" i="1"/>
  <c r="K1527" i="1"/>
  <c r="M1527" i="1"/>
  <c r="N1527" i="1"/>
  <c r="K1528" i="1"/>
  <c r="M1528" i="1"/>
  <c r="N1528" i="1"/>
  <c r="K1529" i="1"/>
  <c r="M1529" i="1"/>
  <c r="N1529" i="1"/>
  <c r="K1530" i="1"/>
  <c r="M1530" i="1"/>
  <c r="N1530" i="1"/>
  <c r="K1531" i="1"/>
  <c r="M1531" i="1"/>
  <c r="N1531" i="1"/>
  <c r="K1532" i="1"/>
  <c r="M1532" i="1"/>
  <c r="N1532" i="1"/>
  <c r="K1533" i="1"/>
  <c r="M1533" i="1"/>
  <c r="N1533" i="1"/>
  <c r="K1534" i="1"/>
  <c r="M1534" i="1"/>
  <c r="N1534" i="1"/>
  <c r="K1535" i="1"/>
  <c r="M1535" i="1"/>
  <c r="N1535" i="1"/>
  <c r="K1536" i="1"/>
  <c r="M1536" i="1"/>
  <c r="N1536" i="1"/>
  <c r="K1537" i="1"/>
  <c r="M1537" i="1"/>
  <c r="N1537" i="1"/>
  <c r="K1538" i="1"/>
  <c r="M1538" i="1"/>
  <c r="N1538" i="1"/>
  <c r="K1539" i="1"/>
  <c r="M1539" i="1"/>
  <c r="N1539" i="1"/>
  <c r="K1540" i="1"/>
  <c r="M1540" i="1"/>
  <c r="N1540" i="1"/>
  <c r="K1541" i="1"/>
  <c r="M1541" i="1"/>
  <c r="N1541" i="1"/>
  <c r="K1542" i="1"/>
  <c r="M1542" i="1"/>
  <c r="N1542" i="1"/>
  <c r="K1543" i="1"/>
  <c r="M1543" i="1"/>
  <c r="N1543" i="1"/>
  <c r="K1544" i="1"/>
  <c r="M1544" i="1"/>
  <c r="N1544" i="1"/>
  <c r="K1545" i="1"/>
  <c r="M1545" i="1"/>
  <c r="N1545" i="1"/>
  <c r="K1546" i="1"/>
  <c r="M1546" i="1"/>
  <c r="N1546" i="1"/>
  <c r="K1547" i="1"/>
  <c r="M1547" i="1"/>
  <c r="N1547" i="1"/>
  <c r="K1548" i="1"/>
  <c r="M1548" i="1"/>
  <c r="N1548" i="1"/>
  <c r="K1549" i="1"/>
  <c r="M1549" i="1"/>
  <c r="N1549" i="1"/>
  <c r="K1550" i="1"/>
  <c r="M1550" i="1"/>
  <c r="N1550" i="1"/>
  <c r="K1551" i="1"/>
  <c r="M1551" i="1"/>
  <c r="N1551" i="1"/>
  <c r="K1552" i="1"/>
  <c r="M1552" i="1"/>
  <c r="N1552" i="1"/>
  <c r="K1553" i="1"/>
  <c r="M1553" i="1"/>
  <c r="N1553" i="1"/>
  <c r="K1554" i="1"/>
  <c r="M1554" i="1"/>
  <c r="N1554" i="1"/>
  <c r="K1555" i="1"/>
  <c r="M1555" i="1"/>
  <c r="N1555" i="1"/>
  <c r="K1556" i="1"/>
  <c r="M1556" i="1"/>
  <c r="N1556" i="1"/>
  <c r="K1557" i="1"/>
  <c r="M1557" i="1"/>
  <c r="N1557" i="1"/>
  <c r="K1558" i="1"/>
  <c r="M1558" i="1"/>
  <c r="N1558" i="1"/>
  <c r="K1559" i="1"/>
  <c r="M1559" i="1"/>
  <c r="N1559" i="1"/>
  <c r="K1560" i="1"/>
  <c r="M1560" i="1"/>
  <c r="N1560" i="1"/>
  <c r="K1561" i="1"/>
  <c r="M1561" i="1"/>
  <c r="N1561" i="1"/>
  <c r="K1562" i="1"/>
  <c r="M1562" i="1"/>
  <c r="N1562" i="1"/>
  <c r="K1563" i="1"/>
  <c r="M1563" i="1"/>
  <c r="N1563" i="1"/>
  <c r="K1564" i="1"/>
  <c r="M1564" i="1"/>
  <c r="N1564" i="1"/>
  <c r="K1565" i="1"/>
  <c r="M1565" i="1"/>
  <c r="N1565" i="1"/>
  <c r="K1566" i="1"/>
  <c r="M1566" i="1"/>
  <c r="N1566" i="1"/>
  <c r="K1567" i="1"/>
  <c r="M1567" i="1"/>
  <c r="N1567" i="1"/>
  <c r="K1568" i="1"/>
  <c r="M1568" i="1"/>
  <c r="N1568" i="1"/>
  <c r="K1569" i="1"/>
  <c r="M1569" i="1"/>
  <c r="N1569" i="1"/>
  <c r="K1570" i="1"/>
  <c r="M1570" i="1"/>
  <c r="N1570" i="1"/>
  <c r="K1571" i="1"/>
  <c r="M1571" i="1"/>
  <c r="N1571" i="1"/>
  <c r="K1572" i="1"/>
  <c r="M1572" i="1"/>
  <c r="N1572" i="1"/>
  <c r="K1573" i="1"/>
  <c r="M1573" i="1"/>
  <c r="N1573" i="1"/>
  <c r="K1574" i="1"/>
  <c r="M1574" i="1"/>
  <c r="N1574" i="1"/>
  <c r="K1575" i="1"/>
  <c r="M1575" i="1"/>
  <c r="N1575" i="1"/>
  <c r="K1576" i="1"/>
  <c r="M1576" i="1"/>
  <c r="N1576" i="1"/>
  <c r="K1577" i="1"/>
  <c r="M1577" i="1"/>
  <c r="N1577" i="1"/>
  <c r="K1578" i="1"/>
  <c r="M1578" i="1"/>
  <c r="N1578" i="1"/>
  <c r="K1579" i="1"/>
  <c r="M1579" i="1"/>
  <c r="N1579" i="1"/>
  <c r="K1580" i="1"/>
  <c r="M1580" i="1"/>
  <c r="N1580" i="1"/>
  <c r="K1581" i="1"/>
  <c r="M1581" i="1"/>
  <c r="N1581" i="1"/>
  <c r="K1582" i="1"/>
  <c r="M1582" i="1"/>
  <c r="N1582" i="1"/>
  <c r="K1583" i="1"/>
  <c r="M1583" i="1"/>
  <c r="N1583" i="1"/>
  <c r="K1584" i="1"/>
  <c r="M1584" i="1"/>
  <c r="N1584" i="1"/>
  <c r="K1585" i="1"/>
  <c r="M1585" i="1"/>
  <c r="N1585" i="1"/>
  <c r="K1586" i="1"/>
  <c r="M1586" i="1"/>
  <c r="N1586" i="1"/>
  <c r="K1587" i="1"/>
  <c r="M1587" i="1"/>
  <c r="N1587" i="1"/>
  <c r="K1588" i="1"/>
  <c r="M1588" i="1"/>
  <c r="N1588" i="1"/>
  <c r="K1589" i="1"/>
  <c r="M1589" i="1"/>
  <c r="N1589" i="1"/>
  <c r="K1590" i="1"/>
  <c r="M1590" i="1"/>
  <c r="N1590" i="1"/>
  <c r="K1591" i="1"/>
  <c r="M1591" i="1"/>
  <c r="N1591" i="1"/>
  <c r="K1592" i="1"/>
  <c r="M1592" i="1"/>
  <c r="N1592" i="1"/>
  <c r="K1593" i="1"/>
  <c r="M1593" i="1"/>
  <c r="N1593" i="1"/>
  <c r="K1594" i="1"/>
  <c r="M1594" i="1"/>
  <c r="N1594" i="1"/>
  <c r="K1595" i="1"/>
  <c r="M1595" i="1"/>
  <c r="N1595" i="1"/>
  <c r="K1596" i="1"/>
  <c r="M1596" i="1"/>
  <c r="N1596" i="1"/>
  <c r="K1597" i="1"/>
  <c r="M1597" i="1"/>
  <c r="N1597" i="1"/>
  <c r="K1598" i="1"/>
  <c r="M1598" i="1"/>
  <c r="N1598" i="1"/>
  <c r="K1599" i="1"/>
  <c r="M1599" i="1"/>
  <c r="N1599" i="1"/>
  <c r="K1600" i="1"/>
  <c r="M1600" i="1"/>
  <c r="N1600" i="1"/>
  <c r="K1601" i="1"/>
  <c r="M1601" i="1"/>
  <c r="N1601" i="1"/>
  <c r="K1602" i="1"/>
  <c r="M1602" i="1"/>
  <c r="N1602" i="1"/>
  <c r="K1603" i="1"/>
  <c r="M1603" i="1"/>
  <c r="N1603" i="1"/>
  <c r="K1604" i="1"/>
  <c r="M1604" i="1"/>
  <c r="N1604" i="1"/>
  <c r="K1605" i="1"/>
  <c r="M1605" i="1"/>
  <c r="N1605" i="1"/>
  <c r="K1606" i="1"/>
  <c r="M1606" i="1"/>
  <c r="N1606" i="1"/>
  <c r="K1607" i="1"/>
  <c r="M1607" i="1"/>
  <c r="N1607" i="1"/>
  <c r="K1608" i="1"/>
  <c r="M1608" i="1"/>
  <c r="N1608" i="1"/>
  <c r="K1609" i="1"/>
  <c r="M1609" i="1"/>
  <c r="N1609" i="1"/>
  <c r="K1610" i="1"/>
  <c r="M1610" i="1"/>
  <c r="N1610" i="1"/>
  <c r="K1611" i="1"/>
  <c r="M1611" i="1"/>
  <c r="N1611" i="1"/>
  <c r="K1612" i="1"/>
  <c r="M1612" i="1"/>
  <c r="N1612" i="1"/>
  <c r="K1613" i="1"/>
  <c r="M1613" i="1"/>
  <c r="N1613" i="1"/>
  <c r="K1614" i="1"/>
  <c r="M1614" i="1"/>
  <c r="N1614" i="1"/>
  <c r="K1615" i="1"/>
  <c r="M1615" i="1"/>
  <c r="N1615" i="1"/>
  <c r="K1616" i="1"/>
  <c r="M1616" i="1"/>
  <c r="N1616" i="1"/>
  <c r="K1617" i="1"/>
  <c r="M1617" i="1"/>
  <c r="N1617" i="1"/>
  <c r="K1618" i="1"/>
  <c r="M1618" i="1"/>
  <c r="N1618" i="1"/>
  <c r="K1619" i="1"/>
  <c r="M1619" i="1"/>
  <c r="N1619" i="1"/>
  <c r="K1620" i="1"/>
  <c r="M1620" i="1"/>
  <c r="N1620" i="1"/>
  <c r="K1621" i="1"/>
  <c r="M1621" i="1"/>
  <c r="N1621" i="1"/>
  <c r="K1622" i="1"/>
  <c r="M1622" i="1"/>
  <c r="N1622" i="1"/>
  <c r="K1623" i="1"/>
  <c r="M1623" i="1"/>
  <c r="N1623" i="1"/>
  <c r="K1624" i="1"/>
  <c r="M1624" i="1"/>
  <c r="N1624" i="1"/>
  <c r="K1625" i="1"/>
  <c r="M1625" i="1"/>
  <c r="N1625" i="1"/>
  <c r="K1626" i="1"/>
  <c r="M1626" i="1"/>
  <c r="N1626" i="1"/>
  <c r="K1627" i="1"/>
  <c r="M1627" i="1"/>
  <c r="N1627" i="1"/>
  <c r="K1628" i="1"/>
  <c r="M1628" i="1"/>
  <c r="N1628" i="1"/>
  <c r="K1629" i="1"/>
  <c r="M1629" i="1"/>
  <c r="N1629" i="1"/>
  <c r="K1630" i="1"/>
  <c r="M1630" i="1"/>
  <c r="N1630" i="1"/>
  <c r="K1631" i="1"/>
  <c r="M1631" i="1"/>
  <c r="N1631" i="1"/>
  <c r="K1632" i="1"/>
  <c r="M1632" i="1"/>
  <c r="N1632" i="1"/>
  <c r="K1633" i="1"/>
  <c r="M1633" i="1"/>
  <c r="N1633" i="1"/>
  <c r="K1634" i="1"/>
  <c r="M1634" i="1"/>
  <c r="N1634" i="1"/>
  <c r="K1635" i="1"/>
  <c r="M1635" i="1"/>
  <c r="N1635" i="1"/>
  <c r="K1636" i="1"/>
  <c r="M1636" i="1"/>
  <c r="N1636" i="1"/>
  <c r="K1637" i="1"/>
  <c r="M1637" i="1"/>
  <c r="N1637" i="1"/>
  <c r="K1638" i="1"/>
  <c r="M1638" i="1"/>
  <c r="N1638" i="1"/>
  <c r="K1639" i="1"/>
  <c r="M1639" i="1"/>
  <c r="N1639" i="1"/>
  <c r="K1640" i="1"/>
  <c r="M1640" i="1"/>
  <c r="N1640" i="1"/>
  <c r="K1641" i="1"/>
  <c r="M1641" i="1"/>
  <c r="N1641" i="1"/>
  <c r="K1642" i="1"/>
  <c r="M1642" i="1"/>
  <c r="N1642" i="1"/>
  <c r="K1643" i="1"/>
  <c r="M1643" i="1"/>
  <c r="N1643" i="1"/>
  <c r="K1644" i="1"/>
  <c r="M1644" i="1"/>
  <c r="N1644" i="1"/>
  <c r="K1645" i="1"/>
  <c r="M1645" i="1"/>
  <c r="N1645" i="1"/>
  <c r="K1646" i="1"/>
  <c r="M1646" i="1"/>
  <c r="N1646" i="1"/>
  <c r="K1647" i="1"/>
  <c r="M1647" i="1"/>
  <c r="N1647" i="1"/>
  <c r="K1648" i="1"/>
  <c r="M1648" i="1"/>
  <c r="N1648" i="1"/>
  <c r="K1649" i="1"/>
  <c r="M1649" i="1"/>
  <c r="N1649" i="1"/>
  <c r="K1650" i="1"/>
  <c r="M1650" i="1"/>
  <c r="N1650" i="1"/>
  <c r="K1651" i="1"/>
  <c r="M1651" i="1"/>
  <c r="N1651" i="1"/>
  <c r="K1652" i="1"/>
  <c r="M1652" i="1"/>
  <c r="N1652" i="1"/>
  <c r="K1653" i="1"/>
  <c r="M1653" i="1"/>
  <c r="N1653" i="1"/>
  <c r="K1654" i="1"/>
  <c r="M1654" i="1"/>
  <c r="N1654" i="1"/>
  <c r="K1655" i="1"/>
  <c r="M1655" i="1"/>
  <c r="N1655" i="1"/>
  <c r="K1656" i="1"/>
  <c r="M1656" i="1"/>
  <c r="N1656" i="1"/>
  <c r="K1657" i="1"/>
  <c r="M1657" i="1"/>
  <c r="N1657" i="1"/>
  <c r="K1658" i="1"/>
  <c r="M1658" i="1"/>
  <c r="N1658" i="1"/>
  <c r="K1659" i="1"/>
  <c r="M1659" i="1"/>
  <c r="N1659" i="1"/>
  <c r="K1660" i="1"/>
  <c r="M1660" i="1"/>
  <c r="N1660" i="1"/>
  <c r="K1661" i="1"/>
  <c r="M1661" i="1"/>
  <c r="N1661" i="1"/>
  <c r="K1662" i="1"/>
  <c r="M1662" i="1"/>
  <c r="N1662" i="1"/>
  <c r="K1663" i="1"/>
  <c r="M1663" i="1"/>
  <c r="N1663" i="1"/>
  <c r="K1664" i="1"/>
  <c r="M1664" i="1"/>
  <c r="N1664" i="1"/>
  <c r="K1665" i="1"/>
  <c r="M1665" i="1"/>
  <c r="N1665" i="1"/>
  <c r="K1666" i="1"/>
  <c r="M1666" i="1"/>
  <c r="N1666" i="1"/>
  <c r="K1667" i="1"/>
  <c r="M1667" i="1"/>
  <c r="N1667" i="1"/>
  <c r="K1668" i="1"/>
  <c r="M1668" i="1"/>
  <c r="N1668" i="1"/>
  <c r="K1669" i="1"/>
  <c r="M1669" i="1"/>
  <c r="N1669" i="1"/>
  <c r="K1670" i="1"/>
  <c r="M1670" i="1"/>
  <c r="N1670" i="1"/>
  <c r="K1671" i="1"/>
  <c r="M1671" i="1"/>
  <c r="N1671" i="1"/>
  <c r="K1672" i="1"/>
  <c r="M1672" i="1"/>
  <c r="N1672" i="1"/>
  <c r="K1673" i="1"/>
  <c r="M1673" i="1"/>
  <c r="N1673" i="1"/>
  <c r="K1674" i="1"/>
  <c r="M1674" i="1"/>
  <c r="N1674" i="1"/>
  <c r="K1675" i="1"/>
  <c r="M1675" i="1"/>
  <c r="N1675" i="1"/>
  <c r="K1676" i="1"/>
  <c r="M1676" i="1"/>
  <c r="N1676" i="1"/>
  <c r="K1677" i="1"/>
  <c r="M1677" i="1"/>
  <c r="N1677" i="1"/>
  <c r="K1678" i="1"/>
  <c r="M1678" i="1"/>
  <c r="N1678" i="1"/>
  <c r="K1679" i="1"/>
  <c r="M1679" i="1"/>
  <c r="N1679" i="1"/>
  <c r="K1680" i="1"/>
  <c r="M1680" i="1"/>
  <c r="N1680" i="1"/>
  <c r="K1681" i="1"/>
  <c r="M1681" i="1"/>
  <c r="N1681" i="1"/>
  <c r="K1682" i="1"/>
  <c r="M1682" i="1"/>
  <c r="N1682" i="1"/>
  <c r="K1683" i="1"/>
  <c r="M1683" i="1"/>
  <c r="N1683" i="1"/>
  <c r="K1684" i="1"/>
  <c r="M1684" i="1"/>
  <c r="N1684" i="1"/>
  <c r="K1685" i="1"/>
  <c r="M1685" i="1"/>
  <c r="N1685" i="1"/>
  <c r="K1686" i="1"/>
  <c r="M1686" i="1"/>
  <c r="N1686" i="1"/>
  <c r="K1687" i="1"/>
  <c r="M1687" i="1"/>
  <c r="N1687" i="1"/>
  <c r="K1688" i="1"/>
  <c r="M1688" i="1"/>
  <c r="N1688" i="1"/>
  <c r="K1689" i="1"/>
  <c r="M1689" i="1"/>
  <c r="N1689" i="1"/>
  <c r="K1690" i="1"/>
  <c r="M1690" i="1"/>
  <c r="N1690" i="1"/>
  <c r="K1691" i="1"/>
  <c r="M1691" i="1"/>
  <c r="N1691" i="1"/>
  <c r="K1692" i="1"/>
  <c r="M1692" i="1"/>
  <c r="N1692" i="1"/>
  <c r="K1693" i="1"/>
  <c r="M1693" i="1"/>
  <c r="N1693" i="1"/>
  <c r="K1694" i="1"/>
  <c r="M1694" i="1"/>
  <c r="N1694" i="1"/>
  <c r="K1695" i="1"/>
  <c r="M1695" i="1"/>
  <c r="N1695" i="1"/>
  <c r="K1696" i="1"/>
  <c r="M1696" i="1"/>
  <c r="N1696" i="1"/>
  <c r="K1697" i="1"/>
  <c r="M1697" i="1"/>
  <c r="N1697" i="1"/>
  <c r="K1698" i="1"/>
  <c r="M1698" i="1"/>
  <c r="N1698" i="1"/>
  <c r="K1699" i="1"/>
  <c r="M1699" i="1"/>
  <c r="N1699" i="1"/>
  <c r="K1700" i="1"/>
  <c r="M1700" i="1"/>
  <c r="N1700" i="1"/>
  <c r="K1701" i="1"/>
  <c r="M1701" i="1"/>
  <c r="N1701" i="1"/>
  <c r="K1702" i="1"/>
  <c r="M1702" i="1"/>
  <c r="N1702" i="1"/>
  <c r="K1703" i="1"/>
  <c r="M1703" i="1"/>
  <c r="N1703" i="1"/>
  <c r="K1704" i="1"/>
  <c r="M1704" i="1"/>
  <c r="N1704" i="1"/>
  <c r="K1705" i="1"/>
  <c r="M1705" i="1"/>
  <c r="N1705" i="1"/>
  <c r="K1706" i="1"/>
  <c r="M1706" i="1"/>
  <c r="N1706" i="1"/>
  <c r="K1707" i="1"/>
  <c r="M1707" i="1"/>
  <c r="N1707" i="1"/>
  <c r="K1708" i="1"/>
  <c r="M1708" i="1"/>
  <c r="N1708" i="1"/>
  <c r="K1709" i="1"/>
  <c r="M1709" i="1"/>
  <c r="N1709" i="1"/>
  <c r="K1710" i="1"/>
  <c r="M1710" i="1"/>
  <c r="N1710" i="1"/>
  <c r="K1711" i="1"/>
  <c r="M1711" i="1"/>
  <c r="N1711" i="1"/>
  <c r="K1712" i="1"/>
  <c r="M1712" i="1"/>
  <c r="N1712" i="1"/>
  <c r="K1713" i="1"/>
  <c r="M1713" i="1"/>
  <c r="N1713" i="1"/>
  <c r="K1714" i="1"/>
  <c r="M1714" i="1"/>
  <c r="N1714" i="1"/>
  <c r="K1715" i="1"/>
  <c r="M1715" i="1"/>
  <c r="N1715" i="1"/>
  <c r="K1716" i="1"/>
  <c r="M1716" i="1"/>
  <c r="N1716" i="1"/>
  <c r="K1717" i="1"/>
  <c r="M1717" i="1"/>
  <c r="N1717" i="1"/>
  <c r="K1718" i="1"/>
  <c r="M1718" i="1"/>
  <c r="N1718" i="1"/>
  <c r="K1719" i="1"/>
  <c r="M1719" i="1"/>
  <c r="N1719" i="1"/>
  <c r="K1720" i="1"/>
  <c r="M1720" i="1"/>
  <c r="N1720" i="1"/>
  <c r="K1721" i="1"/>
  <c r="M1721" i="1"/>
  <c r="N1721" i="1"/>
  <c r="K1722" i="1"/>
  <c r="M1722" i="1"/>
  <c r="N1722" i="1"/>
  <c r="K1723" i="1"/>
  <c r="M1723" i="1"/>
  <c r="N1723" i="1"/>
  <c r="K1724" i="1"/>
  <c r="M1724" i="1"/>
  <c r="N1724" i="1"/>
  <c r="K1725" i="1"/>
  <c r="M1725" i="1"/>
  <c r="N1725" i="1"/>
  <c r="K1726" i="1"/>
  <c r="M1726" i="1"/>
  <c r="N1726" i="1"/>
  <c r="K1727" i="1"/>
  <c r="M1727" i="1"/>
  <c r="N1727" i="1"/>
  <c r="K1728" i="1"/>
  <c r="M1728" i="1"/>
  <c r="N1728" i="1"/>
  <c r="K1729" i="1"/>
  <c r="M1729" i="1"/>
  <c r="N1729" i="1"/>
  <c r="K1730" i="1"/>
  <c r="M1730" i="1"/>
  <c r="N1730" i="1"/>
  <c r="K1731" i="1"/>
  <c r="M1731" i="1"/>
  <c r="N1731" i="1"/>
  <c r="K1732" i="1"/>
  <c r="M1732" i="1"/>
  <c r="N1732" i="1"/>
  <c r="K1733" i="1"/>
  <c r="M1733" i="1"/>
  <c r="N1733" i="1"/>
  <c r="K1734" i="1"/>
  <c r="M1734" i="1"/>
  <c r="N1734" i="1"/>
  <c r="K1735" i="1"/>
  <c r="M1735" i="1"/>
  <c r="N1735" i="1"/>
  <c r="K1736" i="1"/>
  <c r="M1736" i="1"/>
  <c r="N1736" i="1"/>
  <c r="K1737" i="1"/>
  <c r="M1737" i="1"/>
  <c r="N1737" i="1"/>
  <c r="K1738" i="1"/>
  <c r="M1738" i="1"/>
  <c r="N1738" i="1"/>
  <c r="K1739" i="1"/>
  <c r="M1739" i="1"/>
  <c r="N1739" i="1"/>
  <c r="K1740" i="1"/>
  <c r="M1740" i="1"/>
  <c r="N1740" i="1"/>
  <c r="K1741" i="1"/>
  <c r="M1741" i="1"/>
  <c r="N1741" i="1"/>
  <c r="K1742" i="1"/>
  <c r="M1742" i="1"/>
  <c r="N1742" i="1"/>
  <c r="K1743" i="1"/>
  <c r="M1743" i="1"/>
  <c r="N1743" i="1"/>
  <c r="K1744" i="1"/>
  <c r="M1744" i="1"/>
  <c r="N1744" i="1"/>
  <c r="K1745" i="1"/>
  <c r="M1745" i="1"/>
  <c r="N1745" i="1"/>
  <c r="K1746" i="1"/>
  <c r="M1746" i="1"/>
  <c r="N1746" i="1"/>
  <c r="K1747" i="1"/>
  <c r="M1747" i="1"/>
  <c r="N1747" i="1"/>
  <c r="K1748" i="1"/>
  <c r="M1748" i="1"/>
  <c r="N1748" i="1"/>
  <c r="K1749" i="1"/>
  <c r="M1749" i="1"/>
  <c r="N1749" i="1"/>
  <c r="K1750" i="1"/>
  <c r="M1750" i="1"/>
  <c r="N1750" i="1"/>
  <c r="K1751" i="1"/>
  <c r="M1751" i="1"/>
  <c r="N1751" i="1"/>
  <c r="K1752" i="1"/>
  <c r="M1752" i="1"/>
  <c r="N1752" i="1"/>
  <c r="K1753" i="1"/>
  <c r="M1753" i="1"/>
  <c r="N1753" i="1"/>
  <c r="K1754" i="1"/>
  <c r="M1754" i="1"/>
  <c r="N1754" i="1"/>
  <c r="K1755" i="1"/>
  <c r="M1755" i="1"/>
  <c r="N1755" i="1"/>
  <c r="K1756" i="1"/>
  <c r="M1756" i="1"/>
  <c r="N1756" i="1"/>
  <c r="K1757" i="1"/>
  <c r="M1757" i="1"/>
  <c r="N1757" i="1"/>
  <c r="K1758" i="1"/>
  <c r="M1758" i="1"/>
  <c r="N1758" i="1"/>
  <c r="K1759" i="1"/>
  <c r="M1759" i="1"/>
  <c r="N1759" i="1"/>
  <c r="K1760" i="1"/>
  <c r="M1760" i="1"/>
  <c r="N1760" i="1"/>
  <c r="K1761" i="1"/>
  <c r="M1761" i="1"/>
  <c r="N1761" i="1"/>
  <c r="K1762" i="1"/>
  <c r="M1762" i="1"/>
  <c r="N1762" i="1"/>
  <c r="K1763" i="1"/>
  <c r="M1763" i="1"/>
  <c r="N1763" i="1"/>
  <c r="K1764" i="1"/>
  <c r="M1764" i="1"/>
  <c r="N1764" i="1"/>
  <c r="K1765" i="1"/>
  <c r="M1765" i="1"/>
  <c r="N1765" i="1"/>
  <c r="K1766" i="1"/>
  <c r="M1766" i="1"/>
  <c r="N1766" i="1"/>
  <c r="K1767" i="1"/>
  <c r="M1767" i="1"/>
  <c r="N1767" i="1"/>
  <c r="K1768" i="1"/>
  <c r="M1768" i="1"/>
  <c r="N1768" i="1"/>
  <c r="K1769" i="1"/>
  <c r="M1769" i="1"/>
  <c r="N1769" i="1"/>
  <c r="K1770" i="1"/>
  <c r="M1770" i="1"/>
  <c r="N1770" i="1"/>
  <c r="K1771" i="1"/>
  <c r="M1771" i="1"/>
  <c r="N1771" i="1"/>
  <c r="K1772" i="1"/>
  <c r="M1772" i="1"/>
  <c r="N1772" i="1"/>
  <c r="K1773" i="1"/>
  <c r="M1773" i="1"/>
  <c r="N1773" i="1"/>
  <c r="K1774" i="1"/>
  <c r="M1774" i="1"/>
  <c r="N1774" i="1"/>
  <c r="K1775" i="1"/>
  <c r="M1775" i="1"/>
  <c r="N1775" i="1"/>
  <c r="K1776" i="1"/>
  <c r="M1776" i="1"/>
  <c r="N1776" i="1"/>
  <c r="K1777" i="1"/>
  <c r="M1777" i="1"/>
  <c r="N1777" i="1"/>
  <c r="K1778" i="1"/>
  <c r="M1778" i="1"/>
  <c r="N1778" i="1"/>
  <c r="K1779" i="1"/>
  <c r="M1779" i="1"/>
  <c r="N1779" i="1"/>
  <c r="K1780" i="1"/>
  <c r="M1780" i="1"/>
  <c r="N1780" i="1"/>
  <c r="K1781" i="1"/>
  <c r="M1781" i="1"/>
  <c r="N1781" i="1"/>
  <c r="K1782" i="1"/>
  <c r="M1782" i="1"/>
  <c r="N1782" i="1"/>
  <c r="K1783" i="1"/>
  <c r="M1783" i="1"/>
  <c r="N1783" i="1"/>
  <c r="K1784" i="1"/>
  <c r="M1784" i="1"/>
  <c r="N1784" i="1"/>
  <c r="K1785" i="1"/>
  <c r="M1785" i="1"/>
  <c r="N1785" i="1"/>
  <c r="K1786" i="1"/>
  <c r="M1786" i="1"/>
  <c r="N1786" i="1"/>
  <c r="K1787" i="1"/>
  <c r="M1787" i="1"/>
  <c r="N1787" i="1"/>
  <c r="K1788" i="1"/>
  <c r="M1788" i="1"/>
  <c r="N1788" i="1"/>
  <c r="K1789" i="1"/>
  <c r="M1789" i="1"/>
  <c r="N1789" i="1"/>
  <c r="K1790" i="1"/>
  <c r="M1790" i="1"/>
  <c r="N1790" i="1"/>
  <c r="K1791" i="1"/>
  <c r="M1791" i="1"/>
  <c r="N1791" i="1"/>
  <c r="K1792" i="1"/>
  <c r="M1792" i="1"/>
  <c r="N1792" i="1"/>
  <c r="K1793" i="1"/>
  <c r="M1793" i="1"/>
  <c r="N1793" i="1"/>
  <c r="K1794" i="1"/>
  <c r="M1794" i="1"/>
  <c r="N1794" i="1"/>
  <c r="K1795" i="1"/>
  <c r="M1795" i="1"/>
  <c r="N1795" i="1"/>
  <c r="K1796" i="1"/>
  <c r="M1796" i="1"/>
  <c r="N1796" i="1"/>
  <c r="K1797" i="1"/>
  <c r="M1797" i="1"/>
  <c r="N1797" i="1"/>
  <c r="K1798" i="1"/>
  <c r="M1798" i="1"/>
  <c r="N1798" i="1"/>
  <c r="K1799" i="1"/>
  <c r="M1799" i="1"/>
  <c r="N1799" i="1"/>
  <c r="K1800" i="1"/>
  <c r="M1800" i="1"/>
  <c r="N1800" i="1"/>
  <c r="K1801" i="1"/>
  <c r="M1801" i="1"/>
  <c r="N1801" i="1"/>
  <c r="K1802" i="1"/>
  <c r="M1802" i="1"/>
  <c r="N1802" i="1"/>
  <c r="K1803" i="1"/>
  <c r="M1803" i="1"/>
  <c r="N1803" i="1"/>
  <c r="K1804" i="1"/>
  <c r="M1804" i="1"/>
  <c r="N1804" i="1"/>
  <c r="K1805" i="1"/>
  <c r="M1805" i="1"/>
  <c r="N1805" i="1"/>
  <c r="K1806" i="1"/>
  <c r="M1806" i="1"/>
  <c r="N1806" i="1"/>
  <c r="K1807" i="1"/>
  <c r="M1807" i="1"/>
  <c r="N1807" i="1"/>
  <c r="K1808" i="1"/>
  <c r="M1808" i="1"/>
  <c r="N1808" i="1"/>
  <c r="K1809" i="1"/>
  <c r="M1809" i="1"/>
  <c r="N1809" i="1"/>
  <c r="K1810" i="1"/>
  <c r="M1810" i="1"/>
  <c r="N1810" i="1"/>
  <c r="K1811" i="1"/>
  <c r="M1811" i="1"/>
  <c r="N1811" i="1"/>
  <c r="K1812" i="1"/>
  <c r="M1812" i="1"/>
  <c r="N1812" i="1"/>
  <c r="K1813" i="1"/>
  <c r="M1813" i="1"/>
  <c r="N1813" i="1"/>
  <c r="K1814" i="1"/>
  <c r="M1814" i="1"/>
  <c r="N1814" i="1"/>
  <c r="K1815" i="1"/>
  <c r="M1815" i="1"/>
  <c r="N1815" i="1"/>
  <c r="K1816" i="1"/>
  <c r="M1816" i="1"/>
  <c r="N1816" i="1"/>
  <c r="K1817" i="1"/>
  <c r="M1817" i="1"/>
  <c r="N1817" i="1"/>
  <c r="K1818" i="1"/>
  <c r="M1818" i="1"/>
  <c r="N1818" i="1"/>
  <c r="K1819" i="1"/>
  <c r="M1819" i="1"/>
  <c r="N1819" i="1"/>
  <c r="K1820" i="1"/>
  <c r="M1820" i="1"/>
  <c r="N1820" i="1"/>
  <c r="K1821" i="1"/>
  <c r="M1821" i="1"/>
  <c r="N1821" i="1"/>
  <c r="K1822" i="1"/>
  <c r="M1822" i="1"/>
  <c r="N1822" i="1"/>
  <c r="K1823" i="1"/>
  <c r="M1823" i="1"/>
  <c r="N1823" i="1"/>
  <c r="K1824" i="1"/>
  <c r="M1824" i="1"/>
  <c r="N1824" i="1"/>
  <c r="K1825" i="1"/>
  <c r="M1825" i="1"/>
  <c r="N1825" i="1"/>
  <c r="K1826" i="1"/>
  <c r="M1826" i="1"/>
  <c r="N1826" i="1"/>
  <c r="K1827" i="1"/>
  <c r="M1827" i="1"/>
  <c r="N1827" i="1"/>
  <c r="K1828" i="1"/>
  <c r="M1828" i="1"/>
  <c r="N1828" i="1"/>
  <c r="K1829" i="1"/>
  <c r="M1829" i="1"/>
  <c r="N1829" i="1"/>
  <c r="K1830" i="1"/>
  <c r="M1830" i="1"/>
  <c r="N1830" i="1"/>
  <c r="K1831" i="1"/>
  <c r="M1831" i="1"/>
  <c r="N1831" i="1"/>
  <c r="K1832" i="1"/>
  <c r="M1832" i="1"/>
  <c r="N1832" i="1"/>
  <c r="K1833" i="1"/>
  <c r="M1833" i="1"/>
  <c r="N1833" i="1"/>
  <c r="K1834" i="1"/>
  <c r="M1834" i="1"/>
  <c r="N1834" i="1"/>
  <c r="K1835" i="1"/>
  <c r="M1835" i="1"/>
  <c r="N1835" i="1"/>
  <c r="K1836" i="1"/>
  <c r="M1836" i="1"/>
  <c r="N1836" i="1"/>
  <c r="K1837" i="1"/>
  <c r="M1837" i="1"/>
  <c r="N1837" i="1"/>
  <c r="K1838" i="1"/>
  <c r="M1838" i="1"/>
  <c r="N1838" i="1"/>
  <c r="K1839" i="1"/>
  <c r="M1839" i="1"/>
  <c r="N1839" i="1"/>
  <c r="K1840" i="1"/>
  <c r="M1840" i="1"/>
  <c r="N1840" i="1"/>
  <c r="K1841" i="1"/>
  <c r="M1841" i="1"/>
  <c r="N1841" i="1"/>
  <c r="K1842" i="1"/>
  <c r="M1842" i="1"/>
  <c r="N1842" i="1"/>
  <c r="K1843" i="1"/>
  <c r="M1843" i="1"/>
  <c r="N1843" i="1"/>
  <c r="K1844" i="1"/>
  <c r="M1844" i="1"/>
  <c r="N1844" i="1"/>
  <c r="K1845" i="1"/>
  <c r="M1845" i="1"/>
  <c r="N1845" i="1"/>
  <c r="K1846" i="1"/>
  <c r="M1846" i="1"/>
  <c r="N1846" i="1"/>
  <c r="K1847" i="1"/>
  <c r="M1847" i="1"/>
  <c r="N1847" i="1"/>
  <c r="K1848" i="1"/>
  <c r="M1848" i="1"/>
  <c r="N1848" i="1"/>
  <c r="K1849" i="1"/>
  <c r="M1849" i="1"/>
  <c r="N1849" i="1"/>
  <c r="K1850" i="1"/>
  <c r="M1850" i="1"/>
  <c r="N1850" i="1"/>
  <c r="K1851" i="1"/>
  <c r="M1851" i="1"/>
  <c r="N1851" i="1"/>
  <c r="K1852" i="1"/>
  <c r="M1852" i="1"/>
  <c r="N1852" i="1"/>
  <c r="K1853" i="1"/>
  <c r="M1853" i="1"/>
  <c r="N1853" i="1"/>
  <c r="K1854" i="1"/>
  <c r="M1854" i="1"/>
  <c r="N1854" i="1"/>
  <c r="K1855" i="1"/>
  <c r="M1855" i="1"/>
  <c r="N1855" i="1"/>
  <c r="K1856" i="1"/>
  <c r="M1856" i="1"/>
  <c r="N1856" i="1"/>
  <c r="K1857" i="1"/>
  <c r="M1857" i="1"/>
  <c r="N1857" i="1"/>
  <c r="K1858" i="1"/>
  <c r="M1858" i="1"/>
  <c r="N1858" i="1"/>
  <c r="K1859" i="1"/>
  <c r="M1859" i="1"/>
  <c r="N1859" i="1"/>
  <c r="K1860" i="1"/>
  <c r="M1860" i="1"/>
  <c r="N1860" i="1"/>
  <c r="K1861" i="1"/>
  <c r="M1861" i="1"/>
  <c r="N1861" i="1"/>
  <c r="K1862" i="1"/>
  <c r="M1862" i="1"/>
  <c r="N1862" i="1"/>
  <c r="K1863" i="1"/>
  <c r="M1863" i="1"/>
  <c r="N1863" i="1"/>
  <c r="K1864" i="1"/>
  <c r="M1864" i="1"/>
  <c r="N1864" i="1"/>
  <c r="K1865" i="1"/>
  <c r="M1865" i="1"/>
  <c r="N1865" i="1"/>
  <c r="K1866" i="1"/>
  <c r="M1866" i="1"/>
  <c r="N1866" i="1"/>
  <c r="K1867" i="1"/>
  <c r="M1867" i="1"/>
  <c r="N1867" i="1"/>
  <c r="K1868" i="1"/>
  <c r="M1868" i="1"/>
  <c r="N1868" i="1"/>
  <c r="K1869" i="1"/>
  <c r="M1869" i="1"/>
  <c r="N1869" i="1"/>
  <c r="K1870" i="1"/>
  <c r="M1870" i="1"/>
  <c r="N1870" i="1"/>
  <c r="K1871" i="1"/>
  <c r="M1871" i="1"/>
  <c r="N1871" i="1"/>
  <c r="K1872" i="1"/>
  <c r="M1872" i="1"/>
  <c r="N1872" i="1"/>
  <c r="K1873" i="1"/>
  <c r="M1873" i="1"/>
  <c r="N1873" i="1"/>
  <c r="K1874" i="1"/>
  <c r="M1874" i="1"/>
  <c r="N1874" i="1"/>
  <c r="K1875" i="1"/>
  <c r="M1875" i="1"/>
  <c r="N1875" i="1"/>
  <c r="K1876" i="1"/>
  <c r="M1876" i="1"/>
  <c r="N1876" i="1"/>
  <c r="K1877" i="1"/>
  <c r="M1877" i="1"/>
  <c r="N1877" i="1"/>
  <c r="K1878" i="1"/>
  <c r="M1878" i="1"/>
  <c r="N1878" i="1"/>
  <c r="K1879" i="1"/>
  <c r="M1879" i="1"/>
  <c r="N1879" i="1"/>
  <c r="K1880" i="1"/>
  <c r="M1880" i="1"/>
  <c r="N1880" i="1"/>
  <c r="K1881" i="1"/>
  <c r="M1881" i="1"/>
  <c r="N1881" i="1"/>
  <c r="K1882" i="1"/>
  <c r="M1882" i="1"/>
  <c r="N1882" i="1"/>
  <c r="K1883" i="1"/>
  <c r="M1883" i="1"/>
  <c r="N1883" i="1"/>
  <c r="K1884" i="1"/>
  <c r="M1884" i="1"/>
  <c r="N1884" i="1"/>
  <c r="K1885" i="1"/>
  <c r="M1885" i="1"/>
  <c r="N1885" i="1"/>
  <c r="K1886" i="1"/>
  <c r="M1886" i="1"/>
  <c r="N1886" i="1"/>
  <c r="K1887" i="1"/>
  <c r="M1887" i="1"/>
  <c r="N1887" i="1"/>
  <c r="K1888" i="1"/>
  <c r="M1888" i="1"/>
  <c r="N1888" i="1"/>
  <c r="K1889" i="1"/>
  <c r="M1889" i="1"/>
  <c r="N1889" i="1"/>
  <c r="K1890" i="1"/>
  <c r="M1890" i="1"/>
  <c r="N1890" i="1"/>
  <c r="K1891" i="1"/>
  <c r="M1891" i="1"/>
  <c r="N1891" i="1"/>
  <c r="K1892" i="1"/>
  <c r="M1892" i="1"/>
  <c r="N1892" i="1"/>
  <c r="K1893" i="1"/>
  <c r="M1893" i="1"/>
  <c r="N1893" i="1"/>
  <c r="K1894" i="1"/>
  <c r="M1894" i="1"/>
  <c r="N1894" i="1"/>
  <c r="K1895" i="1"/>
  <c r="M1895" i="1"/>
  <c r="N1895" i="1"/>
  <c r="K1896" i="1"/>
  <c r="M1896" i="1"/>
  <c r="N1896" i="1"/>
  <c r="K1897" i="1"/>
  <c r="M1897" i="1"/>
  <c r="N1897" i="1"/>
  <c r="K1898" i="1"/>
  <c r="M1898" i="1"/>
  <c r="N1898" i="1"/>
  <c r="K1899" i="1"/>
  <c r="M1899" i="1"/>
  <c r="N1899" i="1"/>
  <c r="K1900" i="1"/>
  <c r="M1900" i="1"/>
  <c r="N1900" i="1"/>
  <c r="K1901" i="1"/>
  <c r="M1901" i="1"/>
  <c r="N1901" i="1"/>
  <c r="K1902" i="1"/>
  <c r="M1902" i="1"/>
  <c r="N1902" i="1"/>
  <c r="K1903" i="1"/>
  <c r="M1903" i="1"/>
  <c r="N1903" i="1"/>
  <c r="K1904" i="1"/>
  <c r="M1904" i="1"/>
  <c r="N1904" i="1"/>
  <c r="K1905" i="1"/>
  <c r="M1905" i="1"/>
  <c r="N1905" i="1"/>
  <c r="K1906" i="1"/>
  <c r="M1906" i="1"/>
  <c r="N1906" i="1"/>
  <c r="K1907" i="1"/>
  <c r="M1907" i="1"/>
  <c r="N1907" i="1"/>
  <c r="K1908" i="1"/>
  <c r="M1908" i="1"/>
  <c r="N1908" i="1"/>
  <c r="K1909" i="1"/>
  <c r="M1909" i="1"/>
  <c r="N1909" i="1"/>
  <c r="K1910" i="1"/>
  <c r="M1910" i="1"/>
  <c r="N1910" i="1"/>
  <c r="K1911" i="1"/>
  <c r="M1911" i="1"/>
  <c r="N1911" i="1"/>
  <c r="K1912" i="1"/>
  <c r="M1912" i="1"/>
  <c r="N1912" i="1"/>
  <c r="K1913" i="1"/>
  <c r="M1913" i="1"/>
  <c r="N1913" i="1"/>
  <c r="K1914" i="1"/>
  <c r="M1914" i="1"/>
  <c r="N1914" i="1"/>
  <c r="K1915" i="1"/>
  <c r="M1915" i="1"/>
  <c r="N1915" i="1"/>
  <c r="K1916" i="1"/>
  <c r="M1916" i="1"/>
  <c r="N1916" i="1"/>
  <c r="K1917" i="1"/>
  <c r="M1917" i="1"/>
  <c r="N1917" i="1"/>
  <c r="K1918" i="1"/>
  <c r="M1918" i="1"/>
  <c r="N1918" i="1"/>
  <c r="K1919" i="1"/>
  <c r="M1919" i="1"/>
  <c r="N1919" i="1"/>
  <c r="K1920" i="1"/>
  <c r="M1920" i="1"/>
  <c r="N1920" i="1"/>
  <c r="K1921" i="1"/>
  <c r="M1921" i="1"/>
  <c r="N1921" i="1"/>
  <c r="K1922" i="1"/>
  <c r="M1922" i="1"/>
  <c r="N1922" i="1"/>
  <c r="K1923" i="1"/>
  <c r="M1923" i="1"/>
  <c r="N1923" i="1"/>
  <c r="K1924" i="1"/>
  <c r="M1924" i="1"/>
  <c r="N1924" i="1"/>
  <c r="K1925" i="1"/>
  <c r="M1925" i="1"/>
  <c r="N1925" i="1"/>
  <c r="K1926" i="1"/>
  <c r="M1926" i="1"/>
  <c r="N1926" i="1"/>
  <c r="K1927" i="1"/>
  <c r="M1927" i="1"/>
  <c r="N1927" i="1"/>
  <c r="K1928" i="1"/>
  <c r="M1928" i="1"/>
  <c r="N1928" i="1"/>
  <c r="K1929" i="1"/>
  <c r="M1929" i="1"/>
  <c r="N1929" i="1"/>
  <c r="K1930" i="1"/>
  <c r="M1930" i="1"/>
  <c r="N1930" i="1"/>
  <c r="K1931" i="1"/>
  <c r="M1931" i="1"/>
  <c r="N1931" i="1"/>
  <c r="K1932" i="1"/>
  <c r="M1932" i="1"/>
  <c r="N1932" i="1"/>
  <c r="K1933" i="1"/>
  <c r="M1933" i="1"/>
  <c r="N1933" i="1"/>
  <c r="K1934" i="1"/>
  <c r="M1934" i="1"/>
  <c r="N1934" i="1"/>
  <c r="K1935" i="1"/>
  <c r="M1935" i="1"/>
  <c r="N1935" i="1"/>
  <c r="K1936" i="1"/>
  <c r="M1936" i="1"/>
  <c r="N1936" i="1"/>
  <c r="K1937" i="1"/>
  <c r="M1937" i="1"/>
  <c r="N1937" i="1"/>
  <c r="K1938" i="1"/>
  <c r="M1938" i="1"/>
  <c r="N1938" i="1"/>
  <c r="K1939" i="1"/>
  <c r="M1939" i="1"/>
  <c r="N1939" i="1"/>
  <c r="K1940" i="1"/>
  <c r="M1940" i="1"/>
  <c r="N1940" i="1"/>
  <c r="K1941" i="1"/>
  <c r="M1941" i="1"/>
  <c r="N1941" i="1"/>
  <c r="K1942" i="1"/>
  <c r="M1942" i="1"/>
  <c r="N1942" i="1"/>
  <c r="K1943" i="1"/>
  <c r="M1943" i="1"/>
  <c r="N1943" i="1"/>
  <c r="K1944" i="1"/>
  <c r="M1944" i="1"/>
  <c r="N1944" i="1"/>
  <c r="K1945" i="1"/>
  <c r="M1945" i="1"/>
  <c r="N1945" i="1"/>
  <c r="K1946" i="1"/>
  <c r="M1946" i="1"/>
  <c r="N1946" i="1"/>
  <c r="K1947" i="1"/>
  <c r="M1947" i="1"/>
  <c r="N1947" i="1"/>
  <c r="K1948" i="1"/>
  <c r="M1948" i="1"/>
  <c r="N1948" i="1"/>
  <c r="K1949" i="1"/>
  <c r="M1949" i="1"/>
  <c r="N1949" i="1"/>
  <c r="K1950" i="1"/>
  <c r="M1950" i="1"/>
  <c r="N1950" i="1"/>
  <c r="K1951" i="1"/>
  <c r="M1951" i="1"/>
  <c r="N1951" i="1"/>
  <c r="K1952" i="1"/>
  <c r="M1952" i="1"/>
  <c r="N1952" i="1"/>
  <c r="K1953" i="1"/>
  <c r="M1953" i="1"/>
  <c r="N1953" i="1"/>
  <c r="K1954" i="1"/>
  <c r="M1954" i="1"/>
  <c r="N1954" i="1"/>
  <c r="K1955" i="1"/>
  <c r="M1955" i="1"/>
  <c r="N1955" i="1"/>
  <c r="K1956" i="1"/>
  <c r="M1956" i="1"/>
  <c r="N1956" i="1"/>
  <c r="K1957" i="1"/>
  <c r="M1957" i="1"/>
  <c r="N1957" i="1"/>
  <c r="K1958" i="1"/>
  <c r="M1958" i="1"/>
  <c r="N1958" i="1"/>
  <c r="K1959" i="1"/>
  <c r="M1959" i="1"/>
  <c r="N1959" i="1"/>
  <c r="K1960" i="1"/>
  <c r="M1960" i="1"/>
  <c r="N1960" i="1"/>
  <c r="K1961" i="1"/>
  <c r="M1961" i="1"/>
  <c r="N1961" i="1"/>
  <c r="K1962" i="1"/>
  <c r="M1962" i="1"/>
  <c r="N1962" i="1"/>
  <c r="K1963" i="1"/>
  <c r="M1963" i="1"/>
  <c r="N1963" i="1"/>
  <c r="K1964" i="1"/>
  <c r="M1964" i="1"/>
  <c r="N1964" i="1"/>
  <c r="K1965" i="1"/>
  <c r="M1965" i="1"/>
  <c r="N1965" i="1"/>
  <c r="K1966" i="1"/>
  <c r="M1966" i="1"/>
  <c r="N1966" i="1"/>
  <c r="K1967" i="1"/>
  <c r="M1967" i="1"/>
  <c r="N1967" i="1"/>
  <c r="K1968" i="1"/>
  <c r="M1968" i="1"/>
  <c r="N1968" i="1"/>
  <c r="K1969" i="1"/>
  <c r="M1969" i="1"/>
  <c r="N1969" i="1"/>
  <c r="K1970" i="1"/>
  <c r="M1970" i="1"/>
  <c r="N1970" i="1"/>
  <c r="K1971" i="1"/>
  <c r="M1971" i="1"/>
  <c r="N1971" i="1"/>
  <c r="K1972" i="1"/>
  <c r="M1972" i="1"/>
  <c r="N1972" i="1"/>
  <c r="K1973" i="1"/>
  <c r="M1973" i="1"/>
  <c r="N1973" i="1"/>
  <c r="K1974" i="1"/>
  <c r="M1974" i="1"/>
  <c r="N1974" i="1"/>
  <c r="K1975" i="1"/>
  <c r="M1975" i="1"/>
  <c r="N1975" i="1"/>
  <c r="K1976" i="1"/>
  <c r="M1976" i="1"/>
  <c r="N1976" i="1"/>
  <c r="K1977" i="1"/>
  <c r="M1977" i="1"/>
  <c r="N1977" i="1"/>
  <c r="K1978" i="1"/>
  <c r="M1978" i="1"/>
  <c r="N1978" i="1"/>
  <c r="K1979" i="1"/>
  <c r="M1979" i="1"/>
  <c r="N1979" i="1"/>
  <c r="K1980" i="1"/>
  <c r="M1980" i="1"/>
  <c r="N1980" i="1"/>
  <c r="K1981" i="1"/>
  <c r="M1981" i="1"/>
  <c r="N1981" i="1"/>
  <c r="K1982" i="1"/>
  <c r="M1982" i="1"/>
  <c r="N1982" i="1"/>
  <c r="K1983" i="1"/>
  <c r="M1983" i="1"/>
  <c r="N1983" i="1"/>
  <c r="K1984" i="1"/>
  <c r="M1984" i="1"/>
  <c r="N1984" i="1"/>
  <c r="K1985" i="1"/>
  <c r="M1985" i="1"/>
  <c r="N1985" i="1"/>
  <c r="K1986" i="1"/>
  <c r="M1986" i="1"/>
  <c r="N1986" i="1"/>
  <c r="K1987" i="1"/>
  <c r="M1987" i="1"/>
  <c r="N1987" i="1"/>
  <c r="K1988" i="1"/>
  <c r="M1988" i="1"/>
  <c r="N1988" i="1"/>
  <c r="K1989" i="1"/>
  <c r="M1989" i="1"/>
  <c r="N1989" i="1"/>
  <c r="K1990" i="1"/>
  <c r="M1990" i="1"/>
  <c r="N1990" i="1"/>
  <c r="K1991" i="1"/>
  <c r="M1991" i="1"/>
  <c r="N1991" i="1"/>
  <c r="K1992" i="1"/>
  <c r="M1992" i="1"/>
  <c r="N1992" i="1"/>
  <c r="K1993" i="1"/>
  <c r="M1993" i="1"/>
  <c r="N1993" i="1"/>
  <c r="K1994" i="1"/>
  <c r="M1994" i="1"/>
  <c r="N1994" i="1"/>
  <c r="K1995" i="1"/>
  <c r="M1995" i="1"/>
  <c r="N1995" i="1"/>
  <c r="K1996" i="1"/>
  <c r="M1996" i="1"/>
  <c r="N1996" i="1"/>
  <c r="K1997" i="1"/>
  <c r="M1997" i="1"/>
  <c r="N1997" i="1"/>
  <c r="K1998" i="1"/>
  <c r="M1998" i="1"/>
  <c r="N1998" i="1"/>
  <c r="K1999" i="1"/>
  <c r="M1999" i="1"/>
  <c r="N1999" i="1"/>
  <c r="K2000" i="1"/>
  <c r="M2000" i="1"/>
  <c r="N2000" i="1"/>
  <c r="K2001" i="1"/>
  <c r="M2001" i="1"/>
  <c r="N2001" i="1"/>
  <c r="K2002" i="1"/>
  <c r="M2002" i="1"/>
  <c r="N2002" i="1"/>
  <c r="K2003" i="1"/>
  <c r="M2003" i="1"/>
  <c r="N2003" i="1"/>
  <c r="K2004" i="1"/>
  <c r="M2004" i="1"/>
  <c r="N2004" i="1"/>
  <c r="K2005" i="1"/>
  <c r="M2005" i="1"/>
  <c r="N2005" i="1"/>
  <c r="K2006" i="1"/>
  <c r="M2006" i="1"/>
  <c r="N2006" i="1"/>
  <c r="K2007" i="1"/>
  <c r="M2007" i="1"/>
  <c r="N2007" i="1"/>
  <c r="K2008" i="1"/>
  <c r="M2008" i="1"/>
  <c r="N2008" i="1"/>
  <c r="K2009" i="1"/>
  <c r="M2009" i="1"/>
  <c r="N2009" i="1"/>
  <c r="K2010" i="1"/>
  <c r="M2010" i="1"/>
  <c r="N2010" i="1"/>
  <c r="K2011" i="1"/>
  <c r="M2011" i="1"/>
  <c r="N2011" i="1"/>
  <c r="K2012" i="1"/>
  <c r="M2012" i="1"/>
  <c r="N2012" i="1"/>
  <c r="K2013" i="1"/>
  <c r="M2013" i="1"/>
  <c r="N2013" i="1"/>
  <c r="K2014" i="1"/>
  <c r="M2014" i="1"/>
  <c r="N2014" i="1"/>
  <c r="K2015" i="1"/>
  <c r="M2015" i="1"/>
  <c r="N2015" i="1"/>
  <c r="K2016" i="1"/>
  <c r="M2016" i="1"/>
  <c r="N2016" i="1"/>
  <c r="K2017" i="1"/>
  <c r="M2017" i="1"/>
  <c r="N2017" i="1"/>
  <c r="K2018" i="1"/>
  <c r="M2018" i="1"/>
  <c r="N2018" i="1"/>
  <c r="K2019" i="1"/>
  <c r="M2019" i="1"/>
  <c r="N2019" i="1"/>
  <c r="K2020" i="1"/>
  <c r="M2020" i="1"/>
  <c r="N2020" i="1"/>
  <c r="K2021" i="1"/>
  <c r="M2021" i="1"/>
  <c r="N2021" i="1"/>
  <c r="K2022" i="1"/>
  <c r="M2022" i="1"/>
  <c r="N2022" i="1"/>
  <c r="K2023" i="1"/>
  <c r="M2023" i="1"/>
  <c r="N2023" i="1"/>
  <c r="K2024" i="1"/>
  <c r="M2024" i="1"/>
  <c r="N2024" i="1"/>
  <c r="K2025" i="1"/>
  <c r="M2025" i="1"/>
  <c r="N2025" i="1"/>
  <c r="K2026" i="1"/>
  <c r="M2026" i="1"/>
  <c r="N2026" i="1"/>
  <c r="K2027" i="1"/>
  <c r="M2027" i="1"/>
  <c r="N2027" i="1"/>
  <c r="K2028" i="1"/>
  <c r="M2028" i="1"/>
  <c r="N2028" i="1"/>
  <c r="K2029" i="1"/>
  <c r="M2029" i="1"/>
  <c r="N2029" i="1"/>
  <c r="K2030" i="1"/>
  <c r="M2030" i="1"/>
  <c r="N2030" i="1"/>
  <c r="K2031" i="1"/>
  <c r="M2031" i="1"/>
  <c r="N2031" i="1"/>
  <c r="K2032" i="1"/>
  <c r="M2032" i="1"/>
  <c r="N2032" i="1"/>
  <c r="K2033" i="1"/>
  <c r="M2033" i="1"/>
  <c r="N2033" i="1"/>
  <c r="K2034" i="1"/>
  <c r="M2034" i="1"/>
  <c r="N2034" i="1"/>
  <c r="K2035" i="1"/>
  <c r="M2035" i="1"/>
  <c r="N2035" i="1"/>
  <c r="K2036" i="1"/>
  <c r="M2036" i="1"/>
  <c r="N2036" i="1"/>
  <c r="K2037" i="1"/>
  <c r="M2037" i="1"/>
  <c r="N2037" i="1"/>
  <c r="K2038" i="1"/>
  <c r="M2038" i="1"/>
  <c r="N2038" i="1"/>
  <c r="K2039" i="1"/>
  <c r="M2039" i="1"/>
  <c r="N2039" i="1"/>
  <c r="K2040" i="1"/>
  <c r="M2040" i="1"/>
  <c r="N2040" i="1"/>
  <c r="K2041" i="1"/>
  <c r="M2041" i="1"/>
  <c r="N2041" i="1"/>
  <c r="K2042" i="1"/>
  <c r="M2042" i="1"/>
  <c r="N2042" i="1"/>
  <c r="K2043" i="1"/>
  <c r="M2043" i="1"/>
  <c r="N2043" i="1"/>
  <c r="K2044" i="1"/>
  <c r="M2044" i="1"/>
  <c r="N2044" i="1"/>
  <c r="K2045" i="1"/>
  <c r="M2045" i="1"/>
  <c r="N2045" i="1"/>
  <c r="K2046" i="1"/>
  <c r="M2046" i="1"/>
  <c r="N2046" i="1"/>
  <c r="K2047" i="1"/>
  <c r="M2047" i="1"/>
  <c r="N2047" i="1"/>
  <c r="K2048" i="1"/>
  <c r="M2048" i="1"/>
  <c r="N2048" i="1"/>
  <c r="K2049" i="1"/>
  <c r="M2049" i="1"/>
  <c r="N2049" i="1"/>
  <c r="K2050" i="1"/>
  <c r="M2050" i="1"/>
  <c r="N2050" i="1"/>
  <c r="K2051" i="1"/>
  <c r="M2051" i="1"/>
  <c r="N2051" i="1"/>
  <c r="K2052" i="1"/>
  <c r="M2052" i="1"/>
  <c r="N2052" i="1"/>
  <c r="K2053" i="1"/>
  <c r="M2053" i="1"/>
  <c r="N2053" i="1"/>
  <c r="K2054" i="1"/>
  <c r="M2054" i="1"/>
  <c r="N2054" i="1"/>
  <c r="K2055" i="1"/>
  <c r="M2055" i="1"/>
  <c r="N2055" i="1"/>
  <c r="K2056" i="1"/>
  <c r="M2056" i="1"/>
  <c r="N2056" i="1"/>
  <c r="K2057" i="1"/>
  <c r="M2057" i="1"/>
  <c r="N2057" i="1"/>
  <c r="K2058" i="1"/>
  <c r="M2058" i="1"/>
  <c r="N2058" i="1"/>
  <c r="K2059" i="1"/>
  <c r="M2059" i="1"/>
  <c r="N2059" i="1"/>
  <c r="K2060" i="1"/>
  <c r="M2060" i="1"/>
  <c r="N2060" i="1"/>
  <c r="K2061" i="1"/>
  <c r="M2061" i="1"/>
  <c r="N2061" i="1"/>
  <c r="K2062" i="1"/>
  <c r="M2062" i="1"/>
  <c r="N2062" i="1"/>
  <c r="K2063" i="1"/>
  <c r="M2063" i="1"/>
  <c r="N2063" i="1"/>
  <c r="K2064" i="1"/>
  <c r="M2064" i="1"/>
  <c r="N2064" i="1"/>
  <c r="K2065" i="1"/>
  <c r="M2065" i="1"/>
  <c r="N2065" i="1"/>
  <c r="K2066" i="1"/>
  <c r="M2066" i="1"/>
  <c r="N2066" i="1"/>
  <c r="K2067" i="1"/>
  <c r="M2067" i="1"/>
  <c r="N2067" i="1"/>
  <c r="K2068" i="1"/>
  <c r="M2068" i="1"/>
  <c r="N2068" i="1"/>
  <c r="K2069" i="1"/>
  <c r="M2069" i="1"/>
  <c r="N2069" i="1"/>
  <c r="K2070" i="1"/>
  <c r="M2070" i="1"/>
  <c r="N2070" i="1"/>
  <c r="K2071" i="1"/>
  <c r="M2071" i="1"/>
  <c r="N2071" i="1"/>
  <c r="K2072" i="1"/>
  <c r="M2072" i="1"/>
  <c r="N2072" i="1"/>
  <c r="K2073" i="1"/>
  <c r="M2073" i="1"/>
  <c r="N2073" i="1"/>
  <c r="K2074" i="1"/>
  <c r="M2074" i="1"/>
  <c r="N2074" i="1"/>
  <c r="K2075" i="1"/>
  <c r="M2075" i="1"/>
  <c r="N2075" i="1"/>
  <c r="K2076" i="1"/>
  <c r="M2076" i="1"/>
  <c r="N2076" i="1"/>
  <c r="K2077" i="1"/>
  <c r="M2077" i="1"/>
  <c r="N2077" i="1"/>
  <c r="K2078" i="1"/>
  <c r="M2078" i="1"/>
  <c r="N2078" i="1"/>
  <c r="K2079" i="1"/>
  <c r="M2079" i="1"/>
  <c r="N2079" i="1"/>
  <c r="K2080" i="1"/>
  <c r="M2080" i="1"/>
  <c r="N2080" i="1"/>
  <c r="K2081" i="1"/>
  <c r="M2081" i="1"/>
  <c r="N2081" i="1"/>
  <c r="K2082" i="1"/>
  <c r="M2082" i="1"/>
  <c r="N2082" i="1"/>
  <c r="K2083" i="1"/>
  <c r="M2083" i="1"/>
  <c r="N2083" i="1"/>
  <c r="K2084" i="1"/>
  <c r="M2084" i="1"/>
  <c r="N2084" i="1"/>
  <c r="K2085" i="1"/>
  <c r="M2085" i="1"/>
  <c r="N2085" i="1"/>
  <c r="K2086" i="1"/>
  <c r="M2086" i="1"/>
  <c r="N2086" i="1"/>
  <c r="K2087" i="1"/>
  <c r="M2087" i="1"/>
  <c r="N2087" i="1"/>
  <c r="K2088" i="1"/>
  <c r="M2088" i="1"/>
  <c r="N2088" i="1"/>
  <c r="K2089" i="1"/>
  <c r="M2089" i="1"/>
  <c r="N2089" i="1"/>
  <c r="K2090" i="1"/>
  <c r="M2090" i="1"/>
  <c r="N2090" i="1"/>
  <c r="K2091" i="1"/>
  <c r="M2091" i="1"/>
  <c r="N2091" i="1"/>
  <c r="K2092" i="1"/>
  <c r="M2092" i="1"/>
  <c r="N2092" i="1"/>
  <c r="K2093" i="1"/>
  <c r="M2093" i="1"/>
  <c r="N2093" i="1"/>
  <c r="K2094" i="1"/>
  <c r="M2094" i="1"/>
  <c r="N2094" i="1"/>
  <c r="K2095" i="1"/>
  <c r="M2095" i="1"/>
  <c r="N2095" i="1"/>
  <c r="K2096" i="1"/>
  <c r="M2096" i="1"/>
  <c r="N2096" i="1"/>
  <c r="K2097" i="1"/>
  <c r="M2097" i="1"/>
  <c r="N2097" i="1"/>
  <c r="K2098" i="1"/>
  <c r="M2098" i="1"/>
  <c r="N2098" i="1"/>
  <c r="K2099" i="1"/>
  <c r="M2099" i="1"/>
  <c r="N2099" i="1"/>
  <c r="K2100" i="1"/>
  <c r="M2100" i="1"/>
  <c r="N2100" i="1"/>
  <c r="K2101" i="1"/>
  <c r="M2101" i="1"/>
  <c r="N2101" i="1"/>
  <c r="K2102" i="1"/>
  <c r="M2102" i="1"/>
  <c r="N2102" i="1"/>
  <c r="K2103" i="1"/>
  <c r="M2103" i="1"/>
  <c r="N2103" i="1"/>
  <c r="K2104" i="1"/>
  <c r="M2104" i="1"/>
  <c r="N2104" i="1"/>
  <c r="K2105" i="1"/>
  <c r="M2105" i="1"/>
  <c r="N2105" i="1"/>
  <c r="K2106" i="1"/>
  <c r="M2106" i="1"/>
  <c r="N2106" i="1"/>
  <c r="K2107" i="1"/>
  <c r="M2107" i="1"/>
  <c r="N2107" i="1"/>
  <c r="K2108" i="1"/>
  <c r="M2108" i="1"/>
  <c r="N2108" i="1"/>
  <c r="K2109" i="1"/>
  <c r="M2109" i="1"/>
  <c r="N2109" i="1"/>
  <c r="K2110" i="1"/>
  <c r="M2110" i="1"/>
  <c r="N2110" i="1"/>
  <c r="K2111" i="1"/>
  <c r="M2111" i="1"/>
  <c r="N2111" i="1"/>
  <c r="K2112" i="1"/>
  <c r="M2112" i="1"/>
  <c r="N2112" i="1"/>
  <c r="K2113" i="1"/>
  <c r="M2113" i="1"/>
  <c r="N2113" i="1"/>
  <c r="K2114" i="1"/>
  <c r="M2114" i="1"/>
  <c r="N2114" i="1"/>
  <c r="K2115" i="1"/>
  <c r="M2115" i="1"/>
  <c r="N2115" i="1"/>
  <c r="K2116" i="1"/>
  <c r="M2116" i="1"/>
  <c r="N2116" i="1"/>
  <c r="K2117" i="1"/>
  <c r="M2117" i="1"/>
  <c r="N2117" i="1"/>
  <c r="K2118" i="1"/>
  <c r="M2118" i="1"/>
  <c r="N2118" i="1"/>
  <c r="K2119" i="1"/>
  <c r="M2119" i="1"/>
  <c r="N2119" i="1"/>
  <c r="K2120" i="1"/>
  <c r="M2120" i="1"/>
  <c r="N2120" i="1"/>
  <c r="K2121" i="1"/>
  <c r="M2121" i="1"/>
  <c r="N2121" i="1"/>
  <c r="K2122" i="1"/>
  <c r="M2122" i="1"/>
  <c r="N2122" i="1"/>
  <c r="K2123" i="1"/>
  <c r="M2123" i="1"/>
  <c r="N2123" i="1"/>
  <c r="K2124" i="1"/>
  <c r="M2124" i="1"/>
  <c r="N2124" i="1"/>
  <c r="K2125" i="1"/>
  <c r="M2125" i="1"/>
  <c r="N2125" i="1"/>
  <c r="K2126" i="1"/>
  <c r="M2126" i="1"/>
  <c r="N2126" i="1"/>
  <c r="K2127" i="1"/>
  <c r="M2127" i="1"/>
  <c r="N2127" i="1"/>
  <c r="K2128" i="1"/>
  <c r="M2128" i="1"/>
  <c r="N2128" i="1"/>
  <c r="K2129" i="1"/>
  <c r="M2129" i="1"/>
  <c r="N2129" i="1"/>
  <c r="K2130" i="1"/>
  <c r="M2130" i="1"/>
  <c r="N2130" i="1"/>
  <c r="K2131" i="1"/>
  <c r="M2131" i="1"/>
  <c r="N2131" i="1"/>
  <c r="K2132" i="1"/>
  <c r="M2132" i="1"/>
  <c r="N2132" i="1"/>
  <c r="K2133" i="1"/>
  <c r="M2133" i="1"/>
  <c r="N2133" i="1"/>
  <c r="K2134" i="1"/>
  <c r="M2134" i="1"/>
  <c r="N2134" i="1"/>
  <c r="K2135" i="1"/>
  <c r="M2135" i="1"/>
  <c r="N2135" i="1"/>
  <c r="K2136" i="1"/>
  <c r="M2136" i="1"/>
  <c r="N2136" i="1"/>
  <c r="K2137" i="1"/>
  <c r="M2137" i="1"/>
  <c r="N2137" i="1"/>
  <c r="K2138" i="1"/>
  <c r="M2138" i="1"/>
  <c r="N2138" i="1"/>
  <c r="K2139" i="1"/>
  <c r="M2139" i="1"/>
  <c r="N2139" i="1"/>
  <c r="K2140" i="1"/>
  <c r="M2140" i="1"/>
  <c r="N2140" i="1"/>
  <c r="K2141" i="1"/>
  <c r="M2141" i="1"/>
  <c r="N2141" i="1"/>
  <c r="K2142" i="1"/>
  <c r="M2142" i="1"/>
  <c r="N2142" i="1"/>
  <c r="K2143" i="1"/>
  <c r="M2143" i="1"/>
  <c r="N2143" i="1"/>
  <c r="K2144" i="1"/>
  <c r="M2144" i="1"/>
  <c r="N2144" i="1"/>
  <c r="K2145" i="1"/>
  <c r="M2145" i="1"/>
  <c r="N2145" i="1"/>
  <c r="K2146" i="1"/>
  <c r="M2146" i="1"/>
  <c r="N2146" i="1"/>
  <c r="K2147" i="1"/>
  <c r="M2147" i="1"/>
  <c r="N2147" i="1"/>
  <c r="K2148" i="1"/>
  <c r="M2148" i="1"/>
  <c r="N2148" i="1"/>
  <c r="K2149" i="1"/>
  <c r="M2149" i="1"/>
  <c r="N2149" i="1"/>
  <c r="K2150" i="1"/>
  <c r="M2150" i="1"/>
  <c r="N2150" i="1"/>
  <c r="K2151" i="1"/>
  <c r="M2151" i="1"/>
  <c r="N2151" i="1"/>
  <c r="K2152" i="1"/>
  <c r="M2152" i="1"/>
  <c r="N2152" i="1"/>
  <c r="K2153" i="1"/>
  <c r="M2153" i="1"/>
  <c r="N2153" i="1"/>
  <c r="K2154" i="1"/>
  <c r="M2154" i="1"/>
  <c r="N2154" i="1"/>
  <c r="K2155" i="1"/>
  <c r="M2155" i="1"/>
  <c r="N2155" i="1"/>
  <c r="K2156" i="1"/>
  <c r="M2156" i="1"/>
  <c r="N2156" i="1"/>
  <c r="K2157" i="1"/>
  <c r="M2157" i="1"/>
  <c r="N2157" i="1"/>
  <c r="K2158" i="1"/>
  <c r="M2158" i="1"/>
  <c r="N2158" i="1"/>
  <c r="K2159" i="1"/>
  <c r="M2159" i="1"/>
  <c r="N2159" i="1"/>
  <c r="K2160" i="1"/>
  <c r="M2160" i="1"/>
  <c r="N2160" i="1"/>
  <c r="K2161" i="1"/>
  <c r="M2161" i="1"/>
  <c r="N2161" i="1"/>
  <c r="K2162" i="1"/>
  <c r="M2162" i="1"/>
  <c r="N2162" i="1"/>
  <c r="K2163" i="1"/>
  <c r="M2163" i="1"/>
  <c r="N2163" i="1"/>
  <c r="K2164" i="1"/>
  <c r="M2164" i="1"/>
  <c r="N2164" i="1"/>
  <c r="K2165" i="1"/>
  <c r="M2165" i="1"/>
  <c r="N2165" i="1"/>
  <c r="K2166" i="1"/>
  <c r="M2166" i="1"/>
  <c r="N2166" i="1"/>
  <c r="K2167" i="1"/>
  <c r="M2167" i="1"/>
  <c r="N2167" i="1"/>
  <c r="K2168" i="1"/>
  <c r="M2168" i="1"/>
  <c r="N2168" i="1"/>
  <c r="K2169" i="1"/>
  <c r="M2169" i="1"/>
  <c r="N2169" i="1"/>
  <c r="K2170" i="1"/>
  <c r="M2170" i="1"/>
  <c r="N2170" i="1"/>
  <c r="K2171" i="1"/>
  <c r="M2171" i="1"/>
  <c r="N2171" i="1"/>
  <c r="K2172" i="1"/>
  <c r="M2172" i="1"/>
  <c r="N2172" i="1"/>
  <c r="K2173" i="1"/>
  <c r="M2173" i="1"/>
  <c r="N2173" i="1"/>
  <c r="K2174" i="1"/>
  <c r="M2174" i="1"/>
  <c r="N2174" i="1"/>
  <c r="K2175" i="1"/>
  <c r="M2175" i="1"/>
  <c r="N2175" i="1"/>
  <c r="K2176" i="1"/>
  <c r="M2176" i="1"/>
  <c r="N2176" i="1"/>
  <c r="K2177" i="1"/>
  <c r="M2177" i="1"/>
  <c r="N2177" i="1"/>
  <c r="K2178" i="1"/>
  <c r="M2178" i="1"/>
  <c r="N2178" i="1"/>
  <c r="K2179" i="1"/>
  <c r="M2179" i="1"/>
  <c r="N2179" i="1"/>
  <c r="K2180" i="1"/>
  <c r="M2180" i="1"/>
  <c r="N2180" i="1"/>
  <c r="K2181" i="1"/>
  <c r="M2181" i="1"/>
  <c r="N2181" i="1"/>
  <c r="K2182" i="1"/>
  <c r="M2182" i="1"/>
  <c r="N2182" i="1"/>
  <c r="K2183" i="1"/>
  <c r="M2183" i="1"/>
  <c r="N2183" i="1"/>
  <c r="K2184" i="1"/>
  <c r="M2184" i="1"/>
  <c r="N2184" i="1"/>
  <c r="K2185" i="1"/>
  <c r="M2185" i="1"/>
  <c r="N2185" i="1"/>
  <c r="K2186" i="1"/>
  <c r="M2186" i="1"/>
  <c r="N2186" i="1"/>
  <c r="K2187" i="1"/>
  <c r="M2187" i="1"/>
  <c r="N2187" i="1"/>
  <c r="K2188" i="1"/>
  <c r="M2188" i="1"/>
  <c r="N2188" i="1"/>
  <c r="K2189" i="1"/>
  <c r="M2189" i="1"/>
  <c r="N2189" i="1"/>
  <c r="K2190" i="1"/>
  <c r="M2190" i="1"/>
  <c r="N2190" i="1"/>
  <c r="K2191" i="1"/>
  <c r="M2191" i="1"/>
  <c r="N2191" i="1"/>
  <c r="K2192" i="1"/>
  <c r="M2192" i="1"/>
  <c r="N2192" i="1"/>
  <c r="K2193" i="1"/>
  <c r="M2193" i="1"/>
  <c r="N2193" i="1"/>
  <c r="K2194" i="1"/>
  <c r="M2194" i="1"/>
  <c r="N2194" i="1"/>
  <c r="K2195" i="1"/>
  <c r="M2195" i="1"/>
  <c r="N2195" i="1"/>
  <c r="K2196" i="1"/>
  <c r="M2196" i="1"/>
  <c r="N2196" i="1"/>
  <c r="K2197" i="1"/>
  <c r="M2197" i="1"/>
  <c r="N2197" i="1"/>
  <c r="K2198" i="1"/>
  <c r="M2198" i="1"/>
  <c r="N2198" i="1"/>
  <c r="K2199" i="1"/>
  <c r="M2199" i="1"/>
  <c r="N2199" i="1"/>
  <c r="K2200" i="1"/>
  <c r="M2200" i="1"/>
  <c r="N2200" i="1"/>
  <c r="K2201" i="1"/>
  <c r="M2201" i="1"/>
  <c r="N2201" i="1"/>
  <c r="K2202" i="1"/>
  <c r="M2202" i="1"/>
  <c r="N2202" i="1"/>
  <c r="K2203" i="1"/>
  <c r="M2203" i="1"/>
  <c r="N2203" i="1"/>
  <c r="K2204" i="1"/>
  <c r="M2204" i="1"/>
  <c r="N2204" i="1"/>
  <c r="K2205" i="1"/>
  <c r="M2205" i="1"/>
  <c r="N2205" i="1"/>
  <c r="K2206" i="1"/>
  <c r="M2206" i="1"/>
  <c r="N2206" i="1"/>
  <c r="K2207" i="1"/>
  <c r="M2207" i="1"/>
  <c r="N2207" i="1"/>
  <c r="K2208" i="1"/>
  <c r="M2208" i="1"/>
  <c r="N2208" i="1"/>
  <c r="K2209" i="1"/>
  <c r="M2209" i="1"/>
  <c r="N2209" i="1"/>
  <c r="K2210" i="1"/>
  <c r="M2210" i="1"/>
  <c r="N2210" i="1"/>
  <c r="K2211" i="1"/>
  <c r="M2211" i="1"/>
  <c r="N2211" i="1"/>
  <c r="K2212" i="1"/>
  <c r="M2212" i="1"/>
  <c r="N2212" i="1"/>
  <c r="K2213" i="1"/>
  <c r="M2213" i="1"/>
  <c r="N2213" i="1"/>
  <c r="K2214" i="1"/>
  <c r="M2214" i="1"/>
  <c r="N2214" i="1"/>
  <c r="K2215" i="1"/>
  <c r="M2215" i="1"/>
  <c r="N2215" i="1"/>
  <c r="K2216" i="1"/>
  <c r="M2216" i="1"/>
  <c r="N2216" i="1"/>
  <c r="K2217" i="1"/>
  <c r="M2217" i="1"/>
  <c r="N2217" i="1"/>
  <c r="K2218" i="1"/>
  <c r="M2218" i="1"/>
  <c r="N2218" i="1"/>
  <c r="K2219" i="1"/>
  <c r="M2219" i="1"/>
  <c r="N2219" i="1"/>
  <c r="K2220" i="1"/>
  <c r="M2220" i="1"/>
  <c r="N2220" i="1"/>
  <c r="K2221" i="1"/>
  <c r="M2221" i="1"/>
  <c r="N2221" i="1"/>
  <c r="K2222" i="1"/>
  <c r="M2222" i="1"/>
  <c r="N2222" i="1"/>
  <c r="K2223" i="1"/>
  <c r="M2223" i="1"/>
  <c r="N2223" i="1"/>
  <c r="K2224" i="1"/>
  <c r="M2224" i="1"/>
  <c r="N2224" i="1"/>
  <c r="K2225" i="1"/>
  <c r="M2225" i="1"/>
  <c r="N2225" i="1"/>
  <c r="K2226" i="1"/>
  <c r="M2226" i="1"/>
  <c r="N2226" i="1"/>
  <c r="K2227" i="1"/>
  <c r="M2227" i="1"/>
  <c r="N2227" i="1"/>
  <c r="K2228" i="1"/>
  <c r="M2228" i="1"/>
  <c r="N2228" i="1"/>
  <c r="K2229" i="1"/>
  <c r="M2229" i="1"/>
  <c r="N2229" i="1"/>
  <c r="K2230" i="1"/>
  <c r="M2230" i="1"/>
  <c r="N2230" i="1"/>
  <c r="K2231" i="1"/>
  <c r="M2231" i="1"/>
  <c r="N2231" i="1"/>
  <c r="K2232" i="1"/>
  <c r="M2232" i="1"/>
  <c r="N2232" i="1"/>
  <c r="K2233" i="1"/>
  <c r="M2233" i="1"/>
  <c r="N2233" i="1"/>
  <c r="K2234" i="1"/>
  <c r="M2234" i="1"/>
  <c r="N2234" i="1"/>
  <c r="K2235" i="1"/>
  <c r="M2235" i="1"/>
  <c r="N2235" i="1"/>
  <c r="K2236" i="1"/>
  <c r="M2236" i="1"/>
  <c r="N2236" i="1"/>
  <c r="K2237" i="1"/>
  <c r="M2237" i="1"/>
  <c r="N2237" i="1"/>
  <c r="K2238" i="1"/>
  <c r="M2238" i="1"/>
  <c r="N2238" i="1"/>
  <c r="K2239" i="1"/>
  <c r="M2239" i="1"/>
  <c r="N2239" i="1"/>
  <c r="K2240" i="1"/>
  <c r="M2240" i="1"/>
  <c r="N2240" i="1"/>
  <c r="K2241" i="1"/>
  <c r="M2241" i="1"/>
  <c r="N2241" i="1"/>
  <c r="K2242" i="1"/>
  <c r="M2242" i="1"/>
  <c r="N2242" i="1"/>
  <c r="K2243" i="1"/>
  <c r="M2243" i="1"/>
  <c r="N2243" i="1"/>
  <c r="K2244" i="1"/>
  <c r="M2244" i="1"/>
  <c r="N2244" i="1"/>
  <c r="K2245" i="1"/>
  <c r="M2245" i="1"/>
  <c r="N2245" i="1"/>
  <c r="K2246" i="1"/>
  <c r="M2246" i="1"/>
  <c r="N2246" i="1"/>
  <c r="K2247" i="1"/>
  <c r="M2247" i="1"/>
  <c r="N2247" i="1"/>
  <c r="K2248" i="1"/>
  <c r="M2248" i="1"/>
  <c r="N2248" i="1"/>
  <c r="K2249" i="1"/>
  <c r="M2249" i="1"/>
  <c r="N2249" i="1"/>
  <c r="K2250" i="1"/>
  <c r="M2250" i="1"/>
  <c r="N2250" i="1"/>
  <c r="K2251" i="1"/>
  <c r="M2251" i="1"/>
  <c r="N2251" i="1"/>
  <c r="K2252" i="1"/>
  <c r="M2252" i="1"/>
  <c r="N2252" i="1"/>
  <c r="K2253" i="1"/>
  <c r="M2253" i="1"/>
  <c r="N2253" i="1"/>
  <c r="K2254" i="1"/>
  <c r="M2254" i="1"/>
  <c r="N2254" i="1"/>
  <c r="K2255" i="1"/>
  <c r="M2255" i="1"/>
  <c r="N2255" i="1"/>
  <c r="K2256" i="1"/>
  <c r="M2256" i="1"/>
  <c r="N2256" i="1"/>
  <c r="K2257" i="1"/>
  <c r="M2257" i="1"/>
  <c r="N2257" i="1"/>
  <c r="K2258" i="1"/>
  <c r="M2258" i="1"/>
  <c r="N2258" i="1"/>
  <c r="K2259" i="1"/>
  <c r="M2259" i="1"/>
  <c r="N2259" i="1"/>
  <c r="K2260" i="1"/>
  <c r="M2260" i="1"/>
  <c r="N2260" i="1"/>
  <c r="K2261" i="1"/>
  <c r="M2261" i="1"/>
  <c r="N2261" i="1"/>
  <c r="K2262" i="1"/>
  <c r="M2262" i="1"/>
  <c r="N2262" i="1"/>
  <c r="K2263" i="1"/>
  <c r="M2263" i="1"/>
  <c r="N2263" i="1"/>
  <c r="K2264" i="1"/>
  <c r="M2264" i="1"/>
  <c r="N2264" i="1"/>
  <c r="K2265" i="1"/>
  <c r="M2265" i="1"/>
  <c r="N2265" i="1"/>
  <c r="K2266" i="1"/>
  <c r="M2266" i="1"/>
  <c r="N2266" i="1"/>
  <c r="K2267" i="1"/>
  <c r="M2267" i="1"/>
  <c r="N2267" i="1"/>
  <c r="K2268" i="1"/>
  <c r="M2268" i="1"/>
  <c r="N2268" i="1"/>
  <c r="K2269" i="1"/>
  <c r="M2269" i="1"/>
  <c r="N2269" i="1"/>
  <c r="K2270" i="1"/>
  <c r="M2270" i="1"/>
  <c r="N2270" i="1"/>
  <c r="K2271" i="1"/>
  <c r="M2271" i="1"/>
  <c r="N2271" i="1"/>
  <c r="K2272" i="1"/>
  <c r="M2272" i="1"/>
  <c r="N2272" i="1"/>
  <c r="K2273" i="1"/>
  <c r="M2273" i="1"/>
  <c r="N2273" i="1"/>
  <c r="K2274" i="1"/>
  <c r="M2274" i="1"/>
  <c r="N2274" i="1"/>
  <c r="K2275" i="1"/>
  <c r="M2275" i="1"/>
  <c r="N2275" i="1"/>
  <c r="K2276" i="1"/>
  <c r="M2276" i="1"/>
  <c r="N2276" i="1"/>
  <c r="K2277" i="1"/>
  <c r="M2277" i="1"/>
  <c r="N2277" i="1"/>
  <c r="K2278" i="1"/>
  <c r="M2278" i="1"/>
  <c r="N2278" i="1"/>
  <c r="K2279" i="1"/>
  <c r="M2279" i="1"/>
  <c r="N2279" i="1"/>
  <c r="K2280" i="1"/>
  <c r="M2280" i="1"/>
  <c r="N2280" i="1"/>
  <c r="K2281" i="1"/>
  <c r="M2281" i="1"/>
  <c r="N2281" i="1"/>
  <c r="K2282" i="1"/>
  <c r="M2282" i="1"/>
  <c r="N2282" i="1"/>
  <c r="K2283" i="1"/>
  <c r="M2283" i="1"/>
  <c r="N2283" i="1"/>
  <c r="K2284" i="1"/>
  <c r="M2284" i="1"/>
  <c r="N2284" i="1"/>
  <c r="K2285" i="1"/>
  <c r="M2285" i="1"/>
  <c r="N2285" i="1"/>
  <c r="K2286" i="1"/>
  <c r="M2286" i="1"/>
  <c r="N2286" i="1"/>
  <c r="K2287" i="1"/>
  <c r="M2287" i="1"/>
  <c r="N2287" i="1"/>
  <c r="K2288" i="1"/>
  <c r="M2288" i="1"/>
  <c r="N2288" i="1"/>
  <c r="K2289" i="1"/>
  <c r="M2289" i="1"/>
  <c r="N2289" i="1"/>
  <c r="K2290" i="1"/>
  <c r="M2290" i="1"/>
  <c r="N2290" i="1"/>
  <c r="K2291" i="1"/>
  <c r="M2291" i="1"/>
  <c r="N2291" i="1"/>
  <c r="K2292" i="1"/>
  <c r="M2292" i="1"/>
  <c r="N2292" i="1"/>
  <c r="K2293" i="1"/>
  <c r="M2293" i="1"/>
  <c r="N2293" i="1"/>
  <c r="K2294" i="1"/>
  <c r="M2294" i="1"/>
  <c r="N2294" i="1"/>
  <c r="K2295" i="1"/>
  <c r="M2295" i="1"/>
  <c r="N2295" i="1"/>
  <c r="K2296" i="1"/>
  <c r="M2296" i="1"/>
  <c r="N2296" i="1"/>
  <c r="K2297" i="1"/>
  <c r="M2297" i="1"/>
  <c r="N2297" i="1"/>
  <c r="K2298" i="1"/>
  <c r="M2298" i="1"/>
  <c r="N2298" i="1"/>
  <c r="K2299" i="1"/>
  <c r="M2299" i="1"/>
  <c r="N2299" i="1"/>
  <c r="K2300" i="1"/>
  <c r="M2300" i="1"/>
  <c r="N2300" i="1"/>
  <c r="K2301" i="1"/>
  <c r="M2301" i="1"/>
  <c r="N2301" i="1"/>
  <c r="K2302" i="1"/>
  <c r="M2302" i="1"/>
  <c r="N2302" i="1"/>
  <c r="K2303" i="1"/>
  <c r="M2303" i="1"/>
  <c r="N2303" i="1"/>
  <c r="K2304" i="1"/>
  <c r="M2304" i="1"/>
  <c r="N2304" i="1"/>
  <c r="K2305" i="1"/>
  <c r="M2305" i="1"/>
  <c r="N2305" i="1"/>
  <c r="K2306" i="1"/>
  <c r="M2306" i="1"/>
  <c r="N2306" i="1"/>
  <c r="K2307" i="1"/>
  <c r="M2307" i="1"/>
  <c r="N2307" i="1"/>
  <c r="K2308" i="1"/>
  <c r="M2308" i="1"/>
  <c r="N2308" i="1"/>
  <c r="K2309" i="1"/>
  <c r="M2309" i="1"/>
  <c r="N2309" i="1"/>
  <c r="K2310" i="1"/>
  <c r="M2310" i="1"/>
  <c r="N2310" i="1"/>
  <c r="K2311" i="1"/>
  <c r="M2311" i="1"/>
  <c r="N2311" i="1"/>
  <c r="K2312" i="1"/>
  <c r="M2312" i="1"/>
  <c r="N2312" i="1"/>
  <c r="K2313" i="1"/>
  <c r="M2313" i="1"/>
  <c r="N2313" i="1"/>
  <c r="K2314" i="1"/>
  <c r="M2314" i="1"/>
  <c r="N2314" i="1"/>
  <c r="K2315" i="1"/>
  <c r="M2315" i="1"/>
  <c r="N2315" i="1"/>
  <c r="K2316" i="1"/>
  <c r="M2316" i="1"/>
  <c r="N2316" i="1"/>
  <c r="K2317" i="1"/>
  <c r="M2317" i="1"/>
  <c r="N2317" i="1"/>
  <c r="K2318" i="1"/>
  <c r="M2318" i="1"/>
  <c r="N2318" i="1"/>
  <c r="K2319" i="1"/>
  <c r="M2319" i="1"/>
  <c r="N2319" i="1"/>
  <c r="K2320" i="1"/>
  <c r="M2320" i="1"/>
  <c r="N2320" i="1"/>
  <c r="K2321" i="1"/>
  <c r="M2321" i="1"/>
  <c r="N2321" i="1"/>
  <c r="K2322" i="1"/>
  <c r="M2322" i="1"/>
  <c r="N2322" i="1"/>
  <c r="K2323" i="1"/>
  <c r="M2323" i="1"/>
  <c r="N2323" i="1"/>
  <c r="K2324" i="1"/>
  <c r="M2324" i="1"/>
  <c r="N2324" i="1"/>
  <c r="K2325" i="1"/>
  <c r="M2325" i="1"/>
  <c r="N2325" i="1"/>
  <c r="K2326" i="1"/>
  <c r="M2326" i="1"/>
  <c r="N2326" i="1"/>
  <c r="K2327" i="1"/>
  <c r="M2327" i="1"/>
  <c r="N2327" i="1"/>
  <c r="K2328" i="1"/>
  <c r="M2328" i="1"/>
  <c r="N2328" i="1"/>
  <c r="K2329" i="1"/>
  <c r="M2329" i="1"/>
  <c r="N2329" i="1"/>
  <c r="K2330" i="1"/>
  <c r="M2330" i="1"/>
  <c r="N2330" i="1"/>
  <c r="K2331" i="1"/>
  <c r="M2331" i="1"/>
  <c r="N2331" i="1"/>
  <c r="K2332" i="1"/>
  <c r="M2332" i="1"/>
  <c r="N2332" i="1"/>
  <c r="K2333" i="1"/>
  <c r="M2333" i="1"/>
  <c r="N2333" i="1"/>
  <c r="K2334" i="1"/>
  <c r="M2334" i="1"/>
  <c r="N2334" i="1"/>
  <c r="K2335" i="1"/>
  <c r="M2335" i="1"/>
  <c r="N2335" i="1"/>
  <c r="K2336" i="1"/>
  <c r="M2336" i="1"/>
  <c r="N2336" i="1"/>
  <c r="K2337" i="1"/>
  <c r="M2337" i="1"/>
  <c r="N2337" i="1"/>
  <c r="K2338" i="1"/>
  <c r="M2338" i="1"/>
  <c r="N2338" i="1"/>
  <c r="K2339" i="1"/>
  <c r="M2339" i="1"/>
  <c r="N2339" i="1"/>
  <c r="K2340" i="1"/>
  <c r="M2340" i="1"/>
  <c r="N2340" i="1"/>
  <c r="K2341" i="1"/>
  <c r="M2341" i="1"/>
  <c r="N2341" i="1"/>
  <c r="K2342" i="1"/>
  <c r="M2342" i="1"/>
  <c r="N2342" i="1"/>
  <c r="K2343" i="1"/>
  <c r="M2343" i="1"/>
  <c r="N2343" i="1"/>
  <c r="K2344" i="1"/>
  <c r="M2344" i="1"/>
  <c r="N2344" i="1"/>
  <c r="K2345" i="1"/>
  <c r="M2345" i="1"/>
  <c r="N2345" i="1"/>
  <c r="K2346" i="1"/>
  <c r="M2346" i="1"/>
  <c r="N2346" i="1"/>
  <c r="K2347" i="1"/>
  <c r="M2347" i="1"/>
  <c r="N2347" i="1"/>
  <c r="K2348" i="1"/>
  <c r="M2348" i="1"/>
  <c r="N2348" i="1"/>
  <c r="K2349" i="1"/>
  <c r="M2349" i="1"/>
  <c r="N2349" i="1"/>
  <c r="K2350" i="1"/>
  <c r="M2350" i="1"/>
  <c r="N2350" i="1"/>
  <c r="K2351" i="1"/>
  <c r="M2351" i="1"/>
  <c r="N2351" i="1"/>
  <c r="K2352" i="1"/>
  <c r="M2352" i="1"/>
  <c r="N2352" i="1"/>
  <c r="K2353" i="1"/>
  <c r="M2353" i="1"/>
  <c r="N2353" i="1"/>
  <c r="K2354" i="1"/>
  <c r="M2354" i="1"/>
  <c r="N2354" i="1"/>
  <c r="K2355" i="1"/>
  <c r="M2355" i="1"/>
  <c r="N2355" i="1"/>
  <c r="K2356" i="1"/>
  <c r="M2356" i="1"/>
  <c r="N2356" i="1"/>
  <c r="K2357" i="1"/>
  <c r="M2357" i="1"/>
  <c r="N2357" i="1"/>
  <c r="K2358" i="1"/>
  <c r="M2358" i="1"/>
  <c r="N2358" i="1"/>
  <c r="K2359" i="1"/>
  <c r="M2359" i="1"/>
  <c r="N2359" i="1"/>
  <c r="K2360" i="1"/>
  <c r="M2360" i="1"/>
  <c r="N2360" i="1"/>
  <c r="K2361" i="1"/>
  <c r="M2361" i="1"/>
  <c r="N2361" i="1"/>
  <c r="K2362" i="1"/>
  <c r="M2362" i="1"/>
  <c r="N2362" i="1"/>
  <c r="K2363" i="1"/>
  <c r="M2363" i="1"/>
  <c r="N2363" i="1"/>
  <c r="K2364" i="1"/>
  <c r="M2364" i="1"/>
  <c r="N2364" i="1"/>
  <c r="K2365" i="1"/>
  <c r="M2365" i="1"/>
  <c r="N2365" i="1"/>
  <c r="K2366" i="1"/>
  <c r="M2366" i="1"/>
  <c r="N2366" i="1"/>
  <c r="K2367" i="1"/>
  <c r="M2367" i="1"/>
  <c r="N2367" i="1"/>
  <c r="K2368" i="1"/>
  <c r="M2368" i="1"/>
  <c r="N2368" i="1"/>
  <c r="K2369" i="1"/>
  <c r="M2369" i="1"/>
  <c r="N2369" i="1"/>
  <c r="K2370" i="1"/>
  <c r="M2370" i="1"/>
  <c r="N2370" i="1"/>
  <c r="K2371" i="1"/>
  <c r="M2371" i="1"/>
  <c r="N2371" i="1"/>
  <c r="K2372" i="1"/>
  <c r="M2372" i="1"/>
  <c r="N2372" i="1"/>
  <c r="K2373" i="1"/>
  <c r="M2373" i="1"/>
  <c r="N2373" i="1"/>
  <c r="K2374" i="1"/>
  <c r="M2374" i="1"/>
  <c r="N2374" i="1"/>
  <c r="K2375" i="1"/>
  <c r="M2375" i="1"/>
  <c r="N2375" i="1"/>
  <c r="K2376" i="1"/>
  <c r="M2376" i="1"/>
  <c r="N2376" i="1"/>
  <c r="K2377" i="1"/>
  <c r="M2377" i="1"/>
  <c r="N2377" i="1"/>
  <c r="K2378" i="1"/>
  <c r="M2378" i="1"/>
  <c r="N2378" i="1"/>
  <c r="K2379" i="1"/>
  <c r="M2379" i="1"/>
  <c r="N2379" i="1"/>
  <c r="K2380" i="1"/>
  <c r="M2380" i="1"/>
  <c r="N2380" i="1"/>
  <c r="K2381" i="1"/>
  <c r="M2381" i="1"/>
  <c r="N2381" i="1"/>
  <c r="K2382" i="1"/>
  <c r="M2382" i="1"/>
  <c r="N2382" i="1"/>
  <c r="K2383" i="1"/>
  <c r="M2383" i="1"/>
  <c r="N2383" i="1"/>
  <c r="K2384" i="1"/>
  <c r="M2384" i="1"/>
  <c r="N2384" i="1"/>
  <c r="K2385" i="1"/>
  <c r="M2385" i="1"/>
  <c r="N2385" i="1"/>
  <c r="K2386" i="1"/>
  <c r="M2386" i="1"/>
  <c r="N2386" i="1"/>
  <c r="K2387" i="1"/>
  <c r="M2387" i="1"/>
  <c r="N2387" i="1"/>
  <c r="K2388" i="1"/>
  <c r="M2388" i="1"/>
  <c r="N2388" i="1"/>
  <c r="K2389" i="1"/>
  <c r="M2389" i="1"/>
  <c r="N2389" i="1"/>
  <c r="K2390" i="1"/>
  <c r="M2390" i="1"/>
  <c r="N2390" i="1"/>
  <c r="K2391" i="1"/>
  <c r="M2391" i="1"/>
  <c r="N2391" i="1"/>
  <c r="K2392" i="1"/>
  <c r="M2392" i="1"/>
  <c r="N2392" i="1"/>
  <c r="K2393" i="1"/>
  <c r="M2393" i="1"/>
  <c r="N2393" i="1"/>
  <c r="K2394" i="1"/>
  <c r="M2394" i="1"/>
  <c r="N2394" i="1"/>
  <c r="K2395" i="1"/>
  <c r="M2395" i="1"/>
  <c r="N2395" i="1"/>
  <c r="K2396" i="1"/>
  <c r="M2396" i="1"/>
  <c r="N2396" i="1"/>
  <c r="K2397" i="1"/>
  <c r="M2397" i="1"/>
  <c r="N2397" i="1"/>
  <c r="K2398" i="1"/>
  <c r="M2398" i="1"/>
  <c r="N2398" i="1"/>
  <c r="K2399" i="1"/>
  <c r="M2399" i="1"/>
  <c r="N2399" i="1"/>
  <c r="K2400" i="1"/>
  <c r="M2400" i="1"/>
  <c r="N2400" i="1"/>
  <c r="K2401" i="1"/>
  <c r="M2401" i="1"/>
  <c r="N2401" i="1"/>
  <c r="K2402" i="1"/>
  <c r="M2402" i="1"/>
  <c r="N2402" i="1"/>
  <c r="K2403" i="1"/>
  <c r="M2403" i="1"/>
  <c r="N2403" i="1"/>
  <c r="K2404" i="1"/>
  <c r="M2404" i="1"/>
  <c r="N2404" i="1"/>
  <c r="K2405" i="1"/>
  <c r="M2405" i="1"/>
  <c r="N2405" i="1"/>
  <c r="K2406" i="1"/>
  <c r="M2406" i="1"/>
  <c r="N2406" i="1"/>
  <c r="K2407" i="1"/>
  <c r="M2407" i="1"/>
  <c r="N2407" i="1"/>
  <c r="K2408" i="1"/>
  <c r="M2408" i="1"/>
  <c r="N2408" i="1"/>
  <c r="K2409" i="1"/>
  <c r="M2409" i="1"/>
  <c r="N2409" i="1"/>
  <c r="K2410" i="1"/>
  <c r="M2410" i="1"/>
  <c r="N2410" i="1"/>
  <c r="K2411" i="1"/>
  <c r="M2411" i="1"/>
  <c r="N2411" i="1"/>
  <c r="K2412" i="1"/>
  <c r="M2412" i="1"/>
  <c r="N2412" i="1"/>
  <c r="K2413" i="1"/>
  <c r="M2413" i="1"/>
  <c r="N2413" i="1"/>
  <c r="K2414" i="1"/>
  <c r="M2414" i="1"/>
  <c r="N2414" i="1"/>
  <c r="K2415" i="1"/>
  <c r="M2415" i="1"/>
  <c r="N2415" i="1"/>
  <c r="K2416" i="1"/>
  <c r="M2416" i="1"/>
  <c r="N2416" i="1"/>
  <c r="K2417" i="1"/>
  <c r="M2417" i="1"/>
  <c r="N2417" i="1"/>
  <c r="K2418" i="1"/>
  <c r="M2418" i="1"/>
  <c r="N2418" i="1"/>
  <c r="K2419" i="1"/>
  <c r="M2419" i="1"/>
  <c r="N2419" i="1"/>
  <c r="K2420" i="1"/>
  <c r="M2420" i="1"/>
  <c r="N2420" i="1"/>
  <c r="K2421" i="1"/>
  <c r="M2421" i="1"/>
  <c r="N2421" i="1"/>
  <c r="K2422" i="1"/>
  <c r="M2422" i="1"/>
  <c r="N2422" i="1"/>
  <c r="K2423" i="1"/>
  <c r="M2423" i="1"/>
  <c r="N2423" i="1"/>
  <c r="K2424" i="1"/>
  <c r="M2424" i="1"/>
  <c r="N2424" i="1"/>
  <c r="K2425" i="1"/>
  <c r="M2425" i="1"/>
  <c r="N2425" i="1"/>
  <c r="K2426" i="1"/>
  <c r="M2426" i="1"/>
  <c r="N2426" i="1"/>
  <c r="K2427" i="1"/>
  <c r="M2427" i="1"/>
  <c r="N2427" i="1"/>
  <c r="K2428" i="1"/>
  <c r="M2428" i="1"/>
  <c r="N2428" i="1"/>
  <c r="K2429" i="1"/>
  <c r="M2429" i="1"/>
  <c r="N2429" i="1"/>
  <c r="K2430" i="1"/>
  <c r="M2430" i="1"/>
  <c r="N2430" i="1"/>
  <c r="K2431" i="1"/>
  <c r="M2431" i="1"/>
  <c r="N2431" i="1"/>
  <c r="K2432" i="1"/>
  <c r="M2432" i="1"/>
  <c r="N2432" i="1"/>
  <c r="K2433" i="1"/>
  <c r="M2433" i="1"/>
  <c r="N2433" i="1"/>
  <c r="K2434" i="1"/>
  <c r="M2434" i="1"/>
  <c r="N2434" i="1"/>
  <c r="K2435" i="1"/>
  <c r="M2435" i="1"/>
  <c r="N2435" i="1"/>
  <c r="K2436" i="1"/>
  <c r="M2436" i="1"/>
  <c r="N2436" i="1"/>
  <c r="K2437" i="1"/>
  <c r="M2437" i="1"/>
  <c r="N2437" i="1"/>
  <c r="K2438" i="1"/>
  <c r="M2438" i="1"/>
  <c r="N2438" i="1"/>
  <c r="K2439" i="1"/>
  <c r="M2439" i="1"/>
  <c r="N2439" i="1"/>
  <c r="K2440" i="1"/>
  <c r="M2440" i="1"/>
  <c r="N2440" i="1"/>
  <c r="K2441" i="1"/>
  <c r="M2441" i="1"/>
  <c r="N2441" i="1"/>
  <c r="K2442" i="1"/>
  <c r="M2442" i="1"/>
  <c r="N2442" i="1"/>
  <c r="K2443" i="1"/>
  <c r="M2443" i="1"/>
  <c r="N2443" i="1"/>
  <c r="K2444" i="1"/>
  <c r="M2444" i="1"/>
  <c r="N2444" i="1"/>
  <c r="K2445" i="1"/>
  <c r="M2445" i="1"/>
  <c r="N2445" i="1"/>
  <c r="K2446" i="1"/>
  <c r="M2446" i="1"/>
  <c r="N2446" i="1"/>
  <c r="K2447" i="1"/>
  <c r="M2447" i="1"/>
  <c r="N2447" i="1"/>
  <c r="K2448" i="1"/>
  <c r="M2448" i="1"/>
  <c r="N2448" i="1"/>
  <c r="K2449" i="1"/>
  <c r="M2449" i="1"/>
  <c r="N2449" i="1"/>
  <c r="K2450" i="1"/>
  <c r="M2450" i="1"/>
  <c r="N2450" i="1"/>
  <c r="K2451" i="1"/>
  <c r="M2451" i="1"/>
  <c r="N2451" i="1"/>
  <c r="K2452" i="1"/>
  <c r="M2452" i="1"/>
  <c r="N2452" i="1"/>
  <c r="K2453" i="1"/>
  <c r="M2453" i="1"/>
  <c r="N2453" i="1"/>
  <c r="K2454" i="1"/>
  <c r="M2454" i="1"/>
  <c r="N2454" i="1"/>
  <c r="K2455" i="1"/>
  <c r="M2455" i="1"/>
  <c r="N2455" i="1"/>
  <c r="K2456" i="1"/>
  <c r="M2456" i="1"/>
  <c r="N2456" i="1"/>
  <c r="K2457" i="1"/>
  <c r="M2457" i="1"/>
  <c r="N2457" i="1"/>
  <c r="K2458" i="1"/>
  <c r="M2458" i="1"/>
  <c r="N2458" i="1"/>
  <c r="K2459" i="1"/>
  <c r="M2459" i="1"/>
  <c r="N2459" i="1"/>
  <c r="K2460" i="1"/>
  <c r="M2460" i="1"/>
  <c r="N2460" i="1"/>
  <c r="K2461" i="1"/>
  <c r="M2461" i="1"/>
  <c r="N2461" i="1"/>
  <c r="K2462" i="1"/>
  <c r="M2462" i="1"/>
  <c r="N2462" i="1"/>
  <c r="K2463" i="1"/>
  <c r="M2463" i="1"/>
  <c r="N2463" i="1"/>
  <c r="K2464" i="1"/>
  <c r="M2464" i="1"/>
  <c r="N2464" i="1"/>
  <c r="K2465" i="1"/>
  <c r="M2465" i="1"/>
  <c r="N2465" i="1"/>
  <c r="K2466" i="1"/>
  <c r="M2466" i="1"/>
  <c r="N2466" i="1"/>
  <c r="K2467" i="1"/>
  <c r="M2467" i="1"/>
  <c r="N2467" i="1"/>
  <c r="K2468" i="1"/>
  <c r="M2468" i="1"/>
  <c r="N2468" i="1"/>
  <c r="K2469" i="1"/>
  <c r="M2469" i="1"/>
  <c r="N2469" i="1"/>
  <c r="K2470" i="1"/>
  <c r="M2470" i="1"/>
  <c r="N2470" i="1"/>
  <c r="K2471" i="1"/>
  <c r="M2471" i="1"/>
  <c r="N2471" i="1"/>
  <c r="K2472" i="1"/>
  <c r="M2472" i="1"/>
  <c r="N2472" i="1"/>
  <c r="K2473" i="1"/>
  <c r="M2473" i="1"/>
  <c r="N2473" i="1"/>
  <c r="K2474" i="1"/>
  <c r="M2474" i="1"/>
  <c r="N2474" i="1"/>
  <c r="K2475" i="1"/>
  <c r="M2475" i="1"/>
  <c r="N2475" i="1"/>
  <c r="K2476" i="1"/>
  <c r="M2476" i="1"/>
  <c r="N2476" i="1"/>
  <c r="K2477" i="1"/>
  <c r="M2477" i="1"/>
  <c r="N2477" i="1"/>
  <c r="K2478" i="1"/>
  <c r="M2478" i="1"/>
  <c r="N2478" i="1"/>
  <c r="K2479" i="1"/>
  <c r="M2479" i="1"/>
  <c r="N2479" i="1"/>
  <c r="K2480" i="1"/>
  <c r="M2480" i="1"/>
  <c r="N2480" i="1"/>
  <c r="K2481" i="1"/>
  <c r="M2481" i="1"/>
  <c r="N2481" i="1"/>
  <c r="K2482" i="1"/>
  <c r="M2482" i="1"/>
  <c r="N2482" i="1"/>
  <c r="K2483" i="1"/>
  <c r="M2483" i="1"/>
  <c r="N2483" i="1"/>
  <c r="K2484" i="1"/>
  <c r="M2484" i="1"/>
  <c r="N2484" i="1"/>
  <c r="K2485" i="1"/>
  <c r="M2485" i="1"/>
  <c r="N2485" i="1"/>
  <c r="K2486" i="1"/>
  <c r="M2486" i="1"/>
  <c r="N2486" i="1"/>
  <c r="K2487" i="1"/>
  <c r="M2487" i="1"/>
  <c r="N2487" i="1"/>
  <c r="K2488" i="1"/>
  <c r="M2488" i="1"/>
  <c r="N2488" i="1"/>
  <c r="K2489" i="1"/>
  <c r="M2489" i="1"/>
  <c r="N2489" i="1"/>
  <c r="K2490" i="1"/>
  <c r="M2490" i="1"/>
  <c r="N2490" i="1"/>
  <c r="K2491" i="1"/>
  <c r="M2491" i="1"/>
  <c r="N2491" i="1"/>
  <c r="K2492" i="1"/>
  <c r="M2492" i="1"/>
  <c r="N2492" i="1"/>
  <c r="K2493" i="1"/>
  <c r="M2493" i="1"/>
  <c r="N2493" i="1"/>
  <c r="K2494" i="1"/>
  <c r="M2494" i="1"/>
  <c r="N2494" i="1"/>
  <c r="K2495" i="1"/>
  <c r="M2495" i="1"/>
  <c r="N2495" i="1"/>
  <c r="K2496" i="1"/>
  <c r="M2496" i="1"/>
  <c r="N2496" i="1"/>
  <c r="K2497" i="1"/>
  <c r="M2497" i="1"/>
  <c r="N2497" i="1"/>
  <c r="K2498" i="1"/>
  <c r="M2498" i="1"/>
  <c r="N2498" i="1"/>
  <c r="K2499" i="1"/>
  <c r="M2499" i="1"/>
  <c r="N2499" i="1"/>
  <c r="K2500" i="1"/>
  <c r="M2500" i="1"/>
  <c r="N2500" i="1"/>
  <c r="K2501" i="1"/>
  <c r="M2501" i="1"/>
  <c r="N2501" i="1"/>
  <c r="K2502" i="1"/>
  <c r="M2502" i="1"/>
  <c r="N2502" i="1"/>
  <c r="K2503" i="1"/>
  <c r="M2503" i="1"/>
  <c r="N2503" i="1"/>
  <c r="K2504" i="1"/>
  <c r="M2504" i="1"/>
  <c r="N2504" i="1"/>
  <c r="K2505" i="1"/>
  <c r="M2505" i="1"/>
  <c r="N2505" i="1"/>
  <c r="K2506" i="1"/>
  <c r="M2506" i="1"/>
  <c r="N2506" i="1"/>
  <c r="K2507" i="1"/>
  <c r="M2507" i="1"/>
  <c r="N2507" i="1"/>
  <c r="K2508" i="1"/>
  <c r="M2508" i="1"/>
  <c r="N2508" i="1"/>
  <c r="K2509" i="1"/>
  <c r="M2509" i="1"/>
  <c r="N2509" i="1"/>
  <c r="K2510" i="1"/>
  <c r="M2510" i="1"/>
  <c r="N2510" i="1"/>
  <c r="K2511" i="1"/>
  <c r="M2511" i="1"/>
  <c r="N2511" i="1"/>
  <c r="K2512" i="1"/>
  <c r="M2512" i="1"/>
  <c r="N2512" i="1"/>
  <c r="K2513" i="1"/>
  <c r="M2513" i="1"/>
  <c r="N2513" i="1"/>
  <c r="K2514" i="1"/>
  <c r="M2514" i="1"/>
  <c r="N2514" i="1"/>
  <c r="K2515" i="1"/>
  <c r="M2515" i="1"/>
  <c r="N2515" i="1"/>
  <c r="K2516" i="1"/>
  <c r="M2516" i="1"/>
  <c r="N2516" i="1"/>
  <c r="K2517" i="1"/>
  <c r="M2517" i="1"/>
  <c r="N2517" i="1"/>
  <c r="K2518" i="1"/>
  <c r="M2518" i="1"/>
  <c r="N2518" i="1"/>
  <c r="K2519" i="1"/>
  <c r="M2519" i="1"/>
  <c r="N2519" i="1"/>
  <c r="K2520" i="1"/>
  <c r="M2520" i="1"/>
  <c r="N2520" i="1"/>
  <c r="K2521" i="1"/>
  <c r="M2521" i="1"/>
  <c r="N2521" i="1"/>
  <c r="K2522" i="1"/>
  <c r="M2522" i="1"/>
  <c r="N2522" i="1"/>
  <c r="K2523" i="1"/>
  <c r="M2523" i="1"/>
  <c r="N2523" i="1"/>
  <c r="K2524" i="1"/>
  <c r="M2524" i="1"/>
  <c r="N2524" i="1"/>
  <c r="K2525" i="1"/>
  <c r="M2525" i="1"/>
  <c r="N2525" i="1"/>
  <c r="K2526" i="1"/>
  <c r="M2526" i="1"/>
  <c r="N2526" i="1"/>
  <c r="K2527" i="1"/>
  <c r="M2527" i="1"/>
  <c r="N2527" i="1"/>
  <c r="K2528" i="1"/>
  <c r="M2528" i="1"/>
  <c r="N2528" i="1"/>
  <c r="K2529" i="1"/>
  <c r="M2529" i="1"/>
  <c r="N2529" i="1"/>
  <c r="K2530" i="1"/>
  <c r="M2530" i="1"/>
  <c r="N2530" i="1"/>
  <c r="K2531" i="1"/>
  <c r="M2531" i="1"/>
  <c r="N2531" i="1"/>
  <c r="K2532" i="1"/>
  <c r="M2532" i="1"/>
  <c r="N2532" i="1"/>
  <c r="K2533" i="1"/>
  <c r="M2533" i="1"/>
  <c r="N2533" i="1"/>
  <c r="K2534" i="1"/>
  <c r="M2534" i="1"/>
  <c r="N2534" i="1"/>
  <c r="K2535" i="1"/>
  <c r="M2535" i="1"/>
  <c r="N2535" i="1"/>
  <c r="K2536" i="1"/>
  <c r="M2536" i="1"/>
  <c r="N2536" i="1"/>
  <c r="K2537" i="1"/>
  <c r="M2537" i="1"/>
  <c r="N2537" i="1"/>
  <c r="K2538" i="1"/>
  <c r="M2538" i="1"/>
  <c r="N2538" i="1"/>
  <c r="K2539" i="1"/>
  <c r="M2539" i="1"/>
  <c r="N2539" i="1"/>
  <c r="K2540" i="1"/>
  <c r="M2540" i="1"/>
  <c r="N2540" i="1"/>
  <c r="K2541" i="1"/>
  <c r="M2541" i="1"/>
  <c r="N2541" i="1"/>
  <c r="K2542" i="1"/>
  <c r="M2542" i="1"/>
  <c r="N2542" i="1"/>
  <c r="K2543" i="1"/>
  <c r="M2543" i="1"/>
  <c r="N2543" i="1"/>
  <c r="K2544" i="1"/>
  <c r="M2544" i="1"/>
  <c r="N2544" i="1"/>
  <c r="K2545" i="1"/>
  <c r="M2545" i="1"/>
  <c r="N2545" i="1"/>
  <c r="K2546" i="1"/>
  <c r="M2546" i="1"/>
  <c r="N2546" i="1"/>
  <c r="K2547" i="1"/>
  <c r="M2547" i="1"/>
  <c r="N2547" i="1"/>
  <c r="K2548" i="1"/>
  <c r="M2548" i="1"/>
  <c r="N2548" i="1"/>
  <c r="K2549" i="1"/>
  <c r="M2549" i="1"/>
  <c r="N2549" i="1"/>
  <c r="K2550" i="1"/>
  <c r="M2550" i="1"/>
  <c r="N2550" i="1"/>
  <c r="K2551" i="1"/>
  <c r="M2551" i="1"/>
  <c r="N2551" i="1"/>
  <c r="K2552" i="1"/>
  <c r="M2552" i="1"/>
  <c r="N2552" i="1"/>
  <c r="K2553" i="1"/>
  <c r="M2553" i="1"/>
  <c r="N2553" i="1"/>
  <c r="K2554" i="1"/>
  <c r="M2554" i="1"/>
  <c r="N2554" i="1"/>
  <c r="K2555" i="1"/>
  <c r="M2555" i="1"/>
  <c r="N2555" i="1"/>
  <c r="K2556" i="1"/>
  <c r="M2556" i="1"/>
  <c r="N2556" i="1"/>
  <c r="K2557" i="1"/>
  <c r="M2557" i="1"/>
  <c r="N2557" i="1"/>
  <c r="K2558" i="1"/>
  <c r="M2558" i="1"/>
  <c r="N2558" i="1"/>
  <c r="K2559" i="1"/>
  <c r="M2559" i="1"/>
  <c r="N2559" i="1"/>
  <c r="K2560" i="1"/>
  <c r="M2560" i="1"/>
  <c r="N2560" i="1"/>
  <c r="K2561" i="1"/>
  <c r="M2561" i="1"/>
  <c r="N2561" i="1"/>
  <c r="K2562" i="1"/>
  <c r="M2562" i="1"/>
  <c r="N2562" i="1"/>
  <c r="K2563" i="1"/>
  <c r="M2563" i="1"/>
  <c r="N2563" i="1"/>
  <c r="K2564" i="1"/>
  <c r="M2564" i="1"/>
  <c r="N2564" i="1"/>
  <c r="K2565" i="1"/>
  <c r="M2565" i="1"/>
  <c r="N2565" i="1"/>
  <c r="K2566" i="1"/>
  <c r="M2566" i="1"/>
  <c r="N2566" i="1"/>
  <c r="K2567" i="1"/>
  <c r="M2567" i="1"/>
  <c r="N2567" i="1"/>
  <c r="K2568" i="1"/>
  <c r="M2568" i="1"/>
  <c r="N2568" i="1"/>
  <c r="K2569" i="1"/>
  <c r="M2569" i="1"/>
  <c r="N2569" i="1"/>
  <c r="K2570" i="1"/>
  <c r="M2570" i="1"/>
  <c r="N2570" i="1"/>
  <c r="K2571" i="1"/>
  <c r="M2571" i="1"/>
  <c r="N2571" i="1"/>
  <c r="K2572" i="1"/>
  <c r="M2572" i="1"/>
  <c r="N2572" i="1"/>
  <c r="K2573" i="1"/>
  <c r="M2573" i="1"/>
  <c r="N2573" i="1"/>
  <c r="K2574" i="1"/>
  <c r="M2574" i="1"/>
  <c r="N2574" i="1"/>
  <c r="K2575" i="1"/>
  <c r="M2575" i="1"/>
  <c r="N2575" i="1"/>
  <c r="K2576" i="1"/>
  <c r="M2576" i="1"/>
  <c r="N2576" i="1"/>
  <c r="K2577" i="1"/>
  <c r="M2577" i="1"/>
  <c r="N2577" i="1"/>
  <c r="K2578" i="1"/>
  <c r="M2578" i="1"/>
  <c r="N2578" i="1"/>
  <c r="K2579" i="1"/>
  <c r="M2579" i="1"/>
  <c r="N2579" i="1"/>
  <c r="K2580" i="1"/>
  <c r="M2580" i="1"/>
  <c r="N2580" i="1"/>
  <c r="K2581" i="1"/>
  <c r="M2581" i="1"/>
  <c r="N2581" i="1"/>
  <c r="K2582" i="1"/>
  <c r="M2582" i="1"/>
  <c r="N2582" i="1"/>
  <c r="K2583" i="1"/>
  <c r="M2583" i="1"/>
  <c r="N2583" i="1"/>
  <c r="K2584" i="1"/>
  <c r="M2584" i="1"/>
  <c r="N2584" i="1"/>
  <c r="K2585" i="1"/>
  <c r="M2585" i="1"/>
  <c r="N2585" i="1"/>
  <c r="K2586" i="1"/>
  <c r="M2586" i="1"/>
  <c r="N2586" i="1"/>
  <c r="K2587" i="1"/>
  <c r="M2587" i="1"/>
  <c r="N2587" i="1"/>
  <c r="K2588" i="1"/>
  <c r="M2588" i="1"/>
  <c r="N2588" i="1"/>
  <c r="K2589" i="1"/>
  <c r="M2589" i="1"/>
  <c r="N2589" i="1"/>
  <c r="K2590" i="1"/>
  <c r="M2590" i="1"/>
  <c r="N2590" i="1"/>
  <c r="K2591" i="1"/>
  <c r="M2591" i="1"/>
  <c r="N2591" i="1"/>
  <c r="K2592" i="1"/>
  <c r="M2592" i="1"/>
  <c r="N2592" i="1"/>
  <c r="K2593" i="1"/>
  <c r="M2593" i="1"/>
  <c r="N2593" i="1"/>
  <c r="K2594" i="1"/>
  <c r="M2594" i="1"/>
  <c r="N2594" i="1"/>
  <c r="K2595" i="1"/>
  <c r="M2595" i="1"/>
  <c r="N2595" i="1"/>
  <c r="K2596" i="1"/>
  <c r="M2596" i="1"/>
  <c r="N2596" i="1"/>
  <c r="K2597" i="1"/>
  <c r="M2597" i="1"/>
  <c r="N2597" i="1"/>
  <c r="K2598" i="1"/>
  <c r="M2598" i="1"/>
  <c r="N2598" i="1"/>
  <c r="K2599" i="1"/>
  <c r="M2599" i="1"/>
  <c r="N2599" i="1"/>
  <c r="K2600" i="1"/>
  <c r="M2600" i="1"/>
  <c r="N2600" i="1"/>
  <c r="K2601" i="1"/>
  <c r="M2601" i="1"/>
  <c r="N2601" i="1"/>
  <c r="K2602" i="1"/>
  <c r="M2602" i="1"/>
  <c r="N2602" i="1"/>
  <c r="K2603" i="1"/>
  <c r="M2603" i="1"/>
  <c r="N2603" i="1"/>
  <c r="K2604" i="1"/>
  <c r="M2604" i="1"/>
  <c r="N2604" i="1"/>
  <c r="K2605" i="1"/>
  <c r="M2605" i="1"/>
  <c r="N2605" i="1"/>
  <c r="K2606" i="1"/>
  <c r="M2606" i="1"/>
  <c r="N2606" i="1"/>
  <c r="K2607" i="1"/>
  <c r="M2607" i="1"/>
  <c r="N2607" i="1"/>
  <c r="K2608" i="1"/>
  <c r="M2608" i="1"/>
  <c r="N2608" i="1"/>
  <c r="K2609" i="1"/>
  <c r="M2609" i="1"/>
  <c r="N2609" i="1"/>
  <c r="K2610" i="1"/>
  <c r="M2610" i="1"/>
  <c r="N2610" i="1"/>
  <c r="K2611" i="1"/>
  <c r="M2611" i="1"/>
  <c r="N2611" i="1"/>
  <c r="K2612" i="1"/>
  <c r="M2612" i="1"/>
  <c r="N2612" i="1"/>
  <c r="K2613" i="1"/>
  <c r="M2613" i="1"/>
  <c r="N2613" i="1"/>
  <c r="K2614" i="1"/>
  <c r="M2614" i="1"/>
  <c r="N2614" i="1"/>
  <c r="K2615" i="1"/>
  <c r="M2615" i="1"/>
  <c r="N2615" i="1"/>
  <c r="K2616" i="1"/>
  <c r="M2616" i="1"/>
  <c r="N2616" i="1"/>
  <c r="K2617" i="1"/>
  <c r="M2617" i="1"/>
  <c r="N2617" i="1"/>
  <c r="K2618" i="1"/>
  <c r="M2618" i="1"/>
  <c r="N2618" i="1"/>
  <c r="K2619" i="1"/>
  <c r="M2619" i="1"/>
  <c r="N2619" i="1"/>
  <c r="K2620" i="1"/>
  <c r="M2620" i="1"/>
  <c r="N2620" i="1"/>
  <c r="K2621" i="1"/>
  <c r="M2621" i="1"/>
  <c r="N2621" i="1"/>
  <c r="K2622" i="1"/>
  <c r="M2622" i="1"/>
  <c r="N2622" i="1"/>
  <c r="K2623" i="1"/>
  <c r="M2623" i="1"/>
  <c r="N2623" i="1"/>
  <c r="K2624" i="1"/>
  <c r="M2624" i="1"/>
  <c r="N2624" i="1"/>
  <c r="K2625" i="1"/>
  <c r="M2625" i="1"/>
  <c r="N2625" i="1"/>
  <c r="K2626" i="1"/>
  <c r="M2626" i="1"/>
  <c r="N2626" i="1"/>
  <c r="K2627" i="1"/>
  <c r="M2627" i="1"/>
  <c r="N2627" i="1"/>
  <c r="K2628" i="1"/>
  <c r="M2628" i="1"/>
  <c r="N2628" i="1"/>
  <c r="K2629" i="1"/>
  <c r="M2629" i="1"/>
  <c r="N2629" i="1"/>
  <c r="K2630" i="1"/>
  <c r="M2630" i="1"/>
  <c r="N2630" i="1"/>
  <c r="K2631" i="1"/>
  <c r="M2631" i="1"/>
  <c r="N2631" i="1"/>
  <c r="K2632" i="1"/>
  <c r="M2632" i="1"/>
  <c r="N2632" i="1"/>
  <c r="K2633" i="1"/>
  <c r="M2633" i="1"/>
  <c r="N2633" i="1"/>
  <c r="K2634" i="1"/>
  <c r="M2634" i="1"/>
  <c r="N2634" i="1"/>
  <c r="K2635" i="1"/>
  <c r="M2635" i="1"/>
  <c r="N2635" i="1"/>
  <c r="K2636" i="1"/>
  <c r="M2636" i="1"/>
  <c r="N2636" i="1"/>
  <c r="K2637" i="1"/>
  <c r="M2637" i="1"/>
  <c r="N2637" i="1"/>
  <c r="K2638" i="1"/>
  <c r="M2638" i="1"/>
  <c r="N2638" i="1"/>
  <c r="K2639" i="1"/>
  <c r="M2639" i="1"/>
  <c r="N2639" i="1"/>
  <c r="K2640" i="1"/>
  <c r="M2640" i="1"/>
  <c r="N2640" i="1"/>
  <c r="K2641" i="1"/>
  <c r="M2641" i="1"/>
  <c r="N2641" i="1"/>
  <c r="K2642" i="1"/>
  <c r="M2642" i="1"/>
  <c r="N2642" i="1"/>
  <c r="K2643" i="1"/>
  <c r="M2643" i="1"/>
  <c r="N2643" i="1"/>
  <c r="K2644" i="1"/>
  <c r="M2644" i="1"/>
  <c r="N2644" i="1"/>
  <c r="K2645" i="1"/>
  <c r="M2645" i="1"/>
  <c r="N2645" i="1"/>
  <c r="K2646" i="1"/>
  <c r="M2646" i="1"/>
  <c r="N2646" i="1"/>
  <c r="K2647" i="1"/>
  <c r="M2647" i="1"/>
  <c r="N2647" i="1"/>
  <c r="K2648" i="1"/>
  <c r="M2648" i="1"/>
  <c r="N2648" i="1"/>
  <c r="K2649" i="1"/>
  <c r="M2649" i="1"/>
  <c r="N2649" i="1"/>
  <c r="K2650" i="1"/>
  <c r="M2650" i="1"/>
  <c r="N2650" i="1"/>
  <c r="K2651" i="1"/>
  <c r="M2651" i="1"/>
  <c r="N2651" i="1"/>
  <c r="K2652" i="1"/>
  <c r="M2652" i="1"/>
  <c r="N2652" i="1"/>
  <c r="K2653" i="1"/>
  <c r="M2653" i="1"/>
  <c r="N2653" i="1"/>
  <c r="K2654" i="1"/>
  <c r="M2654" i="1"/>
  <c r="N2654" i="1"/>
  <c r="K2655" i="1"/>
  <c r="M2655" i="1"/>
  <c r="N2655" i="1"/>
  <c r="K2656" i="1"/>
  <c r="M2656" i="1"/>
  <c r="N2656" i="1"/>
  <c r="K2657" i="1"/>
  <c r="M2657" i="1"/>
  <c r="N2657" i="1"/>
  <c r="K2658" i="1"/>
  <c r="M2658" i="1"/>
  <c r="N2658" i="1"/>
  <c r="K2659" i="1"/>
  <c r="M2659" i="1"/>
  <c r="N2659" i="1"/>
  <c r="K2660" i="1"/>
  <c r="M2660" i="1"/>
  <c r="N2660" i="1"/>
  <c r="K2661" i="1"/>
  <c r="M2661" i="1"/>
  <c r="N2661" i="1"/>
  <c r="K2662" i="1"/>
  <c r="M2662" i="1"/>
  <c r="N2662" i="1"/>
  <c r="K2663" i="1"/>
  <c r="M2663" i="1"/>
  <c r="N2663" i="1"/>
  <c r="K2664" i="1"/>
  <c r="M2664" i="1"/>
  <c r="N2664" i="1"/>
  <c r="K2665" i="1"/>
  <c r="M2665" i="1"/>
  <c r="N2665" i="1"/>
  <c r="K2666" i="1"/>
  <c r="M2666" i="1"/>
  <c r="N2666" i="1"/>
  <c r="K2667" i="1"/>
  <c r="M2667" i="1"/>
  <c r="N2667" i="1"/>
  <c r="K2668" i="1"/>
  <c r="M2668" i="1"/>
  <c r="N2668" i="1"/>
  <c r="K2669" i="1"/>
  <c r="M2669" i="1"/>
  <c r="N2669" i="1"/>
  <c r="K2670" i="1"/>
  <c r="M2670" i="1"/>
  <c r="N2670" i="1"/>
  <c r="K2671" i="1"/>
  <c r="M2671" i="1"/>
  <c r="N2671" i="1"/>
  <c r="K2672" i="1"/>
  <c r="M2672" i="1"/>
  <c r="N2672" i="1"/>
  <c r="K2673" i="1"/>
  <c r="M2673" i="1"/>
  <c r="N2673" i="1"/>
  <c r="K2674" i="1"/>
  <c r="M2674" i="1"/>
  <c r="N2674" i="1"/>
  <c r="K2675" i="1"/>
  <c r="M2675" i="1"/>
  <c r="N2675" i="1"/>
  <c r="K2676" i="1"/>
  <c r="M2676" i="1"/>
  <c r="N2676" i="1"/>
  <c r="K2677" i="1"/>
  <c r="M2677" i="1"/>
  <c r="N2677" i="1"/>
  <c r="K2678" i="1"/>
  <c r="M2678" i="1"/>
  <c r="N2678" i="1"/>
  <c r="K2679" i="1"/>
  <c r="M2679" i="1"/>
  <c r="N2679" i="1"/>
  <c r="K2680" i="1"/>
  <c r="M2680" i="1"/>
  <c r="N2680" i="1"/>
  <c r="K2681" i="1"/>
  <c r="M2681" i="1"/>
  <c r="N2681" i="1"/>
  <c r="K2682" i="1"/>
  <c r="M2682" i="1"/>
  <c r="N2682" i="1"/>
  <c r="K2683" i="1"/>
  <c r="M2683" i="1"/>
  <c r="N2683" i="1"/>
  <c r="K2684" i="1"/>
  <c r="M2684" i="1"/>
  <c r="N2684" i="1"/>
  <c r="K2685" i="1"/>
  <c r="M2685" i="1"/>
  <c r="N2685" i="1"/>
  <c r="K2686" i="1"/>
  <c r="M2686" i="1"/>
  <c r="N2686" i="1"/>
  <c r="K2687" i="1"/>
  <c r="M2687" i="1"/>
  <c r="N2687" i="1"/>
  <c r="K2688" i="1"/>
  <c r="M2688" i="1"/>
  <c r="N2688" i="1"/>
  <c r="K2689" i="1"/>
  <c r="M2689" i="1"/>
  <c r="N2689" i="1"/>
  <c r="K2690" i="1"/>
  <c r="M2690" i="1"/>
  <c r="N2690" i="1"/>
  <c r="K2691" i="1"/>
  <c r="M2691" i="1"/>
  <c r="N2691" i="1"/>
  <c r="K2692" i="1"/>
  <c r="M2692" i="1"/>
  <c r="N2692" i="1"/>
  <c r="K2693" i="1"/>
  <c r="M2693" i="1"/>
  <c r="N2693" i="1"/>
  <c r="K2694" i="1"/>
  <c r="M2694" i="1"/>
  <c r="N2694" i="1"/>
  <c r="K2695" i="1"/>
  <c r="M2695" i="1"/>
  <c r="N2695" i="1"/>
  <c r="K2696" i="1"/>
  <c r="M2696" i="1"/>
  <c r="N2696" i="1"/>
  <c r="K2697" i="1"/>
  <c r="M2697" i="1"/>
  <c r="N2697" i="1"/>
  <c r="K2698" i="1"/>
  <c r="M2698" i="1"/>
  <c r="N2698" i="1"/>
  <c r="K2699" i="1"/>
  <c r="M2699" i="1"/>
  <c r="N2699" i="1"/>
  <c r="K2700" i="1"/>
  <c r="M2700" i="1"/>
  <c r="N2700" i="1"/>
  <c r="K2701" i="1"/>
  <c r="M2701" i="1"/>
  <c r="N2701" i="1"/>
  <c r="K2702" i="1"/>
  <c r="M2702" i="1"/>
  <c r="N2702" i="1"/>
  <c r="K2703" i="1"/>
  <c r="M2703" i="1"/>
  <c r="N2703" i="1"/>
  <c r="K2704" i="1"/>
  <c r="M2704" i="1"/>
  <c r="N2704" i="1"/>
  <c r="K2705" i="1"/>
  <c r="M2705" i="1"/>
  <c r="N2705" i="1"/>
  <c r="K2706" i="1"/>
  <c r="M2706" i="1"/>
  <c r="N2706" i="1"/>
  <c r="K2707" i="1"/>
  <c r="M2707" i="1"/>
  <c r="N2707" i="1"/>
  <c r="K2708" i="1"/>
  <c r="M2708" i="1"/>
  <c r="N2708" i="1"/>
  <c r="K2709" i="1"/>
  <c r="M2709" i="1"/>
  <c r="N2709" i="1"/>
  <c r="K2710" i="1"/>
  <c r="M2710" i="1"/>
  <c r="N2710" i="1"/>
  <c r="K2711" i="1"/>
  <c r="M2711" i="1"/>
  <c r="N2711" i="1"/>
  <c r="K2712" i="1"/>
  <c r="M2712" i="1"/>
  <c r="N2712" i="1"/>
  <c r="K2713" i="1"/>
  <c r="M2713" i="1"/>
  <c r="N2713" i="1"/>
  <c r="K2714" i="1"/>
  <c r="M2714" i="1"/>
  <c r="N2714" i="1"/>
  <c r="K2715" i="1"/>
  <c r="M2715" i="1"/>
  <c r="N2715" i="1"/>
  <c r="K2716" i="1"/>
  <c r="M2716" i="1"/>
  <c r="N2716" i="1"/>
  <c r="K2717" i="1"/>
  <c r="M2717" i="1"/>
  <c r="N2717" i="1"/>
  <c r="K2718" i="1"/>
  <c r="M2718" i="1"/>
  <c r="N2718" i="1"/>
  <c r="K2719" i="1"/>
  <c r="M2719" i="1"/>
  <c r="N2719" i="1"/>
  <c r="K2720" i="1"/>
  <c r="M2720" i="1"/>
  <c r="N2720" i="1"/>
  <c r="K2721" i="1"/>
  <c r="M2721" i="1"/>
  <c r="N2721" i="1"/>
  <c r="K2722" i="1"/>
  <c r="M2722" i="1"/>
  <c r="N2722" i="1"/>
  <c r="K2723" i="1"/>
  <c r="M2723" i="1"/>
  <c r="N2723" i="1"/>
  <c r="K2724" i="1"/>
  <c r="M2724" i="1"/>
  <c r="N2724" i="1"/>
  <c r="K2725" i="1"/>
  <c r="M2725" i="1"/>
  <c r="N2725" i="1"/>
  <c r="K2726" i="1"/>
  <c r="M2726" i="1"/>
  <c r="N2726" i="1"/>
  <c r="K2727" i="1"/>
  <c r="M2727" i="1"/>
  <c r="N2727" i="1"/>
  <c r="K2728" i="1"/>
  <c r="M2728" i="1"/>
  <c r="N2728" i="1"/>
  <c r="K2729" i="1"/>
  <c r="M2729" i="1"/>
  <c r="N2729" i="1"/>
  <c r="K2730" i="1"/>
  <c r="M2730" i="1"/>
  <c r="N2730" i="1"/>
  <c r="K2731" i="1"/>
  <c r="M2731" i="1"/>
  <c r="N2731" i="1"/>
  <c r="K2732" i="1"/>
  <c r="M2732" i="1"/>
  <c r="N2732" i="1"/>
  <c r="K2733" i="1"/>
  <c r="M2733" i="1"/>
  <c r="N2733" i="1"/>
  <c r="K2734" i="1"/>
  <c r="M2734" i="1"/>
  <c r="N2734" i="1"/>
  <c r="K2735" i="1"/>
  <c r="M2735" i="1"/>
  <c r="N2735" i="1"/>
  <c r="K2736" i="1"/>
  <c r="M2736" i="1"/>
  <c r="N2736" i="1"/>
  <c r="K2737" i="1"/>
  <c r="M2737" i="1"/>
  <c r="N2737" i="1"/>
  <c r="K2738" i="1"/>
  <c r="M2738" i="1"/>
  <c r="N2738" i="1"/>
  <c r="K2739" i="1"/>
  <c r="M2739" i="1"/>
  <c r="N2739" i="1"/>
  <c r="K2740" i="1"/>
  <c r="M2740" i="1"/>
  <c r="N2740" i="1"/>
  <c r="K2741" i="1"/>
  <c r="M2741" i="1"/>
  <c r="N2741" i="1"/>
  <c r="K2742" i="1"/>
  <c r="M2742" i="1"/>
  <c r="N2742" i="1"/>
  <c r="K2743" i="1"/>
  <c r="M2743" i="1"/>
  <c r="N2743" i="1"/>
  <c r="K2744" i="1"/>
  <c r="M2744" i="1"/>
  <c r="N2744" i="1"/>
  <c r="K2745" i="1"/>
  <c r="M2745" i="1"/>
  <c r="N2745" i="1"/>
  <c r="K2746" i="1"/>
  <c r="M2746" i="1"/>
  <c r="N2746" i="1"/>
  <c r="K2747" i="1"/>
  <c r="M2747" i="1"/>
  <c r="N2747" i="1"/>
  <c r="K2748" i="1"/>
  <c r="M2748" i="1"/>
  <c r="N2748" i="1"/>
  <c r="K2749" i="1"/>
  <c r="M2749" i="1"/>
  <c r="N2749" i="1"/>
  <c r="K2750" i="1"/>
  <c r="M2750" i="1"/>
  <c r="N2750" i="1"/>
  <c r="K2751" i="1"/>
  <c r="M2751" i="1"/>
  <c r="N2751" i="1"/>
  <c r="K2752" i="1"/>
  <c r="M2752" i="1"/>
  <c r="N2752" i="1"/>
  <c r="K2753" i="1"/>
  <c r="M2753" i="1"/>
  <c r="N2753" i="1"/>
  <c r="K2754" i="1"/>
  <c r="M2754" i="1"/>
  <c r="N2754" i="1"/>
  <c r="K2755" i="1"/>
  <c r="M2755" i="1"/>
  <c r="N2755" i="1"/>
  <c r="K2756" i="1"/>
  <c r="M2756" i="1"/>
  <c r="N2756" i="1"/>
  <c r="K2757" i="1"/>
  <c r="M2757" i="1"/>
  <c r="N2757" i="1"/>
  <c r="K2758" i="1"/>
  <c r="M2758" i="1"/>
  <c r="N2758" i="1"/>
  <c r="K2759" i="1"/>
  <c r="M2759" i="1"/>
  <c r="N2759" i="1"/>
  <c r="K2760" i="1"/>
  <c r="M2760" i="1"/>
  <c r="N2760" i="1"/>
  <c r="K2761" i="1"/>
  <c r="M2761" i="1"/>
  <c r="N2761" i="1"/>
  <c r="K2762" i="1"/>
  <c r="M2762" i="1"/>
  <c r="N2762" i="1"/>
  <c r="K2763" i="1"/>
  <c r="M2763" i="1"/>
  <c r="N2763" i="1"/>
  <c r="K2764" i="1"/>
  <c r="M2764" i="1"/>
  <c r="N2764" i="1"/>
  <c r="K2765" i="1"/>
  <c r="M2765" i="1"/>
  <c r="N2765" i="1"/>
  <c r="K2766" i="1"/>
  <c r="M2766" i="1"/>
  <c r="N2766" i="1"/>
  <c r="K2767" i="1"/>
  <c r="M2767" i="1"/>
  <c r="N2767" i="1"/>
  <c r="K2768" i="1"/>
  <c r="M2768" i="1"/>
  <c r="N2768" i="1"/>
  <c r="K2769" i="1"/>
  <c r="M2769" i="1"/>
  <c r="N2769" i="1"/>
  <c r="K2770" i="1"/>
  <c r="M2770" i="1"/>
  <c r="N2770" i="1"/>
  <c r="K2771" i="1"/>
  <c r="M2771" i="1"/>
  <c r="N2771" i="1"/>
  <c r="K2772" i="1"/>
  <c r="M2772" i="1"/>
  <c r="N2772" i="1"/>
  <c r="K2773" i="1"/>
  <c r="M2773" i="1"/>
  <c r="N2773" i="1"/>
  <c r="K2774" i="1"/>
  <c r="M2774" i="1"/>
  <c r="N2774" i="1"/>
  <c r="K2775" i="1"/>
  <c r="M2775" i="1"/>
  <c r="N2775" i="1"/>
  <c r="K2776" i="1"/>
  <c r="M2776" i="1"/>
  <c r="N2776" i="1"/>
  <c r="K2777" i="1"/>
  <c r="M2777" i="1"/>
  <c r="N2777" i="1"/>
  <c r="K2778" i="1"/>
  <c r="M2778" i="1"/>
  <c r="N2778" i="1"/>
  <c r="K2779" i="1"/>
  <c r="M2779" i="1"/>
  <c r="N2779" i="1"/>
  <c r="K2780" i="1"/>
  <c r="M2780" i="1"/>
  <c r="N2780" i="1"/>
  <c r="K2781" i="1"/>
  <c r="M2781" i="1"/>
  <c r="N2781" i="1"/>
  <c r="K2782" i="1"/>
  <c r="M2782" i="1"/>
  <c r="N2782" i="1"/>
  <c r="K2783" i="1"/>
  <c r="M2783" i="1"/>
  <c r="N2783" i="1"/>
  <c r="K2784" i="1"/>
  <c r="M2784" i="1"/>
  <c r="N2784" i="1"/>
  <c r="K2785" i="1"/>
  <c r="M2785" i="1"/>
  <c r="N2785" i="1"/>
  <c r="K2786" i="1"/>
  <c r="M2786" i="1"/>
  <c r="N2786" i="1"/>
  <c r="K2787" i="1"/>
  <c r="M2787" i="1"/>
  <c r="N2787" i="1"/>
  <c r="K2788" i="1"/>
  <c r="M2788" i="1"/>
  <c r="N2788" i="1"/>
  <c r="K2789" i="1"/>
  <c r="M2789" i="1"/>
  <c r="N2789" i="1"/>
  <c r="K2790" i="1"/>
  <c r="M2790" i="1"/>
  <c r="N2790" i="1"/>
  <c r="K2791" i="1"/>
  <c r="M2791" i="1"/>
  <c r="N2791" i="1"/>
  <c r="K2792" i="1"/>
  <c r="M2792" i="1"/>
  <c r="N2792" i="1"/>
  <c r="K2793" i="1"/>
  <c r="M2793" i="1"/>
  <c r="N2793" i="1"/>
  <c r="K2794" i="1"/>
  <c r="M2794" i="1"/>
  <c r="N2794" i="1"/>
  <c r="K2795" i="1"/>
  <c r="M2795" i="1"/>
  <c r="N2795" i="1"/>
  <c r="K2796" i="1"/>
  <c r="M2796" i="1"/>
  <c r="N2796" i="1"/>
  <c r="K2797" i="1"/>
  <c r="M2797" i="1"/>
  <c r="N2797" i="1"/>
  <c r="K2798" i="1"/>
  <c r="M2798" i="1"/>
  <c r="N2798" i="1"/>
  <c r="K2799" i="1"/>
  <c r="M2799" i="1"/>
  <c r="N2799" i="1"/>
  <c r="K2800" i="1"/>
  <c r="M2800" i="1"/>
  <c r="N2800" i="1"/>
  <c r="K2801" i="1"/>
  <c r="M2801" i="1"/>
  <c r="N2801" i="1"/>
  <c r="K2802" i="1"/>
  <c r="M2802" i="1"/>
  <c r="N2802" i="1"/>
  <c r="K2803" i="1"/>
  <c r="M2803" i="1"/>
  <c r="N2803" i="1"/>
  <c r="K2804" i="1"/>
  <c r="M2804" i="1"/>
  <c r="N2804" i="1"/>
  <c r="K2805" i="1"/>
  <c r="M2805" i="1"/>
  <c r="N2805" i="1"/>
  <c r="K2806" i="1"/>
  <c r="M2806" i="1"/>
  <c r="N2806" i="1"/>
  <c r="K2807" i="1"/>
  <c r="M2807" i="1"/>
  <c r="N2807" i="1"/>
  <c r="K2808" i="1"/>
  <c r="M2808" i="1"/>
  <c r="N2808" i="1"/>
  <c r="K2809" i="1"/>
  <c r="M2809" i="1"/>
  <c r="N2809" i="1"/>
  <c r="K2810" i="1"/>
  <c r="M2810" i="1"/>
  <c r="N2810" i="1"/>
  <c r="K2811" i="1"/>
  <c r="M2811" i="1"/>
  <c r="N2811" i="1"/>
  <c r="K2812" i="1"/>
  <c r="M2812" i="1"/>
  <c r="N2812" i="1"/>
  <c r="K2813" i="1"/>
  <c r="M2813" i="1"/>
  <c r="N2813" i="1"/>
  <c r="K2814" i="1"/>
  <c r="M2814" i="1"/>
  <c r="N2814" i="1"/>
  <c r="K2815" i="1"/>
  <c r="M2815" i="1"/>
  <c r="N2815" i="1"/>
  <c r="K2816" i="1"/>
  <c r="M2816" i="1"/>
  <c r="N2816" i="1"/>
  <c r="K2817" i="1"/>
  <c r="M2817" i="1"/>
  <c r="N2817" i="1"/>
  <c r="K2818" i="1"/>
  <c r="M2818" i="1"/>
  <c r="N2818" i="1"/>
  <c r="K2819" i="1"/>
  <c r="M2819" i="1"/>
  <c r="N2819" i="1"/>
  <c r="K2820" i="1"/>
  <c r="M2820" i="1"/>
  <c r="N2820" i="1"/>
  <c r="K2821" i="1"/>
  <c r="M2821" i="1"/>
  <c r="N2821" i="1"/>
  <c r="K2822" i="1"/>
  <c r="M2822" i="1"/>
  <c r="N2822" i="1"/>
  <c r="K2823" i="1"/>
  <c r="M2823" i="1"/>
  <c r="N2823" i="1"/>
  <c r="K2824" i="1"/>
  <c r="M2824" i="1"/>
  <c r="N2824" i="1"/>
  <c r="K2825" i="1"/>
  <c r="M2825" i="1"/>
  <c r="N2825" i="1"/>
  <c r="K2826" i="1"/>
  <c r="M2826" i="1"/>
  <c r="N2826" i="1"/>
  <c r="K2827" i="1"/>
  <c r="M2827" i="1"/>
  <c r="N2827" i="1"/>
  <c r="K2828" i="1"/>
  <c r="M2828" i="1"/>
  <c r="N2828" i="1"/>
  <c r="K2829" i="1"/>
  <c r="M2829" i="1"/>
  <c r="N2829" i="1"/>
  <c r="K2830" i="1"/>
  <c r="M2830" i="1"/>
  <c r="N2830" i="1"/>
  <c r="K2831" i="1"/>
  <c r="M2831" i="1"/>
  <c r="N2831" i="1"/>
  <c r="K2832" i="1"/>
  <c r="M2832" i="1"/>
  <c r="N2832" i="1"/>
  <c r="K2833" i="1"/>
  <c r="M2833" i="1"/>
  <c r="N2833" i="1"/>
  <c r="K2834" i="1"/>
  <c r="M2834" i="1"/>
  <c r="N2834" i="1"/>
  <c r="K2835" i="1"/>
  <c r="M2835" i="1"/>
  <c r="N2835" i="1"/>
  <c r="K2836" i="1"/>
  <c r="M2836" i="1"/>
  <c r="N2836" i="1"/>
  <c r="K2837" i="1"/>
  <c r="M2837" i="1"/>
  <c r="N2837" i="1"/>
  <c r="K2838" i="1"/>
  <c r="M2838" i="1"/>
  <c r="N2838" i="1"/>
  <c r="K2839" i="1"/>
  <c r="M2839" i="1"/>
  <c r="N2839" i="1"/>
  <c r="K2840" i="1"/>
  <c r="M2840" i="1"/>
  <c r="N2840" i="1"/>
  <c r="K2841" i="1"/>
  <c r="M2841" i="1"/>
  <c r="N2841" i="1"/>
  <c r="K2842" i="1"/>
  <c r="M2842" i="1"/>
  <c r="N2842" i="1"/>
  <c r="K2843" i="1"/>
  <c r="M2843" i="1"/>
  <c r="N2843" i="1"/>
  <c r="K2844" i="1"/>
  <c r="M2844" i="1"/>
  <c r="N2844" i="1"/>
  <c r="K2845" i="1"/>
  <c r="M2845" i="1"/>
  <c r="N2845" i="1"/>
  <c r="K2846" i="1"/>
  <c r="M2846" i="1"/>
  <c r="N2846" i="1"/>
  <c r="K2847" i="1"/>
  <c r="M2847" i="1"/>
  <c r="N2847" i="1"/>
  <c r="K2848" i="1"/>
  <c r="M2848" i="1"/>
  <c r="N2848" i="1"/>
  <c r="K2849" i="1"/>
  <c r="M2849" i="1"/>
  <c r="N2849" i="1"/>
  <c r="K2850" i="1"/>
  <c r="M2850" i="1"/>
  <c r="N2850" i="1"/>
  <c r="K2851" i="1"/>
  <c r="M2851" i="1"/>
  <c r="N2851" i="1"/>
  <c r="K2852" i="1"/>
  <c r="M2852" i="1"/>
  <c r="N2852" i="1"/>
  <c r="K2853" i="1"/>
  <c r="M2853" i="1"/>
  <c r="N2853" i="1"/>
  <c r="K2854" i="1"/>
  <c r="M2854" i="1"/>
  <c r="N2854" i="1"/>
  <c r="K2855" i="1"/>
  <c r="M2855" i="1"/>
  <c r="N2855" i="1"/>
  <c r="K2856" i="1"/>
  <c r="M2856" i="1"/>
  <c r="N2856" i="1"/>
  <c r="K2857" i="1"/>
  <c r="M2857" i="1"/>
  <c r="N2857" i="1"/>
  <c r="K2858" i="1"/>
  <c r="M2858" i="1"/>
  <c r="N2858" i="1"/>
  <c r="K2859" i="1"/>
  <c r="M2859" i="1"/>
  <c r="N2859" i="1"/>
  <c r="K2860" i="1"/>
  <c r="M2860" i="1"/>
  <c r="N2860" i="1"/>
  <c r="K2861" i="1"/>
  <c r="M2861" i="1"/>
  <c r="N2861" i="1"/>
  <c r="K2862" i="1"/>
  <c r="M2862" i="1"/>
  <c r="N2862" i="1"/>
  <c r="K2863" i="1"/>
  <c r="M2863" i="1"/>
  <c r="N2863" i="1"/>
  <c r="K2864" i="1"/>
  <c r="M2864" i="1"/>
  <c r="N2864" i="1"/>
  <c r="K2865" i="1"/>
  <c r="M2865" i="1"/>
  <c r="N2865" i="1"/>
  <c r="K2866" i="1"/>
  <c r="M2866" i="1"/>
  <c r="N2866" i="1"/>
  <c r="K2867" i="1"/>
  <c r="M2867" i="1"/>
  <c r="N2867" i="1"/>
  <c r="K2868" i="1"/>
  <c r="M2868" i="1"/>
  <c r="N2868" i="1"/>
  <c r="K2869" i="1"/>
  <c r="M2869" i="1"/>
  <c r="N2869" i="1"/>
  <c r="K2870" i="1"/>
  <c r="M2870" i="1"/>
  <c r="N2870" i="1"/>
  <c r="K2871" i="1"/>
  <c r="M2871" i="1"/>
  <c r="N2871" i="1"/>
  <c r="K2872" i="1"/>
  <c r="M2872" i="1"/>
  <c r="N2872" i="1"/>
  <c r="K2873" i="1"/>
  <c r="M2873" i="1"/>
  <c r="N2873" i="1"/>
  <c r="K2874" i="1"/>
  <c r="M2874" i="1"/>
  <c r="N2874" i="1"/>
  <c r="K2875" i="1"/>
  <c r="M2875" i="1"/>
  <c r="N2875" i="1"/>
  <c r="K2876" i="1"/>
  <c r="M2876" i="1"/>
  <c r="N2876" i="1"/>
  <c r="K2877" i="1"/>
  <c r="M2877" i="1"/>
  <c r="N2877" i="1"/>
  <c r="K2878" i="1"/>
  <c r="M2878" i="1"/>
  <c r="N2878" i="1"/>
  <c r="K2879" i="1"/>
  <c r="M2879" i="1"/>
  <c r="N2879" i="1"/>
  <c r="K2880" i="1"/>
  <c r="M2880" i="1"/>
  <c r="N2880" i="1"/>
  <c r="K2881" i="1"/>
  <c r="M2881" i="1"/>
  <c r="N2881" i="1"/>
  <c r="K2882" i="1"/>
  <c r="M2882" i="1"/>
  <c r="N2882" i="1"/>
  <c r="K2883" i="1"/>
  <c r="M2883" i="1"/>
  <c r="N2883" i="1"/>
  <c r="K2884" i="1"/>
  <c r="M2884" i="1"/>
  <c r="N2884" i="1"/>
  <c r="K2885" i="1"/>
  <c r="M2885" i="1"/>
  <c r="N2885" i="1"/>
  <c r="K2886" i="1"/>
  <c r="M2886" i="1"/>
  <c r="N2886" i="1"/>
  <c r="K2887" i="1"/>
  <c r="M2887" i="1"/>
  <c r="N2887" i="1"/>
  <c r="K2888" i="1"/>
  <c r="M2888" i="1"/>
  <c r="N2888" i="1"/>
  <c r="K2889" i="1"/>
  <c r="M2889" i="1"/>
  <c r="N2889" i="1"/>
  <c r="K2890" i="1"/>
  <c r="M2890" i="1"/>
  <c r="N2890" i="1"/>
  <c r="K2891" i="1"/>
  <c r="M2891" i="1"/>
  <c r="N2891" i="1"/>
  <c r="K2892" i="1"/>
  <c r="M2892" i="1"/>
  <c r="N2892" i="1"/>
  <c r="K2893" i="1"/>
  <c r="M2893" i="1"/>
  <c r="N2893" i="1"/>
  <c r="K2894" i="1"/>
  <c r="M2894" i="1"/>
  <c r="N2894" i="1"/>
  <c r="K2895" i="1"/>
  <c r="M2895" i="1"/>
  <c r="N2895" i="1"/>
  <c r="K2896" i="1"/>
  <c r="M2896" i="1"/>
  <c r="N2896" i="1"/>
  <c r="K2897" i="1"/>
  <c r="M2897" i="1"/>
  <c r="N2897" i="1"/>
  <c r="K2898" i="1"/>
  <c r="M2898" i="1"/>
  <c r="N2898" i="1"/>
  <c r="K2899" i="1"/>
  <c r="M2899" i="1"/>
  <c r="N2899" i="1"/>
  <c r="K2900" i="1"/>
  <c r="M2900" i="1"/>
  <c r="N2900" i="1"/>
  <c r="K2901" i="1"/>
  <c r="M2901" i="1"/>
  <c r="N2901" i="1"/>
  <c r="K2902" i="1"/>
  <c r="M2902" i="1"/>
  <c r="N2902" i="1"/>
  <c r="K2903" i="1"/>
  <c r="M2903" i="1"/>
  <c r="N2903" i="1"/>
  <c r="K2904" i="1"/>
  <c r="M2904" i="1"/>
  <c r="N2904" i="1"/>
  <c r="K2905" i="1"/>
  <c r="M2905" i="1"/>
  <c r="N2905" i="1"/>
  <c r="K2906" i="1"/>
  <c r="M2906" i="1"/>
  <c r="N2906" i="1"/>
  <c r="K2907" i="1"/>
  <c r="M2907" i="1"/>
  <c r="N2907" i="1"/>
  <c r="K2908" i="1"/>
  <c r="M2908" i="1"/>
  <c r="N2908" i="1"/>
  <c r="K2909" i="1"/>
  <c r="M2909" i="1"/>
  <c r="N2909" i="1"/>
  <c r="K2910" i="1"/>
  <c r="M2910" i="1"/>
  <c r="N2910" i="1"/>
  <c r="K2911" i="1"/>
  <c r="M2911" i="1"/>
  <c r="N2911" i="1"/>
  <c r="K2912" i="1"/>
  <c r="M2912" i="1"/>
  <c r="N2912" i="1"/>
  <c r="K2913" i="1"/>
  <c r="M2913" i="1"/>
  <c r="N2913" i="1"/>
  <c r="K2914" i="1"/>
  <c r="M2914" i="1"/>
  <c r="N2914" i="1"/>
  <c r="K2915" i="1"/>
  <c r="M2915" i="1"/>
  <c r="N2915" i="1"/>
  <c r="K2916" i="1"/>
  <c r="M2916" i="1"/>
  <c r="N2916" i="1"/>
  <c r="K2917" i="1"/>
  <c r="M2917" i="1"/>
  <c r="N2917" i="1"/>
  <c r="K2918" i="1"/>
  <c r="M2918" i="1"/>
  <c r="N2918" i="1"/>
  <c r="K2919" i="1"/>
  <c r="M2919" i="1"/>
  <c r="N2919" i="1"/>
  <c r="K2920" i="1"/>
  <c r="M2920" i="1"/>
  <c r="N2920" i="1"/>
  <c r="K2921" i="1"/>
  <c r="M2921" i="1"/>
  <c r="N2921" i="1"/>
  <c r="K2922" i="1"/>
  <c r="M2922" i="1"/>
  <c r="N2922" i="1"/>
  <c r="K2923" i="1"/>
  <c r="M2923" i="1"/>
  <c r="N2923" i="1"/>
  <c r="K2924" i="1"/>
  <c r="M2924" i="1"/>
  <c r="N2924" i="1"/>
  <c r="K2925" i="1"/>
  <c r="M2925" i="1"/>
  <c r="N2925" i="1"/>
  <c r="K2926" i="1"/>
  <c r="M2926" i="1"/>
  <c r="N2926" i="1"/>
  <c r="K2927" i="1"/>
  <c r="M2927" i="1"/>
  <c r="N2927" i="1"/>
  <c r="K2928" i="1"/>
  <c r="M2928" i="1"/>
  <c r="N2928" i="1"/>
  <c r="K2929" i="1"/>
  <c r="M2929" i="1"/>
  <c r="N2929" i="1"/>
  <c r="K2930" i="1"/>
  <c r="M2930" i="1"/>
  <c r="N2930" i="1"/>
  <c r="K2931" i="1"/>
  <c r="M2931" i="1"/>
  <c r="N2931" i="1"/>
  <c r="K2932" i="1"/>
  <c r="M2932" i="1"/>
  <c r="N2932" i="1"/>
  <c r="K2933" i="1"/>
  <c r="M2933" i="1"/>
  <c r="N2933" i="1"/>
  <c r="K2934" i="1"/>
  <c r="M2934" i="1"/>
  <c r="N2934" i="1"/>
  <c r="K2935" i="1"/>
  <c r="M2935" i="1"/>
  <c r="N2935" i="1"/>
  <c r="K2936" i="1"/>
  <c r="M2936" i="1"/>
  <c r="N2936" i="1"/>
  <c r="K2937" i="1"/>
  <c r="M2937" i="1"/>
  <c r="N2937" i="1"/>
  <c r="K2938" i="1"/>
  <c r="M2938" i="1"/>
  <c r="N2938" i="1"/>
  <c r="K2939" i="1"/>
  <c r="M2939" i="1"/>
  <c r="N2939" i="1"/>
  <c r="K2940" i="1"/>
  <c r="M2940" i="1"/>
  <c r="N2940" i="1"/>
  <c r="K2941" i="1"/>
  <c r="M2941" i="1"/>
  <c r="N2941" i="1"/>
  <c r="K2942" i="1"/>
  <c r="M2942" i="1"/>
  <c r="N2942" i="1"/>
  <c r="K2943" i="1"/>
  <c r="M2943" i="1"/>
  <c r="N2943" i="1"/>
  <c r="K2944" i="1"/>
  <c r="M2944" i="1"/>
  <c r="N2944" i="1"/>
  <c r="K2945" i="1"/>
  <c r="M2945" i="1"/>
  <c r="N2945" i="1"/>
  <c r="K2946" i="1"/>
  <c r="M2946" i="1"/>
  <c r="N2946" i="1"/>
  <c r="K2947" i="1"/>
  <c r="M2947" i="1"/>
  <c r="N2947" i="1"/>
  <c r="K2948" i="1"/>
  <c r="M2948" i="1"/>
  <c r="N2948" i="1"/>
  <c r="K2949" i="1"/>
  <c r="M2949" i="1"/>
  <c r="N2949" i="1"/>
  <c r="K2950" i="1"/>
  <c r="M2950" i="1"/>
  <c r="N2950" i="1"/>
  <c r="K2951" i="1"/>
  <c r="M2951" i="1"/>
  <c r="N2951" i="1"/>
  <c r="K2952" i="1"/>
  <c r="M2952" i="1"/>
  <c r="N2952" i="1"/>
  <c r="K2953" i="1"/>
  <c r="M2953" i="1"/>
  <c r="N2953" i="1"/>
  <c r="K2954" i="1"/>
  <c r="M2954" i="1"/>
  <c r="N2954" i="1"/>
  <c r="K2955" i="1"/>
  <c r="M2955" i="1"/>
  <c r="N2955" i="1"/>
  <c r="K2956" i="1"/>
  <c r="M2956" i="1"/>
  <c r="N2956" i="1"/>
  <c r="K2957" i="1"/>
  <c r="M2957" i="1"/>
  <c r="N2957" i="1"/>
  <c r="K2958" i="1"/>
  <c r="M2958" i="1"/>
  <c r="N2958" i="1"/>
  <c r="K2959" i="1"/>
  <c r="M2959" i="1"/>
  <c r="N2959" i="1"/>
  <c r="K2960" i="1"/>
  <c r="M2960" i="1"/>
  <c r="N2960" i="1"/>
  <c r="K2961" i="1"/>
  <c r="M2961" i="1"/>
  <c r="N2961" i="1"/>
  <c r="K2962" i="1"/>
  <c r="M2962" i="1"/>
  <c r="N2962" i="1"/>
  <c r="K2963" i="1"/>
  <c r="M2963" i="1"/>
  <c r="N2963" i="1"/>
  <c r="K2964" i="1"/>
  <c r="M2964" i="1"/>
  <c r="N2964" i="1"/>
  <c r="K2965" i="1"/>
  <c r="M2965" i="1"/>
  <c r="N2965" i="1"/>
  <c r="K2966" i="1"/>
  <c r="M2966" i="1"/>
  <c r="N2966" i="1"/>
  <c r="K2967" i="1"/>
  <c r="M2967" i="1"/>
  <c r="N2967" i="1"/>
  <c r="K2968" i="1"/>
  <c r="M2968" i="1"/>
  <c r="N2968" i="1"/>
  <c r="K2969" i="1"/>
  <c r="M2969" i="1"/>
  <c r="N2969" i="1"/>
  <c r="K2970" i="1"/>
  <c r="M2970" i="1"/>
  <c r="N2970" i="1"/>
  <c r="K2971" i="1"/>
  <c r="M2971" i="1"/>
  <c r="N2971" i="1"/>
  <c r="K2972" i="1"/>
  <c r="M2972" i="1"/>
  <c r="N2972" i="1"/>
  <c r="K2973" i="1"/>
  <c r="M2973" i="1"/>
  <c r="N2973" i="1"/>
  <c r="K2974" i="1"/>
  <c r="M2974" i="1"/>
  <c r="N2974" i="1"/>
  <c r="K2975" i="1"/>
  <c r="M2975" i="1"/>
  <c r="N2975" i="1"/>
  <c r="K2976" i="1"/>
  <c r="M2976" i="1"/>
  <c r="N2976" i="1"/>
  <c r="K2977" i="1"/>
  <c r="M2977" i="1"/>
  <c r="N2977" i="1"/>
  <c r="K2978" i="1"/>
  <c r="M2978" i="1"/>
  <c r="N2978" i="1"/>
  <c r="K2979" i="1"/>
  <c r="M2979" i="1"/>
  <c r="N2979" i="1"/>
  <c r="K2980" i="1"/>
  <c r="M2980" i="1"/>
  <c r="N2980" i="1"/>
  <c r="K2981" i="1"/>
  <c r="M2981" i="1"/>
  <c r="N2981" i="1"/>
  <c r="K2982" i="1"/>
  <c r="M2982" i="1"/>
  <c r="N2982" i="1"/>
  <c r="K2983" i="1"/>
  <c r="M2983" i="1"/>
  <c r="N2983" i="1"/>
  <c r="K2984" i="1"/>
  <c r="M2984" i="1"/>
  <c r="N2984" i="1"/>
  <c r="K2985" i="1"/>
  <c r="M2985" i="1"/>
  <c r="N2985" i="1"/>
  <c r="K2986" i="1"/>
  <c r="M2986" i="1"/>
  <c r="N2986" i="1"/>
  <c r="K2987" i="1"/>
  <c r="M2987" i="1"/>
  <c r="N2987" i="1"/>
  <c r="K2988" i="1"/>
  <c r="M2988" i="1"/>
  <c r="N2988" i="1"/>
  <c r="K2989" i="1"/>
  <c r="M2989" i="1"/>
  <c r="N2989" i="1"/>
  <c r="K2990" i="1"/>
  <c r="M2990" i="1"/>
  <c r="N2990" i="1"/>
  <c r="K2991" i="1"/>
  <c r="M2991" i="1"/>
  <c r="N2991" i="1"/>
  <c r="K2992" i="1"/>
  <c r="M2992" i="1"/>
  <c r="N2992" i="1"/>
  <c r="K2993" i="1"/>
  <c r="M2993" i="1"/>
  <c r="N2993" i="1"/>
  <c r="K2994" i="1"/>
  <c r="M2994" i="1"/>
  <c r="N2994" i="1"/>
  <c r="K2995" i="1"/>
  <c r="M2995" i="1"/>
  <c r="N2995" i="1"/>
  <c r="K2996" i="1"/>
  <c r="M2996" i="1"/>
  <c r="N2996" i="1"/>
  <c r="K2997" i="1"/>
  <c r="M2997" i="1"/>
  <c r="N2997" i="1"/>
  <c r="K2998" i="1"/>
  <c r="M2998" i="1"/>
  <c r="N2998" i="1"/>
  <c r="K2999" i="1"/>
  <c r="M2999" i="1"/>
  <c r="N2999" i="1"/>
  <c r="K3000" i="1"/>
  <c r="M3000" i="1"/>
  <c r="N3000" i="1"/>
  <c r="K3001" i="1"/>
  <c r="M3001" i="1"/>
  <c r="N3001" i="1"/>
  <c r="K3002" i="1"/>
  <c r="M3002" i="1"/>
  <c r="N3002" i="1"/>
  <c r="K3003" i="1"/>
  <c r="M3003" i="1"/>
  <c r="N3003" i="1"/>
  <c r="K3004" i="1"/>
  <c r="M3004" i="1"/>
  <c r="N3004" i="1"/>
  <c r="K3005" i="1"/>
  <c r="M3005" i="1"/>
  <c r="N3005" i="1"/>
  <c r="K3006" i="1"/>
  <c r="M3006" i="1"/>
  <c r="N3006" i="1"/>
  <c r="K3007" i="1"/>
  <c r="M3007" i="1"/>
  <c r="N3007" i="1"/>
  <c r="K3008" i="1"/>
  <c r="M3008" i="1"/>
  <c r="N3008" i="1"/>
  <c r="K3009" i="1"/>
  <c r="M3009" i="1"/>
  <c r="N3009" i="1"/>
  <c r="K3010" i="1"/>
  <c r="M3010" i="1"/>
  <c r="N3010" i="1"/>
  <c r="K3011" i="1"/>
  <c r="M3011" i="1"/>
  <c r="N3011" i="1"/>
  <c r="K3012" i="1"/>
  <c r="M3012" i="1"/>
  <c r="N3012" i="1"/>
  <c r="K3013" i="1"/>
  <c r="M3013" i="1"/>
  <c r="N3013" i="1"/>
  <c r="K3014" i="1"/>
  <c r="M3014" i="1"/>
  <c r="N3014" i="1"/>
  <c r="K3015" i="1"/>
  <c r="M3015" i="1"/>
  <c r="N3015" i="1"/>
  <c r="K3016" i="1"/>
  <c r="M3016" i="1"/>
  <c r="N3016" i="1"/>
  <c r="K3017" i="1"/>
  <c r="M3017" i="1"/>
  <c r="N3017" i="1"/>
  <c r="K3018" i="1"/>
  <c r="M3018" i="1"/>
  <c r="N3018" i="1"/>
  <c r="K3019" i="1"/>
  <c r="M3019" i="1"/>
  <c r="N3019" i="1"/>
  <c r="K3020" i="1"/>
  <c r="M3020" i="1"/>
  <c r="N3020" i="1"/>
  <c r="K3021" i="1"/>
  <c r="M3021" i="1"/>
  <c r="N3021" i="1"/>
  <c r="K3022" i="1"/>
  <c r="M3022" i="1"/>
  <c r="N3022" i="1"/>
  <c r="K3023" i="1"/>
  <c r="M3023" i="1"/>
  <c r="N3023" i="1"/>
  <c r="K3024" i="1"/>
  <c r="M3024" i="1"/>
  <c r="N3024" i="1"/>
  <c r="K3025" i="1"/>
  <c r="M3025" i="1"/>
  <c r="N3025" i="1"/>
  <c r="K3026" i="1"/>
  <c r="M3026" i="1"/>
  <c r="N3026" i="1"/>
  <c r="K3027" i="1"/>
  <c r="M3027" i="1"/>
  <c r="N3027" i="1"/>
  <c r="K3028" i="1"/>
  <c r="M3028" i="1"/>
  <c r="N3028" i="1"/>
  <c r="K3029" i="1"/>
  <c r="M3029" i="1"/>
  <c r="N3029" i="1"/>
  <c r="K3030" i="1"/>
  <c r="M3030" i="1"/>
  <c r="N3030" i="1"/>
  <c r="K3031" i="1"/>
  <c r="M3031" i="1"/>
  <c r="N3031" i="1"/>
  <c r="K3032" i="1"/>
  <c r="M3032" i="1"/>
  <c r="N3032" i="1"/>
  <c r="K3033" i="1"/>
  <c r="M3033" i="1"/>
  <c r="N3033" i="1"/>
  <c r="K3034" i="1"/>
  <c r="M3034" i="1"/>
  <c r="N3034" i="1"/>
  <c r="K3035" i="1"/>
  <c r="M3035" i="1"/>
  <c r="N3035" i="1"/>
  <c r="K3036" i="1"/>
  <c r="M3036" i="1"/>
  <c r="N3036" i="1"/>
  <c r="K3037" i="1"/>
  <c r="M3037" i="1"/>
  <c r="N3037" i="1"/>
  <c r="K3038" i="1"/>
  <c r="M3038" i="1"/>
  <c r="N3038" i="1"/>
  <c r="K3039" i="1"/>
  <c r="M3039" i="1"/>
  <c r="N3039" i="1"/>
  <c r="K3040" i="1"/>
  <c r="M3040" i="1"/>
  <c r="N3040" i="1"/>
  <c r="K3041" i="1"/>
  <c r="M3041" i="1"/>
  <c r="N3041" i="1"/>
  <c r="K3042" i="1"/>
  <c r="M3042" i="1"/>
  <c r="N3042" i="1"/>
  <c r="K3043" i="1"/>
  <c r="M3043" i="1"/>
  <c r="N3043" i="1"/>
  <c r="K3044" i="1"/>
  <c r="M3044" i="1"/>
  <c r="N3044" i="1"/>
  <c r="K3045" i="1"/>
  <c r="M3045" i="1"/>
  <c r="N3045" i="1"/>
  <c r="K3046" i="1"/>
  <c r="M3046" i="1"/>
  <c r="N3046" i="1"/>
  <c r="K3047" i="1"/>
  <c r="M3047" i="1"/>
  <c r="N3047" i="1"/>
  <c r="K3048" i="1"/>
  <c r="M3048" i="1"/>
  <c r="N3048" i="1"/>
  <c r="K3049" i="1"/>
  <c r="M3049" i="1"/>
  <c r="N3049" i="1"/>
  <c r="K3050" i="1"/>
  <c r="M3050" i="1"/>
  <c r="N3050" i="1"/>
  <c r="K3051" i="1"/>
  <c r="M3051" i="1"/>
  <c r="N3051" i="1"/>
  <c r="K3052" i="1"/>
  <c r="M3052" i="1"/>
  <c r="N3052" i="1"/>
  <c r="K3053" i="1"/>
  <c r="M3053" i="1"/>
  <c r="N3053" i="1"/>
  <c r="K3054" i="1"/>
  <c r="M3054" i="1"/>
  <c r="N3054" i="1"/>
  <c r="K3055" i="1"/>
  <c r="M3055" i="1"/>
  <c r="N3055" i="1"/>
  <c r="K3056" i="1"/>
  <c r="M3056" i="1"/>
  <c r="N3056" i="1"/>
  <c r="K3057" i="1"/>
  <c r="M3057" i="1"/>
  <c r="N3057" i="1"/>
  <c r="K3058" i="1"/>
  <c r="M3058" i="1"/>
  <c r="N3058" i="1"/>
  <c r="K3059" i="1"/>
  <c r="M3059" i="1"/>
  <c r="N3059" i="1"/>
  <c r="K3060" i="1"/>
  <c r="M3060" i="1"/>
  <c r="N3060" i="1"/>
  <c r="K3061" i="1"/>
  <c r="M3061" i="1"/>
  <c r="N3061" i="1"/>
  <c r="K3062" i="1"/>
  <c r="M3062" i="1"/>
  <c r="N3062" i="1"/>
  <c r="K3063" i="1"/>
  <c r="M3063" i="1"/>
  <c r="N3063" i="1"/>
  <c r="K3064" i="1"/>
  <c r="M3064" i="1"/>
  <c r="N3064" i="1"/>
  <c r="K3065" i="1"/>
  <c r="M3065" i="1"/>
  <c r="N3065" i="1"/>
  <c r="K3066" i="1"/>
  <c r="M3066" i="1"/>
  <c r="N3066" i="1"/>
  <c r="K3067" i="1"/>
  <c r="M3067" i="1"/>
  <c r="N3067" i="1"/>
  <c r="K3068" i="1"/>
  <c r="M3068" i="1"/>
  <c r="N3068" i="1"/>
  <c r="K3069" i="1"/>
  <c r="M3069" i="1"/>
  <c r="N3069" i="1"/>
  <c r="K3070" i="1"/>
  <c r="M3070" i="1"/>
  <c r="N3070" i="1"/>
  <c r="K3071" i="1"/>
  <c r="M3071" i="1"/>
  <c r="N3071" i="1"/>
  <c r="K3072" i="1"/>
  <c r="M3072" i="1"/>
  <c r="N3072" i="1"/>
  <c r="K3073" i="1"/>
  <c r="M3073" i="1"/>
  <c r="N3073" i="1"/>
  <c r="K3074" i="1"/>
  <c r="M3074" i="1"/>
  <c r="N3074" i="1"/>
  <c r="K3075" i="1"/>
  <c r="M3075" i="1"/>
  <c r="N3075" i="1"/>
  <c r="K3076" i="1"/>
  <c r="M3076" i="1"/>
  <c r="N3076" i="1"/>
  <c r="K3077" i="1"/>
  <c r="M3077" i="1"/>
  <c r="N3077" i="1"/>
  <c r="K3078" i="1"/>
  <c r="M3078" i="1"/>
  <c r="N3078" i="1"/>
  <c r="K3079" i="1"/>
  <c r="M3079" i="1"/>
  <c r="N3079" i="1"/>
  <c r="K3080" i="1"/>
  <c r="M3080" i="1"/>
  <c r="N3080" i="1"/>
  <c r="K3081" i="1"/>
  <c r="M3081" i="1"/>
  <c r="N3081" i="1"/>
  <c r="K3082" i="1"/>
  <c r="M3082" i="1"/>
  <c r="N3082" i="1"/>
  <c r="K3083" i="1"/>
  <c r="M3083" i="1"/>
  <c r="N3083" i="1"/>
  <c r="K3084" i="1"/>
  <c r="M3084" i="1"/>
  <c r="N3084" i="1"/>
  <c r="K3085" i="1"/>
  <c r="M3085" i="1"/>
  <c r="N3085" i="1"/>
  <c r="K3086" i="1"/>
  <c r="M3086" i="1"/>
  <c r="N3086" i="1"/>
  <c r="K3087" i="1"/>
  <c r="M3087" i="1"/>
  <c r="N3087" i="1"/>
  <c r="K3088" i="1"/>
  <c r="M3088" i="1"/>
  <c r="N3088" i="1"/>
  <c r="K3089" i="1"/>
  <c r="M3089" i="1"/>
  <c r="N3089" i="1"/>
  <c r="K3090" i="1"/>
  <c r="M3090" i="1"/>
  <c r="N3090" i="1"/>
  <c r="K3091" i="1"/>
  <c r="M3091" i="1"/>
  <c r="N3091" i="1"/>
  <c r="K3092" i="1"/>
  <c r="M3092" i="1"/>
  <c r="N3092" i="1"/>
  <c r="K3093" i="1"/>
  <c r="M3093" i="1"/>
  <c r="N3093" i="1"/>
  <c r="K3094" i="1"/>
  <c r="M3094" i="1"/>
  <c r="N3094" i="1"/>
  <c r="K3095" i="1"/>
  <c r="M3095" i="1"/>
  <c r="N3095" i="1"/>
  <c r="K3096" i="1"/>
  <c r="M3096" i="1"/>
  <c r="N3096" i="1"/>
  <c r="K3097" i="1"/>
  <c r="M3097" i="1"/>
  <c r="N3097" i="1"/>
  <c r="K3098" i="1"/>
  <c r="M3098" i="1"/>
  <c r="N3098" i="1"/>
  <c r="K3099" i="1"/>
  <c r="M3099" i="1"/>
  <c r="N3099" i="1"/>
  <c r="K3100" i="1"/>
  <c r="M3100" i="1"/>
  <c r="N3100" i="1"/>
  <c r="K3101" i="1"/>
  <c r="M3101" i="1"/>
  <c r="N3101" i="1"/>
  <c r="K3102" i="1"/>
  <c r="M3102" i="1"/>
  <c r="N3102" i="1"/>
  <c r="K3103" i="1"/>
  <c r="M3103" i="1"/>
  <c r="N3103" i="1"/>
  <c r="K3104" i="1"/>
  <c r="M3104" i="1"/>
  <c r="N3104" i="1"/>
  <c r="K3105" i="1"/>
  <c r="M3105" i="1"/>
  <c r="N3105" i="1"/>
  <c r="K3106" i="1"/>
  <c r="M3106" i="1"/>
  <c r="N3106" i="1"/>
  <c r="K3107" i="1"/>
  <c r="M3107" i="1"/>
  <c r="N3107" i="1"/>
  <c r="K3108" i="1"/>
  <c r="M3108" i="1"/>
  <c r="N3108" i="1"/>
  <c r="K3109" i="1"/>
  <c r="M3109" i="1"/>
  <c r="N3109" i="1"/>
  <c r="K3110" i="1"/>
  <c r="M3110" i="1"/>
  <c r="N3110" i="1"/>
  <c r="K3111" i="1"/>
  <c r="M3111" i="1"/>
  <c r="N3111" i="1"/>
  <c r="K3112" i="1"/>
  <c r="M3112" i="1"/>
  <c r="N3112" i="1"/>
  <c r="K3113" i="1"/>
  <c r="M3113" i="1"/>
  <c r="N3113" i="1"/>
  <c r="K3114" i="1"/>
  <c r="M3114" i="1"/>
  <c r="N3114" i="1"/>
  <c r="K3115" i="1"/>
  <c r="M3115" i="1"/>
  <c r="N3115" i="1"/>
  <c r="K3116" i="1"/>
  <c r="M3116" i="1"/>
  <c r="N3116" i="1"/>
  <c r="K3117" i="1"/>
  <c r="M3117" i="1"/>
  <c r="N3117" i="1"/>
  <c r="K3118" i="1"/>
  <c r="M3118" i="1"/>
  <c r="N3118" i="1"/>
  <c r="K3119" i="1"/>
  <c r="M3119" i="1"/>
  <c r="N3119" i="1"/>
  <c r="K3120" i="1"/>
  <c r="M3120" i="1"/>
  <c r="N3120" i="1"/>
  <c r="K3121" i="1"/>
  <c r="M3121" i="1"/>
  <c r="N3121" i="1"/>
  <c r="K3122" i="1"/>
  <c r="M3122" i="1"/>
  <c r="N3122" i="1"/>
  <c r="K3123" i="1"/>
  <c r="M3123" i="1"/>
  <c r="N3123" i="1"/>
  <c r="K3124" i="1"/>
  <c r="M3124" i="1"/>
  <c r="N3124" i="1"/>
  <c r="K3125" i="1"/>
  <c r="M3125" i="1"/>
  <c r="N3125" i="1"/>
  <c r="K3126" i="1"/>
  <c r="M3126" i="1"/>
  <c r="N3126" i="1"/>
  <c r="K3127" i="1"/>
  <c r="M3127" i="1"/>
  <c r="N3127" i="1"/>
  <c r="K3128" i="1"/>
  <c r="M3128" i="1"/>
  <c r="N3128" i="1"/>
  <c r="K3129" i="1"/>
  <c r="M3129" i="1"/>
  <c r="N3129" i="1"/>
  <c r="K3130" i="1"/>
  <c r="M3130" i="1"/>
  <c r="N3130" i="1"/>
  <c r="K3131" i="1"/>
  <c r="M3131" i="1"/>
  <c r="N3131" i="1"/>
  <c r="K3132" i="1"/>
  <c r="M3132" i="1"/>
  <c r="N3132" i="1"/>
  <c r="K3133" i="1"/>
  <c r="M3133" i="1"/>
  <c r="N3133" i="1"/>
  <c r="K3134" i="1"/>
  <c r="M3134" i="1"/>
  <c r="N3134" i="1"/>
  <c r="K3135" i="1"/>
  <c r="M3135" i="1"/>
  <c r="N3135" i="1"/>
  <c r="K3136" i="1"/>
  <c r="M3136" i="1"/>
  <c r="N3136" i="1"/>
  <c r="K3137" i="1"/>
  <c r="M3137" i="1"/>
  <c r="N3137" i="1"/>
  <c r="K3138" i="1"/>
  <c r="M3138" i="1"/>
  <c r="N3138" i="1"/>
  <c r="K3139" i="1"/>
  <c r="M3139" i="1"/>
  <c r="N3139" i="1"/>
  <c r="K3140" i="1"/>
  <c r="M3140" i="1"/>
  <c r="N3140" i="1"/>
  <c r="K3141" i="1"/>
  <c r="M3141" i="1"/>
  <c r="N3141" i="1"/>
  <c r="K3142" i="1"/>
  <c r="M3142" i="1"/>
  <c r="N3142" i="1"/>
  <c r="K3143" i="1"/>
  <c r="M3143" i="1"/>
  <c r="N3143" i="1"/>
  <c r="K3144" i="1"/>
  <c r="M3144" i="1"/>
  <c r="N3144" i="1"/>
  <c r="K3145" i="1"/>
  <c r="M3145" i="1"/>
  <c r="N3145" i="1"/>
  <c r="K3146" i="1"/>
  <c r="M3146" i="1"/>
  <c r="N3146" i="1"/>
  <c r="K3147" i="1"/>
  <c r="M3147" i="1"/>
  <c r="N3147" i="1"/>
  <c r="K3148" i="1"/>
  <c r="M3148" i="1"/>
  <c r="N3148" i="1"/>
  <c r="K3149" i="1"/>
  <c r="M3149" i="1"/>
  <c r="N3149" i="1"/>
  <c r="K3150" i="1"/>
  <c r="M3150" i="1"/>
  <c r="N3150" i="1"/>
  <c r="K3151" i="1"/>
  <c r="M3151" i="1"/>
  <c r="N3151" i="1"/>
  <c r="K3152" i="1"/>
  <c r="M3152" i="1"/>
  <c r="N3152" i="1"/>
  <c r="K3153" i="1"/>
  <c r="M3153" i="1"/>
  <c r="N3153" i="1"/>
  <c r="K3154" i="1"/>
  <c r="M3154" i="1"/>
  <c r="N3154" i="1"/>
  <c r="K3155" i="1"/>
  <c r="M3155" i="1"/>
  <c r="N3155" i="1"/>
  <c r="K3156" i="1"/>
  <c r="M3156" i="1"/>
  <c r="N3156" i="1"/>
  <c r="K3157" i="1"/>
  <c r="M3157" i="1"/>
  <c r="N3157" i="1"/>
  <c r="K3158" i="1"/>
  <c r="M3158" i="1"/>
  <c r="N3158" i="1"/>
  <c r="K3159" i="1"/>
  <c r="M3159" i="1"/>
  <c r="N3159" i="1"/>
  <c r="K3160" i="1"/>
  <c r="M3160" i="1"/>
  <c r="N3160" i="1"/>
  <c r="K3161" i="1"/>
  <c r="M3161" i="1"/>
  <c r="N3161" i="1"/>
  <c r="K3162" i="1"/>
  <c r="M3162" i="1"/>
  <c r="N3162" i="1"/>
  <c r="K3163" i="1"/>
  <c r="M3163" i="1"/>
  <c r="N3163" i="1"/>
  <c r="K3164" i="1"/>
  <c r="M3164" i="1"/>
  <c r="N3164" i="1"/>
  <c r="K3165" i="1"/>
  <c r="M3165" i="1"/>
  <c r="N3165" i="1"/>
  <c r="K3166" i="1"/>
  <c r="M3166" i="1"/>
  <c r="N3166" i="1"/>
  <c r="K3167" i="1"/>
  <c r="M3167" i="1"/>
  <c r="N3167" i="1"/>
  <c r="K3168" i="1"/>
  <c r="M3168" i="1"/>
  <c r="N3168" i="1"/>
  <c r="K3169" i="1"/>
  <c r="M3169" i="1"/>
  <c r="N3169" i="1"/>
  <c r="K3170" i="1"/>
  <c r="M3170" i="1"/>
  <c r="N3170" i="1"/>
  <c r="K3171" i="1"/>
  <c r="M3171" i="1"/>
  <c r="N3171" i="1"/>
  <c r="K3172" i="1"/>
  <c r="M3172" i="1"/>
  <c r="N3172" i="1"/>
  <c r="K3173" i="1"/>
  <c r="M3173" i="1"/>
  <c r="N3173" i="1"/>
  <c r="K3174" i="1"/>
  <c r="M3174" i="1"/>
  <c r="N3174" i="1"/>
  <c r="K3175" i="1"/>
  <c r="M3175" i="1"/>
  <c r="N3175" i="1"/>
  <c r="K3176" i="1"/>
  <c r="M3176" i="1"/>
  <c r="N3176" i="1"/>
  <c r="K3177" i="1"/>
  <c r="M3177" i="1"/>
  <c r="N3177" i="1"/>
  <c r="K3178" i="1"/>
  <c r="M3178" i="1"/>
  <c r="N3178" i="1"/>
  <c r="K3179" i="1"/>
  <c r="M3179" i="1"/>
  <c r="N3179" i="1"/>
  <c r="K3180" i="1"/>
  <c r="M3180" i="1"/>
  <c r="N3180" i="1"/>
  <c r="K3181" i="1"/>
  <c r="M3181" i="1"/>
  <c r="N3181" i="1"/>
  <c r="K3182" i="1"/>
  <c r="M3182" i="1"/>
  <c r="N3182" i="1"/>
  <c r="K3183" i="1"/>
  <c r="M3183" i="1"/>
  <c r="N3183" i="1"/>
  <c r="K3184" i="1"/>
  <c r="M3184" i="1"/>
  <c r="N3184" i="1"/>
  <c r="K3185" i="1"/>
  <c r="M3185" i="1"/>
  <c r="N3185" i="1"/>
  <c r="K3186" i="1"/>
  <c r="M3186" i="1"/>
  <c r="N3186" i="1"/>
  <c r="K3187" i="1"/>
  <c r="M3187" i="1"/>
  <c r="N3187" i="1"/>
  <c r="K3188" i="1"/>
  <c r="M3188" i="1"/>
  <c r="N3188" i="1"/>
  <c r="K3189" i="1"/>
  <c r="M3189" i="1"/>
  <c r="N3189" i="1"/>
  <c r="K3190" i="1"/>
  <c r="M3190" i="1"/>
  <c r="N3190" i="1"/>
  <c r="K3191" i="1"/>
  <c r="M3191" i="1"/>
  <c r="N3191" i="1"/>
  <c r="K3192" i="1"/>
  <c r="M3192" i="1"/>
  <c r="N3192" i="1"/>
  <c r="K3193" i="1"/>
  <c r="M3193" i="1"/>
  <c r="N3193" i="1"/>
  <c r="K3194" i="1"/>
  <c r="M3194" i="1"/>
  <c r="N3194" i="1"/>
  <c r="K3195" i="1"/>
  <c r="M3195" i="1"/>
  <c r="N3195" i="1"/>
  <c r="K3196" i="1"/>
  <c r="M3196" i="1"/>
  <c r="N3196" i="1"/>
  <c r="K3197" i="1"/>
  <c r="M3197" i="1"/>
  <c r="N3197" i="1"/>
  <c r="K3198" i="1"/>
  <c r="M3198" i="1"/>
  <c r="N3198" i="1"/>
  <c r="K3199" i="1"/>
  <c r="M3199" i="1"/>
  <c r="N3199" i="1"/>
  <c r="K3200" i="1"/>
  <c r="M3200" i="1"/>
  <c r="N3200" i="1"/>
  <c r="K3201" i="1"/>
  <c r="M3201" i="1"/>
  <c r="N3201" i="1"/>
  <c r="K3202" i="1"/>
  <c r="M3202" i="1"/>
  <c r="N3202" i="1"/>
  <c r="K3203" i="1"/>
  <c r="M3203" i="1"/>
  <c r="N3203" i="1"/>
  <c r="K3204" i="1"/>
  <c r="M3204" i="1"/>
  <c r="N3204" i="1"/>
  <c r="K3205" i="1"/>
  <c r="M3205" i="1"/>
  <c r="N3205" i="1"/>
  <c r="K3206" i="1"/>
  <c r="M3206" i="1"/>
  <c r="N3206" i="1"/>
  <c r="K3207" i="1"/>
  <c r="M3207" i="1"/>
  <c r="N3207" i="1"/>
  <c r="K3208" i="1"/>
  <c r="M3208" i="1"/>
  <c r="N3208" i="1"/>
  <c r="K3209" i="1"/>
  <c r="M3209" i="1"/>
  <c r="N3209" i="1"/>
  <c r="K3210" i="1"/>
  <c r="M3210" i="1"/>
  <c r="N3210" i="1"/>
  <c r="K3211" i="1"/>
  <c r="M3211" i="1"/>
  <c r="N3211" i="1"/>
  <c r="K3212" i="1"/>
  <c r="M3212" i="1"/>
  <c r="N3212" i="1"/>
  <c r="K3213" i="1"/>
  <c r="M3213" i="1"/>
  <c r="N3213" i="1"/>
  <c r="K3214" i="1"/>
  <c r="M3214" i="1"/>
  <c r="N3214" i="1"/>
  <c r="K3215" i="1"/>
  <c r="M3215" i="1"/>
  <c r="N3215" i="1"/>
  <c r="K3216" i="1"/>
  <c r="M3216" i="1"/>
  <c r="N3216" i="1"/>
  <c r="K3217" i="1"/>
  <c r="M3217" i="1"/>
  <c r="N3217" i="1"/>
  <c r="K3218" i="1"/>
  <c r="M3218" i="1"/>
  <c r="N3218" i="1"/>
  <c r="K3219" i="1"/>
  <c r="M3219" i="1"/>
  <c r="N3219" i="1"/>
  <c r="K3220" i="1"/>
  <c r="M3220" i="1"/>
  <c r="N3220" i="1"/>
  <c r="K3221" i="1"/>
  <c r="M3221" i="1"/>
  <c r="N3221" i="1"/>
  <c r="K3222" i="1"/>
  <c r="M3222" i="1"/>
  <c r="N3222" i="1"/>
  <c r="K3223" i="1"/>
  <c r="M3223" i="1"/>
  <c r="N3223" i="1"/>
  <c r="K3224" i="1"/>
  <c r="M3224" i="1"/>
  <c r="N3224" i="1"/>
  <c r="K3225" i="1"/>
  <c r="M3225" i="1"/>
  <c r="N3225" i="1"/>
  <c r="K3226" i="1"/>
  <c r="M3226" i="1"/>
  <c r="N3226" i="1"/>
  <c r="K3227" i="1"/>
  <c r="M3227" i="1"/>
  <c r="N3227" i="1"/>
  <c r="K3228" i="1"/>
  <c r="M3228" i="1"/>
  <c r="N3228" i="1"/>
  <c r="K3229" i="1"/>
  <c r="M3229" i="1"/>
  <c r="N3229" i="1"/>
  <c r="K3230" i="1"/>
  <c r="M3230" i="1"/>
  <c r="N3230" i="1"/>
  <c r="K3231" i="1"/>
  <c r="M3231" i="1"/>
  <c r="N3231" i="1"/>
  <c r="K3232" i="1"/>
  <c r="M3232" i="1"/>
  <c r="N3232" i="1"/>
  <c r="K3233" i="1"/>
  <c r="M3233" i="1"/>
  <c r="N3233" i="1"/>
  <c r="K3234" i="1"/>
  <c r="M3234" i="1"/>
  <c r="N3234" i="1"/>
  <c r="K3235" i="1"/>
  <c r="M3235" i="1"/>
  <c r="N3235" i="1"/>
  <c r="K3236" i="1"/>
  <c r="M3236" i="1"/>
  <c r="N3236" i="1"/>
  <c r="K3237" i="1"/>
  <c r="M3237" i="1"/>
  <c r="N3237" i="1"/>
  <c r="K3238" i="1"/>
  <c r="M3238" i="1"/>
  <c r="N3238" i="1"/>
  <c r="K3239" i="1"/>
  <c r="M3239" i="1"/>
  <c r="N3239" i="1"/>
  <c r="K3240" i="1"/>
  <c r="M3240" i="1"/>
  <c r="N3240" i="1"/>
  <c r="K3241" i="1"/>
  <c r="M3241" i="1"/>
  <c r="N3241" i="1"/>
  <c r="K3242" i="1"/>
  <c r="M3242" i="1"/>
  <c r="N3242" i="1"/>
  <c r="K3243" i="1"/>
  <c r="M3243" i="1"/>
  <c r="N3243" i="1"/>
  <c r="K3244" i="1"/>
  <c r="M3244" i="1"/>
  <c r="N3244" i="1"/>
  <c r="K3245" i="1"/>
  <c r="M3245" i="1"/>
  <c r="N3245" i="1"/>
  <c r="K3246" i="1"/>
  <c r="M3246" i="1"/>
  <c r="N3246" i="1"/>
  <c r="K3247" i="1"/>
  <c r="M3247" i="1"/>
  <c r="N3247" i="1"/>
  <c r="K3248" i="1"/>
  <c r="M3248" i="1"/>
  <c r="N3248" i="1"/>
  <c r="K3249" i="1"/>
  <c r="M3249" i="1"/>
  <c r="N3249" i="1"/>
  <c r="K3250" i="1"/>
  <c r="M3250" i="1"/>
  <c r="N3250" i="1"/>
  <c r="K3251" i="1"/>
  <c r="M3251" i="1"/>
  <c r="N3251" i="1"/>
  <c r="K3252" i="1"/>
  <c r="M3252" i="1"/>
  <c r="N3252" i="1"/>
  <c r="K3253" i="1"/>
  <c r="M3253" i="1"/>
  <c r="N3253" i="1"/>
  <c r="K3254" i="1"/>
  <c r="M3254" i="1"/>
  <c r="N3254" i="1"/>
  <c r="K3255" i="1"/>
  <c r="M3255" i="1"/>
  <c r="N3255" i="1"/>
  <c r="K3256" i="1"/>
  <c r="M3256" i="1"/>
  <c r="N3256" i="1"/>
  <c r="K3257" i="1"/>
  <c r="M3257" i="1"/>
  <c r="N3257" i="1"/>
  <c r="K3258" i="1"/>
  <c r="M3258" i="1"/>
  <c r="N3258" i="1"/>
  <c r="K3259" i="1"/>
  <c r="M3259" i="1"/>
  <c r="N3259" i="1"/>
  <c r="K3260" i="1"/>
  <c r="M3260" i="1"/>
  <c r="N3260" i="1"/>
  <c r="K3261" i="1"/>
  <c r="M3261" i="1"/>
  <c r="N3261" i="1"/>
  <c r="K3262" i="1"/>
  <c r="M3262" i="1"/>
  <c r="N3262" i="1"/>
  <c r="K3263" i="1"/>
  <c r="M3263" i="1"/>
  <c r="N3263" i="1"/>
  <c r="K3264" i="1"/>
  <c r="M3264" i="1"/>
  <c r="N3264" i="1"/>
  <c r="K3265" i="1"/>
  <c r="M3265" i="1"/>
  <c r="N3265" i="1"/>
  <c r="K3266" i="1"/>
  <c r="M3266" i="1"/>
  <c r="N3266" i="1"/>
  <c r="K3267" i="1"/>
  <c r="M3267" i="1"/>
  <c r="N3267" i="1"/>
  <c r="K3268" i="1"/>
  <c r="M3268" i="1"/>
  <c r="N3268" i="1"/>
  <c r="K3269" i="1"/>
  <c r="M3269" i="1"/>
  <c r="N3269" i="1"/>
  <c r="K3270" i="1"/>
  <c r="M3270" i="1"/>
  <c r="N3270" i="1"/>
  <c r="K3271" i="1"/>
  <c r="M3271" i="1"/>
  <c r="N3271" i="1"/>
  <c r="K3272" i="1"/>
  <c r="M3272" i="1"/>
  <c r="N3272" i="1"/>
  <c r="K3273" i="1"/>
  <c r="M3273" i="1"/>
  <c r="N3273" i="1"/>
  <c r="K3274" i="1"/>
  <c r="M3274" i="1"/>
  <c r="N3274" i="1"/>
  <c r="K3275" i="1"/>
  <c r="M3275" i="1"/>
  <c r="N3275" i="1"/>
  <c r="K3276" i="1"/>
  <c r="M3276" i="1"/>
  <c r="N3276" i="1"/>
  <c r="K3277" i="1"/>
  <c r="M3277" i="1"/>
  <c r="N3277" i="1"/>
  <c r="K3278" i="1"/>
  <c r="M3278" i="1"/>
  <c r="N3278" i="1"/>
  <c r="K3279" i="1"/>
  <c r="M3279" i="1"/>
  <c r="N3279" i="1"/>
  <c r="K3280" i="1"/>
  <c r="M3280" i="1"/>
  <c r="N3280" i="1"/>
  <c r="K3281" i="1"/>
  <c r="M3281" i="1"/>
  <c r="N3281" i="1"/>
  <c r="K3282" i="1"/>
  <c r="M3282" i="1"/>
  <c r="N3282" i="1"/>
  <c r="K3283" i="1"/>
  <c r="M3283" i="1"/>
  <c r="N3283" i="1"/>
  <c r="K3284" i="1"/>
  <c r="M3284" i="1"/>
  <c r="N3284" i="1"/>
  <c r="K3285" i="1"/>
  <c r="M3285" i="1"/>
  <c r="N3285" i="1"/>
  <c r="K3286" i="1"/>
  <c r="M3286" i="1"/>
  <c r="N3286" i="1"/>
  <c r="K3287" i="1"/>
  <c r="M3287" i="1"/>
  <c r="N3287" i="1"/>
  <c r="K3288" i="1"/>
  <c r="M3288" i="1"/>
  <c r="N3288" i="1"/>
  <c r="K3289" i="1"/>
  <c r="M3289" i="1"/>
  <c r="N3289" i="1"/>
  <c r="K3290" i="1"/>
  <c r="M3290" i="1"/>
  <c r="N3290" i="1"/>
  <c r="K3291" i="1"/>
  <c r="M3291" i="1"/>
  <c r="N3291" i="1"/>
  <c r="K3292" i="1"/>
  <c r="M3292" i="1"/>
  <c r="N3292" i="1"/>
  <c r="K3293" i="1"/>
  <c r="M3293" i="1"/>
  <c r="N3293" i="1"/>
  <c r="K3294" i="1"/>
  <c r="M3294" i="1"/>
  <c r="N3294" i="1"/>
  <c r="K3295" i="1"/>
  <c r="M3295" i="1"/>
  <c r="N3295" i="1"/>
  <c r="K3296" i="1"/>
  <c r="M3296" i="1"/>
  <c r="N3296" i="1"/>
  <c r="K3297" i="1"/>
  <c r="M3297" i="1"/>
  <c r="N3297" i="1"/>
  <c r="K3298" i="1"/>
  <c r="M3298" i="1"/>
  <c r="N3298" i="1"/>
  <c r="K3299" i="1"/>
  <c r="M3299" i="1"/>
  <c r="N3299" i="1"/>
  <c r="K3300" i="1"/>
  <c r="M3300" i="1"/>
  <c r="N3300" i="1"/>
  <c r="K3301" i="1"/>
  <c r="M3301" i="1"/>
  <c r="N3301" i="1"/>
  <c r="K3302" i="1"/>
  <c r="M3302" i="1"/>
  <c r="N3302" i="1"/>
  <c r="K3303" i="1"/>
  <c r="M3303" i="1"/>
  <c r="N3303" i="1"/>
  <c r="K3304" i="1"/>
  <c r="M3304" i="1"/>
  <c r="N3304" i="1"/>
  <c r="K3305" i="1"/>
  <c r="M3305" i="1"/>
  <c r="N3305" i="1"/>
  <c r="K3306" i="1"/>
  <c r="M3306" i="1"/>
  <c r="N3306" i="1"/>
  <c r="K3307" i="1"/>
  <c r="M3307" i="1"/>
  <c r="N3307" i="1"/>
  <c r="K3308" i="1"/>
  <c r="M3308" i="1"/>
  <c r="N3308" i="1"/>
  <c r="K3309" i="1"/>
  <c r="M3309" i="1"/>
  <c r="N3309" i="1"/>
  <c r="K3310" i="1"/>
  <c r="M3310" i="1"/>
  <c r="N3310" i="1"/>
  <c r="K3311" i="1"/>
  <c r="M3311" i="1"/>
  <c r="N3311" i="1"/>
  <c r="K3312" i="1"/>
  <c r="M3312" i="1"/>
  <c r="N3312" i="1"/>
  <c r="K3313" i="1"/>
  <c r="M3313" i="1"/>
  <c r="N3313" i="1"/>
  <c r="K3314" i="1"/>
  <c r="M3314" i="1"/>
  <c r="N3314" i="1"/>
  <c r="K3315" i="1"/>
  <c r="M3315" i="1"/>
  <c r="N3315" i="1"/>
  <c r="K3316" i="1"/>
  <c r="M3316" i="1"/>
  <c r="N3316" i="1"/>
  <c r="K3317" i="1"/>
  <c r="M3317" i="1"/>
  <c r="N3317" i="1"/>
  <c r="K3318" i="1"/>
  <c r="M3318" i="1"/>
  <c r="N3318" i="1"/>
  <c r="K3319" i="1"/>
  <c r="M3319" i="1"/>
  <c r="N3319" i="1"/>
  <c r="K3320" i="1"/>
  <c r="M3320" i="1"/>
  <c r="N3320" i="1"/>
  <c r="K3321" i="1"/>
  <c r="M3321" i="1"/>
  <c r="N3321" i="1"/>
  <c r="K3322" i="1"/>
  <c r="M3322" i="1"/>
  <c r="N3322" i="1"/>
  <c r="K3323" i="1"/>
  <c r="M3323" i="1"/>
  <c r="N3323" i="1"/>
  <c r="K3324" i="1"/>
  <c r="M3324" i="1"/>
  <c r="N3324" i="1"/>
  <c r="K3325" i="1"/>
  <c r="M3325" i="1"/>
  <c r="N3325" i="1"/>
  <c r="K3326" i="1"/>
  <c r="M3326" i="1"/>
  <c r="N3326" i="1"/>
  <c r="K3327" i="1"/>
  <c r="M3327" i="1"/>
  <c r="N3327" i="1"/>
  <c r="K3328" i="1"/>
  <c r="M3328" i="1"/>
  <c r="N3328" i="1"/>
  <c r="K3329" i="1"/>
  <c r="M3329" i="1"/>
  <c r="N3329" i="1"/>
  <c r="K3330" i="1"/>
  <c r="M3330" i="1"/>
  <c r="N3330" i="1"/>
  <c r="K3331" i="1"/>
  <c r="M3331" i="1"/>
  <c r="N3331" i="1"/>
  <c r="K3332" i="1"/>
  <c r="M3332" i="1"/>
  <c r="N3332" i="1"/>
  <c r="K3333" i="1"/>
  <c r="M3333" i="1"/>
  <c r="N3333" i="1"/>
  <c r="K3334" i="1"/>
  <c r="M3334" i="1"/>
  <c r="N3334" i="1"/>
  <c r="K3335" i="1"/>
  <c r="M3335" i="1"/>
  <c r="N3335" i="1"/>
  <c r="K3336" i="1"/>
  <c r="M3336" i="1"/>
  <c r="N3336" i="1"/>
  <c r="K3337" i="1"/>
  <c r="M3337" i="1"/>
  <c r="N3337" i="1"/>
  <c r="K3338" i="1"/>
  <c r="M3338" i="1"/>
  <c r="N3338" i="1"/>
  <c r="K3339" i="1"/>
  <c r="M3339" i="1"/>
  <c r="N3339" i="1"/>
  <c r="K3340" i="1"/>
  <c r="M3340" i="1"/>
  <c r="N3340" i="1"/>
  <c r="K3341" i="1"/>
  <c r="M3341" i="1"/>
  <c r="N3341" i="1"/>
  <c r="K3342" i="1"/>
  <c r="M3342" i="1"/>
  <c r="N3342" i="1"/>
  <c r="K3343" i="1"/>
  <c r="M3343" i="1"/>
  <c r="N3343" i="1"/>
  <c r="K3344" i="1"/>
  <c r="M3344" i="1"/>
  <c r="N3344" i="1"/>
  <c r="K3345" i="1"/>
  <c r="M3345" i="1"/>
  <c r="N3345" i="1"/>
  <c r="K3346" i="1"/>
  <c r="M3346" i="1"/>
  <c r="N3346" i="1"/>
  <c r="K3347" i="1"/>
  <c r="M3347" i="1"/>
  <c r="N3347" i="1"/>
  <c r="K3348" i="1"/>
  <c r="M3348" i="1"/>
  <c r="N3348" i="1"/>
  <c r="K3349" i="1"/>
  <c r="M3349" i="1"/>
  <c r="N3349" i="1"/>
  <c r="K3350" i="1"/>
  <c r="M3350" i="1"/>
  <c r="N3350" i="1"/>
  <c r="K3351" i="1"/>
  <c r="M3351" i="1"/>
  <c r="N3351" i="1"/>
  <c r="K3352" i="1"/>
  <c r="M3352" i="1"/>
  <c r="N3352" i="1"/>
  <c r="K3353" i="1"/>
  <c r="M3353" i="1"/>
  <c r="N3353" i="1"/>
  <c r="K3354" i="1"/>
  <c r="M3354" i="1"/>
  <c r="N3354" i="1"/>
  <c r="K3355" i="1"/>
  <c r="M3355" i="1"/>
  <c r="N3355" i="1"/>
  <c r="K3356" i="1"/>
  <c r="M3356" i="1"/>
  <c r="N3356" i="1"/>
  <c r="K3357" i="1"/>
  <c r="M3357" i="1"/>
  <c r="N3357" i="1"/>
  <c r="K3358" i="1"/>
  <c r="M3358" i="1"/>
  <c r="N3358" i="1"/>
  <c r="K3359" i="1"/>
  <c r="M3359" i="1"/>
  <c r="N3359" i="1"/>
  <c r="K3360" i="1"/>
  <c r="M3360" i="1"/>
  <c r="N3360" i="1"/>
  <c r="K3361" i="1"/>
  <c r="M3361" i="1"/>
  <c r="N3361" i="1"/>
  <c r="K3362" i="1"/>
  <c r="M3362" i="1"/>
  <c r="N3362" i="1"/>
  <c r="K3363" i="1"/>
  <c r="M3363" i="1"/>
  <c r="N3363" i="1"/>
  <c r="K3364" i="1"/>
  <c r="M3364" i="1"/>
  <c r="N3364" i="1"/>
  <c r="K3365" i="1"/>
  <c r="M3365" i="1"/>
  <c r="N3365" i="1"/>
  <c r="K3366" i="1"/>
  <c r="M3366" i="1"/>
  <c r="N3366" i="1"/>
  <c r="K3367" i="1"/>
  <c r="M3367" i="1"/>
  <c r="N3367" i="1"/>
  <c r="K3368" i="1"/>
  <c r="M3368" i="1"/>
  <c r="N3368" i="1"/>
  <c r="K3369" i="1"/>
  <c r="M3369" i="1"/>
  <c r="N3369" i="1"/>
  <c r="K3370" i="1"/>
  <c r="M3370" i="1"/>
  <c r="N3370" i="1"/>
  <c r="K3371" i="1"/>
  <c r="M3371" i="1"/>
  <c r="N3371" i="1"/>
  <c r="K3372" i="1"/>
  <c r="M3372" i="1"/>
  <c r="N3372" i="1"/>
  <c r="K3373" i="1"/>
  <c r="M3373" i="1"/>
  <c r="N3373" i="1"/>
  <c r="K3374" i="1"/>
  <c r="M3374" i="1"/>
  <c r="N3374" i="1"/>
  <c r="K3375" i="1"/>
  <c r="M3375" i="1"/>
  <c r="N3375" i="1"/>
  <c r="K3376" i="1"/>
  <c r="M3376" i="1"/>
  <c r="N3376" i="1"/>
  <c r="K3377" i="1"/>
  <c r="M3377" i="1"/>
  <c r="N3377" i="1"/>
  <c r="K3378" i="1"/>
  <c r="M3378" i="1"/>
  <c r="N3378" i="1"/>
  <c r="K3379" i="1"/>
  <c r="M3379" i="1"/>
  <c r="N3379" i="1"/>
  <c r="K3380" i="1"/>
  <c r="M3380" i="1"/>
  <c r="N3380" i="1"/>
  <c r="K3381" i="1"/>
  <c r="M3381" i="1"/>
  <c r="N3381" i="1"/>
  <c r="K3382" i="1"/>
  <c r="M3382" i="1"/>
  <c r="N3382" i="1"/>
  <c r="K3383" i="1"/>
  <c r="M3383" i="1"/>
  <c r="N3383" i="1"/>
  <c r="K3384" i="1"/>
  <c r="M3384" i="1"/>
  <c r="N3384" i="1"/>
  <c r="K3385" i="1"/>
  <c r="M3385" i="1"/>
  <c r="N3385" i="1"/>
  <c r="K3386" i="1"/>
  <c r="M3386" i="1"/>
  <c r="N3386" i="1"/>
  <c r="K3387" i="1"/>
  <c r="M3387" i="1"/>
  <c r="N3387" i="1"/>
  <c r="K3388" i="1"/>
  <c r="M3388" i="1"/>
  <c r="N3388" i="1"/>
  <c r="K3389" i="1"/>
  <c r="M3389" i="1"/>
  <c r="N3389" i="1"/>
  <c r="K3390" i="1"/>
  <c r="M3390" i="1"/>
  <c r="N3390" i="1"/>
  <c r="K3391" i="1"/>
  <c r="M3391" i="1"/>
  <c r="N3391" i="1"/>
  <c r="K3392" i="1"/>
  <c r="M3392" i="1"/>
  <c r="N3392" i="1"/>
  <c r="K3393" i="1"/>
  <c r="M3393" i="1"/>
  <c r="N3393" i="1"/>
  <c r="K3394" i="1"/>
  <c r="M3394" i="1"/>
  <c r="N3394" i="1"/>
  <c r="K3395" i="1"/>
  <c r="M3395" i="1"/>
  <c r="N3395" i="1"/>
  <c r="K3396" i="1"/>
  <c r="M3396" i="1"/>
  <c r="N3396" i="1"/>
  <c r="K3397" i="1"/>
  <c r="M3397" i="1"/>
  <c r="N3397" i="1"/>
  <c r="K3398" i="1"/>
  <c r="M3398" i="1"/>
  <c r="N3398" i="1"/>
  <c r="K3399" i="1"/>
  <c r="M3399" i="1"/>
  <c r="N3399" i="1"/>
  <c r="K3400" i="1"/>
  <c r="M3400" i="1"/>
  <c r="N3400" i="1"/>
  <c r="K3401" i="1"/>
  <c r="M3401" i="1"/>
  <c r="N3401" i="1"/>
  <c r="K3402" i="1"/>
  <c r="M3402" i="1"/>
  <c r="N3402" i="1"/>
  <c r="K3403" i="1"/>
  <c r="M3403" i="1"/>
  <c r="N3403" i="1"/>
  <c r="K3404" i="1"/>
  <c r="M3404" i="1"/>
  <c r="N3404" i="1"/>
  <c r="K3405" i="1"/>
  <c r="M3405" i="1"/>
  <c r="N3405" i="1"/>
  <c r="K3406" i="1"/>
  <c r="M3406" i="1"/>
  <c r="N3406" i="1"/>
  <c r="K3407" i="1"/>
  <c r="M3407" i="1"/>
  <c r="N3407" i="1"/>
  <c r="K3408" i="1"/>
  <c r="M3408" i="1"/>
  <c r="N3408" i="1"/>
  <c r="K3409" i="1"/>
  <c r="M3409" i="1"/>
  <c r="N3409" i="1"/>
  <c r="K3410" i="1"/>
  <c r="M3410" i="1"/>
  <c r="N3410" i="1"/>
  <c r="K3411" i="1"/>
  <c r="M3411" i="1"/>
  <c r="N3411" i="1"/>
  <c r="K3412" i="1"/>
  <c r="M3412" i="1"/>
  <c r="N3412" i="1"/>
  <c r="K3413" i="1"/>
  <c r="M3413" i="1"/>
  <c r="N3413" i="1"/>
  <c r="K3414" i="1"/>
  <c r="M3414" i="1"/>
  <c r="N3414" i="1"/>
  <c r="K3415" i="1"/>
  <c r="M3415" i="1"/>
  <c r="N3415" i="1"/>
  <c r="K3416" i="1"/>
  <c r="M3416" i="1"/>
  <c r="N3416" i="1"/>
  <c r="K3417" i="1"/>
  <c r="M3417" i="1"/>
  <c r="N3417" i="1"/>
  <c r="K3418" i="1"/>
  <c r="M3418" i="1"/>
  <c r="N3418" i="1"/>
  <c r="K3419" i="1"/>
  <c r="M3419" i="1"/>
  <c r="N3419" i="1"/>
  <c r="K3420" i="1"/>
  <c r="M3420" i="1"/>
  <c r="N3420" i="1"/>
  <c r="K3421" i="1"/>
  <c r="M3421" i="1"/>
  <c r="N3421" i="1"/>
  <c r="K3422" i="1"/>
  <c r="M3422" i="1"/>
  <c r="N3422" i="1"/>
  <c r="K3423" i="1"/>
  <c r="M3423" i="1"/>
  <c r="N3423" i="1"/>
  <c r="K3424" i="1"/>
  <c r="M3424" i="1"/>
  <c r="N3424" i="1"/>
  <c r="K3425" i="1"/>
  <c r="M3425" i="1"/>
  <c r="N3425" i="1"/>
  <c r="K3426" i="1"/>
  <c r="M3426" i="1"/>
  <c r="N3426" i="1"/>
  <c r="K3427" i="1"/>
  <c r="M3427" i="1"/>
  <c r="N3427" i="1"/>
  <c r="K3428" i="1"/>
  <c r="M3428" i="1"/>
  <c r="N3428" i="1"/>
  <c r="K3429" i="1"/>
  <c r="M3429" i="1"/>
  <c r="N3429" i="1"/>
  <c r="K3430" i="1"/>
  <c r="M3430" i="1"/>
  <c r="N3430" i="1"/>
  <c r="K3431" i="1"/>
  <c r="M3431" i="1"/>
  <c r="N3431" i="1"/>
  <c r="K3432" i="1"/>
  <c r="M3432" i="1"/>
  <c r="N3432" i="1"/>
  <c r="K3433" i="1"/>
  <c r="M3433" i="1"/>
  <c r="N3433" i="1"/>
  <c r="K3434" i="1"/>
  <c r="M3434" i="1"/>
  <c r="N3434" i="1"/>
  <c r="K3435" i="1"/>
  <c r="M3435" i="1"/>
  <c r="N3435" i="1"/>
  <c r="K3436" i="1"/>
  <c r="M3436" i="1"/>
  <c r="N3436" i="1"/>
  <c r="K3437" i="1"/>
  <c r="M3437" i="1"/>
  <c r="N3437" i="1"/>
  <c r="K3438" i="1"/>
  <c r="M3438" i="1"/>
  <c r="N3438" i="1"/>
  <c r="K3439" i="1"/>
  <c r="M3439" i="1"/>
  <c r="N3439" i="1"/>
  <c r="K3440" i="1"/>
  <c r="M3440" i="1"/>
  <c r="N3440" i="1"/>
  <c r="K3441" i="1"/>
  <c r="M3441" i="1"/>
  <c r="N3441" i="1"/>
  <c r="K3442" i="1"/>
  <c r="M3442" i="1"/>
  <c r="N3442" i="1"/>
  <c r="K3443" i="1"/>
  <c r="M3443" i="1"/>
  <c r="N3443" i="1"/>
  <c r="K3444" i="1"/>
  <c r="M3444" i="1"/>
  <c r="N3444" i="1"/>
  <c r="K3445" i="1"/>
  <c r="M3445" i="1"/>
  <c r="N3445" i="1"/>
  <c r="K3446" i="1"/>
  <c r="M3446" i="1"/>
  <c r="N3446" i="1"/>
  <c r="K3447" i="1"/>
  <c r="M3447" i="1"/>
  <c r="N3447" i="1"/>
  <c r="K3448" i="1"/>
  <c r="M3448" i="1"/>
  <c r="N3448" i="1"/>
  <c r="K3449" i="1"/>
  <c r="M3449" i="1"/>
  <c r="N3449" i="1"/>
  <c r="K3450" i="1"/>
  <c r="M3450" i="1"/>
  <c r="N3450" i="1"/>
  <c r="K3451" i="1"/>
  <c r="M3451" i="1"/>
  <c r="N3451" i="1"/>
  <c r="K3452" i="1"/>
  <c r="M3452" i="1"/>
  <c r="N3452" i="1"/>
  <c r="K3453" i="1"/>
  <c r="M3453" i="1"/>
  <c r="N3453" i="1"/>
  <c r="K3454" i="1"/>
  <c r="M3454" i="1"/>
  <c r="N3454" i="1"/>
  <c r="K3455" i="1"/>
  <c r="M3455" i="1"/>
  <c r="N3455" i="1"/>
  <c r="K3456" i="1"/>
  <c r="M3456" i="1"/>
  <c r="N3456" i="1"/>
  <c r="K3457" i="1"/>
  <c r="M3457" i="1"/>
  <c r="N3457" i="1"/>
  <c r="K3458" i="1"/>
  <c r="M3458" i="1"/>
  <c r="N3458" i="1"/>
  <c r="K3459" i="1"/>
  <c r="M3459" i="1"/>
  <c r="N3459" i="1"/>
  <c r="K3460" i="1"/>
  <c r="M3460" i="1"/>
  <c r="N3460" i="1"/>
  <c r="K3461" i="1"/>
  <c r="M3461" i="1"/>
  <c r="N3461" i="1"/>
  <c r="K3462" i="1"/>
  <c r="M3462" i="1"/>
  <c r="N3462" i="1"/>
  <c r="K3463" i="1"/>
  <c r="M3463" i="1"/>
  <c r="N3463" i="1"/>
  <c r="K3464" i="1"/>
  <c r="M3464" i="1"/>
  <c r="N3464" i="1"/>
  <c r="K3465" i="1"/>
  <c r="M3465" i="1"/>
  <c r="N3465" i="1"/>
  <c r="K3466" i="1"/>
  <c r="M3466" i="1"/>
  <c r="N3466" i="1"/>
  <c r="K3467" i="1"/>
  <c r="M3467" i="1"/>
  <c r="N3467" i="1"/>
  <c r="K3468" i="1"/>
  <c r="M3468" i="1"/>
  <c r="N3468" i="1"/>
  <c r="K3469" i="1"/>
  <c r="M3469" i="1"/>
  <c r="N3469" i="1"/>
  <c r="K3470" i="1"/>
  <c r="M3470" i="1"/>
  <c r="N3470" i="1"/>
  <c r="K3471" i="1"/>
  <c r="M3471" i="1"/>
  <c r="N3471" i="1"/>
  <c r="K3472" i="1"/>
  <c r="M3472" i="1"/>
  <c r="N3472" i="1"/>
  <c r="K3473" i="1"/>
  <c r="M3473" i="1"/>
  <c r="N3473" i="1"/>
  <c r="K3474" i="1"/>
  <c r="M3474" i="1"/>
  <c r="N3474" i="1"/>
  <c r="K3475" i="1"/>
  <c r="M3475" i="1"/>
  <c r="N3475" i="1"/>
  <c r="K3476" i="1"/>
  <c r="M3476" i="1"/>
  <c r="N3476" i="1"/>
  <c r="K3477" i="1"/>
  <c r="M3477" i="1"/>
  <c r="N3477" i="1"/>
  <c r="K3478" i="1"/>
  <c r="M3478" i="1"/>
  <c r="N3478" i="1"/>
  <c r="K3479" i="1"/>
  <c r="M3479" i="1"/>
  <c r="N3479" i="1"/>
  <c r="K3480" i="1"/>
  <c r="M3480" i="1"/>
  <c r="N3480" i="1"/>
  <c r="K3481" i="1"/>
  <c r="M3481" i="1"/>
  <c r="N3481" i="1"/>
  <c r="K3482" i="1"/>
  <c r="M3482" i="1"/>
  <c r="N3482" i="1"/>
  <c r="K3483" i="1"/>
  <c r="M3483" i="1"/>
  <c r="N3483" i="1"/>
  <c r="K3484" i="1"/>
  <c r="M3484" i="1"/>
  <c r="N3484" i="1"/>
  <c r="K3485" i="1"/>
  <c r="M3485" i="1"/>
  <c r="N3485" i="1"/>
  <c r="K3486" i="1"/>
  <c r="M3486" i="1"/>
  <c r="N3486" i="1"/>
  <c r="K3487" i="1"/>
  <c r="M3487" i="1"/>
  <c r="N3487" i="1"/>
  <c r="K3488" i="1"/>
  <c r="M3488" i="1"/>
  <c r="N3488" i="1"/>
  <c r="K3489" i="1"/>
  <c r="M3489" i="1"/>
  <c r="N3489" i="1"/>
  <c r="K3490" i="1"/>
  <c r="M3490" i="1"/>
  <c r="N3490" i="1"/>
  <c r="K3491" i="1"/>
  <c r="M3491" i="1"/>
  <c r="N3491" i="1"/>
  <c r="K3492" i="1"/>
  <c r="M3492" i="1"/>
  <c r="N3492" i="1"/>
  <c r="K3493" i="1"/>
  <c r="M3493" i="1"/>
  <c r="N3493" i="1"/>
  <c r="K3494" i="1"/>
  <c r="M3494" i="1"/>
  <c r="N3494" i="1"/>
  <c r="K3495" i="1"/>
  <c r="M3495" i="1"/>
  <c r="N3495" i="1"/>
  <c r="K3496" i="1"/>
  <c r="M3496" i="1"/>
  <c r="N3496" i="1"/>
  <c r="K3497" i="1"/>
  <c r="M3497" i="1"/>
  <c r="N3497" i="1"/>
  <c r="K3498" i="1"/>
  <c r="M3498" i="1"/>
  <c r="N3498" i="1"/>
  <c r="K3499" i="1"/>
  <c r="M3499" i="1"/>
  <c r="N3499" i="1"/>
  <c r="K3500" i="1"/>
  <c r="M3500" i="1"/>
  <c r="N3500" i="1"/>
  <c r="K3501" i="1"/>
  <c r="M3501" i="1"/>
  <c r="N3501" i="1"/>
  <c r="K3502" i="1"/>
  <c r="M3502" i="1"/>
  <c r="N3502" i="1"/>
  <c r="K3503" i="1"/>
  <c r="M3503" i="1"/>
  <c r="N3503" i="1"/>
  <c r="K3504" i="1"/>
  <c r="M3504" i="1"/>
  <c r="N3504" i="1"/>
  <c r="K3505" i="1"/>
  <c r="M3505" i="1"/>
  <c r="N3505" i="1"/>
  <c r="K3506" i="1"/>
  <c r="M3506" i="1"/>
  <c r="N3506" i="1"/>
  <c r="K3507" i="1"/>
  <c r="M3507" i="1"/>
  <c r="N3507" i="1"/>
  <c r="K3508" i="1"/>
  <c r="M3508" i="1"/>
  <c r="N3508" i="1"/>
  <c r="K3509" i="1"/>
  <c r="M3509" i="1"/>
  <c r="N3509" i="1"/>
  <c r="K3510" i="1"/>
  <c r="M3510" i="1"/>
  <c r="N3510" i="1"/>
  <c r="K3511" i="1"/>
  <c r="M3511" i="1"/>
  <c r="N3511" i="1"/>
  <c r="K3512" i="1"/>
  <c r="M3512" i="1"/>
  <c r="N3512" i="1"/>
  <c r="K3513" i="1"/>
  <c r="M3513" i="1"/>
  <c r="N3513" i="1"/>
  <c r="K3514" i="1"/>
  <c r="M3514" i="1"/>
  <c r="N3514" i="1"/>
  <c r="K3515" i="1"/>
  <c r="M3515" i="1"/>
  <c r="N3515" i="1"/>
  <c r="K3516" i="1"/>
  <c r="M3516" i="1"/>
  <c r="N3516" i="1"/>
  <c r="K3517" i="1"/>
  <c r="M3517" i="1"/>
  <c r="N3517" i="1"/>
  <c r="K3518" i="1"/>
  <c r="M3518" i="1"/>
  <c r="N3518" i="1"/>
  <c r="K3519" i="1"/>
  <c r="M3519" i="1"/>
  <c r="N3519" i="1"/>
  <c r="K3520" i="1"/>
  <c r="M3520" i="1"/>
  <c r="N3520" i="1"/>
  <c r="K3521" i="1"/>
  <c r="M3521" i="1"/>
  <c r="N3521" i="1"/>
  <c r="K3522" i="1"/>
  <c r="M3522" i="1"/>
  <c r="N3522" i="1"/>
  <c r="K3523" i="1"/>
  <c r="M3523" i="1"/>
  <c r="N3523" i="1"/>
  <c r="K3524" i="1"/>
  <c r="M3524" i="1"/>
  <c r="N3524" i="1"/>
  <c r="K3525" i="1"/>
  <c r="M3525" i="1"/>
  <c r="N3525" i="1"/>
  <c r="K3526" i="1"/>
  <c r="M3526" i="1"/>
  <c r="N3526" i="1"/>
  <c r="K3527" i="1"/>
  <c r="M3527" i="1"/>
  <c r="N3527" i="1"/>
  <c r="K3528" i="1"/>
  <c r="M3528" i="1"/>
  <c r="N3528" i="1"/>
  <c r="K3529" i="1"/>
  <c r="M3529" i="1"/>
  <c r="N3529" i="1"/>
  <c r="K3530" i="1"/>
  <c r="M3530" i="1"/>
  <c r="N3530" i="1"/>
  <c r="K3531" i="1"/>
  <c r="M3531" i="1"/>
  <c r="N3531" i="1"/>
  <c r="K3532" i="1"/>
  <c r="M3532" i="1"/>
  <c r="N3532" i="1"/>
  <c r="K3533" i="1"/>
  <c r="M3533" i="1"/>
  <c r="N3533" i="1"/>
  <c r="K3534" i="1"/>
  <c r="M3534" i="1"/>
  <c r="N3534" i="1"/>
  <c r="K3535" i="1"/>
  <c r="M3535" i="1"/>
  <c r="N3535" i="1"/>
  <c r="K3536" i="1"/>
  <c r="M3536" i="1"/>
  <c r="N3536" i="1"/>
  <c r="K3537" i="1"/>
  <c r="M3537" i="1"/>
  <c r="N3537" i="1"/>
  <c r="K3538" i="1"/>
  <c r="M3538" i="1"/>
  <c r="N3538" i="1"/>
  <c r="K3539" i="1"/>
  <c r="M3539" i="1"/>
  <c r="N3539" i="1"/>
  <c r="K3540" i="1"/>
  <c r="M3540" i="1"/>
  <c r="N3540" i="1"/>
  <c r="K3541" i="1"/>
  <c r="M3541" i="1"/>
  <c r="N3541" i="1"/>
  <c r="K3542" i="1"/>
  <c r="M3542" i="1"/>
  <c r="N3542" i="1"/>
  <c r="K3543" i="1"/>
  <c r="M3543" i="1"/>
  <c r="N3543" i="1"/>
  <c r="K3544" i="1"/>
  <c r="M3544" i="1"/>
  <c r="N3544" i="1"/>
  <c r="K3545" i="1"/>
  <c r="M3545" i="1"/>
  <c r="N3545" i="1"/>
  <c r="K3546" i="1"/>
  <c r="M3546" i="1"/>
  <c r="N3546" i="1"/>
  <c r="K3547" i="1"/>
  <c r="M3547" i="1"/>
  <c r="N3547" i="1"/>
  <c r="K3548" i="1"/>
  <c r="M3548" i="1"/>
  <c r="N3548" i="1"/>
  <c r="K3549" i="1"/>
  <c r="M3549" i="1"/>
  <c r="N3549" i="1"/>
  <c r="K3550" i="1"/>
  <c r="M3550" i="1"/>
  <c r="N3550" i="1"/>
  <c r="K3551" i="1"/>
  <c r="M3551" i="1"/>
  <c r="N3551" i="1"/>
  <c r="K3552" i="1"/>
  <c r="M3552" i="1"/>
  <c r="N3552" i="1"/>
  <c r="K3553" i="1"/>
  <c r="M3553" i="1"/>
  <c r="N3553" i="1"/>
  <c r="K3554" i="1"/>
  <c r="M3554" i="1"/>
  <c r="N3554" i="1"/>
  <c r="K3555" i="1"/>
  <c r="M3555" i="1"/>
  <c r="N3555" i="1"/>
  <c r="K3556" i="1"/>
  <c r="M3556" i="1"/>
  <c r="N3556" i="1"/>
  <c r="K3557" i="1"/>
  <c r="M3557" i="1"/>
  <c r="N3557" i="1"/>
  <c r="K3558" i="1"/>
  <c r="M3558" i="1"/>
  <c r="N3558" i="1"/>
  <c r="K3559" i="1"/>
  <c r="M3559" i="1"/>
  <c r="N3559" i="1"/>
  <c r="K3560" i="1"/>
  <c r="M3560" i="1"/>
  <c r="N3560" i="1"/>
  <c r="K3561" i="1"/>
  <c r="M3561" i="1"/>
  <c r="N3561" i="1"/>
  <c r="K3562" i="1"/>
  <c r="M3562" i="1"/>
  <c r="N3562" i="1"/>
  <c r="K3563" i="1"/>
  <c r="M3563" i="1"/>
  <c r="N3563" i="1"/>
  <c r="K3564" i="1"/>
  <c r="M3564" i="1"/>
  <c r="N3564" i="1"/>
  <c r="K3565" i="1"/>
  <c r="M3565" i="1"/>
  <c r="N3565" i="1"/>
  <c r="K3566" i="1"/>
  <c r="M3566" i="1"/>
  <c r="N3566" i="1"/>
  <c r="K3567" i="1"/>
  <c r="M3567" i="1"/>
  <c r="N3567" i="1"/>
  <c r="K3568" i="1"/>
  <c r="M3568" i="1"/>
  <c r="N3568" i="1"/>
  <c r="K3569" i="1"/>
  <c r="M3569" i="1"/>
  <c r="N3569" i="1"/>
  <c r="K3570" i="1"/>
  <c r="M3570" i="1"/>
  <c r="N3570" i="1"/>
  <c r="K3571" i="1"/>
  <c r="M3571" i="1"/>
  <c r="N3571" i="1"/>
  <c r="K3572" i="1"/>
  <c r="M3572" i="1"/>
  <c r="N3572" i="1"/>
  <c r="K3573" i="1"/>
  <c r="M3573" i="1"/>
  <c r="N3573" i="1"/>
  <c r="K3574" i="1"/>
  <c r="M3574" i="1"/>
  <c r="N3574" i="1"/>
  <c r="K3575" i="1"/>
  <c r="M3575" i="1"/>
  <c r="N3575" i="1"/>
  <c r="K3576" i="1"/>
  <c r="M3576" i="1"/>
  <c r="N3576" i="1"/>
  <c r="K3577" i="1"/>
  <c r="M3577" i="1"/>
  <c r="N3577" i="1"/>
  <c r="K3578" i="1"/>
  <c r="M3578" i="1"/>
  <c r="N3578" i="1"/>
  <c r="K3579" i="1"/>
  <c r="M3579" i="1"/>
  <c r="N3579" i="1"/>
  <c r="K3580" i="1"/>
  <c r="M3580" i="1"/>
  <c r="N3580" i="1"/>
  <c r="K3581" i="1"/>
  <c r="M3581" i="1"/>
  <c r="N3581" i="1"/>
  <c r="K3582" i="1"/>
  <c r="M3582" i="1"/>
  <c r="N3582" i="1"/>
  <c r="K3583" i="1"/>
  <c r="M3583" i="1"/>
  <c r="N3583" i="1"/>
  <c r="K3584" i="1"/>
  <c r="M3584" i="1"/>
  <c r="N3584" i="1"/>
  <c r="K3585" i="1"/>
  <c r="M3585" i="1"/>
  <c r="N3585" i="1"/>
  <c r="K3586" i="1"/>
  <c r="M3586" i="1"/>
  <c r="N3586" i="1"/>
  <c r="K3587" i="1"/>
  <c r="M3587" i="1"/>
  <c r="N3587" i="1"/>
  <c r="K3588" i="1"/>
  <c r="M3588" i="1"/>
  <c r="N3588" i="1"/>
  <c r="K3589" i="1"/>
  <c r="M3589" i="1"/>
  <c r="N3589" i="1"/>
  <c r="K3590" i="1"/>
  <c r="M3590" i="1"/>
  <c r="N3590" i="1"/>
  <c r="K3591" i="1"/>
  <c r="M3591" i="1"/>
  <c r="N3591" i="1"/>
  <c r="K3592" i="1"/>
  <c r="M3592" i="1"/>
  <c r="N3592" i="1"/>
  <c r="K3593" i="1"/>
  <c r="M3593" i="1"/>
  <c r="N3593" i="1"/>
  <c r="K3594" i="1"/>
  <c r="M3594" i="1"/>
  <c r="N3594" i="1"/>
  <c r="K3595" i="1"/>
  <c r="M3595" i="1"/>
  <c r="N3595" i="1"/>
  <c r="K3596" i="1"/>
  <c r="M3596" i="1"/>
  <c r="N3596" i="1"/>
  <c r="K3597" i="1"/>
  <c r="M3597" i="1"/>
  <c r="N3597" i="1"/>
  <c r="K3598" i="1"/>
  <c r="M3598" i="1"/>
  <c r="N3598" i="1"/>
  <c r="K3599" i="1"/>
  <c r="M3599" i="1"/>
  <c r="N3599" i="1"/>
  <c r="K3600" i="1"/>
  <c r="M3600" i="1"/>
  <c r="N3600" i="1"/>
  <c r="K3601" i="1"/>
  <c r="M3601" i="1"/>
  <c r="N3601" i="1"/>
  <c r="K3602" i="1"/>
  <c r="M3602" i="1"/>
  <c r="N3602" i="1"/>
  <c r="K3603" i="1"/>
  <c r="M3603" i="1"/>
  <c r="N3603" i="1"/>
  <c r="K3604" i="1"/>
  <c r="M3604" i="1"/>
  <c r="N3604" i="1"/>
  <c r="K3605" i="1"/>
  <c r="M3605" i="1"/>
  <c r="N3605" i="1"/>
  <c r="K3606" i="1"/>
  <c r="M3606" i="1"/>
  <c r="N3606" i="1"/>
  <c r="K3607" i="1"/>
  <c r="M3607" i="1"/>
  <c r="N3607" i="1"/>
  <c r="K3608" i="1"/>
  <c r="M3608" i="1"/>
  <c r="N3608" i="1"/>
  <c r="K3609" i="1"/>
  <c r="M3609" i="1"/>
  <c r="N3609" i="1"/>
  <c r="K3610" i="1"/>
  <c r="M3610" i="1"/>
  <c r="N3610" i="1"/>
  <c r="K3611" i="1"/>
  <c r="M3611" i="1"/>
  <c r="N3611" i="1"/>
  <c r="K3612" i="1"/>
  <c r="M3612" i="1"/>
  <c r="N3612" i="1"/>
  <c r="K3613" i="1"/>
  <c r="M3613" i="1"/>
  <c r="N3613" i="1"/>
  <c r="K3614" i="1"/>
  <c r="M3614" i="1"/>
  <c r="N3614" i="1"/>
  <c r="K3615" i="1"/>
  <c r="M3615" i="1"/>
  <c r="N3615" i="1"/>
  <c r="K3616" i="1"/>
  <c r="M3616" i="1"/>
  <c r="N3616" i="1"/>
  <c r="K3617" i="1"/>
  <c r="M3617" i="1"/>
  <c r="N3617" i="1"/>
  <c r="K3618" i="1"/>
  <c r="M3618" i="1"/>
  <c r="N3618" i="1"/>
  <c r="K3619" i="1"/>
  <c r="M3619" i="1"/>
  <c r="N3619" i="1"/>
  <c r="K3620" i="1"/>
  <c r="M3620" i="1"/>
  <c r="N3620" i="1"/>
  <c r="K3621" i="1"/>
  <c r="M3621" i="1"/>
  <c r="N3621" i="1"/>
  <c r="K3622" i="1"/>
  <c r="M3622" i="1"/>
  <c r="N3622" i="1"/>
  <c r="K3623" i="1"/>
  <c r="M3623" i="1"/>
  <c r="N3623" i="1"/>
  <c r="K3624" i="1"/>
  <c r="M3624" i="1"/>
  <c r="N3624" i="1"/>
  <c r="K3625" i="1"/>
  <c r="M3625" i="1"/>
  <c r="N3625" i="1"/>
  <c r="K3626" i="1"/>
  <c r="M3626" i="1"/>
  <c r="N3626" i="1"/>
  <c r="K3627" i="1"/>
  <c r="M3627" i="1"/>
  <c r="N3627" i="1"/>
  <c r="K3628" i="1"/>
  <c r="M3628" i="1"/>
  <c r="N3628" i="1"/>
  <c r="K3629" i="1"/>
  <c r="M3629" i="1"/>
  <c r="N3629" i="1"/>
  <c r="K3630" i="1"/>
  <c r="M3630" i="1"/>
  <c r="N3630" i="1"/>
  <c r="K3631" i="1"/>
  <c r="M3631" i="1"/>
  <c r="N3631" i="1"/>
  <c r="K3632" i="1"/>
  <c r="M3632" i="1"/>
  <c r="N3632" i="1"/>
  <c r="K3633" i="1"/>
  <c r="M3633" i="1"/>
  <c r="N3633" i="1"/>
  <c r="K3634" i="1"/>
  <c r="M3634" i="1"/>
  <c r="N3634" i="1"/>
  <c r="K3635" i="1"/>
  <c r="M3635" i="1"/>
  <c r="N3635" i="1"/>
  <c r="K3636" i="1"/>
  <c r="M3636" i="1"/>
  <c r="N3636" i="1"/>
  <c r="K3637" i="1"/>
  <c r="M3637" i="1"/>
  <c r="N3637" i="1"/>
  <c r="K3638" i="1"/>
  <c r="M3638" i="1"/>
  <c r="N3638" i="1"/>
  <c r="K3639" i="1"/>
  <c r="M3639" i="1"/>
  <c r="N3639" i="1"/>
  <c r="K3640" i="1"/>
  <c r="M3640" i="1"/>
  <c r="N3640" i="1"/>
  <c r="K3641" i="1"/>
  <c r="M3641" i="1"/>
  <c r="N3641" i="1"/>
  <c r="K3642" i="1"/>
  <c r="M3642" i="1"/>
  <c r="N3642" i="1"/>
  <c r="K3643" i="1"/>
  <c r="M3643" i="1"/>
  <c r="N3643" i="1"/>
  <c r="K3644" i="1"/>
  <c r="M3644" i="1"/>
  <c r="N3644" i="1"/>
  <c r="K3645" i="1"/>
  <c r="M3645" i="1"/>
  <c r="N3645" i="1"/>
  <c r="K3646" i="1"/>
  <c r="M3646" i="1"/>
  <c r="N3646" i="1"/>
  <c r="K3647" i="1"/>
  <c r="M3647" i="1"/>
  <c r="N3647" i="1"/>
  <c r="K3648" i="1"/>
  <c r="M3648" i="1"/>
  <c r="N3648" i="1"/>
  <c r="K3649" i="1"/>
  <c r="M3649" i="1"/>
  <c r="N3649" i="1"/>
  <c r="K3650" i="1"/>
  <c r="M3650" i="1"/>
  <c r="N3650" i="1"/>
  <c r="K3651" i="1"/>
  <c r="M3651" i="1"/>
  <c r="N3651" i="1"/>
  <c r="K3652" i="1"/>
  <c r="M3652" i="1"/>
  <c r="N3652" i="1"/>
  <c r="K3653" i="1"/>
  <c r="M3653" i="1"/>
  <c r="N3653" i="1"/>
  <c r="K3654" i="1"/>
  <c r="M3654" i="1"/>
  <c r="N3654" i="1"/>
  <c r="K3655" i="1"/>
  <c r="M3655" i="1"/>
  <c r="N3655" i="1"/>
  <c r="K3656" i="1"/>
  <c r="M3656" i="1"/>
  <c r="N3656" i="1"/>
  <c r="K3657" i="1"/>
  <c r="M3657" i="1"/>
  <c r="N3657" i="1"/>
  <c r="K3658" i="1"/>
  <c r="M3658" i="1"/>
  <c r="N3658" i="1"/>
  <c r="K3659" i="1"/>
  <c r="M3659" i="1"/>
  <c r="N3659" i="1"/>
  <c r="K3660" i="1"/>
  <c r="M3660" i="1"/>
  <c r="N3660" i="1"/>
  <c r="K3661" i="1"/>
  <c r="M3661" i="1"/>
  <c r="N3661" i="1"/>
  <c r="K3662" i="1"/>
  <c r="M3662" i="1"/>
  <c r="N3662" i="1"/>
  <c r="K3663" i="1"/>
  <c r="M3663" i="1"/>
  <c r="N3663" i="1"/>
  <c r="K3664" i="1"/>
  <c r="M3664" i="1"/>
  <c r="N3664" i="1"/>
  <c r="K3665" i="1"/>
  <c r="M3665" i="1"/>
  <c r="N3665" i="1"/>
  <c r="K3666" i="1"/>
  <c r="M3666" i="1"/>
  <c r="N3666" i="1"/>
  <c r="K3667" i="1"/>
  <c r="M3667" i="1"/>
  <c r="N3667" i="1"/>
  <c r="K3668" i="1"/>
  <c r="M3668" i="1"/>
  <c r="N3668" i="1"/>
  <c r="K3669" i="1"/>
  <c r="M3669" i="1"/>
  <c r="N3669" i="1"/>
  <c r="K3670" i="1"/>
  <c r="M3670" i="1"/>
  <c r="N3670" i="1"/>
  <c r="K3671" i="1"/>
  <c r="M3671" i="1"/>
  <c r="N3671" i="1"/>
  <c r="K3672" i="1"/>
  <c r="M3672" i="1"/>
  <c r="N3672" i="1"/>
  <c r="K3673" i="1"/>
  <c r="M3673" i="1"/>
  <c r="N3673" i="1"/>
  <c r="K3674" i="1"/>
  <c r="M3674" i="1"/>
  <c r="N3674" i="1"/>
  <c r="K3675" i="1"/>
  <c r="M3675" i="1"/>
  <c r="N3675" i="1"/>
  <c r="K3676" i="1"/>
  <c r="M3676" i="1"/>
  <c r="N3676" i="1"/>
  <c r="K3677" i="1"/>
  <c r="M3677" i="1"/>
  <c r="N3677" i="1"/>
  <c r="K3678" i="1"/>
  <c r="M3678" i="1"/>
  <c r="N3678" i="1"/>
  <c r="K3679" i="1"/>
  <c r="M3679" i="1"/>
  <c r="N3679" i="1"/>
  <c r="K3680" i="1"/>
  <c r="M3680" i="1"/>
  <c r="N3680" i="1"/>
  <c r="K3681" i="1"/>
  <c r="M3681" i="1"/>
  <c r="N3681" i="1"/>
  <c r="K3682" i="1"/>
  <c r="M3682" i="1"/>
  <c r="N3682" i="1"/>
  <c r="K3683" i="1"/>
  <c r="M3683" i="1"/>
  <c r="N3683" i="1"/>
  <c r="K3684" i="1"/>
  <c r="M3684" i="1"/>
  <c r="N3684" i="1"/>
  <c r="K3685" i="1"/>
  <c r="M3685" i="1"/>
  <c r="N3685" i="1"/>
  <c r="K3686" i="1"/>
  <c r="M3686" i="1"/>
  <c r="N3686" i="1"/>
  <c r="K3687" i="1"/>
  <c r="M3687" i="1"/>
  <c r="N3687" i="1"/>
  <c r="K3688" i="1"/>
  <c r="M3688" i="1"/>
  <c r="N3688" i="1"/>
  <c r="K3689" i="1"/>
  <c r="M3689" i="1"/>
  <c r="N3689" i="1"/>
  <c r="K3690" i="1"/>
  <c r="M3690" i="1"/>
  <c r="N3690" i="1"/>
  <c r="K3691" i="1"/>
  <c r="M3691" i="1"/>
  <c r="N3691" i="1"/>
  <c r="K3692" i="1"/>
  <c r="M3692" i="1"/>
  <c r="N3692" i="1"/>
  <c r="K3693" i="1"/>
  <c r="M3693" i="1"/>
  <c r="N3693" i="1"/>
  <c r="K3694" i="1"/>
  <c r="M3694" i="1"/>
  <c r="N3694" i="1"/>
  <c r="K3695" i="1"/>
  <c r="M3695" i="1"/>
  <c r="N3695" i="1"/>
  <c r="K3696" i="1"/>
  <c r="M3696" i="1"/>
  <c r="N3696" i="1"/>
  <c r="K3697" i="1"/>
  <c r="M3697" i="1"/>
  <c r="N3697" i="1"/>
  <c r="K3698" i="1"/>
  <c r="M3698" i="1"/>
  <c r="N3698" i="1"/>
  <c r="K3699" i="1"/>
  <c r="M3699" i="1"/>
  <c r="N3699" i="1"/>
  <c r="K3700" i="1"/>
  <c r="M3700" i="1"/>
  <c r="N3700" i="1"/>
  <c r="K3701" i="1"/>
  <c r="M3701" i="1"/>
  <c r="N3701" i="1"/>
  <c r="K3702" i="1"/>
  <c r="M3702" i="1"/>
  <c r="N3702" i="1"/>
  <c r="K3703" i="1"/>
  <c r="M3703" i="1"/>
  <c r="N3703" i="1"/>
  <c r="K3704" i="1"/>
  <c r="M3704" i="1"/>
  <c r="N3704" i="1"/>
  <c r="K3705" i="1"/>
  <c r="M3705" i="1"/>
  <c r="N3705" i="1"/>
  <c r="K3706" i="1"/>
  <c r="M3706" i="1"/>
  <c r="N3706" i="1"/>
  <c r="K3707" i="1"/>
  <c r="M3707" i="1"/>
  <c r="N3707" i="1"/>
  <c r="K3708" i="1"/>
  <c r="M3708" i="1"/>
  <c r="N3708" i="1"/>
  <c r="K3709" i="1"/>
  <c r="M3709" i="1"/>
  <c r="N3709" i="1"/>
  <c r="K3710" i="1"/>
  <c r="M3710" i="1"/>
  <c r="N3710" i="1"/>
  <c r="K3711" i="1"/>
  <c r="M3711" i="1"/>
  <c r="N3711" i="1"/>
  <c r="K3712" i="1"/>
  <c r="M3712" i="1"/>
  <c r="N3712" i="1"/>
  <c r="K3713" i="1"/>
  <c r="M3713" i="1"/>
  <c r="N3713" i="1"/>
  <c r="K3714" i="1"/>
  <c r="M3714" i="1"/>
  <c r="N3714" i="1"/>
  <c r="K3715" i="1"/>
  <c r="M3715" i="1"/>
  <c r="N3715" i="1"/>
  <c r="K3716" i="1"/>
  <c r="M3716" i="1"/>
  <c r="N3716" i="1"/>
  <c r="K3717" i="1"/>
  <c r="M3717" i="1"/>
  <c r="N3717" i="1"/>
  <c r="K3718" i="1"/>
  <c r="M3718" i="1"/>
  <c r="N3718" i="1"/>
  <c r="K3719" i="1"/>
  <c r="M3719" i="1"/>
  <c r="N3719" i="1"/>
  <c r="K3720" i="1"/>
  <c r="M3720" i="1"/>
  <c r="N3720" i="1"/>
  <c r="K3721" i="1"/>
  <c r="M3721" i="1"/>
  <c r="N3721" i="1"/>
  <c r="K3722" i="1"/>
  <c r="M3722" i="1"/>
  <c r="N3722" i="1"/>
  <c r="K3723" i="1"/>
  <c r="M3723" i="1"/>
  <c r="N3723" i="1"/>
  <c r="K3724" i="1"/>
  <c r="M3724" i="1"/>
  <c r="N3724" i="1"/>
  <c r="K3725" i="1"/>
  <c r="M3725" i="1"/>
  <c r="N3725" i="1"/>
  <c r="K3726" i="1"/>
  <c r="M3726" i="1"/>
  <c r="N3726" i="1"/>
  <c r="K3727" i="1"/>
  <c r="M3727" i="1"/>
  <c r="N3727" i="1"/>
  <c r="K3728" i="1"/>
  <c r="M3728" i="1"/>
  <c r="N3728" i="1"/>
  <c r="K3729" i="1"/>
  <c r="M3729" i="1"/>
  <c r="N3729" i="1"/>
  <c r="K3730" i="1"/>
  <c r="M3730" i="1"/>
  <c r="N3730" i="1"/>
  <c r="K3731" i="1"/>
  <c r="M3731" i="1"/>
  <c r="N3731" i="1"/>
  <c r="K3732" i="1"/>
  <c r="M3732" i="1"/>
  <c r="N3732" i="1"/>
  <c r="K3733" i="1"/>
  <c r="M3733" i="1"/>
  <c r="N3733" i="1"/>
  <c r="K3734" i="1"/>
  <c r="M3734" i="1"/>
  <c r="N3734" i="1"/>
  <c r="K3735" i="1"/>
  <c r="M3735" i="1"/>
  <c r="N3735" i="1"/>
  <c r="K3736" i="1"/>
  <c r="M3736" i="1"/>
  <c r="N3736" i="1"/>
  <c r="K3737" i="1"/>
  <c r="M3737" i="1"/>
  <c r="N3737" i="1"/>
  <c r="K3738" i="1"/>
  <c r="M3738" i="1"/>
  <c r="N3738" i="1"/>
  <c r="K3739" i="1"/>
  <c r="M3739" i="1"/>
  <c r="N3739" i="1"/>
  <c r="K3740" i="1"/>
  <c r="M3740" i="1"/>
  <c r="N3740" i="1"/>
  <c r="K3741" i="1"/>
  <c r="M3741" i="1"/>
  <c r="N3741" i="1"/>
  <c r="K3742" i="1"/>
  <c r="M3742" i="1"/>
  <c r="N3742" i="1"/>
  <c r="K3743" i="1"/>
  <c r="M3743" i="1"/>
  <c r="N3743" i="1"/>
  <c r="K3744" i="1"/>
  <c r="M3744" i="1"/>
  <c r="N3744" i="1"/>
  <c r="K3745" i="1"/>
  <c r="M3745" i="1"/>
  <c r="N3745" i="1"/>
  <c r="K3746" i="1"/>
  <c r="M3746" i="1"/>
  <c r="N3746" i="1"/>
  <c r="K3747" i="1"/>
  <c r="M3747" i="1"/>
  <c r="N3747" i="1"/>
  <c r="K3748" i="1"/>
  <c r="M3748" i="1"/>
  <c r="N3748" i="1"/>
  <c r="K3749" i="1"/>
  <c r="M3749" i="1"/>
  <c r="N3749" i="1"/>
  <c r="K3750" i="1"/>
  <c r="M3750" i="1"/>
  <c r="N3750" i="1"/>
  <c r="K3751" i="1"/>
  <c r="M3751" i="1"/>
  <c r="N3751" i="1"/>
  <c r="K3752" i="1"/>
  <c r="M3752" i="1"/>
  <c r="N3752" i="1"/>
  <c r="K3753" i="1"/>
  <c r="M3753" i="1"/>
  <c r="N3753" i="1"/>
  <c r="K3754" i="1"/>
  <c r="M3754" i="1"/>
  <c r="N3754" i="1"/>
  <c r="K3755" i="1"/>
  <c r="M3755" i="1"/>
  <c r="N3755" i="1"/>
  <c r="K3756" i="1"/>
  <c r="M3756" i="1"/>
  <c r="N3756" i="1"/>
  <c r="K3757" i="1"/>
  <c r="M3757" i="1"/>
  <c r="N3757" i="1"/>
  <c r="K3758" i="1"/>
  <c r="M3758" i="1"/>
  <c r="N3758" i="1"/>
  <c r="K3759" i="1"/>
  <c r="M3759" i="1"/>
  <c r="N3759" i="1"/>
  <c r="K3760" i="1"/>
  <c r="M3760" i="1"/>
  <c r="N3760" i="1"/>
  <c r="K3761" i="1"/>
  <c r="M3761" i="1"/>
  <c r="N3761" i="1"/>
  <c r="K3762" i="1"/>
  <c r="M3762" i="1"/>
  <c r="N3762" i="1"/>
  <c r="K3763" i="1"/>
  <c r="M3763" i="1"/>
  <c r="N3763" i="1"/>
  <c r="K3764" i="1"/>
  <c r="M3764" i="1"/>
  <c r="N3764" i="1"/>
  <c r="K3765" i="1"/>
  <c r="M3765" i="1"/>
  <c r="N3765" i="1"/>
  <c r="K3766" i="1"/>
  <c r="M3766" i="1"/>
  <c r="N3766" i="1"/>
  <c r="K3767" i="1"/>
  <c r="M3767" i="1"/>
  <c r="N3767" i="1"/>
  <c r="K3768" i="1"/>
  <c r="M3768" i="1"/>
  <c r="N3768" i="1"/>
  <c r="K3769" i="1"/>
  <c r="M3769" i="1"/>
  <c r="N3769" i="1"/>
  <c r="K3770" i="1"/>
  <c r="M3770" i="1"/>
  <c r="N3770" i="1"/>
  <c r="K3771" i="1"/>
  <c r="M3771" i="1"/>
  <c r="N3771" i="1"/>
  <c r="K3772" i="1"/>
  <c r="M3772" i="1"/>
  <c r="N3772" i="1"/>
  <c r="K3773" i="1"/>
  <c r="M3773" i="1"/>
  <c r="N3773" i="1"/>
  <c r="K3774" i="1"/>
  <c r="M3774" i="1"/>
  <c r="N3774" i="1"/>
  <c r="K3775" i="1"/>
  <c r="M3775" i="1"/>
  <c r="N3775" i="1"/>
  <c r="K3776" i="1"/>
  <c r="M3776" i="1"/>
  <c r="N3776" i="1"/>
  <c r="K3777" i="1"/>
  <c r="M3777" i="1"/>
  <c r="N3777" i="1"/>
  <c r="K3778" i="1"/>
  <c r="M3778" i="1"/>
  <c r="N3778" i="1"/>
  <c r="K3779" i="1"/>
  <c r="M3779" i="1"/>
  <c r="N3779" i="1"/>
  <c r="K3780" i="1"/>
  <c r="M3780" i="1"/>
  <c r="N3780" i="1"/>
  <c r="K3781" i="1"/>
  <c r="M3781" i="1"/>
  <c r="N3781" i="1"/>
  <c r="K3782" i="1"/>
  <c r="M3782" i="1"/>
  <c r="N3782" i="1"/>
  <c r="K3783" i="1"/>
  <c r="M3783" i="1"/>
  <c r="N3783" i="1"/>
  <c r="K3784" i="1"/>
  <c r="M3784" i="1"/>
  <c r="N3784" i="1"/>
  <c r="K3785" i="1"/>
  <c r="M3785" i="1"/>
  <c r="N3785" i="1"/>
  <c r="K3786" i="1"/>
  <c r="M3786" i="1"/>
  <c r="N3786" i="1"/>
  <c r="K3787" i="1"/>
  <c r="M3787" i="1"/>
  <c r="N3787" i="1"/>
  <c r="K3788" i="1"/>
  <c r="M3788" i="1"/>
  <c r="N3788" i="1"/>
  <c r="K3789" i="1"/>
  <c r="M3789" i="1"/>
  <c r="N3789" i="1"/>
  <c r="K3790" i="1"/>
  <c r="M3790" i="1"/>
  <c r="N3790" i="1"/>
  <c r="K3791" i="1"/>
  <c r="M3791" i="1"/>
  <c r="N3791" i="1"/>
  <c r="K3792" i="1"/>
  <c r="M3792" i="1"/>
  <c r="N3792" i="1"/>
  <c r="K3793" i="1"/>
  <c r="M3793" i="1"/>
  <c r="N3793" i="1"/>
  <c r="K3794" i="1"/>
  <c r="M3794" i="1"/>
  <c r="N3794" i="1"/>
  <c r="K3795" i="1"/>
  <c r="M3795" i="1"/>
  <c r="N3795" i="1"/>
  <c r="K3796" i="1"/>
  <c r="M3796" i="1"/>
  <c r="N3796" i="1"/>
  <c r="K3797" i="1"/>
  <c r="M3797" i="1"/>
  <c r="N3797" i="1"/>
  <c r="K3798" i="1"/>
  <c r="M3798" i="1"/>
  <c r="N3798" i="1"/>
  <c r="K3799" i="1"/>
  <c r="M3799" i="1"/>
  <c r="N3799" i="1"/>
  <c r="K3800" i="1"/>
  <c r="M3800" i="1"/>
  <c r="N3800" i="1"/>
  <c r="K3801" i="1"/>
  <c r="M3801" i="1"/>
  <c r="N3801" i="1"/>
  <c r="K3802" i="1"/>
  <c r="M3802" i="1"/>
  <c r="N3802" i="1"/>
  <c r="K3803" i="1"/>
  <c r="M3803" i="1"/>
  <c r="N3803" i="1"/>
  <c r="K3804" i="1"/>
  <c r="M3804" i="1"/>
  <c r="N3804" i="1"/>
  <c r="K3805" i="1"/>
  <c r="M3805" i="1"/>
  <c r="N3805" i="1"/>
  <c r="K3806" i="1"/>
  <c r="M3806" i="1"/>
  <c r="N3806" i="1"/>
  <c r="K3807" i="1"/>
  <c r="M3807" i="1"/>
  <c r="N3807" i="1"/>
  <c r="K3808" i="1"/>
  <c r="M3808" i="1"/>
  <c r="N3808" i="1"/>
  <c r="K3809" i="1"/>
  <c r="M3809" i="1"/>
  <c r="N3809" i="1"/>
  <c r="K3810" i="1"/>
  <c r="M3810" i="1"/>
  <c r="N3810" i="1"/>
  <c r="K3811" i="1"/>
  <c r="M3811" i="1"/>
  <c r="N3811" i="1"/>
  <c r="K3812" i="1"/>
  <c r="M3812" i="1"/>
  <c r="N3812" i="1"/>
  <c r="K3813" i="1"/>
  <c r="M3813" i="1"/>
  <c r="N3813" i="1"/>
  <c r="K3814" i="1"/>
  <c r="M3814" i="1"/>
  <c r="N3814" i="1"/>
  <c r="K3815" i="1"/>
  <c r="M3815" i="1"/>
  <c r="N3815" i="1"/>
  <c r="K3816" i="1"/>
  <c r="M3816" i="1"/>
  <c r="N3816" i="1"/>
  <c r="K3817" i="1"/>
  <c r="M3817" i="1"/>
  <c r="N3817" i="1"/>
  <c r="K3818" i="1"/>
  <c r="M3818" i="1"/>
  <c r="N3818" i="1"/>
  <c r="K3819" i="1"/>
  <c r="M3819" i="1"/>
  <c r="N3819" i="1"/>
  <c r="K3820" i="1"/>
  <c r="M3820" i="1"/>
  <c r="N3820" i="1"/>
  <c r="K3821" i="1"/>
  <c r="M3821" i="1"/>
  <c r="N3821" i="1"/>
  <c r="K3822" i="1"/>
  <c r="M3822" i="1"/>
  <c r="N3822" i="1"/>
  <c r="K3823" i="1"/>
  <c r="M3823" i="1"/>
  <c r="N3823" i="1"/>
  <c r="K3824" i="1"/>
  <c r="M3824" i="1"/>
  <c r="N3824" i="1"/>
  <c r="K3825" i="1"/>
  <c r="M3825" i="1"/>
  <c r="N3825" i="1"/>
  <c r="K3826" i="1"/>
  <c r="M3826" i="1"/>
  <c r="N3826" i="1"/>
  <c r="K3827" i="1"/>
  <c r="M3827" i="1"/>
  <c r="N3827" i="1"/>
  <c r="K3828" i="1"/>
  <c r="M3828" i="1"/>
  <c r="N3828" i="1"/>
  <c r="K3829" i="1"/>
  <c r="M3829" i="1"/>
  <c r="N3829" i="1"/>
  <c r="K3830" i="1"/>
  <c r="M3830" i="1"/>
  <c r="N3830" i="1"/>
  <c r="K3831" i="1"/>
  <c r="M3831" i="1"/>
  <c r="N3831" i="1"/>
  <c r="K3832" i="1"/>
  <c r="M3832" i="1"/>
  <c r="N3832" i="1"/>
  <c r="K3833" i="1"/>
  <c r="M3833" i="1"/>
  <c r="N3833" i="1"/>
  <c r="K3834" i="1"/>
  <c r="M3834" i="1"/>
  <c r="N3834" i="1"/>
  <c r="K3835" i="1"/>
  <c r="M3835" i="1"/>
  <c r="N3835" i="1"/>
  <c r="K3836" i="1"/>
  <c r="M3836" i="1"/>
  <c r="N3836" i="1"/>
  <c r="K3837" i="1"/>
  <c r="M3837" i="1"/>
  <c r="N3837" i="1"/>
  <c r="K3838" i="1"/>
  <c r="M3838" i="1"/>
  <c r="N3838" i="1"/>
  <c r="K3839" i="1"/>
  <c r="M3839" i="1"/>
  <c r="N3839" i="1"/>
  <c r="K3840" i="1"/>
  <c r="M3840" i="1"/>
  <c r="N3840" i="1"/>
  <c r="K3841" i="1"/>
  <c r="M3841" i="1"/>
  <c r="N3841" i="1"/>
  <c r="K3842" i="1"/>
  <c r="M3842" i="1"/>
  <c r="N3842" i="1"/>
  <c r="K3843" i="1"/>
  <c r="M3843" i="1"/>
  <c r="N3843" i="1"/>
  <c r="K3844" i="1"/>
  <c r="M3844" i="1"/>
  <c r="N3844" i="1"/>
  <c r="K3845" i="1"/>
  <c r="M3845" i="1"/>
  <c r="N3845" i="1"/>
  <c r="K3846" i="1"/>
  <c r="M3846" i="1"/>
  <c r="N3846" i="1"/>
  <c r="K3847" i="1"/>
  <c r="M3847" i="1"/>
  <c r="N3847" i="1"/>
  <c r="K3848" i="1"/>
  <c r="M3848" i="1"/>
  <c r="N3848" i="1"/>
  <c r="K3849" i="1"/>
  <c r="M3849" i="1"/>
  <c r="N3849" i="1"/>
  <c r="K3850" i="1"/>
  <c r="M3850" i="1"/>
  <c r="N3850" i="1"/>
  <c r="K3851" i="1"/>
  <c r="M3851" i="1"/>
  <c r="N3851" i="1"/>
  <c r="K3852" i="1"/>
  <c r="M3852" i="1"/>
  <c r="N3852" i="1"/>
  <c r="K3853" i="1"/>
  <c r="M3853" i="1"/>
  <c r="N3853" i="1"/>
  <c r="K3854" i="1"/>
  <c r="M3854" i="1"/>
  <c r="N3854" i="1"/>
  <c r="K3855" i="1"/>
  <c r="M3855" i="1"/>
  <c r="N3855" i="1"/>
  <c r="K3856" i="1"/>
  <c r="M3856" i="1"/>
  <c r="N3856" i="1"/>
  <c r="K3857" i="1"/>
  <c r="M3857" i="1"/>
  <c r="N3857" i="1"/>
  <c r="K3858" i="1"/>
  <c r="M3858" i="1"/>
  <c r="N3858" i="1"/>
  <c r="K3859" i="1"/>
  <c r="M3859" i="1"/>
  <c r="N3859" i="1"/>
  <c r="K3860" i="1"/>
  <c r="M3860" i="1"/>
  <c r="N3860" i="1"/>
  <c r="K3861" i="1"/>
  <c r="M3861" i="1"/>
  <c r="N3861" i="1"/>
  <c r="K3862" i="1"/>
  <c r="M3862" i="1"/>
  <c r="N3862" i="1"/>
  <c r="K3863" i="1"/>
  <c r="M3863" i="1"/>
  <c r="N3863" i="1"/>
  <c r="K3864" i="1"/>
  <c r="M3864" i="1"/>
  <c r="N3864" i="1"/>
  <c r="K3865" i="1"/>
  <c r="M3865" i="1"/>
  <c r="N3865" i="1"/>
  <c r="K3866" i="1"/>
  <c r="M3866" i="1"/>
  <c r="N3866" i="1"/>
  <c r="K3867" i="1"/>
  <c r="M3867" i="1"/>
  <c r="N3867" i="1"/>
  <c r="K3868" i="1"/>
  <c r="M3868" i="1"/>
  <c r="N3868" i="1"/>
  <c r="K3869" i="1"/>
  <c r="M3869" i="1"/>
  <c r="N3869" i="1"/>
  <c r="K3870" i="1"/>
  <c r="M3870" i="1"/>
  <c r="N3870" i="1"/>
  <c r="K3871" i="1"/>
  <c r="M3871" i="1"/>
  <c r="N3871" i="1"/>
  <c r="K3872" i="1"/>
  <c r="M3872" i="1"/>
  <c r="N3872" i="1"/>
  <c r="K3873" i="1"/>
  <c r="M3873" i="1"/>
  <c r="N3873" i="1"/>
  <c r="K3874" i="1"/>
  <c r="M3874" i="1"/>
  <c r="N3874" i="1"/>
  <c r="K3875" i="1"/>
  <c r="M3875" i="1"/>
  <c r="N3875" i="1"/>
  <c r="K3876" i="1"/>
  <c r="M3876" i="1"/>
  <c r="N3876" i="1"/>
  <c r="K3877" i="1"/>
  <c r="M3877" i="1"/>
  <c r="N3877" i="1"/>
  <c r="K3878" i="1"/>
  <c r="M3878" i="1"/>
  <c r="N3878" i="1"/>
  <c r="K3879" i="1"/>
  <c r="M3879" i="1"/>
  <c r="N3879" i="1"/>
  <c r="K3880" i="1"/>
  <c r="M3880" i="1"/>
  <c r="N3880" i="1"/>
  <c r="K3881" i="1"/>
  <c r="M3881" i="1"/>
  <c r="N3881" i="1"/>
  <c r="K3882" i="1"/>
  <c r="M3882" i="1"/>
  <c r="N3882" i="1"/>
  <c r="K3883" i="1"/>
  <c r="M3883" i="1"/>
  <c r="N3883" i="1"/>
  <c r="K3884" i="1"/>
  <c r="M3884" i="1"/>
  <c r="N3884" i="1"/>
  <c r="K3885" i="1"/>
  <c r="M3885" i="1"/>
  <c r="N3885" i="1"/>
  <c r="K3886" i="1"/>
  <c r="M3886" i="1"/>
  <c r="N3886" i="1"/>
  <c r="K3887" i="1"/>
  <c r="M3887" i="1"/>
  <c r="N3887" i="1"/>
  <c r="K3888" i="1"/>
  <c r="M3888" i="1"/>
  <c r="N3888" i="1"/>
  <c r="K3889" i="1"/>
  <c r="M3889" i="1"/>
  <c r="N3889" i="1"/>
  <c r="K3890" i="1"/>
  <c r="M3890" i="1"/>
  <c r="N3890" i="1"/>
  <c r="K3891" i="1"/>
  <c r="M3891" i="1"/>
  <c r="N3891" i="1"/>
  <c r="K3892" i="1"/>
  <c r="M3892" i="1"/>
  <c r="N3892" i="1"/>
  <c r="K3893" i="1"/>
  <c r="M3893" i="1"/>
  <c r="N3893" i="1"/>
  <c r="K3894" i="1"/>
  <c r="M3894" i="1"/>
  <c r="N3894" i="1"/>
  <c r="K3895" i="1"/>
  <c r="M3895" i="1"/>
  <c r="N3895" i="1"/>
  <c r="K3896" i="1"/>
  <c r="M3896" i="1"/>
  <c r="N3896" i="1"/>
  <c r="K3897" i="1"/>
  <c r="M3897" i="1"/>
  <c r="N3897" i="1"/>
  <c r="K3898" i="1"/>
  <c r="M3898" i="1"/>
  <c r="N3898" i="1"/>
  <c r="K3899" i="1"/>
  <c r="M3899" i="1"/>
  <c r="N3899" i="1"/>
  <c r="K3900" i="1"/>
  <c r="M3900" i="1"/>
  <c r="N3900" i="1"/>
  <c r="K3901" i="1"/>
  <c r="M3901" i="1"/>
  <c r="N3901" i="1"/>
  <c r="K3902" i="1"/>
  <c r="M3902" i="1"/>
  <c r="N3902" i="1"/>
  <c r="K3903" i="1"/>
  <c r="M3903" i="1"/>
  <c r="N3903" i="1"/>
  <c r="K3904" i="1"/>
  <c r="M3904" i="1"/>
  <c r="N3904" i="1"/>
  <c r="K3905" i="1"/>
  <c r="M3905" i="1"/>
  <c r="N3905" i="1"/>
  <c r="K3906" i="1"/>
  <c r="M3906" i="1"/>
  <c r="N3906" i="1"/>
  <c r="K3907" i="1"/>
  <c r="M3907" i="1"/>
  <c r="N3907" i="1"/>
  <c r="K3908" i="1"/>
  <c r="M3908" i="1"/>
  <c r="N3908" i="1"/>
  <c r="K3909" i="1"/>
  <c r="M3909" i="1"/>
  <c r="N3909" i="1"/>
  <c r="K3910" i="1"/>
  <c r="M3910" i="1"/>
  <c r="N3910" i="1"/>
  <c r="K3911" i="1"/>
  <c r="M3911" i="1"/>
  <c r="N3911" i="1"/>
  <c r="K3912" i="1"/>
  <c r="M3912" i="1"/>
  <c r="N3912" i="1"/>
  <c r="K3913" i="1"/>
  <c r="M3913" i="1"/>
  <c r="N3913" i="1"/>
  <c r="K3914" i="1"/>
  <c r="M3914" i="1"/>
  <c r="N3914" i="1"/>
  <c r="K3915" i="1"/>
  <c r="M3915" i="1"/>
  <c r="N3915" i="1"/>
  <c r="K3916" i="1"/>
  <c r="M3916" i="1"/>
  <c r="N3916" i="1"/>
  <c r="K3917" i="1"/>
  <c r="M3917" i="1"/>
  <c r="N3917" i="1"/>
  <c r="K3918" i="1"/>
  <c r="M3918" i="1"/>
  <c r="N3918" i="1"/>
  <c r="K3919" i="1"/>
  <c r="M3919" i="1"/>
  <c r="N3919" i="1"/>
  <c r="K3920" i="1"/>
  <c r="M3920" i="1"/>
  <c r="N3920" i="1"/>
  <c r="K3921" i="1"/>
  <c r="M3921" i="1"/>
  <c r="N3921" i="1"/>
  <c r="K3922" i="1"/>
  <c r="M3922" i="1"/>
  <c r="N3922" i="1"/>
  <c r="K3923" i="1"/>
  <c r="M3923" i="1"/>
  <c r="N3923" i="1"/>
  <c r="K3924" i="1"/>
  <c r="M3924" i="1"/>
  <c r="N3924" i="1"/>
  <c r="K3925" i="1"/>
  <c r="M3925" i="1"/>
  <c r="N3925" i="1"/>
  <c r="K3926" i="1"/>
  <c r="M3926" i="1"/>
  <c r="N3926" i="1"/>
  <c r="K3927" i="1"/>
  <c r="M3927" i="1"/>
  <c r="N3927" i="1"/>
  <c r="K3928" i="1"/>
  <c r="M3928" i="1"/>
  <c r="N3928" i="1"/>
  <c r="K3929" i="1"/>
  <c r="M3929" i="1"/>
  <c r="N3929" i="1"/>
  <c r="K3930" i="1"/>
  <c r="M3930" i="1"/>
  <c r="N3930" i="1"/>
  <c r="K3931" i="1"/>
  <c r="M3931" i="1"/>
  <c r="N3931" i="1"/>
  <c r="K3932" i="1"/>
  <c r="M3932" i="1"/>
  <c r="N3932" i="1"/>
  <c r="K3933" i="1"/>
  <c r="M3933" i="1"/>
  <c r="N3933" i="1"/>
  <c r="K3934" i="1"/>
  <c r="M3934" i="1"/>
  <c r="N3934" i="1"/>
  <c r="K3935" i="1"/>
  <c r="M3935" i="1"/>
  <c r="N3935" i="1"/>
  <c r="K3936" i="1"/>
  <c r="M3936" i="1"/>
  <c r="N3936" i="1"/>
  <c r="K3937" i="1"/>
  <c r="M3937" i="1"/>
  <c r="N3937" i="1"/>
  <c r="K3938" i="1"/>
  <c r="M3938" i="1"/>
  <c r="N3938" i="1"/>
  <c r="K3939" i="1"/>
  <c r="M3939" i="1"/>
  <c r="N3939" i="1"/>
  <c r="K3940" i="1"/>
  <c r="M3940" i="1"/>
  <c r="N3940" i="1"/>
  <c r="K3941" i="1"/>
  <c r="M3941" i="1"/>
  <c r="N3941" i="1"/>
  <c r="K3942" i="1"/>
  <c r="M3942" i="1"/>
  <c r="N3942" i="1"/>
  <c r="K3943" i="1"/>
  <c r="M3943" i="1"/>
  <c r="N3943" i="1"/>
  <c r="K3944" i="1"/>
  <c r="M3944" i="1"/>
  <c r="N3944" i="1"/>
  <c r="K3945" i="1"/>
  <c r="M3945" i="1"/>
  <c r="N3945" i="1"/>
  <c r="K3946" i="1"/>
  <c r="M3946" i="1"/>
  <c r="N3946" i="1"/>
  <c r="K3947" i="1"/>
  <c r="M3947" i="1"/>
  <c r="N3947" i="1"/>
  <c r="K3948" i="1"/>
  <c r="M3948" i="1"/>
  <c r="N3948" i="1"/>
  <c r="K3949" i="1"/>
  <c r="M3949" i="1"/>
  <c r="N3949" i="1"/>
  <c r="K3950" i="1"/>
  <c r="M3950" i="1"/>
  <c r="N3950" i="1"/>
  <c r="K3951" i="1"/>
  <c r="M3951" i="1"/>
  <c r="N3951" i="1"/>
  <c r="K3952" i="1"/>
  <c r="M3952" i="1"/>
  <c r="N3952" i="1"/>
  <c r="K3953" i="1"/>
  <c r="M3953" i="1"/>
  <c r="N3953" i="1"/>
  <c r="K3954" i="1"/>
  <c r="M3954" i="1"/>
  <c r="N3954" i="1"/>
  <c r="K3955" i="1"/>
  <c r="M3955" i="1"/>
  <c r="N3955" i="1"/>
  <c r="K3956" i="1"/>
  <c r="M3956" i="1"/>
  <c r="N3956" i="1"/>
  <c r="K3957" i="1"/>
  <c r="M3957" i="1"/>
  <c r="N3957" i="1"/>
  <c r="K3958" i="1"/>
  <c r="M3958" i="1"/>
  <c r="N3958" i="1"/>
  <c r="K3959" i="1"/>
  <c r="M3959" i="1"/>
  <c r="N3959" i="1"/>
  <c r="K3960" i="1"/>
  <c r="M3960" i="1"/>
  <c r="N3960" i="1"/>
  <c r="K3961" i="1"/>
  <c r="M3961" i="1"/>
  <c r="N3961" i="1"/>
  <c r="K3962" i="1"/>
  <c r="M3962" i="1"/>
  <c r="N3962" i="1"/>
  <c r="K3963" i="1"/>
  <c r="M3963" i="1"/>
  <c r="N3963" i="1"/>
  <c r="K3964" i="1"/>
  <c r="M3964" i="1"/>
  <c r="N3964" i="1"/>
  <c r="K3965" i="1"/>
  <c r="M3965" i="1"/>
  <c r="N3965" i="1"/>
  <c r="K3966" i="1"/>
  <c r="M3966" i="1"/>
  <c r="N3966" i="1"/>
  <c r="K3967" i="1"/>
  <c r="M3967" i="1"/>
  <c r="N3967" i="1"/>
  <c r="K3968" i="1"/>
  <c r="M3968" i="1"/>
  <c r="N3968" i="1"/>
  <c r="K3969" i="1"/>
  <c r="M3969" i="1"/>
  <c r="N3969" i="1"/>
  <c r="K3970" i="1"/>
  <c r="M3970" i="1"/>
  <c r="N3970" i="1"/>
  <c r="K3971" i="1"/>
  <c r="M3971" i="1"/>
  <c r="N3971" i="1"/>
  <c r="K3972" i="1"/>
  <c r="M3972" i="1"/>
  <c r="N3972" i="1"/>
  <c r="K3973" i="1"/>
  <c r="M3973" i="1"/>
  <c r="N3973" i="1"/>
  <c r="K3974" i="1"/>
  <c r="M3974" i="1"/>
  <c r="N3974" i="1"/>
  <c r="K3975" i="1"/>
  <c r="M3975" i="1"/>
  <c r="N3975" i="1"/>
  <c r="K3976" i="1"/>
  <c r="M3976" i="1"/>
  <c r="N3976" i="1"/>
  <c r="K3977" i="1"/>
  <c r="M3977" i="1"/>
  <c r="N3977" i="1"/>
  <c r="K3978" i="1"/>
  <c r="M3978" i="1"/>
  <c r="N3978" i="1"/>
  <c r="K3979" i="1"/>
  <c r="M3979" i="1"/>
  <c r="N3979" i="1"/>
  <c r="K3980" i="1"/>
  <c r="M3980" i="1"/>
  <c r="N3980" i="1"/>
  <c r="K3981" i="1"/>
  <c r="M3981" i="1"/>
  <c r="N3981" i="1"/>
  <c r="K3982" i="1"/>
  <c r="M3982" i="1"/>
  <c r="N3982" i="1"/>
  <c r="K3983" i="1"/>
  <c r="M3983" i="1"/>
  <c r="N3983" i="1"/>
  <c r="K3984" i="1"/>
  <c r="M3984" i="1"/>
  <c r="N3984" i="1"/>
  <c r="K3985" i="1"/>
  <c r="M3985" i="1"/>
  <c r="N3985" i="1"/>
  <c r="K3986" i="1"/>
  <c r="M3986" i="1"/>
  <c r="N3986" i="1"/>
  <c r="K3987" i="1"/>
  <c r="M3987" i="1"/>
  <c r="N3987" i="1"/>
  <c r="K3988" i="1"/>
  <c r="M3988" i="1"/>
  <c r="N3988" i="1"/>
  <c r="K3989" i="1"/>
  <c r="M3989" i="1"/>
  <c r="N3989" i="1"/>
  <c r="K3990" i="1"/>
  <c r="M3990" i="1"/>
  <c r="N3990" i="1"/>
  <c r="K3991" i="1"/>
  <c r="M3991" i="1"/>
  <c r="N3991" i="1"/>
  <c r="K3992" i="1"/>
  <c r="M3992" i="1"/>
  <c r="N3992" i="1"/>
  <c r="K3993" i="1"/>
  <c r="M3993" i="1"/>
  <c r="N3993" i="1"/>
  <c r="K3994" i="1"/>
  <c r="M3994" i="1"/>
  <c r="N3994" i="1"/>
  <c r="K3995" i="1"/>
  <c r="M3995" i="1"/>
  <c r="N3995" i="1"/>
  <c r="K3996" i="1"/>
  <c r="M3996" i="1"/>
  <c r="N3996" i="1"/>
  <c r="K3997" i="1"/>
  <c r="M3997" i="1"/>
  <c r="N3997" i="1"/>
  <c r="K3998" i="1"/>
  <c r="M3998" i="1"/>
  <c r="N3998" i="1"/>
  <c r="K3999" i="1"/>
  <c r="M3999" i="1"/>
  <c r="N3999" i="1"/>
  <c r="K4000" i="1"/>
  <c r="M4000" i="1"/>
  <c r="N4000" i="1"/>
  <c r="K4001" i="1"/>
  <c r="M4001" i="1"/>
  <c r="N4001" i="1"/>
  <c r="K4002" i="1"/>
  <c r="M4002" i="1"/>
  <c r="N4002" i="1"/>
  <c r="K4003" i="1"/>
  <c r="M4003" i="1"/>
  <c r="N4003" i="1"/>
  <c r="K4004" i="1"/>
  <c r="M4004" i="1"/>
  <c r="N4004" i="1"/>
  <c r="K4005" i="1"/>
  <c r="M4005" i="1"/>
  <c r="N4005" i="1"/>
  <c r="K4006" i="1"/>
  <c r="M4006" i="1"/>
  <c r="N4006" i="1"/>
  <c r="K4007" i="1"/>
  <c r="M4007" i="1"/>
  <c r="N4007" i="1"/>
  <c r="K4008" i="1"/>
  <c r="M4008" i="1"/>
  <c r="N4008" i="1"/>
  <c r="K4009" i="1"/>
  <c r="M4009" i="1"/>
  <c r="N4009" i="1"/>
  <c r="K4010" i="1"/>
  <c r="M4010" i="1"/>
  <c r="N4010" i="1"/>
  <c r="K4011" i="1"/>
  <c r="M4011" i="1"/>
  <c r="N4011" i="1"/>
  <c r="K4012" i="1"/>
  <c r="M4012" i="1"/>
  <c r="N4012" i="1"/>
  <c r="K4013" i="1"/>
  <c r="M4013" i="1"/>
  <c r="N4013" i="1"/>
  <c r="K4014" i="1"/>
  <c r="M4014" i="1"/>
  <c r="N4014" i="1"/>
  <c r="K4015" i="1"/>
  <c r="M4015" i="1"/>
  <c r="N4015" i="1"/>
  <c r="K4016" i="1"/>
  <c r="M4016" i="1"/>
  <c r="N4016" i="1"/>
  <c r="K4017" i="1"/>
  <c r="M4017" i="1"/>
  <c r="N4017" i="1"/>
  <c r="K4018" i="1"/>
  <c r="M4018" i="1"/>
  <c r="N4018" i="1"/>
  <c r="K4019" i="1"/>
  <c r="M4019" i="1"/>
  <c r="N4019" i="1"/>
  <c r="K4020" i="1"/>
  <c r="M4020" i="1"/>
  <c r="N4020" i="1"/>
  <c r="K4021" i="1"/>
  <c r="M4021" i="1"/>
  <c r="N4021" i="1"/>
  <c r="K4022" i="1"/>
  <c r="M4022" i="1"/>
  <c r="N4022" i="1"/>
  <c r="K4023" i="1"/>
  <c r="M4023" i="1"/>
  <c r="N4023" i="1"/>
  <c r="K4024" i="1"/>
  <c r="M4024" i="1"/>
  <c r="N4024" i="1"/>
  <c r="K4025" i="1"/>
  <c r="M4025" i="1"/>
  <c r="N4025" i="1"/>
  <c r="K4026" i="1"/>
  <c r="M4026" i="1"/>
  <c r="N4026" i="1"/>
  <c r="K4027" i="1"/>
  <c r="M4027" i="1"/>
  <c r="N4027" i="1"/>
  <c r="K4028" i="1"/>
  <c r="M4028" i="1"/>
  <c r="N4028" i="1"/>
  <c r="K4029" i="1"/>
  <c r="M4029" i="1"/>
  <c r="N4029" i="1"/>
  <c r="K4030" i="1"/>
  <c r="M4030" i="1"/>
  <c r="N4030" i="1"/>
  <c r="K4031" i="1"/>
  <c r="M4031" i="1"/>
  <c r="N4031" i="1"/>
  <c r="K4032" i="1"/>
  <c r="M4032" i="1"/>
  <c r="N4032" i="1"/>
  <c r="K4033" i="1"/>
  <c r="M4033" i="1"/>
  <c r="N4033" i="1"/>
  <c r="K4034" i="1"/>
  <c r="M4034" i="1"/>
  <c r="N4034" i="1"/>
  <c r="K4035" i="1"/>
  <c r="M4035" i="1"/>
  <c r="N4035" i="1"/>
  <c r="K4036" i="1"/>
  <c r="M4036" i="1"/>
  <c r="N4036" i="1"/>
  <c r="K4037" i="1"/>
  <c r="M4037" i="1"/>
  <c r="N4037" i="1"/>
  <c r="K4038" i="1"/>
  <c r="M4038" i="1"/>
  <c r="N4038" i="1"/>
  <c r="K4039" i="1"/>
  <c r="M4039" i="1"/>
  <c r="N4039" i="1"/>
  <c r="K4040" i="1"/>
  <c r="M4040" i="1"/>
  <c r="N4040" i="1"/>
  <c r="K4041" i="1"/>
  <c r="M4041" i="1"/>
  <c r="N4041" i="1"/>
  <c r="K4042" i="1"/>
  <c r="M4042" i="1"/>
  <c r="N4042" i="1"/>
  <c r="K4043" i="1"/>
  <c r="M4043" i="1"/>
  <c r="N4043" i="1"/>
  <c r="K4044" i="1"/>
  <c r="M4044" i="1"/>
  <c r="N4044" i="1"/>
  <c r="K4045" i="1"/>
  <c r="M4045" i="1"/>
  <c r="N4045" i="1"/>
  <c r="K4046" i="1"/>
  <c r="M4046" i="1"/>
  <c r="N4046" i="1"/>
  <c r="K4047" i="1"/>
  <c r="M4047" i="1"/>
  <c r="N4047" i="1"/>
  <c r="K4048" i="1"/>
  <c r="M4048" i="1"/>
  <c r="N4048" i="1"/>
  <c r="K4049" i="1"/>
  <c r="M4049" i="1"/>
  <c r="N4049" i="1"/>
  <c r="K4050" i="1"/>
  <c r="M4050" i="1"/>
  <c r="N4050" i="1"/>
  <c r="K4051" i="1"/>
  <c r="M4051" i="1"/>
  <c r="N4051" i="1"/>
  <c r="K4052" i="1"/>
  <c r="M4052" i="1"/>
  <c r="N4052" i="1"/>
  <c r="K4053" i="1"/>
  <c r="M4053" i="1"/>
  <c r="N4053" i="1"/>
  <c r="K4054" i="1"/>
  <c r="M4054" i="1"/>
  <c r="N4054" i="1"/>
  <c r="K4055" i="1"/>
  <c r="M4055" i="1"/>
  <c r="N4055" i="1"/>
  <c r="K4056" i="1"/>
  <c r="M4056" i="1"/>
  <c r="N4056" i="1"/>
  <c r="K4057" i="1"/>
  <c r="M4057" i="1"/>
  <c r="N4057" i="1"/>
  <c r="K4058" i="1"/>
  <c r="M4058" i="1"/>
  <c r="N4058" i="1"/>
  <c r="K4059" i="1"/>
  <c r="M4059" i="1"/>
  <c r="N4059" i="1"/>
  <c r="K4060" i="1"/>
  <c r="M4060" i="1"/>
  <c r="N4060" i="1"/>
  <c r="K4061" i="1"/>
  <c r="M4061" i="1"/>
  <c r="N4061" i="1"/>
  <c r="K4062" i="1"/>
  <c r="M4062" i="1"/>
  <c r="N4062" i="1"/>
  <c r="K4063" i="1"/>
  <c r="M4063" i="1"/>
  <c r="N4063" i="1"/>
  <c r="K4064" i="1"/>
  <c r="M4064" i="1"/>
  <c r="N4064" i="1"/>
  <c r="K4065" i="1"/>
  <c r="M4065" i="1"/>
  <c r="N4065" i="1"/>
  <c r="K4066" i="1"/>
  <c r="M4066" i="1"/>
  <c r="N4066" i="1"/>
  <c r="K4067" i="1"/>
  <c r="M4067" i="1"/>
  <c r="N4067" i="1"/>
  <c r="K4068" i="1"/>
  <c r="M4068" i="1"/>
  <c r="N4068" i="1"/>
  <c r="K4069" i="1"/>
  <c r="M4069" i="1"/>
  <c r="N4069" i="1"/>
  <c r="K4070" i="1"/>
  <c r="M4070" i="1"/>
  <c r="N4070" i="1"/>
  <c r="K4071" i="1"/>
  <c r="M4071" i="1"/>
  <c r="N4071" i="1"/>
  <c r="K4072" i="1"/>
  <c r="M4072" i="1"/>
  <c r="N4072" i="1"/>
  <c r="K4073" i="1"/>
  <c r="M4073" i="1"/>
  <c r="N4073" i="1"/>
  <c r="K4074" i="1"/>
  <c r="M4074" i="1"/>
  <c r="N4074" i="1"/>
  <c r="K4075" i="1"/>
  <c r="M4075" i="1"/>
  <c r="N4075" i="1"/>
  <c r="K4076" i="1"/>
  <c r="M4076" i="1"/>
  <c r="N4076" i="1"/>
  <c r="K4077" i="1"/>
  <c r="M4077" i="1"/>
  <c r="N4077" i="1"/>
  <c r="K4078" i="1"/>
  <c r="M4078" i="1"/>
  <c r="N4078" i="1"/>
  <c r="K4079" i="1"/>
  <c r="M4079" i="1"/>
  <c r="N4079" i="1"/>
  <c r="K4080" i="1"/>
  <c r="M4080" i="1"/>
  <c r="N4080" i="1"/>
  <c r="K4081" i="1"/>
  <c r="M4081" i="1"/>
  <c r="N4081" i="1"/>
  <c r="K4082" i="1"/>
  <c r="M4082" i="1"/>
  <c r="N4082" i="1"/>
  <c r="K4083" i="1"/>
  <c r="M4083" i="1"/>
  <c r="N4083" i="1"/>
  <c r="K4084" i="1"/>
  <c r="M4084" i="1"/>
  <c r="N4084" i="1"/>
  <c r="K4085" i="1"/>
  <c r="M4085" i="1"/>
  <c r="N4085" i="1"/>
  <c r="K4086" i="1"/>
  <c r="M4086" i="1"/>
  <c r="N4086" i="1"/>
  <c r="K4087" i="1"/>
  <c r="M4087" i="1"/>
  <c r="N4087" i="1"/>
  <c r="K4088" i="1"/>
  <c r="M4088" i="1"/>
  <c r="N4088" i="1"/>
  <c r="K4089" i="1"/>
  <c r="M4089" i="1"/>
  <c r="N4089" i="1"/>
  <c r="K4090" i="1"/>
  <c r="M4090" i="1"/>
  <c r="N4090" i="1"/>
  <c r="K4091" i="1"/>
  <c r="M4091" i="1"/>
  <c r="N4091" i="1"/>
  <c r="K4092" i="1"/>
  <c r="M4092" i="1"/>
  <c r="N4092" i="1"/>
  <c r="K4093" i="1"/>
  <c r="M4093" i="1"/>
  <c r="N4093" i="1"/>
  <c r="K4094" i="1"/>
  <c r="M4094" i="1"/>
  <c r="N4094" i="1"/>
  <c r="K4095" i="1"/>
  <c r="M4095" i="1"/>
  <c r="N4095" i="1"/>
  <c r="K4096" i="1"/>
  <c r="M4096" i="1"/>
  <c r="N4096" i="1"/>
  <c r="K4097" i="1"/>
  <c r="M4097" i="1"/>
  <c r="N4097" i="1"/>
  <c r="K4098" i="1"/>
  <c r="M4098" i="1"/>
  <c r="N4098" i="1"/>
  <c r="K4099" i="1"/>
  <c r="M4099" i="1"/>
  <c r="N4099" i="1"/>
  <c r="K4100" i="1"/>
  <c r="M4100" i="1"/>
  <c r="N4100" i="1"/>
  <c r="K4101" i="1"/>
  <c r="M4101" i="1"/>
  <c r="N4101" i="1"/>
  <c r="K4102" i="1"/>
  <c r="M4102" i="1"/>
  <c r="N4102" i="1"/>
  <c r="K4103" i="1"/>
  <c r="M4103" i="1"/>
  <c r="N4103" i="1"/>
  <c r="K4104" i="1"/>
  <c r="M4104" i="1"/>
  <c r="N4104" i="1"/>
  <c r="K4105" i="1"/>
  <c r="M4105" i="1"/>
  <c r="N4105" i="1"/>
  <c r="K4106" i="1"/>
  <c r="M4106" i="1"/>
  <c r="N4106" i="1"/>
  <c r="K4107" i="1"/>
  <c r="M4107" i="1"/>
  <c r="N4107" i="1"/>
  <c r="K4108" i="1"/>
  <c r="M4108" i="1"/>
  <c r="N4108" i="1"/>
  <c r="K4109" i="1"/>
  <c r="M4109" i="1"/>
  <c r="N4109" i="1"/>
  <c r="K4110" i="1"/>
  <c r="M4110" i="1"/>
  <c r="N4110" i="1"/>
  <c r="K4111" i="1"/>
  <c r="M4111" i="1"/>
  <c r="N4111" i="1"/>
  <c r="K4112" i="1"/>
  <c r="M4112" i="1"/>
  <c r="N4112" i="1"/>
  <c r="K4113" i="1"/>
  <c r="M4113" i="1"/>
  <c r="N4113" i="1"/>
  <c r="K4114" i="1"/>
  <c r="M4114" i="1"/>
  <c r="N4114" i="1"/>
  <c r="K4115" i="1"/>
  <c r="M4115" i="1"/>
  <c r="N4115" i="1"/>
  <c r="K4116" i="1"/>
  <c r="M4116" i="1"/>
  <c r="N4116" i="1"/>
  <c r="K4117" i="1"/>
  <c r="M4117" i="1"/>
  <c r="N4117" i="1"/>
  <c r="K4118" i="1"/>
  <c r="M4118" i="1"/>
  <c r="N4118" i="1"/>
  <c r="K4119" i="1"/>
  <c r="M4119" i="1"/>
  <c r="N4119" i="1"/>
  <c r="K4120" i="1"/>
  <c r="M4120" i="1"/>
  <c r="N4120" i="1"/>
  <c r="K4121" i="1"/>
  <c r="M4121" i="1"/>
  <c r="N4121" i="1"/>
  <c r="K4122" i="1"/>
  <c r="M4122" i="1"/>
  <c r="N4122" i="1"/>
  <c r="K4123" i="1"/>
  <c r="M4123" i="1"/>
  <c r="N4123" i="1"/>
  <c r="K4124" i="1"/>
  <c r="M4124" i="1"/>
  <c r="N4124" i="1"/>
  <c r="K4125" i="1"/>
  <c r="M4125" i="1"/>
  <c r="N4125" i="1"/>
  <c r="K4126" i="1"/>
  <c r="M4126" i="1"/>
  <c r="N4126" i="1"/>
  <c r="K4127" i="1"/>
  <c r="M4127" i="1"/>
  <c r="N4127" i="1"/>
  <c r="K4128" i="1"/>
  <c r="M4128" i="1"/>
  <c r="N4128" i="1"/>
  <c r="K4129" i="1"/>
  <c r="M4129" i="1"/>
  <c r="N4129" i="1"/>
  <c r="K4130" i="1"/>
  <c r="M4130" i="1"/>
  <c r="N4130" i="1"/>
  <c r="K4131" i="1"/>
  <c r="M4131" i="1"/>
  <c r="N4131" i="1"/>
  <c r="K4132" i="1"/>
  <c r="M4132" i="1"/>
  <c r="N4132" i="1"/>
  <c r="K4133" i="1"/>
  <c r="M4133" i="1"/>
  <c r="N4133" i="1"/>
  <c r="K4134" i="1"/>
  <c r="M4134" i="1"/>
  <c r="N4134" i="1"/>
  <c r="K4135" i="1"/>
  <c r="M4135" i="1"/>
  <c r="N4135" i="1"/>
  <c r="K4136" i="1"/>
  <c r="M4136" i="1"/>
  <c r="N4136" i="1"/>
  <c r="K4137" i="1"/>
  <c r="M4137" i="1"/>
  <c r="N4137" i="1"/>
  <c r="K4138" i="1"/>
  <c r="M4138" i="1"/>
  <c r="N4138" i="1"/>
  <c r="K4139" i="1"/>
  <c r="M4139" i="1"/>
  <c r="N4139" i="1"/>
  <c r="K4140" i="1"/>
  <c r="M4140" i="1"/>
  <c r="N4140" i="1"/>
  <c r="K4141" i="1"/>
  <c r="M4141" i="1"/>
  <c r="N4141" i="1"/>
  <c r="K4142" i="1"/>
  <c r="M4142" i="1"/>
  <c r="N4142" i="1"/>
  <c r="K4143" i="1"/>
  <c r="M4143" i="1"/>
  <c r="N4143" i="1"/>
  <c r="K4144" i="1"/>
  <c r="M4144" i="1"/>
  <c r="N4144" i="1"/>
  <c r="K4145" i="1"/>
  <c r="M4145" i="1"/>
  <c r="N4145" i="1"/>
  <c r="K4146" i="1"/>
  <c r="M4146" i="1"/>
  <c r="N4146" i="1"/>
  <c r="K4147" i="1"/>
  <c r="M4147" i="1"/>
  <c r="N4147" i="1"/>
  <c r="K4148" i="1"/>
  <c r="M4148" i="1"/>
  <c r="N4148" i="1"/>
  <c r="K4149" i="1"/>
  <c r="M4149" i="1"/>
  <c r="N4149" i="1"/>
  <c r="K4150" i="1"/>
  <c r="M4150" i="1"/>
  <c r="N4150" i="1"/>
  <c r="K4151" i="1"/>
  <c r="M4151" i="1"/>
  <c r="N4151" i="1"/>
  <c r="K4152" i="1"/>
  <c r="M4152" i="1"/>
  <c r="N4152" i="1"/>
  <c r="K4153" i="1"/>
  <c r="M4153" i="1"/>
  <c r="N4153" i="1"/>
  <c r="K4154" i="1"/>
  <c r="M4154" i="1"/>
  <c r="N4154" i="1"/>
  <c r="K4155" i="1"/>
  <c r="M4155" i="1"/>
  <c r="N4155" i="1"/>
  <c r="K4156" i="1"/>
  <c r="M4156" i="1"/>
  <c r="N4156" i="1"/>
  <c r="K4157" i="1"/>
  <c r="M4157" i="1"/>
  <c r="N4157" i="1"/>
  <c r="K4158" i="1"/>
  <c r="M4158" i="1"/>
  <c r="N4158" i="1"/>
  <c r="K4159" i="1"/>
  <c r="M4159" i="1"/>
  <c r="N4159" i="1"/>
  <c r="K4160" i="1"/>
  <c r="M4160" i="1"/>
  <c r="N4160" i="1"/>
  <c r="K4161" i="1"/>
  <c r="M4161" i="1"/>
  <c r="N4161" i="1"/>
  <c r="K4162" i="1"/>
  <c r="M4162" i="1"/>
  <c r="N4162" i="1"/>
  <c r="K4163" i="1"/>
  <c r="M4163" i="1"/>
  <c r="N4163" i="1"/>
  <c r="K4164" i="1"/>
  <c r="M4164" i="1"/>
  <c r="N4164" i="1"/>
  <c r="K4165" i="1"/>
  <c r="M4165" i="1"/>
  <c r="N4165" i="1"/>
  <c r="K4166" i="1"/>
  <c r="M4166" i="1"/>
  <c r="N4166" i="1"/>
  <c r="K4167" i="1"/>
  <c r="M4167" i="1"/>
  <c r="N4167" i="1"/>
  <c r="K4168" i="1"/>
  <c r="M4168" i="1"/>
  <c r="N4168" i="1"/>
  <c r="K4169" i="1"/>
  <c r="M4169" i="1"/>
  <c r="N4169" i="1"/>
  <c r="K4170" i="1"/>
  <c r="M4170" i="1"/>
  <c r="N4170" i="1"/>
  <c r="K4171" i="1"/>
  <c r="M4171" i="1"/>
  <c r="N4171" i="1"/>
  <c r="K4172" i="1"/>
  <c r="M4172" i="1"/>
  <c r="N4172" i="1"/>
  <c r="K4173" i="1"/>
  <c r="M4173" i="1"/>
  <c r="N4173" i="1"/>
  <c r="K4174" i="1"/>
  <c r="M4174" i="1"/>
  <c r="N4174" i="1"/>
  <c r="K4175" i="1"/>
  <c r="M4175" i="1"/>
  <c r="N4175" i="1"/>
  <c r="K4176" i="1"/>
  <c r="M4176" i="1"/>
  <c r="N4176" i="1"/>
  <c r="K4177" i="1"/>
  <c r="M4177" i="1"/>
  <c r="N4177" i="1"/>
  <c r="K4178" i="1"/>
  <c r="M4178" i="1"/>
  <c r="N4178" i="1"/>
  <c r="K4179" i="1"/>
  <c r="M4179" i="1"/>
  <c r="N4179" i="1"/>
  <c r="K4180" i="1"/>
  <c r="M4180" i="1"/>
  <c r="N4180" i="1"/>
  <c r="K4181" i="1"/>
  <c r="M4181" i="1"/>
  <c r="N4181" i="1"/>
  <c r="K4182" i="1"/>
  <c r="M4182" i="1"/>
  <c r="N4182" i="1"/>
  <c r="K4183" i="1"/>
  <c r="M4183" i="1"/>
  <c r="N4183" i="1"/>
  <c r="K4184" i="1"/>
  <c r="M4184" i="1"/>
  <c r="N4184" i="1"/>
  <c r="K4185" i="1"/>
  <c r="M4185" i="1"/>
  <c r="N4185" i="1"/>
  <c r="K4186" i="1"/>
  <c r="M4186" i="1"/>
  <c r="N4186" i="1"/>
  <c r="K4187" i="1"/>
  <c r="M4187" i="1"/>
  <c r="N4187" i="1"/>
  <c r="K4188" i="1"/>
  <c r="M4188" i="1"/>
  <c r="N4188" i="1"/>
  <c r="K4189" i="1"/>
  <c r="M4189" i="1"/>
  <c r="N4189" i="1"/>
  <c r="K4190" i="1"/>
  <c r="M4190" i="1"/>
  <c r="N4190" i="1"/>
  <c r="K4191" i="1"/>
  <c r="M4191" i="1"/>
  <c r="N4191" i="1"/>
  <c r="K4192" i="1"/>
  <c r="M4192" i="1"/>
  <c r="N4192" i="1"/>
  <c r="K4193" i="1"/>
  <c r="M4193" i="1"/>
  <c r="N4193" i="1"/>
  <c r="K4194" i="1"/>
  <c r="M4194" i="1"/>
  <c r="N4194" i="1"/>
  <c r="K4195" i="1"/>
  <c r="M4195" i="1"/>
  <c r="N4195" i="1"/>
  <c r="K4196" i="1"/>
  <c r="M4196" i="1"/>
  <c r="N4196" i="1"/>
  <c r="K4197" i="1"/>
  <c r="M4197" i="1"/>
  <c r="N4197" i="1"/>
  <c r="K4198" i="1"/>
  <c r="M4198" i="1"/>
  <c r="N4198" i="1"/>
  <c r="K4199" i="1"/>
  <c r="M4199" i="1"/>
  <c r="N4199" i="1"/>
  <c r="K4200" i="1"/>
  <c r="M4200" i="1"/>
  <c r="N4200" i="1"/>
  <c r="K4201" i="1"/>
  <c r="M4201" i="1"/>
  <c r="N4201" i="1"/>
  <c r="K4202" i="1"/>
  <c r="M4202" i="1"/>
  <c r="N4202" i="1"/>
  <c r="K4203" i="1"/>
  <c r="M4203" i="1"/>
  <c r="N4203" i="1"/>
  <c r="K4204" i="1"/>
  <c r="M4204" i="1"/>
  <c r="N4204" i="1"/>
  <c r="K4205" i="1"/>
  <c r="M4205" i="1"/>
  <c r="N4205" i="1"/>
  <c r="K4206" i="1"/>
  <c r="M4206" i="1"/>
  <c r="N4206" i="1"/>
  <c r="K4207" i="1"/>
  <c r="M4207" i="1"/>
  <c r="N4207" i="1"/>
  <c r="K4208" i="1"/>
  <c r="M4208" i="1"/>
  <c r="N4208" i="1"/>
  <c r="K4209" i="1"/>
  <c r="M4209" i="1"/>
  <c r="N4209" i="1"/>
  <c r="K4210" i="1"/>
  <c r="M4210" i="1"/>
  <c r="N4210" i="1"/>
  <c r="K4211" i="1"/>
  <c r="M4211" i="1"/>
  <c r="N4211" i="1"/>
  <c r="K4212" i="1"/>
  <c r="M4212" i="1"/>
  <c r="N4212" i="1"/>
  <c r="K4213" i="1"/>
  <c r="M4213" i="1"/>
  <c r="N4213" i="1"/>
  <c r="K4214" i="1"/>
  <c r="M4214" i="1"/>
  <c r="N4214" i="1"/>
  <c r="K4215" i="1"/>
  <c r="M4215" i="1"/>
  <c r="N4215" i="1"/>
  <c r="K4216" i="1"/>
  <c r="M4216" i="1"/>
  <c r="N4216" i="1"/>
  <c r="K4217" i="1"/>
  <c r="M4217" i="1"/>
  <c r="N4217" i="1"/>
  <c r="K4218" i="1"/>
  <c r="M4218" i="1"/>
  <c r="N4218" i="1"/>
  <c r="K4219" i="1"/>
  <c r="M4219" i="1"/>
  <c r="N4219" i="1"/>
  <c r="K4220" i="1"/>
  <c r="M4220" i="1"/>
  <c r="N4220" i="1"/>
  <c r="K4221" i="1"/>
  <c r="M4221" i="1"/>
  <c r="N4221" i="1"/>
  <c r="K4222" i="1"/>
  <c r="M4222" i="1"/>
  <c r="N4222" i="1"/>
  <c r="K4223" i="1"/>
  <c r="M4223" i="1"/>
  <c r="N4223" i="1"/>
  <c r="K4224" i="1"/>
  <c r="M4224" i="1"/>
  <c r="N4224" i="1"/>
  <c r="K4225" i="1"/>
  <c r="M4225" i="1"/>
  <c r="N4225" i="1"/>
  <c r="K4226" i="1"/>
  <c r="M4226" i="1"/>
  <c r="N4226" i="1"/>
  <c r="K4227" i="1"/>
  <c r="M4227" i="1"/>
  <c r="N4227" i="1"/>
  <c r="K4228" i="1"/>
  <c r="M4228" i="1"/>
  <c r="N4228" i="1"/>
  <c r="K4229" i="1"/>
  <c r="M4229" i="1"/>
  <c r="N4229" i="1"/>
  <c r="K4230" i="1"/>
  <c r="M4230" i="1"/>
  <c r="N4230" i="1"/>
  <c r="K4231" i="1"/>
  <c r="M4231" i="1"/>
  <c r="N4231" i="1"/>
  <c r="K4232" i="1"/>
  <c r="M4232" i="1"/>
  <c r="N4232" i="1"/>
  <c r="K4233" i="1"/>
  <c r="M4233" i="1"/>
  <c r="N4233" i="1"/>
  <c r="K4234" i="1"/>
  <c r="M4234" i="1"/>
  <c r="N4234" i="1"/>
  <c r="K4235" i="1"/>
  <c r="M4235" i="1"/>
  <c r="N4235" i="1"/>
  <c r="K4236" i="1"/>
  <c r="M4236" i="1"/>
  <c r="N4236" i="1"/>
  <c r="K4237" i="1"/>
  <c r="M4237" i="1"/>
  <c r="N4237" i="1"/>
  <c r="K4238" i="1"/>
  <c r="M4238" i="1"/>
  <c r="N4238" i="1"/>
  <c r="K4239" i="1"/>
  <c r="M4239" i="1"/>
  <c r="N4239" i="1"/>
  <c r="K4240" i="1"/>
  <c r="M4240" i="1"/>
  <c r="N4240" i="1"/>
  <c r="K4241" i="1"/>
  <c r="M4241" i="1"/>
  <c r="N4241" i="1"/>
  <c r="K4242" i="1"/>
  <c r="M4242" i="1"/>
  <c r="N4242" i="1"/>
  <c r="K4243" i="1"/>
  <c r="M4243" i="1"/>
  <c r="N4243" i="1"/>
  <c r="K4244" i="1"/>
  <c r="M4244" i="1"/>
  <c r="N4244" i="1"/>
  <c r="K4245" i="1"/>
  <c r="M4245" i="1"/>
  <c r="N4245" i="1"/>
  <c r="K4246" i="1"/>
  <c r="M4246" i="1"/>
  <c r="N4246" i="1"/>
  <c r="K4247" i="1"/>
  <c r="M4247" i="1"/>
  <c r="N4247" i="1"/>
  <c r="K4248" i="1"/>
  <c r="M4248" i="1"/>
  <c r="N4248" i="1"/>
  <c r="K4249" i="1"/>
  <c r="M4249" i="1"/>
  <c r="N4249" i="1"/>
  <c r="K4250" i="1"/>
  <c r="M4250" i="1"/>
  <c r="N4250" i="1"/>
  <c r="K4251" i="1"/>
  <c r="M4251" i="1"/>
  <c r="N4251" i="1"/>
  <c r="K4252" i="1"/>
  <c r="M4252" i="1"/>
  <c r="N4252" i="1"/>
  <c r="K4253" i="1"/>
  <c r="M4253" i="1"/>
  <c r="N4253" i="1"/>
  <c r="K4254" i="1"/>
  <c r="M4254" i="1"/>
  <c r="N4254" i="1"/>
  <c r="K4255" i="1"/>
  <c r="M4255" i="1"/>
  <c r="N4255" i="1"/>
  <c r="K4256" i="1"/>
  <c r="M4256" i="1"/>
  <c r="N4256" i="1"/>
  <c r="K4257" i="1"/>
  <c r="M4257" i="1"/>
  <c r="N4257" i="1"/>
  <c r="K4258" i="1"/>
  <c r="M4258" i="1"/>
  <c r="N4258" i="1"/>
  <c r="K4259" i="1"/>
  <c r="M4259" i="1"/>
  <c r="N4259" i="1"/>
  <c r="K4260" i="1"/>
  <c r="M4260" i="1"/>
  <c r="N4260" i="1"/>
  <c r="K4261" i="1"/>
  <c r="M4261" i="1"/>
  <c r="N4261" i="1"/>
  <c r="K4262" i="1"/>
  <c r="M4262" i="1"/>
  <c r="N4262" i="1"/>
  <c r="K4263" i="1"/>
  <c r="M4263" i="1"/>
  <c r="N4263" i="1"/>
  <c r="K4264" i="1"/>
  <c r="M4264" i="1"/>
  <c r="N4264" i="1"/>
  <c r="K4265" i="1"/>
  <c r="M4265" i="1"/>
  <c r="N4265" i="1"/>
  <c r="K4266" i="1"/>
  <c r="M4266" i="1"/>
  <c r="N4266" i="1"/>
  <c r="K4267" i="1"/>
  <c r="M4267" i="1"/>
  <c r="N4267" i="1"/>
  <c r="K4268" i="1"/>
  <c r="M4268" i="1"/>
  <c r="N4268" i="1"/>
  <c r="K4269" i="1"/>
  <c r="M4269" i="1"/>
  <c r="N4269" i="1"/>
  <c r="K4270" i="1"/>
  <c r="M4270" i="1"/>
  <c r="N4270" i="1"/>
  <c r="K4271" i="1"/>
  <c r="M4271" i="1"/>
  <c r="N4271" i="1"/>
  <c r="K4272" i="1"/>
  <c r="M4272" i="1"/>
  <c r="N4272" i="1"/>
  <c r="K4273" i="1"/>
  <c r="M4273" i="1"/>
  <c r="N4273" i="1"/>
  <c r="K4274" i="1"/>
  <c r="M4274" i="1"/>
  <c r="N4274" i="1"/>
  <c r="K4275" i="1"/>
  <c r="M4275" i="1"/>
  <c r="N4275" i="1"/>
  <c r="K4276" i="1"/>
  <c r="M4276" i="1"/>
  <c r="N4276" i="1"/>
  <c r="K4277" i="1"/>
  <c r="M4277" i="1"/>
  <c r="N4277" i="1"/>
  <c r="K4278" i="1"/>
  <c r="M4278" i="1"/>
  <c r="N4278" i="1"/>
  <c r="K4279" i="1"/>
  <c r="M4279" i="1"/>
  <c r="N4279" i="1"/>
  <c r="K4280" i="1"/>
  <c r="M4280" i="1"/>
  <c r="N4280" i="1"/>
  <c r="K4281" i="1"/>
  <c r="M4281" i="1"/>
  <c r="N4281" i="1"/>
  <c r="K4282" i="1"/>
  <c r="M4282" i="1"/>
  <c r="N4282" i="1"/>
  <c r="K4283" i="1"/>
  <c r="M4283" i="1"/>
  <c r="N4283" i="1"/>
  <c r="K4284" i="1"/>
  <c r="M4284" i="1"/>
  <c r="N4284" i="1"/>
  <c r="K4285" i="1"/>
  <c r="M4285" i="1"/>
  <c r="N4285" i="1"/>
  <c r="K4286" i="1"/>
  <c r="M4286" i="1"/>
  <c r="N4286" i="1"/>
  <c r="K4287" i="1"/>
  <c r="M4287" i="1"/>
  <c r="N4287" i="1"/>
  <c r="K4288" i="1"/>
  <c r="M4288" i="1"/>
  <c r="N4288" i="1"/>
  <c r="K4289" i="1"/>
  <c r="M4289" i="1"/>
  <c r="N4289" i="1"/>
  <c r="K4290" i="1"/>
  <c r="M4290" i="1"/>
  <c r="N4290" i="1"/>
  <c r="K4291" i="1"/>
  <c r="M4291" i="1"/>
  <c r="N4291" i="1"/>
  <c r="K4292" i="1"/>
  <c r="M4292" i="1"/>
  <c r="N4292" i="1"/>
  <c r="K4293" i="1"/>
  <c r="M4293" i="1"/>
  <c r="N4293" i="1"/>
  <c r="K4294" i="1"/>
  <c r="M4294" i="1"/>
  <c r="N4294" i="1"/>
  <c r="K4295" i="1"/>
  <c r="M4295" i="1"/>
  <c r="N4295" i="1"/>
  <c r="K4296" i="1"/>
  <c r="M4296" i="1"/>
  <c r="N4296" i="1"/>
  <c r="K4297" i="1"/>
  <c r="M4297" i="1"/>
  <c r="N4297" i="1"/>
  <c r="K4298" i="1"/>
  <c r="M4298" i="1"/>
  <c r="N4298" i="1"/>
  <c r="K4299" i="1"/>
  <c r="M4299" i="1"/>
  <c r="N4299" i="1"/>
  <c r="K4300" i="1"/>
  <c r="M4300" i="1"/>
  <c r="N4300" i="1"/>
  <c r="K4301" i="1"/>
  <c r="M4301" i="1"/>
  <c r="N4301" i="1"/>
  <c r="K4302" i="1"/>
  <c r="M4302" i="1"/>
  <c r="N4302" i="1"/>
  <c r="K4303" i="1"/>
  <c r="M4303" i="1"/>
  <c r="N4303" i="1"/>
  <c r="K4304" i="1"/>
  <c r="M4304" i="1"/>
  <c r="N4304" i="1"/>
  <c r="K4305" i="1"/>
  <c r="M4305" i="1"/>
  <c r="N4305" i="1"/>
  <c r="K4306" i="1"/>
  <c r="M4306" i="1"/>
  <c r="N4306" i="1"/>
  <c r="K4307" i="1"/>
  <c r="M4307" i="1"/>
  <c r="N4307" i="1"/>
  <c r="K4308" i="1"/>
  <c r="M4308" i="1"/>
  <c r="N4308" i="1"/>
  <c r="K4309" i="1"/>
  <c r="M4309" i="1"/>
  <c r="N4309" i="1"/>
  <c r="K4310" i="1"/>
  <c r="M4310" i="1"/>
  <c r="N4310" i="1"/>
  <c r="K4311" i="1"/>
  <c r="M4311" i="1"/>
  <c r="N4311" i="1"/>
  <c r="K4312" i="1"/>
  <c r="M4312" i="1"/>
  <c r="N4312" i="1"/>
  <c r="K4313" i="1"/>
  <c r="M4313" i="1"/>
  <c r="N4313" i="1"/>
  <c r="K4314" i="1"/>
  <c r="M4314" i="1"/>
  <c r="N4314" i="1"/>
  <c r="K4315" i="1"/>
  <c r="M4315" i="1"/>
  <c r="N4315" i="1"/>
  <c r="K4316" i="1"/>
  <c r="M4316" i="1"/>
  <c r="N4316" i="1"/>
  <c r="K4317" i="1"/>
  <c r="M4317" i="1"/>
  <c r="N4317" i="1"/>
  <c r="K4318" i="1"/>
  <c r="M4318" i="1"/>
  <c r="N4318" i="1"/>
  <c r="K4319" i="1"/>
  <c r="M4319" i="1"/>
  <c r="N4319" i="1"/>
  <c r="K4320" i="1"/>
  <c r="M4320" i="1"/>
  <c r="N4320" i="1"/>
  <c r="K4321" i="1"/>
  <c r="M4321" i="1"/>
  <c r="N4321" i="1"/>
  <c r="K4322" i="1"/>
  <c r="M4322" i="1"/>
  <c r="N4322" i="1"/>
  <c r="K4323" i="1"/>
  <c r="M4323" i="1"/>
  <c r="N4323" i="1"/>
  <c r="K4324" i="1"/>
  <c r="M4324" i="1"/>
  <c r="N4324" i="1"/>
  <c r="K4325" i="1"/>
  <c r="M4325" i="1"/>
  <c r="N4325" i="1"/>
  <c r="K4326" i="1"/>
  <c r="M4326" i="1"/>
  <c r="N4326" i="1"/>
  <c r="K4327" i="1"/>
  <c r="M4327" i="1"/>
  <c r="N4327" i="1"/>
  <c r="K4328" i="1"/>
  <c r="M4328" i="1"/>
  <c r="N4328" i="1"/>
  <c r="K4329" i="1"/>
  <c r="M4329" i="1"/>
  <c r="N4329" i="1"/>
  <c r="K4330" i="1"/>
  <c r="M4330" i="1"/>
  <c r="N4330" i="1"/>
  <c r="K4331" i="1"/>
  <c r="M4331" i="1"/>
  <c r="N4331" i="1"/>
  <c r="K4332" i="1"/>
  <c r="M4332" i="1"/>
  <c r="N4332" i="1"/>
  <c r="K4333" i="1"/>
  <c r="M4333" i="1"/>
  <c r="N4333" i="1"/>
  <c r="K4334" i="1"/>
  <c r="M4334" i="1"/>
  <c r="N4334" i="1"/>
  <c r="K4335" i="1"/>
  <c r="M4335" i="1"/>
  <c r="N4335" i="1"/>
  <c r="K4336" i="1"/>
  <c r="M4336" i="1"/>
  <c r="N4336" i="1"/>
  <c r="K4337" i="1"/>
  <c r="M4337" i="1"/>
  <c r="N4337" i="1"/>
  <c r="K4338" i="1"/>
  <c r="M4338" i="1"/>
  <c r="N4338" i="1"/>
  <c r="K4339" i="1"/>
  <c r="M4339" i="1"/>
  <c r="N4339" i="1"/>
  <c r="K4340" i="1"/>
  <c r="M4340" i="1"/>
  <c r="N4340" i="1"/>
  <c r="K4341" i="1"/>
  <c r="M4341" i="1"/>
  <c r="N4341" i="1"/>
  <c r="K4342" i="1"/>
  <c r="M4342" i="1"/>
  <c r="N4342" i="1"/>
  <c r="K4343" i="1"/>
  <c r="M4343" i="1"/>
  <c r="N4343" i="1"/>
  <c r="K4344" i="1"/>
  <c r="M4344" i="1"/>
  <c r="N4344" i="1"/>
  <c r="K4345" i="1"/>
  <c r="M4345" i="1"/>
  <c r="N4345" i="1"/>
  <c r="K4346" i="1"/>
  <c r="M4346" i="1"/>
  <c r="N4346" i="1"/>
  <c r="K4347" i="1"/>
  <c r="M4347" i="1"/>
  <c r="N4347" i="1"/>
  <c r="K4348" i="1"/>
  <c r="M4348" i="1"/>
  <c r="N4348" i="1"/>
  <c r="K4349" i="1"/>
  <c r="M4349" i="1"/>
  <c r="N4349" i="1"/>
  <c r="K4350" i="1"/>
  <c r="M4350" i="1"/>
  <c r="N4350" i="1"/>
  <c r="K4351" i="1"/>
  <c r="M4351" i="1"/>
  <c r="N4351" i="1"/>
  <c r="K4352" i="1"/>
  <c r="M4352" i="1"/>
  <c r="N4352" i="1"/>
  <c r="K4353" i="1"/>
  <c r="M4353" i="1"/>
  <c r="N4353" i="1"/>
  <c r="K4354" i="1"/>
  <c r="M4354" i="1"/>
  <c r="N4354" i="1"/>
  <c r="K4355" i="1"/>
  <c r="M4355" i="1"/>
  <c r="N4355" i="1"/>
  <c r="K4356" i="1"/>
  <c r="M4356" i="1"/>
  <c r="N4356" i="1"/>
  <c r="K4357" i="1"/>
  <c r="M4357" i="1"/>
  <c r="N4357" i="1"/>
  <c r="K4358" i="1"/>
  <c r="M4358" i="1"/>
  <c r="N4358" i="1"/>
  <c r="K4359" i="1"/>
  <c r="M4359" i="1"/>
  <c r="N4359" i="1"/>
  <c r="K4360" i="1"/>
  <c r="M4360" i="1"/>
  <c r="N4360" i="1"/>
  <c r="K4361" i="1"/>
  <c r="M4361" i="1"/>
  <c r="N4361" i="1"/>
  <c r="K4362" i="1"/>
  <c r="M4362" i="1"/>
  <c r="N4362" i="1"/>
  <c r="K4363" i="1"/>
  <c r="M4363" i="1"/>
  <c r="N4363" i="1"/>
  <c r="K4364" i="1"/>
  <c r="M4364" i="1"/>
  <c r="N4364" i="1"/>
  <c r="K4365" i="1"/>
  <c r="M4365" i="1"/>
  <c r="N4365" i="1"/>
  <c r="K4366" i="1"/>
  <c r="M4366" i="1"/>
  <c r="N4366" i="1"/>
  <c r="K4367" i="1"/>
  <c r="M4367" i="1"/>
  <c r="N4367" i="1"/>
  <c r="K4368" i="1"/>
  <c r="M4368" i="1"/>
  <c r="N4368" i="1"/>
  <c r="K4369" i="1"/>
  <c r="M4369" i="1"/>
  <c r="N4369" i="1"/>
  <c r="K4370" i="1"/>
  <c r="M4370" i="1"/>
  <c r="N4370" i="1"/>
  <c r="K4371" i="1"/>
  <c r="M4371" i="1"/>
  <c r="N4371" i="1"/>
  <c r="K4372" i="1"/>
  <c r="M4372" i="1"/>
  <c r="N4372" i="1"/>
  <c r="K4373" i="1"/>
  <c r="M4373" i="1"/>
  <c r="N4373" i="1"/>
  <c r="K4374" i="1"/>
  <c r="M4374" i="1"/>
  <c r="N4374" i="1"/>
  <c r="K4375" i="1"/>
  <c r="M4375" i="1"/>
  <c r="N4375" i="1"/>
  <c r="K4376" i="1"/>
  <c r="M4376" i="1"/>
  <c r="N4376" i="1"/>
  <c r="K4377" i="1"/>
  <c r="M4377" i="1"/>
  <c r="N4377" i="1"/>
  <c r="K4378" i="1"/>
  <c r="M4378" i="1"/>
  <c r="N4378" i="1"/>
  <c r="K4379" i="1"/>
  <c r="M4379" i="1"/>
  <c r="N4379" i="1"/>
  <c r="K4380" i="1"/>
  <c r="M4380" i="1"/>
  <c r="N4380" i="1"/>
  <c r="K4381" i="1"/>
  <c r="M4381" i="1"/>
  <c r="N4381" i="1"/>
  <c r="K4382" i="1"/>
  <c r="M4382" i="1"/>
  <c r="N4382" i="1"/>
  <c r="K4383" i="1"/>
  <c r="M4383" i="1"/>
  <c r="N4383" i="1"/>
  <c r="K4384" i="1"/>
  <c r="M4384" i="1"/>
  <c r="N4384" i="1"/>
  <c r="K4385" i="1"/>
  <c r="M4385" i="1"/>
  <c r="N4385" i="1"/>
  <c r="K4386" i="1"/>
  <c r="M4386" i="1"/>
  <c r="N4386" i="1"/>
  <c r="K4387" i="1"/>
  <c r="M4387" i="1"/>
  <c r="N4387" i="1"/>
  <c r="K4388" i="1"/>
  <c r="M4388" i="1"/>
  <c r="N4388" i="1"/>
  <c r="K4389" i="1"/>
  <c r="M4389" i="1"/>
  <c r="N4389" i="1"/>
  <c r="K4390" i="1"/>
  <c r="M4390" i="1"/>
  <c r="N4390" i="1"/>
  <c r="K4391" i="1"/>
  <c r="M4391" i="1"/>
  <c r="N4391" i="1"/>
  <c r="K4392" i="1"/>
  <c r="M4392" i="1"/>
  <c r="N4392" i="1"/>
  <c r="K4393" i="1"/>
  <c r="M4393" i="1"/>
  <c r="N4393" i="1"/>
  <c r="K4394" i="1"/>
  <c r="M4394" i="1"/>
  <c r="N4394" i="1"/>
  <c r="K4395" i="1"/>
  <c r="M4395" i="1"/>
  <c r="N4395" i="1"/>
  <c r="K4396" i="1"/>
  <c r="M4396" i="1"/>
  <c r="N4396" i="1"/>
  <c r="K4397" i="1"/>
  <c r="M4397" i="1"/>
  <c r="N4397" i="1"/>
  <c r="K4398" i="1"/>
  <c r="M4398" i="1"/>
  <c r="N4398" i="1"/>
  <c r="K4399" i="1"/>
  <c r="M4399" i="1"/>
  <c r="N4399" i="1"/>
  <c r="K4400" i="1"/>
  <c r="M4400" i="1"/>
  <c r="N4400" i="1"/>
  <c r="K4401" i="1"/>
  <c r="M4401" i="1"/>
  <c r="N4401" i="1"/>
  <c r="K4402" i="1"/>
  <c r="M4402" i="1"/>
  <c r="N4402" i="1"/>
  <c r="K4403" i="1"/>
  <c r="M4403" i="1"/>
  <c r="N4403" i="1"/>
  <c r="K4404" i="1"/>
  <c r="M4404" i="1"/>
  <c r="N4404" i="1"/>
  <c r="K4405" i="1"/>
  <c r="M4405" i="1"/>
  <c r="N4405" i="1"/>
  <c r="K4406" i="1"/>
  <c r="M4406" i="1"/>
  <c r="N4406" i="1"/>
  <c r="K4407" i="1"/>
  <c r="M4407" i="1"/>
  <c r="N4407" i="1"/>
  <c r="K4408" i="1"/>
  <c r="M4408" i="1"/>
  <c r="N4408" i="1"/>
  <c r="K4409" i="1"/>
  <c r="M4409" i="1"/>
  <c r="N4409" i="1"/>
  <c r="K4410" i="1"/>
  <c r="M4410" i="1"/>
  <c r="N4410" i="1"/>
  <c r="K4411" i="1"/>
  <c r="M4411" i="1"/>
  <c r="N4411" i="1"/>
  <c r="K4412" i="1"/>
  <c r="M4412" i="1"/>
  <c r="N4412" i="1"/>
  <c r="K4413" i="1"/>
  <c r="M4413" i="1"/>
  <c r="N4413" i="1"/>
  <c r="K4414" i="1"/>
  <c r="M4414" i="1"/>
  <c r="N4414" i="1"/>
  <c r="K4415" i="1"/>
  <c r="M4415" i="1"/>
  <c r="N4415" i="1"/>
  <c r="K4416" i="1"/>
  <c r="M4416" i="1"/>
  <c r="N4416" i="1"/>
  <c r="K4417" i="1"/>
  <c r="M4417" i="1"/>
  <c r="N4417" i="1"/>
  <c r="K4418" i="1"/>
  <c r="M4418" i="1"/>
  <c r="N4418" i="1"/>
  <c r="K4419" i="1"/>
  <c r="M4419" i="1"/>
  <c r="N4419" i="1"/>
  <c r="K4420" i="1"/>
  <c r="M4420" i="1"/>
  <c r="N4420" i="1"/>
  <c r="K4421" i="1"/>
  <c r="M4421" i="1"/>
  <c r="N4421" i="1"/>
  <c r="K4422" i="1"/>
  <c r="M4422" i="1"/>
  <c r="N4422" i="1"/>
  <c r="K4423" i="1"/>
  <c r="M4423" i="1"/>
  <c r="N4423" i="1"/>
  <c r="K4424" i="1"/>
  <c r="M4424" i="1"/>
  <c r="N4424" i="1"/>
  <c r="K4425" i="1"/>
  <c r="M4425" i="1"/>
  <c r="N4425" i="1"/>
  <c r="K4426" i="1"/>
  <c r="M4426" i="1"/>
  <c r="N4426" i="1"/>
  <c r="K4427" i="1"/>
  <c r="M4427" i="1"/>
  <c r="N4427" i="1"/>
  <c r="K4428" i="1"/>
  <c r="M4428" i="1"/>
  <c r="N4428" i="1"/>
  <c r="K4429" i="1"/>
  <c r="M4429" i="1"/>
  <c r="N4429" i="1"/>
  <c r="K4430" i="1"/>
  <c r="M4430" i="1"/>
  <c r="N4430" i="1"/>
  <c r="K4431" i="1"/>
  <c r="M4431" i="1"/>
  <c r="N4431" i="1"/>
  <c r="K4432" i="1"/>
  <c r="M4432" i="1"/>
  <c r="N4432" i="1"/>
  <c r="K4433" i="1"/>
  <c r="M4433" i="1"/>
  <c r="N4433" i="1"/>
  <c r="K4434" i="1"/>
  <c r="M4434" i="1"/>
  <c r="N4434" i="1"/>
  <c r="K4435" i="1"/>
  <c r="M4435" i="1"/>
  <c r="N4435" i="1"/>
  <c r="K4436" i="1"/>
  <c r="M4436" i="1"/>
  <c r="N4436" i="1"/>
  <c r="K4437" i="1"/>
  <c r="M4437" i="1"/>
  <c r="N4437" i="1"/>
  <c r="K4438" i="1"/>
  <c r="M4438" i="1"/>
  <c r="N4438" i="1"/>
  <c r="K4439" i="1"/>
  <c r="M4439" i="1"/>
  <c r="N4439" i="1"/>
  <c r="K4440" i="1"/>
  <c r="M4440" i="1"/>
  <c r="N4440" i="1"/>
  <c r="K4441" i="1"/>
  <c r="M4441" i="1"/>
  <c r="N4441" i="1"/>
  <c r="K4442" i="1"/>
  <c r="M4442" i="1"/>
  <c r="N4442" i="1"/>
  <c r="K4443" i="1"/>
  <c r="M4443" i="1"/>
  <c r="N4443" i="1"/>
  <c r="K4444" i="1"/>
  <c r="M4444" i="1"/>
  <c r="N4444" i="1"/>
  <c r="K4445" i="1"/>
  <c r="M4445" i="1"/>
  <c r="N4445" i="1"/>
  <c r="K4446" i="1"/>
  <c r="M4446" i="1"/>
  <c r="N4446" i="1"/>
  <c r="K4447" i="1"/>
  <c r="M4447" i="1"/>
  <c r="N4447" i="1"/>
  <c r="K4448" i="1"/>
  <c r="M4448" i="1"/>
  <c r="N4448" i="1"/>
  <c r="K4449" i="1"/>
  <c r="M4449" i="1"/>
  <c r="N4449" i="1"/>
  <c r="K4450" i="1"/>
  <c r="M4450" i="1"/>
  <c r="N4450" i="1"/>
  <c r="K4451" i="1"/>
  <c r="M4451" i="1"/>
  <c r="N4451" i="1"/>
  <c r="K4452" i="1"/>
  <c r="M4452" i="1"/>
  <c r="N4452" i="1"/>
  <c r="K4453" i="1"/>
  <c r="M4453" i="1"/>
  <c r="N4453" i="1"/>
  <c r="K4454" i="1"/>
  <c r="M4454" i="1"/>
  <c r="N4454" i="1"/>
  <c r="K4455" i="1"/>
  <c r="M4455" i="1"/>
  <c r="N4455" i="1"/>
  <c r="K4456" i="1"/>
  <c r="M4456" i="1"/>
  <c r="N4456" i="1"/>
  <c r="K4457" i="1"/>
  <c r="M4457" i="1"/>
  <c r="N4457" i="1"/>
  <c r="K4458" i="1"/>
  <c r="M4458" i="1"/>
  <c r="N4458" i="1"/>
  <c r="K4459" i="1"/>
  <c r="M4459" i="1"/>
  <c r="N4459" i="1"/>
  <c r="K4460" i="1"/>
  <c r="M4460" i="1"/>
  <c r="N4460" i="1"/>
  <c r="K4461" i="1"/>
  <c r="M4461" i="1"/>
  <c r="N4461" i="1"/>
  <c r="K4462" i="1"/>
  <c r="M4462" i="1"/>
  <c r="N4462" i="1"/>
  <c r="K4463" i="1"/>
  <c r="M4463" i="1"/>
  <c r="N4463" i="1"/>
  <c r="K4464" i="1"/>
  <c r="M4464" i="1"/>
  <c r="N4464" i="1"/>
  <c r="K4465" i="1"/>
  <c r="M4465" i="1"/>
  <c r="N4465" i="1"/>
  <c r="K4466" i="1"/>
  <c r="M4466" i="1"/>
  <c r="N4466" i="1"/>
  <c r="K4467" i="1"/>
  <c r="M4467" i="1"/>
  <c r="N4467" i="1"/>
  <c r="K4468" i="1"/>
  <c r="M4468" i="1"/>
  <c r="N4468" i="1"/>
  <c r="K4469" i="1"/>
  <c r="M4469" i="1"/>
  <c r="N4469" i="1"/>
  <c r="K4470" i="1"/>
  <c r="M4470" i="1"/>
  <c r="N4470" i="1"/>
  <c r="K4471" i="1"/>
  <c r="M4471" i="1"/>
  <c r="N4471" i="1"/>
  <c r="K4472" i="1"/>
  <c r="M4472" i="1"/>
  <c r="N4472" i="1"/>
  <c r="K4473" i="1"/>
  <c r="M4473" i="1"/>
  <c r="N4473" i="1"/>
  <c r="K4474" i="1"/>
  <c r="M4474" i="1"/>
  <c r="N4474" i="1"/>
  <c r="K4475" i="1"/>
  <c r="M4475" i="1"/>
  <c r="N4475" i="1"/>
  <c r="K4476" i="1"/>
  <c r="M4476" i="1"/>
  <c r="N4476" i="1"/>
  <c r="K4477" i="1"/>
  <c r="M4477" i="1"/>
  <c r="N4477" i="1"/>
  <c r="K4478" i="1"/>
  <c r="M4478" i="1"/>
  <c r="N4478" i="1"/>
  <c r="K4479" i="1"/>
  <c r="M4479" i="1"/>
  <c r="N4479" i="1"/>
  <c r="K4480" i="1"/>
  <c r="M4480" i="1"/>
  <c r="N4480" i="1"/>
  <c r="K4481" i="1"/>
  <c r="M4481" i="1"/>
  <c r="N4481" i="1"/>
  <c r="K4482" i="1"/>
  <c r="M4482" i="1"/>
  <c r="N4482" i="1"/>
  <c r="K4483" i="1"/>
  <c r="M4483" i="1"/>
  <c r="N4483" i="1"/>
  <c r="K4484" i="1"/>
  <c r="M4484" i="1"/>
  <c r="N4484" i="1"/>
  <c r="K4485" i="1"/>
  <c r="M4485" i="1"/>
  <c r="N4485" i="1"/>
  <c r="K4486" i="1"/>
  <c r="M4486" i="1"/>
  <c r="N4486" i="1"/>
  <c r="K4487" i="1"/>
  <c r="M4487" i="1"/>
  <c r="N4487" i="1"/>
  <c r="K4488" i="1"/>
  <c r="M4488" i="1"/>
  <c r="N4488" i="1"/>
  <c r="K4489" i="1"/>
  <c r="M4489" i="1"/>
  <c r="N4489" i="1"/>
  <c r="K4490" i="1"/>
  <c r="M4490" i="1"/>
  <c r="N4490" i="1"/>
  <c r="K4491" i="1"/>
  <c r="M4491" i="1"/>
  <c r="N4491" i="1"/>
  <c r="K4492" i="1"/>
  <c r="M4492" i="1"/>
  <c r="N4492" i="1"/>
  <c r="K4493" i="1"/>
  <c r="M4493" i="1"/>
  <c r="N4493" i="1"/>
  <c r="K4494" i="1"/>
  <c r="M4494" i="1"/>
  <c r="N4494" i="1"/>
  <c r="K4495" i="1"/>
  <c r="M4495" i="1"/>
  <c r="N4495" i="1"/>
  <c r="K4496" i="1"/>
  <c r="M4496" i="1"/>
  <c r="N4496" i="1"/>
  <c r="K4497" i="1"/>
  <c r="M4497" i="1"/>
  <c r="N4497" i="1"/>
  <c r="K4498" i="1"/>
  <c r="M4498" i="1"/>
  <c r="N4498" i="1"/>
  <c r="K4499" i="1"/>
  <c r="M4499" i="1"/>
  <c r="N4499" i="1"/>
  <c r="K4500" i="1"/>
  <c r="M4500" i="1"/>
  <c r="N4500" i="1"/>
  <c r="K4501" i="1"/>
  <c r="M4501" i="1"/>
  <c r="N4501" i="1"/>
  <c r="K4502" i="1"/>
  <c r="M4502" i="1"/>
  <c r="N4502" i="1"/>
  <c r="K4503" i="1"/>
  <c r="M4503" i="1"/>
  <c r="N4503" i="1"/>
  <c r="K4504" i="1"/>
  <c r="M4504" i="1"/>
  <c r="N4504" i="1"/>
  <c r="K4505" i="1"/>
  <c r="M4505" i="1"/>
  <c r="N4505" i="1"/>
  <c r="K4506" i="1"/>
  <c r="M4506" i="1"/>
  <c r="N4506" i="1"/>
  <c r="K4507" i="1"/>
  <c r="M4507" i="1"/>
  <c r="N4507" i="1"/>
  <c r="K4508" i="1"/>
  <c r="M4508" i="1"/>
  <c r="N4508" i="1"/>
  <c r="K4509" i="1"/>
  <c r="M4509" i="1"/>
  <c r="N4509" i="1"/>
  <c r="K4510" i="1"/>
  <c r="M4510" i="1"/>
  <c r="N4510" i="1"/>
  <c r="K4511" i="1"/>
  <c r="M4511" i="1"/>
  <c r="N4511" i="1"/>
  <c r="K4512" i="1"/>
  <c r="M4512" i="1"/>
  <c r="N4512" i="1"/>
  <c r="K4513" i="1"/>
  <c r="M4513" i="1"/>
  <c r="N4513" i="1"/>
  <c r="K4514" i="1"/>
  <c r="M4514" i="1"/>
  <c r="N4514" i="1"/>
  <c r="K4515" i="1"/>
  <c r="M4515" i="1"/>
  <c r="N4515" i="1"/>
  <c r="K4516" i="1"/>
  <c r="M4516" i="1"/>
  <c r="N4516" i="1"/>
  <c r="K4517" i="1"/>
  <c r="M4517" i="1"/>
  <c r="N4517" i="1"/>
  <c r="K4518" i="1"/>
  <c r="M4518" i="1"/>
  <c r="N4518" i="1"/>
  <c r="K4519" i="1"/>
  <c r="M4519" i="1"/>
  <c r="N4519" i="1"/>
  <c r="K4520" i="1"/>
  <c r="M4520" i="1"/>
  <c r="N4520" i="1"/>
  <c r="K4521" i="1"/>
  <c r="M4521" i="1"/>
  <c r="N4521" i="1"/>
  <c r="K4522" i="1"/>
  <c r="M4522" i="1"/>
  <c r="N4522" i="1"/>
  <c r="K4523" i="1"/>
  <c r="M4523" i="1"/>
  <c r="N4523" i="1"/>
  <c r="K4524" i="1"/>
  <c r="M4524" i="1"/>
  <c r="N4524" i="1"/>
  <c r="K4525" i="1"/>
  <c r="M4525" i="1"/>
  <c r="N4525" i="1"/>
  <c r="K4526" i="1"/>
  <c r="M4526" i="1"/>
  <c r="N4526" i="1"/>
  <c r="K4527" i="1"/>
  <c r="M4527" i="1"/>
  <c r="N4527" i="1"/>
  <c r="K4528" i="1"/>
  <c r="M4528" i="1"/>
  <c r="N4528" i="1"/>
  <c r="K4529" i="1"/>
  <c r="M4529" i="1"/>
  <c r="N4529" i="1"/>
  <c r="K4530" i="1"/>
  <c r="M4530" i="1"/>
  <c r="N4530" i="1"/>
  <c r="K4531" i="1"/>
  <c r="M4531" i="1"/>
  <c r="N4531" i="1"/>
  <c r="K4532" i="1"/>
  <c r="M4532" i="1"/>
  <c r="N4532" i="1"/>
  <c r="K4533" i="1"/>
  <c r="M4533" i="1"/>
  <c r="N4533" i="1"/>
  <c r="K4534" i="1"/>
  <c r="M4534" i="1"/>
  <c r="N4534" i="1"/>
  <c r="K4535" i="1"/>
  <c r="M4535" i="1"/>
  <c r="N4535" i="1"/>
  <c r="K4536" i="1"/>
  <c r="M4536" i="1"/>
  <c r="N4536" i="1"/>
  <c r="K4537" i="1"/>
  <c r="M4537" i="1"/>
  <c r="N4537" i="1"/>
  <c r="K4538" i="1"/>
  <c r="M4538" i="1"/>
  <c r="N4538" i="1"/>
  <c r="K4539" i="1"/>
  <c r="M4539" i="1"/>
  <c r="N4539" i="1"/>
  <c r="K4540" i="1"/>
  <c r="M4540" i="1"/>
  <c r="N4540" i="1"/>
  <c r="K4541" i="1"/>
  <c r="M4541" i="1"/>
  <c r="N4541" i="1"/>
  <c r="K4542" i="1"/>
  <c r="M4542" i="1"/>
  <c r="N4542" i="1"/>
  <c r="K4543" i="1"/>
  <c r="M4543" i="1"/>
  <c r="N4543" i="1"/>
  <c r="K4544" i="1"/>
  <c r="M4544" i="1"/>
  <c r="N4544" i="1"/>
  <c r="K4545" i="1"/>
  <c r="M4545" i="1"/>
  <c r="N4545" i="1"/>
  <c r="K4546" i="1"/>
  <c r="M4546" i="1"/>
  <c r="N4546" i="1"/>
  <c r="K4547" i="1"/>
  <c r="M4547" i="1"/>
  <c r="N4547" i="1"/>
  <c r="K4548" i="1"/>
  <c r="M4548" i="1"/>
  <c r="N4548" i="1"/>
  <c r="K4549" i="1"/>
  <c r="M4549" i="1"/>
  <c r="N4549" i="1"/>
  <c r="K4550" i="1"/>
  <c r="M4550" i="1"/>
  <c r="N4550" i="1"/>
  <c r="K4551" i="1"/>
  <c r="M4551" i="1"/>
  <c r="N4551" i="1"/>
  <c r="K4552" i="1"/>
  <c r="M4552" i="1"/>
  <c r="N4552" i="1"/>
  <c r="K4553" i="1"/>
  <c r="M4553" i="1"/>
  <c r="N4553" i="1"/>
  <c r="K4554" i="1"/>
  <c r="M4554" i="1"/>
  <c r="N4554" i="1"/>
  <c r="K4555" i="1"/>
  <c r="M4555" i="1"/>
  <c r="N4555" i="1"/>
  <c r="K4556" i="1"/>
  <c r="M4556" i="1"/>
  <c r="N4556" i="1"/>
  <c r="K4557" i="1"/>
  <c r="M4557" i="1"/>
  <c r="N4557" i="1"/>
  <c r="K4558" i="1"/>
  <c r="M4558" i="1"/>
  <c r="N4558" i="1"/>
  <c r="K4559" i="1"/>
  <c r="M4559" i="1"/>
  <c r="N4559" i="1"/>
  <c r="K4560" i="1"/>
  <c r="M4560" i="1"/>
  <c r="N4560" i="1"/>
  <c r="K4561" i="1"/>
  <c r="M4561" i="1"/>
  <c r="N4561" i="1"/>
  <c r="K4562" i="1"/>
  <c r="M4562" i="1"/>
  <c r="N4562" i="1"/>
  <c r="K4563" i="1"/>
  <c r="M4563" i="1"/>
  <c r="N4563" i="1"/>
  <c r="K4564" i="1"/>
  <c r="M4564" i="1"/>
  <c r="N4564" i="1"/>
  <c r="K4565" i="1"/>
  <c r="M4565" i="1"/>
  <c r="N4565" i="1"/>
  <c r="K4566" i="1"/>
  <c r="M4566" i="1"/>
  <c r="N4566" i="1"/>
  <c r="K4567" i="1"/>
  <c r="M4567" i="1"/>
  <c r="N4567" i="1"/>
  <c r="K4568" i="1"/>
  <c r="M4568" i="1"/>
  <c r="N4568" i="1"/>
  <c r="K4569" i="1"/>
  <c r="M4569" i="1"/>
  <c r="N4569" i="1"/>
  <c r="K4570" i="1"/>
  <c r="M4570" i="1"/>
  <c r="N4570" i="1"/>
  <c r="K4571" i="1"/>
  <c r="M4571" i="1"/>
  <c r="N4571" i="1"/>
  <c r="K4572" i="1"/>
  <c r="M4572" i="1"/>
  <c r="N4572" i="1"/>
  <c r="K4573" i="1"/>
  <c r="M4573" i="1"/>
  <c r="N4573" i="1"/>
  <c r="K4574" i="1"/>
  <c r="M4574" i="1"/>
  <c r="N4574" i="1"/>
  <c r="K4575" i="1"/>
  <c r="M4575" i="1"/>
  <c r="N4575" i="1"/>
  <c r="K4576" i="1"/>
  <c r="M4576" i="1"/>
  <c r="N4576" i="1"/>
  <c r="K4577" i="1"/>
  <c r="M4577" i="1"/>
  <c r="N4577" i="1"/>
  <c r="K4578" i="1"/>
  <c r="M4578" i="1"/>
  <c r="N4578" i="1"/>
  <c r="K4579" i="1"/>
  <c r="M4579" i="1"/>
  <c r="N4579" i="1"/>
  <c r="K4580" i="1"/>
  <c r="M4580" i="1"/>
  <c r="N4580" i="1"/>
  <c r="K4581" i="1"/>
  <c r="M4581" i="1"/>
  <c r="N4581" i="1"/>
  <c r="K4582" i="1"/>
  <c r="M4582" i="1"/>
  <c r="N4582" i="1"/>
  <c r="K4583" i="1"/>
  <c r="M4583" i="1"/>
  <c r="N4583" i="1"/>
</calcChain>
</file>

<file path=xl/sharedStrings.xml><?xml version="1.0" encoding="utf-8"?>
<sst xmlns="http://schemas.openxmlformats.org/spreadsheetml/2006/main" count="35384" uniqueCount="108">
  <si>
    <t>ID</t>
  </si>
  <si>
    <t>CODE_GENDER</t>
  </si>
  <si>
    <t>FLAG_OWN_CAR</t>
  </si>
  <si>
    <t>FLAG_OWN_REALTY</t>
  </si>
  <si>
    <t>CNT_CHILDREN</t>
  </si>
  <si>
    <t>AMT_INCOME_TOTAL</t>
  </si>
  <si>
    <t>NAME_INCOME_TYPE</t>
  </si>
  <si>
    <t>NAME_EDUCATION_TYPE</t>
  </si>
  <si>
    <t>NAME_FAMILY_STATUS</t>
  </si>
  <si>
    <t>NAME_HOUSING_TYPE</t>
  </si>
  <si>
    <t>DAYS_BIRTH</t>
  </si>
  <si>
    <t>DAYS_EMPLOYED</t>
  </si>
  <si>
    <t>FLAG_MOBIL</t>
  </si>
  <si>
    <t>FLAG_WORK_PHONE</t>
  </si>
  <si>
    <t>FLAG_PHONE</t>
  </si>
  <si>
    <t>FLAG_EMAIL</t>
  </si>
  <si>
    <t>OCCUPATION_TYPE</t>
  </si>
  <si>
    <t>CNT_FAM_MEMBERS</t>
  </si>
  <si>
    <t>F</t>
  </si>
  <si>
    <t>N</t>
  </si>
  <si>
    <t>Y</t>
  </si>
  <si>
    <t>Pensioner</t>
  </si>
  <si>
    <t>Higher education</t>
  </si>
  <si>
    <t>Separated</t>
  </si>
  <si>
    <t>House / apartment</t>
  </si>
  <si>
    <t>M</t>
  </si>
  <si>
    <t>Commercial associate</t>
  </si>
  <si>
    <t>Secondary / secondary special</t>
  </si>
  <si>
    <t>Married</t>
  </si>
  <si>
    <t>Laborers</t>
  </si>
  <si>
    <t>Drivers</t>
  </si>
  <si>
    <t>Working</t>
  </si>
  <si>
    <t>Managers</t>
  </si>
  <si>
    <t>Single / not married</t>
  </si>
  <si>
    <t>Rented apartment</t>
  </si>
  <si>
    <t>State servant</t>
  </si>
  <si>
    <t>Incomplete higher</t>
  </si>
  <si>
    <t>Civil marriage</t>
  </si>
  <si>
    <t>Core staff</t>
  </si>
  <si>
    <t>Sales staff</t>
  </si>
  <si>
    <t>Security staff</t>
  </si>
  <si>
    <t>With parents</t>
  </si>
  <si>
    <t>Widow</t>
  </si>
  <si>
    <t>Co-op apartment</t>
  </si>
  <si>
    <t>Accountants</t>
  </si>
  <si>
    <t>Municipal apartment</t>
  </si>
  <si>
    <t>Cleaning staff</t>
  </si>
  <si>
    <t>High skill tech staff</t>
  </si>
  <si>
    <t>Low-skill Laborers</t>
  </si>
  <si>
    <t>Private service staff</t>
  </si>
  <si>
    <t>Medicine staff</t>
  </si>
  <si>
    <t>Lower secondary</t>
  </si>
  <si>
    <t>Secretaries</t>
  </si>
  <si>
    <t>Office apartment</t>
  </si>
  <si>
    <t>Waiters/barmen staff</t>
  </si>
  <si>
    <t>Cooking staff</t>
  </si>
  <si>
    <t>IT staff</t>
  </si>
  <si>
    <t>Realty agents</t>
  </si>
  <si>
    <t>HR staff</t>
  </si>
  <si>
    <t>Student</t>
  </si>
  <si>
    <t>Academic degree</t>
  </si>
  <si>
    <t>DATE_OF_BIRTH</t>
  </si>
  <si>
    <t>AGE</t>
  </si>
  <si>
    <t>AGE_RANGE</t>
  </si>
  <si>
    <t>YEARS_EMPLOYED</t>
  </si>
  <si>
    <t>EMPLOYMENT_STATUS</t>
  </si>
  <si>
    <t>AGE RANGE</t>
  </si>
  <si>
    <t>20-30</t>
  </si>
  <si>
    <t>30-40</t>
  </si>
  <si>
    <t>40-50</t>
  </si>
  <si>
    <t>50-60</t>
  </si>
  <si>
    <t>60-70</t>
  </si>
  <si>
    <t>70-80</t>
  </si>
  <si>
    <t>10-20</t>
  </si>
  <si>
    <t>Grand Total</t>
  </si>
  <si>
    <t>Count of CODE_GENDER</t>
  </si>
  <si>
    <t>Age Group</t>
  </si>
  <si>
    <t>Average of AMT_INCOME_TOTAL</t>
  </si>
  <si>
    <t>Employed</t>
  </si>
  <si>
    <t>Unemployed</t>
  </si>
  <si>
    <t>Count of EMPLOYMENT_STATUS</t>
  </si>
  <si>
    <t>STEPS</t>
  </si>
  <si>
    <t>1)</t>
  </si>
  <si>
    <t>Explaining the data set and analysis.</t>
  </si>
  <si>
    <t>2)</t>
  </si>
  <si>
    <t>3)</t>
  </si>
  <si>
    <t>4)</t>
  </si>
  <si>
    <t>Identifying KPIs.</t>
  </si>
  <si>
    <t>Creating dashboard.</t>
  </si>
  <si>
    <t>Sharing actionable business insights.</t>
  </si>
  <si>
    <t>KPIs (Key Performance Indicators)</t>
  </si>
  <si>
    <t>Count of Gender by Age Group.</t>
  </si>
  <si>
    <t>Count of Gender by Education Status.</t>
  </si>
  <si>
    <t>Count of Employed and Unemployed.</t>
  </si>
  <si>
    <t>Average Total Income Acc to Income type and and Count of Family members.</t>
  </si>
  <si>
    <t>Employment and Unemployment according to Name Family Status.</t>
  </si>
  <si>
    <t>Count of ID</t>
  </si>
  <si>
    <t>Count of CNT_FAM_MEMBERS</t>
  </si>
  <si>
    <t>Count of Family members Acc to Housing type.</t>
  </si>
  <si>
    <t>Gender</t>
  </si>
  <si>
    <t>XYZ COMPANY</t>
  </si>
  <si>
    <t>Education type</t>
  </si>
  <si>
    <t>Employment Status</t>
  </si>
  <si>
    <t>Count of fam members</t>
  </si>
  <si>
    <t>Name Income Type</t>
  </si>
  <si>
    <t>Housing Type</t>
  </si>
  <si>
    <t>Emp Status</t>
  </si>
  <si>
    <t>Family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</si>
</sst>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8"/>
      <name val="Calibri"/>
      <family val="2"/>
      <scheme val="minor"/>
    </font>
    <font>
      <b/>
      <sz val="11"/>
      <color theme="1"/>
      <name val="Calibri"/>
      <family val="2"/>
      <scheme val="minor"/>
    </font>
    <font>
      <sz val="10"/>
      <color theme="1"/>
      <name val="Calibri"/>
      <family val="2"/>
      <scheme val="minor"/>
    </font>
    <font>
      <sz val="48"/>
      <color theme="0"/>
      <name val="Arial Black"/>
      <family val="2"/>
    </font>
  </fonts>
  <fills count="4">
    <fill>
      <patternFill patternType="none"/>
    </fill>
    <fill>
      <patternFill patternType="gray125"/>
    </fill>
    <fill>
      <patternFill patternType="solid">
        <fgColor theme="9" tint="0.39997558519241921"/>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17"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xf numFmtId="14" fontId="0" fillId="2" borderId="0" xfId="0" applyNumberFormat="1" applyFill="1"/>
    <xf numFmtId="164" fontId="0" fillId="2" borderId="0" xfId="0" applyNumberFormat="1" applyFill="1"/>
    <xf numFmtId="1" fontId="0" fillId="2" borderId="0" xfId="0" applyNumberFormat="1" applyFill="1"/>
    <xf numFmtId="0" fontId="3" fillId="0" borderId="0" xfId="0" applyFont="1"/>
    <xf numFmtId="0" fontId="2" fillId="0" borderId="1" xfId="0" applyFont="1" applyBorder="1"/>
    <xf numFmtId="0" fontId="0" fillId="0" borderId="1" xfId="0" applyBorder="1"/>
    <xf numFmtId="0" fontId="0" fillId="0" borderId="1" xfId="0" applyBorder="1" applyAlignment="1">
      <alignment horizontal="center"/>
    </xf>
    <xf numFmtId="1" fontId="0" fillId="0" borderId="1" xfId="0" applyNumberFormat="1" applyBorder="1" applyAlignment="1">
      <alignment horizontal="center"/>
    </xf>
    <xf numFmtId="49" fontId="0" fillId="0" borderId="1" xfId="0" applyNumberFormat="1" applyBorder="1" applyAlignment="1">
      <alignment horizontal="center"/>
    </xf>
    <xf numFmtId="0" fontId="0" fillId="0" borderId="0" xfId="0" applyNumberFormat="1"/>
    <xf numFmtId="0" fontId="4" fillId="3" borderId="0" xfId="0" applyFont="1" applyFill="1" applyAlignment="1">
      <alignment horizontal="center"/>
    </xf>
  </cellXfs>
  <cellStyles count="1">
    <cellStyle name="Normal" xfId="0" builtinId="0"/>
  </cellStyles>
  <dxfs count="5">
    <dxf>
      <fill>
        <patternFill patternType="solid">
          <fgColor indexed="64"/>
          <bgColor theme="9" tint="0.39997558519241921"/>
        </patternFill>
      </fill>
    </dxf>
    <dxf>
      <numFmt numFmtId="1" formatCode="0"/>
      <fill>
        <patternFill patternType="solid">
          <fgColor indexed="64"/>
          <bgColor theme="9" tint="0.39997558519241921"/>
        </patternFill>
      </fill>
    </dxf>
    <dxf>
      <fill>
        <patternFill patternType="solid">
          <fgColor indexed="64"/>
          <bgColor theme="9" tint="0.39997558519241921"/>
        </patternFill>
      </fill>
    </dxf>
    <dxf>
      <numFmt numFmtId="164" formatCode="0.0"/>
      <fill>
        <patternFill patternType="solid">
          <fgColor indexed="64"/>
          <bgColor theme="9" tint="0.39997558519241921"/>
        </patternFill>
      </fill>
    </dxf>
    <dxf>
      <numFmt numFmtId="19" formatCode="dd/mm/yyyy"/>
      <fill>
        <patternFill patternType="solid">
          <fgColor indexed="64"/>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microsoft.com/office/2007/relationships/slicerCache" Target="slicerCaches/slicerCache2.xml" /><Relationship Id="rId18" Type="http://schemas.microsoft.com/office/2007/relationships/slicerCache" Target="slicerCaches/slicerCache7.xml" /><Relationship Id="rId3" Type="http://schemas.openxmlformats.org/officeDocument/2006/relationships/worksheet" Target="worksheets/sheet3.xml" /><Relationship Id="rId21" Type="http://schemas.openxmlformats.org/officeDocument/2006/relationships/styles" Target="styles.xml" /><Relationship Id="rId7" Type="http://schemas.openxmlformats.org/officeDocument/2006/relationships/worksheet" Target="worksheets/sheet7.xml" /><Relationship Id="rId12" Type="http://schemas.microsoft.com/office/2007/relationships/slicerCache" Target="slicerCaches/slicerCache1.xml" /><Relationship Id="rId17" Type="http://schemas.microsoft.com/office/2007/relationships/slicerCache" Target="slicerCaches/slicerCache6.xml" /><Relationship Id="rId2" Type="http://schemas.openxmlformats.org/officeDocument/2006/relationships/worksheet" Target="worksheets/sheet2.xml" /><Relationship Id="rId16" Type="http://schemas.microsoft.com/office/2007/relationships/slicerCache" Target="slicerCaches/slicerCache5.xml" /><Relationship Id="rId20"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1.xml" /><Relationship Id="rId5" Type="http://schemas.openxmlformats.org/officeDocument/2006/relationships/worksheet" Target="worksheets/sheet5.xml" /><Relationship Id="rId15" Type="http://schemas.microsoft.com/office/2007/relationships/slicerCache" Target="slicerCaches/slicerCache4.xml" /><Relationship Id="rId23" Type="http://schemas.openxmlformats.org/officeDocument/2006/relationships/calcChain" Target="calcChain.xml" /><Relationship Id="rId10" Type="http://schemas.openxmlformats.org/officeDocument/2006/relationships/worksheet" Target="worksheets/sheet10.xml" /><Relationship Id="rId19" Type="http://schemas.microsoft.com/office/2007/relationships/slicerCache" Target="slicerCaches/slicerCache8.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07/relationships/slicerCache" Target="slicerCaches/slicerCache3.xml" /><Relationship Id="rId22"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1'!$B$3:$B$4</c:f>
              <c:strCache>
                <c:ptCount val="1"/>
                <c:pt idx="0">
                  <c:v>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1'!$A$5:$A$10</c:f>
              <c:strCache>
                <c:ptCount val="5"/>
                <c:pt idx="0">
                  <c:v>20-30</c:v>
                </c:pt>
                <c:pt idx="1">
                  <c:v>30-40</c:v>
                </c:pt>
                <c:pt idx="2">
                  <c:v>40-50</c:v>
                </c:pt>
                <c:pt idx="3">
                  <c:v>50-60</c:v>
                </c:pt>
                <c:pt idx="4">
                  <c:v>60-70</c:v>
                </c:pt>
              </c:strCache>
            </c:strRef>
          </c:cat>
          <c:val>
            <c:numRef>
              <c:f>'Pivot table 1'!$B$5:$B$10</c:f>
              <c:numCache>
                <c:formatCode>General</c:formatCode>
                <c:ptCount val="5"/>
                <c:pt idx="0">
                  <c:v>314</c:v>
                </c:pt>
                <c:pt idx="1">
                  <c:v>863</c:v>
                </c:pt>
                <c:pt idx="2">
                  <c:v>789</c:v>
                </c:pt>
                <c:pt idx="3">
                  <c:v>757</c:v>
                </c:pt>
                <c:pt idx="4">
                  <c:v>351</c:v>
                </c:pt>
              </c:numCache>
            </c:numRef>
          </c:val>
          <c:extLst>
            <c:ext xmlns:c16="http://schemas.microsoft.com/office/drawing/2014/chart" uri="{C3380CC4-5D6E-409C-BE32-E72D297353CC}">
              <c16:uniqueId val="{00000000-50AD-4D0D-BDE8-52FB6D3D6471}"/>
            </c:ext>
          </c:extLst>
        </c:ser>
        <c:ser>
          <c:idx val="1"/>
          <c:order val="1"/>
          <c:tx>
            <c:strRef>
              <c:f>'Pivot table 1'!$C$3:$C$4</c:f>
              <c:strCache>
                <c:ptCount val="1"/>
                <c:pt idx="0">
                  <c:v>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1'!$A$5:$A$10</c:f>
              <c:strCache>
                <c:ptCount val="5"/>
                <c:pt idx="0">
                  <c:v>20-30</c:v>
                </c:pt>
                <c:pt idx="1">
                  <c:v>30-40</c:v>
                </c:pt>
                <c:pt idx="2">
                  <c:v>40-50</c:v>
                </c:pt>
                <c:pt idx="3">
                  <c:v>50-60</c:v>
                </c:pt>
                <c:pt idx="4">
                  <c:v>60-70</c:v>
                </c:pt>
              </c:strCache>
            </c:strRef>
          </c:cat>
          <c:val>
            <c:numRef>
              <c:f>'Pivot table 1'!$C$5:$C$10</c:f>
              <c:numCache>
                <c:formatCode>General</c:formatCode>
                <c:ptCount val="5"/>
                <c:pt idx="0">
                  <c:v>326</c:v>
                </c:pt>
                <c:pt idx="1">
                  <c:v>465</c:v>
                </c:pt>
                <c:pt idx="2">
                  <c:v>392</c:v>
                </c:pt>
                <c:pt idx="3">
                  <c:v>241</c:v>
                </c:pt>
                <c:pt idx="4">
                  <c:v>84</c:v>
                </c:pt>
              </c:numCache>
            </c:numRef>
          </c:val>
          <c:extLst>
            <c:ext xmlns:c16="http://schemas.microsoft.com/office/drawing/2014/chart" uri="{C3380CC4-5D6E-409C-BE32-E72D297353CC}">
              <c16:uniqueId val="{00000000-799C-4E5A-8985-C376625E3AD1}"/>
            </c:ext>
          </c:extLst>
        </c:ser>
        <c:dLbls>
          <c:showLegendKey val="0"/>
          <c:showVal val="0"/>
          <c:showCatName val="0"/>
          <c:showSerName val="0"/>
          <c:showPercent val="0"/>
          <c:showBubbleSize val="0"/>
        </c:dLbls>
        <c:gapWidth val="100"/>
        <c:overlap val="-24"/>
        <c:axId val="1375032031"/>
        <c:axId val="1375031071"/>
      </c:barChart>
      <c:catAx>
        <c:axId val="1375032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31071"/>
        <c:crosses val="autoZero"/>
        <c:auto val="1"/>
        <c:lblAlgn val="ctr"/>
        <c:lblOffset val="100"/>
        <c:noMultiLvlLbl val="0"/>
      </c:catAx>
      <c:valAx>
        <c:axId val="137503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3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Gender by Education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0482148635530155E-2"/>
              <c:y val="-2.7832458442694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 2'!$B$4:$B$5</c:f>
              <c:strCache>
                <c:ptCount val="1"/>
                <c:pt idx="0">
                  <c:v>F</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6AC-4734-BF66-1E2ADC2885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6AC-4734-BF66-1E2ADC2885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6AC-4734-BF66-1E2ADC2885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C-782A-46D1-B7CF-0570346A74A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66AC-4734-BF66-1E2ADC288532}"/>
              </c:ext>
            </c:extLst>
          </c:dPt>
          <c:dLbls>
            <c:dLbl>
              <c:idx val="3"/>
              <c:layout>
                <c:manualLayout>
                  <c:x val="-9.0482148635530155E-2"/>
                  <c:y val="-2.78324584426946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82A-46D1-B7CF-0570346A74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 2'!$A$6:$A$11</c:f>
              <c:strCache>
                <c:ptCount val="5"/>
                <c:pt idx="0">
                  <c:v>Academic degree</c:v>
                </c:pt>
                <c:pt idx="1">
                  <c:v>Higher education</c:v>
                </c:pt>
                <c:pt idx="2">
                  <c:v>Incomplete higher</c:v>
                </c:pt>
                <c:pt idx="3">
                  <c:v>Lower secondary</c:v>
                </c:pt>
                <c:pt idx="4">
                  <c:v>Secondary / secondary special</c:v>
                </c:pt>
              </c:strCache>
            </c:strRef>
          </c:cat>
          <c:val>
            <c:numRef>
              <c:f>'Pivot table 2'!$B$6:$B$11</c:f>
              <c:numCache>
                <c:formatCode>General</c:formatCode>
                <c:ptCount val="5"/>
                <c:pt idx="0">
                  <c:v>4</c:v>
                </c:pt>
                <c:pt idx="1">
                  <c:v>852</c:v>
                </c:pt>
                <c:pt idx="2">
                  <c:v>106</c:v>
                </c:pt>
                <c:pt idx="3">
                  <c:v>40</c:v>
                </c:pt>
                <c:pt idx="4">
                  <c:v>2072</c:v>
                </c:pt>
              </c:numCache>
            </c:numRef>
          </c:val>
          <c:extLst>
            <c:ext xmlns:c16="http://schemas.microsoft.com/office/drawing/2014/chart" uri="{C3380CC4-5D6E-409C-BE32-E72D297353CC}">
              <c16:uniqueId val="{00000000-782A-46D1-B7CF-0570346A74AD}"/>
            </c:ext>
          </c:extLst>
        </c:ser>
        <c:ser>
          <c:idx val="1"/>
          <c:order val="1"/>
          <c:tx>
            <c:strRef>
              <c:f>'Pivot table 2'!$C$4:$C$5</c:f>
              <c:strCache>
                <c:ptCount val="1"/>
                <c:pt idx="0">
                  <c:v>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B-3A9A-4402-9A4A-21256E5EF8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D-3A9A-4402-9A4A-21256E5EF8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F-3A9A-4402-9A4A-21256E5EF8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1-3A9A-4402-9A4A-21256E5EF84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3-3A9A-4402-9A4A-21256E5EF8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 2'!$A$6:$A$11</c:f>
              <c:strCache>
                <c:ptCount val="5"/>
                <c:pt idx="0">
                  <c:v>Academic degree</c:v>
                </c:pt>
                <c:pt idx="1">
                  <c:v>Higher education</c:v>
                </c:pt>
                <c:pt idx="2">
                  <c:v>Incomplete higher</c:v>
                </c:pt>
                <c:pt idx="3">
                  <c:v>Lower secondary</c:v>
                </c:pt>
                <c:pt idx="4">
                  <c:v>Secondary / secondary special</c:v>
                </c:pt>
              </c:strCache>
            </c:strRef>
          </c:cat>
          <c:val>
            <c:numRef>
              <c:f>'Pivot table 2'!$C$6:$C$11</c:f>
              <c:numCache>
                <c:formatCode>General</c:formatCode>
                <c:ptCount val="5"/>
                <c:pt idx="1">
                  <c:v>387</c:v>
                </c:pt>
                <c:pt idx="2">
                  <c:v>75</c:v>
                </c:pt>
                <c:pt idx="3">
                  <c:v>14</c:v>
                </c:pt>
                <c:pt idx="4">
                  <c:v>1032</c:v>
                </c:pt>
              </c:numCache>
            </c:numRef>
          </c:val>
          <c:extLst>
            <c:ext xmlns:c16="http://schemas.microsoft.com/office/drawing/2014/chart" uri="{C3380CC4-5D6E-409C-BE32-E72D297353CC}">
              <c16:uniqueId val="{00000014-8DEA-4743-9009-593F02B712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643835616438358"/>
          <c:y val="0.27683872849227181"/>
          <c:w val="0.33333333333333331"/>
          <c:h val="0.60372958588509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table_3!PivotTable5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Employment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table_3'!$B$3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DE7C-494B-A1C0-84CD7BAD1F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DA1-425C-8EF2-B7E1CF620B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table_3'!$A$4:$A$6</c:f>
              <c:strCache>
                <c:ptCount val="2"/>
                <c:pt idx="0">
                  <c:v>Employed</c:v>
                </c:pt>
                <c:pt idx="1">
                  <c:v>Unemployed</c:v>
                </c:pt>
              </c:strCache>
            </c:strRef>
          </c:cat>
          <c:val>
            <c:numRef>
              <c:f>'Pivot table_3'!$B$4:$B$6</c:f>
              <c:numCache>
                <c:formatCode>General</c:formatCode>
                <c:ptCount val="2"/>
                <c:pt idx="0">
                  <c:v>3854</c:v>
                </c:pt>
                <c:pt idx="1">
                  <c:v>728</c:v>
                </c:pt>
              </c:numCache>
            </c:numRef>
          </c:val>
          <c:extLst>
            <c:ext xmlns:c16="http://schemas.microsoft.com/office/drawing/2014/chart" uri="{C3380CC4-5D6E-409C-BE32-E72D297353CC}">
              <c16:uniqueId val="{00000000-DE7C-494B-A1C0-84CD7BAD1F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4!PivotTable6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200" b="1"/>
              <a:t>Avg</a:t>
            </a:r>
            <a:r>
              <a:rPr lang="en-IN" sz="1200" b="1" baseline="0"/>
              <a:t> Total Inc acc to Inc type and family members</a:t>
            </a:r>
            <a:endParaRPr lang="en-IN" sz="1200" b="1"/>
          </a:p>
        </c:rich>
      </c:tx>
      <c:layout>
        <c:manualLayout>
          <c:xMode val="edge"/>
          <c:yMode val="edge"/>
          <c:x val="0.13428477690288715"/>
          <c:y val="0.11472003499562555"/>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4'!$B$3:$B$4</c:f>
              <c:strCache>
                <c:ptCount val="1"/>
                <c:pt idx="0">
                  <c:v>1</c:v>
                </c:pt>
              </c:strCache>
            </c:strRef>
          </c:tx>
          <c:spPr>
            <a:solidFill>
              <a:schemeClr val="accent1"/>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4'!$B$5:$B$10</c:f>
              <c:numCache>
                <c:formatCode>General</c:formatCode>
                <c:ptCount val="5"/>
                <c:pt idx="0">
                  <c:v>222994.34293193716</c:v>
                </c:pt>
                <c:pt idx="1">
                  <c:v>148699.75609756098</c:v>
                </c:pt>
                <c:pt idx="2">
                  <c:v>191700</c:v>
                </c:pt>
                <c:pt idx="4">
                  <c:v>179637.8672985782</c:v>
                </c:pt>
              </c:numCache>
            </c:numRef>
          </c:val>
          <c:extLst>
            <c:ext xmlns:c16="http://schemas.microsoft.com/office/drawing/2014/chart" uri="{C3380CC4-5D6E-409C-BE32-E72D297353CC}">
              <c16:uniqueId val="{00000000-1806-4466-813B-0D98EF1E91D7}"/>
            </c:ext>
          </c:extLst>
        </c:ser>
        <c:ser>
          <c:idx val="1"/>
          <c:order val="1"/>
          <c:tx>
            <c:strRef>
              <c:f>'Pivot table 4'!$C$3:$C$4</c:f>
              <c:strCache>
                <c:ptCount val="1"/>
                <c:pt idx="0">
                  <c:v>2</c:v>
                </c:pt>
              </c:strCache>
            </c:strRef>
          </c:tx>
          <c:spPr>
            <a:solidFill>
              <a:schemeClr val="accent2"/>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4'!$C$5:$C$10</c:f>
              <c:numCache>
                <c:formatCode>General</c:formatCode>
                <c:ptCount val="5"/>
                <c:pt idx="0">
                  <c:v>215747.7940140845</c:v>
                </c:pt>
                <c:pt idx="1">
                  <c:v>144677</c:v>
                </c:pt>
                <c:pt idx="2">
                  <c:v>200086.14285714287</c:v>
                </c:pt>
                <c:pt idx="4">
                  <c:v>187060.03648068669</c:v>
                </c:pt>
              </c:numCache>
            </c:numRef>
          </c:val>
          <c:extLst>
            <c:ext xmlns:c16="http://schemas.microsoft.com/office/drawing/2014/chart" uri="{C3380CC4-5D6E-409C-BE32-E72D297353CC}">
              <c16:uniqueId val="{00000010-1806-4466-813B-0D98EF1E91D7}"/>
            </c:ext>
          </c:extLst>
        </c:ser>
        <c:ser>
          <c:idx val="2"/>
          <c:order val="2"/>
          <c:tx>
            <c:strRef>
              <c:f>'Pivot table 4'!$D$3:$D$4</c:f>
              <c:strCache>
                <c:ptCount val="1"/>
                <c:pt idx="0">
                  <c:v>3</c:v>
                </c:pt>
              </c:strCache>
            </c:strRef>
          </c:tx>
          <c:spPr>
            <a:solidFill>
              <a:schemeClr val="accent3"/>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4'!$D$5:$D$10</c:f>
              <c:numCache>
                <c:formatCode>General</c:formatCode>
                <c:ptCount val="5"/>
                <c:pt idx="0">
                  <c:v>210988.125</c:v>
                </c:pt>
                <c:pt idx="1">
                  <c:v>167135.29411764705</c:v>
                </c:pt>
                <c:pt idx="2">
                  <c:v>217269.23076923078</c:v>
                </c:pt>
                <c:pt idx="3">
                  <c:v>112500</c:v>
                </c:pt>
                <c:pt idx="4">
                  <c:v>183282.13552361395</c:v>
                </c:pt>
              </c:numCache>
            </c:numRef>
          </c:val>
          <c:extLst>
            <c:ext xmlns:c16="http://schemas.microsoft.com/office/drawing/2014/chart" uri="{C3380CC4-5D6E-409C-BE32-E72D297353CC}">
              <c16:uniqueId val="{00000011-1806-4466-813B-0D98EF1E91D7}"/>
            </c:ext>
          </c:extLst>
        </c:ser>
        <c:ser>
          <c:idx val="3"/>
          <c:order val="3"/>
          <c:tx>
            <c:strRef>
              <c:f>'Pivot table 4'!$E$3:$E$4</c:f>
              <c:strCache>
                <c:ptCount val="1"/>
                <c:pt idx="0">
                  <c:v>4</c:v>
                </c:pt>
              </c:strCache>
            </c:strRef>
          </c:tx>
          <c:spPr>
            <a:solidFill>
              <a:schemeClr val="accent4"/>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4'!$E$5:$E$10</c:f>
              <c:numCache>
                <c:formatCode>General</c:formatCode>
                <c:ptCount val="5"/>
                <c:pt idx="0">
                  <c:v>191927.4193548387</c:v>
                </c:pt>
                <c:pt idx="1">
                  <c:v>111500</c:v>
                </c:pt>
                <c:pt idx="2">
                  <c:v>232402.5</c:v>
                </c:pt>
                <c:pt idx="4">
                  <c:v>177390</c:v>
                </c:pt>
              </c:numCache>
            </c:numRef>
          </c:val>
          <c:extLst>
            <c:ext xmlns:c16="http://schemas.microsoft.com/office/drawing/2014/chart" uri="{C3380CC4-5D6E-409C-BE32-E72D297353CC}">
              <c16:uniqueId val="{00000012-1806-4466-813B-0D98EF1E91D7}"/>
            </c:ext>
          </c:extLst>
        </c:ser>
        <c:ser>
          <c:idx val="4"/>
          <c:order val="4"/>
          <c:tx>
            <c:strRef>
              <c:f>'Pivot table 4'!$F$3:$F$4</c:f>
              <c:strCache>
                <c:ptCount val="1"/>
                <c:pt idx="0">
                  <c:v>5</c:v>
                </c:pt>
              </c:strCache>
            </c:strRef>
          </c:tx>
          <c:spPr>
            <a:solidFill>
              <a:schemeClr val="accent5"/>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4'!$F$5:$F$10</c:f>
              <c:numCache>
                <c:formatCode>General</c:formatCode>
                <c:ptCount val="5"/>
                <c:pt idx="0">
                  <c:v>127350</c:v>
                </c:pt>
                <c:pt idx="1">
                  <c:v>292500</c:v>
                </c:pt>
                <c:pt idx="2">
                  <c:v>123500</c:v>
                </c:pt>
                <c:pt idx="4">
                  <c:v>158958.62068965516</c:v>
                </c:pt>
              </c:numCache>
            </c:numRef>
          </c:val>
          <c:extLst>
            <c:ext xmlns:c16="http://schemas.microsoft.com/office/drawing/2014/chart" uri="{C3380CC4-5D6E-409C-BE32-E72D297353CC}">
              <c16:uniqueId val="{00000013-1806-4466-813B-0D98EF1E91D7}"/>
            </c:ext>
          </c:extLst>
        </c:ser>
        <c:ser>
          <c:idx val="5"/>
          <c:order val="5"/>
          <c:tx>
            <c:strRef>
              <c:f>'Pivot table 4'!$G$3:$G$4</c:f>
              <c:strCache>
                <c:ptCount val="1"/>
                <c:pt idx="0">
                  <c:v>6</c:v>
                </c:pt>
              </c:strCache>
            </c:strRef>
          </c:tx>
          <c:spPr>
            <a:solidFill>
              <a:schemeClr val="accent6"/>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4'!$G$5:$G$10</c:f>
              <c:numCache>
                <c:formatCode>General</c:formatCode>
                <c:ptCount val="5"/>
                <c:pt idx="0">
                  <c:v>150000</c:v>
                </c:pt>
                <c:pt idx="2">
                  <c:v>202500</c:v>
                </c:pt>
                <c:pt idx="4">
                  <c:v>162000</c:v>
                </c:pt>
              </c:numCache>
            </c:numRef>
          </c:val>
          <c:extLst>
            <c:ext xmlns:c16="http://schemas.microsoft.com/office/drawing/2014/chart" uri="{C3380CC4-5D6E-409C-BE32-E72D297353CC}">
              <c16:uniqueId val="{00000000-0E3C-4247-BBD7-4533A4EABB27}"/>
            </c:ext>
          </c:extLst>
        </c:ser>
        <c:ser>
          <c:idx val="6"/>
          <c:order val="6"/>
          <c:tx>
            <c:strRef>
              <c:f>'Pivot table 4'!$H$3:$H$4</c:f>
              <c:strCache>
                <c:ptCount val="1"/>
                <c:pt idx="0">
                  <c:v>7</c:v>
                </c:pt>
              </c:strCache>
            </c:strRef>
          </c:tx>
          <c:spPr>
            <a:solidFill>
              <a:schemeClr val="accent1">
                <a:lumMod val="60000"/>
              </a:schemeClr>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4'!$H$5:$H$10</c:f>
              <c:numCache>
                <c:formatCode>General</c:formatCode>
                <c:ptCount val="5"/>
                <c:pt idx="4">
                  <c:v>135000</c:v>
                </c:pt>
              </c:numCache>
            </c:numRef>
          </c:val>
          <c:extLst>
            <c:ext xmlns:c16="http://schemas.microsoft.com/office/drawing/2014/chart" uri="{C3380CC4-5D6E-409C-BE32-E72D297353CC}">
              <c16:uniqueId val="{00000001-0E3C-4247-BBD7-4533A4EABB27}"/>
            </c:ext>
          </c:extLst>
        </c:ser>
        <c:dLbls>
          <c:showLegendKey val="0"/>
          <c:showVal val="0"/>
          <c:showCatName val="0"/>
          <c:showSerName val="0"/>
          <c:showPercent val="0"/>
          <c:showBubbleSize val="0"/>
        </c:dLbls>
        <c:gapWidth val="269"/>
        <c:overlap val="-20"/>
        <c:axId val="1421688256"/>
        <c:axId val="1421687296"/>
      </c:barChart>
      <c:catAx>
        <c:axId val="1421688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21687296"/>
        <c:crosses val="autoZero"/>
        <c:auto val="1"/>
        <c:lblAlgn val="ctr"/>
        <c:lblOffset val="100"/>
        <c:noMultiLvlLbl val="0"/>
      </c:catAx>
      <c:valAx>
        <c:axId val="142168729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688256"/>
        <c:crosses val="autoZero"/>
        <c:crossBetween val="between"/>
      </c:valAx>
      <c:spPr>
        <a:noFill/>
        <a:ln>
          <a:noFill/>
        </a:ln>
        <a:effectLst/>
      </c:spPr>
    </c:plotArea>
    <c:legend>
      <c:legendPos val="r"/>
      <c:layout>
        <c:manualLayout>
          <c:xMode val="edge"/>
          <c:yMode val="edge"/>
          <c:x val="0.72291666666666665"/>
          <c:y val="0.2016761446485856"/>
          <c:w val="0.24097222222222223"/>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[UNP_PROJECT_BI_WITH_MS_EXCEL_CUSTOMER_CREDIT_CARD_DATA.xlsx]Pivot table 5!PivotTable2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Family members acc to Housing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4.8944444444444499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4.738888888888889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3.7055555555555605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3.905555555555555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3.9055555555555559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4.2611111111111113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Pt>
            <c:idx val="0"/>
            <c:marker>
              <c:symbol val="circle"/>
              <c:size val="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1-3EAA-4AFC-9CAC-6C55087AE30D}"/>
              </c:ext>
            </c:extLst>
          </c:dPt>
          <c:dPt>
            <c:idx val="1"/>
            <c:marker>
              <c:symbol val="circle"/>
              <c:size val="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0-3EAA-4AFC-9CAC-6C55087AE30D}"/>
              </c:ext>
            </c:extLst>
          </c:dPt>
          <c:dPt>
            <c:idx val="2"/>
            <c:marker>
              <c:symbol val="circle"/>
              <c:size val="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2-3EAA-4AFC-9CAC-6C55087AE30D}"/>
              </c:ext>
            </c:extLst>
          </c:dPt>
          <c:dPt>
            <c:idx val="3"/>
            <c:marker>
              <c:symbol val="circle"/>
              <c:size val="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3-3EAA-4AFC-9CAC-6C55087AE30D}"/>
              </c:ext>
            </c:extLst>
          </c:dPt>
          <c:dPt>
            <c:idx val="4"/>
            <c:marker>
              <c:symbol val="circle"/>
              <c:size val="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4-3EAA-4AFC-9CAC-6C55087AE30D}"/>
              </c:ext>
            </c:extLst>
          </c:dPt>
          <c:dPt>
            <c:idx val="5"/>
            <c:marker>
              <c:symbol val="circle"/>
              <c:size val="5"/>
              <c:spPr>
                <a:solidFill>
                  <a:schemeClr val="dk1">
                    <a:tint val="88500"/>
                  </a:schemeClr>
                </a:solidFill>
                <a:ln w="9525">
                  <a:solidFill>
                    <a:schemeClr val="dk1">
                      <a:tint val="88500"/>
                    </a:schemeClr>
                  </a:solidFill>
                </a:ln>
                <a:effectLst/>
              </c:spPr>
            </c:marker>
            <c:bubble3D val="0"/>
            <c:extLst>
              <c:ext xmlns:c16="http://schemas.microsoft.com/office/drawing/2014/chart" uri="{C3380CC4-5D6E-409C-BE32-E72D297353CC}">
                <c16:uniqueId val="{00000005-3EAA-4AFC-9CAC-6C55087AE30D}"/>
              </c:ext>
            </c:extLst>
          </c:dPt>
          <c:dLbls>
            <c:dLbl>
              <c:idx val="0"/>
              <c:layout>
                <c:manualLayout>
                  <c:x val="-4.738888888888889E-2"/>
                  <c:y val="-4.16666666666667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AA-4AFC-9CAC-6C55087AE30D}"/>
                </c:ext>
              </c:extLst>
            </c:dLbl>
            <c:dLbl>
              <c:idx val="1"/>
              <c:layout>
                <c:manualLayout>
                  <c:x val="-4.8944444444444499E-2"/>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AA-4AFC-9CAC-6C55087AE30D}"/>
                </c:ext>
              </c:extLst>
            </c:dLbl>
            <c:dLbl>
              <c:idx val="2"/>
              <c:layout>
                <c:manualLayout>
                  <c:x val="-3.7055555555555605E-2"/>
                  <c:y val="-6.0185185185185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AA-4AFC-9CAC-6C55087AE30D}"/>
                </c:ext>
              </c:extLst>
            </c:dLbl>
            <c:dLbl>
              <c:idx val="3"/>
              <c:layout>
                <c:manualLayout>
                  <c:x val="-3.9055555555555559E-2"/>
                  <c:y val="-3.2407407407407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AA-4AFC-9CAC-6C55087AE30D}"/>
                </c:ext>
              </c:extLst>
            </c:dLbl>
            <c:dLbl>
              <c:idx val="4"/>
              <c:layout>
                <c:manualLayout>
                  <c:x val="-3.9055555555555559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AA-4AFC-9CAC-6C55087AE30D}"/>
                </c:ext>
              </c:extLst>
            </c:dLbl>
            <c:dLbl>
              <c:idx val="5"/>
              <c:layout>
                <c:manualLayout>
                  <c:x val="-4.2611111111111113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AA-4AFC-9CAC-6C55087AE3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5'!$A$4:$A$10</c:f>
              <c:strCache>
                <c:ptCount val="6"/>
                <c:pt idx="0">
                  <c:v>Co-op apartment</c:v>
                </c:pt>
                <c:pt idx="1">
                  <c:v>House / apartment</c:v>
                </c:pt>
                <c:pt idx="2">
                  <c:v>Municipal apartment</c:v>
                </c:pt>
                <c:pt idx="3">
                  <c:v>Office apartment</c:v>
                </c:pt>
                <c:pt idx="4">
                  <c:v>Rented apartment</c:v>
                </c:pt>
                <c:pt idx="5">
                  <c:v>With parents</c:v>
                </c:pt>
              </c:strCache>
            </c:strRef>
          </c:cat>
          <c:val>
            <c:numRef>
              <c:f>'Pivot table 5'!$B$4:$B$10</c:f>
              <c:numCache>
                <c:formatCode>General</c:formatCode>
                <c:ptCount val="6"/>
                <c:pt idx="0">
                  <c:v>23</c:v>
                </c:pt>
                <c:pt idx="1">
                  <c:v>4081</c:v>
                </c:pt>
                <c:pt idx="2">
                  <c:v>144</c:v>
                </c:pt>
                <c:pt idx="3">
                  <c:v>36</c:v>
                </c:pt>
                <c:pt idx="4">
                  <c:v>78</c:v>
                </c:pt>
                <c:pt idx="5">
                  <c:v>220</c:v>
                </c:pt>
              </c:numCache>
            </c:numRef>
          </c:val>
          <c:smooth val="0"/>
          <c:extLst>
            <c:ext xmlns:c16="http://schemas.microsoft.com/office/drawing/2014/chart" uri="{C3380CC4-5D6E-409C-BE32-E72D297353CC}">
              <c16:uniqueId val="{00000000-BB32-4C79-8097-513DA9456553}"/>
            </c:ext>
          </c:extLst>
        </c:ser>
        <c:dLbls>
          <c:dLblPos val="ctr"/>
          <c:showLegendKey val="0"/>
          <c:showVal val="1"/>
          <c:showCatName val="0"/>
          <c:showSerName val="0"/>
          <c:showPercent val="0"/>
          <c:showBubbleSize val="0"/>
        </c:dLbls>
        <c:marker val="1"/>
        <c:smooth val="0"/>
        <c:axId val="1426240848"/>
        <c:axId val="1426237968"/>
      </c:lineChart>
      <c:catAx>
        <c:axId val="14262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37968"/>
        <c:crosses val="autoZero"/>
        <c:auto val="1"/>
        <c:lblAlgn val="ctr"/>
        <c:lblOffset val="100"/>
        <c:noMultiLvlLbl val="0"/>
      </c:catAx>
      <c:valAx>
        <c:axId val="142623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6!PivotTable7</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Emp</a:t>
            </a:r>
            <a:r>
              <a:rPr lang="en-IN" baseline="0"/>
              <a:t> status acc to family status</a:t>
            </a:r>
            <a:endParaRPr lang="en-IN"/>
          </a:p>
        </c:rich>
      </c:tx>
      <c:layout>
        <c:manualLayout>
          <c:xMode val="edge"/>
          <c:yMode val="edge"/>
          <c:x val="0.39136720933835362"/>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6'!$B$3:$B$4</c:f>
              <c:strCache>
                <c:ptCount val="1"/>
                <c:pt idx="0">
                  <c:v>Employed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6'!$A$5:$A$10</c:f>
              <c:strCache>
                <c:ptCount val="5"/>
                <c:pt idx="0">
                  <c:v>Civil marriage</c:v>
                </c:pt>
                <c:pt idx="1">
                  <c:v>Married</c:v>
                </c:pt>
                <c:pt idx="2">
                  <c:v>Separated</c:v>
                </c:pt>
                <c:pt idx="3">
                  <c:v>Single / not married</c:v>
                </c:pt>
                <c:pt idx="4">
                  <c:v>Widow</c:v>
                </c:pt>
              </c:strCache>
            </c:strRef>
          </c:cat>
          <c:val>
            <c:numRef>
              <c:f>'Pivot table 6'!$B$5:$B$10</c:f>
              <c:numCache>
                <c:formatCode>General</c:formatCode>
                <c:ptCount val="5"/>
                <c:pt idx="0">
                  <c:v>328</c:v>
                </c:pt>
                <c:pt idx="1">
                  <c:v>2681</c:v>
                </c:pt>
                <c:pt idx="2">
                  <c:v>189</c:v>
                </c:pt>
                <c:pt idx="3">
                  <c:v>556</c:v>
                </c:pt>
                <c:pt idx="4">
                  <c:v>100</c:v>
                </c:pt>
              </c:numCache>
            </c:numRef>
          </c:val>
          <c:extLst>
            <c:ext xmlns:c16="http://schemas.microsoft.com/office/drawing/2014/chart" uri="{C3380CC4-5D6E-409C-BE32-E72D297353CC}">
              <c16:uniqueId val="{00000000-F495-4894-91F6-CC4774B4C9A4}"/>
            </c:ext>
          </c:extLst>
        </c:ser>
        <c:ser>
          <c:idx val="1"/>
          <c:order val="1"/>
          <c:tx>
            <c:strRef>
              <c:f>'Pivot table 6'!$C$3:$C$4</c:f>
              <c:strCache>
                <c:ptCount val="1"/>
                <c:pt idx="0">
                  <c:v>Unemployed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6'!$A$5:$A$10</c:f>
              <c:strCache>
                <c:ptCount val="5"/>
                <c:pt idx="0">
                  <c:v>Civil marriage</c:v>
                </c:pt>
                <c:pt idx="1">
                  <c:v>Married</c:v>
                </c:pt>
                <c:pt idx="2">
                  <c:v>Separated</c:v>
                </c:pt>
                <c:pt idx="3">
                  <c:v>Single / not married</c:v>
                </c:pt>
                <c:pt idx="4">
                  <c:v>Widow</c:v>
                </c:pt>
              </c:strCache>
            </c:strRef>
          </c:cat>
          <c:val>
            <c:numRef>
              <c:f>'Pivot table 6'!$C$5:$C$10</c:f>
              <c:numCache>
                <c:formatCode>General</c:formatCode>
                <c:ptCount val="5"/>
                <c:pt idx="0">
                  <c:v>39</c:v>
                </c:pt>
                <c:pt idx="1">
                  <c:v>484</c:v>
                </c:pt>
                <c:pt idx="2">
                  <c:v>31</c:v>
                </c:pt>
                <c:pt idx="3">
                  <c:v>75</c:v>
                </c:pt>
                <c:pt idx="4">
                  <c:v>99</c:v>
                </c:pt>
              </c:numCache>
            </c:numRef>
          </c:val>
          <c:extLst>
            <c:ext xmlns:c16="http://schemas.microsoft.com/office/drawing/2014/chart" uri="{C3380CC4-5D6E-409C-BE32-E72D297353CC}">
              <c16:uniqueId val="{00000001-CAAA-47E1-8945-C72189FF9AAB}"/>
            </c:ext>
          </c:extLst>
        </c:ser>
        <c:dLbls>
          <c:showLegendKey val="0"/>
          <c:showVal val="0"/>
          <c:showCatName val="0"/>
          <c:showSerName val="0"/>
          <c:showPercent val="0"/>
          <c:showBubbleSize val="0"/>
        </c:dLbls>
        <c:gapWidth val="115"/>
        <c:overlap val="-20"/>
        <c:axId val="1422228432"/>
        <c:axId val="1422226032"/>
      </c:barChart>
      <c:catAx>
        <c:axId val="1422228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26032"/>
        <c:crosses val="autoZero"/>
        <c:auto val="1"/>
        <c:lblAlgn val="ctr"/>
        <c:lblOffset val="100"/>
        <c:noMultiLvlLbl val="0"/>
      </c:catAx>
      <c:valAx>
        <c:axId val="142222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1!PivotTable1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1'!$B$3:$B$4</c:f>
              <c:strCache>
                <c:ptCount val="1"/>
                <c:pt idx="0">
                  <c:v>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1'!$A$5:$A$10</c:f>
              <c:strCache>
                <c:ptCount val="5"/>
                <c:pt idx="0">
                  <c:v>20-30</c:v>
                </c:pt>
                <c:pt idx="1">
                  <c:v>30-40</c:v>
                </c:pt>
                <c:pt idx="2">
                  <c:v>40-50</c:v>
                </c:pt>
                <c:pt idx="3">
                  <c:v>50-60</c:v>
                </c:pt>
                <c:pt idx="4">
                  <c:v>60-70</c:v>
                </c:pt>
              </c:strCache>
            </c:strRef>
          </c:cat>
          <c:val>
            <c:numRef>
              <c:f>'Pivot table 1'!$B$5:$B$10</c:f>
              <c:numCache>
                <c:formatCode>General</c:formatCode>
                <c:ptCount val="5"/>
                <c:pt idx="0">
                  <c:v>314</c:v>
                </c:pt>
                <c:pt idx="1">
                  <c:v>863</c:v>
                </c:pt>
                <c:pt idx="2">
                  <c:v>789</c:v>
                </c:pt>
                <c:pt idx="3">
                  <c:v>757</c:v>
                </c:pt>
                <c:pt idx="4">
                  <c:v>351</c:v>
                </c:pt>
              </c:numCache>
            </c:numRef>
          </c:val>
          <c:extLst>
            <c:ext xmlns:c16="http://schemas.microsoft.com/office/drawing/2014/chart" uri="{C3380CC4-5D6E-409C-BE32-E72D297353CC}">
              <c16:uniqueId val="{00000000-E3A4-404B-A38B-67F311E9E5F2}"/>
            </c:ext>
          </c:extLst>
        </c:ser>
        <c:ser>
          <c:idx val="1"/>
          <c:order val="1"/>
          <c:tx>
            <c:strRef>
              <c:f>'Pivot table 1'!$C$3:$C$4</c:f>
              <c:strCache>
                <c:ptCount val="1"/>
                <c:pt idx="0">
                  <c:v>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1'!$A$5:$A$10</c:f>
              <c:strCache>
                <c:ptCount val="5"/>
                <c:pt idx="0">
                  <c:v>20-30</c:v>
                </c:pt>
                <c:pt idx="1">
                  <c:v>30-40</c:v>
                </c:pt>
                <c:pt idx="2">
                  <c:v>40-50</c:v>
                </c:pt>
                <c:pt idx="3">
                  <c:v>50-60</c:v>
                </c:pt>
                <c:pt idx="4">
                  <c:v>60-70</c:v>
                </c:pt>
              </c:strCache>
            </c:strRef>
          </c:cat>
          <c:val>
            <c:numRef>
              <c:f>'Pivot table 1'!$C$5:$C$10</c:f>
              <c:numCache>
                <c:formatCode>General</c:formatCode>
                <c:ptCount val="5"/>
                <c:pt idx="0">
                  <c:v>326</c:v>
                </c:pt>
                <c:pt idx="1">
                  <c:v>465</c:v>
                </c:pt>
                <c:pt idx="2">
                  <c:v>392</c:v>
                </c:pt>
                <c:pt idx="3">
                  <c:v>241</c:v>
                </c:pt>
                <c:pt idx="4">
                  <c:v>84</c:v>
                </c:pt>
              </c:numCache>
            </c:numRef>
          </c:val>
          <c:extLst>
            <c:ext xmlns:c16="http://schemas.microsoft.com/office/drawing/2014/chart" uri="{C3380CC4-5D6E-409C-BE32-E72D297353CC}">
              <c16:uniqueId val="{00000001-DE03-4A32-9D07-2B957A550A5A}"/>
            </c:ext>
          </c:extLst>
        </c:ser>
        <c:dLbls>
          <c:showLegendKey val="0"/>
          <c:showVal val="0"/>
          <c:showCatName val="0"/>
          <c:showSerName val="0"/>
          <c:showPercent val="0"/>
          <c:showBubbleSize val="0"/>
        </c:dLbls>
        <c:gapWidth val="100"/>
        <c:overlap val="-24"/>
        <c:axId val="1375032031"/>
        <c:axId val="1375031071"/>
      </c:barChart>
      <c:catAx>
        <c:axId val="1375032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31071"/>
        <c:crosses val="autoZero"/>
        <c:auto val="1"/>
        <c:lblAlgn val="ctr"/>
        <c:lblOffset val="100"/>
        <c:noMultiLvlLbl val="0"/>
      </c:catAx>
      <c:valAx>
        <c:axId val="137503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3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2!PivotTable1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Gender</a:t>
            </a:r>
            <a:r>
              <a:rPr lang="en-IN" baseline="0"/>
              <a:t> by Edu</a:t>
            </a:r>
            <a:endParaRPr lang="en-IN"/>
          </a:p>
        </c:rich>
      </c:tx>
      <c:layout>
        <c:manualLayout>
          <c:xMode val="edge"/>
          <c:yMode val="edge"/>
          <c:x val="0.51767744307054608"/>
          <c:y val="8.7806224723777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dLbl>
          <c:idx val="0"/>
          <c:layout>
            <c:manualLayout>
              <c:x val="-9.0482148635530155E-2"/>
              <c:y val="-2.783245844269466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dLbl>
          <c:idx val="0"/>
          <c:layout>
            <c:manualLayout>
              <c:x val="-9.0482148635530155E-2"/>
              <c:y val="-2.783245844269466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3"/>
      </c:pivotFmt>
      <c:pivotFmt>
        <c:idx val="3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0482148635530155E-2"/>
              <c:y val="-2.7832458442694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4.5647034128885662E-2"/>
          <c:y val="0.1713320862434336"/>
          <c:w val="0.53885497110578684"/>
          <c:h val="0.6357919324790301"/>
        </c:manualLayout>
      </c:layout>
      <c:pieChart>
        <c:varyColors val="1"/>
        <c:ser>
          <c:idx val="0"/>
          <c:order val="0"/>
          <c:tx>
            <c:strRef>
              <c:f>'Pivot table 2'!$B$4:$B$5</c:f>
              <c:strCache>
                <c:ptCount val="1"/>
                <c:pt idx="0">
                  <c:v>F</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FF1-468B-B061-C3471DCDEE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FF1-468B-B061-C3471DCDEE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FF1-468B-B061-C3471DCDEE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FF1-468B-B061-C3471DCDEE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FF1-468B-B061-C3471DCDEE47}"/>
              </c:ext>
            </c:extLst>
          </c:dPt>
          <c:dLbls>
            <c:dLbl>
              <c:idx val="3"/>
              <c:layout>
                <c:manualLayout>
                  <c:x val="-9.0482148635530155E-2"/>
                  <c:y val="-2.78324584426946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FF1-468B-B061-C3471DCDEE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 2'!$A$6:$A$11</c:f>
              <c:strCache>
                <c:ptCount val="5"/>
                <c:pt idx="0">
                  <c:v>Academic degree</c:v>
                </c:pt>
                <c:pt idx="1">
                  <c:v>Higher education</c:v>
                </c:pt>
                <c:pt idx="2">
                  <c:v>Incomplete higher</c:v>
                </c:pt>
                <c:pt idx="3">
                  <c:v>Lower secondary</c:v>
                </c:pt>
                <c:pt idx="4">
                  <c:v>Secondary / secondary special</c:v>
                </c:pt>
              </c:strCache>
            </c:strRef>
          </c:cat>
          <c:val>
            <c:numRef>
              <c:f>'Pivot table 2'!$B$6:$B$11</c:f>
              <c:numCache>
                <c:formatCode>General</c:formatCode>
                <c:ptCount val="5"/>
                <c:pt idx="0">
                  <c:v>4</c:v>
                </c:pt>
                <c:pt idx="1">
                  <c:v>852</c:v>
                </c:pt>
                <c:pt idx="2">
                  <c:v>106</c:v>
                </c:pt>
                <c:pt idx="3">
                  <c:v>40</c:v>
                </c:pt>
                <c:pt idx="4">
                  <c:v>2072</c:v>
                </c:pt>
              </c:numCache>
            </c:numRef>
          </c:val>
          <c:extLst>
            <c:ext xmlns:c16="http://schemas.microsoft.com/office/drawing/2014/chart" uri="{C3380CC4-5D6E-409C-BE32-E72D297353CC}">
              <c16:uniqueId val="{0000000A-BFF1-468B-B061-C3471DCDEE47}"/>
            </c:ext>
          </c:extLst>
        </c:ser>
        <c:ser>
          <c:idx val="1"/>
          <c:order val="1"/>
          <c:tx>
            <c:strRef>
              <c:f>'Pivot table 2'!$C$4:$C$5</c:f>
              <c:strCache>
                <c:ptCount val="1"/>
                <c:pt idx="0">
                  <c:v>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B-64E7-484E-9C60-2B9411D4AC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D-64E7-484E-9C60-2B9411D4AC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F-64E7-484E-9C60-2B9411D4AC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1-64E7-484E-9C60-2B9411D4ACC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3-64E7-484E-9C60-2B9411D4AC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 2'!$A$6:$A$11</c:f>
              <c:strCache>
                <c:ptCount val="5"/>
                <c:pt idx="0">
                  <c:v>Academic degree</c:v>
                </c:pt>
                <c:pt idx="1">
                  <c:v>Higher education</c:v>
                </c:pt>
                <c:pt idx="2">
                  <c:v>Incomplete higher</c:v>
                </c:pt>
                <c:pt idx="3">
                  <c:v>Lower secondary</c:v>
                </c:pt>
                <c:pt idx="4">
                  <c:v>Secondary / secondary special</c:v>
                </c:pt>
              </c:strCache>
            </c:strRef>
          </c:cat>
          <c:val>
            <c:numRef>
              <c:f>'Pivot table 2'!$C$6:$C$11</c:f>
              <c:numCache>
                <c:formatCode>General</c:formatCode>
                <c:ptCount val="5"/>
                <c:pt idx="1">
                  <c:v>387</c:v>
                </c:pt>
                <c:pt idx="2">
                  <c:v>75</c:v>
                </c:pt>
                <c:pt idx="3">
                  <c:v>14</c:v>
                </c:pt>
                <c:pt idx="4">
                  <c:v>1032</c:v>
                </c:pt>
              </c:numCache>
            </c:numRef>
          </c:val>
          <c:extLst>
            <c:ext xmlns:c16="http://schemas.microsoft.com/office/drawing/2014/chart" uri="{C3380CC4-5D6E-409C-BE32-E72D297353CC}">
              <c16:uniqueId val="{00000015-A66D-4C4A-98AE-4BAC004E1E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914686626569415"/>
          <c:y val="0.31566028756435588"/>
          <c:w val="0.33333312103918827"/>
          <c:h val="0.48506648229742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table_3!PivotTable5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IN" sz="1600" b="1" i="0" u="none" strike="noStrike" kern="1200" baseline="0">
                <a:solidFill>
                  <a:sysClr val="windowText" lastClr="000000">
                    <a:lumMod val="75000"/>
                    <a:lumOff val="25000"/>
                  </a:sysClr>
                </a:solidFill>
              </a:rPr>
              <a:t>Employment Status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44546A"/>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table_3'!$B$3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093-44CF-A162-05A452D311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093-44CF-A162-05A452D31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table_3'!$A$4:$A$6</c:f>
              <c:strCache>
                <c:ptCount val="2"/>
                <c:pt idx="0">
                  <c:v>Employed</c:v>
                </c:pt>
                <c:pt idx="1">
                  <c:v>Unemployed</c:v>
                </c:pt>
              </c:strCache>
            </c:strRef>
          </c:cat>
          <c:val>
            <c:numRef>
              <c:f>'Pivot table_3'!$B$4:$B$6</c:f>
              <c:numCache>
                <c:formatCode>General</c:formatCode>
                <c:ptCount val="2"/>
                <c:pt idx="0">
                  <c:v>3854</c:v>
                </c:pt>
                <c:pt idx="1">
                  <c:v>728</c:v>
                </c:pt>
              </c:numCache>
            </c:numRef>
          </c:val>
          <c:extLst>
            <c:ext xmlns:c16="http://schemas.microsoft.com/office/drawing/2014/chart" uri="{C3380CC4-5D6E-409C-BE32-E72D297353CC}">
              <c16:uniqueId val="{00000004-1093-44CF-A162-05A452D311D2}"/>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4!PivotTable6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r>
              <a:rPr lang="en-IN" sz="1400" b="1" i="0" u="none" strike="noStrike" kern="1200" cap="none" spc="0" normalizeH="0" baseline="0">
                <a:solidFill>
                  <a:sysClr val="windowText" lastClr="000000">
                    <a:lumMod val="65000"/>
                    <a:lumOff val="35000"/>
                  </a:sysClr>
                </a:solidFill>
              </a:rPr>
              <a:t>Avg Total Inc acc to Inc type and family members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6829420147773375"/>
          <c:y val="5.99428379327574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67506227089513"/>
          <c:y val="0.3118606280935573"/>
          <c:w val="0.42551469095590067"/>
          <c:h val="0.46831504128482826"/>
        </c:manualLayout>
      </c:layout>
      <c:barChart>
        <c:barDir val="bar"/>
        <c:grouping val="clustered"/>
        <c:varyColors val="0"/>
        <c:ser>
          <c:idx val="0"/>
          <c:order val="0"/>
          <c:tx>
            <c:strRef>
              <c:f>'Pivot table 4'!$B$3:$B$4</c:f>
              <c:strCache>
                <c:ptCount val="1"/>
                <c:pt idx="0">
                  <c:v>1</c:v>
                </c:pt>
              </c:strCache>
            </c:strRef>
          </c:tx>
          <c:spPr>
            <a:solidFill>
              <a:schemeClr val="accent1"/>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4'!$B$5:$B$10</c:f>
              <c:numCache>
                <c:formatCode>General</c:formatCode>
                <c:ptCount val="5"/>
                <c:pt idx="0">
                  <c:v>222994.34293193716</c:v>
                </c:pt>
                <c:pt idx="1">
                  <c:v>148699.75609756098</c:v>
                </c:pt>
                <c:pt idx="2">
                  <c:v>191700</c:v>
                </c:pt>
                <c:pt idx="4">
                  <c:v>179637.8672985782</c:v>
                </c:pt>
              </c:numCache>
            </c:numRef>
          </c:val>
          <c:extLst>
            <c:ext xmlns:c16="http://schemas.microsoft.com/office/drawing/2014/chart" uri="{C3380CC4-5D6E-409C-BE32-E72D297353CC}">
              <c16:uniqueId val="{00000000-4817-4996-8637-2513A3F529DB}"/>
            </c:ext>
          </c:extLst>
        </c:ser>
        <c:ser>
          <c:idx val="1"/>
          <c:order val="1"/>
          <c:tx>
            <c:strRef>
              <c:f>'Pivot table 4'!$C$3:$C$4</c:f>
              <c:strCache>
                <c:ptCount val="1"/>
                <c:pt idx="0">
                  <c:v>2</c:v>
                </c:pt>
              </c:strCache>
            </c:strRef>
          </c:tx>
          <c:spPr>
            <a:solidFill>
              <a:schemeClr val="accent2"/>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4'!$C$5:$C$10</c:f>
              <c:numCache>
                <c:formatCode>General</c:formatCode>
                <c:ptCount val="5"/>
                <c:pt idx="0">
                  <c:v>215747.7940140845</c:v>
                </c:pt>
                <c:pt idx="1">
                  <c:v>144677</c:v>
                </c:pt>
                <c:pt idx="2">
                  <c:v>200086.14285714287</c:v>
                </c:pt>
                <c:pt idx="4">
                  <c:v>187060.03648068669</c:v>
                </c:pt>
              </c:numCache>
            </c:numRef>
          </c:val>
          <c:extLst>
            <c:ext xmlns:c16="http://schemas.microsoft.com/office/drawing/2014/chart" uri="{C3380CC4-5D6E-409C-BE32-E72D297353CC}">
              <c16:uniqueId val="{00000001-4817-4996-8637-2513A3F529DB}"/>
            </c:ext>
          </c:extLst>
        </c:ser>
        <c:ser>
          <c:idx val="2"/>
          <c:order val="2"/>
          <c:tx>
            <c:strRef>
              <c:f>'Pivot table 4'!$D$3:$D$4</c:f>
              <c:strCache>
                <c:ptCount val="1"/>
                <c:pt idx="0">
                  <c:v>3</c:v>
                </c:pt>
              </c:strCache>
            </c:strRef>
          </c:tx>
          <c:spPr>
            <a:solidFill>
              <a:schemeClr val="accent3"/>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4'!$D$5:$D$10</c:f>
              <c:numCache>
                <c:formatCode>General</c:formatCode>
                <c:ptCount val="5"/>
                <c:pt idx="0">
                  <c:v>210988.125</c:v>
                </c:pt>
                <c:pt idx="1">
                  <c:v>167135.29411764705</c:v>
                </c:pt>
                <c:pt idx="2">
                  <c:v>217269.23076923078</c:v>
                </c:pt>
                <c:pt idx="3">
                  <c:v>112500</c:v>
                </c:pt>
                <c:pt idx="4">
                  <c:v>183282.13552361395</c:v>
                </c:pt>
              </c:numCache>
            </c:numRef>
          </c:val>
          <c:extLst>
            <c:ext xmlns:c16="http://schemas.microsoft.com/office/drawing/2014/chart" uri="{C3380CC4-5D6E-409C-BE32-E72D297353CC}">
              <c16:uniqueId val="{00000002-4817-4996-8637-2513A3F529DB}"/>
            </c:ext>
          </c:extLst>
        </c:ser>
        <c:ser>
          <c:idx val="3"/>
          <c:order val="3"/>
          <c:tx>
            <c:strRef>
              <c:f>'Pivot table 4'!$E$3:$E$4</c:f>
              <c:strCache>
                <c:ptCount val="1"/>
                <c:pt idx="0">
                  <c:v>4</c:v>
                </c:pt>
              </c:strCache>
            </c:strRef>
          </c:tx>
          <c:spPr>
            <a:solidFill>
              <a:schemeClr val="accent4"/>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4'!$E$5:$E$10</c:f>
              <c:numCache>
                <c:formatCode>General</c:formatCode>
                <c:ptCount val="5"/>
                <c:pt idx="0">
                  <c:v>191927.4193548387</c:v>
                </c:pt>
                <c:pt idx="1">
                  <c:v>111500</c:v>
                </c:pt>
                <c:pt idx="2">
                  <c:v>232402.5</c:v>
                </c:pt>
                <c:pt idx="4">
                  <c:v>177390</c:v>
                </c:pt>
              </c:numCache>
            </c:numRef>
          </c:val>
          <c:extLst>
            <c:ext xmlns:c16="http://schemas.microsoft.com/office/drawing/2014/chart" uri="{C3380CC4-5D6E-409C-BE32-E72D297353CC}">
              <c16:uniqueId val="{00000003-4817-4996-8637-2513A3F529DB}"/>
            </c:ext>
          </c:extLst>
        </c:ser>
        <c:ser>
          <c:idx val="4"/>
          <c:order val="4"/>
          <c:tx>
            <c:strRef>
              <c:f>'Pivot table 4'!$F$3:$F$4</c:f>
              <c:strCache>
                <c:ptCount val="1"/>
                <c:pt idx="0">
                  <c:v>5</c:v>
                </c:pt>
              </c:strCache>
            </c:strRef>
          </c:tx>
          <c:spPr>
            <a:solidFill>
              <a:schemeClr val="accent5"/>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4'!$F$5:$F$10</c:f>
              <c:numCache>
                <c:formatCode>General</c:formatCode>
                <c:ptCount val="5"/>
                <c:pt idx="0">
                  <c:v>127350</c:v>
                </c:pt>
                <c:pt idx="1">
                  <c:v>292500</c:v>
                </c:pt>
                <c:pt idx="2">
                  <c:v>123500</c:v>
                </c:pt>
                <c:pt idx="4">
                  <c:v>158958.62068965516</c:v>
                </c:pt>
              </c:numCache>
            </c:numRef>
          </c:val>
          <c:extLst>
            <c:ext xmlns:c16="http://schemas.microsoft.com/office/drawing/2014/chart" uri="{C3380CC4-5D6E-409C-BE32-E72D297353CC}">
              <c16:uniqueId val="{00000004-4817-4996-8637-2513A3F529DB}"/>
            </c:ext>
          </c:extLst>
        </c:ser>
        <c:ser>
          <c:idx val="5"/>
          <c:order val="5"/>
          <c:tx>
            <c:strRef>
              <c:f>'Pivot table 4'!$G$3:$G$4</c:f>
              <c:strCache>
                <c:ptCount val="1"/>
                <c:pt idx="0">
                  <c:v>6</c:v>
                </c:pt>
              </c:strCache>
            </c:strRef>
          </c:tx>
          <c:spPr>
            <a:solidFill>
              <a:schemeClr val="accent6"/>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4'!$G$5:$G$10</c:f>
              <c:numCache>
                <c:formatCode>General</c:formatCode>
                <c:ptCount val="5"/>
                <c:pt idx="0">
                  <c:v>150000</c:v>
                </c:pt>
                <c:pt idx="2">
                  <c:v>202500</c:v>
                </c:pt>
                <c:pt idx="4">
                  <c:v>162000</c:v>
                </c:pt>
              </c:numCache>
            </c:numRef>
          </c:val>
          <c:extLst>
            <c:ext xmlns:c16="http://schemas.microsoft.com/office/drawing/2014/chart" uri="{C3380CC4-5D6E-409C-BE32-E72D297353CC}">
              <c16:uniqueId val="{00000001-C98A-4F24-B47B-E2B62E4D1B07}"/>
            </c:ext>
          </c:extLst>
        </c:ser>
        <c:ser>
          <c:idx val="6"/>
          <c:order val="6"/>
          <c:tx>
            <c:strRef>
              <c:f>'Pivot table 4'!$H$3:$H$4</c:f>
              <c:strCache>
                <c:ptCount val="1"/>
                <c:pt idx="0">
                  <c:v>7</c:v>
                </c:pt>
              </c:strCache>
            </c:strRef>
          </c:tx>
          <c:spPr>
            <a:solidFill>
              <a:schemeClr val="accent1">
                <a:lumMod val="60000"/>
              </a:schemeClr>
            </a:solidFill>
            <a:ln>
              <a:noFill/>
            </a:ln>
            <a:effectLst/>
          </c:spPr>
          <c:invertIfNegative val="0"/>
          <c:cat>
            <c:strRef>
              <c:f>'Pivot table 4'!$A$5:$A$10</c:f>
              <c:strCache>
                <c:ptCount val="5"/>
                <c:pt idx="0">
                  <c:v>Commercial associate</c:v>
                </c:pt>
                <c:pt idx="1">
                  <c:v>Pensioner</c:v>
                </c:pt>
                <c:pt idx="2">
                  <c:v>State servant</c:v>
                </c:pt>
                <c:pt idx="3">
                  <c:v>Student</c:v>
                </c:pt>
                <c:pt idx="4">
                  <c:v>Working</c:v>
                </c:pt>
              </c:strCache>
            </c:strRef>
          </c:cat>
          <c:val>
            <c:numRef>
              <c:f>'Pivot table 4'!$H$5:$H$10</c:f>
              <c:numCache>
                <c:formatCode>General</c:formatCode>
                <c:ptCount val="5"/>
                <c:pt idx="4">
                  <c:v>135000</c:v>
                </c:pt>
              </c:numCache>
            </c:numRef>
          </c:val>
          <c:extLst>
            <c:ext xmlns:c16="http://schemas.microsoft.com/office/drawing/2014/chart" uri="{C3380CC4-5D6E-409C-BE32-E72D297353CC}">
              <c16:uniqueId val="{00000002-C98A-4F24-B47B-E2B62E4D1B07}"/>
            </c:ext>
          </c:extLst>
        </c:ser>
        <c:dLbls>
          <c:showLegendKey val="0"/>
          <c:showVal val="0"/>
          <c:showCatName val="0"/>
          <c:showSerName val="0"/>
          <c:showPercent val="0"/>
          <c:showBubbleSize val="0"/>
        </c:dLbls>
        <c:gapWidth val="269"/>
        <c:overlap val="-20"/>
        <c:axId val="1421688256"/>
        <c:axId val="1421687296"/>
      </c:barChart>
      <c:catAx>
        <c:axId val="1421688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21687296"/>
        <c:crosses val="autoZero"/>
        <c:auto val="1"/>
        <c:lblAlgn val="ctr"/>
        <c:lblOffset val="100"/>
        <c:noMultiLvlLbl val="0"/>
      </c:catAx>
      <c:valAx>
        <c:axId val="142168729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688256"/>
        <c:crosses val="autoZero"/>
        <c:crossBetween val="between"/>
      </c:valAx>
      <c:spPr>
        <a:noFill/>
        <a:ln>
          <a:noFill/>
        </a:ln>
        <a:effectLst/>
      </c:spPr>
    </c:plotArea>
    <c:legend>
      <c:legendPos val="r"/>
      <c:layout>
        <c:manualLayout>
          <c:xMode val="edge"/>
          <c:yMode val="edge"/>
          <c:x val="0.77326388888888886"/>
          <c:y val="0.2016761446485856"/>
          <c:w val="0.16710526315789473"/>
          <c:h val="0.475956178967207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[UNP_PROJECT_BI_WITH_MS_EXCEL_CUSTOMER_CREDIT_CARD_DATA.xlsx]Pivot table 5!PivotTable2</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ysClr val="windowText" lastClr="000000">
                    <a:lumMod val="75000"/>
                    <a:lumOff val="25000"/>
                  </a:sysClr>
                </a:solidFill>
              </a:rPr>
              <a:t>Family members acc to Housing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7042057149761928"/>
          <c:y val="0.1183263508652384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5.2277684226658239E-2"/>
              <c:y val="-5.2142930752956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3.9579132098956943E-2"/>
              <c:y val="-6.25715169035475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3.8748385698079341E-2"/>
              <c:y val="-4.6928637677660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3.8748385698079285E-2"/>
              <c:y val="-4.1714344602365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4.5513034962368776E-2"/>
              <c:y val="-4.692863767766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layout>
            <c:manualLayout>
              <c:x val="-4.4682288561491118E-2"/>
              <c:y val="-4.1714344602364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Pt>
            <c:idx val="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5-74BE-42E3-95CE-66BCBB228E97}"/>
              </c:ext>
            </c:extLst>
          </c:dPt>
          <c:dPt>
            <c:idx val="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0-74BE-42E3-95CE-66BCBB228E97}"/>
              </c:ext>
            </c:extLst>
          </c:dPt>
          <c:dPt>
            <c:idx val="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1-74BE-42E3-95CE-66BCBB228E97}"/>
              </c:ext>
            </c:extLst>
          </c:dPt>
          <c:dPt>
            <c:idx val="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2-74BE-42E3-95CE-66BCBB228E97}"/>
              </c:ext>
            </c:extLst>
          </c:dPt>
          <c:dPt>
            <c:idx val="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3-74BE-42E3-95CE-66BCBB228E97}"/>
              </c:ext>
            </c:extLst>
          </c:dPt>
          <c:dPt>
            <c:idx val="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4-74BE-42E3-95CE-66BCBB228E97}"/>
              </c:ext>
            </c:extLst>
          </c:dPt>
          <c:dLbls>
            <c:dLbl>
              <c:idx val="0"/>
              <c:layout>
                <c:manualLayout>
                  <c:x val="-4.4682288561491118E-2"/>
                  <c:y val="-4.17143446023649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BE-42E3-95CE-66BCBB228E97}"/>
                </c:ext>
              </c:extLst>
            </c:dLbl>
            <c:dLbl>
              <c:idx val="1"/>
              <c:layout>
                <c:manualLayout>
                  <c:x val="-5.2277684226658239E-2"/>
                  <c:y val="-5.2142930752956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BE-42E3-95CE-66BCBB228E97}"/>
                </c:ext>
              </c:extLst>
            </c:dLbl>
            <c:dLbl>
              <c:idx val="2"/>
              <c:layout>
                <c:manualLayout>
                  <c:x val="-3.9579132098956943E-2"/>
                  <c:y val="-6.25715169035475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BE-42E3-95CE-66BCBB228E97}"/>
                </c:ext>
              </c:extLst>
            </c:dLbl>
            <c:dLbl>
              <c:idx val="3"/>
              <c:layout>
                <c:manualLayout>
                  <c:x val="-3.8748385698079341E-2"/>
                  <c:y val="-4.69286376776607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BE-42E3-95CE-66BCBB228E97}"/>
                </c:ext>
              </c:extLst>
            </c:dLbl>
            <c:dLbl>
              <c:idx val="4"/>
              <c:layout>
                <c:manualLayout>
                  <c:x val="-3.8748385698079285E-2"/>
                  <c:y val="-4.17143446023650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BE-42E3-95CE-66BCBB228E97}"/>
                </c:ext>
              </c:extLst>
            </c:dLbl>
            <c:dLbl>
              <c:idx val="5"/>
              <c:layout>
                <c:manualLayout>
                  <c:x val="-4.5513034962368776E-2"/>
                  <c:y val="-4.692863767766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BE-42E3-95CE-66BCBB228E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5'!$A$4:$A$10</c:f>
              <c:strCache>
                <c:ptCount val="6"/>
                <c:pt idx="0">
                  <c:v>Co-op apartment</c:v>
                </c:pt>
                <c:pt idx="1">
                  <c:v>House / apartment</c:v>
                </c:pt>
                <c:pt idx="2">
                  <c:v>Municipal apartment</c:v>
                </c:pt>
                <c:pt idx="3">
                  <c:v>Office apartment</c:v>
                </c:pt>
                <c:pt idx="4">
                  <c:v>Rented apartment</c:v>
                </c:pt>
                <c:pt idx="5">
                  <c:v>With parents</c:v>
                </c:pt>
              </c:strCache>
            </c:strRef>
          </c:cat>
          <c:val>
            <c:numRef>
              <c:f>'Pivot table 5'!$B$4:$B$10</c:f>
              <c:numCache>
                <c:formatCode>General</c:formatCode>
                <c:ptCount val="6"/>
                <c:pt idx="0">
                  <c:v>23</c:v>
                </c:pt>
                <c:pt idx="1">
                  <c:v>4081</c:v>
                </c:pt>
                <c:pt idx="2">
                  <c:v>144</c:v>
                </c:pt>
                <c:pt idx="3">
                  <c:v>36</c:v>
                </c:pt>
                <c:pt idx="4">
                  <c:v>78</c:v>
                </c:pt>
                <c:pt idx="5">
                  <c:v>220</c:v>
                </c:pt>
              </c:numCache>
            </c:numRef>
          </c:val>
          <c:smooth val="0"/>
          <c:extLst>
            <c:ext xmlns:c16="http://schemas.microsoft.com/office/drawing/2014/chart" uri="{C3380CC4-5D6E-409C-BE32-E72D297353CC}">
              <c16:uniqueId val="{00000000-6822-49E5-A789-52EA812D67EE}"/>
            </c:ext>
          </c:extLst>
        </c:ser>
        <c:dLbls>
          <c:dLblPos val="ctr"/>
          <c:showLegendKey val="0"/>
          <c:showVal val="1"/>
          <c:showCatName val="0"/>
          <c:showSerName val="0"/>
          <c:showPercent val="0"/>
          <c:showBubbleSize val="0"/>
        </c:dLbls>
        <c:marker val="1"/>
        <c:smooth val="0"/>
        <c:axId val="1426240848"/>
        <c:axId val="1426237968"/>
      </c:lineChart>
      <c:catAx>
        <c:axId val="14262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37968"/>
        <c:crosses val="autoZero"/>
        <c:auto val="1"/>
        <c:lblAlgn val="ctr"/>
        <c:lblOffset val="100"/>
        <c:noMultiLvlLbl val="0"/>
      </c:catAx>
      <c:valAx>
        <c:axId val="142623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[UNP_PROJECT_BI_WITH_MS_EXCEL_CUSTOMER_CREDIT_CARD_DATA.xlsx]Pivot table 6!PivotTable7</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600" b="1" i="0" u="none" strike="noStrike" kern="1200" baseline="0">
                <a:solidFill>
                  <a:sysClr val="windowText" lastClr="000000">
                    <a:lumMod val="65000"/>
                    <a:lumOff val="35000"/>
                  </a:sysClr>
                </a:solidFill>
              </a:rPr>
              <a:t>Emp status acc to family status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42262279197043112"/>
          <c:y val="8.067777035162597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6'!$B$3:$B$4</c:f>
              <c:strCache>
                <c:ptCount val="1"/>
                <c:pt idx="0">
                  <c:v>Employed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6'!$A$5:$A$10</c:f>
              <c:strCache>
                <c:ptCount val="5"/>
                <c:pt idx="0">
                  <c:v>Civil marriage</c:v>
                </c:pt>
                <c:pt idx="1">
                  <c:v>Married</c:v>
                </c:pt>
                <c:pt idx="2">
                  <c:v>Separated</c:v>
                </c:pt>
                <c:pt idx="3">
                  <c:v>Single / not married</c:v>
                </c:pt>
                <c:pt idx="4">
                  <c:v>Widow</c:v>
                </c:pt>
              </c:strCache>
            </c:strRef>
          </c:cat>
          <c:val>
            <c:numRef>
              <c:f>'Pivot table 6'!$B$5:$B$10</c:f>
              <c:numCache>
                <c:formatCode>General</c:formatCode>
                <c:ptCount val="5"/>
                <c:pt idx="0">
                  <c:v>328</c:v>
                </c:pt>
                <c:pt idx="1">
                  <c:v>2681</c:v>
                </c:pt>
                <c:pt idx="2">
                  <c:v>189</c:v>
                </c:pt>
                <c:pt idx="3">
                  <c:v>556</c:v>
                </c:pt>
                <c:pt idx="4">
                  <c:v>100</c:v>
                </c:pt>
              </c:numCache>
            </c:numRef>
          </c:val>
          <c:extLst>
            <c:ext xmlns:c16="http://schemas.microsoft.com/office/drawing/2014/chart" uri="{C3380CC4-5D6E-409C-BE32-E72D297353CC}">
              <c16:uniqueId val="{00000000-6BFC-461F-B76B-822C830F4DFF}"/>
            </c:ext>
          </c:extLst>
        </c:ser>
        <c:ser>
          <c:idx val="1"/>
          <c:order val="1"/>
          <c:tx>
            <c:strRef>
              <c:f>'Pivot table 6'!$C$3:$C$4</c:f>
              <c:strCache>
                <c:ptCount val="1"/>
                <c:pt idx="0">
                  <c:v>Unemployed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6'!$A$5:$A$10</c:f>
              <c:strCache>
                <c:ptCount val="5"/>
                <c:pt idx="0">
                  <c:v>Civil marriage</c:v>
                </c:pt>
                <c:pt idx="1">
                  <c:v>Married</c:v>
                </c:pt>
                <c:pt idx="2">
                  <c:v>Separated</c:v>
                </c:pt>
                <c:pt idx="3">
                  <c:v>Single / not married</c:v>
                </c:pt>
                <c:pt idx="4">
                  <c:v>Widow</c:v>
                </c:pt>
              </c:strCache>
            </c:strRef>
          </c:cat>
          <c:val>
            <c:numRef>
              <c:f>'Pivot table 6'!$C$5:$C$10</c:f>
              <c:numCache>
                <c:formatCode>General</c:formatCode>
                <c:ptCount val="5"/>
                <c:pt idx="0">
                  <c:v>39</c:v>
                </c:pt>
                <c:pt idx="1">
                  <c:v>484</c:v>
                </c:pt>
                <c:pt idx="2">
                  <c:v>31</c:v>
                </c:pt>
                <c:pt idx="3">
                  <c:v>75</c:v>
                </c:pt>
                <c:pt idx="4">
                  <c:v>99</c:v>
                </c:pt>
              </c:numCache>
            </c:numRef>
          </c:val>
          <c:extLst>
            <c:ext xmlns:c16="http://schemas.microsoft.com/office/drawing/2014/chart" uri="{C3380CC4-5D6E-409C-BE32-E72D297353CC}">
              <c16:uniqueId val="{00000002-1C6C-48B3-9E10-5AF03BFAEFC1}"/>
            </c:ext>
          </c:extLst>
        </c:ser>
        <c:dLbls>
          <c:showLegendKey val="0"/>
          <c:showVal val="0"/>
          <c:showCatName val="0"/>
          <c:showSerName val="0"/>
          <c:showPercent val="0"/>
          <c:showBubbleSize val="0"/>
        </c:dLbls>
        <c:gapWidth val="115"/>
        <c:overlap val="-20"/>
        <c:axId val="1422228432"/>
        <c:axId val="1422226032"/>
      </c:barChart>
      <c:catAx>
        <c:axId val="1422228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26032"/>
        <c:crosses val="autoZero"/>
        <c:auto val="1"/>
        <c:lblAlgn val="ctr"/>
        <c:lblOffset val="100"/>
        <c:noMultiLvlLbl val="0"/>
      </c:catAx>
      <c:valAx>
        <c:axId val="142222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 /></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 /></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 /></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 /><Relationship Id="rId2" Type="http://schemas.openxmlformats.org/officeDocument/2006/relationships/chart" Target="../charts/chart8.xml" /><Relationship Id="rId1" Type="http://schemas.openxmlformats.org/officeDocument/2006/relationships/chart" Target="../charts/chart7.xml" /><Relationship Id="rId6" Type="http://schemas.openxmlformats.org/officeDocument/2006/relationships/chart" Target="../charts/chart12.xml" /><Relationship Id="rId5" Type="http://schemas.openxmlformats.org/officeDocument/2006/relationships/chart" Target="../charts/chart11.xml" /><Relationship Id="rId4"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dr:twoCellAnchor>
    <xdr:from>
      <xdr:col>6</xdr:col>
      <xdr:colOff>205740</xdr:colOff>
      <xdr:row>9</xdr:row>
      <xdr:rowOff>137160</xdr:rowOff>
    </xdr:from>
    <xdr:to>
      <xdr:col>21</xdr:col>
      <xdr:colOff>91440</xdr:colOff>
      <xdr:row>24</xdr:row>
      <xdr:rowOff>137160</xdr:rowOff>
    </xdr:to>
    <xdr:graphicFrame macro="">
      <xdr:nvGraphicFramePr>
        <xdr:cNvPr id="2" name="Chart 1">
          <a:extLst>
            <a:ext uri="{FF2B5EF4-FFF2-40B4-BE49-F238E27FC236}">
              <a16:creationId xmlns:a16="http://schemas.microsoft.com/office/drawing/2014/main" id="{E3655F45-63CC-913A-9B63-E9935AF28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251460</xdr:colOff>
      <xdr:row>9</xdr:row>
      <xdr:rowOff>57150</xdr:rowOff>
    </xdr:from>
    <xdr:to>
      <xdr:col>12</xdr:col>
      <xdr:colOff>350520</xdr:colOff>
      <xdr:row>24</xdr:row>
      <xdr:rowOff>57150</xdr:rowOff>
    </xdr:to>
    <xdr:graphicFrame macro="">
      <xdr:nvGraphicFramePr>
        <xdr:cNvPr id="2" name="Chart 1">
          <a:extLst>
            <a:ext uri="{FF2B5EF4-FFF2-40B4-BE49-F238E27FC236}">
              <a16:creationId xmlns:a16="http://schemas.microsoft.com/office/drawing/2014/main" id="{86406DDF-CB8E-B1C8-EAF3-69576D8C0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6</xdr:row>
      <xdr:rowOff>45720</xdr:rowOff>
    </xdr:from>
    <xdr:to>
      <xdr:col>9</xdr:col>
      <xdr:colOff>518160</xdr:colOff>
      <xdr:row>21</xdr:row>
      <xdr:rowOff>45720</xdr:rowOff>
    </xdr:to>
    <xdr:graphicFrame macro="">
      <xdr:nvGraphicFramePr>
        <xdr:cNvPr id="2" name="Chart 1">
          <a:extLst>
            <a:ext uri="{FF2B5EF4-FFF2-40B4-BE49-F238E27FC236}">
              <a16:creationId xmlns:a16="http://schemas.microsoft.com/office/drawing/2014/main" id="{BD0D659E-89C7-E0B4-3725-D7A0C7430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11</xdr:row>
      <xdr:rowOff>15240</xdr:rowOff>
    </xdr:from>
    <xdr:to>
      <xdr:col>9</xdr:col>
      <xdr:colOff>76200</xdr:colOff>
      <xdr:row>26</xdr:row>
      <xdr:rowOff>15240</xdr:rowOff>
    </xdr:to>
    <xdr:graphicFrame macro="">
      <xdr:nvGraphicFramePr>
        <xdr:cNvPr id="2" name="Chart 1">
          <a:extLst>
            <a:ext uri="{FF2B5EF4-FFF2-40B4-BE49-F238E27FC236}">
              <a16:creationId xmlns:a16="http://schemas.microsoft.com/office/drawing/2014/main" id="{521C7B35-D3DE-78BD-1B60-F276C913A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624840</xdr:colOff>
      <xdr:row>8</xdr:row>
      <xdr:rowOff>7620</xdr:rowOff>
    </xdr:from>
    <xdr:to>
      <xdr:col>10</xdr:col>
      <xdr:colOff>53340</xdr:colOff>
      <xdr:row>23</xdr:row>
      <xdr:rowOff>7620</xdr:rowOff>
    </xdr:to>
    <xdr:graphicFrame macro="">
      <xdr:nvGraphicFramePr>
        <xdr:cNvPr id="3" name="Chart 2">
          <a:extLst>
            <a:ext uri="{FF2B5EF4-FFF2-40B4-BE49-F238E27FC236}">
              <a16:creationId xmlns:a16="http://schemas.microsoft.com/office/drawing/2014/main" id="{F39395B2-49DA-1CEE-0B3B-D095E7DE4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1318260</xdr:colOff>
      <xdr:row>10</xdr:row>
      <xdr:rowOff>144780</xdr:rowOff>
    </xdr:from>
    <xdr:to>
      <xdr:col>13</xdr:col>
      <xdr:colOff>129540</xdr:colOff>
      <xdr:row>25</xdr:row>
      <xdr:rowOff>144780</xdr:rowOff>
    </xdr:to>
    <xdr:graphicFrame macro="">
      <xdr:nvGraphicFramePr>
        <xdr:cNvPr id="5" name="Chart 4">
          <a:extLst>
            <a:ext uri="{FF2B5EF4-FFF2-40B4-BE49-F238E27FC236}">
              <a16:creationId xmlns:a16="http://schemas.microsoft.com/office/drawing/2014/main" id="{836E4AD5-64D7-38D6-D8F9-5E0614A16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240449</xdr:colOff>
      <xdr:row>13</xdr:row>
      <xdr:rowOff>171384</xdr:rowOff>
    </xdr:from>
    <xdr:to>
      <xdr:col>25</xdr:col>
      <xdr:colOff>240449</xdr:colOff>
      <xdr:row>18</xdr:row>
      <xdr:rowOff>144499</xdr:rowOff>
    </xdr:to>
    <mc:AlternateContent xmlns:mc="http://schemas.openxmlformats.org/markup-compatibility/2006" xmlns:a14="http://schemas.microsoft.com/office/drawing/2010/main">
      <mc:Choice Requires="a14">
        <xdr:graphicFrame macro="">
          <xdr:nvGraphicFramePr>
            <xdr:cNvPr id="2" name="CODE_GENDER 1">
              <a:extLst>
                <a:ext uri="{FF2B5EF4-FFF2-40B4-BE49-F238E27FC236}">
                  <a16:creationId xmlns:a16="http://schemas.microsoft.com/office/drawing/2014/main" id="{EC0C51BA-F4E5-4D86-AEAD-913B84B2DF37}"/>
                </a:ext>
              </a:extLst>
            </xdr:cNvPr>
            <xdr:cNvGraphicFramePr/>
          </xdr:nvGraphicFramePr>
          <xdr:xfrm>
            <a:off x="0" y="0"/>
            <a:ext cx="0" cy="0"/>
          </xdr:xfrm>
          <a:graphic>
            <a:graphicData uri="http://schemas.microsoft.com/office/drawing/2010/slicer">
              <sle:slicer xmlns:sle="http://schemas.microsoft.com/office/drawing/2010/slicer" name="CODE_GENDER 1"/>
            </a:graphicData>
          </a:graphic>
        </xdr:graphicFrame>
      </mc:Choice>
      <mc:Fallback xmlns="">
        <xdr:sp macro="" textlink="">
          <xdr:nvSpPr>
            <xdr:cNvPr id="0" name=""/>
            <xdr:cNvSpPr>
              <a:spLocks noTextEdit="1"/>
            </xdr:cNvSpPr>
          </xdr:nvSpPr>
          <xdr:spPr>
            <a:xfrm>
              <a:off x="13525128" y="2601158"/>
              <a:ext cx="1811547" cy="90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233578</xdr:colOff>
      <xdr:row>0</xdr:row>
      <xdr:rowOff>0</xdr:rowOff>
    </xdr:from>
    <xdr:to>
      <xdr:col>22</xdr:col>
      <xdr:colOff>233576</xdr:colOff>
      <xdr:row>9</xdr:row>
      <xdr:rowOff>22860</xdr:rowOff>
    </xdr:to>
    <mc:AlternateContent xmlns:mc="http://schemas.openxmlformats.org/markup-compatibility/2006" xmlns:a14="http://schemas.microsoft.com/office/drawing/2010/main">
      <mc:Choice Requires="a14">
        <xdr:graphicFrame macro="">
          <xdr:nvGraphicFramePr>
            <xdr:cNvPr id="3" name="AGE_RANGE">
              <a:extLst>
                <a:ext uri="{FF2B5EF4-FFF2-40B4-BE49-F238E27FC236}">
                  <a16:creationId xmlns:a16="http://schemas.microsoft.com/office/drawing/2014/main" id="{7D7CA24B-1B04-4B1B-AAD7-ECA458809A19}"/>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11706710" y="0"/>
              <a:ext cx="1811545" cy="1705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234530</xdr:colOff>
      <xdr:row>18</xdr:row>
      <xdr:rowOff>59783</xdr:rowOff>
    </xdr:from>
    <xdr:to>
      <xdr:col>22</xdr:col>
      <xdr:colOff>234528</xdr:colOff>
      <xdr:row>27</xdr:row>
      <xdr:rowOff>100463</xdr:rowOff>
    </xdr:to>
    <mc:AlternateContent xmlns:mc="http://schemas.openxmlformats.org/markup-compatibility/2006" xmlns:a14="http://schemas.microsoft.com/office/drawing/2010/main">
      <mc:Choice Requires="a14">
        <xdr:graphicFrame macro="">
          <xdr:nvGraphicFramePr>
            <xdr:cNvPr id="4" name="NAME_EDUCATION_TYPE">
              <a:extLst>
                <a:ext uri="{FF2B5EF4-FFF2-40B4-BE49-F238E27FC236}">
                  <a16:creationId xmlns:a16="http://schemas.microsoft.com/office/drawing/2014/main" id="{24E78C69-4686-4892-A0D7-72A13D0DC618}"/>
                </a:ext>
              </a:extLst>
            </xdr:cNvPr>
            <xdr:cNvGraphicFramePr/>
          </xdr:nvGraphicFramePr>
          <xdr:xfrm>
            <a:off x="0" y="0"/>
            <a:ext cx="0" cy="0"/>
          </xdr:xfrm>
          <a:graphic>
            <a:graphicData uri="http://schemas.microsoft.com/office/drawing/2010/slicer">
              <sle:slicer xmlns:sle="http://schemas.microsoft.com/office/drawing/2010/slicer" name="NAME_EDUCATION_TYPE"/>
            </a:graphicData>
          </a:graphic>
        </xdr:graphicFrame>
      </mc:Choice>
      <mc:Fallback xmlns="">
        <xdr:sp macro="" textlink="">
          <xdr:nvSpPr>
            <xdr:cNvPr id="0" name=""/>
            <xdr:cNvSpPr>
              <a:spLocks noTextEdit="1"/>
            </xdr:cNvSpPr>
          </xdr:nvSpPr>
          <xdr:spPr>
            <a:xfrm>
              <a:off x="11707662" y="3424085"/>
              <a:ext cx="1811545" cy="1722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244129</xdr:colOff>
      <xdr:row>0</xdr:row>
      <xdr:rowOff>14918</xdr:rowOff>
    </xdr:from>
    <xdr:to>
      <xdr:col>25</xdr:col>
      <xdr:colOff>244127</xdr:colOff>
      <xdr:row>4</xdr:row>
      <xdr:rowOff>123515</xdr:rowOff>
    </xdr:to>
    <mc:AlternateContent xmlns:mc="http://schemas.openxmlformats.org/markup-compatibility/2006" xmlns:a14="http://schemas.microsoft.com/office/drawing/2010/main">
      <mc:Choice Requires="a14">
        <xdr:graphicFrame macro="">
          <xdr:nvGraphicFramePr>
            <xdr:cNvPr id="5" name="EMPLOYMENT_STATUS">
              <a:extLst>
                <a:ext uri="{FF2B5EF4-FFF2-40B4-BE49-F238E27FC236}">
                  <a16:creationId xmlns:a16="http://schemas.microsoft.com/office/drawing/2014/main" id="{25B10560-CA34-4E62-81F3-6F36E9611855}"/>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3528808" y="14918"/>
              <a:ext cx="1811545" cy="856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246081</xdr:colOff>
      <xdr:row>38</xdr:row>
      <xdr:rowOff>157511</xdr:rowOff>
    </xdr:from>
    <xdr:to>
      <xdr:col>22</xdr:col>
      <xdr:colOff>246080</xdr:colOff>
      <xdr:row>50</xdr:row>
      <xdr:rowOff>138634</xdr:rowOff>
    </xdr:to>
    <mc:AlternateContent xmlns:mc="http://schemas.openxmlformats.org/markup-compatibility/2006" xmlns:a14="http://schemas.microsoft.com/office/drawing/2010/main">
      <mc:Choice Requires="a14">
        <xdr:graphicFrame macro="">
          <xdr:nvGraphicFramePr>
            <xdr:cNvPr id="6" name="CNT_FAM_MEMBERS">
              <a:extLst>
                <a:ext uri="{FF2B5EF4-FFF2-40B4-BE49-F238E27FC236}">
                  <a16:creationId xmlns:a16="http://schemas.microsoft.com/office/drawing/2014/main" id="{F18EC153-EF16-4EA9-983F-86B62435091C}"/>
                </a:ext>
              </a:extLst>
            </xdr:cNvPr>
            <xdr:cNvGraphicFramePr/>
          </xdr:nvGraphicFramePr>
          <xdr:xfrm>
            <a:off x="0" y="0"/>
            <a:ext cx="0" cy="0"/>
          </xdr:xfrm>
          <a:graphic>
            <a:graphicData uri="http://schemas.microsoft.com/office/drawing/2010/slicer">
              <sle:slicer xmlns:sle="http://schemas.microsoft.com/office/drawing/2010/slicer" name="CNT_FAM_MEMBERS"/>
            </a:graphicData>
          </a:graphic>
        </xdr:graphicFrame>
      </mc:Choice>
      <mc:Fallback xmlns="">
        <xdr:sp macro="" textlink="">
          <xdr:nvSpPr>
            <xdr:cNvPr id="0" name=""/>
            <xdr:cNvSpPr>
              <a:spLocks noTextEdit="1"/>
            </xdr:cNvSpPr>
          </xdr:nvSpPr>
          <xdr:spPr>
            <a:xfrm>
              <a:off x="11719213" y="7259926"/>
              <a:ext cx="1811546" cy="2223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243956</xdr:colOff>
      <xdr:row>4</xdr:row>
      <xdr:rowOff>141811</xdr:rowOff>
    </xdr:from>
    <xdr:to>
      <xdr:col>25</xdr:col>
      <xdr:colOff>243956</xdr:colOff>
      <xdr:row>13</xdr:row>
      <xdr:rowOff>156000</xdr:rowOff>
    </xdr:to>
    <mc:AlternateContent xmlns:mc="http://schemas.openxmlformats.org/markup-compatibility/2006" xmlns:a14="http://schemas.microsoft.com/office/drawing/2010/main">
      <mc:Choice Requires="a14">
        <xdr:graphicFrame macro="">
          <xdr:nvGraphicFramePr>
            <xdr:cNvPr id="7" name="NAME_INCOME_TYPE">
              <a:extLst>
                <a:ext uri="{FF2B5EF4-FFF2-40B4-BE49-F238E27FC236}">
                  <a16:creationId xmlns:a16="http://schemas.microsoft.com/office/drawing/2014/main" id="{FE99E927-C973-4768-8DA1-97855F0B5763}"/>
                </a:ext>
              </a:extLst>
            </xdr:cNvPr>
            <xdr:cNvGraphicFramePr/>
          </xdr:nvGraphicFramePr>
          <xdr:xfrm>
            <a:off x="0" y="0"/>
            <a:ext cx="0" cy="0"/>
          </xdr:xfrm>
          <a:graphic>
            <a:graphicData uri="http://schemas.microsoft.com/office/drawing/2010/slicer">
              <sle:slicer xmlns:sle="http://schemas.microsoft.com/office/drawing/2010/slicer" name="NAME_INCOME_TYPE"/>
            </a:graphicData>
          </a:graphic>
        </xdr:graphicFrame>
      </mc:Choice>
      <mc:Fallback xmlns="">
        <xdr:sp macro="" textlink="">
          <xdr:nvSpPr>
            <xdr:cNvPr id="0" name=""/>
            <xdr:cNvSpPr>
              <a:spLocks noTextEdit="1"/>
            </xdr:cNvSpPr>
          </xdr:nvSpPr>
          <xdr:spPr>
            <a:xfrm>
              <a:off x="13528635" y="889434"/>
              <a:ext cx="1811547" cy="16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245082</xdr:colOff>
      <xdr:row>27</xdr:row>
      <xdr:rowOff>129480</xdr:rowOff>
    </xdr:from>
    <xdr:to>
      <xdr:col>22</xdr:col>
      <xdr:colOff>245080</xdr:colOff>
      <xdr:row>38</xdr:row>
      <xdr:rowOff>136513</xdr:rowOff>
    </xdr:to>
    <mc:AlternateContent xmlns:mc="http://schemas.openxmlformats.org/markup-compatibility/2006" xmlns:a14="http://schemas.microsoft.com/office/drawing/2010/main">
      <mc:Choice Requires="a14">
        <xdr:graphicFrame macro="">
          <xdr:nvGraphicFramePr>
            <xdr:cNvPr id="8" name="NAME_HOUSING_TYPE">
              <a:extLst>
                <a:ext uri="{FF2B5EF4-FFF2-40B4-BE49-F238E27FC236}">
                  <a16:creationId xmlns:a16="http://schemas.microsoft.com/office/drawing/2014/main" id="{0B7FCBE0-328A-448C-85DF-683BB7C32C39}"/>
                </a:ext>
              </a:extLst>
            </xdr:cNvPr>
            <xdr:cNvGraphicFramePr/>
          </xdr:nvGraphicFramePr>
          <xdr:xfrm>
            <a:off x="0" y="0"/>
            <a:ext cx="0" cy="0"/>
          </xdr:xfrm>
          <a:graphic>
            <a:graphicData uri="http://schemas.microsoft.com/office/drawing/2010/slicer">
              <sle:slicer xmlns:sle="http://schemas.microsoft.com/office/drawing/2010/slicer" name="NAME_HOUSING_TYPE"/>
            </a:graphicData>
          </a:graphic>
        </xdr:graphicFrame>
      </mc:Choice>
      <mc:Fallback xmlns="">
        <xdr:sp macro="" textlink="">
          <xdr:nvSpPr>
            <xdr:cNvPr id="0" name=""/>
            <xdr:cNvSpPr>
              <a:spLocks noTextEdit="1"/>
            </xdr:cNvSpPr>
          </xdr:nvSpPr>
          <xdr:spPr>
            <a:xfrm>
              <a:off x="11718214" y="5175933"/>
              <a:ext cx="1811545" cy="2062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235364</xdr:colOff>
      <xdr:row>9</xdr:row>
      <xdr:rowOff>21308</xdr:rowOff>
    </xdr:from>
    <xdr:to>
      <xdr:col>22</xdr:col>
      <xdr:colOff>235363</xdr:colOff>
      <xdr:row>18</xdr:row>
      <xdr:rowOff>46747</xdr:rowOff>
    </xdr:to>
    <mc:AlternateContent xmlns:mc="http://schemas.openxmlformats.org/markup-compatibility/2006" xmlns:a14="http://schemas.microsoft.com/office/drawing/2010/main">
      <mc:Choice Requires="a14">
        <xdr:graphicFrame macro="">
          <xdr:nvGraphicFramePr>
            <xdr:cNvPr id="9" name="NAME_FAMILY_STATUS">
              <a:extLst>
                <a:ext uri="{FF2B5EF4-FFF2-40B4-BE49-F238E27FC236}">
                  <a16:creationId xmlns:a16="http://schemas.microsoft.com/office/drawing/2014/main" id="{CF0B5B8A-3547-4ED9-B5B1-63B5C4044E10}"/>
                </a:ext>
              </a:extLst>
            </xdr:cNvPr>
            <xdr:cNvGraphicFramePr/>
          </xdr:nvGraphicFramePr>
          <xdr:xfrm>
            <a:off x="0" y="0"/>
            <a:ext cx="0" cy="0"/>
          </xdr:xfrm>
          <a:graphic>
            <a:graphicData uri="http://schemas.microsoft.com/office/drawing/2010/slicer">
              <sle:slicer xmlns:sle="http://schemas.microsoft.com/office/drawing/2010/slicer" name="NAME_FAMILY_STATUS"/>
            </a:graphicData>
          </a:graphic>
        </xdr:graphicFrame>
      </mc:Choice>
      <mc:Fallback xmlns="">
        <xdr:sp macro="" textlink="">
          <xdr:nvSpPr>
            <xdr:cNvPr id="0" name=""/>
            <xdr:cNvSpPr>
              <a:spLocks noTextEdit="1"/>
            </xdr:cNvSpPr>
          </xdr:nvSpPr>
          <xdr:spPr>
            <a:xfrm>
              <a:off x="11708496" y="1703459"/>
              <a:ext cx="1811546" cy="1707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6610</xdr:colOff>
      <xdr:row>19</xdr:row>
      <xdr:rowOff>116670</xdr:rowOff>
    </xdr:from>
    <xdr:to>
      <xdr:col>19</xdr:col>
      <xdr:colOff>232475</xdr:colOff>
      <xdr:row>33</xdr:row>
      <xdr:rowOff>96865</xdr:rowOff>
    </xdr:to>
    <xdr:graphicFrame macro="">
      <xdr:nvGraphicFramePr>
        <xdr:cNvPr id="10" name="Chart 9">
          <a:extLst>
            <a:ext uri="{FF2B5EF4-FFF2-40B4-BE49-F238E27FC236}">
              <a16:creationId xmlns:a16="http://schemas.microsoft.com/office/drawing/2014/main" id="{0335A7C3-8EA9-4C58-93EB-AB3B5AF0E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8860</xdr:colOff>
      <xdr:row>6</xdr:row>
      <xdr:rowOff>13884</xdr:rowOff>
    </xdr:from>
    <xdr:to>
      <xdr:col>5</xdr:col>
      <xdr:colOff>132907</xdr:colOff>
      <xdr:row>19</xdr:row>
      <xdr:rowOff>97464</xdr:rowOff>
    </xdr:to>
    <xdr:graphicFrame macro="">
      <xdr:nvGraphicFramePr>
        <xdr:cNvPr id="11" name="Chart 10">
          <a:extLst>
            <a:ext uri="{FF2B5EF4-FFF2-40B4-BE49-F238E27FC236}">
              <a16:creationId xmlns:a16="http://schemas.microsoft.com/office/drawing/2014/main" id="{0974690B-6988-43EF-948A-E19AFAB00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186738</xdr:colOff>
      <xdr:row>6</xdr:row>
      <xdr:rowOff>5748</xdr:rowOff>
    </xdr:from>
    <xdr:to>
      <xdr:col>19</xdr:col>
      <xdr:colOff>233680</xdr:colOff>
      <xdr:row>19</xdr:row>
      <xdr:rowOff>111760</xdr:rowOff>
    </xdr:to>
    <xdr:graphicFrame macro="">
      <xdr:nvGraphicFramePr>
        <xdr:cNvPr id="12" name="Chart 11">
          <a:extLst>
            <a:ext uri="{FF2B5EF4-FFF2-40B4-BE49-F238E27FC236}">
              <a16:creationId xmlns:a16="http://schemas.microsoft.com/office/drawing/2014/main" id="{4E15B4EC-1649-4B98-B1CF-96A3B4FDA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119623</xdr:rowOff>
    </xdr:from>
    <xdr:to>
      <xdr:col>12</xdr:col>
      <xdr:colOff>0</xdr:colOff>
      <xdr:row>33</xdr:row>
      <xdr:rowOff>91721</xdr:rowOff>
    </xdr:to>
    <xdr:graphicFrame macro="">
      <xdr:nvGraphicFramePr>
        <xdr:cNvPr id="13" name="Chart 12">
          <a:extLst>
            <a:ext uri="{FF2B5EF4-FFF2-40B4-BE49-F238E27FC236}">
              <a16:creationId xmlns:a16="http://schemas.microsoft.com/office/drawing/2014/main" id="{DBFD9467-44C6-45D0-8A3B-DE84B8D47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140506</xdr:colOff>
      <xdr:row>6</xdr:row>
      <xdr:rowOff>14067</xdr:rowOff>
    </xdr:from>
    <xdr:to>
      <xdr:col>12</xdr:col>
      <xdr:colOff>176736</xdr:colOff>
      <xdr:row>19</xdr:row>
      <xdr:rowOff>106325</xdr:rowOff>
    </xdr:to>
    <xdr:graphicFrame macro="">
      <xdr:nvGraphicFramePr>
        <xdr:cNvPr id="14" name="Chart 13">
          <a:extLst>
            <a:ext uri="{FF2B5EF4-FFF2-40B4-BE49-F238E27FC236}">
              <a16:creationId xmlns:a16="http://schemas.microsoft.com/office/drawing/2014/main" id="{70A39C02-3843-479B-BFA5-B3368EFE7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33</xdr:row>
      <xdr:rowOff>97424</xdr:rowOff>
    </xdr:from>
    <xdr:to>
      <xdr:col>19</xdr:col>
      <xdr:colOff>246529</xdr:colOff>
      <xdr:row>50</xdr:row>
      <xdr:rowOff>134470</xdr:rowOff>
    </xdr:to>
    <xdr:graphicFrame macro="">
      <xdr:nvGraphicFramePr>
        <xdr:cNvPr id="15" name="Chart 14">
          <a:extLst>
            <a:ext uri="{FF2B5EF4-FFF2-40B4-BE49-F238E27FC236}">
              <a16:creationId xmlns:a16="http://schemas.microsoft.com/office/drawing/2014/main" id="{535C43BE-5F8A-4B5F-9255-F49800F67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7221407026 K.Raja kiran" refreshedDate="45648.689711458333" createdVersion="8" refreshedVersion="8" minRefreshableVersion="3" recordCount="4582" xr:uid="{7E6D9A2A-441B-4F8D-8688-FB03B51CBC3F}">
  <cacheSource type="worksheet">
    <worksheetSource name="Table"/>
  </cacheSource>
  <cacheFields count="23">
    <cacheField name="ID" numFmtId="0">
      <sharedItems containsSemiMixedTypes="0" containsString="0" containsNumber="1" containsInteger="1" minValue="5008814" maxValue="5150478"/>
    </cacheField>
    <cacheField name="CODE_GENDER" numFmtId="0">
      <sharedItems count="2">
        <s v="F"/>
        <s v="M"/>
      </sharedItems>
    </cacheField>
    <cacheField name="FLAG_OWN_CAR" numFmtId="0">
      <sharedItems/>
    </cacheField>
    <cacheField name="FLAG_OWN_REALTY" numFmtId="0">
      <sharedItems/>
    </cacheField>
    <cacheField name="CNT_CHILDREN" numFmtId="0">
      <sharedItems containsSemiMixedTypes="0" containsString="0" containsNumber="1" containsInteger="1" minValue="0" maxValue="5"/>
    </cacheField>
    <cacheField name="AMT_INCOME_TOTAL" numFmtId="0">
      <sharedItems containsSemiMixedTypes="0" containsString="0" containsNumber="1" minValue="31500" maxValue="1575000" count="162">
        <n v="283500"/>
        <n v="135000"/>
        <n v="112500"/>
        <n v="126000"/>
        <n v="297000"/>
        <n v="157500"/>
        <n v="166500"/>
        <n v="216000"/>
        <n v="225000"/>
        <n v="255150"/>
        <n v="148500"/>
        <n v="202500"/>
        <n v="315000"/>
        <n v="765000"/>
        <n v="360000"/>
        <n v="382500"/>
        <n v="180000"/>
        <n v="229500"/>
        <n v="270000"/>
        <n v="292500"/>
        <n v="74250"/>
        <n v="337500"/>
        <n v="130500"/>
        <n v="144000"/>
        <n v="267750"/>
        <n v="139500"/>
        <n v="252000"/>
        <n v="115290"/>
        <n v="279000"/>
        <n v="76500"/>
        <n v="90000"/>
        <n v="198000"/>
        <n v="117000"/>
        <n v="153000"/>
        <n v="1350000"/>
        <n v="99000"/>
        <n v="85500"/>
        <n v="67500"/>
        <n v="306000"/>
        <n v="247500"/>
        <n v="562500"/>
        <n v="675000"/>
        <n v="450000"/>
        <n v="121500"/>
        <n v="65250"/>
        <n v="45000"/>
        <n v="243000"/>
        <n v="33300"/>
        <n v="310500"/>
        <n v="110250"/>
        <n v="189000"/>
        <n v="81000"/>
        <n v="630000"/>
        <n v="328500"/>
        <n v="445500"/>
        <n v="103500"/>
        <n v="94500"/>
        <n v="207000"/>
        <n v="54000"/>
        <n v="131400"/>
        <n v="234000"/>
        <n v="405000"/>
        <n v="175500"/>
        <n v="49500"/>
        <n v="63000"/>
        <n v="274500"/>
        <n v="90900"/>
        <n v="495000"/>
        <n v="108000"/>
        <n v="162000"/>
        <n v="171000"/>
        <n v="1125000"/>
        <n v="540000"/>
        <n v="58500"/>
        <n v="206100"/>
        <n v="220500"/>
        <n v="193500"/>
        <n v="123750"/>
        <n v="265500"/>
        <n v="133650"/>
        <n v="238500"/>
        <n v="441000"/>
        <n v="51750"/>
        <n v="517500"/>
        <n v="396000"/>
        <n v="178650"/>
        <n v="211500"/>
        <n v="256500"/>
        <n v="72000"/>
        <n v="288000"/>
        <n v="364500"/>
        <n v="240750"/>
        <n v="333000"/>
        <n v="342000"/>
        <n v="167400"/>
        <n v="50850"/>
        <n v="141750"/>
        <n v="261000"/>
        <n v="40500"/>
        <n v="146250"/>
        <n v="213750"/>
        <n v="231750"/>
        <n v="346500"/>
        <n v="132372"/>
        <n v="91530"/>
        <n v="265581"/>
        <n v="191700"/>
        <n v="253800"/>
        <n v="369000"/>
        <n v="184500"/>
        <n v="176175"/>
        <n v="134419.5"/>
        <n v="78750"/>
        <n v="236250"/>
        <n v="391500"/>
        <n v="222750"/>
        <n v="72900"/>
        <n v="427500"/>
        <n v="92250"/>
        <n v="472500"/>
        <n v="900000"/>
        <n v="161100"/>
        <n v="119250"/>
        <n v="122400"/>
        <n v="140400"/>
        <n v="56250"/>
        <n v="612000"/>
        <n v="31500"/>
        <n v="69372"/>
        <n v="301500"/>
        <n v="60750"/>
        <n v="178200"/>
        <n v="73350"/>
        <n v="82350"/>
        <n v="185400"/>
        <n v="168750"/>
        <n v="360450"/>
        <n v="459000"/>
        <n v="387000"/>
        <n v="373500"/>
        <n v="143100"/>
        <n v="945000"/>
        <n v="560250"/>
        <n v="120150"/>
        <n v="179100"/>
        <n v="69750"/>
        <n v="187650"/>
        <n v="32400"/>
        <n v="147150"/>
        <n v="351000"/>
        <n v="61875"/>
        <n v="79650"/>
        <n v="195750"/>
        <n v="423000"/>
        <n v="87448.5"/>
        <n v="36900"/>
        <n v="114750"/>
        <n v="652500"/>
        <n v="1575000"/>
        <n v="810000"/>
        <n v="116100"/>
        <n v="132750"/>
      </sharedItems>
    </cacheField>
    <cacheField name="NAME_INCOME_TYPE" numFmtId="0">
      <sharedItems count="5">
        <s v="Pensioner"/>
        <s v="Commercial associate"/>
        <s v="Working"/>
        <s v="State servant"/>
        <s v="Student"/>
      </sharedItems>
    </cacheField>
    <cacheField name="NAME_EDUCATION_TYPE" numFmtId="0">
      <sharedItems count="5">
        <s v="Higher education"/>
        <s v="Secondary / secondary special"/>
        <s v="Incomplete higher"/>
        <s v="Lower secondary"/>
        <s v="Academic degree"/>
      </sharedItems>
    </cacheField>
    <cacheField name="NAME_FAMILY_STATUS" numFmtId="0">
      <sharedItems count="5">
        <s v="Separated"/>
        <s v="Married"/>
        <s v="Single / not married"/>
        <s v="Civil marriage"/>
        <s v="Widow"/>
      </sharedItems>
    </cacheField>
    <cacheField name="NAME_HOUSING_TYPE" numFmtId="0">
      <sharedItems count="6">
        <s v="House / apartment"/>
        <s v="Rented apartment"/>
        <s v="With parents"/>
        <s v="Co-op apartment"/>
        <s v="Municipal apartment"/>
        <s v="Office apartment"/>
      </sharedItems>
    </cacheField>
    <cacheField name="DATE_OF_BIRTH" numFmtId="14">
      <sharedItems containsSemiMixedTypes="0" containsNonDate="0" containsDate="1" containsString="0" minDate="1956-08-18T00:00:00" maxDate="2002-12-18T00:00:00"/>
    </cacheField>
    <cacheField name="DAYS_BIRTH" numFmtId="0">
      <sharedItems containsSemiMixedTypes="0" containsString="0" containsNumber="1" containsInteger="1" minValue="-24963" maxValue="-8041"/>
    </cacheField>
    <cacheField name="AGE" numFmtId="164">
      <sharedItems containsSemiMixedTypes="0" containsString="0" containsNumber="1" minValue="22.015058179329227" maxValue="68.344969199178649" count="2951">
        <n v="61.503080082135526"/>
        <n v="48.673511293634498"/>
        <n v="56.131416837782339"/>
        <n v="43.15126625598905"/>
        <n v="33.979466119096507"/>
        <n v="42.488706365503077"/>
        <n v="43.879534565366185"/>
        <n v="61.106091718001366"/>
        <n v="57.149897330595479"/>
        <n v="51.816563997262151"/>
        <n v="42.283367556468171"/>
        <n v="39.561943874058862"/>
        <n v="51.148528405201915"/>
        <n v="48.298425735797402"/>
        <n v="30.108145106091719"/>
        <n v="24.260095824777551"/>
        <n v="28.610540725530459"/>
        <n v="27.553730321697468"/>
        <n v="33.393566050650243"/>
        <n v="41.946611909650926"/>
        <n v="43.08555783709788"/>
        <n v="59.337440109514034"/>
        <n v="26.439425051334702"/>
        <n v="43.326488706365502"/>
        <n v="53.593429158110879"/>
        <n v="50.171115674195754"/>
        <n v="48.112251882272417"/>
        <n v="57.366187542778917"/>
        <n v="33.765913757700204"/>
        <n v="52.243668720054757"/>
        <n v="27.260780287474333"/>
        <n v="28.106776180698152"/>
        <n v="40.468172484599592"/>
        <n v="41.451060917180016"/>
        <n v="57.607118412046546"/>
        <n v="55.140314852840518"/>
        <n v="57.470225872689937"/>
        <n v="44.361396303901437"/>
        <n v="29.43189596167009"/>
        <n v="63.482546201232033"/>
        <n v="30.885694729637233"/>
        <n v="25.817932922655714"/>
        <n v="30.231348391512661"/>
        <n v="34.239561943874058"/>
        <n v="52.851471594798085"/>
        <n v="64.284736481861742"/>
        <n v="47.293634496919921"/>
        <n v="44.342231348391515"/>
        <n v="37.207392197125259"/>
        <n v="42.510609171800134"/>
        <n v="51.507186858316224"/>
        <n v="41.486652977412732"/>
        <n v="58.360027378507873"/>
        <n v="33.612594113620808"/>
        <n v="40.216290212183438"/>
        <n v="27.832991101984941"/>
        <n v="43.271731690622858"/>
        <n v="59.378507871321013"/>
        <n v="63.789185489390832"/>
        <n v="35.589322381930188"/>
        <n v="27.069130732375086"/>
        <n v="52.95277207392197"/>
        <n v="40.128678986995212"/>
        <n v="37.117043121149898"/>
        <n v="24.878850102669404"/>
        <n v="38.652977412731005"/>
        <n v="60.238193018480494"/>
        <n v="42.258726899383987"/>
        <n v="32.342231348391515"/>
        <n v="28.569472963723477"/>
        <n v="34.595482546201232"/>
        <n v="43.534565366187543"/>
        <n v="27.60848733744011"/>
        <n v="28.134154688569474"/>
        <n v="32.832306639288156"/>
        <n v="30.475017111567421"/>
        <n v="52.347707049965777"/>
        <n v="54.64202600958248"/>
        <n v="29.322381930184804"/>
        <n v="56.520191649555102"/>
        <n v="38.165639972621491"/>
        <n v="63.852156057494867"/>
        <n v="35.307323750855581"/>
        <n v="56.898015058179332"/>
        <n v="60.563997262149215"/>
        <n v="59.928815879534568"/>
        <n v="50.579055441478438"/>
        <n v="57.30595482546201"/>
        <n v="22.253251197809718"/>
        <n v="28.210814510609172"/>
        <n v="37.073237508555785"/>
        <n v="58.231348391512661"/>
        <n v="22.896646132785762"/>
        <n v="45.987679671457904"/>
        <n v="63.890485968514717"/>
        <n v="63.518138261464749"/>
        <n v="27.326488706365502"/>
        <n v="37.68377823408624"/>
        <n v="51.945242984257355"/>
        <n v="48"/>
        <n v="45.193702943189599"/>
        <n v="37.754962354551679"/>
        <n v="55.816563997262151"/>
        <n v="62.606433949349757"/>
        <n v="28.996577686516083"/>
        <n v="26.830937713894592"/>
        <n v="65.073237508555778"/>
        <n v="59.832991101984945"/>
        <n v="42.91581108829569"/>
        <n v="30.409308692676248"/>
        <n v="36.268309377138948"/>
        <n v="32.61327857631759"/>
        <n v="37.790554414784395"/>
        <n v="37.694729637234772"/>
        <n v="27.975359342915812"/>
        <n v="37.864476386036962"/>
        <n v="27.523613963039015"/>
        <n v="50.5845311430527"/>
        <n v="55.756331279945243"/>
        <n v="49.785078713210133"/>
        <n v="27.775496235455169"/>
        <n v="30.992470910335388"/>
        <n v="62.770704996577685"/>
        <n v="32.481861738535251"/>
        <n v="54.475017111567418"/>
        <n v="34.116358658453116"/>
        <n v="36.577686516084874"/>
        <n v="46.976043805612591"/>
        <n v="38.214921286789867"/>
        <n v="58.579055441478438"/>
        <n v="32.451745379876797"/>
        <n v="58.453114305270361"/>
        <n v="42.299794661190965"/>
        <n v="37.872689938398359"/>
        <n v="47.312799452429843"/>
        <n v="32.366872005475699"/>
        <n v="45.34428473648186"/>
        <n v="56.640657084188909"/>
        <n v="27.132101300479125"/>
        <n v="28.90075290896646"/>
        <n v="37.051334702258728"/>
        <n v="34.893908281998634"/>
        <n v="46.034223134839152"/>
        <n v="40.336755646817245"/>
        <n v="31.498973305954827"/>
        <n v="37.281314168377826"/>
        <n v="30.439425051334702"/>
        <n v="29.396303901437371"/>
        <n v="32.911704312114992"/>
        <n v="45.333333333333336"/>
        <n v="45.4154688569473"/>
        <n v="55.572895277207394"/>
        <n v="62.379192334017795"/>
        <n v="50.414784394250511"/>
        <n v="51.518138261464749"/>
        <n v="55.378507871321013"/>
        <n v="43.375770020533878"/>
        <n v="55.326488706365502"/>
        <n v="51.88227241615332"/>
        <n v="28.793976728268309"/>
        <n v="51.477070499657771"/>
        <n v="37.29226557152635"/>
        <n v="34.943189596167009"/>
        <n v="27.186858316221766"/>
        <n v="29.032169746748803"/>
        <n v="62.277891854893909"/>
        <n v="38.683093771389458"/>
        <n v="32.583162217659137"/>
        <n v="46.258726899383987"/>
        <n v="31.342915811088297"/>
        <n v="50.5242984257358"/>
        <n v="60.506502395619435"/>
        <n v="59.808350444900753"/>
        <n v="54.937713894592747"/>
        <n v="26.138261464750173"/>
        <n v="57.900068446269678"/>
        <n v="52.128678986995212"/>
        <n v="32.594113620807668"/>
        <n v="29.199178644763862"/>
        <n v="29.245722108145106"/>
        <n v="41.330595482546201"/>
        <n v="49.653661875427787"/>
        <n v="57.138945927446954"/>
        <n v="49.796030116358658"/>
        <n v="27.121149897330596"/>
        <n v="26.795345653661876"/>
        <n v="53.8590006844627"/>
        <n v="41.075975359342912"/>
        <n v="34.370978781656397"/>
        <n v="37.74948665297741"/>
        <n v="51.32101300479124"/>
        <n v="36.153319644079396"/>
        <n v="50.704996577686515"/>
        <n v="48.610540725530456"/>
        <n v="57.106091718001366"/>
        <n v="28.490075290896645"/>
        <n v="41.125256673511295"/>
        <n v="33.744010951403148"/>
        <n v="30.140999315537304"/>
        <n v="31.359342915811087"/>
        <n v="36.019164955509922"/>
        <n v="55.739904175222449"/>
        <n v="24.621492128678987"/>
        <n v="49.9192334017796"/>
        <n v="46.403832991101986"/>
        <n v="57.330595482546201"/>
        <n v="28.276522929500342"/>
        <n v="60.813141683778234"/>
        <n v="34.160164271047229"/>
        <n v="32.087611225188226"/>
        <n v="35.865845311430526"/>
        <n v="25.470225872689937"/>
        <n v="27.247091033538673"/>
        <n v="40.706365503080079"/>
        <n v="27.512662559890487"/>
        <n v="35.074606433949349"/>
        <n v="55.126625598904859"/>
        <n v="53.256673511293634"/>
        <n v="52.580424366872002"/>
        <n v="43.290896646132786"/>
        <n v="48.832306639288156"/>
        <n v="53.897330595482543"/>
        <n v="27.627652292950035"/>
        <n v="56.621492128678987"/>
        <n v="53.577002053388092"/>
        <n v="32.084873374401099"/>
        <n v="41.533196440793979"/>
        <n v="54.154688569472967"/>
        <n v="38.721423682409309"/>
        <n v="42.658453114305267"/>
        <n v="41.700205338809035"/>
        <n v="64.739219712525667"/>
        <n v="41.341546885694733"/>
        <n v="52.134154688569474"/>
        <n v="31.137577002053387"/>
        <n v="26.433949349760439"/>
        <n v="56.654346338124569"/>
        <n v="62.255989048596852"/>
        <n v="30.587268993839835"/>
        <n v="48.010951403148532"/>
        <n v="59.956194387405887"/>
        <n v="29.691991786447637"/>
        <n v="45.363449691991789"/>
        <n v="49.081451060917182"/>
        <n v="43.570157426420259"/>
        <n v="23.808350444900753"/>
        <n v="47.389459274469544"/>
        <n v="46.409308692676248"/>
        <n v="51.006160164271044"/>
        <n v="32.810403832991099"/>
        <n v="30.757015742642025"/>
        <n v="35.786447638603697"/>
        <n v="23.362080766598222"/>
        <n v="48.741957563312802"/>
        <n v="36.78302532511978"/>
        <n v="27.772758384668034"/>
        <n v="33.177275838466805"/>
        <n v="30.622861054072555"/>
        <n v="32.194387405886381"/>
        <n v="60.396988364134153"/>
        <n v="27.000684462696782"/>
        <n v="56.845995893223822"/>
        <n v="38.505133470225871"/>
        <n v="58.286105407255306"/>
        <n v="29.568788501026695"/>
        <n v="37.91101984941821"/>
        <n v="62.872005475701577"/>
        <n v="32.84873374401095"/>
        <n v="32.580424366872002"/>
        <n v="34.206707734428477"/>
        <n v="38.603696098562629"/>
        <n v="44.6652977412731"/>
        <n v="36.484599589322379"/>
        <n v="29.472963723477072"/>
        <n v="43.126625598904859"/>
        <n v="33.388090349075974"/>
        <n v="34.53798767967146"/>
        <n v="38.592744695414098"/>
        <n v="50.083504449007528"/>
        <n v="35.394934976043807"/>
        <n v="52.197125256673509"/>
        <n v="51.657768651608485"/>
        <n v="66.559890485968509"/>
        <n v="65.587953456536624"/>
        <n v="62.989733059548257"/>
        <n v="57.037645448323069"/>
        <n v="41.308692676249144"/>
        <n v="57.35797399041752"/>
        <n v="57.979466119096507"/>
        <n v="30.880219028062971"/>
        <n v="37.760438056125942"/>
        <n v="59.687885010266939"/>
        <n v="32.057494866529773"/>
        <n v="59.871321013004788"/>
        <n v="41.494866529774129"/>
        <n v="27.750855578370977"/>
        <n v="57.864476386036962"/>
        <n v="31.211498973305954"/>
        <n v="37.393566050650243"/>
        <n v="48.563997262149215"/>
        <n v="58.228610540725533"/>
        <n v="31.550992470910334"/>
        <n v="60.585900068446271"/>
        <n v="45.754962354551679"/>
        <n v="30.669404517453799"/>
        <n v="58.047912388774812"/>
        <n v="32.605065023956193"/>
        <n v="28.752908966461327"/>
        <n v="66.469541409993155"/>
        <n v="29.593429158110883"/>
        <n v="59.351129363449694"/>
        <n v="59.252566735112936"/>
        <n v="62.231348391512661"/>
        <n v="56.290212183436005"/>
        <n v="57.52772073921971"/>
        <n v="31.408624229979466"/>
        <n v="46.042436687200549"/>
        <n v="43.868583162217661"/>
        <n v="56.013689253935659"/>
        <n v="59.411362080766601"/>
        <n v="33.557837097878163"/>
        <n v="48.684462696783022"/>
        <n v="58.822724161533195"/>
        <n v="61.675564681724843"/>
        <n v="62.986995208761122"/>
        <n v="39.326488706365502"/>
        <n v="63.121149897330596"/>
        <n v="33.598904859685149"/>
        <n v="40.454483230663932"/>
        <n v="28.005475701574266"/>
        <n v="30.34633812457221"/>
        <n v="33.360711841204655"/>
        <n v="60.4435318275154"/>
        <n v="28.093086926762492"/>
        <n v="62.945927446954144"/>
        <n v="59.969883641341546"/>
        <n v="39.663244353182755"/>
        <n v="47.356605065023956"/>
        <n v="38.973305954825463"/>
        <n v="54.036960985626287"/>
        <n v="51.868583162217661"/>
        <n v="46.913073237508556"/>
        <n v="33.29226557152635"/>
        <n v="26.967830253251197"/>
        <n v="62.031485284052017"/>
        <n v="44.279260780287473"/>
        <n v="40.722792607802873"/>
        <n v="24.821355236139631"/>
        <n v="39.915126625598901"/>
        <n v="40.963723477070502"/>
        <n v="26.72416153319644"/>
        <n v="29.697467488021903"/>
        <n v="40.005475701574262"/>
        <n v="42.324435318275157"/>
        <n v="35.326488706365502"/>
        <n v="35.624914442162904"/>
        <n v="30.061601642710471"/>
        <n v="39.290896646132786"/>
        <n v="60.344969199178642"/>
        <n v="23.696098562628336"/>
        <n v="36.550308008213555"/>
        <n v="42.65571526351814"/>
        <n v="44.566735112936342"/>
        <n v="42.984257357973988"/>
        <n v="42.461327857631758"/>
        <n v="48.024640657084191"/>
        <n v="54.822724161533195"/>
        <n v="57.85352498288843"/>
        <n v="64.084873374401099"/>
        <n v="47.641341546885698"/>
        <n v="33.711156741957566"/>
        <n v="27.337440109514031"/>
        <n v="34.373716632443532"/>
        <n v="36.944558521560573"/>
        <n v="40.618754277891853"/>
        <n v="47.600273785078713"/>
        <n v="65.396303901437378"/>
        <n v="57.284052019164953"/>
        <n v="34.507871321013006"/>
        <n v="27.545516769336071"/>
        <n v="55.583846680355919"/>
        <n v="59.457905544147842"/>
        <n v="28.511978097193705"/>
        <n v="38.904859685147159"/>
        <n v="64.087611225188226"/>
        <n v="63.132101300479121"/>
        <n v="38.5242984257358"/>
        <n v="28.071184120465436"/>
        <n v="33.80698151950719"/>
        <n v="24.347707049965777"/>
        <n v="63.761806981519506"/>
        <n v="54.543463381245722"/>
        <n v="27.961670088980149"/>
        <n v="46.510609171800134"/>
        <n v="41.377138945927449"/>
        <n v="52.106776180698155"/>
        <n v="49.708418891170432"/>
        <n v="45.201916495550989"/>
        <n v="38.86379192334018"/>
        <n v="44.736481861738532"/>
        <n v="23.457905544147845"/>
        <n v="65.347022587268995"/>
        <n v="33.905544147843941"/>
        <n v="31.515400410677618"/>
        <n v="39.958932238193022"/>
        <n v="67.028062970568101"/>
        <n v="48.164271047227928"/>
        <n v="23.411362080766597"/>
        <n v="59.296372347707049"/>
        <n v="43.498973305954827"/>
        <n v="35.3347022587269"/>
        <n v="40.145106091717999"/>
        <n v="37.262149212867897"/>
        <n v="34.587268993839835"/>
        <n v="33.24572210814511"/>
        <n v="26.970568104038328"/>
        <n v="56.079397672826829"/>
        <n v="34.683093771389458"/>
        <n v="27.698836413415467"/>
        <n v="57.637234770705"/>
        <n v="51.066392881587952"/>
        <n v="25.77138945927447"/>
        <n v="41.497604380561256"/>
        <n v="32.109514031485283"/>
        <n v="63.123887748117724"/>
        <n v="28.711841204654345"/>
        <n v="41.63175906913073"/>
        <n v="67.600273785078713"/>
        <n v="26.587268993839835"/>
        <n v="45.437371663244356"/>
        <n v="30.420260095824776"/>
        <n v="49.177275838466805"/>
        <n v="48.596851471594796"/>
        <n v="62.502395619438744"/>
        <n v="61.437371663244356"/>
        <n v="43.696098562628336"/>
        <n v="28.350444900752908"/>
        <n v="39.857631759069129"/>
        <n v="39.969883641341546"/>
        <n v="32.78302532511978"/>
        <n v="42.945927446954144"/>
        <n v="34.162902121834357"/>
        <n v="61.453798767967143"/>
        <n v="59.227926078028744"/>
        <n v="64.180698151950722"/>
        <n v="37.015742642026012"/>
        <n v="31.255304585900067"/>
        <n v="36.432580424366868"/>
        <n v="54.464065708418893"/>
        <n v="27.1813826146475"/>
        <n v="56.076659822039701"/>
        <n v="44.563997262149215"/>
        <n v="44.969199178644764"/>
        <n v="36.005475701574262"/>
        <n v="60.186173853524984"/>
        <n v="42.160164271047229"/>
        <n v="39.315537303216978"/>
        <n v="37.459274469541413"/>
        <n v="53.568788501026695"/>
        <n v="52.884325804243666"/>
        <n v="33.886379192334019"/>
        <n v="45.492128678986994"/>
        <n v="35.668720054757017"/>
        <n v="60.933607118412048"/>
        <n v="61.456536618754278"/>
        <n v="53.984941820670777"/>
        <n v="37.68925393566051"/>
        <n v="49.46748802190281"/>
        <n v="49.308692676249144"/>
        <n v="52.421629021218344"/>
        <n v="44.673511293634498"/>
        <n v="41.965776865160848"/>
        <n v="31.331964407939768"/>
        <n v="47.345653661875431"/>
        <n v="54.034223134839152"/>
        <n v="54.3025325119781"/>
        <n v="62.921286789869953"/>
        <n v="35.247091033538673"/>
        <n v="37.949349760438054"/>
        <n v="49.91101984941821"/>
        <n v="54.395619438740589"/>
        <n v="26.743326488706366"/>
        <n v="31.058179329226558"/>
        <n v="38.053388090349074"/>
        <n v="40.156057494866531"/>
        <n v="51.720739219712527"/>
        <n v="55.567419575633132"/>
        <n v="39.901437371663242"/>
        <n v="28.925393566050651"/>
        <n v="59.143052703627653"/>
        <n v="44.67898699520876"/>
        <n v="38.704996577686515"/>
        <n v="55.208761122518823"/>
        <n v="42.789869952087614"/>
        <n v="42.855578370978783"/>
        <n v="60.402464065708422"/>
        <n v="29.242984257357975"/>
        <n v="28.725530458590008"/>
        <n v="32.736481861738532"/>
        <n v="48.095824777549623"/>
        <n v="26.234086242299796"/>
        <n v="29.77138945927447"/>
        <n v="54.633812457221083"/>
        <n v="25.902806297056809"/>
        <n v="34.176591375770023"/>
        <n v="28.862422997946613"/>
        <n v="32.632443531827512"/>
        <n v="22.206707734428473"/>
        <n v="43.356605065023956"/>
        <n v="34.395619438740589"/>
        <n v="33.048596851471594"/>
        <n v="50.631074606433948"/>
        <n v="37.965776865160848"/>
        <n v="45.932922655715267"/>
        <n v="51.457905544147842"/>
        <n v="33.051334702258728"/>
        <n v="52.468172484599592"/>
        <n v="27.277207392197127"/>
        <n v="47.096509240246405"/>
        <n v="57.092402464065707"/>
        <n v="54.294318959616703"/>
        <n v="61.007529089664615"/>
        <n v="59.805612594113619"/>
        <n v="52.191649555099247"/>
        <n v="42.08898015058179"/>
        <n v="33.336071184120463"/>
        <n v="63.586584531143053"/>
        <n v="26.611909650924023"/>
        <n v="54.92950034223135"/>
        <n v="27.797399041752225"/>
        <n v="25.634496919917865"/>
        <n v="61.733059548254623"/>
        <n v="31.66050650239562"/>
        <n v="36.2217659137577"/>
        <n v="40.331279945242983"/>
        <n v="45.68377823408624"/>
        <n v="34.414784394250511"/>
        <n v="31.969883641341546"/>
        <n v="56.859685147159482"/>
        <n v="51.734428473648187"/>
        <n v="60.547570157426421"/>
        <n v="53.13620807665982"/>
        <n v="63.345653661875431"/>
        <n v="36.840520191649553"/>
        <n v="41.42368240930869"/>
        <n v="56.955509924709105"/>
        <n v="38.455852156057496"/>
        <n v="42.64202600958248"/>
        <n v="61.823408624229977"/>
        <n v="29.957563312799451"/>
        <n v="36.865160848733744"/>
        <n v="47.477070499657771"/>
        <n v="57.067761806981522"/>
        <n v="49.97125256673511"/>
        <n v="44.542094455852158"/>
        <n v="47.644079397672826"/>
        <n v="28.887063655030801"/>
        <n v="44.728268309377142"/>
        <n v="57.363449691991789"/>
        <n v="62.203969883641342"/>
        <n v="49.448323066392881"/>
        <n v="52.711841204654348"/>
        <n v="34.997946611909654"/>
        <n v="39.961670088980149"/>
        <n v="65.026694045174537"/>
        <n v="46.945927446954144"/>
        <n v="43.731690622861052"/>
        <n v="50.978781656399725"/>
        <n v="59.507186858316224"/>
        <n v="30.795345653661876"/>
        <n v="41.508555783709788"/>
        <n v="43.59479808350445"/>
        <n v="22.015058179329227"/>
        <n v="48.407939767282684"/>
        <n v="33.650924024640659"/>
        <n v="38.346338124572213"/>
        <n v="50.379192334017795"/>
        <n v="36.043805612594113"/>
        <n v="56.643394934976044"/>
        <n v="54.647501711156742"/>
        <n v="30.11088295687885"/>
        <n v="26.770704996577688"/>
        <n v="49.377138945927449"/>
        <n v="58.083504449007528"/>
        <n v="31.167693360711841"/>
        <n v="34.3025325119781"/>
        <n v="35.750855578370981"/>
        <n v="26.683093771389458"/>
        <n v="54.839151266255989"/>
        <n v="27.263518138261464"/>
        <n v="42.370978781656397"/>
        <n v="49.092402464065707"/>
        <n v="29.15811088295688"/>
        <n v="39.879534565366185"/>
        <n v="27.058179329226558"/>
        <n v="42.149212867898697"/>
        <n v="39.408624229979466"/>
        <n v="40.733744010951405"/>
        <n v="28.295687885010267"/>
        <n v="60.755646817248461"/>
        <n v="51.871321013004788"/>
        <n v="55.192334017796028"/>
        <n v="39.627652292950032"/>
        <n v="43.687885010266939"/>
        <n v="35.586584531143053"/>
        <n v="46.154688569472967"/>
        <n v="40.525667351129364"/>
        <n v="39.928815879534568"/>
        <n v="65.242984257357975"/>
        <n v="63.189596167008901"/>
        <n v="39.178644763860369"/>
        <n v="32.963723477070502"/>
        <n v="43.052703627652292"/>
        <n v="56.777549623545518"/>
        <n v="46.997946611909654"/>
        <n v="44.555783709787818"/>
        <n v="67.983572895277206"/>
        <n v="50.488706365503077"/>
        <n v="51.827515400410675"/>
        <n v="37.733059548254623"/>
        <n v="50.64202600958248"/>
        <n v="37.905544147843941"/>
        <n v="34.499657768651609"/>
        <n v="35.994524298425738"/>
        <n v="59.550992470910337"/>
        <n v="29.095140314852841"/>
        <n v="61.01848049281314"/>
        <n v="45.067761806981522"/>
        <n v="31.832991101984941"/>
        <n v="44.810403832991099"/>
        <n v="39.633127994524301"/>
        <n v="47.340177960301162"/>
        <n v="57.828884325804246"/>
        <n v="48.495550992470911"/>
        <n v="54.231348391512661"/>
        <n v="30.926762491444215"/>
        <n v="28.265571526351813"/>
        <n v="59.567419575633132"/>
        <n v="61.875427789185487"/>
        <n v="60.005475701574262"/>
        <n v="33.169062286105408"/>
        <n v="34.455852156057496"/>
        <n v="61.790554414784395"/>
        <n v="28.125941136208077"/>
        <n v="37.314168377823407"/>
        <n v="49.908281998631075"/>
        <n v="30.537987679671456"/>
        <n v="53.601642710472277"/>
        <n v="62.291581108829568"/>
        <n v="33.190965092402465"/>
        <n v="47.279945242984255"/>
        <n v="52.763860369609858"/>
        <n v="55.967145790554412"/>
        <n v="57.221081451060918"/>
        <n v="45.963039014373713"/>
        <n v="64.741957563312795"/>
        <n v="45.029431895961672"/>
        <n v="60.158795345653665"/>
        <n v="55.531827515400408"/>
        <n v="53.587953456536617"/>
        <n v="67.490759753593423"/>
        <n v="42.286105407255306"/>
        <n v="29.237508555783709"/>
        <n v="42.395619438740589"/>
        <n v="58.5845311430527"/>
        <n v="44.944558521560573"/>
        <n v="29.31416837782341"/>
        <n v="55.868583162217661"/>
        <n v="45.242984257357975"/>
        <n v="59.394934976043807"/>
        <n v="34.329911019849419"/>
        <n v="49.817932922655714"/>
        <n v="54.381930184804929"/>
        <n v="56.566735112936342"/>
        <n v="56.101300479123886"/>
        <n v="35.21697467488022"/>
        <n v="57.587953456536617"/>
        <n v="28.687200547570157"/>
        <n v="49.262149212867897"/>
        <n v="37.470225872689937"/>
        <n v="31.611225188227241"/>
        <n v="62.127310061601641"/>
        <n v="35.041752224503767"/>
        <n v="31.367556468172484"/>
        <n v="39.266255989048595"/>
        <n v="44.971937029431899"/>
        <n v="47.080082135523611"/>
        <n v="28.563997262149211"/>
        <n v="25.152635181382614"/>
        <n v="55.865845311430526"/>
        <n v="33.420944558521562"/>
        <n v="59.876796714579058"/>
        <n v="26.088980150581794"/>
        <n v="28.668035592060232"/>
        <n v="39.876796714579058"/>
        <n v="33.634496919917865"/>
        <n v="34.31622176591376"/>
        <n v="49.171800136892543"/>
        <n v="49.897330595482543"/>
        <n v="61.861738535249827"/>
        <n v="46.384668035592057"/>
        <n v="43.414099931553729"/>
        <n v="51.318275154004105"/>
        <n v="39.685147159479811"/>
        <n v="38.677618069815196"/>
        <n v="64.429842573579734"/>
        <n v="54.18480492813142"/>
        <n v="49.426420260095824"/>
        <n v="50.685831622176593"/>
        <n v="59.742642026009584"/>
        <n v="39.400410677618069"/>
        <n v="42.105407255304584"/>
        <n v="57.434633812457221"/>
        <n v="59.753593429158109"/>
        <n v="59.466119096509239"/>
        <n v="37.24572210814511"/>
        <n v="59.192334017796028"/>
        <n v="52.027378507871319"/>
        <n v="50.726899383983572"/>
        <n v="67.783709787816562"/>
        <n v="48.777549623545518"/>
        <n v="43.583846680355919"/>
        <n v="41.85352498288843"/>
        <n v="37.4757015742642"/>
        <n v="50.535249828884325"/>
        <n v="50.050650239561946"/>
        <n v="35.550992470910337"/>
        <n v="51.780971937029435"/>
        <n v="43.529089664613281"/>
        <n v="62.59000684462697"/>
        <n v="39.422313483915126"/>
        <n v="59.030800821355236"/>
        <n v="40.769336071184121"/>
        <n v="34.108145106091719"/>
        <n v="64.388774811772763"/>
        <n v="30.718685831622178"/>
        <n v="34.447638603696099"/>
        <n v="56.016427104722794"/>
        <n v="46.674880219028061"/>
        <n v="47.101984941820668"/>
        <n v="32.903490759753595"/>
        <n v="23.000684462696782"/>
        <n v="41.34428473648186"/>
        <n v="28.309377138945926"/>
        <n v="52.843258042436688"/>
        <n v="32.45722108145106"/>
        <n v="43.961670088980149"/>
        <n v="25.952087611225188"/>
        <n v="40.815879534565369"/>
        <n v="30.171115674195757"/>
        <n v="29.371663244353183"/>
        <n v="48.440793976728266"/>
        <n v="47.682409308692677"/>
        <n v="60.906228610540722"/>
        <n v="26.119096509240247"/>
        <n v="42.417522245037645"/>
        <n v="27.559206023271731"/>
        <n v="43.310061601642708"/>
        <n v="38.855578370978783"/>
        <n v="37.620807665982205"/>
        <n v="53.221081451060918"/>
        <n v="62.264202600958249"/>
        <n v="37.429158110882959"/>
        <n v="46.562628336755644"/>
        <n v="39.665982203969882"/>
        <n v="34.699520876112253"/>
        <n v="62.658453114305267"/>
        <n v="30.209445585215605"/>
        <n v="57.029431895961672"/>
        <n v="47.805612594113619"/>
        <n v="55.485284052019168"/>
        <n v="49.771389459274467"/>
        <n v="51.296372347707049"/>
        <n v="58.433949349760439"/>
        <n v="50.425735797399042"/>
        <n v="46.628336755646821"/>
        <n v="54.904859685147159"/>
        <n v="63.066392881587952"/>
        <n v="46.360027378507873"/>
        <n v="50.822724161533195"/>
        <n v="63.663244353182755"/>
        <n v="27.657768651608489"/>
        <n v="28.240930869267626"/>
        <n v="35.759069130732378"/>
        <n v="41.426420260095824"/>
        <n v="29.377138945927445"/>
        <n v="35.991786447638603"/>
        <n v="60.50924024640657"/>
        <n v="55.838466803559207"/>
        <n v="42.02874743326489"/>
        <n v="31.860369609856264"/>
        <n v="24.657084188911703"/>
        <n v="39.477070499657771"/>
        <n v="35.101984941820668"/>
        <n v="35.466119096509239"/>
        <n v="36.889801505817935"/>
        <n v="26.201232032854211"/>
        <n v="35.463381245722111"/>
        <n v="42.464065708418893"/>
        <n v="45.470225872689937"/>
        <n v="38.839151266255989"/>
        <n v="31.553730321697468"/>
        <n v="58.899383983572896"/>
        <n v="33.440109514031484"/>
        <n v="47.575633127994521"/>
        <n v="41.464750171115675"/>
        <n v="37.029431895961672"/>
        <n v="40.974674880219027"/>
        <n v="57.593429158110879"/>
        <n v="43.707049965776868"/>
        <n v="44.824093086926766"/>
        <n v="47.561943874058862"/>
        <n v="47.893223819301845"/>
        <n v="60.205338809034906"/>
        <n v="43.364818617385353"/>
        <n v="50.896646132785762"/>
        <n v="62.327173169062284"/>
        <n v="33.878165639972622"/>
        <n v="28.232717316906228"/>
        <n v="55.455167693360714"/>
        <n v="40.071184120465432"/>
        <n v="44.643394934976044"/>
        <n v="28.407939767282684"/>
        <n v="38.494182067077347"/>
        <n v="35.808350444900753"/>
        <n v="63.767282683093768"/>
        <n v="45.199178644763862"/>
        <n v="43.950718685831625"/>
        <n v="53.374401095140314"/>
        <n v="38.702258726899387"/>
        <n v="28.454483230663929"/>
        <n v="53.711156741957566"/>
        <n v="34.195756331279945"/>
        <n v="53.026694045174537"/>
        <n v="28.908966461327857"/>
        <n v="32.071184120465432"/>
        <n v="35.178644763860369"/>
        <n v="44.16974674880219"/>
        <n v="65.837097878165636"/>
        <n v="31.841204654346338"/>
        <n v="48.068446269678304"/>
        <n v="41.634496919917865"/>
        <n v="39.411362080766601"/>
        <n v="37.9192334017796"/>
        <n v="39.206023271731688"/>
        <n v="27.734428473648187"/>
        <n v="58.480492813141687"/>
        <n v="28.810403832991103"/>
        <n v="62.666666666666664"/>
        <n v="45.505817932922653"/>
        <n v="42.726899383983572"/>
        <n v="24.914442162902123"/>
        <n v="52.095824777549623"/>
        <n v="38.412046543463383"/>
        <n v="49.691991786447637"/>
        <n v="59.860369609856264"/>
        <n v="55.701574264202598"/>
        <n v="59.66050650239562"/>
        <n v="31.978097193702943"/>
        <n v="44.11772758384668"/>
        <n v="32.829568788501028"/>
        <n v="38.776180698151954"/>
        <n v="22.056125941136209"/>
        <n v="57.839835728952771"/>
        <n v="31.299110198494184"/>
        <n v="38.53798767967146"/>
        <n v="49.149897330595479"/>
        <n v="59.08555783709788"/>
        <n v="37.746748802190282"/>
        <n v="60.109514031485283"/>
        <n v="59.096509240246405"/>
        <n v="58.201232032854207"/>
        <n v="35.381245722108147"/>
        <n v="43.630390143737166"/>
        <n v="57.97125256673511"/>
        <n v="31.378507871321013"/>
        <n v="61.092402464065707"/>
        <n v="36.706365503080079"/>
        <n v="64.465434633812464"/>
        <n v="52.145106091717999"/>
        <n v="22.269678302532512"/>
        <n v="37.678302532511978"/>
        <n v="31.479808350444902"/>
        <n v="60.558521560574945"/>
        <n v="29.943874058863791"/>
        <n v="32.202600958247778"/>
        <n v="39.42505133470226"/>
        <n v="39.301848049281311"/>
        <n v="40.668035592060235"/>
        <n v="34.828199863107457"/>
        <n v="44.451745379876797"/>
        <n v="28.150581793292265"/>
        <n v="29.503080082135522"/>
        <n v="25.867214236824093"/>
        <n v="40.774811772758383"/>
        <n v="25.401779603011637"/>
        <n v="25.848049281314168"/>
        <n v="25.303216974674879"/>
        <n v="58.611909650924026"/>
        <n v="61.163586584531146"/>
        <n v="34.554414784394254"/>
        <n v="26.666666666666668"/>
        <n v="45.74948665297741"/>
        <n v="26.625598904859686"/>
        <n v="57.086926762491444"/>
        <n v="46.516084873374403"/>
        <n v="65.524982888432575"/>
        <n v="41.169062286105408"/>
        <n v="52.175222450376452"/>
        <n v="42.836413415468854"/>
        <n v="32.216290212183438"/>
        <n v="57.889117043121146"/>
        <n v="47.247091033538673"/>
        <n v="41.768651608487339"/>
        <n v="30.009582477754961"/>
        <n v="48.736481861738532"/>
        <n v="38.970568104038328"/>
        <n v="57.577002053388092"/>
        <n v="58.87748117727584"/>
        <n v="37.352498288843258"/>
        <n v="34.540725530458587"/>
        <n v="55.581108829568791"/>
        <n v="41.984941820670777"/>
        <n v="65.943874058863798"/>
        <n v="30.234086242299796"/>
        <n v="61.382614647501711"/>
        <n v="60.106776180698155"/>
        <n v="62.390143737166326"/>
        <n v="36.125941136208077"/>
        <n v="57.065023956194388"/>
        <n v="60.829568788501028"/>
        <n v="29.215605749486652"/>
        <n v="44.470910335386719"/>
        <n v="57.675564681724843"/>
        <n v="54.959616700889804"/>
        <n v="28.709103353867214"/>
        <n v="56.74469541409993"/>
        <n v="36.818617385352496"/>
        <n v="39.38672142368241"/>
        <n v="58.666666666666664"/>
        <n v="66.299794661190958"/>
        <n v="59.54277891854894"/>
        <n v="29.872689938398356"/>
        <n v="58.02874743326489"/>
        <n v="44.807665982203972"/>
        <n v="33.34428473648186"/>
        <n v="30.499657768651609"/>
        <n v="29.089664613278575"/>
        <n v="40.210814510609168"/>
        <n v="53.672826830937716"/>
        <n v="41.295003422313485"/>
        <n v="49.637234770705"/>
        <n v="38.688569472963721"/>
        <n v="58.488706365503077"/>
        <n v="35.329226557152637"/>
        <n v="51.690622861054074"/>
        <n v="38.518822724161531"/>
        <n v="24.845995893223819"/>
        <n v="52.83504449007529"/>
        <n v="59.885010266940455"/>
        <n v="37.653661875427787"/>
        <n v="39.463381245722111"/>
        <n v="59.750855578370981"/>
        <n v="27.613963039014372"/>
        <n v="43.827515400410675"/>
        <n v="64.777549623545511"/>
        <n v="28.629705681040384"/>
        <n v="33.201916495550989"/>
        <n v="38.395619438740589"/>
        <n v="28.5968514715948"/>
        <n v="59.879534565366185"/>
        <n v="50.53798767967146"/>
        <n v="50.324435318275157"/>
        <n v="48.870636550308006"/>
        <n v="45.366187542778917"/>
        <n v="25.256673511293634"/>
        <n v="33.067761806981522"/>
        <n v="58.625598904859686"/>
        <n v="54.162902121834357"/>
        <n v="38.663928815879537"/>
        <n v="35.753593429158109"/>
        <n v="44.572210814510612"/>
        <n v="46.765229295003422"/>
        <n v="40.958247775496233"/>
        <n v="64.580424366872009"/>
        <n v="27.427789185489392"/>
        <n v="30.078028747433265"/>
        <n v="27.411362080766597"/>
        <n v="64.301163586584536"/>
        <n v="59.173169062286107"/>
        <n v="51.37303216974675"/>
        <n v="33.171800136892543"/>
        <n v="36.79671457905544"/>
        <n v="58.809034907597535"/>
        <n v="27.455167693360711"/>
        <n v="59.5564681724846"/>
        <n v="59.923340177960299"/>
        <n v="26.091718001368925"/>
        <n v="60.73100616016427"/>
        <n v="29.442847364818618"/>
        <n v="49.185489390828202"/>
        <n v="54.431211498973305"/>
        <n v="58.004106776180699"/>
        <n v="46.513347022587268"/>
        <n v="28.301163586584533"/>
        <n v="35.570157426420259"/>
        <n v="34.412046543463383"/>
        <n v="32.495550992470911"/>
        <n v="47.397672826830934"/>
        <n v="33.278576317590691"/>
        <n v="63.808350444900753"/>
        <n v="40.925393566050651"/>
        <n v="59.080082135523611"/>
        <n v="37.341546885694733"/>
        <n v="65.839835728952778"/>
        <n v="39.006160164271044"/>
        <n v="51.192334017796028"/>
        <n v="34.335386721423681"/>
        <n v="53.355236139630392"/>
        <n v="45.908281998631075"/>
        <n v="34.666666666666664"/>
        <n v="50.176591375770023"/>
        <n v="46.806297056810401"/>
        <n v="27.389459274469541"/>
        <n v="35.761806981519506"/>
        <n v="24.61327857631759"/>
        <n v="23.036276522929501"/>
        <n v="49.180013689253933"/>
        <n v="40.813141683778234"/>
        <n v="33.700205338809035"/>
        <n v="26.225872689938399"/>
        <n v="56.421629021218344"/>
        <n v="49.440109514031484"/>
        <n v="49.210130047912386"/>
        <n v="39.285420944558524"/>
        <n v="59.696098562628336"/>
        <n v="52.618754277891853"/>
        <n v="35.118412046543462"/>
        <n v="35.986310746064341"/>
        <n v="30.5160848733744"/>
        <n v="28.741957563312798"/>
        <n v="62.329911019849419"/>
        <n v="25.976728268309376"/>
        <n v="51.676933607118414"/>
        <n v="35.222450376454482"/>
        <n v="26.496919917864478"/>
        <n v="39.772758384668037"/>
        <n v="27.485284052019164"/>
        <n v="41.314168377823407"/>
        <n v="29.661875427789184"/>
        <n v="28.605065023956193"/>
        <n v="42.110882956878854"/>
        <n v="24.399726214921287"/>
        <n v="61.347022587268995"/>
        <n v="65.355236139630392"/>
        <n v="32.703627652292951"/>
        <n v="46.540725530458587"/>
        <n v="32.021902806297057"/>
        <n v="62.75427789185489"/>
        <n v="65.932922655715259"/>
        <n v="34.839151266255989"/>
        <n v="27.759069130732374"/>
        <n v="42.595482546201232"/>
        <n v="62.168377823408626"/>
        <n v="51.501711156741955"/>
        <n v="35.827515400410675"/>
        <n v="37.026694045174537"/>
        <n v="42.362765229295"/>
        <n v="47.923340177960299"/>
        <n v="63.868583162217661"/>
        <n v="60.802190280629709"/>
        <n v="51.159479808350447"/>
        <n v="56.878850102669404"/>
        <n v="37.582477754962355"/>
        <n v="50.436687200547567"/>
        <n v="56.563997262149215"/>
        <n v="56.229979466119097"/>
        <n v="43.619438740588635"/>
        <n v="31.802874743326488"/>
        <n v="28.120465434633811"/>
        <n v="34.212183436002739"/>
        <n v="28.621492128678987"/>
        <n v="28.939082819986311"/>
        <n v="59.797399041752222"/>
        <n v="36.558521560574945"/>
        <n v="34.861054072553046"/>
        <n v="52.594113620807668"/>
        <n v="54.713210130047912"/>
        <n v="43.049965776865157"/>
        <n v="38.869267624914443"/>
        <n v="23.88227241615332"/>
        <n v="38.540725530458587"/>
        <n v="59.498973305954827"/>
        <n v="58.102669404517457"/>
        <n v="65.828884325804239"/>
        <n v="47.252566735112936"/>
        <n v="27.3347022587269"/>
        <n v="45.232032854209443"/>
        <n v="25.7056810403833"/>
        <n v="56.824093086926766"/>
        <n v="60.917180013689254"/>
        <n v="56.331279945242983"/>
        <n v="51.041752224503767"/>
        <n v="37.524982888432582"/>
        <n v="67.780971937029435"/>
        <n v="65.295003422313485"/>
        <n v="37.054072553045856"/>
        <n v="33.237508555783712"/>
        <n v="44.227241615331963"/>
        <n v="65.089664613278572"/>
        <n v="66.562628336755651"/>
        <n v="35.66050650239562"/>
        <n v="54.168377823408626"/>
        <n v="39.802874743326491"/>
        <n v="55.802874743326491"/>
        <n v="37.059548254620125"/>
        <n v="36.123203285420942"/>
        <n v="48.481861738535251"/>
        <n v="49.166324435318273"/>
        <n v="55.039014373716633"/>
        <n v="35.871321013004788"/>
        <n v="60.56125941136208"/>
        <n v="54.001368925393564"/>
        <n v="46.491444216290212"/>
        <n v="50.69404517453799"/>
        <n v="50.19301848049281"/>
        <n v="39.696098562628336"/>
        <n v="40.416153319644081"/>
        <n v="28.580424366872005"/>
        <n v="33.223819301848046"/>
        <n v="29.492128678986994"/>
        <n v="57.735797399041751"/>
        <n v="56.369609856262834"/>
        <n v="55.72621492128679"/>
        <n v="63.819301848049278"/>
        <n v="33.059548254620125"/>
        <n v="48.95277207392197"/>
        <n v="45.798767967145793"/>
        <n v="35.200547570157426"/>
        <n v="40.563997262149215"/>
        <n v="27.876796714579054"/>
        <n v="36.791238877481177"/>
        <n v="53.352498288843258"/>
        <n v="29.538672142368242"/>
        <n v="51.455167693360714"/>
        <n v="49.316906228610542"/>
        <n v="39.071868583162221"/>
        <n v="57.768651608487339"/>
        <n v="36.320328542094458"/>
        <n v="31.189596167008897"/>
        <n v="33.535934291581107"/>
        <n v="54.710472279260777"/>
        <n v="54.099931553730322"/>
        <n v="39.123887748117724"/>
        <n v="31.71252566735113"/>
        <n v="44.96646132785763"/>
        <n v="46.934976043805612"/>
        <n v="24.840520191649556"/>
        <n v="32.131416837782339"/>
        <n v="58.907597535934293"/>
        <n v="28.306639288158795"/>
        <n v="36.145106091717999"/>
        <n v="38.061601642710471"/>
        <n v="47.104722792607802"/>
        <n v="33.51403148528405"/>
        <n v="31.184120465434635"/>
        <n v="33.593429158110879"/>
        <n v="31.989048596851472"/>
        <n v="27.794661190965094"/>
        <n v="34.814510609171798"/>
        <n v="55.537303216974678"/>
        <n v="25.119780971937029"/>
        <n v="56.511978097193705"/>
        <n v="35.236139630390142"/>
        <n v="50.713210130047912"/>
        <n v="39.282683093771389"/>
        <n v="35.649555099247088"/>
        <n v="53.713894592744694"/>
        <n v="22.746064339493497"/>
        <n v="28.320328542094455"/>
        <n v="34.398357289527723"/>
        <n v="62.154688569472967"/>
        <n v="22.590006844626966"/>
        <n v="27.416837782340863"/>
        <n v="37.957563312799451"/>
        <n v="43.222450376454482"/>
        <n v="41.166324435318273"/>
        <n v="50.798083504449011"/>
        <n v="42.13278576317591"/>
        <n v="59.846680355920604"/>
        <n v="57.702943189596169"/>
        <n v="30.721423682409309"/>
        <n v="23.030800821355236"/>
        <n v="63.304585900068446"/>
        <n v="41.07049965776865"/>
        <n v="50.0807665982204"/>
        <n v="51.446954140999317"/>
        <n v="68.344969199178649"/>
        <n v="48.903490759753595"/>
        <n v="55.304585900068446"/>
        <n v="43.236139630390142"/>
        <n v="58.48596851471595"/>
        <n v="43.841204654346335"/>
        <n v="37.086926762491444"/>
        <n v="41.708418891170432"/>
        <n v="51.498973305954827"/>
        <n v="38.507871321013006"/>
        <n v="67.94798083504449"/>
        <n v="43.805612594113619"/>
        <n v="62.067077344284733"/>
        <n v="48.101300479123886"/>
        <n v="47.206023271731688"/>
        <n v="64.131416837782339"/>
        <n v="49.464750171115675"/>
        <n v="27.600273785078713"/>
        <n v="26.455852156057496"/>
        <n v="27.466119096509239"/>
        <n v="59.915126625598901"/>
        <n v="34.850102669404521"/>
        <n v="23.449691991786448"/>
        <n v="48.919917864476389"/>
        <n v="53.681040383299113"/>
        <n v="40.785763175906915"/>
        <n v="63.370294318959616"/>
        <n v="27.383983572895279"/>
        <n v="54.47227926078029"/>
        <n v="28.744695414099933"/>
        <n v="58.798083504449011"/>
        <n v="58.617385352498289"/>
        <n v="51.063655030800824"/>
        <n v="38.406570841889121"/>
        <n v="39.709787816563995"/>
        <n v="57.278576317590691"/>
        <n v="38.039698836413415"/>
        <n v="34.18480492813142"/>
        <n v="41.650924024640659"/>
        <n v="64.511978097193705"/>
        <n v="59.994524298425738"/>
        <n v="29.388090349075977"/>
        <n v="55.750855578370981"/>
        <n v="41.00479123887748"/>
        <n v="26.151950718685832"/>
        <n v="35.561943874058862"/>
        <n v="54.778918548939082"/>
        <n v="52.328542094455855"/>
        <n v="38.954140999315534"/>
        <n v="58.737850787132103"/>
        <n v="36.413415468856947"/>
        <n v="30.031485284052017"/>
        <n v="31.668720054757017"/>
        <n v="57.032169746748799"/>
        <n v="46.390143737166326"/>
        <n v="59.906913073237511"/>
        <n v="30.617385352498289"/>
        <n v="38.685831622176593"/>
        <n v="52.887063655030801"/>
        <n v="41.204654346338124"/>
        <n v="57.144421629021217"/>
        <n v="25.831622176591377"/>
        <n v="46.729637234770706"/>
        <n v="37.368925393566052"/>
        <n v="57.648186173853524"/>
        <n v="64.128678986995212"/>
        <n v="35.630390143737166"/>
        <n v="44.427104722792606"/>
        <n v="36.780287474332646"/>
        <n v="49.593429158110879"/>
        <n v="43.663244353182755"/>
        <n v="58.765229295003422"/>
        <n v="51.381245722108147"/>
        <n v="38.7460643394935"/>
        <n v="66.039698836413422"/>
        <n v="41.196440793976727"/>
        <n v="53.886379192334019"/>
        <n v="31.15126625598905"/>
        <n v="32.698151950718689"/>
        <n v="25.136208076659823"/>
        <n v="61.015742642026012"/>
        <n v="46.157426420260094"/>
        <n v="48.843258042436688"/>
        <n v="65.51403148528405"/>
        <n v="30.833675564681723"/>
        <n v="29.00479123887748"/>
        <n v="57.286789869952088"/>
        <n v="22.852840520191648"/>
        <n v="24.517453798767967"/>
        <n v="50.494182067077347"/>
        <n v="30.839151266255989"/>
        <n v="46.086242299794662"/>
        <n v="46.379192334017795"/>
        <n v="62.691307323750856"/>
        <n v="65.708418891170425"/>
        <n v="56.246406570841891"/>
        <n v="63.471594798083501"/>
        <n v="33.125256673511295"/>
        <n v="36.410677618069812"/>
        <n v="59.310061601642708"/>
        <n v="56.164271047227928"/>
        <n v="49.24024640657084"/>
        <n v="35.173169062286107"/>
        <n v="63.258042436687198"/>
        <n v="34.81177275838467"/>
        <n v="58.568104038329913"/>
        <n v="28.843258042436688"/>
        <n v="27.846680355920601"/>
        <n v="52.049281314168375"/>
        <n v="52.041067761806978"/>
        <n v="53.451060917180016"/>
        <n v="35.446954140999317"/>
        <n v="31.16495550992471"/>
        <n v="34.529774127310063"/>
        <n v="38.978781656399725"/>
        <n v="55.912388774811774"/>
        <n v="66.595482546201225"/>
        <n v="42.058863791923343"/>
        <n v="39.126625598904859"/>
        <n v="47.835728952772072"/>
        <n v="36.366872005475699"/>
        <n v="33.727583846680353"/>
        <n v="53.226557152635181"/>
        <n v="41.418206707734427"/>
        <n v="22.869267624914443"/>
        <n v="48.829568788501028"/>
        <n v="41.300479123887747"/>
        <n v="23.915126625598905"/>
        <n v="28.922655715263517"/>
        <n v="53.185489390828202"/>
        <n v="65.965776865160848"/>
        <n v="56.498288843258045"/>
        <n v="54.258726899383987"/>
        <n v="35.849418206707732"/>
        <n v="25.141683778234086"/>
        <n v="40.599589322381931"/>
        <n v="37.388090349075974"/>
        <n v="35.904175222450377"/>
        <n v="33.524982888432582"/>
        <n v="66.737850787132103"/>
        <n v="58.781656399726216"/>
        <n v="24.563997262149211"/>
        <n v="50.255989048596852"/>
        <n v="29.363449691991786"/>
        <n v="35.389459274469544"/>
        <n v="36.985626283367559"/>
        <n v="40.692676249144419"/>
        <n v="55.063655030800824"/>
        <n v="39.72621492128679"/>
        <n v="46.480492813141687"/>
        <n v="31.296372347707049"/>
        <n v="42.833675564681727"/>
        <n v="58.039698836413415"/>
        <n v="28.780287474332649"/>
        <n v="45.664613278576319"/>
        <n v="34.425735797399042"/>
        <n v="63.630390143737166"/>
        <n v="42.412046543463383"/>
        <n v="43.600273785078713"/>
        <n v="36.298425735797402"/>
        <n v="46.943189596167009"/>
        <n v="37.163586584531146"/>
        <n v="27.652292950034223"/>
        <n v="34.053388090349074"/>
        <n v="34.286105407255306"/>
        <n v="53.80698151950719"/>
        <n v="26.036960985626283"/>
        <n v="35.578370978781656"/>
        <n v="37.560574948665298"/>
        <n v="49.878165639972622"/>
        <n v="30.518822724161534"/>
        <n v="38.031485284052017"/>
        <n v="56.186173853524984"/>
        <n v="44.624229979466122"/>
        <n v="44.410677618069812"/>
        <n v="36.692676249144419"/>
        <n v="31.518138261464749"/>
        <n v="41.442847364818618"/>
        <n v="49.864476386036962"/>
        <n v="43.548254620123203"/>
        <n v="54.444900752908964"/>
        <n v="46.275154004106774"/>
        <n v="39.430527036276523"/>
        <n v="57.711156741957566"/>
        <n v="60.060232717316907"/>
        <n v="47.482546201232033"/>
        <n v="35.351129363449694"/>
        <n v="66.184804928131413"/>
        <n v="43.572895277207394"/>
        <n v="49.686516084873375"/>
        <n v="43.652292950034223"/>
        <n v="34.674880219028061"/>
        <n v="35.622176591375769"/>
        <n v="47.485284052019168"/>
        <n v="44.383299110198493"/>
        <n v="45.166324435318273"/>
        <n v="26.349075975359344"/>
        <n v="33.062286105407253"/>
        <n v="28.958247775496236"/>
        <n v="48.016427104722794"/>
        <n v="54.688569472963721"/>
        <n v="49.390828199863108"/>
        <n v="42.009582477754961"/>
        <n v="48.071184120465432"/>
        <n v="32.101300479123886"/>
        <n v="33.894592744695416"/>
        <n v="40.533880903490761"/>
        <n v="58.948665297741272"/>
        <n v="51.279945242984255"/>
        <n v="36.358658453114302"/>
        <n v="30.598220396988363"/>
        <n v="44.996577686516083"/>
        <n v="35.444216290212182"/>
        <n v="26.584531143052704"/>
        <n v="54.277891854893909"/>
        <n v="62.190280629705683"/>
        <n v="51.824777549623548"/>
        <n v="45.119780971937033"/>
        <n v="44.216290212183438"/>
        <n v="27.118412046543462"/>
        <n v="37.796030116358658"/>
        <n v="30.360027378507873"/>
        <n v="47.972621492128681"/>
        <n v="63.299110198494184"/>
        <n v="48.027378507871319"/>
        <n v="58.08898015058179"/>
        <n v="27.175906913073238"/>
        <n v="37.204654346338124"/>
        <n v="23.775496235455169"/>
        <n v="45.160848733744011"/>
        <n v="42.14647501711157"/>
        <n v="48.229979466119097"/>
        <n v="40.098562628336758"/>
        <n v="60.416153319644081"/>
        <n v="37.656399726214921"/>
        <n v="53.01848049281314"/>
        <n v="64.065708418891177"/>
        <n v="38.245037645448321"/>
        <n v="58.787132101300479"/>
        <n v="32.098562628336758"/>
        <n v="32.821355236139631"/>
        <n v="34.702258726899387"/>
        <n v="62.242299794661193"/>
        <n v="46.529774127310063"/>
        <n v="57.108829568788501"/>
        <n v="54.70773442847365"/>
        <n v="37.774127310061601"/>
        <n v="54.392881587953454"/>
        <n v="46.836413415468854"/>
        <n v="45.286789869952088"/>
        <n v="26.809034907597535"/>
        <n v="64.05201916495551"/>
        <n v="24.996577686516083"/>
        <n v="32.752908966461327"/>
        <n v="56.224503764544835"/>
        <n v="62.64202600958248"/>
        <n v="31.156741957563312"/>
        <n v="28.720054757015742"/>
        <n v="35.208761122518823"/>
        <n v="49.160848733744011"/>
        <n v="49.182751540041068"/>
        <n v="51.515400410677621"/>
        <n v="41.500342231348391"/>
        <n v="25.494866529774129"/>
        <n v="51.876796714579058"/>
        <n v="48.971937029431899"/>
        <n v="40.865160848733744"/>
        <n v="42.477754962354553"/>
        <n v="31.290896646132786"/>
        <n v="45.396303901437371"/>
        <n v="48.774811772758383"/>
        <n v="54.650239561943877"/>
        <n v="52.257357973990416"/>
        <n v="28.167008898015059"/>
        <n v="25.166324435318277"/>
        <n v="63.904175222450377"/>
        <n v="42.904859685147159"/>
        <n v="40.985626283367559"/>
        <n v="53.092402464065707"/>
        <n v="48.854209445585212"/>
        <n v="58.527036276522928"/>
        <n v="40.399726214921287"/>
        <n v="32.484599589322379"/>
        <n v="63.624914442162904"/>
        <n v="46.327173169062284"/>
        <n v="51.211498973305957"/>
        <n v="48.030116358658454"/>
        <n v="46.573579739904176"/>
        <n v="46.078028747433265"/>
        <n v="60.536618754277889"/>
        <n v="43.266255989048595"/>
        <n v="63.225188227241617"/>
        <n v="48.224503764544835"/>
        <n v="44.876112251882276"/>
        <n v="29.746748802190282"/>
        <n v="55.145790554414788"/>
        <n v="55.964407939767284"/>
        <n v="53.566050650239561"/>
        <n v="46.748802190280628"/>
        <n v="30.179329226557151"/>
        <n v="36.399726214921287"/>
        <n v="35.482546201232033"/>
        <n v="49.010266940451743"/>
        <n v="61.6974674880219"/>
        <n v="43.893223819301845"/>
        <n v="30.850102669404517"/>
        <n v="52.090349075975361"/>
        <n v="36.673511293634498"/>
        <n v="44.689938398357292"/>
        <n v="53.218343600273784"/>
        <n v="58.436687200547567"/>
        <n v="27.039014373716633"/>
        <n v="32.982888432580424"/>
        <n v="52.210814510609168"/>
        <n v="57.620807665982205"/>
        <n v="27.857631759069132"/>
        <n v="59.315537303216978"/>
        <n v="50.160164271047229"/>
        <n v="43.463381245722111"/>
        <n v="33.839835728952771"/>
        <n v="22.776180698151951"/>
        <n v="54.220396988364136"/>
        <n v="53.700205338809035"/>
        <n v="50.844626967830251"/>
        <n v="33.872689938398359"/>
        <n v="44.832306639288156"/>
        <n v="62.212183436002739"/>
        <n v="52.854209445585212"/>
        <n v="25.075975359342916"/>
        <n v="32.358658453114302"/>
        <n v="36.91444216290212"/>
        <n v="40.566735112936342"/>
        <n v="32.498288843258045"/>
        <n v="48.550308008213555"/>
        <n v="41.002053388090346"/>
        <n v="36.906228610540722"/>
        <n v="57.908281998631075"/>
        <n v="39.175906913073234"/>
        <n v="56.479123887748116"/>
        <n v="31.482546201232033"/>
        <n v="55.066392881587952"/>
        <n v="42.039698836413415"/>
        <n v="47.285420944558524"/>
        <n v="25.144421629021217"/>
        <n v="41.642710472279262"/>
        <n v="41.648186173853524"/>
        <n v="47.605749486652975"/>
        <n v="44.317590691307323"/>
        <n v="29.081451060917178"/>
        <n v="59.868583162217661"/>
        <n v="55.564681724845997"/>
        <n v="23.178644763860369"/>
        <n v="48.629705681040384"/>
        <n v="26.674880219028061"/>
        <n v="51.72621492128679"/>
        <n v="36.271047227926076"/>
        <n v="56.336755646817245"/>
        <n v="62.976043805612591"/>
        <n v="42.053388090349074"/>
        <n v="52.429842573579741"/>
        <n v="43.871321013004788"/>
        <n v="46.817248459958932"/>
        <n v="55.381245722108147"/>
        <n v="30.691307323750856"/>
        <n v="32.188911704312112"/>
        <n v="32.40520191649555"/>
        <n v="26.652977412731005"/>
        <n v="57.464750171115675"/>
        <n v="45.834360027378509"/>
        <n v="55.60848733744011"/>
        <n v="25.804243668720055"/>
        <n v="31.983572895277206"/>
        <n v="32.334017796030118"/>
        <n v="45.768651608487339"/>
        <n v="50.406570841889121"/>
        <n v="51.154004106776178"/>
        <n v="26.212183436002739"/>
        <n v="43.214236824093085"/>
        <n v="27.077344284736483"/>
        <n v="37.234770704996578"/>
        <n v="46.696783025325118"/>
        <n v="39.233401779603014"/>
        <n v="39.813826146475016"/>
        <n v="40.657084188911703"/>
        <n v="55.014373716632441"/>
        <n v="52.164271047227928"/>
        <n v="59.036276522929498"/>
        <n v="59.214236824093085"/>
        <n v="59.526351813826146"/>
        <n v="60.271047227926076"/>
        <n v="60.876112251882276"/>
        <n v="64.555783709787818"/>
        <n v="62.557152635181382"/>
        <n v="36.030116358658454"/>
        <n v="42.620123203285424"/>
        <n v="47.055441478439427"/>
        <n v="52.90075290896646"/>
        <n v="36.928131416837779"/>
        <n v="32.566735112936342"/>
        <n v="58.496919917864474"/>
        <n v="37.691991786447637"/>
        <n v="43.403148528405204"/>
        <n v="32.878850102669404"/>
        <n v="57.07049965776865"/>
        <n v="39.104722792607802"/>
        <n v="27.074606433949349"/>
        <n v="40.709103353867214"/>
        <n v="42.625598904859686"/>
        <n v="34.417522245037645"/>
        <n v="36.265571526351813"/>
        <n v="46.428473648186177"/>
        <n v="37.968514715947983"/>
        <n v="40.325804243668721"/>
        <n v="40.136892539356602"/>
        <n v="35.162217659137575"/>
        <n v="60.314852840520189"/>
        <n v="53.639972621492127"/>
        <n v="30.193018480492814"/>
        <n v="50.392881587953454"/>
        <n v="47.841204654346335"/>
        <n v="29.949349760438057"/>
        <n v="42.852840520191648"/>
        <n v="27.457905544147845"/>
        <n v="36.251882272416154"/>
        <n v="37.221081451060918"/>
        <n v="57.670088980150581"/>
        <n v="48.528405201916499"/>
        <n v="55.5564681724846"/>
        <n v="50.913073237508556"/>
        <n v="57.193702943189599"/>
        <n v="35.42505133470226"/>
        <n v="46.097193702943187"/>
        <n v="40.440793976728266"/>
        <n v="31.923340177960302"/>
        <n v="31.572895277207394"/>
        <n v="46.650239561943877"/>
        <n v="53.582477754962355"/>
        <n v="31.863107460643395"/>
        <n v="53.316906228610542"/>
        <n v="38.70773442847365"/>
        <n v="49.826146475017111"/>
        <n v="26.001368925393567"/>
        <n v="47.03353867214237"/>
        <n v="39.975359342915809"/>
        <n v="61.80150581793292"/>
        <n v="56.043805612594113"/>
        <n v="49.215605749486656"/>
        <n v="54.094455852156059"/>
        <n v="33.932922655715267"/>
        <n v="57.314168377823407"/>
        <n v="47.816563997262151"/>
        <n v="60.843258042436688"/>
        <n v="34.439425051334702"/>
        <n v="41.97125256673511"/>
        <n v="27.033538672142367"/>
        <n v="40.550308008213555"/>
        <n v="43.603011635865847"/>
        <n v="34.718685831622174"/>
        <n v="64.774811772758383"/>
        <n v="58.209445585215605"/>
        <n v="45.223819301848046"/>
        <n v="50.688569472963721"/>
        <n v="53.393566050650243"/>
        <n v="38.940451745379875"/>
        <n v="43.225188227241617"/>
        <n v="53.656399726214921"/>
        <n v="31.488021902806295"/>
        <n v="33.902806297056813"/>
        <n v="49.541409993155376"/>
        <n v="54.546201232032857"/>
        <n v="42.989733059548257"/>
        <n v="27.468856947296374"/>
        <n v="38.943189596167009"/>
        <n v="49.108829568788501"/>
        <n v="60.180698151950722"/>
        <n v="46.464065708418893"/>
        <n v="36.788501026694043"/>
        <n v="35.378507871321013"/>
        <n v="53.741273100616013"/>
        <n v="59.624914442162904"/>
        <n v="59.266255989048595"/>
        <n v="45.702943189596169"/>
        <n v="47.411362080766601"/>
        <n v="34.98151950718686"/>
        <n v="62.661190965092402"/>
        <n v="41.878165639972622"/>
        <n v="56.676249144421632"/>
        <n v="63.011635865845314"/>
        <n v="65.779603011635871"/>
        <n v="50.338124572210816"/>
        <n v="35.972621492128681"/>
        <n v="45.667351129363446"/>
        <n v="25.242984257357975"/>
        <n v="54.417522245037645"/>
        <n v="51.249828884325801"/>
        <n v="48.082135523613964"/>
        <n v="40.106776180698155"/>
        <n v="65.867214236824097"/>
        <n v="37.557837097878163"/>
        <n v="61.921971252566735"/>
        <n v="31.082819986310746"/>
        <n v="56.517453798767967"/>
        <n v="26.392881587953458"/>
        <n v="42.094455852156059"/>
        <n v="46.373716632443532"/>
        <n v="35.356605065023956"/>
        <n v="31.353867214236825"/>
        <n v="63.181382614647504"/>
        <n v="53.817932922655714"/>
        <n v="42.650239561943877"/>
        <n v="47.93429158110883"/>
        <n v="60.375085557837096"/>
        <n v="34.283367556468171"/>
        <n v="36.224503764544835"/>
        <n v="36.733744010951405"/>
        <n v="50.57631759069131"/>
        <n v="53.998631074606436"/>
        <n v="34.442162902121837"/>
        <n v="52.487337440109513"/>
        <n v="42.663928815879537"/>
        <n v="58.516084873374403"/>
        <n v="48.908966461327857"/>
        <n v="53.013004791238878"/>
        <n v="51.468856947296374"/>
        <n v="48.402464065708422"/>
        <n v="29.801505817932924"/>
        <n v="30.028747433264886"/>
        <n v="46.318959616700887"/>
        <n v="56.413415468856947"/>
        <n v="61.221081451060918"/>
        <n v="54.406570841889121"/>
        <n v="40.120465434633815"/>
        <n v="51.233401779603014"/>
        <n v="59.800136892539356"/>
        <n v="51.589322381930188"/>
        <n v="39.271731690622858"/>
        <n v="35.405886379192332"/>
        <n v="44.610540725530456"/>
        <n v="50.214921286789867"/>
        <n v="35.887748117727583"/>
        <n v="31.227926078028748"/>
        <n v="30.962354551676935"/>
        <n v="31.93429158110883"/>
        <n v="38.360027378507873"/>
        <n v="43.416837782340863"/>
        <n v="44.320328542094458"/>
        <n v="35.737166324435321"/>
        <n v="44.840520191649553"/>
        <n v="35.961670088980149"/>
        <n v="40.429842573579741"/>
        <n v="42.609171800136892"/>
        <n v="32.506502395619435"/>
        <n v="29.557837097878167"/>
        <n v="39.88227241615332"/>
        <n v="34.704996577686515"/>
        <n v="62.904859685147159"/>
        <n v="45.18822724161533"/>
        <n v="43.071868583162221"/>
        <n v="59.260780287474333"/>
        <n v="52.024640657084191"/>
        <n v="64.870636550308006"/>
        <n v="60.002737850787135"/>
        <n v="39.693360711841201"/>
        <n v="51.03353867214237"/>
        <n v="34.921286789869953"/>
        <n v="25.097878165639973"/>
        <n v="65.078713210130047"/>
        <n v="27.129363449691994"/>
        <n v="58.869267624914443"/>
        <n v="43.496235455167692"/>
        <n v="50.855578370978783"/>
        <n v="43.397672826830934"/>
        <n v="31.025325119780973"/>
        <n v="58.819986310746067"/>
        <n v="37.481177275838469"/>
        <n v="38.910335386721421"/>
        <n v="40.851471594798085"/>
        <n v="28.599589322381931"/>
        <n v="30.299794661190965"/>
        <n v="60.16974674880219"/>
        <n v="46.882956878850102"/>
        <n v="34.880219028062967"/>
        <n v="41.338809034907598"/>
        <n v="44.082135523613964"/>
        <n v="67.296372347707049"/>
        <n v="52.402464065708422"/>
        <n v="53.015742642026012"/>
        <n v="42.275154004106774"/>
        <n v="48.577686516084874"/>
        <n v="37.880903490759756"/>
        <n v="39.304585900068446"/>
        <n v="42.75975359342916"/>
        <n v="47.811088295687888"/>
        <n v="55.534565366187543"/>
        <n v="42.529774127310063"/>
        <n v="39.835728952772072"/>
        <n v="37.752224503764545"/>
        <n v="40.153319644079396"/>
        <n v="56.714579055441476"/>
        <n v="48.898015058179332"/>
        <n v="60.96646132785763"/>
        <n v="43.279945242984255"/>
        <n v="34.59000684462697"/>
        <n v="42.327173169062284"/>
        <n v="58.398357289527723"/>
        <n v="52.344969199178642"/>
        <n v="28.555783709787818"/>
        <n v="29.886379192334019"/>
        <n v="55.356605065023956"/>
        <n v="37.377138945927449"/>
        <n v="22.795345653661876"/>
        <n v="35.192334017796028"/>
        <n v="47.59479808350445"/>
        <n v="34.461327857631758"/>
        <n v="36.648870636550306"/>
        <n v="48.262833675564679"/>
        <n v="54.017796030116358"/>
        <n v="37.503080082135526"/>
        <n v="65.744010951403155"/>
        <n v="39.181382614647504"/>
        <n v="32.74469541409993"/>
        <n v="53.746748802190282"/>
        <n v="62.814510609171798"/>
        <n v="36.511978097193705"/>
        <n v="24.413415468856947"/>
        <n v="28.262833675564682"/>
        <n v="38.75427789185489"/>
        <n v="64.273785078713203"/>
        <n v="44.547570157426421"/>
        <n v="42.266940451745377"/>
        <n v="38.006844626967833"/>
        <n v="31.701574264202602"/>
        <n v="36.752908966461327"/>
        <n v="67.520876112251884"/>
        <n v="51.238877481177276"/>
        <n v="43.189596167008901"/>
        <n v="29.527720739219713"/>
        <n v="37.839835728952771"/>
        <n v="30.461327857631758"/>
        <n v="59.126625598904859"/>
        <n v="64.17796030116358"/>
        <n v="40.021902806297057"/>
        <n v="30.625598904859686"/>
        <n v="38.335386721423681"/>
        <n v="30.357289527720738"/>
        <n v="39.613963039014372"/>
        <n v="60.569472963723477"/>
        <n v="42.069815195071868"/>
        <n v="34.926762491444215"/>
        <n v="42.078028747433265"/>
        <n v="33.615331964407943"/>
        <n v="48.128678986995212"/>
        <n v="44.358658453114302"/>
        <n v="45.790554414784395"/>
        <n v="38.529774127310063"/>
        <n v="64.008213552361397"/>
        <n v="51.353867214236821"/>
        <n v="62.234086242299796"/>
        <n v="34.064339493497606"/>
        <n v="56.021902806297057"/>
        <n v="33.522245037645447"/>
        <n v="25.467488021902806"/>
        <n v="51.09924709103354"/>
        <n v="25.716632443531829"/>
        <n v="32.889801505817935"/>
        <n v="53.199178644763862"/>
        <n v="49.535934291581107"/>
        <n v="46.833675564681727"/>
        <n v="63.041752224503767"/>
        <n v="41.897330595482543"/>
        <n v="33.604380561259411"/>
        <n v="38.647501711156742"/>
        <n v="40.290212183436005"/>
        <n v="54.14647501711157"/>
        <n v="47.786447638603697"/>
        <n v="53.492128678986994"/>
        <n v="43.671457905544145"/>
        <n v="23.945242984257359"/>
        <n v="34.154688569472967"/>
        <n v="32.695414099931554"/>
        <n v="29.256673511293634"/>
        <n v="34.5242984257358"/>
        <n v="54.351813826146476"/>
        <n v="43.433264887063658"/>
        <n v="42.075290896646131"/>
        <n v="28.657084188911703"/>
        <n v="52.908966461327857"/>
        <n v="51.496235455167692"/>
        <n v="39.074606433949349"/>
        <n v="41.007529089664615"/>
        <n v="59.140314852840518"/>
        <n v="49.842573579739906"/>
        <n v="53.993155373032167"/>
        <n v="31.753593429158112"/>
        <n v="67.195071868583156"/>
        <n v="36.785763175906915"/>
        <n v="48.449007529089663"/>
        <n v="47.419575633127998"/>
        <n v="40.219028062970565"/>
        <n v="45.905544147843941"/>
        <n v="45.979466119096507"/>
        <n v="51.687885010266939"/>
        <n v="57.615331964407943"/>
        <n v="34.644763860369608"/>
        <n v="30.335386721423681"/>
        <n v="32.83504449007529"/>
        <n v="39.687885010266939"/>
        <n v="48.83504449007529"/>
        <n v="60.525667351129364"/>
        <n v="50.992470910335385"/>
        <n v="68.298425735797395"/>
        <n v="52.167008898015055"/>
        <n v="52.709103353867214"/>
        <n v="59.975359342915809"/>
        <n v="59.271731690622858"/>
        <n v="54.540725530458587"/>
        <n v="58.757015742642025"/>
        <n v="41.106091718001366"/>
        <n v="59.775496235455165"/>
        <n v="32.618754277891853"/>
        <n v="32.895277207392198"/>
        <n v="50.770704996577685"/>
        <n v="58.951403148528406"/>
        <n v="33.333333333333336"/>
        <n v="24.607802874743328"/>
        <n v="29.259411362080765"/>
        <n v="29.130732375085557"/>
        <n v="35.718001368925393"/>
        <n v="62.647501711156742"/>
        <n v="42.179329226557151"/>
        <n v="28.213552361396303"/>
        <n v="62.105407255304584"/>
        <n v="54.234086242299796"/>
        <n v="58.926762491444215"/>
        <n v="37.46201232032854"/>
        <n v="37.771389459274467"/>
        <n v="43.304585900068446"/>
        <n v="42.349075975359341"/>
        <n v="39.170431211498972"/>
        <n v="28.205338809034906"/>
        <n v="30.628336755646817"/>
        <n v="33.735797399041751"/>
        <n v="62.570841889117041"/>
        <n v="55.364818617385353"/>
        <n v="33.864476386036962"/>
        <n v="37.719370294318956"/>
        <n v="32.717316906228611"/>
        <n v="44.260095824777551"/>
        <n v="24.366872005475702"/>
        <n v="31.080082135523615"/>
        <n v="27.017111567419576"/>
        <n v="46.792607802874741"/>
        <n v="34.573579739904176"/>
        <n v="35.036276522929498"/>
        <n v="33.089664613278579"/>
        <n v="56.150581793292268"/>
        <n v="36.498288843258045"/>
        <n v="39.340177960301162"/>
        <n v="44.925393566050651"/>
        <n v="29.995893223819301"/>
        <n v="23.709787816563999"/>
        <n v="30.702258726899384"/>
        <n v="30.603696098562629"/>
        <n v="60.621492128678987"/>
        <n v="62.099931553730322"/>
        <n v="25.798767967145789"/>
        <n v="30.913073237508556"/>
        <n v="24.484599589322382"/>
        <n v="42.291581108829568"/>
        <n v="56.555783709787818"/>
        <n v="42.242299794661193"/>
        <n v="56.377823408624231"/>
        <n v="47.474332648870636"/>
        <n v="44.112251882272417"/>
        <n v="41.097878165639976"/>
        <n v="44.887063655030801"/>
        <n v="53.054072553045856"/>
        <n v="27.222450376454482"/>
        <n v="54.978781656399725"/>
        <n v="39.208761122518823"/>
        <n v="44.210814510609168"/>
        <n v="29.207392197125255"/>
        <n v="27.745379876796715"/>
        <n v="38.907597535934293"/>
        <n v="36.700889801505816"/>
        <n v="48.05201916495551"/>
        <n v="53.930184804928132"/>
        <n v="56.010951403148532"/>
        <n v="42.962354551676931"/>
        <n v="60.095824777549623"/>
        <n v="49.741273100616013"/>
        <n v="25.516769336071185"/>
        <n v="38.75975359342916"/>
        <n v="28.208076659822041"/>
        <n v="64.829568788501021"/>
        <n v="49.86721423682409"/>
        <n v="34.948665297741272"/>
        <n v="32.476386036960989"/>
        <n v="46.203969883641342"/>
        <n v="31.816563997262151"/>
        <n v="34.91581108829569"/>
        <n v="63.394934976043807"/>
        <n v="35.5564681724846"/>
        <n v="54.789869952087614"/>
        <n v="40.451745379876797"/>
        <n v="54.272416153319647"/>
        <n v="63.745379876796711"/>
        <n v="31.206023271731691"/>
        <n v="27.641341546885695"/>
        <n v="47.964407939767284"/>
        <n v="61.719370294318956"/>
        <n v="29.869952087611225"/>
        <n v="46.004106776180699"/>
        <n v="27.323750855578371"/>
        <n v="55.154004106776178"/>
        <n v="61.549623545516766"/>
        <n v="49.212867898699521"/>
        <n v="41.215605749486656"/>
        <n v="49.201916495550989"/>
        <n v="49.385352498288846"/>
        <n v="36.799452429842574"/>
        <n v="32.517453798767967"/>
        <n v="46.505133470225871"/>
        <n v="44.251882272416154"/>
        <n v="23.816563997262151"/>
        <n v="62.116358658453116"/>
        <n v="58.92950034223135"/>
        <n v="45.582477754962355"/>
        <n v="35.43874058863792"/>
        <n v="29.434633812457221"/>
        <n v="57.566050650239561"/>
        <n v="49.582477754962355"/>
        <n v="31.162217659137578"/>
        <n v="40.188911704312112"/>
        <n v="58.603696098562629"/>
        <n v="40.271047227926076"/>
        <n v="28.465434633812457"/>
        <n v="30.548939082819988"/>
        <n v="38.59000684462697"/>
        <n v="29.724845995893222"/>
        <n v="27.685147159479808"/>
        <n v="40.476386036960989"/>
        <n v="28.982888432580424"/>
        <n v="41.68925393566051"/>
        <n v="33.275838466803556"/>
        <n v="31.455167693360711"/>
        <n v="59.980835044490078"/>
        <n v="40.432580424366868"/>
        <n v="27.362080766598222"/>
        <n v="59.331964407939765"/>
        <n v="27.433264887063654"/>
        <n v="53.585215605749489"/>
        <n v="40.375085557837096"/>
        <n v="30.770704996577688"/>
        <n v="36.490075290896648"/>
        <n v="59.663244353182755"/>
        <n v="32.479123887748116"/>
        <n v="56.2217659137577"/>
        <n v="30.329911019849419"/>
        <n v="41.237508555783712"/>
        <n v="56.881587953456538"/>
        <n v="52.837782340862425"/>
        <n v="29.609856262833677"/>
        <n v="37.793292265571523"/>
        <n v="48.350444900752912"/>
        <n v="28.032854209445585"/>
        <n v="31.06365503080082"/>
        <n v="32.793976728268312"/>
        <n v="48.807665982203972"/>
        <n v="43.835728952772072"/>
        <n v="36.177960301163587"/>
        <n v="41.264887063655031"/>
        <n v="68.016427104722794"/>
        <n v="37.869952087611225"/>
        <n v="44.884325804243666"/>
        <n v="41.566050650239561"/>
        <n v="55.222450376454482"/>
        <n v="62.496919917864474"/>
        <n v="41.199178644763862"/>
        <n v="27.83025325119781"/>
        <n v="42.335386721423681"/>
        <n v="27.674195756331279"/>
        <n v="26.997946611909651"/>
        <n v="58.313483915126625"/>
        <n v="54.866529774127308"/>
        <n v="43.561943874058862"/>
        <n v="58.81177275838467"/>
        <n v="46.5845311430527"/>
        <n v="60.700889801505816"/>
        <n v="50.297056810403831"/>
        <n v="37.338809034907598"/>
        <n v="47.414099931553729"/>
        <n v="50.510609171800134"/>
        <n v="32.350444900752912"/>
        <n v="51.619438740588635"/>
        <n v="45.705681040383297"/>
        <n v="59.367556468172488"/>
        <n v="59.21697467488022"/>
        <n v="46.683093771389458"/>
        <n v="48.454483230663932"/>
        <n v="34.570841889117041"/>
        <n v="40.980150581793289"/>
        <n v="32.112251882272417"/>
        <n v="48.632443531827512"/>
        <n v="33.779603011635864"/>
        <n v="29.149897330595483"/>
        <n v="43.852156057494867"/>
        <n v="47.54277891854894"/>
        <n v="32.6652977412731"/>
        <n v="32.955509924709105"/>
        <n v="45.566050650239561"/>
        <n v="39.277207392197127"/>
        <n v="44.585900068446271"/>
        <n v="52.366872005475699"/>
        <n v="49.672826830937716"/>
        <n v="64.947296372347708"/>
        <n v="29.930184804928132"/>
        <n v="35.687885010266939"/>
        <n v="28.353182751540039"/>
        <n v="39.310061601642708"/>
        <n v="27.088295687885012"/>
        <n v="46.091718001368925"/>
        <n v="33.117043121149898"/>
        <n v="57.6974674880219"/>
        <n v="43.7782340862423"/>
        <n v="29.21013004791239"/>
        <n v="37.229295003422315"/>
        <n v="27.255304585900067"/>
        <n v="31.477070499657767"/>
        <n v="54.214921286789867"/>
        <n v="27.550992470910334"/>
        <n v="30.551676933607119"/>
        <n v="35.698836413415471"/>
        <n v="57.24024640657084"/>
        <n v="38.767967145790557"/>
        <n v="37.366187542778917"/>
        <n v="65.817932922655714"/>
        <n v="56.572210814510612"/>
        <n v="33.861738535249827"/>
        <n v="43.926078028747433"/>
        <n v="30.340862422997947"/>
        <n v="43.750855578370981"/>
        <n v="53.111567419575636"/>
        <n v="60.429842573579741"/>
        <n v="27.126625598904859"/>
        <n v="28.39151266255989"/>
        <n v="41.670088980150581"/>
        <n v="51.019849418206711"/>
        <n v="28.67898699520876"/>
        <n v="30.56810403832991"/>
        <n v="27.192334017796028"/>
        <n v="41.363449691991789"/>
        <n v="24.958247775496236"/>
        <n v="32.39151266255989"/>
        <n v="61.648186173853524"/>
        <n v="33.834360027378509"/>
        <n v="35.942505133470227"/>
        <n v="58.557152635181382"/>
        <n v="52.290212183436005"/>
        <n v="56.906228610540722"/>
        <n v="35.345653661875431"/>
        <n v="29.166324435318277"/>
        <n v="48.793976728268312"/>
        <n v="31.76454483230664"/>
        <n v="42.704996577686515"/>
        <n v="41.4154688569473"/>
        <n v="30.004106776180699"/>
        <n v="51.671457905544145"/>
        <n v="61.508555783709788"/>
        <n v="51.920602327173171"/>
        <n v="35.433264887063658"/>
        <n v="44.303901437371664"/>
        <n v="33.590691307323752"/>
        <n v="54.280629705681044"/>
        <n v="58.518822724161531"/>
        <n v="47.110198494182065"/>
        <n v="64.21355236139631"/>
        <n v="50.19849418206708"/>
        <n v="34.92950034223135"/>
        <n v="30.184804928131417"/>
        <n v="63.548254620123203"/>
        <n v="61.18822724161533"/>
        <n v="31.879534565366189"/>
        <n v="43.540041067761805"/>
        <n v="54.899383983572896"/>
        <n v="64.402464065708415"/>
        <n v="50.376454483230667"/>
        <n v="45.182751540041068"/>
        <n v="32.960985626283367"/>
        <n v="61.954825462012323"/>
        <n v="50.006844626967833"/>
        <n v="50.127310061601641"/>
        <n v="58.609171800136892"/>
        <n v="46.08898015058179"/>
        <n v="61.366187542778917"/>
        <n v="29.44558521560575"/>
        <n v="41.114305270362763"/>
        <n v="49.957563312799451"/>
        <n v="61.125256673511295"/>
        <n v="31.720739219712527"/>
        <n v="61.752224503764545"/>
        <n v="62.026009582477755"/>
        <n v="31.846680355920601"/>
        <n v="47.091033538672143"/>
        <n v="45.472963723477072"/>
        <n v="50.529774127310063"/>
        <n v="35.696098562628336"/>
        <n v="39.794661190965094"/>
        <n v="41.029431895961672"/>
        <n v="42.214921286789867"/>
        <n v="54.680355920602324"/>
        <n v="51.121149897330596"/>
        <n v="42.225872689938399"/>
        <n v="46.844626967830251"/>
        <n v="27.898699520876111"/>
        <n v="25.489390828199863"/>
        <n v="45.733059548254623"/>
        <n v="38.091718001368925"/>
        <n v="32.224503764544835"/>
        <n v="61.429158110882959"/>
        <n v="41.336071184120463"/>
        <n v="26.242299794661189"/>
        <n v="31.01163586584531"/>
        <n v="61.275838466803556"/>
        <n v="25.686516084873375"/>
        <n v="23.414099931553729"/>
        <n v="28.785763175906911"/>
        <n v="29.670088980150581"/>
        <n v="58.735112936344969"/>
        <n v="52.566735112936342"/>
        <n v="38.986995208761122"/>
        <n v="57.429158110882959"/>
        <n v="26.272416153319643"/>
        <n v="50.151950718685832"/>
        <n v="41.371663244353179"/>
        <n v="26.453114305270361"/>
        <n v="53.130732375085557"/>
        <n v="53.935660506502394"/>
        <n v="33.571526351813823"/>
        <n v="52.774811772758383"/>
        <n v="45.30595482546201"/>
        <n v="33.891854893908281"/>
        <n v="35.342915811088297"/>
        <n v="44.941820670773446"/>
        <n v="41.837097878165643"/>
        <n v="37.702943189596169"/>
        <n v="35.017111567419576"/>
        <n v="45.147159479808352"/>
        <n v="24.533880903490761"/>
        <n v="28.386036960985628"/>
        <n v="44.120465434633815"/>
        <n v="46.828199863107457"/>
        <n v="37.24024640657084"/>
        <n v="23.436002737850789"/>
        <n v="32.73100616016427"/>
        <n v="53.34428473648186"/>
        <n v="36.813141683778234"/>
        <n v="40.139630390143736"/>
        <n v="47.003422313483917"/>
        <n v="49.095140314852841"/>
        <n v="39.258042436687198"/>
        <n v="57.152635181382614"/>
        <n v="56.432580424366868"/>
        <n v="41.938398357289529"/>
        <n v="27.603011635865844"/>
        <n v="42.217659137577002"/>
        <n v="31.022587268993838"/>
        <n v="34.015058179329223"/>
        <n v="24.547570157426421"/>
        <n v="50.398357289527723"/>
        <n v="27.791923340177959"/>
        <n v="26.858316221765914"/>
        <n v="46.75975359342916"/>
        <n v="51.274469541409992"/>
        <n v="31.72621492128679"/>
        <n v="32.758384668035589"/>
        <n v="47.260780287474333"/>
        <n v="59.909650924024639"/>
        <n v="44.544832306639286"/>
        <n v="63.827515400410675"/>
        <n v="56.963723477070502"/>
        <n v="60.739219712525667"/>
        <n v="47.991786447638603"/>
        <n v="46.874743326488705"/>
        <n v="41.722108145106091"/>
        <n v="29.114305270362767"/>
        <n v="29.804243668720055"/>
        <n v="53.670088980150581"/>
        <n v="57.045859000684466"/>
        <n v="54.039698836413415"/>
        <n v="29.88911704312115"/>
        <n v="30.143737166324435"/>
        <n v="52"/>
        <n v="46.557152635181382"/>
        <n v="25.629021218343599"/>
        <n v="57.516769336071185"/>
        <n v="44.035592060232716"/>
        <n v="35.646817248459961"/>
        <n v="52.194387405886381"/>
        <n v="40.547570157426421"/>
        <n v="37.604380561259411"/>
        <n v="32.511978097193705"/>
        <n v="44.974674880219027"/>
        <n v="23.326488706365502"/>
        <n v="39.761806981519506"/>
        <n v="56.941820670773446"/>
        <n v="27.271731690622861"/>
        <n v="40.536618754277889"/>
        <n v="55.665982203969882"/>
        <n v="36.459958932238195"/>
        <n v="42.5845311430527"/>
        <n v="49.765913757700204"/>
        <n v="29.448323066392881"/>
        <n v="66.535249828884332"/>
        <n v="54.683093771389458"/>
        <n v="35.323750855578368"/>
        <n v="39.427789185489388"/>
        <n v="39.912388774811774"/>
        <n v="29.437371663244353"/>
        <n v="31.756331279945243"/>
        <n v="39.249828884325801"/>
        <n v="33.472963723477072"/>
        <n v="35.170431211498972"/>
        <n v="46.669404517453799"/>
        <n v="59.737166324435321"/>
        <n v="67.096509240246405"/>
        <n v="22.647501711156742"/>
        <n v="40.087611225188226"/>
        <n v="32.068446269678304"/>
        <n v="43.865845311430526"/>
        <n v="42.42026009582478"/>
        <n v="48.476386036960989"/>
        <n v="40.183436002737849"/>
        <n v="31.649555099247092"/>
        <n v="49.196440793976727"/>
        <n v="60.459958932238195"/>
        <n v="55.975359342915809"/>
        <n v="44.525667351129364"/>
        <n v="50.056125941136209"/>
        <n v="57.404517453798768"/>
        <n v="41.716632443531829"/>
        <n v="30.488706365503081"/>
        <n v="27.134839151266256"/>
        <n v="38.340862422997944"/>
        <n v="64.038329911019844"/>
        <n v="35.652292950034223"/>
        <n v="35.693360711841201"/>
        <n v="61.147159479808352"/>
        <n v="47.824777549623548"/>
        <n v="52.073921971252567"/>
        <n v="55.060917180013689"/>
        <n v="56.114989733059545"/>
        <n v="57.91101984941821"/>
        <n v="32.492813141683776"/>
        <n v="53.418206707734427"/>
        <n v="25.426420260095824"/>
        <n v="33.63175906913073"/>
        <n v="30.455852156057496"/>
        <n v="48.002737850787135"/>
        <n v="57.196440793976727"/>
        <n v="33.560574948665298"/>
        <n v="46.989733059548257"/>
        <n v="27.619438740588638"/>
        <n v="27.06365503080082"/>
        <n v="40.276522929500345"/>
        <n v="47.107460643394937"/>
        <n v="24.687200547570157"/>
        <n v="43.745379876796711"/>
        <n v="38.69404517453799"/>
        <n v="53.563312799452433"/>
        <n v="60.84873374401095"/>
        <n v="29.634496919917865"/>
        <n v="45.155373032169749"/>
        <n v="29.144421629021217"/>
        <n v="56.733744010951405"/>
        <n v="61.993155373032167"/>
        <n v="46.858316221765911"/>
        <n v="32.328542094455855"/>
        <n v="61.604380561259411"/>
        <n v="41.385352498288846"/>
        <n v="36.761122518822724"/>
        <n v="46.31622176591376"/>
        <n v="27.89596167008898"/>
        <n v="36.580424366872002"/>
        <n v="61.316906228610542"/>
        <n v="52.358658453114302"/>
        <n v="67.843942505133469"/>
        <n v="22.17659137577002"/>
        <n v="42.784394250513344"/>
        <n v="39.093771389459278"/>
        <n v="60.358658453114302"/>
        <n v="29.796030116358658"/>
        <n v="53.828884325804246"/>
        <n v="50.280629705681044"/>
        <n v="45.289527720739223"/>
        <n v="27.728952772073921"/>
        <n v="26.880219028062971"/>
        <n v="30.283367556468171"/>
        <n v="43.986310746064341"/>
        <n v="54.176591375770023"/>
        <n v="48.109514031485283"/>
        <n v="48.862422997946609"/>
        <n v="45.9192334017796"/>
        <n v="54.962354551676931"/>
        <n v="54.600958247775495"/>
        <n v="34.606433949349757"/>
        <n v="33.809719370294317"/>
        <n v="28.98836413415469"/>
        <n v="35.175906913073234"/>
        <n v="27.236139630390145"/>
        <n v="38.357289527720738"/>
        <n v="65.472963723477065"/>
        <n v="35.978097193702943"/>
        <n v="63.115674195756334"/>
        <n v="41.798767967145793"/>
        <n v="22.863791923340177"/>
        <n v="35.520876112251884"/>
        <n v="61.322381930184804"/>
        <n v="45.163586584531146"/>
        <n v="38.554414784394254"/>
        <n v="47.5564681724846"/>
        <n v="41.141683778234089"/>
        <n v="33.385352498288846"/>
        <n v="32.62696783025325"/>
        <n v="48.227241615331963"/>
        <n v="45.880903490759756"/>
        <n v="44.394250513347025"/>
        <n v="27.509924709103355"/>
        <n v="31.964407939767284"/>
        <n v="35.701574264202598"/>
        <n v="52.150581793292268"/>
        <n v="51.545516769336068"/>
        <n v="27.994524298425734"/>
        <n v="39.498973305954827"/>
        <n v="42.261464750171115"/>
        <n v="35.400410677618069"/>
        <n v="49.820670773442849"/>
        <n v="46.264202600958249"/>
        <n v="38.598220396988367"/>
        <n v="58.770704996577685"/>
        <n v="26.965092402464066"/>
        <n v="37.327857631759066"/>
        <n v="64.763860369609858"/>
        <n v="62.045174537987677"/>
        <n v="55.630390143737166"/>
        <n v="54.568104038329913"/>
        <n v="39.444216290212182"/>
        <n v="62.888432580424364"/>
        <n v="59.184120465434631"/>
        <n v="56.462696783025322"/>
        <n v="47.770020533880903"/>
        <n v="44.005475701574262"/>
        <n v="54.327173169062284"/>
        <n v="29.779603011635867"/>
        <n v="50.606433949349757"/>
        <n v="23.310061601642712"/>
        <n v="48.594113620807668"/>
        <n v="64.407939767282684"/>
        <n v="28.446269678302532"/>
        <n v="67.077344284736483"/>
        <n v="27.564681724845997"/>
        <n v="58.795345653661876"/>
        <n v="37.152635181382614"/>
        <n v="34.959616700889804"/>
        <n v="32.024640657084191"/>
        <n v="33.686516084873375"/>
        <n v="48.851471594798085"/>
        <n v="63.049965776865157"/>
        <n v="25.218343600273784"/>
        <n v="37.065023956194388"/>
        <n v="31.88227241615332"/>
        <n v="37.226557152635181"/>
        <n v="44.465434633812457"/>
        <n v="35.928815879534568"/>
        <n v="27.789185489390828"/>
        <n v="53.921971252566735"/>
        <n v="37.615331964407943"/>
        <n v="39.603011635865847"/>
        <n v="46.803559206023273"/>
        <n v="36.046543463381248"/>
        <n v="26.726899383983572"/>
        <n v="29.226557152635181"/>
        <n v="28.62696783025325"/>
        <n v="56.112251882272417"/>
        <n v="33.708418891170432"/>
        <n v="50.505133470225871"/>
        <n v="56.867898699520879"/>
        <n v="44.183436002737849"/>
        <n v="27.597535934291582"/>
        <n v="49.68377823408624"/>
        <n v="40.558521560574945"/>
        <n v="34.075290896646131"/>
        <n v="46.130047912388775"/>
        <n v="29.639972621492127"/>
        <n v="37.927446954140997"/>
        <n v="44.153319644079396"/>
        <n v="46.143737166324435"/>
        <n v="64.043805612594113"/>
        <n v="28.542094455852155"/>
        <n v="47.307323750855581"/>
        <n v="32.772073921971256"/>
        <n v="42.165639972621491"/>
        <n v="47.975359342915809"/>
        <n v="49.954825462012323"/>
        <n v="42.099931553730322"/>
        <n v="35.477070499657771"/>
        <n v="35.028062970568101"/>
        <n v="38.162902121834357"/>
        <n v="46.19301848049281"/>
        <n v="35.529089664613281"/>
        <n v="61.141683778234089"/>
        <n v="33.46201232032854"/>
        <n v="25.522245037645447"/>
        <n v="41.686516084873375"/>
        <n v="31.887748117727583"/>
        <n v="45.420944558521562"/>
        <n v="50.360027378507873"/>
        <n v="34.99520876112252"/>
        <n v="57.251197809719372"/>
        <n v="40.936344969199176"/>
        <n v="64.002737850787128"/>
        <n v="50.888432580424364"/>
        <n v="52.396988364134153"/>
        <n v="39.718001368925393"/>
        <n v="45.6974674880219"/>
        <n v="25.78507871321013"/>
        <n v="42.907597535934293"/>
        <n v="28.268309377138944"/>
        <n v="61.796030116358658"/>
        <n v="27.786447638603697"/>
        <n v="42.729637234770706"/>
        <n v="51.282683093771389"/>
        <n v="42.264202600958249"/>
        <n v="50.737850787132103"/>
        <n v="49.500342231348391"/>
        <n v="38.488706365503077"/>
        <n v="27.378507871321013"/>
        <n v="29.544147843942504"/>
        <n v="44.936344969199176"/>
        <n v="54.932238193018478"/>
        <n v="45.081451060917182"/>
        <n v="63.956194387405887"/>
        <n v="50.212183436002739"/>
        <n v="31.794661190965094"/>
        <n v="31.600273785078713"/>
        <n v="50.735112936344969"/>
        <n v="59.468856947296374"/>
        <n v="52.125941136208077"/>
        <n v="29.117043121149898"/>
        <n v="31.800136892539356"/>
        <n v="25.09240246406571"/>
        <n v="39.860369609856264"/>
        <n v="43.991786447638603"/>
        <n v="40.67898699520876"/>
        <n v="42.35455167693361"/>
        <n v="33.180013689253933"/>
        <n v="34.349075975359341"/>
        <n v="36.533880903490761"/>
        <n v="40.487337440109513"/>
        <n v="27.471594798083505"/>
        <n v="52.725530458590008"/>
        <n v="37.990417522245039"/>
        <n v="40.758384668035589"/>
        <n v="57.609856262833674"/>
        <n v="44.309377138945926"/>
        <n v="41.574264202600958"/>
        <n v="43.54277891854894"/>
        <n v="39.32101300479124"/>
        <n v="58.110882956878854"/>
        <n v="31.351129363449694"/>
        <n v="46.187542778918548"/>
        <n v="54.926762491444215"/>
        <n v="33.995893223819301"/>
        <n v="37.141683778234089"/>
        <n v="28.670773442847366"/>
        <n v="60.911704312114992"/>
        <n v="38.157426420260094"/>
        <n v="46.064339493497606"/>
        <n v="42.926762491444215"/>
        <n v="58.606433949349757"/>
        <n v="57.431895961670087"/>
        <n v="56.16974674880219"/>
        <n v="28.030116358658454"/>
        <n v="34.806297056810401"/>
        <n v="26.056125941136209"/>
        <n v="45.17453798767967"/>
        <n v="37.330595482546201"/>
        <n v="62.611909650924026"/>
        <n v="30.086242299794662"/>
        <n v="47.734428473648187"/>
        <n v="54.480492813141687"/>
        <n v="59.219712525667354"/>
        <n v="60.470910335386719"/>
        <n v="45.12251882272416"/>
        <n v="30.390143737166323"/>
        <n v="38.510609171800134"/>
        <n v="31.507186858316221"/>
        <n v="57.456536618754278"/>
        <n v="44.027378507871319"/>
        <n v="53.675564681724843"/>
        <n v="45.952087611225188"/>
        <n v="50.401095140314851"/>
        <n v="46.272416153319647"/>
        <n v="36.112251882272417"/>
        <n v="40.887063655030801"/>
        <n v="40.772073921971256"/>
        <n v="30.286105407255306"/>
        <n v="35.841204654346335"/>
        <n v="60.292950034223132"/>
        <n v="27.474332648870636"/>
        <n v="34.617385352498289"/>
        <n v="63.931553730321696"/>
        <n v="66.937713894592747"/>
        <n v="35.195071868583163"/>
        <n v="32.383299110198493"/>
        <n v="28.93634496919918"/>
        <n v="24.240930869267626"/>
        <n v="50.75975359342916"/>
        <n v="28.577686516084874"/>
        <n v="30.261464750171115"/>
        <n v="39.994524298425738"/>
        <n v="60.298425735797402"/>
        <n v="40.424366872005479"/>
        <n v="54.98151950718686"/>
        <n v="27.71252566735113"/>
        <n v="46.518822724161531"/>
        <n v="36.188911704312112"/>
        <n v="27.394934976043807"/>
        <n v="29.185489390828199"/>
        <n v="28.418891170431213"/>
        <n v="49.223819301848046"/>
        <n v="27.718001368925393"/>
        <n v="40.818617385352496"/>
        <n v="56.687200547570157"/>
        <n v="31.143052703627653"/>
        <n v="38.557152635181382"/>
        <n v="32.167008898015055"/>
        <n v="35.967145790554412"/>
        <n v="43.441478439425055"/>
        <n v="63.279945242984255"/>
        <n v="51.570157426420259"/>
        <n v="45.839835728952771"/>
        <n v="46.329911019849419"/>
        <n v="37.171800136892543"/>
        <n v="30.127310061601644"/>
        <n v="41.013004791238878"/>
        <n v="32.755646817248461"/>
        <n v="24.23545516769336"/>
        <n v="37.883641341546884"/>
        <n v="37.993155373032167"/>
        <n v="65.281314168377818"/>
        <n v="53.338809034907598"/>
        <n v="58.732375085557834"/>
        <n v="56.681724845995895"/>
        <n v="51.997262149212865"/>
        <n v="34.836413415468854"/>
        <n v="56.347707049965777"/>
        <n v="30.362765229295004"/>
        <n v="42.767967145790557"/>
        <n v="65.930184804928132"/>
        <n v="63.668720054757017"/>
        <n v="60.925393566050651"/>
        <n v="60.183436002737849"/>
        <n v="63.326488706365502"/>
        <n v="41.735797399041751"/>
        <n v="27.367556468172484"/>
        <n v="34.70773442847365"/>
        <n v="33.785078713210133"/>
        <n v="54.7460643394935"/>
        <n v="32.309377138945926"/>
        <n v="49.776865160848736"/>
        <n v="54.346338124572213"/>
        <n v="55.093771389459278"/>
        <n v="32.947296372347708"/>
        <n v="32.002737850787135"/>
        <n v="50.861054072553046"/>
        <n v="35.115674195756334"/>
        <n v="40.164271047227928"/>
        <n v="55.931553730321696"/>
        <n v="31.225188227241617"/>
        <n v="58.540725530458587"/>
        <n v="42.614647501711154"/>
        <n v="27.104722792607802"/>
        <n v="29.754962354551676"/>
        <n v="38.559890485968516"/>
        <n v="28.769336071184121"/>
        <n v="50.729637234770706"/>
        <n v="28.933607118412045"/>
        <n v="37.486652977412732"/>
        <n v="41.733059548254623"/>
        <n v="36.999315537303218"/>
        <n v="25.883641341546884"/>
        <n v="27.616700889801507"/>
        <n v="32.156057494866531"/>
        <n v="29.952087611225188"/>
        <n v="47.192334017796028"/>
        <n v="64.172484599589325"/>
        <n v="40.728268309377142"/>
        <n v="25.062286105407257"/>
        <n v="37.530458590006845"/>
        <n v="51.003422313483917"/>
        <n v="48.785763175906915"/>
        <n v="42.433949349760439"/>
        <n v="34.324435318275157"/>
        <n v="56.810403832991099"/>
        <n v="28.139630390143736"/>
        <n v="39.531827515400408"/>
        <n v="33.133470225872692"/>
        <n v="63.707049965776868"/>
        <n v="44.106776180698155"/>
        <n v="40.33949349760438"/>
        <n v="37.190965092402465"/>
        <n v="40.11772758384668"/>
        <n v="64.123203285420942"/>
        <n v="37.51403148528405"/>
        <n v="32.90075290896646"/>
        <n v="28.068446269678301"/>
        <n v="63.802874743326491"/>
        <n v="40.438056125941138"/>
        <n v="26.480492813141684"/>
        <n v="64.917180013689247"/>
        <n v="43.797399041752222"/>
        <n v="32.158795345653665"/>
        <n v="45.180013689253933"/>
        <n v="41.407255304585902"/>
        <n v="56.473648186173854"/>
        <n v="55.266255989048595"/>
        <n v="24.832306639288159"/>
        <n v="54.806297056810401"/>
        <n v="29.733059548254619"/>
        <n v="24.476386036960985"/>
        <n v="46.546201232032857"/>
        <n v="35.436002737850785"/>
        <n v="30.349075975359344"/>
        <n v="26.644763860369611"/>
        <n v="48.845995893223822"/>
        <n v="34.379192334017795"/>
        <n v="26.861054072553046"/>
        <n v="53.607118412046546"/>
        <n v="49.056810403832991"/>
        <n v="27.01163586584531"/>
        <n v="47.60848733744011"/>
        <n v="51.707049965776868"/>
        <n v="27.21697467488022"/>
        <n v="24.131416837782339"/>
        <n v="34.795345653661876"/>
        <n v="32.553045859000683"/>
        <n v="36.758384668035589"/>
        <n v="44.364134154688571"/>
        <n v="64.56947296372347"/>
        <n v="34.067077344284733"/>
        <n v="45.949349760438054"/>
        <n v="29.171800136892539"/>
        <n v="46.020533880903493"/>
        <n v="33.705681040383297"/>
        <n v="37.642710472279262"/>
        <n v="55.646817248459961"/>
        <n v="49.790554414784395"/>
        <n v="54.012320328542096"/>
        <n v="49.921971252566735"/>
        <n v="29.467488021902806"/>
        <n v="42.228610540725533"/>
        <n v="61.46748802190281"/>
        <n v="56.05201916495551"/>
        <n v="41.051334702258728"/>
        <n v="61.232032854209443"/>
        <n v="48.941820670773446"/>
        <n v="47.939767282683093"/>
        <n v="51.961670088980149"/>
        <n v="37.63175906913073"/>
        <n v="50.327173169062284"/>
        <n v="31.890485968514717"/>
        <n v="48.013689253935659"/>
        <n v="40.747433264887064"/>
        <n v="46.291581108829568"/>
        <n v="38.548939082819984"/>
        <n v="39.849418206707732"/>
        <n v="55.619438740588635"/>
        <n v="24.78302532511978"/>
        <n v="34.097193702943187"/>
        <n v="58.431211498973305"/>
        <n v="57.924709103353869"/>
        <n v="22.652977412731005"/>
        <n v="33.508555783709788"/>
        <n v="29.17453798767967"/>
        <n v="23.71252566735113"/>
        <n v="28.930869267624914"/>
        <n v="51.175906913073234"/>
        <n v="32.219028062970565"/>
        <n v="43.887748117727583"/>
        <n v="38.521560574948666"/>
        <n v="26.548939082819988"/>
        <n v="38.127310061601641"/>
        <n v="35.471594798083501"/>
        <n v="41.511293634496923"/>
        <n v="25.828884325804243"/>
        <n v="52.394250513347025"/>
        <n v="47.838466803559207"/>
        <n v="35.567419575633132"/>
        <n v="60.629705681040384"/>
        <n v="27.767282683093772"/>
        <n v="53.426420260095824"/>
        <n v="56.33949349760438"/>
        <n v="49.256673511293634"/>
        <n v="45.212867898699521"/>
        <n v="56.388774811772755"/>
        <n v="62.453114305270361"/>
        <n v="65.711156741957566"/>
        <n v="50.767967145790557"/>
        <n v="29.464750171115675"/>
        <n v="52.758384668035589"/>
        <n v="29.015742642026009"/>
        <n v="24.90075290896646"/>
        <n v="64.150581793292261"/>
        <n v="62.223134839151264"/>
        <n v="32.676249144421632"/>
        <n v="32.802190280629709"/>
        <n v="63.737166324435321"/>
        <n v="45.634496919917865"/>
        <n v="50.47227926078029"/>
        <n v="29.990417522245039"/>
        <n v="24.980150581793293"/>
        <n v="31.865845311430526"/>
        <n v="66.157426420260094"/>
        <n v="24.498288843258042"/>
        <n v="43.592060232717316"/>
        <n v="41.40999315537303"/>
        <n v="25.856262833675565"/>
        <n v="25.538672142368242"/>
        <n v="56.780287474332646"/>
        <n v="41.979466119096507"/>
        <n v="47.129363449691994"/>
        <n v="25.073237508555785"/>
        <n v="48.16974674880219"/>
        <n v="60.722792607802873"/>
        <n v="55.748117727583846"/>
        <n v="39.446954140999317"/>
        <n v="63.019849418206711"/>
        <n v="27.863107460643395"/>
        <n v="25.577002053388089"/>
        <n v="53.2539356605065"/>
        <n v="61.399041752224505"/>
        <n v="34.833675564681727"/>
        <n v="42.53798767967146"/>
        <n v="27.843942505133469"/>
        <n v="50.795345653661876"/>
        <n v="59.767282683093768"/>
        <n v="46.672142368240934"/>
        <n v="22.55441478439425"/>
        <n v="63.43874058863792"/>
        <n v="44.054757015742645"/>
        <n v="49.360711841204655"/>
        <n v="40.410677618069812"/>
        <n v="24.358658453114305"/>
        <n v="28.815879534565365"/>
        <n v="42.182067077344286"/>
        <n v="27.331964407939768"/>
        <n v="25.49760438056126"/>
        <n v="41.152635181382614"/>
        <n v="46.245037645448321"/>
        <n v="31.592060232717316"/>
        <n v="23.112936344969199"/>
        <n v="31.282683093771389"/>
        <n v="46.3025325119781"/>
        <n v="49.889117043121146"/>
        <n v="57.078713210130047"/>
        <n v="39.972621492128681"/>
        <n v="30.72416153319644"/>
        <n v="62.822724161533195"/>
        <n v="42.015058179329223"/>
        <n v="54.349075975359341"/>
        <n v="49.067761806981522"/>
        <n v="51.548254620123203"/>
        <n v="36.28747433264887"/>
        <n v="31.400410677618069"/>
        <n v="28.383299110198493"/>
        <n v="54.321697467488022"/>
        <n v="39.307323750855581"/>
        <n v="30.970568104038328"/>
        <n v="43.006160164271044"/>
        <n v="30.87748117727584"/>
        <n v="50.904859685147159"/>
        <n v="60.870636550308006"/>
        <n v="47.570157426420259"/>
        <n v="62.409308692676248"/>
        <n v="47.865845311430526"/>
        <n v="52.459958932238195"/>
        <n v="56.309377138945926"/>
        <n v="27.989048596851472"/>
        <n v="40.010951403148532"/>
        <n v="60.728268309377142"/>
        <n v="51.742642026009584"/>
        <n v="34.869267624914443"/>
        <n v="29.984941820670773"/>
        <n v="63.898699520876114"/>
        <n v="33.355236139630392"/>
        <n v="38.078028747433265"/>
        <n v="40.635181382614647"/>
        <n v="60.873374401095141"/>
        <n v="42.280629705681044"/>
        <n v="51.575633127994521"/>
        <n v="46.351813826146476"/>
        <n v="36.583162217659137"/>
        <n v="34.190280629705683"/>
        <n v="51.331964407939765"/>
        <n v="37.478439425051334"/>
        <n v="33.366187542778917"/>
        <n v="31.077344284736483"/>
        <n v="33.8590006844627"/>
        <n v="51.104722792607802"/>
        <n v="39.345653661875431"/>
        <n v="46.447638603696099"/>
        <n v="33.64544832306639"/>
        <n v="48.889801505817935"/>
        <n v="28.328542094455852"/>
        <n v="33.85352498288843"/>
        <n v="38.113620807665981"/>
        <n v="61.809719370294317"/>
        <n v="32.635181382614647"/>
        <n v="38.017796030116358"/>
        <n v="38.173853524982889"/>
        <n v="33.74948665297741"/>
        <n v="28.944558521560573"/>
        <n v="52.295687885010267"/>
        <n v="36.870636550308006"/>
        <n v="44.180698151950722"/>
        <n v="28.522929500342233"/>
        <n v="27.030800821355236"/>
        <n v="47.496235455167692"/>
        <n v="33.913757700205338"/>
        <n v="44.490075290896648"/>
        <n v="40.856947296372347"/>
        <n v="37.552361396303901"/>
        <n v="47.701574264202598"/>
        <n v="43.644079397672826"/>
        <n v="42.880219028062967"/>
        <n v="60.856947296372347"/>
        <n v="29.524982888432579"/>
        <n v="34.858316221765911"/>
        <n v="24.262833675564682"/>
        <n v="28.829568788501028"/>
        <n v="24.769336071184121"/>
        <n v="45.023956194387409"/>
        <n v="33.185489390828202"/>
        <n v="26.321697467488022"/>
        <n v="36.11772758384668"/>
        <n v="55.783709787816562"/>
        <n v="57.834360027378509"/>
        <n v="33.327857631759066"/>
        <n v="31.178644763860369"/>
        <n v="41.746748802190282"/>
        <n v="44.06570841889117"/>
        <n v="39.184120465434631"/>
        <n v="60.550308008213555"/>
      </sharedItems>
    </cacheField>
    <cacheField name="AGE_RANGE" numFmtId="0">
      <sharedItems count="5">
        <s v="60-70"/>
        <s v="40-50"/>
        <s v="50-60"/>
        <s v="30-40"/>
        <s v="20-30"/>
      </sharedItems>
    </cacheField>
    <cacheField name="DAYS_EMPLOYED" numFmtId="0">
      <sharedItems containsSemiMixedTypes="0" containsString="0" containsNumber="1" containsInteger="1" minValue="-15038" maxValue="365243"/>
    </cacheField>
    <cacheField name="YEARS_EMPLOYED" numFmtId="0">
      <sharedItems containsSemiMixedTypes="0" containsString="0" containsNumber="1" minValue="0" maxValue="41.171800136892543"/>
    </cacheField>
    <cacheField name="EMPLOYMENT_STATUS" numFmtId="0">
      <sharedItems count="2">
        <s v="Unemployed"/>
        <s v="Employed"/>
      </sharedItems>
    </cacheField>
    <cacheField name="FLAG_MOBIL" numFmtId="0">
      <sharedItems containsSemiMixedTypes="0" containsString="0" containsNumber="1" containsInteger="1" minValue="1" maxValue="1"/>
    </cacheField>
    <cacheField name="FLAG_WORK_PHONE" numFmtId="0">
      <sharedItems containsSemiMixedTypes="0" containsString="0" containsNumber="1" containsInteger="1" minValue="0" maxValue="1"/>
    </cacheField>
    <cacheField name="FLAG_PHONE" numFmtId="0">
      <sharedItems containsSemiMixedTypes="0" containsString="0" containsNumber="1" containsInteger="1" minValue="0" maxValue="1"/>
    </cacheField>
    <cacheField name="FLAG_EMAIL" numFmtId="0">
      <sharedItems containsSemiMixedTypes="0" containsString="0" containsNumber="1" containsInteger="1" minValue="0" maxValue="1"/>
    </cacheField>
    <cacheField name="OCCUPATION_TYPE" numFmtId="0">
      <sharedItems containsBlank="1"/>
    </cacheField>
    <cacheField name="CNT_FAM_MEMBERS" numFmtId="0">
      <sharedItems containsSemiMixedTypes="0" containsString="0" containsNumber="1" containsInteger="1" minValue="1" maxValue="7" count="7">
        <n v="1"/>
        <n v="2"/>
        <n v="4"/>
        <n v="3"/>
        <n v="5"/>
        <n v="6"/>
        <n v="7"/>
      </sharedItems>
    </cacheField>
  </cacheFields>
  <extLst>
    <ext xmlns:x14="http://schemas.microsoft.com/office/spreadsheetml/2009/9/main" uri="{725AE2AE-9491-48be-B2B4-4EB974FC3084}">
      <x14:pivotCacheDefinition pivotCacheId="168097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2">
  <r>
    <n v="5008814"/>
    <x v="0"/>
    <s v="N"/>
    <s v="Y"/>
    <n v="0"/>
    <x v="0"/>
    <x v="0"/>
    <x v="0"/>
    <x v="0"/>
    <x v="0"/>
    <d v="1963-06-22T00:00:00"/>
    <n v="-22464"/>
    <x v="0"/>
    <x v="0"/>
    <n v="365243"/>
    <n v="0"/>
    <x v="0"/>
    <n v="1"/>
    <n v="0"/>
    <n v="0"/>
    <n v="0"/>
    <m/>
    <x v="0"/>
  </r>
  <r>
    <n v="5008824"/>
    <x v="1"/>
    <s v="Y"/>
    <s v="Y"/>
    <n v="0"/>
    <x v="1"/>
    <x v="1"/>
    <x v="1"/>
    <x v="1"/>
    <x v="0"/>
    <d v="1976-04-20T00:00:00"/>
    <n v="-17778"/>
    <x v="1"/>
    <x v="1"/>
    <n v="-1194"/>
    <n v="3.268993839835729"/>
    <x v="1"/>
    <n v="1"/>
    <n v="0"/>
    <n v="0"/>
    <n v="0"/>
    <s v="Laborers"/>
    <x v="1"/>
  </r>
  <r>
    <n v="5008847"/>
    <x v="1"/>
    <s v="Y"/>
    <s v="Y"/>
    <n v="0"/>
    <x v="2"/>
    <x v="1"/>
    <x v="1"/>
    <x v="1"/>
    <x v="0"/>
    <d v="1968-11-04T00:00:00"/>
    <n v="-20502"/>
    <x v="2"/>
    <x v="2"/>
    <n v="-4450"/>
    <n v="12.183436002737851"/>
    <x v="1"/>
    <n v="1"/>
    <n v="0"/>
    <n v="1"/>
    <n v="0"/>
    <s v="Drivers"/>
    <x v="1"/>
  </r>
  <r>
    <n v="5008854"/>
    <x v="0"/>
    <s v="Y"/>
    <s v="Y"/>
    <n v="2"/>
    <x v="1"/>
    <x v="2"/>
    <x v="1"/>
    <x v="1"/>
    <x v="0"/>
    <d v="1981-10-28T00:00:00"/>
    <n v="-15761"/>
    <x v="3"/>
    <x v="1"/>
    <n v="-3173"/>
    <n v="8.687200547570157"/>
    <x v="1"/>
    <n v="1"/>
    <n v="0"/>
    <n v="0"/>
    <n v="0"/>
    <s v="Laborers"/>
    <x v="2"/>
  </r>
  <r>
    <n v="5008856"/>
    <x v="0"/>
    <s v="Y"/>
    <s v="Y"/>
    <n v="2"/>
    <x v="1"/>
    <x v="2"/>
    <x v="1"/>
    <x v="1"/>
    <x v="0"/>
    <d v="1981-10-28T00:00:00"/>
    <n v="-15761"/>
    <x v="3"/>
    <x v="1"/>
    <n v="-3173"/>
    <n v="8.687200547570157"/>
    <x v="1"/>
    <n v="1"/>
    <n v="0"/>
    <n v="0"/>
    <n v="0"/>
    <s v="Laborers"/>
    <x v="2"/>
  </r>
  <r>
    <n v="5008863"/>
    <x v="0"/>
    <s v="Y"/>
    <s v="Y"/>
    <n v="2"/>
    <x v="1"/>
    <x v="2"/>
    <x v="1"/>
    <x v="1"/>
    <x v="0"/>
    <d v="1981-10-28T00:00:00"/>
    <n v="-15761"/>
    <x v="3"/>
    <x v="1"/>
    <n v="-3173"/>
    <n v="8.687200547570157"/>
    <x v="1"/>
    <n v="1"/>
    <n v="0"/>
    <n v="0"/>
    <n v="0"/>
    <s v="Laborers"/>
    <x v="2"/>
  </r>
  <r>
    <n v="5008865"/>
    <x v="0"/>
    <s v="Y"/>
    <s v="Y"/>
    <n v="2"/>
    <x v="1"/>
    <x v="2"/>
    <x v="1"/>
    <x v="1"/>
    <x v="0"/>
    <d v="1981-10-28T00:00:00"/>
    <n v="-15761"/>
    <x v="3"/>
    <x v="1"/>
    <n v="-3173"/>
    <n v="8.687200547570157"/>
    <x v="1"/>
    <n v="1"/>
    <n v="0"/>
    <n v="0"/>
    <n v="0"/>
    <s v="Laborers"/>
    <x v="2"/>
  </r>
  <r>
    <n v="5008875"/>
    <x v="0"/>
    <s v="N"/>
    <s v="Y"/>
    <n v="2"/>
    <x v="3"/>
    <x v="1"/>
    <x v="0"/>
    <x v="1"/>
    <x v="0"/>
    <d v="1990-12-30T00:00:00"/>
    <n v="-12411"/>
    <x v="4"/>
    <x v="3"/>
    <n v="-1773"/>
    <n v="4.8542094455852158"/>
    <x v="1"/>
    <n v="1"/>
    <n v="0"/>
    <n v="0"/>
    <n v="1"/>
    <s v="Managers"/>
    <x v="2"/>
  </r>
  <r>
    <n v="5008877"/>
    <x v="0"/>
    <s v="N"/>
    <s v="Y"/>
    <n v="2"/>
    <x v="3"/>
    <x v="1"/>
    <x v="0"/>
    <x v="1"/>
    <x v="0"/>
    <d v="1990-12-30T00:00:00"/>
    <n v="-12411"/>
    <x v="4"/>
    <x v="3"/>
    <n v="-1773"/>
    <n v="4.8542094455852158"/>
    <x v="1"/>
    <n v="1"/>
    <n v="0"/>
    <n v="0"/>
    <n v="1"/>
    <s v="Managers"/>
    <x v="2"/>
  </r>
  <r>
    <n v="5008892"/>
    <x v="0"/>
    <s v="N"/>
    <s v="Y"/>
    <n v="0"/>
    <x v="4"/>
    <x v="1"/>
    <x v="1"/>
    <x v="2"/>
    <x v="1"/>
    <d v="1982-06-27T00:00:00"/>
    <n v="-15519"/>
    <x v="5"/>
    <x v="1"/>
    <n v="-3234"/>
    <n v="8.8542094455852158"/>
    <x v="1"/>
    <n v="1"/>
    <n v="0"/>
    <n v="0"/>
    <n v="0"/>
    <s v="Laborers"/>
    <x v="0"/>
  </r>
  <r>
    <n v="5008893"/>
    <x v="0"/>
    <s v="N"/>
    <s v="Y"/>
    <n v="0"/>
    <x v="4"/>
    <x v="1"/>
    <x v="1"/>
    <x v="2"/>
    <x v="1"/>
    <d v="1982-06-27T00:00:00"/>
    <n v="-15519"/>
    <x v="5"/>
    <x v="1"/>
    <n v="-3234"/>
    <n v="8.8542094455852158"/>
    <x v="1"/>
    <n v="1"/>
    <n v="0"/>
    <n v="0"/>
    <n v="0"/>
    <s v="Laborers"/>
    <x v="0"/>
  </r>
  <r>
    <n v="5008896"/>
    <x v="0"/>
    <s v="N"/>
    <s v="Y"/>
    <n v="0"/>
    <x v="4"/>
    <x v="1"/>
    <x v="1"/>
    <x v="2"/>
    <x v="1"/>
    <d v="1982-06-27T00:00:00"/>
    <n v="-15519"/>
    <x v="5"/>
    <x v="1"/>
    <n v="-3234"/>
    <n v="8.8542094455852158"/>
    <x v="1"/>
    <n v="1"/>
    <n v="0"/>
    <n v="0"/>
    <n v="0"/>
    <s v="Laborers"/>
    <x v="0"/>
  </r>
  <r>
    <n v="5008900"/>
    <x v="0"/>
    <s v="N"/>
    <s v="Y"/>
    <n v="0"/>
    <x v="4"/>
    <x v="1"/>
    <x v="1"/>
    <x v="2"/>
    <x v="1"/>
    <d v="1982-06-27T00:00:00"/>
    <n v="-15519"/>
    <x v="5"/>
    <x v="1"/>
    <n v="-3234"/>
    <n v="8.8542094455852158"/>
    <x v="1"/>
    <n v="1"/>
    <n v="0"/>
    <n v="0"/>
    <n v="0"/>
    <s v="Laborers"/>
    <x v="0"/>
  </r>
  <r>
    <n v="5008902"/>
    <x v="0"/>
    <s v="N"/>
    <s v="Y"/>
    <n v="0"/>
    <x v="4"/>
    <x v="1"/>
    <x v="1"/>
    <x v="2"/>
    <x v="1"/>
    <d v="1982-06-27T00:00:00"/>
    <n v="-15519"/>
    <x v="5"/>
    <x v="1"/>
    <n v="-3234"/>
    <n v="8.8542094455852158"/>
    <x v="1"/>
    <n v="1"/>
    <n v="0"/>
    <n v="0"/>
    <n v="0"/>
    <s v="Laborers"/>
    <x v="0"/>
  </r>
  <r>
    <n v="5008904"/>
    <x v="0"/>
    <s v="N"/>
    <s v="Y"/>
    <n v="0"/>
    <x v="4"/>
    <x v="1"/>
    <x v="1"/>
    <x v="2"/>
    <x v="1"/>
    <d v="1982-06-27T00:00:00"/>
    <n v="-15519"/>
    <x v="5"/>
    <x v="1"/>
    <n v="-3234"/>
    <n v="8.8542094455852158"/>
    <x v="1"/>
    <n v="1"/>
    <n v="0"/>
    <n v="0"/>
    <n v="0"/>
    <s v="Laborers"/>
    <x v="0"/>
  </r>
  <r>
    <n v="5008929"/>
    <x v="0"/>
    <s v="N"/>
    <s v="Y"/>
    <n v="0"/>
    <x v="4"/>
    <x v="1"/>
    <x v="1"/>
    <x v="2"/>
    <x v="1"/>
    <d v="1982-06-27T00:00:00"/>
    <n v="-15519"/>
    <x v="5"/>
    <x v="1"/>
    <n v="-3234"/>
    <n v="8.8542094455852158"/>
    <x v="1"/>
    <n v="1"/>
    <n v="0"/>
    <n v="0"/>
    <n v="0"/>
    <s v="Laborers"/>
    <x v="0"/>
  </r>
  <r>
    <n v="5008934"/>
    <x v="0"/>
    <s v="N"/>
    <s v="Y"/>
    <n v="0"/>
    <x v="4"/>
    <x v="1"/>
    <x v="1"/>
    <x v="2"/>
    <x v="1"/>
    <d v="1982-06-27T00:00:00"/>
    <n v="-15519"/>
    <x v="5"/>
    <x v="1"/>
    <n v="-3234"/>
    <n v="8.8542094455852158"/>
    <x v="1"/>
    <n v="1"/>
    <n v="0"/>
    <n v="0"/>
    <n v="0"/>
    <s v="Laborers"/>
    <x v="0"/>
  </r>
  <r>
    <n v="5008935"/>
    <x v="0"/>
    <s v="N"/>
    <s v="Y"/>
    <n v="0"/>
    <x v="4"/>
    <x v="1"/>
    <x v="1"/>
    <x v="2"/>
    <x v="1"/>
    <d v="1982-06-27T00:00:00"/>
    <n v="-15519"/>
    <x v="5"/>
    <x v="1"/>
    <n v="-3234"/>
    <n v="8.8542094455852158"/>
    <x v="1"/>
    <n v="1"/>
    <n v="0"/>
    <n v="0"/>
    <n v="0"/>
    <s v="Laborers"/>
    <x v="0"/>
  </r>
  <r>
    <n v="5008937"/>
    <x v="0"/>
    <s v="N"/>
    <s v="Y"/>
    <n v="0"/>
    <x v="4"/>
    <x v="1"/>
    <x v="1"/>
    <x v="2"/>
    <x v="1"/>
    <d v="1982-06-27T00:00:00"/>
    <n v="-15519"/>
    <x v="5"/>
    <x v="1"/>
    <n v="-3234"/>
    <n v="8.8542094455852158"/>
    <x v="1"/>
    <n v="1"/>
    <n v="0"/>
    <n v="0"/>
    <n v="0"/>
    <s v="Laborers"/>
    <x v="0"/>
  </r>
  <r>
    <n v="5008973"/>
    <x v="1"/>
    <s v="N"/>
    <s v="Y"/>
    <n v="0"/>
    <x v="5"/>
    <x v="2"/>
    <x v="1"/>
    <x v="1"/>
    <x v="0"/>
    <d v="1981-02-04T00:00:00"/>
    <n v="-16027"/>
    <x v="6"/>
    <x v="1"/>
    <n v="-889"/>
    <n v="2.4339493497604381"/>
    <x v="1"/>
    <n v="1"/>
    <n v="0"/>
    <n v="1"/>
    <n v="0"/>
    <m/>
    <x v="1"/>
  </r>
  <r>
    <n v="5008978"/>
    <x v="0"/>
    <s v="N"/>
    <s v="Y"/>
    <n v="0"/>
    <x v="2"/>
    <x v="0"/>
    <x v="1"/>
    <x v="1"/>
    <x v="0"/>
    <d v="1963-11-14T00:00:00"/>
    <n v="-22319"/>
    <x v="7"/>
    <x v="0"/>
    <n v="365243"/>
    <n v="0"/>
    <x v="0"/>
    <n v="1"/>
    <n v="0"/>
    <n v="0"/>
    <n v="0"/>
    <m/>
    <x v="1"/>
  </r>
  <r>
    <n v="5008986"/>
    <x v="1"/>
    <s v="Y"/>
    <s v="Y"/>
    <n v="0"/>
    <x v="2"/>
    <x v="3"/>
    <x v="1"/>
    <x v="1"/>
    <x v="0"/>
    <d v="1967-10-29T00:00:00"/>
    <n v="-20874"/>
    <x v="8"/>
    <x v="2"/>
    <n v="-2381"/>
    <n v="6.5188227241615335"/>
    <x v="1"/>
    <n v="1"/>
    <n v="0"/>
    <n v="1"/>
    <n v="0"/>
    <s v="Drivers"/>
    <x v="1"/>
  </r>
  <r>
    <n v="5009005"/>
    <x v="1"/>
    <s v="N"/>
    <s v="Y"/>
    <n v="0"/>
    <x v="6"/>
    <x v="2"/>
    <x v="1"/>
    <x v="1"/>
    <x v="0"/>
    <d v="1973-02-27T00:00:00"/>
    <n v="-18926"/>
    <x v="9"/>
    <x v="2"/>
    <n v="-6276"/>
    <n v="17.182751540041068"/>
    <x v="1"/>
    <n v="1"/>
    <n v="1"/>
    <n v="1"/>
    <n v="0"/>
    <s v="Laborers"/>
    <x v="1"/>
  </r>
  <r>
    <n v="5009006"/>
    <x v="1"/>
    <s v="N"/>
    <s v="Y"/>
    <n v="0"/>
    <x v="6"/>
    <x v="2"/>
    <x v="1"/>
    <x v="1"/>
    <x v="0"/>
    <d v="1973-02-27T00:00:00"/>
    <n v="-18926"/>
    <x v="9"/>
    <x v="2"/>
    <n v="-6276"/>
    <n v="17.182751540041068"/>
    <x v="1"/>
    <n v="1"/>
    <n v="1"/>
    <n v="1"/>
    <n v="0"/>
    <s v="Laborers"/>
    <x v="1"/>
  </r>
  <r>
    <n v="5009009"/>
    <x v="1"/>
    <s v="N"/>
    <s v="Y"/>
    <n v="0"/>
    <x v="6"/>
    <x v="2"/>
    <x v="1"/>
    <x v="1"/>
    <x v="0"/>
    <d v="1973-02-27T00:00:00"/>
    <n v="-18926"/>
    <x v="9"/>
    <x v="2"/>
    <n v="-6276"/>
    <n v="17.182751540041068"/>
    <x v="1"/>
    <n v="1"/>
    <n v="1"/>
    <n v="1"/>
    <n v="0"/>
    <s v="Laborers"/>
    <x v="1"/>
  </r>
  <r>
    <n v="5009014"/>
    <x v="1"/>
    <s v="N"/>
    <s v="Y"/>
    <n v="0"/>
    <x v="6"/>
    <x v="2"/>
    <x v="1"/>
    <x v="1"/>
    <x v="0"/>
    <d v="1973-02-27T00:00:00"/>
    <n v="-18926"/>
    <x v="9"/>
    <x v="2"/>
    <n v="-6276"/>
    <n v="17.182751540041068"/>
    <x v="1"/>
    <n v="1"/>
    <n v="1"/>
    <n v="1"/>
    <n v="0"/>
    <s v="Laborers"/>
    <x v="1"/>
  </r>
  <r>
    <n v="5009025"/>
    <x v="0"/>
    <s v="N"/>
    <s v="Y"/>
    <n v="2"/>
    <x v="7"/>
    <x v="3"/>
    <x v="0"/>
    <x v="1"/>
    <x v="0"/>
    <d v="1982-09-10T00:00:00"/>
    <n v="-15444"/>
    <x v="10"/>
    <x v="1"/>
    <n v="-3112"/>
    <n v="8.5201916495551"/>
    <x v="1"/>
    <n v="1"/>
    <n v="0"/>
    <n v="0"/>
    <n v="1"/>
    <m/>
    <x v="2"/>
  </r>
  <r>
    <n v="5009029"/>
    <x v="0"/>
    <s v="Y"/>
    <s v="Y"/>
    <n v="0"/>
    <x v="8"/>
    <x v="1"/>
    <x v="1"/>
    <x v="1"/>
    <x v="0"/>
    <d v="1985-05-31T00:00:00"/>
    <n v="-14450"/>
    <x v="11"/>
    <x v="3"/>
    <n v="-2777"/>
    <n v="7.6030116358658457"/>
    <x v="1"/>
    <n v="1"/>
    <n v="0"/>
    <n v="0"/>
    <n v="0"/>
    <s v="Laborers"/>
    <x v="1"/>
  </r>
  <r>
    <n v="5009033"/>
    <x v="0"/>
    <s v="N"/>
    <s v="N"/>
    <n v="0"/>
    <x v="9"/>
    <x v="0"/>
    <x v="2"/>
    <x v="3"/>
    <x v="1"/>
    <d v="1973-10-29T00:00:00"/>
    <n v="-18682"/>
    <x v="12"/>
    <x v="2"/>
    <n v="365243"/>
    <n v="0"/>
    <x v="0"/>
    <n v="1"/>
    <n v="0"/>
    <n v="0"/>
    <n v="0"/>
    <m/>
    <x v="1"/>
  </r>
  <r>
    <n v="5009036"/>
    <x v="0"/>
    <s v="N"/>
    <s v="N"/>
    <n v="0"/>
    <x v="9"/>
    <x v="0"/>
    <x v="2"/>
    <x v="3"/>
    <x v="1"/>
    <d v="1973-10-29T00:00:00"/>
    <n v="-18682"/>
    <x v="12"/>
    <x v="2"/>
    <n v="365243"/>
    <n v="0"/>
    <x v="0"/>
    <n v="1"/>
    <n v="0"/>
    <n v="0"/>
    <n v="0"/>
    <m/>
    <x v="1"/>
  </r>
  <r>
    <n v="5009038"/>
    <x v="0"/>
    <s v="N"/>
    <s v="N"/>
    <n v="0"/>
    <x v="9"/>
    <x v="0"/>
    <x v="2"/>
    <x v="3"/>
    <x v="1"/>
    <d v="1973-10-29T00:00:00"/>
    <n v="-18682"/>
    <x v="12"/>
    <x v="2"/>
    <n v="365243"/>
    <n v="0"/>
    <x v="0"/>
    <n v="1"/>
    <n v="0"/>
    <n v="0"/>
    <n v="0"/>
    <m/>
    <x v="1"/>
  </r>
  <r>
    <n v="5009046"/>
    <x v="0"/>
    <s v="N"/>
    <s v="Y"/>
    <n v="0"/>
    <x v="10"/>
    <x v="2"/>
    <x v="0"/>
    <x v="1"/>
    <x v="0"/>
    <d v="1976-09-04T00:00:00"/>
    <n v="-17641"/>
    <x v="13"/>
    <x v="1"/>
    <n v="-889"/>
    <n v="2.4339493497604381"/>
    <x v="1"/>
    <n v="1"/>
    <n v="0"/>
    <n v="0"/>
    <n v="0"/>
    <s v="Core staff"/>
    <x v="1"/>
  </r>
  <r>
    <n v="5009052"/>
    <x v="0"/>
    <s v="N"/>
    <s v="Y"/>
    <n v="2"/>
    <x v="11"/>
    <x v="2"/>
    <x v="0"/>
    <x v="1"/>
    <x v="0"/>
    <d v="1994-11-13T00:00:00"/>
    <n v="-10997"/>
    <x v="14"/>
    <x v="3"/>
    <n v="-2289"/>
    <n v="6.2669404517453797"/>
    <x v="1"/>
    <n v="1"/>
    <n v="0"/>
    <n v="0"/>
    <n v="1"/>
    <s v="Core staff"/>
    <x v="2"/>
  </r>
  <r>
    <n v="5009056"/>
    <x v="1"/>
    <s v="N"/>
    <s v="Y"/>
    <n v="0"/>
    <x v="11"/>
    <x v="2"/>
    <x v="1"/>
    <x v="2"/>
    <x v="0"/>
    <d v="2000-09-18T00:00:00"/>
    <n v="-8861"/>
    <x v="15"/>
    <x v="4"/>
    <n v="-889"/>
    <n v="2.4339493497604381"/>
    <x v="1"/>
    <n v="1"/>
    <n v="1"/>
    <n v="0"/>
    <n v="0"/>
    <s v="Drivers"/>
    <x v="0"/>
  </r>
  <r>
    <n v="5009065"/>
    <x v="1"/>
    <s v="Y"/>
    <s v="Y"/>
    <n v="0"/>
    <x v="12"/>
    <x v="2"/>
    <x v="1"/>
    <x v="3"/>
    <x v="0"/>
    <d v="1996-05-13T00:00:00"/>
    <n v="-10450"/>
    <x v="16"/>
    <x v="4"/>
    <n v="-2077"/>
    <n v="5.6865160848733742"/>
    <x v="1"/>
    <n v="1"/>
    <n v="0"/>
    <n v="0"/>
    <n v="0"/>
    <s v="Sales staff"/>
    <x v="1"/>
  </r>
  <r>
    <n v="5009066"/>
    <x v="1"/>
    <s v="Y"/>
    <s v="Y"/>
    <n v="0"/>
    <x v="12"/>
    <x v="2"/>
    <x v="1"/>
    <x v="3"/>
    <x v="0"/>
    <d v="1996-05-13T00:00:00"/>
    <n v="-10450"/>
    <x v="16"/>
    <x v="4"/>
    <n v="-2077"/>
    <n v="5.6865160848733742"/>
    <x v="1"/>
    <n v="1"/>
    <n v="0"/>
    <n v="0"/>
    <n v="0"/>
    <s v="Sales staff"/>
    <x v="1"/>
  </r>
  <r>
    <n v="5009070"/>
    <x v="1"/>
    <s v="Y"/>
    <s v="Y"/>
    <n v="0"/>
    <x v="12"/>
    <x v="2"/>
    <x v="1"/>
    <x v="3"/>
    <x v="0"/>
    <d v="1996-05-13T00:00:00"/>
    <n v="-10450"/>
    <x v="16"/>
    <x v="4"/>
    <n v="-2077"/>
    <n v="5.6865160848733742"/>
    <x v="1"/>
    <n v="1"/>
    <n v="0"/>
    <n v="0"/>
    <n v="0"/>
    <s v="Sales staff"/>
    <x v="1"/>
  </r>
  <r>
    <n v="5009081"/>
    <x v="0"/>
    <s v="N"/>
    <s v="Y"/>
    <n v="0"/>
    <x v="2"/>
    <x v="2"/>
    <x v="0"/>
    <x v="3"/>
    <x v="0"/>
    <d v="1997-06-03T00:00:00"/>
    <n v="-10064"/>
    <x v="17"/>
    <x v="4"/>
    <n v="-3173"/>
    <n v="8.687200547570157"/>
    <x v="1"/>
    <n v="1"/>
    <n v="0"/>
    <n v="0"/>
    <n v="1"/>
    <s v="Laborers"/>
    <x v="1"/>
  </r>
  <r>
    <n v="5009094"/>
    <x v="1"/>
    <s v="Y"/>
    <s v="Y"/>
    <n v="1"/>
    <x v="13"/>
    <x v="2"/>
    <x v="0"/>
    <x v="1"/>
    <x v="0"/>
    <d v="1991-08-01T00:00:00"/>
    <n v="-12197"/>
    <x v="18"/>
    <x v="3"/>
    <n v="-1194"/>
    <n v="3.268993839835729"/>
    <x v="1"/>
    <n v="1"/>
    <n v="1"/>
    <n v="0"/>
    <n v="0"/>
    <s v="Managers"/>
    <x v="3"/>
  </r>
  <r>
    <n v="5009108"/>
    <x v="1"/>
    <s v="N"/>
    <s v="Y"/>
    <n v="0"/>
    <x v="14"/>
    <x v="1"/>
    <x v="1"/>
    <x v="1"/>
    <x v="0"/>
    <d v="1983-01-11T00:00:00"/>
    <n v="-15321"/>
    <x v="19"/>
    <x v="1"/>
    <n v="-2747"/>
    <n v="7.5208761122518819"/>
    <x v="1"/>
    <n v="1"/>
    <n v="0"/>
    <n v="0"/>
    <n v="0"/>
    <s v="Security staff"/>
    <x v="1"/>
  </r>
  <r>
    <n v="5009125"/>
    <x v="0"/>
    <s v="N"/>
    <s v="N"/>
    <n v="0"/>
    <x v="5"/>
    <x v="1"/>
    <x v="0"/>
    <x v="0"/>
    <x v="2"/>
    <d v="1981-11-21T00:00:00"/>
    <n v="-15737"/>
    <x v="20"/>
    <x v="1"/>
    <n v="-432"/>
    <n v="1.1827515400410678"/>
    <x v="1"/>
    <n v="1"/>
    <n v="0"/>
    <n v="0"/>
    <n v="0"/>
    <m/>
    <x v="0"/>
  </r>
  <r>
    <n v="5009133"/>
    <x v="1"/>
    <s v="N"/>
    <s v="Y"/>
    <n v="0"/>
    <x v="15"/>
    <x v="0"/>
    <x v="1"/>
    <x v="4"/>
    <x v="0"/>
    <d v="1965-08-21T00:00:00"/>
    <n v="-21673"/>
    <x v="21"/>
    <x v="2"/>
    <n v="365243"/>
    <n v="0"/>
    <x v="0"/>
    <n v="1"/>
    <n v="0"/>
    <n v="0"/>
    <n v="0"/>
    <m/>
    <x v="0"/>
  </r>
  <r>
    <n v="5009138"/>
    <x v="1"/>
    <s v="N"/>
    <s v="Y"/>
    <n v="0"/>
    <x v="15"/>
    <x v="0"/>
    <x v="1"/>
    <x v="4"/>
    <x v="0"/>
    <d v="1965-08-21T00:00:00"/>
    <n v="-21673"/>
    <x v="21"/>
    <x v="2"/>
    <n v="365243"/>
    <n v="0"/>
    <x v="0"/>
    <n v="1"/>
    <n v="0"/>
    <n v="0"/>
    <n v="0"/>
    <m/>
    <x v="0"/>
  </r>
  <r>
    <n v="5009141"/>
    <x v="0"/>
    <s v="N"/>
    <s v="N"/>
    <n v="0"/>
    <x v="1"/>
    <x v="2"/>
    <x v="1"/>
    <x v="3"/>
    <x v="0"/>
    <d v="1998-07-15T00:00:00"/>
    <n v="-9657"/>
    <x v="22"/>
    <x v="4"/>
    <n v="-1560"/>
    <n v="4.2710472279260783"/>
    <x v="1"/>
    <n v="1"/>
    <n v="1"/>
    <n v="1"/>
    <n v="0"/>
    <s v="Managers"/>
    <x v="1"/>
  </r>
  <r>
    <n v="5009149"/>
    <x v="1"/>
    <s v="Y"/>
    <s v="N"/>
    <n v="0"/>
    <x v="12"/>
    <x v="2"/>
    <x v="0"/>
    <x v="1"/>
    <x v="0"/>
    <d v="1981-08-25T00:00:00"/>
    <n v="-15825"/>
    <x v="23"/>
    <x v="1"/>
    <n v="-3720"/>
    <n v="10.184804928131417"/>
    <x v="1"/>
    <n v="1"/>
    <n v="1"/>
    <n v="1"/>
    <n v="0"/>
    <s v="Managers"/>
    <x v="1"/>
  </r>
  <r>
    <n v="5009159"/>
    <x v="0"/>
    <s v="N"/>
    <s v="N"/>
    <n v="0"/>
    <x v="16"/>
    <x v="2"/>
    <x v="1"/>
    <x v="1"/>
    <x v="0"/>
    <d v="1971-05-20T00:00:00"/>
    <n v="-19575"/>
    <x v="24"/>
    <x v="2"/>
    <n v="-2901"/>
    <n v="7.9425051334702257"/>
    <x v="1"/>
    <n v="1"/>
    <n v="0"/>
    <n v="0"/>
    <n v="0"/>
    <s v="Sales staff"/>
    <x v="1"/>
  </r>
  <r>
    <n v="5009183"/>
    <x v="1"/>
    <s v="Y"/>
    <s v="N"/>
    <n v="0"/>
    <x v="17"/>
    <x v="2"/>
    <x v="2"/>
    <x v="1"/>
    <x v="3"/>
    <d v="1974-10-21T00:00:00"/>
    <n v="-18325"/>
    <x v="25"/>
    <x v="2"/>
    <n v="-1256"/>
    <n v="3.4387405886379194"/>
    <x v="1"/>
    <n v="1"/>
    <n v="0"/>
    <n v="0"/>
    <n v="0"/>
    <s v="Laborers"/>
    <x v="1"/>
  </r>
  <r>
    <n v="5009188"/>
    <x v="0"/>
    <s v="N"/>
    <s v="N"/>
    <n v="0"/>
    <x v="18"/>
    <x v="2"/>
    <x v="0"/>
    <x v="1"/>
    <x v="0"/>
    <d v="1976-11-11T00:00:00"/>
    <n v="-17573"/>
    <x v="26"/>
    <x v="1"/>
    <n v="-5792"/>
    <n v="15.857631759069131"/>
    <x v="1"/>
    <n v="1"/>
    <n v="1"/>
    <n v="1"/>
    <n v="0"/>
    <s v="Managers"/>
    <x v="1"/>
  </r>
  <r>
    <n v="5009189"/>
    <x v="0"/>
    <s v="N"/>
    <s v="N"/>
    <n v="0"/>
    <x v="18"/>
    <x v="2"/>
    <x v="0"/>
    <x v="1"/>
    <x v="0"/>
    <d v="1976-11-11T00:00:00"/>
    <n v="-17573"/>
    <x v="26"/>
    <x v="1"/>
    <n v="-5792"/>
    <n v="15.857631759069131"/>
    <x v="1"/>
    <n v="1"/>
    <n v="1"/>
    <n v="1"/>
    <n v="0"/>
    <s v="Managers"/>
    <x v="1"/>
  </r>
  <r>
    <n v="5009201"/>
    <x v="0"/>
    <s v="N"/>
    <s v="N"/>
    <n v="0"/>
    <x v="19"/>
    <x v="3"/>
    <x v="1"/>
    <x v="1"/>
    <x v="0"/>
    <d v="1967-08-11T00:00:00"/>
    <n v="-20953"/>
    <x v="27"/>
    <x v="2"/>
    <n v="-8684"/>
    <n v="23.775496235455169"/>
    <x v="1"/>
    <n v="1"/>
    <n v="1"/>
    <n v="1"/>
    <n v="0"/>
    <s v="Accountants"/>
    <x v="1"/>
  </r>
  <r>
    <n v="5009215"/>
    <x v="0"/>
    <s v="N"/>
    <s v="N"/>
    <n v="0"/>
    <x v="18"/>
    <x v="2"/>
    <x v="0"/>
    <x v="1"/>
    <x v="0"/>
    <d v="1991-03-18T00:00:00"/>
    <n v="-12333"/>
    <x v="28"/>
    <x v="3"/>
    <n v="-860"/>
    <n v="2.3545516769336072"/>
    <x v="1"/>
    <n v="1"/>
    <n v="1"/>
    <n v="1"/>
    <n v="0"/>
    <s v="Accountants"/>
    <x v="1"/>
  </r>
  <r>
    <n v="5009243"/>
    <x v="0"/>
    <s v="N"/>
    <s v="N"/>
    <n v="0"/>
    <x v="20"/>
    <x v="2"/>
    <x v="0"/>
    <x v="0"/>
    <x v="4"/>
    <d v="1972-09-24T00:00:00"/>
    <n v="-19082"/>
    <x v="29"/>
    <x v="2"/>
    <n v="-5243"/>
    <n v="14.354551676933607"/>
    <x v="1"/>
    <n v="1"/>
    <n v="0"/>
    <n v="1"/>
    <n v="0"/>
    <s v="Core staff"/>
    <x v="0"/>
  </r>
  <r>
    <n v="5009249"/>
    <x v="1"/>
    <s v="Y"/>
    <s v="N"/>
    <n v="1"/>
    <x v="1"/>
    <x v="2"/>
    <x v="1"/>
    <x v="1"/>
    <x v="0"/>
    <d v="1997-09-18T00:00:00"/>
    <n v="-9957"/>
    <x v="30"/>
    <x v="4"/>
    <n v="-921"/>
    <n v="2.5215605749486651"/>
    <x v="1"/>
    <n v="1"/>
    <n v="1"/>
    <n v="0"/>
    <n v="0"/>
    <s v="Drivers"/>
    <x v="3"/>
  </r>
  <r>
    <n v="5009265"/>
    <x v="1"/>
    <s v="Y"/>
    <s v="N"/>
    <n v="0"/>
    <x v="21"/>
    <x v="3"/>
    <x v="0"/>
    <x v="1"/>
    <x v="2"/>
    <d v="1996-11-13T00:00:00"/>
    <n v="-10266"/>
    <x v="31"/>
    <x v="4"/>
    <n v="-1652"/>
    <n v="4.5229295003422312"/>
    <x v="1"/>
    <n v="1"/>
    <n v="1"/>
    <n v="1"/>
    <n v="0"/>
    <s v="Managers"/>
    <x v="1"/>
  </r>
  <r>
    <n v="5009266"/>
    <x v="1"/>
    <s v="Y"/>
    <s v="N"/>
    <n v="0"/>
    <x v="21"/>
    <x v="3"/>
    <x v="0"/>
    <x v="1"/>
    <x v="2"/>
    <d v="1996-11-13T00:00:00"/>
    <n v="-10266"/>
    <x v="31"/>
    <x v="4"/>
    <n v="-1652"/>
    <n v="4.5229295003422312"/>
    <x v="1"/>
    <n v="1"/>
    <n v="1"/>
    <n v="1"/>
    <n v="0"/>
    <s v="Managers"/>
    <x v="1"/>
  </r>
  <r>
    <n v="5009271"/>
    <x v="1"/>
    <s v="N"/>
    <s v="N"/>
    <n v="0"/>
    <x v="16"/>
    <x v="1"/>
    <x v="1"/>
    <x v="1"/>
    <x v="4"/>
    <d v="1984-07-04T00:00:00"/>
    <n v="-14781"/>
    <x v="32"/>
    <x v="1"/>
    <n v="-2443"/>
    <n v="6.6885694729637235"/>
    <x v="1"/>
    <n v="1"/>
    <n v="0"/>
    <n v="1"/>
    <n v="0"/>
    <s v="Laborers"/>
    <x v="1"/>
  </r>
  <r>
    <n v="5009281"/>
    <x v="0"/>
    <s v="N"/>
    <s v="N"/>
    <n v="0"/>
    <x v="22"/>
    <x v="2"/>
    <x v="1"/>
    <x v="3"/>
    <x v="0"/>
    <d v="1983-07-11T00:00:00"/>
    <n v="-15140"/>
    <x v="33"/>
    <x v="1"/>
    <n v="-4816"/>
    <n v="13.1854893908282"/>
    <x v="1"/>
    <n v="1"/>
    <n v="0"/>
    <n v="1"/>
    <n v="0"/>
    <s v="Cleaning staff"/>
    <x v="1"/>
  </r>
  <r>
    <n v="5009293"/>
    <x v="0"/>
    <s v="N"/>
    <s v="N"/>
    <n v="0"/>
    <x v="22"/>
    <x v="2"/>
    <x v="1"/>
    <x v="3"/>
    <x v="0"/>
    <d v="1983-07-11T00:00:00"/>
    <n v="-15140"/>
    <x v="33"/>
    <x v="1"/>
    <n v="-4816"/>
    <n v="13.1854893908282"/>
    <x v="1"/>
    <n v="1"/>
    <n v="0"/>
    <n v="1"/>
    <n v="0"/>
    <s v="Cleaning staff"/>
    <x v="1"/>
  </r>
  <r>
    <n v="5009295"/>
    <x v="0"/>
    <s v="N"/>
    <s v="N"/>
    <n v="0"/>
    <x v="23"/>
    <x v="0"/>
    <x v="1"/>
    <x v="1"/>
    <x v="0"/>
    <d v="1967-05-15T00:00:00"/>
    <n v="-21041"/>
    <x v="34"/>
    <x v="2"/>
    <n v="365243"/>
    <n v="0"/>
    <x v="0"/>
    <n v="1"/>
    <n v="0"/>
    <n v="1"/>
    <n v="0"/>
    <m/>
    <x v="1"/>
  </r>
  <r>
    <n v="5009296"/>
    <x v="0"/>
    <s v="N"/>
    <s v="N"/>
    <n v="0"/>
    <x v="23"/>
    <x v="0"/>
    <x v="1"/>
    <x v="1"/>
    <x v="0"/>
    <d v="1967-05-15T00:00:00"/>
    <n v="-21041"/>
    <x v="34"/>
    <x v="2"/>
    <n v="365243"/>
    <n v="0"/>
    <x v="0"/>
    <n v="1"/>
    <n v="0"/>
    <n v="1"/>
    <n v="0"/>
    <m/>
    <x v="1"/>
  </r>
  <r>
    <n v="5009309"/>
    <x v="0"/>
    <s v="Y"/>
    <s v="N"/>
    <n v="0"/>
    <x v="1"/>
    <x v="0"/>
    <x v="1"/>
    <x v="1"/>
    <x v="0"/>
    <d v="1969-11-01T00:00:00"/>
    <n v="-20140"/>
    <x v="35"/>
    <x v="2"/>
    <n v="365243"/>
    <n v="0"/>
    <x v="0"/>
    <n v="1"/>
    <n v="0"/>
    <n v="1"/>
    <n v="1"/>
    <m/>
    <x v="1"/>
  </r>
  <r>
    <n v="5009325"/>
    <x v="1"/>
    <s v="Y"/>
    <s v="N"/>
    <n v="0"/>
    <x v="24"/>
    <x v="2"/>
    <x v="0"/>
    <x v="1"/>
    <x v="0"/>
    <d v="1967-07-04T00:00:00"/>
    <n v="-20991"/>
    <x v="36"/>
    <x v="2"/>
    <n v="-4727"/>
    <n v="12.941820670773442"/>
    <x v="1"/>
    <n v="1"/>
    <n v="0"/>
    <n v="1"/>
    <n v="0"/>
    <s v="Laborers"/>
    <x v="1"/>
  </r>
  <r>
    <n v="5009331"/>
    <x v="1"/>
    <s v="Y"/>
    <s v="N"/>
    <n v="0"/>
    <x v="24"/>
    <x v="2"/>
    <x v="0"/>
    <x v="1"/>
    <x v="0"/>
    <d v="1967-07-04T00:00:00"/>
    <n v="-20991"/>
    <x v="36"/>
    <x v="2"/>
    <n v="-4727"/>
    <n v="12.941820670773442"/>
    <x v="1"/>
    <n v="1"/>
    <n v="0"/>
    <n v="1"/>
    <n v="0"/>
    <s v="Laborers"/>
    <x v="1"/>
  </r>
  <r>
    <n v="5009336"/>
    <x v="0"/>
    <s v="N"/>
    <s v="N"/>
    <n v="0"/>
    <x v="25"/>
    <x v="2"/>
    <x v="0"/>
    <x v="0"/>
    <x v="0"/>
    <d v="1980-08-12T00:00:00"/>
    <n v="-16203"/>
    <x v="37"/>
    <x v="1"/>
    <n v="-7100"/>
    <n v="19.43874058863792"/>
    <x v="1"/>
    <n v="1"/>
    <n v="0"/>
    <n v="0"/>
    <n v="0"/>
    <s v="Managers"/>
    <x v="0"/>
  </r>
  <r>
    <n v="5009341"/>
    <x v="1"/>
    <s v="Y"/>
    <s v="N"/>
    <n v="0"/>
    <x v="26"/>
    <x v="2"/>
    <x v="1"/>
    <x v="1"/>
    <x v="0"/>
    <d v="1995-07-18T00:00:00"/>
    <n v="-10750"/>
    <x v="38"/>
    <x v="4"/>
    <n v="-2443"/>
    <n v="6.6885694729637235"/>
    <x v="1"/>
    <n v="1"/>
    <n v="0"/>
    <n v="0"/>
    <n v="0"/>
    <s v="High skill tech staff"/>
    <x v="1"/>
  </r>
  <r>
    <n v="5009346"/>
    <x v="1"/>
    <s v="Y"/>
    <s v="N"/>
    <n v="0"/>
    <x v="26"/>
    <x v="2"/>
    <x v="1"/>
    <x v="1"/>
    <x v="0"/>
    <d v="1995-07-18T00:00:00"/>
    <n v="-10750"/>
    <x v="38"/>
    <x v="4"/>
    <n v="-2443"/>
    <n v="6.6885694729637235"/>
    <x v="1"/>
    <n v="1"/>
    <n v="0"/>
    <n v="0"/>
    <n v="0"/>
    <s v="High skill tech staff"/>
    <x v="1"/>
  </r>
  <r>
    <n v="5009369"/>
    <x v="1"/>
    <s v="Y"/>
    <s v="N"/>
    <n v="0"/>
    <x v="27"/>
    <x v="0"/>
    <x v="1"/>
    <x v="1"/>
    <x v="0"/>
    <d v="1961-06-29T00:00:00"/>
    <n v="-23187"/>
    <x v="39"/>
    <x v="0"/>
    <n v="365243"/>
    <n v="0"/>
    <x v="0"/>
    <n v="1"/>
    <n v="0"/>
    <n v="1"/>
    <n v="1"/>
    <m/>
    <x v="1"/>
  </r>
  <r>
    <n v="5009378"/>
    <x v="0"/>
    <s v="N"/>
    <s v="N"/>
    <n v="2"/>
    <x v="8"/>
    <x v="2"/>
    <x v="0"/>
    <x v="1"/>
    <x v="0"/>
    <d v="1994-02-02T00:00:00"/>
    <n v="-11281"/>
    <x v="40"/>
    <x v="3"/>
    <n v="-1744"/>
    <n v="4.774811772758385"/>
    <x v="1"/>
    <n v="1"/>
    <n v="1"/>
    <n v="0"/>
    <n v="1"/>
    <s v="Core staff"/>
    <x v="2"/>
  </r>
  <r>
    <n v="5009380"/>
    <x v="1"/>
    <s v="Y"/>
    <s v="N"/>
    <n v="1"/>
    <x v="1"/>
    <x v="2"/>
    <x v="1"/>
    <x v="1"/>
    <x v="0"/>
    <d v="1999-02-27T00:00:00"/>
    <n v="-9430"/>
    <x v="41"/>
    <x v="4"/>
    <n v="-1195"/>
    <n v="3.2717316906228611"/>
    <x v="1"/>
    <n v="1"/>
    <n v="1"/>
    <n v="0"/>
    <n v="0"/>
    <s v="Sales staff"/>
    <x v="3"/>
  </r>
  <r>
    <n v="5009395"/>
    <x v="1"/>
    <s v="N"/>
    <s v="N"/>
    <n v="0"/>
    <x v="28"/>
    <x v="3"/>
    <x v="0"/>
    <x v="2"/>
    <x v="0"/>
    <d v="1994-09-29T00:00:00"/>
    <n v="-11042"/>
    <x v="42"/>
    <x v="3"/>
    <n v="-3174"/>
    <n v="8.68993839835729"/>
    <x v="1"/>
    <n v="1"/>
    <n v="0"/>
    <n v="0"/>
    <n v="0"/>
    <s v="Core staff"/>
    <x v="0"/>
  </r>
  <r>
    <n v="5009396"/>
    <x v="0"/>
    <s v="N"/>
    <s v="N"/>
    <n v="1"/>
    <x v="29"/>
    <x v="2"/>
    <x v="0"/>
    <x v="3"/>
    <x v="0"/>
    <d v="1990-09-26T00:00:00"/>
    <n v="-12506"/>
    <x v="43"/>
    <x v="3"/>
    <n v="-495"/>
    <n v="1.3552361396303902"/>
    <x v="1"/>
    <n v="1"/>
    <n v="1"/>
    <n v="0"/>
    <n v="0"/>
    <s v="Accountants"/>
    <x v="3"/>
  </r>
  <r>
    <n v="5009419"/>
    <x v="0"/>
    <s v="N"/>
    <s v="N"/>
    <n v="0"/>
    <x v="30"/>
    <x v="2"/>
    <x v="1"/>
    <x v="2"/>
    <x v="0"/>
    <d v="1972-02-15T00:00:00"/>
    <n v="-19304"/>
    <x v="44"/>
    <x v="2"/>
    <n v="-464"/>
    <n v="1.270362765229295"/>
    <x v="1"/>
    <n v="1"/>
    <n v="1"/>
    <n v="1"/>
    <n v="0"/>
    <s v="Core staff"/>
    <x v="0"/>
  </r>
  <r>
    <n v="5009421"/>
    <x v="0"/>
    <s v="N"/>
    <s v="N"/>
    <n v="0"/>
    <x v="30"/>
    <x v="2"/>
    <x v="1"/>
    <x v="2"/>
    <x v="0"/>
    <d v="1972-02-15T00:00:00"/>
    <n v="-19304"/>
    <x v="44"/>
    <x v="2"/>
    <n v="-464"/>
    <n v="1.270362765229295"/>
    <x v="1"/>
    <n v="1"/>
    <n v="1"/>
    <n v="1"/>
    <n v="0"/>
    <s v="Core staff"/>
    <x v="0"/>
  </r>
  <r>
    <n v="5009437"/>
    <x v="0"/>
    <s v="N"/>
    <s v="N"/>
    <n v="0"/>
    <x v="29"/>
    <x v="0"/>
    <x v="1"/>
    <x v="1"/>
    <x v="0"/>
    <d v="1960-09-09T00:00:00"/>
    <n v="-23480"/>
    <x v="45"/>
    <x v="0"/>
    <n v="365243"/>
    <n v="0"/>
    <x v="0"/>
    <n v="1"/>
    <n v="0"/>
    <n v="0"/>
    <n v="0"/>
    <m/>
    <x v="1"/>
  </r>
  <r>
    <n v="5009439"/>
    <x v="0"/>
    <s v="N"/>
    <s v="N"/>
    <n v="0"/>
    <x v="29"/>
    <x v="0"/>
    <x v="1"/>
    <x v="1"/>
    <x v="0"/>
    <d v="1960-09-09T00:00:00"/>
    <n v="-23480"/>
    <x v="45"/>
    <x v="0"/>
    <n v="365243"/>
    <n v="0"/>
    <x v="0"/>
    <n v="1"/>
    <n v="0"/>
    <n v="0"/>
    <n v="0"/>
    <m/>
    <x v="1"/>
  </r>
  <r>
    <n v="5009452"/>
    <x v="0"/>
    <s v="N"/>
    <s v="N"/>
    <n v="0"/>
    <x v="11"/>
    <x v="3"/>
    <x v="0"/>
    <x v="1"/>
    <x v="0"/>
    <d v="1977-09-06T00:00:00"/>
    <n v="-17274"/>
    <x v="46"/>
    <x v="1"/>
    <n v="-1348"/>
    <n v="3.6906228610540723"/>
    <x v="1"/>
    <n v="1"/>
    <n v="0"/>
    <n v="1"/>
    <n v="0"/>
    <s v="Laborers"/>
    <x v="1"/>
  </r>
  <r>
    <n v="5009455"/>
    <x v="0"/>
    <s v="N"/>
    <s v="N"/>
    <n v="0"/>
    <x v="11"/>
    <x v="3"/>
    <x v="0"/>
    <x v="1"/>
    <x v="0"/>
    <d v="1977-09-06T00:00:00"/>
    <n v="-17274"/>
    <x v="46"/>
    <x v="1"/>
    <n v="-1348"/>
    <n v="3.6906228610540723"/>
    <x v="1"/>
    <n v="1"/>
    <n v="0"/>
    <n v="1"/>
    <n v="0"/>
    <s v="Laborers"/>
    <x v="1"/>
  </r>
  <r>
    <n v="5009457"/>
    <x v="0"/>
    <s v="N"/>
    <s v="N"/>
    <n v="0"/>
    <x v="11"/>
    <x v="3"/>
    <x v="0"/>
    <x v="1"/>
    <x v="0"/>
    <d v="1977-09-06T00:00:00"/>
    <n v="-17274"/>
    <x v="46"/>
    <x v="1"/>
    <n v="-1348"/>
    <n v="3.6906228610540723"/>
    <x v="1"/>
    <n v="1"/>
    <n v="0"/>
    <n v="1"/>
    <n v="0"/>
    <s v="Laborers"/>
    <x v="1"/>
  </r>
  <r>
    <n v="5009492"/>
    <x v="1"/>
    <s v="Y"/>
    <s v="N"/>
    <n v="0"/>
    <x v="1"/>
    <x v="1"/>
    <x v="1"/>
    <x v="1"/>
    <x v="0"/>
    <d v="1980-08-19T00:00:00"/>
    <n v="-16196"/>
    <x v="47"/>
    <x v="1"/>
    <n v="-6218"/>
    <n v="17.023956194387406"/>
    <x v="1"/>
    <n v="1"/>
    <n v="1"/>
    <n v="1"/>
    <n v="0"/>
    <s v="Laborers"/>
    <x v="1"/>
  </r>
  <r>
    <n v="5009529"/>
    <x v="0"/>
    <s v="Y"/>
    <s v="N"/>
    <n v="0"/>
    <x v="5"/>
    <x v="1"/>
    <x v="1"/>
    <x v="1"/>
    <x v="0"/>
    <d v="1987-10-08T00:00:00"/>
    <n v="-13590"/>
    <x v="48"/>
    <x v="3"/>
    <n v="-982"/>
    <n v="2.6885694729637235"/>
    <x v="1"/>
    <n v="1"/>
    <n v="0"/>
    <n v="1"/>
    <n v="0"/>
    <m/>
    <x v="1"/>
  </r>
  <r>
    <n v="5009531"/>
    <x v="0"/>
    <s v="Y"/>
    <s v="N"/>
    <n v="0"/>
    <x v="5"/>
    <x v="1"/>
    <x v="1"/>
    <x v="1"/>
    <x v="0"/>
    <d v="1987-10-08T00:00:00"/>
    <n v="-13590"/>
    <x v="48"/>
    <x v="3"/>
    <n v="-982"/>
    <n v="2.6885694729637235"/>
    <x v="1"/>
    <n v="1"/>
    <n v="0"/>
    <n v="1"/>
    <n v="0"/>
    <m/>
    <x v="1"/>
  </r>
  <r>
    <n v="5009534"/>
    <x v="0"/>
    <s v="Y"/>
    <s v="N"/>
    <n v="0"/>
    <x v="5"/>
    <x v="1"/>
    <x v="1"/>
    <x v="1"/>
    <x v="0"/>
    <d v="1987-10-08T00:00:00"/>
    <n v="-13590"/>
    <x v="48"/>
    <x v="3"/>
    <n v="-982"/>
    <n v="2.6885694729637235"/>
    <x v="1"/>
    <n v="1"/>
    <n v="0"/>
    <n v="1"/>
    <n v="0"/>
    <m/>
    <x v="1"/>
  </r>
  <r>
    <n v="5009537"/>
    <x v="0"/>
    <s v="Y"/>
    <s v="N"/>
    <n v="0"/>
    <x v="11"/>
    <x v="1"/>
    <x v="1"/>
    <x v="1"/>
    <x v="0"/>
    <d v="1982-06-19T00:00:00"/>
    <n v="-15527"/>
    <x v="49"/>
    <x v="1"/>
    <n v="-1744"/>
    <n v="4.774811772758385"/>
    <x v="1"/>
    <n v="1"/>
    <n v="1"/>
    <n v="1"/>
    <n v="0"/>
    <s v="Sales staff"/>
    <x v="1"/>
  </r>
  <r>
    <n v="5009554"/>
    <x v="0"/>
    <s v="N"/>
    <s v="N"/>
    <n v="0"/>
    <x v="31"/>
    <x v="1"/>
    <x v="1"/>
    <x v="3"/>
    <x v="0"/>
    <d v="1973-06-20T00:00:00"/>
    <n v="-18813"/>
    <x v="50"/>
    <x v="2"/>
    <n v="-9748"/>
    <n v="26.688569472963724"/>
    <x v="1"/>
    <n v="1"/>
    <n v="0"/>
    <n v="0"/>
    <n v="0"/>
    <s v="Laborers"/>
    <x v="1"/>
  </r>
  <r>
    <n v="5009557"/>
    <x v="0"/>
    <s v="N"/>
    <s v="N"/>
    <n v="0"/>
    <x v="31"/>
    <x v="1"/>
    <x v="1"/>
    <x v="3"/>
    <x v="0"/>
    <d v="1973-06-20T00:00:00"/>
    <n v="-18813"/>
    <x v="50"/>
    <x v="2"/>
    <n v="-9748"/>
    <n v="26.688569472963724"/>
    <x v="1"/>
    <n v="1"/>
    <n v="0"/>
    <n v="0"/>
    <n v="0"/>
    <s v="Laborers"/>
    <x v="1"/>
  </r>
  <r>
    <n v="5009559"/>
    <x v="0"/>
    <s v="N"/>
    <s v="N"/>
    <n v="0"/>
    <x v="31"/>
    <x v="1"/>
    <x v="1"/>
    <x v="3"/>
    <x v="0"/>
    <d v="1973-06-20T00:00:00"/>
    <n v="-18813"/>
    <x v="50"/>
    <x v="2"/>
    <n v="-9748"/>
    <n v="26.688569472963724"/>
    <x v="1"/>
    <n v="1"/>
    <n v="0"/>
    <n v="0"/>
    <n v="0"/>
    <s v="Laborers"/>
    <x v="1"/>
  </r>
  <r>
    <n v="5009565"/>
    <x v="1"/>
    <s v="Y"/>
    <s v="N"/>
    <n v="0"/>
    <x v="16"/>
    <x v="2"/>
    <x v="1"/>
    <x v="1"/>
    <x v="0"/>
    <d v="1983-06-28T00:00:00"/>
    <n v="-15153"/>
    <x v="51"/>
    <x v="1"/>
    <n v="-3143"/>
    <n v="8.605065023956195"/>
    <x v="1"/>
    <n v="1"/>
    <n v="1"/>
    <n v="1"/>
    <n v="0"/>
    <s v="Laborers"/>
    <x v="1"/>
  </r>
  <r>
    <n v="5009574"/>
    <x v="1"/>
    <s v="Y"/>
    <s v="N"/>
    <n v="0"/>
    <x v="16"/>
    <x v="2"/>
    <x v="1"/>
    <x v="1"/>
    <x v="0"/>
    <d v="1983-06-28T00:00:00"/>
    <n v="-15153"/>
    <x v="51"/>
    <x v="1"/>
    <n v="-3143"/>
    <n v="8.605065023956195"/>
    <x v="1"/>
    <n v="1"/>
    <n v="1"/>
    <n v="1"/>
    <n v="0"/>
    <s v="Laborers"/>
    <x v="1"/>
  </r>
  <r>
    <n v="5009578"/>
    <x v="0"/>
    <s v="N"/>
    <s v="N"/>
    <n v="0"/>
    <x v="2"/>
    <x v="0"/>
    <x v="1"/>
    <x v="1"/>
    <x v="0"/>
    <d v="1966-08-13T00:00:00"/>
    <n v="-21316"/>
    <x v="52"/>
    <x v="2"/>
    <n v="365243"/>
    <n v="0"/>
    <x v="0"/>
    <n v="1"/>
    <n v="0"/>
    <n v="0"/>
    <n v="0"/>
    <m/>
    <x v="1"/>
  </r>
  <r>
    <n v="5009580"/>
    <x v="0"/>
    <s v="N"/>
    <s v="N"/>
    <n v="0"/>
    <x v="2"/>
    <x v="0"/>
    <x v="1"/>
    <x v="1"/>
    <x v="0"/>
    <d v="1966-08-13T00:00:00"/>
    <n v="-21316"/>
    <x v="52"/>
    <x v="2"/>
    <n v="365243"/>
    <n v="0"/>
    <x v="0"/>
    <n v="1"/>
    <n v="0"/>
    <n v="0"/>
    <n v="0"/>
    <m/>
    <x v="1"/>
  </r>
  <r>
    <n v="5009611"/>
    <x v="0"/>
    <s v="N"/>
    <s v="N"/>
    <n v="2"/>
    <x v="23"/>
    <x v="2"/>
    <x v="1"/>
    <x v="1"/>
    <x v="0"/>
    <d v="1991-05-13T00:00:00"/>
    <n v="-12277"/>
    <x v="53"/>
    <x v="3"/>
    <n v="-982"/>
    <n v="2.6885694729637235"/>
    <x v="1"/>
    <n v="1"/>
    <n v="1"/>
    <n v="1"/>
    <n v="0"/>
    <s v="High skill tech staff"/>
    <x v="2"/>
  </r>
  <r>
    <n v="5009613"/>
    <x v="0"/>
    <s v="N"/>
    <s v="N"/>
    <n v="2"/>
    <x v="23"/>
    <x v="2"/>
    <x v="1"/>
    <x v="1"/>
    <x v="0"/>
    <d v="1991-05-13T00:00:00"/>
    <n v="-12277"/>
    <x v="53"/>
    <x v="3"/>
    <n v="-982"/>
    <n v="2.6885694729637235"/>
    <x v="1"/>
    <n v="1"/>
    <n v="1"/>
    <n v="1"/>
    <n v="0"/>
    <s v="High skill tech staff"/>
    <x v="2"/>
  </r>
  <r>
    <n v="5009648"/>
    <x v="1"/>
    <s v="N"/>
    <s v="N"/>
    <n v="0"/>
    <x v="32"/>
    <x v="2"/>
    <x v="1"/>
    <x v="2"/>
    <x v="0"/>
    <d v="1984-10-04T00:00:00"/>
    <n v="-14689"/>
    <x v="54"/>
    <x v="1"/>
    <n v="-3661"/>
    <n v="10.023271731690622"/>
    <x v="1"/>
    <n v="1"/>
    <n v="1"/>
    <n v="0"/>
    <n v="0"/>
    <s v="Low-skill Laborers"/>
    <x v="0"/>
  </r>
  <r>
    <n v="5009661"/>
    <x v="1"/>
    <s v="N"/>
    <s v="N"/>
    <n v="0"/>
    <x v="8"/>
    <x v="2"/>
    <x v="0"/>
    <x v="2"/>
    <x v="0"/>
    <d v="1997-02-21T00:00:00"/>
    <n v="-10166"/>
    <x v="55"/>
    <x v="4"/>
    <n v="-1774"/>
    <n v="4.8569472963723479"/>
    <x v="1"/>
    <n v="1"/>
    <n v="1"/>
    <n v="0"/>
    <n v="0"/>
    <m/>
    <x v="0"/>
  </r>
  <r>
    <n v="5009671"/>
    <x v="0"/>
    <s v="N"/>
    <s v="N"/>
    <n v="0"/>
    <x v="1"/>
    <x v="1"/>
    <x v="1"/>
    <x v="3"/>
    <x v="0"/>
    <d v="1981-09-14T00:00:00"/>
    <n v="-15805"/>
    <x v="56"/>
    <x v="1"/>
    <n v="-433"/>
    <n v="1.1854893908281998"/>
    <x v="1"/>
    <n v="1"/>
    <n v="1"/>
    <n v="0"/>
    <n v="0"/>
    <s v="Core staff"/>
    <x v="1"/>
  </r>
  <r>
    <n v="5009673"/>
    <x v="0"/>
    <s v="N"/>
    <s v="N"/>
    <n v="0"/>
    <x v="30"/>
    <x v="0"/>
    <x v="1"/>
    <x v="4"/>
    <x v="0"/>
    <d v="1965-08-06T00:00:00"/>
    <n v="-21688"/>
    <x v="57"/>
    <x v="2"/>
    <n v="365243"/>
    <n v="0"/>
    <x v="0"/>
    <n v="1"/>
    <n v="0"/>
    <n v="1"/>
    <n v="0"/>
    <m/>
    <x v="0"/>
  </r>
  <r>
    <n v="5009678"/>
    <x v="0"/>
    <s v="N"/>
    <s v="N"/>
    <n v="0"/>
    <x v="30"/>
    <x v="0"/>
    <x v="1"/>
    <x v="4"/>
    <x v="0"/>
    <d v="1965-08-06T00:00:00"/>
    <n v="-21688"/>
    <x v="57"/>
    <x v="2"/>
    <n v="365243"/>
    <n v="0"/>
    <x v="0"/>
    <n v="1"/>
    <n v="0"/>
    <n v="1"/>
    <n v="0"/>
    <m/>
    <x v="0"/>
  </r>
  <r>
    <n v="5009685"/>
    <x v="0"/>
    <s v="N"/>
    <s v="N"/>
    <n v="0"/>
    <x v="30"/>
    <x v="0"/>
    <x v="1"/>
    <x v="4"/>
    <x v="0"/>
    <d v="1965-08-06T00:00:00"/>
    <n v="-21688"/>
    <x v="57"/>
    <x v="2"/>
    <n v="365243"/>
    <n v="0"/>
    <x v="0"/>
    <n v="1"/>
    <n v="0"/>
    <n v="1"/>
    <n v="0"/>
    <m/>
    <x v="0"/>
  </r>
  <r>
    <n v="5009689"/>
    <x v="0"/>
    <s v="N"/>
    <s v="N"/>
    <n v="0"/>
    <x v="33"/>
    <x v="0"/>
    <x v="1"/>
    <x v="0"/>
    <x v="0"/>
    <d v="1961-03-09T00:00:00"/>
    <n v="-23299"/>
    <x v="58"/>
    <x v="0"/>
    <n v="365243"/>
    <n v="0"/>
    <x v="0"/>
    <n v="1"/>
    <n v="0"/>
    <n v="1"/>
    <n v="0"/>
    <m/>
    <x v="0"/>
  </r>
  <r>
    <n v="5009695"/>
    <x v="1"/>
    <s v="Y"/>
    <s v="N"/>
    <n v="0"/>
    <x v="34"/>
    <x v="1"/>
    <x v="0"/>
    <x v="1"/>
    <x v="4"/>
    <d v="1989-05-21T00:00:00"/>
    <n v="-12999"/>
    <x v="59"/>
    <x v="3"/>
    <n v="-1560"/>
    <n v="4.2710472279260783"/>
    <x v="1"/>
    <n v="1"/>
    <n v="0"/>
    <n v="1"/>
    <n v="1"/>
    <s v="Managers"/>
    <x v="1"/>
  </r>
  <r>
    <n v="5009725"/>
    <x v="0"/>
    <s v="N"/>
    <s v="N"/>
    <n v="0"/>
    <x v="1"/>
    <x v="2"/>
    <x v="0"/>
    <x v="1"/>
    <x v="0"/>
    <d v="1997-11-27T00:00:00"/>
    <n v="-9887"/>
    <x v="60"/>
    <x v="4"/>
    <n v="-2474"/>
    <n v="6.7734428473648185"/>
    <x v="1"/>
    <n v="1"/>
    <n v="0"/>
    <n v="1"/>
    <n v="0"/>
    <s v="Sales staff"/>
    <x v="1"/>
  </r>
  <r>
    <n v="5009733"/>
    <x v="0"/>
    <s v="Y"/>
    <s v="N"/>
    <n v="0"/>
    <x v="18"/>
    <x v="1"/>
    <x v="0"/>
    <x v="1"/>
    <x v="0"/>
    <d v="1972-01-09T00:00:00"/>
    <n v="-19341"/>
    <x v="61"/>
    <x v="2"/>
    <n v="-7314"/>
    <n v="20.024640657084188"/>
    <x v="1"/>
    <n v="1"/>
    <n v="1"/>
    <n v="1"/>
    <n v="0"/>
    <s v="Managers"/>
    <x v="1"/>
  </r>
  <r>
    <n v="5009739"/>
    <x v="0"/>
    <s v="Y"/>
    <s v="N"/>
    <n v="0"/>
    <x v="35"/>
    <x v="2"/>
    <x v="1"/>
    <x v="1"/>
    <x v="0"/>
    <d v="1984-11-05T00:00:00"/>
    <n v="-14657"/>
    <x v="62"/>
    <x v="1"/>
    <n v="-4392"/>
    <n v="12.024640657084189"/>
    <x v="1"/>
    <n v="1"/>
    <n v="1"/>
    <n v="1"/>
    <n v="0"/>
    <s v="Core staff"/>
    <x v="1"/>
  </r>
  <r>
    <n v="5009751"/>
    <x v="0"/>
    <s v="Y"/>
    <s v="N"/>
    <n v="0"/>
    <x v="12"/>
    <x v="1"/>
    <x v="0"/>
    <x v="1"/>
    <x v="0"/>
    <d v="1987-11-10T00:00:00"/>
    <n v="-13557"/>
    <x v="63"/>
    <x v="3"/>
    <n v="-586"/>
    <n v="1.6043805612594113"/>
    <x v="1"/>
    <n v="1"/>
    <n v="1"/>
    <n v="1"/>
    <n v="0"/>
    <m/>
    <x v="1"/>
  </r>
  <r>
    <n v="5009758"/>
    <x v="1"/>
    <s v="Y"/>
    <s v="N"/>
    <n v="0"/>
    <x v="18"/>
    <x v="2"/>
    <x v="0"/>
    <x v="2"/>
    <x v="0"/>
    <d v="2000-02-05T00:00:00"/>
    <n v="-9087"/>
    <x v="64"/>
    <x v="4"/>
    <n v="-1682"/>
    <n v="4.6050650239561941"/>
    <x v="1"/>
    <n v="1"/>
    <n v="0"/>
    <n v="0"/>
    <n v="0"/>
    <s v="Laborers"/>
    <x v="0"/>
  </r>
  <r>
    <n v="5009762"/>
    <x v="1"/>
    <s v="N"/>
    <s v="N"/>
    <n v="0"/>
    <x v="1"/>
    <x v="2"/>
    <x v="1"/>
    <x v="0"/>
    <x v="0"/>
    <d v="1986-04-28T00:00:00"/>
    <n v="-14118"/>
    <x v="65"/>
    <x v="3"/>
    <n v="-3174"/>
    <n v="8.68993839835729"/>
    <x v="1"/>
    <n v="1"/>
    <n v="0"/>
    <n v="0"/>
    <n v="0"/>
    <s v="Laborers"/>
    <x v="0"/>
  </r>
  <r>
    <n v="5009785"/>
    <x v="0"/>
    <s v="N"/>
    <s v="N"/>
    <n v="0"/>
    <x v="31"/>
    <x v="0"/>
    <x v="1"/>
    <x v="4"/>
    <x v="0"/>
    <d v="1964-09-26T00:00:00"/>
    <n v="-22002"/>
    <x v="66"/>
    <x v="0"/>
    <n v="365243"/>
    <n v="0"/>
    <x v="0"/>
    <n v="1"/>
    <n v="0"/>
    <n v="1"/>
    <n v="0"/>
    <m/>
    <x v="0"/>
  </r>
  <r>
    <n v="5009800"/>
    <x v="0"/>
    <s v="Y"/>
    <s v="N"/>
    <n v="0"/>
    <x v="15"/>
    <x v="2"/>
    <x v="0"/>
    <x v="1"/>
    <x v="0"/>
    <d v="1982-09-19T00:00:00"/>
    <n v="-15435"/>
    <x v="67"/>
    <x v="1"/>
    <n v="-3965"/>
    <n v="10.855578370978781"/>
    <x v="1"/>
    <n v="1"/>
    <n v="1"/>
    <n v="1"/>
    <n v="0"/>
    <m/>
    <x v="1"/>
  </r>
  <r>
    <n v="5009801"/>
    <x v="0"/>
    <s v="Y"/>
    <s v="N"/>
    <n v="0"/>
    <x v="15"/>
    <x v="2"/>
    <x v="0"/>
    <x v="1"/>
    <x v="0"/>
    <d v="1982-09-19T00:00:00"/>
    <n v="-15435"/>
    <x v="67"/>
    <x v="1"/>
    <n v="-3965"/>
    <n v="10.855578370978781"/>
    <x v="1"/>
    <n v="1"/>
    <n v="1"/>
    <n v="1"/>
    <n v="0"/>
    <m/>
    <x v="1"/>
  </r>
  <r>
    <n v="5009809"/>
    <x v="0"/>
    <s v="N"/>
    <s v="N"/>
    <n v="1"/>
    <x v="11"/>
    <x v="2"/>
    <x v="1"/>
    <x v="1"/>
    <x v="0"/>
    <d v="1992-08-19T00:00:00"/>
    <n v="-11813"/>
    <x v="68"/>
    <x v="3"/>
    <n v="-3266"/>
    <n v="8.941820670773442"/>
    <x v="1"/>
    <n v="1"/>
    <n v="1"/>
    <n v="1"/>
    <n v="0"/>
    <s v="Sales staff"/>
    <x v="3"/>
  </r>
  <r>
    <n v="5009811"/>
    <x v="0"/>
    <s v="N"/>
    <s v="N"/>
    <n v="1"/>
    <x v="11"/>
    <x v="2"/>
    <x v="1"/>
    <x v="1"/>
    <x v="0"/>
    <d v="1992-08-19T00:00:00"/>
    <n v="-11813"/>
    <x v="68"/>
    <x v="3"/>
    <n v="-3266"/>
    <n v="8.941820670773442"/>
    <x v="1"/>
    <n v="1"/>
    <n v="1"/>
    <n v="1"/>
    <n v="0"/>
    <s v="Sales staff"/>
    <x v="3"/>
  </r>
  <r>
    <n v="5009831"/>
    <x v="1"/>
    <s v="Y"/>
    <s v="N"/>
    <n v="0"/>
    <x v="6"/>
    <x v="2"/>
    <x v="0"/>
    <x v="1"/>
    <x v="2"/>
    <d v="1996-05-28T00:00:00"/>
    <n v="-10435"/>
    <x v="69"/>
    <x v="4"/>
    <n v="-1713"/>
    <n v="4.6899383983572891"/>
    <x v="1"/>
    <n v="1"/>
    <n v="1"/>
    <n v="0"/>
    <n v="0"/>
    <s v="Core staff"/>
    <x v="1"/>
  </r>
  <r>
    <n v="5009841"/>
    <x v="1"/>
    <s v="Y"/>
    <s v="N"/>
    <n v="0"/>
    <x v="11"/>
    <x v="2"/>
    <x v="1"/>
    <x v="3"/>
    <x v="0"/>
    <d v="1990-05-19T00:00:00"/>
    <n v="-12636"/>
    <x v="70"/>
    <x v="3"/>
    <n v="-405"/>
    <n v="1.108829568788501"/>
    <x v="1"/>
    <n v="1"/>
    <n v="0"/>
    <n v="0"/>
    <n v="0"/>
    <s v="Laborers"/>
    <x v="1"/>
  </r>
  <r>
    <n v="5009844"/>
    <x v="1"/>
    <s v="Y"/>
    <s v="N"/>
    <n v="0"/>
    <x v="16"/>
    <x v="2"/>
    <x v="1"/>
    <x v="1"/>
    <x v="0"/>
    <d v="1981-06-10T00:00:00"/>
    <n v="-15901"/>
    <x v="71"/>
    <x v="1"/>
    <n v="-130"/>
    <n v="0.35592060232717315"/>
    <x v="1"/>
    <n v="1"/>
    <n v="1"/>
    <n v="0"/>
    <n v="0"/>
    <s v="Security staff"/>
    <x v="1"/>
  </r>
  <r>
    <n v="5009848"/>
    <x v="0"/>
    <s v="N"/>
    <s v="N"/>
    <n v="0"/>
    <x v="35"/>
    <x v="1"/>
    <x v="0"/>
    <x v="1"/>
    <x v="0"/>
    <d v="1997-05-14T00:00:00"/>
    <n v="-10084"/>
    <x v="72"/>
    <x v="4"/>
    <n v="-678"/>
    <n v="1.8562628336755647"/>
    <x v="1"/>
    <n v="1"/>
    <n v="0"/>
    <n v="0"/>
    <n v="0"/>
    <s v="Sales staff"/>
    <x v="1"/>
  </r>
  <r>
    <n v="5009853"/>
    <x v="1"/>
    <s v="Y"/>
    <s v="N"/>
    <n v="0"/>
    <x v="14"/>
    <x v="1"/>
    <x v="1"/>
    <x v="0"/>
    <x v="2"/>
    <d v="1996-11-03T00:00:00"/>
    <n v="-10276"/>
    <x v="73"/>
    <x v="4"/>
    <n v="-556"/>
    <n v="1.5222450376454484"/>
    <x v="1"/>
    <n v="1"/>
    <n v="1"/>
    <n v="1"/>
    <n v="0"/>
    <s v="Drivers"/>
    <x v="0"/>
  </r>
  <r>
    <n v="5009854"/>
    <x v="1"/>
    <s v="Y"/>
    <s v="N"/>
    <n v="0"/>
    <x v="14"/>
    <x v="1"/>
    <x v="1"/>
    <x v="0"/>
    <x v="2"/>
    <d v="1996-11-03T00:00:00"/>
    <n v="-10276"/>
    <x v="73"/>
    <x v="4"/>
    <n v="-556"/>
    <n v="1.5222450376454484"/>
    <x v="1"/>
    <n v="1"/>
    <n v="1"/>
    <n v="1"/>
    <n v="0"/>
    <s v="Drivers"/>
    <x v="0"/>
  </r>
  <r>
    <n v="5009857"/>
    <x v="1"/>
    <s v="Y"/>
    <s v="N"/>
    <n v="0"/>
    <x v="14"/>
    <x v="1"/>
    <x v="1"/>
    <x v="0"/>
    <x v="2"/>
    <d v="1996-11-03T00:00:00"/>
    <n v="-10276"/>
    <x v="73"/>
    <x v="4"/>
    <n v="-556"/>
    <n v="1.5222450376454484"/>
    <x v="1"/>
    <n v="1"/>
    <n v="1"/>
    <n v="1"/>
    <n v="0"/>
    <s v="Drivers"/>
    <x v="0"/>
  </r>
  <r>
    <n v="5009893"/>
    <x v="0"/>
    <s v="Y"/>
    <s v="N"/>
    <n v="1"/>
    <x v="5"/>
    <x v="2"/>
    <x v="0"/>
    <x v="1"/>
    <x v="0"/>
    <d v="1992-02-22T00:00:00"/>
    <n v="-11992"/>
    <x v="74"/>
    <x v="3"/>
    <n v="-2351"/>
    <n v="6.4366872005475706"/>
    <x v="1"/>
    <n v="1"/>
    <n v="0"/>
    <n v="0"/>
    <n v="0"/>
    <s v="Private service staff"/>
    <x v="3"/>
  </r>
  <r>
    <n v="5009898"/>
    <x v="0"/>
    <s v="Y"/>
    <s v="Y"/>
    <n v="2"/>
    <x v="30"/>
    <x v="3"/>
    <x v="0"/>
    <x v="1"/>
    <x v="0"/>
    <d v="1994-07-02T00:00:00"/>
    <n v="-11131"/>
    <x v="75"/>
    <x v="3"/>
    <n v="-405"/>
    <n v="1.108829568788501"/>
    <x v="1"/>
    <n v="1"/>
    <n v="0"/>
    <n v="0"/>
    <n v="0"/>
    <s v="Core staff"/>
    <x v="2"/>
  </r>
  <r>
    <n v="5009900"/>
    <x v="1"/>
    <s v="Y"/>
    <s v="N"/>
    <n v="0"/>
    <x v="11"/>
    <x v="2"/>
    <x v="1"/>
    <x v="1"/>
    <x v="0"/>
    <d v="1972-08-17T00:00:00"/>
    <n v="-19120"/>
    <x v="76"/>
    <x v="2"/>
    <n v="-3661"/>
    <n v="10.023271731690622"/>
    <x v="1"/>
    <n v="1"/>
    <n v="0"/>
    <n v="0"/>
    <n v="0"/>
    <s v="Drivers"/>
    <x v="1"/>
  </r>
  <r>
    <n v="5009909"/>
    <x v="1"/>
    <s v="Y"/>
    <s v="N"/>
    <n v="0"/>
    <x v="11"/>
    <x v="2"/>
    <x v="1"/>
    <x v="1"/>
    <x v="0"/>
    <d v="1972-08-17T00:00:00"/>
    <n v="-19120"/>
    <x v="76"/>
    <x v="2"/>
    <n v="-3661"/>
    <n v="10.023271731690622"/>
    <x v="1"/>
    <n v="1"/>
    <n v="0"/>
    <n v="0"/>
    <n v="0"/>
    <s v="Drivers"/>
    <x v="1"/>
  </r>
  <r>
    <n v="5009910"/>
    <x v="1"/>
    <s v="Y"/>
    <s v="N"/>
    <n v="0"/>
    <x v="11"/>
    <x v="2"/>
    <x v="1"/>
    <x v="1"/>
    <x v="0"/>
    <d v="1972-08-17T00:00:00"/>
    <n v="-19120"/>
    <x v="76"/>
    <x v="2"/>
    <n v="-3661"/>
    <n v="10.023271731690622"/>
    <x v="1"/>
    <n v="1"/>
    <n v="0"/>
    <n v="0"/>
    <n v="0"/>
    <s v="Drivers"/>
    <x v="1"/>
  </r>
  <r>
    <n v="5009911"/>
    <x v="1"/>
    <s v="Y"/>
    <s v="N"/>
    <n v="0"/>
    <x v="11"/>
    <x v="2"/>
    <x v="1"/>
    <x v="1"/>
    <x v="0"/>
    <d v="1972-08-17T00:00:00"/>
    <n v="-19120"/>
    <x v="76"/>
    <x v="2"/>
    <n v="-3661"/>
    <n v="10.023271731690622"/>
    <x v="1"/>
    <n v="1"/>
    <n v="0"/>
    <n v="0"/>
    <n v="0"/>
    <s v="Drivers"/>
    <x v="1"/>
  </r>
  <r>
    <n v="5009924"/>
    <x v="1"/>
    <s v="Y"/>
    <s v="Y"/>
    <n v="0"/>
    <x v="14"/>
    <x v="2"/>
    <x v="0"/>
    <x v="1"/>
    <x v="0"/>
    <d v="1970-05-02T00:00:00"/>
    <n v="-19958"/>
    <x v="77"/>
    <x v="2"/>
    <n v="-7465"/>
    <n v="20.438056125941138"/>
    <x v="1"/>
    <n v="1"/>
    <n v="0"/>
    <n v="0"/>
    <n v="0"/>
    <s v="Laborers"/>
    <x v="1"/>
  </r>
  <r>
    <n v="5009934"/>
    <x v="0"/>
    <s v="N"/>
    <s v="Y"/>
    <n v="2"/>
    <x v="5"/>
    <x v="2"/>
    <x v="1"/>
    <x v="1"/>
    <x v="0"/>
    <d v="1995-08-27T00:00:00"/>
    <n v="-10710"/>
    <x v="78"/>
    <x v="4"/>
    <n v="-2351"/>
    <n v="6.4366872005475706"/>
    <x v="1"/>
    <n v="1"/>
    <n v="0"/>
    <n v="0"/>
    <n v="0"/>
    <s v="Sales staff"/>
    <x v="2"/>
  </r>
  <r>
    <n v="5009942"/>
    <x v="0"/>
    <s v="N"/>
    <s v="Y"/>
    <n v="2"/>
    <x v="5"/>
    <x v="2"/>
    <x v="1"/>
    <x v="1"/>
    <x v="0"/>
    <d v="1995-08-27T00:00:00"/>
    <n v="-10710"/>
    <x v="78"/>
    <x v="4"/>
    <n v="-2351"/>
    <n v="6.4366872005475706"/>
    <x v="1"/>
    <n v="1"/>
    <n v="0"/>
    <n v="0"/>
    <n v="0"/>
    <s v="Sales staff"/>
    <x v="2"/>
  </r>
  <r>
    <n v="5009968"/>
    <x v="0"/>
    <s v="Y"/>
    <s v="Y"/>
    <n v="0"/>
    <x v="16"/>
    <x v="3"/>
    <x v="1"/>
    <x v="1"/>
    <x v="0"/>
    <d v="1968-06-15T00:00:00"/>
    <n v="-20644"/>
    <x v="79"/>
    <x v="2"/>
    <n v="-3873"/>
    <n v="10.603696098562628"/>
    <x v="1"/>
    <n v="1"/>
    <n v="0"/>
    <n v="0"/>
    <n v="0"/>
    <s v="Medicine staff"/>
    <x v="1"/>
  </r>
  <r>
    <n v="5009980"/>
    <x v="0"/>
    <s v="Y"/>
    <s v="Y"/>
    <n v="0"/>
    <x v="16"/>
    <x v="3"/>
    <x v="1"/>
    <x v="1"/>
    <x v="0"/>
    <d v="1968-06-15T00:00:00"/>
    <n v="-20644"/>
    <x v="79"/>
    <x v="2"/>
    <n v="-3873"/>
    <n v="10.603696098562628"/>
    <x v="1"/>
    <n v="1"/>
    <n v="0"/>
    <n v="0"/>
    <n v="0"/>
    <s v="Medicine staff"/>
    <x v="1"/>
  </r>
  <r>
    <n v="5009994"/>
    <x v="1"/>
    <s v="Y"/>
    <s v="Y"/>
    <n v="1"/>
    <x v="14"/>
    <x v="1"/>
    <x v="1"/>
    <x v="1"/>
    <x v="0"/>
    <d v="1986-10-23T00:00:00"/>
    <n v="-13940"/>
    <x v="80"/>
    <x v="3"/>
    <n v="-617"/>
    <n v="1.6892539356605065"/>
    <x v="1"/>
    <n v="1"/>
    <n v="0"/>
    <n v="0"/>
    <n v="0"/>
    <s v="Managers"/>
    <x v="3"/>
  </r>
  <r>
    <n v="5010005"/>
    <x v="1"/>
    <s v="Y"/>
    <s v="Y"/>
    <n v="0"/>
    <x v="5"/>
    <x v="0"/>
    <x v="1"/>
    <x v="1"/>
    <x v="0"/>
    <d v="1961-02-14T00:00:00"/>
    <n v="-23322"/>
    <x v="81"/>
    <x v="0"/>
    <n v="365243"/>
    <n v="0"/>
    <x v="0"/>
    <n v="1"/>
    <n v="0"/>
    <n v="0"/>
    <n v="0"/>
    <m/>
    <x v="1"/>
  </r>
  <r>
    <n v="5010015"/>
    <x v="0"/>
    <s v="Y"/>
    <s v="Y"/>
    <n v="1"/>
    <x v="2"/>
    <x v="1"/>
    <x v="1"/>
    <x v="0"/>
    <x v="0"/>
    <d v="1989-09-01T00:00:00"/>
    <n v="-12896"/>
    <x v="82"/>
    <x v="3"/>
    <n v="-709"/>
    <n v="1.9411362080766599"/>
    <x v="1"/>
    <n v="1"/>
    <n v="0"/>
    <n v="0"/>
    <n v="0"/>
    <m/>
    <x v="1"/>
  </r>
  <r>
    <n v="5010018"/>
    <x v="0"/>
    <s v="Y"/>
    <s v="Y"/>
    <n v="1"/>
    <x v="2"/>
    <x v="1"/>
    <x v="1"/>
    <x v="0"/>
    <x v="0"/>
    <d v="1989-09-01T00:00:00"/>
    <n v="-12896"/>
    <x v="82"/>
    <x v="3"/>
    <n v="-709"/>
    <n v="1.9411362080766599"/>
    <x v="1"/>
    <n v="1"/>
    <n v="0"/>
    <n v="0"/>
    <n v="0"/>
    <m/>
    <x v="1"/>
  </r>
  <r>
    <n v="5010025"/>
    <x v="0"/>
    <s v="N"/>
    <s v="Y"/>
    <n v="0"/>
    <x v="1"/>
    <x v="2"/>
    <x v="1"/>
    <x v="1"/>
    <x v="0"/>
    <d v="1968-01-29T00:00:00"/>
    <n v="-20782"/>
    <x v="83"/>
    <x v="2"/>
    <n v="-2321"/>
    <n v="6.3545516769336068"/>
    <x v="1"/>
    <n v="1"/>
    <n v="0"/>
    <n v="0"/>
    <n v="0"/>
    <s v="Laborers"/>
    <x v="1"/>
  </r>
  <r>
    <n v="5010028"/>
    <x v="0"/>
    <s v="N"/>
    <s v="Y"/>
    <n v="0"/>
    <x v="1"/>
    <x v="2"/>
    <x v="1"/>
    <x v="1"/>
    <x v="0"/>
    <d v="1968-01-29T00:00:00"/>
    <n v="-20782"/>
    <x v="83"/>
    <x v="2"/>
    <n v="-2321"/>
    <n v="6.3545516769336068"/>
    <x v="1"/>
    <n v="1"/>
    <n v="0"/>
    <n v="0"/>
    <n v="0"/>
    <s v="Laborers"/>
    <x v="1"/>
  </r>
  <r>
    <n v="5010032"/>
    <x v="1"/>
    <s v="Y"/>
    <s v="Y"/>
    <n v="0"/>
    <x v="36"/>
    <x v="0"/>
    <x v="1"/>
    <x v="1"/>
    <x v="0"/>
    <d v="1964-05-30T00:00:00"/>
    <n v="-22121"/>
    <x v="84"/>
    <x v="0"/>
    <n v="365243"/>
    <n v="0"/>
    <x v="0"/>
    <n v="1"/>
    <n v="0"/>
    <n v="1"/>
    <n v="0"/>
    <m/>
    <x v="1"/>
  </r>
  <r>
    <n v="5010041"/>
    <x v="0"/>
    <s v="N"/>
    <s v="Y"/>
    <n v="0"/>
    <x v="37"/>
    <x v="2"/>
    <x v="1"/>
    <x v="1"/>
    <x v="0"/>
    <d v="1965-01-17T00:00:00"/>
    <n v="-21889"/>
    <x v="85"/>
    <x v="2"/>
    <n v="-8469"/>
    <n v="23.186858316221766"/>
    <x v="1"/>
    <n v="1"/>
    <n v="1"/>
    <n v="0"/>
    <n v="0"/>
    <s v="Core staff"/>
    <x v="1"/>
  </r>
  <r>
    <n v="5010053"/>
    <x v="0"/>
    <s v="N"/>
    <s v="Y"/>
    <n v="0"/>
    <x v="30"/>
    <x v="2"/>
    <x v="1"/>
    <x v="1"/>
    <x v="0"/>
    <d v="1974-05-25T00:00:00"/>
    <n v="-18474"/>
    <x v="86"/>
    <x v="2"/>
    <n v="-3021"/>
    <n v="8.2710472279260774"/>
    <x v="1"/>
    <n v="1"/>
    <n v="0"/>
    <n v="0"/>
    <n v="1"/>
    <s v="Cleaning staff"/>
    <x v="1"/>
  </r>
  <r>
    <n v="5010085"/>
    <x v="1"/>
    <s v="N"/>
    <s v="Y"/>
    <n v="0"/>
    <x v="1"/>
    <x v="2"/>
    <x v="1"/>
    <x v="1"/>
    <x v="0"/>
    <d v="1967-09-02T00:00:00"/>
    <n v="-20931"/>
    <x v="87"/>
    <x v="2"/>
    <n v="-191"/>
    <n v="0.5229295003422314"/>
    <x v="1"/>
    <n v="1"/>
    <n v="0"/>
    <n v="1"/>
    <n v="1"/>
    <s v="Security staff"/>
    <x v="1"/>
  </r>
  <r>
    <n v="5010088"/>
    <x v="0"/>
    <s v="Y"/>
    <s v="Y"/>
    <n v="0"/>
    <x v="2"/>
    <x v="2"/>
    <x v="2"/>
    <x v="2"/>
    <x v="2"/>
    <d v="2002-09-21T00:00:00"/>
    <n v="-8128"/>
    <x v="88"/>
    <x v="4"/>
    <n v="-951"/>
    <n v="2.6036960985626285"/>
    <x v="1"/>
    <n v="1"/>
    <n v="0"/>
    <n v="0"/>
    <n v="1"/>
    <s v="Sales staff"/>
    <x v="0"/>
  </r>
  <r>
    <n v="5010090"/>
    <x v="0"/>
    <s v="N"/>
    <s v="N"/>
    <n v="0"/>
    <x v="8"/>
    <x v="1"/>
    <x v="1"/>
    <x v="1"/>
    <x v="0"/>
    <d v="1996-10-06T00:00:00"/>
    <n v="-10304"/>
    <x v="89"/>
    <x v="4"/>
    <n v="-1682"/>
    <n v="4.6050650239561941"/>
    <x v="1"/>
    <n v="1"/>
    <n v="0"/>
    <n v="0"/>
    <n v="0"/>
    <s v="Laborers"/>
    <x v="1"/>
  </r>
  <r>
    <n v="5010091"/>
    <x v="0"/>
    <s v="N"/>
    <s v="N"/>
    <n v="0"/>
    <x v="8"/>
    <x v="1"/>
    <x v="1"/>
    <x v="1"/>
    <x v="0"/>
    <d v="1996-10-06T00:00:00"/>
    <n v="-10304"/>
    <x v="89"/>
    <x v="4"/>
    <n v="-1682"/>
    <n v="4.6050650239561941"/>
    <x v="1"/>
    <n v="1"/>
    <n v="0"/>
    <n v="0"/>
    <n v="0"/>
    <s v="Laborers"/>
    <x v="1"/>
  </r>
  <r>
    <n v="5010099"/>
    <x v="0"/>
    <s v="Y"/>
    <s v="Y"/>
    <n v="2"/>
    <x v="38"/>
    <x v="3"/>
    <x v="0"/>
    <x v="1"/>
    <x v="0"/>
    <d v="1987-11-26T00:00:00"/>
    <n v="-13541"/>
    <x v="90"/>
    <x v="3"/>
    <n v="-3965"/>
    <n v="10.855578370978781"/>
    <x v="1"/>
    <n v="1"/>
    <n v="0"/>
    <n v="0"/>
    <n v="0"/>
    <s v="Core staff"/>
    <x v="2"/>
  </r>
  <r>
    <n v="5010116"/>
    <x v="0"/>
    <s v="Y"/>
    <s v="Y"/>
    <n v="0"/>
    <x v="11"/>
    <x v="0"/>
    <x v="0"/>
    <x v="4"/>
    <x v="0"/>
    <d v="1966-09-29T00:00:00"/>
    <n v="-21269"/>
    <x v="91"/>
    <x v="2"/>
    <n v="365243"/>
    <n v="0"/>
    <x v="0"/>
    <n v="1"/>
    <n v="0"/>
    <n v="0"/>
    <n v="1"/>
    <m/>
    <x v="0"/>
  </r>
  <r>
    <n v="5010118"/>
    <x v="1"/>
    <s v="N"/>
    <s v="Y"/>
    <n v="0"/>
    <x v="16"/>
    <x v="2"/>
    <x v="1"/>
    <x v="2"/>
    <x v="0"/>
    <d v="2002-01-29T00:00:00"/>
    <n v="-8363"/>
    <x v="92"/>
    <x v="4"/>
    <n v="-525"/>
    <n v="1.4373716632443532"/>
    <x v="1"/>
    <n v="1"/>
    <n v="0"/>
    <n v="0"/>
    <n v="0"/>
    <m/>
    <x v="0"/>
  </r>
  <r>
    <n v="5010183"/>
    <x v="1"/>
    <s v="N"/>
    <s v="N"/>
    <n v="1"/>
    <x v="39"/>
    <x v="2"/>
    <x v="1"/>
    <x v="2"/>
    <x v="0"/>
    <d v="1978-12-27T00:00:00"/>
    <n v="-16797"/>
    <x v="93"/>
    <x v="1"/>
    <n v="-6583"/>
    <n v="18.023271731690624"/>
    <x v="1"/>
    <n v="1"/>
    <n v="0"/>
    <n v="1"/>
    <n v="0"/>
    <s v="Laborers"/>
    <x v="1"/>
  </r>
  <r>
    <n v="5010184"/>
    <x v="1"/>
    <s v="N"/>
    <s v="N"/>
    <n v="1"/>
    <x v="39"/>
    <x v="2"/>
    <x v="1"/>
    <x v="2"/>
    <x v="0"/>
    <d v="1978-12-27T00:00:00"/>
    <n v="-16797"/>
    <x v="93"/>
    <x v="1"/>
    <n v="-6583"/>
    <n v="18.023271731690624"/>
    <x v="1"/>
    <n v="1"/>
    <n v="0"/>
    <n v="1"/>
    <n v="0"/>
    <s v="Laborers"/>
    <x v="1"/>
  </r>
  <r>
    <n v="5010192"/>
    <x v="0"/>
    <s v="Y"/>
    <s v="Y"/>
    <n v="0"/>
    <x v="3"/>
    <x v="0"/>
    <x v="1"/>
    <x v="1"/>
    <x v="0"/>
    <d v="1961-01-31T00:00:00"/>
    <n v="-23336"/>
    <x v="94"/>
    <x v="0"/>
    <n v="365243"/>
    <n v="0"/>
    <x v="0"/>
    <n v="1"/>
    <n v="0"/>
    <n v="0"/>
    <n v="0"/>
    <m/>
    <x v="1"/>
  </r>
  <r>
    <n v="5010197"/>
    <x v="0"/>
    <s v="N"/>
    <s v="Y"/>
    <n v="0"/>
    <x v="1"/>
    <x v="0"/>
    <x v="0"/>
    <x v="2"/>
    <x v="0"/>
    <d v="1961-06-16T00:00:00"/>
    <n v="-23200"/>
    <x v="95"/>
    <x v="0"/>
    <n v="365243"/>
    <n v="0"/>
    <x v="0"/>
    <n v="1"/>
    <n v="0"/>
    <n v="1"/>
    <n v="0"/>
    <m/>
    <x v="0"/>
  </r>
  <r>
    <n v="5010198"/>
    <x v="1"/>
    <s v="Y"/>
    <s v="Y"/>
    <n v="0"/>
    <x v="1"/>
    <x v="2"/>
    <x v="3"/>
    <x v="1"/>
    <x v="2"/>
    <d v="1997-08-25T00:00:00"/>
    <n v="-9981"/>
    <x v="96"/>
    <x v="4"/>
    <n v="-1866"/>
    <n v="5.1088295687885008"/>
    <x v="1"/>
    <n v="1"/>
    <n v="0"/>
    <n v="0"/>
    <n v="1"/>
    <s v="Laborers"/>
    <x v="1"/>
  </r>
  <r>
    <n v="5010208"/>
    <x v="0"/>
    <s v="N"/>
    <s v="Y"/>
    <n v="0"/>
    <x v="1"/>
    <x v="1"/>
    <x v="0"/>
    <x v="1"/>
    <x v="0"/>
    <d v="1987-04-17T00:00:00"/>
    <n v="-13764"/>
    <x v="97"/>
    <x v="3"/>
    <n v="-3996"/>
    <n v="10.940451745379876"/>
    <x v="1"/>
    <n v="1"/>
    <n v="0"/>
    <n v="0"/>
    <n v="1"/>
    <s v="Core staff"/>
    <x v="1"/>
  </r>
  <r>
    <n v="5010209"/>
    <x v="0"/>
    <s v="N"/>
    <s v="Y"/>
    <n v="0"/>
    <x v="1"/>
    <x v="1"/>
    <x v="0"/>
    <x v="1"/>
    <x v="0"/>
    <d v="1987-04-17T00:00:00"/>
    <n v="-13764"/>
    <x v="97"/>
    <x v="3"/>
    <n v="-3996"/>
    <n v="10.940451745379876"/>
    <x v="1"/>
    <n v="1"/>
    <n v="0"/>
    <n v="0"/>
    <n v="1"/>
    <s v="Core staff"/>
    <x v="1"/>
  </r>
  <r>
    <n v="5010211"/>
    <x v="1"/>
    <s v="Y"/>
    <s v="Y"/>
    <n v="0"/>
    <x v="11"/>
    <x v="1"/>
    <x v="0"/>
    <x v="1"/>
    <x v="0"/>
    <d v="1973-01-11T00:00:00"/>
    <n v="-18973"/>
    <x v="98"/>
    <x v="2"/>
    <n v="-1074"/>
    <n v="2.9404517453798769"/>
    <x v="1"/>
    <n v="1"/>
    <n v="1"/>
    <n v="0"/>
    <n v="0"/>
    <m/>
    <x v="1"/>
  </r>
  <r>
    <n v="5010212"/>
    <x v="1"/>
    <s v="Y"/>
    <s v="Y"/>
    <n v="0"/>
    <x v="11"/>
    <x v="1"/>
    <x v="0"/>
    <x v="1"/>
    <x v="0"/>
    <d v="1973-01-11T00:00:00"/>
    <n v="-18973"/>
    <x v="98"/>
    <x v="2"/>
    <n v="-1074"/>
    <n v="2.9404517453798769"/>
    <x v="1"/>
    <n v="1"/>
    <n v="1"/>
    <n v="0"/>
    <n v="0"/>
    <m/>
    <x v="1"/>
  </r>
  <r>
    <n v="5010213"/>
    <x v="1"/>
    <s v="Y"/>
    <s v="Y"/>
    <n v="0"/>
    <x v="11"/>
    <x v="1"/>
    <x v="0"/>
    <x v="1"/>
    <x v="0"/>
    <d v="1973-01-11T00:00:00"/>
    <n v="-18973"/>
    <x v="98"/>
    <x v="2"/>
    <n v="-1074"/>
    <n v="2.9404517453798769"/>
    <x v="1"/>
    <n v="1"/>
    <n v="1"/>
    <n v="0"/>
    <n v="0"/>
    <m/>
    <x v="1"/>
  </r>
  <r>
    <n v="5010225"/>
    <x v="0"/>
    <s v="Y"/>
    <s v="Y"/>
    <n v="1"/>
    <x v="30"/>
    <x v="3"/>
    <x v="1"/>
    <x v="1"/>
    <x v="0"/>
    <d v="1976-12-22T00:00:00"/>
    <n v="-17532"/>
    <x v="99"/>
    <x v="1"/>
    <n v="-8044"/>
    <n v="22.023271731690624"/>
    <x v="1"/>
    <n v="1"/>
    <n v="0"/>
    <n v="0"/>
    <n v="0"/>
    <s v="Medicine staff"/>
    <x v="3"/>
  </r>
  <r>
    <n v="5010234"/>
    <x v="1"/>
    <s v="Y"/>
    <s v="Y"/>
    <n v="0"/>
    <x v="8"/>
    <x v="2"/>
    <x v="1"/>
    <x v="1"/>
    <x v="0"/>
    <d v="1979-10-13T00:00:00"/>
    <n v="-16507"/>
    <x v="100"/>
    <x v="1"/>
    <n v="-4331"/>
    <n v="11.857631759069131"/>
    <x v="1"/>
    <n v="1"/>
    <n v="0"/>
    <n v="0"/>
    <n v="0"/>
    <s v="Drivers"/>
    <x v="1"/>
  </r>
  <r>
    <n v="5010261"/>
    <x v="1"/>
    <s v="N"/>
    <s v="Y"/>
    <n v="1"/>
    <x v="40"/>
    <x v="2"/>
    <x v="2"/>
    <x v="1"/>
    <x v="0"/>
    <d v="1987-03-22T00:00:00"/>
    <n v="-13790"/>
    <x v="101"/>
    <x v="3"/>
    <n v="-5639"/>
    <n v="15.43874058863792"/>
    <x v="1"/>
    <n v="1"/>
    <n v="1"/>
    <n v="1"/>
    <n v="0"/>
    <m/>
    <x v="3"/>
  </r>
  <r>
    <n v="5010290"/>
    <x v="0"/>
    <s v="N"/>
    <s v="Y"/>
    <n v="0"/>
    <x v="3"/>
    <x v="0"/>
    <x v="1"/>
    <x v="1"/>
    <x v="0"/>
    <d v="1969-02-27T00:00:00"/>
    <n v="-20387"/>
    <x v="102"/>
    <x v="2"/>
    <n v="365243"/>
    <n v="0"/>
    <x v="0"/>
    <n v="1"/>
    <n v="0"/>
    <n v="0"/>
    <n v="1"/>
    <m/>
    <x v="1"/>
  </r>
  <r>
    <n v="5010324"/>
    <x v="0"/>
    <s v="N"/>
    <s v="N"/>
    <n v="0"/>
    <x v="7"/>
    <x v="0"/>
    <x v="1"/>
    <x v="1"/>
    <x v="0"/>
    <d v="1962-05-15T00:00:00"/>
    <n v="-22867"/>
    <x v="103"/>
    <x v="0"/>
    <n v="365243"/>
    <n v="0"/>
    <x v="0"/>
    <n v="1"/>
    <n v="0"/>
    <n v="0"/>
    <n v="0"/>
    <m/>
    <x v="1"/>
  </r>
  <r>
    <n v="5010325"/>
    <x v="0"/>
    <s v="N"/>
    <s v="N"/>
    <n v="0"/>
    <x v="7"/>
    <x v="0"/>
    <x v="1"/>
    <x v="1"/>
    <x v="0"/>
    <d v="1962-05-15T00:00:00"/>
    <n v="-22867"/>
    <x v="103"/>
    <x v="0"/>
    <n v="365243"/>
    <n v="0"/>
    <x v="0"/>
    <n v="1"/>
    <n v="0"/>
    <n v="0"/>
    <n v="0"/>
    <m/>
    <x v="1"/>
  </r>
  <r>
    <n v="5010351"/>
    <x v="1"/>
    <s v="Y"/>
    <s v="N"/>
    <n v="1"/>
    <x v="16"/>
    <x v="3"/>
    <x v="2"/>
    <x v="1"/>
    <x v="2"/>
    <d v="1995-12-24T00:00:00"/>
    <n v="-10591"/>
    <x v="104"/>
    <x v="4"/>
    <n v="-1195"/>
    <n v="3.2717316906228611"/>
    <x v="1"/>
    <n v="1"/>
    <n v="0"/>
    <n v="0"/>
    <n v="0"/>
    <s v="Drivers"/>
    <x v="3"/>
  </r>
  <r>
    <n v="5010367"/>
    <x v="0"/>
    <s v="Y"/>
    <s v="Y"/>
    <n v="1"/>
    <x v="5"/>
    <x v="2"/>
    <x v="0"/>
    <x v="0"/>
    <x v="0"/>
    <d v="1998-02-22T00:00:00"/>
    <n v="-9800"/>
    <x v="105"/>
    <x v="4"/>
    <n v="-2109"/>
    <n v="5.7741273100616013"/>
    <x v="1"/>
    <n v="1"/>
    <n v="0"/>
    <n v="0"/>
    <n v="1"/>
    <s v="Medicine staff"/>
    <x v="1"/>
  </r>
  <r>
    <n v="5010374"/>
    <x v="0"/>
    <s v="Y"/>
    <s v="Y"/>
    <n v="0"/>
    <x v="18"/>
    <x v="0"/>
    <x v="1"/>
    <x v="1"/>
    <x v="0"/>
    <d v="1959-11-26T00:00:00"/>
    <n v="-23768"/>
    <x v="106"/>
    <x v="0"/>
    <n v="365243"/>
    <n v="0"/>
    <x v="0"/>
    <n v="1"/>
    <n v="0"/>
    <n v="0"/>
    <n v="0"/>
    <m/>
    <x v="1"/>
  </r>
  <r>
    <n v="5010408"/>
    <x v="0"/>
    <s v="N"/>
    <s v="Y"/>
    <n v="0"/>
    <x v="11"/>
    <x v="0"/>
    <x v="1"/>
    <x v="1"/>
    <x v="0"/>
    <d v="1965-02-21T00:00:00"/>
    <n v="-21854"/>
    <x v="107"/>
    <x v="2"/>
    <n v="365243"/>
    <n v="0"/>
    <x v="0"/>
    <n v="1"/>
    <n v="0"/>
    <n v="0"/>
    <n v="0"/>
    <m/>
    <x v="1"/>
  </r>
  <r>
    <n v="5010410"/>
    <x v="0"/>
    <s v="N"/>
    <s v="Y"/>
    <n v="0"/>
    <x v="11"/>
    <x v="0"/>
    <x v="1"/>
    <x v="1"/>
    <x v="0"/>
    <d v="1965-02-21T00:00:00"/>
    <n v="-21854"/>
    <x v="107"/>
    <x v="2"/>
    <n v="365243"/>
    <n v="0"/>
    <x v="0"/>
    <n v="1"/>
    <n v="0"/>
    <n v="0"/>
    <n v="0"/>
    <m/>
    <x v="1"/>
  </r>
  <r>
    <n v="5010411"/>
    <x v="0"/>
    <s v="N"/>
    <s v="Y"/>
    <n v="0"/>
    <x v="11"/>
    <x v="0"/>
    <x v="1"/>
    <x v="1"/>
    <x v="0"/>
    <d v="1965-02-21T00:00:00"/>
    <n v="-21854"/>
    <x v="107"/>
    <x v="2"/>
    <n v="365243"/>
    <n v="0"/>
    <x v="0"/>
    <n v="1"/>
    <n v="0"/>
    <n v="0"/>
    <n v="0"/>
    <m/>
    <x v="1"/>
  </r>
  <r>
    <n v="5010413"/>
    <x v="0"/>
    <s v="N"/>
    <s v="Y"/>
    <n v="0"/>
    <x v="11"/>
    <x v="0"/>
    <x v="1"/>
    <x v="1"/>
    <x v="0"/>
    <d v="1965-02-21T00:00:00"/>
    <n v="-21854"/>
    <x v="107"/>
    <x v="2"/>
    <n v="365243"/>
    <n v="0"/>
    <x v="0"/>
    <n v="1"/>
    <n v="0"/>
    <n v="0"/>
    <n v="0"/>
    <m/>
    <x v="1"/>
  </r>
  <r>
    <n v="5010427"/>
    <x v="0"/>
    <s v="N"/>
    <s v="Y"/>
    <n v="0"/>
    <x v="37"/>
    <x v="2"/>
    <x v="1"/>
    <x v="1"/>
    <x v="0"/>
    <d v="1982-01-22T00:00:00"/>
    <n v="-15675"/>
    <x v="108"/>
    <x v="1"/>
    <n v="-283"/>
    <n v="0.77481177275838464"/>
    <x v="1"/>
    <n v="1"/>
    <n v="0"/>
    <n v="0"/>
    <n v="1"/>
    <s v="Medicine staff"/>
    <x v="1"/>
  </r>
  <r>
    <n v="5010428"/>
    <x v="0"/>
    <s v="N"/>
    <s v="Y"/>
    <n v="0"/>
    <x v="37"/>
    <x v="2"/>
    <x v="1"/>
    <x v="1"/>
    <x v="0"/>
    <d v="1982-01-22T00:00:00"/>
    <n v="-15675"/>
    <x v="108"/>
    <x v="1"/>
    <n v="-283"/>
    <n v="0.77481177275838464"/>
    <x v="1"/>
    <n v="1"/>
    <n v="0"/>
    <n v="0"/>
    <n v="1"/>
    <s v="Medicine staff"/>
    <x v="1"/>
  </r>
  <r>
    <n v="5010431"/>
    <x v="0"/>
    <s v="Y"/>
    <s v="N"/>
    <n v="1"/>
    <x v="16"/>
    <x v="2"/>
    <x v="1"/>
    <x v="1"/>
    <x v="0"/>
    <d v="1994-07-26T00:00:00"/>
    <n v="-11107"/>
    <x v="109"/>
    <x v="3"/>
    <n v="-130"/>
    <n v="0.35592060232717315"/>
    <x v="1"/>
    <n v="1"/>
    <n v="0"/>
    <n v="0"/>
    <n v="0"/>
    <s v="Sales staff"/>
    <x v="3"/>
  </r>
  <r>
    <n v="5010432"/>
    <x v="0"/>
    <s v="Y"/>
    <s v="N"/>
    <n v="1"/>
    <x v="16"/>
    <x v="2"/>
    <x v="1"/>
    <x v="1"/>
    <x v="0"/>
    <d v="1994-07-26T00:00:00"/>
    <n v="-11107"/>
    <x v="109"/>
    <x v="3"/>
    <n v="-130"/>
    <n v="0.35592060232717315"/>
    <x v="1"/>
    <n v="1"/>
    <n v="0"/>
    <n v="0"/>
    <n v="0"/>
    <s v="Sales staff"/>
    <x v="3"/>
  </r>
  <r>
    <n v="5010453"/>
    <x v="0"/>
    <s v="Y"/>
    <s v="Y"/>
    <n v="0"/>
    <x v="5"/>
    <x v="2"/>
    <x v="1"/>
    <x v="1"/>
    <x v="0"/>
    <d v="1988-09-15T00:00:00"/>
    <n v="-13247"/>
    <x v="110"/>
    <x v="3"/>
    <n v="-5823"/>
    <n v="15.942505133470226"/>
    <x v="1"/>
    <n v="1"/>
    <n v="1"/>
    <n v="0"/>
    <n v="0"/>
    <s v="Core staff"/>
    <x v="1"/>
  </r>
  <r>
    <n v="5010470"/>
    <x v="1"/>
    <s v="Y"/>
    <s v="Y"/>
    <n v="0"/>
    <x v="41"/>
    <x v="3"/>
    <x v="0"/>
    <x v="1"/>
    <x v="0"/>
    <d v="1992-05-12T00:00:00"/>
    <n v="-11912"/>
    <x v="111"/>
    <x v="3"/>
    <n v="-2200"/>
    <n v="6.023271731690623"/>
    <x v="1"/>
    <n v="1"/>
    <n v="0"/>
    <n v="0"/>
    <n v="0"/>
    <s v="High skill tech staff"/>
    <x v="1"/>
  </r>
  <r>
    <n v="5010471"/>
    <x v="1"/>
    <s v="Y"/>
    <s v="Y"/>
    <n v="0"/>
    <x v="41"/>
    <x v="3"/>
    <x v="0"/>
    <x v="1"/>
    <x v="0"/>
    <d v="1992-05-12T00:00:00"/>
    <n v="-11912"/>
    <x v="111"/>
    <x v="3"/>
    <n v="-2200"/>
    <n v="6.023271731690623"/>
    <x v="1"/>
    <n v="1"/>
    <n v="0"/>
    <n v="0"/>
    <n v="0"/>
    <s v="High skill tech staff"/>
    <x v="1"/>
  </r>
  <r>
    <n v="5010483"/>
    <x v="1"/>
    <s v="Y"/>
    <s v="Y"/>
    <n v="2"/>
    <x v="12"/>
    <x v="2"/>
    <x v="0"/>
    <x v="1"/>
    <x v="0"/>
    <d v="1987-03-09T00:00:00"/>
    <n v="-13803"/>
    <x v="112"/>
    <x v="3"/>
    <n v="-160"/>
    <n v="0.43805612594113619"/>
    <x v="1"/>
    <n v="1"/>
    <n v="1"/>
    <n v="1"/>
    <n v="0"/>
    <m/>
    <x v="2"/>
  </r>
  <r>
    <n v="5010491"/>
    <x v="0"/>
    <s v="Y"/>
    <s v="N"/>
    <n v="2"/>
    <x v="18"/>
    <x v="3"/>
    <x v="0"/>
    <x v="1"/>
    <x v="0"/>
    <d v="1987-04-13T00:00:00"/>
    <n v="-13768"/>
    <x v="113"/>
    <x v="3"/>
    <n v="-4666"/>
    <n v="12.774811772758385"/>
    <x v="1"/>
    <n v="1"/>
    <n v="0"/>
    <n v="0"/>
    <n v="0"/>
    <s v="Secretaries"/>
    <x v="2"/>
  </r>
  <r>
    <n v="5010496"/>
    <x v="1"/>
    <s v="Y"/>
    <s v="Y"/>
    <n v="1"/>
    <x v="11"/>
    <x v="2"/>
    <x v="1"/>
    <x v="1"/>
    <x v="0"/>
    <d v="1996-12-31T00:00:00"/>
    <n v="-10218"/>
    <x v="114"/>
    <x v="4"/>
    <n v="-313"/>
    <n v="0.85694729637234768"/>
    <x v="1"/>
    <n v="1"/>
    <n v="1"/>
    <n v="0"/>
    <n v="0"/>
    <m/>
    <x v="3"/>
  </r>
  <r>
    <n v="5010507"/>
    <x v="0"/>
    <s v="Y"/>
    <s v="Y"/>
    <n v="1"/>
    <x v="5"/>
    <x v="1"/>
    <x v="1"/>
    <x v="1"/>
    <x v="0"/>
    <d v="1987-02-10T00:00:00"/>
    <n v="-13830"/>
    <x v="115"/>
    <x v="3"/>
    <n v="-4239"/>
    <n v="11.605749486652977"/>
    <x v="1"/>
    <n v="1"/>
    <n v="0"/>
    <n v="0"/>
    <n v="0"/>
    <s v="Laborers"/>
    <x v="3"/>
  </r>
  <r>
    <n v="5010517"/>
    <x v="1"/>
    <s v="Y"/>
    <s v="Y"/>
    <n v="0"/>
    <x v="2"/>
    <x v="2"/>
    <x v="1"/>
    <x v="1"/>
    <x v="0"/>
    <d v="1997-06-14T00:00:00"/>
    <n v="-10053"/>
    <x v="116"/>
    <x v="4"/>
    <n v="-1652"/>
    <n v="4.5229295003422312"/>
    <x v="1"/>
    <n v="1"/>
    <n v="0"/>
    <n v="0"/>
    <n v="1"/>
    <s v="Sales staff"/>
    <x v="1"/>
  </r>
  <r>
    <n v="5010519"/>
    <x v="1"/>
    <s v="Y"/>
    <s v="Y"/>
    <n v="1"/>
    <x v="42"/>
    <x v="2"/>
    <x v="0"/>
    <x v="1"/>
    <x v="5"/>
    <d v="1974-05-23T00:00:00"/>
    <n v="-18476"/>
    <x v="117"/>
    <x v="2"/>
    <n v="-2625"/>
    <n v="7.1868583162217661"/>
    <x v="1"/>
    <n v="1"/>
    <n v="0"/>
    <n v="0"/>
    <n v="0"/>
    <s v="Managers"/>
    <x v="3"/>
  </r>
  <r>
    <n v="5010533"/>
    <x v="0"/>
    <s v="N"/>
    <s v="Y"/>
    <n v="0"/>
    <x v="29"/>
    <x v="0"/>
    <x v="1"/>
    <x v="3"/>
    <x v="0"/>
    <d v="1969-03-21T00:00:00"/>
    <n v="-20365"/>
    <x v="118"/>
    <x v="2"/>
    <n v="365243"/>
    <n v="0"/>
    <x v="0"/>
    <n v="1"/>
    <n v="0"/>
    <n v="0"/>
    <n v="0"/>
    <m/>
    <x v="1"/>
  </r>
  <r>
    <n v="5010545"/>
    <x v="0"/>
    <s v="Y"/>
    <s v="Y"/>
    <n v="0"/>
    <x v="12"/>
    <x v="1"/>
    <x v="1"/>
    <x v="0"/>
    <x v="0"/>
    <d v="1975-03-11T00:00:00"/>
    <n v="-18184"/>
    <x v="119"/>
    <x v="1"/>
    <n v="-3021"/>
    <n v="8.2710472279260774"/>
    <x v="1"/>
    <n v="1"/>
    <n v="0"/>
    <n v="1"/>
    <n v="1"/>
    <s v="Laborers"/>
    <x v="0"/>
  </r>
  <r>
    <n v="5010564"/>
    <x v="0"/>
    <s v="Y"/>
    <s v="Y"/>
    <n v="0"/>
    <x v="43"/>
    <x v="2"/>
    <x v="0"/>
    <x v="1"/>
    <x v="0"/>
    <d v="1997-03-14T00:00:00"/>
    <n v="-10145"/>
    <x v="120"/>
    <x v="4"/>
    <n v="-1682"/>
    <n v="4.6050650239561941"/>
    <x v="1"/>
    <n v="1"/>
    <n v="0"/>
    <n v="0"/>
    <n v="1"/>
    <s v="Sales staff"/>
    <x v="1"/>
  </r>
  <r>
    <n v="5010572"/>
    <x v="0"/>
    <s v="Y"/>
    <s v="Y"/>
    <n v="0"/>
    <x v="43"/>
    <x v="2"/>
    <x v="0"/>
    <x v="1"/>
    <x v="0"/>
    <d v="1997-03-14T00:00:00"/>
    <n v="-10145"/>
    <x v="120"/>
    <x v="4"/>
    <n v="-1682"/>
    <n v="4.6050650239561941"/>
    <x v="1"/>
    <n v="1"/>
    <n v="0"/>
    <n v="0"/>
    <n v="1"/>
    <s v="Sales staff"/>
    <x v="1"/>
  </r>
  <r>
    <n v="5010574"/>
    <x v="1"/>
    <s v="Y"/>
    <s v="Y"/>
    <n v="1"/>
    <x v="39"/>
    <x v="2"/>
    <x v="1"/>
    <x v="1"/>
    <x v="0"/>
    <d v="1993-12-25T00:00:00"/>
    <n v="-11320"/>
    <x v="121"/>
    <x v="3"/>
    <n v="-1591"/>
    <n v="4.3559206023271733"/>
    <x v="1"/>
    <n v="1"/>
    <n v="0"/>
    <n v="0"/>
    <n v="1"/>
    <s v="Drivers"/>
    <x v="3"/>
  </r>
  <r>
    <n v="5010594"/>
    <x v="0"/>
    <s v="N"/>
    <s v="Y"/>
    <n v="0"/>
    <x v="2"/>
    <x v="0"/>
    <x v="1"/>
    <x v="1"/>
    <x v="0"/>
    <d v="1962-03-16T00:00:00"/>
    <n v="-22927"/>
    <x v="122"/>
    <x v="0"/>
    <n v="365243"/>
    <n v="0"/>
    <x v="0"/>
    <n v="1"/>
    <n v="0"/>
    <n v="0"/>
    <n v="0"/>
    <m/>
    <x v="1"/>
  </r>
  <r>
    <n v="5010599"/>
    <x v="0"/>
    <s v="N"/>
    <s v="Y"/>
    <n v="2"/>
    <x v="30"/>
    <x v="2"/>
    <x v="0"/>
    <x v="1"/>
    <x v="0"/>
    <d v="1992-06-29T00:00:00"/>
    <n v="-11864"/>
    <x v="123"/>
    <x v="3"/>
    <n v="-4513"/>
    <n v="12.355920602327172"/>
    <x v="1"/>
    <n v="1"/>
    <n v="0"/>
    <n v="0"/>
    <n v="0"/>
    <s v="Drivers"/>
    <x v="2"/>
  </r>
  <r>
    <n v="5010605"/>
    <x v="0"/>
    <s v="N"/>
    <s v="Y"/>
    <n v="2"/>
    <x v="30"/>
    <x v="2"/>
    <x v="0"/>
    <x v="1"/>
    <x v="0"/>
    <d v="1992-06-29T00:00:00"/>
    <n v="-11864"/>
    <x v="123"/>
    <x v="3"/>
    <n v="-4513"/>
    <n v="12.355920602327172"/>
    <x v="1"/>
    <n v="1"/>
    <n v="0"/>
    <n v="0"/>
    <n v="0"/>
    <s v="Drivers"/>
    <x v="2"/>
  </r>
  <r>
    <n v="5010606"/>
    <x v="0"/>
    <s v="N"/>
    <s v="Y"/>
    <n v="0"/>
    <x v="44"/>
    <x v="0"/>
    <x v="1"/>
    <x v="4"/>
    <x v="0"/>
    <d v="1970-07-02T00:00:00"/>
    <n v="-19897"/>
    <x v="124"/>
    <x v="2"/>
    <n v="365243"/>
    <n v="0"/>
    <x v="0"/>
    <n v="1"/>
    <n v="0"/>
    <n v="1"/>
    <n v="0"/>
    <m/>
    <x v="0"/>
  </r>
  <r>
    <n v="5010610"/>
    <x v="0"/>
    <s v="N"/>
    <s v="Y"/>
    <n v="0"/>
    <x v="44"/>
    <x v="0"/>
    <x v="1"/>
    <x v="4"/>
    <x v="0"/>
    <d v="1970-07-02T00:00:00"/>
    <n v="-19897"/>
    <x v="124"/>
    <x v="2"/>
    <n v="365243"/>
    <n v="0"/>
    <x v="0"/>
    <n v="1"/>
    <n v="0"/>
    <n v="1"/>
    <n v="0"/>
    <m/>
    <x v="0"/>
  </r>
  <r>
    <n v="5010633"/>
    <x v="0"/>
    <s v="Y"/>
    <s v="Y"/>
    <n v="0"/>
    <x v="16"/>
    <x v="2"/>
    <x v="1"/>
    <x v="3"/>
    <x v="0"/>
    <d v="1990-11-10T00:00:00"/>
    <n v="-12461"/>
    <x v="125"/>
    <x v="3"/>
    <n v="-678"/>
    <n v="1.8562628336755647"/>
    <x v="1"/>
    <n v="1"/>
    <n v="0"/>
    <n v="0"/>
    <n v="0"/>
    <s v="Sales staff"/>
    <x v="1"/>
  </r>
  <r>
    <n v="5010663"/>
    <x v="1"/>
    <s v="Y"/>
    <s v="Y"/>
    <n v="2"/>
    <x v="18"/>
    <x v="2"/>
    <x v="1"/>
    <x v="1"/>
    <x v="0"/>
    <d v="1988-05-25T00:00:00"/>
    <n v="-13360"/>
    <x v="126"/>
    <x v="3"/>
    <n v="-4086"/>
    <n v="11.186858316221766"/>
    <x v="1"/>
    <n v="1"/>
    <n v="0"/>
    <n v="0"/>
    <n v="0"/>
    <s v="Laborers"/>
    <x v="2"/>
  </r>
  <r>
    <n v="5010670"/>
    <x v="1"/>
    <s v="Y"/>
    <s v="Y"/>
    <n v="0"/>
    <x v="16"/>
    <x v="2"/>
    <x v="1"/>
    <x v="1"/>
    <x v="0"/>
    <d v="1977-12-31T00:00:00"/>
    <n v="-17158"/>
    <x v="127"/>
    <x v="1"/>
    <n v="-2990"/>
    <n v="8.1861738535249824"/>
    <x v="1"/>
    <n v="1"/>
    <n v="0"/>
    <n v="0"/>
    <n v="0"/>
    <s v="Sales staff"/>
    <x v="1"/>
  </r>
  <r>
    <n v="5010699"/>
    <x v="0"/>
    <s v="Y"/>
    <s v="Y"/>
    <n v="2"/>
    <x v="19"/>
    <x v="1"/>
    <x v="0"/>
    <x v="1"/>
    <x v="0"/>
    <d v="1986-10-05T00:00:00"/>
    <n v="-13958"/>
    <x v="128"/>
    <x v="3"/>
    <n v="-3021"/>
    <n v="8.2710472279260774"/>
    <x v="1"/>
    <n v="1"/>
    <n v="0"/>
    <n v="0"/>
    <n v="0"/>
    <s v="Sales staff"/>
    <x v="2"/>
  </r>
  <r>
    <n v="5010702"/>
    <x v="0"/>
    <s v="Y"/>
    <s v="Y"/>
    <n v="2"/>
    <x v="19"/>
    <x v="1"/>
    <x v="0"/>
    <x v="1"/>
    <x v="0"/>
    <d v="1986-10-05T00:00:00"/>
    <n v="-13958"/>
    <x v="128"/>
    <x v="3"/>
    <n v="-3021"/>
    <n v="8.2710472279260774"/>
    <x v="1"/>
    <n v="1"/>
    <n v="0"/>
    <n v="0"/>
    <n v="0"/>
    <s v="Sales staff"/>
    <x v="2"/>
  </r>
  <r>
    <n v="5010731"/>
    <x v="0"/>
    <s v="N"/>
    <s v="Y"/>
    <n v="0"/>
    <x v="1"/>
    <x v="2"/>
    <x v="1"/>
    <x v="1"/>
    <x v="0"/>
    <d v="1966-05-25T00:00:00"/>
    <n v="-21396"/>
    <x v="129"/>
    <x v="2"/>
    <n v="-1013"/>
    <n v="2.7734428473648185"/>
    <x v="1"/>
    <n v="1"/>
    <n v="0"/>
    <n v="0"/>
    <n v="1"/>
    <s v="High skill tech staff"/>
    <x v="1"/>
  </r>
  <r>
    <n v="5010734"/>
    <x v="0"/>
    <s v="N"/>
    <s v="Y"/>
    <n v="0"/>
    <x v="5"/>
    <x v="2"/>
    <x v="1"/>
    <x v="3"/>
    <x v="0"/>
    <d v="1992-07-10T00:00:00"/>
    <n v="-11853"/>
    <x v="130"/>
    <x v="3"/>
    <n v="-5061"/>
    <n v="13.856262833675565"/>
    <x v="1"/>
    <n v="1"/>
    <n v="1"/>
    <n v="0"/>
    <n v="0"/>
    <s v="Waiters/barmen staff"/>
    <x v="1"/>
  </r>
  <r>
    <n v="5010741"/>
    <x v="0"/>
    <s v="N"/>
    <s v="Y"/>
    <n v="0"/>
    <x v="5"/>
    <x v="2"/>
    <x v="1"/>
    <x v="3"/>
    <x v="0"/>
    <d v="1992-07-10T00:00:00"/>
    <n v="-11853"/>
    <x v="130"/>
    <x v="3"/>
    <n v="-5061"/>
    <n v="13.856262833675565"/>
    <x v="1"/>
    <n v="1"/>
    <n v="1"/>
    <n v="0"/>
    <n v="0"/>
    <s v="Waiters/barmen staff"/>
    <x v="1"/>
  </r>
  <r>
    <n v="5010751"/>
    <x v="0"/>
    <s v="Y"/>
    <s v="Y"/>
    <n v="0"/>
    <x v="37"/>
    <x v="0"/>
    <x v="2"/>
    <x v="1"/>
    <x v="0"/>
    <d v="1966-07-10T00:00:00"/>
    <n v="-21350"/>
    <x v="131"/>
    <x v="2"/>
    <n v="365243"/>
    <n v="0"/>
    <x v="0"/>
    <n v="1"/>
    <n v="0"/>
    <n v="1"/>
    <n v="0"/>
    <m/>
    <x v="1"/>
  </r>
  <r>
    <n v="5010754"/>
    <x v="0"/>
    <s v="Y"/>
    <s v="Y"/>
    <n v="0"/>
    <x v="37"/>
    <x v="0"/>
    <x v="2"/>
    <x v="1"/>
    <x v="0"/>
    <d v="1966-07-10T00:00:00"/>
    <n v="-21350"/>
    <x v="131"/>
    <x v="2"/>
    <n v="365243"/>
    <n v="0"/>
    <x v="0"/>
    <n v="1"/>
    <n v="0"/>
    <n v="1"/>
    <n v="0"/>
    <m/>
    <x v="1"/>
  </r>
  <r>
    <n v="5010755"/>
    <x v="0"/>
    <s v="Y"/>
    <s v="Y"/>
    <n v="0"/>
    <x v="37"/>
    <x v="0"/>
    <x v="2"/>
    <x v="1"/>
    <x v="0"/>
    <d v="1966-07-10T00:00:00"/>
    <n v="-21350"/>
    <x v="131"/>
    <x v="2"/>
    <n v="365243"/>
    <n v="0"/>
    <x v="0"/>
    <n v="1"/>
    <n v="0"/>
    <n v="1"/>
    <n v="0"/>
    <m/>
    <x v="1"/>
  </r>
  <r>
    <n v="5010797"/>
    <x v="0"/>
    <s v="N"/>
    <s v="Y"/>
    <n v="0"/>
    <x v="18"/>
    <x v="2"/>
    <x v="1"/>
    <x v="1"/>
    <x v="4"/>
    <d v="1982-09-04T00:00:00"/>
    <n v="-15450"/>
    <x v="132"/>
    <x v="1"/>
    <n v="-770"/>
    <n v="2.108145106091718"/>
    <x v="1"/>
    <n v="1"/>
    <n v="0"/>
    <n v="0"/>
    <n v="1"/>
    <s v="Security staff"/>
    <x v="1"/>
  </r>
  <r>
    <n v="5010802"/>
    <x v="0"/>
    <s v="N"/>
    <s v="Y"/>
    <n v="0"/>
    <x v="18"/>
    <x v="2"/>
    <x v="1"/>
    <x v="1"/>
    <x v="4"/>
    <d v="1982-09-04T00:00:00"/>
    <n v="-15450"/>
    <x v="132"/>
    <x v="1"/>
    <n v="-770"/>
    <n v="2.108145106091718"/>
    <x v="1"/>
    <n v="1"/>
    <n v="0"/>
    <n v="0"/>
    <n v="1"/>
    <s v="Security staff"/>
    <x v="1"/>
  </r>
  <r>
    <n v="5010805"/>
    <x v="0"/>
    <s v="N"/>
    <s v="Y"/>
    <n v="1"/>
    <x v="1"/>
    <x v="2"/>
    <x v="0"/>
    <x v="1"/>
    <x v="0"/>
    <d v="1987-02-07T00:00:00"/>
    <n v="-13833"/>
    <x v="133"/>
    <x v="3"/>
    <n v="-617"/>
    <n v="1.6892539356605065"/>
    <x v="1"/>
    <n v="1"/>
    <n v="0"/>
    <n v="0"/>
    <n v="0"/>
    <s v="Accountants"/>
    <x v="3"/>
  </r>
  <r>
    <n v="5010835"/>
    <x v="1"/>
    <s v="Y"/>
    <s v="Y"/>
    <n v="2"/>
    <x v="25"/>
    <x v="2"/>
    <x v="1"/>
    <x v="1"/>
    <x v="0"/>
    <d v="1977-08-30T00:00:00"/>
    <n v="-17281"/>
    <x v="134"/>
    <x v="1"/>
    <n v="-5578"/>
    <n v="15.271731690622861"/>
    <x v="1"/>
    <n v="1"/>
    <n v="1"/>
    <n v="0"/>
    <n v="0"/>
    <s v="Drivers"/>
    <x v="2"/>
  </r>
  <r>
    <n v="5010843"/>
    <x v="0"/>
    <s v="Y"/>
    <s v="Y"/>
    <n v="0"/>
    <x v="5"/>
    <x v="2"/>
    <x v="0"/>
    <x v="1"/>
    <x v="0"/>
    <d v="1992-08-10T00:00:00"/>
    <n v="-11822"/>
    <x v="135"/>
    <x v="3"/>
    <n v="-739"/>
    <n v="2.023271731690623"/>
    <x v="1"/>
    <n v="1"/>
    <n v="0"/>
    <n v="0"/>
    <n v="1"/>
    <s v="Sales staff"/>
    <x v="1"/>
  </r>
  <r>
    <n v="5010858"/>
    <x v="0"/>
    <s v="N"/>
    <s v="Y"/>
    <n v="0"/>
    <x v="5"/>
    <x v="1"/>
    <x v="1"/>
    <x v="1"/>
    <x v="0"/>
    <d v="1979-08-19T00:00:00"/>
    <n v="-16562"/>
    <x v="136"/>
    <x v="1"/>
    <n v="-1043"/>
    <n v="2.8555783709787819"/>
    <x v="1"/>
    <n v="1"/>
    <n v="0"/>
    <n v="0"/>
    <n v="0"/>
    <s v="Security staff"/>
    <x v="1"/>
  </r>
  <r>
    <n v="5010877"/>
    <x v="0"/>
    <s v="N"/>
    <s v="Y"/>
    <n v="0"/>
    <x v="45"/>
    <x v="0"/>
    <x v="1"/>
    <x v="1"/>
    <x v="0"/>
    <d v="1968-05-02T00:00:00"/>
    <n v="-20688"/>
    <x v="137"/>
    <x v="2"/>
    <n v="365243"/>
    <n v="0"/>
    <x v="0"/>
    <n v="1"/>
    <n v="0"/>
    <n v="1"/>
    <n v="0"/>
    <m/>
    <x v="1"/>
  </r>
  <r>
    <n v="5010881"/>
    <x v="0"/>
    <s v="N"/>
    <s v="Y"/>
    <n v="0"/>
    <x v="45"/>
    <x v="0"/>
    <x v="1"/>
    <x v="1"/>
    <x v="0"/>
    <d v="1968-05-02T00:00:00"/>
    <n v="-20688"/>
    <x v="137"/>
    <x v="2"/>
    <n v="365243"/>
    <n v="0"/>
    <x v="0"/>
    <n v="1"/>
    <n v="0"/>
    <n v="1"/>
    <n v="0"/>
    <m/>
    <x v="1"/>
  </r>
  <r>
    <n v="5010883"/>
    <x v="0"/>
    <s v="N"/>
    <s v="Y"/>
    <n v="1"/>
    <x v="18"/>
    <x v="2"/>
    <x v="1"/>
    <x v="1"/>
    <x v="0"/>
    <d v="1997-11-04T00:00:00"/>
    <n v="-9910"/>
    <x v="138"/>
    <x v="4"/>
    <n v="-678"/>
    <n v="1.8562628336755647"/>
    <x v="1"/>
    <n v="1"/>
    <n v="0"/>
    <n v="0"/>
    <n v="0"/>
    <s v="Managers"/>
    <x v="3"/>
  </r>
  <r>
    <n v="5010904"/>
    <x v="0"/>
    <s v="N"/>
    <s v="Y"/>
    <n v="1"/>
    <x v="14"/>
    <x v="2"/>
    <x v="1"/>
    <x v="1"/>
    <x v="0"/>
    <d v="1996-01-28T00:00:00"/>
    <n v="-10556"/>
    <x v="139"/>
    <x v="4"/>
    <n v="-1379"/>
    <n v="3.7754962354551678"/>
    <x v="1"/>
    <n v="1"/>
    <n v="0"/>
    <n v="0"/>
    <n v="0"/>
    <s v="Managers"/>
    <x v="3"/>
  </r>
  <r>
    <n v="5010917"/>
    <x v="1"/>
    <s v="Y"/>
    <s v="Y"/>
    <n v="0"/>
    <x v="46"/>
    <x v="1"/>
    <x v="1"/>
    <x v="1"/>
    <x v="0"/>
    <d v="1987-12-04T00:00:00"/>
    <n v="-13533"/>
    <x v="140"/>
    <x v="3"/>
    <n v="-2535"/>
    <n v="6.9404517453798764"/>
    <x v="1"/>
    <n v="1"/>
    <n v="0"/>
    <n v="1"/>
    <n v="0"/>
    <s v="Laborers"/>
    <x v="1"/>
  </r>
  <r>
    <n v="5010918"/>
    <x v="1"/>
    <s v="Y"/>
    <s v="Y"/>
    <n v="0"/>
    <x v="46"/>
    <x v="1"/>
    <x v="1"/>
    <x v="1"/>
    <x v="0"/>
    <d v="1987-12-04T00:00:00"/>
    <n v="-13533"/>
    <x v="140"/>
    <x v="3"/>
    <n v="-2535"/>
    <n v="6.9404517453798764"/>
    <x v="1"/>
    <n v="1"/>
    <n v="0"/>
    <n v="1"/>
    <n v="0"/>
    <s v="Laborers"/>
    <x v="1"/>
  </r>
  <r>
    <n v="5010926"/>
    <x v="0"/>
    <s v="Y"/>
    <s v="Y"/>
    <n v="2"/>
    <x v="18"/>
    <x v="2"/>
    <x v="1"/>
    <x v="3"/>
    <x v="0"/>
    <d v="1990-01-30T00:00:00"/>
    <n v="-12745"/>
    <x v="141"/>
    <x v="3"/>
    <n v="-525"/>
    <n v="1.4373716632443532"/>
    <x v="1"/>
    <n v="1"/>
    <n v="0"/>
    <n v="0"/>
    <n v="1"/>
    <s v="Core staff"/>
    <x v="2"/>
  </r>
  <r>
    <n v="5010929"/>
    <x v="0"/>
    <s v="Y"/>
    <s v="Y"/>
    <n v="2"/>
    <x v="18"/>
    <x v="2"/>
    <x v="1"/>
    <x v="3"/>
    <x v="0"/>
    <d v="1990-01-30T00:00:00"/>
    <n v="-12745"/>
    <x v="141"/>
    <x v="3"/>
    <n v="-525"/>
    <n v="1.4373716632443532"/>
    <x v="1"/>
    <n v="1"/>
    <n v="0"/>
    <n v="0"/>
    <n v="1"/>
    <s v="Core staff"/>
    <x v="2"/>
  </r>
  <r>
    <n v="5010935"/>
    <x v="0"/>
    <s v="N"/>
    <s v="N"/>
    <n v="0"/>
    <x v="1"/>
    <x v="2"/>
    <x v="1"/>
    <x v="2"/>
    <x v="0"/>
    <d v="1978-12-10T00:00:00"/>
    <n v="-16814"/>
    <x v="142"/>
    <x v="1"/>
    <n v="-6614"/>
    <n v="18.108145106091719"/>
    <x v="1"/>
    <n v="1"/>
    <n v="0"/>
    <n v="0"/>
    <n v="0"/>
    <m/>
    <x v="0"/>
  </r>
  <r>
    <n v="5010954"/>
    <x v="1"/>
    <s v="Y"/>
    <s v="Y"/>
    <n v="0"/>
    <x v="21"/>
    <x v="1"/>
    <x v="1"/>
    <x v="1"/>
    <x v="0"/>
    <d v="1984-08-21T00:00:00"/>
    <n v="-14733"/>
    <x v="143"/>
    <x v="1"/>
    <n v="-1379"/>
    <n v="3.7754962354551678"/>
    <x v="1"/>
    <n v="1"/>
    <n v="0"/>
    <n v="0"/>
    <n v="0"/>
    <s v="Sales staff"/>
    <x v="1"/>
  </r>
  <r>
    <n v="5010958"/>
    <x v="1"/>
    <s v="Y"/>
    <s v="Y"/>
    <n v="0"/>
    <x v="21"/>
    <x v="1"/>
    <x v="1"/>
    <x v="1"/>
    <x v="0"/>
    <d v="1984-08-21T00:00:00"/>
    <n v="-14733"/>
    <x v="143"/>
    <x v="1"/>
    <n v="-1379"/>
    <n v="3.7754962354551678"/>
    <x v="1"/>
    <n v="1"/>
    <n v="0"/>
    <n v="0"/>
    <n v="0"/>
    <s v="Sales staff"/>
    <x v="1"/>
  </r>
  <r>
    <n v="5010960"/>
    <x v="1"/>
    <s v="Y"/>
    <s v="Y"/>
    <n v="0"/>
    <x v="11"/>
    <x v="2"/>
    <x v="1"/>
    <x v="1"/>
    <x v="0"/>
    <d v="1993-06-23T00:00:00"/>
    <n v="-11505"/>
    <x v="144"/>
    <x v="3"/>
    <n v="-1043"/>
    <n v="2.8555783709787819"/>
    <x v="1"/>
    <n v="1"/>
    <n v="0"/>
    <n v="0"/>
    <n v="1"/>
    <s v="Laborers"/>
    <x v="1"/>
  </r>
  <r>
    <n v="5010972"/>
    <x v="0"/>
    <s v="N"/>
    <s v="Y"/>
    <n v="1"/>
    <x v="1"/>
    <x v="1"/>
    <x v="1"/>
    <x v="1"/>
    <x v="0"/>
    <d v="1987-09-11T00:00:00"/>
    <n v="-13617"/>
    <x v="145"/>
    <x v="3"/>
    <n v="-2748"/>
    <n v="7.523613963039014"/>
    <x v="1"/>
    <n v="1"/>
    <n v="0"/>
    <n v="0"/>
    <n v="0"/>
    <s v="Waiters/barmen staff"/>
    <x v="3"/>
  </r>
  <r>
    <n v="5010989"/>
    <x v="0"/>
    <s v="N"/>
    <s v="Y"/>
    <n v="0"/>
    <x v="43"/>
    <x v="1"/>
    <x v="0"/>
    <x v="2"/>
    <x v="1"/>
    <d v="1994-07-15T00:00:00"/>
    <n v="-11118"/>
    <x v="146"/>
    <x v="3"/>
    <n v="-3873"/>
    <n v="10.603696098562628"/>
    <x v="1"/>
    <n v="1"/>
    <n v="1"/>
    <n v="0"/>
    <n v="0"/>
    <s v="Sales staff"/>
    <x v="0"/>
  </r>
  <r>
    <n v="5011002"/>
    <x v="0"/>
    <s v="Y"/>
    <s v="Y"/>
    <n v="0"/>
    <x v="5"/>
    <x v="2"/>
    <x v="1"/>
    <x v="1"/>
    <x v="0"/>
    <d v="1995-07-31T00:00:00"/>
    <n v="-10737"/>
    <x v="147"/>
    <x v="4"/>
    <n v="-2078"/>
    <n v="5.6892539356605063"/>
    <x v="1"/>
    <n v="1"/>
    <n v="0"/>
    <n v="0"/>
    <n v="1"/>
    <s v="Sales staff"/>
    <x v="1"/>
  </r>
  <r>
    <n v="5011010"/>
    <x v="0"/>
    <s v="Y"/>
    <s v="Y"/>
    <n v="0"/>
    <x v="5"/>
    <x v="2"/>
    <x v="1"/>
    <x v="1"/>
    <x v="0"/>
    <d v="1995-07-31T00:00:00"/>
    <n v="-10737"/>
    <x v="147"/>
    <x v="4"/>
    <n v="-2078"/>
    <n v="5.6892539356605063"/>
    <x v="1"/>
    <n v="1"/>
    <n v="0"/>
    <n v="0"/>
    <n v="1"/>
    <s v="Sales staff"/>
    <x v="1"/>
  </r>
  <r>
    <n v="5011012"/>
    <x v="0"/>
    <s v="Y"/>
    <s v="Y"/>
    <n v="0"/>
    <x v="1"/>
    <x v="2"/>
    <x v="1"/>
    <x v="1"/>
    <x v="0"/>
    <d v="1992-01-24T00:00:00"/>
    <n v="-12021"/>
    <x v="148"/>
    <x v="3"/>
    <n v="-130"/>
    <n v="0.35592060232717315"/>
    <x v="1"/>
    <n v="1"/>
    <n v="0"/>
    <n v="1"/>
    <n v="1"/>
    <s v="Sales staff"/>
    <x v="1"/>
  </r>
  <r>
    <n v="5011024"/>
    <x v="1"/>
    <s v="Y"/>
    <s v="Y"/>
    <n v="2"/>
    <x v="35"/>
    <x v="3"/>
    <x v="1"/>
    <x v="1"/>
    <x v="2"/>
    <d v="1979-08-23T00:00:00"/>
    <n v="-16558"/>
    <x v="149"/>
    <x v="1"/>
    <n v="-3235"/>
    <n v="8.856947296372347"/>
    <x v="1"/>
    <n v="1"/>
    <n v="0"/>
    <n v="0"/>
    <n v="0"/>
    <s v="Drivers"/>
    <x v="2"/>
  </r>
  <r>
    <n v="5011029"/>
    <x v="0"/>
    <s v="N"/>
    <s v="Y"/>
    <n v="0"/>
    <x v="19"/>
    <x v="2"/>
    <x v="1"/>
    <x v="3"/>
    <x v="0"/>
    <d v="1979-07-24T00:00:00"/>
    <n v="-16588"/>
    <x v="150"/>
    <x v="1"/>
    <n v="-1013"/>
    <n v="2.7734428473648185"/>
    <x v="1"/>
    <n v="1"/>
    <n v="0"/>
    <n v="0"/>
    <n v="1"/>
    <s v="Sales staff"/>
    <x v="1"/>
  </r>
  <r>
    <n v="5011036"/>
    <x v="0"/>
    <s v="N"/>
    <s v="Y"/>
    <n v="0"/>
    <x v="12"/>
    <x v="0"/>
    <x v="1"/>
    <x v="1"/>
    <x v="4"/>
    <d v="1969-05-27T00:00:00"/>
    <n v="-20298"/>
    <x v="151"/>
    <x v="2"/>
    <n v="365243"/>
    <n v="0"/>
    <x v="0"/>
    <n v="1"/>
    <n v="0"/>
    <n v="0"/>
    <n v="0"/>
    <m/>
    <x v="1"/>
  </r>
  <r>
    <n v="5011043"/>
    <x v="0"/>
    <s v="N"/>
    <s v="Y"/>
    <n v="0"/>
    <x v="12"/>
    <x v="0"/>
    <x v="1"/>
    <x v="1"/>
    <x v="4"/>
    <d v="1969-05-27T00:00:00"/>
    <n v="-20298"/>
    <x v="151"/>
    <x v="2"/>
    <n v="365243"/>
    <n v="0"/>
    <x v="0"/>
    <n v="1"/>
    <n v="0"/>
    <n v="0"/>
    <n v="0"/>
    <m/>
    <x v="1"/>
  </r>
  <r>
    <n v="5018414"/>
    <x v="0"/>
    <s v="N"/>
    <s v="Y"/>
    <n v="1"/>
    <x v="47"/>
    <x v="0"/>
    <x v="1"/>
    <x v="1"/>
    <x v="0"/>
    <d v="1962-08-06T00:00:00"/>
    <n v="-22784"/>
    <x v="152"/>
    <x v="0"/>
    <n v="365243"/>
    <n v="0"/>
    <x v="0"/>
    <n v="1"/>
    <n v="0"/>
    <n v="0"/>
    <n v="0"/>
    <m/>
    <x v="3"/>
  </r>
  <r>
    <n v="5018419"/>
    <x v="0"/>
    <s v="N"/>
    <s v="Y"/>
    <n v="0"/>
    <x v="1"/>
    <x v="1"/>
    <x v="1"/>
    <x v="1"/>
    <x v="0"/>
    <d v="1974-07-24T00:00:00"/>
    <n v="-18414"/>
    <x v="153"/>
    <x v="2"/>
    <n v="-5203"/>
    <n v="14.245037645448322"/>
    <x v="1"/>
    <n v="1"/>
    <n v="0"/>
    <n v="0"/>
    <n v="0"/>
    <s v="Sales staff"/>
    <x v="1"/>
  </r>
  <r>
    <n v="5018423"/>
    <x v="0"/>
    <s v="N"/>
    <s v="Y"/>
    <n v="0"/>
    <x v="11"/>
    <x v="1"/>
    <x v="1"/>
    <x v="1"/>
    <x v="4"/>
    <d v="1973-06-16T00:00:00"/>
    <n v="-18817"/>
    <x v="154"/>
    <x v="2"/>
    <n v="-1094"/>
    <n v="2.9952087611225187"/>
    <x v="1"/>
    <n v="1"/>
    <n v="0"/>
    <n v="0"/>
    <n v="0"/>
    <s v="Laborers"/>
    <x v="1"/>
  </r>
  <r>
    <n v="5018425"/>
    <x v="0"/>
    <s v="N"/>
    <s v="Y"/>
    <n v="0"/>
    <x v="11"/>
    <x v="1"/>
    <x v="1"/>
    <x v="1"/>
    <x v="4"/>
    <d v="1973-06-16T00:00:00"/>
    <n v="-18817"/>
    <x v="154"/>
    <x v="2"/>
    <n v="-1094"/>
    <n v="2.9952087611225187"/>
    <x v="1"/>
    <n v="1"/>
    <n v="0"/>
    <n v="0"/>
    <n v="0"/>
    <s v="Laborers"/>
    <x v="1"/>
  </r>
  <r>
    <n v="5018439"/>
    <x v="0"/>
    <s v="N"/>
    <s v="Y"/>
    <n v="0"/>
    <x v="11"/>
    <x v="2"/>
    <x v="1"/>
    <x v="4"/>
    <x v="0"/>
    <d v="1969-08-06T00:00:00"/>
    <n v="-20227"/>
    <x v="155"/>
    <x v="2"/>
    <n v="-5416"/>
    <n v="14.828199863107461"/>
    <x v="1"/>
    <n v="1"/>
    <n v="0"/>
    <n v="0"/>
    <n v="0"/>
    <s v="Core staff"/>
    <x v="0"/>
  </r>
  <r>
    <n v="5018450"/>
    <x v="0"/>
    <s v="N"/>
    <s v="Y"/>
    <n v="1"/>
    <x v="41"/>
    <x v="1"/>
    <x v="0"/>
    <x v="1"/>
    <x v="0"/>
    <d v="1981-08-07T00:00:00"/>
    <n v="-15843"/>
    <x v="156"/>
    <x v="1"/>
    <n v="-1398"/>
    <n v="3.8275154004106775"/>
    <x v="1"/>
    <n v="1"/>
    <n v="0"/>
    <n v="1"/>
    <n v="0"/>
    <s v="Sales staff"/>
    <x v="3"/>
  </r>
  <r>
    <n v="5018466"/>
    <x v="0"/>
    <s v="N"/>
    <s v="Y"/>
    <n v="1"/>
    <x v="6"/>
    <x v="2"/>
    <x v="1"/>
    <x v="1"/>
    <x v="0"/>
    <d v="1969-08-25T00:00:00"/>
    <n v="-20208"/>
    <x v="157"/>
    <x v="2"/>
    <n v="-8033"/>
    <n v="21.99315537303217"/>
    <x v="1"/>
    <n v="1"/>
    <n v="0"/>
    <n v="1"/>
    <n v="0"/>
    <m/>
    <x v="3"/>
  </r>
  <r>
    <n v="5018481"/>
    <x v="0"/>
    <s v="N"/>
    <s v="Y"/>
    <n v="0"/>
    <x v="30"/>
    <x v="0"/>
    <x v="3"/>
    <x v="1"/>
    <x v="0"/>
    <d v="1963-11-14T00:00:00"/>
    <n v="-22319"/>
    <x v="7"/>
    <x v="0"/>
    <n v="365243"/>
    <n v="0"/>
    <x v="0"/>
    <n v="1"/>
    <n v="0"/>
    <n v="1"/>
    <n v="0"/>
    <m/>
    <x v="1"/>
  </r>
  <r>
    <n v="5018482"/>
    <x v="0"/>
    <s v="N"/>
    <s v="Y"/>
    <n v="0"/>
    <x v="30"/>
    <x v="0"/>
    <x v="3"/>
    <x v="1"/>
    <x v="0"/>
    <d v="1963-11-14T00:00:00"/>
    <n v="-22319"/>
    <x v="7"/>
    <x v="0"/>
    <n v="365243"/>
    <n v="0"/>
    <x v="0"/>
    <n v="1"/>
    <n v="0"/>
    <n v="1"/>
    <n v="0"/>
    <m/>
    <x v="1"/>
  </r>
  <r>
    <n v="5018501"/>
    <x v="0"/>
    <s v="Y"/>
    <s v="Y"/>
    <n v="0"/>
    <x v="30"/>
    <x v="2"/>
    <x v="1"/>
    <x v="1"/>
    <x v="0"/>
    <d v="1973-02-03T00:00:00"/>
    <n v="-18950"/>
    <x v="158"/>
    <x v="2"/>
    <n v="-1002"/>
    <n v="2.7433264887063653"/>
    <x v="1"/>
    <n v="1"/>
    <n v="1"/>
    <n v="1"/>
    <n v="0"/>
    <s v="Cooking staff"/>
    <x v="1"/>
  </r>
  <r>
    <n v="5018502"/>
    <x v="0"/>
    <s v="Y"/>
    <s v="Y"/>
    <n v="0"/>
    <x v="30"/>
    <x v="2"/>
    <x v="1"/>
    <x v="1"/>
    <x v="0"/>
    <d v="1973-02-03T00:00:00"/>
    <n v="-18950"/>
    <x v="158"/>
    <x v="2"/>
    <n v="-1002"/>
    <n v="2.7433264887063653"/>
    <x v="1"/>
    <n v="1"/>
    <n v="1"/>
    <n v="1"/>
    <n v="0"/>
    <s v="Cooking staff"/>
    <x v="1"/>
  </r>
  <r>
    <n v="5021192"/>
    <x v="0"/>
    <s v="N"/>
    <s v="N"/>
    <n v="0"/>
    <x v="8"/>
    <x v="3"/>
    <x v="0"/>
    <x v="2"/>
    <x v="2"/>
    <d v="1996-03-07T00:00:00"/>
    <n v="-10517"/>
    <x v="159"/>
    <x v="4"/>
    <n v="-1801"/>
    <n v="4.9308692676249146"/>
    <x v="1"/>
    <n v="1"/>
    <n v="0"/>
    <n v="0"/>
    <n v="0"/>
    <s v="Core staff"/>
    <x v="0"/>
  </r>
  <r>
    <n v="5021196"/>
    <x v="0"/>
    <s v="Y"/>
    <s v="Y"/>
    <n v="0"/>
    <x v="41"/>
    <x v="1"/>
    <x v="1"/>
    <x v="3"/>
    <x v="0"/>
    <d v="1973-07-01T00:00:00"/>
    <n v="-18802"/>
    <x v="160"/>
    <x v="2"/>
    <n v="-913"/>
    <n v="2.4996577686516086"/>
    <x v="1"/>
    <n v="1"/>
    <n v="0"/>
    <n v="0"/>
    <n v="0"/>
    <m/>
    <x v="1"/>
  </r>
  <r>
    <n v="5021197"/>
    <x v="0"/>
    <s v="Y"/>
    <s v="Y"/>
    <n v="0"/>
    <x v="41"/>
    <x v="1"/>
    <x v="1"/>
    <x v="3"/>
    <x v="0"/>
    <d v="1973-07-01T00:00:00"/>
    <n v="-18802"/>
    <x v="160"/>
    <x v="2"/>
    <n v="-913"/>
    <n v="2.4996577686516086"/>
    <x v="1"/>
    <n v="1"/>
    <n v="0"/>
    <n v="0"/>
    <n v="0"/>
    <m/>
    <x v="1"/>
  </r>
  <r>
    <n v="5021204"/>
    <x v="0"/>
    <s v="Y"/>
    <s v="Y"/>
    <n v="0"/>
    <x v="41"/>
    <x v="1"/>
    <x v="1"/>
    <x v="3"/>
    <x v="0"/>
    <d v="1973-07-01T00:00:00"/>
    <n v="-18802"/>
    <x v="160"/>
    <x v="2"/>
    <n v="-913"/>
    <n v="2.4996577686516086"/>
    <x v="1"/>
    <n v="1"/>
    <n v="0"/>
    <n v="0"/>
    <n v="0"/>
    <m/>
    <x v="1"/>
  </r>
  <r>
    <n v="5021210"/>
    <x v="1"/>
    <s v="Y"/>
    <s v="Y"/>
    <n v="1"/>
    <x v="8"/>
    <x v="2"/>
    <x v="1"/>
    <x v="1"/>
    <x v="0"/>
    <d v="1987-09-07T00:00:00"/>
    <n v="-13621"/>
    <x v="161"/>
    <x v="3"/>
    <n v="-1127"/>
    <n v="3.0855578370978782"/>
    <x v="1"/>
    <n v="1"/>
    <n v="0"/>
    <n v="0"/>
    <n v="0"/>
    <s v="Drivers"/>
    <x v="3"/>
  </r>
  <r>
    <n v="5021214"/>
    <x v="1"/>
    <s v="Y"/>
    <s v="Y"/>
    <n v="1"/>
    <x v="8"/>
    <x v="3"/>
    <x v="0"/>
    <x v="1"/>
    <x v="0"/>
    <d v="1990-01-12T00:00:00"/>
    <n v="-12763"/>
    <x v="162"/>
    <x v="3"/>
    <n v="-2255"/>
    <n v="6.1738535249828885"/>
    <x v="1"/>
    <n v="1"/>
    <n v="0"/>
    <n v="1"/>
    <n v="0"/>
    <s v="Core staff"/>
    <x v="3"/>
  </r>
  <r>
    <n v="5021222"/>
    <x v="1"/>
    <s v="Y"/>
    <s v="N"/>
    <n v="0"/>
    <x v="48"/>
    <x v="2"/>
    <x v="0"/>
    <x v="2"/>
    <x v="0"/>
    <d v="1997-10-15T00:00:00"/>
    <n v="-9930"/>
    <x v="163"/>
    <x v="4"/>
    <n v="-674"/>
    <n v="1.8453114305270362"/>
    <x v="1"/>
    <n v="1"/>
    <n v="0"/>
    <n v="0"/>
    <n v="0"/>
    <s v="Laborers"/>
    <x v="0"/>
  </r>
  <r>
    <n v="5021231"/>
    <x v="0"/>
    <s v="N"/>
    <s v="Y"/>
    <n v="1"/>
    <x v="8"/>
    <x v="2"/>
    <x v="0"/>
    <x v="3"/>
    <x v="0"/>
    <d v="1995-12-11T00:00:00"/>
    <n v="-10604"/>
    <x v="164"/>
    <x v="4"/>
    <n v="-2374"/>
    <n v="6.4996577686516082"/>
    <x v="1"/>
    <n v="1"/>
    <n v="0"/>
    <n v="0"/>
    <n v="0"/>
    <s v="Sales staff"/>
    <x v="3"/>
  </r>
  <r>
    <n v="5021242"/>
    <x v="0"/>
    <s v="N"/>
    <s v="Y"/>
    <n v="0"/>
    <x v="1"/>
    <x v="0"/>
    <x v="0"/>
    <x v="1"/>
    <x v="0"/>
    <d v="1962-09-12T00:00:00"/>
    <n v="-22747"/>
    <x v="165"/>
    <x v="0"/>
    <n v="365243"/>
    <n v="0"/>
    <x v="0"/>
    <n v="1"/>
    <n v="0"/>
    <n v="0"/>
    <n v="0"/>
    <m/>
    <x v="1"/>
  </r>
  <r>
    <n v="5021260"/>
    <x v="0"/>
    <s v="N"/>
    <s v="Y"/>
    <n v="0"/>
    <x v="1"/>
    <x v="0"/>
    <x v="0"/>
    <x v="1"/>
    <x v="0"/>
    <d v="1962-09-12T00:00:00"/>
    <n v="-22747"/>
    <x v="165"/>
    <x v="0"/>
    <n v="365243"/>
    <n v="0"/>
    <x v="0"/>
    <n v="1"/>
    <n v="0"/>
    <n v="0"/>
    <n v="0"/>
    <m/>
    <x v="1"/>
  </r>
  <r>
    <n v="5021273"/>
    <x v="1"/>
    <s v="Y"/>
    <s v="Y"/>
    <n v="0"/>
    <x v="49"/>
    <x v="2"/>
    <x v="0"/>
    <x v="2"/>
    <x v="0"/>
    <d v="1986-04-17T00:00:00"/>
    <n v="-14129"/>
    <x v="166"/>
    <x v="3"/>
    <n v="-5758"/>
    <n v="15.764544832306639"/>
    <x v="1"/>
    <n v="1"/>
    <n v="0"/>
    <n v="0"/>
    <n v="0"/>
    <m/>
    <x v="0"/>
  </r>
  <r>
    <n v="5021276"/>
    <x v="1"/>
    <s v="Y"/>
    <s v="Y"/>
    <n v="0"/>
    <x v="49"/>
    <x v="2"/>
    <x v="0"/>
    <x v="2"/>
    <x v="0"/>
    <d v="1986-04-17T00:00:00"/>
    <n v="-14129"/>
    <x v="166"/>
    <x v="3"/>
    <n v="-5758"/>
    <n v="15.764544832306639"/>
    <x v="1"/>
    <n v="1"/>
    <n v="0"/>
    <n v="0"/>
    <n v="0"/>
    <m/>
    <x v="0"/>
  </r>
  <r>
    <n v="5021292"/>
    <x v="0"/>
    <s v="Y"/>
    <s v="Y"/>
    <n v="1"/>
    <x v="16"/>
    <x v="1"/>
    <x v="0"/>
    <x v="1"/>
    <x v="0"/>
    <d v="1992-05-23T00:00:00"/>
    <n v="-11901"/>
    <x v="167"/>
    <x v="3"/>
    <n v="-183"/>
    <n v="0.50102669404517453"/>
    <x v="1"/>
    <n v="1"/>
    <n v="0"/>
    <n v="0"/>
    <n v="1"/>
    <s v="Core staff"/>
    <x v="3"/>
  </r>
  <r>
    <n v="5021308"/>
    <x v="1"/>
    <s v="N"/>
    <s v="Y"/>
    <n v="0"/>
    <x v="18"/>
    <x v="2"/>
    <x v="1"/>
    <x v="1"/>
    <x v="0"/>
    <d v="1978-09-19T00:00:00"/>
    <n v="-16896"/>
    <x v="168"/>
    <x v="1"/>
    <n v="-248"/>
    <n v="0.67898699520876116"/>
    <x v="1"/>
    <n v="1"/>
    <n v="0"/>
    <n v="0"/>
    <n v="0"/>
    <s v="Laborers"/>
    <x v="1"/>
  </r>
  <r>
    <n v="5021347"/>
    <x v="0"/>
    <s v="N"/>
    <s v="N"/>
    <n v="0"/>
    <x v="37"/>
    <x v="2"/>
    <x v="1"/>
    <x v="1"/>
    <x v="4"/>
    <d v="1993-08-19T00:00:00"/>
    <n v="-11448"/>
    <x v="169"/>
    <x v="3"/>
    <n v="-1066"/>
    <n v="2.9185489390828199"/>
    <x v="1"/>
    <n v="1"/>
    <n v="1"/>
    <n v="1"/>
    <n v="0"/>
    <m/>
    <x v="1"/>
  </r>
  <r>
    <n v="5021349"/>
    <x v="0"/>
    <s v="N"/>
    <s v="N"/>
    <n v="0"/>
    <x v="37"/>
    <x v="2"/>
    <x v="1"/>
    <x v="1"/>
    <x v="4"/>
    <d v="1993-08-19T00:00:00"/>
    <n v="-11448"/>
    <x v="169"/>
    <x v="3"/>
    <n v="-1066"/>
    <n v="2.9185489390828199"/>
    <x v="1"/>
    <n v="1"/>
    <n v="1"/>
    <n v="1"/>
    <n v="0"/>
    <m/>
    <x v="1"/>
  </r>
  <r>
    <n v="5021365"/>
    <x v="1"/>
    <s v="N"/>
    <s v="Y"/>
    <n v="0"/>
    <x v="18"/>
    <x v="1"/>
    <x v="1"/>
    <x v="1"/>
    <x v="0"/>
    <d v="1974-06-14T00:00:00"/>
    <n v="-18454"/>
    <x v="170"/>
    <x v="2"/>
    <n v="-7518"/>
    <n v="20.583162217659137"/>
    <x v="1"/>
    <n v="1"/>
    <n v="0"/>
    <n v="0"/>
    <n v="0"/>
    <s v="Drivers"/>
    <x v="1"/>
  </r>
  <r>
    <n v="5021375"/>
    <x v="0"/>
    <s v="N"/>
    <s v="Y"/>
    <n v="0"/>
    <x v="39"/>
    <x v="2"/>
    <x v="0"/>
    <x v="1"/>
    <x v="0"/>
    <d v="1964-06-20T00:00:00"/>
    <n v="-22100"/>
    <x v="171"/>
    <x v="0"/>
    <n v="-578"/>
    <n v="1.5824777549623545"/>
    <x v="1"/>
    <n v="1"/>
    <n v="0"/>
    <n v="0"/>
    <n v="1"/>
    <s v="Managers"/>
    <x v="1"/>
  </r>
  <r>
    <n v="5021398"/>
    <x v="0"/>
    <s v="N"/>
    <s v="Y"/>
    <n v="0"/>
    <x v="50"/>
    <x v="0"/>
    <x v="2"/>
    <x v="4"/>
    <x v="0"/>
    <d v="1965-03-02T00:00:00"/>
    <n v="-21845"/>
    <x v="172"/>
    <x v="2"/>
    <n v="365243"/>
    <n v="0"/>
    <x v="0"/>
    <n v="1"/>
    <n v="0"/>
    <n v="0"/>
    <n v="0"/>
    <m/>
    <x v="0"/>
  </r>
  <r>
    <n v="5021415"/>
    <x v="0"/>
    <s v="N"/>
    <s v="Y"/>
    <n v="0"/>
    <x v="18"/>
    <x v="2"/>
    <x v="1"/>
    <x v="1"/>
    <x v="0"/>
    <d v="1970-01-14T00:00:00"/>
    <n v="-20066"/>
    <x v="173"/>
    <x v="2"/>
    <n v="-3988"/>
    <n v="10.91854893908282"/>
    <x v="1"/>
    <n v="1"/>
    <n v="1"/>
    <n v="1"/>
    <n v="0"/>
    <s v="Private service staff"/>
    <x v="1"/>
  </r>
  <r>
    <n v="5021442"/>
    <x v="1"/>
    <s v="N"/>
    <s v="Y"/>
    <n v="1"/>
    <x v="1"/>
    <x v="2"/>
    <x v="1"/>
    <x v="1"/>
    <x v="0"/>
    <d v="1998-11-02T00:00:00"/>
    <n v="-9547"/>
    <x v="174"/>
    <x v="4"/>
    <n v="-1340"/>
    <n v="3.6687200547570158"/>
    <x v="1"/>
    <n v="1"/>
    <n v="0"/>
    <n v="0"/>
    <n v="0"/>
    <s v="Drivers"/>
    <x v="3"/>
  </r>
  <r>
    <n v="5021443"/>
    <x v="1"/>
    <s v="N"/>
    <s v="Y"/>
    <n v="1"/>
    <x v="1"/>
    <x v="2"/>
    <x v="1"/>
    <x v="1"/>
    <x v="0"/>
    <d v="1998-11-02T00:00:00"/>
    <n v="-9547"/>
    <x v="174"/>
    <x v="4"/>
    <n v="-1340"/>
    <n v="3.6687200547570158"/>
    <x v="1"/>
    <n v="1"/>
    <n v="0"/>
    <n v="0"/>
    <n v="0"/>
    <s v="Drivers"/>
    <x v="3"/>
  </r>
  <r>
    <n v="5021452"/>
    <x v="0"/>
    <s v="N"/>
    <s v="Y"/>
    <n v="0"/>
    <x v="11"/>
    <x v="0"/>
    <x v="0"/>
    <x v="1"/>
    <x v="0"/>
    <d v="1967-01-28T00:00:00"/>
    <n v="-21148"/>
    <x v="175"/>
    <x v="2"/>
    <n v="365243"/>
    <n v="0"/>
    <x v="0"/>
    <n v="1"/>
    <n v="0"/>
    <n v="1"/>
    <n v="0"/>
    <m/>
    <x v="1"/>
  </r>
  <r>
    <n v="5021457"/>
    <x v="0"/>
    <s v="N"/>
    <s v="Y"/>
    <n v="0"/>
    <x v="51"/>
    <x v="2"/>
    <x v="1"/>
    <x v="1"/>
    <x v="0"/>
    <d v="1972-11-05T00:00:00"/>
    <n v="-19040"/>
    <x v="176"/>
    <x v="2"/>
    <n v="-1070"/>
    <n v="2.9295003422313486"/>
    <x v="1"/>
    <n v="1"/>
    <n v="1"/>
    <n v="1"/>
    <n v="0"/>
    <s v="Sales staff"/>
    <x v="1"/>
  </r>
  <r>
    <n v="5021481"/>
    <x v="0"/>
    <s v="N"/>
    <s v="Y"/>
    <n v="0"/>
    <x v="1"/>
    <x v="2"/>
    <x v="1"/>
    <x v="1"/>
    <x v="0"/>
    <d v="1992-05-19T00:00:00"/>
    <n v="-11905"/>
    <x v="177"/>
    <x v="3"/>
    <n v="-2470"/>
    <n v="6.7624914442162902"/>
    <x v="1"/>
    <n v="1"/>
    <n v="0"/>
    <n v="1"/>
    <n v="1"/>
    <s v="Cooking staff"/>
    <x v="1"/>
  </r>
  <r>
    <n v="5021487"/>
    <x v="1"/>
    <s v="Y"/>
    <s v="Y"/>
    <n v="0"/>
    <x v="1"/>
    <x v="1"/>
    <x v="1"/>
    <x v="3"/>
    <x v="2"/>
    <d v="1995-10-11T00:00:00"/>
    <n v="-10665"/>
    <x v="178"/>
    <x v="4"/>
    <n v="-1493"/>
    <n v="4.0876112251882271"/>
    <x v="1"/>
    <n v="1"/>
    <n v="0"/>
    <n v="0"/>
    <n v="0"/>
    <s v="Laborers"/>
    <x v="1"/>
  </r>
  <r>
    <n v="5021491"/>
    <x v="1"/>
    <s v="N"/>
    <s v="Y"/>
    <n v="0"/>
    <x v="1"/>
    <x v="2"/>
    <x v="1"/>
    <x v="2"/>
    <x v="0"/>
    <d v="1995-09-24T00:00:00"/>
    <n v="-10682"/>
    <x v="179"/>
    <x v="4"/>
    <n v="-609"/>
    <n v="1.6673511293634498"/>
    <x v="1"/>
    <n v="1"/>
    <n v="0"/>
    <n v="1"/>
    <n v="0"/>
    <s v="Sales staff"/>
    <x v="0"/>
  </r>
  <r>
    <n v="5021498"/>
    <x v="0"/>
    <s v="N"/>
    <s v="Y"/>
    <n v="1"/>
    <x v="5"/>
    <x v="2"/>
    <x v="1"/>
    <x v="1"/>
    <x v="0"/>
    <d v="1983-08-24T00:00:00"/>
    <n v="-15096"/>
    <x v="180"/>
    <x v="1"/>
    <n v="-2862"/>
    <n v="7.8357289527720742"/>
    <x v="1"/>
    <n v="1"/>
    <n v="0"/>
    <n v="0"/>
    <n v="0"/>
    <m/>
    <x v="3"/>
  </r>
  <r>
    <n v="5021508"/>
    <x v="0"/>
    <s v="N"/>
    <s v="Y"/>
    <n v="0"/>
    <x v="23"/>
    <x v="3"/>
    <x v="1"/>
    <x v="1"/>
    <x v="0"/>
    <d v="1975-04-28T00:00:00"/>
    <n v="-18136"/>
    <x v="181"/>
    <x v="1"/>
    <n v="-10110"/>
    <n v="27.679671457905545"/>
    <x v="1"/>
    <n v="1"/>
    <n v="0"/>
    <n v="1"/>
    <n v="0"/>
    <s v="High skill tech staff"/>
    <x v="1"/>
  </r>
  <r>
    <n v="5021515"/>
    <x v="0"/>
    <s v="N"/>
    <s v="Y"/>
    <n v="0"/>
    <x v="23"/>
    <x v="3"/>
    <x v="1"/>
    <x v="1"/>
    <x v="0"/>
    <d v="1975-04-28T00:00:00"/>
    <n v="-18136"/>
    <x v="181"/>
    <x v="1"/>
    <n v="-10110"/>
    <n v="27.679671457905545"/>
    <x v="1"/>
    <n v="1"/>
    <n v="0"/>
    <n v="1"/>
    <n v="0"/>
    <s v="High skill tech staff"/>
    <x v="1"/>
  </r>
  <r>
    <n v="5021544"/>
    <x v="0"/>
    <s v="N"/>
    <s v="Y"/>
    <n v="0"/>
    <x v="11"/>
    <x v="1"/>
    <x v="1"/>
    <x v="1"/>
    <x v="0"/>
    <d v="1967-11-02T00:00:00"/>
    <n v="-20870"/>
    <x v="182"/>
    <x v="2"/>
    <n v="-1583"/>
    <n v="4.3340177960301167"/>
    <x v="1"/>
    <n v="1"/>
    <n v="0"/>
    <n v="0"/>
    <n v="0"/>
    <s v="Medicine staff"/>
    <x v="1"/>
  </r>
  <r>
    <n v="5021552"/>
    <x v="0"/>
    <s v="N"/>
    <s v="Y"/>
    <n v="0"/>
    <x v="11"/>
    <x v="1"/>
    <x v="1"/>
    <x v="1"/>
    <x v="0"/>
    <d v="1967-11-02T00:00:00"/>
    <n v="-20870"/>
    <x v="182"/>
    <x v="2"/>
    <n v="-1583"/>
    <n v="4.3340177960301167"/>
    <x v="1"/>
    <n v="1"/>
    <n v="0"/>
    <n v="0"/>
    <n v="0"/>
    <s v="Medicine staff"/>
    <x v="1"/>
  </r>
  <r>
    <n v="5021558"/>
    <x v="1"/>
    <s v="N"/>
    <s v="Y"/>
    <n v="0"/>
    <x v="1"/>
    <x v="2"/>
    <x v="1"/>
    <x v="1"/>
    <x v="0"/>
    <d v="1975-03-07T00:00:00"/>
    <n v="-18188"/>
    <x v="183"/>
    <x v="1"/>
    <n v="-578"/>
    <n v="1.5824777549623545"/>
    <x v="1"/>
    <n v="1"/>
    <n v="0"/>
    <n v="0"/>
    <n v="0"/>
    <s v="Drivers"/>
    <x v="1"/>
  </r>
  <r>
    <n v="5021559"/>
    <x v="1"/>
    <s v="Y"/>
    <s v="Y"/>
    <n v="0"/>
    <x v="14"/>
    <x v="2"/>
    <x v="2"/>
    <x v="1"/>
    <x v="0"/>
    <d v="1997-11-08T00:00:00"/>
    <n v="-9906"/>
    <x v="184"/>
    <x v="4"/>
    <n v="-122"/>
    <n v="0.33401779603011633"/>
    <x v="1"/>
    <n v="1"/>
    <n v="1"/>
    <n v="1"/>
    <n v="0"/>
    <s v="Sales staff"/>
    <x v="1"/>
  </r>
  <r>
    <n v="5021573"/>
    <x v="1"/>
    <s v="N"/>
    <s v="N"/>
    <n v="0"/>
    <x v="18"/>
    <x v="3"/>
    <x v="2"/>
    <x v="1"/>
    <x v="0"/>
    <d v="1998-03-07T00:00:00"/>
    <n v="-9787"/>
    <x v="185"/>
    <x v="4"/>
    <n v="-1674"/>
    <n v="4.5831622176591376"/>
    <x v="1"/>
    <n v="1"/>
    <n v="0"/>
    <n v="0"/>
    <n v="0"/>
    <m/>
    <x v="1"/>
  </r>
  <r>
    <n v="5021589"/>
    <x v="0"/>
    <s v="Y"/>
    <s v="Y"/>
    <n v="0"/>
    <x v="39"/>
    <x v="2"/>
    <x v="2"/>
    <x v="0"/>
    <x v="0"/>
    <d v="1971-02-12T00:00:00"/>
    <n v="-19672"/>
    <x v="186"/>
    <x v="2"/>
    <n v="-1375"/>
    <n v="3.7645448323066395"/>
    <x v="1"/>
    <n v="1"/>
    <n v="1"/>
    <n v="0"/>
    <n v="0"/>
    <s v="Accountants"/>
    <x v="0"/>
  </r>
  <r>
    <n v="5021612"/>
    <x v="0"/>
    <s v="Y"/>
    <s v="Y"/>
    <n v="0"/>
    <x v="14"/>
    <x v="0"/>
    <x v="0"/>
    <x v="1"/>
    <x v="0"/>
    <d v="1966-09-29T00:00:00"/>
    <n v="-21269"/>
    <x v="91"/>
    <x v="2"/>
    <n v="365243"/>
    <n v="0"/>
    <x v="0"/>
    <n v="1"/>
    <n v="0"/>
    <n v="1"/>
    <n v="0"/>
    <m/>
    <x v="1"/>
  </r>
  <r>
    <n v="5021620"/>
    <x v="0"/>
    <s v="Y"/>
    <s v="Y"/>
    <n v="3"/>
    <x v="3"/>
    <x v="2"/>
    <x v="0"/>
    <x v="1"/>
    <x v="0"/>
    <d v="1983-11-25T00:00:00"/>
    <n v="-15003"/>
    <x v="187"/>
    <x v="1"/>
    <n v="-122"/>
    <n v="0.33401779603011633"/>
    <x v="1"/>
    <n v="1"/>
    <n v="0"/>
    <n v="0"/>
    <n v="0"/>
    <s v="Managers"/>
    <x v="4"/>
  </r>
  <r>
    <n v="5021646"/>
    <x v="0"/>
    <s v="N"/>
    <s v="Y"/>
    <n v="0"/>
    <x v="19"/>
    <x v="2"/>
    <x v="0"/>
    <x v="3"/>
    <x v="0"/>
    <d v="1990-08-09T00:00:00"/>
    <n v="-12554"/>
    <x v="188"/>
    <x v="3"/>
    <n v="-5326"/>
    <n v="14.581793292265571"/>
    <x v="1"/>
    <n v="1"/>
    <n v="0"/>
    <n v="0"/>
    <n v="1"/>
    <s v="Managers"/>
    <x v="1"/>
  </r>
  <r>
    <n v="5021662"/>
    <x v="1"/>
    <s v="N"/>
    <s v="Y"/>
    <n v="1"/>
    <x v="8"/>
    <x v="2"/>
    <x v="1"/>
    <x v="1"/>
    <x v="0"/>
    <d v="1987-03-24T00:00:00"/>
    <n v="-13788"/>
    <x v="189"/>
    <x v="3"/>
    <n v="-640"/>
    <n v="1.7522245037645447"/>
    <x v="1"/>
    <n v="1"/>
    <n v="1"/>
    <n v="0"/>
    <n v="0"/>
    <s v="Laborers"/>
    <x v="3"/>
  </r>
  <r>
    <n v="5021673"/>
    <x v="1"/>
    <s v="N"/>
    <s v="Y"/>
    <n v="1"/>
    <x v="8"/>
    <x v="2"/>
    <x v="1"/>
    <x v="1"/>
    <x v="0"/>
    <d v="1987-03-24T00:00:00"/>
    <n v="-13788"/>
    <x v="189"/>
    <x v="3"/>
    <n v="-640"/>
    <n v="1.7522245037645447"/>
    <x v="1"/>
    <n v="1"/>
    <n v="1"/>
    <n v="0"/>
    <n v="0"/>
    <s v="Laborers"/>
    <x v="3"/>
  </r>
  <r>
    <n v="5021674"/>
    <x v="1"/>
    <s v="N"/>
    <s v="Y"/>
    <n v="1"/>
    <x v="8"/>
    <x v="2"/>
    <x v="1"/>
    <x v="1"/>
    <x v="0"/>
    <d v="1987-03-24T00:00:00"/>
    <n v="-13788"/>
    <x v="189"/>
    <x v="3"/>
    <n v="-640"/>
    <n v="1.7522245037645447"/>
    <x v="1"/>
    <n v="1"/>
    <n v="1"/>
    <n v="0"/>
    <n v="0"/>
    <s v="Laborers"/>
    <x v="3"/>
  </r>
  <r>
    <n v="5021684"/>
    <x v="1"/>
    <s v="N"/>
    <s v="Y"/>
    <n v="0"/>
    <x v="11"/>
    <x v="1"/>
    <x v="1"/>
    <x v="0"/>
    <x v="0"/>
    <d v="1973-08-27T00:00:00"/>
    <n v="-18745"/>
    <x v="190"/>
    <x v="2"/>
    <n v="-3653"/>
    <n v="10.001368925393566"/>
    <x v="1"/>
    <n v="1"/>
    <n v="0"/>
    <n v="0"/>
    <n v="0"/>
    <s v="Cleaning staff"/>
    <x v="0"/>
  </r>
  <r>
    <n v="5021691"/>
    <x v="1"/>
    <s v="Y"/>
    <s v="Y"/>
    <n v="1"/>
    <x v="8"/>
    <x v="2"/>
    <x v="2"/>
    <x v="1"/>
    <x v="0"/>
    <d v="1988-10-27T00:00:00"/>
    <n v="-13205"/>
    <x v="191"/>
    <x v="3"/>
    <n v="-248"/>
    <n v="0.67898699520876116"/>
    <x v="1"/>
    <n v="1"/>
    <n v="0"/>
    <n v="0"/>
    <n v="0"/>
    <s v="Managers"/>
    <x v="3"/>
  </r>
  <r>
    <n v="5021699"/>
    <x v="0"/>
    <s v="N"/>
    <s v="Y"/>
    <n v="1"/>
    <x v="16"/>
    <x v="1"/>
    <x v="1"/>
    <x v="0"/>
    <x v="0"/>
    <d v="1974-04-09T00:00:00"/>
    <n v="-18520"/>
    <x v="192"/>
    <x v="2"/>
    <n v="-2101"/>
    <n v="5.7522245037645447"/>
    <x v="1"/>
    <n v="1"/>
    <n v="0"/>
    <n v="1"/>
    <n v="1"/>
    <s v="Core staff"/>
    <x v="1"/>
  </r>
  <r>
    <n v="5021725"/>
    <x v="0"/>
    <s v="Y"/>
    <s v="Y"/>
    <n v="1"/>
    <x v="52"/>
    <x v="2"/>
    <x v="1"/>
    <x v="1"/>
    <x v="0"/>
    <d v="1976-05-13T00:00:00"/>
    <n v="-17755"/>
    <x v="193"/>
    <x v="1"/>
    <n v="-401"/>
    <n v="1.0978781656399725"/>
    <x v="1"/>
    <n v="1"/>
    <n v="0"/>
    <n v="0"/>
    <n v="0"/>
    <m/>
    <x v="3"/>
  </r>
  <r>
    <n v="5021738"/>
    <x v="0"/>
    <s v="N"/>
    <s v="Y"/>
    <n v="0"/>
    <x v="50"/>
    <x v="0"/>
    <x v="1"/>
    <x v="4"/>
    <x v="0"/>
    <d v="1967-11-14T00:00:00"/>
    <n v="-20858"/>
    <x v="194"/>
    <x v="2"/>
    <n v="365243"/>
    <n v="0"/>
    <x v="0"/>
    <n v="1"/>
    <n v="0"/>
    <n v="0"/>
    <n v="0"/>
    <m/>
    <x v="0"/>
  </r>
  <r>
    <n v="5021744"/>
    <x v="0"/>
    <s v="N"/>
    <s v="Y"/>
    <n v="1"/>
    <x v="2"/>
    <x v="2"/>
    <x v="1"/>
    <x v="1"/>
    <x v="0"/>
    <d v="1996-06-26T00:00:00"/>
    <n v="-10406"/>
    <x v="195"/>
    <x v="4"/>
    <n v="-2774"/>
    <n v="7.5947980835044486"/>
    <x v="1"/>
    <n v="1"/>
    <n v="0"/>
    <n v="0"/>
    <n v="1"/>
    <s v="Core staff"/>
    <x v="3"/>
  </r>
  <r>
    <n v="5021746"/>
    <x v="0"/>
    <s v="N"/>
    <s v="Y"/>
    <n v="1"/>
    <x v="2"/>
    <x v="2"/>
    <x v="1"/>
    <x v="1"/>
    <x v="0"/>
    <d v="1996-06-26T00:00:00"/>
    <n v="-10406"/>
    <x v="195"/>
    <x v="4"/>
    <n v="-2774"/>
    <n v="7.5947980835044486"/>
    <x v="1"/>
    <n v="1"/>
    <n v="0"/>
    <n v="0"/>
    <n v="1"/>
    <s v="Core staff"/>
    <x v="3"/>
  </r>
  <r>
    <n v="5021749"/>
    <x v="0"/>
    <s v="N"/>
    <s v="Y"/>
    <n v="1"/>
    <x v="2"/>
    <x v="2"/>
    <x v="1"/>
    <x v="1"/>
    <x v="0"/>
    <d v="1996-06-26T00:00:00"/>
    <n v="-10406"/>
    <x v="195"/>
    <x v="4"/>
    <n v="-2774"/>
    <n v="7.5947980835044486"/>
    <x v="1"/>
    <n v="1"/>
    <n v="0"/>
    <n v="0"/>
    <n v="1"/>
    <s v="Core staff"/>
    <x v="3"/>
  </r>
  <r>
    <n v="5021792"/>
    <x v="0"/>
    <s v="Y"/>
    <s v="Y"/>
    <n v="2"/>
    <x v="5"/>
    <x v="2"/>
    <x v="1"/>
    <x v="1"/>
    <x v="0"/>
    <d v="1983-11-07T00:00:00"/>
    <n v="-15021"/>
    <x v="196"/>
    <x v="1"/>
    <n v="-6879"/>
    <n v="18.833675564681723"/>
    <x v="1"/>
    <n v="1"/>
    <n v="0"/>
    <n v="0"/>
    <n v="0"/>
    <s v="High skill tech staff"/>
    <x v="2"/>
  </r>
  <r>
    <n v="5021794"/>
    <x v="0"/>
    <s v="N"/>
    <s v="Y"/>
    <n v="0"/>
    <x v="8"/>
    <x v="1"/>
    <x v="1"/>
    <x v="1"/>
    <x v="0"/>
    <d v="1991-03-26T00:00:00"/>
    <n v="-12325"/>
    <x v="197"/>
    <x v="3"/>
    <n v="-187"/>
    <n v="0.51197809719370291"/>
    <x v="1"/>
    <n v="1"/>
    <n v="0"/>
    <n v="0"/>
    <n v="0"/>
    <s v="Core staff"/>
    <x v="1"/>
  </r>
  <r>
    <n v="5021797"/>
    <x v="0"/>
    <s v="N"/>
    <s v="Y"/>
    <n v="0"/>
    <x v="8"/>
    <x v="1"/>
    <x v="1"/>
    <x v="1"/>
    <x v="0"/>
    <d v="1991-03-26T00:00:00"/>
    <n v="-12325"/>
    <x v="197"/>
    <x v="3"/>
    <n v="-187"/>
    <n v="0.51197809719370291"/>
    <x v="1"/>
    <n v="1"/>
    <n v="0"/>
    <n v="0"/>
    <n v="0"/>
    <s v="Core staff"/>
    <x v="1"/>
  </r>
  <r>
    <n v="5021798"/>
    <x v="0"/>
    <s v="N"/>
    <s v="Y"/>
    <n v="0"/>
    <x v="8"/>
    <x v="1"/>
    <x v="1"/>
    <x v="1"/>
    <x v="0"/>
    <d v="1991-03-26T00:00:00"/>
    <n v="-12325"/>
    <x v="197"/>
    <x v="3"/>
    <n v="-187"/>
    <n v="0.51197809719370291"/>
    <x v="1"/>
    <n v="1"/>
    <n v="0"/>
    <n v="0"/>
    <n v="0"/>
    <s v="Core staff"/>
    <x v="1"/>
  </r>
  <r>
    <n v="5021799"/>
    <x v="0"/>
    <s v="N"/>
    <s v="Y"/>
    <n v="0"/>
    <x v="8"/>
    <x v="1"/>
    <x v="1"/>
    <x v="1"/>
    <x v="0"/>
    <d v="1991-03-26T00:00:00"/>
    <n v="-12325"/>
    <x v="197"/>
    <x v="3"/>
    <n v="-187"/>
    <n v="0.51197809719370291"/>
    <x v="1"/>
    <n v="1"/>
    <n v="0"/>
    <n v="0"/>
    <n v="0"/>
    <s v="Core staff"/>
    <x v="1"/>
  </r>
  <r>
    <n v="5021802"/>
    <x v="0"/>
    <s v="N"/>
    <s v="Y"/>
    <n v="0"/>
    <x v="8"/>
    <x v="1"/>
    <x v="1"/>
    <x v="1"/>
    <x v="0"/>
    <d v="1991-03-26T00:00:00"/>
    <n v="-12325"/>
    <x v="197"/>
    <x v="3"/>
    <n v="-187"/>
    <n v="0.51197809719370291"/>
    <x v="1"/>
    <n v="1"/>
    <n v="0"/>
    <n v="0"/>
    <n v="0"/>
    <s v="Core staff"/>
    <x v="1"/>
  </r>
  <r>
    <n v="5021808"/>
    <x v="1"/>
    <s v="N"/>
    <s v="Y"/>
    <n v="0"/>
    <x v="5"/>
    <x v="2"/>
    <x v="1"/>
    <x v="2"/>
    <x v="0"/>
    <d v="1994-11-01T00:00:00"/>
    <n v="-11009"/>
    <x v="198"/>
    <x v="3"/>
    <n v="-366"/>
    <n v="1.0020533880903491"/>
    <x v="1"/>
    <n v="1"/>
    <n v="0"/>
    <n v="0"/>
    <n v="0"/>
    <s v="Laborers"/>
    <x v="0"/>
  </r>
  <r>
    <n v="5021815"/>
    <x v="0"/>
    <s v="Y"/>
    <s v="Y"/>
    <n v="1"/>
    <x v="37"/>
    <x v="2"/>
    <x v="1"/>
    <x v="1"/>
    <x v="0"/>
    <d v="1993-08-13T00:00:00"/>
    <n v="-11454"/>
    <x v="199"/>
    <x v="3"/>
    <n v="-1678"/>
    <n v="4.5941136208076658"/>
    <x v="1"/>
    <n v="1"/>
    <n v="0"/>
    <n v="1"/>
    <n v="1"/>
    <s v="Cooking staff"/>
    <x v="3"/>
  </r>
  <r>
    <n v="5021818"/>
    <x v="0"/>
    <s v="Y"/>
    <s v="Y"/>
    <n v="1"/>
    <x v="37"/>
    <x v="2"/>
    <x v="1"/>
    <x v="1"/>
    <x v="0"/>
    <d v="1993-08-13T00:00:00"/>
    <n v="-11454"/>
    <x v="199"/>
    <x v="3"/>
    <n v="-1678"/>
    <n v="4.5941136208076658"/>
    <x v="1"/>
    <n v="1"/>
    <n v="0"/>
    <n v="1"/>
    <n v="1"/>
    <s v="Cooking staff"/>
    <x v="3"/>
  </r>
  <r>
    <n v="5021829"/>
    <x v="0"/>
    <s v="N"/>
    <s v="Y"/>
    <n v="0"/>
    <x v="6"/>
    <x v="2"/>
    <x v="2"/>
    <x v="1"/>
    <x v="0"/>
    <d v="1988-12-15T00:00:00"/>
    <n v="-13156"/>
    <x v="200"/>
    <x v="3"/>
    <n v="-1917"/>
    <n v="5.248459958932238"/>
    <x v="1"/>
    <n v="1"/>
    <n v="0"/>
    <n v="0"/>
    <n v="0"/>
    <s v="Laborers"/>
    <x v="1"/>
  </r>
  <r>
    <n v="5021841"/>
    <x v="0"/>
    <s v="N"/>
    <s v="Y"/>
    <n v="0"/>
    <x v="5"/>
    <x v="0"/>
    <x v="1"/>
    <x v="1"/>
    <x v="0"/>
    <d v="1969-03-27T00:00:00"/>
    <n v="-20359"/>
    <x v="201"/>
    <x v="2"/>
    <n v="365243"/>
    <n v="0"/>
    <x v="0"/>
    <n v="1"/>
    <n v="0"/>
    <n v="0"/>
    <n v="1"/>
    <m/>
    <x v="1"/>
  </r>
  <r>
    <n v="5021844"/>
    <x v="0"/>
    <s v="N"/>
    <s v="Y"/>
    <n v="1"/>
    <x v="30"/>
    <x v="2"/>
    <x v="1"/>
    <x v="3"/>
    <x v="0"/>
    <d v="2000-05-09T00:00:00"/>
    <n v="-8993"/>
    <x v="202"/>
    <x v="4"/>
    <n v="-152"/>
    <n v="0.41615331964407942"/>
    <x v="1"/>
    <n v="1"/>
    <n v="1"/>
    <n v="0"/>
    <n v="0"/>
    <s v="Medicine staff"/>
    <x v="3"/>
  </r>
  <r>
    <n v="5021872"/>
    <x v="0"/>
    <s v="Y"/>
    <s v="Y"/>
    <n v="1"/>
    <x v="12"/>
    <x v="3"/>
    <x v="0"/>
    <x v="4"/>
    <x v="0"/>
    <d v="1975-01-21T00:00:00"/>
    <n v="-18233"/>
    <x v="203"/>
    <x v="1"/>
    <n v="-425"/>
    <n v="1.1635865845311431"/>
    <x v="1"/>
    <n v="1"/>
    <n v="0"/>
    <n v="1"/>
    <n v="1"/>
    <m/>
    <x v="1"/>
  </r>
  <r>
    <n v="5021887"/>
    <x v="0"/>
    <s v="Y"/>
    <s v="Y"/>
    <n v="0"/>
    <x v="1"/>
    <x v="1"/>
    <x v="0"/>
    <x v="1"/>
    <x v="0"/>
    <d v="1978-07-28T00:00:00"/>
    <n v="-16949"/>
    <x v="204"/>
    <x v="1"/>
    <n v="-1371"/>
    <n v="3.7535934291581108"/>
    <x v="1"/>
    <n v="1"/>
    <n v="0"/>
    <n v="0"/>
    <n v="0"/>
    <s v="Managers"/>
    <x v="1"/>
  </r>
  <r>
    <n v="5021895"/>
    <x v="0"/>
    <s v="N"/>
    <s v="Y"/>
    <n v="0"/>
    <x v="53"/>
    <x v="0"/>
    <x v="1"/>
    <x v="3"/>
    <x v="0"/>
    <d v="1967-08-24T00:00:00"/>
    <n v="-20940"/>
    <x v="205"/>
    <x v="2"/>
    <n v="365243"/>
    <n v="0"/>
    <x v="0"/>
    <n v="1"/>
    <n v="0"/>
    <n v="0"/>
    <n v="0"/>
    <m/>
    <x v="1"/>
  </r>
  <r>
    <n v="5021906"/>
    <x v="1"/>
    <s v="Y"/>
    <s v="Y"/>
    <n v="0"/>
    <x v="8"/>
    <x v="2"/>
    <x v="1"/>
    <x v="1"/>
    <x v="0"/>
    <d v="1996-09-12T00:00:00"/>
    <n v="-10328"/>
    <x v="206"/>
    <x v="4"/>
    <n v="-1156"/>
    <n v="3.1649555099247091"/>
    <x v="1"/>
    <n v="1"/>
    <n v="0"/>
    <n v="0"/>
    <n v="0"/>
    <s v="Laborers"/>
    <x v="1"/>
  </r>
  <r>
    <n v="5021937"/>
    <x v="0"/>
    <s v="N"/>
    <s v="Y"/>
    <n v="0"/>
    <x v="37"/>
    <x v="0"/>
    <x v="0"/>
    <x v="1"/>
    <x v="0"/>
    <d v="1964-02-29T00:00:00"/>
    <n v="-22212"/>
    <x v="207"/>
    <x v="0"/>
    <n v="365243"/>
    <n v="0"/>
    <x v="0"/>
    <n v="1"/>
    <n v="0"/>
    <n v="0"/>
    <n v="0"/>
    <m/>
    <x v="1"/>
  </r>
  <r>
    <n v="5021948"/>
    <x v="0"/>
    <s v="Y"/>
    <s v="Y"/>
    <n v="0"/>
    <x v="54"/>
    <x v="1"/>
    <x v="0"/>
    <x v="1"/>
    <x v="0"/>
    <d v="1990-10-25T00:00:00"/>
    <n v="-12477"/>
    <x v="208"/>
    <x v="3"/>
    <n v="-456"/>
    <n v="1.2484599589322383"/>
    <x v="1"/>
    <n v="1"/>
    <n v="0"/>
    <n v="0"/>
    <n v="0"/>
    <s v="Managers"/>
    <x v="1"/>
  </r>
  <r>
    <n v="5021964"/>
    <x v="0"/>
    <s v="N"/>
    <s v="N"/>
    <n v="1"/>
    <x v="55"/>
    <x v="2"/>
    <x v="1"/>
    <x v="1"/>
    <x v="0"/>
    <d v="1992-11-20T00:00:00"/>
    <n v="-11720"/>
    <x v="209"/>
    <x v="3"/>
    <n v="-1191"/>
    <n v="3.2607802874743328"/>
    <x v="1"/>
    <n v="1"/>
    <n v="0"/>
    <n v="0"/>
    <n v="0"/>
    <s v="Sales staff"/>
    <x v="3"/>
  </r>
  <r>
    <n v="5021980"/>
    <x v="0"/>
    <s v="N"/>
    <s v="N"/>
    <n v="1"/>
    <x v="16"/>
    <x v="2"/>
    <x v="1"/>
    <x v="2"/>
    <x v="1"/>
    <d v="1989-02-09T00:00:00"/>
    <n v="-13100"/>
    <x v="210"/>
    <x v="3"/>
    <n v="-2013"/>
    <n v="5.5112936344969201"/>
    <x v="1"/>
    <n v="1"/>
    <n v="0"/>
    <n v="0"/>
    <n v="1"/>
    <m/>
    <x v="1"/>
  </r>
  <r>
    <n v="5021995"/>
    <x v="1"/>
    <s v="Y"/>
    <s v="Y"/>
    <n v="0"/>
    <x v="1"/>
    <x v="2"/>
    <x v="0"/>
    <x v="1"/>
    <x v="0"/>
    <d v="1999-07-04T00:00:00"/>
    <n v="-9303"/>
    <x v="211"/>
    <x v="4"/>
    <n v="-852"/>
    <n v="2.3326488706365502"/>
    <x v="1"/>
    <n v="1"/>
    <n v="0"/>
    <n v="0"/>
    <n v="0"/>
    <s v="Sales staff"/>
    <x v="1"/>
  </r>
  <r>
    <n v="5022010"/>
    <x v="1"/>
    <s v="Y"/>
    <s v="Y"/>
    <n v="0"/>
    <x v="2"/>
    <x v="2"/>
    <x v="1"/>
    <x v="2"/>
    <x v="0"/>
    <d v="1997-09-23T00:00:00"/>
    <n v="-9952"/>
    <x v="212"/>
    <x v="4"/>
    <n v="-1613"/>
    <n v="4.4161533196440796"/>
    <x v="1"/>
    <n v="1"/>
    <n v="0"/>
    <n v="0"/>
    <n v="0"/>
    <m/>
    <x v="0"/>
  </r>
  <r>
    <n v="5022014"/>
    <x v="1"/>
    <s v="Y"/>
    <s v="Y"/>
    <n v="0"/>
    <x v="2"/>
    <x v="2"/>
    <x v="1"/>
    <x v="2"/>
    <x v="0"/>
    <d v="1997-09-23T00:00:00"/>
    <n v="-9952"/>
    <x v="212"/>
    <x v="4"/>
    <n v="-1613"/>
    <n v="4.4161533196440796"/>
    <x v="1"/>
    <n v="1"/>
    <n v="0"/>
    <n v="0"/>
    <n v="0"/>
    <m/>
    <x v="0"/>
  </r>
  <r>
    <n v="5022020"/>
    <x v="1"/>
    <s v="Y"/>
    <s v="Y"/>
    <n v="0"/>
    <x v="2"/>
    <x v="2"/>
    <x v="1"/>
    <x v="2"/>
    <x v="0"/>
    <d v="1997-09-23T00:00:00"/>
    <n v="-9952"/>
    <x v="212"/>
    <x v="4"/>
    <n v="-1613"/>
    <n v="4.4161533196440796"/>
    <x v="1"/>
    <n v="1"/>
    <n v="0"/>
    <n v="0"/>
    <n v="0"/>
    <m/>
    <x v="0"/>
  </r>
  <r>
    <n v="5022031"/>
    <x v="1"/>
    <s v="Y"/>
    <s v="Y"/>
    <n v="1"/>
    <x v="12"/>
    <x v="1"/>
    <x v="1"/>
    <x v="1"/>
    <x v="0"/>
    <d v="1984-04-08T00:00:00"/>
    <n v="-14868"/>
    <x v="213"/>
    <x v="1"/>
    <n v="-3013"/>
    <n v="8.2491444216290208"/>
    <x v="1"/>
    <n v="1"/>
    <n v="1"/>
    <n v="0"/>
    <n v="1"/>
    <s v="Security staff"/>
    <x v="3"/>
  </r>
  <r>
    <n v="5022038"/>
    <x v="1"/>
    <s v="N"/>
    <s v="Y"/>
    <n v="0"/>
    <x v="16"/>
    <x v="2"/>
    <x v="1"/>
    <x v="1"/>
    <x v="0"/>
    <d v="1997-06-18T00:00:00"/>
    <n v="-10049"/>
    <x v="214"/>
    <x v="4"/>
    <n v="-1405"/>
    <n v="3.8466803559206024"/>
    <x v="1"/>
    <n v="1"/>
    <n v="0"/>
    <n v="0"/>
    <n v="1"/>
    <s v="Sales staff"/>
    <x v="1"/>
  </r>
  <r>
    <n v="5022040"/>
    <x v="1"/>
    <s v="N"/>
    <s v="Y"/>
    <n v="0"/>
    <x v="16"/>
    <x v="2"/>
    <x v="1"/>
    <x v="1"/>
    <x v="0"/>
    <d v="1997-06-18T00:00:00"/>
    <n v="-10049"/>
    <x v="214"/>
    <x v="4"/>
    <n v="-1405"/>
    <n v="3.8466803559206024"/>
    <x v="1"/>
    <n v="1"/>
    <n v="0"/>
    <n v="0"/>
    <n v="1"/>
    <s v="Sales staff"/>
    <x v="1"/>
  </r>
  <r>
    <n v="5022049"/>
    <x v="1"/>
    <s v="N"/>
    <s v="Y"/>
    <n v="0"/>
    <x v="11"/>
    <x v="2"/>
    <x v="0"/>
    <x v="2"/>
    <x v="0"/>
    <d v="1989-11-25T00:00:00"/>
    <n v="-12811"/>
    <x v="215"/>
    <x v="3"/>
    <n v="-4327"/>
    <n v="11.846680355920602"/>
    <x v="1"/>
    <n v="1"/>
    <n v="0"/>
    <n v="0"/>
    <n v="0"/>
    <m/>
    <x v="0"/>
  </r>
  <r>
    <n v="5022062"/>
    <x v="0"/>
    <s v="N"/>
    <s v="Y"/>
    <n v="0"/>
    <x v="16"/>
    <x v="0"/>
    <x v="0"/>
    <x v="1"/>
    <x v="0"/>
    <d v="1969-11-06T00:00:00"/>
    <n v="-20135"/>
    <x v="216"/>
    <x v="2"/>
    <n v="365243"/>
    <n v="0"/>
    <x v="0"/>
    <n v="1"/>
    <n v="0"/>
    <n v="1"/>
    <n v="0"/>
    <m/>
    <x v="1"/>
  </r>
  <r>
    <n v="5022068"/>
    <x v="0"/>
    <s v="N"/>
    <s v="Y"/>
    <n v="0"/>
    <x v="30"/>
    <x v="2"/>
    <x v="1"/>
    <x v="1"/>
    <x v="0"/>
    <d v="1971-09-20T00:00:00"/>
    <n v="-19452"/>
    <x v="217"/>
    <x v="2"/>
    <n v="-1218"/>
    <n v="3.3347022587268995"/>
    <x v="1"/>
    <n v="1"/>
    <n v="1"/>
    <n v="0"/>
    <n v="0"/>
    <s v="Sales staff"/>
    <x v="1"/>
  </r>
  <r>
    <n v="5022077"/>
    <x v="0"/>
    <s v="N"/>
    <s v="Y"/>
    <n v="0"/>
    <x v="30"/>
    <x v="2"/>
    <x v="1"/>
    <x v="1"/>
    <x v="0"/>
    <d v="1972-05-24T00:00:00"/>
    <n v="-19205"/>
    <x v="218"/>
    <x v="2"/>
    <n v="-1552"/>
    <n v="4.2491444216290208"/>
    <x v="1"/>
    <n v="1"/>
    <n v="1"/>
    <n v="1"/>
    <n v="0"/>
    <m/>
    <x v="1"/>
  </r>
  <r>
    <n v="5022086"/>
    <x v="0"/>
    <s v="Y"/>
    <s v="Y"/>
    <n v="0"/>
    <x v="11"/>
    <x v="1"/>
    <x v="2"/>
    <x v="1"/>
    <x v="0"/>
    <d v="1981-09-07T00:00:00"/>
    <n v="-15812"/>
    <x v="219"/>
    <x v="1"/>
    <n v="-4231"/>
    <n v="11.58384668035592"/>
    <x v="1"/>
    <n v="1"/>
    <n v="1"/>
    <n v="1"/>
    <n v="1"/>
    <s v="Accountants"/>
    <x v="1"/>
  </r>
  <r>
    <n v="5022102"/>
    <x v="0"/>
    <s v="N"/>
    <s v="N"/>
    <n v="0"/>
    <x v="56"/>
    <x v="2"/>
    <x v="1"/>
    <x v="2"/>
    <x v="1"/>
    <d v="1976-02-22T00:00:00"/>
    <n v="-17836"/>
    <x v="220"/>
    <x v="1"/>
    <n v="-2561"/>
    <n v="7.0116358658453111"/>
    <x v="1"/>
    <n v="1"/>
    <n v="0"/>
    <n v="0"/>
    <n v="0"/>
    <s v="Security staff"/>
    <x v="0"/>
  </r>
  <r>
    <n v="5022117"/>
    <x v="1"/>
    <s v="N"/>
    <s v="Y"/>
    <n v="0"/>
    <x v="12"/>
    <x v="2"/>
    <x v="1"/>
    <x v="1"/>
    <x v="0"/>
    <d v="1971-01-29T00:00:00"/>
    <n v="-19686"/>
    <x v="221"/>
    <x v="2"/>
    <n v="-1131"/>
    <n v="3.0965092402464065"/>
    <x v="1"/>
    <n v="1"/>
    <n v="0"/>
    <n v="0"/>
    <n v="0"/>
    <s v="Laborers"/>
    <x v="1"/>
  </r>
  <r>
    <n v="5022126"/>
    <x v="0"/>
    <s v="N"/>
    <s v="Y"/>
    <n v="0"/>
    <x v="1"/>
    <x v="1"/>
    <x v="0"/>
    <x v="3"/>
    <x v="0"/>
    <d v="1997-05-07T00:00:00"/>
    <n v="-10091"/>
    <x v="222"/>
    <x v="4"/>
    <n v="-1525"/>
    <n v="4.1752224503764541"/>
    <x v="1"/>
    <n v="1"/>
    <n v="0"/>
    <n v="0"/>
    <n v="1"/>
    <m/>
    <x v="1"/>
  </r>
  <r>
    <n v="5022137"/>
    <x v="0"/>
    <s v="N"/>
    <s v="Y"/>
    <n v="0"/>
    <x v="3"/>
    <x v="0"/>
    <x v="1"/>
    <x v="1"/>
    <x v="0"/>
    <d v="1968-05-09T00:00:00"/>
    <n v="-20681"/>
    <x v="223"/>
    <x v="2"/>
    <n v="365243"/>
    <n v="0"/>
    <x v="0"/>
    <n v="1"/>
    <n v="0"/>
    <n v="0"/>
    <n v="0"/>
    <m/>
    <x v="1"/>
  </r>
  <r>
    <n v="5022142"/>
    <x v="0"/>
    <s v="N"/>
    <s v="Y"/>
    <n v="0"/>
    <x v="57"/>
    <x v="1"/>
    <x v="1"/>
    <x v="2"/>
    <x v="0"/>
    <d v="1971-05-26T00:00:00"/>
    <n v="-19569"/>
    <x v="224"/>
    <x v="2"/>
    <n v="-2013"/>
    <n v="5.5112936344969201"/>
    <x v="1"/>
    <n v="1"/>
    <n v="0"/>
    <n v="0"/>
    <n v="0"/>
    <s v="Sales staff"/>
    <x v="0"/>
  </r>
  <r>
    <n v="5022147"/>
    <x v="0"/>
    <s v="Y"/>
    <s v="Y"/>
    <n v="2"/>
    <x v="16"/>
    <x v="1"/>
    <x v="0"/>
    <x v="1"/>
    <x v="0"/>
    <d v="1992-11-21T00:00:00"/>
    <n v="-11719"/>
    <x v="225"/>
    <x v="3"/>
    <n v="-2866"/>
    <n v="7.8466803559206024"/>
    <x v="1"/>
    <n v="1"/>
    <n v="0"/>
    <n v="1"/>
    <n v="1"/>
    <m/>
    <x v="2"/>
  </r>
  <r>
    <n v="5022158"/>
    <x v="0"/>
    <s v="Y"/>
    <s v="Y"/>
    <n v="2"/>
    <x v="16"/>
    <x v="1"/>
    <x v="0"/>
    <x v="1"/>
    <x v="0"/>
    <d v="1992-11-21T00:00:00"/>
    <n v="-11719"/>
    <x v="225"/>
    <x v="3"/>
    <n v="-2866"/>
    <n v="7.8466803559206024"/>
    <x v="1"/>
    <n v="1"/>
    <n v="0"/>
    <n v="1"/>
    <n v="1"/>
    <m/>
    <x v="2"/>
  </r>
  <r>
    <n v="5022186"/>
    <x v="0"/>
    <s v="N"/>
    <s v="N"/>
    <n v="1"/>
    <x v="1"/>
    <x v="1"/>
    <x v="1"/>
    <x v="0"/>
    <x v="0"/>
    <d v="1983-06-11T00:00:00"/>
    <n v="-15170"/>
    <x v="226"/>
    <x v="1"/>
    <n v="-7979"/>
    <n v="21.845311430527037"/>
    <x v="1"/>
    <n v="1"/>
    <n v="0"/>
    <n v="0"/>
    <n v="0"/>
    <s v="High skill tech staff"/>
    <x v="1"/>
  </r>
  <r>
    <n v="5022188"/>
    <x v="0"/>
    <s v="N"/>
    <s v="N"/>
    <n v="1"/>
    <x v="1"/>
    <x v="1"/>
    <x v="1"/>
    <x v="0"/>
    <x v="0"/>
    <d v="1983-06-11T00:00:00"/>
    <n v="-15170"/>
    <x v="226"/>
    <x v="1"/>
    <n v="-7979"/>
    <n v="21.845311430527037"/>
    <x v="1"/>
    <n v="1"/>
    <n v="0"/>
    <n v="0"/>
    <n v="0"/>
    <s v="High skill tech staff"/>
    <x v="1"/>
  </r>
  <r>
    <n v="5022190"/>
    <x v="0"/>
    <s v="Y"/>
    <s v="Y"/>
    <n v="1"/>
    <x v="56"/>
    <x v="2"/>
    <x v="1"/>
    <x v="1"/>
    <x v="0"/>
    <d v="1970-10-27T00:00:00"/>
    <n v="-19780"/>
    <x v="227"/>
    <x v="2"/>
    <n v="-6849"/>
    <n v="18.751540041067763"/>
    <x v="1"/>
    <n v="1"/>
    <n v="0"/>
    <n v="0"/>
    <n v="0"/>
    <s v="Managers"/>
    <x v="3"/>
  </r>
  <r>
    <n v="5022203"/>
    <x v="1"/>
    <s v="N"/>
    <s v="Y"/>
    <n v="1"/>
    <x v="11"/>
    <x v="1"/>
    <x v="1"/>
    <x v="1"/>
    <x v="0"/>
    <d v="1986-04-03T00:00:00"/>
    <n v="-14143"/>
    <x v="228"/>
    <x v="3"/>
    <n v="-275"/>
    <n v="0.75290896646132788"/>
    <x v="1"/>
    <n v="1"/>
    <n v="0"/>
    <n v="1"/>
    <n v="0"/>
    <s v="Drivers"/>
    <x v="3"/>
  </r>
  <r>
    <n v="5022231"/>
    <x v="0"/>
    <s v="N"/>
    <s v="Y"/>
    <n v="1"/>
    <x v="58"/>
    <x v="2"/>
    <x v="1"/>
    <x v="1"/>
    <x v="0"/>
    <d v="1982-04-26T00:00:00"/>
    <n v="-15581"/>
    <x v="229"/>
    <x v="1"/>
    <n v="-187"/>
    <n v="0.51197809719370291"/>
    <x v="1"/>
    <n v="1"/>
    <n v="0"/>
    <n v="0"/>
    <n v="0"/>
    <m/>
    <x v="3"/>
  </r>
  <r>
    <n v="5022253"/>
    <x v="0"/>
    <s v="N"/>
    <s v="Y"/>
    <n v="0"/>
    <x v="11"/>
    <x v="2"/>
    <x v="1"/>
    <x v="1"/>
    <x v="0"/>
    <d v="1983-04-11T00:00:00"/>
    <n v="-15231"/>
    <x v="230"/>
    <x v="1"/>
    <n v="-8375"/>
    <n v="22.92950034223135"/>
    <x v="1"/>
    <n v="1"/>
    <n v="0"/>
    <n v="0"/>
    <n v="1"/>
    <s v="High skill tech staff"/>
    <x v="1"/>
  </r>
  <r>
    <n v="5022268"/>
    <x v="1"/>
    <s v="Y"/>
    <s v="Y"/>
    <n v="0"/>
    <x v="59"/>
    <x v="0"/>
    <x v="1"/>
    <x v="1"/>
    <x v="0"/>
    <d v="1960-03-27T00:00:00"/>
    <n v="-23646"/>
    <x v="231"/>
    <x v="0"/>
    <n v="365243"/>
    <n v="0"/>
    <x v="0"/>
    <n v="1"/>
    <n v="0"/>
    <n v="0"/>
    <n v="0"/>
    <m/>
    <x v="1"/>
  </r>
  <r>
    <n v="5022273"/>
    <x v="1"/>
    <s v="Y"/>
    <s v="Y"/>
    <n v="0"/>
    <x v="59"/>
    <x v="0"/>
    <x v="1"/>
    <x v="1"/>
    <x v="0"/>
    <d v="1960-03-27T00:00:00"/>
    <n v="-23646"/>
    <x v="231"/>
    <x v="0"/>
    <n v="365243"/>
    <n v="0"/>
    <x v="0"/>
    <n v="1"/>
    <n v="0"/>
    <n v="0"/>
    <n v="0"/>
    <m/>
    <x v="1"/>
  </r>
  <r>
    <n v="5022283"/>
    <x v="0"/>
    <s v="N"/>
    <s v="N"/>
    <n v="1"/>
    <x v="5"/>
    <x v="2"/>
    <x v="1"/>
    <x v="3"/>
    <x v="0"/>
    <d v="1983-08-20T00:00:00"/>
    <n v="-15100"/>
    <x v="232"/>
    <x v="1"/>
    <n v="-3500"/>
    <n v="9.5824777549623548"/>
    <x v="1"/>
    <n v="1"/>
    <n v="0"/>
    <n v="0"/>
    <n v="0"/>
    <s v="Cooking staff"/>
    <x v="3"/>
  </r>
  <r>
    <n v="5022291"/>
    <x v="0"/>
    <s v="N"/>
    <s v="N"/>
    <n v="1"/>
    <x v="5"/>
    <x v="2"/>
    <x v="1"/>
    <x v="3"/>
    <x v="0"/>
    <d v="1983-08-20T00:00:00"/>
    <n v="-15100"/>
    <x v="232"/>
    <x v="1"/>
    <n v="-3500"/>
    <n v="9.5824777549623548"/>
    <x v="1"/>
    <n v="1"/>
    <n v="0"/>
    <n v="0"/>
    <n v="0"/>
    <s v="Cooking staff"/>
    <x v="3"/>
  </r>
  <r>
    <n v="5022295"/>
    <x v="0"/>
    <s v="N"/>
    <s v="N"/>
    <n v="1"/>
    <x v="5"/>
    <x v="2"/>
    <x v="1"/>
    <x v="3"/>
    <x v="0"/>
    <d v="1983-08-20T00:00:00"/>
    <n v="-15100"/>
    <x v="232"/>
    <x v="1"/>
    <n v="-3500"/>
    <n v="9.5824777549623548"/>
    <x v="1"/>
    <n v="1"/>
    <n v="0"/>
    <n v="0"/>
    <n v="0"/>
    <s v="Cooking staff"/>
    <x v="3"/>
  </r>
  <r>
    <n v="5022297"/>
    <x v="0"/>
    <s v="N"/>
    <s v="N"/>
    <n v="1"/>
    <x v="5"/>
    <x v="2"/>
    <x v="1"/>
    <x v="3"/>
    <x v="0"/>
    <d v="1983-08-20T00:00:00"/>
    <n v="-15100"/>
    <x v="232"/>
    <x v="1"/>
    <n v="-3500"/>
    <n v="9.5824777549623548"/>
    <x v="1"/>
    <n v="1"/>
    <n v="0"/>
    <n v="0"/>
    <n v="0"/>
    <s v="Cooking staff"/>
    <x v="3"/>
  </r>
  <r>
    <n v="5022303"/>
    <x v="0"/>
    <s v="N"/>
    <s v="Y"/>
    <n v="0"/>
    <x v="30"/>
    <x v="2"/>
    <x v="1"/>
    <x v="0"/>
    <x v="0"/>
    <d v="1972-11-03T00:00:00"/>
    <n v="-19042"/>
    <x v="233"/>
    <x v="2"/>
    <n v="-3319"/>
    <n v="9.0869267624914443"/>
    <x v="1"/>
    <n v="1"/>
    <n v="0"/>
    <n v="0"/>
    <n v="0"/>
    <m/>
    <x v="0"/>
  </r>
  <r>
    <n v="5022305"/>
    <x v="0"/>
    <s v="N"/>
    <s v="Y"/>
    <n v="0"/>
    <x v="30"/>
    <x v="2"/>
    <x v="1"/>
    <x v="0"/>
    <x v="0"/>
    <d v="1972-11-03T00:00:00"/>
    <n v="-19042"/>
    <x v="233"/>
    <x v="2"/>
    <n v="-3319"/>
    <n v="9.0869267624914443"/>
    <x v="1"/>
    <n v="1"/>
    <n v="0"/>
    <n v="0"/>
    <n v="0"/>
    <m/>
    <x v="0"/>
  </r>
  <r>
    <n v="5022308"/>
    <x v="0"/>
    <s v="N"/>
    <s v="Y"/>
    <n v="0"/>
    <x v="30"/>
    <x v="2"/>
    <x v="1"/>
    <x v="0"/>
    <x v="0"/>
    <d v="1972-11-03T00:00:00"/>
    <n v="-19042"/>
    <x v="233"/>
    <x v="2"/>
    <n v="-3319"/>
    <n v="9.0869267624914443"/>
    <x v="1"/>
    <n v="1"/>
    <n v="0"/>
    <n v="0"/>
    <n v="0"/>
    <m/>
    <x v="0"/>
  </r>
  <r>
    <n v="5022320"/>
    <x v="1"/>
    <s v="Y"/>
    <s v="N"/>
    <n v="1"/>
    <x v="18"/>
    <x v="1"/>
    <x v="0"/>
    <x v="1"/>
    <x v="0"/>
    <d v="1993-11-02T00:00:00"/>
    <n v="-11373"/>
    <x v="234"/>
    <x v="3"/>
    <n v="-1371"/>
    <n v="3.7535934291581108"/>
    <x v="1"/>
    <n v="1"/>
    <n v="0"/>
    <n v="0"/>
    <n v="0"/>
    <s v="Managers"/>
    <x v="3"/>
  </r>
  <r>
    <n v="5022340"/>
    <x v="1"/>
    <s v="N"/>
    <s v="Y"/>
    <n v="0"/>
    <x v="1"/>
    <x v="2"/>
    <x v="1"/>
    <x v="2"/>
    <x v="0"/>
    <d v="1998-07-17T00:00:00"/>
    <n v="-9655"/>
    <x v="235"/>
    <x v="4"/>
    <n v="-156"/>
    <n v="0.4271047227926078"/>
    <x v="1"/>
    <n v="1"/>
    <n v="0"/>
    <n v="0"/>
    <n v="0"/>
    <m/>
    <x v="0"/>
  </r>
  <r>
    <n v="5022349"/>
    <x v="0"/>
    <s v="N"/>
    <s v="Y"/>
    <n v="1"/>
    <x v="60"/>
    <x v="2"/>
    <x v="1"/>
    <x v="2"/>
    <x v="0"/>
    <d v="1968-04-27T00:00:00"/>
    <n v="-20693"/>
    <x v="236"/>
    <x v="2"/>
    <n v="-8036"/>
    <n v="22.001368925393567"/>
    <x v="1"/>
    <n v="1"/>
    <n v="0"/>
    <n v="0"/>
    <n v="0"/>
    <s v="Core staff"/>
    <x v="1"/>
  </r>
  <r>
    <n v="5022352"/>
    <x v="0"/>
    <s v="N"/>
    <s v="Y"/>
    <n v="1"/>
    <x v="60"/>
    <x v="2"/>
    <x v="1"/>
    <x v="2"/>
    <x v="0"/>
    <d v="1968-04-27T00:00:00"/>
    <n v="-20693"/>
    <x v="236"/>
    <x v="2"/>
    <n v="-8036"/>
    <n v="22.001368925393567"/>
    <x v="1"/>
    <n v="1"/>
    <n v="0"/>
    <n v="0"/>
    <n v="0"/>
    <s v="Core staff"/>
    <x v="1"/>
  </r>
  <r>
    <n v="5022365"/>
    <x v="0"/>
    <s v="N"/>
    <s v="Y"/>
    <n v="0"/>
    <x v="58"/>
    <x v="0"/>
    <x v="1"/>
    <x v="4"/>
    <x v="0"/>
    <d v="1962-09-20T00:00:00"/>
    <n v="-22739"/>
    <x v="237"/>
    <x v="0"/>
    <n v="365243"/>
    <n v="0"/>
    <x v="0"/>
    <n v="1"/>
    <n v="0"/>
    <n v="1"/>
    <n v="0"/>
    <m/>
    <x v="0"/>
  </r>
  <r>
    <n v="5022366"/>
    <x v="1"/>
    <s v="Y"/>
    <s v="N"/>
    <n v="0"/>
    <x v="18"/>
    <x v="2"/>
    <x v="2"/>
    <x v="1"/>
    <x v="0"/>
    <d v="1994-05-22T00:00:00"/>
    <n v="-11172"/>
    <x v="238"/>
    <x v="3"/>
    <n v="-3504"/>
    <n v="9.593429158110883"/>
    <x v="1"/>
    <n v="1"/>
    <n v="0"/>
    <n v="0"/>
    <n v="0"/>
    <s v="Laborers"/>
    <x v="1"/>
  </r>
  <r>
    <n v="5022376"/>
    <x v="0"/>
    <s v="Y"/>
    <s v="Y"/>
    <n v="0"/>
    <x v="32"/>
    <x v="2"/>
    <x v="1"/>
    <x v="1"/>
    <x v="4"/>
    <d v="1976-12-18T00:00:00"/>
    <n v="-17536"/>
    <x v="239"/>
    <x v="1"/>
    <n v="-4113"/>
    <n v="11.260780287474333"/>
    <x v="1"/>
    <n v="1"/>
    <n v="0"/>
    <n v="1"/>
    <n v="0"/>
    <s v="Sales staff"/>
    <x v="1"/>
  </r>
  <r>
    <n v="5022387"/>
    <x v="0"/>
    <s v="N"/>
    <s v="Y"/>
    <n v="0"/>
    <x v="33"/>
    <x v="0"/>
    <x v="0"/>
    <x v="1"/>
    <x v="0"/>
    <d v="1965-01-07T00:00:00"/>
    <n v="-21899"/>
    <x v="240"/>
    <x v="2"/>
    <n v="365243"/>
    <n v="0"/>
    <x v="0"/>
    <n v="1"/>
    <n v="0"/>
    <n v="1"/>
    <n v="0"/>
    <m/>
    <x v="1"/>
  </r>
  <r>
    <n v="5022397"/>
    <x v="0"/>
    <s v="N"/>
    <s v="Y"/>
    <n v="0"/>
    <x v="33"/>
    <x v="0"/>
    <x v="0"/>
    <x v="1"/>
    <x v="0"/>
    <d v="1965-01-07T00:00:00"/>
    <n v="-21899"/>
    <x v="240"/>
    <x v="2"/>
    <n v="365243"/>
    <n v="0"/>
    <x v="0"/>
    <n v="1"/>
    <n v="0"/>
    <n v="1"/>
    <n v="0"/>
    <m/>
    <x v="1"/>
  </r>
  <r>
    <n v="5022417"/>
    <x v="0"/>
    <s v="Y"/>
    <s v="Y"/>
    <n v="1"/>
    <x v="5"/>
    <x v="2"/>
    <x v="0"/>
    <x v="1"/>
    <x v="2"/>
    <d v="1995-04-14T00:00:00"/>
    <n v="-10845"/>
    <x v="241"/>
    <x v="4"/>
    <n v="-521"/>
    <n v="1.4264202600958247"/>
    <x v="1"/>
    <n v="1"/>
    <n v="0"/>
    <n v="0"/>
    <n v="1"/>
    <s v="High skill tech staff"/>
    <x v="3"/>
  </r>
  <r>
    <n v="5022427"/>
    <x v="0"/>
    <s v="N"/>
    <s v="Y"/>
    <n v="0"/>
    <x v="30"/>
    <x v="2"/>
    <x v="1"/>
    <x v="3"/>
    <x v="0"/>
    <d v="1979-08-12T00:00:00"/>
    <n v="-16569"/>
    <x v="242"/>
    <x v="1"/>
    <n v="-517"/>
    <n v="1.4154688569472964"/>
    <x v="1"/>
    <n v="1"/>
    <n v="0"/>
    <n v="0"/>
    <n v="0"/>
    <s v="Laborers"/>
    <x v="1"/>
  </r>
  <r>
    <n v="5022439"/>
    <x v="0"/>
    <s v="Y"/>
    <s v="Y"/>
    <n v="0"/>
    <x v="18"/>
    <x v="1"/>
    <x v="1"/>
    <x v="1"/>
    <x v="0"/>
    <d v="1975-11-23T00:00:00"/>
    <n v="-17927"/>
    <x v="243"/>
    <x v="1"/>
    <n v="-8553"/>
    <n v="23.416837782340863"/>
    <x v="1"/>
    <n v="1"/>
    <n v="0"/>
    <n v="0"/>
    <n v="0"/>
    <s v="Laborers"/>
    <x v="1"/>
  </r>
  <r>
    <n v="5022444"/>
    <x v="0"/>
    <s v="N"/>
    <s v="Y"/>
    <n v="0"/>
    <x v="16"/>
    <x v="1"/>
    <x v="1"/>
    <x v="1"/>
    <x v="0"/>
    <d v="1981-05-28T00:00:00"/>
    <n v="-15914"/>
    <x v="244"/>
    <x v="1"/>
    <n v="-4354"/>
    <n v="11.920602327173169"/>
    <x v="1"/>
    <n v="1"/>
    <n v="0"/>
    <n v="1"/>
    <n v="0"/>
    <s v="Sales staff"/>
    <x v="1"/>
  </r>
  <r>
    <n v="5022455"/>
    <x v="1"/>
    <s v="Y"/>
    <s v="Y"/>
    <n v="1"/>
    <x v="23"/>
    <x v="2"/>
    <x v="1"/>
    <x v="1"/>
    <x v="0"/>
    <d v="2001-03-02T00:00:00"/>
    <n v="-8696"/>
    <x v="245"/>
    <x v="4"/>
    <n v="-1070"/>
    <n v="2.9295003422313486"/>
    <x v="1"/>
    <n v="1"/>
    <n v="0"/>
    <n v="0"/>
    <n v="1"/>
    <s v="Drivers"/>
    <x v="3"/>
  </r>
  <r>
    <n v="5022466"/>
    <x v="1"/>
    <s v="Y"/>
    <s v="Y"/>
    <n v="0"/>
    <x v="61"/>
    <x v="3"/>
    <x v="1"/>
    <x v="1"/>
    <x v="0"/>
    <d v="1977-08-02T00:00:00"/>
    <n v="-17309"/>
    <x v="246"/>
    <x v="1"/>
    <n v="-3500"/>
    <n v="9.5824777549623548"/>
    <x v="1"/>
    <n v="1"/>
    <n v="0"/>
    <n v="0"/>
    <n v="0"/>
    <m/>
    <x v="1"/>
  </r>
  <r>
    <n v="5022472"/>
    <x v="1"/>
    <s v="Y"/>
    <s v="Y"/>
    <n v="0"/>
    <x v="61"/>
    <x v="3"/>
    <x v="1"/>
    <x v="1"/>
    <x v="0"/>
    <d v="1977-08-02T00:00:00"/>
    <n v="-17309"/>
    <x v="246"/>
    <x v="1"/>
    <n v="-3500"/>
    <n v="9.5824777549623548"/>
    <x v="1"/>
    <n v="1"/>
    <n v="0"/>
    <n v="0"/>
    <n v="0"/>
    <m/>
    <x v="1"/>
  </r>
  <r>
    <n v="5022473"/>
    <x v="1"/>
    <s v="Y"/>
    <s v="Y"/>
    <n v="0"/>
    <x v="61"/>
    <x v="3"/>
    <x v="1"/>
    <x v="1"/>
    <x v="0"/>
    <d v="1977-08-02T00:00:00"/>
    <n v="-17309"/>
    <x v="246"/>
    <x v="1"/>
    <n v="-3500"/>
    <n v="9.5824777549623548"/>
    <x v="1"/>
    <n v="1"/>
    <n v="0"/>
    <n v="0"/>
    <n v="0"/>
    <m/>
    <x v="1"/>
  </r>
  <r>
    <n v="5022484"/>
    <x v="0"/>
    <s v="N"/>
    <s v="Y"/>
    <n v="0"/>
    <x v="5"/>
    <x v="2"/>
    <x v="1"/>
    <x v="1"/>
    <x v="0"/>
    <d v="1978-07-26T00:00:00"/>
    <n v="-16951"/>
    <x v="247"/>
    <x v="1"/>
    <n v="-3017"/>
    <n v="8.2600958247775491"/>
    <x v="1"/>
    <n v="1"/>
    <n v="1"/>
    <n v="1"/>
    <n v="0"/>
    <m/>
    <x v="1"/>
  </r>
  <r>
    <n v="5022486"/>
    <x v="0"/>
    <s v="N"/>
    <s v="Y"/>
    <n v="0"/>
    <x v="5"/>
    <x v="2"/>
    <x v="1"/>
    <x v="1"/>
    <x v="0"/>
    <d v="1978-07-26T00:00:00"/>
    <n v="-16951"/>
    <x v="247"/>
    <x v="1"/>
    <n v="-3017"/>
    <n v="8.2600958247775491"/>
    <x v="1"/>
    <n v="1"/>
    <n v="1"/>
    <n v="1"/>
    <n v="0"/>
    <m/>
    <x v="1"/>
  </r>
  <r>
    <n v="5022532"/>
    <x v="1"/>
    <s v="N"/>
    <s v="Y"/>
    <n v="0"/>
    <x v="8"/>
    <x v="2"/>
    <x v="1"/>
    <x v="1"/>
    <x v="2"/>
    <d v="1973-12-20T00:00:00"/>
    <n v="-18630"/>
    <x v="248"/>
    <x v="2"/>
    <n v="-1462"/>
    <n v="4.0027378507871321"/>
    <x v="1"/>
    <n v="1"/>
    <n v="0"/>
    <n v="0"/>
    <n v="0"/>
    <s v="Laborers"/>
    <x v="1"/>
  </r>
  <r>
    <n v="5022541"/>
    <x v="0"/>
    <s v="N"/>
    <s v="Y"/>
    <n v="0"/>
    <x v="39"/>
    <x v="1"/>
    <x v="0"/>
    <x v="2"/>
    <x v="0"/>
    <d v="1992-03-01T00:00:00"/>
    <n v="-11984"/>
    <x v="249"/>
    <x v="3"/>
    <n v="-2043"/>
    <n v="5.593429158110883"/>
    <x v="1"/>
    <n v="1"/>
    <n v="0"/>
    <n v="0"/>
    <n v="1"/>
    <s v="Core staff"/>
    <x v="0"/>
  </r>
  <r>
    <n v="5022549"/>
    <x v="0"/>
    <s v="N"/>
    <s v="Y"/>
    <n v="0"/>
    <x v="39"/>
    <x v="1"/>
    <x v="0"/>
    <x v="2"/>
    <x v="0"/>
    <d v="1992-03-01T00:00:00"/>
    <n v="-11984"/>
    <x v="249"/>
    <x v="3"/>
    <n v="-2043"/>
    <n v="5.593429158110883"/>
    <x v="1"/>
    <n v="1"/>
    <n v="0"/>
    <n v="0"/>
    <n v="1"/>
    <s v="Core staff"/>
    <x v="0"/>
  </r>
  <r>
    <n v="5022553"/>
    <x v="0"/>
    <s v="N"/>
    <s v="Y"/>
    <n v="0"/>
    <x v="2"/>
    <x v="2"/>
    <x v="0"/>
    <x v="3"/>
    <x v="0"/>
    <d v="1994-03-21T00:00:00"/>
    <n v="-11234"/>
    <x v="250"/>
    <x v="3"/>
    <n v="-2531"/>
    <n v="6.9295003422313481"/>
    <x v="1"/>
    <n v="1"/>
    <n v="0"/>
    <n v="1"/>
    <n v="1"/>
    <s v="Sales staff"/>
    <x v="1"/>
  </r>
  <r>
    <n v="5022557"/>
    <x v="0"/>
    <s v="N"/>
    <s v="Y"/>
    <n v="0"/>
    <x v="2"/>
    <x v="2"/>
    <x v="0"/>
    <x v="3"/>
    <x v="0"/>
    <d v="1994-03-21T00:00:00"/>
    <n v="-11234"/>
    <x v="250"/>
    <x v="3"/>
    <n v="-2531"/>
    <n v="6.9295003422313481"/>
    <x v="1"/>
    <n v="1"/>
    <n v="0"/>
    <n v="1"/>
    <n v="1"/>
    <s v="Sales staff"/>
    <x v="1"/>
  </r>
  <r>
    <n v="5022559"/>
    <x v="0"/>
    <s v="N"/>
    <s v="Y"/>
    <n v="1"/>
    <x v="8"/>
    <x v="2"/>
    <x v="0"/>
    <x v="1"/>
    <x v="0"/>
    <d v="1989-03-10T00:00:00"/>
    <n v="-13071"/>
    <x v="251"/>
    <x v="3"/>
    <n v="-1344"/>
    <n v="3.6796714579055441"/>
    <x v="1"/>
    <n v="1"/>
    <n v="0"/>
    <n v="0"/>
    <n v="0"/>
    <s v="Sales staff"/>
    <x v="3"/>
  </r>
  <r>
    <n v="5022579"/>
    <x v="1"/>
    <s v="N"/>
    <s v="Y"/>
    <n v="0"/>
    <x v="11"/>
    <x v="2"/>
    <x v="1"/>
    <x v="2"/>
    <x v="0"/>
    <d v="2001-08-12T00:00:00"/>
    <n v="-8533"/>
    <x v="252"/>
    <x v="4"/>
    <n v="-582"/>
    <n v="1.593429158110883"/>
    <x v="1"/>
    <n v="1"/>
    <n v="0"/>
    <n v="0"/>
    <n v="0"/>
    <s v="Laborers"/>
    <x v="0"/>
  </r>
  <r>
    <n v="5022587"/>
    <x v="0"/>
    <s v="N"/>
    <s v="Y"/>
    <n v="0"/>
    <x v="11"/>
    <x v="2"/>
    <x v="1"/>
    <x v="2"/>
    <x v="0"/>
    <d v="1976-03-26T00:00:00"/>
    <n v="-17803"/>
    <x v="253"/>
    <x v="1"/>
    <n v="-10079"/>
    <n v="27.59479808350445"/>
    <x v="1"/>
    <n v="1"/>
    <n v="0"/>
    <n v="1"/>
    <n v="0"/>
    <s v="Core staff"/>
    <x v="0"/>
  </r>
  <r>
    <n v="5022592"/>
    <x v="0"/>
    <s v="N"/>
    <s v="Y"/>
    <n v="1"/>
    <x v="23"/>
    <x v="2"/>
    <x v="0"/>
    <x v="3"/>
    <x v="0"/>
    <d v="1988-03-11T00:00:00"/>
    <n v="-13435"/>
    <x v="254"/>
    <x v="3"/>
    <n v="-122"/>
    <n v="0.33401779603011633"/>
    <x v="1"/>
    <n v="1"/>
    <n v="1"/>
    <n v="1"/>
    <n v="1"/>
    <s v="Secretaries"/>
    <x v="3"/>
  </r>
  <r>
    <n v="5022593"/>
    <x v="0"/>
    <s v="N"/>
    <s v="Y"/>
    <n v="1"/>
    <x v="23"/>
    <x v="2"/>
    <x v="0"/>
    <x v="3"/>
    <x v="0"/>
    <d v="1988-03-11T00:00:00"/>
    <n v="-13435"/>
    <x v="254"/>
    <x v="3"/>
    <n v="-122"/>
    <n v="0.33401779603011633"/>
    <x v="1"/>
    <n v="1"/>
    <n v="1"/>
    <n v="1"/>
    <n v="1"/>
    <s v="Secretaries"/>
    <x v="3"/>
  </r>
  <r>
    <n v="5022596"/>
    <x v="0"/>
    <s v="N"/>
    <s v="Y"/>
    <n v="1"/>
    <x v="23"/>
    <x v="2"/>
    <x v="0"/>
    <x v="3"/>
    <x v="0"/>
    <d v="1988-03-11T00:00:00"/>
    <n v="-13435"/>
    <x v="254"/>
    <x v="3"/>
    <n v="-122"/>
    <n v="0.33401779603011633"/>
    <x v="1"/>
    <n v="1"/>
    <n v="1"/>
    <n v="1"/>
    <n v="1"/>
    <s v="Secretaries"/>
    <x v="3"/>
  </r>
  <r>
    <n v="5022610"/>
    <x v="1"/>
    <s v="Y"/>
    <s v="Y"/>
    <n v="1"/>
    <x v="11"/>
    <x v="2"/>
    <x v="1"/>
    <x v="1"/>
    <x v="0"/>
    <d v="1997-03-15T00:00:00"/>
    <n v="-10144"/>
    <x v="255"/>
    <x v="4"/>
    <n v="-825"/>
    <n v="2.2587268993839835"/>
    <x v="1"/>
    <n v="1"/>
    <n v="0"/>
    <n v="0"/>
    <n v="0"/>
    <s v="Laborers"/>
    <x v="3"/>
  </r>
  <r>
    <n v="5022621"/>
    <x v="1"/>
    <s v="Y"/>
    <s v="N"/>
    <n v="0"/>
    <x v="39"/>
    <x v="3"/>
    <x v="0"/>
    <x v="1"/>
    <x v="2"/>
    <d v="1991-10-19T00:00:00"/>
    <n v="-12118"/>
    <x v="256"/>
    <x v="3"/>
    <n v="-2313"/>
    <n v="6.3326488706365502"/>
    <x v="1"/>
    <n v="1"/>
    <n v="1"/>
    <n v="1"/>
    <n v="1"/>
    <s v="Core staff"/>
    <x v="1"/>
  </r>
  <r>
    <n v="5022640"/>
    <x v="0"/>
    <s v="N"/>
    <s v="Y"/>
    <n v="1"/>
    <x v="29"/>
    <x v="2"/>
    <x v="1"/>
    <x v="1"/>
    <x v="0"/>
    <d v="1994-05-09T00:00:00"/>
    <n v="-11185"/>
    <x v="257"/>
    <x v="3"/>
    <n v="-1405"/>
    <n v="3.8466803559206024"/>
    <x v="1"/>
    <n v="1"/>
    <n v="0"/>
    <n v="0"/>
    <n v="1"/>
    <s v="Medicine staff"/>
    <x v="3"/>
  </r>
  <r>
    <n v="5022641"/>
    <x v="0"/>
    <s v="N"/>
    <s v="Y"/>
    <n v="1"/>
    <x v="29"/>
    <x v="2"/>
    <x v="1"/>
    <x v="1"/>
    <x v="0"/>
    <d v="1994-05-09T00:00:00"/>
    <n v="-11185"/>
    <x v="257"/>
    <x v="3"/>
    <n v="-1405"/>
    <n v="3.8466803559206024"/>
    <x v="1"/>
    <n v="1"/>
    <n v="0"/>
    <n v="0"/>
    <n v="1"/>
    <s v="Medicine staff"/>
    <x v="3"/>
  </r>
  <r>
    <n v="5022644"/>
    <x v="1"/>
    <s v="Y"/>
    <s v="Y"/>
    <n v="1"/>
    <x v="1"/>
    <x v="1"/>
    <x v="0"/>
    <x v="1"/>
    <x v="0"/>
    <d v="1992-10-12T00:00:00"/>
    <n v="-11759"/>
    <x v="258"/>
    <x v="3"/>
    <n v="-91"/>
    <n v="0.24914442162902123"/>
    <x v="1"/>
    <n v="1"/>
    <n v="0"/>
    <n v="0"/>
    <n v="0"/>
    <s v="Managers"/>
    <x v="3"/>
  </r>
  <r>
    <n v="5022652"/>
    <x v="1"/>
    <s v="Y"/>
    <s v="Y"/>
    <n v="1"/>
    <x v="1"/>
    <x v="1"/>
    <x v="0"/>
    <x v="1"/>
    <x v="0"/>
    <d v="1992-10-12T00:00:00"/>
    <n v="-11759"/>
    <x v="258"/>
    <x v="3"/>
    <n v="-91"/>
    <n v="0.24914442162902123"/>
    <x v="1"/>
    <n v="1"/>
    <n v="0"/>
    <n v="0"/>
    <n v="0"/>
    <s v="Managers"/>
    <x v="3"/>
  </r>
  <r>
    <n v="5022656"/>
    <x v="0"/>
    <s v="N"/>
    <s v="Y"/>
    <n v="0"/>
    <x v="11"/>
    <x v="0"/>
    <x v="1"/>
    <x v="4"/>
    <x v="0"/>
    <d v="1964-07-30T00:00:00"/>
    <n v="-22060"/>
    <x v="259"/>
    <x v="0"/>
    <n v="365243"/>
    <n v="0"/>
    <x v="0"/>
    <n v="1"/>
    <n v="0"/>
    <n v="1"/>
    <n v="0"/>
    <m/>
    <x v="0"/>
  </r>
  <r>
    <n v="5022665"/>
    <x v="1"/>
    <s v="Y"/>
    <s v="Y"/>
    <n v="0"/>
    <x v="5"/>
    <x v="1"/>
    <x v="1"/>
    <x v="2"/>
    <x v="4"/>
    <d v="1997-12-22T00:00:00"/>
    <n v="-9862"/>
    <x v="260"/>
    <x v="4"/>
    <n v="-2135"/>
    <n v="5.8453114305270359"/>
    <x v="1"/>
    <n v="1"/>
    <n v="1"/>
    <n v="0"/>
    <n v="0"/>
    <s v="Laborers"/>
    <x v="0"/>
  </r>
  <r>
    <n v="5022696"/>
    <x v="0"/>
    <s v="N"/>
    <s v="Y"/>
    <n v="0"/>
    <x v="2"/>
    <x v="0"/>
    <x v="1"/>
    <x v="1"/>
    <x v="0"/>
    <d v="1968-02-17T00:00:00"/>
    <n v="-20763"/>
    <x v="261"/>
    <x v="2"/>
    <n v="365243"/>
    <n v="0"/>
    <x v="0"/>
    <n v="1"/>
    <n v="0"/>
    <n v="1"/>
    <n v="0"/>
    <m/>
    <x v="1"/>
  </r>
  <r>
    <n v="5022698"/>
    <x v="1"/>
    <s v="Y"/>
    <s v="Y"/>
    <n v="0"/>
    <x v="12"/>
    <x v="2"/>
    <x v="1"/>
    <x v="2"/>
    <x v="0"/>
    <d v="1986-06-21T00:00:00"/>
    <n v="-14064"/>
    <x v="262"/>
    <x v="3"/>
    <n v="-5326"/>
    <n v="14.581793292265571"/>
    <x v="1"/>
    <n v="1"/>
    <n v="0"/>
    <n v="0"/>
    <n v="0"/>
    <s v="Drivers"/>
    <x v="0"/>
  </r>
  <r>
    <n v="5022732"/>
    <x v="0"/>
    <s v="N"/>
    <s v="Y"/>
    <n v="0"/>
    <x v="30"/>
    <x v="0"/>
    <x v="1"/>
    <x v="1"/>
    <x v="0"/>
    <d v="1966-09-09T00:00:00"/>
    <n v="-21289"/>
    <x v="263"/>
    <x v="2"/>
    <n v="365243"/>
    <n v="0"/>
    <x v="0"/>
    <n v="1"/>
    <n v="0"/>
    <n v="0"/>
    <n v="0"/>
    <m/>
    <x v="1"/>
  </r>
  <r>
    <n v="5022738"/>
    <x v="0"/>
    <s v="N"/>
    <s v="Y"/>
    <n v="0"/>
    <x v="30"/>
    <x v="0"/>
    <x v="1"/>
    <x v="1"/>
    <x v="0"/>
    <d v="1966-09-09T00:00:00"/>
    <n v="-21289"/>
    <x v="263"/>
    <x v="2"/>
    <n v="365243"/>
    <n v="0"/>
    <x v="0"/>
    <n v="1"/>
    <n v="0"/>
    <n v="0"/>
    <n v="0"/>
    <m/>
    <x v="1"/>
  </r>
  <r>
    <n v="5022752"/>
    <x v="0"/>
    <s v="N"/>
    <s v="N"/>
    <n v="1"/>
    <x v="11"/>
    <x v="1"/>
    <x v="1"/>
    <x v="0"/>
    <x v="0"/>
    <d v="1995-05-29T00:00:00"/>
    <n v="-10800"/>
    <x v="264"/>
    <x v="4"/>
    <n v="-3166"/>
    <n v="8.6680355920602334"/>
    <x v="1"/>
    <n v="1"/>
    <n v="0"/>
    <n v="0"/>
    <n v="0"/>
    <s v="Sales staff"/>
    <x v="1"/>
  </r>
  <r>
    <n v="5022771"/>
    <x v="0"/>
    <s v="N"/>
    <s v="Y"/>
    <n v="2"/>
    <x v="30"/>
    <x v="2"/>
    <x v="1"/>
    <x v="1"/>
    <x v="2"/>
    <d v="1987-01-24T00:00:00"/>
    <n v="-13847"/>
    <x v="265"/>
    <x v="3"/>
    <n v="-366"/>
    <n v="1.0020533880903491"/>
    <x v="1"/>
    <n v="1"/>
    <n v="0"/>
    <n v="1"/>
    <n v="0"/>
    <s v="Medicine staff"/>
    <x v="2"/>
  </r>
  <r>
    <n v="5022772"/>
    <x v="0"/>
    <s v="N"/>
    <s v="Y"/>
    <n v="2"/>
    <x v="30"/>
    <x v="2"/>
    <x v="1"/>
    <x v="1"/>
    <x v="2"/>
    <d v="1987-01-24T00:00:00"/>
    <n v="-13847"/>
    <x v="265"/>
    <x v="3"/>
    <n v="-366"/>
    <n v="1.0020533880903491"/>
    <x v="1"/>
    <n v="1"/>
    <n v="0"/>
    <n v="1"/>
    <n v="0"/>
    <s v="Medicine staff"/>
    <x v="2"/>
  </r>
  <r>
    <n v="5022776"/>
    <x v="0"/>
    <s v="Y"/>
    <s v="Y"/>
    <n v="0"/>
    <x v="8"/>
    <x v="0"/>
    <x v="0"/>
    <x v="1"/>
    <x v="0"/>
    <d v="1962-02-07T00:00:00"/>
    <n v="-22964"/>
    <x v="266"/>
    <x v="0"/>
    <n v="365243"/>
    <n v="0"/>
    <x v="0"/>
    <n v="1"/>
    <n v="0"/>
    <n v="0"/>
    <n v="0"/>
    <m/>
    <x v="1"/>
  </r>
  <r>
    <n v="5022795"/>
    <x v="0"/>
    <s v="Y"/>
    <s v="Y"/>
    <n v="0"/>
    <x v="11"/>
    <x v="2"/>
    <x v="0"/>
    <x v="4"/>
    <x v="0"/>
    <d v="1992-02-16T00:00:00"/>
    <n v="-11998"/>
    <x v="267"/>
    <x v="3"/>
    <n v="-1497"/>
    <n v="4.0985626283367553"/>
    <x v="1"/>
    <n v="1"/>
    <n v="0"/>
    <n v="0"/>
    <n v="0"/>
    <s v="Managers"/>
    <x v="0"/>
  </r>
  <r>
    <n v="5022796"/>
    <x v="0"/>
    <s v="Y"/>
    <s v="Y"/>
    <n v="0"/>
    <x v="11"/>
    <x v="2"/>
    <x v="0"/>
    <x v="4"/>
    <x v="0"/>
    <d v="1992-02-16T00:00:00"/>
    <n v="-11998"/>
    <x v="267"/>
    <x v="3"/>
    <n v="-1497"/>
    <n v="4.0985626283367553"/>
    <x v="1"/>
    <n v="1"/>
    <n v="0"/>
    <n v="0"/>
    <n v="0"/>
    <s v="Managers"/>
    <x v="0"/>
  </r>
  <r>
    <n v="5022808"/>
    <x v="0"/>
    <s v="N"/>
    <s v="Y"/>
    <n v="1"/>
    <x v="16"/>
    <x v="2"/>
    <x v="0"/>
    <x v="1"/>
    <x v="0"/>
    <d v="1992-05-24T00:00:00"/>
    <n v="-11900"/>
    <x v="268"/>
    <x v="3"/>
    <n v="-731"/>
    <n v="2.001368925393566"/>
    <x v="1"/>
    <n v="1"/>
    <n v="0"/>
    <n v="0"/>
    <n v="1"/>
    <s v="Sales staff"/>
    <x v="3"/>
  </r>
  <r>
    <n v="5022842"/>
    <x v="1"/>
    <s v="N"/>
    <s v="Y"/>
    <n v="0"/>
    <x v="16"/>
    <x v="1"/>
    <x v="1"/>
    <x v="0"/>
    <x v="0"/>
    <d v="1990-10-08T00:00:00"/>
    <n v="-12494"/>
    <x v="269"/>
    <x v="3"/>
    <n v="-978"/>
    <n v="2.6776180698151952"/>
    <x v="1"/>
    <n v="1"/>
    <n v="0"/>
    <n v="0"/>
    <n v="0"/>
    <s v="Laborers"/>
    <x v="0"/>
  </r>
  <r>
    <n v="5022846"/>
    <x v="1"/>
    <s v="N"/>
    <s v="Y"/>
    <n v="0"/>
    <x v="16"/>
    <x v="1"/>
    <x v="1"/>
    <x v="0"/>
    <x v="0"/>
    <d v="1990-10-08T00:00:00"/>
    <n v="-12494"/>
    <x v="269"/>
    <x v="3"/>
    <n v="-978"/>
    <n v="2.6776180698151952"/>
    <x v="1"/>
    <n v="1"/>
    <n v="0"/>
    <n v="0"/>
    <n v="0"/>
    <s v="Laborers"/>
    <x v="0"/>
  </r>
  <r>
    <n v="5022867"/>
    <x v="0"/>
    <s v="Y"/>
    <s v="Y"/>
    <n v="2"/>
    <x v="8"/>
    <x v="1"/>
    <x v="0"/>
    <x v="1"/>
    <x v="0"/>
    <d v="1986-05-16T00:00:00"/>
    <n v="-14100"/>
    <x v="270"/>
    <x v="3"/>
    <n v="-3623"/>
    <n v="9.9192334017796036"/>
    <x v="1"/>
    <n v="1"/>
    <n v="0"/>
    <n v="0"/>
    <n v="0"/>
    <s v="Private service staff"/>
    <x v="2"/>
  </r>
  <r>
    <n v="5022880"/>
    <x v="1"/>
    <s v="Y"/>
    <s v="Y"/>
    <n v="1"/>
    <x v="12"/>
    <x v="2"/>
    <x v="1"/>
    <x v="0"/>
    <x v="0"/>
    <d v="1980-04-23T00:00:00"/>
    <n v="-16314"/>
    <x v="271"/>
    <x v="1"/>
    <n v="-882"/>
    <n v="2.4147843942505132"/>
    <x v="1"/>
    <n v="1"/>
    <n v="0"/>
    <n v="0"/>
    <n v="0"/>
    <s v="Managers"/>
    <x v="1"/>
  </r>
  <r>
    <n v="5022887"/>
    <x v="1"/>
    <s v="Y"/>
    <s v="Y"/>
    <n v="1"/>
    <x v="12"/>
    <x v="2"/>
    <x v="1"/>
    <x v="0"/>
    <x v="0"/>
    <d v="1980-04-23T00:00:00"/>
    <n v="-16314"/>
    <x v="271"/>
    <x v="1"/>
    <n v="-882"/>
    <n v="2.4147843942505132"/>
    <x v="1"/>
    <n v="1"/>
    <n v="0"/>
    <n v="0"/>
    <n v="0"/>
    <s v="Managers"/>
    <x v="1"/>
  </r>
  <r>
    <n v="5022892"/>
    <x v="1"/>
    <s v="Y"/>
    <s v="Y"/>
    <n v="1"/>
    <x v="12"/>
    <x v="2"/>
    <x v="1"/>
    <x v="0"/>
    <x v="0"/>
    <d v="1980-04-23T00:00:00"/>
    <n v="-16314"/>
    <x v="271"/>
    <x v="1"/>
    <n v="-882"/>
    <n v="2.4147843942505132"/>
    <x v="1"/>
    <n v="1"/>
    <n v="0"/>
    <n v="0"/>
    <n v="0"/>
    <s v="Managers"/>
    <x v="1"/>
  </r>
  <r>
    <n v="5022896"/>
    <x v="1"/>
    <s v="N"/>
    <s v="Y"/>
    <n v="0"/>
    <x v="12"/>
    <x v="2"/>
    <x v="2"/>
    <x v="1"/>
    <x v="0"/>
    <d v="1988-06-28T00:00:00"/>
    <n v="-13326"/>
    <x v="272"/>
    <x v="3"/>
    <n v="-2588"/>
    <n v="7.0855578370978778"/>
    <x v="1"/>
    <n v="1"/>
    <n v="1"/>
    <n v="0"/>
    <n v="0"/>
    <s v="Laborers"/>
    <x v="1"/>
  </r>
  <r>
    <n v="5022898"/>
    <x v="0"/>
    <s v="N"/>
    <s v="Y"/>
    <n v="1"/>
    <x v="1"/>
    <x v="1"/>
    <x v="1"/>
    <x v="3"/>
    <x v="0"/>
    <d v="1995-07-03T00:00:00"/>
    <n v="-10765"/>
    <x v="273"/>
    <x v="4"/>
    <n v="-2196"/>
    <n v="6.0123203285420947"/>
    <x v="1"/>
    <n v="1"/>
    <n v="0"/>
    <n v="0"/>
    <n v="1"/>
    <m/>
    <x v="3"/>
  </r>
  <r>
    <n v="5022908"/>
    <x v="1"/>
    <s v="N"/>
    <s v="N"/>
    <n v="0"/>
    <x v="50"/>
    <x v="3"/>
    <x v="1"/>
    <x v="1"/>
    <x v="0"/>
    <d v="1981-11-06T00:00:00"/>
    <n v="-15752"/>
    <x v="274"/>
    <x v="1"/>
    <n v="-2770"/>
    <n v="7.5838466803559204"/>
    <x v="1"/>
    <n v="1"/>
    <n v="0"/>
    <n v="0"/>
    <n v="0"/>
    <s v="Core staff"/>
    <x v="1"/>
  </r>
  <r>
    <n v="5022914"/>
    <x v="0"/>
    <s v="N"/>
    <s v="Y"/>
    <n v="0"/>
    <x v="8"/>
    <x v="2"/>
    <x v="0"/>
    <x v="2"/>
    <x v="0"/>
    <d v="1991-08-03T00:00:00"/>
    <n v="-12195"/>
    <x v="275"/>
    <x v="3"/>
    <n v="-2592"/>
    <n v="7.0965092402464069"/>
    <x v="1"/>
    <n v="1"/>
    <n v="0"/>
    <n v="1"/>
    <n v="0"/>
    <s v="Managers"/>
    <x v="0"/>
  </r>
  <r>
    <n v="5022932"/>
    <x v="1"/>
    <s v="Y"/>
    <s v="Y"/>
    <n v="2"/>
    <x v="12"/>
    <x v="2"/>
    <x v="0"/>
    <x v="1"/>
    <x v="0"/>
    <d v="1990-06-09T00:00:00"/>
    <n v="-12615"/>
    <x v="276"/>
    <x v="3"/>
    <n v="-1156"/>
    <n v="3.1649555099247091"/>
    <x v="1"/>
    <n v="1"/>
    <n v="0"/>
    <n v="0"/>
    <n v="0"/>
    <s v="Laborers"/>
    <x v="2"/>
  </r>
  <r>
    <n v="5022933"/>
    <x v="1"/>
    <s v="Y"/>
    <s v="Y"/>
    <n v="2"/>
    <x v="12"/>
    <x v="2"/>
    <x v="0"/>
    <x v="1"/>
    <x v="0"/>
    <d v="1990-06-09T00:00:00"/>
    <n v="-12615"/>
    <x v="276"/>
    <x v="3"/>
    <n v="-1156"/>
    <n v="3.1649555099247091"/>
    <x v="1"/>
    <n v="1"/>
    <n v="0"/>
    <n v="0"/>
    <n v="0"/>
    <s v="Laborers"/>
    <x v="2"/>
  </r>
  <r>
    <n v="5022939"/>
    <x v="0"/>
    <s v="Y"/>
    <s v="N"/>
    <n v="0"/>
    <x v="11"/>
    <x v="1"/>
    <x v="2"/>
    <x v="0"/>
    <x v="0"/>
    <d v="1986-05-20T00:00:00"/>
    <n v="-14096"/>
    <x v="277"/>
    <x v="3"/>
    <n v="-1344"/>
    <n v="3.6796714579055441"/>
    <x v="1"/>
    <n v="1"/>
    <n v="0"/>
    <n v="1"/>
    <n v="1"/>
    <s v="Accountants"/>
    <x v="0"/>
  </r>
  <r>
    <n v="5022942"/>
    <x v="0"/>
    <s v="Y"/>
    <s v="N"/>
    <n v="0"/>
    <x v="11"/>
    <x v="1"/>
    <x v="2"/>
    <x v="0"/>
    <x v="0"/>
    <d v="1986-05-20T00:00:00"/>
    <n v="-14096"/>
    <x v="277"/>
    <x v="3"/>
    <n v="-1344"/>
    <n v="3.6796714579055441"/>
    <x v="1"/>
    <n v="1"/>
    <n v="0"/>
    <n v="1"/>
    <n v="1"/>
    <s v="Accountants"/>
    <x v="0"/>
  </r>
  <r>
    <n v="5022943"/>
    <x v="0"/>
    <s v="Y"/>
    <s v="N"/>
    <n v="0"/>
    <x v="11"/>
    <x v="1"/>
    <x v="2"/>
    <x v="0"/>
    <x v="0"/>
    <d v="1986-05-20T00:00:00"/>
    <n v="-14096"/>
    <x v="277"/>
    <x v="3"/>
    <n v="-1344"/>
    <n v="3.6796714579055441"/>
    <x v="1"/>
    <n v="1"/>
    <n v="0"/>
    <n v="1"/>
    <n v="1"/>
    <s v="Accountants"/>
    <x v="0"/>
  </r>
  <r>
    <n v="5022953"/>
    <x v="1"/>
    <s v="Y"/>
    <s v="Y"/>
    <n v="0"/>
    <x v="2"/>
    <x v="2"/>
    <x v="1"/>
    <x v="1"/>
    <x v="0"/>
    <d v="1974-11-22T00:00:00"/>
    <n v="-18293"/>
    <x v="278"/>
    <x v="2"/>
    <n v="-521"/>
    <n v="1.4264202600958247"/>
    <x v="1"/>
    <n v="1"/>
    <n v="1"/>
    <n v="0"/>
    <n v="0"/>
    <m/>
    <x v="1"/>
  </r>
  <r>
    <n v="5022963"/>
    <x v="0"/>
    <s v="Y"/>
    <s v="Y"/>
    <n v="3"/>
    <x v="1"/>
    <x v="2"/>
    <x v="1"/>
    <x v="1"/>
    <x v="0"/>
    <d v="1989-07-31T00:00:00"/>
    <n v="-12928"/>
    <x v="279"/>
    <x v="3"/>
    <n v="-1313"/>
    <n v="3.5947980835044491"/>
    <x v="1"/>
    <n v="1"/>
    <n v="0"/>
    <n v="0"/>
    <n v="0"/>
    <s v="Accountants"/>
    <x v="4"/>
  </r>
  <r>
    <n v="5022967"/>
    <x v="1"/>
    <s v="N"/>
    <s v="Y"/>
    <n v="0"/>
    <x v="1"/>
    <x v="0"/>
    <x v="1"/>
    <x v="1"/>
    <x v="0"/>
    <d v="1972-10-11T00:00:00"/>
    <n v="-19065"/>
    <x v="280"/>
    <x v="2"/>
    <n v="365243"/>
    <n v="0"/>
    <x v="0"/>
    <n v="1"/>
    <n v="0"/>
    <n v="0"/>
    <n v="0"/>
    <m/>
    <x v="1"/>
  </r>
  <r>
    <n v="5022981"/>
    <x v="0"/>
    <s v="Y"/>
    <s v="Y"/>
    <n v="0"/>
    <x v="8"/>
    <x v="2"/>
    <x v="2"/>
    <x v="1"/>
    <x v="0"/>
    <d v="1973-04-26T00:00:00"/>
    <n v="-18868"/>
    <x v="281"/>
    <x v="2"/>
    <n v="-11954"/>
    <n v="32.728268309377142"/>
    <x v="1"/>
    <n v="1"/>
    <n v="0"/>
    <n v="1"/>
    <n v="0"/>
    <s v="Managers"/>
    <x v="1"/>
  </r>
  <r>
    <n v="5022987"/>
    <x v="0"/>
    <s v="N"/>
    <s v="Y"/>
    <n v="0"/>
    <x v="29"/>
    <x v="0"/>
    <x v="1"/>
    <x v="1"/>
    <x v="0"/>
    <d v="1958-06-01T00:00:00"/>
    <n v="-24311"/>
    <x v="282"/>
    <x v="0"/>
    <n v="365243"/>
    <n v="0"/>
    <x v="0"/>
    <n v="1"/>
    <n v="0"/>
    <n v="1"/>
    <n v="0"/>
    <m/>
    <x v="1"/>
  </r>
  <r>
    <n v="5022994"/>
    <x v="0"/>
    <s v="N"/>
    <s v="Y"/>
    <n v="0"/>
    <x v="29"/>
    <x v="0"/>
    <x v="0"/>
    <x v="1"/>
    <x v="0"/>
    <d v="1959-05-22T00:00:00"/>
    <n v="-23956"/>
    <x v="283"/>
    <x v="0"/>
    <n v="365243"/>
    <n v="0"/>
    <x v="0"/>
    <n v="1"/>
    <n v="0"/>
    <n v="0"/>
    <n v="0"/>
    <m/>
    <x v="1"/>
  </r>
  <r>
    <n v="5023001"/>
    <x v="0"/>
    <s v="N"/>
    <s v="Y"/>
    <n v="0"/>
    <x v="16"/>
    <x v="2"/>
    <x v="1"/>
    <x v="2"/>
    <x v="0"/>
    <d v="1961-12-26T00:00:00"/>
    <n v="-23007"/>
    <x v="284"/>
    <x v="0"/>
    <n v="-11589"/>
    <n v="31.728952772073921"/>
    <x v="1"/>
    <n v="1"/>
    <n v="1"/>
    <n v="1"/>
    <n v="0"/>
    <s v="Cleaning staff"/>
    <x v="0"/>
  </r>
  <r>
    <n v="5023020"/>
    <x v="0"/>
    <s v="N"/>
    <s v="N"/>
    <n v="0"/>
    <x v="29"/>
    <x v="0"/>
    <x v="0"/>
    <x v="1"/>
    <x v="0"/>
    <d v="1967-12-09T00:00:00"/>
    <n v="-20833"/>
    <x v="285"/>
    <x v="2"/>
    <n v="365243"/>
    <n v="0"/>
    <x v="0"/>
    <n v="1"/>
    <n v="0"/>
    <n v="0"/>
    <n v="0"/>
    <m/>
    <x v="1"/>
  </r>
  <r>
    <n v="5023031"/>
    <x v="0"/>
    <s v="N"/>
    <s v="Y"/>
    <n v="0"/>
    <x v="11"/>
    <x v="1"/>
    <x v="1"/>
    <x v="1"/>
    <x v="0"/>
    <d v="1983-09-01T00:00:00"/>
    <n v="-15088"/>
    <x v="286"/>
    <x v="1"/>
    <n v="-2092"/>
    <n v="5.7275838466803561"/>
    <x v="1"/>
    <n v="1"/>
    <n v="0"/>
    <n v="1"/>
    <n v="0"/>
    <s v="Sales staff"/>
    <x v="1"/>
  </r>
  <r>
    <n v="5023033"/>
    <x v="0"/>
    <s v="N"/>
    <s v="Y"/>
    <n v="0"/>
    <x v="11"/>
    <x v="1"/>
    <x v="1"/>
    <x v="1"/>
    <x v="0"/>
    <d v="1983-09-01T00:00:00"/>
    <n v="-15088"/>
    <x v="286"/>
    <x v="1"/>
    <n v="-2092"/>
    <n v="5.7275838466803561"/>
    <x v="1"/>
    <n v="1"/>
    <n v="0"/>
    <n v="1"/>
    <n v="0"/>
    <s v="Sales staff"/>
    <x v="1"/>
  </r>
  <r>
    <n v="5023041"/>
    <x v="0"/>
    <s v="N"/>
    <s v="N"/>
    <n v="0"/>
    <x v="30"/>
    <x v="0"/>
    <x v="1"/>
    <x v="4"/>
    <x v="0"/>
    <d v="1967-08-14T00:00:00"/>
    <n v="-20950"/>
    <x v="287"/>
    <x v="2"/>
    <n v="365243"/>
    <n v="0"/>
    <x v="0"/>
    <n v="1"/>
    <n v="0"/>
    <n v="0"/>
    <n v="0"/>
    <m/>
    <x v="0"/>
  </r>
  <r>
    <n v="5023053"/>
    <x v="0"/>
    <s v="N"/>
    <s v="Y"/>
    <n v="0"/>
    <x v="39"/>
    <x v="0"/>
    <x v="1"/>
    <x v="1"/>
    <x v="0"/>
    <d v="1966-12-30T00:00:00"/>
    <n v="-21177"/>
    <x v="288"/>
    <x v="2"/>
    <n v="365243"/>
    <n v="0"/>
    <x v="0"/>
    <n v="1"/>
    <n v="0"/>
    <n v="0"/>
    <n v="0"/>
    <m/>
    <x v="1"/>
  </r>
  <r>
    <n v="5023055"/>
    <x v="0"/>
    <s v="N"/>
    <s v="Y"/>
    <n v="0"/>
    <x v="39"/>
    <x v="0"/>
    <x v="1"/>
    <x v="1"/>
    <x v="0"/>
    <d v="1966-12-30T00:00:00"/>
    <n v="-21177"/>
    <x v="288"/>
    <x v="2"/>
    <n v="365243"/>
    <n v="0"/>
    <x v="0"/>
    <n v="1"/>
    <n v="0"/>
    <n v="0"/>
    <n v="0"/>
    <m/>
    <x v="1"/>
  </r>
  <r>
    <n v="5023056"/>
    <x v="0"/>
    <s v="N"/>
    <s v="Y"/>
    <n v="0"/>
    <x v="39"/>
    <x v="0"/>
    <x v="1"/>
    <x v="1"/>
    <x v="0"/>
    <d v="1966-12-30T00:00:00"/>
    <n v="-21177"/>
    <x v="288"/>
    <x v="2"/>
    <n v="365243"/>
    <n v="0"/>
    <x v="0"/>
    <n v="1"/>
    <n v="0"/>
    <n v="0"/>
    <n v="0"/>
    <m/>
    <x v="1"/>
  </r>
  <r>
    <n v="5023058"/>
    <x v="1"/>
    <s v="Y"/>
    <s v="Y"/>
    <n v="1"/>
    <x v="2"/>
    <x v="2"/>
    <x v="1"/>
    <x v="1"/>
    <x v="0"/>
    <d v="1994-02-04T00:00:00"/>
    <n v="-11279"/>
    <x v="289"/>
    <x v="3"/>
    <n v="-508"/>
    <n v="1.3908281998631074"/>
    <x v="1"/>
    <n v="1"/>
    <n v="0"/>
    <n v="0"/>
    <n v="0"/>
    <s v="Laborers"/>
    <x v="3"/>
  </r>
  <r>
    <n v="5023059"/>
    <x v="1"/>
    <s v="Y"/>
    <s v="Y"/>
    <n v="1"/>
    <x v="2"/>
    <x v="2"/>
    <x v="1"/>
    <x v="1"/>
    <x v="0"/>
    <d v="1994-02-04T00:00:00"/>
    <n v="-11279"/>
    <x v="289"/>
    <x v="3"/>
    <n v="-508"/>
    <n v="1.3908281998631074"/>
    <x v="1"/>
    <n v="1"/>
    <n v="0"/>
    <n v="0"/>
    <n v="0"/>
    <s v="Laborers"/>
    <x v="3"/>
  </r>
  <r>
    <n v="5023064"/>
    <x v="0"/>
    <s v="N"/>
    <s v="Y"/>
    <n v="2"/>
    <x v="11"/>
    <x v="1"/>
    <x v="1"/>
    <x v="3"/>
    <x v="3"/>
    <d v="1987-03-20T00:00:00"/>
    <n v="-13792"/>
    <x v="290"/>
    <x v="3"/>
    <n v="-417"/>
    <n v="1.1416837782340863"/>
    <x v="1"/>
    <n v="1"/>
    <n v="0"/>
    <n v="0"/>
    <n v="0"/>
    <m/>
    <x v="2"/>
  </r>
  <r>
    <n v="5023079"/>
    <x v="0"/>
    <s v="N"/>
    <s v="Y"/>
    <n v="0"/>
    <x v="51"/>
    <x v="0"/>
    <x v="3"/>
    <x v="1"/>
    <x v="0"/>
    <d v="1965-04-15T00:00:00"/>
    <n v="-21801"/>
    <x v="291"/>
    <x v="2"/>
    <n v="365243"/>
    <n v="0"/>
    <x v="0"/>
    <n v="1"/>
    <n v="0"/>
    <n v="0"/>
    <n v="0"/>
    <m/>
    <x v="1"/>
  </r>
  <r>
    <n v="5023083"/>
    <x v="0"/>
    <s v="Y"/>
    <s v="N"/>
    <n v="1"/>
    <x v="62"/>
    <x v="1"/>
    <x v="1"/>
    <x v="2"/>
    <x v="4"/>
    <d v="1992-12-01T00:00:00"/>
    <n v="-11709"/>
    <x v="292"/>
    <x v="3"/>
    <n v="-4983"/>
    <n v="13.64271047227926"/>
    <x v="1"/>
    <n v="1"/>
    <n v="0"/>
    <n v="0"/>
    <n v="0"/>
    <s v="Laborers"/>
    <x v="1"/>
  </r>
  <r>
    <n v="5023088"/>
    <x v="0"/>
    <s v="Y"/>
    <s v="N"/>
    <n v="1"/>
    <x v="62"/>
    <x v="1"/>
    <x v="1"/>
    <x v="2"/>
    <x v="4"/>
    <d v="1992-12-01T00:00:00"/>
    <n v="-11709"/>
    <x v="292"/>
    <x v="3"/>
    <n v="-4983"/>
    <n v="13.64271047227926"/>
    <x v="1"/>
    <n v="1"/>
    <n v="0"/>
    <n v="0"/>
    <n v="0"/>
    <s v="Laborers"/>
    <x v="1"/>
  </r>
  <r>
    <n v="5023101"/>
    <x v="0"/>
    <s v="N"/>
    <s v="Y"/>
    <n v="0"/>
    <x v="56"/>
    <x v="0"/>
    <x v="3"/>
    <x v="1"/>
    <x v="0"/>
    <d v="1965-02-07T00:00:00"/>
    <n v="-21868"/>
    <x v="293"/>
    <x v="2"/>
    <n v="365243"/>
    <n v="0"/>
    <x v="0"/>
    <n v="1"/>
    <n v="0"/>
    <n v="0"/>
    <n v="0"/>
    <m/>
    <x v="1"/>
  </r>
  <r>
    <n v="5023107"/>
    <x v="1"/>
    <s v="Y"/>
    <s v="Y"/>
    <n v="1"/>
    <x v="37"/>
    <x v="2"/>
    <x v="1"/>
    <x v="1"/>
    <x v="0"/>
    <d v="1983-06-25T00:00:00"/>
    <n v="-15156"/>
    <x v="294"/>
    <x v="1"/>
    <n v="-1696"/>
    <n v="4.6433949349760439"/>
    <x v="1"/>
    <n v="1"/>
    <n v="1"/>
    <n v="0"/>
    <n v="0"/>
    <s v="Core staff"/>
    <x v="3"/>
  </r>
  <r>
    <n v="5023112"/>
    <x v="1"/>
    <s v="N"/>
    <s v="Y"/>
    <n v="0"/>
    <x v="15"/>
    <x v="2"/>
    <x v="0"/>
    <x v="1"/>
    <x v="0"/>
    <d v="1997-03-23T00:00:00"/>
    <n v="-10136"/>
    <x v="295"/>
    <x v="4"/>
    <n v="-539"/>
    <n v="1.4757015742642026"/>
    <x v="1"/>
    <n v="1"/>
    <n v="1"/>
    <n v="1"/>
    <n v="0"/>
    <s v="Laborers"/>
    <x v="1"/>
  </r>
  <r>
    <n v="5023113"/>
    <x v="1"/>
    <s v="N"/>
    <s v="Y"/>
    <n v="0"/>
    <x v="15"/>
    <x v="2"/>
    <x v="0"/>
    <x v="1"/>
    <x v="0"/>
    <d v="1997-03-23T00:00:00"/>
    <n v="-10136"/>
    <x v="295"/>
    <x v="4"/>
    <n v="-539"/>
    <n v="1.4757015742642026"/>
    <x v="1"/>
    <n v="1"/>
    <n v="1"/>
    <n v="1"/>
    <n v="0"/>
    <s v="Laborers"/>
    <x v="1"/>
  </r>
  <r>
    <n v="5023145"/>
    <x v="0"/>
    <s v="N"/>
    <s v="N"/>
    <n v="0"/>
    <x v="2"/>
    <x v="0"/>
    <x v="1"/>
    <x v="2"/>
    <x v="0"/>
    <d v="1967-02-10T00:00:00"/>
    <n v="-21135"/>
    <x v="296"/>
    <x v="2"/>
    <n v="365243"/>
    <n v="0"/>
    <x v="0"/>
    <n v="1"/>
    <n v="0"/>
    <n v="0"/>
    <n v="0"/>
    <m/>
    <x v="0"/>
  </r>
  <r>
    <n v="5023150"/>
    <x v="1"/>
    <s v="N"/>
    <s v="Y"/>
    <n v="1"/>
    <x v="12"/>
    <x v="2"/>
    <x v="0"/>
    <x v="1"/>
    <x v="0"/>
    <d v="1993-10-06T00:00:00"/>
    <n v="-11400"/>
    <x v="297"/>
    <x v="3"/>
    <n v="-1513"/>
    <n v="4.1423682409308693"/>
    <x v="1"/>
    <n v="1"/>
    <n v="0"/>
    <n v="0"/>
    <n v="0"/>
    <s v="Managers"/>
    <x v="3"/>
  </r>
  <r>
    <n v="5023153"/>
    <x v="0"/>
    <s v="N"/>
    <s v="N"/>
    <n v="0"/>
    <x v="3"/>
    <x v="1"/>
    <x v="1"/>
    <x v="1"/>
    <x v="4"/>
    <d v="1987-08-01T00:00:00"/>
    <n v="-13658"/>
    <x v="298"/>
    <x v="3"/>
    <n v="-6383"/>
    <n v="17.475701574264203"/>
    <x v="1"/>
    <n v="1"/>
    <n v="1"/>
    <n v="1"/>
    <n v="0"/>
    <s v="Sales staff"/>
    <x v="1"/>
  </r>
  <r>
    <n v="5023159"/>
    <x v="0"/>
    <s v="N"/>
    <s v="N"/>
    <n v="0"/>
    <x v="3"/>
    <x v="1"/>
    <x v="1"/>
    <x v="1"/>
    <x v="4"/>
    <d v="1987-08-01T00:00:00"/>
    <n v="-13658"/>
    <x v="298"/>
    <x v="3"/>
    <n v="-6383"/>
    <n v="17.475701574264203"/>
    <x v="1"/>
    <n v="1"/>
    <n v="1"/>
    <n v="1"/>
    <n v="0"/>
    <s v="Sales staff"/>
    <x v="1"/>
  </r>
  <r>
    <n v="5023177"/>
    <x v="0"/>
    <s v="N"/>
    <s v="Y"/>
    <n v="1"/>
    <x v="21"/>
    <x v="2"/>
    <x v="1"/>
    <x v="3"/>
    <x v="0"/>
    <d v="1976-05-30T00:00:00"/>
    <n v="-17738"/>
    <x v="299"/>
    <x v="1"/>
    <n v="-4710"/>
    <n v="12.895277207392198"/>
    <x v="1"/>
    <n v="1"/>
    <n v="1"/>
    <n v="1"/>
    <n v="0"/>
    <s v="Laborers"/>
    <x v="3"/>
  </r>
  <r>
    <n v="5023182"/>
    <x v="0"/>
    <s v="N"/>
    <s v="N"/>
    <n v="0"/>
    <x v="37"/>
    <x v="0"/>
    <x v="1"/>
    <x v="1"/>
    <x v="0"/>
    <d v="1966-09-30T00:00:00"/>
    <n v="-21268"/>
    <x v="300"/>
    <x v="2"/>
    <n v="365243"/>
    <n v="0"/>
    <x v="0"/>
    <n v="1"/>
    <n v="0"/>
    <n v="0"/>
    <n v="0"/>
    <m/>
    <x v="1"/>
  </r>
  <r>
    <n v="5023190"/>
    <x v="0"/>
    <s v="Y"/>
    <s v="Y"/>
    <n v="1"/>
    <x v="12"/>
    <x v="1"/>
    <x v="0"/>
    <x v="1"/>
    <x v="0"/>
    <d v="1993-06-04T00:00:00"/>
    <n v="-11524"/>
    <x v="301"/>
    <x v="3"/>
    <n v="-1635"/>
    <n v="4.476386036960986"/>
    <x v="1"/>
    <n v="1"/>
    <n v="0"/>
    <n v="1"/>
    <n v="1"/>
    <s v="Sales staff"/>
    <x v="3"/>
  </r>
  <r>
    <n v="5023195"/>
    <x v="1"/>
    <s v="N"/>
    <s v="Y"/>
    <n v="0"/>
    <x v="63"/>
    <x v="0"/>
    <x v="1"/>
    <x v="3"/>
    <x v="0"/>
    <d v="1964-05-22T00:00:00"/>
    <n v="-22129"/>
    <x v="302"/>
    <x v="0"/>
    <n v="365243"/>
    <n v="0"/>
    <x v="0"/>
    <n v="1"/>
    <n v="0"/>
    <n v="0"/>
    <n v="0"/>
    <m/>
    <x v="1"/>
  </r>
  <r>
    <n v="5023215"/>
    <x v="1"/>
    <s v="Y"/>
    <s v="Y"/>
    <n v="0"/>
    <x v="8"/>
    <x v="2"/>
    <x v="1"/>
    <x v="1"/>
    <x v="0"/>
    <d v="1979-03-22T00:00:00"/>
    <n v="-16712"/>
    <x v="303"/>
    <x v="1"/>
    <n v="-2243"/>
    <n v="6.1409993155373028"/>
    <x v="1"/>
    <n v="1"/>
    <n v="0"/>
    <n v="0"/>
    <n v="0"/>
    <s v="Drivers"/>
    <x v="1"/>
  </r>
  <r>
    <n v="5023233"/>
    <x v="0"/>
    <s v="Y"/>
    <s v="Y"/>
    <n v="0"/>
    <x v="8"/>
    <x v="1"/>
    <x v="0"/>
    <x v="2"/>
    <x v="0"/>
    <d v="1994-04-22T00:00:00"/>
    <n v="-11202"/>
    <x v="304"/>
    <x v="3"/>
    <n v="-1270"/>
    <n v="3.4770704996577688"/>
    <x v="1"/>
    <n v="1"/>
    <n v="1"/>
    <n v="0"/>
    <n v="0"/>
    <s v="Core staff"/>
    <x v="0"/>
  </r>
  <r>
    <n v="5023257"/>
    <x v="1"/>
    <s v="Y"/>
    <s v="Y"/>
    <n v="0"/>
    <x v="16"/>
    <x v="1"/>
    <x v="1"/>
    <x v="1"/>
    <x v="0"/>
    <d v="1966-12-05T00:00:00"/>
    <n v="-21202"/>
    <x v="305"/>
    <x v="2"/>
    <n v="-1696"/>
    <n v="4.6433949349760439"/>
    <x v="1"/>
    <n v="1"/>
    <n v="0"/>
    <n v="0"/>
    <n v="0"/>
    <s v="Drivers"/>
    <x v="1"/>
  </r>
  <r>
    <n v="5023277"/>
    <x v="0"/>
    <s v="N"/>
    <s v="Y"/>
    <n v="0"/>
    <x v="51"/>
    <x v="0"/>
    <x v="1"/>
    <x v="1"/>
    <x v="0"/>
    <d v="1962-05-15T00:00:00"/>
    <n v="-22867"/>
    <x v="103"/>
    <x v="0"/>
    <n v="365243"/>
    <n v="0"/>
    <x v="0"/>
    <n v="1"/>
    <n v="0"/>
    <n v="0"/>
    <n v="0"/>
    <m/>
    <x v="1"/>
  </r>
  <r>
    <n v="5023298"/>
    <x v="0"/>
    <s v="Y"/>
    <s v="Y"/>
    <n v="1"/>
    <x v="37"/>
    <x v="1"/>
    <x v="1"/>
    <x v="1"/>
    <x v="0"/>
    <d v="1992-05-15T00:00:00"/>
    <n v="-11909"/>
    <x v="306"/>
    <x v="3"/>
    <n v="-3553"/>
    <n v="9.7275838466803553"/>
    <x v="1"/>
    <n v="1"/>
    <n v="0"/>
    <n v="0"/>
    <n v="1"/>
    <m/>
    <x v="3"/>
  </r>
  <r>
    <n v="5023303"/>
    <x v="1"/>
    <s v="Y"/>
    <s v="N"/>
    <n v="1"/>
    <x v="8"/>
    <x v="2"/>
    <x v="1"/>
    <x v="1"/>
    <x v="0"/>
    <d v="1996-03-22T00:00:00"/>
    <n v="-10502"/>
    <x v="307"/>
    <x v="4"/>
    <n v="-1878"/>
    <n v="5.1416837782340865"/>
    <x v="1"/>
    <n v="1"/>
    <n v="0"/>
    <n v="0"/>
    <n v="0"/>
    <s v="Laborers"/>
    <x v="3"/>
  </r>
  <r>
    <n v="5023304"/>
    <x v="1"/>
    <s v="Y"/>
    <s v="N"/>
    <n v="1"/>
    <x v="8"/>
    <x v="2"/>
    <x v="1"/>
    <x v="1"/>
    <x v="0"/>
    <d v="1996-03-22T00:00:00"/>
    <n v="-10502"/>
    <x v="307"/>
    <x v="4"/>
    <n v="-1878"/>
    <n v="5.1416837782340865"/>
    <x v="1"/>
    <n v="1"/>
    <n v="0"/>
    <n v="0"/>
    <n v="0"/>
    <s v="Laborers"/>
    <x v="3"/>
  </r>
  <r>
    <n v="5023312"/>
    <x v="1"/>
    <s v="Y"/>
    <s v="N"/>
    <n v="1"/>
    <x v="8"/>
    <x v="2"/>
    <x v="1"/>
    <x v="1"/>
    <x v="0"/>
    <d v="1996-03-22T00:00:00"/>
    <n v="-10502"/>
    <x v="307"/>
    <x v="4"/>
    <n v="-1878"/>
    <n v="5.1416837782340865"/>
    <x v="1"/>
    <n v="1"/>
    <n v="0"/>
    <n v="0"/>
    <n v="0"/>
    <s v="Laborers"/>
    <x v="3"/>
  </r>
  <r>
    <n v="5023327"/>
    <x v="1"/>
    <s v="N"/>
    <s v="Y"/>
    <n v="2"/>
    <x v="51"/>
    <x v="0"/>
    <x v="1"/>
    <x v="1"/>
    <x v="0"/>
    <d v="1958-07-04T00:00:00"/>
    <n v="-24278"/>
    <x v="308"/>
    <x v="0"/>
    <n v="365243"/>
    <n v="0"/>
    <x v="0"/>
    <n v="1"/>
    <n v="0"/>
    <n v="0"/>
    <n v="0"/>
    <m/>
    <x v="2"/>
  </r>
  <r>
    <n v="5023330"/>
    <x v="1"/>
    <s v="N"/>
    <s v="Y"/>
    <n v="2"/>
    <x v="51"/>
    <x v="0"/>
    <x v="1"/>
    <x v="1"/>
    <x v="0"/>
    <d v="1958-07-04T00:00:00"/>
    <n v="-24278"/>
    <x v="308"/>
    <x v="0"/>
    <n v="365243"/>
    <n v="0"/>
    <x v="0"/>
    <n v="1"/>
    <n v="0"/>
    <n v="0"/>
    <n v="0"/>
    <m/>
    <x v="2"/>
  </r>
  <r>
    <n v="5023333"/>
    <x v="1"/>
    <s v="N"/>
    <s v="Y"/>
    <n v="2"/>
    <x v="51"/>
    <x v="0"/>
    <x v="1"/>
    <x v="1"/>
    <x v="0"/>
    <d v="1958-07-04T00:00:00"/>
    <n v="-24278"/>
    <x v="308"/>
    <x v="0"/>
    <n v="365243"/>
    <n v="0"/>
    <x v="0"/>
    <n v="1"/>
    <n v="0"/>
    <n v="0"/>
    <n v="0"/>
    <m/>
    <x v="2"/>
  </r>
  <r>
    <n v="5023334"/>
    <x v="1"/>
    <s v="N"/>
    <s v="Y"/>
    <n v="2"/>
    <x v="51"/>
    <x v="0"/>
    <x v="1"/>
    <x v="1"/>
    <x v="0"/>
    <d v="1958-07-04T00:00:00"/>
    <n v="-24278"/>
    <x v="308"/>
    <x v="0"/>
    <n v="365243"/>
    <n v="0"/>
    <x v="0"/>
    <n v="1"/>
    <n v="0"/>
    <n v="0"/>
    <n v="0"/>
    <m/>
    <x v="2"/>
  </r>
  <r>
    <n v="5023358"/>
    <x v="1"/>
    <s v="N"/>
    <s v="Y"/>
    <n v="0"/>
    <x v="16"/>
    <x v="2"/>
    <x v="1"/>
    <x v="2"/>
    <x v="0"/>
    <d v="1995-05-20T00:00:00"/>
    <n v="-10809"/>
    <x v="309"/>
    <x v="4"/>
    <n v="-2334"/>
    <n v="6.3901437371663246"/>
    <x v="1"/>
    <n v="1"/>
    <n v="1"/>
    <n v="0"/>
    <n v="0"/>
    <m/>
    <x v="0"/>
  </r>
  <r>
    <n v="5023397"/>
    <x v="0"/>
    <s v="N"/>
    <s v="Y"/>
    <n v="0"/>
    <x v="35"/>
    <x v="1"/>
    <x v="1"/>
    <x v="4"/>
    <x v="0"/>
    <d v="1965-08-16T00:00:00"/>
    <n v="-21678"/>
    <x v="310"/>
    <x v="2"/>
    <n v="-1239"/>
    <n v="3.3921971252566734"/>
    <x v="1"/>
    <n v="1"/>
    <n v="0"/>
    <n v="0"/>
    <n v="0"/>
    <s v="Security staff"/>
    <x v="0"/>
  </r>
  <r>
    <n v="5023409"/>
    <x v="0"/>
    <s v="N"/>
    <s v="Y"/>
    <n v="0"/>
    <x v="2"/>
    <x v="0"/>
    <x v="1"/>
    <x v="1"/>
    <x v="0"/>
    <d v="1965-09-21T00:00:00"/>
    <n v="-21642"/>
    <x v="311"/>
    <x v="2"/>
    <n v="365243"/>
    <n v="0"/>
    <x v="0"/>
    <n v="1"/>
    <n v="0"/>
    <n v="0"/>
    <n v="0"/>
    <m/>
    <x v="1"/>
  </r>
  <r>
    <n v="5023439"/>
    <x v="0"/>
    <s v="N"/>
    <s v="Y"/>
    <n v="0"/>
    <x v="16"/>
    <x v="2"/>
    <x v="0"/>
    <x v="2"/>
    <x v="0"/>
    <d v="1962-09-29T00:00:00"/>
    <n v="-22730"/>
    <x v="312"/>
    <x v="0"/>
    <n v="-13415"/>
    <n v="36.728268309377142"/>
    <x v="1"/>
    <n v="1"/>
    <n v="1"/>
    <n v="1"/>
    <n v="0"/>
    <s v="Sales staff"/>
    <x v="0"/>
  </r>
  <r>
    <n v="5023440"/>
    <x v="0"/>
    <s v="N"/>
    <s v="Y"/>
    <n v="0"/>
    <x v="16"/>
    <x v="2"/>
    <x v="0"/>
    <x v="2"/>
    <x v="0"/>
    <d v="1962-09-29T00:00:00"/>
    <n v="-22730"/>
    <x v="312"/>
    <x v="0"/>
    <n v="-13415"/>
    <n v="36.728268309377142"/>
    <x v="1"/>
    <n v="1"/>
    <n v="1"/>
    <n v="1"/>
    <n v="0"/>
    <s v="Sales staff"/>
    <x v="0"/>
  </r>
  <r>
    <n v="5023442"/>
    <x v="0"/>
    <s v="N"/>
    <s v="Y"/>
    <n v="0"/>
    <x v="16"/>
    <x v="2"/>
    <x v="0"/>
    <x v="2"/>
    <x v="0"/>
    <d v="1962-09-29T00:00:00"/>
    <n v="-22730"/>
    <x v="312"/>
    <x v="0"/>
    <n v="-13415"/>
    <n v="36.728268309377142"/>
    <x v="1"/>
    <n v="1"/>
    <n v="1"/>
    <n v="1"/>
    <n v="0"/>
    <s v="Sales staff"/>
    <x v="0"/>
  </r>
  <r>
    <n v="5023444"/>
    <x v="0"/>
    <s v="N"/>
    <s v="Y"/>
    <n v="0"/>
    <x v="16"/>
    <x v="2"/>
    <x v="0"/>
    <x v="2"/>
    <x v="0"/>
    <d v="1962-09-29T00:00:00"/>
    <n v="-22730"/>
    <x v="312"/>
    <x v="0"/>
    <n v="-13415"/>
    <n v="36.728268309377142"/>
    <x v="1"/>
    <n v="1"/>
    <n v="1"/>
    <n v="1"/>
    <n v="0"/>
    <s v="Sales staff"/>
    <x v="0"/>
  </r>
  <r>
    <n v="5023453"/>
    <x v="0"/>
    <s v="N"/>
    <s v="Y"/>
    <n v="0"/>
    <x v="16"/>
    <x v="1"/>
    <x v="1"/>
    <x v="1"/>
    <x v="0"/>
    <d v="1968-09-07T00:00:00"/>
    <n v="-20560"/>
    <x v="313"/>
    <x v="2"/>
    <n v="-661"/>
    <n v="1.8097193702943191"/>
    <x v="1"/>
    <n v="1"/>
    <n v="0"/>
    <n v="0"/>
    <n v="0"/>
    <s v="Sales staff"/>
    <x v="1"/>
  </r>
  <r>
    <n v="5023461"/>
    <x v="0"/>
    <s v="Y"/>
    <s v="Y"/>
    <n v="0"/>
    <x v="12"/>
    <x v="0"/>
    <x v="1"/>
    <x v="2"/>
    <x v="0"/>
    <d v="1967-06-13T00:00:00"/>
    <n v="-21012"/>
    <x v="314"/>
    <x v="2"/>
    <n v="365243"/>
    <n v="0"/>
    <x v="0"/>
    <n v="1"/>
    <n v="0"/>
    <n v="0"/>
    <n v="0"/>
    <m/>
    <x v="0"/>
  </r>
  <r>
    <n v="5023473"/>
    <x v="0"/>
    <s v="Y"/>
    <s v="Y"/>
    <n v="0"/>
    <x v="12"/>
    <x v="0"/>
    <x v="1"/>
    <x v="2"/>
    <x v="0"/>
    <d v="1967-06-13T00:00:00"/>
    <n v="-21012"/>
    <x v="314"/>
    <x v="2"/>
    <n v="365243"/>
    <n v="0"/>
    <x v="0"/>
    <n v="1"/>
    <n v="0"/>
    <n v="0"/>
    <n v="0"/>
    <m/>
    <x v="0"/>
  </r>
  <r>
    <n v="5023474"/>
    <x v="0"/>
    <s v="Y"/>
    <s v="Y"/>
    <n v="0"/>
    <x v="12"/>
    <x v="0"/>
    <x v="1"/>
    <x v="2"/>
    <x v="0"/>
    <d v="1967-06-13T00:00:00"/>
    <n v="-21012"/>
    <x v="314"/>
    <x v="2"/>
    <n v="365243"/>
    <n v="0"/>
    <x v="0"/>
    <n v="1"/>
    <n v="0"/>
    <n v="0"/>
    <n v="0"/>
    <m/>
    <x v="0"/>
  </r>
  <r>
    <n v="5023496"/>
    <x v="0"/>
    <s v="N"/>
    <s v="Y"/>
    <n v="1"/>
    <x v="2"/>
    <x v="2"/>
    <x v="1"/>
    <x v="1"/>
    <x v="0"/>
    <d v="1993-07-26T00:00:00"/>
    <n v="-11472"/>
    <x v="315"/>
    <x v="3"/>
    <n v="-1026"/>
    <n v="2.8090349075975358"/>
    <x v="1"/>
    <n v="1"/>
    <n v="0"/>
    <n v="0"/>
    <n v="0"/>
    <s v="Core staff"/>
    <x v="3"/>
  </r>
  <r>
    <n v="5023499"/>
    <x v="0"/>
    <s v="N"/>
    <s v="N"/>
    <n v="1"/>
    <x v="64"/>
    <x v="2"/>
    <x v="1"/>
    <x v="2"/>
    <x v="4"/>
    <d v="1978-12-07T00:00:00"/>
    <n v="-16817"/>
    <x v="316"/>
    <x v="1"/>
    <n v="-4618"/>
    <n v="12.643394934976044"/>
    <x v="1"/>
    <n v="1"/>
    <n v="0"/>
    <n v="0"/>
    <n v="0"/>
    <s v="Cleaning staff"/>
    <x v="1"/>
  </r>
  <r>
    <n v="5023517"/>
    <x v="1"/>
    <s v="Y"/>
    <s v="Y"/>
    <n v="1"/>
    <x v="2"/>
    <x v="2"/>
    <x v="0"/>
    <x v="1"/>
    <x v="0"/>
    <d v="1981-02-08T00:00:00"/>
    <n v="-16023"/>
    <x v="317"/>
    <x v="1"/>
    <n v="-965"/>
    <n v="2.6420260095824779"/>
    <x v="1"/>
    <n v="1"/>
    <n v="0"/>
    <n v="1"/>
    <n v="0"/>
    <s v="Drivers"/>
    <x v="3"/>
  </r>
  <r>
    <n v="5023521"/>
    <x v="1"/>
    <s v="Y"/>
    <s v="Y"/>
    <n v="1"/>
    <x v="2"/>
    <x v="2"/>
    <x v="0"/>
    <x v="1"/>
    <x v="0"/>
    <d v="1981-02-08T00:00:00"/>
    <n v="-16023"/>
    <x v="317"/>
    <x v="1"/>
    <n v="-965"/>
    <n v="2.6420260095824779"/>
    <x v="1"/>
    <n v="1"/>
    <n v="0"/>
    <n v="1"/>
    <n v="0"/>
    <s v="Drivers"/>
    <x v="3"/>
  </r>
  <r>
    <n v="5023531"/>
    <x v="0"/>
    <s v="N"/>
    <s v="Y"/>
    <n v="0"/>
    <x v="65"/>
    <x v="1"/>
    <x v="1"/>
    <x v="1"/>
    <x v="0"/>
    <d v="1968-12-17T00:00:00"/>
    <n v="-20459"/>
    <x v="318"/>
    <x v="2"/>
    <n v="-6930"/>
    <n v="18.973305954825463"/>
    <x v="1"/>
    <n v="1"/>
    <n v="0"/>
    <n v="0"/>
    <n v="0"/>
    <s v="High skill tech staff"/>
    <x v="1"/>
  </r>
  <r>
    <n v="5023548"/>
    <x v="1"/>
    <s v="Y"/>
    <s v="Y"/>
    <n v="0"/>
    <x v="66"/>
    <x v="2"/>
    <x v="1"/>
    <x v="1"/>
    <x v="0"/>
    <d v="1965-07-25T00:00:00"/>
    <n v="-21700"/>
    <x v="319"/>
    <x v="2"/>
    <n v="-2426"/>
    <n v="6.6420260095824775"/>
    <x v="1"/>
    <n v="1"/>
    <n v="0"/>
    <n v="0"/>
    <n v="0"/>
    <s v="Laborers"/>
    <x v="1"/>
  </r>
  <r>
    <n v="5023552"/>
    <x v="0"/>
    <s v="N"/>
    <s v="N"/>
    <n v="0"/>
    <x v="11"/>
    <x v="1"/>
    <x v="0"/>
    <x v="2"/>
    <x v="0"/>
    <d v="1991-06-02T00:00:00"/>
    <n v="-12257"/>
    <x v="320"/>
    <x v="3"/>
    <n v="-1969"/>
    <n v="5.3908281998631074"/>
    <x v="1"/>
    <n v="1"/>
    <n v="0"/>
    <n v="0"/>
    <n v="0"/>
    <s v="Managers"/>
    <x v="0"/>
  </r>
  <r>
    <n v="5023563"/>
    <x v="0"/>
    <s v="N"/>
    <s v="Y"/>
    <n v="0"/>
    <x v="11"/>
    <x v="2"/>
    <x v="1"/>
    <x v="4"/>
    <x v="0"/>
    <d v="1976-04-16T00:00:00"/>
    <n v="-17782"/>
    <x v="321"/>
    <x v="1"/>
    <n v="-9975"/>
    <n v="27.310061601642712"/>
    <x v="1"/>
    <n v="1"/>
    <n v="0"/>
    <n v="0"/>
    <n v="0"/>
    <s v="Core staff"/>
    <x v="0"/>
  </r>
  <r>
    <n v="5023564"/>
    <x v="0"/>
    <s v="N"/>
    <s v="Y"/>
    <n v="0"/>
    <x v="11"/>
    <x v="2"/>
    <x v="1"/>
    <x v="4"/>
    <x v="0"/>
    <d v="1976-04-16T00:00:00"/>
    <n v="-17782"/>
    <x v="321"/>
    <x v="1"/>
    <n v="-9975"/>
    <n v="27.310061601642712"/>
    <x v="1"/>
    <n v="1"/>
    <n v="0"/>
    <n v="0"/>
    <n v="0"/>
    <s v="Core staff"/>
    <x v="0"/>
  </r>
  <r>
    <n v="5023569"/>
    <x v="0"/>
    <s v="Y"/>
    <s v="Y"/>
    <n v="0"/>
    <x v="16"/>
    <x v="0"/>
    <x v="1"/>
    <x v="0"/>
    <x v="0"/>
    <d v="1966-02-25T00:00:00"/>
    <n v="-21485"/>
    <x v="322"/>
    <x v="2"/>
    <n v="365243"/>
    <n v="0"/>
    <x v="0"/>
    <n v="1"/>
    <n v="0"/>
    <n v="0"/>
    <n v="0"/>
    <m/>
    <x v="0"/>
  </r>
  <r>
    <n v="5023576"/>
    <x v="0"/>
    <s v="N"/>
    <s v="Y"/>
    <n v="0"/>
    <x v="11"/>
    <x v="0"/>
    <x v="1"/>
    <x v="1"/>
    <x v="0"/>
    <d v="1963-04-20T00:00:00"/>
    <n v="-22527"/>
    <x v="323"/>
    <x v="0"/>
    <n v="365243"/>
    <n v="0"/>
    <x v="0"/>
    <n v="1"/>
    <n v="0"/>
    <n v="0"/>
    <n v="0"/>
    <m/>
    <x v="1"/>
  </r>
  <r>
    <n v="5023581"/>
    <x v="0"/>
    <s v="N"/>
    <s v="Y"/>
    <n v="0"/>
    <x v="16"/>
    <x v="0"/>
    <x v="1"/>
    <x v="4"/>
    <x v="0"/>
    <d v="1961-12-27T00:00:00"/>
    <n v="-23006"/>
    <x v="324"/>
    <x v="0"/>
    <n v="365243"/>
    <n v="0"/>
    <x v="0"/>
    <n v="1"/>
    <n v="0"/>
    <n v="1"/>
    <n v="0"/>
    <m/>
    <x v="0"/>
  </r>
  <r>
    <n v="5023591"/>
    <x v="1"/>
    <s v="N"/>
    <s v="N"/>
    <n v="0"/>
    <x v="11"/>
    <x v="2"/>
    <x v="1"/>
    <x v="0"/>
    <x v="0"/>
    <d v="1985-08-25T00:00:00"/>
    <n v="-14364"/>
    <x v="325"/>
    <x v="3"/>
    <n v="-6352"/>
    <n v="17.390828199863108"/>
    <x v="1"/>
    <n v="1"/>
    <n v="0"/>
    <n v="0"/>
    <n v="0"/>
    <s v="Laborers"/>
    <x v="0"/>
  </r>
  <r>
    <n v="5023596"/>
    <x v="1"/>
    <s v="N"/>
    <s v="Y"/>
    <n v="0"/>
    <x v="1"/>
    <x v="0"/>
    <x v="1"/>
    <x v="1"/>
    <x v="0"/>
    <d v="1961-11-08T00:00:00"/>
    <n v="-23055"/>
    <x v="326"/>
    <x v="0"/>
    <n v="365243"/>
    <n v="0"/>
    <x v="0"/>
    <n v="1"/>
    <n v="0"/>
    <n v="0"/>
    <n v="0"/>
    <m/>
    <x v="1"/>
  </r>
  <r>
    <n v="5023626"/>
    <x v="0"/>
    <s v="N"/>
    <s v="N"/>
    <n v="2"/>
    <x v="16"/>
    <x v="1"/>
    <x v="2"/>
    <x v="1"/>
    <x v="0"/>
    <d v="1987-03-09T00:00:00"/>
    <n v="-13803"/>
    <x v="112"/>
    <x v="3"/>
    <n v="-3249"/>
    <n v="8.8952772073921977"/>
    <x v="1"/>
    <n v="1"/>
    <n v="0"/>
    <n v="1"/>
    <n v="0"/>
    <s v="Sales staff"/>
    <x v="2"/>
  </r>
  <r>
    <n v="5023638"/>
    <x v="1"/>
    <s v="N"/>
    <s v="Y"/>
    <n v="1"/>
    <x v="5"/>
    <x v="2"/>
    <x v="1"/>
    <x v="1"/>
    <x v="0"/>
    <d v="1991-05-18T00:00:00"/>
    <n v="-12272"/>
    <x v="327"/>
    <x v="3"/>
    <n v="-2212"/>
    <n v="6.0561259411362078"/>
    <x v="1"/>
    <n v="1"/>
    <n v="1"/>
    <n v="0"/>
    <n v="0"/>
    <s v="Laborers"/>
    <x v="3"/>
  </r>
  <r>
    <n v="5023639"/>
    <x v="1"/>
    <s v="Y"/>
    <s v="N"/>
    <n v="2"/>
    <x v="8"/>
    <x v="2"/>
    <x v="1"/>
    <x v="1"/>
    <x v="0"/>
    <d v="1984-07-09T00:00:00"/>
    <n v="-14776"/>
    <x v="328"/>
    <x v="1"/>
    <n v="-2212"/>
    <n v="6.0561259411362078"/>
    <x v="1"/>
    <n v="1"/>
    <n v="0"/>
    <n v="0"/>
    <n v="0"/>
    <s v="Drivers"/>
    <x v="2"/>
  </r>
  <r>
    <n v="5023652"/>
    <x v="0"/>
    <s v="N"/>
    <s v="N"/>
    <n v="0"/>
    <x v="8"/>
    <x v="1"/>
    <x v="2"/>
    <x v="2"/>
    <x v="0"/>
    <d v="1996-12-20T00:00:00"/>
    <n v="-10229"/>
    <x v="329"/>
    <x v="4"/>
    <n v="-1209"/>
    <n v="3.3100616016427105"/>
    <x v="1"/>
    <n v="1"/>
    <n v="0"/>
    <n v="0"/>
    <n v="0"/>
    <s v="Accountants"/>
    <x v="0"/>
  </r>
  <r>
    <n v="5023681"/>
    <x v="0"/>
    <s v="N"/>
    <s v="Y"/>
    <n v="1"/>
    <x v="37"/>
    <x v="1"/>
    <x v="1"/>
    <x v="3"/>
    <x v="0"/>
    <d v="1994-08-18T00:00:00"/>
    <n v="-11084"/>
    <x v="330"/>
    <x v="3"/>
    <n v="-1086"/>
    <n v="2.9733059548254621"/>
    <x v="1"/>
    <n v="1"/>
    <n v="1"/>
    <n v="1"/>
    <n v="0"/>
    <s v="Sales staff"/>
    <x v="3"/>
  </r>
  <r>
    <n v="5023697"/>
    <x v="0"/>
    <s v="N"/>
    <s v="Y"/>
    <n v="0"/>
    <x v="32"/>
    <x v="1"/>
    <x v="1"/>
    <x v="3"/>
    <x v="0"/>
    <d v="1991-08-13T00:00:00"/>
    <n v="-12185"/>
    <x v="331"/>
    <x v="3"/>
    <n v="-4710"/>
    <n v="12.895277207392198"/>
    <x v="1"/>
    <n v="1"/>
    <n v="1"/>
    <n v="1"/>
    <n v="0"/>
    <s v="Private service staff"/>
    <x v="1"/>
  </r>
  <r>
    <n v="5023716"/>
    <x v="0"/>
    <s v="Y"/>
    <s v="Y"/>
    <n v="0"/>
    <x v="62"/>
    <x v="0"/>
    <x v="0"/>
    <x v="1"/>
    <x v="0"/>
    <d v="1964-07-13T00:00:00"/>
    <n v="-22077"/>
    <x v="332"/>
    <x v="0"/>
    <n v="365243"/>
    <n v="0"/>
    <x v="0"/>
    <n v="1"/>
    <n v="0"/>
    <n v="1"/>
    <n v="0"/>
    <m/>
    <x v="1"/>
  </r>
  <r>
    <n v="5023729"/>
    <x v="1"/>
    <s v="Y"/>
    <s v="N"/>
    <n v="1"/>
    <x v="67"/>
    <x v="2"/>
    <x v="1"/>
    <x v="1"/>
    <x v="0"/>
    <d v="1996-11-18T00:00:00"/>
    <n v="-10261"/>
    <x v="333"/>
    <x v="4"/>
    <n v="-235"/>
    <n v="0.64339493497604383"/>
    <x v="1"/>
    <n v="1"/>
    <n v="0"/>
    <n v="1"/>
    <n v="0"/>
    <s v="Laborers"/>
    <x v="3"/>
  </r>
  <r>
    <n v="5023749"/>
    <x v="1"/>
    <s v="Y"/>
    <s v="N"/>
    <n v="0"/>
    <x v="5"/>
    <x v="1"/>
    <x v="1"/>
    <x v="1"/>
    <x v="0"/>
    <d v="1993-08-13T00:00:00"/>
    <n v="-11454"/>
    <x v="199"/>
    <x v="3"/>
    <n v="-1604"/>
    <n v="4.3915126625598901"/>
    <x v="1"/>
    <n v="1"/>
    <n v="0"/>
    <n v="0"/>
    <n v="0"/>
    <s v="Drivers"/>
    <x v="1"/>
  </r>
  <r>
    <n v="5023759"/>
    <x v="0"/>
    <s v="Y"/>
    <s v="Y"/>
    <n v="0"/>
    <x v="1"/>
    <x v="0"/>
    <x v="1"/>
    <x v="4"/>
    <x v="0"/>
    <d v="1962-01-11T00:00:00"/>
    <n v="-22991"/>
    <x v="334"/>
    <x v="0"/>
    <n v="365243"/>
    <n v="0"/>
    <x v="0"/>
    <n v="1"/>
    <n v="0"/>
    <n v="0"/>
    <n v="0"/>
    <m/>
    <x v="0"/>
  </r>
  <r>
    <n v="5023764"/>
    <x v="0"/>
    <s v="N"/>
    <s v="Y"/>
    <n v="0"/>
    <x v="30"/>
    <x v="0"/>
    <x v="1"/>
    <x v="1"/>
    <x v="0"/>
    <d v="1965-01-02T00:00:00"/>
    <n v="-21904"/>
    <x v="335"/>
    <x v="2"/>
    <n v="365243"/>
    <n v="0"/>
    <x v="0"/>
    <n v="1"/>
    <n v="0"/>
    <n v="1"/>
    <n v="0"/>
    <m/>
    <x v="1"/>
  </r>
  <r>
    <n v="5023811"/>
    <x v="1"/>
    <s v="N"/>
    <s v="Y"/>
    <n v="0"/>
    <x v="11"/>
    <x v="1"/>
    <x v="0"/>
    <x v="1"/>
    <x v="2"/>
    <d v="1972-09-24T00:00:00"/>
    <n v="-19082"/>
    <x v="29"/>
    <x v="2"/>
    <n v="-377"/>
    <n v="1.0321697467488022"/>
    <x v="1"/>
    <n v="1"/>
    <n v="0"/>
    <n v="0"/>
    <n v="0"/>
    <s v="IT staff"/>
    <x v="1"/>
  </r>
  <r>
    <n v="5023827"/>
    <x v="0"/>
    <s v="Y"/>
    <s v="Y"/>
    <n v="0"/>
    <x v="19"/>
    <x v="2"/>
    <x v="2"/>
    <x v="1"/>
    <x v="0"/>
    <d v="1985-04-24T00:00:00"/>
    <n v="-14487"/>
    <x v="336"/>
    <x v="3"/>
    <n v="-2538"/>
    <n v="6.9486652977412735"/>
    <x v="1"/>
    <n v="1"/>
    <n v="0"/>
    <n v="0"/>
    <n v="0"/>
    <s v="Core staff"/>
    <x v="1"/>
  </r>
  <r>
    <n v="5023844"/>
    <x v="0"/>
    <s v="N"/>
    <s v="Y"/>
    <n v="1"/>
    <x v="43"/>
    <x v="2"/>
    <x v="1"/>
    <x v="1"/>
    <x v="0"/>
    <d v="1977-08-14T00:00:00"/>
    <n v="-17297"/>
    <x v="337"/>
    <x v="1"/>
    <n v="-3482"/>
    <n v="9.5331964407939775"/>
    <x v="1"/>
    <n v="1"/>
    <n v="0"/>
    <n v="1"/>
    <n v="0"/>
    <s v="Laborers"/>
    <x v="3"/>
  </r>
  <r>
    <n v="5023851"/>
    <x v="0"/>
    <s v="N"/>
    <s v="N"/>
    <n v="1"/>
    <x v="1"/>
    <x v="2"/>
    <x v="1"/>
    <x v="2"/>
    <x v="0"/>
    <d v="1986-01-01T00:00:00"/>
    <n v="-14235"/>
    <x v="338"/>
    <x v="3"/>
    <n v="-1189"/>
    <n v="3.2553045859000687"/>
    <x v="1"/>
    <n v="1"/>
    <n v="0"/>
    <n v="0"/>
    <n v="0"/>
    <s v="Sales staff"/>
    <x v="1"/>
  </r>
  <r>
    <n v="5023858"/>
    <x v="0"/>
    <s v="Y"/>
    <s v="Y"/>
    <n v="0"/>
    <x v="42"/>
    <x v="3"/>
    <x v="0"/>
    <x v="1"/>
    <x v="0"/>
    <d v="1970-12-09T00:00:00"/>
    <n v="-19737"/>
    <x v="339"/>
    <x v="2"/>
    <n v="-5359"/>
    <n v="14.67214236824093"/>
    <x v="1"/>
    <n v="1"/>
    <n v="0"/>
    <n v="0"/>
    <n v="0"/>
    <m/>
    <x v="1"/>
  </r>
  <r>
    <n v="5023874"/>
    <x v="0"/>
    <s v="N"/>
    <s v="Y"/>
    <n v="0"/>
    <x v="16"/>
    <x v="1"/>
    <x v="1"/>
    <x v="2"/>
    <x v="0"/>
    <d v="1973-02-08T00:00:00"/>
    <n v="-18945"/>
    <x v="340"/>
    <x v="2"/>
    <n v="-1677"/>
    <n v="4.5913757700205338"/>
    <x v="1"/>
    <n v="1"/>
    <n v="1"/>
    <n v="0"/>
    <n v="0"/>
    <s v="Managers"/>
    <x v="0"/>
  </r>
  <r>
    <n v="5023890"/>
    <x v="0"/>
    <s v="N"/>
    <s v="Y"/>
    <n v="0"/>
    <x v="50"/>
    <x v="2"/>
    <x v="1"/>
    <x v="0"/>
    <x v="0"/>
    <d v="1978-01-23T00:00:00"/>
    <n v="-17135"/>
    <x v="341"/>
    <x v="1"/>
    <n v="-93"/>
    <n v="0.25462012320328542"/>
    <x v="1"/>
    <n v="1"/>
    <n v="1"/>
    <n v="1"/>
    <n v="0"/>
    <m/>
    <x v="0"/>
  </r>
  <r>
    <n v="5023892"/>
    <x v="0"/>
    <s v="N"/>
    <s v="Y"/>
    <n v="2"/>
    <x v="36"/>
    <x v="2"/>
    <x v="0"/>
    <x v="1"/>
    <x v="0"/>
    <d v="1991-09-07T00:00:00"/>
    <n v="-12160"/>
    <x v="342"/>
    <x v="3"/>
    <n v="-458"/>
    <n v="1.2539356605065024"/>
    <x v="1"/>
    <n v="1"/>
    <n v="0"/>
    <n v="0"/>
    <n v="0"/>
    <m/>
    <x v="2"/>
  </r>
  <r>
    <n v="5023900"/>
    <x v="0"/>
    <s v="N"/>
    <s v="Y"/>
    <n v="0"/>
    <x v="8"/>
    <x v="1"/>
    <x v="0"/>
    <x v="1"/>
    <x v="0"/>
    <d v="1998-01-03T00:00:00"/>
    <n v="-9850"/>
    <x v="343"/>
    <x v="4"/>
    <n v="-246"/>
    <n v="0.67351129363449691"/>
    <x v="1"/>
    <n v="1"/>
    <n v="0"/>
    <n v="0"/>
    <n v="0"/>
    <m/>
    <x v="1"/>
  </r>
  <r>
    <n v="5023906"/>
    <x v="0"/>
    <s v="N"/>
    <s v="Y"/>
    <n v="0"/>
    <x v="35"/>
    <x v="0"/>
    <x v="1"/>
    <x v="1"/>
    <x v="0"/>
    <d v="1962-12-11T00:00:00"/>
    <n v="-22657"/>
    <x v="344"/>
    <x v="0"/>
    <n v="365243"/>
    <n v="0"/>
    <x v="0"/>
    <n v="1"/>
    <n v="0"/>
    <n v="1"/>
    <n v="0"/>
    <m/>
    <x v="1"/>
  </r>
  <r>
    <n v="5023917"/>
    <x v="1"/>
    <s v="Y"/>
    <s v="N"/>
    <n v="1"/>
    <x v="8"/>
    <x v="2"/>
    <x v="1"/>
    <x v="3"/>
    <x v="0"/>
    <d v="1980-09-11T00:00:00"/>
    <n v="-16173"/>
    <x v="345"/>
    <x v="1"/>
    <n v="-2862"/>
    <n v="7.8357289527720742"/>
    <x v="1"/>
    <n v="1"/>
    <n v="0"/>
    <n v="0"/>
    <n v="0"/>
    <s v="Managers"/>
    <x v="3"/>
  </r>
  <r>
    <n v="5023920"/>
    <x v="1"/>
    <s v="Y"/>
    <s v="N"/>
    <n v="1"/>
    <x v="8"/>
    <x v="2"/>
    <x v="1"/>
    <x v="3"/>
    <x v="0"/>
    <d v="1980-09-11T00:00:00"/>
    <n v="-16173"/>
    <x v="345"/>
    <x v="1"/>
    <n v="-2862"/>
    <n v="7.8357289527720742"/>
    <x v="1"/>
    <n v="1"/>
    <n v="0"/>
    <n v="0"/>
    <n v="0"/>
    <s v="Managers"/>
    <x v="3"/>
  </r>
  <r>
    <n v="5023932"/>
    <x v="0"/>
    <s v="N"/>
    <s v="Y"/>
    <n v="2"/>
    <x v="1"/>
    <x v="2"/>
    <x v="1"/>
    <x v="0"/>
    <x v="0"/>
    <d v="1984-04-02T00:00:00"/>
    <n v="-14874"/>
    <x v="346"/>
    <x v="1"/>
    <n v="-2407"/>
    <n v="6.5900068446269682"/>
    <x v="1"/>
    <n v="1"/>
    <n v="0"/>
    <n v="0"/>
    <n v="0"/>
    <s v="Core staff"/>
    <x v="3"/>
  </r>
  <r>
    <n v="5023940"/>
    <x v="1"/>
    <s v="Y"/>
    <s v="Y"/>
    <n v="1"/>
    <x v="5"/>
    <x v="1"/>
    <x v="1"/>
    <x v="1"/>
    <x v="0"/>
    <d v="2000-02-26T00:00:00"/>
    <n v="-9066"/>
    <x v="347"/>
    <x v="4"/>
    <n v="-2407"/>
    <n v="6.5900068446269682"/>
    <x v="1"/>
    <n v="1"/>
    <n v="0"/>
    <n v="0"/>
    <n v="0"/>
    <s v="Cooking staff"/>
    <x v="3"/>
  </r>
  <r>
    <n v="5023941"/>
    <x v="1"/>
    <s v="Y"/>
    <s v="Y"/>
    <n v="1"/>
    <x v="5"/>
    <x v="1"/>
    <x v="1"/>
    <x v="1"/>
    <x v="0"/>
    <d v="2000-02-26T00:00:00"/>
    <n v="-9066"/>
    <x v="347"/>
    <x v="4"/>
    <n v="-2407"/>
    <n v="6.5900068446269682"/>
    <x v="1"/>
    <n v="1"/>
    <n v="0"/>
    <n v="0"/>
    <n v="0"/>
    <s v="Cooking staff"/>
    <x v="3"/>
  </r>
  <r>
    <n v="5023942"/>
    <x v="1"/>
    <s v="Y"/>
    <s v="Y"/>
    <n v="1"/>
    <x v="5"/>
    <x v="1"/>
    <x v="1"/>
    <x v="1"/>
    <x v="0"/>
    <d v="2000-02-26T00:00:00"/>
    <n v="-9066"/>
    <x v="347"/>
    <x v="4"/>
    <n v="-2407"/>
    <n v="6.5900068446269682"/>
    <x v="1"/>
    <n v="1"/>
    <n v="0"/>
    <n v="0"/>
    <n v="0"/>
    <s v="Cooking staff"/>
    <x v="3"/>
  </r>
  <r>
    <n v="5023943"/>
    <x v="0"/>
    <s v="N"/>
    <s v="Y"/>
    <n v="0"/>
    <x v="30"/>
    <x v="2"/>
    <x v="1"/>
    <x v="1"/>
    <x v="0"/>
    <d v="1985-01-22T00:00:00"/>
    <n v="-14579"/>
    <x v="348"/>
    <x v="3"/>
    <n v="-185"/>
    <n v="0.50650239561943877"/>
    <x v="1"/>
    <n v="1"/>
    <n v="0"/>
    <n v="1"/>
    <n v="0"/>
    <s v="Laborers"/>
    <x v="1"/>
  </r>
  <r>
    <n v="5023944"/>
    <x v="1"/>
    <s v="Y"/>
    <s v="Y"/>
    <n v="1"/>
    <x v="10"/>
    <x v="2"/>
    <x v="1"/>
    <x v="1"/>
    <x v="0"/>
    <d v="1984-01-05T00:00:00"/>
    <n v="-14962"/>
    <x v="349"/>
    <x v="1"/>
    <n v="-5176"/>
    <n v="14.171115674195756"/>
    <x v="1"/>
    <n v="1"/>
    <n v="0"/>
    <n v="0"/>
    <n v="0"/>
    <s v="Laborers"/>
    <x v="3"/>
  </r>
  <r>
    <n v="5023953"/>
    <x v="1"/>
    <s v="Y"/>
    <s v="Y"/>
    <n v="1"/>
    <x v="10"/>
    <x v="2"/>
    <x v="1"/>
    <x v="1"/>
    <x v="0"/>
    <d v="1984-01-05T00:00:00"/>
    <n v="-14962"/>
    <x v="349"/>
    <x v="1"/>
    <n v="-5176"/>
    <n v="14.171115674195756"/>
    <x v="1"/>
    <n v="1"/>
    <n v="0"/>
    <n v="0"/>
    <n v="0"/>
    <s v="Laborers"/>
    <x v="3"/>
  </r>
  <r>
    <n v="5023984"/>
    <x v="1"/>
    <s v="Y"/>
    <s v="Y"/>
    <n v="2"/>
    <x v="8"/>
    <x v="2"/>
    <x v="1"/>
    <x v="1"/>
    <x v="0"/>
    <d v="1998-04-02T00:00:00"/>
    <n v="-9761"/>
    <x v="350"/>
    <x v="4"/>
    <n v="-854"/>
    <n v="2.3381245722108144"/>
    <x v="1"/>
    <n v="1"/>
    <n v="1"/>
    <n v="1"/>
    <n v="0"/>
    <s v="Laborers"/>
    <x v="2"/>
  </r>
  <r>
    <n v="5023987"/>
    <x v="1"/>
    <s v="Y"/>
    <s v="Y"/>
    <n v="2"/>
    <x v="8"/>
    <x v="2"/>
    <x v="1"/>
    <x v="1"/>
    <x v="0"/>
    <d v="1998-04-02T00:00:00"/>
    <n v="-9761"/>
    <x v="350"/>
    <x v="4"/>
    <n v="-854"/>
    <n v="2.3381245722108144"/>
    <x v="1"/>
    <n v="1"/>
    <n v="1"/>
    <n v="1"/>
    <n v="0"/>
    <s v="Laborers"/>
    <x v="2"/>
  </r>
  <r>
    <n v="5024002"/>
    <x v="1"/>
    <s v="Y"/>
    <s v="Y"/>
    <n v="0"/>
    <x v="12"/>
    <x v="2"/>
    <x v="0"/>
    <x v="1"/>
    <x v="0"/>
    <d v="1995-04-12T00:00:00"/>
    <n v="-10847"/>
    <x v="351"/>
    <x v="4"/>
    <n v="-2712"/>
    <n v="7.4250513347022586"/>
    <x v="1"/>
    <n v="1"/>
    <n v="0"/>
    <n v="0"/>
    <n v="0"/>
    <s v="Laborers"/>
    <x v="1"/>
  </r>
  <r>
    <n v="5024005"/>
    <x v="1"/>
    <s v="Y"/>
    <s v="Y"/>
    <n v="0"/>
    <x v="12"/>
    <x v="2"/>
    <x v="0"/>
    <x v="1"/>
    <x v="0"/>
    <d v="1995-04-12T00:00:00"/>
    <n v="-10847"/>
    <x v="351"/>
    <x v="4"/>
    <n v="-2712"/>
    <n v="7.4250513347022586"/>
    <x v="1"/>
    <n v="1"/>
    <n v="0"/>
    <n v="0"/>
    <n v="0"/>
    <s v="Laborers"/>
    <x v="1"/>
  </r>
  <r>
    <n v="5024028"/>
    <x v="0"/>
    <s v="N"/>
    <s v="Y"/>
    <n v="2"/>
    <x v="2"/>
    <x v="2"/>
    <x v="1"/>
    <x v="1"/>
    <x v="2"/>
    <d v="1984-12-20T00:00:00"/>
    <n v="-14612"/>
    <x v="352"/>
    <x v="1"/>
    <n v="-397"/>
    <n v="1.0869267624914443"/>
    <x v="1"/>
    <n v="1"/>
    <n v="0"/>
    <n v="0"/>
    <n v="0"/>
    <s v="Core staff"/>
    <x v="2"/>
  </r>
  <r>
    <n v="5024035"/>
    <x v="0"/>
    <s v="N"/>
    <s v="Y"/>
    <n v="2"/>
    <x v="2"/>
    <x v="2"/>
    <x v="1"/>
    <x v="1"/>
    <x v="2"/>
    <d v="1984-12-20T00:00:00"/>
    <n v="-14612"/>
    <x v="352"/>
    <x v="1"/>
    <n v="-397"/>
    <n v="1.0869267624914443"/>
    <x v="1"/>
    <n v="1"/>
    <n v="0"/>
    <n v="0"/>
    <n v="0"/>
    <s v="Core staff"/>
    <x v="2"/>
  </r>
  <r>
    <n v="5024036"/>
    <x v="0"/>
    <s v="N"/>
    <s v="Y"/>
    <n v="2"/>
    <x v="2"/>
    <x v="2"/>
    <x v="1"/>
    <x v="1"/>
    <x v="2"/>
    <d v="1984-12-20T00:00:00"/>
    <n v="-14612"/>
    <x v="352"/>
    <x v="1"/>
    <n v="-397"/>
    <n v="1.0869267624914443"/>
    <x v="1"/>
    <n v="1"/>
    <n v="0"/>
    <n v="0"/>
    <n v="0"/>
    <s v="Core staff"/>
    <x v="2"/>
  </r>
  <r>
    <n v="5024039"/>
    <x v="0"/>
    <s v="N"/>
    <s v="N"/>
    <n v="0"/>
    <x v="1"/>
    <x v="2"/>
    <x v="1"/>
    <x v="1"/>
    <x v="0"/>
    <d v="1982-08-26T00:00:00"/>
    <n v="-15459"/>
    <x v="353"/>
    <x v="1"/>
    <n v="-642"/>
    <n v="1.7577002053388091"/>
    <x v="1"/>
    <n v="1"/>
    <n v="0"/>
    <n v="0"/>
    <n v="0"/>
    <s v="Sales staff"/>
    <x v="1"/>
  </r>
  <r>
    <n v="5024049"/>
    <x v="0"/>
    <s v="Y"/>
    <s v="Y"/>
    <n v="1"/>
    <x v="23"/>
    <x v="2"/>
    <x v="0"/>
    <x v="1"/>
    <x v="0"/>
    <d v="1989-08-25T00:00:00"/>
    <n v="-12903"/>
    <x v="354"/>
    <x v="3"/>
    <n v="-2924"/>
    <n v="8.0054757015742641"/>
    <x v="1"/>
    <n v="1"/>
    <n v="0"/>
    <n v="0"/>
    <n v="0"/>
    <s v="Accountants"/>
    <x v="3"/>
  </r>
  <r>
    <n v="5024054"/>
    <x v="0"/>
    <s v="N"/>
    <s v="Y"/>
    <n v="1"/>
    <x v="68"/>
    <x v="2"/>
    <x v="1"/>
    <x v="1"/>
    <x v="0"/>
    <d v="1989-05-08T00:00:00"/>
    <n v="-13012"/>
    <x v="355"/>
    <x v="3"/>
    <n v="-1342"/>
    <n v="3.6741957563312799"/>
    <x v="1"/>
    <n v="1"/>
    <n v="0"/>
    <n v="1"/>
    <n v="0"/>
    <s v="Sales staff"/>
    <x v="3"/>
  </r>
  <r>
    <n v="5024061"/>
    <x v="0"/>
    <s v="N"/>
    <s v="N"/>
    <n v="3"/>
    <x v="1"/>
    <x v="1"/>
    <x v="1"/>
    <x v="1"/>
    <x v="0"/>
    <d v="1994-11-30T00:00:00"/>
    <n v="-10980"/>
    <x v="356"/>
    <x v="3"/>
    <n v="-2893"/>
    <n v="7.9206023271731691"/>
    <x v="1"/>
    <n v="1"/>
    <n v="0"/>
    <n v="0"/>
    <n v="0"/>
    <s v="Core staff"/>
    <x v="4"/>
  </r>
  <r>
    <n v="5024063"/>
    <x v="1"/>
    <s v="N"/>
    <s v="N"/>
    <n v="3"/>
    <x v="1"/>
    <x v="1"/>
    <x v="1"/>
    <x v="1"/>
    <x v="0"/>
    <d v="1994-11-30T00:00:00"/>
    <n v="-10980"/>
    <x v="356"/>
    <x v="3"/>
    <n v="-2893"/>
    <n v="7.9206023271731691"/>
    <x v="1"/>
    <n v="1"/>
    <n v="0"/>
    <n v="0"/>
    <n v="0"/>
    <s v="Core staff"/>
    <x v="4"/>
  </r>
  <r>
    <n v="5024082"/>
    <x v="0"/>
    <s v="N"/>
    <s v="Y"/>
    <n v="2"/>
    <x v="2"/>
    <x v="2"/>
    <x v="1"/>
    <x v="0"/>
    <x v="0"/>
    <d v="1985-09-07T00:00:00"/>
    <n v="-14351"/>
    <x v="357"/>
    <x v="3"/>
    <n v="-3592"/>
    <n v="9.8343600273785086"/>
    <x v="1"/>
    <n v="1"/>
    <n v="0"/>
    <n v="0"/>
    <n v="0"/>
    <s v="Sales staff"/>
    <x v="3"/>
  </r>
  <r>
    <n v="5024115"/>
    <x v="0"/>
    <s v="N"/>
    <s v="Y"/>
    <n v="0"/>
    <x v="16"/>
    <x v="2"/>
    <x v="1"/>
    <x v="1"/>
    <x v="0"/>
    <d v="1964-08-18T00:00:00"/>
    <n v="-22041"/>
    <x v="358"/>
    <x v="0"/>
    <n v="-1524"/>
    <n v="4.1724845995893221"/>
    <x v="1"/>
    <n v="1"/>
    <n v="1"/>
    <n v="1"/>
    <n v="0"/>
    <s v="Accountants"/>
    <x v="1"/>
  </r>
  <r>
    <n v="5024121"/>
    <x v="0"/>
    <s v="N"/>
    <s v="Y"/>
    <n v="1"/>
    <x v="1"/>
    <x v="2"/>
    <x v="1"/>
    <x v="4"/>
    <x v="0"/>
    <d v="1982-01-22T00:00:00"/>
    <n v="-15675"/>
    <x v="108"/>
    <x v="1"/>
    <n v="-305"/>
    <n v="0.83504449007529091"/>
    <x v="1"/>
    <n v="1"/>
    <n v="0"/>
    <n v="0"/>
    <n v="0"/>
    <s v="Sales staff"/>
    <x v="1"/>
  </r>
  <r>
    <n v="5024132"/>
    <x v="1"/>
    <s v="Y"/>
    <s v="N"/>
    <n v="0"/>
    <x v="11"/>
    <x v="2"/>
    <x v="1"/>
    <x v="1"/>
    <x v="0"/>
    <d v="2001-04-12T00:00:00"/>
    <n v="-8655"/>
    <x v="359"/>
    <x v="4"/>
    <n v="-1067"/>
    <n v="2.9212867898699519"/>
    <x v="1"/>
    <n v="1"/>
    <n v="0"/>
    <n v="1"/>
    <n v="1"/>
    <s v="Core staff"/>
    <x v="1"/>
  </r>
  <r>
    <n v="5024135"/>
    <x v="1"/>
    <s v="Y"/>
    <s v="N"/>
    <n v="0"/>
    <x v="11"/>
    <x v="2"/>
    <x v="1"/>
    <x v="1"/>
    <x v="0"/>
    <d v="2001-04-12T00:00:00"/>
    <n v="-8655"/>
    <x v="359"/>
    <x v="4"/>
    <n v="-1067"/>
    <n v="2.9212867898699519"/>
    <x v="1"/>
    <n v="1"/>
    <n v="0"/>
    <n v="1"/>
    <n v="1"/>
    <s v="Core staff"/>
    <x v="1"/>
  </r>
  <r>
    <n v="5024163"/>
    <x v="1"/>
    <s v="Y"/>
    <s v="Y"/>
    <n v="3"/>
    <x v="11"/>
    <x v="2"/>
    <x v="1"/>
    <x v="1"/>
    <x v="0"/>
    <d v="1988-06-04T00:00:00"/>
    <n v="-13350"/>
    <x v="360"/>
    <x v="3"/>
    <n v="-1981"/>
    <n v="5.4236824093086931"/>
    <x v="1"/>
    <n v="1"/>
    <n v="0"/>
    <n v="0"/>
    <n v="0"/>
    <s v="Laborers"/>
    <x v="4"/>
  </r>
  <r>
    <n v="5024182"/>
    <x v="0"/>
    <s v="N"/>
    <s v="Y"/>
    <n v="0"/>
    <x v="51"/>
    <x v="1"/>
    <x v="1"/>
    <x v="1"/>
    <x v="0"/>
    <d v="1982-04-27T00:00:00"/>
    <n v="-15580"/>
    <x v="361"/>
    <x v="1"/>
    <n v="-3503"/>
    <n v="9.5906913073237501"/>
    <x v="1"/>
    <n v="1"/>
    <n v="0"/>
    <n v="0"/>
    <n v="0"/>
    <s v="Sales staff"/>
    <x v="1"/>
  </r>
  <r>
    <n v="5024203"/>
    <x v="0"/>
    <s v="N"/>
    <s v="Y"/>
    <n v="0"/>
    <x v="11"/>
    <x v="2"/>
    <x v="1"/>
    <x v="2"/>
    <x v="0"/>
    <d v="1980-05-29T00:00:00"/>
    <n v="-16278"/>
    <x v="362"/>
    <x v="1"/>
    <n v="-2712"/>
    <n v="7.4250513347022586"/>
    <x v="1"/>
    <n v="1"/>
    <n v="1"/>
    <n v="1"/>
    <n v="0"/>
    <m/>
    <x v="0"/>
  </r>
  <r>
    <n v="5024208"/>
    <x v="0"/>
    <s v="N"/>
    <s v="Y"/>
    <n v="0"/>
    <x v="11"/>
    <x v="2"/>
    <x v="1"/>
    <x v="2"/>
    <x v="0"/>
    <d v="1980-05-29T00:00:00"/>
    <n v="-16278"/>
    <x v="362"/>
    <x v="1"/>
    <n v="-2712"/>
    <n v="7.4250513347022586"/>
    <x v="1"/>
    <n v="1"/>
    <n v="1"/>
    <n v="1"/>
    <n v="0"/>
    <m/>
    <x v="0"/>
  </r>
  <r>
    <n v="5024261"/>
    <x v="1"/>
    <s v="N"/>
    <s v="Y"/>
    <n v="0"/>
    <x v="11"/>
    <x v="1"/>
    <x v="1"/>
    <x v="1"/>
    <x v="0"/>
    <d v="1981-12-28T00:00:00"/>
    <n v="-15700"/>
    <x v="363"/>
    <x v="1"/>
    <n v="-1677"/>
    <n v="4.5913757700205338"/>
    <x v="1"/>
    <n v="1"/>
    <n v="0"/>
    <n v="0"/>
    <n v="0"/>
    <m/>
    <x v="1"/>
  </r>
  <r>
    <n v="5024286"/>
    <x v="1"/>
    <s v="Y"/>
    <s v="Y"/>
    <n v="0"/>
    <x v="12"/>
    <x v="1"/>
    <x v="1"/>
    <x v="1"/>
    <x v="0"/>
    <d v="1982-07-07T00:00:00"/>
    <n v="-15509"/>
    <x v="364"/>
    <x v="1"/>
    <n v="-1189"/>
    <n v="3.2553045859000687"/>
    <x v="1"/>
    <n v="1"/>
    <n v="1"/>
    <n v="1"/>
    <n v="0"/>
    <s v="Drivers"/>
    <x v="1"/>
  </r>
  <r>
    <n v="5024302"/>
    <x v="0"/>
    <s v="N"/>
    <s v="Y"/>
    <n v="0"/>
    <x v="35"/>
    <x v="2"/>
    <x v="1"/>
    <x v="1"/>
    <x v="0"/>
    <d v="1976-12-13T00:00:00"/>
    <n v="-17541"/>
    <x v="365"/>
    <x v="1"/>
    <n v="-7276"/>
    <n v="19.920602327173167"/>
    <x v="1"/>
    <n v="1"/>
    <n v="1"/>
    <n v="1"/>
    <n v="1"/>
    <s v="Laborers"/>
    <x v="1"/>
  </r>
  <r>
    <n v="5024311"/>
    <x v="0"/>
    <s v="N"/>
    <s v="Y"/>
    <n v="0"/>
    <x v="7"/>
    <x v="0"/>
    <x v="1"/>
    <x v="4"/>
    <x v="0"/>
    <d v="1970-02-25T00:00:00"/>
    <n v="-20024"/>
    <x v="366"/>
    <x v="2"/>
    <n v="365243"/>
    <n v="0"/>
    <x v="0"/>
    <n v="1"/>
    <n v="0"/>
    <n v="0"/>
    <n v="0"/>
    <m/>
    <x v="0"/>
  </r>
  <r>
    <n v="5024316"/>
    <x v="0"/>
    <s v="N"/>
    <s v="Y"/>
    <n v="0"/>
    <x v="7"/>
    <x v="0"/>
    <x v="1"/>
    <x v="4"/>
    <x v="0"/>
    <d v="1970-02-25T00:00:00"/>
    <n v="-20024"/>
    <x v="366"/>
    <x v="2"/>
    <n v="365243"/>
    <n v="0"/>
    <x v="0"/>
    <n v="1"/>
    <n v="0"/>
    <n v="0"/>
    <n v="0"/>
    <m/>
    <x v="0"/>
  </r>
  <r>
    <n v="5024318"/>
    <x v="0"/>
    <s v="N"/>
    <s v="Y"/>
    <n v="0"/>
    <x v="1"/>
    <x v="0"/>
    <x v="1"/>
    <x v="3"/>
    <x v="0"/>
    <d v="1967-02-14T00:00:00"/>
    <n v="-21131"/>
    <x v="367"/>
    <x v="2"/>
    <n v="365243"/>
    <n v="0"/>
    <x v="0"/>
    <n v="1"/>
    <n v="0"/>
    <n v="0"/>
    <n v="0"/>
    <m/>
    <x v="1"/>
  </r>
  <r>
    <n v="5024322"/>
    <x v="0"/>
    <s v="N"/>
    <s v="Y"/>
    <n v="0"/>
    <x v="43"/>
    <x v="0"/>
    <x v="1"/>
    <x v="1"/>
    <x v="0"/>
    <d v="1960-11-21T00:00:00"/>
    <n v="-23407"/>
    <x v="368"/>
    <x v="0"/>
    <n v="365243"/>
    <n v="0"/>
    <x v="0"/>
    <n v="1"/>
    <n v="0"/>
    <n v="0"/>
    <n v="0"/>
    <m/>
    <x v="1"/>
  </r>
  <r>
    <n v="5024330"/>
    <x v="0"/>
    <s v="N"/>
    <s v="Y"/>
    <n v="0"/>
    <x v="8"/>
    <x v="1"/>
    <x v="1"/>
    <x v="1"/>
    <x v="0"/>
    <d v="1977-05-02T00:00:00"/>
    <n v="-17401"/>
    <x v="369"/>
    <x v="1"/>
    <n v="-9559"/>
    <n v="26.171115674195757"/>
    <x v="1"/>
    <n v="1"/>
    <n v="0"/>
    <n v="0"/>
    <n v="0"/>
    <s v="Realty agents"/>
    <x v="1"/>
  </r>
  <r>
    <n v="5024365"/>
    <x v="1"/>
    <s v="N"/>
    <s v="Y"/>
    <n v="1"/>
    <x v="51"/>
    <x v="2"/>
    <x v="1"/>
    <x v="1"/>
    <x v="0"/>
    <d v="1991-04-07T00:00:00"/>
    <n v="-12313"/>
    <x v="370"/>
    <x v="3"/>
    <n v="-1098"/>
    <n v="3.0061601642710474"/>
    <x v="1"/>
    <n v="1"/>
    <n v="0"/>
    <n v="0"/>
    <n v="0"/>
    <s v="Laborers"/>
    <x v="3"/>
  </r>
  <r>
    <n v="5024374"/>
    <x v="0"/>
    <s v="N"/>
    <s v="Y"/>
    <n v="2"/>
    <x v="2"/>
    <x v="2"/>
    <x v="0"/>
    <x v="1"/>
    <x v="0"/>
    <d v="1997-08-21T00:00:00"/>
    <n v="-9985"/>
    <x v="371"/>
    <x v="4"/>
    <n v="-1738"/>
    <n v="4.7583846680355917"/>
    <x v="1"/>
    <n v="1"/>
    <n v="0"/>
    <n v="0"/>
    <n v="0"/>
    <s v="Sales staff"/>
    <x v="2"/>
  </r>
  <r>
    <n v="5024378"/>
    <x v="1"/>
    <s v="N"/>
    <s v="Y"/>
    <n v="0"/>
    <x v="18"/>
    <x v="2"/>
    <x v="1"/>
    <x v="1"/>
    <x v="0"/>
    <d v="1990-08-08T00:00:00"/>
    <n v="-12555"/>
    <x v="372"/>
    <x v="3"/>
    <n v="-1858"/>
    <n v="5.0869267624914443"/>
    <x v="1"/>
    <n v="1"/>
    <n v="0"/>
    <n v="0"/>
    <n v="0"/>
    <s v="Core staff"/>
    <x v="1"/>
  </r>
  <r>
    <n v="5024386"/>
    <x v="0"/>
    <s v="N"/>
    <s v="N"/>
    <n v="0"/>
    <x v="32"/>
    <x v="2"/>
    <x v="1"/>
    <x v="1"/>
    <x v="4"/>
    <d v="1988-01-12T00:00:00"/>
    <n v="-13494"/>
    <x v="373"/>
    <x v="3"/>
    <n v="-1281"/>
    <n v="3.5071868583162216"/>
    <x v="1"/>
    <n v="1"/>
    <n v="0"/>
    <n v="0"/>
    <n v="0"/>
    <s v="Sales staff"/>
    <x v="1"/>
  </r>
  <r>
    <n v="5024396"/>
    <x v="0"/>
    <s v="N"/>
    <s v="N"/>
    <n v="0"/>
    <x v="32"/>
    <x v="2"/>
    <x v="1"/>
    <x v="1"/>
    <x v="4"/>
    <d v="1988-01-12T00:00:00"/>
    <n v="-13494"/>
    <x v="373"/>
    <x v="3"/>
    <n v="-1281"/>
    <n v="3.5071868583162216"/>
    <x v="1"/>
    <n v="1"/>
    <n v="0"/>
    <n v="0"/>
    <n v="0"/>
    <s v="Sales staff"/>
    <x v="1"/>
  </r>
  <r>
    <n v="5024416"/>
    <x v="1"/>
    <s v="Y"/>
    <s v="Y"/>
    <n v="0"/>
    <x v="14"/>
    <x v="2"/>
    <x v="0"/>
    <x v="2"/>
    <x v="0"/>
    <d v="1984-05-10T00:00:00"/>
    <n v="-14836"/>
    <x v="374"/>
    <x v="1"/>
    <n v="-2072"/>
    <n v="5.6728268309377139"/>
    <x v="1"/>
    <n v="1"/>
    <n v="0"/>
    <n v="0"/>
    <n v="0"/>
    <m/>
    <x v="0"/>
  </r>
  <r>
    <n v="5024420"/>
    <x v="1"/>
    <s v="N"/>
    <s v="N"/>
    <n v="0"/>
    <x v="16"/>
    <x v="2"/>
    <x v="1"/>
    <x v="3"/>
    <x v="0"/>
    <d v="1977-05-17T00:00:00"/>
    <n v="-17386"/>
    <x v="375"/>
    <x v="1"/>
    <n v="-3503"/>
    <n v="9.5906913073237501"/>
    <x v="1"/>
    <n v="1"/>
    <n v="0"/>
    <n v="0"/>
    <n v="0"/>
    <s v="Laborers"/>
    <x v="1"/>
  </r>
  <r>
    <n v="5024424"/>
    <x v="1"/>
    <s v="N"/>
    <s v="N"/>
    <n v="0"/>
    <x v="16"/>
    <x v="2"/>
    <x v="1"/>
    <x v="3"/>
    <x v="0"/>
    <d v="1977-05-17T00:00:00"/>
    <n v="-17386"/>
    <x v="375"/>
    <x v="1"/>
    <n v="-3503"/>
    <n v="9.5906913073237501"/>
    <x v="1"/>
    <n v="1"/>
    <n v="0"/>
    <n v="0"/>
    <n v="0"/>
    <s v="Laborers"/>
    <x v="1"/>
  </r>
  <r>
    <n v="5024427"/>
    <x v="0"/>
    <s v="Y"/>
    <s v="Y"/>
    <n v="0"/>
    <x v="69"/>
    <x v="0"/>
    <x v="0"/>
    <x v="1"/>
    <x v="0"/>
    <d v="1959-07-31T00:00:00"/>
    <n v="-23886"/>
    <x v="376"/>
    <x v="0"/>
    <n v="365243"/>
    <n v="0"/>
    <x v="0"/>
    <n v="1"/>
    <n v="0"/>
    <n v="1"/>
    <n v="0"/>
    <m/>
    <x v="1"/>
  </r>
  <r>
    <n v="5024430"/>
    <x v="0"/>
    <s v="Y"/>
    <s v="Y"/>
    <n v="0"/>
    <x v="69"/>
    <x v="0"/>
    <x v="0"/>
    <x v="1"/>
    <x v="0"/>
    <d v="1959-07-31T00:00:00"/>
    <n v="-23886"/>
    <x v="376"/>
    <x v="0"/>
    <n v="365243"/>
    <n v="0"/>
    <x v="0"/>
    <n v="1"/>
    <n v="0"/>
    <n v="1"/>
    <n v="0"/>
    <m/>
    <x v="1"/>
  </r>
  <r>
    <n v="5024436"/>
    <x v="1"/>
    <s v="Y"/>
    <s v="Y"/>
    <n v="0"/>
    <x v="5"/>
    <x v="1"/>
    <x v="0"/>
    <x v="1"/>
    <x v="0"/>
    <d v="1967-09-10T00:00:00"/>
    <n v="-20923"/>
    <x v="377"/>
    <x v="2"/>
    <n v="-1189"/>
    <n v="3.2553045859000687"/>
    <x v="1"/>
    <n v="1"/>
    <n v="0"/>
    <n v="0"/>
    <n v="0"/>
    <s v="Laborers"/>
    <x v="1"/>
  </r>
  <r>
    <n v="5024448"/>
    <x v="1"/>
    <s v="Y"/>
    <s v="Y"/>
    <n v="0"/>
    <x v="16"/>
    <x v="2"/>
    <x v="1"/>
    <x v="1"/>
    <x v="0"/>
    <d v="1990-06-20T00:00:00"/>
    <n v="-12604"/>
    <x v="378"/>
    <x v="3"/>
    <n v="-2620"/>
    <n v="7.1731690622861057"/>
    <x v="1"/>
    <n v="1"/>
    <n v="1"/>
    <n v="1"/>
    <n v="0"/>
    <s v="Managers"/>
    <x v="1"/>
  </r>
  <r>
    <n v="5024452"/>
    <x v="1"/>
    <s v="Y"/>
    <s v="Y"/>
    <n v="0"/>
    <x v="16"/>
    <x v="2"/>
    <x v="1"/>
    <x v="1"/>
    <x v="0"/>
    <d v="1990-06-20T00:00:00"/>
    <n v="-12604"/>
    <x v="378"/>
    <x v="3"/>
    <n v="-2620"/>
    <n v="7.1731690622861057"/>
    <x v="1"/>
    <n v="1"/>
    <n v="1"/>
    <n v="1"/>
    <n v="0"/>
    <s v="Managers"/>
    <x v="1"/>
  </r>
  <r>
    <n v="5024473"/>
    <x v="0"/>
    <s v="N"/>
    <s v="N"/>
    <n v="0"/>
    <x v="30"/>
    <x v="2"/>
    <x v="1"/>
    <x v="1"/>
    <x v="0"/>
    <d v="1997-06-06T00:00:00"/>
    <n v="-10061"/>
    <x v="379"/>
    <x v="4"/>
    <n v="-520"/>
    <n v="1.4236824093086926"/>
    <x v="1"/>
    <n v="1"/>
    <n v="0"/>
    <n v="0"/>
    <n v="1"/>
    <s v="High skill tech staff"/>
    <x v="1"/>
  </r>
  <r>
    <n v="5024486"/>
    <x v="0"/>
    <s v="N"/>
    <s v="Y"/>
    <n v="0"/>
    <x v="8"/>
    <x v="2"/>
    <x v="1"/>
    <x v="2"/>
    <x v="0"/>
    <d v="1969-05-23T00:00:00"/>
    <n v="-20302"/>
    <x v="380"/>
    <x v="2"/>
    <n v="-10259"/>
    <n v="28.087611225188226"/>
    <x v="1"/>
    <n v="1"/>
    <n v="0"/>
    <n v="0"/>
    <n v="0"/>
    <s v="Medicine staff"/>
    <x v="0"/>
  </r>
  <r>
    <n v="5024487"/>
    <x v="0"/>
    <s v="N"/>
    <s v="Y"/>
    <n v="0"/>
    <x v="8"/>
    <x v="2"/>
    <x v="1"/>
    <x v="2"/>
    <x v="0"/>
    <d v="1969-05-23T00:00:00"/>
    <n v="-20302"/>
    <x v="380"/>
    <x v="2"/>
    <n v="-10259"/>
    <n v="28.087611225188226"/>
    <x v="1"/>
    <n v="1"/>
    <n v="0"/>
    <n v="0"/>
    <n v="0"/>
    <s v="Medicine staff"/>
    <x v="0"/>
  </r>
  <r>
    <n v="5024489"/>
    <x v="1"/>
    <s v="N"/>
    <s v="Y"/>
    <n v="0"/>
    <x v="70"/>
    <x v="2"/>
    <x v="1"/>
    <x v="1"/>
    <x v="0"/>
    <d v="1965-07-08T00:00:00"/>
    <n v="-21717"/>
    <x v="381"/>
    <x v="2"/>
    <n v="-2042"/>
    <n v="5.590691307323751"/>
    <x v="1"/>
    <n v="1"/>
    <n v="0"/>
    <n v="0"/>
    <n v="0"/>
    <s v="Drivers"/>
    <x v="1"/>
  </r>
  <r>
    <n v="5024490"/>
    <x v="1"/>
    <s v="N"/>
    <s v="Y"/>
    <n v="1"/>
    <x v="1"/>
    <x v="2"/>
    <x v="1"/>
    <x v="1"/>
    <x v="1"/>
    <d v="1996-06-18T00:00:00"/>
    <n v="-10414"/>
    <x v="382"/>
    <x v="4"/>
    <n v="-2742"/>
    <n v="7.5071868583162216"/>
    <x v="1"/>
    <n v="1"/>
    <n v="1"/>
    <n v="1"/>
    <n v="0"/>
    <s v="Laborers"/>
    <x v="3"/>
  </r>
  <r>
    <n v="5024496"/>
    <x v="1"/>
    <s v="N"/>
    <s v="Y"/>
    <n v="1"/>
    <x v="1"/>
    <x v="2"/>
    <x v="1"/>
    <x v="1"/>
    <x v="1"/>
    <d v="1996-06-18T00:00:00"/>
    <n v="-10414"/>
    <x v="382"/>
    <x v="4"/>
    <n v="-2742"/>
    <n v="7.5071868583162216"/>
    <x v="1"/>
    <n v="1"/>
    <n v="1"/>
    <n v="1"/>
    <n v="0"/>
    <s v="Laborers"/>
    <x v="3"/>
  </r>
  <r>
    <n v="5024504"/>
    <x v="0"/>
    <s v="Y"/>
    <s v="Y"/>
    <n v="0"/>
    <x v="1"/>
    <x v="1"/>
    <x v="0"/>
    <x v="1"/>
    <x v="0"/>
    <d v="1986-01-26T00:00:00"/>
    <n v="-14210"/>
    <x v="383"/>
    <x v="3"/>
    <n v="-1128"/>
    <n v="3.0882956878850103"/>
    <x v="1"/>
    <n v="1"/>
    <n v="0"/>
    <n v="0"/>
    <n v="0"/>
    <s v="Private service staff"/>
    <x v="1"/>
  </r>
  <r>
    <n v="5024510"/>
    <x v="0"/>
    <s v="N"/>
    <s v="Y"/>
    <n v="0"/>
    <x v="56"/>
    <x v="0"/>
    <x v="1"/>
    <x v="1"/>
    <x v="0"/>
    <d v="1960-11-20T00:00:00"/>
    <n v="-23408"/>
    <x v="384"/>
    <x v="0"/>
    <n v="365243"/>
    <n v="0"/>
    <x v="0"/>
    <n v="1"/>
    <n v="0"/>
    <n v="0"/>
    <n v="0"/>
    <m/>
    <x v="1"/>
  </r>
  <r>
    <n v="5024512"/>
    <x v="0"/>
    <s v="N"/>
    <s v="Y"/>
    <n v="0"/>
    <x v="56"/>
    <x v="0"/>
    <x v="1"/>
    <x v="1"/>
    <x v="0"/>
    <d v="1960-11-20T00:00:00"/>
    <n v="-23408"/>
    <x v="384"/>
    <x v="0"/>
    <n v="365243"/>
    <n v="0"/>
    <x v="0"/>
    <n v="1"/>
    <n v="0"/>
    <n v="0"/>
    <n v="0"/>
    <m/>
    <x v="1"/>
  </r>
  <r>
    <n v="5024515"/>
    <x v="0"/>
    <s v="N"/>
    <s v="Y"/>
    <n v="0"/>
    <x v="56"/>
    <x v="0"/>
    <x v="1"/>
    <x v="1"/>
    <x v="0"/>
    <d v="1960-11-20T00:00:00"/>
    <n v="-23408"/>
    <x v="384"/>
    <x v="0"/>
    <n v="365243"/>
    <n v="0"/>
    <x v="0"/>
    <n v="1"/>
    <n v="0"/>
    <n v="0"/>
    <n v="0"/>
    <m/>
    <x v="1"/>
  </r>
  <r>
    <n v="5024516"/>
    <x v="0"/>
    <s v="N"/>
    <s v="Y"/>
    <n v="0"/>
    <x v="56"/>
    <x v="0"/>
    <x v="1"/>
    <x v="1"/>
    <x v="0"/>
    <d v="1960-11-20T00:00:00"/>
    <n v="-23408"/>
    <x v="384"/>
    <x v="0"/>
    <n v="365243"/>
    <n v="0"/>
    <x v="0"/>
    <n v="1"/>
    <n v="0"/>
    <n v="0"/>
    <n v="0"/>
    <m/>
    <x v="1"/>
  </r>
  <r>
    <n v="5024535"/>
    <x v="0"/>
    <s v="N"/>
    <s v="Y"/>
    <n v="0"/>
    <x v="16"/>
    <x v="0"/>
    <x v="1"/>
    <x v="4"/>
    <x v="0"/>
    <d v="1961-11-04T00:00:00"/>
    <n v="-23059"/>
    <x v="385"/>
    <x v="0"/>
    <n v="365243"/>
    <n v="0"/>
    <x v="0"/>
    <n v="1"/>
    <n v="0"/>
    <n v="0"/>
    <n v="0"/>
    <m/>
    <x v="0"/>
  </r>
  <r>
    <n v="5024541"/>
    <x v="1"/>
    <s v="N"/>
    <s v="Y"/>
    <n v="0"/>
    <x v="2"/>
    <x v="2"/>
    <x v="1"/>
    <x v="1"/>
    <x v="0"/>
    <d v="1986-06-14T00:00:00"/>
    <n v="-14071"/>
    <x v="386"/>
    <x v="3"/>
    <n v="-3806"/>
    <n v="10.420260095824778"/>
    <x v="1"/>
    <n v="1"/>
    <n v="1"/>
    <n v="0"/>
    <n v="0"/>
    <s v="Laborers"/>
    <x v="1"/>
  </r>
  <r>
    <n v="5024581"/>
    <x v="0"/>
    <s v="N"/>
    <s v="N"/>
    <n v="1"/>
    <x v="30"/>
    <x v="2"/>
    <x v="1"/>
    <x v="1"/>
    <x v="2"/>
    <d v="1996-11-26T00:00:00"/>
    <n v="-10253"/>
    <x v="387"/>
    <x v="4"/>
    <n v="-1462"/>
    <n v="4.0027378507871321"/>
    <x v="1"/>
    <n v="1"/>
    <n v="0"/>
    <n v="0"/>
    <n v="0"/>
    <s v="Laborers"/>
    <x v="3"/>
  </r>
  <r>
    <n v="5024584"/>
    <x v="0"/>
    <s v="Y"/>
    <s v="Y"/>
    <n v="2"/>
    <x v="12"/>
    <x v="3"/>
    <x v="1"/>
    <x v="1"/>
    <x v="0"/>
    <d v="1991-03-03T00:00:00"/>
    <n v="-12348"/>
    <x v="388"/>
    <x v="3"/>
    <n v="-1220"/>
    <n v="3.3401779603011637"/>
    <x v="1"/>
    <n v="1"/>
    <n v="0"/>
    <n v="0"/>
    <n v="0"/>
    <s v="Managers"/>
    <x v="2"/>
  </r>
  <r>
    <n v="5024589"/>
    <x v="1"/>
    <s v="Y"/>
    <s v="Y"/>
    <n v="0"/>
    <x v="5"/>
    <x v="2"/>
    <x v="1"/>
    <x v="1"/>
    <x v="2"/>
    <d v="2000-08-17T00:00:00"/>
    <n v="-8893"/>
    <x v="389"/>
    <x v="4"/>
    <n v="-1615"/>
    <n v="4.4216290212183438"/>
    <x v="1"/>
    <n v="1"/>
    <n v="1"/>
    <n v="0"/>
    <n v="0"/>
    <s v="Drivers"/>
    <x v="1"/>
  </r>
  <r>
    <n v="5024592"/>
    <x v="1"/>
    <s v="Y"/>
    <s v="Y"/>
    <n v="0"/>
    <x v="5"/>
    <x v="2"/>
    <x v="1"/>
    <x v="1"/>
    <x v="2"/>
    <d v="2000-08-17T00:00:00"/>
    <n v="-8893"/>
    <x v="389"/>
    <x v="4"/>
    <n v="-1615"/>
    <n v="4.4216290212183438"/>
    <x v="1"/>
    <n v="1"/>
    <n v="1"/>
    <n v="0"/>
    <n v="0"/>
    <s v="Drivers"/>
    <x v="1"/>
  </r>
  <r>
    <n v="5024614"/>
    <x v="1"/>
    <s v="Y"/>
    <s v="Y"/>
    <n v="0"/>
    <x v="16"/>
    <x v="0"/>
    <x v="1"/>
    <x v="3"/>
    <x v="0"/>
    <d v="1961-03-19T00:00:00"/>
    <n v="-23289"/>
    <x v="390"/>
    <x v="0"/>
    <n v="365243"/>
    <n v="0"/>
    <x v="0"/>
    <n v="1"/>
    <n v="0"/>
    <n v="1"/>
    <n v="0"/>
    <m/>
    <x v="1"/>
  </r>
  <r>
    <n v="5024622"/>
    <x v="1"/>
    <s v="N"/>
    <s v="Y"/>
    <n v="2"/>
    <x v="18"/>
    <x v="2"/>
    <x v="1"/>
    <x v="2"/>
    <x v="0"/>
    <d v="1993-06-23T00:00:00"/>
    <n v="-11505"/>
    <x v="144"/>
    <x v="3"/>
    <n v="-4019"/>
    <n v="11.003422313483915"/>
    <x v="1"/>
    <n v="1"/>
    <n v="0"/>
    <n v="0"/>
    <n v="0"/>
    <s v="Laborers"/>
    <x v="3"/>
  </r>
  <r>
    <n v="5024634"/>
    <x v="0"/>
    <s v="N"/>
    <s v="Y"/>
    <n v="0"/>
    <x v="5"/>
    <x v="2"/>
    <x v="1"/>
    <x v="1"/>
    <x v="0"/>
    <d v="1970-06-07T00:00:00"/>
    <n v="-19922"/>
    <x v="391"/>
    <x v="2"/>
    <n v="-1128"/>
    <n v="3.0882956878850103"/>
    <x v="1"/>
    <n v="1"/>
    <n v="0"/>
    <n v="0"/>
    <n v="0"/>
    <m/>
    <x v="1"/>
  </r>
  <r>
    <n v="5024639"/>
    <x v="0"/>
    <s v="Y"/>
    <s v="Y"/>
    <n v="0"/>
    <x v="16"/>
    <x v="1"/>
    <x v="0"/>
    <x v="1"/>
    <x v="0"/>
    <d v="1997-01-05T00:00:00"/>
    <n v="-10213"/>
    <x v="392"/>
    <x v="4"/>
    <n v="-1707"/>
    <n v="4.6735112936344967"/>
    <x v="1"/>
    <n v="1"/>
    <n v="0"/>
    <n v="0"/>
    <n v="0"/>
    <s v="Managers"/>
    <x v="1"/>
  </r>
  <r>
    <n v="5024642"/>
    <x v="0"/>
    <s v="Y"/>
    <s v="Y"/>
    <n v="0"/>
    <x v="16"/>
    <x v="1"/>
    <x v="0"/>
    <x v="1"/>
    <x v="0"/>
    <d v="1997-01-05T00:00:00"/>
    <n v="-10213"/>
    <x v="392"/>
    <x v="4"/>
    <n v="-1707"/>
    <n v="4.6735112936344967"/>
    <x v="1"/>
    <n v="1"/>
    <n v="0"/>
    <n v="0"/>
    <n v="0"/>
    <s v="Managers"/>
    <x v="1"/>
  </r>
  <r>
    <n v="5024657"/>
    <x v="0"/>
    <s v="N"/>
    <s v="Y"/>
    <n v="0"/>
    <x v="1"/>
    <x v="2"/>
    <x v="0"/>
    <x v="2"/>
    <x v="0"/>
    <d v="1978-06-19T00:00:00"/>
    <n v="-16988"/>
    <x v="393"/>
    <x v="1"/>
    <n v="-1434"/>
    <n v="3.9260780287474333"/>
    <x v="1"/>
    <n v="1"/>
    <n v="1"/>
    <n v="1"/>
    <n v="0"/>
    <m/>
    <x v="0"/>
  </r>
  <r>
    <n v="5024676"/>
    <x v="0"/>
    <s v="N"/>
    <s v="Y"/>
    <n v="1"/>
    <x v="16"/>
    <x v="2"/>
    <x v="0"/>
    <x v="0"/>
    <x v="0"/>
    <d v="1983-08-07T00:00:00"/>
    <n v="-15113"/>
    <x v="394"/>
    <x v="1"/>
    <n v="-1585"/>
    <n v="4.3394934976043809"/>
    <x v="1"/>
    <n v="1"/>
    <n v="0"/>
    <n v="0"/>
    <n v="0"/>
    <s v="HR staff"/>
    <x v="1"/>
  </r>
  <r>
    <n v="5024677"/>
    <x v="0"/>
    <s v="N"/>
    <s v="Y"/>
    <n v="1"/>
    <x v="16"/>
    <x v="2"/>
    <x v="0"/>
    <x v="0"/>
    <x v="0"/>
    <d v="1983-08-07T00:00:00"/>
    <n v="-15113"/>
    <x v="394"/>
    <x v="1"/>
    <n v="-1585"/>
    <n v="4.3394934976043809"/>
    <x v="1"/>
    <n v="1"/>
    <n v="0"/>
    <n v="0"/>
    <n v="0"/>
    <s v="HR staff"/>
    <x v="1"/>
  </r>
  <r>
    <n v="5024698"/>
    <x v="0"/>
    <s v="N"/>
    <s v="Y"/>
    <n v="0"/>
    <x v="11"/>
    <x v="2"/>
    <x v="1"/>
    <x v="0"/>
    <x v="0"/>
    <d v="1972-11-13T00:00:00"/>
    <n v="-19032"/>
    <x v="395"/>
    <x v="2"/>
    <n v="-3776"/>
    <n v="10.338124572210814"/>
    <x v="1"/>
    <n v="1"/>
    <n v="0"/>
    <n v="0"/>
    <n v="0"/>
    <s v="Laborers"/>
    <x v="0"/>
  </r>
  <r>
    <n v="5024728"/>
    <x v="0"/>
    <s v="N"/>
    <s v="Y"/>
    <n v="0"/>
    <x v="11"/>
    <x v="2"/>
    <x v="0"/>
    <x v="1"/>
    <x v="0"/>
    <d v="1975-04-08T00:00:00"/>
    <n v="-18156"/>
    <x v="396"/>
    <x v="1"/>
    <n v="-1250"/>
    <n v="3.4223134839151266"/>
    <x v="1"/>
    <n v="1"/>
    <n v="0"/>
    <n v="0"/>
    <n v="0"/>
    <s v="Managers"/>
    <x v="1"/>
  </r>
  <r>
    <n v="5024734"/>
    <x v="1"/>
    <s v="Y"/>
    <s v="Y"/>
    <n v="1"/>
    <x v="61"/>
    <x v="1"/>
    <x v="1"/>
    <x v="1"/>
    <x v="0"/>
    <d v="1979-10-10T00:00:00"/>
    <n v="-16510"/>
    <x v="397"/>
    <x v="1"/>
    <n v="-731"/>
    <n v="2.001368925393566"/>
    <x v="1"/>
    <n v="1"/>
    <n v="0"/>
    <n v="0"/>
    <n v="0"/>
    <m/>
    <x v="3"/>
  </r>
  <r>
    <n v="5024744"/>
    <x v="1"/>
    <s v="N"/>
    <s v="Y"/>
    <n v="0"/>
    <x v="8"/>
    <x v="1"/>
    <x v="0"/>
    <x v="2"/>
    <x v="0"/>
    <d v="1986-02-10T00:00:00"/>
    <n v="-14195"/>
    <x v="398"/>
    <x v="3"/>
    <n v="-6881"/>
    <n v="18.839151266255989"/>
    <x v="1"/>
    <n v="1"/>
    <n v="0"/>
    <n v="0"/>
    <n v="0"/>
    <s v="Laborers"/>
    <x v="0"/>
  </r>
  <r>
    <n v="5024753"/>
    <x v="0"/>
    <s v="N"/>
    <s v="Y"/>
    <n v="0"/>
    <x v="39"/>
    <x v="1"/>
    <x v="1"/>
    <x v="1"/>
    <x v="0"/>
    <d v="1980-03-28T00:00:00"/>
    <n v="-16340"/>
    <x v="399"/>
    <x v="1"/>
    <n v="-8647"/>
    <n v="23.674195756331279"/>
    <x v="1"/>
    <n v="1"/>
    <n v="0"/>
    <n v="0"/>
    <n v="0"/>
    <s v="Medicine staff"/>
    <x v="1"/>
  </r>
  <r>
    <n v="5024771"/>
    <x v="0"/>
    <s v="Y"/>
    <s v="Y"/>
    <n v="0"/>
    <x v="11"/>
    <x v="2"/>
    <x v="1"/>
    <x v="2"/>
    <x v="0"/>
    <d v="2001-07-08T00:00:00"/>
    <n v="-8568"/>
    <x v="400"/>
    <x v="4"/>
    <n v="-1068"/>
    <n v="2.924024640657084"/>
    <x v="1"/>
    <n v="1"/>
    <n v="0"/>
    <n v="0"/>
    <n v="0"/>
    <s v="Sales staff"/>
    <x v="0"/>
  </r>
  <r>
    <n v="5024791"/>
    <x v="0"/>
    <s v="N"/>
    <s v="Y"/>
    <n v="0"/>
    <x v="8"/>
    <x v="0"/>
    <x v="0"/>
    <x v="1"/>
    <x v="0"/>
    <d v="1959-08-18T00:00:00"/>
    <n v="-23868"/>
    <x v="401"/>
    <x v="0"/>
    <n v="365243"/>
    <n v="0"/>
    <x v="0"/>
    <n v="1"/>
    <n v="0"/>
    <n v="0"/>
    <n v="0"/>
    <m/>
    <x v="1"/>
  </r>
  <r>
    <n v="5024824"/>
    <x v="0"/>
    <s v="N"/>
    <s v="N"/>
    <n v="1"/>
    <x v="30"/>
    <x v="2"/>
    <x v="1"/>
    <x v="1"/>
    <x v="0"/>
    <d v="1991-01-26T00:00:00"/>
    <n v="-12384"/>
    <x v="402"/>
    <x v="3"/>
    <n v="-2223"/>
    <n v="6.0862422997946615"/>
    <x v="1"/>
    <n v="1"/>
    <n v="1"/>
    <n v="1"/>
    <n v="0"/>
    <s v="Sales staff"/>
    <x v="3"/>
  </r>
  <r>
    <n v="5024841"/>
    <x v="0"/>
    <s v="N"/>
    <s v="Y"/>
    <n v="0"/>
    <x v="11"/>
    <x v="1"/>
    <x v="0"/>
    <x v="2"/>
    <x v="0"/>
    <d v="1986-04-03T00:00:00"/>
    <n v="-14143"/>
    <x v="228"/>
    <x v="3"/>
    <n v="-2072"/>
    <n v="5.6728268309377139"/>
    <x v="1"/>
    <n v="1"/>
    <n v="0"/>
    <n v="0"/>
    <n v="0"/>
    <m/>
    <x v="0"/>
  </r>
  <r>
    <n v="5024845"/>
    <x v="0"/>
    <s v="N"/>
    <s v="Y"/>
    <n v="0"/>
    <x v="5"/>
    <x v="2"/>
    <x v="0"/>
    <x v="2"/>
    <x v="0"/>
    <d v="1993-06-17T00:00:00"/>
    <n v="-11511"/>
    <x v="403"/>
    <x v="3"/>
    <n v="-519"/>
    <n v="1.4209445585215605"/>
    <x v="1"/>
    <n v="1"/>
    <n v="0"/>
    <n v="0"/>
    <n v="0"/>
    <s v="High skill tech staff"/>
    <x v="0"/>
  </r>
  <r>
    <n v="5024853"/>
    <x v="0"/>
    <s v="Y"/>
    <s v="Y"/>
    <n v="3"/>
    <x v="51"/>
    <x v="2"/>
    <x v="1"/>
    <x v="1"/>
    <x v="0"/>
    <d v="1985-01-06T00:00:00"/>
    <n v="-14595"/>
    <x v="404"/>
    <x v="3"/>
    <n v="-884"/>
    <n v="2.4202600958247777"/>
    <x v="1"/>
    <n v="1"/>
    <n v="0"/>
    <n v="0"/>
    <n v="0"/>
    <s v="Core staff"/>
    <x v="4"/>
  </r>
  <r>
    <n v="5024860"/>
    <x v="0"/>
    <s v="Y"/>
    <s v="Y"/>
    <n v="0"/>
    <x v="2"/>
    <x v="0"/>
    <x v="3"/>
    <x v="3"/>
    <x v="0"/>
    <d v="1957-12-12T00:00:00"/>
    <n v="-24482"/>
    <x v="405"/>
    <x v="0"/>
    <n v="365243"/>
    <n v="0"/>
    <x v="0"/>
    <n v="1"/>
    <n v="0"/>
    <n v="1"/>
    <n v="0"/>
    <m/>
    <x v="1"/>
  </r>
  <r>
    <n v="5024874"/>
    <x v="0"/>
    <s v="Y"/>
    <s v="Y"/>
    <n v="1"/>
    <x v="8"/>
    <x v="1"/>
    <x v="1"/>
    <x v="1"/>
    <x v="0"/>
    <d v="1976-10-23T00:00:00"/>
    <n v="-17592"/>
    <x v="406"/>
    <x v="1"/>
    <n v="-2923"/>
    <n v="8.002737850787133"/>
    <x v="1"/>
    <n v="1"/>
    <n v="0"/>
    <n v="0"/>
    <n v="0"/>
    <s v="Core staff"/>
    <x v="3"/>
  </r>
  <r>
    <n v="5024883"/>
    <x v="1"/>
    <s v="N"/>
    <s v="N"/>
    <n v="0"/>
    <x v="16"/>
    <x v="2"/>
    <x v="1"/>
    <x v="2"/>
    <x v="1"/>
    <d v="2001-07-25T00:00:00"/>
    <n v="-8551"/>
    <x v="407"/>
    <x v="4"/>
    <n v="-1250"/>
    <n v="3.4223134839151266"/>
    <x v="1"/>
    <n v="1"/>
    <n v="0"/>
    <n v="0"/>
    <n v="0"/>
    <s v="Sales staff"/>
    <x v="0"/>
  </r>
  <r>
    <n v="5024891"/>
    <x v="1"/>
    <s v="Y"/>
    <s v="N"/>
    <n v="0"/>
    <x v="35"/>
    <x v="2"/>
    <x v="1"/>
    <x v="3"/>
    <x v="0"/>
    <d v="1965-09-05T00:00:00"/>
    <n v="-21658"/>
    <x v="408"/>
    <x v="2"/>
    <n v="-3471"/>
    <n v="9.5030800821355239"/>
    <x v="1"/>
    <n v="1"/>
    <n v="0"/>
    <n v="1"/>
    <n v="0"/>
    <s v="Laborers"/>
    <x v="1"/>
  </r>
  <r>
    <n v="5024898"/>
    <x v="0"/>
    <s v="N"/>
    <s v="Y"/>
    <n v="1"/>
    <x v="55"/>
    <x v="3"/>
    <x v="1"/>
    <x v="1"/>
    <x v="0"/>
    <d v="1981-06-23T00:00:00"/>
    <n v="-15888"/>
    <x v="409"/>
    <x v="1"/>
    <n v="-8707"/>
    <n v="23.838466803559207"/>
    <x v="1"/>
    <n v="1"/>
    <n v="0"/>
    <n v="0"/>
    <n v="0"/>
    <s v="Medicine staff"/>
    <x v="3"/>
  </r>
  <r>
    <n v="5024910"/>
    <x v="1"/>
    <s v="N"/>
    <s v="N"/>
    <n v="3"/>
    <x v="30"/>
    <x v="1"/>
    <x v="1"/>
    <x v="1"/>
    <x v="0"/>
    <d v="1989-08-22T00:00:00"/>
    <n v="-12906"/>
    <x v="410"/>
    <x v="3"/>
    <n v="-2467"/>
    <n v="6.754277891854894"/>
    <x v="1"/>
    <n v="1"/>
    <n v="1"/>
    <n v="0"/>
    <n v="0"/>
    <s v="Laborers"/>
    <x v="4"/>
  </r>
  <r>
    <n v="5024922"/>
    <x v="1"/>
    <s v="N"/>
    <s v="Y"/>
    <n v="0"/>
    <x v="16"/>
    <x v="2"/>
    <x v="3"/>
    <x v="2"/>
    <x v="0"/>
    <d v="1984-10-30T00:00:00"/>
    <n v="-14663"/>
    <x v="411"/>
    <x v="1"/>
    <n v="-1188"/>
    <n v="3.2525667351129361"/>
    <x v="1"/>
    <n v="1"/>
    <n v="0"/>
    <n v="0"/>
    <n v="0"/>
    <s v="Drivers"/>
    <x v="0"/>
  </r>
  <r>
    <n v="5024923"/>
    <x v="0"/>
    <s v="N"/>
    <s v="Y"/>
    <n v="2"/>
    <x v="39"/>
    <x v="2"/>
    <x v="1"/>
    <x v="1"/>
    <x v="0"/>
    <d v="1987-09-18T00:00:00"/>
    <n v="-13610"/>
    <x v="412"/>
    <x v="3"/>
    <n v="-184"/>
    <n v="0.50376454483230659"/>
    <x v="1"/>
    <n v="1"/>
    <n v="0"/>
    <n v="0"/>
    <n v="0"/>
    <m/>
    <x v="2"/>
  </r>
  <r>
    <n v="5024927"/>
    <x v="1"/>
    <s v="N"/>
    <s v="N"/>
    <n v="0"/>
    <x v="15"/>
    <x v="1"/>
    <x v="1"/>
    <x v="2"/>
    <x v="0"/>
    <d v="1990-05-22T00:00:00"/>
    <n v="-12633"/>
    <x v="413"/>
    <x v="3"/>
    <n v="-854"/>
    <n v="2.3381245722108144"/>
    <x v="1"/>
    <n v="1"/>
    <n v="0"/>
    <n v="0"/>
    <n v="0"/>
    <s v="Laborers"/>
    <x v="0"/>
  </r>
  <r>
    <n v="5024953"/>
    <x v="1"/>
    <s v="Y"/>
    <s v="Y"/>
    <n v="1"/>
    <x v="16"/>
    <x v="2"/>
    <x v="0"/>
    <x v="1"/>
    <x v="0"/>
    <d v="1991-09-24T00:00:00"/>
    <n v="-12143"/>
    <x v="414"/>
    <x v="3"/>
    <n v="-428"/>
    <n v="1.1718001368925393"/>
    <x v="1"/>
    <n v="1"/>
    <n v="1"/>
    <n v="1"/>
    <n v="0"/>
    <s v="Security staff"/>
    <x v="3"/>
  </r>
  <r>
    <n v="5024979"/>
    <x v="1"/>
    <s v="N"/>
    <s v="N"/>
    <n v="0"/>
    <x v="1"/>
    <x v="2"/>
    <x v="2"/>
    <x v="2"/>
    <x v="0"/>
    <d v="1998-01-02T00:00:00"/>
    <n v="-9851"/>
    <x v="415"/>
    <x v="4"/>
    <n v="-793"/>
    <n v="2.1711156741957565"/>
    <x v="1"/>
    <n v="1"/>
    <n v="0"/>
    <n v="0"/>
    <n v="0"/>
    <s v="Laborers"/>
    <x v="0"/>
  </r>
  <r>
    <n v="5025000"/>
    <x v="1"/>
    <s v="Y"/>
    <s v="N"/>
    <n v="0"/>
    <x v="12"/>
    <x v="2"/>
    <x v="1"/>
    <x v="1"/>
    <x v="0"/>
    <d v="1968-11-23T00:00:00"/>
    <n v="-20483"/>
    <x v="416"/>
    <x v="2"/>
    <n v="-792"/>
    <n v="2.1683778234086244"/>
    <x v="1"/>
    <n v="1"/>
    <n v="0"/>
    <n v="0"/>
    <n v="0"/>
    <s v="Drivers"/>
    <x v="1"/>
  </r>
  <r>
    <n v="5025012"/>
    <x v="0"/>
    <s v="Y"/>
    <s v="N"/>
    <n v="0"/>
    <x v="2"/>
    <x v="1"/>
    <x v="0"/>
    <x v="1"/>
    <x v="0"/>
    <d v="1990-04-17T00:00:00"/>
    <n v="-12668"/>
    <x v="417"/>
    <x v="3"/>
    <n v="-2498"/>
    <n v="6.839151266255989"/>
    <x v="1"/>
    <n v="1"/>
    <n v="0"/>
    <n v="0"/>
    <n v="1"/>
    <s v="Laborers"/>
    <x v="1"/>
  </r>
  <r>
    <n v="5025018"/>
    <x v="0"/>
    <s v="Y"/>
    <s v="Y"/>
    <n v="1"/>
    <x v="1"/>
    <x v="1"/>
    <x v="0"/>
    <x v="1"/>
    <x v="0"/>
    <d v="1997-04-11T00:00:00"/>
    <n v="-10117"/>
    <x v="418"/>
    <x v="4"/>
    <n v="-1158"/>
    <n v="3.1704312114989732"/>
    <x v="1"/>
    <n v="1"/>
    <n v="0"/>
    <n v="0"/>
    <n v="0"/>
    <s v="Core staff"/>
    <x v="3"/>
  </r>
  <r>
    <n v="5025023"/>
    <x v="0"/>
    <s v="N"/>
    <s v="Y"/>
    <n v="0"/>
    <x v="30"/>
    <x v="0"/>
    <x v="1"/>
    <x v="0"/>
    <x v="0"/>
    <d v="1967-05-04T00:00:00"/>
    <n v="-21052"/>
    <x v="419"/>
    <x v="2"/>
    <n v="365243"/>
    <n v="0"/>
    <x v="0"/>
    <n v="1"/>
    <n v="0"/>
    <n v="0"/>
    <n v="0"/>
    <m/>
    <x v="0"/>
  </r>
  <r>
    <n v="5025032"/>
    <x v="0"/>
    <s v="Y"/>
    <s v="N"/>
    <n v="0"/>
    <x v="30"/>
    <x v="1"/>
    <x v="1"/>
    <x v="1"/>
    <x v="0"/>
    <d v="1973-11-28T00:00:00"/>
    <n v="-18652"/>
    <x v="420"/>
    <x v="2"/>
    <n v="-5633"/>
    <n v="15.422313483915127"/>
    <x v="1"/>
    <n v="1"/>
    <n v="0"/>
    <n v="1"/>
    <n v="0"/>
    <s v="Laborers"/>
    <x v="1"/>
  </r>
  <r>
    <n v="5025040"/>
    <x v="0"/>
    <s v="N"/>
    <s v="N"/>
    <n v="0"/>
    <x v="2"/>
    <x v="2"/>
    <x v="1"/>
    <x v="1"/>
    <x v="0"/>
    <d v="1999-03-16T00:00:00"/>
    <n v="-9413"/>
    <x v="421"/>
    <x v="4"/>
    <n v="-2223"/>
    <n v="6.0862422997946615"/>
    <x v="1"/>
    <n v="1"/>
    <n v="0"/>
    <n v="1"/>
    <n v="0"/>
    <m/>
    <x v="1"/>
  </r>
  <r>
    <n v="5025051"/>
    <x v="1"/>
    <s v="Y"/>
    <s v="Y"/>
    <n v="1"/>
    <x v="1"/>
    <x v="2"/>
    <x v="1"/>
    <x v="1"/>
    <x v="0"/>
    <d v="1983-06-24T00:00:00"/>
    <n v="-15157"/>
    <x v="422"/>
    <x v="1"/>
    <n v="-8189"/>
    <n v="22.420260095824776"/>
    <x v="1"/>
    <n v="1"/>
    <n v="0"/>
    <n v="0"/>
    <n v="0"/>
    <s v="Laborers"/>
    <x v="3"/>
  </r>
  <r>
    <n v="5025060"/>
    <x v="1"/>
    <s v="Y"/>
    <s v="Y"/>
    <n v="0"/>
    <x v="6"/>
    <x v="2"/>
    <x v="1"/>
    <x v="1"/>
    <x v="0"/>
    <d v="1992-11-12T00:00:00"/>
    <n v="-11728"/>
    <x v="423"/>
    <x v="3"/>
    <n v="-3199"/>
    <n v="8.7583846680355926"/>
    <x v="1"/>
    <n v="1"/>
    <n v="0"/>
    <n v="0"/>
    <n v="0"/>
    <s v="High skill tech staff"/>
    <x v="1"/>
  </r>
  <r>
    <n v="5025073"/>
    <x v="0"/>
    <s v="N"/>
    <s v="Y"/>
    <n v="0"/>
    <x v="5"/>
    <x v="0"/>
    <x v="3"/>
    <x v="1"/>
    <x v="0"/>
    <d v="1961-11-07T00:00:00"/>
    <n v="-23056"/>
    <x v="424"/>
    <x v="0"/>
    <n v="365243"/>
    <n v="0"/>
    <x v="0"/>
    <n v="1"/>
    <n v="0"/>
    <n v="0"/>
    <n v="0"/>
    <m/>
    <x v="1"/>
  </r>
  <r>
    <n v="5025077"/>
    <x v="0"/>
    <s v="N"/>
    <s v="Y"/>
    <n v="1"/>
    <x v="56"/>
    <x v="2"/>
    <x v="0"/>
    <x v="2"/>
    <x v="0"/>
    <d v="1996-04-06T00:00:00"/>
    <n v="-10487"/>
    <x v="425"/>
    <x v="4"/>
    <n v="-3472"/>
    <n v="9.5058179329226551"/>
    <x v="1"/>
    <n v="1"/>
    <n v="0"/>
    <n v="1"/>
    <n v="0"/>
    <m/>
    <x v="1"/>
  </r>
  <r>
    <n v="5025078"/>
    <x v="1"/>
    <s v="N"/>
    <s v="Y"/>
    <n v="0"/>
    <x v="8"/>
    <x v="1"/>
    <x v="1"/>
    <x v="2"/>
    <x v="0"/>
    <d v="1983-05-06T00:00:00"/>
    <n v="-15206"/>
    <x v="426"/>
    <x v="1"/>
    <n v="-3563"/>
    <n v="9.7549623545516777"/>
    <x v="1"/>
    <n v="1"/>
    <n v="0"/>
    <n v="0"/>
    <n v="0"/>
    <s v="Laborers"/>
    <x v="0"/>
  </r>
  <r>
    <n v="5025084"/>
    <x v="0"/>
    <s v="N"/>
    <s v="Y"/>
    <n v="0"/>
    <x v="36"/>
    <x v="0"/>
    <x v="1"/>
    <x v="1"/>
    <x v="0"/>
    <d v="1957-05-17T00:00:00"/>
    <n v="-24691"/>
    <x v="427"/>
    <x v="0"/>
    <n v="365243"/>
    <n v="0"/>
    <x v="0"/>
    <n v="1"/>
    <n v="0"/>
    <n v="0"/>
    <n v="1"/>
    <m/>
    <x v="1"/>
  </r>
  <r>
    <n v="5025087"/>
    <x v="0"/>
    <s v="N"/>
    <s v="Y"/>
    <n v="0"/>
    <x v="56"/>
    <x v="2"/>
    <x v="1"/>
    <x v="3"/>
    <x v="0"/>
    <d v="1998-05-22T00:00:00"/>
    <n v="-9711"/>
    <x v="428"/>
    <x v="4"/>
    <n v="-1403"/>
    <n v="3.8412046543463383"/>
    <x v="1"/>
    <n v="1"/>
    <n v="0"/>
    <n v="0"/>
    <n v="0"/>
    <s v="Sales staff"/>
    <x v="1"/>
  </r>
  <r>
    <n v="5025100"/>
    <x v="0"/>
    <s v="N"/>
    <s v="N"/>
    <n v="0"/>
    <x v="16"/>
    <x v="1"/>
    <x v="1"/>
    <x v="3"/>
    <x v="0"/>
    <d v="1979-07-16T00:00:00"/>
    <n v="-16596"/>
    <x v="429"/>
    <x v="1"/>
    <n v="-427"/>
    <n v="1.1690622861054072"/>
    <x v="1"/>
    <n v="1"/>
    <n v="0"/>
    <n v="0"/>
    <n v="0"/>
    <s v="Sales staff"/>
    <x v="1"/>
  </r>
  <r>
    <n v="5025103"/>
    <x v="0"/>
    <s v="N"/>
    <s v="Y"/>
    <n v="0"/>
    <x v="5"/>
    <x v="0"/>
    <x v="1"/>
    <x v="1"/>
    <x v="0"/>
    <d v="1962-05-15T00:00:00"/>
    <n v="-22867"/>
    <x v="103"/>
    <x v="0"/>
    <n v="365243"/>
    <n v="0"/>
    <x v="0"/>
    <n v="1"/>
    <n v="0"/>
    <n v="0"/>
    <n v="0"/>
    <m/>
    <x v="1"/>
  </r>
  <r>
    <n v="5025127"/>
    <x v="1"/>
    <s v="N"/>
    <s v="Y"/>
    <n v="0"/>
    <x v="19"/>
    <x v="2"/>
    <x v="1"/>
    <x v="1"/>
    <x v="0"/>
    <d v="1994-07-22T00:00:00"/>
    <n v="-11111"/>
    <x v="430"/>
    <x v="3"/>
    <n v="-3350"/>
    <n v="9.1718001368925393"/>
    <x v="1"/>
    <n v="1"/>
    <n v="0"/>
    <n v="0"/>
    <n v="0"/>
    <s v="High skill tech staff"/>
    <x v="1"/>
  </r>
  <r>
    <n v="5025130"/>
    <x v="0"/>
    <s v="N"/>
    <s v="Y"/>
    <n v="0"/>
    <x v="18"/>
    <x v="2"/>
    <x v="1"/>
    <x v="1"/>
    <x v="0"/>
    <d v="1975-10-19T00:00:00"/>
    <n v="-17962"/>
    <x v="431"/>
    <x v="1"/>
    <n v="-9316"/>
    <n v="25.505817932922657"/>
    <x v="1"/>
    <n v="1"/>
    <n v="0"/>
    <n v="0"/>
    <n v="0"/>
    <m/>
    <x v="1"/>
  </r>
  <r>
    <n v="5025177"/>
    <x v="0"/>
    <s v="N"/>
    <s v="Y"/>
    <n v="0"/>
    <x v="5"/>
    <x v="3"/>
    <x v="1"/>
    <x v="1"/>
    <x v="0"/>
    <d v="1976-05-18T00:00:00"/>
    <n v="-17750"/>
    <x v="432"/>
    <x v="1"/>
    <n v="-10746"/>
    <n v="29.420944558521562"/>
    <x v="1"/>
    <n v="1"/>
    <n v="0"/>
    <n v="0"/>
    <n v="0"/>
    <m/>
    <x v="1"/>
  </r>
  <r>
    <n v="5025181"/>
    <x v="0"/>
    <s v="N"/>
    <s v="N"/>
    <n v="0"/>
    <x v="18"/>
    <x v="1"/>
    <x v="1"/>
    <x v="2"/>
    <x v="0"/>
    <d v="1962-06-22T00:00:00"/>
    <n v="-22829"/>
    <x v="433"/>
    <x v="0"/>
    <n v="-2558"/>
    <n v="7.0034223134839149"/>
    <x v="1"/>
    <n v="1"/>
    <n v="0"/>
    <n v="0"/>
    <n v="0"/>
    <s v="High skill tech staff"/>
    <x v="0"/>
  </r>
  <r>
    <n v="5025184"/>
    <x v="0"/>
    <s v="N"/>
    <s v="Y"/>
    <n v="0"/>
    <x v="30"/>
    <x v="0"/>
    <x v="1"/>
    <x v="1"/>
    <x v="0"/>
    <d v="1963-07-16T00:00:00"/>
    <n v="-22440"/>
    <x v="434"/>
    <x v="0"/>
    <n v="365243"/>
    <n v="0"/>
    <x v="0"/>
    <n v="1"/>
    <n v="0"/>
    <n v="0"/>
    <n v="0"/>
    <m/>
    <x v="1"/>
  </r>
  <r>
    <n v="5025201"/>
    <x v="1"/>
    <s v="Y"/>
    <s v="N"/>
    <n v="0"/>
    <x v="71"/>
    <x v="1"/>
    <x v="1"/>
    <x v="1"/>
    <x v="1"/>
    <d v="1981-04-12T00:00:00"/>
    <n v="-15960"/>
    <x v="435"/>
    <x v="1"/>
    <n v="-1646"/>
    <n v="4.5065023956194388"/>
    <x v="1"/>
    <n v="1"/>
    <n v="0"/>
    <n v="0"/>
    <n v="0"/>
    <s v="Managers"/>
    <x v="1"/>
  </r>
  <r>
    <n v="5025228"/>
    <x v="1"/>
    <s v="Y"/>
    <s v="Y"/>
    <n v="1"/>
    <x v="11"/>
    <x v="2"/>
    <x v="1"/>
    <x v="1"/>
    <x v="0"/>
    <d v="1996-08-16T00:00:00"/>
    <n v="-10355"/>
    <x v="436"/>
    <x v="4"/>
    <n v="-642"/>
    <n v="1.7577002053388091"/>
    <x v="1"/>
    <n v="1"/>
    <n v="0"/>
    <n v="1"/>
    <n v="0"/>
    <s v="Drivers"/>
    <x v="3"/>
  </r>
  <r>
    <n v="5025251"/>
    <x v="0"/>
    <s v="Y"/>
    <s v="Y"/>
    <n v="1"/>
    <x v="21"/>
    <x v="1"/>
    <x v="0"/>
    <x v="1"/>
    <x v="0"/>
    <d v="1985-02-12T00:00:00"/>
    <n v="-14558"/>
    <x v="437"/>
    <x v="3"/>
    <n v="-1250"/>
    <n v="3.4223134839151266"/>
    <x v="1"/>
    <n v="1"/>
    <n v="0"/>
    <n v="0"/>
    <n v="0"/>
    <s v="High skill tech staff"/>
    <x v="3"/>
  </r>
  <r>
    <n v="5025681"/>
    <x v="0"/>
    <s v="Y"/>
    <s v="N"/>
    <n v="1"/>
    <x v="1"/>
    <x v="3"/>
    <x v="1"/>
    <x v="1"/>
    <x v="0"/>
    <d v="1985-01-02T00:00:00"/>
    <n v="-14599"/>
    <x v="438"/>
    <x v="3"/>
    <n v="-2108"/>
    <n v="5.7713894592744692"/>
    <x v="1"/>
    <n v="1"/>
    <n v="1"/>
    <n v="1"/>
    <n v="0"/>
    <s v="Medicine staff"/>
    <x v="3"/>
  </r>
  <r>
    <n v="5025737"/>
    <x v="0"/>
    <s v="Y"/>
    <s v="N"/>
    <n v="0"/>
    <x v="7"/>
    <x v="2"/>
    <x v="0"/>
    <x v="1"/>
    <x v="4"/>
    <d v="1992-03-11T00:00:00"/>
    <n v="-11974"/>
    <x v="439"/>
    <x v="3"/>
    <n v="-282"/>
    <n v="0.77207392197125257"/>
    <x v="1"/>
    <n v="1"/>
    <n v="0"/>
    <n v="1"/>
    <n v="0"/>
    <s v="Sales staff"/>
    <x v="1"/>
  </r>
  <r>
    <n v="5025738"/>
    <x v="0"/>
    <s v="Y"/>
    <s v="N"/>
    <n v="0"/>
    <x v="7"/>
    <x v="2"/>
    <x v="0"/>
    <x v="1"/>
    <x v="4"/>
    <d v="1992-03-11T00:00:00"/>
    <n v="-11974"/>
    <x v="439"/>
    <x v="3"/>
    <n v="-282"/>
    <n v="0.77207392197125257"/>
    <x v="1"/>
    <n v="1"/>
    <n v="0"/>
    <n v="1"/>
    <n v="0"/>
    <s v="Sales staff"/>
    <x v="1"/>
  </r>
  <r>
    <n v="5025749"/>
    <x v="0"/>
    <s v="N"/>
    <s v="N"/>
    <n v="0"/>
    <x v="2"/>
    <x v="1"/>
    <x v="1"/>
    <x v="2"/>
    <x v="0"/>
    <d v="1982-01-11T00:00:00"/>
    <n v="-15686"/>
    <x v="440"/>
    <x v="1"/>
    <n v="-223"/>
    <n v="0.61054072553045857"/>
    <x v="1"/>
    <n v="1"/>
    <n v="0"/>
    <n v="0"/>
    <n v="1"/>
    <s v="Core staff"/>
    <x v="0"/>
  </r>
  <r>
    <n v="5025783"/>
    <x v="0"/>
    <s v="N"/>
    <s v="Y"/>
    <n v="1"/>
    <x v="8"/>
    <x v="1"/>
    <x v="1"/>
    <x v="1"/>
    <x v="0"/>
    <d v="1990-10-24T00:00:00"/>
    <n v="-12478"/>
    <x v="441"/>
    <x v="3"/>
    <n v="-3569"/>
    <n v="9.7713894592744701"/>
    <x v="1"/>
    <n v="1"/>
    <n v="0"/>
    <n v="0"/>
    <n v="0"/>
    <s v="Managers"/>
    <x v="3"/>
  </r>
  <r>
    <n v="5025787"/>
    <x v="0"/>
    <s v="N"/>
    <s v="Y"/>
    <n v="1"/>
    <x v="8"/>
    <x v="1"/>
    <x v="1"/>
    <x v="1"/>
    <x v="0"/>
    <d v="1990-10-24T00:00:00"/>
    <n v="-12478"/>
    <x v="441"/>
    <x v="3"/>
    <n v="-3569"/>
    <n v="9.7713894592744701"/>
    <x v="1"/>
    <n v="1"/>
    <n v="0"/>
    <n v="0"/>
    <n v="0"/>
    <s v="Managers"/>
    <x v="3"/>
  </r>
  <r>
    <n v="5025812"/>
    <x v="0"/>
    <s v="Y"/>
    <s v="Y"/>
    <n v="0"/>
    <x v="5"/>
    <x v="1"/>
    <x v="1"/>
    <x v="1"/>
    <x v="0"/>
    <d v="1977-08-14T00:00:00"/>
    <n v="-17297"/>
    <x v="337"/>
    <x v="1"/>
    <n v="-2018"/>
    <n v="5.5249828884325805"/>
    <x v="1"/>
    <n v="1"/>
    <n v="0"/>
    <n v="0"/>
    <n v="0"/>
    <s v="Sales staff"/>
    <x v="1"/>
  </r>
  <r>
    <n v="5025848"/>
    <x v="0"/>
    <s v="N"/>
    <s v="Y"/>
    <n v="0"/>
    <x v="63"/>
    <x v="0"/>
    <x v="1"/>
    <x v="1"/>
    <x v="0"/>
    <d v="1963-07-10T00:00:00"/>
    <n v="-22446"/>
    <x v="442"/>
    <x v="0"/>
    <n v="365243"/>
    <n v="0"/>
    <x v="0"/>
    <n v="1"/>
    <n v="0"/>
    <n v="0"/>
    <n v="0"/>
    <m/>
    <x v="1"/>
  </r>
  <r>
    <n v="5025879"/>
    <x v="1"/>
    <s v="Y"/>
    <s v="N"/>
    <n v="0"/>
    <x v="51"/>
    <x v="0"/>
    <x v="1"/>
    <x v="3"/>
    <x v="0"/>
    <d v="1965-09-30T00:00:00"/>
    <n v="-21633"/>
    <x v="443"/>
    <x v="2"/>
    <n v="365243"/>
    <n v="0"/>
    <x v="0"/>
    <n v="1"/>
    <n v="0"/>
    <n v="0"/>
    <n v="0"/>
    <m/>
    <x v="1"/>
  </r>
  <r>
    <n v="5025880"/>
    <x v="1"/>
    <s v="Y"/>
    <s v="N"/>
    <n v="0"/>
    <x v="51"/>
    <x v="0"/>
    <x v="1"/>
    <x v="3"/>
    <x v="0"/>
    <d v="1965-09-30T00:00:00"/>
    <n v="-21633"/>
    <x v="443"/>
    <x v="2"/>
    <n v="365243"/>
    <n v="0"/>
    <x v="0"/>
    <n v="1"/>
    <n v="0"/>
    <n v="0"/>
    <n v="0"/>
    <m/>
    <x v="1"/>
  </r>
  <r>
    <n v="5025890"/>
    <x v="0"/>
    <s v="N"/>
    <s v="Y"/>
    <n v="0"/>
    <x v="1"/>
    <x v="0"/>
    <x v="1"/>
    <x v="1"/>
    <x v="0"/>
    <d v="1960-10-17T00:00:00"/>
    <n v="-23442"/>
    <x v="444"/>
    <x v="0"/>
    <n v="365243"/>
    <n v="0"/>
    <x v="0"/>
    <n v="1"/>
    <n v="0"/>
    <n v="1"/>
    <n v="0"/>
    <m/>
    <x v="1"/>
  </r>
  <r>
    <n v="5025949"/>
    <x v="0"/>
    <s v="N"/>
    <s v="Y"/>
    <n v="0"/>
    <x v="22"/>
    <x v="2"/>
    <x v="1"/>
    <x v="1"/>
    <x v="0"/>
    <d v="1987-12-17T00:00:00"/>
    <n v="-13520"/>
    <x v="445"/>
    <x v="3"/>
    <n v="-5488"/>
    <n v="15.025325119780971"/>
    <x v="1"/>
    <n v="1"/>
    <n v="0"/>
    <n v="0"/>
    <n v="0"/>
    <s v="Core staff"/>
    <x v="1"/>
  </r>
  <r>
    <n v="5025962"/>
    <x v="0"/>
    <s v="N"/>
    <s v="Y"/>
    <n v="0"/>
    <x v="22"/>
    <x v="2"/>
    <x v="1"/>
    <x v="1"/>
    <x v="0"/>
    <d v="1987-12-17T00:00:00"/>
    <n v="-13520"/>
    <x v="445"/>
    <x v="3"/>
    <n v="-5488"/>
    <n v="15.025325119780971"/>
    <x v="1"/>
    <n v="1"/>
    <n v="0"/>
    <n v="0"/>
    <n v="0"/>
    <s v="Core staff"/>
    <x v="1"/>
  </r>
  <r>
    <n v="5025963"/>
    <x v="0"/>
    <s v="N"/>
    <s v="Y"/>
    <n v="0"/>
    <x v="22"/>
    <x v="2"/>
    <x v="1"/>
    <x v="1"/>
    <x v="0"/>
    <d v="1987-12-17T00:00:00"/>
    <n v="-13520"/>
    <x v="445"/>
    <x v="3"/>
    <n v="-5488"/>
    <n v="15.025325119780971"/>
    <x v="1"/>
    <n v="1"/>
    <n v="0"/>
    <n v="0"/>
    <n v="0"/>
    <s v="Core staff"/>
    <x v="1"/>
  </r>
  <r>
    <n v="5025977"/>
    <x v="0"/>
    <s v="N"/>
    <s v="N"/>
    <n v="1"/>
    <x v="1"/>
    <x v="2"/>
    <x v="1"/>
    <x v="2"/>
    <x v="4"/>
    <d v="1993-09-20T00:00:00"/>
    <n v="-11416"/>
    <x v="446"/>
    <x v="3"/>
    <n v="-2992"/>
    <n v="8.1916495550992465"/>
    <x v="1"/>
    <n v="1"/>
    <n v="0"/>
    <n v="0"/>
    <n v="0"/>
    <s v="Laborers"/>
    <x v="1"/>
  </r>
  <r>
    <n v="5025995"/>
    <x v="1"/>
    <s v="Y"/>
    <s v="Y"/>
    <n v="1"/>
    <x v="12"/>
    <x v="2"/>
    <x v="0"/>
    <x v="1"/>
    <x v="3"/>
    <d v="1988-07-17T00:00:00"/>
    <n v="-13307"/>
    <x v="447"/>
    <x v="3"/>
    <n v="-1227"/>
    <n v="3.3593429158110881"/>
    <x v="1"/>
    <n v="1"/>
    <n v="0"/>
    <n v="1"/>
    <n v="0"/>
    <s v="Laborers"/>
    <x v="3"/>
  </r>
  <r>
    <n v="5026013"/>
    <x v="0"/>
    <s v="N"/>
    <s v="Y"/>
    <n v="0"/>
    <x v="51"/>
    <x v="2"/>
    <x v="1"/>
    <x v="1"/>
    <x v="0"/>
    <d v="1970-07-06T00:00:00"/>
    <n v="-19893"/>
    <x v="448"/>
    <x v="2"/>
    <n v="-5365"/>
    <n v="14.688569472963723"/>
    <x v="1"/>
    <n v="1"/>
    <n v="1"/>
    <n v="1"/>
    <n v="0"/>
    <m/>
    <x v="1"/>
  </r>
  <r>
    <n v="5026020"/>
    <x v="0"/>
    <s v="N"/>
    <s v="Y"/>
    <n v="0"/>
    <x v="51"/>
    <x v="2"/>
    <x v="1"/>
    <x v="1"/>
    <x v="0"/>
    <d v="1970-07-06T00:00:00"/>
    <n v="-19893"/>
    <x v="448"/>
    <x v="2"/>
    <n v="-5365"/>
    <n v="14.688569472963723"/>
    <x v="1"/>
    <n v="1"/>
    <n v="1"/>
    <n v="1"/>
    <n v="0"/>
    <m/>
    <x v="1"/>
  </r>
  <r>
    <n v="5026034"/>
    <x v="1"/>
    <s v="Y"/>
    <s v="Y"/>
    <n v="0"/>
    <x v="35"/>
    <x v="2"/>
    <x v="1"/>
    <x v="1"/>
    <x v="1"/>
    <d v="1997-10-17T00:00:00"/>
    <n v="-9928"/>
    <x v="449"/>
    <x v="4"/>
    <n v="-1531"/>
    <n v="4.1916495550992474"/>
    <x v="1"/>
    <n v="1"/>
    <n v="0"/>
    <n v="0"/>
    <n v="0"/>
    <s v="Managers"/>
    <x v="1"/>
  </r>
  <r>
    <n v="5026088"/>
    <x v="0"/>
    <s v="N"/>
    <s v="Y"/>
    <n v="0"/>
    <x v="37"/>
    <x v="2"/>
    <x v="1"/>
    <x v="4"/>
    <x v="0"/>
    <d v="1968-11-24T00:00:00"/>
    <n v="-20482"/>
    <x v="450"/>
    <x v="2"/>
    <n v="-5030"/>
    <n v="13.77138945927447"/>
    <x v="1"/>
    <n v="1"/>
    <n v="1"/>
    <n v="1"/>
    <n v="0"/>
    <m/>
    <x v="0"/>
  </r>
  <r>
    <n v="5026091"/>
    <x v="0"/>
    <s v="N"/>
    <s v="Y"/>
    <n v="0"/>
    <x v="37"/>
    <x v="2"/>
    <x v="1"/>
    <x v="4"/>
    <x v="0"/>
    <d v="1968-11-24T00:00:00"/>
    <n v="-20482"/>
    <x v="450"/>
    <x v="2"/>
    <n v="-5030"/>
    <n v="13.77138945927447"/>
    <x v="1"/>
    <n v="1"/>
    <n v="1"/>
    <n v="1"/>
    <n v="0"/>
    <m/>
    <x v="0"/>
  </r>
  <r>
    <n v="5026124"/>
    <x v="1"/>
    <s v="Y"/>
    <s v="Y"/>
    <n v="0"/>
    <x v="8"/>
    <x v="2"/>
    <x v="1"/>
    <x v="1"/>
    <x v="0"/>
    <d v="1980-05-30T00:00:00"/>
    <n v="-16277"/>
    <x v="451"/>
    <x v="1"/>
    <n v="-6979"/>
    <n v="19.107460643394933"/>
    <x v="1"/>
    <n v="1"/>
    <n v="0"/>
    <n v="0"/>
    <n v="0"/>
    <s v="High skill tech staff"/>
    <x v="1"/>
  </r>
  <r>
    <n v="5026152"/>
    <x v="0"/>
    <s v="N"/>
    <s v="Y"/>
    <n v="1"/>
    <x v="5"/>
    <x v="3"/>
    <x v="1"/>
    <x v="1"/>
    <x v="0"/>
    <d v="1980-01-03T00:00:00"/>
    <n v="-16425"/>
    <x v="452"/>
    <x v="1"/>
    <n v="-2842"/>
    <n v="7.7809719370294319"/>
    <x v="1"/>
    <n v="1"/>
    <n v="0"/>
    <n v="0"/>
    <n v="0"/>
    <s v="Managers"/>
    <x v="3"/>
  </r>
  <r>
    <n v="5026155"/>
    <x v="0"/>
    <s v="N"/>
    <s v="Y"/>
    <n v="1"/>
    <x v="37"/>
    <x v="1"/>
    <x v="1"/>
    <x v="1"/>
    <x v="0"/>
    <d v="1992-05-24T00:00:00"/>
    <n v="-11900"/>
    <x v="268"/>
    <x v="3"/>
    <n v="-3360"/>
    <n v="9.1991786447638599"/>
    <x v="1"/>
    <n v="1"/>
    <n v="0"/>
    <n v="0"/>
    <n v="0"/>
    <s v="Accountants"/>
    <x v="3"/>
  </r>
  <r>
    <n v="5026161"/>
    <x v="0"/>
    <s v="Y"/>
    <s v="Y"/>
    <n v="0"/>
    <x v="72"/>
    <x v="2"/>
    <x v="0"/>
    <x v="0"/>
    <x v="0"/>
    <d v="1988-12-20T00:00:00"/>
    <n v="-13151"/>
    <x v="453"/>
    <x v="3"/>
    <n v="-3725"/>
    <n v="10.198494182067078"/>
    <x v="1"/>
    <n v="1"/>
    <n v="0"/>
    <n v="0"/>
    <n v="0"/>
    <s v="Accountants"/>
    <x v="0"/>
  </r>
  <r>
    <n v="5026193"/>
    <x v="0"/>
    <s v="N"/>
    <s v="Y"/>
    <n v="0"/>
    <x v="30"/>
    <x v="0"/>
    <x v="0"/>
    <x v="2"/>
    <x v="0"/>
    <d v="1964-10-15T00:00:00"/>
    <n v="-21983"/>
    <x v="454"/>
    <x v="0"/>
    <n v="365243"/>
    <n v="0"/>
    <x v="0"/>
    <n v="1"/>
    <n v="0"/>
    <n v="0"/>
    <n v="0"/>
    <m/>
    <x v="0"/>
  </r>
  <r>
    <n v="5026194"/>
    <x v="0"/>
    <s v="N"/>
    <s v="Y"/>
    <n v="0"/>
    <x v="30"/>
    <x v="0"/>
    <x v="0"/>
    <x v="2"/>
    <x v="0"/>
    <d v="1964-10-15T00:00:00"/>
    <n v="-21983"/>
    <x v="454"/>
    <x v="0"/>
    <n v="365243"/>
    <n v="0"/>
    <x v="0"/>
    <n v="1"/>
    <n v="0"/>
    <n v="0"/>
    <n v="0"/>
    <m/>
    <x v="0"/>
  </r>
  <r>
    <n v="5026199"/>
    <x v="0"/>
    <s v="N"/>
    <s v="Y"/>
    <n v="0"/>
    <x v="30"/>
    <x v="0"/>
    <x v="0"/>
    <x v="2"/>
    <x v="0"/>
    <d v="1964-10-15T00:00:00"/>
    <n v="-21983"/>
    <x v="454"/>
    <x v="0"/>
    <n v="365243"/>
    <n v="0"/>
    <x v="0"/>
    <n v="1"/>
    <n v="0"/>
    <n v="0"/>
    <n v="0"/>
    <m/>
    <x v="0"/>
  </r>
  <r>
    <n v="5026209"/>
    <x v="1"/>
    <s v="Y"/>
    <s v="N"/>
    <n v="1"/>
    <x v="12"/>
    <x v="3"/>
    <x v="1"/>
    <x v="1"/>
    <x v="1"/>
    <d v="1982-10-25T00:00:00"/>
    <n v="-15399"/>
    <x v="455"/>
    <x v="1"/>
    <n v="-6555"/>
    <n v="17.946611909650922"/>
    <x v="1"/>
    <n v="1"/>
    <n v="0"/>
    <n v="0"/>
    <n v="0"/>
    <s v="Managers"/>
    <x v="3"/>
  </r>
  <r>
    <n v="5026244"/>
    <x v="0"/>
    <s v="N"/>
    <s v="Y"/>
    <n v="2"/>
    <x v="1"/>
    <x v="2"/>
    <x v="1"/>
    <x v="1"/>
    <x v="0"/>
    <d v="1985-08-29T00:00:00"/>
    <n v="-14360"/>
    <x v="456"/>
    <x v="3"/>
    <n v="-1565"/>
    <n v="4.2847364818617386"/>
    <x v="1"/>
    <n v="1"/>
    <n v="0"/>
    <n v="0"/>
    <n v="0"/>
    <s v="Cleaning staff"/>
    <x v="2"/>
  </r>
  <r>
    <n v="5026368"/>
    <x v="1"/>
    <s v="N"/>
    <s v="Y"/>
    <n v="1"/>
    <x v="2"/>
    <x v="2"/>
    <x v="0"/>
    <x v="1"/>
    <x v="0"/>
    <d v="1987-07-08T00:00:00"/>
    <n v="-13682"/>
    <x v="457"/>
    <x v="3"/>
    <n v="-5460"/>
    <n v="14.948665297741274"/>
    <x v="1"/>
    <n v="1"/>
    <n v="1"/>
    <n v="1"/>
    <n v="0"/>
    <m/>
    <x v="3"/>
  </r>
  <r>
    <n v="5026373"/>
    <x v="1"/>
    <s v="N"/>
    <s v="Y"/>
    <n v="1"/>
    <x v="2"/>
    <x v="2"/>
    <x v="0"/>
    <x v="1"/>
    <x v="0"/>
    <d v="1987-07-08T00:00:00"/>
    <n v="-13682"/>
    <x v="457"/>
    <x v="3"/>
    <n v="-5460"/>
    <n v="14.948665297741274"/>
    <x v="1"/>
    <n v="1"/>
    <n v="1"/>
    <n v="1"/>
    <n v="0"/>
    <m/>
    <x v="3"/>
  </r>
  <r>
    <n v="5026379"/>
    <x v="1"/>
    <s v="N"/>
    <s v="Y"/>
    <n v="1"/>
    <x v="2"/>
    <x v="2"/>
    <x v="0"/>
    <x v="1"/>
    <x v="0"/>
    <d v="1987-07-08T00:00:00"/>
    <n v="-13682"/>
    <x v="457"/>
    <x v="3"/>
    <n v="-5460"/>
    <n v="14.948665297741274"/>
    <x v="1"/>
    <n v="1"/>
    <n v="1"/>
    <n v="1"/>
    <n v="0"/>
    <m/>
    <x v="3"/>
  </r>
  <r>
    <n v="5026390"/>
    <x v="0"/>
    <s v="N"/>
    <s v="Y"/>
    <n v="0"/>
    <x v="73"/>
    <x v="3"/>
    <x v="1"/>
    <x v="2"/>
    <x v="0"/>
    <d v="1971-05-29T00:00:00"/>
    <n v="-19566"/>
    <x v="458"/>
    <x v="2"/>
    <n v="-6129"/>
    <n v="16.780287474332649"/>
    <x v="1"/>
    <n v="1"/>
    <n v="1"/>
    <n v="0"/>
    <n v="0"/>
    <s v="Core staff"/>
    <x v="0"/>
  </r>
  <r>
    <n v="5026430"/>
    <x v="0"/>
    <s v="Y"/>
    <s v="Y"/>
    <n v="0"/>
    <x v="68"/>
    <x v="2"/>
    <x v="1"/>
    <x v="1"/>
    <x v="4"/>
    <d v="1972-02-03T00:00:00"/>
    <n v="-19316"/>
    <x v="459"/>
    <x v="2"/>
    <n v="-6039"/>
    <n v="16.533880903490761"/>
    <x v="1"/>
    <n v="1"/>
    <n v="0"/>
    <n v="0"/>
    <n v="0"/>
    <s v="Core staff"/>
    <x v="1"/>
  </r>
  <r>
    <n v="5026453"/>
    <x v="1"/>
    <s v="N"/>
    <s v="Y"/>
    <n v="0"/>
    <x v="30"/>
    <x v="1"/>
    <x v="1"/>
    <x v="2"/>
    <x v="0"/>
    <d v="1991-02-02T00:00:00"/>
    <n v="-12377"/>
    <x v="460"/>
    <x v="3"/>
    <n v="-3207"/>
    <n v="8.7802874743326491"/>
    <x v="1"/>
    <n v="1"/>
    <n v="1"/>
    <n v="1"/>
    <n v="0"/>
    <s v="Core staff"/>
    <x v="0"/>
  </r>
  <r>
    <n v="5026466"/>
    <x v="0"/>
    <s v="N"/>
    <s v="Y"/>
    <n v="1"/>
    <x v="18"/>
    <x v="2"/>
    <x v="1"/>
    <x v="1"/>
    <x v="0"/>
    <d v="1979-06-26T00:00:00"/>
    <n v="-16616"/>
    <x v="461"/>
    <x v="1"/>
    <n v="-2722"/>
    <n v="7.4524298425735793"/>
    <x v="1"/>
    <n v="1"/>
    <n v="1"/>
    <n v="1"/>
    <n v="0"/>
    <s v="Realty agents"/>
    <x v="3"/>
  </r>
  <r>
    <n v="5026507"/>
    <x v="0"/>
    <s v="Y"/>
    <s v="Y"/>
    <n v="2"/>
    <x v="2"/>
    <x v="2"/>
    <x v="1"/>
    <x v="1"/>
    <x v="0"/>
    <d v="1989-04-22T00:00:00"/>
    <n v="-13028"/>
    <x v="462"/>
    <x v="3"/>
    <n v="-104"/>
    <n v="0.28473648186173856"/>
    <x v="1"/>
    <n v="1"/>
    <n v="0"/>
    <n v="1"/>
    <n v="0"/>
    <s v="Sales staff"/>
    <x v="2"/>
  </r>
  <r>
    <n v="5026512"/>
    <x v="0"/>
    <s v="Y"/>
    <s v="Y"/>
    <n v="2"/>
    <x v="2"/>
    <x v="2"/>
    <x v="1"/>
    <x v="1"/>
    <x v="0"/>
    <d v="1989-04-22T00:00:00"/>
    <n v="-13028"/>
    <x v="462"/>
    <x v="3"/>
    <n v="-104"/>
    <n v="0.28473648186173856"/>
    <x v="1"/>
    <n v="1"/>
    <n v="0"/>
    <n v="1"/>
    <n v="0"/>
    <s v="Sales staff"/>
    <x v="2"/>
  </r>
  <r>
    <n v="5026513"/>
    <x v="0"/>
    <s v="Y"/>
    <s v="Y"/>
    <n v="2"/>
    <x v="2"/>
    <x v="2"/>
    <x v="1"/>
    <x v="1"/>
    <x v="0"/>
    <d v="1989-04-22T00:00:00"/>
    <n v="-13028"/>
    <x v="462"/>
    <x v="3"/>
    <n v="-104"/>
    <n v="0.28473648186173856"/>
    <x v="1"/>
    <n v="1"/>
    <n v="0"/>
    <n v="1"/>
    <n v="0"/>
    <s v="Sales staff"/>
    <x v="2"/>
  </r>
  <r>
    <n v="5026528"/>
    <x v="0"/>
    <s v="Y"/>
    <s v="Y"/>
    <n v="0"/>
    <x v="35"/>
    <x v="0"/>
    <x v="1"/>
    <x v="1"/>
    <x v="0"/>
    <d v="1964-01-16T00:00:00"/>
    <n v="-22256"/>
    <x v="463"/>
    <x v="0"/>
    <n v="365243"/>
    <n v="0"/>
    <x v="0"/>
    <n v="1"/>
    <n v="0"/>
    <n v="0"/>
    <n v="0"/>
    <m/>
    <x v="1"/>
  </r>
  <r>
    <n v="5026578"/>
    <x v="0"/>
    <s v="N"/>
    <s v="Y"/>
    <n v="0"/>
    <x v="51"/>
    <x v="0"/>
    <x v="1"/>
    <x v="0"/>
    <x v="0"/>
    <d v="1963-07-09T00:00:00"/>
    <n v="-22447"/>
    <x v="464"/>
    <x v="0"/>
    <n v="365243"/>
    <n v="0"/>
    <x v="0"/>
    <n v="1"/>
    <n v="0"/>
    <n v="1"/>
    <n v="0"/>
    <m/>
    <x v="0"/>
  </r>
  <r>
    <n v="5026579"/>
    <x v="0"/>
    <s v="N"/>
    <s v="Y"/>
    <n v="0"/>
    <x v="51"/>
    <x v="0"/>
    <x v="1"/>
    <x v="0"/>
    <x v="0"/>
    <d v="1963-07-09T00:00:00"/>
    <n v="-22447"/>
    <x v="464"/>
    <x v="0"/>
    <n v="365243"/>
    <n v="0"/>
    <x v="0"/>
    <n v="1"/>
    <n v="0"/>
    <n v="1"/>
    <n v="0"/>
    <m/>
    <x v="0"/>
  </r>
  <r>
    <n v="5026581"/>
    <x v="1"/>
    <s v="N"/>
    <s v="Y"/>
    <n v="0"/>
    <x v="37"/>
    <x v="2"/>
    <x v="0"/>
    <x v="2"/>
    <x v="0"/>
    <d v="1970-12-28T00:00:00"/>
    <n v="-19718"/>
    <x v="465"/>
    <x v="2"/>
    <n v="-2052"/>
    <n v="5.6180698151950716"/>
    <x v="1"/>
    <n v="1"/>
    <n v="0"/>
    <n v="1"/>
    <n v="0"/>
    <s v="Laborers"/>
    <x v="0"/>
  </r>
  <r>
    <n v="5026582"/>
    <x v="1"/>
    <s v="N"/>
    <s v="Y"/>
    <n v="0"/>
    <x v="37"/>
    <x v="2"/>
    <x v="0"/>
    <x v="2"/>
    <x v="0"/>
    <d v="1970-12-28T00:00:00"/>
    <n v="-19718"/>
    <x v="465"/>
    <x v="2"/>
    <n v="-2052"/>
    <n v="5.6180698151950716"/>
    <x v="1"/>
    <n v="1"/>
    <n v="0"/>
    <n v="1"/>
    <n v="0"/>
    <s v="Laborers"/>
    <x v="0"/>
  </r>
  <r>
    <n v="5026620"/>
    <x v="0"/>
    <s v="N"/>
    <s v="N"/>
    <n v="1"/>
    <x v="37"/>
    <x v="2"/>
    <x v="1"/>
    <x v="3"/>
    <x v="0"/>
    <d v="1987-04-15T00:00:00"/>
    <n v="-13766"/>
    <x v="466"/>
    <x v="3"/>
    <n v="-3817"/>
    <n v="10.45037645448323"/>
    <x v="1"/>
    <n v="1"/>
    <n v="1"/>
    <n v="0"/>
    <n v="0"/>
    <m/>
    <x v="3"/>
  </r>
  <r>
    <n v="5026632"/>
    <x v="0"/>
    <s v="N"/>
    <s v="Y"/>
    <n v="0"/>
    <x v="35"/>
    <x v="2"/>
    <x v="1"/>
    <x v="0"/>
    <x v="0"/>
    <d v="1975-07-05T00:00:00"/>
    <n v="-18068"/>
    <x v="467"/>
    <x v="1"/>
    <n v="-8870"/>
    <n v="24.284736481861739"/>
    <x v="1"/>
    <n v="1"/>
    <n v="0"/>
    <n v="0"/>
    <n v="0"/>
    <s v="Medicine staff"/>
    <x v="0"/>
  </r>
  <r>
    <n v="5026643"/>
    <x v="1"/>
    <s v="Y"/>
    <s v="N"/>
    <n v="0"/>
    <x v="1"/>
    <x v="2"/>
    <x v="1"/>
    <x v="2"/>
    <x v="0"/>
    <d v="1975-09-01T00:00:00"/>
    <n v="-18010"/>
    <x v="468"/>
    <x v="1"/>
    <n v="-2811"/>
    <n v="7.6960985626283369"/>
    <x v="1"/>
    <n v="1"/>
    <n v="1"/>
    <n v="0"/>
    <n v="0"/>
    <s v="Laborers"/>
    <x v="0"/>
  </r>
  <r>
    <n v="5026742"/>
    <x v="1"/>
    <s v="Y"/>
    <s v="Y"/>
    <n v="0"/>
    <x v="7"/>
    <x v="1"/>
    <x v="0"/>
    <x v="1"/>
    <x v="0"/>
    <d v="1972-07-21T00:00:00"/>
    <n v="-19147"/>
    <x v="469"/>
    <x v="2"/>
    <n v="-1868"/>
    <n v="5.1143052703627649"/>
    <x v="1"/>
    <n v="1"/>
    <n v="0"/>
    <n v="1"/>
    <n v="0"/>
    <s v="Laborers"/>
    <x v="1"/>
  </r>
  <r>
    <n v="5028238"/>
    <x v="0"/>
    <s v="Y"/>
    <s v="Y"/>
    <n v="0"/>
    <x v="19"/>
    <x v="3"/>
    <x v="0"/>
    <x v="1"/>
    <x v="0"/>
    <d v="1980-04-20T00:00:00"/>
    <n v="-16317"/>
    <x v="470"/>
    <x v="1"/>
    <n v="-2241"/>
    <n v="6.1355236139630387"/>
    <x v="1"/>
    <n v="1"/>
    <n v="0"/>
    <n v="0"/>
    <n v="0"/>
    <m/>
    <x v="1"/>
  </r>
  <r>
    <n v="5028252"/>
    <x v="1"/>
    <s v="Y"/>
    <s v="N"/>
    <n v="4"/>
    <x v="11"/>
    <x v="1"/>
    <x v="1"/>
    <x v="1"/>
    <x v="0"/>
    <d v="1983-01-04T00:00:00"/>
    <n v="-15328"/>
    <x v="471"/>
    <x v="1"/>
    <n v="-2578"/>
    <n v="7.0581793292265571"/>
    <x v="1"/>
    <n v="1"/>
    <n v="0"/>
    <n v="0"/>
    <n v="0"/>
    <s v="Security staff"/>
    <x v="5"/>
  </r>
  <r>
    <n v="5028263"/>
    <x v="0"/>
    <s v="N"/>
    <s v="N"/>
    <n v="0"/>
    <x v="16"/>
    <x v="2"/>
    <x v="1"/>
    <x v="1"/>
    <x v="4"/>
    <d v="1993-08-23T00:00:00"/>
    <n v="-11444"/>
    <x v="472"/>
    <x v="3"/>
    <n v="-630"/>
    <n v="1.7248459958932238"/>
    <x v="1"/>
    <n v="1"/>
    <n v="0"/>
    <n v="0"/>
    <n v="0"/>
    <s v="Core staff"/>
    <x v="1"/>
  </r>
  <r>
    <n v="5028270"/>
    <x v="1"/>
    <s v="Y"/>
    <s v="Y"/>
    <n v="1"/>
    <x v="18"/>
    <x v="2"/>
    <x v="1"/>
    <x v="1"/>
    <x v="0"/>
    <d v="1977-08-18T00:00:00"/>
    <n v="-17293"/>
    <x v="473"/>
    <x v="1"/>
    <n v="-203"/>
    <n v="0.55578370978781655"/>
    <x v="1"/>
    <n v="1"/>
    <n v="0"/>
    <n v="1"/>
    <n v="1"/>
    <s v="Laborers"/>
    <x v="3"/>
  </r>
  <r>
    <n v="5028294"/>
    <x v="0"/>
    <s v="N"/>
    <s v="Y"/>
    <n v="0"/>
    <x v="19"/>
    <x v="2"/>
    <x v="0"/>
    <x v="0"/>
    <x v="0"/>
    <d v="1970-12-10T00:00:00"/>
    <n v="-19736"/>
    <x v="474"/>
    <x v="2"/>
    <n v="-12621"/>
    <n v="34.554414784394254"/>
    <x v="1"/>
    <n v="1"/>
    <n v="0"/>
    <n v="1"/>
    <n v="0"/>
    <s v="Core staff"/>
    <x v="0"/>
  </r>
  <r>
    <n v="5028303"/>
    <x v="1"/>
    <s v="Y"/>
    <s v="Y"/>
    <n v="0"/>
    <x v="14"/>
    <x v="1"/>
    <x v="2"/>
    <x v="1"/>
    <x v="0"/>
    <d v="1970-09-03T00:00:00"/>
    <n v="-19834"/>
    <x v="475"/>
    <x v="2"/>
    <n v="-477"/>
    <n v="1.3059548254620124"/>
    <x v="1"/>
    <n v="1"/>
    <n v="0"/>
    <n v="0"/>
    <n v="0"/>
    <s v="Managers"/>
    <x v="1"/>
  </r>
  <r>
    <n v="5028321"/>
    <x v="1"/>
    <s v="Y"/>
    <s v="N"/>
    <n v="0"/>
    <x v="18"/>
    <x v="0"/>
    <x v="0"/>
    <x v="1"/>
    <x v="0"/>
    <d v="1962-01-20T00:00:00"/>
    <n v="-22982"/>
    <x v="476"/>
    <x v="0"/>
    <n v="365243"/>
    <n v="0"/>
    <x v="0"/>
    <n v="1"/>
    <n v="0"/>
    <n v="0"/>
    <n v="0"/>
    <m/>
    <x v="1"/>
  </r>
  <r>
    <n v="5028325"/>
    <x v="1"/>
    <s v="Y"/>
    <s v="N"/>
    <n v="0"/>
    <x v="18"/>
    <x v="0"/>
    <x v="0"/>
    <x v="1"/>
    <x v="0"/>
    <d v="1962-01-20T00:00:00"/>
    <n v="-22982"/>
    <x v="476"/>
    <x v="0"/>
    <n v="365243"/>
    <n v="0"/>
    <x v="0"/>
    <n v="1"/>
    <n v="0"/>
    <n v="0"/>
    <n v="0"/>
    <m/>
    <x v="1"/>
  </r>
  <r>
    <n v="5028333"/>
    <x v="0"/>
    <s v="Y"/>
    <s v="Y"/>
    <n v="0"/>
    <x v="50"/>
    <x v="1"/>
    <x v="0"/>
    <x v="2"/>
    <x v="0"/>
    <d v="1989-09-23T00:00:00"/>
    <n v="-12874"/>
    <x v="477"/>
    <x v="3"/>
    <n v="-173"/>
    <n v="0.47364818617385351"/>
    <x v="1"/>
    <n v="1"/>
    <n v="0"/>
    <n v="0"/>
    <n v="1"/>
    <m/>
    <x v="0"/>
  </r>
  <r>
    <n v="5028337"/>
    <x v="0"/>
    <s v="Y"/>
    <s v="N"/>
    <n v="1"/>
    <x v="8"/>
    <x v="2"/>
    <x v="0"/>
    <x v="2"/>
    <x v="2"/>
    <d v="1987-01-10T00:00:00"/>
    <n v="-13861"/>
    <x v="478"/>
    <x v="3"/>
    <n v="-5408"/>
    <n v="14.806297056810404"/>
    <x v="1"/>
    <n v="1"/>
    <n v="0"/>
    <n v="0"/>
    <n v="0"/>
    <s v="Laborers"/>
    <x v="1"/>
  </r>
  <r>
    <n v="5028363"/>
    <x v="0"/>
    <s v="N"/>
    <s v="Y"/>
    <n v="0"/>
    <x v="1"/>
    <x v="2"/>
    <x v="1"/>
    <x v="2"/>
    <x v="0"/>
    <d v="1975-01-24T00:00:00"/>
    <n v="-18230"/>
    <x v="479"/>
    <x v="1"/>
    <n v="-173"/>
    <n v="0.47364818617385351"/>
    <x v="1"/>
    <n v="1"/>
    <n v="0"/>
    <n v="0"/>
    <n v="0"/>
    <s v="Medicine staff"/>
    <x v="0"/>
  </r>
  <r>
    <n v="5028371"/>
    <x v="0"/>
    <s v="N"/>
    <s v="N"/>
    <n v="0"/>
    <x v="16"/>
    <x v="2"/>
    <x v="1"/>
    <x v="4"/>
    <x v="4"/>
    <d v="1970-07-31T00:00:00"/>
    <n v="-19868"/>
    <x v="480"/>
    <x v="2"/>
    <n v="-3278"/>
    <n v="8.9746748802190286"/>
    <x v="1"/>
    <n v="1"/>
    <n v="0"/>
    <n v="0"/>
    <n v="0"/>
    <s v="Core staff"/>
    <x v="0"/>
  </r>
  <r>
    <n v="5028380"/>
    <x v="1"/>
    <s v="Y"/>
    <s v="Y"/>
    <n v="1"/>
    <x v="1"/>
    <x v="2"/>
    <x v="1"/>
    <x v="1"/>
    <x v="0"/>
    <d v="1998-03-26T00:00:00"/>
    <n v="-9768"/>
    <x v="481"/>
    <x v="4"/>
    <n v="-1483"/>
    <n v="4.0602327173169064"/>
    <x v="1"/>
    <n v="1"/>
    <n v="1"/>
    <n v="0"/>
    <n v="1"/>
    <s v="Sales staff"/>
    <x v="3"/>
  </r>
  <r>
    <n v="5028385"/>
    <x v="1"/>
    <s v="Y"/>
    <s v="N"/>
    <n v="0"/>
    <x v="21"/>
    <x v="2"/>
    <x v="1"/>
    <x v="2"/>
    <x v="2"/>
    <d v="1993-12-01T00:00:00"/>
    <n v="-11344"/>
    <x v="482"/>
    <x v="3"/>
    <n v="-3309"/>
    <n v="9.0595482546201236"/>
    <x v="1"/>
    <n v="1"/>
    <n v="0"/>
    <n v="0"/>
    <n v="0"/>
    <s v="Core staff"/>
    <x v="0"/>
  </r>
  <r>
    <n v="5028389"/>
    <x v="1"/>
    <s v="Y"/>
    <s v="N"/>
    <n v="0"/>
    <x v="21"/>
    <x v="2"/>
    <x v="1"/>
    <x v="2"/>
    <x v="2"/>
    <d v="1993-12-01T00:00:00"/>
    <n v="-11344"/>
    <x v="482"/>
    <x v="3"/>
    <n v="-3309"/>
    <n v="9.0595482546201236"/>
    <x v="1"/>
    <n v="1"/>
    <n v="0"/>
    <n v="0"/>
    <n v="0"/>
    <s v="Core staff"/>
    <x v="0"/>
  </r>
  <r>
    <n v="5028392"/>
    <x v="0"/>
    <s v="N"/>
    <s v="N"/>
    <n v="0"/>
    <x v="11"/>
    <x v="1"/>
    <x v="0"/>
    <x v="1"/>
    <x v="4"/>
    <d v="1986-12-03T00:00:00"/>
    <n v="-13899"/>
    <x v="483"/>
    <x v="3"/>
    <n v="-4709"/>
    <n v="12.892539356605065"/>
    <x v="1"/>
    <n v="1"/>
    <n v="0"/>
    <n v="0"/>
    <n v="0"/>
    <m/>
    <x v="1"/>
  </r>
  <r>
    <n v="5028394"/>
    <x v="0"/>
    <s v="N"/>
    <s v="N"/>
    <n v="0"/>
    <x v="11"/>
    <x v="1"/>
    <x v="0"/>
    <x v="1"/>
    <x v="4"/>
    <d v="1986-12-03T00:00:00"/>
    <n v="-13899"/>
    <x v="483"/>
    <x v="3"/>
    <n v="-4709"/>
    <n v="12.892539356605065"/>
    <x v="1"/>
    <n v="1"/>
    <n v="0"/>
    <n v="0"/>
    <n v="0"/>
    <m/>
    <x v="1"/>
  </r>
  <r>
    <n v="5028408"/>
    <x v="0"/>
    <s v="Y"/>
    <s v="Y"/>
    <n v="0"/>
    <x v="39"/>
    <x v="1"/>
    <x v="1"/>
    <x v="1"/>
    <x v="0"/>
    <d v="1984-10-26T00:00:00"/>
    <n v="-14667"/>
    <x v="484"/>
    <x v="1"/>
    <n v="-1422"/>
    <n v="3.893223819301848"/>
    <x v="1"/>
    <n v="1"/>
    <n v="0"/>
    <n v="0"/>
    <n v="0"/>
    <s v="Sales staff"/>
    <x v="1"/>
  </r>
  <r>
    <n v="5028414"/>
    <x v="0"/>
    <s v="Y"/>
    <s v="Y"/>
    <n v="0"/>
    <x v="39"/>
    <x v="1"/>
    <x v="1"/>
    <x v="1"/>
    <x v="0"/>
    <d v="1984-10-26T00:00:00"/>
    <n v="-14667"/>
    <x v="484"/>
    <x v="1"/>
    <n v="-1422"/>
    <n v="3.893223819301848"/>
    <x v="1"/>
    <n v="1"/>
    <n v="0"/>
    <n v="0"/>
    <n v="0"/>
    <s v="Sales staff"/>
    <x v="1"/>
  </r>
  <r>
    <n v="5028417"/>
    <x v="0"/>
    <s v="Y"/>
    <s v="Y"/>
    <n v="0"/>
    <x v="50"/>
    <x v="2"/>
    <x v="1"/>
    <x v="1"/>
    <x v="0"/>
    <d v="1973-04-03T00:00:00"/>
    <n v="-18891"/>
    <x v="485"/>
    <x v="2"/>
    <n v="-477"/>
    <n v="1.3059548254620124"/>
    <x v="1"/>
    <n v="1"/>
    <n v="0"/>
    <n v="1"/>
    <n v="1"/>
    <s v="High skill tech staff"/>
    <x v="1"/>
  </r>
  <r>
    <n v="5028452"/>
    <x v="0"/>
    <s v="Y"/>
    <s v="Y"/>
    <n v="0"/>
    <x v="74"/>
    <x v="0"/>
    <x v="1"/>
    <x v="1"/>
    <x v="0"/>
    <d v="1969-05-29T00:00:00"/>
    <n v="-20296"/>
    <x v="486"/>
    <x v="2"/>
    <n v="365243"/>
    <n v="0"/>
    <x v="0"/>
    <n v="1"/>
    <n v="0"/>
    <n v="1"/>
    <n v="0"/>
    <m/>
    <x v="1"/>
  </r>
  <r>
    <n v="5028459"/>
    <x v="0"/>
    <s v="N"/>
    <s v="Y"/>
    <n v="1"/>
    <x v="16"/>
    <x v="3"/>
    <x v="1"/>
    <x v="1"/>
    <x v="0"/>
    <d v="1985-01-27T00:00:00"/>
    <n v="-14574"/>
    <x v="487"/>
    <x v="3"/>
    <n v="-964"/>
    <n v="2.6392881587953458"/>
    <x v="1"/>
    <n v="1"/>
    <n v="0"/>
    <n v="1"/>
    <n v="1"/>
    <s v="Medicine staff"/>
    <x v="3"/>
  </r>
  <r>
    <n v="5028467"/>
    <x v="1"/>
    <s v="N"/>
    <s v="Y"/>
    <n v="0"/>
    <x v="8"/>
    <x v="2"/>
    <x v="3"/>
    <x v="1"/>
    <x v="4"/>
    <d v="1996-01-19T00:00:00"/>
    <n v="-10565"/>
    <x v="488"/>
    <x v="4"/>
    <n v="-811"/>
    <n v="2.2203969883641341"/>
    <x v="1"/>
    <n v="1"/>
    <n v="1"/>
    <n v="1"/>
    <n v="0"/>
    <m/>
    <x v="1"/>
  </r>
  <r>
    <n v="5028475"/>
    <x v="0"/>
    <s v="N"/>
    <s v="Y"/>
    <n v="0"/>
    <x v="75"/>
    <x v="0"/>
    <x v="3"/>
    <x v="1"/>
    <x v="0"/>
    <d v="1965-10-31T00:00:00"/>
    <n v="-21602"/>
    <x v="489"/>
    <x v="2"/>
    <n v="365243"/>
    <n v="0"/>
    <x v="0"/>
    <n v="1"/>
    <n v="0"/>
    <n v="0"/>
    <n v="0"/>
    <m/>
    <x v="1"/>
  </r>
  <r>
    <n v="5028477"/>
    <x v="0"/>
    <s v="N"/>
    <s v="Y"/>
    <n v="0"/>
    <x v="75"/>
    <x v="0"/>
    <x v="3"/>
    <x v="1"/>
    <x v="0"/>
    <d v="1965-10-31T00:00:00"/>
    <n v="-21602"/>
    <x v="489"/>
    <x v="2"/>
    <n v="365243"/>
    <n v="0"/>
    <x v="0"/>
    <n v="1"/>
    <n v="0"/>
    <n v="0"/>
    <n v="0"/>
    <m/>
    <x v="1"/>
  </r>
  <r>
    <n v="5028484"/>
    <x v="1"/>
    <s v="Y"/>
    <s v="Y"/>
    <n v="0"/>
    <x v="61"/>
    <x v="2"/>
    <x v="1"/>
    <x v="1"/>
    <x v="0"/>
    <d v="1980-04-18T00:00:00"/>
    <n v="-16319"/>
    <x v="490"/>
    <x v="1"/>
    <n v="-1086"/>
    <n v="2.9733059548254621"/>
    <x v="1"/>
    <n v="1"/>
    <n v="1"/>
    <n v="0"/>
    <n v="0"/>
    <s v="Managers"/>
    <x v="1"/>
  </r>
  <r>
    <n v="5028487"/>
    <x v="1"/>
    <s v="Y"/>
    <s v="Y"/>
    <n v="0"/>
    <x v="61"/>
    <x v="2"/>
    <x v="1"/>
    <x v="1"/>
    <x v="0"/>
    <d v="1980-04-18T00:00:00"/>
    <n v="-16319"/>
    <x v="490"/>
    <x v="1"/>
    <n v="-1086"/>
    <n v="2.9733059548254621"/>
    <x v="1"/>
    <n v="1"/>
    <n v="1"/>
    <n v="0"/>
    <n v="0"/>
    <s v="Managers"/>
    <x v="1"/>
  </r>
  <r>
    <n v="5028488"/>
    <x v="1"/>
    <s v="Y"/>
    <s v="Y"/>
    <n v="0"/>
    <x v="61"/>
    <x v="2"/>
    <x v="1"/>
    <x v="1"/>
    <x v="0"/>
    <d v="1980-04-18T00:00:00"/>
    <n v="-16319"/>
    <x v="490"/>
    <x v="1"/>
    <n v="-1086"/>
    <n v="2.9733059548254621"/>
    <x v="1"/>
    <n v="1"/>
    <n v="1"/>
    <n v="0"/>
    <n v="0"/>
    <s v="Managers"/>
    <x v="1"/>
  </r>
  <r>
    <n v="5028506"/>
    <x v="0"/>
    <s v="N"/>
    <s v="Y"/>
    <n v="1"/>
    <x v="5"/>
    <x v="1"/>
    <x v="0"/>
    <x v="1"/>
    <x v="0"/>
    <d v="1986-04-09T00:00:00"/>
    <n v="-14137"/>
    <x v="491"/>
    <x v="3"/>
    <n v="-3552"/>
    <n v="9.7248459958932241"/>
    <x v="1"/>
    <n v="1"/>
    <n v="0"/>
    <n v="0"/>
    <n v="1"/>
    <s v="Accountants"/>
    <x v="3"/>
  </r>
  <r>
    <n v="5028522"/>
    <x v="0"/>
    <s v="Y"/>
    <s v="Y"/>
    <n v="0"/>
    <x v="16"/>
    <x v="1"/>
    <x v="0"/>
    <x v="1"/>
    <x v="0"/>
    <d v="1969-10-07T00:00:00"/>
    <n v="-20165"/>
    <x v="492"/>
    <x v="2"/>
    <n v="-6565"/>
    <n v="17.973990417522245"/>
    <x v="1"/>
    <n v="1"/>
    <n v="0"/>
    <n v="0"/>
    <n v="0"/>
    <s v="Core staff"/>
    <x v="1"/>
  </r>
  <r>
    <n v="5028526"/>
    <x v="0"/>
    <s v="Y"/>
    <s v="Y"/>
    <n v="0"/>
    <x v="16"/>
    <x v="1"/>
    <x v="0"/>
    <x v="1"/>
    <x v="0"/>
    <d v="1969-10-07T00:00:00"/>
    <n v="-20165"/>
    <x v="492"/>
    <x v="2"/>
    <n v="-6565"/>
    <n v="17.973990417522245"/>
    <x v="1"/>
    <n v="1"/>
    <n v="0"/>
    <n v="0"/>
    <n v="0"/>
    <s v="Core staff"/>
    <x v="1"/>
  </r>
  <r>
    <n v="5028534"/>
    <x v="0"/>
    <s v="N"/>
    <s v="Y"/>
    <n v="0"/>
    <x v="70"/>
    <x v="2"/>
    <x v="1"/>
    <x v="1"/>
    <x v="0"/>
    <d v="1982-03-09T00:00:00"/>
    <n v="-15629"/>
    <x v="493"/>
    <x v="1"/>
    <n v="-356"/>
    <n v="0.97467488021902804"/>
    <x v="1"/>
    <n v="1"/>
    <n v="0"/>
    <n v="0"/>
    <n v="0"/>
    <s v="Sales staff"/>
    <x v="1"/>
  </r>
  <r>
    <n v="5028554"/>
    <x v="0"/>
    <s v="Y"/>
    <s v="Y"/>
    <n v="0"/>
    <x v="12"/>
    <x v="1"/>
    <x v="1"/>
    <x v="1"/>
    <x v="0"/>
    <d v="1982-02-13T00:00:00"/>
    <n v="-15653"/>
    <x v="494"/>
    <x v="1"/>
    <n v="-5500"/>
    <n v="15.058179329226558"/>
    <x v="1"/>
    <n v="1"/>
    <n v="0"/>
    <n v="0"/>
    <n v="1"/>
    <s v="Core staff"/>
    <x v="1"/>
  </r>
  <r>
    <n v="5028562"/>
    <x v="0"/>
    <s v="Y"/>
    <s v="Y"/>
    <n v="0"/>
    <x v="12"/>
    <x v="1"/>
    <x v="1"/>
    <x v="1"/>
    <x v="0"/>
    <d v="1982-02-13T00:00:00"/>
    <n v="-15653"/>
    <x v="494"/>
    <x v="1"/>
    <n v="-5500"/>
    <n v="15.058179329226558"/>
    <x v="1"/>
    <n v="1"/>
    <n v="0"/>
    <n v="0"/>
    <n v="1"/>
    <s v="Core staff"/>
    <x v="1"/>
  </r>
  <r>
    <n v="5028568"/>
    <x v="0"/>
    <s v="Y"/>
    <s v="Y"/>
    <n v="0"/>
    <x v="12"/>
    <x v="1"/>
    <x v="1"/>
    <x v="1"/>
    <x v="0"/>
    <d v="1982-02-13T00:00:00"/>
    <n v="-15653"/>
    <x v="494"/>
    <x v="1"/>
    <n v="-5500"/>
    <n v="15.058179329226558"/>
    <x v="1"/>
    <n v="1"/>
    <n v="0"/>
    <n v="0"/>
    <n v="1"/>
    <s v="Core staff"/>
    <x v="1"/>
  </r>
  <r>
    <n v="5028572"/>
    <x v="0"/>
    <s v="N"/>
    <s v="Y"/>
    <n v="0"/>
    <x v="2"/>
    <x v="0"/>
    <x v="0"/>
    <x v="1"/>
    <x v="0"/>
    <d v="1964-07-28T00:00:00"/>
    <n v="-22062"/>
    <x v="495"/>
    <x v="0"/>
    <n v="365243"/>
    <n v="0"/>
    <x v="0"/>
    <n v="1"/>
    <n v="0"/>
    <n v="0"/>
    <n v="0"/>
    <m/>
    <x v="1"/>
  </r>
  <r>
    <n v="5028578"/>
    <x v="0"/>
    <s v="N"/>
    <s v="Y"/>
    <n v="0"/>
    <x v="2"/>
    <x v="0"/>
    <x v="0"/>
    <x v="1"/>
    <x v="0"/>
    <d v="1964-07-28T00:00:00"/>
    <n v="-22062"/>
    <x v="495"/>
    <x v="0"/>
    <n v="365243"/>
    <n v="0"/>
    <x v="0"/>
    <n v="1"/>
    <n v="0"/>
    <n v="0"/>
    <n v="0"/>
    <m/>
    <x v="1"/>
  </r>
  <r>
    <n v="5028612"/>
    <x v="1"/>
    <s v="Y"/>
    <s v="Y"/>
    <n v="0"/>
    <x v="8"/>
    <x v="1"/>
    <x v="0"/>
    <x v="2"/>
    <x v="2"/>
    <d v="1995-09-25T00:00:00"/>
    <n v="-10681"/>
    <x v="496"/>
    <x v="4"/>
    <n v="-2152"/>
    <n v="5.891854893908282"/>
    <x v="1"/>
    <n v="1"/>
    <n v="0"/>
    <n v="1"/>
    <n v="0"/>
    <s v="Sales staff"/>
    <x v="0"/>
  </r>
  <r>
    <n v="5028634"/>
    <x v="1"/>
    <s v="Y"/>
    <s v="Y"/>
    <n v="0"/>
    <x v="18"/>
    <x v="2"/>
    <x v="1"/>
    <x v="1"/>
    <x v="0"/>
    <d v="1996-04-01T00:00:00"/>
    <n v="-10492"/>
    <x v="497"/>
    <x v="4"/>
    <n v="-2822"/>
    <n v="7.7262149212867897"/>
    <x v="1"/>
    <n v="1"/>
    <n v="0"/>
    <n v="0"/>
    <n v="0"/>
    <s v="Drivers"/>
    <x v="1"/>
  </r>
  <r>
    <n v="5028635"/>
    <x v="1"/>
    <s v="Y"/>
    <s v="Y"/>
    <n v="0"/>
    <x v="18"/>
    <x v="2"/>
    <x v="1"/>
    <x v="1"/>
    <x v="0"/>
    <d v="1996-04-01T00:00:00"/>
    <n v="-10492"/>
    <x v="497"/>
    <x v="4"/>
    <n v="-2822"/>
    <n v="7.7262149212867897"/>
    <x v="1"/>
    <n v="1"/>
    <n v="0"/>
    <n v="0"/>
    <n v="0"/>
    <s v="Drivers"/>
    <x v="1"/>
  </r>
  <r>
    <n v="5028636"/>
    <x v="1"/>
    <s v="Y"/>
    <s v="Y"/>
    <n v="0"/>
    <x v="18"/>
    <x v="2"/>
    <x v="1"/>
    <x v="1"/>
    <x v="0"/>
    <d v="1996-04-01T00:00:00"/>
    <n v="-10492"/>
    <x v="497"/>
    <x v="4"/>
    <n v="-2822"/>
    <n v="7.7262149212867897"/>
    <x v="1"/>
    <n v="1"/>
    <n v="0"/>
    <n v="0"/>
    <n v="0"/>
    <s v="Drivers"/>
    <x v="1"/>
  </r>
  <r>
    <n v="5028642"/>
    <x v="0"/>
    <s v="N"/>
    <s v="Y"/>
    <n v="0"/>
    <x v="61"/>
    <x v="1"/>
    <x v="0"/>
    <x v="1"/>
    <x v="0"/>
    <d v="1992-03-28T00:00:00"/>
    <n v="-11957"/>
    <x v="498"/>
    <x v="3"/>
    <n v="-2182"/>
    <n v="5.9739904175222449"/>
    <x v="1"/>
    <n v="1"/>
    <n v="0"/>
    <n v="0"/>
    <n v="0"/>
    <s v="Managers"/>
    <x v="1"/>
  </r>
  <r>
    <n v="5028652"/>
    <x v="0"/>
    <s v="N"/>
    <s v="Y"/>
    <n v="0"/>
    <x v="5"/>
    <x v="2"/>
    <x v="1"/>
    <x v="1"/>
    <x v="0"/>
    <d v="1976-11-17T00:00:00"/>
    <n v="-17567"/>
    <x v="499"/>
    <x v="1"/>
    <n v="-3917"/>
    <n v="10.72416153319644"/>
    <x v="1"/>
    <n v="1"/>
    <n v="0"/>
    <n v="0"/>
    <n v="0"/>
    <m/>
    <x v="1"/>
  </r>
  <r>
    <n v="5028654"/>
    <x v="0"/>
    <s v="N"/>
    <s v="Y"/>
    <n v="0"/>
    <x v="5"/>
    <x v="2"/>
    <x v="1"/>
    <x v="1"/>
    <x v="0"/>
    <d v="1976-11-17T00:00:00"/>
    <n v="-17567"/>
    <x v="499"/>
    <x v="1"/>
    <n v="-3917"/>
    <n v="10.72416153319644"/>
    <x v="1"/>
    <n v="1"/>
    <n v="0"/>
    <n v="0"/>
    <n v="0"/>
    <m/>
    <x v="1"/>
  </r>
  <r>
    <n v="5028687"/>
    <x v="1"/>
    <s v="N"/>
    <s v="Y"/>
    <n v="0"/>
    <x v="5"/>
    <x v="2"/>
    <x v="1"/>
    <x v="1"/>
    <x v="0"/>
    <d v="1998-09-28T00:00:00"/>
    <n v="-9582"/>
    <x v="500"/>
    <x v="4"/>
    <n v="-3003"/>
    <n v="8.2217659137577002"/>
    <x v="1"/>
    <n v="1"/>
    <n v="0"/>
    <n v="0"/>
    <n v="1"/>
    <s v="Laborers"/>
    <x v="1"/>
  </r>
  <r>
    <n v="5028691"/>
    <x v="0"/>
    <s v="Y"/>
    <s v="Y"/>
    <n v="0"/>
    <x v="14"/>
    <x v="1"/>
    <x v="0"/>
    <x v="1"/>
    <x v="0"/>
    <d v="1995-03-16T00:00:00"/>
    <n v="-10874"/>
    <x v="501"/>
    <x v="4"/>
    <n v="-507"/>
    <n v="1.3880903490759753"/>
    <x v="1"/>
    <n v="1"/>
    <n v="0"/>
    <n v="0"/>
    <n v="1"/>
    <s v="Core staff"/>
    <x v="1"/>
  </r>
  <r>
    <n v="5028704"/>
    <x v="0"/>
    <s v="N"/>
    <s v="Y"/>
    <n v="0"/>
    <x v="39"/>
    <x v="3"/>
    <x v="0"/>
    <x v="4"/>
    <x v="0"/>
    <d v="1970-05-05T00:00:00"/>
    <n v="-19955"/>
    <x v="502"/>
    <x v="2"/>
    <n v="-6200"/>
    <n v="16.974674880219027"/>
    <x v="1"/>
    <n v="1"/>
    <n v="0"/>
    <n v="0"/>
    <n v="0"/>
    <m/>
    <x v="0"/>
  </r>
  <r>
    <n v="5028716"/>
    <x v="0"/>
    <s v="N"/>
    <s v="Y"/>
    <n v="0"/>
    <x v="25"/>
    <x v="2"/>
    <x v="0"/>
    <x v="1"/>
    <x v="2"/>
    <d v="1999-01-27T00:00:00"/>
    <n v="-9461"/>
    <x v="503"/>
    <x v="4"/>
    <n v="-446"/>
    <n v="1.2210814510609171"/>
    <x v="1"/>
    <n v="1"/>
    <n v="0"/>
    <n v="0"/>
    <n v="1"/>
    <m/>
    <x v="1"/>
  </r>
  <r>
    <n v="5028726"/>
    <x v="1"/>
    <s v="N"/>
    <s v="Y"/>
    <n v="0"/>
    <x v="14"/>
    <x v="1"/>
    <x v="1"/>
    <x v="1"/>
    <x v="0"/>
    <d v="1990-10-19T00:00:00"/>
    <n v="-12483"/>
    <x v="504"/>
    <x v="3"/>
    <n v="-4039"/>
    <n v="11.058179329226558"/>
    <x v="1"/>
    <n v="1"/>
    <n v="0"/>
    <n v="0"/>
    <n v="0"/>
    <s v="Managers"/>
    <x v="1"/>
  </r>
  <r>
    <n v="5028731"/>
    <x v="1"/>
    <s v="N"/>
    <s v="Y"/>
    <n v="0"/>
    <x v="14"/>
    <x v="1"/>
    <x v="1"/>
    <x v="1"/>
    <x v="0"/>
    <d v="1990-10-19T00:00:00"/>
    <n v="-12483"/>
    <x v="504"/>
    <x v="3"/>
    <n v="-4039"/>
    <n v="11.058179329226558"/>
    <x v="1"/>
    <n v="1"/>
    <n v="0"/>
    <n v="0"/>
    <n v="0"/>
    <s v="Managers"/>
    <x v="1"/>
  </r>
  <r>
    <n v="5028738"/>
    <x v="1"/>
    <s v="N"/>
    <s v="Y"/>
    <n v="0"/>
    <x v="14"/>
    <x v="1"/>
    <x v="1"/>
    <x v="1"/>
    <x v="0"/>
    <d v="1990-10-19T00:00:00"/>
    <n v="-12483"/>
    <x v="504"/>
    <x v="3"/>
    <n v="-4039"/>
    <n v="11.058179329226558"/>
    <x v="1"/>
    <n v="1"/>
    <n v="0"/>
    <n v="0"/>
    <n v="0"/>
    <s v="Managers"/>
    <x v="1"/>
  </r>
  <r>
    <n v="5028749"/>
    <x v="0"/>
    <s v="Y"/>
    <s v="N"/>
    <n v="1"/>
    <x v="21"/>
    <x v="2"/>
    <x v="0"/>
    <x v="1"/>
    <x v="0"/>
    <d v="1996-02-11T00:00:00"/>
    <n v="-10542"/>
    <x v="505"/>
    <x v="4"/>
    <n v="-2607"/>
    <n v="7.137577002053388"/>
    <x v="1"/>
    <n v="1"/>
    <n v="0"/>
    <n v="0"/>
    <n v="0"/>
    <m/>
    <x v="3"/>
  </r>
  <r>
    <n v="5028750"/>
    <x v="0"/>
    <s v="Y"/>
    <s v="N"/>
    <n v="1"/>
    <x v="21"/>
    <x v="2"/>
    <x v="0"/>
    <x v="1"/>
    <x v="0"/>
    <d v="1996-02-11T00:00:00"/>
    <n v="-10542"/>
    <x v="505"/>
    <x v="4"/>
    <n v="-2607"/>
    <n v="7.137577002053388"/>
    <x v="1"/>
    <n v="1"/>
    <n v="0"/>
    <n v="0"/>
    <n v="0"/>
    <m/>
    <x v="3"/>
  </r>
  <r>
    <n v="5028751"/>
    <x v="0"/>
    <s v="Y"/>
    <s v="N"/>
    <n v="1"/>
    <x v="21"/>
    <x v="2"/>
    <x v="0"/>
    <x v="1"/>
    <x v="0"/>
    <d v="1996-02-11T00:00:00"/>
    <n v="-10542"/>
    <x v="505"/>
    <x v="4"/>
    <n v="-2607"/>
    <n v="7.137577002053388"/>
    <x v="1"/>
    <n v="1"/>
    <n v="0"/>
    <n v="0"/>
    <n v="0"/>
    <m/>
    <x v="3"/>
  </r>
  <r>
    <n v="5028755"/>
    <x v="0"/>
    <s v="Y"/>
    <s v="N"/>
    <n v="1"/>
    <x v="21"/>
    <x v="2"/>
    <x v="0"/>
    <x v="1"/>
    <x v="0"/>
    <d v="1996-02-11T00:00:00"/>
    <n v="-10542"/>
    <x v="505"/>
    <x v="4"/>
    <n v="-2607"/>
    <n v="7.137577002053388"/>
    <x v="1"/>
    <n v="1"/>
    <n v="0"/>
    <n v="0"/>
    <n v="0"/>
    <m/>
    <x v="3"/>
  </r>
  <r>
    <n v="5028757"/>
    <x v="0"/>
    <s v="Y"/>
    <s v="N"/>
    <n v="1"/>
    <x v="21"/>
    <x v="2"/>
    <x v="0"/>
    <x v="1"/>
    <x v="0"/>
    <d v="1996-02-11T00:00:00"/>
    <n v="-10542"/>
    <x v="505"/>
    <x v="4"/>
    <n v="-2607"/>
    <n v="7.137577002053388"/>
    <x v="1"/>
    <n v="1"/>
    <n v="0"/>
    <n v="0"/>
    <n v="0"/>
    <m/>
    <x v="3"/>
  </r>
  <r>
    <n v="5028772"/>
    <x v="0"/>
    <s v="N"/>
    <s v="N"/>
    <n v="0"/>
    <x v="1"/>
    <x v="2"/>
    <x v="0"/>
    <x v="1"/>
    <x v="0"/>
    <d v="1992-05-05T00:00:00"/>
    <n v="-11919"/>
    <x v="506"/>
    <x v="3"/>
    <n v="-1787"/>
    <n v="4.8925393566050648"/>
    <x v="1"/>
    <n v="1"/>
    <n v="0"/>
    <n v="1"/>
    <n v="0"/>
    <s v="Accountants"/>
    <x v="1"/>
  </r>
  <r>
    <n v="5028778"/>
    <x v="0"/>
    <s v="N"/>
    <s v="Y"/>
    <n v="0"/>
    <x v="68"/>
    <x v="2"/>
    <x v="1"/>
    <x v="1"/>
    <x v="0"/>
    <d v="2002-10-08T00:00:00"/>
    <n v="-8111"/>
    <x v="507"/>
    <x v="4"/>
    <n v="-1361"/>
    <n v="3.7262149212867897"/>
    <x v="1"/>
    <n v="1"/>
    <n v="0"/>
    <n v="0"/>
    <n v="0"/>
    <s v="High skill tech staff"/>
    <x v="1"/>
  </r>
  <r>
    <n v="5028784"/>
    <x v="0"/>
    <s v="N"/>
    <s v="Y"/>
    <n v="0"/>
    <x v="1"/>
    <x v="2"/>
    <x v="1"/>
    <x v="1"/>
    <x v="0"/>
    <d v="1981-08-14T00:00:00"/>
    <n v="-15836"/>
    <x v="508"/>
    <x v="1"/>
    <n v="-3034"/>
    <n v="8.3066392881587952"/>
    <x v="1"/>
    <n v="1"/>
    <n v="0"/>
    <n v="0"/>
    <n v="0"/>
    <m/>
    <x v="1"/>
  </r>
  <r>
    <n v="5028794"/>
    <x v="0"/>
    <s v="N"/>
    <s v="Y"/>
    <n v="2"/>
    <x v="2"/>
    <x v="1"/>
    <x v="1"/>
    <x v="1"/>
    <x v="0"/>
    <d v="1990-07-31T00:00:00"/>
    <n v="-12563"/>
    <x v="509"/>
    <x v="3"/>
    <n v="-1025"/>
    <n v="2.8062970568104038"/>
    <x v="1"/>
    <n v="1"/>
    <n v="0"/>
    <n v="0"/>
    <n v="0"/>
    <s v="Cooking staff"/>
    <x v="2"/>
  </r>
  <r>
    <n v="5028795"/>
    <x v="0"/>
    <s v="N"/>
    <s v="Y"/>
    <n v="2"/>
    <x v="2"/>
    <x v="1"/>
    <x v="1"/>
    <x v="1"/>
    <x v="0"/>
    <d v="1990-07-31T00:00:00"/>
    <n v="-12563"/>
    <x v="509"/>
    <x v="3"/>
    <n v="-1025"/>
    <n v="2.8062970568104038"/>
    <x v="1"/>
    <n v="1"/>
    <n v="0"/>
    <n v="0"/>
    <n v="0"/>
    <s v="Cooking staff"/>
    <x v="2"/>
  </r>
  <r>
    <n v="5028798"/>
    <x v="0"/>
    <s v="N"/>
    <s v="Y"/>
    <n v="2"/>
    <x v="2"/>
    <x v="1"/>
    <x v="1"/>
    <x v="1"/>
    <x v="0"/>
    <d v="1990-07-31T00:00:00"/>
    <n v="-12563"/>
    <x v="509"/>
    <x v="3"/>
    <n v="-1025"/>
    <n v="2.8062970568104038"/>
    <x v="1"/>
    <n v="1"/>
    <n v="0"/>
    <n v="0"/>
    <n v="0"/>
    <s v="Cooking staff"/>
    <x v="2"/>
  </r>
  <r>
    <n v="5028806"/>
    <x v="0"/>
    <s v="Y"/>
    <s v="Y"/>
    <n v="1"/>
    <x v="1"/>
    <x v="2"/>
    <x v="0"/>
    <x v="1"/>
    <x v="0"/>
    <d v="1991-12-05T00:00:00"/>
    <n v="-12071"/>
    <x v="510"/>
    <x v="3"/>
    <n v="-721"/>
    <n v="1.9739904175222451"/>
    <x v="1"/>
    <n v="1"/>
    <n v="0"/>
    <n v="0"/>
    <n v="0"/>
    <m/>
    <x v="3"/>
  </r>
  <r>
    <n v="5028810"/>
    <x v="0"/>
    <s v="Y"/>
    <s v="Y"/>
    <n v="1"/>
    <x v="1"/>
    <x v="2"/>
    <x v="0"/>
    <x v="1"/>
    <x v="0"/>
    <d v="1991-12-05T00:00:00"/>
    <n v="-12071"/>
    <x v="510"/>
    <x v="3"/>
    <n v="-721"/>
    <n v="1.9739904175222451"/>
    <x v="1"/>
    <n v="1"/>
    <n v="0"/>
    <n v="0"/>
    <n v="0"/>
    <m/>
    <x v="3"/>
  </r>
  <r>
    <n v="5028813"/>
    <x v="0"/>
    <s v="Y"/>
    <s v="Y"/>
    <n v="1"/>
    <x v="1"/>
    <x v="2"/>
    <x v="0"/>
    <x v="1"/>
    <x v="0"/>
    <d v="1991-12-05T00:00:00"/>
    <n v="-12071"/>
    <x v="510"/>
    <x v="3"/>
    <n v="-721"/>
    <n v="1.9739904175222451"/>
    <x v="1"/>
    <n v="1"/>
    <n v="0"/>
    <n v="0"/>
    <n v="0"/>
    <m/>
    <x v="3"/>
  </r>
  <r>
    <n v="5028815"/>
    <x v="0"/>
    <s v="Y"/>
    <s v="Y"/>
    <n v="1"/>
    <x v="1"/>
    <x v="2"/>
    <x v="0"/>
    <x v="1"/>
    <x v="0"/>
    <d v="1991-12-05T00:00:00"/>
    <n v="-12071"/>
    <x v="510"/>
    <x v="3"/>
    <n v="-721"/>
    <n v="1.9739904175222451"/>
    <x v="1"/>
    <n v="1"/>
    <n v="0"/>
    <n v="0"/>
    <n v="0"/>
    <m/>
    <x v="3"/>
  </r>
  <r>
    <n v="5028823"/>
    <x v="0"/>
    <s v="N"/>
    <s v="Y"/>
    <n v="0"/>
    <x v="16"/>
    <x v="1"/>
    <x v="1"/>
    <x v="1"/>
    <x v="0"/>
    <d v="1974-05-06T00:00:00"/>
    <n v="-18493"/>
    <x v="511"/>
    <x v="2"/>
    <n v="-387"/>
    <n v="1.0595482546201231"/>
    <x v="1"/>
    <n v="1"/>
    <n v="0"/>
    <n v="0"/>
    <n v="0"/>
    <s v="Sales staff"/>
    <x v="1"/>
  </r>
  <r>
    <n v="5028848"/>
    <x v="1"/>
    <s v="Y"/>
    <s v="Y"/>
    <n v="1"/>
    <x v="5"/>
    <x v="2"/>
    <x v="1"/>
    <x v="1"/>
    <x v="0"/>
    <d v="1987-01-04T00:00:00"/>
    <n v="-13867"/>
    <x v="512"/>
    <x v="3"/>
    <n v="-3095"/>
    <n v="8.473648186173854"/>
    <x v="1"/>
    <n v="1"/>
    <n v="0"/>
    <n v="0"/>
    <n v="0"/>
    <s v="Laborers"/>
    <x v="3"/>
  </r>
  <r>
    <n v="5028864"/>
    <x v="1"/>
    <s v="N"/>
    <s v="Y"/>
    <n v="1"/>
    <x v="11"/>
    <x v="2"/>
    <x v="1"/>
    <x v="1"/>
    <x v="0"/>
    <d v="1979-01-16T00:00:00"/>
    <n v="-16777"/>
    <x v="513"/>
    <x v="1"/>
    <n v="-3278"/>
    <n v="8.9746748802190286"/>
    <x v="1"/>
    <n v="1"/>
    <n v="0"/>
    <n v="0"/>
    <n v="0"/>
    <m/>
    <x v="3"/>
  </r>
  <r>
    <n v="5028872"/>
    <x v="0"/>
    <s v="Y"/>
    <s v="Y"/>
    <n v="0"/>
    <x v="60"/>
    <x v="2"/>
    <x v="1"/>
    <x v="1"/>
    <x v="0"/>
    <d v="1973-07-08T00:00:00"/>
    <n v="-18795"/>
    <x v="514"/>
    <x v="2"/>
    <n v="-2486"/>
    <n v="6.8062970568104042"/>
    <x v="1"/>
    <n v="1"/>
    <n v="0"/>
    <n v="0"/>
    <n v="0"/>
    <s v="Laborers"/>
    <x v="1"/>
  </r>
  <r>
    <n v="5028875"/>
    <x v="1"/>
    <s v="N"/>
    <s v="N"/>
    <n v="3"/>
    <x v="3"/>
    <x v="2"/>
    <x v="1"/>
    <x v="3"/>
    <x v="2"/>
    <d v="1991-12-04T00:00:00"/>
    <n v="-12072"/>
    <x v="515"/>
    <x v="3"/>
    <n v="-1422"/>
    <n v="3.893223819301848"/>
    <x v="1"/>
    <n v="1"/>
    <n v="0"/>
    <n v="0"/>
    <n v="1"/>
    <m/>
    <x v="4"/>
  </r>
  <r>
    <n v="5028901"/>
    <x v="1"/>
    <s v="Y"/>
    <s v="Y"/>
    <n v="0"/>
    <x v="18"/>
    <x v="2"/>
    <x v="3"/>
    <x v="0"/>
    <x v="0"/>
    <d v="1972-07-04T00:00:00"/>
    <n v="-19164"/>
    <x v="516"/>
    <x v="2"/>
    <n v="-3825"/>
    <n v="10.472279260780287"/>
    <x v="1"/>
    <n v="1"/>
    <n v="1"/>
    <n v="0"/>
    <n v="0"/>
    <s v="Laborers"/>
    <x v="0"/>
  </r>
  <r>
    <n v="5028902"/>
    <x v="0"/>
    <s v="N"/>
    <s v="N"/>
    <n v="0"/>
    <x v="37"/>
    <x v="2"/>
    <x v="1"/>
    <x v="1"/>
    <x v="0"/>
    <d v="1997-09-12T00:00:00"/>
    <n v="-9963"/>
    <x v="517"/>
    <x v="4"/>
    <n v="-1876"/>
    <n v="5.1362080766598224"/>
    <x v="1"/>
    <n v="1"/>
    <n v="0"/>
    <n v="0"/>
    <n v="0"/>
    <s v="Sales staff"/>
    <x v="1"/>
  </r>
  <r>
    <n v="5028917"/>
    <x v="0"/>
    <s v="Y"/>
    <s v="Y"/>
    <n v="0"/>
    <x v="2"/>
    <x v="2"/>
    <x v="1"/>
    <x v="1"/>
    <x v="0"/>
    <d v="1977-11-17T00:00:00"/>
    <n v="-17202"/>
    <x v="518"/>
    <x v="1"/>
    <n v="-1787"/>
    <n v="4.8925393566050648"/>
    <x v="1"/>
    <n v="1"/>
    <n v="0"/>
    <n v="0"/>
    <n v="0"/>
    <s v="Sales staff"/>
    <x v="1"/>
  </r>
  <r>
    <n v="5028927"/>
    <x v="0"/>
    <s v="Y"/>
    <s v="Y"/>
    <n v="0"/>
    <x v="2"/>
    <x v="2"/>
    <x v="1"/>
    <x v="1"/>
    <x v="0"/>
    <d v="1977-11-17T00:00:00"/>
    <n v="-17202"/>
    <x v="518"/>
    <x v="1"/>
    <n v="-1787"/>
    <n v="4.8925393566050648"/>
    <x v="1"/>
    <n v="1"/>
    <n v="0"/>
    <n v="0"/>
    <n v="0"/>
    <s v="Sales staff"/>
    <x v="1"/>
  </r>
  <r>
    <n v="5028948"/>
    <x v="0"/>
    <s v="N"/>
    <s v="Y"/>
    <n v="0"/>
    <x v="55"/>
    <x v="0"/>
    <x v="1"/>
    <x v="1"/>
    <x v="0"/>
    <d v="1967-11-19T00:00:00"/>
    <n v="-20853"/>
    <x v="519"/>
    <x v="2"/>
    <n v="365243"/>
    <n v="0"/>
    <x v="0"/>
    <n v="1"/>
    <n v="0"/>
    <n v="0"/>
    <n v="0"/>
    <m/>
    <x v="1"/>
  </r>
  <r>
    <n v="5028952"/>
    <x v="1"/>
    <s v="N"/>
    <s v="Y"/>
    <n v="0"/>
    <x v="55"/>
    <x v="2"/>
    <x v="1"/>
    <x v="2"/>
    <x v="0"/>
    <d v="1970-09-06T00:00:00"/>
    <n v="-19831"/>
    <x v="520"/>
    <x v="2"/>
    <n v="-780"/>
    <n v="2.1355236139630391"/>
    <x v="1"/>
    <n v="1"/>
    <n v="0"/>
    <n v="0"/>
    <n v="0"/>
    <s v="Laborers"/>
    <x v="0"/>
  </r>
  <r>
    <n v="5028954"/>
    <x v="0"/>
    <s v="N"/>
    <s v="Y"/>
    <n v="0"/>
    <x v="1"/>
    <x v="0"/>
    <x v="1"/>
    <x v="1"/>
    <x v="0"/>
    <d v="1963-12-20T00:00:00"/>
    <n v="-22283"/>
    <x v="521"/>
    <x v="0"/>
    <n v="365243"/>
    <n v="0"/>
    <x v="0"/>
    <n v="1"/>
    <n v="0"/>
    <n v="0"/>
    <n v="0"/>
    <m/>
    <x v="1"/>
  </r>
  <r>
    <n v="5028969"/>
    <x v="0"/>
    <s v="Y"/>
    <s v="Y"/>
    <n v="0"/>
    <x v="1"/>
    <x v="0"/>
    <x v="0"/>
    <x v="0"/>
    <x v="0"/>
    <d v="1965-03-03T00:00:00"/>
    <n v="-21844"/>
    <x v="522"/>
    <x v="2"/>
    <n v="365243"/>
    <n v="0"/>
    <x v="0"/>
    <n v="1"/>
    <n v="0"/>
    <n v="0"/>
    <n v="0"/>
    <m/>
    <x v="0"/>
  </r>
  <r>
    <n v="5028986"/>
    <x v="0"/>
    <s v="N"/>
    <s v="Y"/>
    <n v="0"/>
    <x v="76"/>
    <x v="2"/>
    <x v="1"/>
    <x v="0"/>
    <x v="0"/>
    <d v="1972-10-13T00:00:00"/>
    <n v="-19063"/>
    <x v="523"/>
    <x v="2"/>
    <n v="-2213"/>
    <n v="6.0588637919233399"/>
    <x v="1"/>
    <n v="1"/>
    <n v="1"/>
    <n v="1"/>
    <n v="1"/>
    <s v="Laborers"/>
    <x v="0"/>
  </r>
  <r>
    <n v="5028991"/>
    <x v="0"/>
    <s v="N"/>
    <s v="N"/>
    <n v="2"/>
    <x v="51"/>
    <x v="2"/>
    <x v="3"/>
    <x v="2"/>
    <x v="0"/>
    <d v="1982-11-20T00:00:00"/>
    <n v="-15373"/>
    <x v="524"/>
    <x v="1"/>
    <n v="-2333"/>
    <n v="6.3874058863791925"/>
    <x v="1"/>
    <n v="1"/>
    <n v="0"/>
    <n v="0"/>
    <n v="0"/>
    <s v="Sales staff"/>
    <x v="3"/>
  </r>
  <r>
    <n v="5029031"/>
    <x v="0"/>
    <s v="N"/>
    <s v="Y"/>
    <n v="2"/>
    <x v="37"/>
    <x v="2"/>
    <x v="1"/>
    <x v="1"/>
    <x v="0"/>
    <d v="1991-08-22T00:00:00"/>
    <n v="-12176"/>
    <x v="525"/>
    <x v="3"/>
    <n v="-5316"/>
    <n v="14.55441478439425"/>
    <x v="1"/>
    <n v="1"/>
    <n v="0"/>
    <n v="1"/>
    <n v="0"/>
    <s v="High skill tech staff"/>
    <x v="2"/>
  </r>
  <r>
    <n v="5029038"/>
    <x v="0"/>
    <s v="N"/>
    <s v="Y"/>
    <n v="0"/>
    <x v="30"/>
    <x v="0"/>
    <x v="1"/>
    <x v="1"/>
    <x v="0"/>
    <d v="1961-05-22T00:00:00"/>
    <n v="-23225"/>
    <x v="526"/>
    <x v="0"/>
    <n v="365243"/>
    <n v="0"/>
    <x v="0"/>
    <n v="1"/>
    <n v="0"/>
    <n v="0"/>
    <n v="0"/>
    <m/>
    <x v="1"/>
  </r>
  <r>
    <n v="5029063"/>
    <x v="0"/>
    <s v="N"/>
    <s v="Y"/>
    <n v="1"/>
    <x v="37"/>
    <x v="2"/>
    <x v="1"/>
    <x v="1"/>
    <x v="0"/>
    <d v="1998-05-13T00:00:00"/>
    <n v="-9720"/>
    <x v="527"/>
    <x v="4"/>
    <n v="-507"/>
    <n v="1.3880903490759753"/>
    <x v="1"/>
    <n v="1"/>
    <n v="0"/>
    <n v="0"/>
    <n v="1"/>
    <m/>
    <x v="3"/>
  </r>
  <r>
    <n v="5029064"/>
    <x v="0"/>
    <s v="N"/>
    <s v="Y"/>
    <n v="1"/>
    <x v="37"/>
    <x v="2"/>
    <x v="1"/>
    <x v="1"/>
    <x v="0"/>
    <d v="1998-05-13T00:00:00"/>
    <n v="-9720"/>
    <x v="527"/>
    <x v="4"/>
    <n v="-507"/>
    <n v="1.3880903490759753"/>
    <x v="1"/>
    <n v="1"/>
    <n v="0"/>
    <n v="0"/>
    <n v="1"/>
    <m/>
    <x v="3"/>
  </r>
  <r>
    <n v="5029072"/>
    <x v="0"/>
    <s v="N"/>
    <s v="Y"/>
    <n v="0"/>
    <x v="11"/>
    <x v="3"/>
    <x v="1"/>
    <x v="1"/>
    <x v="0"/>
    <d v="1970-01-17T00:00:00"/>
    <n v="-20063"/>
    <x v="528"/>
    <x v="2"/>
    <n v="-1907"/>
    <n v="5.2210814510609174"/>
    <x v="1"/>
    <n v="1"/>
    <n v="0"/>
    <n v="0"/>
    <n v="0"/>
    <s v="Laborers"/>
    <x v="1"/>
  </r>
  <r>
    <n v="5029079"/>
    <x v="0"/>
    <s v="N"/>
    <s v="Y"/>
    <n v="1"/>
    <x v="1"/>
    <x v="2"/>
    <x v="2"/>
    <x v="0"/>
    <x v="0"/>
    <d v="1997-03-06T00:00:00"/>
    <n v="-10153"/>
    <x v="529"/>
    <x v="4"/>
    <n v="-599"/>
    <n v="1.6399726214921286"/>
    <x v="1"/>
    <n v="1"/>
    <n v="0"/>
    <n v="0"/>
    <n v="0"/>
    <s v="Sales staff"/>
    <x v="1"/>
  </r>
  <r>
    <n v="5029087"/>
    <x v="0"/>
    <s v="N"/>
    <s v="Y"/>
    <n v="0"/>
    <x v="33"/>
    <x v="1"/>
    <x v="2"/>
    <x v="1"/>
    <x v="0"/>
    <d v="1999-05-05T00:00:00"/>
    <n v="-9363"/>
    <x v="530"/>
    <x v="4"/>
    <n v="-1056"/>
    <n v="2.8911704312114992"/>
    <x v="1"/>
    <n v="1"/>
    <n v="0"/>
    <n v="0"/>
    <n v="1"/>
    <m/>
    <x v="1"/>
  </r>
  <r>
    <n v="5029091"/>
    <x v="0"/>
    <s v="N"/>
    <s v="Y"/>
    <n v="0"/>
    <x v="1"/>
    <x v="0"/>
    <x v="0"/>
    <x v="1"/>
    <x v="0"/>
    <d v="1963-03-30T00:00:00"/>
    <n v="-22548"/>
    <x v="531"/>
    <x v="0"/>
    <n v="365243"/>
    <n v="0"/>
    <x v="0"/>
    <n v="1"/>
    <n v="0"/>
    <n v="0"/>
    <n v="0"/>
    <m/>
    <x v="1"/>
  </r>
  <r>
    <n v="5029095"/>
    <x v="0"/>
    <s v="N"/>
    <s v="Y"/>
    <n v="0"/>
    <x v="1"/>
    <x v="0"/>
    <x v="0"/>
    <x v="1"/>
    <x v="0"/>
    <d v="1963-03-30T00:00:00"/>
    <n v="-22548"/>
    <x v="531"/>
    <x v="0"/>
    <n v="365243"/>
    <n v="0"/>
    <x v="0"/>
    <n v="1"/>
    <n v="0"/>
    <n v="0"/>
    <n v="0"/>
    <m/>
    <x v="1"/>
  </r>
  <r>
    <n v="5029097"/>
    <x v="1"/>
    <s v="Y"/>
    <s v="Y"/>
    <n v="2"/>
    <x v="1"/>
    <x v="2"/>
    <x v="0"/>
    <x v="1"/>
    <x v="0"/>
    <d v="1993-04-25T00:00:00"/>
    <n v="-11564"/>
    <x v="532"/>
    <x v="3"/>
    <n v="-2944"/>
    <n v="8.0602327173169055"/>
    <x v="1"/>
    <n v="1"/>
    <n v="0"/>
    <n v="0"/>
    <n v="1"/>
    <s v="Managers"/>
    <x v="2"/>
  </r>
  <r>
    <n v="5029103"/>
    <x v="1"/>
    <s v="Y"/>
    <s v="Y"/>
    <n v="2"/>
    <x v="1"/>
    <x v="2"/>
    <x v="0"/>
    <x v="1"/>
    <x v="0"/>
    <d v="1993-04-25T00:00:00"/>
    <n v="-11564"/>
    <x v="532"/>
    <x v="3"/>
    <n v="-2944"/>
    <n v="8.0602327173169055"/>
    <x v="1"/>
    <n v="1"/>
    <n v="0"/>
    <n v="0"/>
    <n v="1"/>
    <s v="Managers"/>
    <x v="2"/>
  </r>
  <r>
    <n v="5029105"/>
    <x v="1"/>
    <s v="Y"/>
    <s v="N"/>
    <n v="1"/>
    <x v="12"/>
    <x v="3"/>
    <x v="1"/>
    <x v="1"/>
    <x v="0"/>
    <d v="1988-10-02T00:00:00"/>
    <n v="-13230"/>
    <x v="533"/>
    <x v="3"/>
    <n v="-3643"/>
    <n v="9.9739904175222449"/>
    <x v="1"/>
    <n v="1"/>
    <n v="0"/>
    <n v="0"/>
    <n v="1"/>
    <s v="High skill tech staff"/>
    <x v="3"/>
  </r>
  <r>
    <n v="5029109"/>
    <x v="1"/>
    <s v="Y"/>
    <s v="N"/>
    <n v="1"/>
    <x v="12"/>
    <x v="3"/>
    <x v="1"/>
    <x v="1"/>
    <x v="0"/>
    <d v="1988-10-02T00:00:00"/>
    <n v="-13230"/>
    <x v="533"/>
    <x v="3"/>
    <n v="-3643"/>
    <n v="9.9739904175222449"/>
    <x v="1"/>
    <n v="1"/>
    <n v="0"/>
    <n v="0"/>
    <n v="1"/>
    <s v="High skill tech staff"/>
    <x v="3"/>
  </r>
  <r>
    <n v="5029111"/>
    <x v="0"/>
    <s v="Y"/>
    <s v="Y"/>
    <n v="2"/>
    <x v="8"/>
    <x v="3"/>
    <x v="0"/>
    <x v="1"/>
    <x v="0"/>
    <d v="1984-08-23T00:00:00"/>
    <n v="-14731"/>
    <x v="534"/>
    <x v="1"/>
    <n v="-4617"/>
    <n v="12.640657084188911"/>
    <x v="1"/>
    <n v="1"/>
    <n v="0"/>
    <n v="0"/>
    <n v="0"/>
    <s v="Medicine staff"/>
    <x v="2"/>
  </r>
  <r>
    <n v="5029114"/>
    <x v="0"/>
    <s v="Y"/>
    <s v="Y"/>
    <n v="2"/>
    <x v="8"/>
    <x v="3"/>
    <x v="0"/>
    <x v="1"/>
    <x v="0"/>
    <d v="1984-08-23T00:00:00"/>
    <n v="-14731"/>
    <x v="534"/>
    <x v="1"/>
    <n v="-4617"/>
    <n v="12.640657084188911"/>
    <x v="1"/>
    <n v="1"/>
    <n v="0"/>
    <n v="0"/>
    <n v="0"/>
    <s v="Medicine staff"/>
    <x v="2"/>
  </r>
  <r>
    <n v="5029122"/>
    <x v="0"/>
    <s v="N"/>
    <s v="Y"/>
    <n v="0"/>
    <x v="77"/>
    <x v="2"/>
    <x v="1"/>
    <x v="1"/>
    <x v="0"/>
    <d v="1979-04-17T00:00:00"/>
    <n v="-16686"/>
    <x v="535"/>
    <x v="1"/>
    <n v="-599"/>
    <n v="1.6399726214921286"/>
    <x v="1"/>
    <n v="1"/>
    <n v="0"/>
    <n v="0"/>
    <n v="0"/>
    <s v="Cleaning staff"/>
    <x v="1"/>
  </r>
  <r>
    <n v="5029130"/>
    <x v="0"/>
    <s v="N"/>
    <s v="Y"/>
    <n v="0"/>
    <x v="77"/>
    <x v="2"/>
    <x v="1"/>
    <x v="1"/>
    <x v="0"/>
    <d v="1979-04-17T00:00:00"/>
    <n v="-16686"/>
    <x v="535"/>
    <x v="1"/>
    <n v="-599"/>
    <n v="1.6399726214921286"/>
    <x v="1"/>
    <n v="1"/>
    <n v="0"/>
    <n v="0"/>
    <n v="0"/>
    <s v="Cleaning staff"/>
    <x v="1"/>
  </r>
  <r>
    <n v="5029138"/>
    <x v="0"/>
    <s v="Y"/>
    <s v="Y"/>
    <n v="0"/>
    <x v="14"/>
    <x v="1"/>
    <x v="1"/>
    <x v="1"/>
    <x v="0"/>
    <d v="1990-07-24T00:00:00"/>
    <n v="-12570"/>
    <x v="536"/>
    <x v="3"/>
    <n v="-3095"/>
    <n v="8.473648186173854"/>
    <x v="1"/>
    <n v="1"/>
    <n v="1"/>
    <n v="0"/>
    <n v="0"/>
    <s v="Managers"/>
    <x v="1"/>
  </r>
  <r>
    <n v="5029162"/>
    <x v="0"/>
    <s v="N"/>
    <s v="N"/>
    <n v="0"/>
    <x v="16"/>
    <x v="1"/>
    <x v="1"/>
    <x v="1"/>
    <x v="0"/>
    <d v="1990-11-10T00:00:00"/>
    <n v="-12461"/>
    <x v="125"/>
    <x v="3"/>
    <n v="-1805"/>
    <n v="4.9418206707734429"/>
    <x v="1"/>
    <n v="1"/>
    <n v="1"/>
    <n v="0"/>
    <n v="0"/>
    <s v="Sales staff"/>
    <x v="1"/>
  </r>
  <r>
    <n v="5029163"/>
    <x v="0"/>
    <s v="N"/>
    <s v="Y"/>
    <n v="3"/>
    <x v="5"/>
    <x v="2"/>
    <x v="1"/>
    <x v="3"/>
    <x v="0"/>
    <d v="1993-01-02T00:00:00"/>
    <n v="-11677"/>
    <x v="537"/>
    <x v="3"/>
    <n v="-3356"/>
    <n v="9.1882272416153317"/>
    <x v="1"/>
    <n v="1"/>
    <n v="0"/>
    <n v="0"/>
    <n v="0"/>
    <s v="Laborers"/>
    <x v="4"/>
  </r>
  <r>
    <n v="5029168"/>
    <x v="0"/>
    <s v="N"/>
    <s v="Y"/>
    <n v="0"/>
    <x v="32"/>
    <x v="0"/>
    <x v="1"/>
    <x v="1"/>
    <x v="0"/>
    <d v="1968-02-12T00:00:00"/>
    <n v="-20768"/>
    <x v="538"/>
    <x v="2"/>
    <n v="365243"/>
    <n v="0"/>
    <x v="0"/>
    <n v="1"/>
    <n v="0"/>
    <n v="0"/>
    <n v="0"/>
    <m/>
    <x v="1"/>
  </r>
  <r>
    <n v="5029199"/>
    <x v="1"/>
    <s v="Y"/>
    <s v="Y"/>
    <n v="0"/>
    <x v="30"/>
    <x v="1"/>
    <x v="1"/>
    <x v="1"/>
    <x v="0"/>
    <d v="1973-03-29T00:00:00"/>
    <n v="-18896"/>
    <x v="539"/>
    <x v="2"/>
    <n v="-1661"/>
    <n v="4.5475701574264207"/>
    <x v="1"/>
    <n v="1"/>
    <n v="0"/>
    <n v="0"/>
    <n v="0"/>
    <s v="Laborers"/>
    <x v="1"/>
  </r>
  <r>
    <n v="5029205"/>
    <x v="0"/>
    <s v="N"/>
    <s v="Y"/>
    <n v="0"/>
    <x v="16"/>
    <x v="0"/>
    <x v="1"/>
    <x v="1"/>
    <x v="0"/>
    <d v="1964-06-05T00:00:00"/>
    <n v="-22115"/>
    <x v="540"/>
    <x v="0"/>
    <n v="365243"/>
    <n v="0"/>
    <x v="0"/>
    <n v="1"/>
    <n v="0"/>
    <n v="1"/>
    <n v="0"/>
    <m/>
    <x v="1"/>
  </r>
  <r>
    <n v="5029230"/>
    <x v="1"/>
    <s v="N"/>
    <s v="Y"/>
    <n v="0"/>
    <x v="16"/>
    <x v="2"/>
    <x v="1"/>
    <x v="1"/>
    <x v="0"/>
    <d v="1971-11-03T00:00:00"/>
    <n v="-19408"/>
    <x v="541"/>
    <x v="2"/>
    <n v="-4553"/>
    <n v="12.465434633812457"/>
    <x v="1"/>
    <n v="1"/>
    <n v="0"/>
    <n v="1"/>
    <n v="0"/>
    <s v="Laborers"/>
    <x v="1"/>
  </r>
  <r>
    <n v="5029236"/>
    <x v="0"/>
    <s v="N"/>
    <s v="Y"/>
    <n v="0"/>
    <x v="51"/>
    <x v="0"/>
    <x v="1"/>
    <x v="0"/>
    <x v="0"/>
    <d v="1961-08-18T00:00:00"/>
    <n v="-23137"/>
    <x v="542"/>
    <x v="0"/>
    <n v="365243"/>
    <n v="0"/>
    <x v="0"/>
    <n v="1"/>
    <n v="0"/>
    <n v="0"/>
    <n v="0"/>
    <m/>
    <x v="0"/>
  </r>
  <r>
    <n v="5029266"/>
    <x v="1"/>
    <s v="Y"/>
    <s v="Y"/>
    <n v="2"/>
    <x v="8"/>
    <x v="2"/>
    <x v="0"/>
    <x v="1"/>
    <x v="0"/>
    <d v="1988-02-19T00:00:00"/>
    <n v="-13456"/>
    <x v="543"/>
    <x v="3"/>
    <n v="-992"/>
    <n v="2.7159479808350446"/>
    <x v="1"/>
    <n v="1"/>
    <n v="0"/>
    <n v="0"/>
    <n v="0"/>
    <s v="Drivers"/>
    <x v="2"/>
  </r>
  <r>
    <n v="5029276"/>
    <x v="0"/>
    <s v="N"/>
    <s v="N"/>
    <n v="0"/>
    <x v="75"/>
    <x v="2"/>
    <x v="1"/>
    <x v="1"/>
    <x v="0"/>
    <d v="1983-07-21T00:00:00"/>
    <n v="-15130"/>
    <x v="544"/>
    <x v="1"/>
    <n v="-170"/>
    <n v="0.4654346338124572"/>
    <x v="1"/>
    <n v="1"/>
    <n v="0"/>
    <n v="0"/>
    <n v="0"/>
    <m/>
    <x v="1"/>
  </r>
  <r>
    <n v="5029288"/>
    <x v="0"/>
    <s v="N"/>
    <s v="N"/>
    <n v="0"/>
    <x v="78"/>
    <x v="0"/>
    <x v="1"/>
    <x v="1"/>
    <x v="0"/>
    <d v="1968-01-08T00:00:00"/>
    <n v="-20803"/>
    <x v="545"/>
    <x v="2"/>
    <n v="365243"/>
    <n v="0"/>
    <x v="0"/>
    <n v="1"/>
    <n v="0"/>
    <n v="0"/>
    <n v="0"/>
    <m/>
    <x v="1"/>
  </r>
  <r>
    <n v="5029297"/>
    <x v="0"/>
    <s v="N"/>
    <s v="N"/>
    <n v="0"/>
    <x v="78"/>
    <x v="0"/>
    <x v="1"/>
    <x v="1"/>
    <x v="0"/>
    <d v="1968-01-08T00:00:00"/>
    <n v="-20803"/>
    <x v="545"/>
    <x v="2"/>
    <n v="365243"/>
    <n v="0"/>
    <x v="0"/>
    <n v="1"/>
    <n v="0"/>
    <n v="0"/>
    <n v="0"/>
    <m/>
    <x v="1"/>
  </r>
  <r>
    <n v="5029299"/>
    <x v="0"/>
    <s v="Y"/>
    <s v="Y"/>
    <n v="1"/>
    <x v="39"/>
    <x v="2"/>
    <x v="2"/>
    <x v="1"/>
    <x v="0"/>
    <d v="1986-07-09T00:00:00"/>
    <n v="-14046"/>
    <x v="546"/>
    <x v="3"/>
    <n v="-353"/>
    <n v="0.96646132785763172"/>
    <x v="1"/>
    <n v="1"/>
    <n v="0"/>
    <n v="0"/>
    <n v="0"/>
    <s v="Sales staff"/>
    <x v="3"/>
  </r>
  <r>
    <n v="5029305"/>
    <x v="1"/>
    <s v="Y"/>
    <s v="Y"/>
    <n v="2"/>
    <x v="5"/>
    <x v="2"/>
    <x v="1"/>
    <x v="1"/>
    <x v="0"/>
    <d v="1982-05-02T00:00:00"/>
    <n v="-15575"/>
    <x v="547"/>
    <x v="1"/>
    <n v="-139"/>
    <n v="0.3805612594113621"/>
    <x v="1"/>
    <n v="1"/>
    <n v="0"/>
    <n v="0"/>
    <n v="0"/>
    <s v="Drivers"/>
    <x v="2"/>
  </r>
  <r>
    <n v="5029328"/>
    <x v="1"/>
    <s v="N"/>
    <s v="Y"/>
    <n v="0"/>
    <x v="2"/>
    <x v="0"/>
    <x v="1"/>
    <x v="1"/>
    <x v="0"/>
    <d v="1963-02-25T00:00:00"/>
    <n v="-22581"/>
    <x v="548"/>
    <x v="0"/>
    <n v="365243"/>
    <n v="0"/>
    <x v="0"/>
    <n v="1"/>
    <n v="0"/>
    <n v="1"/>
    <n v="0"/>
    <m/>
    <x v="1"/>
  </r>
  <r>
    <n v="5029346"/>
    <x v="1"/>
    <s v="Y"/>
    <s v="Y"/>
    <n v="0"/>
    <x v="18"/>
    <x v="2"/>
    <x v="0"/>
    <x v="1"/>
    <x v="0"/>
    <d v="1995-01-07T00:00:00"/>
    <n v="-10942"/>
    <x v="549"/>
    <x v="4"/>
    <n v="-412"/>
    <n v="1.1279945242984257"/>
    <x v="1"/>
    <n v="1"/>
    <n v="0"/>
    <n v="0"/>
    <n v="0"/>
    <s v="Drivers"/>
    <x v="1"/>
  </r>
  <r>
    <n v="5029351"/>
    <x v="1"/>
    <s v="Y"/>
    <s v="Y"/>
    <n v="0"/>
    <x v="18"/>
    <x v="2"/>
    <x v="0"/>
    <x v="1"/>
    <x v="0"/>
    <d v="1995-01-07T00:00:00"/>
    <n v="-10942"/>
    <x v="549"/>
    <x v="4"/>
    <n v="-412"/>
    <n v="1.1279945242984257"/>
    <x v="1"/>
    <n v="1"/>
    <n v="0"/>
    <n v="0"/>
    <n v="0"/>
    <s v="Drivers"/>
    <x v="1"/>
  </r>
  <r>
    <n v="5029357"/>
    <x v="1"/>
    <s v="Y"/>
    <s v="Y"/>
    <n v="2"/>
    <x v="14"/>
    <x v="2"/>
    <x v="1"/>
    <x v="1"/>
    <x v="0"/>
    <d v="1988-02-10T00:00:00"/>
    <n v="-13465"/>
    <x v="550"/>
    <x v="3"/>
    <n v="-839"/>
    <n v="2.2970568104038329"/>
    <x v="1"/>
    <n v="1"/>
    <n v="0"/>
    <n v="1"/>
    <n v="0"/>
    <s v="Managers"/>
    <x v="2"/>
  </r>
  <r>
    <n v="5029358"/>
    <x v="1"/>
    <s v="Y"/>
    <s v="Y"/>
    <n v="2"/>
    <x v="14"/>
    <x v="2"/>
    <x v="1"/>
    <x v="1"/>
    <x v="0"/>
    <d v="1988-02-10T00:00:00"/>
    <n v="-13465"/>
    <x v="550"/>
    <x v="3"/>
    <n v="-839"/>
    <n v="2.2970568104038329"/>
    <x v="1"/>
    <n v="1"/>
    <n v="0"/>
    <n v="1"/>
    <n v="0"/>
    <s v="Managers"/>
    <x v="2"/>
  </r>
  <r>
    <n v="5029361"/>
    <x v="1"/>
    <s v="Y"/>
    <s v="Y"/>
    <n v="2"/>
    <x v="14"/>
    <x v="2"/>
    <x v="1"/>
    <x v="1"/>
    <x v="0"/>
    <d v="1988-02-10T00:00:00"/>
    <n v="-13465"/>
    <x v="550"/>
    <x v="3"/>
    <n v="-839"/>
    <n v="2.2970568104038329"/>
    <x v="1"/>
    <n v="1"/>
    <n v="0"/>
    <n v="1"/>
    <n v="0"/>
    <s v="Managers"/>
    <x v="2"/>
  </r>
  <r>
    <n v="5029362"/>
    <x v="1"/>
    <s v="Y"/>
    <s v="Y"/>
    <n v="2"/>
    <x v="14"/>
    <x v="2"/>
    <x v="1"/>
    <x v="1"/>
    <x v="0"/>
    <d v="1988-02-10T00:00:00"/>
    <n v="-13465"/>
    <x v="550"/>
    <x v="3"/>
    <n v="-839"/>
    <n v="2.2970568104038329"/>
    <x v="1"/>
    <n v="1"/>
    <n v="0"/>
    <n v="1"/>
    <n v="0"/>
    <s v="Managers"/>
    <x v="2"/>
  </r>
  <r>
    <n v="5029374"/>
    <x v="0"/>
    <s v="N"/>
    <s v="Y"/>
    <n v="0"/>
    <x v="18"/>
    <x v="2"/>
    <x v="0"/>
    <x v="1"/>
    <x v="0"/>
    <d v="1977-07-01T00:00:00"/>
    <n v="-17341"/>
    <x v="551"/>
    <x v="1"/>
    <n v="-109"/>
    <n v="0.29842573579739906"/>
    <x v="1"/>
    <n v="1"/>
    <n v="0"/>
    <n v="1"/>
    <n v="0"/>
    <m/>
    <x v="1"/>
  </r>
  <r>
    <n v="5029377"/>
    <x v="0"/>
    <s v="N"/>
    <s v="Y"/>
    <n v="0"/>
    <x v="16"/>
    <x v="0"/>
    <x v="1"/>
    <x v="3"/>
    <x v="0"/>
    <d v="1967-11-28T00:00:00"/>
    <n v="-20844"/>
    <x v="552"/>
    <x v="2"/>
    <n v="365243"/>
    <n v="0"/>
    <x v="0"/>
    <n v="1"/>
    <n v="0"/>
    <n v="0"/>
    <n v="0"/>
    <m/>
    <x v="1"/>
  </r>
  <r>
    <n v="5029393"/>
    <x v="1"/>
    <s v="Y"/>
    <s v="Y"/>
    <n v="1"/>
    <x v="26"/>
    <x v="2"/>
    <x v="0"/>
    <x v="1"/>
    <x v="0"/>
    <d v="1975-01-02T00:00:00"/>
    <n v="-18252"/>
    <x v="553"/>
    <x v="1"/>
    <n v="-262"/>
    <n v="0.71731690622861055"/>
    <x v="1"/>
    <n v="1"/>
    <n v="0"/>
    <n v="0"/>
    <n v="0"/>
    <s v="Security staff"/>
    <x v="3"/>
  </r>
  <r>
    <n v="5029430"/>
    <x v="0"/>
    <s v="N"/>
    <s v="Y"/>
    <n v="0"/>
    <x v="1"/>
    <x v="2"/>
    <x v="1"/>
    <x v="0"/>
    <x v="0"/>
    <d v="1980-06-07T00:00:00"/>
    <n v="-16269"/>
    <x v="554"/>
    <x v="1"/>
    <n v="-1358"/>
    <n v="3.7180013689253935"/>
    <x v="1"/>
    <n v="1"/>
    <n v="0"/>
    <n v="0"/>
    <n v="0"/>
    <s v="Sales staff"/>
    <x v="0"/>
  </r>
  <r>
    <n v="5029435"/>
    <x v="0"/>
    <s v="Y"/>
    <s v="Y"/>
    <n v="0"/>
    <x v="8"/>
    <x v="2"/>
    <x v="0"/>
    <x v="1"/>
    <x v="0"/>
    <d v="1977-05-01T00:00:00"/>
    <n v="-17402"/>
    <x v="555"/>
    <x v="1"/>
    <n v="-3153"/>
    <n v="8.6324435318275157"/>
    <x v="1"/>
    <n v="1"/>
    <n v="0"/>
    <n v="1"/>
    <n v="0"/>
    <s v="Core staff"/>
    <x v="1"/>
  </r>
  <r>
    <n v="5029460"/>
    <x v="0"/>
    <s v="Y"/>
    <s v="Y"/>
    <n v="1"/>
    <x v="2"/>
    <x v="1"/>
    <x v="0"/>
    <x v="3"/>
    <x v="0"/>
    <d v="1996-02-02T00:00:00"/>
    <n v="-10551"/>
    <x v="556"/>
    <x v="4"/>
    <n v="-3000"/>
    <n v="8.2135523613963031"/>
    <x v="1"/>
    <n v="1"/>
    <n v="0"/>
    <n v="0"/>
    <n v="1"/>
    <s v="Core staff"/>
    <x v="3"/>
  </r>
  <r>
    <n v="5029462"/>
    <x v="0"/>
    <s v="Y"/>
    <s v="Y"/>
    <n v="1"/>
    <x v="2"/>
    <x v="1"/>
    <x v="0"/>
    <x v="3"/>
    <x v="0"/>
    <d v="1996-02-02T00:00:00"/>
    <n v="-10551"/>
    <x v="556"/>
    <x v="4"/>
    <n v="-3000"/>
    <n v="8.2135523613963031"/>
    <x v="1"/>
    <n v="1"/>
    <n v="0"/>
    <n v="0"/>
    <n v="1"/>
    <s v="Core staff"/>
    <x v="3"/>
  </r>
  <r>
    <n v="5029480"/>
    <x v="1"/>
    <s v="Y"/>
    <s v="Y"/>
    <n v="0"/>
    <x v="37"/>
    <x v="2"/>
    <x v="1"/>
    <x v="1"/>
    <x v="0"/>
    <d v="1980-03-31T00:00:00"/>
    <n v="-16337"/>
    <x v="557"/>
    <x v="1"/>
    <n v="-2727"/>
    <n v="7.4661190965092405"/>
    <x v="1"/>
    <n v="1"/>
    <n v="1"/>
    <n v="1"/>
    <n v="0"/>
    <m/>
    <x v="1"/>
  </r>
  <r>
    <n v="5029485"/>
    <x v="0"/>
    <s v="Y"/>
    <s v="N"/>
    <n v="0"/>
    <x v="39"/>
    <x v="2"/>
    <x v="1"/>
    <x v="1"/>
    <x v="0"/>
    <d v="1967-08-12T00:00:00"/>
    <n v="-20952"/>
    <x v="558"/>
    <x v="2"/>
    <n v="-3852"/>
    <n v="10.546201232032855"/>
    <x v="1"/>
    <n v="1"/>
    <n v="0"/>
    <n v="0"/>
    <n v="1"/>
    <s v="Managers"/>
    <x v="1"/>
  </r>
  <r>
    <n v="5029506"/>
    <x v="0"/>
    <s v="N"/>
    <s v="Y"/>
    <n v="0"/>
    <x v="19"/>
    <x v="0"/>
    <x v="1"/>
    <x v="3"/>
    <x v="0"/>
    <d v="1962-10-09T00:00:00"/>
    <n v="-22720"/>
    <x v="559"/>
    <x v="0"/>
    <n v="365243"/>
    <n v="0"/>
    <x v="0"/>
    <n v="1"/>
    <n v="0"/>
    <n v="1"/>
    <n v="0"/>
    <m/>
    <x v="1"/>
  </r>
  <r>
    <n v="5029512"/>
    <x v="0"/>
    <s v="N"/>
    <s v="N"/>
    <n v="0"/>
    <x v="2"/>
    <x v="1"/>
    <x v="1"/>
    <x v="1"/>
    <x v="0"/>
    <d v="1975-07-12T00:00:00"/>
    <n v="-18061"/>
    <x v="560"/>
    <x v="1"/>
    <n v="-869"/>
    <n v="2.3791923340177958"/>
    <x v="1"/>
    <n v="1"/>
    <n v="0"/>
    <n v="0"/>
    <n v="0"/>
    <m/>
    <x v="1"/>
  </r>
  <r>
    <n v="5029521"/>
    <x v="0"/>
    <s v="N"/>
    <s v="Y"/>
    <n v="0"/>
    <x v="1"/>
    <x v="2"/>
    <x v="1"/>
    <x v="1"/>
    <x v="0"/>
    <d v="1972-04-06T00:00:00"/>
    <n v="-19253"/>
    <x v="561"/>
    <x v="2"/>
    <n v="-8448"/>
    <n v="23.129363449691994"/>
    <x v="1"/>
    <n v="1"/>
    <n v="0"/>
    <n v="0"/>
    <n v="0"/>
    <m/>
    <x v="1"/>
  </r>
  <r>
    <n v="5029536"/>
    <x v="0"/>
    <s v="N"/>
    <s v="Y"/>
    <n v="0"/>
    <x v="2"/>
    <x v="2"/>
    <x v="0"/>
    <x v="3"/>
    <x v="0"/>
    <d v="1989-12-23T00:00:00"/>
    <n v="-12783"/>
    <x v="562"/>
    <x v="3"/>
    <n v="-1205"/>
    <n v="3.2991101984941822"/>
    <x v="1"/>
    <n v="1"/>
    <n v="0"/>
    <n v="0"/>
    <n v="0"/>
    <s v="Core staff"/>
    <x v="1"/>
  </r>
  <r>
    <n v="5029537"/>
    <x v="0"/>
    <s v="N"/>
    <s v="Y"/>
    <n v="0"/>
    <x v="2"/>
    <x v="2"/>
    <x v="0"/>
    <x v="3"/>
    <x v="0"/>
    <d v="1989-12-23T00:00:00"/>
    <n v="-12783"/>
    <x v="562"/>
    <x v="3"/>
    <n v="-1205"/>
    <n v="3.2991101984941822"/>
    <x v="1"/>
    <n v="1"/>
    <n v="0"/>
    <n v="0"/>
    <n v="0"/>
    <s v="Core staff"/>
    <x v="1"/>
  </r>
  <r>
    <n v="5029543"/>
    <x v="0"/>
    <s v="Y"/>
    <s v="Y"/>
    <n v="1"/>
    <x v="79"/>
    <x v="1"/>
    <x v="1"/>
    <x v="1"/>
    <x v="0"/>
    <d v="1985-01-05T00:00:00"/>
    <n v="-14596"/>
    <x v="563"/>
    <x v="3"/>
    <n v="-1965"/>
    <n v="5.3798767967145791"/>
    <x v="1"/>
    <n v="1"/>
    <n v="0"/>
    <n v="0"/>
    <n v="0"/>
    <m/>
    <x v="3"/>
  </r>
  <r>
    <n v="5029556"/>
    <x v="0"/>
    <s v="N"/>
    <s v="Y"/>
    <n v="0"/>
    <x v="55"/>
    <x v="0"/>
    <x v="1"/>
    <x v="4"/>
    <x v="0"/>
    <d v="1959-12-13T00:00:00"/>
    <n v="-23751"/>
    <x v="564"/>
    <x v="0"/>
    <n v="365243"/>
    <n v="0"/>
    <x v="0"/>
    <n v="1"/>
    <n v="0"/>
    <n v="0"/>
    <n v="0"/>
    <m/>
    <x v="0"/>
  </r>
  <r>
    <n v="5029566"/>
    <x v="0"/>
    <s v="N"/>
    <s v="Y"/>
    <n v="0"/>
    <x v="18"/>
    <x v="1"/>
    <x v="1"/>
    <x v="1"/>
    <x v="0"/>
    <d v="1978-01-11T00:00:00"/>
    <n v="-17147"/>
    <x v="565"/>
    <x v="1"/>
    <n v="-3822"/>
    <n v="10.464065708418891"/>
    <x v="1"/>
    <n v="1"/>
    <n v="0"/>
    <n v="1"/>
    <n v="0"/>
    <s v="Sales staff"/>
    <x v="1"/>
  </r>
  <r>
    <n v="5029579"/>
    <x v="1"/>
    <s v="Y"/>
    <s v="Y"/>
    <n v="0"/>
    <x v="11"/>
    <x v="2"/>
    <x v="1"/>
    <x v="3"/>
    <x v="0"/>
    <d v="1981-03-30T00:00:00"/>
    <n v="-15973"/>
    <x v="566"/>
    <x v="1"/>
    <n v="-2026"/>
    <n v="5.546885694729637"/>
    <x v="1"/>
    <n v="1"/>
    <n v="0"/>
    <n v="0"/>
    <n v="1"/>
    <s v="Drivers"/>
    <x v="1"/>
  </r>
  <r>
    <n v="5029588"/>
    <x v="0"/>
    <s v="N"/>
    <s v="Y"/>
    <n v="0"/>
    <x v="5"/>
    <x v="1"/>
    <x v="1"/>
    <x v="1"/>
    <x v="0"/>
    <d v="1973-12-30T00:00:00"/>
    <n v="-18620"/>
    <x v="567"/>
    <x v="2"/>
    <n v="-1904"/>
    <n v="5.2128678986995212"/>
    <x v="1"/>
    <n v="1"/>
    <n v="0"/>
    <n v="0"/>
    <n v="0"/>
    <s v="Managers"/>
    <x v="1"/>
  </r>
  <r>
    <n v="5029593"/>
    <x v="0"/>
    <s v="N"/>
    <s v="Y"/>
    <n v="1"/>
    <x v="25"/>
    <x v="0"/>
    <x v="3"/>
    <x v="1"/>
    <x v="0"/>
    <d v="1965-06-20T00:00:00"/>
    <n v="-21735"/>
    <x v="568"/>
    <x v="2"/>
    <n v="365243"/>
    <n v="0"/>
    <x v="0"/>
    <n v="1"/>
    <n v="0"/>
    <n v="0"/>
    <n v="0"/>
    <m/>
    <x v="3"/>
  </r>
  <r>
    <n v="5029596"/>
    <x v="0"/>
    <s v="N"/>
    <s v="Y"/>
    <n v="1"/>
    <x v="25"/>
    <x v="0"/>
    <x v="3"/>
    <x v="1"/>
    <x v="0"/>
    <d v="1965-06-20T00:00:00"/>
    <n v="-21735"/>
    <x v="568"/>
    <x v="2"/>
    <n v="365243"/>
    <n v="0"/>
    <x v="0"/>
    <n v="1"/>
    <n v="0"/>
    <n v="0"/>
    <n v="0"/>
    <m/>
    <x v="3"/>
  </r>
  <r>
    <n v="5029597"/>
    <x v="0"/>
    <s v="N"/>
    <s v="Y"/>
    <n v="1"/>
    <x v="25"/>
    <x v="0"/>
    <x v="3"/>
    <x v="1"/>
    <x v="0"/>
    <d v="1965-06-20T00:00:00"/>
    <n v="-21735"/>
    <x v="568"/>
    <x v="2"/>
    <n v="365243"/>
    <n v="0"/>
    <x v="0"/>
    <n v="1"/>
    <n v="0"/>
    <n v="0"/>
    <n v="0"/>
    <m/>
    <x v="3"/>
  </r>
  <r>
    <n v="5029599"/>
    <x v="1"/>
    <s v="Y"/>
    <s v="Y"/>
    <n v="0"/>
    <x v="18"/>
    <x v="2"/>
    <x v="1"/>
    <x v="1"/>
    <x v="0"/>
    <d v="1994-03-07T00:00:00"/>
    <n v="-11248"/>
    <x v="569"/>
    <x v="3"/>
    <n v="-2391"/>
    <n v="6.5462012320328542"/>
    <x v="1"/>
    <n v="1"/>
    <n v="0"/>
    <n v="0"/>
    <n v="0"/>
    <s v="Drivers"/>
    <x v="1"/>
  </r>
  <r>
    <n v="5029607"/>
    <x v="0"/>
    <s v="Y"/>
    <s v="Y"/>
    <n v="0"/>
    <x v="16"/>
    <x v="1"/>
    <x v="0"/>
    <x v="2"/>
    <x v="0"/>
    <d v="1983-06-20T00:00:00"/>
    <n v="-15161"/>
    <x v="570"/>
    <x v="1"/>
    <n v="-7140"/>
    <n v="19.548254620123203"/>
    <x v="1"/>
    <n v="1"/>
    <n v="0"/>
    <n v="0"/>
    <n v="0"/>
    <s v="Core staff"/>
    <x v="0"/>
  </r>
  <r>
    <n v="5029618"/>
    <x v="0"/>
    <s v="N"/>
    <s v="Y"/>
    <n v="0"/>
    <x v="1"/>
    <x v="2"/>
    <x v="1"/>
    <x v="1"/>
    <x v="0"/>
    <d v="1981-05-19T00:00:00"/>
    <n v="-15923"/>
    <x v="571"/>
    <x v="1"/>
    <n v="-961"/>
    <n v="2.6310746064339492"/>
    <x v="1"/>
    <n v="1"/>
    <n v="0"/>
    <n v="0"/>
    <n v="0"/>
    <s v="Waiters/barmen staff"/>
    <x v="1"/>
  </r>
  <r>
    <n v="5029625"/>
    <x v="0"/>
    <s v="N"/>
    <s v="Y"/>
    <n v="1"/>
    <x v="16"/>
    <x v="2"/>
    <x v="1"/>
    <x v="1"/>
    <x v="2"/>
    <d v="2002-12-17T00:00:00"/>
    <n v="-8041"/>
    <x v="572"/>
    <x v="4"/>
    <n v="-1419"/>
    <n v="3.8850102669404518"/>
    <x v="1"/>
    <n v="1"/>
    <n v="0"/>
    <n v="1"/>
    <n v="1"/>
    <s v="Sales staff"/>
    <x v="3"/>
  </r>
  <r>
    <n v="5029630"/>
    <x v="0"/>
    <s v="N"/>
    <s v="Y"/>
    <n v="0"/>
    <x v="18"/>
    <x v="1"/>
    <x v="1"/>
    <x v="1"/>
    <x v="0"/>
    <d v="1976-07-26T00:00:00"/>
    <n v="-17681"/>
    <x v="573"/>
    <x v="1"/>
    <n v="-5649"/>
    <n v="15.466119096509241"/>
    <x v="1"/>
    <n v="1"/>
    <n v="0"/>
    <n v="1"/>
    <n v="1"/>
    <m/>
    <x v="1"/>
  </r>
  <r>
    <n v="5029639"/>
    <x v="0"/>
    <s v="N"/>
    <s v="Y"/>
    <n v="0"/>
    <x v="18"/>
    <x v="2"/>
    <x v="0"/>
    <x v="1"/>
    <x v="0"/>
    <d v="1991-04-29T00:00:00"/>
    <n v="-12291"/>
    <x v="574"/>
    <x v="3"/>
    <n v="-1053"/>
    <n v="2.8829568788501025"/>
    <x v="1"/>
    <n v="1"/>
    <n v="0"/>
    <n v="0"/>
    <n v="0"/>
    <m/>
    <x v="1"/>
  </r>
  <r>
    <n v="5029647"/>
    <x v="1"/>
    <s v="N"/>
    <s v="Y"/>
    <n v="2"/>
    <x v="2"/>
    <x v="2"/>
    <x v="1"/>
    <x v="1"/>
    <x v="0"/>
    <d v="1986-08-18T00:00:00"/>
    <n v="-14006"/>
    <x v="575"/>
    <x v="3"/>
    <n v="-869"/>
    <n v="2.3791923340177958"/>
    <x v="1"/>
    <n v="1"/>
    <n v="1"/>
    <n v="0"/>
    <n v="0"/>
    <s v="Laborers"/>
    <x v="2"/>
  </r>
  <r>
    <n v="5029664"/>
    <x v="0"/>
    <s v="N"/>
    <s v="N"/>
    <n v="0"/>
    <x v="37"/>
    <x v="2"/>
    <x v="1"/>
    <x v="1"/>
    <x v="0"/>
    <d v="1974-08-06T00:00:00"/>
    <n v="-18401"/>
    <x v="576"/>
    <x v="2"/>
    <n v="-2149"/>
    <n v="5.8836413415468858"/>
    <x v="1"/>
    <n v="1"/>
    <n v="0"/>
    <n v="0"/>
    <n v="0"/>
    <s v="Laborers"/>
    <x v="1"/>
  </r>
  <r>
    <n v="5029668"/>
    <x v="0"/>
    <s v="N"/>
    <s v="N"/>
    <n v="0"/>
    <x v="37"/>
    <x v="2"/>
    <x v="1"/>
    <x v="1"/>
    <x v="0"/>
    <d v="1974-08-06T00:00:00"/>
    <n v="-18401"/>
    <x v="576"/>
    <x v="2"/>
    <n v="-2149"/>
    <n v="5.8836413415468858"/>
    <x v="1"/>
    <n v="1"/>
    <n v="0"/>
    <n v="0"/>
    <n v="0"/>
    <s v="Laborers"/>
    <x v="1"/>
  </r>
  <r>
    <n v="5029674"/>
    <x v="1"/>
    <s v="Y"/>
    <s v="Y"/>
    <n v="1"/>
    <x v="2"/>
    <x v="2"/>
    <x v="1"/>
    <x v="3"/>
    <x v="0"/>
    <d v="1988-12-06T00:00:00"/>
    <n v="-13165"/>
    <x v="577"/>
    <x v="3"/>
    <n v="-1022"/>
    <n v="2.7980835044490076"/>
    <x v="1"/>
    <n v="1"/>
    <n v="0"/>
    <n v="0"/>
    <n v="0"/>
    <s v="Drivers"/>
    <x v="3"/>
  </r>
  <r>
    <n v="5029675"/>
    <x v="1"/>
    <s v="Y"/>
    <s v="Y"/>
    <n v="1"/>
    <x v="2"/>
    <x v="2"/>
    <x v="1"/>
    <x v="3"/>
    <x v="0"/>
    <d v="1988-12-06T00:00:00"/>
    <n v="-13165"/>
    <x v="577"/>
    <x v="3"/>
    <n v="-1022"/>
    <n v="2.7980835044490076"/>
    <x v="1"/>
    <n v="1"/>
    <n v="0"/>
    <n v="0"/>
    <n v="0"/>
    <s v="Drivers"/>
    <x v="3"/>
  </r>
  <r>
    <n v="5029681"/>
    <x v="1"/>
    <s v="N"/>
    <s v="Y"/>
    <n v="0"/>
    <x v="64"/>
    <x v="0"/>
    <x v="1"/>
    <x v="2"/>
    <x v="0"/>
    <d v="1968-05-01T00:00:00"/>
    <n v="-20689"/>
    <x v="578"/>
    <x v="2"/>
    <n v="365243"/>
    <n v="0"/>
    <x v="0"/>
    <n v="1"/>
    <n v="0"/>
    <n v="0"/>
    <n v="0"/>
    <m/>
    <x v="0"/>
  </r>
  <r>
    <n v="5029684"/>
    <x v="0"/>
    <s v="Y"/>
    <s v="Y"/>
    <n v="0"/>
    <x v="18"/>
    <x v="1"/>
    <x v="0"/>
    <x v="1"/>
    <x v="0"/>
    <d v="1970-04-30T00:00:00"/>
    <n v="-19960"/>
    <x v="579"/>
    <x v="2"/>
    <n v="-5679"/>
    <n v="15.548254620123203"/>
    <x v="1"/>
    <n v="1"/>
    <n v="0"/>
    <n v="0"/>
    <n v="0"/>
    <s v="Accountants"/>
    <x v="1"/>
  </r>
  <r>
    <n v="5029713"/>
    <x v="0"/>
    <s v="Y"/>
    <s v="Y"/>
    <n v="1"/>
    <x v="78"/>
    <x v="2"/>
    <x v="0"/>
    <x v="1"/>
    <x v="2"/>
    <d v="1994-11-12T00:00:00"/>
    <n v="-10998"/>
    <x v="580"/>
    <x v="3"/>
    <n v="-2514"/>
    <n v="6.882956878850103"/>
    <x v="1"/>
    <n v="1"/>
    <n v="0"/>
    <n v="0"/>
    <n v="0"/>
    <s v="Accountants"/>
    <x v="3"/>
  </r>
  <r>
    <n v="5029719"/>
    <x v="0"/>
    <s v="Y"/>
    <s v="Y"/>
    <n v="1"/>
    <x v="78"/>
    <x v="2"/>
    <x v="0"/>
    <x v="1"/>
    <x v="2"/>
    <d v="1994-11-12T00:00:00"/>
    <n v="-10998"/>
    <x v="580"/>
    <x v="3"/>
    <n v="-2514"/>
    <n v="6.882956878850103"/>
    <x v="1"/>
    <n v="1"/>
    <n v="0"/>
    <n v="0"/>
    <n v="0"/>
    <s v="Accountants"/>
    <x v="3"/>
  </r>
  <r>
    <n v="5029724"/>
    <x v="0"/>
    <s v="N"/>
    <s v="Y"/>
    <n v="1"/>
    <x v="1"/>
    <x v="1"/>
    <x v="0"/>
    <x v="1"/>
    <x v="0"/>
    <d v="1998-03-16T00:00:00"/>
    <n v="-9778"/>
    <x v="581"/>
    <x v="4"/>
    <n v="-2910"/>
    <n v="7.9671457905544152"/>
    <x v="1"/>
    <n v="1"/>
    <n v="1"/>
    <n v="0"/>
    <n v="1"/>
    <s v="Core staff"/>
    <x v="3"/>
  </r>
  <r>
    <n v="5029725"/>
    <x v="0"/>
    <s v="N"/>
    <s v="Y"/>
    <n v="1"/>
    <x v="1"/>
    <x v="1"/>
    <x v="0"/>
    <x v="1"/>
    <x v="0"/>
    <d v="1998-03-16T00:00:00"/>
    <n v="-9778"/>
    <x v="581"/>
    <x v="4"/>
    <n v="-2910"/>
    <n v="7.9671457905544152"/>
    <x v="1"/>
    <n v="1"/>
    <n v="1"/>
    <n v="0"/>
    <n v="1"/>
    <s v="Core staff"/>
    <x v="3"/>
  </r>
  <r>
    <n v="5029752"/>
    <x v="1"/>
    <s v="N"/>
    <s v="Y"/>
    <n v="0"/>
    <x v="11"/>
    <x v="2"/>
    <x v="1"/>
    <x v="1"/>
    <x v="0"/>
    <d v="1975-08-07T00:00:00"/>
    <n v="-18035"/>
    <x v="582"/>
    <x v="1"/>
    <n v="-2026"/>
    <n v="5.546885694729637"/>
    <x v="1"/>
    <n v="1"/>
    <n v="1"/>
    <n v="1"/>
    <n v="0"/>
    <s v="Drivers"/>
    <x v="1"/>
  </r>
  <r>
    <n v="5029777"/>
    <x v="0"/>
    <s v="N"/>
    <s v="Y"/>
    <n v="0"/>
    <x v="2"/>
    <x v="3"/>
    <x v="1"/>
    <x v="1"/>
    <x v="0"/>
    <d v="1966-11-22T00:00:00"/>
    <n v="-21215"/>
    <x v="583"/>
    <x v="2"/>
    <n v="-808"/>
    <n v="2.2121834360027379"/>
    <x v="1"/>
    <n v="1"/>
    <n v="0"/>
    <n v="0"/>
    <n v="0"/>
    <s v="Medicine staff"/>
    <x v="1"/>
  </r>
  <r>
    <n v="5029783"/>
    <x v="0"/>
    <s v="N"/>
    <s v="Y"/>
    <n v="0"/>
    <x v="2"/>
    <x v="3"/>
    <x v="1"/>
    <x v="1"/>
    <x v="0"/>
    <d v="1966-11-22T00:00:00"/>
    <n v="-21215"/>
    <x v="583"/>
    <x v="2"/>
    <n v="-808"/>
    <n v="2.2121834360027379"/>
    <x v="1"/>
    <n v="1"/>
    <n v="0"/>
    <n v="0"/>
    <n v="0"/>
    <s v="Medicine staff"/>
    <x v="1"/>
  </r>
  <r>
    <n v="5029784"/>
    <x v="0"/>
    <s v="N"/>
    <s v="Y"/>
    <n v="0"/>
    <x v="2"/>
    <x v="3"/>
    <x v="1"/>
    <x v="1"/>
    <x v="0"/>
    <d v="1966-11-22T00:00:00"/>
    <n v="-21215"/>
    <x v="583"/>
    <x v="2"/>
    <n v="-808"/>
    <n v="2.2121834360027379"/>
    <x v="1"/>
    <n v="1"/>
    <n v="0"/>
    <n v="0"/>
    <n v="0"/>
    <s v="Medicine staff"/>
    <x v="1"/>
  </r>
  <r>
    <n v="5029798"/>
    <x v="1"/>
    <s v="Y"/>
    <s v="N"/>
    <n v="1"/>
    <x v="80"/>
    <x v="2"/>
    <x v="0"/>
    <x v="1"/>
    <x v="2"/>
    <d v="1993-10-22T00:00:00"/>
    <n v="-11384"/>
    <x v="584"/>
    <x v="3"/>
    <n v="-1965"/>
    <n v="5.3798767967145791"/>
    <x v="1"/>
    <n v="1"/>
    <n v="1"/>
    <n v="1"/>
    <n v="0"/>
    <s v="Drivers"/>
    <x v="3"/>
  </r>
  <r>
    <n v="5032275"/>
    <x v="1"/>
    <s v="Y"/>
    <s v="Y"/>
    <n v="2"/>
    <x v="68"/>
    <x v="3"/>
    <x v="1"/>
    <x v="1"/>
    <x v="0"/>
    <d v="1990-09-03T00:00:00"/>
    <n v="-12529"/>
    <x v="585"/>
    <x v="3"/>
    <n v="-918"/>
    <n v="2.5133470225872689"/>
    <x v="1"/>
    <n v="1"/>
    <n v="1"/>
    <n v="0"/>
    <n v="0"/>
    <m/>
    <x v="2"/>
  </r>
  <r>
    <n v="5032278"/>
    <x v="1"/>
    <s v="Y"/>
    <s v="Y"/>
    <n v="2"/>
    <x v="68"/>
    <x v="3"/>
    <x v="1"/>
    <x v="1"/>
    <x v="0"/>
    <d v="1990-09-03T00:00:00"/>
    <n v="-12529"/>
    <x v="585"/>
    <x v="3"/>
    <n v="-918"/>
    <n v="2.5133470225872689"/>
    <x v="1"/>
    <n v="1"/>
    <n v="1"/>
    <n v="0"/>
    <n v="0"/>
    <m/>
    <x v="2"/>
  </r>
  <r>
    <n v="5033411"/>
    <x v="1"/>
    <s v="N"/>
    <s v="N"/>
    <n v="2"/>
    <x v="5"/>
    <x v="2"/>
    <x v="0"/>
    <x v="1"/>
    <x v="0"/>
    <d v="1989-03-23T00:00:00"/>
    <n v="-13058"/>
    <x v="586"/>
    <x v="3"/>
    <n v="-901"/>
    <n v="2.4668035592060233"/>
    <x v="1"/>
    <n v="1"/>
    <n v="0"/>
    <n v="0"/>
    <n v="0"/>
    <s v="High skill tech staff"/>
    <x v="2"/>
  </r>
  <r>
    <n v="5033416"/>
    <x v="0"/>
    <s v="N"/>
    <s v="N"/>
    <n v="0"/>
    <x v="12"/>
    <x v="2"/>
    <x v="2"/>
    <x v="2"/>
    <x v="2"/>
    <d v="1998-04-17T00:00:00"/>
    <n v="-9746"/>
    <x v="587"/>
    <x v="4"/>
    <n v="-1268"/>
    <n v="3.4715947980835042"/>
    <x v="1"/>
    <n v="1"/>
    <n v="0"/>
    <n v="1"/>
    <n v="0"/>
    <s v="Medicine staff"/>
    <x v="0"/>
  </r>
  <r>
    <n v="5033426"/>
    <x v="0"/>
    <s v="N"/>
    <s v="Y"/>
    <n v="0"/>
    <x v="39"/>
    <x v="2"/>
    <x v="1"/>
    <x v="4"/>
    <x v="0"/>
    <d v="1970-02-19T00:00:00"/>
    <n v="-20030"/>
    <x v="588"/>
    <x v="2"/>
    <n v="-2607"/>
    <n v="7.137577002053388"/>
    <x v="1"/>
    <n v="1"/>
    <n v="0"/>
    <n v="0"/>
    <n v="0"/>
    <s v="Cooking staff"/>
    <x v="0"/>
  </r>
  <r>
    <n v="5033430"/>
    <x v="0"/>
    <s v="N"/>
    <s v="Y"/>
    <n v="0"/>
    <x v="1"/>
    <x v="2"/>
    <x v="1"/>
    <x v="2"/>
    <x v="5"/>
    <d v="1997-09-17T00:00:00"/>
    <n v="-9958"/>
    <x v="589"/>
    <x v="4"/>
    <n v="-1114"/>
    <n v="3.0499657768651609"/>
    <x v="1"/>
    <n v="1"/>
    <n v="0"/>
    <n v="0"/>
    <n v="1"/>
    <s v="Waiters/barmen staff"/>
    <x v="0"/>
  </r>
  <r>
    <n v="5033432"/>
    <x v="1"/>
    <s v="Y"/>
    <s v="N"/>
    <n v="2"/>
    <x v="12"/>
    <x v="1"/>
    <x v="1"/>
    <x v="1"/>
    <x v="0"/>
    <d v="1982-08-09T00:00:00"/>
    <n v="-15476"/>
    <x v="590"/>
    <x v="1"/>
    <n v="-2879"/>
    <n v="7.8822724161533193"/>
    <x v="1"/>
    <n v="1"/>
    <n v="0"/>
    <n v="1"/>
    <n v="0"/>
    <s v="Laborers"/>
    <x v="2"/>
  </r>
  <r>
    <n v="5033436"/>
    <x v="0"/>
    <s v="N"/>
    <s v="N"/>
    <n v="0"/>
    <x v="12"/>
    <x v="2"/>
    <x v="2"/>
    <x v="2"/>
    <x v="2"/>
    <d v="1998-04-17T00:00:00"/>
    <n v="-9746"/>
    <x v="587"/>
    <x v="4"/>
    <n v="-1268"/>
    <n v="3.4715947980835042"/>
    <x v="1"/>
    <n v="1"/>
    <n v="0"/>
    <n v="1"/>
    <n v="0"/>
    <s v="Medicine staff"/>
    <x v="0"/>
  </r>
  <r>
    <n v="5033454"/>
    <x v="1"/>
    <s v="Y"/>
    <s v="N"/>
    <n v="0"/>
    <x v="3"/>
    <x v="2"/>
    <x v="1"/>
    <x v="1"/>
    <x v="0"/>
    <d v="1975-11-19T00:00:00"/>
    <n v="-17931"/>
    <x v="591"/>
    <x v="1"/>
    <n v="-5437"/>
    <n v="14.885694729637235"/>
    <x v="1"/>
    <n v="1"/>
    <n v="1"/>
    <n v="1"/>
    <n v="1"/>
    <s v="Drivers"/>
    <x v="1"/>
  </r>
  <r>
    <n v="5033488"/>
    <x v="0"/>
    <s v="N"/>
    <s v="N"/>
    <n v="0"/>
    <x v="2"/>
    <x v="2"/>
    <x v="0"/>
    <x v="1"/>
    <x v="2"/>
    <d v="1995-10-26T00:00:00"/>
    <n v="-10650"/>
    <x v="592"/>
    <x v="4"/>
    <n v="-3702"/>
    <n v="10.13552361396304"/>
    <x v="1"/>
    <n v="1"/>
    <n v="1"/>
    <n v="1"/>
    <n v="0"/>
    <s v="Core staff"/>
    <x v="1"/>
  </r>
  <r>
    <n v="5033495"/>
    <x v="0"/>
    <s v="N"/>
    <s v="Y"/>
    <n v="3"/>
    <x v="3"/>
    <x v="1"/>
    <x v="1"/>
    <x v="1"/>
    <x v="0"/>
    <d v="1985-02-04T00:00:00"/>
    <n v="-14566"/>
    <x v="593"/>
    <x v="3"/>
    <n v="-1480"/>
    <n v="4.0520191649555102"/>
    <x v="1"/>
    <n v="1"/>
    <n v="1"/>
    <n v="0"/>
    <n v="0"/>
    <s v="Laborers"/>
    <x v="4"/>
  </r>
  <r>
    <n v="5033506"/>
    <x v="1"/>
    <s v="Y"/>
    <s v="N"/>
    <n v="0"/>
    <x v="5"/>
    <x v="2"/>
    <x v="1"/>
    <x v="2"/>
    <x v="0"/>
    <d v="1997-12-01T00:00:00"/>
    <n v="-9883"/>
    <x v="594"/>
    <x v="4"/>
    <n v="-780"/>
    <n v="2.1355236139630391"/>
    <x v="1"/>
    <n v="1"/>
    <n v="1"/>
    <n v="0"/>
    <n v="0"/>
    <s v="Sales staff"/>
    <x v="0"/>
  </r>
  <r>
    <n v="5033513"/>
    <x v="1"/>
    <s v="Y"/>
    <s v="N"/>
    <n v="0"/>
    <x v="11"/>
    <x v="2"/>
    <x v="1"/>
    <x v="1"/>
    <x v="0"/>
    <d v="1982-10-29T00:00:00"/>
    <n v="-15395"/>
    <x v="595"/>
    <x v="1"/>
    <n v="-1541"/>
    <n v="4.2190280629705681"/>
    <x v="1"/>
    <n v="1"/>
    <n v="0"/>
    <n v="1"/>
    <n v="0"/>
    <s v="Drivers"/>
    <x v="1"/>
  </r>
  <r>
    <n v="5033515"/>
    <x v="0"/>
    <s v="Y"/>
    <s v="N"/>
    <n v="0"/>
    <x v="81"/>
    <x v="2"/>
    <x v="1"/>
    <x v="1"/>
    <x v="0"/>
    <d v="1985-07-26T00:00:00"/>
    <n v="-14394"/>
    <x v="596"/>
    <x v="3"/>
    <n v="-5316"/>
    <n v="14.55441478439425"/>
    <x v="1"/>
    <n v="1"/>
    <n v="1"/>
    <n v="0"/>
    <n v="0"/>
    <s v="Laborers"/>
    <x v="1"/>
  </r>
  <r>
    <n v="5033528"/>
    <x v="1"/>
    <s v="N"/>
    <s v="Y"/>
    <n v="1"/>
    <x v="19"/>
    <x v="2"/>
    <x v="0"/>
    <x v="1"/>
    <x v="0"/>
    <d v="1984-03-29T00:00:00"/>
    <n v="-14878"/>
    <x v="597"/>
    <x v="1"/>
    <n v="-6685"/>
    <n v="18.302532511978097"/>
    <x v="1"/>
    <n v="1"/>
    <n v="0"/>
    <n v="0"/>
    <n v="0"/>
    <s v="Managers"/>
    <x v="3"/>
  </r>
  <r>
    <n v="5033532"/>
    <x v="0"/>
    <s v="N"/>
    <s v="N"/>
    <n v="0"/>
    <x v="32"/>
    <x v="2"/>
    <x v="1"/>
    <x v="1"/>
    <x v="0"/>
    <d v="1996-09-05T00:00:00"/>
    <n v="-10335"/>
    <x v="598"/>
    <x v="4"/>
    <n v="-264"/>
    <n v="0.7227926078028748"/>
    <x v="1"/>
    <n v="1"/>
    <n v="1"/>
    <n v="0"/>
    <n v="0"/>
    <s v="Core staff"/>
    <x v="1"/>
  </r>
  <r>
    <n v="5033540"/>
    <x v="0"/>
    <s v="N"/>
    <s v="Y"/>
    <n v="0"/>
    <x v="51"/>
    <x v="0"/>
    <x v="1"/>
    <x v="1"/>
    <x v="0"/>
    <d v="1964-03-21T00:00:00"/>
    <n v="-22191"/>
    <x v="599"/>
    <x v="0"/>
    <n v="365243"/>
    <n v="0"/>
    <x v="0"/>
    <n v="1"/>
    <n v="0"/>
    <n v="0"/>
    <n v="0"/>
    <m/>
    <x v="1"/>
  </r>
  <r>
    <n v="5033558"/>
    <x v="0"/>
    <s v="N"/>
    <s v="N"/>
    <n v="2"/>
    <x v="15"/>
    <x v="3"/>
    <x v="1"/>
    <x v="1"/>
    <x v="0"/>
    <d v="1973-02-07T00:00:00"/>
    <n v="-18946"/>
    <x v="600"/>
    <x v="2"/>
    <n v="-4827"/>
    <n v="13.215605749486652"/>
    <x v="1"/>
    <n v="1"/>
    <n v="0"/>
    <n v="0"/>
    <n v="0"/>
    <s v="Security staff"/>
    <x v="2"/>
  </r>
  <r>
    <n v="5033560"/>
    <x v="1"/>
    <s v="Y"/>
    <s v="N"/>
    <n v="0"/>
    <x v="1"/>
    <x v="2"/>
    <x v="0"/>
    <x v="1"/>
    <x v="0"/>
    <d v="1969-10-13T00:00:00"/>
    <n v="-20159"/>
    <x v="601"/>
    <x v="2"/>
    <n v="-1299"/>
    <n v="3.5564681724845997"/>
    <x v="1"/>
    <n v="1"/>
    <n v="0"/>
    <n v="0"/>
    <n v="0"/>
    <s v="High skill tech staff"/>
    <x v="1"/>
  </r>
  <r>
    <n v="5033576"/>
    <x v="0"/>
    <s v="N"/>
    <s v="Y"/>
    <n v="1"/>
    <x v="11"/>
    <x v="2"/>
    <x v="1"/>
    <x v="1"/>
    <x v="0"/>
    <d v="1985-05-07T00:00:00"/>
    <n v="-14474"/>
    <x v="602"/>
    <x v="3"/>
    <n v="-5162"/>
    <n v="14.132785763175907"/>
    <x v="1"/>
    <n v="1"/>
    <n v="0"/>
    <n v="0"/>
    <n v="0"/>
    <s v="Laborers"/>
    <x v="3"/>
  </r>
  <r>
    <n v="5033578"/>
    <x v="0"/>
    <s v="N"/>
    <s v="N"/>
    <n v="1"/>
    <x v="35"/>
    <x v="1"/>
    <x v="1"/>
    <x v="1"/>
    <x v="0"/>
    <d v="1983-08-24T00:00:00"/>
    <n v="-15096"/>
    <x v="180"/>
    <x v="1"/>
    <n v="-994"/>
    <n v="2.7214236824093088"/>
    <x v="1"/>
    <n v="1"/>
    <n v="1"/>
    <n v="0"/>
    <n v="0"/>
    <s v="Laborers"/>
    <x v="3"/>
  </r>
  <r>
    <n v="5033588"/>
    <x v="1"/>
    <s v="N"/>
    <s v="Y"/>
    <n v="1"/>
    <x v="16"/>
    <x v="2"/>
    <x v="1"/>
    <x v="1"/>
    <x v="1"/>
    <d v="1981-04-15T00:00:00"/>
    <n v="-15957"/>
    <x v="603"/>
    <x v="1"/>
    <n v="-2270"/>
    <n v="6.2149212867898695"/>
    <x v="1"/>
    <n v="1"/>
    <n v="0"/>
    <n v="0"/>
    <n v="0"/>
    <s v="Drivers"/>
    <x v="3"/>
  </r>
  <r>
    <n v="5033597"/>
    <x v="1"/>
    <s v="N"/>
    <s v="Y"/>
    <n v="2"/>
    <x v="2"/>
    <x v="2"/>
    <x v="1"/>
    <x v="1"/>
    <x v="0"/>
    <d v="1989-05-22T00:00:00"/>
    <n v="-12998"/>
    <x v="604"/>
    <x v="3"/>
    <n v="-2148"/>
    <n v="5.8809034907597537"/>
    <x v="1"/>
    <n v="1"/>
    <n v="0"/>
    <n v="0"/>
    <n v="0"/>
    <m/>
    <x v="2"/>
  </r>
  <r>
    <n v="5033600"/>
    <x v="0"/>
    <s v="Y"/>
    <s v="Y"/>
    <n v="0"/>
    <x v="30"/>
    <x v="2"/>
    <x v="1"/>
    <x v="1"/>
    <x v="0"/>
    <d v="1978-10-27T00:00:00"/>
    <n v="-16858"/>
    <x v="605"/>
    <x v="1"/>
    <n v="-3124"/>
    <n v="8.5530458590006848"/>
    <x v="1"/>
    <n v="1"/>
    <n v="0"/>
    <n v="0"/>
    <n v="0"/>
    <s v="Private service staff"/>
    <x v="1"/>
  </r>
  <r>
    <n v="5033603"/>
    <x v="0"/>
    <s v="N"/>
    <s v="Y"/>
    <n v="0"/>
    <x v="5"/>
    <x v="1"/>
    <x v="1"/>
    <x v="1"/>
    <x v="0"/>
    <d v="1984-06-13T00:00:00"/>
    <n v="-14802"/>
    <x v="606"/>
    <x v="1"/>
    <n v="-2789"/>
    <n v="7.6358658453114305"/>
    <x v="1"/>
    <n v="1"/>
    <n v="0"/>
    <n v="0"/>
    <n v="0"/>
    <s v="Sales staff"/>
    <x v="1"/>
  </r>
  <r>
    <n v="5033612"/>
    <x v="0"/>
    <s v="N"/>
    <s v="Y"/>
    <n v="1"/>
    <x v="8"/>
    <x v="1"/>
    <x v="1"/>
    <x v="1"/>
    <x v="0"/>
    <d v="1985-01-17T00:00:00"/>
    <n v="-14584"/>
    <x v="607"/>
    <x v="3"/>
    <n v="-5770"/>
    <n v="15.797399041752225"/>
    <x v="1"/>
    <n v="1"/>
    <n v="0"/>
    <n v="0"/>
    <n v="0"/>
    <s v="High skill tech staff"/>
    <x v="3"/>
  </r>
  <r>
    <n v="5033617"/>
    <x v="0"/>
    <s v="Y"/>
    <s v="Y"/>
    <n v="0"/>
    <x v="43"/>
    <x v="0"/>
    <x v="1"/>
    <x v="1"/>
    <x v="0"/>
    <d v="1959-09-25T00:00:00"/>
    <n v="-23830"/>
    <x v="608"/>
    <x v="0"/>
    <n v="365243"/>
    <n v="0"/>
    <x v="0"/>
    <n v="1"/>
    <n v="0"/>
    <n v="1"/>
    <n v="0"/>
    <m/>
    <x v="1"/>
  </r>
  <r>
    <n v="5033620"/>
    <x v="1"/>
    <s v="N"/>
    <s v="N"/>
    <n v="0"/>
    <x v="1"/>
    <x v="3"/>
    <x v="0"/>
    <x v="1"/>
    <x v="5"/>
    <d v="1961-10-14T00:00:00"/>
    <n v="-23080"/>
    <x v="609"/>
    <x v="0"/>
    <n v="-263"/>
    <n v="0.72005475701574262"/>
    <x v="1"/>
    <n v="1"/>
    <n v="0"/>
    <n v="0"/>
    <n v="0"/>
    <m/>
    <x v="1"/>
  </r>
  <r>
    <n v="5033623"/>
    <x v="0"/>
    <s v="Y"/>
    <s v="Y"/>
    <n v="1"/>
    <x v="76"/>
    <x v="1"/>
    <x v="0"/>
    <x v="1"/>
    <x v="0"/>
    <d v="1985-10-18T00:00:00"/>
    <n v="-14310"/>
    <x v="610"/>
    <x v="3"/>
    <n v="-7050"/>
    <n v="19.301848049281315"/>
    <x v="1"/>
    <n v="1"/>
    <n v="0"/>
    <n v="1"/>
    <n v="0"/>
    <s v="Sales staff"/>
    <x v="3"/>
  </r>
  <r>
    <n v="5033631"/>
    <x v="1"/>
    <s v="Y"/>
    <s v="Y"/>
    <n v="2"/>
    <x v="42"/>
    <x v="2"/>
    <x v="0"/>
    <x v="1"/>
    <x v="0"/>
    <d v="1992-01-05T00:00:00"/>
    <n v="-12040"/>
    <x v="611"/>
    <x v="3"/>
    <n v="-1305"/>
    <n v="3.5728952772073921"/>
    <x v="1"/>
    <n v="1"/>
    <n v="1"/>
    <n v="1"/>
    <n v="0"/>
    <m/>
    <x v="2"/>
  </r>
  <r>
    <n v="5033640"/>
    <x v="0"/>
    <s v="N"/>
    <s v="Y"/>
    <n v="1"/>
    <x v="16"/>
    <x v="2"/>
    <x v="1"/>
    <x v="1"/>
    <x v="0"/>
    <d v="1981-12-03T00:00:00"/>
    <n v="-15725"/>
    <x v="612"/>
    <x v="1"/>
    <n v="-3131"/>
    <n v="8.5722108145106084"/>
    <x v="1"/>
    <n v="1"/>
    <n v="0"/>
    <n v="0"/>
    <n v="0"/>
    <s v="Managers"/>
    <x v="3"/>
  </r>
  <r>
    <n v="5033642"/>
    <x v="1"/>
    <s v="N"/>
    <s v="Y"/>
    <n v="0"/>
    <x v="2"/>
    <x v="0"/>
    <x v="1"/>
    <x v="1"/>
    <x v="0"/>
    <d v="1968-03-13T00:00:00"/>
    <n v="-20738"/>
    <x v="613"/>
    <x v="2"/>
    <n v="365243"/>
    <n v="0"/>
    <x v="0"/>
    <n v="1"/>
    <n v="0"/>
    <n v="0"/>
    <n v="0"/>
    <m/>
    <x v="1"/>
  </r>
  <r>
    <n v="5033647"/>
    <x v="0"/>
    <s v="N"/>
    <s v="Y"/>
    <n v="0"/>
    <x v="18"/>
    <x v="2"/>
    <x v="0"/>
    <x v="2"/>
    <x v="0"/>
    <d v="1961-12-27T00:00:00"/>
    <n v="-23006"/>
    <x v="324"/>
    <x v="0"/>
    <n v="-513"/>
    <n v="1.4045174537987679"/>
    <x v="1"/>
    <n v="1"/>
    <n v="0"/>
    <n v="0"/>
    <n v="0"/>
    <s v="Accountants"/>
    <x v="0"/>
  </r>
  <r>
    <n v="5033671"/>
    <x v="0"/>
    <s v="N"/>
    <s v="Y"/>
    <n v="0"/>
    <x v="82"/>
    <x v="2"/>
    <x v="1"/>
    <x v="1"/>
    <x v="0"/>
    <d v="1977-12-23T00:00:00"/>
    <n v="-17166"/>
    <x v="614"/>
    <x v="1"/>
    <n v="-2514"/>
    <n v="6.882956878850103"/>
    <x v="1"/>
    <n v="1"/>
    <n v="0"/>
    <n v="0"/>
    <n v="0"/>
    <s v="Cleaning staff"/>
    <x v="1"/>
  </r>
  <r>
    <n v="5033679"/>
    <x v="0"/>
    <s v="Y"/>
    <s v="Y"/>
    <n v="0"/>
    <x v="83"/>
    <x v="3"/>
    <x v="0"/>
    <x v="1"/>
    <x v="0"/>
    <d v="1980-06-02T00:00:00"/>
    <n v="-16274"/>
    <x v="615"/>
    <x v="1"/>
    <n v="-7172"/>
    <n v="19.635865845311429"/>
    <x v="1"/>
    <n v="1"/>
    <n v="0"/>
    <n v="0"/>
    <n v="0"/>
    <m/>
    <x v="1"/>
  </r>
  <r>
    <n v="5033683"/>
    <x v="0"/>
    <s v="N"/>
    <s v="Y"/>
    <n v="0"/>
    <x v="55"/>
    <x v="0"/>
    <x v="1"/>
    <x v="1"/>
    <x v="0"/>
    <d v="1956-12-28T00:00:00"/>
    <n v="-24831"/>
    <x v="616"/>
    <x v="0"/>
    <n v="365243"/>
    <n v="0"/>
    <x v="0"/>
    <n v="1"/>
    <n v="0"/>
    <n v="0"/>
    <n v="0"/>
    <m/>
    <x v="1"/>
  </r>
  <r>
    <n v="5033689"/>
    <x v="1"/>
    <s v="Y"/>
    <s v="N"/>
    <n v="0"/>
    <x v="23"/>
    <x v="2"/>
    <x v="1"/>
    <x v="1"/>
    <x v="0"/>
    <d v="1974-06-27T00:00:00"/>
    <n v="-18441"/>
    <x v="617"/>
    <x v="2"/>
    <n v="-1540"/>
    <n v="4.216290212183436"/>
    <x v="1"/>
    <n v="1"/>
    <n v="1"/>
    <n v="1"/>
    <n v="0"/>
    <s v="Drivers"/>
    <x v="1"/>
  </r>
  <r>
    <n v="5033698"/>
    <x v="0"/>
    <s v="Y"/>
    <s v="Y"/>
    <n v="0"/>
    <x v="84"/>
    <x v="1"/>
    <x v="0"/>
    <x v="1"/>
    <x v="0"/>
    <d v="1973-02-23T00:00:00"/>
    <n v="-18930"/>
    <x v="618"/>
    <x v="2"/>
    <n v="-3550"/>
    <n v="9.7193702943189599"/>
    <x v="1"/>
    <n v="1"/>
    <n v="0"/>
    <n v="0"/>
    <n v="0"/>
    <s v="Managers"/>
    <x v="1"/>
  </r>
  <r>
    <n v="5033714"/>
    <x v="1"/>
    <s v="N"/>
    <s v="Y"/>
    <n v="1"/>
    <x v="1"/>
    <x v="2"/>
    <x v="1"/>
    <x v="1"/>
    <x v="0"/>
    <d v="1987-03-30T00:00:00"/>
    <n v="-13782"/>
    <x v="619"/>
    <x v="3"/>
    <n v="-3032"/>
    <n v="8.301163586584531"/>
    <x v="1"/>
    <n v="1"/>
    <n v="1"/>
    <n v="1"/>
    <n v="0"/>
    <s v="Security staff"/>
    <x v="3"/>
  </r>
  <r>
    <n v="5033717"/>
    <x v="0"/>
    <s v="N"/>
    <s v="Y"/>
    <n v="0"/>
    <x v="50"/>
    <x v="2"/>
    <x v="1"/>
    <x v="2"/>
    <x v="0"/>
    <d v="1974-05-02T00:00:00"/>
    <n v="-18497"/>
    <x v="620"/>
    <x v="2"/>
    <n v="-2216"/>
    <n v="6.0670773442847361"/>
    <x v="1"/>
    <n v="1"/>
    <n v="0"/>
    <n v="0"/>
    <n v="0"/>
    <s v="Sales staff"/>
    <x v="0"/>
  </r>
  <r>
    <n v="5033730"/>
    <x v="0"/>
    <s v="Y"/>
    <s v="Y"/>
    <n v="1"/>
    <x v="43"/>
    <x v="1"/>
    <x v="1"/>
    <x v="1"/>
    <x v="0"/>
    <d v="1987-01-26T00:00:00"/>
    <n v="-13845"/>
    <x v="621"/>
    <x v="3"/>
    <n v="-2728"/>
    <n v="7.4688569472963726"/>
    <x v="1"/>
    <n v="1"/>
    <n v="0"/>
    <n v="0"/>
    <n v="0"/>
    <s v="Laborers"/>
    <x v="3"/>
  </r>
  <r>
    <n v="5033734"/>
    <x v="0"/>
    <s v="Y"/>
    <s v="Y"/>
    <n v="1"/>
    <x v="5"/>
    <x v="2"/>
    <x v="1"/>
    <x v="1"/>
    <x v="0"/>
    <d v="1990-06-23T00:00:00"/>
    <n v="-12601"/>
    <x v="622"/>
    <x v="3"/>
    <n v="-6053"/>
    <n v="16.572210814510608"/>
    <x v="1"/>
    <n v="1"/>
    <n v="0"/>
    <n v="0"/>
    <n v="0"/>
    <s v="Cooking staff"/>
    <x v="3"/>
  </r>
  <r>
    <n v="5033745"/>
    <x v="0"/>
    <s v="N"/>
    <s v="N"/>
    <n v="0"/>
    <x v="2"/>
    <x v="2"/>
    <x v="0"/>
    <x v="2"/>
    <x v="0"/>
    <d v="1982-09-10T00:00:00"/>
    <n v="-15444"/>
    <x v="10"/>
    <x v="1"/>
    <n v="-3891"/>
    <n v="10.652977412731007"/>
    <x v="1"/>
    <n v="1"/>
    <n v="0"/>
    <n v="0"/>
    <n v="0"/>
    <s v="Managers"/>
    <x v="0"/>
  </r>
  <r>
    <n v="5033776"/>
    <x v="0"/>
    <s v="N"/>
    <s v="Y"/>
    <n v="2"/>
    <x v="55"/>
    <x v="2"/>
    <x v="1"/>
    <x v="1"/>
    <x v="0"/>
    <d v="1988-12-24T00:00:00"/>
    <n v="-13147"/>
    <x v="623"/>
    <x v="3"/>
    <n v="-3738"/>
    <n v="10.234086242299794"/>
    <x v="1"/>
    <n v="1"/>
    <n v="0"/>
    <n v="1"/>
    <n v="0"/>
    <s v="Laborers"/>
    <x v="2"/>
  </r>
  <r>
    <n v="5033777"/>
    <x v="1"/>
    <s v="Y"/>
    <s v="Y"/>
    <n v="0"/>
    <x v="61"/>
    <x v="1"/>
    <x v="1"/>
    <x v="1"/>
    <x v="0"/>
    <d v="1965-06-04T00:00:00"/>
    <n v="-21751"/>
    <x v="624"/>
    <x v="2"/>
    <n v="-5443"/>
    <n v="14.902121834360027"/>
    <x v="1"/>
    <n v="1"/>
    <n v="0"/>
    <n v="0"/>
    <n v="0"/>
    <s v="Drivers"/>
    <x v="1"/>
  </r>
  <r>
    <n v="5033783"/>
    <x v="1"/>
    <s v="N"/>
    <s v="Y"/>
    <n v="2"/>
    <x v="30"/>
    <x v="2"/>
    <x v="1"/>
    <x v="1"/>
    <x v="0"/>
    <d v="1995-11-18T00:00:00"/>
    <n v="-10627"/>
    <x v="625"/>
    <x v="4"/>
    <n v="-3496"/>
    <n v="9.5715263518138265"/>
    <x v="1"/>
    <n v="1"/>
    <n v="1"/>
    <n v="0"/>
    <n v="0"/>
    <s v="Sales staff"/>
    <x v="2"/>
  </r>
  <r>
    <n v="5033796"/>
    <x v="0"/>
    <s v="N"/>
    <s v="Y"/>
    <n v="0"/>
    <x v="15"/>
    <x v="0"/>
    <x v="1"/>
    <x v="1"/>
    <x v="0"/>
    <d v="1963-12-16T00:00:00"/>
    <n v="-22287"/>
    <x v="626"/>
    <x v="0"/>
    <n v="365243"/>
    <n v="0"/>
    <x v="0"/>
    <n v="1"/>
    <n v="0"/>
    <n v="0"/>
    <n v="0"/>
    <m/>
    <x v="1"/>
  </r>
  <r>
    <n v="5033801"/>
    <x v="0"/>
    <s v="N"/>
    <s v="Y"/>
    <n v="0"/>
    <x v="14"/>
    <x v="1"/>
    <x v="0"/>
    <x v="1"/>
    <x v="0"/>
    <d v="1979-11-28T00:00:00"/>
    <n v="-16461"/>
    <x v="627"/>
    <x v="1"/>
    <n v="-3244"/>
    <n v="8.8815879534565365"/>
    <x v="1"/>
    <n v="1"/>
    <n v="0"/>
    <n v="0"/>
    <n v="0"/>
    <s v="Managers"/>
    <x v="1"/>
  </r>
  <r>
    <n v="5033813"/>
    <x v="0"/>
    <s v="N"/>
    <s v="Y"/>
    <n v="3"/>
    <x v="16"/>
    <x v="3"/>
    <x v="0"/>
    <x v="1"/>
    <x v="0"/>
    <d v="1993-02-21T00:00:00"/>
    <n v="-11627"/>
    <x v="628"/>
    <x v="3"/>
    <n v="-1449"/>
    <n v="3.9671457905544147"/>
    <x v="1"/>
    <n v="1"/>
    <n v="1"/>
    <n v="0"/>
    <n v="0"/>
    <m/>
    <x v="4"/>
  </r>
  <r>
    <n v="5033837"/>
    <x v="0"/>
    <s v="N"/>
    <s v="Y"/>
    <n v="0"/>
    <x v="60"/>
    <x v="1"/>
    <x v="0"/>
    <x v="1"/>
    <x v="0"/>
    <d v="1980-03-01T00:00:00"/>
    <n v="-16367"/>
    <x v="629"/>
    <x v="1"/>
    <n v="-5070"/>
    <n v="13.880903490759753"/>
    <x v="1"/>
    <n v="1"/>
    <n v="0"/>
    <n v="0"/>
    <n v="0"/>
    <m/>
    <x v="1"/>
  </r>
  <r>
    <n v="5033847"/>
    <x v="0"/>
    <s v="N"/>
    <s v="N"/>
    <n v="2"/>
    <x v="8"/>
    <x v="1"/>
    <x v="1"/>
    <x v="1"/>
    <x v="0"/>
    <d v="1985-05-05T00:00:00"/>
    <n v="-14476"/>
    <x v="630"/>
    <x v="3"/>
    <n v="-4987"/>
    <n v="13.653661875427789"/>
    <x v="1"/>
    <n v="1"/>
    <n v="0"/>
    <n v="0"/>
    <n v="0"/>
    <s v="High skill tech staff"/>
    <x v="2"/>
  </r>
  <r>
    <n v="5033859"/>
    <x v="0"/>
    <s v="Y"/>
    <s v="Y"/>
    <n v="0"/>
    <x v="85"/>
    <x v="0"/>
    <x v="0"/>
    <x v="4"/>
    <x v="0"/>
    <d v="1977-08-20T00:00:00"/>
    <n v="-17291"/>
    <x v="631"/>
    <x v="1"/>
    <n v="365243"/>
    <n v="0"/>
    <x v="0"/>
    <n v="1"/>
    <n v="0"/>
    <n v="1"/>
    <n v="0"/>
    <m/>
    <x v="0"/>
  </r>
  <r>
    <n v="5033863"/>
    <x v="1"/>
    <s v="Y"/>
    <s v="Y"/>
    <n v="0"/>
    <x v="16"/>
    <x v="2"/>
    <x v="2"/>
    <x v="1"/>
    <x v="0"/>
    <d v="1967-02-23T00:00:00"/>
    <n v="-21122"/>
    <x v="632"/>
    <x v="2"/>
    <n v="-3922"/>
    <n v="10.737850787132102"/>
    <x v="1"/>
    <n v="1"/>
    <n v="0"/>
    <n v="0"/>
    <n v="0"/>
    <m/>
    <x v="1"/>
  </r>
  <r>
    <n v="5033870"/>
    <x v="1"/>
    <s v="N"/>
    <s v="N"/>
    <n v="0"/>
    <x v="14"/>
    <x v="2"/>
    <x v="1"/>
    <x v="1"/>
    <x v="1"/>
    <d v="1986-10-05T00:00:00"/>
    <n v="-13958"/>
    <x v="128"/>
    <x v="3"/>
    <n v="-969"/>
    <n v="2.6529774127310062"/>
    <x v="1"/>
    <n v="1"/>
    <n v="0"/>
    <n v="1"/>
    <n v="0"/>
    <s v="Drivers"/>
    <x v="1"/>
  </r>
  <r>
    <n v="5033878"/>
    <x v="0"/>
    <s v="N"/>
    <s v="Y"/>
    <n v="0"/>
    <x v="11"/>
    <x v="1"/>
    <x v="0"/>
    <x v="1"/>
    <x v="0"/>
    <d v="1976-06-24T00:00:00"/>
    <n v="-17713"/>
    <x v="633"/>
    <x v="1"/>
    <n v="-718"/>
    <n v="1.9657768651608487"/>
    <x v="1"/>
    <n v="1"/>
    <n v="1"/>
    <n v="1"/>
    <n v="0"/>
    <s v="Managers"/>
    <x v="1"/>
  </r>
  <r>
    <n v="5033894"/>
    <x v="0"/>
    <s v="N"/>
    <s v="Y"/>
    <n v="0"/>
    <x v="65"/>
    <x v="2"/>
    <x v="0"/>
    <x v="3"/>
    <x v="0"/>
    <d v="1970-09-29T00:00:00"/>
    <n v="-19808"/>
    <x v="634"/>
    <x v="2"/>
    <n v="-390"/>
    <n v="1.0677618069815196"/>
    <x v="1"/>
    <n v="1"/>
    <n v="1"/>
    <n v="0"/>
    <n v="0"/>
    <m/>
    <x v="1"/>
  </r>
  <r>
    <n v="5033895"/>
    <x v="0"/>
    <s v="N"/>
    <s v="N"/>
    <n v="2"/>
    <x v="1"/>
    <x v="2"/>
    <x v="1"/>
    <x v="1"/>
    <x v="2"/>
    <d v="1994-01-18T00:00:00"/>
    <n v="-11296"/>
    <x v="635"/>
    <x v="3"/>
    <n v="-1670"/>
    <n v="4.5722108145106093"/>
    <x v="1"/>
    <n v="1"/>
    <n v="0"/>
    <n v="0"/>
    <n v="0"/>
    <s v="Core staff"/>
    <x v="2"/>
  </r>
  <r>
    <n v="5033898"/>
    <x v="1"/>
    <s v="N"/>
    <s v="Y"/>
    <n v="0"/>
    <x v="3"/>
    <x v="2"/>
    <x v="1"/>
    <x v="1"/>
    <x v="0"/>
    <d v="1996-09-16T00:00:00"/>
    <n v="-10324"/>
    <x v="636"/>
    <x v="4"/>
    <n v="-513"/>
    <n v="1.4045174537987679"/>
    <x v="1"/>
    <n v="1"/>
    <n v="1"/>
    <n v="1"/>
    <n v="0"/>
    <s v="Laborers"/>
    <x v="1"/>
  </r>
  <r>
    <n v="5033899"/>
    <x v="1"/>
    <s v="Y"/>
    <s v="Y"/>
    <n v="0"/>
    <x v="39"/>
    <x v="2"/>
    <x v="1"/>
    <x v="1"/>
    <x v="0"/>
    <d v="1965-05-29T00:00:00"/>
    <n v="-21757"/>
    <x v="637"/>
    <x v="2"/>
    <n v="-2705"/>
    <n v="7.4058863791923342"/>
    <x v="1"/>
    <n v="1"/>
    <n v="0"/>
    <n v="0"/>
    <n v="0"/>
    <s v="Drivers"/>
    <x v="1"/>
  </r>
  <r>
    <n v="5033902"/>
    <x v="1"/>
    <s v="N"/>
    <s v="Y"/>
    <n v="0"/>
    <x v="35"/>
    <x v="0"/>
    <x v="1"/>
    <x v="3"/>
    <x v="0"/>
    <d v="1963-02-06T00:00:00"/>
    <n v="-22600"/>
    <x v="638"/>
    <x v="0"/>
    <n v="365243"/>
    <n v="0"/>
    <x v="0"/>
    <n v="1"/>
    <n v="0"/>
    <n v="0"/>
    <n v="0"/>
    <m/>
    <x v="1"/>
  </r>
  <r>
    <n v="5033905"/>
    <x v="0"/>
    <s v="N"/>
    <s v="Y"/>
    <n v="0"/>
    <x v="18"/>
    <x v="2"/>
    <x v="1"/>
    <x v="1"/>
    <x v="0"/>
    <d v="1964-12-20T00:00:00"/>
    <n v="-21917"/>
    <x v="639"/>
    <x v="0"/>
    <n v="-1905"/>
    <n v="5.2156057494866532"/>
    <x v="1"/>
    <n v="1"/>
    <n v="0"/>
    <n v="0"/>
    <n v="0"/>
    <s v="Medicine staff"/>
    <x v="1"/>
  </r>
  <r>
    <n v="5033909"/>
    <x v="0"/>
    <s v="N"/>
    <s v="Y"/>
    <n v="2"/>
    <x v="10"/>
    <x v="2"/>
    <x v="1"/>
    <x v="1"/>
    <x v="0"/>
    <d v="1991-10-22T00:00:00"/>
    <n v="-12115"/>
    <x v="640"/>
    <x v="3"/>
    <n v="-878"/>
    <n v="2.4038329911019849"/>
    <x v="1"/>
    <n v="1"/>
    <n v="1"/>
    <n v="1"/>
    <n v="0"/>
    <s v="Sales staff"/>
    <x v="2"/>
  </r>
  <r>
    <n v="5033921"/>
    <x v="0"/>
    <s v="N"/>
    <s v="Y"/>
    <n v="1"/>
    <x v="86"/>
    <x v="2"/>
    <x v="1"/>
    <x v="1"/>
    <x v="0"/>
    <d v="1990-07-09T00:00:00"/>
    <n v="-12585"/>
    <x v="641"/>
    <x v="3"/>
    <n v="-755"/>
    <n v="2.0670773442847366"/>
    <x v="1"/>
    <n v="1"/>
    <n v="1"/>
    <n v="1"/>
    <n v="0"/>
    <s v="Core staff"/>
    <x v="3"/>
  </r>
  <r>
    <n v="5033935"/>
    <x v="0"/>
    <s v="N"/>
    <s v="Y"/>
    <n v="0"/>
    <x v="1"/>
    <x v="0"/>
    <x v="3"/>
    <x v="1"/>
    <x v="0"/>
    <d v="1963-03-09T00:00:00"/>
    <n v="-22569"/>
    <x v="642"/>
    <x v="0"/>
    <n v="365243"/>
    <n v="0"/>
    <x v="0"/>
    <n v="1"/>
    <n v="0"/>
    <n v="0"/>
    <n v="0"/>
    <m/>
    <x v="1"/>
  </r>
  <r>
    <n v="5033941"/>
    <x v="1"/>
    <s v="Y"/>
    <s v="Y"/>
    <n v="2"/>
    <x v="14"/>
    <x v="2"/>
    <x v="0"/>
    <x v="1"/>
    <x v="0"/>
    <d v="1996-11-06T00:00:00"/>
    <n v="-10273"/>
    <x v="643"/>
    <x v="4"/>
    <n v="-3039"/>
    <n v="8.3203285420944564"/>
    <x v="1"/>
    <n v="1"/>
    <n v="1"/>
    <n v="0"/>
    <n v="0"/>
    <s v="Core staff"/>
    <x v="2"/>
  </r>
  <r>
    <n v="5033962"/>
    <x v="0"/>
    <s v="N"/>
    <s v="Y"/>
    <n v="2"/>
    <x v="23"/>
    <x v="2"/>
    <x v="1"/>
    <x v="1"/>
    <x v="0"/>
    <d v="1987-08-30T00:00:00"/>
    <n v="-13629"/>
    <x v="644"/>
    <x v="3"/>
    <n v="-748"/>
    <n v="2.0479123887748116"/>
    <x v="1"/>
    <n v="1"/>
    <n v="1"/>
    <n v="0"/>
    <n v="0"/>
    <m/>
    <x v="2"/>
  </r>
  <r>
    <n v="5033970"/>
    <x v="0"/>
    <s v="N"/>
    <s v="Y"/>
    <n v="0"/>
    <x v="2"/>
    <x v="3"/>
    <x v="1"/>
    <x v="1"/>
    <x v="0"/>
    <d v="1975-01-25T00:00:00"/>
    <n v="-18229"/>
    <x v="645"/>
    <x v="1"/>
    <n v="-2209"/>
    <n v="6.0479123887748116"/>
    <x v="1"/>
    <n v="1"/>
    <n v="0"/>
    <n v="0"/>
    <n v="0"/>
    <s v="Core staff"/>
    <x v="1"/>
  </r>
  <r>
    <n v="5033972"/>
    <x v="1"/>
    <s v="Y"/>
    <s v="Y"/>
    <n v="1"/>
    <x v="87"/>
    <x v="3"/>
    <x v="0"/>
    <x v="1"/>
    <x v="5"/>
    <d v="1994-06-09T00:00:00"/>
    <n v="-11154"/>
    <x v="646"/>
    <x v="3"/>
    <n v="-4409"/>
    <n v="12.071184120465434"/>
    <x v="1"/>
    <n v="1"/>
    <n v="0"/>
    <n v="0"/>
    <n v="0"/>
    <s v="Core staff"/>
    <x v="3"/>
  </r>
  <r>
    <n v="5033985"/>
    <x v="0"/>
    <s v="Y"/>
    <s v="Y"/>
    <n v="0"/>
    <x v="16"/>
    <x v="1"/>
    <x v="1"/>
    <x v="3"/>
    <x v="0"/>
    <d v="1971-05-17T00:00:00"/>
    <n v="-19578"/>
    <x v="647"/>
    <x v="2"/>
    <n v="-5388"/>
    <n v="14.751540041067761"/>
    <x v="1"/>
    <n v="1"/>
    <n v="1"/>
    <n v="1"/>
    <n v="0"/>
    <s v="Accountants"/>
    <x v="1"/>
  </r>
  <r>
    <n v="5033991"/>
    <x v="0"/>
    <s v="N"/>
    <s v="Y"/>
    <n v="0"/>
    <x v="88"/>
    <x v="0"/>
    <x v="1"/>
    <x v="0"/>
    <x v="0"/>
    <d v="1962-09-07T00:00:00"/>
    <n v="-22752"/>
    <x v="648"/>
    <x v="0"/>
    <n v="365243"/>
    <n v="0"/>
    <x v="0"/>
    <n v="1"/>
    <n v="0"/>
    <n v="0"/>
    <n v="0"/>
    <m/>
    <x v="0"/>
  </r>
  <r>
    <n v="5034017"/>
    <x v="1"/>
    <s v="N"/>
    <s v="Y"/>
    <n v="2"/>
    <x v="16"/>
    <x v="2"/>
    <x v="1"/>
    <x v="1"/>
    <x v="0"/>
    <d v="1991-10-14T00:00:00"/>
    <n v="-12123"/>
    <x v="649"/>
    <x v="3"/>
    <n v="-551"/>
    <n v="1.5085557837097878"/>
    <x v="1"/>
    <n v="1"/>
    <n v="0"/>
    <n v="0"/>
    <n v="0"/>
    <s v="Laborers"/>
    <x v="2"/>
  </r>
  <r>
    <n v="5035432"/>
    <x v="0"/>
    <s v="Y"/>
    <s v="Y"/>
    <n v="0"/>
    <x v="16"/>
    <x v="2"/>
    <x v="0"/>
    <x v="0"/>
    <x v="0"/>
    <d v="1977-09-11T00:00:00"/>
    <n v="-17269"/>
    <x v="650"/>
    <x v="1"/>
    <n v="-8469"/>
    <n v="23.186858316221766"/>
    <x v="1"/>
    <n v="1"/>
    <n v="0"/>
    <n v="0"/>
    <n v="0"/>
    <m/>
    <x v="0"/>
  </r>
  <r>
    <n v="5035436"/>
    <x v="0"/>
    <s v="Y"/>
    <s v="Y"/>
    <n v="0"/>
    <x v="16"/>
    <x v="2"/>
    <x v="0"/>
    <x v="0"/>
    <x v="0"/>
    <d v="1977-09-11T00:00:00"/>
    <n v="-17269"/>
    <x v="650"/>
    <x v="1"/>
    <n v="-8469"/>
    <n v="23.186858316221766"/>
    <x v="1"/>
    <n v="1"/>
    <n v="0"/>
    <n v="0"/>
    <n v="0"/>
    <m/>
    <x v="0"/>
  </r>
  <r>
    <n v="5035437"/>
    <x v="0"/>
    <s v="Y"/>
    <s v="Y"/>
    <n v="0"/>
    <x v="16"/>
    <x v="2"/>
    <x v="0"/>
    <x v="0"/>
    <x v="0"/>
    <d v="1977-09-11T00:00:00"/>
    <n v="-17269"/>
    <x v="650"/>
    <x v="1"/>
    <n v="-8469"/>
    <n v="23.186858316221766"/>
    <x v="1"/>
    <n v="1"/>
    <n v="0"/>
    <n v="0"/>
    <n v="0"/>
    <m/>
    <x v="0"/>
  </r>
  <r>
    <n v="5035438"/>
    <x v="0"/>
    <s v="Y"/>
    <s v="Y"/>
    <n v="0"/>
    <x v="16"/>
    <x v="2"/>
    <x v="0"/>
    <x v="0"/>
    <x v="0"/>
    <d v="1977-09-11T00:00:00"/>
    <n v="-17269"/>
    <x v="650"/>
    <x v="1"/>
    <n v="-8469"/>
    <n v="23.186858316221766"/>
    <x v="1"/>
    <n v="1"/>
    <n v="0"/>
    <n v="0"/>
    <n v="0"/>
    <m/>
    <x v="0"/>
  </r>
  <r>
    <n v="5035508"/>
    <x v="0"/>
    <s v="N"/>
    <s v="N"/>
    <n v="1"/>
    <x v="11"/>
    <x v="3"/>
    <x v="1"/>
    <x v="2"/>
    <x v="4"/>
    <d v="1972-03-18T00:00:00"/>
    <n v="-19272"/>
    <x v="651"/>
    <x v="2"/>
    <n v="-6216"/>
    <n v="17.018480492813143"/>
    <x v="1"/>
    <n v="1"/>
    <n v="0"/>
    <n v="1"/>
    <n v="0"/>
    <s v="Cooking staff"/>
    <x v="1"/>
  </r>
  <r>
    <n v="5035524"/>
    <x v="0"/>
    <s v="N"/>
    <s v="Y"/>
    <n v="1"/>
    <x v="29"/>
    <x v="0"/>
    <x v="1"/>
    <x v="1"/>
    <x v="0"/>
    <d v="1969-01-03T00:00:00"/>
    <n v="-20442"/>
    <x v="652"/>
    <x v="2"/>
    <n v="365243"/>
    <n v="0"/>
    <x v="0"/>
    <n v="1"/>
    <n v="0"/>
    <n v="1"/>
    <n v="0"/>
    <m/>
    <x v="3"/>
  </r>
  <r>
    <n v="5035526"/>
    <x v="0"/>
    <s v="N"/>
    <s v="Y"/>
    <n v="1"/>
    <x v="29"/>
    <x v="0"/>
    <x v="1"/>
    <x v="1"/>
    <x v="0"/>
    <d v="1969-01-03T00:00:00"/>
    <n v="-20442"/>
    <x v="652"/>
    <x v="2"/>
    <n v="365243"/>
    <n v="0"/>
    <x v="0"/>
    <n v="1"/>
    <n v="0"/>
    <n v="1"/>
    <n v="0"/>
    <m/>
    <x v="3"/>
  </r>
  <r>
    <n v="5035571"/>
    <x v="0"/>
    <s v="N"/>
    <s v="Y"/>
    <n v="0"/>
    <x v="37"/>
    <x v="0"/>
    <x v="1"/>
    <x v="1"/>
    <x v="0"/>
    <d v="1967-10-03T00:00:00"/>
    <n v="-20900"/>
    <x v="653"/>
    <x v="2"/>
    <n v="365243"/>
    <n v="0"/>
    <x v="0"/>
    <n v="1"/>
    <n v="0"/>
    <n v="1"/>
    <n v="0"/>
    <m/>
    <x v="1"/>
  </r>
  <r>
    <n v="5035575"/>
    <x v="0"/>
    <s v="N"/>
    <s v="Y"/>
    <n v="0"/>
    <x v="37"/>
    <x v="0"/>
    <x v="1"/>
    <x v="1"/>
    <x v="0"/>
    <d v="1967-10-03T00:00:00"/>
    <n v="-20900"/>
    <x v="653"/>
    <x v="2"/>
    <n v="365243"/>
    <n v="0"/>
    <x v="0"/>
    <n v="1"/>
    <n v="0"/>
    <n v="1"/>
    <n v="0"/>
    <m/>
    <x v="1"/>
  </r>
  <r>
    <n v="5035576"/>
    <x v="0"/>
    <s v="N"/>
    <s v="Y"/>
    <n v="0"/>
    <x v="37"/>
    <x v="0"/>
    <x v="1"/>
    <x v="1"/>
    <x v="0"/>
    <d v="1967-10-03T00:00:00"/>
    <n v="-20900"/>
    <x v="653"/>
    <x v="2"/>
    <n v="365243"/>
    <n v="0"/>
    <x v="0"/>
    <n v="1"/>
    <n v="0"/>
    <n v="1"/>
    <n v="0"/>
    <m/>
    <x v="1"/>
  </r>
  <r>
    <n v="5035588"/>
    <x v="0"/>
    <s v="N"/>
    <s v="Y"/>
    <n v="0"/>
    <x v="88"/>
    <x v="3"/>
    <x v="1"/>
    <x v="1"/>
    <x v="0"/>
    <d v="1979-01-05T00:00:00"/>
    <n v="-16788"/>
    <x v="654"/>
    <x v="1"/>
    <n v="-5759"/>
    <n v="15.767282683093772"/>
    <x v="1"/>
    <n v="1"/>
    <n v="0"/>
    <n v="0"/>
    <n v="0"/>
    <m/>
    <x v="1"/>
  </r>
  <r>
    <n v="5035619"/>
    <x v="1"/>
    <s v="N"/>
    <s v="Y"/>
    <n v="0"/>
    <x v="56"/>
    <x v="0"/>
    <x v="1"/>
    <x v="1"/>
    <x v="0"/>
    <d v="1960-03-26T00:00:00"/>
    <n v="-23647"/>
    <x v="655"/>
    <x v="0"/>
    <n v="365243"/>
    <n v="0"/>
    <x v="0"/>
    <n v="1"/>
    <n v="0"/>
    <n v="1"/>
    <n v="0"/>
    <m/>
    <x v="1"/>
  </r>
  <r>
    <n v="5035656"/>
    <x v="0"/>
    <s v="Y"/>
    <s v="Y"/>
    <n v="0"/>
    <x v="37"/>
    <x v="2"/>
    <x v="1"/>
    <x v="3"/>
    <x v="0"/>
    <d v="1979-12-12T00:00:00"/>
    <n v="-16447"/>
    <x v="656"/>
    <x v="1"/>
    <n v="-1468"/>
    <n v="4.0191649555099245"/>
    <x v="1"/>
    <n v="1"/>
    <n v="1"/>
    <n v="0"/>
    <n v="0"/>
    <s v="Cleaning staff"/>
    <x v="1"/>
  </r>
  <r>
    <n v="5035791"/>
    <x v="0"/>
    <s v="Y"/>
    <s v="Y"/>
    <n v="0"/>
    <x v="30"/>
    <x v="0"/>
    <x v="1"/>
    <x v="4"/>
    <x v="0"/>
    <d v="1964-10-25T00:00:00"/>
    <n v="-21973"/>
    <x v="657"/>
    <x v="0"/>
    <n v="365243"/>
    <n v="0"/>
    <x v="0"/>
    <n v="1"/>
    <n v="0"/>
    <n v="0"/>
    <n v="0"/>
    <m/>
    <x v="0"/>
  </r>
  <r>
    <n v="5035792"/>
    <x v="0"/>
    <s v="Y"/>
    <s v="Y"/>
    <n v="0"/>
    <x v="30"/>
    <x v="0"/>
    <x v="1"/>
    <x v="4"/>
    <x v="0"/>
    <d v="1964-10-25T00:00:00"/>
    <n v="-21973"/>
    <x v="657"/>
    <x v="0"/>
    <n v="365243"/>
    <n v="0"/>
    <x v="0"/>
    <n v="1"/>
    <n v="0"/>
    <n v="0"/>
    <n v="0"/>
    <m/>
    <x v="0"/>
  </r>
  <r>
    <n v="5035822"/>
    <x v="1"/>
    <s v="Y"/>
    <s v="Y"/>
    <n v="0"/>
    <x v="16"/>
    <x v="1"/>
    <x v="1"/>
    <x v="2"/>
    <x v="0"/>
    <d v="1969-06-11T00:00:00"/>
    <n v="-20283"/>
    <x v="658"/>
    <x v="2"/>
    <n v="-3447"/>
    <n v="9.4373716632443525"/>
    <x v="1"/>
    <n v="1"/>
    <n v="0"/>
    <n v="0"/>
    <n v="0"/>
    <s v="Drivers"/>
    <x v="0"/>
  </r>
  <r>
    <n v="5035823"/>
    <x v="1"/>
    <s v="Y"/>
    <s v="Y"/>
    <n v="0"/>
    <x v="16"/>
    <x v="1"/>
    <x v="1"/>
    <x v="2"/>
    <x v="0"/>
    <d v="1969-06-11T00:00:00"/>
    <n v="-20283"/>
    <x v="658"/>
    <x v="2"/>
    <n v="-3447"/>
    <n v="9.4373716632443525"/>
    <x v="1"/>
    <n v="1"/>
    <n v="0"/>
    <n v="0"/>
    <n v="0"/>
    <s v="Drivers"/>
    <x v="0"/>
  </r>
  <r>
    <n v="5035824"/>
    <x v="1"/>
    <s v="Y"/>
    <s v="Y"/>
    <n v="0"/>
    <x v="16"/>
    <x v="1"/>
    <x v="1"/>
    <x v="2"/>
    <x v="0"/>
    <d v="1969-06-11T00:00:00"/>
    <n v="-20283"/>
    <x v="658"/>
    <x v="2"/>
    <n v="-3447"/>
    <n v="9.4373716632443525"/>
    <x v="1"/>
    <n v="1"/>
    <n v="0"/>
    <n v="0"/>
    <n v="0"/>
    <s v="Drivers"/>
    <x v="0"/>
  </r>
  <r>
    <n v="5035885"/>
    <x v="0"/>
    <s v="N"/>
    <s v="Y"/>
    <n v="1"/>
    <x v="8"/>
    <x v="2"/>
    <x v="0"/>
    <x v="1"/>
    <x v="0"/>
    <d v="1971-05-22T00:00:00"/>
    <n v="-19573"/>
    <x v="659"/>
    <x v="2"/>
    <n v="-7404"/>
    <n v="20.271047227926079"/>
    <x v="1"/>
    <n v="1"/>
    <n v="0"/>
    <n v="1"/>
    <n v="0"/>
    <m/>
    <x v="3"/>
  </r>
  <r>
    <n v="5035889"/>
    <x v="0"/>
    <s v="N"/>
    <s v="Y"/>
    <n v="0"/>
    <x v="2"/>
    <x v="0"/>
    <x v="1"/>
    <x v="1"/>
    <x v="0"/>
    <d v="1957-06-26T00:00:00"/>
    <n v="-24651"/>
    <x v="660"/>
    <x v="0"/>
    <n v="365243"/>
    <n v="0"/>
    <x v="0"/>
    <n v="1"/>
    <n v="0"/>
    <n v="0"/>
    <n v="0"/>
    <m/>
    <x v="1"/>
  </r>
  <r>
    <n v="5035924"/>
    <x v="0"/>
    <s v="Y"/>
    <s v="Y"/>
    <n v="1"/>
    <x v="16"/>
    <x v="1"/>
    <x v="2"/>
    <x v="3"/>
    <x v="0"/>
    <d v="1982-09-09T00:00:00"/>
    <n v="-15445"/>
    <x v="661"/>
    <x v="1"/>
    <n v="-706"/>
    <n v="1.9329226557152634"/>
    <x v="1"/>
    <n v="1"/>
    <n v="0"/>
    <n v="0"/>
    <n v="0"/>
    <s v="Laborers"/>
    <x v="3"/>
  </r>
  <r>
    <n v="5035940"/>
    <x v="0"/>
    <s v="Y"/>
    <s v="Y"/>
    <n v="0"/>
    <x v="18"/>
    <x v="2"/>
    <x v="0"/>
    <x v="2"/>
    <x v="0"/>
    <d v="1995-09-27T00:00:00"/>
    <n v="-10679"/>
    <x v="662"/>
    <x v="4"/>
    <n v="-1195"/>
    <n v="3.2717316906228611"/>
    <x v="1"/>
    <n v="1"/>
    <n v="0"/>
    <n v="0"/>
    <n v="0"/>
    <m/>
    <x v="0"/>
  </r>
  <r>
    <n v="5035943"/>
    <x v="0"/>
    <s v="Y"/>
    <s v="Y"/>
    <n v="0"/>
    <x v="18"/>
    <x v="2"/>
    <x v="0"/>
    <x v="2"/>
    <x v="0"/>
    <d v="1995-09-27T00:00:00"/>
    <n v="-10679"/>
    <x v="662"/>
    <x v="4"/>
    <n v="-1195"/>
    <n v="3.2717316906228611"/>
    <x v="1"/>
    <n v="1"/>
    <n v="0"/>
    <n v="0"/>
    <n v="0"/>
    <m/>
    <x v="0"/>
  </r>
  <r>
    <n v="5035960"/>
    <x v="0"/>
    <s v="N"/>
    <s v="Y"/>
    <n v="2"/>
    <x v="1"/>
    <x v="1"/>
    <x v="1"/>
    <x v="1"/>
    <x v="0"/>
    <d v="1982-07-31T00:00:00"/>
    <n v="-15485"/>
    <x v="663"/>
    <x v="1"/>
    <n v="-614"/>
    <n v="1.6810403832991101"/>
    <x v="1"/>
    <n v="1"/>
    <n v="0"/>
    <n v="0"/>
    <n v="0"/>
    <m/>
    <x v="2"/>
  </r>
  <r>
    <n v="5035980"/>
    <x v="0"/>
    <s v="N"/>
    <s v="Y"/>
    <n v="0"/>
    <x v="2"/>
    <x v="0"/>
    <x v="1"/>
    <x v="0"/>
    <x v="0"/>
    <d v="1966-05-23T00:00:00"/>
    <n v="-21398"/>
    <x v="664"/>
    <x v="2"/>
    <n v="365243"/>
    <n v="0"/>
    <x v="0"/>
    <n v="1"/>
    <n v="0"/>
    <n v="0"/>
    <n v="0"/>
    <m/>
    <x v="0"/>
  </r>
  <r>
    <n v="5035990"/>
    <x v="1"/>
    <s v="Y"/>
    <s v="Y"/>
    <n v="2"/>
    <x v="10"/>
    <x v="2"/>
    <x v="0"/>
    <x v="1"/>
    <x v="0"/>
    <d v="1980-01-12T00:00:00"/>
    <n v="-16416"/>
    <x v="665"/>
    <x v="1"/>
    <n v="-1498"/>
    <n v="4.1013004791238874"/>
    <x v="1"/>
    <n v="1"/>
    <n v="1"/>
    <n v="1"/>
    <n v="0"/>
    <s v="Drivers"/>
    <x v="2"/>
  </r>
  <r>
    <n v="5036002"/>
    <x v="1"/>
    <s v="Y"/>
    <s v="Y"/>
    <n v="1"/>
    <x v="1"/>
    <x v="1"/>
    <x v="1"/>
    <x v="1"/>
    <x v="0"/>
    <d v="1995-08-30T00:00:00"/>
    <n v="-10707"/>
    <x v="666"/>
    <x v="4"/>
    <n v="-2564"/>
    <n v="7.0198494182067082"/>
    <x v="1"/>
    <n v="1"/>
    <n v="0"/>
    <n v="1"/>
    <n v="0"/>
    <s v="Laborers"/>
    <x v="3"/>
  </r>
  <r>
    <n v="5036040"/>
    <x v="1"/>
    <s v="N"/>
    <s v="Y"/>
    <n v="0"/>
    <x v="87"/>
    <x v="2"/>
    <x v="1"/>
    <x v="1"/>
    <x v="0"/>
    <d v="1969-02-08T00:00:00"/>
    <n v="-20406"/>
    <x v="667"/>
    <x v="2"/>
    <n v="-2806"/>
    <n v="7.6824093086926766"/>
    <x v="1"/>
    <n v="1"/>
    <n v="0"/>
    <n v="1"/>
    <n v="0"/>
    <s v="Laborers"/>
    <x v="1"/>
  </r>
  <r>
    <n v="5036084"/>
    <x v="0"/>
    <s v="N"/>
    <s v="Y"/>
    <n v="1"/>
    <x v="36"/>
    <x v="2"/>
    <x v="1"/>
    <x v="1"/>
    <x v="0"/>
    <d v="1979-09-25T00:00:00"/>
    <n v="-16525"/>
    <x v="668"/>
    <x v="1"/>
    <n v="-859"/>
    <n v="2.3518138261464752"/>
    <x v="1"/>
    <n v="1"/>
    <n v="1"/>
    <n v="0"/>
    <n v="0"/>
    <s v="Waiters/barmen staff"/>
    <x v="3"/>
  </r>
  <r>
    <n v="5036093"/>
    <x v="0"/>
    <s v="N"/>
    <s v="Y"/>
    <n v="0"/>
    <x v="1"/>
    <x v="2"/>
    <x v="1"/>
    <x v="1"/>
    <x v="0"/>
    <d v="1965-07-31T00:00:00"/>
    <n v="-21694"/>
    <x v="669"/>
    <x v="2"/>
    <n v="-3202"/>
    <n v="8.7665982203969879"/>
    <x v="1"/>
    <n v="1"/>
    <n v="1"/>
    <n v="0"/>
    <n v="0"/>
    <s v="Security staff"/>
    <x v="1"/>
  </r>
  <r>
    <n v="5036110"/>
    <x v="0"/>
    <s v="Y"/>
    <s v="Y"/>
    <n v="2"/>
    <x v="2"/>
    <x v="2"/>
    <x v="1"/>
    <x v="1"/>
    <x v="0"/>
    <d v="1990-08-24T00:00:00"/>
    <n v="-12539"/>
    <x v="670"/>
    <x v="3"/>
    <n v="-2747"/>
    <n v="7.5208761122518819"/>
    <x v="1"/>
    <n v="1"/>
    <n v="1"/>
    <n v="0"/>
    <n v="0"/>
    <m/>
    <x v="2"/>
  </r>
  <r>
    <n v="5036134"/>
    <x v="1"/>
    <s v="Y"/>
    <s v="Y"/>
    <n v="0"/>
    <x v="41"/>
    <x v="1"/>
    <x v="0"/>
    <x v="1"/>
    <x v="0"/>
    <d v="1975-02-27T00:00:00"/>
    <n v="-18196"/>
    <x v="671"/>
    <x v="1"/>
    <n v="-2472"/>
    <n v="6.7679671457905544"/>
    <x v="1"/>
    <n v="1"/>
    <n v="1"/>
    <n v="0"/>
    <n v="0"/>
    <s v="Managers"/>
    <x v="1"/>
  </r>
  <r>
    <n v="5036168"/>
    <x v="0"/>
    <s v="N"/>
    <s v="Y"/>
    <n v="0"/>
    <x v="89"/>
    <x v="2"/>
    <x v="1"/>
    <x v="1"/>
    <x v="0"/>
    <d v="1970-08-05T00:00:00"/>
    <n v="-19863"/>
    <x v="672"/>
    <x v="2"/>
    <n v="-4451"/>
    <n v="12.186173853524982"/>
    <x v="1"/>
    <n v="1"/>
    <n v="0"/>
    <n v="0"/>
    <n v="0"/>
    <m/>
    <x v="1"/>
  </r>
  <r>
    <n v="5036170"/>
    <x v="0"/>
    <s v="N"/>
    <s v="Y"/>
    <n v="0"/>
    <x v="89"/>
    <x v="2"/>
    <x v="1"/>
    <x v="1"/>
    <x v="0"/>
    <d v="1970-08-05T00:00:00"/>
    <n v="-19863"/>
    <x v="672"/>
    <x v="2"/>
    <n v="-4451"/>
    <n v="12.186173853524982"/>
    <x v="1"/>
    <n v="1"/>
    <n v="0"/>
    <n v="0"/>
    <n v="0"/>
    <m/>
    <x v="1"/>
  </r>
  <r>
    <n v="5036186"/>
    <x v="0"/>
    <s v="Y"/>
    <s v="Y"/>
    <n v="1"/>
    <x v="5"/>
    <x v="0"/>
    <x v="1"/>
    <x v="1"/>
    <x v="0"/>
    <d v="1968-05-29T00:00:00"/>
    <n v="-20661"/>
    <x v="673"/>
    <x v="2"/>
    <n v="365243"/>
    <n v="0"/>
    <x v="0"/>
    <n v="1"/>
    <n v="0"/>
    <n v="1"/>
    <n v="0"/>
    <m/>
    <x v="3"/>
  </r>
  <r>
    <n v="5036240"/>
    <x v="1"/>
    <s v="N"/>
    <s v="Y"/>
    <n v="0"/>
    <x v="10"/>
    <x v="0"/>
    <x v="1"/>
    <x v="1"/>
    <x v="0"/>
    <d v="1968-11-15T00:00:00"/>
    <n v="-20491"/>
    <x v="674"/>
    <x v="2"/>
    <n v="365243"/>
    <n v="0"/>
    <x v="0"/>
    <n v="1"/>
    <n v="0"/>
    <n v="0"/>
    <n v="0"/>
    <m/>
    <x v="1"/>
  </r>
  <r>
    <n v="5036241"/>
    <x v="1"/>
    <s v="N"/>
    <s v="Y"/>
    <n v="0"/>
    <x v="10"/>
    <x v="0"/>
    <x v="1"/>
    <x v="1"/>
    <x v="0"/>
    <d v="1968-11-15T00:00:00"/>
    <n v="-20491"/>
    <x v="674"/>
    <x v="2"/>
    <n v="365243"/>
    <n v="0"/>
    <x v="0"/>
    <n v="1"/>
    <n v="0"/>
    <n v="0"/>
    <n v="0"/>
    <m/>
    <x v="1"/>
  </r>
  <r>
    <n v="5036243"/>
    <x v="1"/>
    <s v="N"/>
    <s v="Y"/>
    <n v="0"/>
    <x v="10"/>
    <x v="0"/>
    <x v="1"/>
    <x v="1"/>
    <x v="0"/>
    <d v="1968-11-15T00:00:00"/>
    <n v="-20491"/>
    <x v="674"/>
    <x v="2"/>
    <n v="365243"/>
    <n v="0"/>
    <x v="0"/>
    <n v="1"/>
    <n v="0"/>
    <n v="0"/>
    <n v="0"/>
    <m/>
    <x v="1"/>
  </r>
  <r>
    <n v="5036257"/>
    <x v="0"/>
    <s v="N"/>
    <s v="Y"/>
    <n v="0"/>
    <x v="43"/>
    <x v="2"/>
    <x v="1"/>
    <x v="3"/>
    <x v="0"/>
    <d v="1989-10-04T00:00:00"/>
    <n v="-12863"/>
    <x v="675"/>
    <x v="3"/>
    <n v="-464"/>
    <n v="1.270362765229295"/>
    <x v="1"/>
    <n v="1"/>
    <n v="1"/>
    <n v="1"/>
    <n v="0"/>
    <s v="Cooking staff"/>
    <x v="1"/>
  </r>
  <r>
    <n v="5036265"/>
    <x v="0"/>
    <s v="Y"/>
    <s v="Y"/>
    <n v="0"/>
    <x v="1"/>
    <x v="0"/>
    <x v="1"/>
    <x v="1"/>
    <x v="0"/>
    <d v="1967-05-22T00:00:00"/>
    <n v="-21034"/>
    <x v="676"/>
    <x v="2"/>
    <n v="365243"/>
    <n v="0"/>
    <x v="0"/>
    <n v="1"/>
    <n v="0"/>
    <n v="0"/>
    <n v="0"/>
    <m/>
    <x v="1"/>
  </r>
  <r>
    <n v="5036267"/>
    <x v="0"/>
    <s v="Y"/>
    <s v="Y"/>
    <n v="0"/>
    <x v="1"/>
    <x v="0"/>
    <x v="1"/>
    <x v="1"/>
    <x v="0"/>
    <d v="1967-05-22T00:00:00"/>
    <n v="-21034"/>
    <x v="676"/>
    <x v="2"/>
    <n v="365243"/>
    <n v="0"/>
    <x v="0"/>
    <n v="1"/>
    <n v="0"/>
    <n v="0"/>
    <n v="0"/>
    <m/>
    <x v="1"/>
  </r>
  <r>
    <n v="5036274"/>
    <x v="0"/>
    <s v="N"/>
    <s v="Y"/>
    <n v="0"/>
    <x v="38"/>
    <x v="2"/>
    <x v="1"/>
    <x v="0"/>
    <x v="0"/>
    <d v="1996-04-15T00:00:00"/>
    <n v="-10478"/>
    <x v="677"/>
    <x v="4"/>
    <n v="-464"/>
    <n v="1.270362765229295"/>
    <x v="1"/>
    <n v="1"/>
    <n v="0"/>
    <n v="1"/>
    <n v="0"/>
    <s v="Private service staff"/>
    <x v="0"/>
  </r>
  <r>
    <n v="5036325"/>
    <x v="0"/>
    <s v="N"/>
    <s v="Y"/>
    <n v="0"/>
    <x v="2"/>
    <x v="1"/>
    <x v="1"/>
    <x v="2"/>
    <x v="0"/>
    <d v="1975-09-18T00:00:00"/>
    <n v="-17993"/>
    <x v="678"/>
    <x v="1"/>
    <n v="-555"/>
    <n v="1.5195071868583163"/>
    <x v="1"/>
    <n v="1"/>
    <n v="0"/>
    <n v="0"/>
    <n v="0"/>
    <s v="Security staff"/>
    <x v="0"/>
  </r>
  <r>
    <n v="5036326"/>
    <x v="0"/>
    <s v="N"/>
    <s v="Y"/>
    <n v="0"/>
    <x v="2"/>
    <x v="1"/>
    <x v="1"/>
    <x v="2"/>
    <x v="0"/>
    <d v="1975-09-18T00:00:00"/>
    <n v="-17993"/>
    <x v="678"/>
    <x v="1"/>
    <n v="-555"/>
    <n v="1.5195071868583163"/>
    <x v="1"/>
    <n v="1"/>
    <n v="0"/>
    <n v="0"/>
    <n v="0"/>
    <s v="Security staff"/>
    <x v="0"/>
  </r>
  <r>
    <n v="5036396"/>
    <x v="0"/>
    <s v="Y"/>
    <s v="Y"/>
    <n v="0"/>
    <x v="2"/>
    <x v="2"/>
    <x v="1"/>
    <x v="3"/>
    <x v="0"/>
    <d v="1987-07-04T00:00:00"/>
    <n v="-13686"/>
    <x v="679"/>
    <x v="3"/>
    <n v="-1256"/>
    <n v="3.4387405886379194"/>
    <x v="1"/>
    <n v="1"/>
    <n v="0"/>
    <n v="0"/>
    <n v="0"/>
    <s v="Cooking staff"/>
    <x v="1"/>
  </r>
  <r>
    <n v="5036397"/>
    <x v="0"/>
    <s v="Y"/>
    <s v="Y"/>
    <n v="0"/>
    <x v="2"/>
    <x v="2"/>
    <x v="1"/>
    <x v="3"/>
    <x v="0"/>
    <d v="1987-07-04T00:00:00"/>
    <n v="-13686"/>
    <x v="679"/>
    <x v="3"/>
    <n v="-1256"/>
    <n v="3.4387405886379194"/>
    <x v="1"/>
    <n v="1"/>
    <n v="0"/>
    <n v="0"/>
    <n v="0"/>
    <s v="Cooking staff"/>
    <x v="1"/>
  </r>
  <r>
    <n v="5036403"/>
    <x v="0"/>
    <s v="Y"/>
    <s v="Y"/>
    <n v="0"/>
    <x v="2"/>
    <x v="2"/>
    <x v="1"/>
    <x v="3"/>
    <x v="0"/>
    <d v="1987-07-04T00:00:00"/>
    <n v="-13686"/>
    <x v="679"/>
    <x v="3"/>
    <n v="-1256"/>
    <n v="3.4387405886379194"/>
    <x v="1"/>
    <n v="1"/>
    <n v="0"/>
    <n v="0"/>
    <n v="0"/>
    <s v="Cooking staff"/>
    <x v="1"/>
  </r>
  <r>
    <n v="5036404"/>
    <x v="0"/>
    <s v="Y"/>
    <s v="Y"/>
    <n v="0"/>
    <x v="2"/>
    <x v="2"/>
    <x v="1"/>
    <x v="3"/>
    <x v="0"/>
    <d v="1987-07-04T00:00:00"/>
    <n v="-13686"/>
    <x v="679"/>
    <x v="3"/>
    <n v="-1256"/>
    <n v="3.4387405886379194"/>
    <x v="1"/>
    <n v="1"/>
    <n v="0"/>
    <n v="0"/>
    <n v="0"/>
    <s v="Cooking staff"/>
    <x v="1"/>
  </r>
  <r>
    <n v="5036451"/>
    <x v="0"/>
    <s v="N"/>
    <s v="Y"/>
    <n v="0"/>
    <x v="51"/>
    <x v="2"/>
    <x v="0"/>
    <x v="1"/>
    <x v="0"/>
    <d v="1993-05-13T00:00:00"/>
    <n v="-11546"/>
    <x v="680"/>
    <x v="3"/>
    <n v="-1498"/>
    <n v="4.1013004791238874"/>
    <x v="1"/>
    <n v="1"/>
    <n v="0"/>
    <n v="0"/>
    <n v="0"/>
    <m/>
    <x v="1"/>
  </r>
  <r>
    <n v="5036453"/>
    <x v="1"/>
    <s v="Y"/>
    <s v="Y"/>
    <n v="0"/>
    <x v="30"/>
    <x v="0"/>
    <x v="1"/>
    <x v="1"/>
    <x v="0"/>
    <d v="1962-11-06T00:00:00"/>
    <n v="-22692"/>
    <x v="681"/>
    <x v="0"/>
    <n v="365243"/>
    <n v="0"/>
    <x v="0"/>
    <n v="1"/>
    <n v="0"/>
    <n v="1"/>
    <n v="0"/>
    <m/>
    <x v="1"/>
  </r>
  <r>
    <n v="5036459"/>
    <x v="0"/>
    <s v="Y"/>
    <s v="N"/>
    <n v="0"/>
    <x v="5"/>
    <x v="2"/>
    <x v="1"/>
    <x v="1"/>
    <x v="0"/>
    <d v="1989-12-07T00:00:00"/>
    <n v="-12799"/>
    <x v="682"/>
    <x v="3"/>
    <n v="-1546"/>
    <n v="4.2327173169062284"/>
    <x v="1"/>
    <n v="1"/>
    <n v="1"/>
    <n v="0"/>
    <n v="0"/>
    <s v="Laborers"/>
    <x v="1"/>
  </r>
  <r>
    <n v="5036462"/>
    <x v="1"/>
    <s v="Y"/>
    <s v="Y"/>
    <n v="2"/>
    <x v="16"/>
    <x v="3"/>
    <x v="0"/>
    <x v="1"/>
    <x v="3"/>
    <d v="1993-08-10T00:00:00"/>
    <n v="-11457"/>
    <x v="683"/>
    <x v="3"/>
    <n v="-1669"/>
    <n v="4.5694729637234772"/>
    <x v="1"/>
    <n v="1"/>
    <n v="0"/>
    <n v="0"/>
    <n v="0"/>
    <m/>
    <x v="2"/>
  </r>
  <r>
    <n v="5036498"/>
    <x v="1"/>
    <s v="Y"/>
    <s v="N"/>
    <n v="0"/>
    <x v="72"/>
    <x v="1"/>
    <x v="2"/>
    <x v="1"/>
    <x v="0"/>
    <d v="1985-09-16T00:00:00"/>
    <n v="-14342"/>
    <x v="684"/>
    <x v="3"/>
    <n v="-1365"/>
    <n v="3.7371663244353184"/>
    <x v="1"/>
    <n v="1"/>
    <n v="1"/>
    <n v="1"/>
    <n v="0"/>
    <s v="Managers"/>
    <x v="1"/>
  </r>
  <r>
    <n v="5036501"/>
    <x v="1"/>
    <s v="N"/>
    <s v="N"/>
    <n v="2"/>
    <x v="12"/>
    <x v="1"/>
    <x v="0"/>
    <x v="1"/>
    <x v="0"/>
    <d v="1980-01-02T00:00:00"/>
    <n v="-16426"/>
    <x v="685"/>
    <x v="1"/>
    <n v="-269"/>
    <n v="0.73648186173853525"/>
    <x v="1"/>
    <n v="1"/>
    <n v="0"/>
    <n v="0"/>
    <n v="0"/>
    <s v="Managers"/>
    <x v="2"/>
  </r>
  <r>
    <n v="5036516"/>
    <x v="1"/>
    <s v="Y"/>
    <s v="N"/>
    <n v="1"/>
    <x v="2"/>
    <x v="1"/>
    <x v="1"/>
    <x v="1"/>
    <x v="0"/>
    <d v="1977-11-23T00:00:00"/>
    <n v="-17196"/>
    <x v="686"/>
    <x v="1"/>
    <n v="-1608"/>
    <n v="4.4024640657084193"/>
    <x v="1"/>
    <n v="1"/>
    <n v="1"/>
    <n v="0"/>
    <n v="0"/>
    <s v="Laborers"/>
    <x v="3"/>
  </r>
  <r>
    <n v="5036519"/>
    <x v="1"/>
    <s v="Y"/>
    <s v="N"/>
    <n v="2"/>
    <x v="14"/>
    <x v="2"/>
    <x v="2"/>
    <x v="1"/>
    <x v="0"/>
    <d v="1996-05-30T00:00:00"/>
    <n v="-10433"/>
    <x v="687"/>
    <x v="4"/>
    <n v="-1181"/>
    <n v="3.2334017796030117"/>
    <x v="1"/>
    <n v="1"/>
    <n v="1"/>
    <n v="0"/>
    <n v="0"/>
    <m/>
    <x v="2"/>
  </r>
  <r>
    <n v="5036531"/>
    <x v="0"/>
    <s v="Y"/>
    <s v="N"/>
    <n v="0"/>
    <x v="12"/>
    <x v="1"/>
    <x v="2"/>
    <x v="1"/>
    <x v="2"/>
    <d v="1999-10-28T00:00:00"/>
    <n v="-9187"/>
    <x v="688"/>
    <x v="4"/>
    <n v="-116"/>
    <n v="0.31759069130732376"/>
    <x v="1"/>
    <n v="1"/>
    <n v="1"/>
    <n v="0"/>
    <n v="0"/>
    <s v="Core staff"/>
    <x v="1"/>
  </r>
  <r>
    <n v="5036539"/>
    <x v="0"/>
    <s v="N"/>
    <s v="N"/>
    <n v="0"/>
    <x v="5"/>
    <x v="1"/>
    <x v="2"/>
    <x v="1"/>
    <x v="0"/>
    <d v="1969-02-09T00:00:00"/>
    <n v="-20405"/>
    <x v="689"/>
    <x v="2"/>
    <n v="-5045"/>
    <n v="13.81245722108145"/>
    <x v="1"/>
    <n v="1"/>
    <n v="1"/>
    <n v="1"/>
    <n v="0"/>
    <s v="High skill tech staff"/>
    <x v="1"/>
  </r>
  <r>
    <n v="5036540"/>
    <x v="0"/>
    <s v="N"/>
    <s v="N"/>
    <n v="1"/>
    <x v="32"/>
    <x v="2"/>
    <x v="0"/>
    <x v="1"/>
    <x v="0"/>
    <d v="1991-07-22T00:00:00"/>
    <n v="-12207"/>
    <x v="690"/>
    <x v="3"/>
    <n v="-4195"/>
    <n v="11.485284052019164"/>
    <x v="1"/>
    <n v="1"/>
    <n v="1"/>
    <n v="1"/>
    <n v="0"/>
    <s v="Core staff"/>
    <x v="3"/>
  </r>
  <r>
    <n v="5036551"/>
    <x v="0"/>
    <s v="N"/>
    <s v="N"/>
    <n v="0"/>
    <x v="1"/>
    <x v="0"/>
    <x v="1"/>
    <x v="2"/>
    <x v="0"/>
    <d v="1965-02-05T00:00:00"/>
    <n v="-21870"/>
    <x v="691"/>
    <x v="2"/>
    <n v="365243"/>
    <n v="0"/>
    <x v="0"/>
    <n v="1"/>
    <n v="0"/>
    <n v="0"/>
    <n v="0"/>
    <m/>
    <x v="0"/>
  </r>
  <r>
    <n v="5036558"/>
    <x v="0"/>
    <s v="N"/>
    <s v="N"/>
    <n v="1"/>
    <x v="5"/>
    <x v="2"/>
    <x v="1"/>
    <x v="1"/>
    <x v="0"/>
    <d v="1998-11-20T00:00:00"/>
    <n v="-9529"/>
    <x v="692"/>
    <x v="4"/>
    <n v="-999"/>
    <n v="2.7351129363449691"/>
    <x v="1"/>
    <n v="1"/>
    <n v="0"/>
    <n v="0"/>
    <n v="0"/>
    <s v="Laborers"/>
    <x v="3"/>
  </r>
  <r>
    <n v="5036577"/>
    <x v="1"/>
    <s v="Y"/>
    <s v="N"/>
    <n v="0"/>
    <x v="1"/>
    <x v="2"/>
    <x v="1"/>
    <x v="1"/>
    <x v="0"/>
    <d v="1996-04-22T00:00:00"/>
    <n v="-10471"/>
    <x v="693"/>
    <x v="4"/>
    <n v="-1638"/>
    <n v="4.4845995893223822"/>
    <x v="1"/>
    <n v="1"/>
    <n v="0"/>
    <n v="0"/>
    <n v="0"/>
    <s v="Drivers"/>
    <x v="1"/>
  </r>
  <r>
    <n v="5036581"/>
    <x v="1"/>
    <s v="N"/>
    <s v="Y"/>
    <n v="0"/>
    <x v="30"/>
    <x v="1"/>
    <x v="0"/>
    <x v="1"/>
    <x v="0"/>
    <d v="1985-02-05T00:00:00"/>
    <n v="-14565"/>
    <x v="694"/>
    <x v="3"/>
    <n v="-542"/>
    <n v="1.483915126625599"/>
    <x v="1"/>
    <n v="1"/>
    <n v="0"/>
    <n v="0"/>
    <n v="0"/>
    <s v="Laborers"/>
    <x v="1"/>
  </r>
  <r>
    <n v="5036593"/>
    <x v="1"/>
    <s v="Y"/>
    <s v="Y"/>
    <n v="2"/>
    <x v="30"/>
    <x v="2"/>
    <x v="1"/>
    <x v="1"/>
    <x v="0"/>
    <d v="1991-05-05T00:00:00"/>
    <n v="-12285"/>
    <x v="695"/>
    <x v="3"/>
    <n v="-352"/>
    <n v="0.96372347707049966"/>
    <x v="1"/>
    <n v="1"/>
    <n v="0"/>
    <n v="0"/>
    <n v="0"/>
    <s v="Drivers"/>
    <x v="2"/>
  </r>
  <r>
    <n v="5036676"/>
    <x v="0"/>
    <s v="N"/>
    <s v="N"/>
    <n v="1"/>
    <x v="16"/>
    <x v="2"/>
    <x v="0"/>
    <x v="2"/>
    <x v="0"/>
    <d v="1990-08-29T00:00:00"/>
    <n v="-12534"/>
    <x v="696"/>
    <x v="3"/>
    <n v="-1181"/>
    <n v="3.2334017796030117"/>
    <x v="1"/>
    <n v="1"/>
    <n v="0"/>
    <n v="0"/>
    <n v="0"/>
    <s v="Sales staff"/>
    <x v="1"/>
  </r>
  <r>
    <n v="5036679"/>
    <x v="0"/>
    <s v="N"/>
    <s v="Y"/>
    <n v="0"/>
    <x v="43"/>
    <x v="1"/>
    <x v="1"/>
    <x v="1"/>
    <x v="0"/>
    <d v="1975-10-21T00:00:00"/>
    <n v="-17960"/>
    <x v="697"/>
    <x v="1"/>
    <n v="-1789"/>
    <n v="4.8980150581793289"/>
    <x v="1"/>
    <n v="1"/>
    <n v="0"/>
    <n v="0"/>
    <n v="0"/>
    <s v="Sales staff"/>
    <x v="1"/>
  </r>
  <r>
    <n v="5036684"/>
    <x v="1"/>
    <s v="Y"/>
    <s v="Y"/>
    <n v="0"/>
    <x v="18"/>
    <x v="2"/>
    <x v="1"/>
    <x v="1"/>
    <x v="0"/>
    <d v="1975-01-29T00:00:00"/>
    <n v="-18225"/>
    <x v="698"/>
    <x v="1"/>
    <n v="-6690"/>
    <n v="18.316221765913756"/>
    <x v="1"/>
    <n v="1"/>
    <n v="0"/>
    <n v="0"/>
    <n v="0"/>
    <s v="Managers"/>
    <x v="1"/>
  </r>
  <r>
    <n v="5036693"/>
    <x v="0"/>
    <s v="N"/>
    <s v="Y"/>
    <n v="0"/>
    <x v="16"/>
    <x v="0"/>
    <x v="0"/>
    <x v="1"/>
    <x v="0"/>
    <d v="1963-02-11T00:00:00"/>
    <n v="-22595"/>
    <x v="699"/>
    <x v="0"/>
    <n v="365243"/>
    <n v="0"/>
    <x v="0"/>
    <n v="1"/>
    <n v="0"/>
    <n v="1"/>
    <n v="0"/>
    <m/>
    <x v="1"/>
  </r>
  <r>
    <n v="5036707"/>
    <x v="1"/>
    <s v="Y"/>
    <s v="Y"/>
    <n v="0"/>
    <x v="16"/>
    <x v="2"/>
    <x v="1"/>
    <x v="1"/>
    <x v="0"/>
    <d v="1978-08-04T00:00:00"/>
    <n v="-16942"/>
    <x v="700"/>
    <x v="1"/>
    <n v="-1680"/>
    <n v="4.59958932238193"/>
    <x v="1"/>
    <n v="1"/>
    <n v="0"/>
    <n v="0"/>
    <n v="0"/>
    <s v="Laborers"/>
    <x v="1"/>
  </r>
  <r>
    <n v="5036708"/>
    <x v="1"/>
    <s v="Y"/>
    <s v="Y"/>
    <n v="0"/>
    <x v="16"/>
    <x v="2"/>
    <x v="1"/>
    <x v="1"/>
    <x v="0"/>
    <d v="1978-08-04T00:00:00"/>
    <n v="-16942"/>
    <x v="700"/>
    <x v="1"/>
    <n v="-1680"/>
    <n v="4.59958932238193"/>
    <x v="1"/>
    <n v="1"/>
    <n v="0"/>
    <n v="0"/>
    <n v="0"/>
    <s v="Laborers"/>
    <x v="1"/>
  </r>
  <r>
    <n v="5036710"/>
    <x v="1"/>
    <s v="N"/>
    <s v="Y"/>
    <n v="0"/>
    <x v="18"/>
    <x v="1"/>
    <x v="1"/>
    <x v="1"/>
    <x v="0"/>
    <d v="1981-07-24T00:00:00"/>
    <n v="-15857"/>
    <x v="701"/>
    <x v="1"/>
    <n v="-4633"/>
    <n v="12.684462696783026"/>
    <x v="1"/>
    <n v="1"/>
    <n v="0"/>
    <n v="0"/>
    <n v="0"/>
    <s v="Laborers"/>
    <x v="1"/>
  </r>
  <r>
    <n v="5036750"/>
    <x v="0"/>
    <s v="N"/>
    <s v="Y"/>
    <n v="0"/>
    <x v="30"/>
    <x v="1"/>
    <x v="1"/>
    <x v="1"/>
    <x v="0"/>
    <d v="1973-08-28T00:00:00"/>
    <n v="-18744"/>
    <x v="702"/>
    <x v="2"/>
    <n v="-3141"/>
    <n v="8.5995893223819309"/>
    <x v="1"/>
    <n v="1"/>
    <n v="0"/>
    <n v="1"/>
    <n v="0"/>
    <s v="Laborers"/>
    <x v="1"/>
  </r>
  <r>
    <n v="5036763"/>
    <x v="0"/>
    <s v="N"/>
    <s v="Y"/>
    <n v="2"/>
    <x v="43"/>
    <x v="2"/>
    <x v="1"/>
    <x v="1"/>
    <x v="0"/>
    <d v="1985-04-16T00:00:00"/>
    <n v="-14495"/>
    <x v="703"/>
    <x v="3"/>
    <n v="-1436"/>
    <n v="3.9315537303216974"/>
    <x v="1"/>
    <n v="1"/>
    <n v="0"/>
    <n v="0"/>
    <n v="0"/>
    <s v="Sales staff"/>
    <x v="2"/>
  </r>
  <r>
    <n v="5036777"/>
    <x v="1"/>
    <s v="Y"/>
    <s v="Y"/>
    <n v="2"/>
    <x v="8"/>
    <x v="2"/>
    <x v="1"/>
    <x v="1"/>
    <x v="0"/>
    <d v="1986-04-19T00:00:00"/>
    <n v="-14127"/>
    <x v="704"/>
    <x v="3"/>
    <n v="-1346"/>
    <n v="3.6851471594798082"/>
    <x v="1"/>
    <n v="1"/>
    <n v="0"/>
    <n v="0"/>
    <n v="0"/>
    <s v="Managers"/>
    <x v="2"/>
  </r>
  <r>
    <n v="5036794"/>
    <x v="0"/>
    <s v="N"/>
    <s v="Y"/>
    <n v="0"/>
    <x v="8"/>
    <x v="0"/>
    <x v="1"/>
    <x v="1"/>
    <x v="0"/>
    <d v="1960-07-18T00:00:00"/>
    <n v="-23533"/>
    <x v="705"/>
    <x v="0"/>
    <n v="365243"/>
    <n v="0"/>
    <x v="0"/>
    <n v="1"/>
    <n v="0"/>
    <n v="0"/>
    <n v="0"/>
    <m/>
    <x v="1"/>
  </r>
  <r>
    <n v="5036814"/>
    <x v="0"/>
    <s v="N"/>
    <s v="Y"/>
    <n v="0"/>
    <x v="30"/>
    <x v="1"/>
    <x v="1"/>
    <x v="2"/>
    <x v="0"/>
    <d v="1970-10-16T00:00:00"/>
    <n v="-19791"/>
    <x v="706"/>
    <x v="2"/>
    <n v="-3172"/>
    <n v="8.6844626967830258"/>
    <x v="1"/>
    <n v="1"/>
    <n v="0"/>
    <n v="1"/>
    <n v="0"/>
    <m/>
    <x v="0"/>
  </r>
  <r>
    <n v="5036830"/>
    <x v="0"/>
    <s v="Y"/>
    <s v="Y"/>
    <n v="0"/>
    <x v="62"/>
    <x v="2"/>
    <x v="1"/>
    <x v="1"/>
    <x v="0"/>
    <d v="1975-07-20T00:00:00"/>
    <n v="-18053"/>
    <x v="707"/>
    <x v="1"/>
    <n v="-3141"/>
    <n v="8.5995893223819309"/>
    <x v="1"/>
    <n v="1"/>
    <n v="0"/>
    <n v="0"/>
    <n v="0"/>
    <s v="Sales staff"/>
    <x v="1"/>
  </r>
  <r>
    <n v="5036855"/>
    <x v="0"/>
    <s v="N"/>
    <s v="N"/>
    <n v="0"/>
    <x v="2"/>
    <x v="3"/>
    <x v="1"/>
    <x v="0"/>
    <x v="0"/>
    <d v="1976-11-17T00:00:00"/>
    <n v="-17567"/>
    <x v="499"/>
    <x v="1"/>
    <n v="-1374"/>
    <n v="3.761806981519507"/>
    <x v="1"/>
    <n v="1"/>
    <n v="0"/>
    <n v="1"/>
    <n v="0"/>
    <s v="Cleaning staff"/>
    <x v="0"/>
  </r>
  <r>
    <n v="5036857"/>
    <x v="0"/>
    <s v="N"/>
    <s v="Y"/>
    <n v="0"/>
    <x v="43"/>
    <x v="2"/>
    <x v="1"/>
    <x v="3"/>
    <x v="0"/>
    <d v="1974-04-16T00:00:00"/>
    <n v="-18513"/>
    <x v="708"/>
    <x v="2"/>
    <n v="-8163"/>
    <n v="22.349075975359344"/>
    <x v="1"/>
    <n v="1"/>
    <n v="0"/>
    <n v="0"/>
    <n v="0"/>
    <s v="High skill tech staff"/>
    <x v="1"/>
  </r>
  <r>
    <n v="5036870"/>
    <x v="0"/>
    <s v="N"/>
    <s v="Y"/>
    <n v="0"/>
    <x v="88"/>
    <x v="0"/>
    <x v="1"/>
    <x v="1"/>
    <x v="0"/>
    <d v="1965-03-26T00:00:00"/>
    <n v="-21821"/>
    <x v="709"/>
    <x v="2"/>
    <n v="365243"/>
    <n v="0"/>
    <x v="0"/>
    <n v="1"/>
    <n v="0"/>
    <n v="0"/>
    <n v="0"/>
    <m/>
    <x v="1"/>
  </r>
  <r>
    <n v="5036876"/>
    <x v="0"/>
    <s v="N"/>
    <s v="N"/>
    <n v="0"/>
    <x v="51"/>
    <x v="0"/>
    <x v="1"/>
    <x v="1"/>
    <x v="0"/>
    <d v="1969-06-11T00:00:00"/>
    <n v="-20283"/>
    <x v="658"/>
    <x v="2"/>
    <n v="365243"/>
    <n v="0"/>
    <x v="0"/>
    <n v="1"/>
    <n v="0"/>
    <n v="1"/>
    <n v="0"/>
    <m/>
    <x v="1"/>
  </r>
  <r>
    <n v="5036898"/>
    <x v="1"/>
    <s v="N"/>
    <s v="Y"/>
    <n v="1"/>
    <x v="30"/>
    <x v="2"/>
    <x v="1"/>
    <x v="3"/>
    <x v="0"/>
    <d v="1985-07-29T00:00:00"/>
    <n v="-14391"/>
    <x v="710"/>
    <x v="3"/>
    <n v="-1162"/>
    <n v="3.1813826146475015"/>
    <x v="1"/>
    <n v="1"/>
    <n v="1"/>
    <n v="0"/>
    <n v="0"/>
    <s v="Sales staff"/>
    <x v="3"/>
  </r>
  <r>
    <n v="5036910"/>
    <x v="0"/>
    <s v="Y"/>
    <s v="Y"/>
    <n v="1"/>
    <x v="68"/>
    <x v="2"/>
    <x v="1"/>
    <x v="1"/>
    <x v="0"/>
    <d v="1982-11-14T00:00:00"/>
    <n v="-15379"/>
    <x v="711"/>
    <x v="1"/>
    <n v="-796"/>
    <n v="2.1793292265571527"/>
    <x v="1"/>
    <n v="1"/>
    <n v="0"/>
    <n v="0"/>
    <n v="0"/>
    <s v="Core staff"/>
    <x v="3"/>
  </r>
  <r>
    <n v="5036934"/>
    <x v="0"/>
    <s v="N"/>
    <s v="Y"/>
    <n v="0"/>
    <x v="8"/>
    <x v="0"/>
    <x v="1"/>
    <x v="0"/>
    <x v="0"/>
    <d v="1967-07-17T00:00:00"/>
    <n v="-20978"/>
    <x v="712"/>
    <x v="2"/>
    <n v="365243"/>
    <n v="0"/>
    <x v="0"/>
    <n v="1"/>
    <n v="0"/>
    <n v="1"/>
    <n v="0"/>
    <m/>
    <x v="0"/>
  </r>
  <r>
    <n v="5036960"/>
    <x v="1"/>
    <s v="N"/>
    <s v="Y"/>
    <n v="0"/>
    <x v="5"/>
    <x v="2"/>
    <x v="1"/>
    <x v="1"/>
    <x v="0"/>
    <d v="1965-03-22T00:00:00"/>
    <n v="-21825"/>
    <x v="713"/>
    <x v="2"/>
    <n v="-6671"/>
    <n v="18.264202600958249"/>
    <x v="1"/>
    <n v="1"/>
    <n v="0"/>
    <n v="0"/>
    <n v="0"/>
    <s v="Laborers"/>
    <x v="1"/>
  </r>
  <r>
    <n v="5036978"/>
    <x v="0"/>
    <s v="Y"/>
    <s v="N"/>
    <n v="0"/>
    <x v="11"/>
    <x v="0"/>
    <x v="1"/>
    <x v="1"/>
    <x v="0"/>
    <d v="1965-07-05T00:00:00"/>
    <n v="-21720"/>
    <x v="714"/>
    <x v="2"/>
    <n v="365243"/>
    <n v="0"/>
    <x v="0"/>
    <n v="1"/>
    <n v="0"/>
    <n v="0"/>
    <n v="0"/>
    <m/>
    <x v="1"/>
  </r>
  <r>
    <n v="5036987"/>
    <x v="0"/>
    <s v="N"/>
    <s v="Y"/>
    <n v="1"/>
    <x v="1"/>
    <x v="3"/>
    <x v="1"/>
    <x v="1"/>
    <x v="0"/>
    <d v="1987-09-24T00:00:00"/>
    <n v="-13604"/>
    <x v="715"/>
    <x v="3"/>
    <n v="-1497"/>
    <n v="4.0985626283367553"/>
    <x v="1"/>
    <n v="1"/>
    <n v="0"/>
    <n v="0"/>
    <n v="0"/>
    <s v="Cooking staff"/>
    <x v="3"/>
  </r>
  <r>
    <n v="5036993"/>
    <x v="0"/>
    <s v="N"/>
    <s v="Y"/>
    <n v="0"/>
    <x v="43"/>
    <x v="2"/>
    <x v="1"/>
    <x v="1"/>
    <x v="0"/>
    <d v="1965-10-13T00:00:00"/>
    <n v="-21620"/>
    <x v="716"/>
    <x v="2"/>
    <n v="-158"/>
    <n v="0.432580424366872"/>
    <x v="1"/>
    <n v="1"/>
    <n v="0"/>
    <n v="0"/>
    <n v="0"/>
    <s v="Laborers"/>
    <x v="1"/>
  </r>
  <r>
    <n v="5037000"/>
    <x v="0"/>
    <s v="N"/>
    <s v="N"/>
    <n v="0"/>
    <x v="1"/>
    <x v="2"/>
    <x v="1"/>
    <x v="1"/>
    <x v="0"/>
    <d v="1972-12-12T00:00:00"/>
    <n v="-19003"/>
    <x v="717"/>
    <x v="2"/>
    <n v="-11785"/>
    <n v="32.265571526351813"/>
    <x v="1"/>
    <n v="1"/>
    <n v="0"/>
    <n v="0"/>
    <n v="0"/>
    <s v="Medicine staff"/>
    <x v="1"/>
  </r>
  <r>
    <n v="5037010"/>
    <x v="0"/>
    <s v="N"/>
    <s v="Y"/>
    <n v="0"/>
    <x v="1"/>
    <x v="2"/>
    <x v="1"/>
    <x v="4"/>
    <x v="0"/>
    <d v="1985-07-26T00:00:00"/>
    <n v="-14394"/>
    <x v="596"/>
    <x v="3"/>
    <n v="-919"/>
    <n v="2.516084873374401"/>
    <x v="1"/>
    <n v="1"/>
    <n v="0"/>
    <n v="1"/>
    <n v="0"/>
    <s v="Managers"/>
    <x v="0"/>
  </r>
  <r>
    <n v="5037012"/>
    <x v="0"/>
    <s v="N"/>
    <s v="Y"/>
    <n v="0"/>
    <x v="39"/>
    <x v="2"/>
    <x v="1"/>
    <x v="1"/>
    <x v="0"/>
    <d v="1974-04-01T00:00:00"/>
    <n v="-18528"/>
    <x v="718"/>
    <x v="2"/>
    <n v="-4054"/>
    <n v="11.099247091033538"/>
    <x v="1"/>
    <n v="1"/>
    <n v="0"/>
    <n v="0"/>
    <n v="0"/>
    <s v="Drivers"/>
    <x v="1"/>
  </r>
  <r>
    <n v="5037015"/>
    <x v="0"/>
    <s v="N"/>
    <s v="Y"/>
    <n v="0"/>
    <x v="30"/>
    <x v="0"/>
    <x v="1"/>
    <x v="4"/>
    <x v="0"/>
    <d v="1957-03-11T00:00:00"/>
    <n v="-24758"/>
    <x v="719"/>
    <x v="0"/>
    <n v="365243"/>
    <n v="0"/>
    <x v="0"/>
    <n v="1"/>
    <n v="0"/>
    <n v="1"/>
    <n v="0"/>
    <m/>
    <x v="0"/>
  </r>
  <r>
    <n v="5037042"/>
    <x v="0"/>
    <s v="N"/>
    <s v="Y"/>
    <n v="0"/>
    <x v="16"/>
    <x v="1"/>
    <x v="1"/>
    <x v="1"/>
    <x v="0"/>
    <d v="1976-03-13T00:00:00"/>
    <n v="-17816"/>
    <x v="720"/>
    <x v="1"/>
    <n v="-1285"/>
    <n v="3.5181382614647503"/>
    <x v="1"/>
    <n v="1"/>
    <n v="0"/>
    <n v="0"/>
    <n v="0"/>
    <s v="Medicine staff"/>
    <x v="1"/>
  </r>
  <r>
    <n v="5037059"/>
    <x v="0"/>
    <s v="Y"/>
    <s v="Y"/>
    <n v="0"/>
    <x v="39"/>
    <x v="2"/>
    <x v="1"/>
    <x v="1"/>
    <x v="0"/>
    <d v="1981-05-23T00:00:00"/>
    <n v="-15919"/>
    <x v="721"/>
    <x v="1"/>
    <n v="-2104"/>
    <n v="5.760438056125941"/>
    <x v="1"/>
    <n v="1"/>
    <n v="0"/>
    <n v="1"/>
    <n v="0"/>
    <m/>
    <x v="1"/>
  </r>
  <r>
    <n v="5037068"/>
    <x v="1"/>
    <s v="Y"/>
    <s v="Y"/>
    <n v="1"/>
    <x v="50"/>
    <x v="2"/>
    <x v="2"/>
    <x v="1"/>
    <x v="0"/>
    <d v="1983-02-14T00:00:00"/>
    <n v="-15287"/>
    <x v="722"/>
    <x v="1"/>
    <n v="-2501"/>
    <n v="6.8473648186173852"/>
    <x v="1"/>
    <n v="1"/>
    <n v="0"/>
    <n v="1"/>
    <n v="0"/>
    <m/>
    <x v="3"/>
  </r>
  <r>
    <n v="5037084"/>
    <x v="1"/>
    <s v="Y"/>
    <s v="Y"/>
    <n v="0"/>
    <x v="8"/>
    <x v="3"/>
    <x v="1"/>
    <x v="1"/>
    <x v="0"/>
    <d v="1987-07-02T00:00:00"/>
    <n v="-13688"/>
    <x v="723"/>
    <x v="3"/>
    <n v="-3506"/>
    <n v="9.5989048596851472"/>
    <x v="1"/>
    <n v="1"/>
    <n v="0"/>
    <n v="1"/>
    <n v="0"/>
    <s v="Laborers"/>
    <x v="1"/>
  </r>
  <r>
    <n v="5037095"/>
    <x v="0"/>
    <s v="Y"/>
    <s v="Y"/>
    <n v="0"/>
    <x v="3"/>
    <x v="2"/>
    <x v="1"/>
    <x v="2"/>
    <x v="0"/>
    <d v="1974-06-10T00:00:00"/>
    <n v="-18458"/>
    <x v="724"/>
    <x v="2"/>
    <n v="-2104"/>
    <n v="5.760438056125941"/>
    <x v="1"/>
    <n v="1"/>
    <n v="0"/>
    <n v="0"/>
    <n v="0"/>
    <s v="Core staff"/>
    <x v="0"/>
  </r>
  <r>
    <n v="5037096"/>
    <x v="0"/>
    <s v="Y"/>
    <s v="Y"/>
    <n v="0"/>
    <x v="3"/>
    <x v="2"/>
    <x v="1"/>
    <x v="2"/>
    <x v="0"/>
    <d v="1974-06-10T00:00:00"/>
    <n v="-18458"/>
    <x v="724"/>
    <x v="2"/>
    <n v="-2104"/>
    <n v="5.760438056125941"/>
    <x v="1"/>
    <n v="1"/>
    <n v="0"/>
    <n v="0"/>
    <n v="0"/>
    <s v="Core staff"/>
    <x v="0"/>
  </r>
  <r>
    <n v="5037109"/>
    <x v="1"/>
    <s v="N"/>
    <s v="N"/>
    <n v="0"/>
    <x v="11"/>
    <x v="2"/>
    <x v="1"/>
    <x v="1"/>
    <x v="4"/>
    <d v="1974-12-04T00:00:00"/>
    <n v="-18281"/>
    <x v="725"/>
    <x v="2"/>
    <n v="-3596"/>
    <n v="9.8453114305270368"/>
    <x v="1"/>
    <n v="1"/>
    <n v="0"/>
    <n v="0"/>
    <n v="0"/>
    <s v="Laborers"/>
    <x v="1"/>
  </r>
  <r>
    <n v="5037113"/>
    <x v="1"/>
    <s v="Y"/>
    <s v="Y"/>
    <n v="1"/>
    <x v="8"/>
    <x v="2"/>
    <x v="1"/>
    <x v="1"/>
    <x v="0"/>
    <d v="1989-06-04T00:00:00"/>
    <n v="-12985"/>
    <x v="726"/>
    <x v="3"/>
    <n v="-858"/>
    <n v="2.3490759753593431"/>
    <x v="1"/>
    <n v="1"/>
    <n v="0"/>
    <n v="1"/>
    <n v="0"/>
    <s v="Sales staff"/>
    <x v="3"/>
  </r>
  <r>
    <n v="5037137"/>
    <x v="0"/>
    <s v="N"/>
    <s v="Y"/>
    <n v="0"/>
    <x v="23"/>
    <x v="3"/>
    <x v="0"/>
    <x v="1"/>
    <x v="0"/>
    <d v="1973-03-12T00:00:00"/>
    <n v="-18913"/>
    <x v="727"/>
    <x v="2"/>
    <n v="-4449"/>
    <n v="12.180698151950718"/>
    <x v="1"/>
    <n v="1"/>
    <n v="0"/>
    <n v="0"/>
    <n v="0"/>
    <m/>
    <x v="1"/>
  </r>
  <r>
    <n v="5037149"/>
    <x v="0"/>
    <s v="N"/>
    <s v="Y"/>
    <n v="1"/>
    <x v="2"/>
    <x v="1"/>
    <x v="1"/>
    <x v="1"/>
    <x v="0"/>
    <d v="1984-01-05T00:00:00"/>
    <n v="-14962"/>
    <x v="349"/>
    <x v="1"/>
    <n v="-3353"/>
    <n v="9.1800136892539363"/>
    <x v="1"/>
    <n v="1"/>
    <n v="1"/>
    <n v="1"/>
    <n v="0"/>
    <s v="Sales staff"/>
    <x v="3"/>
  </r>
  <r>
    <n v="5037154"/>
    <x v="0"/>
    <s v="N"/>
    <s v="Y"/>
    <n v="1"/>
    <x v="8"/>
    <x v="3"/>
    <x v="1"/>
    <x v="2"/>
    <x v="0"/>
    <d v="1981-06-12T00:00:00"/>
    <n v="-15899"/>
    <x v="728"/>
    <x v="1"/>
    <n v="-3993"/>
    <n v="10.932238193018481"/>
    <x v="1"/>
    <n v="1"/>
    <n v="0"/>
    <n v="0"/>
    <n v="0"/>
    <m/>
    <x v="1"/>
  </r>
  <r>
    <n v="5037155"/>
    <x v="0"/>
    <s v="N"/>
    <s v="Y"/>
    <n v="1"/>
    <x v="8"/>
    <x v="3"/>
    <x v="1"/>
    <x v="2"/>
    <x v="0"/>
    <d v="1981-06-12T00:00:00"/>
    <n v="-15899"/>
    <x v="728"/>
    <x v="1"/>
    <n v="-3993"/>
    <n v="10.932238193018481"/>
    <x v="1"/>
    <n v="1"/>
    <n v="0"/>
    <n v="0"/>
    <n v="0"/>
    <m/>
    <x v="1"/>
  </r>
  <r>
    <n v="5037157"/>
    <x v="0"/>
    <s v="N"/>
    <s v="Y"/>
    <n v="0"/>
    <x v="5"/>
    <x v="0"/>
    <x v="1"/>
    <x v="1"/>
    <x v="0"/>
    <d v="1962-05-21T00:00:00"/>
    <n v="-22861"/>
    <x v="729"/>
    <x v="0"/>
    <n v="365243"/>
    <n v="0"/>
    <x v="0"/>
    <n v="1"/>
    <n v="0"/>
    <n v="1"/>
    <n v="0"/>
    <m/>
    <x v="1"/>
  </r>
  <r>
    <n v="5037163"/>
    <x v="1"/>
    <s v="Y"/>
    <s v="Y"/>
    <n v="1"/>
    <x v="70"/>
    <x v="1"/>
    <x v="2"/>
    <x v="1"/>
    <x v="0"/>
    <d v="1985-07-21T00:00:00"/>
    <n v="-14399"/>
    <x v="730"/>
    <x v="3"/>
    <n v="-6122"/>
    <n v="16.761122518822724"/>
    <x v="1"/>
    <n v="1"/>
    <n v="0"/>
    <n v="0"/>
    <n v="0"/>
    <s v="Managers"/>
    <x v="3"/>
  </r>
  <r>
    <n v="5037165"/>
    <x v="0"/>
    <s v="N"/>
    <s v="Y"/>
    <n v="0"/>
    <x v="30"/>
    <x v="0"/>
    <x v="1"/>
    <x v="0"/>
    <x v="0"/>
    <d v="1965-12-11T00:00:00"/>
    <n v="-21561"/>
    <x v="731"/>
    <x v="2"/>
    <n v="365243"/>
    <n v="0"/>
    <x v="0"/>
    <n v="1"/>
    <n v="0"/>
    <n v="1"/>
    <n v="0"/>
    <m/>
    <x v="0"/>
  </r>
  <r>
    <n v="5037179"/>
    <x v="0"/>
    <s v="N"/>
    <s v="Y"/>
    <n v="0"/>
    <x v="16"/>
    <x v="2"/>
    <x v="1"/>
    <x v="1"/>
    <x v="0"/>
    <d v="1984-03-16T00:00:00"/>
    <n v="-14891"/>
    <x v="732"/>
    <x v="1"/>
    <n v="-1254"/>
    <n v="3.4332648870636548"/>
    <x v="1"/>
    <n v="1"/>
    <n v="0"/>
    <n v="0"/>
    <n v="0"/>
    <s v="Laborers"/>
    <x v="1"/>
  </r>
  <r>
    <n v="5037180"/>
    <x v="0"/>
    <s v="N"/>
    <s v="Y"/>
    <n v="0"/>
    <x v="16"/>
    <x v="2"/>
    <x v="1"/>
    <x v="1"/>
    <x v="0"/>
    <d v="1984-03-16T00:00:00"/>
    <n v="-14891"/>
    <x v="732"/>
    <x v="1"/>
    <n v="-1254"/>
    <n v="3.4332648870636548"/>
    <x v="1"/>
    <n v="1"/>
    <n v="0"/>
    <n v="0"/>
    <n v="0"/>
    <s v="Laborers"/>
    <x v="1"/>
  </r>
  <r>
    <n v="5037187"/>
    <x v="0"/>
    <s v="Y"/>
    <s v="Y"/>
    <n v="0"/>
    <x v="61"/>
    <x v="2"/>
    <x v="2"/>
    <x v="3"/>
    <x v="0"/>
    <d v="1990-11-13T00:00:00"/>
    <n v="-12458"/>
    <x v="733"/>
    <x v="3"/>
    <n v="-2076"/>
    <n v="5.6837782340862422"/>
    <x v="1"/>
    <n v="1"/>
    <n v="1"/>
    <n v="0"/>
    <n v="0"/>
    <s v="Sales staff"/>
    <x v="1"/>
  </r>
  <r>
    <n v="5037197"/>
    <x v="0"/>
    <s v="N"/>
    <s v="Y"/>
    <n v="0"/>
    <x v="2"/>
    <x v="0"/>
    <x v="1"/>
    <x v="1"/>
    <x v="0"/>
    <d v="1960-08-02T00:00:00"/>
    <n v="-23518"/>
    <x v="734"/>
    <x v="0"/>
    <n v="365243"/>
    <n v="0"/>
    <x v="0"/>
    <n v="1"/>
    <n v="0"/>
    <n v="1"/>
    <n v="0"/>
    <m/>
    <x v="1"/>
  </r>
  <r>
    <n v="5037199"/>
    <x v="0"/>
    <s v="Y"/>
    <s v="Y"/>
    <n v="1"/>
    <x v="1"/>
    <x v="2"/>
    <x v="1"/>
    <x v="1"/>
    <x v="0"/>
    <d v="1994-04-04T00:00:00"/>
    <n v="-11220"/>
    <x v="735"/>
    <x v="3"/>
    <n v="-1534"/>
    <n v="4.1998631074606436"/>
    <x v="1"/>
    <n v="1"/>
    <n v="0"/>
    <n v="0"/>
    <n v="0"/>
    <s v="Managers"/>
    <x v="3"/>
  </r>
  <r>
    <n v="5037208"/>
    <x v="1"/>
    <s v="N"/>
    <s v="Y"/>
    <n v="3"/>
    <x v="16"/>
    <x v="2"/>
    <x v="1"/>
    <x v="1"/>
    <x v="0"/>
    <d v="1990-07-12T00:00:00"/>
    <n v="-12582"/>
    <x v="736"/>
    <x v="3"/>
    <n v="-1838"/>
    <n v="5.032169746748802"/>
    <x v="1"/>
    <n v="1"/>
    <n v="1"/>
    <n v="1"/>
    <n v="0"/>
    <s v="Drivers"/>
    <x v="4"/>
  </r>
  <r>
    <n v="5037215"/>
    <x v="0"/>
    <s v="Y"/>
    <s v="N"/>
    <n v="0"/>
    <x v="8"/>
    <x v="0"/>
    <x v="1"/>
    <x v="1"/>
    <x v="0"/>
    <d v="1968-12-16T00:00:00"/>
    <n v="-20460"/>
    <x v="737"/>
    <x v="2"/>
    <n v="365243"/>
    <n v="0"/>
    <x v="0"/>
    <n v="1"/>
    <n v="0"/>
    <n v="0"/>
    <n v="0"/>
    <m/>
    <x v="1"/>
  </r>
  <r>
    <n v="5037220"/>
    <x v="1"/>
    <s v="Y"/>
    <s v="Y"/>
    <n v="0"/>
    <x v="6"/>
    <x v="2"/>
    <x v="1"/>
    <x v="1"/>
    <x v="0"/>
    <d v="1978-04-20T00:00:00"/>
    <n v="-17048"/>
    <x v="738"/>
    <x v="1"/>
    <n v="-2276"/>
    <n v="6.2313483915126628"/>
    <x v="1"/>
    <n v="1"/>
    <n v="0"/>
    <n v="0"/>
    <n v="0"/>
    <m/>
    <x v="1"/>
  </r>
  <r>
    <n v="5037230"/>
    <x v="0"/>
    <s v="N"/>
    <s v="N"/>
    <n v="0"/>
    <x v="90"/>
    <x v="2"/>
    <x v="1"/>
    <x v="3"/>
    <x v="0"/>
    <d v="1977-11-15T00:00:00"/>
    <n v="-17204"/>
    <x v="739"/>
    <x v="1"/>
    <n v="-1028"/>
    <n v="2.8145106091718"/>
    <x v="1"/>
    <n v="1"/>
    <n v="0"/>
    <n v="0"/>
    <n v="0"/>
    <s v="Sales staff"/>
    <x v="1"/>
  </r>
  <r>
    <n v="5037248"/>
    <x v="1"/>
    <s v="Y"/>
    <s v="N"/>
    <n v="0"/>
    <x v="1"/>
    <x v="2"/>
    <x v="1"/>
    <x v="1"/>
    <x v="2"/>
    <d v="1992-01-27T00:00:00"/>
    <n v="-12018"/>
    <x v="740"/>
    <x v="3"/>
    <n v="-408"/>
    <n v="1.1170431211498972"/>
    <x v="1"/>
    <n v="1"/>
    <n v="0"/>
    <n v="0"/>
    <n v="0"/>
    <s v="Laborers"/>
    <x v="1"/>
  </r>
  <r>
    <n v="5037254"/>
    <x v="1"/>
    <s v="N"/>
    <s v="N"/>
    <n v="0"/>
    <x v="6"/>
    <x v="2"/>
    <x v="1"/>
    <x v="2"/>
    <x v="0"/>
    <d v="2001-12-22T00:00:00"/>
    <n v="-8401"/>
    <x v="741"/>
    <x v="4"/>
    <n v="-450"/>
    <n v="1.2320328542094456"/>
    <x v="1"/>
    <n v="1"/>
    <n v="0"/>
    <n v="0"/>
    <n v="1"/>
    <s v="Laborers"/>
    <x v="0"/>
  </r>
  <r>
    <n v="5037259"/>
    <x v="0"/>
    <s v="N"/>
    <s v="Y"/>
    <n v="1"/>
    <x v="1"/>
    <x v="1"/>
    <x v="0"/>
    <x v="1"/>
    <x v="0"/>
    <d v="1993-09-20T00:00:00"/>
    <n v="-11416"/>
    <x v="446"/>
    <x v="3"/>
    <n v="-420"/>
    <n v="1.1498973305954825"/>
    <x v="1"/>
    <n v="1"/>
    <n v="0"/>
    <n v="0"/>
    <n v="0"/>
    <s v="High skill tech staff"/>
    <x v="3"/>
  </r>
  <r>
    <n v="5037293"/>
    <x v="0"/>
    <s v="N"/>
    <s v="Y"/>
    <n v="2"/>
    <x v="18"/>
    <x v="1"/>
    <x v="0"/>
    <x v="1"/>
    <x v="0"/>
    <d v="1983-08-19T00:00:00"/>
    <n v="-15101"/>
    <x v="742"/>
    <x v="1"/>
    <n v="-3860"/>
    <n v="10.568104038329912"/>
    <x v="1"/>
    <n v="1"/>
    <n v="1"/>
    <n v="0"/>
    <n v="0"/>
    <s v="Accountants"/>
    <x v="2"/>
  </r>
  <r>
    <n v="5037298"/>
    <x v="0"/>
    <s v="N"/>
    <s v="Y"/>
    <n v="1"/>
    <x v="16"/>
    <x v="2"/>
    <x v="0"/>
    <x v="1"/>
    <x v="0"/>
    <d v="1996-08-31T00:00:00"/>
    <n v="-10340"/>
    <x v="743"/>
    <x v="4"/>
    <n v="-2448"/>
    <n v="6.7022587268993838"/>
    <x v="1"/>
    <n v="1"/>
    <n v="1"/>
    <n v="0"/>
    <n v="0"/>
    <s v="High skill tech staff"/>
    <x v="3"/>
  </r>
  <r>
    <n v="5037302"/>
    <x v="0"/>
    <s v="N"/>
    <s v="Y"/>
    <n v="0"/>
    <x v="1"/>
    <x v="1"/>
    <x v="1"/>
    <x v="1"/>
    <x v="0"/>
    <d v="1972-02-18T00:00:00"/>
    <n v="-19301"/>
    <x v="744"/>
    <x v="2"/>
    <n v="-4821"/>
    <n v="13.19917864476386"/>
    <x v="1"/>
    <n v="1"/>
    <n v="1"/>
    <n v="1"/>
    <n v="0"/>
    <s v="Managers"/>
    <x v="1"/>
  </r>
  <r>
    <n v="5038508"/>
    <x v="0"/>
    <s v="N"/>
    <s v="Y"/>
    <n v="0"/>
    <x v="55"/>
    <x v="2"/>
    <x v="2"/>
    <x v="1"/>
    <x v="0"/>
    <d v="1992-07-08T00:00:00"/>
    <n v="-11855"/>
    <x v="745"/>
    <x v="3"/>
    <n v="-4583"/>
    <n v="12.547570157426421"/>
    <x v="1"/>
    <n v="1"/>
    <n v="0"/>
    <n v="0"/>
    <n v="0"/>
    <s v="Laborers"/>
    <x v="1"/>
  </r>
  <r>
    <n v="5038511"/>
    <x v="0"/>
    <s v="N"/>
    <s v="Y"/>
    <n v="0"/>
    <x v="55"/>
    <x v="2"/>
    <x v="2"/>
    <x v="1"/>
    <x v="0"/>
    <d v="1992-07-08T00:00:00"/>
    <n v="-11855"/>
    <x v="745"/>
    <x v="3"/>
    <n v="-4583"/>
    <n v="12.547570157426421"/>
    <x v="1"/>
    <n v="1"/>
    <n v="0"/>
    <n v="0"/>
    <n v="0"/>
    <s v="Laborers"/>
    <x v="1"/>
  </r>
  <r>
    <n v="5038513"/>
    <x v="0"/>
    <s v="N"/>
    <s v="Y"/>
    <n v="0"/>
    <x v="55"/>
    <x v="2"/>
    <x v="2"/>
    <x v="1"/>
    <x v="0"/>
    <d v="1992-07-08T00:00:00"/>
    <n v="-11855"/>
    <x v="745"/>
    <x v="3"/>
    <n v="-4583"/>
    <n v="12.547570157426421"/>
    <x v="1"/>
    <n v="1"/>
    <n v="0"/>
    <n v="0"/>
    <n v="0"/>
    <s v="Laborers"/>
    <x v="1"/>
  </r>
  <r>
    <n v="5038517"/>
    <x v="0"/>
    <s v="N"/>
    <s v="Y"/>
    <n v="0"/>
    <x v="55"/>
    <x v="2"/>
    <x v="2"/>
    <x v="1"/>
    <x v="0"/>
    <d v="1992-07-08T00:00:00"/>
    <n v="-11855"/>
    <x v="745"/>
    <x v="3"/>
    <n v="-4583"/>
    <n v="12.547570157426421"/>
    <x v="1"/>
    <n v="1"/>
    <n v="0"/>
    <n v="0"/>
    <n v="0"/>
    <s v="Laborers"/>
    <x v="1"/>
  </r>
  <r>
    <n v="5038535"/>
    <x v="0"/>
    <s v="Y"/>
    <s v="Y"/>
    <n v="0"/>
    <x v="2"/>
    <x v="2"/>
    <x v="1"/>
    <x v="1"/>
    <x v="0"/>
    <d v="1981-01-05T00:00:00"/>
    <n v="-16057"/>
    <x v="746"/>
    <x v="1"/>
    <n v="-3030"/>
    <n v="8.2956878850102669"/>
    <x v="1"/>
    <n v="1"/>
    <n v="1"/>
    <n v="0"/>
    <n v="0"/>
    <s v="Cooking staff"/>
    <x v="1"/>
  </r>
  <r>
    <n v="5038542"/>
    <x v="1"/>
    <s v="Y"/>
    <s v="N"/>
    <n v="0"/>
    <x v="8"/>
    <x v="2"/>
    <x v="1"/>
    <x v="1"/>
    <x v="0"/>
    <d v="1999-01-09T00:00:00"/>
    <n v="-9479"/>
    <x v="747"/>
    <x v="4"/>
    <n v="-1143"/>
    <n v="3.1293634496919918"/>
    <x v="1"/>
    <n v="1"/>
    <n v="0"/>
    <n v="0"/>
    <n v="0"/>
    <s v="Laborers"/>
    <x v="1"/>
  </r>
  <r>
    <n v="5038544"/>
    <x v="1"/>
    <s v="Y"/>
    <s v="N"/>
    <n v="0"/>
    <x v="8"/>
    <x v="2"/>
    <x v="1"/>
    <x v="1"/>
    <x v="0"/>
    <d v="1999-01-09T00:00:00"/>
    <n v="-9479"/>
    <x v="747"/>
    <x v="4"/>
    <n v="-1143"/>
    <n v="3.1293634496919918"/>
    <x v="1"/>
    <n v="1"/>
    <n v="0"/>
    <n v="0"/>
    <n v="0"/>
    <s v="Laborers"/>
    <x v="1"/>
  </r>
  <r>
    <n v="5038549"/>
    <x v="1"/>
    <s v="Y"/>
    <s v="N"/>
    <n v="0"/>
    <x v="8"/>
    <x v="2"/>
    <x v="1"/>
    <x v="1"/>
    <x v="0"/>
    <d v="1999-01-09T00:00:00"/>
    <n v="-9479"/>
    <x v="747"/>
    <x v="4"/>
    <n v="-1143"/>
    <n v="3.1293634496919918"/>
    <x v="1"/>
    <n v="1"/>
    <n v="0"/>
    <n v="0"/>
    <n v="0"/>
    <s v="Laborers"/>
    <x v="1"/>
  </r>
  <r>
    <n v="5038563"/>
    <x v="0"/>
    <s v="N"/>
    <s v="Y"/>
    <n v="1"/>
    <x v="2"/>
    <x v="2"/>
    <x v="1"/>
    <x v="2"/>
    <x v="0"/>
    <d v="1984-02-28T00:00:00"/>
    <n v="-14908"/>
    <x v="748"/>
    <x v="1"/>
    <n v="-868"/>
    <n v="2.3764544832306638"/>
    <x v="1"/>
    <n v="1"/>
    <n v="0"/>
    <n v="0"/>
    <n v="0"/>
    <s v="Cooking staff"/>
    <x v="1"/>
  </r>
  <r>
    <n v="5038603"/>
    <x v="0"/>
    <s v="N"/>
    <s v="Y"/>
    <n v="2"/>
    <x v="16"/>
    <x v="3"/>
    <x v="0"/>
    <x v="1"/>
    <x v="0"/>
    <d v="1994-10-21T00:00:00"/>
    <n v="-11020"/>
    <x v="749"/>
    <x v="3"/>
    <n v="-3578"/>
    <n v="9.7960301163586578"/>
    <x v="1"/>
    <n v="1"/>
    <n v="0"/>
    <n v="0"/>
    <n v="0"/>
    <s v="Core staff"/>
    <x v="2"/>
  </r>
  <r>
    <n v="5038606"/>
    <x v="0"/>
    <s v="N"/>
    <s v="Y"/>
    <n v="2"/>
    <x v="16"/>
    <x v="3"/>
    <x v="0"/>
    <x v="1"/>
    <x v="0"/>
    <d v="1994-10-21T00:00:00"/>
    <n v="-11020"/>
    <x v="749"/>
    <x v="3"/>
    <n v="-3578"/>
    <n v="9.7960301163586578"/>
    <x v="1"/>
    <n v="1"/>
    <n v="0"/>
    <n v="0"/>
    <n v="0"/>
    <s v="Core staff"/>
    <x v="2"/>
  </r>
  <r>
    <n v="5038673"/>
    <x v="0"/>
    <s v="N"/>
    <s v="Y"/>
    <n v="0"/>
    <x v="37"/>
    <x v="2"/>
    <x v="0"/>
    <x v="1"/>
    <x v="0"/>
    <d v="1995-08-09T00:00:00"/>
    <n v="-10728"/>
    <x v="750"/>
    <x v="4"/>
    <n v="-1081"/>
    <n v="2.9596167008898013"/>
    <x v="1"/>
    <n v="1"/>
    <n v="1"/>
    <n v="1"/>
    <n v="0"/>
    <m/>
    <x v="1"/>
  </r>
  <r>
    <n v="5038674"/>
    <x v="0"/>
    <s v="N"/>
    <s v="Y"/>
    <n v="0"/>
    <x v="37"/>
    <x v="2"/>
    <x v="0"/>
    <x v="1"/>
    <x v="0"/>
    <d v="1995-08-09T00:00:00"/>
    <n v="-10728"/>
    <x v="750"/>
    <x v="4"/>
    <n v="-1081"/>
    <n v="2.9596167008898013"/>
    <x v="1"/>
    <n v="1"/>
    <n v="1"/>
    <n v="1"/>
    <n v="0"/>
    <m/>
    <x v="1"/>
  </r>
  <r>
    <n v="5038675"/>
    <x v="0"/>
    <s v="N"/>
    <s v="Y"/>
    <n v="0"/>
    <x v="37"/>
    <x v="2"/>
    <x v="0"/>
    <x v="1"/>
    <x v="0"/>
    <d v="1995-08-09T00:00:00"/>
    <n v="-10728"/>
    <x v="750"/>
    <x v="4"/>
    <n v="-1081"/>
    <n v="2.9596167008898013"/>
    <x v="1"/>
    <n v="1"/>
    <n v="1"/>
    <n v="1"/>
    <n v="0"/>
    <m/>
    <x v="1"/>
  </r>
  <r>
    <n v="5038691"/>
    <x v="0"/>
    <s v="Y"/>
    <s v="N"/>
    <n v="0"/>
    <x v="91"/>
    <x v="3"/>
    <x v="1"/>
    <x v="3"/>
    <x v="2"/>
    <d v="1976-07-14T00:00:00"/>
    <n v="-17693"/>
    <x v="751"/>
    <x v="1"/>
    <n v="-7778"/>
    <n v="21.295003422313485"/>
    <x v="1"/>
    <n v="1"/>
    <n v="0"/>
    <n v="0"/>
    <n v="0"/>
    <s v="Laborers"/>
    <x v="1"/>
  </r>
  <r>
    <n v="5038708"/>
    <x v="0"/>
    <s v="N"/>
    <s v="N"/>
    <n v="0"/>
    <x v="39"/>
    <x v="3"/>
    <x v="1"/>
    <x v="3"/>
    <x v="0"/>
    <d v="1977-04-17T00:00:00"/>
    <n v="-17416"/>
    <x v="752"/>
    <x v="1"/>
    <n v="-687"/>
    <n v="1.8809034907597535"/>
    <x v="1"/>
    <n v="1"/>
    <n v="0"/>
    <n v="0"/>
    <n v="0"/>
    <s v="Medicine staff"/>
    <x v="1"/>
  </r>
  <r>
    <n v="5038711"/>
    <x v="0"/>
    <s v="N"/>
    <s v="Y"/>
    <n v="0"/>
    <x v="80"/>
    <x v="2"/>
    <x v="1"/>
    <x v="1"/>
    <x v="0"/>
    <d v="1964-01-26T00:00:00"/>
    <n v="-22246"/>
    <x v="753"/>
    <x v="0"/>
    <n v="-14536"/>
    <n v="39.797399041752222"/>
    <x v="1"/>
    <n v="1"/>
    <n v="0"/>
    <n v="0"/>
    <n v="0"/>
    <s v="High skill tech staff"/>
    <x v="1"/>
  </r>
  <r>
    <n v="5038712"/>
    <x v="0"/>
    <s v="N"/>
    <s v="Y"/>
    <n v="0"/>
    <x v="80"/>
    <x v="2"/>
    <x v="1"/>
    <x v="1"/>
    <x v="0"/>
    <d v="1964-01-26T00:00:00"/>
    <n v="-22246"/>
    <x v="753"/>
    <x v="0"/>
    <n v="-14536"/>
    <n v="39.797399041752222"/>
    <x v="1"/>
    <n v="1"/>
    <n v="0"/>
    <n v="0"/>
    <n v="0"/>
    <s v="High skill tech staff"/>
    <x v="1"/>
  </r>
  <r>
    <n v="5038716"/>
    <x v="1"/>
    <s v="Y"/>
    <s v="Y"/>
    <n v="0"/>
    <x v="76"/>
    <x v="2"/>
    <x v="1"/>
    <x v="2"/>
    <x v="0"/>
    <d v="1998-11-09T00:00:00"/>
    <n v="-9540"/>
    <x v="754"/>
    <x v="4"/>
    <n v="-1143"/>
    <n v="3.1293634496919918"/>
    <x v="1"/>
    <n v="1"/>
    <n v="1"/>
    <n v="0"/>
    <n v="0"/>
    <m/>
    <x v="0"/>
  </r>
  <r>
    <n v="5038721"/>
    <x v="1"/>
    <s v="Y"/>
    <s v="Y"/>
    <n v="1"/>
    <x v="18"/>
    <x v="0"/>
    <x v="1"/>
    <x v="1"/>
    <x v="0"/>
    <d v="1982-07-23T00:00:00"/>
    <n v="-15493"/>
    <x v="755"/>
    <x v="1"/>
    <n v="365243"/>
    <n v="0"/>
    <x v="0"/>
    <n v="1"/>
    <n v="0"/>
    <n v="0"/>
    <n v="0"/>
    <m/>
    <x v="3"/>
  </r>
  <r>
    <n v="5038722"/>
    <x v="1"/>
    <s v="Y"/>
    <s v="Y"/>
    <n v="1"/>
    <x v="18"/>
    <x v="0"/>
    <x v="1"/>
    <x v="1"/>
    <x v="0"/>
    <d v="1982-07-23T00:00:00"/>
    <n v="-15493"/>
    <x v="755"/>
    <x v="1"/>
    <n v="365243"/>
    <n v="0"/>
    <x v="0"/>
    <n v="1"/>
    <n v="0"/>
    <n v="0"/>
    <n v="0"/>
    <m/>
    <x v="3"/>
  </r>
  <r>
    <n v="5038724"/>
    <x v="0"/>
    <s v="Y"/>
    <s v="N"/>
    <n v="0"/>
    <x v="8"/>
    <x v="1"/>
    <x v="1"/>
    <x v="1"/>
    <x v="0"/>
    <d v="1997-06-01T00:00:00"/>
    <n v="-10066"/>
    <x v="756"/>
    <x v="4"/>
    <n v="-3060"/>
    <n v="8.3778234086242307"/>
    <x v="1"/>
    <n v="1"/>
    <n v="0"/>
    <n v="0"/>
    <n v="0"/>
    <s v="Core staff"/>
    <x v="1"/>
  </r>
  <r>
    <n v="5038741"/>
    <x v="1"/>
    <s v="N"/>
    <s v="Y"/>
    <n v="0"/>
    <x v="1"/>
    <x v="2"/>
    <x v="1"/>
    <x v="1"/>
    <x v="0"/>
    <d v="1981-08-31T00:00:00"/>
    <n v="-15819"/>
    <x v="757"/>
    <x v="1"/>
    <n v="-169"/>
    <n v="0.46269678302532513"/>
    <x v="1"/>
    <n v="1"/>
    <n v="0"/>
    <n v="0"/>
    <n v="0"/>
    <s v="Security staff"/>
    <x v="1"/>
  </r>
  <r>
    <n v="5038743"/>
    <x v="1"/>
    <s v="N"/>
    <s v="Y"/>
    <n v="0"/>
    <x v="1"/>
    <x v="2"/>
    <x v="1"/>
    <x v="1"/>
    <x v="0"/>
    <d v="1981-08-31T00:00:00"/>
    <n v="-15819"/>
    <x v="757"/>
    <x v="1"/>
    <n v="-169"/>
    <n v="0.46269678302532513"/>
    <x v="1"/>
    <n v="1"/>
    <n v="0"/>
    <n v="0"/>
    <n v="0"/>
    <s v="Security staff"/>
    <x v="1"/>
  </r>
  <r>
    <n v="5038744"/>
    <x v="1"/>
    <s v="N"/>
    <s v="Y"/>
    <n v="0"/>
    <x v="1"/>
    <x v="2"/>
    <x v="1"/>
    <x v="1"/>
    <x v="0"/>
    <d v="1981-08-31T00:00:00"/>
    <n v="-15819"/>
    <x v="757"/>
    <x v="1"/>
    <n v="-169"/>
    <n v="0.46269678302532513"/>
    <x v="1"/>
    <n v="1"/>
    <n v="0"/>
    <n v="0"/>
    <n v="0"/>
    <s v="Security staff"/>
    <x v="1"/>
  </r>
  <r>
    <n v="5038746"/>
    <x v="1"/>
    <s v="Y"/>
    <s v="Y"/>
    <n v="2"/>
    <x v="5"/>
    <x v="1"/>
    <x v="0"/>
    <x v="1"/>
    <x v="2"/>
    <d v="1986-02-13T00:00:00"/>
    <n v="-14192"/>
    <x v="758"/>
    <x v="3"/>
    <n v="-626"/>
    <n v="1.7138945927446954"/>
    <x v="1"/>
    <n v="1"/>
    <n v="0"/>
    <n v="0"/>
    <n v="0"/>
    <s v="Drivers"/>
    <x v="2"/>
  </r>
  <r>
    <n v="5038755"/>
    <x v="1"/>
    <s v="Y"/>
    <s v="Y"/>
    <n v="2"/>
    <x v="5"/>
    <x v="1"/>
    <x v="0"/>
    <x v="1"/>
    <x v="2"/>
    <d v="1986-02-13T00:00:00"/>
    <n v="-14192"/>
    <x v="758"/>
    <x v="3"/>
    <n v="-626"/>
    <n v="1.7138945927446954"/>
    <x v="1"/>
    <n v="1"/>
    <n v="0"/>
    <n v="0"/>
    <n v="0"/>
    <s v="Drivers"/>
    <x v="2"/>
  </r>
  <r>
    <n v="5038763"/>
    <x v="0"/>
    <s v="N"/>
    <s v="Y"/>
    <n v="1"/>
    <x v="2"/>
    <x v="2"/>
    <x v="1"/>
    <x v="1"/>
    <x v="0"/>
    <d v="1987-05-10T00:00:00"/>
    <n v="-13741"/>
    <x v="759"/>
    <x v="3"/>
    <n v="-5221"/>
    <n v="14.294318959616701"/>
    <x v="1"/>
    <n v="1"/>
    <n v="0"/>
    <n v="0"/>
    <n v="0"/>
    <s v="Laborers"/>
    <x v="3"/>
  </r>
  <r>
    <n v="5038771"/>
    <x v="0"/>
    <s v="N"/>
    <s v="Y"/>
    <n v="1"/>
    <x v="2"/>
    <x v="2"/>
    <x v="1"/>
    <x v="1"/>
    <x v="0"/>
    <d v="1987-05-10T00:00:00"/>
    <n v="-13741"/>
    <x v="759"/>
    <x v="3"/>
    <n v="-5221"/>
    <n v="14.294318959616701"/>
    <x v="1"/>
    <n v="1"/>
    <n v="0"/>
    <n v="0"/>
    <n v="0"/>
    <s v="Laborers"/>
    <x v="3"/>
  </r>
  <r>
    <n v="5038779"/>
    <x v="0"/>
    <s v="N"/>
    <s v="Y"/>
    <n v="0"/>
    <x v="51"/>
    <x v="3"/>
    <x v="0"/>
    <x v="4"/>
    <x v="0"/>
    <d v="1971-10-03T00:00:00"/>
    <n v="-19439"/>
    <x v="760"/>
    <x v="2"/>
    <n v="-6712"/>
    <n v="18.376454483230663"/>
    <x v="1"/>
    <n v="1"/>
    <n v="0"/>
    <n v="0"/>
    <n v="0"/>
    <s v="High skill tech staff"/>
    <x v="0"/>
  </r>
  <r>
    <n v="5038792"/>
    <x v="0"/>
    <s v="N"/>
    <s v="Y"/>
    <n v="0"/>
    <x v="5"/>
    <x v="0"/>
    <x v="1"/>
    <x v="1"/>
    <x v="0"/>
    <d v="1962-09-17T00:00:00"/>
    <n v="-22742"/>
    <x v="761"/>
    <x v="0"/>
    <n v="365243"/>
    <n v="0"/>
    <x v="0"/>
    <n v="1"/>
    <n v="0"/>
    <n v="0"/>
    <n v="0"/>
    <m/>
    <x v="1"/>
  </r>
  <r>
    <n v="5038812"/>
    <x v="1"/>
    <s v="Y"/>
    <s v="Y"/>
    <n v="0"/>
    <x v="16"/>
    <x v="1"/>
    <x v="1"/>
    <x v="1"/>
    <x v="4"/>
    <d v="1987-07-19T00:00:00"/>
    <n v="-13671"/>
    <x v="762"/>
    <x v="3"/>
    <n v="-473"/>
    <n v="1.2950034223134839"/>
    <x v="1"/>
    <n v="1"/>
    <n v="1"/>
    <n v="1"/>
    <n v="0"/>
    <s v="Laborers"/>
    <x v="1"/>
  </r>
  <r>
    <n v="5038845"/>
    <x v="0"/>
    <s v="N"/>
    <s v="Y"/>
    <n v="0"/>
    <x v="55"/>
    <x v="1"/>
    <x v="1"/>
    <x v="1"/>
    <x v="0"/>
    <d v="1978-05-31T00:00:00"/>
    <n v="-17007"/>
    <x v="763"/>
    <x v="1"/>
    <n v="-1569"/>
    <n v="4.2956878850102669"/>
    <x v="1"/>
    <n v="1"/>
    <n v="1"/>
    <n v="1"/>
    <n v="0"/>
    <s v="Sales staff"/>
    <x v="1"/>
  </r>
  <r>
    <n v="5038849"/>
    <x v="0"/>
    <s v="N"/>
    <s v="Y"/>
    <n v="0"/>
    <x v="55"/>
    <x v="1"/>
    <x v="1"/>
    <x v="1"/>
    <x v="0"/>
    <d v="1978-05-31T00:00:00"/>
    <n v="-17007"/>
    <x v="763"/>
    <x v="1"/>
    <n v="-1569"/>
    <n v="4.2956878850102669"/>
    <x v="1"/>
    <n v="1"/>
    <n v="1"/>
    <n v="1"/>
    <n v="0"/>
    <s v="Sales staff"/>
    <x v="1"/>
  </r>
  <r>
    <n v="5038864"/>
    <x v="1"/>
    <s v="Y"/>
    <s v="Y"/>
    <n v="1"/>
    <x v="18"/>
    <x v="2"/>
    <x v="1"/>
    <x v="1"/>
    <x v="0"/>
    <d v="1985-04-23T00:00:00"/>
    <n v="-14488"/>
    <x v="764"/>
    <x v="3"/>
    <n v="-1630"/>
    <n v="4.4626967830253248"/>
    <x v="1"/>
    <n v="1"/>
    <n v="0"/>
    <n v="1"/>
    <n v="0"/>
    <s v="Laborers"/>
    <x v="3"/>
  </r>
  <r>
    <n v="5038876"/>
    <x v="0"/>
    <s v="Y"/>
    <s v="Y"/>
    <n v="0"/>
    <x v="5"/>
    <x v="1"/>
    <x v="1"/>
    <x v="1"/>
    <x v="0"/>
    <d v="1990-04-11T00:00:00"/>
    <n v="-12674"/>
    <x v="765"/>
    <x v="3"/>
    <n v="-656"/>
    <n v="1.7960301163586585"/>
    <x v="1"/>
    <n v="1"/>
    <n v="0"/>
    <n v="0"/>
    <n v="0"/>
    <s v="Sales staff"/>
    <x v="1"/>
  </r>
  <r>
    <n v="5038895"/>
    <x v="0"/>
    <s v="N"/>
    <s v="Y"/>
    <n v="0"/>
    <x v="1"/>
    <x v="0"/>
    <x v="1"/>
    <x v="1"/>
    <x v="0"/>
    <d v="1962-04-26T00:00:00"/>
    <n v="-22886"/>
    <x v="766"/>
    <x v="0"/>
    <n v="365243"/>
    <n v="0"/>
    <x v="0"/>
    <n v="1"/>
    <n v="0"/>
    <n v="1"/>
    <n v="0"/>
    <m/>
    <x v="1"/>
  </r>
  <r>
    <n v="5038898"/>
    <x v="0"/>
    <s v="N"/>
    <s v="Y"/>
    <n v="0"/>
    <x v="1"/>
    <x v="0"/>
    <x v="1"/>
    <x v="1"/>
    <x v="0"/>
    <d v="1962-04-26T00:00:00"/>
    <n v="-22886"/>
    <x v="766"/>
    <x v="0"/>
    <n v="365243"/>
    <n v="0"/>
    <x v="0"/>
    <n v="1"/>
    <n v="0"/>
    <n v="1"/>
    <n v="0"/>
    <m/>
    <x v="1"/>
  </r>
  <r>
    <n v="5038899"/>
    <x v="0"/>
    <s v="N"/>
    <s v="Y"/>
    <n v="0"/>
    <x v="1"/>
    <x v="0"/>
    <x v="1"/>
    <x v="1"/>
    <x v="0"/>
    <d v="1962-04-26T00:00:00"/>
    <n v="-22886"/>
    <x v="766"/>
    <x v="0"/>
    <n v="365243"/>
    <n v="0"/>
    <x v="0"/>
    <n v="1"/>
    <n v="0"/>
    <n v="1"/>
    <n v="0"/>
    <m/>
    <x v="1"/>
  </r>
  <r>
    <n v="5038908"/>
    <x v="0"/>
    <s v="N"/>
    <s v="Y"/>
    <n v="1"/>
    <x v="1"/>
    <x v="1"/>
    <x v="1"/>
    <x v="1"/>
    <x v="2"/>
    <d v="1994-10-07T00:00:00"/>
    <n v="-11034"/>
    <x v="767"/>
    <x v="3"/>
    <n v="-2421"/>
    <n v="6.6283367556468171"/>
    <x v="1"/>
    <n v="1"/>
    <n v="0"/>
    <n v="0"/>
    <n v="0"/>
    <s v="Laborers"/>
    <x v="3"/>
  </r>
  <r>
    <n v="5038928"/>
    <x v="0"/>
    <s v="N"/>
    <s v="Y"/>
    <n v="0"/>
    <x v="58"/>
    <x v="0"/>
    <x v="1"/>
    <x v="1"/>
    <x v="0"/>
    <d v="1967-12-12T00:00:00"/>
    <n v="-20830"/>
    <x v="768"/>
    <x v="2"/>
    <n v="365243"/>
    <n v="0"/>
    <x v="0"/>
    <n v="1"/>
    <n v="0"/>
    <n v="0"/>
    <n v="0"/>
    <m/>
    <x v="1"/>
  </r>
  <r>
    <n v="5041063"/>
    <x v="0"/>
    <s v="N"/>
    <s v="Y"/>
    <n v="0"/>
    <x v="55"/>
    <x v="2"/>
    <x v="1"/>
    <x v="2"/>
    <x v="0"/>
    <d v="1977-03-03T00:00:00"/>
    <n v="-17461"/>
    <x v="769"/>
    <x v="1"/>
    <n v="-2134"/>
    <n v="5.8425735797399039"/>
    <x v="1"/>
    <n v="1"/>
    <n v="0"/>
    <n v="0"/>
    <n v="0"/>
    <s v="Sales staff"/>
    <x v="0"/>
  </r>
  <r>
    <n v="5041065"/>
    <x v="0"/>
    <s v="N"/>
    <s v="Y"/>
    <n v="0"/>
    <x v="55"/>
    <x v="2"/>
    <x v="1"/>
    <x v="2"/>
    <x v="0"/>
    <d v="1977-03-03T00:00:00"/>
    <n v="-17461"/>
    <x v="769"/>
    <x v="1"/>
    <n v="-2134"/>
    <n v="5.8425735797399039"/>
    <x v="1"/>
    <n v="1"/>
    <n v="0"/>
    <n v="0"/>
    <n v="0"/>
    <s v="Sales staff"/>
    <x v="0"/>
  </r>
  <r>
    <n v="5041068"/>
    <x v="0"/>
    <s v="N"/>
    <s v="Y"/>
    <n v="0"/>
    <x v="55"/>
    <x v="2"/>
    <x v="1"/>
    <x v="2"/>
    <x v="0"/>
    <d v="1977-03-03T00:00:00"/>
    <n v="-17461"/>
    <x v="769"/>
    <x v="1"/>
    <n v="-2134"/>
    <n v="5.8425735797399039"/>
    <x v="1"/>
    <n v="1"/>
    <n v="0"/>
    <n v="0"/>
    <n v="0"/>
    <s v="Sales staff"/>
    <x v="0"/>
  </r>
  <r>
    <n v="5041070"/>
    <x v="0"/>
    <s v="Y"/>
    <s v="Y"/>
    <n v="0"/>
    <x v="58"/>
    <x v="0"/>
    <x v="1"/>
    <x v="1"/>
    <x v="0"/>
    <d v="1969-06-28T00:00:00"/>
    <n v="-20266"/>
    <x v="770"/>
    <x v="2"/>
    <n v="365243"/>
    <n v="0"/>
    <x v="0"/>
    <n v="1"/>
    <n v="0"/>
    <n v="1"/>
    <n v="0"/>
    <m/>
    <x v="1"/>
  </r>
  <r>
    <n v="5041073"/>
    <x v="0"/>
    <s v="N"/>
    <s v="Y"/>
    <n v="0"/>
    <x v="37"/>
    <x v="2"/>
    <x v="1"/>
    <x v="2"/>
    <x v="0"/>
    <d v="1975-03-16T00:00:00"/>
    <n v="-18179"/>
    <x v="771"/>
    <x v="1"/>
    <n v="-188"/>
    <n v="0.51471594798083509"/>
    <x v="1"/>
    <n v="1"/>
    <n v="0"/>
    <n v="0"/>
    <n v="0"/>
    <s v="Laborers"/>
    <x v="1"/>
  </r>
  <r>
    <n v="5041090"/>
    <x v="1"/>
    <s v="Y"/>
    <s v="Y"/>
    <n v="0"/>
    <x v="50"/>
    <x v="2"/>
    <x v="0"/>
    <x v="1"/>
    <x v="0"/>
    <d v="1973-09-05T00:00:00"/>
    <n v="-18736"/>
    <x v="772"/>
    <x v="2"/>
    <n v="-339"/>
    <n v="0.92813141683778233"/>
    <x v="1"/>
    <n v="1"/>
    <n v="0"/>
    <n v="1"/>
    <n v="0"/>
    <s v="Drivers"/>
    <x v="1"/>
  </r>
  <r>
    <n v="5041104"/>
    <x v="0"/>
    <s v="N"/>
    <s v="Y"/>
    <n v="0"/>
    <x v="11"/>
    <x v="0"/>
    <x v="1"/>
    <x v="1"/>
    <x v="0"/>
    <d v="1966-07-17T00:00:00"/>
    <n v="-21343"/>
    <x v="773"/>
    <x v="2"/>
    <n v="365243"/>
    <n v="0"/>
    <x v="0"/>
    <n v="1"/>
    <n v="0"/>
    <n v="0"/>
    <n v="0"/>
    <m/>
    <x v="1"/>
  </r>
  <r>
    <n v="5041109"/>
    <x v="0"/>
    <s v="N"/>
    <s v="N"/>
    <n v="0"/>
    <x v="32"/>
    <x v="0"/>
    <x v="1"/>
    <x v="4"/>
    <x v="0"/>
    <d v="1961-11-07T00:00:00"/>
    <n v="-23056"/>
    <x v="424"/>
    <x v="0"/>
    <n v="365243"/>
    <n v="0"/>
    <x v="0"/>
    <n v="1"/>
    <n v="0"/>
    <n v="0"/>
    <n v="0"/>
    <m/>
    <x v="0"/>
  </r>
  <r>
    <n v="5041112"/>
    <x v="1"/>
    <s v="Y"/>
    <s v="Y"/>
    <n v="0"/>
    <x v="61"/>
    <x v="1"/>
    <x v="1"/>
    <x v="2"/>
    <x v="0"/>
    <d v="1974-07-20T00:00:00"/>
    <n v="-18418"/>
    <x v="774"/>
    <x v="2"/>
    <n v="-3383"/>
    <n v="9.2621492128678984"/>
    <x v="1"/>
    <n v="1"/>
    <n v="1"/>
    <n v="1"/>
    <n v="0"/>
    <s v="Laborers"/>
    <x v="0"/>
  </r>
  <r>
    <n v="5041114"/>
    <x v="1"/>
    <s v="Y"/>
    <s v="Y"/>
    <n v="0"/>
    <x v="61"/>
    <x v="1"/>
    <x v="1"/>
    <x v="2"/>
    <x v="0"/>
    <d v="1974-07-20T00:00:00"/>
    <n v="-18418"/>
    <x v="774"/>
    <x v="2"/>
    <n v="-3383"/>
    <n v="9.2621492128678984"/>
    <x v="1"/>
    <n v="1"/>
    <n v="1"/>
    <n v="1"/>
    <n v="0"/>
    <s v="Laborers"/>
    <x v="0"/>
  </r>
  <r>
    <n v="5041128"/>
    <x v="0"/>
    <s v="N"/>
    <s v="Y"/>
    <n v="0"/>
    <x v="8"/>
    <x v="1"/>
    <x v="0"/>
    <x v="2"/>
    <x v="0"/>
    <d v="1978-05-07T00:00:00"/>
    <n v="-17031"/>
    <x v="775"/>
    <x v="1"/>
    <n v="-642"/>
    <n v="1.7577002053388091"/>
    <x v="1"/>
    <n v="1"/>
    <n v="0"/>
    <n v="0"/>
    <n v="0"/>
    <s v="Core staff"/>
    <x v="0"/>
  </r>
  <r>
    <n v="5041178"/>
    <x v="0"/>
    <s v="Y"/>
    <s v="Y"/>
    <n v="0"/>
    <x v="15"/>
    <x v="1"/>
    <x v="0"/>
    <x v="1"/>
    <x v="0"/>
    <d v="1970-01-26T00:00:00"/>
    <n v="-20054"/>
    <x v="776"/>
    <x v="2"/>
    <n v="-6427"/>
    <n v="17.596167008898014"/>
    <x v="1"/>
    <n v="1"/>
    <n v="0"/>
    <n v="1"/>
    <n v="0"/>
    <s v="Managers"/>
    <x v="1"/>
  </r>
  <r>
    <n v="5041203"/>
    <x v="0"/>
    <s v="N"/>
    <s v="Y"/>
    <n v="0"/>
    <x v="16"/>
    <x v="2"/>
    <x v="0"/>
    <x v="4"/>
    <x v="0"/>
    <d v="1961-11-28T00:00:00"/>
    <n v="-23035"/>
    <x v="777"/>
    <x v="0"/>
    <n v="-2134"/>
    <n v="5.8425735797399039"/>
    <x v="1"/>
    <n v="1"/>
    <n v="0"/>
    <n v="0"/>
    <n v="0"/>
    <s v="Secretaries"/>
    <x v="0"/>
  </r>
  <r>
    <n v="5041226"/>
    <x v="0"/>
    <s v="N"/>
    <s v="Y"/>
    <n v="0"/>
    <x v="51"/>
    <x v="2"/>
    <x v="1"/>
    <x v="1"/>
    <x v="0"/>
    <d v="1978-08-13T00:00:00"/>
    <n v="-16933"/>
    <x v="778"/>
    <x v="1"/>
    <n v="-10384"/>
    <n v="28.429842573579741"/>
    <x v="1"/>
    <n v="1"/>
    <n v="1"/>
    <n v="1"/>
    <n v="0"/>
    <s v="Medicine staff"/>
    <x v="1"/>
  </r>
  <r>
    <n v="5041229"/>
    <x v="0"/>
    <s v="N"/>
    <s v="Y"/>
    <n v="0"/>
    <x v="51"/>
    <x v="2"/>
    <x v="1"/>
    <x v="1"/>
    <x v="0"/>
    <d v="1978-08-13T00:00:00"/>
    <n v="-16933"/>
    <x v="778"/>
    <x v="1"/>
    <n v="-10384"/>
    <n v="28.429842573579741"/>
    <x v="1"/>
    <n v="1"/>
    <n v="1"/>
    <n v="1"/>
    <n v="0"/>
    <s v="Medicine staff"/>
    <x v="1"/>
  </r>
  <r>
    <n v="5041233"/>
    <x v="1"/>
    <s v="N"/>
    <s v="Y"/>
    <n v="0"/>
    <x v="56"/>
    <x v="0"/>
    <x v="1"/>
    <x v="1"/>
    <x v="0"/>
    <d v="1963-04-20T00:00:00"/>
    <n v="-22527"/>
    <x v="323"/>
    <x v="0"/>
    <n v="365243"/>
    <n v="0"/>
    <x v="0"/>
    <n v="1"/>
    <n v="0"/>
    <n v="0"/>
    <n v="0"/>
    <m/>
    <x v="1"/>
  </r>
  <r>
    <n v="5041240"/>
    <x v="0"/>
    <s v="N"/>
    <s v="Y"/>
    <n v="0"/>
    <x v="1"/>
    <x v="0"/>
    <x v="1"/>
    <x v="1"/>
    <x v="0"/>
    <d v="1968-12-16T00:00:00"/>
    <n v="-20460"/>
    <x v="737"/>
    <x v="2"/>
    <n v="365243"/>
    <n v="0"/>
    <x v="0"/>
    <n v="1"/>
    <n v="0"/>
    <n v="0"/>
    <n v="0"/>
    <m/>
    <x v="1"/>
  </r>
  <r>
    <n v="5041241"/>
    <x v="0"/>
    <s v="N"/>
    <s v="Y"/>
    <n v="0"/>
    <x v="1"/>
    <x v="0"/>
    <x v="1"/>
    <x v="1"/>
    <x v="0"/>
    <d v="1968-12-16T00:00:00"/>
    <n v="-20460"/>
    <x v="737"/>
    <x v="2"/>
    <n v="365243"/>
    <n v="0"/>
    <x v="0"/>
    <n v="1"/>
    <n v="0"/>
    <n v="0"/>
    <n v="0"/>
    <m/>
    <x v="1"/>
  </r>
  <r>
    <n v="5041242"/>
    <x v="0"/>
    <s v="N"/>
    <s v="Y"/>
    <n v="0"/>
    <x v="1"/>
    <x v="0"/>
    <x v="1"/>
    <x v="1"/>
    <x v="0"/>
    <d v="1968-12-16T00:00:00"/>
    <n v="-20460"/>
    <x v="737"/>
    <x v="2"/>
    <n v="365243"/>
    <n v="0"/>
    <x v="0"/>
    <n v="1"/>
    <n v="0"/>
    <n v="0"/>
    <n v="0"/>
    <m/>
    <x v="1"/>
  </r>
  <r>
    <n v="5041243"/>
    <x v="0"/>
    <s v="N"/>
    <s v="Y"/>
    <n v="0"/>
    <x v="1"/>
    <x v="0"/>
    <x v="1"/>
    <x v="1"/>
    <x v="0"/>
    <d v="1968-12-16T00:00:00"/>
    <n v="-20460"/>
    <x v="737"/>
    <x v="2"/>
    <n v="365243"/>
    <n v="0"/>
    <x v="0"/>
    <n v="1"/>
    <n v="0"/>
    <n v="0"/>
    <n v="0"/>
    <m/>
    <x v="1"/>
  </r>
  <r>
    <n v="5041268"/>
    <x v="0"/>
    <s v="N"/>
    <s v="Y"/>
    <n v="0"/>
    <x v="35"/>
    <x v="3"/>
    <x v="0"/>
    <x v="1"/>
    <x v="0"/>
    <d v="1974-02-25T00:00:00"/>
    <n v="-18563"/>
    <x v="779"/>
    <x v="2"/>
    <n v="-8284"/>
    <n v="22.680355920602327"/>
    <x v="1"/>
    <n v="1"/>
    <n v="1"/>
    <n v="1"/>
    <n v="0"/>
    <s v="Laborers"/>
    <x v="1"/>
  </r>
  <r>
    <n v="5041324"/>
    <x v="0"/>
    <s v="N"/>
    <s v="N"/>
    <n v="0"/>
    <x v="5"/>
    <x v="2"/>
    <x v="0"/>
    <x v="2"/>
    <x v="5"/>
    <d v="1973-01-11T00:00:00"/>
    <n v="-18973"/>
    <x v="98"/>
    <x v="2"/>
    <n v="-3289"/>
    <n v="9.0047912388774805"/>
    <x v="1"/>
    <n v="1"/>
    <n v="0"/>
    <n v="0"/>
    <n v="0"/>
    <s v="Laborers"/>
    <x v="0"/>
  </r>
  <r>
    <n v="5041325"/>
    <x v="0"/>
    <s v="N"/>
    <s v="Y"/>
    <n v="0"/>
    <x v="11"/>
    <x v="1"/>
    <x v="1"/>
    <x v="4"/>
    <x v="4"/>
    <d v="1961-04-24T00:00:00"/>
    <n v="-23253"/>
    <x v="780"/>
    <x v="0"/>
    <n v="-6607"/>
    <n v="18.088980150581794"/>
    <x v="1"/>
    <n v="1"/>
    <n v="0"/>
    <n v="1"/>
    <n v="0"/>
    <s v="Cleaning staff"/>
    <x v="0"/>
  </r>
  <r>
    <n v="5041350"/>
    <x v="1"/>
    <s v="Y"/>
    <s v="N"/>
    <n v="0"/>
    <x v="8"/>
    <x v="2"/>
    <x v="1"/>
    <x v="1"/>
    <x v="0"/>
    <d v="1997-04-26T00:00:00"/>
    <n v="-10102"/>
    <x v="781"/>
    <x v="4"/>
    <n v="-551"/>
    <n v="1.5085557837097878"/>
    <x v="1"/>
    <n v="1"/>
    <n v="0"/>
    <n v="0"/>
    <n v="0"/>
    <s v="Laborers"/>
    <x v="1"/>
  </r>
  <r>
    <n v="5041353"/>
    <x v="1"/>
    <s v="Y"/>
    <s v="N"/>
    <n v="0"/>
    <x v="8"/>
    <x v="2"/>
    <x v="1"/>
    <x v="1"/>
    <x v="0"/>
    <d v="1997-04-26T00:00:00"/>
    <n v="-10102"/>
    <x v="781"/>
    <x v="4"/>
    <n v="-551"/>
    <n v="1.5085557837097878"/>
    <x v="1"/>
    <n v="1"/>
    <n v="0"/>
    <n v="0"/>
    <n v="0"/>
    <s v="Laborers"/>
    <x v="1"/>
  </r>
  <r>
    <n v="5041367"/>
    <x v="0"/>
    <s v="N"/>
    <s v="N"/>
    <n v="0"/>
    <x v="16"/>
    <x v="3"/>
    <x v="2"/>
    <x v="1"/>
    <x v="0"/>
    <d v="1996-09-25T00:00:00"/>
    <n v="-10315"/>
    <x v="782"/>
    <x v="4"/>
    <n v="-2985"/>
    <n v="8.1724845995893229"/>
    <x v="1"/>
    <n v="1"/>
    <n v="0"/>
    <n v="0"/>
    <n v="0"/>
    <s v="Core staff"/>
    <x v="1"/>
  </r>
  <r>
    <n v="5041372"/>
    <x v="0"/>
    <s v="Y"/>
    <s v="Y"/>
    <n v="2"/>
    <x v="38"/>
    <x v="2"/>
    <x v="1"/>
    <x v="1"/>
    <x v="0"/>
    <d v="1989-03-20T00:00:00"/>
    <n v="-13061"/>
    <x v="783"/>
    <x v="3"/>
    <n v="-1555"/>
    <n v="4.2573579739904179"/>
    <x v="1"/>
    <n v="1"/>
    <n v="0"/>
    <n v="0"/>
    <n v="0"/>
    <m/>
    <x v="2"/>
  </r>
  <r>
    <n v="5041394"/>
    <x v="0"/>
    <s v="Y"/>
    <s v="Y"/>
    <n v="0"/>
    <x v="1"/>
    <x v="2"/>
    <x v="1"/>
    <x v="1"/>
    <x v="2"/>
    <d v="1983-07-20T00:00:00"/>
    <n v="-15131"/>
    <x v="784"/>
    <x v="1"/>
    <n v="-6456"/>
    <n v="17.675564681724847"/>
    <x v="1"/>
    <n v="1"/>
    <n v="0"/>
    <n v="0"/>
    <n v="0"/>
    <s v="Core staff"/>
    <x v="1"/>
  </r>
  <r>
    <n v="5041402"/>
    <x v="1"/>
    <s v="Y"/>
    <s v="Y"/>
    <n v="0"/>
    <x v="1"/>
    <x v="1"/>
    <x v="0"/>
    <x v="2"/>
    <x v="2"/>
    <d v="1995-08-07T00:00:00"/>
    <n v="-10730"/>
    <x v="785"/>
    <x v="4"/>
    <n v="-1190"/>
    <n v="3.2580424366872007"/>
    <x v="1"/>
    <n v="1"/>
    <n v="0"/>
    <n v="0"/>
    <n v="0"/>
    <m/>
    <x v="0"/>
  </r>
  <r>
    <n v="5041415"/>
    <x v="0"/>
    <s v="Y"/>
    <s v="N"/>
    <n v="0"/>
    <x v="5"/>
    <x v="2"/>
    <x v="0"/>
    <x v="1"/>
    <x v="0"/>
    <d v="1988-12-25T00:00:00"/>
    <n v="-13146"/>
    <x v="786"/>
    <x v="3"/>
    <n v="-2163"/>
    <n v="5.9219712525667347"/>
    <x v="1"/>
    <n v="1"/>
    <n v="0"/>
    <n v="0"/>
    <n v="0"/>
    <s v="High skill tech staff"/>
    <x v="1"/>
  </r>
  <r>
    <n v="5041418"/>
    <x v="0"/>
    <s v="Y"/>
    <s v="N"/>
    <n v="0"/>
    <x v="5"/>
    <x v="2"/>
    <x v="0"/>
    <x v="1"/>
    <x v="0"/>
    <d v="1988-12-25T00:00:00"/>
    <n v="-13146"/>
    <x v="786"/>
    <x v="3"/>
    <n v="-2163"/>
    <n v="5.9219712525667347"/>
    <x v="1"/>
    <n v="1"/>
    <n v="0"/>
    <n v="0"/>
    <n v="0"/>
    <s v="High skill tech staff"/>
    <x v="1"/>
  </r>
  <r>
    <n v="5041432"/>
    <x v="0"/>
    <s v="Y"/>
    <s v="Y"/>
    <n v="0"/>
    <x v="11"/>
    <x v="3"/>
    <x v="0"/>
    <x v="2"/>
    <x v="0"/>
    <d v="1964-06-19T00:00:00"/>
    <n v="-22101"/>
    <x v="787"/>
    <x v="0"/>
    <n v="-15038"/>
    <n v="41.171800136892543"/>
    <x v="1"/>
    <n v="1"/>
    <n v="0"/>
    <n v="1"/>
    <n v="0"/>
    <m/>
    <x v="0"/>
  </r>
  <r>
    <n v="5041439"/>
    <x v="0"/>
    <s v="Y"/>
    <s v="Y"/>
    <n v="0"/>
    <x v="11"/>
    <x v="3"/>
    <x v="0"/>
    <x v="2"/>
    <x v="0"/>
    <d v="1964-06-19T00:00:00"/>
    <n v="-22101"/>
    <x v="787"/>
    <x v="0"/>
    <n v="-15038"/>
    <n v="41.171800136892543"/>
    <x v="1"/>
    <n v="1"/>
    <n v="0"/>
    <n v="1"/>
    <n v="0"/>
    <m/>
    <x v="0"/>
  </r>
  <r>
    <n v="5041446"/>
    <x v="1"/>
    <s v="Y"/>
    <s v="Y"/>
    <n v="0"/>
    <x v="21"/>
    <x v="1"/>
    <x v="0"/>
    <x v="1"/>
    <x v="0"/>
    <d v="1969-02-19T00:00:00"/>
    <n v="-20395"/>
    <x v="788"/>
    <x v="2"/>
    <n v="-2682"/>
    <n v="7.3429158110882957"/>
    <x v="1"/>
    <n v="1"/>
    <n v="0"/>
    <n v="0"/>
    <n v="0"/>
    <s v="Managers"/>
    <x v="1"/>
  </r>
  <r>
    <n v="5041456"/>
    <x v="0"/>
    <s v="Y"/>
    <s v="N"/>
    <n v="0"/>
    <x v="16"/>
    <x v="1"/>
    <x v="1"/>
    <x v="0"/>
    <x v="0"/>
    <d v="1982-12-12T00:00:00"/>
    <n v="-15351"/>
    <x v="789"/>
    <x v="1"/>
    <n v="-6790"/>
    <n v="18.590006844626966"/>
    <x v="1"/>
    <n v="1"/>
    <n v="0"/>
    <n v="0"/>
    <n v="0"/>
    <s v="Core staff"/>
    <x v="0"/>
  </r>
  <r>
    <n v="5041460"/>
    <x v="0"/>
    <s v="Y"/>
    <s v="N"/>
    <n v="0"/>
    <x v="16"/>
    <x v="1"/>
    <x v="1"/>
    <x v="0"/>
    <x v="0"/>
    <d v="1982-12-12T00:00:00"/>
    <n v="-15351"/>
    <x v="789"/>
    <x v="1"/>
    <n v="-6790"/>
    <n v="18.590006844626966"/>
    <x v="1"/>
    <n v="1"/>
    <n v="0"/>
    <n v="0"/>
    <n v="0"/>
    <s v="Core staff"/>
    <x v="0"/>
  </r>
  <r>
    <n v="5041471"/>
    <x v="0"/>
    <s v="N"/>
    <s v="N"/>
    <n v="2"/>
    <x v="1"/>
    <x v="3"/>
    <x v="2"/>
    <x v="1"/>
    <x v="2"/>
    <d v="1993-02-11T00:00:00"/>
    <n v="-11637"/>
    <x v="790"/>
    <x v="3"/>
    <n v="-2285"/>
    <n v="6.2559890485968515"/>
    <x v="1"/>
    <n v="1"/>
    <n v="1"/>
    <n v="1"/>
    <n v="0"/>
    <s v="Core staff"/>
    <x v="2"/>
  </r>
  <r>
    <n v="5041474"/>
    <x v="0"/>
    <s v="N"/>
    <s v="Y"/>
    <n v="0"/>
    <x v="30"/>
    <x v="1"/>
    <x v="0"/>
    <x v="1"/>
    <x v="0"/>
    <d v="2000-04-26T00:00:00"/>
    <n v="-9006"/>
    <x v="791"/>
    <x v="4"/>
    <n v="-793"/>
    <n v="2.1711156741957565"/>
    <x v="1"/>
    <n v="1"/>
    <n v="0"/>
    <n v="0"/>
    <n v="1"/>
    <s v="Sales staff"/>
    <x v="1"/>
  </r>
  <r>
    <n v="5041488"/>
    <x v="0"/>
    <s v="Y"/>
    <s v="Y"/>
    <n v="0"/>
    <x v="3"/>
    <x v="2"/>
    <x v="1"/>
    <x v="1"/>
    <x v="0"/>
    <d v="1985-07-01T00:00:00"/>
    <n v="-14419"/>
    <x v="792"/>
    <x v="3"/>
    <n v="-2407"/>
    <n v="6.5900068446269682"/>
    <x v="1"/>
    <n v="1"/>
    <n v="1"/>
    <n v="1"/>
    <n v="0"/>
    <m/>
    <x v="1"/>
  </r>
  <r>
    <n v="5041495"/>
    <x v="1"/>
    <s v="Y"/>
    <s v="Y"/>
    <n v="0"/>
    <x v="30"/>
    <x v="2"/>
    <x v="1"/>
    <x v="3"/>
    <x v="0"/>
    <d v="1989-11-15T00:00:00"/>
    <n v="-12821"/>
    <x v="793"/>
    <x v="3"/>
    <n v="-155"/>
    <n v="0.42436687200547568"/>
    <x v="1"/>
    <n v="1"/>
    <n v="0"/>
    <n v="0"/>
    <n v="0"/>
    <s v="Laborers"/>
    <x v="1"/>
  </r>
  <r>
    <n v="5041508"/>
    <x v="1"/>
    <s v="N"/>
    <s v="Y"/>
    <n v="1"/>
    <x v="19"/>
    <x v="2"/>
    <x v="0"/>
    <x v="1"/>
    <x v="3"/>
    <d v="1989-07-05T00:00:00"/>
    <n v="-12954"/>
    <x v="794"/>
    <x v="3"/>
    <n v="-2590"/>
    <n v="7.0910335386721428"/>
    <x v="1"/>
    <n v="1"/>
    <n v="0"/>
    <n v="0"/>
    <n v="0"/>
    <s v="Managers"/>
    <x v="3"/>
  </r>
  <r>
    <n v="5041509"/>
    <x v="1"/>
    <s v="N"/>
    <s v="Y"/>
    <n v="1"/>
    <x v="19"/>
    <x v="2"/>
    <x v="0"/>
    <x v="1"/>
    <x v="3"/>
    <d v="1989-07-05T00:00:00"/>
    <n v="-12954"/>
    <x v="794"/>
    <x v="3"/>
    <n v="-2590"/>
    <n v="7.0910335386721428"/>
    <x v="1"/>
    <n v="1"/>
    <n v="0"/>
    <n v="0"/>
    <n v="0"/>
    <s v="Managers"/>
    <x v="3"/>
  </r>
  <r>
    <n v="5041510"/>
    <x v="1"/>
    <s v="N"/>
    <s v="Y"/>
    <n v="1"/>
    <x v="19"/>
    <x v="2"/>
    <x v="0"/>
    <x v="1"/>
    <x v="3"/>
    <d v="1989-07-05T00:00:00"/>
    <n v="-12954"/>
    <x v="794"/>
    <x v="3"/>
    <n v="-2590"/>
    <n v="7.0910335386721428"/>
    <x v="1"/>
    <n v="1"/>
    <n v="0"/>
    <n v="0"/>
    <n v="0"/>
    <s v="Managers"/>
    <x v="3"/>
  </r>
  <r>
    <n v="5041524"/>
    <x v="0"/>
    <s v="Y"/>
    <s v="Y"/>
    <n v="0"/>
    <x v="1"/>
    <x v="2"/>
    <x v="0"/>
    <x v="1"/>
    <x v="0"/>
    <d v="1988-02-01T00:00:00"/>
    <n v="-13474"/>
    <x v="795"/>
    <x v="3"/>
    <n v="-2894"/>
    <n v="7.9233401779603012"/>
    <x v="1"/>
    <n v="1"/>
    <n v="1"/>
    <n v="1"/>
    <n v="0"/>
    <s v="Accountants"/>
    <x v="1"/>
  </r>
  <r>
    <n v="5041546"/>
    <x v="1"/>
    <s v="Y"/>
    <s v="Y"/>
    <n v="0"/>
    <x v="16"/>
    <x v="3"/>
    <x v="1"/>
    <x v="1"/>
    <x v="0"/>
    <d v="1998-10-10T00:00:00"/>
    <n v="-9570"/>
    <x v="796"/>
    <x v="4"/>
    <n v="-2620"/>
    <n v="7.1731690622861057"/>
    <x v="1"/>
    <n v="1"/>
    <n v="0"/>
    <n v="0"/>
    <n v="0"/>
    <s v="Drivers"/>
    <x v="1"/>
  </r>
  <r>
    <n v="5041568"/>
    <x v="0"/>
    <s v="Y"/>
    <s v="Y"/>
    <n v="0"/>
    <x v="16"/>
    <x v="1"/>
    <x v="0"/>
    <x v="1"/>
    <x v="0"/>
    <d v="1989-07-06T00:00:00"/>
    <n v="-12953"/>
    <x v="797"/>
    <x v="3"/>
    <n v="-306"/>
    <n v="0.83778234086242298"/>
    <x v="1"/>
    <n v="1"/>
    <n v="1"/>
    <n v="1"/>
    <n v="0"/>
    <m/>
    <x v="1"/>
  </r>
  <r>
    <n v="5041632"/>
    <x v="1"/>
    <s v="Y"/>
    <s v="Y"/>
    <n v="0"/>
    <x v="60"/>
    <x v="2"/>
    <x v="1"/>
    <x v="1"/>
    <x v="0"/>
    <d v="1982-07-06T00:00:00"/>
    <n v="-15510"/>
    <x v="798"/>
    <x v="1"/>
    <n v="-3016"/>
    <n v="8.2573579739904179"/>
    <x v="1"/>
    <n v="1"/>
    <n v="0"/>
    <n v="0"/>
    <n v="0"/>
    <s v="Laborers"/>
    <x v="1"/>
  </r>
  <r>
    <n v="5041638"/>
    <x v="0"/>
    <s v="N"/>
    <s v="Y"/>
    <n v="0"/>
    <x v="8"/>
    <x v="2"/>
    <x v="1"/>
    <x v="3"/>
    <x v="0"/>
    <d v="1979-07-04T00:00:00"/>
    <n v="-16608"/>
    <x v="799"/>
    <x v="1"/>
    <n v="-5573"/>
    <n v="15.2580424366872"/>
    <x v="1"/>
    <n v="1"/>
    <n v="0"/>
    <n v="1"/>
    <n v="0"/>
    <m/>
    <x v="1"/>
  </r>
  <r>
    <n v="5041648"/>
    <x v="0"/>
    <s v="Y"/>
    <s v="Y"/>
    <n v="1"/>
    <x v="18"/>
    <x v="1"/>
    <x v="1"/>
    <x v="1"/>
    <x v="0"/>
    <d v="1986-02-19T00:00:00"/>
    <n v="-14186"/>
    <x v="800"/>
    <x v="3"/>
    <n v="-1736"/>
    <n v="4.7529089664613275"/>
    <x v="1"/>
    <n v="1"/>
    <n v="0"/>
    <n v="1"/>
    <n v="0"/>
    <s v="Sales staff"/>
    <x v="3"/>
  </r>
  <r>
    <n v="5041663"/>
    <x v="0"/>
    <s v="Y"/>
    <s v="Y"/>
    <n v="1"/>
    <x v="92"/>
    <x v="1"/>
    <x v="0"/>
    <x v="1"/>
    <x v="0"/>
    <d v="1993-06-03T00:00:00"/>
    <n v="-11525"/>
    <x v="801"/>
    <x v="3"/>
    <n v="-1616"/>
    <n v="4.4243668720054758"/>
    <x v="1"/>
    <n v="1"/>
    <n v="0"/>
    <n v="0"/>
    <n v="0"/>
    <s v="Managers"/>
    <x v="3"/>
  </r>
  <r>
    <n v="5041665"/>
    <x v="0"/>
    <s v="Y"/>
    <s v="Y"/>
    <n v="1"/>
    <x v="92"/>
    <x v="1"/>
    <x v="0"/>
    <x v="1"/>
    <x v="0"/>
    <d v="1993-06-03T00:00:00"/>
    <n v="-11525"/>
    <x v="801"/>
    <x v="3"/>
    <n v="-1616"/>
    <n v="4.4243668720054758"/>
    <x v="1"/>
    <n v="1"/>
    <n v="0"/>
    <n v="0"/>
    <n v="0"/>
    <s v="Managers"/>
    <x v="3"/>
  </r>
  <r>
    <n v="5041666"/>
    <x v="0"/>
    <s v="Y"/>
    <s v="Y"/>
    <n v="1"/>
    <x v="92"/>
    <x v="1"/>
    <x v="0"/>
    <x v="1"/>
    <x v="0"/>
    <d v="1993-06-03T00:00:00"/>
    <n v="-11525"/>
    <x v="801"/>
    <x v="3"/>
    <n v="-1616"/>
    <n v="4.4243668720054758"/>
    <x v="1"/>
    <n v="1"/>
    <n v="0"/>
    <n v="0"/>
    <n v="0"/>
    <s v="Managers"/>
    <x v="3"/>
  </r>
  <r>
    <n v="5041668"/>
    <x v="0"/>
    <s v="Y"/>
    <s v="Y"/>
    <n v="1"/>
    <x v="92"/>
    <x v="1"/>
    <x v="0"/>
    <x v="1"/>
    <x v="0"/>
    <d v="1993-06-03T00:00:00"/>
    <n v="-11525"/>
    <x v="801"/>
    <x v="3"/>
    <n v="-1616"/>
    <n v="4.4243668720054758"/>
    <x v="1"/>
    <n v="1"/>
    <n v="0"/>
    <n v="0"/>
    <n v="0"/>
    <s v="Managers"/>
    <x v="3"/>
  </r>
  <r>
    <n v="5041669"/>
    <x v="0"/>
    <s v="Y"/>
    <s v="Y"/>
    <n v="1"/>
    <x v="92"/>
    <x v="1"/>
    <x v="0"/>
    <x v="1"/>
    <x v="0"/>
    <d v="1993-06-03T00:00:00"/>
    <n v="-11525"/>
    <x v="801"/>
    <x v="3"/>
    <n v="-1616"/>
    <n v="4.4243668720054758"/>
    <x v="1"/>
    <n v="1"/>
    <n v="0"/>
    <n v="0"/>
    <n v="0"/>
    <s v="Managers"/>
    <x v="3"/>
  </r>
  <r>
    <n v="5041682"/>
    <x v="0"/>
    <s v="N"/>
    <s v="N"/>
    <n v="0"/>
    <x v="56"/>
    <x v="0"/>
    <x v="1"/>
    <x v="1"/>
    <x v="0"/>
    <d v="1966-01-28T00:00:00"/>
    <n v="-21513"/>
    <x v="802"/>
    <x v="2"/>
    <n v="365243"/>
    <n v="0"/>
    <x v="0"/>
    <n v="1"/>
    <n v="0"/>
    <n v="1"/>
    <n v="0"/>
    <m/>
    <x v="1"/>
  </r>
  <r>
    <n v="5041697"/>
    <x v="0"/>
    <s v="Y"/>
    <s v="N"/>
    <n v="0"/>
    <x v="93"/>
    <x v="3"/>
    <x v="0"/>
    <x v="2"/>
    <x v="0"/>
    <d v="1991-07-15T00:00:00"/>
    <n v="-12214"/>
    <x v="803"/>
    <x v="3"/>
    <n v="-3807"/>
    <n v="10.422997946611909"/>
    <x v="1"/>
    <n v="1"/>
    <n v="0"/>
    <n v="0"/>
    <n v="0"/>
    <s v="Core staff"/>
    <x v="0"/>
  </r>
  <r>
    <n v="5041724"/>
    <x v="0"/>
    <s v="Y"/>
    <s v="Y"/>
    <n v="0"/>
    <x v="8"/>
    <x v="2"/>
    <x v="0"/>
    <x v="1"/>
    <x v="0"/>
    <d v="1977-05-26T00:00:00"/>
    <n v="-17377"/>
    <x v="804"/>
    <x v="1"/>
    <n v="-5512"/>
    <n v="15.091033538672143"/>
    <x v="1"/>
    <n v="1"/>
    <n v="0"/>
    <n v="0"/>
    <n v="0"/>
    <s v="High skill tech staff"/>
    <x v="1"/>
  </r>
  <r>
    <n v="5041740"/>
    <x v="1"/>
    <s v="N"/>
    <s v="Y"/>
    <n v="1"/>
    <x v="5"/>
    <x v="2"/>
    <x v="1"/>
    <x v="1"/>
    <x v="0"/>
    <d v="1990-07-09T00:00:00"/>
    <n v="-12585"/>
    <x v="641"/>
    <x v="3"/>
    <n v="-367"/>
    <n v="1.0047912388774811"/>
    <x v="1"/>
    <n v="1"/>
    <n v="0"/>
    <n v="0"/>
    <n v="0"/>
    <s v="Sales staff"/>
    <x v="3"/>
  </r>
  <r>
    <n v="5041761"/>
    <x v="0"/>
    <s v="N"/>
    <s v="Y"/>
    <n v="0"/>
    <x v="5"/>
    <x v="3"/>
    <x v="0"/>
    <x v="1"/>
    <x v="0"/>
    <d v="1983-07-06T00:00:00"/>
    <n v="-15145"/>
    <x v="805"/>
    <x v="1"/>
    <n v="-3654"/>
    <n v="10.004106776180699"/>
    <x v="1"/>
    <n v="1"/>
    <n v="0"/>
    <n v="1"/>
    <n v="0"/>
    <s v="Managers"/>
    <x v="1"/>
  </r>
  <r>
    <n v="5041776"/>
    <x v="0"/>
    <s v="Y"/>
    <s v="N"/>
    <n v="3"/>
    <x v="1"/>
    <x v="2"/>
    <x v="0"/>
    <x v="1"/>
    <x v="0"/>
    <d v="1987-12-12T00:00:00"/>
    <n v="-13525"/>
    <x v="806"/>
    <x v="3"/>
    <n v="-4478"/>
    <n v="12.260095824777549"/>
    <x v="1"/>
    <n v="1"/>
    <n v="1"/>
    <n v="1"/>
    <n v="0"/>
    <s v="Core staff"/>
    <x v="4"/>
  </r>
  <r>
    <n v="5041777"/>
    <x v="0"/>
    <s v="Y"/>
    <s v="N"/>
    <n v="3"/>
    <x v="1"/>
    <x v="2"/>
    <x v="0"/>
    <x v="1"/>
    <x v="0"/>
    <d v="1987-12-12T00:00:00"/>
    <n v="-13525"/>
    <x v="806"/>
    <x v="3"/>
    <n v="-4478"/>
    <n v="12.260095824777549"/>
    <x v="1"/>
    <n v="1"/>
    <n v="1"/>
    <n v="1"/>
    <n v="0"/>
    <s v="Core staff"/>
    <x v="4"/>
  </r>
  <r>
    <n v="5041778"/>
    <x v="0"/>
    <s v="Y"/>
    <s v="N"/>
    <n v="3"/>
    <x v="1"/>
    <x v="2"/>
    <x v="0"/>
    <x v="1"/>
    <x v="0"/>
    <d v="1987-12-12T00:00:00"/>
    <n v="-13525"/>
    <x v="806"/>
    <x v="3"/>
    <n v="-4478"/>
    <n v="12.260095824777549"/>
    <x v="1"/>
    <n v="1"/>
    <n v="1"/>
    <n v="1"/>
    <n v="0"/>
    <s v="Core staff"/>
    <x v="4"/>
  </r>
  <r>
    <n v="5041781"/>
    <x v="1"/>
    <s v="N"/>
    <s v="N"/>
    <n v="2"/>
    <x v="16"/>
    <x v="2"/>
    <x v="1"/>
    <x v="1"/>
    <x v="0"/>
    <d v="1984-01-01T00:00:00"/>
    <n v="-14966"/>
    <x v="807"/>
    <x v="1"/>
    <n v="-399"/>
    <n v="1.0924024640657084"/>
    <x v="1"/>
    <n v="1"/>
    <n v="1"/>
    <n v="0"/>
    <n v="0"/>
    <m/>
    <x v="2"/>
  </r>
  <r>
    <n v="5041788"/>
    <x v="1"/>
    <s v="Y"/>
    <s v="N"/>
    <n v="0"/>
    <x v="35"/>
    <x v="2"/>
    <x v="1"/>
    <x v="1"/>
    <x v="0"/>
    <d v="1967-05-20T00:00:00"/>
    <n v="-21036"/>
    <x v="808"/>
    <x v="2"/>
    <n v="-1252"/>
    <n v="3.4277891854893907"/>
    <x v="1"/>
    <n v="1"/>
    <n v="1"/>
    <n v="0"/>
    <n v="0"/>
    <s v="Drivers"/>
    <x v="1"/>
  </r>
  <r>
    <n v="5041798"/>
    <x v="0"/>
    <s v="N"/>
    <s v="N"/>
    <n v="0"/>
    <x v="86"/>
    <x v="2"/>
    <x v="1"/>
    <x v="1"/>
    <x v="0"/>
    <d v="1981-04-08T00:00:00"/>
    <n v="-15964"/>
    <x v="809"/>
    <x v="1"/>
    <n v="-276"/>
    <n v="0.75564681724845995"/>
    <x v="1"/>
    <n v="1"/>
    <n v="0"/>
    <n v="0"/>
    <n v="0"/>
    <s v="Cleaning staff"/>
    <x v="1"/>
  </r>
  <r>
    <n v="5041807"/>
    <x v="0"/>
    <s v="N"/>
    <s v="N"/>
    <n v="0"/>
    <x v="30"/>
    <x v="2"/>
    <x v="1"/>
    <x v="1"/>
    <x v="0"/>
    <d v="1980-02-25T00:00:00"/>
    <n v="-16372"/>
    <x v="810"/>
    <x v="1"/>
    <n v="-3900"/>
    <n v="10.677618069815194"/>
    <x v="1"/>
    <n v="1"/>
    <n v="0"/>
    <n v="1"/>
    <n v="0"/>
    <s v="Laborers"/>
    <x v="1"/>
  </r>
  <r>
    <n v="5041811"/>
    <x v="0"/>
    <s v="N"/>
    <s v="N"/>
    <n v="0"/>
    <x v="30"/>
    <x v="2"/>
    <x v="1"/>
    <x v="1"/>
    <x v="0"/>
    <d v="1980-02-25T00:00:00"/>
    <n v="-16372"/>
    <x v="810"/>
    <x v="1"/>
    <n v="-3900"/>
    <n v="10.677618069815194"/>
    <x v="1"/>
    <n v="1"/>
    <n v="0"/>
    <n v="1"/>
    <n v="0"/>
    <s v="Laborers"/>
    <x v="1"/>
  </r>
  <r>
    <n v="5041817"/>
    <x v="0"/>
    <s v="Y"/>
    <s v="N"/>
    <n v="0"/>
    <x v="2"/>
    <x v="2"/>
    <x v="1"/>
    <x v="1"/>
    <x v="4"/>
    <d v="1977-05-31T00:00:00"/>
    <n v="-17372"/>
    <x v="811"/>
    <x v="1"/>
    <n v="-978"/>
    <n v="2.6776180698151952"/>
    <x v="1"/>
    <n v="1"/>
    <n v="0"/>
    <n v="1"/>
    <n v="0"/>
    <s v="Sales staff"/>
    <x v="1"/>
  </r>
  <r>
    <n v="5041827"/>
    <x v="0"/>
    <s v="Y"/>
    <s v="N"/>
    <n v="0"/>
    <x v="2"/>
    <x v="2"/>
    <x v="1"/>
    <x v="1"/>
    <x v="4"/>
    <d v="1977-05-31T00:00:00"/>
    <n v="-17372"/>
    <x v="811"/>
    <x v="1"/>
    <n v="-978"/>
    <n v="2.6776180698151952"/>
    <x v="1"/>
    <n v="1"/>
    <n v="0"/>
    <n v="1"/>
    <n v="0"/>
    <s v="Sales staff"/>
    <x v="1"/>
  </r>
  <r>
    <n v="5041832"/>
    <x v="0"/>
    <s v="Y"/>
    <s v="N"/>
    <n v="0"/>
    <x v="2"/>
    <x v="2"/>
    <x v="1"/>
    <x v="1"/>
    <x v="4"/>
    <d v="1977-05-31T00:00:00"/>
    <n v="-17372"/>
    <x v="811"/>
    <x v="1"/>
    <n v="-978"/>
    <n v="2.6776180698151952"/>
    <x v="1"/>
    <n v="1"/>
    <n v="0"/>
    <n v="1"/>
    <n v="0"/>
    <s v="Sales staff"/>
    <x v="1"/>
  </r>
  <r>
    <n v="5041843"/>
    <x v="0"/>
    <s v="Y"/>
    <s v="N"/>
    <n v="0"/>
    <x v="51"/>
    <x v="1"/>
    <x v="2"/>
    <x v="1"/>
    <x v="0"/>
    <d v="1977-01-30T00:00:00"/>
    <n v="-17493"/>
    <x v="812"/>
    <x v="1"/>
    <n v="-2347"/>
    <n v="6.4257357973990414"/>
    <x v="1"/>
    <n v="1"/>
    <n v="1"/>
    <n v="0"/>
    <n v="0"/>
    <m/>
    <x v="1"/>
  </r>
  <r>
    <n v="5041847"/>
    <x v="0"/>
    <s v="Y"/>
    <s v="N"/>
    <n v="0"/>
    <x v="51"/>
    <x v="1"/>
    <x v="2"/>
    <x v="1"/>
    <x v="0"/>
    <d v="1977-01-30T00:00:00"/>
    <n v="-17493"/>
    <x v="812"/>
    <x v="1"/>
    <n v="-2347"/>
    <n v="6.4257357973990414"/>
    <x v="1"/>
    <n v="1"/>
    <n v="1"/>
    <n v="0"/>
    <n v="0"/>
    <m/>
    <x v="1"/>
  </r>
  <r>
    <n v="5041852"/>
    <x v="1"/>
    <s v="Y"/>
    <s v="N"/>
    <n v="0"/>
    <x v="2"/>
    <x v="0"/>
    <x v="1"/>
    <x v="3"/>
    <x v="0"/>
    <d v="1964-10-08T00:00:00"/>
    <n v="-21990"/>
    <x v="813"/>
    <x v="0"/>
    <n v="365243"/>
    <n v="0"/>
    <x v="0"/>
    <n v="1"/>
    <n v="0"/>
    <n v="1"/>
    <n v="0"/>
    <m/>
    <x v="1"/>
  </r>
  <r>
    <n v="5041853"/>
    <x v="1"/>
    <s v="Y"/>
    <s v="N"/>
    <n v="0"/>
    <x v="2"/>
    <x v="0"/>
    <x v="1"/>
    <x v="3"/>
    <x v="0"/>
    <d v="1964-10-08T00:00:00"/>
    <n v="-21990"/>
    <x v="813"/>
    <x v="0"/>
    <n v="365243"/>
    <n v="0"/>
    <x v="0"/>
    <n v="1"/>
    <n v="0"/>
    <n v="1"/>
    <n v="0"/>
    <m/>
    <x v="1"/>
  </r>
  <r>
    <n v="5041901"/>
    <x v="0"/>
    <s v="N"/>
    <s v="N"/>
    <n v="0"/>
    <x v="1"/>
    <x v="2"/>
    <x v="1"/>
    <x v="1"/>
    <x v="0"/>
    <d v="1981-08-11T00:00:00"/>
    <n v="-15839"/>
    <x v="814"/>
    <x v="1"/>
    <n v="-1525"/>
    <n v="4.1752224503764541"/>
    <x v="1"/>
    <n v="1"/>
    <n v="1"/>
    <n v="1"/>
    <n v="0"/>
    <s v="Sales staff"/>
    <x v="1"/>
  </r>
  <r>
    <n v="5041905"/>
    <x v="0"/>
    <s v="N"/>
    <s v="N"/>
    <n v="0"/>
    <x v="1"/>
    <x v="2"/>
    <x v="1"/>
    <x v="1"/>
    <x v="0"/>
    <d v="1981-08-11T00:00:00"/>
    <n v="-15839"/>
    <x v="814"/>
    <x v="1"/>
    <n v="-1525"/>
    <n v="4.1752224503764541"/>
    <x v="1"/>
    <n v="1"/>
    <n v="1"/>
    <n v="1"/>
    <n v="0"/>
    <s v="Sales staff"/>
    <x v="1"/>
  </r>
  <r>
    <n v="5041911"/>
    <x v="0"/>
    <s v="N"/>
    <s v="N"/>
    <n v="0"/>
    <x v="37"/>
    <x v="2"/>
    <x v="1"/>
    <x v="1"/>
    <x v="0"/>
    <d v="1974-01-29T00:00:00"/>
    <n v="-18590"/>
    <x v="815"/>
    <x v="2"/>
    <n v="-3382"/>
    <n v="9.2594113620807672"/>
    <x v="1"/>
    <n v="1"/>
    <n v="0"/>
    <n v="1"/>
    <n v="0"/>
    <s v="Laborers"/>
    <x v="1"/>
  </r>
  <r>
    <n v="5041922"/>
    <x v="1"/>
    <s v="N"/>
    <s v="N"/>
    <n v="0"/>
    <x v="1"/>
    <x v="0"/>
    <x v="1"/>
    <x v="1"/>
    <x v="0"/>
    <d v="1962-08-25T00:00:00"/>
    <n v="-22765"/>
    <x v="816"/>
    <x v="0"/>
    <n v="365243"/>
    <n v="0"/>
    <x v="0"/>
    <n v="1"/>
    <n v="0"/>
    <n v="1"/>
    <n v="0"/>
    <m/>
    <x v="1"/>
  </r>
  <r>
    <n v="5041924"/>
    <x v="1"/>
    <s v="N"/>
    <s v="N"/>
    <n v="0"/>
    <x v="1"/>
    <x v="0"/>
    <x v="1"/>
    <x v="1"/>
    <x v="0"/>
    <d v="1962-08-25T00:00:00"/>
    <n v="-22765"/>
    <x v="816"/>
    <x v="0"/>
    <n v="365243"/>
    <n v="0"/>
    <x v="0"/>
    <n v="1"/>
    <n v="0"/>
    <n v="1"/>
    <n v="0"/>
    <m/>
    <x v="1"/>
  </r>
  <r>
    <n v="5041929"/>
    <x v="1"/>
    <s v="Y"/>
    <s v="N"/>
    <n v="0"/>
    <x v="5"/>
    <x v="2"/>
    <x v="1"/>
    <x v="1"/>
    <x v="1"/>
    <d v="1991-02-05T00:00:00"/>
    <n v="-12374"/>
    <x v="817"/>
    <x v="3"/>
    <n v="-307"/>
    <n v="0.84052019164955505"/>
    <x v="1"/>
    <n v="1"/>
    <n v="1"/>
    <n v="1"/>
    <n v="0"/>
    <s v="Core staff"/>
    <x v="1"/>
  </r>
  <r>
    <n v="5041940"/>
    <x v="1"/>
    <s v="N"/>
    <s v="N"/>
    <n v="0"/>
    <x v="43"/>
    <x v="2"/>
    <x v="1"/>
    <x v="1"/>
    <x v="0"/>
    <d v="1996-09-28T00:00:00"/>
    <n v="-10312"/>
    <x v="818"/>
    <x v="4"/>
    <n v="-703"/>
    <n v="1.9247091033538672"/>
    <x v="1"/>
    <n v="1"/>
    <n v="0"/>
    <n v="1"/>
    <n v="0"/>
    <s v="Laborers"/>
    <x v="1"/>
  </r>
  <r>
    <n v="5041955"/>
    <x v="0"/>
    <s v="N"/>
    <s v="N"/>
    <n v="0"/>
    <x v="5"/>
    <x v="0"/>
    <x v="1"/>
    <x v="1"/>
    <x v="0"/>
    <d v="1969-07-09T00:00:00"/>
    <n v="-20255"/>
    <x v="819"/>
    <x v="2"/>
    <n v="365243"/>
    <n v="0"/>
    <x v="0"/>
    <n v="1"/>
    <n v="0"/>
    <n v="0"/>
    <n v="0"/>
    <m/>
    <x v="1"/>
  </r>
  <r>
    <n v="5041964"/>
    <x v="0"/>
    <s v="N"/>
    <s v="N"/>
    <n v="0"/>
    <x v="5"/>
    <x v="2"/>
    <x v="1"/>
    <x v="3"/>
    <x v="2"/>
    <d v="1994-11-01T00:00:00"/>
    <n v="-11009"/>
    <x v="198"/>
    <x v="3"/>
    <n v="-1434"/>
    <n v="3.9260780287474333"/>
    <x v="1"/>
    <n v="1"/>
    <n v="1"/>
    <n v="1"/>
    <n v="0"/>
    <s v="Low-skill Laborers"/>
    <x v="1"/>
  </r>
  <r>
    <n v="5041981"/>
    <x v="0"/>
    <s v="N"/>
    <s v="N"/>
    <n v="0"/>
    <x v="86"/>
    <x v="1"/>
    <x v="0"/>
    <x v="1"/>
    <x v="2"/>
    <d v="1984-11-26T00:00:00"/>
    <n v="-14636"/>
    <x v="820"/>
    <x v="1"/>
    <n v="-4690"/>
    <n v="12.840520191649555"/>
    <x v="1"/>
    <n v="1"/>
    <n v="1"/>
    <n v="1"/>
    <n v="0"/>
    <s v="Laborers"/>
    <x v="1"/>
  </r>
  <r>
    <n v="5041989"/>
    <x v="0"/>
    <s v="N"/>
    <s v="N"/>
    <n v="0"/>
    <x v="39"/>
    <x v="1"/>
    <x v="1"/>
    <x v="3"/>
    <x v="0"/>
    <d v="1980-05-01T00:00:00"/>
    <n v="-16306"/>
    <x v="821"/>
    <x v="1"/>
    <n v="-4904"/>
    <n v="13.426420260095824"/>
    <x v="1"/>
    <n v="1"/>
    <n v="1"/>
    <n v="1"/>
    <n v="0"/>
    <s v="Laborers"/>
    <x v="1"/>
  </r>
  <r>
    <n v="5042017"/>
    <x v="1"/>
    <s v="Y"/>
    <s v="N"/>
    <n v="0"/>
    <x v="16"/>
    <x v="2"/>
    <x v="1"/>
    <x v="1"/>
    <x v="0"/>
    <d v="1996-07-26T00:00:00"/>
    <n v="-10376"/>
    <x v="822"/>
    <x v="4"/>
    <n v="-126"/>
    <n v="0.34496919917864477"/>
    <x v="1"/>
    <n v="1"/>
    <n v="0"/>
    <n v="1"/>
    <n v="0"/>
    <s v="Drivers"/>
    <x v="1"/>
  </r>
  <r>
    <n v="5042033"/>
    <x v="0"/>
    <s v="N"/>
    <s v="N"/>
    <n v="0"/>
    <x v="18"/>
    <x v="2"/>
    <x v="1"/>
    <x v="1"/>
    <x v="0"/>
    <d v="1986-06-25T00:00:00"/>
    <n v="-14060"/>
    <x v="823"/>
    <x v="3"/>
    <n v="-6457"/>
    <n v="17.678302532511978"/>
    <x v="1"/>
    <n v="1"/>
    <n v="1"/>
    <n v="0"/>
    <n v="0"/>
    <m/>
    <x v="1"/>
  </r>
  <r>
    <n v="5042034"/>
    <x v="0"/>
    <s v="N"/>
    <s v="N"/>
    <n v="0"/>
    <x v="11"/>
    <x v="1"/>
    <x v="1"/>
    <x v="1"/>
    <x v="0"/>
    <d v="1989-03-02T00:00:00"/>
    <n v="-13079"/>
    <x v="824"/>
    <x v="3"/>
    <n v="-2499"/>
    <n v="6.8418891170431211"/>
    <x v="1"/>
    <n v="1"/>
    <n v="1"/>
    <n v="0"/>
    <n v="0"/>
    <s v="Managers"/>
    <x v="1"/>
  </r>
  <r>
    <n v="5042036"/>
    <x v="0"/>
    <s v="N"/>
    <s v="N"/>
    <n v="0"/>
    <x v="11"/>
    <x v="1"/>
    <x v="1"/>
    <x v="1"/>
    <x v="0"/>
    <d v="1989-03-02T00:00:00"/>
    <n v="-13079"/>
    <x v="824"/>
    <x v="3"/>
    <n v="-2499"/>
    <n v="6.8418891170431211"/>
    <x v="1"/>
    <n v="1"/>
    <n v="1"/>
    <n v="0"/>
    <n v="0"/>
    <s v="Managers"/>
    <x v="1"/>
  </r>
  <r>
    <n v="5042037"/>
    <x v="0"/>
    <s v="N"/>
    <s v="N"/>
    <n v="0"/>
    <x v="11"/>
    <x v="1"/>
    <x v="1"/>
    <x v="1"/>
    <x v="0"/>
    <d v="1989-03-02T00:00:00"/>
    <n v="-13079"/>
    <x v="824"/>
    <x v="3"/>
    <n v="-2499"/>
    <n v="6.8418891170431211"/>
    <x v="1"/>
    <n v="1"/>
    <n v="1"/>
    <n v="0"/>
    <n v="0"/>
    <s v="Managers"/>
    <x v="1"/>
  </r>
  <r>
    <n v="5042043"/>
    <x v="0"/>
    <s v="N"/>
    <s v="N"/>
    <n v="0"/>
    <x v="51"/>
    <x v="0"/>
    <x v="0"/>
    <x v="2"/>
    <x v="0"/>
    <d v="1961-03-17T00:00:00"/>
    <n v="-23291"/>
    <x v="825"/>
    <x v="0"/>
    <n v="365243"/>
    <n v="0"/>
    <x v="0"/>
    <n v="1"/>
    <n v="0"/>
    <n v="1"/>
    <n v="0"/>
    <m/>
    <x v="0"/>
  </r>
  <r>
    <n v="5042048"/>
    <x v="0"/>
    <s v="N"/>
    <s v="N"/>
    <n v="0"/>
    <x v="5"/>
    <x v="2"/>
    <x v="1"/>
    <x v="4"/>
    <x v="0"/>
    <d v="1979-10-11T00:00:00"/>
    <n v="-16509"/>
    <x v="826"/>
    <x v="1"/>
    <n v="-2013"/>
    <n v="5.5112936344969201"/>
    <x v="1"/>
    <n v="1"/>
    <n v="1"/>
    <n v="1"/>
    <n v="0"/>
    <s v="Sales staff"/>
    <x v="0"/>
  </r>
  <r>
    <n v="5042050"/>
    <x v="0"/>
    <s v="N"/>
    <s v="N"/>
    <n v="0"/>
    <x v="5"/>
    <x v="2"/>
    <x v="1"/>
    <x v="4"/>
    <x v="0"/>
    <d v="1979-10-11T00:00:00"/>
    <n v="-16509"/>
    <x v="826"/>
    <x v="1"/>
    <n v="-2013"/>
    <n v="5.5112936344969201"/>
    <x v="1"/>
    <n v="1"/>
    <n v="1"/>
    <n v="1"/>
    <n v="0"/>
    <s v="Sales staff"/>
    <x v="0"/>
  </r>
  <r>
    <n v="5042072"/>
    <x v="0"/>
    <s v="Y"/>
    <s v="N"/>
    <n v="2"/>
    <x v="18"/>
    <x v="3"/>
    <x v="0"/>
    <x v="1"/>
    <x v="0"/>
    <d v="1981-01-09T00:00:00"/>
    <n v="-16053"/>
    <x v="827"/>
    <x v="1"/>
    <n v="-7369"/>
    <n v="20.175222450376456"/>
    <x v="1"/>
    <n v="1"/>
    <n v="1"/>
    <n v="1"/>
    <n v="0"/>
    <m/>
    <x v="2"/>
  </r>
  <r>
    <n v="5042073"/>
    <x v="0"/>
    <s v="Y"/>
    <s v="N"/>
    <n v="2"/>
    <x v="18"/>
    <x v="3"/>
    <x v="0"/>
    <x v="1"/>
    <x v="0"/>
    <d v="1981-01-09T00:00:00"/>
    <n v="-16053"/>
    <x v="827"/>
    <x v="1"/>
    <n v="-7369"/>
    <n v="20.175222450376456"/>
    <x v="1"/>
    <n v="1"/>
    <n v="1"/>
    <n v="1"/>
    <n v="0"/>
    <m/>
    <x v="2"/>
  </r>
  <r>
    <n v="5042082"/>
    <x v="0"/>
    <s v="Y"/>
    <s v="N"/>
    <n v="0"/>
    <x v="12"/>
    <x v="1"/>
    <x v="0"/>
    <x v="1"/>
    <x v="0"/>
    <d v="1971-08-08T00:00:00"/>
    <n v="-19495"/>
    <x v="828"/>
    <x v="2"/>
    <n v="-1678"/>
    <n v="4.5941136208076658"/>
    <x v="1"/>
    <n v="1"/>
    <n v="0"/>
    <n v="1"/>
    <n v="0"/>
    <s v="Accountants"/>
    <x v="1"/>
  </r>
  <r>
    <n v="5042087"/>
    <x v="0"/>
    <s v="Y"/>
    <s v="N"/>
    <n v="0"/>
    <x v="12"/>
    <x v="1"/>
    <x v="0"/>
    <x v="1"/>
    <x v="0"/>
    <d v="1971-08-08T00:00:00"/>
    <n v="-19495"/>
    <x v="828"/>
    <x v="2"/>
    <n v="-1678"/>
    <n v="4.5941136208076658"/>
    <x v="1"/>
    <n v="1"/>
    <n v="0"/>
    <n v="1"/>
    <n v="0"/>
    <s v="Accountants"/>
    <x v="1"/>
  </r>
  <r>
    <n v="5042139"/>
    <x v="0"/>
    <s v="N"/>
    <s v="N"/>
    <n v="0"/>
    <x v="39"/>
    <x v="2"/>
    <x v="0"/>
    <x v="1"/>
    <x v="0"/>
    <d v="1986-04-10T00:00:00"/>
    <n v="-14136"/>
    <x v="829"/>
    <x v="3"/>
    <n v="-7400"/>
    <n v="20.260095824777551"/>
    <x v="1"/>
    <n v="1"/>
    <n v="1"/>
    <n v="1"/>
    <n v="0"/>
    <s v="Managers"/>
    <x v="1"/>
  </r>
  <r>
    <n v="5042140"/>
    <x v="0"/>
    <s v="N"/>
    <s v="N"/>
    <n v="0"/>
    <x v="39"/>
    <x v="2"/>
    <x v="0"/>
    <x v="1"/>
    <x v="0"/>
    <d v="1986-04-10T00:00:00"/>
    <n v="-14136"/>
    <x v="829"/>
    <x v="3"/>
    <n v="-7400"/>
    <n v="20.260095824777551"/>
    <x v="1"/>
    <n v="1"/>
    <n v="1"/>
    <n v="1"/>
    <n v="0"/>
    <s v="Managers"/>
    <x v="1"/>
  </r>
  <r>
    <n v="5042146"/>
    <x v="0"/>
    <s v="Y"/>
    <s v="N"/>
    <n v="2"/>
    <x v="30"/>
    <x v="3"/>
    <x v="0"/>
    <x v="1"/>
    <x v="0"/>
    <d v="1996-07-09T00:00:00"/>
    <n v="-10393"/>
    <x v="830"/>
    <x v="4"/>
    <n v="-2255"/>
    <n v="6.1738535249828885"/>
    <x v="1"/>
    <n v="1"/>
    <n v="1"/>
    <n v="0"/>
    <n v="0"/>
    <s v="Core staff"/>
    <x v="2"/>
  </r>
  <r>
    <n v="5042147"/>
    <x v="0"/>
    <s v="Y"/>
    <s v="N"/>
    <n v="2"/>
    <x v="30"/>
    <x v="3"/>
    <x v="0"/>
    <x v="1"/>
    <x v="0"/>
    <d v="1996-07-09T00:00:00"/>
    <n v="-10393"/>
    <x v="830"/>
    <x v="4"/>
    <n v="-2255"/>
    <n v="6.1738535249828885"/>
    <x v="1"/>
    <n v="1"/>
    <n v="1"/>
    <n v="0"/>
    <n v="0"/>
    <s v="Core staff"/>
    <x v="2"/>
  </r>
  <r>
    <n v="5042154"/>
    <x v="1"/>
    <s v="N"/>
    <s v="N"/>
    <n v="0"/>
    <x v="16"/>
    <x v="2"/>
    <x v="1"/>
    <x v="1"/>
    <x v="0"/>
    <d v="1971-04-07T00:00:00"/>
    <n v="-19618"/>
    <x v="831"/>
    <x v="2"/>
    <n v="-1617"/>
    <n v="4.4271047227926079"/>
    <x v="1"/>
    <n v="1"/>
    <n v="1"/>
    <n v="1"/>
    <n v="0"/>
    <s v="Laborers"/>
    <x v="1"/>
  </r>
  <r>
    <n v="5042186"/>
    <x v="0"/>
    <s v="N"/>
    <s v="N"/>
    <n v="0"/>
    <x v="1"/>
    <x v="3"/>
    <x v="0"/>
    <x v="1"/>
    <x v="0"/>
    <d v="1990-10-12T00:00:00"/>
    <n v="-12490"/>
    <x v="832"/>
    <x v="3"/>
    <n v="-1191"/>
    <n v="3.2607802874743328"/>
    <x v="1"/>
    <n v="1"/>
    <n v="1"/>
    <n v="1"/>
    <n v="0"/>
    <s v="Core staff"/>
    <x v="1"/>
  </r>
  <r>
    <n v="5042191"/>
    <x v="0"/>
    <s v="N"/>
    <s v="N"/>
    <n v="0"/>
    <x v="37"/>
    <x v="2"/>
    <x v="1"/>
    <x v="1"/>
    <x v="0"/>
    <d v="1971-12-13T00:00:00"/>
    <n v="-19368"/>
    <x v="833"/>
    <x v="2"/>
    <n v="-1252"/>
    <n v="3.4277891854893907"/>
    <x v="1"/>
    <n v="1"/>
    <n v="1"/>
    <n v="0"/>
    <n v="0"/>
    <m/>
    <x v="1"/>
  </r>
  <r>
    <n v="5042212"/>
    <x v="0"/>
    <s v="N"/>
    <s v="N"/>
    <n v="0"/>
    <x v="8"/>
    <x v="1"/>
    <x v="0"/>
    <x v="1"/>
    <x v="0"/>
    <d v="1996-01-25T00:00:00"/>
    <n v="-10559"/>
    <x v="834"/>
    <x v="4"/>
    <n v="-429"/>
    <n v="1.1745379876796715"/>
    <x v="1"/>
    <n v="1"/>
    <n v="1"/>
    <n v="1"/>
    <n v="0"/>
    <s v="Drivers"/>
    <x v="1"/>
  </r>
  <r>
    <n v="5042220"/>
    <x v="1"/>
    <s v="Y"/>
    <s v="N"/>
    <n v="0"/>
    <x v="12"/>
    <x v="1"/>
    <x v="1"/>
    <x v="2"/>
    <x v="2"/>
    <d v="1992-11-26T00:00:00"/>
    <n v="-11714"/>
    <x v="835"/>
    <x v="3"/>
    <n v="-1434"/>
    <n v="3.9260780287474333"/>
    <x v="1"/>
    <n v="1"/>
    <n v="0"/>
    <n v="0"/>
    <n v="0"/>
    <s v="Sales staff"/>
    <x v="0"/>
  </r>
  <r>
    <n v="5042233"/>
    <x v="0"/>
    <s v="N"/>
    <s v="Y"/>
    <n v="0"/>
    <x v="2"/>
    <x v="1"/>
    <x v="1"/>
    <x v="2"/>
    <x v="0"/>
    <d v="1989-10-18T00:00:00"/>
    <n v="-12849"/>
    <x v="836"/>
    <x v="3"/>
    <n v="-6273"/>
    <n v="17.17453798767967"/>
    <x v="1"/>
    <n v="1"/>
    <n v="1"/>
    <n v="0"/>
    <n v="0"/>
    <s v="Sales staff"/>
    <x v="0"/>
  </r>
  <r>
    <n v="5042234"/>
    <x v="0"/>
    <s v="N"/>
    <s v="Y"/>
    <n v="0"/>
    <x v="2"/>
    <x v="1"/>
    <x v="1"/>
    <x v="2"/>
    <x v="0"/>
    <d v="1989-10-18T00:00:00"/>
    <n v="-12849"/>
    <x v="836"/>
    <x v="3"/>
    <n v="-6273"/>
    <n v="17.17453798767967"/>
    <x v="1"/>
    <n v="1"/>
    <n v="1"/>
    <n v="0"/>
    <n v="0"/>
    <s v="Sales staff"/>
    <x v="0"/>
  </r>
  <r>
    <n v="5042254"/>
    <x v="0"/>
    <s v="N"/>
    <s v="Y"/>
    <n v="0"/>
    <x v="18"/>
    <x v="1"/>
    <x v="1"/>
    <x v="3"/>
    <x v="0"/>
    <d v="1980-10-21T00:00:00"/>
    <n v="-16133"/>
    <x v="837"/>
    <x v="1"/>
    <n v="-582"/>
    <n v="1.593429158110883"/>
    <x v="1"/>
    <n v="1"/>
    <n v="0"/>
    <n v="0"/>
    <n v="0"/>
    <s v="Sales staff"/>
    <x v="1"/>
  </r>
  <r>
    <n v="5042262"/>
    <x v="1"/>
    <s v="Y"/>
    <s v="Y"/>
    <n v="1"/>
    <x v="14"/>
    <x v="1"/>
    <x v="1"/>
    <x v="1"/>
    <x v="0"/>
    <d v="1978-01-11T00:00:00"/>
    <n v="-17147"/>
    <x v="565"/>
    <x v="1"/>
    <n v="-1982"/>
    <n v="5.4264202600958251"/>
    <x v="1"/>
    <n v="1"/>
    <n v="0"/>
    <n v="0"/>
    <n v="0"/>
    <s v="Sales staff"/>
    <x v="3"/>
  </r>
  <r>
    <n v="5042272"/>
    <x v="0"/>
    <s v="N"/>
    <s v="Y"/>
    <n v="0"/>
    <x v="5"/>
    <x v="0"/>
    <x v="1"/>
    <x v="1"/>
    <x v="0"/>
    <d v="1959-02-20T00:00:00"/>
    <n v="-24047"/>
    <x v="838"/>
    <x v="0"/>
    <n v="365243"/>
    <n v="0"/>
    <x v="0"/>
    <n v="1"/>
    <n v="0"/>
    <n v="0"/>
    <n v="0"/>
    <m/>
    <x v="1"/>
  </r>
  <r>
    <n v="5042277"/>
    <x v="0"/>
    <s v="N"/>
    <s v="N"/>
    <n v="1"/>
    <x v="30"/>
    <x v="2"/>
    <x v="1"/>
    <x v="3"/>
    <x v="0"/>
    <d v="1993-02-18T00:00:00"/>
    <n v="-11630"/>
    <x v="839"/>
    <x v="3"/>
    <n v="-1890"/>
    <n v="5.1745379876796713"/>
    <x v="1"/>
    <n v="1"/>
    <n v="0"/>
    <n v="0"/>
    <n v="0"/>
    <s v="Sales staff"/>
    <x v="3"/>
  </r>
  <r>
    <n v="5042289"/>
    <x v="0"/>
    <s v="N"/>
    <s v="Y"/>
    <n v="0"/>
    <x v="5"/>
    <x v="2"/>
    <x v="1"/>
    <x v="2"/>
    <x v="0"/>
    <d v="1995-05-20T00:00:00"/>
    <n v="-10809"/>
    <x v="309"/>
    <x v="4"/>
    <n v="-1222"/>
    <n v="3.3456536618754278"/>
    <x v="1"/>
    <n v="1"/>
    <n v="0"/>
    <n v="0"/>
    <n v="0"/>
    <s v="Secretaries"/>
    <x v="0"/>
  </r>
  <r>
    <n v="5042290"/>
    <x v="0"/>
    <s v="N"/>
    <s v="Y"/>
    <n v="0"/>
    <x v="5"/>
    <x v="2"/>
    <x v="1"/>
    <x v="2"/>
    <x v="0"/>
    <d v="1995-05-20T00:00:00"/>
    <n v="-10809"/>
    <x v="309"/>
    <x v="4"/>
    <n v="-1222"/>
    <n v="3.3456536618754278"/>
    <x v="1"/>
    <n v="1"/>
    <n v="0"/>
    <n v="0"/>
    <n v="0"/>
    <s v="Secretaries"/>
    <x v="0"/>
  </r>
  <r>
    <n v="5042293"/>
    <x v="0"/>
    <s v="N"/>
    <s v="Y"/>
    <n v="0"/>
    <x v="30"/>
    <x v="2"/>
    <x v="1"/>
    <x v="1"/>
    <x v="0"/>
    <d v="1976-11-27T00:00:00"/>
    <n v="-17557"/>
    <x v="840"/>
    <x v="1"/>
    <n v="-2378"/>
    <n v="6.5106091718001373"/>
    <x v="1"/>
    <n v="1"/>
    <n v="0"/>
    <n v="0"/>
    <n v="0"/>
    <s v="Cooking staff"/>
    <x v="1"/>
  </r>
  <r>
    <n v="5042297"/>
    <x v="1"/>
    <s v="Y"/>
    <s v="Y"/>
    <n v="1"/>
    <x v="11"/>
    <x v="2"/>
    <x v="1"/>
    <x v="1"/>
    <x v="0"/>
    <d v="1983-05-05T00:00:00"/>
    <n v="-15207"/>
    <x v="841"/>
    <x v="1"/>
    <n v="-2102"/>
    <n v="5.7549623545516768"/>
    <x v="1"/>
    <n v="1"/>
    <n v="1"/>
    <n v="1"/>
    <n v="0"/>
    <s v="Drivers"/>
    <x v="3"/>
  </r>
  <r>
    <n v="5042304"/>
    <x v="1"/>
    <s v="Y"/>
    <s v="Y"/>
    <n v="1"/>
    <x v="11"/>
    <x v="2"/>
    <x v="1"/>
    <x v="1"/>
    <x v="0"/>
    <d v="1983-05-05T00:00:00"/>
    <n v="-15207"/>
    <x v="841"/>
    <x v="1"/>
    <n v="-2102"/>
    <n v="5.7549623545516768"/>
    <x v="1"/>
    <n v="1"/>
    <n v="1"/>
    <n v="1"/>
    <n v="0"/>
    <s v="Drivers"/>
    <x v="3"/>
  </r>
  <r>
    <n v="5042310"/>
    <x v="0"/>
    <s v="N"/>
    <s v="Y"/>
    <n v="2"/>
    <x v="5"/>
    <x v="3"/>
    <x v="0"/>
    <x v="1"/>
    <x v="0"/>
    <d v="1985-07-25T00:00:00"/>
    <n v="-14395"/>
    <x v="842"/>
    <x v="3"/>
    <n v="-5300"/>
    <n v="14.510609171800137"/>
    <x v="1"/>
    <n v="1"/>
    <n v="0"/>
    <n v="0"/>
    <n v="0"/>
    <s v="Accountants"/>
    <x v="2"/>
  </r>
  <r>
    <n v="5042352"/>
    <x v="0"/>
    <s v="Y"/>
    <s v="Y"/>
    <n v="0"/>
    <x v="1"/>
    <x v="1"/>
    <x v="1"/>
    <x v="1"/>
    <x v="0"/>
    <d v="1987-01-21T00:00:00"/>
    <n v="-13850"/>
    <x v="843"/>
    <x v="3"/>
    <n v="-2774"/>
    <n v="7.5947980835044486"/>
    <x v="1"/>
    <n v="1"/>
    <n v="0"/>
    <n v="0"/>
    <n v="0"/>
    <s v="Sales staff"/>
    <x v="1"/>
  </r>
  <r>
    <n v="5044520"/>
    <x v="0"/>
    <s v="Y"/>
    <s v="N"/>
    <n v="0"/>
    <x v="11"/>
    <x v="1"/>
    <x v="1"/>
    <x v="1"/>
    <x v="4"/>
    <d v="1985-10-08T00:00:00"/>
    <n v="-14320"/>
    <x v="844"/>
    <x v="3"/>
    <n v="-829"/>
    <n v="2.2696783025325118"/>
    <x v="1"/>
    <n v="1"/>
    <n v="0"/>
    <n v="0"/>
    <n v="0"/>
    <s v="High skill tech staff"/>
    <x v="1"/>
  </r>
  <r>
    <n v="5044622"/>
    <x v="0"/>
    <s v="Y"/>
    <s v="N"/>
    <n v="1"/>
    <x v="1"/>
    <x v="1"/>
    <x v="0"/>
    <x v="2"/>
    <x v="0"/>
    <d v="1997-03-29T00:00:00"/>
    <n v="-10130"/>
    <x v="845"/>
    <x v="4"/>
    <n v="-1651"/>
    <n v="4.5201916495550991"/>
    <x v="1"/>
    <n v="1"/>
    <n v="0"/>
    <n v="0"/>
    <n v="0"/>
    <s v="Accountants"/>
    <x v="1"/>
  </r>
  <r>
    <n v="5044625"/>
    <x v="0"/>
    <s v="Y"/>
    <s v="N"/>
    <n v="1"/>
    <x v="1"/>
    <x v="1"/>
    <x v="0"/>
    <x v="2"/>
    <x v="0"/>
    <d v="1997-03-29T00:00:00"/>
    <n v="-10130"/>
    <x v="845"/>
    <x v="4"/>
    <n v="-1651"/>
    <n v="4.5201916495550991"/>
    <x v="1"/>
    <n v="1"/>
    <n v="0"/>
    <n v="0"/>
    <n v="0"/>
    <s v="Accountants"/>
    <x v="1"/>
  </r>
  <r>
    <n v="5044626"/>
    <x v="0"/>
    <s v="Y"/>
    <s v="N"/>
    <n v="1"/>
    <x v="1"/>
    <x v="1"/>
    <x v="0"/>
    <x v="2"/>
    <x v="0"/>
    <d v="1997-03-29T00:00:00"/>
    <n v="-10130"/>
    <x v="845"/>
    <x v="4"/>
    <n v="-1651"/>
    <n v="4.5201916495550991"/>
    <x v="1"/>
    <n v="1"/>
    <n v="0"/>
    <n v="0"/>
    <n v="0"/>
    <s v="Accountants"/>
    <x v="1"/>
  </r>
  <r>
    <n v="5044634"/>
    <x v="0"/>
    <s v="Y"/>
    <s v="Y"/>
    <n v="0"/>
    <x v="51"/>
    <x v="0"/>
    <x v="1"/>
    <x v="1"/>
    <x v="0"/>
    <d v="1966-06-30T00:00:00"/>
    <n v="-21360"/>
    <x v="846"/>
    <x v="2"/>
    <n v="365243"/>
    <n v="0"/>
    <x v="0"/>
    <n v="1"/>
    <n v="0"/>
    <n v="1"/>
    <n v="0"/>
    <m/>
    <x v="1"/>
  </r>
  <r>
    <n v="5044681"/>
    <x v="0"/>
    <s v="N"/>
    <s v="Y"/>
    <n v="0"/>
    <x v="30"/>
    <x v="2"/>
    <x v="3"/>
    <x v="2"/>
    <x v="0"/>
    <d v="1996-03-01T00:00:00"/>
    <n v="-10523"/>
    <x v="847"/>
    <x v="4"/>
    <n v="-2778"/>
    <n v="7.6057494866529778"/>
    <x v="1"/>
    <n v="1"/>
    <n v="0"/>
    <n v="0"/>
    <n v="0"/>
    <s v="Core staff"/>
    <x v="0"/>
  </r>
  <r>
    <n v="5044710"/>
    <x v="0"/>
    <s v="Y"/>
    <s v="Y"/>
    <n v="0"/>
    <x v="42"/>
    <x v="3"/>
    <x v="0"/>
    <x v="1"/>
    <x v="0"/>
    <d v="1962-04-23T00:00:00"/>
    <n v="-22889"/>
    <x v="848"/>
    <x v="0"/>
    <n v="-221"/>
    <n v="0.60506502395619444"/>
    <x v="1"/>
    <n v="1"/>
    <n v="0"/>
    <n v="1"/>
    <n v="0"/>
    <m/>
    <x v="1"/>
  </r>
  <r>
    <n v="5044749"/>
    <x v="1"/>
    <s v="N"/>
    <s v="N"/>
    <n v="0"/>
    <x v="23"/>
    <x v="2"/>
    <x v="1"/>
    <x v="3"/>
    <x v="0"/>
    <d v="1979-06-21T00:00:00"/>
    <n v="-16621"/>
    <x v="849"/>
    <x v="1"/>
    <n v="-221"/>
    <n v="0.60506502395619444"/>
    <x v="1"/>
    <n v="1"/>
    <n v="0"/>
    <n v="0"/>
    <n v="0"/>
    <m/>
    <x v="1"/>
  </r>
  <r>
    <n v="5044750"/>
    <x v="1"/>
    <s v="N"/>
    <s v="N"/>
    <n v="0"/>
    <x v="23"/>
    <x v="2"/>
    <x v="1"/>
    <x v="3"/>
    <x v="0"/>
    <d v="1979-06-21T00:00:00"/>
    <n v="-16621"/>
    <x v="849"/>
    <x v="1"/>
    <n v="-221"/>
    <n v="0.60506502395619444"/>
    <x v="1"/>
    <n v="1"/>
    <n v="0"/>
    <n v="0"/>
    <n v="0"/>
    <m/>
    <x v="1"/>
  </r>
  <r>
    <n v="5044788"/>
    <x v="1"/>
    <s v="Y"/>
    <s v="Y"/>
    <n v="1"/>
    <x v="39"/>
    <x v="2"/>
    <x v="0"/>
    <x v="1"/>
    <x v="4"/>
    <d v="1982-04-01T00:00:00"/>
    <n v="-15606"/>
    <x v="850"/>
    <x v="1"/>
    <n v="-160"/>
    <n v="0.43805612594113619"/>
    <x v="1"/>
    <n v="1"/>
    <n v="0"/>
    <n v="1"/>
    <n v="0"/>
    <s v="Sales staff"/>
    <x v="3"/>
  </r>
  <r>
    <n v="5044794"/>
    <x v="1"/>
    <s v="Y"/>
    <s v="Y"/>
    <n v="1"/>
    <x v="39"/>
    <x v="2"/>
    <x v="0"/>
    <x v="1"/>
    <x v="4"/>
    <d v="1982-04-01T00:00:00"/>
    <n v="-15606"/>
    <x v="850"/>
    <x v="1"/>
    <n v="-160"/>
    <n v="0.43805612594113619"/>
    <x v="1"/>
    <n v="1"/>
    <n v="0"/>
    <n v="1"/>
    <n v="0"/>
    <s v="Sales staff"/>
    <x v="3"/>
  </r>
  <r>
    <n v="5044809"/>
    <x v="0"/>
    <s v="N"/>
    <s v="Y"/>
    <n v="0"/>
    <x v="1"/>
    <x v="2"/>
    <x v="0"/>
    <x v="2"/>
    <x v="0"/>
    <d v="2000-01-23T00:00:00"/>
    <n v="-9100"/>
    <x v="851"/>
    <x v="4"/>
    <n v="-1133"/>
    <n v="3.1019849418206706"/>
    <x v="1"/>
    <n v="1"/>
    <n v="0"/>
    <n v="0"/>
    <n v="0"/>
    <s v="Managers"/>
    <x v="0"/>
  </r>
  <r>
    <n v="5044814"/>
    <x v="0"/>
    <s v="N"/>
    <s v="Y"/>
    <n v="0"/>
    <x v="1"/>
    <x v="2"/>
    <x v="0"/>
    <x v="2"/>
    <x v="0"/>
    <d v="2000-01-23T00:00:00"/>
    <n v="-9100"/>
    <x v="851"/>
    <x v="4"/>
    <n v="-1133"/>
    <n v="3.1019849418206706"/>
    <x v="1"/>
    <n v="1"/>
    <n v="0"/>
    <n v="0"/>
    <n v="0"/>
    <s v="Managers"/>
    <x v="0"/>
  </r>
  <r>
    <n v="5044817"/>
    <x v="0"/>
    <s v="N"/>
    <s v="Y"/>
    <n v="0"/>
    <x v="1"/>
    <x v="2"/>
    <x v="0"/>
    <x v="2"/>
    <x v="0"/>
    <d v="2000-01-23T00:00:00"/>
    <n v="-9100"/>
    <x v="851"/>
    <x v="4"/>
    <n v="-1133"/>
    <n v="3.1019849418206706"/>
    <x v="1"/>
    <n v="1"/>
    <n v="0"/>
    <n v="0"/>
    <n v="0"/>
    <s v="Managers"/>
    <x v="0"/>
  </r>
  <r>
    <n v="5044856"/>
    <x v="0"/>
    <s v="N"/>
    <s v="Y"/>
    <n v="0"/>
    <x v="94"/>
    <x v="0"/>
    <x v="1"/>
    <x v="1"/>
    <x v="0"/>
    <d v="1972-11-17T00:00:00"/>
    <n v="-19028"/>
    <x v="852"/>
    <x v="2"/>
    <n v="365243"/>
    <n v="0"/>
    <x v="0"/>
    <n v="1"/>
    <n v="0"/>
    <n v="0"/>
    <n v="0"/>
    <m/>
    <x v="1"/>
  </r>
  <r>
    <n v="5044859"/>
    <x v="0"/>
    <s v="N"/>
    <s v="Y"/>
    <n v="0"/>
    <x v="94"/>
    <x v="0"/>
    <x v="1"/>
    <x v="1"/>
    <x v="0"/>
    <d v="1972-11-17T00:00:00"/>
    <n v="-19028"/>
    <x v="852"/>
    <x v="2"/>
    <n v="365243"/>
    <n v="0"/>
    <x v="0"/>
    <n v="1"/>
    <n v="0"/>
    <n v="0"/>
    <n v="0"/>
    <m/>
    <x v="1"/>
  </r>
  <r>
    <n v="5044860"/>
    <x v="0"/>
    <s v="N"/>
    <s v="Y"/>
    <n v="0"/>
    <x v="94"/>
    <x v="0"/>
    <x v="1"/>
    <x v="1"/>
    <x v="0"/>
    <d v="1972-11-17T00:00:00"/>
    <n v="-19028"/>
    <x v="852"/>
    <x v="2"/>
    <n v="365243"/>
    <n v="0"/>
    <x v="0"/>
    <n v="1"/>
    <n v="0"/>
    <n v="0"/>
    <n v="0"/>
    <m/>
    <x v="1"/>
  </r>
  <r>
    <n v="5044862"/>
    <x v="0"/>
    <s v="N"/>
    <s v="Y"/>
    <n v="0"/>
    <x v="94"/>
    <x v="0"/>
    <x v="1"/>
    <x v="1"/>
    <x v="0"/>
    <d v="1972-11-17T00:00:00"/>
    <n v="-19028"/>
    <x v="852"/>
    <x v="2"/>
    <n v="365243"/>
    <n v="0"/>
    <x v="0"/>
    <n v="1"/>
    <n v="0"/>
    <n v="0"/>
    <n v="0"/>
    <m/>
    <x v="1"/>
  </r>
  <r>
    <n v="5044865"/>
    <x v="0"/>
    <s v="N"/>
    <s v="Y"/>
    <n v="0"/>
    <x v="94"/>
    <x v="0"/>
    <x v="1"/>
    <x v="1"/>
    <x v="0"/>
    <d v="1972-11-17T00:00:00"/>
    <n v="-19028"/>
    <x v="852"/>
    <x v="2"/>
    <n v="365243"/>
    <n v="0"/>
    <x v="0"/>
    <n v="1"/>
    <n v="0"/>
    <n v="0"/>
    <n v="0"/>
    <m/>
    <x v="1"/>
  </r>
  <r>
    <n v="5044908"/>
    <x v="0"/>
    <s v="N"/>
    <s v="Y"/>
    <n v="0"/>
    <x v="8"/>
    <x v="2"/>
    <x v="2"/>
    <x v="2"/>
    <x v="0"/>
    <d v="1986-07-25T00:00:00"/>
    <n v="-14030"/>
    <x v="853"/>
    <x v="3"/>
    <n v="-2075"/>
    <n v="5.6810403832991101"/>
    <x v="1"/>
    <n v="1"/>
    <n v="0"/>
    <n v="0"/>
    <n v="0"/>
    <m/>
    <x v="0"/>
  </r>
  <r>
    <n v="5044929"/>
    <x v="0"/>
    <s v="N"/>
    <s v="Y"/>
    <n v="0"/>
    <x v="37"/>
    <x v="3"/>
    <x v="1"/>
    <x v="1"/>
    <x v="0"/>
    <d v="1975-04-14T00:00:00"/>
    <n v="-18150"/>
    <x v="854"/>
    <x v="1"/>
    <n v="-2747"/>
    <n v="7.5208761122518819"/>
    <x v="1"/>
    <n v="1"/>
    <n v="0"/>
    <n v="0"/>
    <n v="0"/>
    <s v="Medicine staff"/>
    <x v="1"/>
  </r>
  <r>
    <n v="5044941"/>
    <x v="1"/>
    <s v="N"/>
    <s v="Y"/>
    <n v="2"/>
    <x v="14"/>
    <x v="3"/>
    <x v="0"/>
    <x v="1"/>
    <x v="0"/>
    <d v="1981-02-04T00:00:00"/>
    <n v="-16027"/>
    <x v="6"/>
    <x v="1"/>
    <n v="-5639"/>
    <n v="15.43874058863792"/>
    <x v="1"/>
    <n v="1"/>
    <n v="0"/>
    <n v="1"/>
    <n v="0"/>
    <s v="Managers"/>
    <x v="2"/>
  </r>
  <r>
    <n v="5044959"/>
    <x v="0"/>
    <s v="Y"/>
    <s v="Y"/>
    <n v="0"/>
    <x v="95"/>
    <x v="0"/>
    <x v="0"/>
    <x v="1"/>
    <x v="0"/>
    <d v="1965-02-11T00:00:00"/>
    <n v="-21864"/>
    <x v="855"/>
    <x v="2"/>
    <n v="365243"/>
    <n v="0"/>
    <x v="0"/>
    <n v="1"/>
    <n v="0"/>
    <n v="0"/>
    <n v="0"/>
    <m/>
    <x v="1"/>
  </r>
  <r>
    <n v="5044988"/>
    <x v="0"/>
    <s v="N"/>
    <s v="Y"/>
    <n v="0"/>
    <x v="96"/>
    <x v="0"/>
    <x v="0"/>
    <x v="1"/>
    <x v="0"/>
    <d v="1969-04-10T00:00:00"/>
    <n v="-20345"/>
    <x v="856"/>
    <x v="2"/>
    <n v="365243"/>
    <n v="0"/>
    <x v="0"/>
    <n v="1"/>
    <n v="0"/>
    <n v="1"/>
    <n v="0"/>
    <m/>
    <x v="1"/>
  </r>
  <r>
    <n v="5044993"/>
    <x v="0"/>
    <s v="N"/>
    <s v="Y"/>
    <n v="0"/>
    <x v="5"/>
    <x v="1"/>
    <x v="1"/>
    <x v="4"/>
    <x v="0"/>
    <d v="1965-04-25T00:00:00"/>
    <n v="-21791"/>
    <x v="857"/>
    <x v="2"/>
    <n v="-5089"/>
    <n v="13.932922655715263"/>
    <x v="1"/>
    <n v="1"/>
    <n v="0"/>
    <n v="0"/>
    <n v="0"/>
    <s v="Accountants"/>
    <x v="0"/>
  </r>
  <r>
    <n v="5045015"/>
    <x v="0"/>
    <s v="Y"/>
    <s v="Y"/>
    <n v="2"/>
    <x v="23"/>
    <x v="2"/>
    <x v="1"/>
    <x v="1"/>
    <x v="0"/>
    <d v="1992-12-30T00:00:00"/>
    <n v="-11680"/>
    <x v="858"/>
    <x v="3"/>
    <n v="-3873"/>
    <n v="10.603696098562628"/>
    <x v="1"/>
    <n v="1"/>
    <n v="1"/>
    <n v="1"/>
    <n v="0"/>
    <s v="Laborers"/>
    <x v="2"/>
  </r>
  <r>
    <n v="5045017"/>
    <x v="0"/>
    <s v="Y"/>
    <s v="Y"/>
    <n v="2"/>
    <x v="23"/>
    <x v="2"/>
    <x v="1"/>
    <x v="1"/>
    <x v="0"/>
    <d v="1992-12-30T00:00:00"/>
    <n v="-11680"/>
    <x v="858"/>
    <x v="3"/>
    <n v="-3873"/>
    <n v="10.603696098562628"/>
    <x v="1"/>
    <n v="1"/>
    <n v="1"/>
    <n v="1"/>
    <n v="0"/>
    <s v="Laborers"/>
    <x v="2"/>
  </r>
  <r>
    <n v="5045031"/>
    <x v="0"/>
    <s v="Y"/>
    <s v="Y"/>
    <n v="1"/>
    <x v="43"/>
    <x v="3"/>
    <x v="1"/>
    <x v="1"/>
    <x v="0"/>
    <d v="1980-11-09T00:00:00"/>
    <n v="-16114"/>
    <x v="859"/>
    <x v="1"/>
    <n v="-706"/>
    <n v="1.9329226557152634"/>
    <x v="1"/>
    <n v="1"/>
    <n v="0"/>
    <n v="0"/>
    <n v="0"/>
    <s v="Core staff"/>
    <x v="3"/>
  </r>
  <r>
    <n v="5045049"/>
    <x v="0"/>
    <s v="N"/>
    <s v="N"/>
    <n v="0"/>
    <x v="11"/>
    <x v="2"/>
    <x v="0"/>
    <x v="2"/>
    <x v="0"/>
    <d v="1992-02-23T00:00:00"/>
    <n v="-11991"/>
    <x v="860"/>
    <x v="3"/>
    <n v="-706"/>
    <n v="1.9329226557152634"/>
    <x v="1"/>
    <n v="1"/>
    <n v="0"/>
    <n v="0"/>
    <n v="1"/>
    <s v="Laborers"/>
    <x v="0"/>
  </r>
  <r>
    <n v="5045051"/>
    <x v="0"/>
    <s v="N"/>
    <s v="N"/>
    <n v="0"/>
    <x v="11"/>
    <x v="2"/>
    <x v="0"/>
    <x v="2"/>
    <x v="0"/>
    <d v="1992-02-23T00:00:00"/>
    <n v="-11991"/>
    <x v="860"/>
    <x v="3"/>
    <n v="-706"/>
    <n v="1.9329226557152634"/>
    <x v="1"/>
    <n v="1"/>
    <n v="0"/>
    <n v="0"/>
    <n v="1"/>
    <s v="Laborers"/>
    <x v="0"/>
  </r>
  <r>
    <n v="5045053"/>
    <x v="0"/>
    <s v="N"/>
    <s v="N"/>
    <n v="0"/>
    <x v="11"/>
    <x v="2"/>
    <x v="0"/>
    <x v="2"/>
    <x v="0"/>
    <d v="1992-02-23T00:00:00"/>
    <n v="-11991"/>
    <x v="860"/>
    <x v="3"/>
    <n v="-706"/>
    <n v="1.9329226557152634"/>
    <x v="1"/>
    <n v="1"/>
    <n v="0"/>
    <n v="0"/>
    <n v="1"/>
    <s v="Laborers"/>
    <x v="0"/>
  </r>
  <r>
    <n v="5045056"/>
    <x v="1"/>
    <s v="N"/>
    <s v="Y"/>
    <n v="2"/>
    <x v="41"/>
    <x v="3"/>
    <x v="1"/>
    <x v="1"/>
    <x v="0"/>
    <d v="1986-03-14T00:00:00"/>
    <n v="-14163"/>
    <x v="861"/>
    <x v="3"/>
    <n v="-6886"/>
    <n v="18.852840520191648"/>
    <x v="1"/>
    <n v="1"/>
    <n v="0"/>
    <n v="1"/>
    <n v="0"/>
    <s v="Drivers"/>
    <x v="2"/>
  </r>
  <r>
    <n v="5045058"/>
    <x v="1"/>
    <s v="N"/>
    <s v="Y"/>
    <n v="2"/>
    <x v="41"/>
    <x v="3"/>
    <x v="1"/>
    <x v="1"/>
    <x v="0"/>
    <d v="1986-03-14T00:00:00"/>
    <n v="-14163"/>
    <x v="861"/>
    <x v="3"/>
    <n v="-6886"/>
    <n v="18.852840520191648"/>
    <x v="1"/>
    <n v="1"/>
    <n v="0"/>
    <n v="1"/>
    <n v="0"/>
    <s v="Drivers"/>
    <x v="2"/>
  </r>
  <r>
    <n v="5045062"/>
    <x v="1"/>
    <s v="N"/>
    <s v="Y"/>
    <n v="2"/>
    <x v="41"/>
    <x v="3"/>
    <x v="1"/>
    <x v="1"/>
    <x v="0"/>
    <d v="1986-03-14T00:00:00"/>
    <n v="-14163"/>
    <x v="861"/>
    <x v="3"/>
    <n v="-6886"/>
    <n v="18.852840520191648"/>
    <x v="1"/>
    <n v="1"/>
    <n v="0"/>
    <n v="1"/>
    <n v="0"/>
    <s v="Drivers"/>
    <x v="2"/>
  </r>
  <r>
    <n v="5045067"/>
    <x v="0"/>
    <s v="N"/>
    <s v="Y"/>
    <n v="0"/>
    <x v="1"/>
    <x v="1"/>
    <x v="2"/>
    <x v="1"/>
    <x v="0"/>
    <d v="2002-12-02T00:00:00"/>
    <n v="-8056"/>
    <x v="862"/>
    <x v="4"/>
    <n v="-433"/>
    <n v="1.1854893908281998"/>
    <x v="1"/>
    <n v="1"/>
    <n v="0"/>
    <n v="0"/>
    <n v="0"/>
    <s v="Core staff"/>
    <x v="1"/>
  </r>
  <r>
    <n v="5045113"/>
    <x v="0"/>
    <s v="N"/>
    <s v="Y"/>
    <n v="0"/>
    <x v="11"/>
    <x v="0"/>
    <x v="1"/>
    <x v="4"/>
    <x v="0"/>
    <d v="1967-02-19T00:00:00"/>
    <n v="-21126"/>
    <x v="863"/>
    <x v="2"/>
    <n v="365243"/>
    <n v="0"/>
    <x v="0"/>
    <n v="1"/>
    <n v="0"/>
    <n v="0"/>
    <n v="0"/>
    <m/>
    <x v="0"/>
  </r>
  <r>
    <n v="5045122"/>
    <x v="0"/>
    <s v="N"/>
    <s v="Y"/>
    <n v="0"/>
    <x v="11"/>
    <x v="0"/>
    <x v="1"/>
    <x v="4"/>
    <x v="0"/>
    <d v="1967-02-19T00:00:00"/>
    <n v="-21126"/>
    <x v="863"/>
    <x v="2"/>
    <n v="365243"/>
    <n v="0"/>
    <x v="0"/>
    <n v="1"/>
    <n v="0"/>
    <n v="0"/>
    <n v="0"/>
    <m/>
    <x v="0"/>
  </r>
  <r>
    <n v="5045129"/>
    <x v="0"/>
    <s v="N"/>
    <s v="Y"/>
    <n v="0"/>
    <x v="11"/>
    <x v="0"/>
    <x v="1"/>
    <x v="4"/>
    <x v="0"/>
    <d v="1967-02-19T00:00:00"/>
    <n v="-21126"/>
    <x v="863"/>
    <x v="2"/>
    <n v="365243"/>
    <n v="0"/>
    <x v="0"/>
    <n v="1"/>
    <n v="0"/>
    <n v="0"/>
    <n v="0"/>
    <m/>
    <x v="0"/>
  </r>
  <r>
    <n v="5045130"/>
    <x v="0"/>
    <s v="N"/>
    <s v="Y"/>
    <n v="0"/>
    <x v="11"/>
    <x v="0"/>
    <x v="1"/>
    <x v="4"/>
    <x v="0"/>
    <d v="1967-02-19T00:00:00"/>
    <n v="-21126"/>
    <x v="863"/>
    <x v="2"/>
    <n v="365243"/>
    <n v="0"/>
    <x v="0"/>
    <n v="1"/>
    <n v="0"/>
    <n v="0"/>
    <n v="0"/>
    <m/>
    <x v="0"/>
  </r>
  <r>
    <n v="5045166"/>
    <x v="0"/>
    <s v="Y"/>
    <s v="Y"/>
    <n v="2"/>
    <x v="3"/>
    <x v="2"/>
    <x v="2"/>
    <x v="1"/>
    <x v="0"/>
    <d v="1993-09-04T00:00:00"/>
    <n v="-11432"/>
    <x v="864"/>
    <x v="3"/>
    <n v="-129"/>
    <n v="0.35318275154004108"/>
    <x v="1"/>
    <n v="1"/>
    <n v="0"/>
    <n v="1"/>
    <n v="0"/>
    <s v="Core staff"/>
    <x v="2"/>
  </r>
  <r>
    <n v="5045167"/>
    <x v="0"/>
    <s v="Y"/>
    <s v="Y"/>
    <n v="2"/>
    <x v="3"/>
    <x v="2"/>
    <x v="2"/>
    <x v="1"/>
    <x v="0"/>
    <d v="1993-09-04T00:00:00"/>
    <n v="-11432"/>
    <x v="864"/>
    <x v="3"/>
    <n v="-129"/>
    <n v="0.35318275154004108"/>
    <x v="1"/>
    <n v="1"/>
    <n v="0"/>
    <n v="1"/>
    <n v="0"/>
    <s v="Core staff"/>
    <x v="2"/>
  </r>
  <r>
    <n v="5045193"/>
    <x v="0"/>
    <s v="Y"/>
    <s v="Y"/>
    <n v="1"/>
    <x v="11"/>
    <x v="1"/>
    <x v="0"/>
    <x v="2"/>
    <x v="0"/>
    <d v="1986-06-09T00:00:00"/>
    <n v="-14076"/>
    <x v="865"/>
    <x v="3"/>
    <n v="-2106"/>
    <n v="5.7659137577002051"/>
    <x v="1"/>
    <n v="1"/>
    <n v="0"/>
    <n v="0"/>
    <n v="0"/>
    <s v="Accountants"/>
    <x v="1"/>
  </r>
  <r>
    <n v="5045230"/>
    <x v="1"/>
    <s v="N"/>
    <s v="Y"/>
    <n v="0"/>
    <x v="35"/>
    <x v="2"/>
    <x v="1"/>
    <x v="0"/>
    <x v="0"/>
    <d v="1975-10-29T00:00:00"/>
    <n v="-17952"/>
    <x v="866"/>
    <x v="1"/>
    <n v="-4086"/>
    <n v="11.186858316221766"/>
    <x v="1"/>
    <n v="1"/>
    <n v="0"/>
    <n v="0"/>
    <n v="0"/>
    <m/>
    <x v="0"/>
  </r>
  <r>
    <n v="5045266"/>
    <x v="0"/>
    <s v="N"/>
    <s v="Y"/>
    <n v="0"/>
    <x v="30"/>
    <x v="0"/>
    <x v="1"/>
    <x v="4"/>
    <x v="0"/>
    <d v="1965-11-21T00:00:00"/>
    <n v="-21581"/>
    <x v="867"/>
    <x v="2"/>
    <n v="365243"/>
    <n v="0"/>
    <x v="0"/>
    <n v="1"/>
    <n v="0"/>
    <n v="0"/>
    <n v="0"/>
    <m/>
    <x v="0"/>
  </r>
  <r>
    <n v="5045274"/>
    <x v="0"/>
    <s v="N"/>
    <s v="Y"/>
    <n v="2"/>
    <x v="16"/>
    <x v="2"/>
    <x v="1"/>
    <x v="1"/>
    <x v="0"/>
    <d v="1987-03-25T00:00:00"/>
    <n v="-13787"/>
    <x v="868"/>
    <x v="3"/>
    <n v="-3082"/>
    <n v="8.4380561259411362"/>
    <x v="1"/>
    <n v="1"/>
    <n v="0"/>
    <n v="0"/>
    <n v="0"/>
    <s v="Core staff"/>
    <x v="2"/>
  </r>
  <r>
    <n v="5045304"/>
    <x v="0"/>
    <s v="Y"/>
    <s v="Y"/>
    <n v="0"/>
    <x v="18"/>
    <x v="3"/>
    <x v="0"/>
    <x v="1"/>
    <x v="0"/>
    <d v="1964-11-12T00:00:00"/>
    <n v="-21955"/>
    <x v="869"/>
    <x v="0"/>
    <n v="-12455"/>
    <n v="34.099931553730322"/>
    <x v="1"/>
    <n v="1"/>
    <n v="0"/>
    <n v="0"/>
    <n v="0"/>
    <s v="Core staff"/>
    <x v="1"/>
  </r>
  <r>
    <n v="5045353"/>
    <x v="0"/>
    <s v="N"/>
    <s v="Y"/>
    <n v="0"/>
    <x v="5"/>
    <x v="0"/>
    <x v="1"/>
    <x v="1"/>
    <x v="0"/>
    <d v="1965-11-17T00:00:00"/>
    <n v="-21585"/>
    <x v="870"/>
    <x v="2"/>
    <n v="365243"/>
    <n v="0"/>
    <x v="0"/>
    <n v="1"/>
    <n v="0"/>
    <n v="1"/>
    <n v="0"/>
    <m/>
    <x v="1"/>
  </r>
  <r>
    <n v="5045357"/>
    <x v="1"/>
    <s v="Y"/>
    <s v="Y"/>
    <n v="0"/>
    <x v="14"/>
    <x v="2"/>
    <x v="1"/>
    <x v="1"/>
    <x v="0"/>
    <d v="1966-10-10T00:00:00"/>
    <n v="-21258"/>
    <x v="871"/>
    <x v="2"/>
    <n v="-2057"/>
    <n v="5.631759069130732"/>
    <x v="1"/>
    <n v="1"/>
    <n v="1"/>
    <n v="1"/>
    <n v="0"/>
    <s v="High skill tech staff"/>
    <x v="1"/>
  </r>
  <r>
    <n v="5045367"/>
    <x v="1"/>
    <s v="N"/>
    <s v="N"/>
    <n v="0"/>
    <x v="6"/>
    <x v="2"/>
    <x v="2"/>
    <x v="2"/>
    <x v="4"/>
    <d v="1989-08-05T00:00:00"/>
    <n v="-12923"/>
    <x v="872"/>
    <x v="3"/>
    <n v="-170"/>
    <n v="0.4654346338124572"/>
    <x v="1"/>
    <n v="1"/>
    <n v="0"/>
    <n v="0"/>
    <n v="0"/>
    <s v="Cooking staff"/>
    <x v="0"/>
  </r>
  <r>
    <n v="5045380"/>
    <x v="1"/>
    <s v="Y"/>
    <s v="Y"/>
    <n v="0"/>
    <x v="97"/>
    <x v="2"/>
    <x v="2"/>
    <x v="1"/>
    <x v="0"/>
    <d v="1981-05-06T00:00:00"/>
    <n v="-15936"/>
    <x v="873"/>
    <x v="1"/>
    <n v="-1508"/>
    <n v="4.128678986995209"/>
    <x v="1"/>
    <n v="1"/>
    <n v="0"/>
    <n v="1"/>
    <n v="0"/>
    <s v="Managers"/>
    <x v="1"/>
  </r>
  <r>
    <n v="5045390"/>
    <x v="1"/>
    <s v="Y"/>
    <s v="Y"/>
    <n v="0"/>
    <x v="97"/>
    <x v="2"/>
    <x v="2"/>
    <x v="1"/>
    <x v="0"/>
    <d v="1981-05-06T00:00:00"/>
    <n v="-15936"/>
    <x v="873"/>
    <x v="1"/>
    <n v="-1508"/>
    <n v="4.128678986995209"/>
    <x v="1"/>
    <n v="1"/>
    <n v="0"/>
    <n v="1"/>
    <n v="0"/>
    <s v="Managers"/>
    <x v="1"/>
  </r>
  <r>
    <n v="5045393"/>
    <x v="1"/>
    <s v="N"/>
    <s v="Y"/>
    <n v="0"/>
    <x v="2"/>
    <x v="1"/>
    <x v="1"/>
    <x v="1"/>
    <x v="0"/>
    <d v="1967-01-02T00:00:00"/>
    <n v="-21174"/>
    <x v="874"/>
    <x v="2"/>
    <n v="-657"/>
    <n v="1.7987679671457906"/>
    <x v="1"/>
    <n v="1"/>
    <n v="1"/>
    <n v="0"/>
    <n v="1"/>
    <m/>
    <x v="1"/>
  </r>
  <r>
    <n v="5045397"/>
    <x v="0"/>
    <s v="N"/>
    <s v="Y"/>
    <n v="1"/>
    <x v="3"/>
    <x v="2"/>
    <x v="1"/>
    <x v="1"/>
    <x v="0"/>
    <d v="1993-08-06T00:00:00"/>
    <n v="-11461"/>
    <x v="875"/>
    <x v="3"/>
    <n v="-1204"/>
    <n v="3.2963723477070501"/>
    <x v="1"/>
    <n v="1"/>
    <n v="1"/>
    <n v="1"/>
    <n v="0"/>
    <s v="Cleaning staff"/>
    <x v="3"/>
  </r>
  <r>
    <n v="5045402"/>
    <x v="0"/>
    <s v="N"/>
    <s v="Y"/>
    <n v="1"/>
    <x v="3"/>
    <x v="2"/>
    <x v="1"/>
    <x v="1"/>
    <x v="0"/>
    <d v="1993-08-06T00:00:00"/>
    <n v="-11461"/>
    <x v="875"/>
    <x v="3"/>
    <n v="-1204"/>
    <n v="3.2963723477070501"/>
    <x v="1"/>
    <n v="1"/>
    <n v="1"/>
    <n v="1"/>
    <n v="0"/>
    <s v="Cleaning staff"/>
    <x v="3"/>
  </r>
  <r>
    <n v="5045405"/>
    <x v="0"/>
    <s v="N"/>
    <s v="Y"/>
    <n v="1"/>
    <x v="3"/>
    <x v="2"/>
    <x v="1"/>
    <x v="1"/>
    <x v="0"/>
    <d v="1993-08-06T00:00:00"/>
    <n v="-11461"/>
    <x v="875"/>
    <x v="3"/>
    <n v="-1204"/>
    <n v="3.2963723477070501"/>
    <x v="1"/>
    <n v="1"/>
    <n v="1"/>
    <n v="1"/>
    <n v="0"/>
    <s v="Cleaning staff"/>
    <x v="3"/>
  </r>
  <r>
    <n v="5045414"/>
    <x v="0"/>
    <s v="Y"/>
    <s v="Y"/>
    <n v="0"/>
    <x v="88"/>
    <x v="0"/>
    <x v="1"/>
    <x v="1"/>
    <x v="0"/>
    <d v="1963-11-19T00:00:00"/>
    <n v="-22314"/>
    <x v="876"/>
    <x v="0"/>
    <n v="365243"/>
    <n v="0"/>
    <x v="0"/>
    <n v="1"/>
    <n v="0"/>
    <n v="1"/>
    <n v="0"/>
    <m/>
    <x v="1"/>
  </r>
  <r>
    <n v="5045432"/>
    <x v="1"/>
    <s v="Y"/>
    <s v="Y"/>
    <n v="0"/>
    <x v="1"/>
    <x v="2"/>
    <x v="1"/>
    <x v="2"/>
    <x v="0"/>
    <d v="1988-04-08T00:00:00"/>
    <n v="-13407"/>
    <x v="877"/>
    <x v="3"/>
    <n v="-535"/>
    <n v="1.4647501711156743"/>
    <x v="1"/>
    <n v="1"/>
    <n v="0"/>
    <n v="0"/>
    <n v="0"/>
    <s v="Laborers"/>
    <x v="0"/>
  </r>
  <r>
    <n v="5045439"/>
    <x v="1"/>
    <s v="Y"/>
    <s v="Y"/>
    <n v="0"/>
    <x v="16"/>
    <x v="0"/>
    <x v="0"/>
    <x v="1"/>
    <x v="0"/>
    <d v="1960-07-05T00:00:00"/>
    <n v="-23546"/>
    <x v="878"/>
    <x v="0"/>
    <n v="365243"/>
    <n v="0"/>
    <x v="0"/>
    <n v="1"/>
    <n v="0"/>
    <n v="0"/>
    <n v="0"/>
    <m/>
    <x v="1"/>
  </r>
  <r>
    <n v="5045453"/>
    <x v="0"/>
    <s v="Y"/>
    <s v="Y"/>
    <n v="0"/>
    <x v="39"/>
    <x v="2"/>
    <x v="1"/>
    <x v="2"/>
    <x v="0"/>
    <d v="1972-10-30T00:00:00"/>
    <n v="-19046"/>
    <x v="879"/>
    <x v="2"/>
    <n v="-5618"/>
    <n v="15.381245722108146"/>
    <x v="1"/>
    <n v="1"/>
    <n v="0"/>
    <n v="0"/>
    <n v="0"/>
    <s v="Laborers"/>
    <x v="0"/>
  </r>
  <r>
    <n v="5045462"/>
    <x v="0"/>
    <s v="Y"/>
    <s v="Y"/>
    <n v="0"/>
    <x v="16"/>
    <x v="1"/>
    <x v="1"/>
    <x v="1"/>
    <x v="0"/>
    <d v="2002-09-15T00:00:00"/>
    <n v="-8134"/>
    <x v="880"/>
    <x v="4"/>
    <n v="-657"/>
    <n v="1.7987679671457906"/>
    <x v="1"/>
    <n v="1"/>
    <n v="0"/>
    <n v="0"/>
    <n v="0"/>
    <s v="Managers"/>
    <x v="1"/>
  </r>
  <r>
    <n v="5045465"/>
    <x v="0"/>
    <s v="N"/>
    <s v="N"/>
    <n v="0"/>
    <x v="18"/>
    <x v="2"/>
    <x v="0"/>
    <x v="2"/>
    <x v="1"/>
    <d v="1987-04-19T00:00:00"/>
    <n v="-13762"/>
    <x v="881"/>
    <x v="3"/>
    <n v="-1965"/>
    <n v="5.3798767967145791"/>
    <x v="1"/>
    <n v="1"/>
    <n v="1"/>
    <n v="0"/>
    <n v="0"/>
    <s v="Medicine staff"/>
    <x v="0"/>
  </r>
  <r>
    <n v="5045508"/>
    <x v="1"/>
    <s v="Y"/>
    <s v="N"/>
    <n v="1"/>
    <x v="16"/>
    <x v="2"/>
    <x v="1"/>
    <x v="1"/>
    <x v="0"/>
    <d v="1993-06-30T00:00:00"/>
    <n v="-11498"/>
    <x v="882"/>
    <x v="3"/>
    <n v="-4491"/>
    <n v="12.295687885010267"/>
    <x v="1"/>
    <n v="1"/>
    <n v="0"/>
    <n v="0"/>
    <n v="0"/>
    <m/>
    <x v="3"/>
  </r>
  <r>
    <n v="5045512"/>
    <x v="1"/>
    <s v="Y"/>
    <s v="N"/>
    <n v="1"/>
    <x v="16"/>
    <x v="2"/>
    <x v="1"/>
    <x v="1"/>
    <x v="0"/>
    <d v="1993-06-30T00:00:00"/>
    <n v="-11498"/>
    <x v="882"/>
    <x v="3"/>
    <n v="-4491"/>
    <n v="12.295687885010267"/>
    <x v="1"/>
    <n v="1"/>
    <n v="0"/>
    <n v="0"/>
    <n v="0"/>
    <m/>
    <x v="3"/>
  </r>
  <r>
    <n v="5045526"/>
    <x v="0"/>
    <s v="N"/>
    <s v="Y"/>
    <n v="0"/>
    <x v="2"/>
    <x v="0"/>
    <x v="1"/>
    <x v="4"/>
    <x v="0"/>
    <d v="1964-06-01T00:00:00"/>
    <n v="-22119"/>
    <x v="883"/>
    <x v="0"/>
    <n v="365243"/>
    <n v="0"/>
    <x v="0"/>
    <n v="1"/>
    <n v="0"/>
    <n v="0"/>
    <n v="0"/>
    <m/>
    <x v="0"/>
  </r>
  <r>
    <n v="5045537"/>
    <x v="1"/>
    <s v="Y"/>
    <s v="N"/>
    <n v="2"/>
    <x v="8"/>
    <x v="3"/>
    <x v="0"/>
    <x v="1"/>
    <x v="2"/>
    <d v="1995-01-12T00:00:00"/>
    <n v="-10937"/>
    <x v="884"/>
    <x v="4"/>
    <n v="-1539"/>
    <n v="4.213552361396304"/>
    <x v="1"/>
    <n v="1"/>
    <n v="0"/>
    <n v="0"/>
    <n v="0"/>
    <s v="High skill tech staff"/>
    <x v="2"/>
  </r>
  <r>
    <n v="5045543"/>
    <x v="1"/>
    <s v="Y"/>
    <s v="N"/>
    <n v="2"/>
    <x v="8"/>
    <x v="3"/>
    <x v="0"/>
    <x v="1"/>
    <x v="2"/>
    <d v="1995-01-12T00:00:00"/>
    <n v="-10937"/>
    <x v="884"/>
    <x v="4"/>
    <n v="-1539"/>
    <n v="4.213552361396304"/>
    <x v="1"/>
    <n v="1"/>
    <n v="0"/>
    <n v="0"/>
    <n v="0"/>
    <s v="High skill tech staff"/>
    <x v="2"/>
  </r>
  <r>
    <n v="5045575"/>
    <x v="1"/>
    <s v="N"/>
    <s v="Y"/>
    <n v="2"/>
    <x v="1"/>
    <x v="0"/>
    <x v="0"/>
    <x v="1"/>
    <x v="0"/>
    <d v="1980-02-25T00:00:00"/>
    <n v="-16372"/>
    <x v="810"/>
    <x v="1"/>
    <n v="365243"/>
    <n v="0"/>
    <x v="0"/>
    <n v="1"/>
    <n v="0"/>
    <n v="0"/>
    <n v="0"/>
    <m/>
    <x v="2"/>
  </r>
  <r>
    <n v="5045588"/>
    <x v="0"/>
    <s v="Y"/>
    <s v="Y"/>
    <n v="0"/>
    <x v="33"/>
    <x v="2"/>
    <x v="1"/>
    <x v="1"/>
    <x v="0"/>
    <d v="1984-01-01T00:00:00"/>
    <n v="-14966"/>
    <x v="807"/>
    <x v="1"/>
    <n v="-170"/>
    <n v="0.4654346338124572"/>
    <x v="1"/>
    <n v="1"/>
    <n v="0"/>
    <n v="0"/>
    <n v="0"/>
    <m/>
    <x v="1"/>
  </r>
  <r>
    <n v="5045591"/>
    <x v="0"/>
    <s v="Y"/>
    <s v="Y"/>
    <n v="0"/>
    <x v="33"/>
    <x v="2"/>
    <x v="1"/>
    <x v="1"/>
    <x v="0"/>
    <d v="1984-01-01T00:00:00"/>
    <n v="-14966"/>
    <x v="807"/>
    <x v="1"/>
    <n v="-170"/>
    <n v="0.4654346338124572"/>
    <x v="1"/>
    <n v="1"/>
    <n v="0"/>
    <n v="0"/>
    <n v="0"/>
    <m/>
    <x v="1"/>
  </r>
  <r>
    <n v="5045595"/>
    <x v="0"/>
    <s v="Y"/>
    <s v="Y"/>
    <n v="0"/>
    <x v="33"/>
    <x v="2"/>
    <x v="1"/>
    <x v="1"/>
    <x v="0"/>
    <d v="1984-01-01T00:00:00"/>
    <n v="-14966"/>
    <x v="807"/>
    <x v="1"/>
    <n v="-170"/>
    <n v="0.4654346338124572"/>
    <x v="1"/>
    <n v="1"/>
    <n v="0"/>
    <n v="0"/>
    <n v="0"/>
    <m/>
    <x v="1"/>
  </r>
  <r>
    <n v="5045608"/>
    <x v="0"/>
    <s v="N"/>
    <s v="Y"/>
    <n v="2"/>
    <x v="30"/>
    <x v="2"/>
    <x v="1"/>
    <x v="1"/>
    <x v="0"/>
    <d v="1992-10-09T00:00:00"/>
    <n v="-11762"/>
    <x v="885"/>
    <x v="3"/>
    <n v="-716"/>
    <n v="1.9603011635865846"/>
    <x v="1"/>
    <n v="1"/>
    <n v="0"/>
    <n v="0"/>
    <n v="0"/>
    <m/>
    <x v="2"/>
  </r>
  <r>
    <n v="5045620"/>
    <x v="0"/>
    <s v="N"/>
    <s v="Y"/>
    <n v="1"/>
    <x v="18"/>
    <x v="3"/>
    <x v="1"/>
    <x v="1"/>
    <x v="0"/>
    <d v="1985-07-20T00:00:00"/>
    <n v="-14400"/>
    <x v="886"/>
    <x v="3"/>
    <n v="-2512"/>
    <n v="6.8774811772758389"/>
    <x v="1"/>
    <n v="1"/>
    <n v="0"/>
    <n v="0"/>
    <n v="0"/>
    <s v="Medicine staff"/>
    <x v="3"/>
  </r>
  <r>
    <n v="5045624"/>
    <x v="0"/>
    <s v="N"/>
    <s v="Y"/>
    <n v="1"/>
    <x v="18"/>
    <x v="3"/>
    <x v="1"/>
    <x v="1"/>
    <x v="0"/>
    <d v="1985-07-20T00:00:00"/>
    <n v="-14400"/>
    <x v="886"/>
    <x v="3"/>
    <n v="-2512"/>
    <n v="6.8774811772758389"/>
    <x v="1"/>
    <n v="1"/>
    <n v="0"/>
    <n v="0"/>
    <n v="0"/>
    <s v="Medicine staff"/>
    <x v="3"/>
  </r>
  <r>
    <n v="5045636"/>
    <x v="1"/>
    <s v="Y"/>
    <s v="Y"/>
    <n v="1"/>
    <x v="25"/>
    <x v="2"/>
    <x v="1"/>
    <x v="1"/>
    <x v="0"/>
    <d v="1985-09-03T00:00:00"/>
    <n v="-14355"/>
    <x v="887"/>
    <x v="3"/>
    <n v="-5557"/>
    <n v="15.214236824093087"/>
    <x v="1"/>
    <n v="1"/>
    <n v="1"/>
    <n v="0"/>
    <n v="0"/>
    <s v="Laborers"/>
    <x v="3"/>
  </r>
  <r>
    <n v="5045638"/>
    <x v="1"/>
    <s v="Y"/>
    <s v="Y"/>
    <n v="1"/>
    <x v="25"/>
    <x v="2"/>
    <x v="1"/>
    <x v="1"/>
    <x v="0"/>
    <d v="1985-09-03T00:00:00"/>
    <n v="-14355"/>
    <x v="887"/>
    <x v="3"/>
    <n v="-5557"/>
    <n v="15.214236824093087"/>
    <x v="1"/>
    <n v="1"/>
    <n v="1"/>
    <n v="0"/>
    <n v="0"/>
    <s v="Laborers"/>
    <x v="3"/>
  </r>
  <r>
    <n v="5045653"/>
    <x v="0"/>
    <s v="Y"/>
    <s v="Y"/>
    <n v="0"/>
    <x v="5"/>
    <x v="2"/>
    <x v="1"/>
    <x v="1"/>
    <x v="0"/>
    <d v="1984-04-22T00:00:00"/>
    <n v="-14854"/>
    <x v="888"/>
    <x v="1"/>
    <n v="-2452"/>
    <n v="6.7132101300479121"/>
    <x v="1"/>
    <n v="1"/>
    <n v="0"/>
    <n v="1"/>
    <n v="0"/>
    <m/>
    <x v="1"/>
  </r>
  <r>
    <n v="5045678"/>
    <x v="0"/>
    <s v="N"/>
    <s v="Y"/>
    <n v="1"/>
    <x v="18"/>
    <x v="3"/>
    <x v="1"/>
    <x v="3"/>
    <x v="0"/>
    <d v="1990-02-23T00:00:00"/>
    <n v="-12721"/>
    <x v="889"/>
    <x v="3"/>
    <n v="-5252"/>
    <n v="14.379192334017796"/>
    <x v="1"/>
    <n v="1"/>
    <n v="0"/>
    <n v="0"/>
    <n v="0"/>
    <s v="Medicine staff"/>
    <x v="3"/>
  </r>
  <r>
    <n v="5045679"/>
    <x v="0"/>
    <s v="N"/>
    <s v="Y"/>
    <n v="1"/>
    <x v="18"/>
    <x v="3"/>
    <x v="1"/>
    <x v="3"/>
    <x v="0"/>
    <d v="1990-02-23T00:00:00"/>
    <n v="-12721"/>
    <x v="889"/>
    <x v="3"/>
    <n v="-5252"/>
    <n v="14.379192334017796"/>
    <x v="1"/>
    <n v="1"/>
    <n v="0"/>
    <n v="0"/>
    <n v="0"/>
    <s v="Medicine staff"/>
    <x v="3"/>
  </r>
  <r>
    <n v="5045693"/>
    <x v="0"/>
    <s v="N"/>
    <s v="Y"/>
    <n v="0"/>
    <x v="39"/>
    <x v="1"/>
    <x v="0"/>
    <x v="2"/>
    <x v="0"/>
    <d v="1987-03-24T00:00:00"/>
    <n v="-13788"/>
    <x v="189"/>
    <x v="3"/>
    <n v="-3822"/>
    <n v="10.464065708418891"/>
    <x v="1"/>
    <n v="1"/>
    <n v="1"/>
    <n v="1"/>
    <n v="0"/>
    <s v="Laborers"/>
    <x v="0"/>
  </r>
  <r>
    <n v="5045700"/>
    <x v="0"/>
    <s v="N"/>
    <s v="Y"/>
    <n v="0"/>
    <x v="3"/>
    <x v="1"/>
    <x v="0"/>
    <x v="0"/>
    <x v="0"/>
    <d v="1980-07-10T00:00:00"/>
    <n v="-16236"/>
    <x v="890"/>
    <x v="1"/>
    <n v="-3000"/>
    <n v="8.2135523613963031"/>
    <x v="1"/>
    <n v="1"/>
    <n v="0"/>
    <n v="0"/>
    <n v="0"/>
    <s v="Managers"/>
    <x v="0"/>
  </r>
  <r>
    <n v="5045708"/>
    <x v="1"/>
    <s v="N"/>
    <s v="Y"/>
    <n v="0"/>
    <x v="16"/>
    <x v="1"/>
    <x v="0"/>
    <x v="0"/>
    <x v="0"/>
    <d v="1996-10-28T00:00:00"/>
    <n v="-10282"/>
    <x v="891"/>
    <x v="4"/>
    <n v="-108"/>
    <n v="0.29568788501026694"/>
    <x v="1"/>
    <n v="1"/>
    <n v="0"/>
    <n v="0"/>
    <n v="0"/>
    <s v="Core staff"/>
    <x v="0"/>
  </r>
  <r>
    <n v="5045721"/>
    <x v="1"/>
    <s v="N"/>
    <s v="N"/>
    <n v="1"/>
    <x v="7"/>
    <x v="1"/>
    <x v="0"/>
    <x v="0"/>
    <x v="0"/>
    <d v="1995-06-22T00:00:00"/>
    <n v="-10776"/>
    <x v="892"/>
    <x v="4"/>
    <n v="-1174"/>
    <n v="3.2142368240930868"/>
    <x v="1"/>
    <n v="1"/>
    <n v="0"/>
    <n v="0"/>
    <n v="0"/>
    <s v="Laborers"/>
    <x v="1"/>
  </r>
  <r>
    <n v="5045725"/>
    <x v="1"/>
    <s v="N"/>
    <s v="N"/>
    <n v="1"/>
    <x v="7"/>
    <x v="1"/>
    <x v="0"/>
    <x v="0"/>
    <x v="0"/>
    <d v="1995-06-22T00:00:00"/>
    <n v="-10776"/>
    <x v="892"/>
    <x v="4"/>
    <n v="-1174"/>
    <n v="3.2142368240930868"/>
    <x v="1"/>
    <n v="1"/>
    <n v="0"/>
    <n v="0"/>
    <n v="0"/>
    <s v="Laborers"/>
    <x v="1"/>
  </r>
  <r>
    <n v="5045741"/>
    <x v="1"/>
    <s v="N"/>
    <s v="N"/>
    <n v="0"/>
    <x v="8"/>
    <x v="1"/>
    <x v="2"/>
    <x v="2"/>
    <x v="0"/>
    <d v="1999-02-09T00:00:00"/>
    <n v="-9448"/>
    <x v="893"/>
    <x v="4"/>
    <n v="-1022"/>
    <n v="2.7980835044490076"/>
    <x v="1"/>
    <n v="1"/>
    <n v="0"/>
    <n v="0"/>
    <n v="0"/>
    <s v="Drivers"/>
    <x v="0"/>
  </r>
  <r>
    <n v="5045745"/>
    <x v="1"/>
    <s v="Y"/>
    <s v="Y"/>
    <n v="0"/>
    <x v="11"/>
    <x v="1"/>
    <x v="1"/>
    <x v="1"/>
    <x v="0"/>
    <d v="1984-03-14T00:00:00"/>
    <n v="-14893"/>
    <x v="894"/>
    <x v="1"/>
    <n v="-2604"/>
    <n v="7.1293634496919918"/>
    <x v="1"/>
    <n v="1"/>
    <n v="0"/>
    <n v="0"/>
    <n v="0"/>
    <s v="Laborers"/>
    <x v="1"/>
  </r>
  <r>
    <n v="5045748"/>
    <x v="1"/>
    <s v="Y"/>
    <s v="Y"/>
    <n v="0"/>
    <x v="11"/>
    <x v="1"/>
    <x v="1"/>
    <x v="1"/>
    <x v="0"/>
    <d v="1984-03-14T00:00:00"/>
    <n v="-14893"/>
    <x v="894"/>
    <x v="1"/>
    <n v="-2604"/>
    <n v="7.1293634496919918"/>
    <x v="1"/>
    <n v="1"/>
    <n v="0"/>
    <n v="0"/>
    <n v="0"/>
    <s v="Laborers"/>
    <x v="1"/>
  </r>
  <r>
    <n v="5045768"/>
    <x v="1"/>
    <s v="Y"/>
    <s v="N"/>
    <n v="0"/>
    <x v="16"/>
    <x v="2"/>
    <x v="1"/>
    <x v="2"/>
    <x v="0"/>
    <d v="1999-07-29T00:00:00"/>
    <n v="-9278"/>
    <x v="895"/>
    <x v="4"/>
    <n v="-1113"/>
    <n v="3.0472279260780288"/>
    <x v="1"/>
    <n v="1"/>
    <n v="0"/>
    <n v="0"/>
    <n v="0"/>
    <m/>
    <x v="0"/>
  </r>
  <r>
    <n v="5045774"/>
    <x v="1"/>
    <s v="N"/>
    <s v="Y"/>
    <n v="1"/>
    <x v="16"/>
    <x v="2"/>
    <x v="0"/>
    <x v="1"/>
    <x v="0"/>
    <d v="1999-02-16T00:00:00"/>
    <n v="-9441"/>
    <x v="896"/>
    <x v="4"/>
    <n v="-1235"/>
    <n v="3.3812457221081451"/>
    <x v="1"/>
    <n v="1"/>
    <n v="0"/>
    <n v="0"/>
    <n v="0"/>
    <s v="Managers"/>
    <x v="3"/>
  </r>
  <r>
    <n v="5045798"/>
    <x v="0"/>
    <s v="Y"/>
    <s v="N"/>
    <n v="0"/>
    <x v="11"/>
    <x v="2"/>
    <x v="0"/>
    <x v="1"/>
    <x v="0"/>
    <d v="1999-09-03T00:00:00"/>
    <n v="-9242"/>
    <x v="897"/>
    <x v="4"/>
    <n v="-139"/>
    <n v="0.3805612594113621"/>
    <x v="1"/>
    <n v="1"/>
    <n v="0"/>
    <n v="0"/>
    <n v="0"/>
    <s v="Accountants"/>
    <x v="1"/>
  </r>
  <r>
    <n v="5045806"/>
    <x v="0"/>
    <s v="Y"/>
    <s v="N"/>
    <n v="0"/>
    <x v="5"/>
    <x v="2"/>
    <x v="1"/>
    <x v="1"/>
    <x v="0"/>
    <d v="1966-05-13T00:00:00"/>
    <n v="-21408"/>
    <x v="898"/>
    <x v="2"/>
    <n v="-2512"/>
    <n v="6.8774811772758389"/>
    <x v="1"/>
    <n v="1"/>
    <n v="1"/>
    <n v="0"/>
    <n v="0"/>
    <m/>
    <x v="1"/>
  </r>
  <r>
    <n v="5045827"/>
    <x v="0"/>
    <s v="N"/>
    <s v="Y"/>
    <n v="0"/>
    <x v="18"/>
    <x v="0"/>
    <x v="0"/>
    <x v="1"/>
    <x v="0"/>
    <d v="1963-10-24T00:00:00"/>
    <n v="-22340"/>
    <x v="899"/>
    <x v="0"/>
    <n v="365243"/>
    <n v="0"/>
    <x v="0"/>
    <n v="1"/>
    <n v="0"/>
    <n v="0"/>
    <n v="0"/>
    <m/>
    <x v="1"/>
  </r>
  <r>
    <n v="5045847"/>
    <x v="0"/>
    <s v="Y"/>
    <s v="Y"/>
    <n v="2"/>
    <x v="12"/>
    <x v="1"/>
    <x v="0"/>
    <x v="1"/>
    <x v="2"/>
    <d v="1990-06-03T00:00:00"/>
    <n v="-12621"/>
    <x v="900"/>
    <x v="3"/>
    <n v="-1327"/>
    <n v="3.6331279945242985"/>
    <x v="1"/>
    <n v="1"/>
    <n v="0"/>
    <n v="0"/>
    <n v="0"/>
    <s v="Managers"/>
    <x v="2"/>
  </r>
  <r>
    <n v="5045861"/>
    <x v="1"/>
    <s v="N"/>
    <s v="N"/>
    <n v="0"/>
    <x v="43"/>
    <x v="2"/>
    <x v="0"/>
    <x v="1"/>
    <x v="0"/>
    <d v="1998-04-23T00:00:00"/>
    <n v="-9740"/>
    <x v="901"/>
    <x v="4"/>
    <n v="-3030"/>
    <n v="8.2956878850102669"/>
    <x v="1"/>
    <n v="1"/>
    <n v="0"/>
    <n v="0"/>
    <n v="0"/>
    <m/>
    <x v="1"/>
  </r>
  <r>
    <n v="5045866"/>
    <x v="0"/>
    <s v="Y"/>
    <s v="Y"/>
    <n v="1"/>
    <x v="12"/>
    <x v="1"/>
    <x v="0"/>
    <x v="1"/>
    <x v="0"/>
    <d v="1979-03-24T00:00:00"/>
    <n v="-16710"/>
    <x v="902"/>
    <x v="1"/>
    <n v="-3092"/>
    <n v="8.4654346338124569"/>
    <x v="1"/>
    <n v="1"/>
    <n v="0"/>
    <n v="0"/>
    <n v="0"/>
    <s v="Managers"/>
    <x v="3"/>
  </r>
  <r>
    <n v="5045868"/>
    <x v="0"/>
    <s v="Y"/>
    <s v="Y"/>
    <n v="1"/>
    <x v="12"/>
    <x v="1"/>
    <x v="0"/>
    <x v="1"/>
    <x v="0"/>
    <d v="1979-03-24T00:00:00"/>
    <n v="-16710"/>
    <x v="902"/>
    <x v="1"/>
    <n v="-3092"/>
    <n v="8.4654346338124569"/>
    <x v="1"/>
    <n v="1"/>
    <n v="0"/>
    <n v="0"/>
    <n v="0"/>
    <s v="Managers"/>
    <x v="3"/>
  </r>
  <r>
    <n v="5045869"/>
    <x v="0"/>
    <s v="Y"/>
    <s v="Y"/>
    <n v="1"/>
    <x v="12"/>
    <x v="1"/>
    <x v="0"/>
    <x v="1"/>
    <x v="0"/>
    <d v="1979-03-24T00:00:00"/>
    <n v="-16710"/>
    <x v="902"/>
    <x v="1"/>
    <n v="-3092"/>
    <n v="8.4654346338124569"/>
    <x v="1"/>
    <n v="1"/>
    <n v="0"/>
    <n v="0"/>
    <n v="0"/>
    <s v="Managers"/>
    <x v="3"/>
  </r>
  <r>
    <n v="5045879"/>
    <x v="1"/>
    <s v="Y"/>
    <s v="N"/>
    <n v="1"/>
    <x v="5"/>
    <x v="2"/>
    <x v="1"/>
    <x v="1"/>
    <x v="0"/>
    <d v="1998-05-08T00:00:00"/>
    <n v="-9725"/>
    <x v="903"/>
    <x v="4"/>
    <n v="-139"/>
    <n v="0.3805612594113621"/>
    <x v="1"/>
    <n v="1"/>
    <n v="0"/>
    <n v="0"/>
    <n v="0"/>
    <s v="Drivers"/>
    <x v="3"/>
  </r>
  <r>
    <n v="5045883"/>
    <x v="1"/>
    <s v="N"/>
    <s v="Y"/>
    <n v="0"/>
    <x v="37"/>
    <x v="0"/>
    <x v="1"/>
    <x v="1"/>
    <x v="0"/>
    <d v="1967-11-21T00:00:00"/>
    <n v="-20851"/>
    <x v="904"/>
    <x v="2"/>
    <n v="365243"/>
    <n v="0"/>
    <x v="0"/>
    <n v="1"/>
    <n v="0"/>
    <n v="0"/>
    <n v="0"/>
    <m/>
    <x v="1"/>
  </r>
  <r>
    <n v="5045914"/>
    <x v="1"/>
    <s v="Y"/>
    <s v="Y"/>
    <n v="0"/>
    <x v="12"/>
    <x v="1"/>
    <x v="1"/>
    <x v="1"/>
    <x v="1"/>
    <d v="1978-06-17T00:00:00"/>
    <n v="-16990"/>
    <x v="905"/>
    <x v="1"/>
    <n v="-2026"/>
    <n v="5.546885694729637"/>
    <x v="1"/>
    <n v="1"/>
    <n v="0"/>
    <n v="0"/>
    <n v="0"/>
    <s v="Drivers"/>
    <x v="1"/>
  </r>
  <r>
    <n v="5045915"/>
    <x v="1"/>
    <s v="Y"/>
    <s v="Y"/>
    <n v="0"/>
    <x v="12"/>
    <x v="1"/>
    <x v="1"/>
    <x v="1"/>
    <x v="1"/>
    <d v="1978-06-17T00:00:00"/>
    <n v="-16990"/>
    <x v="905"/>
    <x v="1"/>
    <n v="-2026"/>
    <n v="5.546885694729637"/>
    <x v="1"/>
    <n v="1"/>
    <n v="0"/>
    <n v="0"/>
    <n v="0"/>
    <s v="Drivers"/>
    <x v="1"/>
  </r>
  <r>
    <n v="5045918"/>
    <x v="0"/>
    <s v="N"/>
    <s v="Y"/>
    <n v="0"/>
    <x v="98"/>
    <x v="0"/>
    <x v="3"/>
    <x v="1"/>
    <x v="0"/>
    <d v="1959-06-14T00:00:00"/>
    <n v="-23933"/>
    <x v="906"/>
    <x v="0"/>
    <n v="365243"/>
    <n v="0"/>
    <x v="0"/>
    <n v="1"/>
    <n v="0"/>
    <n v="0"/>
    <n v="0"/>
    <m/>
    <x v="1"/>
  </r>
  <r>
    <n v="5045923"/>
    <x v="0"/>
    <s v="N"/>
    <s v="Y"/>
    <n v="0"/>
    <x v="98"/>
    <x v="0"/>
    <x v="3"/>
    <x v="1"/>
    <x v="0"/>
    <d v="1959-06-14T00:00:00"/>
    <n v="-23933"/>
    <x v="906"/>
    <x v="0"/>
    <n v="365243"/>
    <n v="0"/>
    <x v="0"/>
    <n v="1"/>
    <n v="0"/>
    <n v="0"/>
    <n v="0"/>
    <m/>
    <x v="1"/>
  </r>
  <r>
    <n v="5045925"/>
    <x v="0"/>
    <s v="N"/>
    <s v="Y"/>
    <n v="0"/>
    <x v="98"/>
    <x v="0"/>
    <x v="3"/>
    <x v="1"/>
    <x v="0"/>
    <d v="1959-06-14T00:00:00"/>
    <n v="-23933"/>
    <x v="906"/>
    <x v="0"/>
    <n v="365243"/>
    <n v="0"/>
    <x v="0"/>
    <n v="1"/>
    <n v="0"/>
    <n v="0"/>
    <n v="0"/>
    <m/>
    <x v="1"/>
  </r>
  <r>
    <n v="5045932"/>
    <x v="1"/>
    <s v="N"/>
    <s v="N"/>
    <n v="0"/>
    <x v="39"/>
    <x v="3"/>
    <x v="1"/>
    <x v="2"/>
    <x v="0"/>
    <d v="1983-10-22T00:00:00"/>
    <n v="-15037"/>
    <x v="907"/>
    <x v="1"/>
    <n v="-2208"/>
    <n v="6.0451745379876796"/>
    <x v="1"/>
    <n v="1"/>
    <n v="0"/>
    <n v="0"/>
    <n v="0"/>
    <s v="Laborers"/>
    <x v="0"/>
  </r>
  <r>
    <n v="5045954"/>
    <x v="0"/>
    <s v="Y"/>
    <s v="Y"/>
    <n v="0"/>
    <x v="5"/>
    <x v="2"/>
    <x v="1"/>
    <x v="2"/>
    <x v="0"/>
    <d v="1972-10-19T00:00:00"/>
    <n v="-19057"/>
    <x v="908"/>
    <x v="2"/>
    <n v="-3913"/>
    <n v="10.713210130047912"/>
    <x v="1"/>
    <n v="1"/>
    <n v="0"/>
    <n v="0"/>
    <n v="0"/>
    <m/>
    <x v="0"/>
  </r>
  <r>
    <n v="5045957"/>
    <x v="1"/>
    <s v="N"/>
    <s v="Y"/>
    <n v="1"/>
    <x v="18"/>
    <x v="1"/>
    <x v="1"/>
    <x v="1"/>
    <x v="0"/>
    <d v="1982-02-20T00:00:00"/>
    <n v="-15646"/>
    <x v="909"/>
    <x v="1"/>
    <n v="-4614"/>
    <n v="12.632443531827516"/>
    <x v="1"/>
    <n v="1"/>
    <n v="0"/>
    <n v="0"/>
    <n v="0"/>
    <s v="Laborers"/>
    <x v="3"/>
  </r>
  <r>
    <n v="5045967"/>
    <x v="1"/>
    <s v="Y"/>
    <s v="N"/>
    <n v="1"/>
    <x v="30"/>
    <x v="2"/>
    <x v="1"/>
    <x v="1"/>
    <x v="2"/>
    <d v="2000-02-05T00:00:00"/>
    <n v="-9087"/>
    <x v="64"/>
    <x v="4"/>
    <n v="-1051"/>
    <n v="2.8774811772758384"/>
    <x v="1"/>
    <n v="1"/>
    <n v="0"/>
    <n v="0"/>
    <n v="0"/>
    <s v="Laborers"/>
    <x v="3"/>
  </r>
  <r>
    <n v="5045968"/>
    <x v="1"/>
    <s v="Y"/>
    <s v="N"/>
    <n v="1"/>
    <x v="30"/>
    <x v="2"/>
    <x v="1"/>
    <x v="1"/>
    <x v="2"/>
    <d v="2000-02-05T00:00:00"/>
    <n v="-9087"/>
    <x v="64"/>
    <x v="4"/>
    <n v="-1051"/>
    <n v="2.8774811772758384"/>
    <x v="1"/>
    <n v="1"/>
    <n v="0"/>
    <n v="0"/>
    <n v="0"/>
    <s v="Laborers"/>
    <x v="3"/>
  </r>
  <r>
    <n v="5045975"/>
    <x v="1"/>
    <s v="Y"/>
    <s v="Y"/>
    <n v="1"/>
    <x v="14"/>
    <x v="2"/>
    <x v="0"/>
    <x v="1"/>
    <x v="0"/>
    <d v="1992-10-04T00:00:00"/>
    <n v="-11767"/>
    <x v="910"/>
    <x v="3"/>
    <n v="-3883"/>
    <n v="10.63107460643395"/>
    <x v="1"/>
    <n v="1"/>
    <n v="1"/>
    <n v="0"/>
    <n v="0"/>
    <s v="Managers"/>
    <x v="3"/>
  </r>
  <r>
    <n v="5045976"/>
    <x v="0"/>
    <s v="N"/>
    <s v="Y"/>
    <n v="0"/>
    <x v="8"/>
    <x v="2"/>
    <x v="1"/>
    <x v="1"/>
    <x v="0"/>
    <d v="1967-02-01T00:00:00"/>
    <n v="-21144"/>
    <x v="911"/>
    <x v="2"/>
    <n v="-1692"/>
    <n v="4.6324435318275157"/>
    <x v="1"/>
    <n v="1"/>
    <n v="0"/>
    <n v="0"/>
    <n v="0"/>
    <s v="Sales staff"/>
    <x v="1"/>
  </r>
  <r>
    <n v="5045979"/>
    <x v="0"/>
    <s v="N"/>
    <s v="Y"/>
    <n v="0"/>
    <x v="8"/>
    <x v="2"/>
    <x v="1"/>
    <x v="1"/>
    <x v="0"/>
    <d v="1967-02-01T00:00:00"/>
    <n v="-21144"/>
    <x v="911"/>
    <x v="2"/>
    <n v="-1692"/>
    <n v="4.6324435318275157"/>
    <x v="1"/>
    <n v="1"/>
    <n v="0"/>
    <n v="0"/>
    <n v="0"/>
    <s v="Sales staff"/>
    <x v="1"/>
  </r>
  <r>
    <n v="5045985"/>
    <x v="0"/>
    <s v="N"/>
    <s v="N"/>
    <n v="0"/>
    <x v="32"/>
    <x v="1"/>
    <x v="1"/>
    <x v="2"/>
    <x v="4"/>
    <d v="1977-09-23T00:00:00"/>
    <n v="-17257"/>
    <x v="912"/>
    <x v="1"/>
    <n v="-777"/>
    <n v="2.1273100616016429"/>
    <x v="1"/>
    <n v="1"/>
    <n v="0"/>
    <n v="0"/>
    <n v="0"/>
    <s v="Laborers"/>
    <x v="0"/>
  </r>
  <r>
    <n v="5045987"/>
    <x v="0"/>
    <s v="N"/>
    <s v="N"/>
    <n v="0"/>
    <x v="32"/>
    <x v="1"/>
    <x v="1"/>
    <x v="2"/>
    <x v="4"/>
    <d v="1977-09-23T00:00:00"/>
    <n v="-17257"/>
    <x v="912"/>
    <x v="1"/>
    <n v="-777"/>
    <n v="2.1273100616016429"/>
    <x v="1"/>
    <n v="1"/>
    <n v="0"/>
    <n v="0"/>
    <n v="0"/>
    <s v="Laborers"/>
    <x v="0"/>
  </r>
  <r>
    <n v="5045989"/>
    <x v="0"/>
    <s v="N"/>
    <s v="Y"/>
    <n v="0"/>
    <x v="5"/>
    <x v="1"/>
    <x v="1"/>
    <x v="1"/>
    <x v="0"/>
    <d v="1983-03-17T00:00:00"/>
    <n v="-15256"/>
    <x v="913"/>
    <x v="1"/>
    <n v="-4491"/>
    <n v="12.295687885010267"/>
    <x v="1"/>
    <n v="1"/>
    <n v="0"/>
    <n v="0"/>
    <n v="0"/>
    <s v="Laborers"/>
    <x v="1"/>
  </r>
  <r>
    <n v="5045991"/>
    <x v="0"/>
    <s v="N"/>
    <s v="Y"/>
    <n v="0"/>
    <x v="5"/>
    <x v="1"/>
    <x v="1"/>
    <x v="1"/>
    <x v="0"/>
    <d v="1983-03-17T00:00:00"/>
    <n v="-15256"/>
    <x v="913"/>
    <x v="1"/>
    <n v="-4491"/>
    <n v="12.295687885010267"/>
    <x v="1"/>
    <n v="1"/>
    <n v="0"/>
    <n v="0"/>
    <n v="0"/>
    <s v="Laborers"/>
    <x v="1"/>
  </r>
  <r>
    <n v="5045992"/>
    <x v="0"/>
    <s v="N"/>
    <s v="Y"/>
    <n v="0"/>
    <x v="5"/>
    <x v="1"/>
    <x v="1"/>
    <x v="1"/>
    <x v="0"/>
    <d v="1983-03-17T00:00:00"/>
    <n v="-15256"/>
    <x v="913"/>
    <x v="1"/>
    <n v="-4491"/>
    <n v="12.295687885010267"/>
    <x v="1"/>
    <n v="1"/>
    <n v="0"/>
    <n v="0"/>
    <n v="0"/>
    <s v="Laborers"/>
    <x v="1"/>
  </r>
  <r>
    <n v="5046007"/>
    <x v="0"/>
    <s v="N"/>
    <s v="Y"/>
    <n v="0"/>
    <x v="55"/>
    <x v="3"/>
    <x v="1"/>
    <x v="3"/>
    <x v="0"/>
    <d v="1994-12-19T00:00:00"/>
    <n v="-10961"/>
    <x v="914"/>
    <x v="3"/>
    <n v="-473"/>
    <n v="1.2950034223134839"/>
    <x v="1"/>
    <n v="1"/>
    <n v="0"/>
    <n v="0"/>
    <n v="0"/>
    <s v="Cooking staff"/>
    <x v="1"/>
  </r>
  <r>
    <n v="5046018"/>
    <x v="1"/>
    <s v="Y"/>
    <s v="Y"/>
    <n v="1"/>
    <x v="39"/>
    <x v="3"/>
    <x v="1"/>
    <x v="1"/>
    <x v="0"/>
    <d v="1992-02-22T00:00:00"/>
    <n v="-11992"/>
    <x v="74"/>
    <x v="3"/>
    <n v="-3579"/>
    <n v="9.7987679671457908"/>
    <x v="1"/>
    <n v="1"/>
    <n v="0"/>
    <n v="0"/>
    <n v="0"/>
    <s v="Managers"/>
    <x v="3"/>
  </r>
  <r>
    <n v="5046042"/>
    <x v="0"/>
    <s v="N"/>
    <s v="Y"/>
    <n v="0"/>
    <x v="25"/>
    <x v="3"/>
    <x v="0"/>
    <x v="1"/>
    <x v="0"/>
    <d v="1976-03-28T00:00:00"/>
    <n v="-17801"/>
    <x v="915"/>
    <x v="1"/>
    <n v="-8479"/>
    <n v="23.214236824093089"/>
    <x v="1"/>
    <n v="1"/>
    <n v="0"/>
    <n v="0"/>
    <n v="0"/>
    <s v="Managers"/>
    <x v="1"/>
  </r>
  <r>
    <n v="5046047"/>
    <x v="0"/>
    <s v="N"/>
    <s v="Y"/>
    <n v="0"/>
    <x v="25"/>
    <x v="3"/>
    <x v="0"/>
    <x v="1"/>
    <x v="0"/>
    <d v="1976-03-28T00:00:00"/>
    <n v="-17801"/>
    <x v="915"/>
    <x v="1"/>
    <n v="-8479"/>
    <n v="23.214236824093089"/>
    <x v="1"/>
    <n v="1"/>
    <n v="0"/>
    <n v="0"/>
    <n v="0"/>
    <s v="Managers"/>
    <x v="1"/>
  </r>
  <r>
    <n v="5046048"/>
    <x v="0"/>
    <s v="N"/>
    <s v="Y"/>
    <n v="0"/>
    <x v="25"/>
    <x v="3"/>
    <x v="0"/>
    <x v="1"/>
    <x v="0"/>
    <d v="1976-03-28T00:00:00"/>
    <n v="-17801"/>
    <x v="915"/>
    <x v="1"/>
    <n v="-8479"/>
    <n v="23.214236824093089"/>
    <x v="1"/>
    <n v="1"/>
    <n v="0"/>
    <n v="0"/>
    <n v="0"/>
    <s v="Managers"/>
    <x v="1"/>
  </r>
  <r>
    <n v="5046049"/>
    <x v="0"/>
    <s v="N"/>
    <s v="Y"/>
    <n v="0"/>
    <x v="25"/>
    <x v="3"/>
    <x v="0"/>
    <x v="1"/>
    <x v="0"/>
    <d v="1976-03-28T00:00:00"/>
    <n v="-17801"/>
    <x v="915"/>
    <x v="1"/>
    <n v="-8479"/>
    <n v="23.214236824093089"/>
    <x v="1"/>
    <n v="1"/>
    <n v="0"/>
    <n v="0"/>
    <n v="0"/>
    <s v="Managers"/>
    <x v="1"/>
  </r>
  <r>
    <n v="5046077"/>
    <x v="0"/>
    <s v="Y"/>
    <s v="Y"/>
    <n v="2"/>
    <x v="2"/>
    <x v="3"/>
    <x v="3"/>
    <x v="1"/>
    <x v="0"/>
    <d v="1986-01-02T00:00:00"/>
    <n v="-14234"/>
    <x v="916"/>
    <x v="3"/>
    <n v="-5710"/>
    <n v="15.633127994524298"/>
    <x v="1"/>
    <n v="1"/>
    <n v="1"/>
    <n v="0"/>
    <n v="0"/>
    <s v="Medicine staff"/>
    <x v="2"/>
  </r>
  <r>
    <n v="5046081"/>
    <x v="0"/>
    <s v="Y"/>
    <s v="Y"/>
    <n v="2"/>
    <x v="2"/>
    <x v="3"/>
    <x v="3"/>
    <x v="1"/>
    <x v="0"/>
    <d v="1986-01-02T00:00:00"/>
    <n v="-14234"/>
    <x v="916"/>
    <x v="3"/>
    <n v="-5710"/>
    <n v="15.633127994524298"/>
    <x v="1"/>
    <n v="1"/>
    <n v="1"/>
    <n v="0"/>
    <n v="0"/>
    <s v="Medicine staff"/>
    <x v="2"/>
  </r>
  <r>
    <n v="5046084"/>
    <x v="0"/>
    <s v="Y"/>
    <s v="Y"/>
    <n v="0"/>
    <x v="35"/>
    <x v="2"/>
    <x v="1"/>
    <x v="1"/>
    <x v="0"/>
    <d v="1967-05-26T00:00:00"/>
    <n v="-21030"/>
    <x v="917"/>
    <x v="2"/>
    <n v="-2299"/>
    <n v="6.2943189596167013"/>
    <x v="1"/>
    <n v="1"/>
    <n v="0"/>
    <n v="0"/>
    <n v="0"/>
    <m/>
    <x v="1"/>
  </r>
  <r>
    <n v="5046101"/>
    <x v="0"/>
    <s v="N"/>
    <s v="Y"/>
    <n v="0"/>
    <x v="35"/>
    <x v="0"/>
    <x v="1"/>
    <x v="0"/>
    <x v="0"/>
    <d v="1966-02-05T00:00:00"/>
    <n v="-21505"/>
    <x v="918"/>
    <x v="2"/>
    <n v="365243"/>
    <n v="0"/>
    <x v="0"/>
    <n v="1"/>
    <n v="0"/>
    <n v="1"/>
    <n v="0"/>
    <m/>
    <x v="0"/>
  </r>
  <r>
    <n v="5046108"/>
    <x v="0"/>
    <s v="N"/>
    <s v="Y"/>
    <n v="2"/>
    <x v="11"/>
    <x v="2"/>
    <x v="1"/>
    <x v="3"/>
    <x v="0"/>
    <d v="1987-08-16T00:00:00"/>
    <n v="-13643"/>
    <x v="919"/>
    <x v="3"/>
    <n v="-3883"/>
    <n v="10.63107460643395"/>
    <x v="1"/>
    <n v="1"/>
    <n v="0"/>
    <n v="0"/>
    <n v="0"/>
    <s v="Cleaning staff"/>
    <x v="2"/>
  </r>
  <r>
    <n v="5046109"/>
    <x v="0"/>
    <s v="N"/>
    <s v="Y"/>
    <n v="2"/>
    <x v="11"/>
    <x v="2"/>
    <x v="1"/>
    <x v="3"/>
    <x v="0"/>
    <d v="1987-08-16T00:00:00"/>
    <n v="-13643"/>
    <x v="919"/>
    <x v="3"/>
    <n v="-3883"/>
    <n v="10.63107460643395"/>
    <x v="1"/>
    <n v="1"/>
    <n v="0"/>
    <n v="0"/>
    <n v="0"/>
    <s v="Cleaning staff"/>
    <x v="2"/>
  </r>
  <r>
    <n v="5046110"/>
    <x v="1"/>
    <s v="N"/>
    <s v="N"/>
    <n v="0"/>
    <x v="3"/>
    <x v="2"/>
    <x v="0"/>
    <x v="2"/>
    <x v="0"/>
    <d v="1990-06-08T00:00:00"/>
    <n v="-12616"/>
    <x v="920"/>
    <x v="3"/>
    <n v="-1904"/>
    <n v="5.2128678986995212"/>
    <x v="1"/>
    <n v="1"/>
    <n v="1"/>
    <n v="1"/>
    <n v="0"/>
    <s v="Core staff"/>
    <x v="0"/>
  </r>
  <r>
    <n v="5046113"/>
    <x v="1"/>
    <s v="N"/>
    <s v="N"/>
    <n v="0"/>
    <x v="3"/>
    <x v="2"/>
    <x v="0"/>
    <x v="2"/>
    <x v="0"/>
    <d v="1990-06-08T00:00:00"/>
    <n v="-12616"/>
    <x v="920"/>
    <x v="3"/>
    <n v="-1904"/>
    <n v="5.2128678986995212"/>
    <x v="1"/>
    <n v="1"/>
    <n v="1"/>
    <n v="1"/>
    <n v="0"/>
    <s v="Core staff"/>
    <x v="0"/>
  </r>
  <r>
    <n v="5046120"/>
    <x v="0"/>
    <s v="N"/>
    <s v="Y"/>
    <n v="0"/>
    <x v="1"/>
    <x v="2"/>
    <x v="1"/>
    <x v="1"/>
    <x v="0"/>
    <d v="1969-05-24T00:00:00"/>
    <n v="-20301"/>
    <x v="921"/>
    <x v="2"/>
    <n v="-3092"/>
    <n v="8.4654346338124569"/>
    <x v="1"/>
    <n v="1"/>
    <n v="1"/>
    <n v="1"/>
    <n v="0"/>
    <s v="Managers"/>
    <x v="1"/>
  </r>
  <r>
    <n v="5046130"/>
    <x v="1"/>
    <s v="N"/>
    <s v="Y"/>
    <n v="1"/>
    <x v="32"/>
    <x v="2"/>
    <x v="1"/>
    <x v="3"/>
    <x v="0"/>
    <d v="1982-12-28T00:00:00"/>
    <n v="-15335"/>
    <x v="922"/>
    <x v="1"/>
    <n v="-1569"/>
    <n v="4.2956878850102669"/>
    <x v="1"/>
    <n v="1"/>
    <n v="0"/>
    <n v="0"/>
    <n v="0"/>
    <s v="Laborers"/>
    <x v="3"/>
  </r>
  <r>
    <n v="5046134"/>
    <x v="1"/>
    <s v="N"/>
    <s v="Y"/>
    <n v="0"/>
    <x v="51"/>
    <x v="0"/>
    <x v="1"/>
    <x v="4"/>
    <x v="0"/>
    <d v="1959-01-12T00:00:00"/>
    <n v="-24086"/>
    <x v="923"/>
    <x v="0"/>
    <n v="365243"/>
    <n v="0"/>
    <x v="0"/>
    <n v="1"/>
    <n v="0"/>
    <n v="1"/>
    <n v="0"/>
    <m/>
    <x v="0"/>
  </r>
  <r>
    <n v="5046147"/>
    <x v="1"/>
    <s v="Y"/>
    <s v="N"/>
    <n v="0"/>
    <x v="16"/>
    <x v="2"/>
    <x v="0"/>
    <x v="1"/>
    <x v="2"/>
    <d v="1994-09-28T00:00:00"/>
    <n v="-11043"/>
    <x v="924"/>
    <x v="3"/>
    <n v="-2087"/>
    <n v="5.7138945927446958"/>
    <x v="1"/>
    <n v="1"/>
    <n v="0"/>
    <n v="0"/>
    <n v="0"/>
    <s v="Drivers"/>
    <x v="1"/>
  </r>
  <r>
    <n v="5046159"/>
    <x v="0"/>
    <s v="Y"/>
    <s v="Y"/>
    <n v="0"/>
    <x v="45"/>
    <x v="0"/>
    <x v="0"/>
    <x v="1"/>
    <x v="0"/>
    <d v="1963-08-05T00:00:00"/>
    <n v="-22420"/>
    <x v="925"/>
    <x v="0"/>
    <n v="365243"/>
    <n v="0"/>
    <x v="0"/>
    <n v="1"/>
    <n v="0"/>
    <n v="1"/>
    <n v="0"/>
    <m/>
    <x v="1"/>
  </r>
  <r>
    <n v="5046161"/>
    <x v="0"/>
    <s v="Y"/>
    <s v="Y"/>
    <n v="0"/>
    <x v="45"/>
    <x v="0"/>
    <x v="0"/>
    <x v="1"/>
    <x v="0"/>
    <d v="1963-08-05T00:00:00"/>
    <n v="-22420"/>
    <x v="925"/>
    <x v="0"/>
    <n v="365243"/>
    <n v="0"/>
    <x v="0"/>
    <n v="1"/>
    <n v="0"/>
    <n v="1"/>
    <n v="0"/>
    <m/>
    <x v="1"/>
  </r>
  <r>
    <n v="5046206"/>
    <x v="1"/>
    <s v="Y"/>
    <s v="Y"/>
    <n v="2"/>
    <x v="30"/>
    <x v="0"/>
    <x v="3"/>
    <x v="1"/>
    <x v="0"/>
    <d v="1964-11-13T00:00:00"/>
    <n v="-21954"/>
    <x v="926"/>
    <x v="0"/>
    <n v="365243"/>
    <n v="0"/>
    <x v="0"/>
    <n v="1"/>
    <n v="0"/>
    <n v="0"/>
    <n v="0"/>
    <m/>
    <x v="2"/>
  </r>
  <r>
    <n v="5046222"/>
    <x v="0"/>
    <s v="N"/>
    <s v="Y"/>
    <n v="0"/>
    <x v="2"/>
    <x v="0"/>
    <x v="1"/>
    <x v="1"/>
    <x v="0"/>
    <d v="1962-08-02T00:00:00"/>
    <n v="-22788"/>
    <x v="927"/>
    <x v="0"/>
    <n v="365243"/>
    <n v="0"/>
    <x v="0"/>
    <n v="1"/>
    <n v="0"/>
    <n v="0"/>
    <n v="0"/>
    <m/>
    <x v="1"/>
  </r>
  <r>
    <n v="5046230"/>
    <x v="0"/>
    <s v="N"/>
    <s v="Y"/>
    <n v="0"/>
    <x v="2"/>
    <x v="0"/>
    <x v="1"/>
    <x v="1"/>
    <x v="0"/>
    <d v="1962-08-02T00:00:00"/>
    <n v="-22788"/>
    <x v="927"/>
    <x v="0"/>
    <n v="365243"/>
    <n v="0"/>
    <x v="0"/>
    <n v="1"/>
    <n v="0"/>
    <n v="0"/>
    <n v="0"/>
    <m/>
    <x v="1"/>
  </r>
  <r>
    <n v="5046242"/>
    <x v="1"/>
    <s v="Y"/>
    <s v="N"/>
    <n v="2"/>
    <x v="19"/>
    <x v="1"/>
    <x v="1"/>
    <x v="1"/>
    <x v="0"/>
    <d v="1988-11-06T00:00:00"/>
    <n v="-13195"/>
    <x v="928"/>
    <x v="3"/>
    <n v="-1266"/>
    <n v="3.4661190965092401"/>
    <x v="1"/>
    <n v="1"/>
    <n v="0"/>
    <n v="0"/>
    <n v="0"/>
    <s v="Laborers"/>
    <x v="2"/>
  </r>
  <r>
    <n v="5046245"/>
    <x v="0"/>
    <s v="N"/>
    <s v="Y"/>
    <n v="0"/>
    <x v="2"/>
    <x v="0"/>
    <x v="1"/>
    <x v="1"/>
    <x v="0"/>
    <d v="1967-11-29T00:00:00"/>
    <n v="-20843"/>
    <x v="929"/>
    <x v="2"/>
    <n v="365243"/>
    <n v="0"/>
    <x v="0"/>
    <n v="1"/>
    <n v="0"/>
    <n v="1"/>
    <n v="0"/>
    <m/>
    <x v="1"/>
  </r>
  <r>
    <n v="5046264"/>
    <x v="0"/>
    <s v="N"/>
    <s v="Y"/>
    <n v="0"/>
    <x v="92"/>
    <x v="0"/>
    <x v="1"/>
    <x v="2"/>
    <x v="0"/>
    <d v="1964-02-23T00:00:00"/>
    <n v="-22218"/>
    <x v="930"/>
    <x v="0"/>
    <n v="365243"/>
    <n v="0"/>
    <x v="0"/>
    <n v="1"/>
    <n v="0"/>
    <n v="0"/>
    <n v="0"/>
    <m/>
    <x v="0"/>
  </r>
  <r>
    <n v="5046266"/>
    <x v="0"/>
    <s v="N"/>
    <s v="Y"/>
    <n v="0"/>
    <x v="92"/>
    <x v="0"/>
    <x v="1"/>
    <x v="2"/>
    <x v="0"/>
    <d v="1964-02-23T00:00:00"/>
    <n v="-22218"/>
    <x v="930"/>
    <x v="0"/>
    <n v="365243"/>
    <n v="0"/>
    <x v="0"/>
    <n v="1"/>
    <n v="0"/>
    <n v="0"/>
    <n v="0"/>
    <m/>
    <x v="0"/>
  </r>
  <r>
    <n v="5046269"/>
    <x v="0"/>
    <s v="Y"/>
    <s v="Y"/>
    <n v="1"/>
    <x v="5"/>
    <x v="2"/>
    <x v="1"/>
    <x v="2"/>
    <x v="0"/>
    <d v="1995-10-05T00:00:00"/>
    <n v="-10671"/>
    <x v="931"/>
    <x v="4"/>
    <n v="-1266"/>
    <n v="3.4661190965092401"/>
    <x v="1"/>
    <n v="1"/>
    <n v="0"/>
    <n v="0"/>
    <n v="0"/>
    <s v="Private service staff"/>
    <x v="1"/>
  </r>
  <r>
    <n v="5046276"/>
    <x v="0"/>
    <s v="N"/>
    <s v="N"/>
    <n v="1"/>
    <x v="35"/>
    <x v="2"/>
    <x v="1"/>
    <x v="3"/>
    <x v="4"/>
    <d v="1980-07-03T00:00:00"/>
    <n v="-16243"/>
    <x v="932"/>
    <x v="1"/>
    <n v="-3273"/>
    <n v="8.9609856262833674"/>
    <x v="1"/>
    <n v="1"/>
    <n v="0"/>
    <n v="1"/>
    <n v="0"/>
    <s v="Accountants"/>
    <x v="3"/>
  </r>
  <r>
    <n v="5046286"/>
    <x v="0"/>
    <s v="Y"/>
    <s v="Y"/>
    <n v="0"/>
    <x v="30"/>
    <x v="0"/>
    <x v="1"/>
    <x v="4"/>
    <x v="0"/>
    <d v="1967-04-20T00:00:00"/>
    <n v="-21066"/>
    <x v="933"/>
    <x v="2"/>
    <n v="365243"/>
    <n v="0"/>
    <x v="0"/>
    <n v="1"/>
    <n v="0"/>
    <n v="0"/>
    <n v="0"/>
    <m/>
    <x v="0"/>
  </r>
  <r>
    <n v="5046305"/>
    <x v="1"/>
    <s v="Y"/>
    <s v="Y"/>
    <n v="0"/>
    <x v="72"/>
    <x v="2"/>
    <x v="1"/>
    <x v="1"/>
    <x v="0"/>
    <d v="1970-01-06T00:00:00"/>
    <n v="-20074"/>
    <x v="934"/>
    <x v="2"/>
    <n v="-6348"/>
    <n v="17.37987679671458"/>
    <x v="1"/>
    <n v="1"/>
    <n v="0"/>
    <n v="1"/>
    <n v="0"/>
    <m/>
    <x v="1"/>
  </r>
  <r>
    <n v="5046307"/>
    <x v="1"/>
    <s v="Y"/>
    <s v="Y"/>
    <n v="0"/>
    <x v="72"/>
    <x v="2"/>
    <x v="1"/>
    <x v="1"/>
    <x v="0"/>
    <d v="1970-01-06T00:00:00"/>
    <n v="-20074"/>
    <x v="934"/>
    <x v="2"/>
    <n v="-6348"/>
    <n v="17.37987679671458"/>
    <x v="1"/>
    <n v="1"/>
    <n v="0"/>
    <n v="1"/>
    <n v="0"/>
    <m/>
    <x v="1"/>
  </r>
  <r>
    <n v="5046308"/>
    <x v="0"/>
    <s v="Y"/>
    <s v="Y"/>
    <n v="0"/>
    <x v="1"/>
    <x v="2"/>
    <x v="0"/>
    <x v="1"/>
    <x v="0"/>
    <d v="1996-04-07T00:00:00"/>
    <n v="-10486"/>
    <x v="935"/>
    <x v="4"/>
    <n v="-1022"/>
    <n v="2.7980835044490076"/>
    <x v="1"/>
    <n v="1"/>
    <n v="1"/>
    <n v="1"/>
    <n v="1"/>
    <s v="Sales staff"/>
    <x v="1"/>
  </r>
  <r>
    <n v="5046317"/>
    <x v="0"/>
    <s v="N"/>
    <s v="Y"/>
    <n v="0"/>
    <x v="16"/>
    <x v="1"/>
    <x v="1"/>
    <x v="1"/>
    <x v="0"/>
    <d v="1979-10-10T00:00:00"/>
    <n v="-16510"/>
    <x v="397"/>
    <x v="1"/>
    <n v="-2788"/>
    <n v="7.6331279945242985"/>
    <x v="1"/>
    <n v="1"/>
    <n v="1"/>
    <n v="1"/>
    <n v="0"/>
    <m/>
    <x v="1"/>
  </r>
  <r>
    <n v="5046330"/>
    <x v="0"/>
    <s v="N"/>
    <s v="Y"/>
    <n v="0"/>
    <x v="30"/>
    <x v="0"/>
    <x v="1"/>
    <x v="1"/>
    <x v="0"/>
    <d v="1968-03-25T00:00:00"/>
    <n v="-20726"/>
    <x v="936"/>
    <x v="2"/>
    <n v="365243"/>
    <n v="0"/>
    <x v="0"/>
    <n v="1"/>
    <n v="0"/>
    <n v="0"/>
    <n v="0"/>
    <m/>
    <x v="1"/>
  </r>
  <r>
    <n v="5046333"/>
    <x v="0"/>
    <s v="Y"/>
    <s v="Y"/>
    <n v="1"/>
    <x v="2"/>
    <x v="1"/>
    <x v="1"/>
    <x v="1"/>
    <x v="0"/>
    <d v="1988-02-27T00:00:00"/>
    <n v="-13448"/>
    <x v="937"/>
    <x v="3"/>
    <n v="-2422"/>
    <n v="6.6310746064339492"/>
    <x v="1"/>
    <n v="1"/>
    <n v="0"/>
    <n v="0"/>
    <n v="0"/>
    <s v="Laborers"/>
    <x v="3"/>
  </r>
  <r>
    <n v="5046361"/>
    <x v="0"/>
    <s v="N"/>
    <s v="Y"/>
    <n v="0"/>
    <x v="30"/>
    <x v="2"/>
    <x v="1"/>
    <x v="3"/>
    <x v="2"/>
    <d v="1985-08-03T00:00:00"/>
    <n v="-14386"/>
    <x v="938"/>
    <x v="3"/>
    <n v="-139"/>
    <n v="0.3805612594113621"/>
    <x v="1"/>
    <n v="1"/>
    <n v="1"/>
    <n v="1"/>
    <n v="0"/>
    <s v="Sales staff"/>
    <x v="1"/>
  </r>
  <r>
    <n v="5046385"/>
    <x v="0"/>
    <s v="N"/>
    <s v="Y"/>
    <n v="0"/>
    <x v="32"/>
    <x v="0"/>
    <x v="0"/>
    <x v="1"/>
    <x v="0"/>
    <d v="1966-04-23T00:00:00"/>
    <n v="-21428"/>
    <x v="939"/>
    <x v="2"/>
    <n v="365243"/>
    <n v="0"/>
    <x v="0"/>
    <n v="1"/>
    <n v="0"/>
    <n v="1"/>
    <n v="0"/>
    <m/>
    <x v="1"/>
  </r>
  <r>
    <n v="5046389"/>
    <x v="0"/>
    <s v="N"/>
    <s v="Y"/>
    <n v="0"/>
    <x v="32"/>
    <x v="0"/>
    <x v="0"/>
    <x v="1"/>
    <x v="0"/>
    <d v="1966-04-23T00:00:00"/>
    <n v="-21428"/>
    <x v="939"/>
    <x v="2"/>
    <n v="365243"/>
    <n v="0"/>
    <x v="0"/>
    <n v="1"/>
    <n v="0"/>
    <n v="1"/>
    <n v="0"/>
    <m/>
    <x v="1"/>
  </r>
  <r>
    <n v="5046390"/>
    <x v="0"/>
    <s v="N"/>
    <s v="Y"/>
    <n v="0"/>
    <x v="32"/>
    <x v="0"/>
    <x v="0"/>
    <x v="1"/>
    <x v="0"/>
    <d v="1966-04-23T00:00:00"/>
    <n v="-21428"/>
    <x v="939"/>
    <x v="2"/>
    <n v="365243"/>
    <n v="0"/>
    <x v="0"/>
    <n v="1"/>
    <n v="0"/>
    <n v="1"/>
    <n v="0"/>
    <m/>
    <x v="1"/>
  </r>
  <r>
    <n v="5046401"/>
    <x v="0"/>
    <s v="N"/>
    <s v="Y"/>
    <n v="0"/>
    <x v="5"/>
    <x v="0"/>
    <x v="1"/>
    <x v="2"/>
    <x v="0"/>
    <d v="1958-09-04T00:00:00"/>
    <n v="-24216"/>
    <x v="940"/>
    <x v="0"/>
    <n v="365243"/>
    <n v="0"/>
    <x v="0"/>
    <n v="1"/>
    <n v="0"/>
    <n v="0"/>
    <n v="0"/>
    <m/>
    <x v="0"/>
  </r>
  <r>
    <n v="5046408"/>
    <x v="1"/>
    <s v="Y"/>
    <s v="Y"/>
    <n v="0"/>
    <x v="15"/>
    <x v="2"/>
    <x v="1"/>
    <x v="1"/>
    <x v="0"/>
    <d v="1965-06-07T00:00:00"/>
    <n v="-21748"/>
    <x v="941"/>
    <x v="2"/>
    <n v="-1388"/>
    <n v="3.8001368925393568"/>
    <x v="1"/>
    <n v="1"/>
    <n v="0"/>
    <n v="0"/>
    <n v="0"/>
    <s v="Security staff"/>
    <x v="1"/>
  </r>
  <r>
    <n v="5046428"/>
    <x v="1"/>
    <s v="Y"/>
    <s v="Y"/>
    <n v="0"/>
    <x v="8"/>
    <x v="2"/>
    <x v="1"/>
    <x v="1"/>
    <x v="0"/>
    <d v="1995-02-07T00:00:00"/>
    <n v="-10911"/>
    <x v="942"/>
    <x v="4"/>
    <n v="-535"/>
    <n v="1.4647501711156743"/>
    <x v="1"/>
    <n v="1"/>
    <n v="0"/>
    <n v="0"/>
    <n v="0"/>
    <s v="Laborers"/>
    <x v="1"/>
  </r>
  <r>
    <n v="5046429"/>
    <x v="1"/>
    <s v="Y"/>
    <s v="Y"/>
    <n v="0"/>
    <x v="8"/>
    <x v="2"/>
    <x v="1"/>
    <x v="1"/>
    <x v="0"/>
    <d v="1995-02-07T00:00:00"/>
    <n v="-10911"/>
    <x v="942"/>
    <x v="4"/>
    <n v="-535"/>
    <n v="1.4647501711156743"/>
    <x v="1"/>
    <n v="1"/>
    <n v="0"/>
    <n v="0"/>
    <n v="0"/>
    <s v="Laborers"/>
    <x v="1"/>
  </r>
  <r>
    <n v="5046438"/>
    <x v="0"/>
    <s v="N"/>
    <s v="Y"/>
    <n v="0"/>
    <x v="2"/>
    <x v="2"/>
    <x v="1"/>
    <x v="1"/>
    <x v="0"/>
    <d v="1966-12-12T00:00:00"/>
    <n v="-21195"/>
    <x v="943"/>
    <x v="2"/>
    <n v="-3913"/>
    <n v="10.713210130047912"/>
    <x v="1"/>
    <n v="1"/>
    <n v="1"/>
    <n v="1"/>
    <n v="0"/>
    <m/>
    <x v="1"/>
  </r>
  <r>
    <n v="5046447"/>
    <x v="0"/>
    <s v="N"/>
    <s v="N"/>
    <n v="0"/>
    <x v="37"/>
    <x v="2"/>
    <x v="1"/>
    <x v="1"/>
    <x v="2"/>
    <d v="1980-03-02T00:00:00"/>
    <n v="-16366"/>
    <x v="944"/>
    <x v="1"/>
    <n v="-108"/>
    <n v="0.29568788501026694"/>
    <x v="1"/>
    <n v="1"/>
    <n v="0"/>
    <n v="0"/>
    <n v="0"/>
    <s v="Cleaning staff"/>
    <x v="1"/>
  </r>
  <r>
    <n v="5046455"/>
    <x v="1"/>
    <s v="Y"/>
    <s v="N"/>
    <n v="1"/>
    <x v="61"/>
    <x v="1"/>
    <x v="0"/>
    <x v="1"/>
    <x v="0"/>
    <d v="1991-08-19T00:00:00"/>
    <n v="-12179"/>
    <x v="945"/>
    <x v="3"/>
    <n v="-535"/>
    <n v="1.4647501711156743"/>
    <x v="1"/>
    <n v="1"/>
    <n v="0"/>
    <n v="0"/>
    <n v="0"/>
    <s v="Managers"/>
    <x v="3"/>
  </r>
  <r>
    <n v="5046485"/>
    <x v="0"/>
    <s v="N"/>
    <s v="Y"/>
    <n v="1"/>
    <x v="37"/>
    <x v="2"/>
    <x v="0"/>
    <x v="1"/>
    <x v="0"/>
    <d v="1994-06-23T00:00:00"/>
    <n v="-11140"/>
    <x v="946"/>
    <x v="3"/>
    <n v="-991"/>
    <n v="2.7132101300479126"/>
    <x v="1"/>
    <n v="1"/>
    <n v="0"/>
    <n v="0"/>
    <n v="0"/>
    <s v="Managers"/>
    <x v="3"/>
  </r>
  <r>
    <n v="5046489"/>
    <x v="0"/>
    <s v="Y"/>
    <s v="N"/>
    <n v="2"/>
    <x v="1"/>
    <x v="1"/>
    <x v="1"/>
    <x v="0"/>
    <x v="0"/>
    <d v="1995-11-20T00:00:00"/>
    <n v="-10625"/>
    <x v="947"/>
    <x v="4"/>
    <n v="-1701"/>
    <n v="4.6570841889117043"/>
    <x v="1"/>
    <n v="1"/>
    <n v="0"/>
    <n v="0"/>
    <n v="0"/>
    <s v="Security staff"/>
    <x v="3"/>
  </r>
  <r>
    <n v="5046498"/>
    <x v="0"/>
    <s v="Y"/>
    <s v="Y"/>
    <n v="1"/>
    <x v="1"/>
    <x v="1"/>
    <x v="1"/>
    <x v="1"/>
    <x v="0"/>
    <d v="1984-10-06T00:00:00"/>
    <n v="-14687"/>
    <x v="948"/>
    <x v="1"/>
    <n v="-786"/>
    <n v="2.1519507186858315"/>
    <x v="1"/>
    <n v="1"/>
    <n v="0"/>
    <n v="0"/>
    <n v="0"/>
    <s v="Sales staff"/>
    <x v="3"/>
  </r>
  <r>
    <n v="5046508"/>
    <x v="0"/>
    <s v="N"/>
    <s v="Y"/>
    <n v="0"/>
    <x v="87"/>
    <x v="1"/>
    <x v="0"/>
    <x v="0"/>
    <x v="0"/>
    <d v="1971-04-21T00:00:00"/>
    <n v="-19604"/>
    <x v="949"/>
    <x v="2"/>
    <n v="-970"/>
    <n v="2.6557152635181382"/>
    <x v="1"/>
    <n v="1"/>
    <n v="0"/>
    <n v="0"/>
    <n v="0"/>
    <s v="Managers"/>
    <x v="0"/>
  </r>
  <r>
    <n v="5046546"/>
    <x v="0"/>
    <s v="N"/>
    <s v="Y"/>
    <n v="1"/>
    <x v="10"/>
    <x v="2"/>
    <x v="1"/>
    <x v="1"/>
    <x v="0"/>
    <d v="1983-09-06T00:00:00"/>
    <n v="-15083"/>
    <x v="950"/>
    <x v="1"/>
    <n v="-847"/>
    <n v="2.3189596167008899"/>
    <x v="1"/>
    <n v="1"/>
    <n v="0"/>
    <n v="0"/>
    <n v="0"/>
    <s v="High skill tech staff"/>
    <x v="3"/>
  </r>
  <r>
    <n v="5046548"/>
    <x v="0"/>
    <s v="N"/>
    <s v="Y"/>
    <n v="1"/>
    <x v="10"/>
    <x v="2"/>
    <x v="1"/>
    <x v="1"/>
    <x v="0"/>
    <d v="1983-09-06T00:00:00"/>
    <n v="-15083"/>
    <x v="950"/>
    <x v="1"/>
    <n v="-847"/>
    <n v="2.3189596167008899"/>
    <x v="1"/>
    <n v="1"/>
    <n v="0"/>
    <n v="0"/>
    <n v="0"/>
    <s v="High skill tech staff"/>
    <x v="3"/>
  </r>
  <r>
    <n v="5046550"/>
    <x v="0"/>
    <s v="N"/>
    <s v="Y"/>
    <n v="0"/>
    <x v="30"/>
    <x v="2"/>
    <x v="0"/>
    <x v="0"/>
    <x v="0"/>
    <d v="1975-05-04T00:00:00"/>
    <n v="-18130"/>
    <x v="951"/>
    <x v="1"/>
    <n v="-666"/>
    <n v="1.8234086242299794"/>
    <x v="1"/>
    <n v="1"/>
    <n v="1"/>
    <n v="1"/>
    <n v="0"/>
    <s v="Laborers"/>
    <x v="0"/>
  </r>
  <r>
    <n v="5046557"/>
    <x v="0"/>
    <s v="Y"/>
    <s v="Y"/>
    <n v="0"/>
    <x v="87"/>
    <x v="1"/>
    <x v="0"/>
    <x v="3"/>
    <x v="0"/>
    <d v="1986-04-15T00:00:00"/>
    <n v="-14131"/>
    <x v="952"/>
    <x v="3"/>
    <n v="-2674"/>
    <n v="7.3210130047912392"/>
    <x v="1"/>
    <n v="1"/>
    <n v="0"/>
    <n v="1"/>
    <n v="0"/>
    <s v="Accountants"/>
    <x v="1"/>
  </r>
  <r>
    <n v="5046560"/>
    <x v="0"/>
    <s v="Y"/>
    <s v="Y"/>
    <n v="0"/>
    <x v="87"/>
    <x v="1"/>
    <x v="0"/>
    <x v="3"/>
    <x v="0"/>
    <d v="1986-04-15T00:00:00"/>
    <n v="-14131"/>
    <x v="952"/>
    <x v="3"/>
    <n v="-2674"/>
    <n v="7.3210130047912392"/>
    <x v="1"/>
    <n v="1"/>
    <n v="0"/>
    <n v="1"/>
    <n v="0"/>
    <s v="Accountants"/>
    <x v="1"/>
  </r>
  <r>
    <n v="5046561"/>
    <x v="1"/>
    <s v="Y"/>
    <s v="Y"/>
    <n v="0"/>
    <x v="1"/>
    <x v="0"/>
    <x v="1"/>
    <x v="1"/>
    <x v="0"/>
    <d v="1966-06-27T00:00:00"/>
    <n v="-21363"/>
    <x v="953"/>
    <x v="2"/>
    <n v="365243"/>
    <n v="0"/>
    <x v="0"/>
    <n v="1"/>
    <n v="0"/>
    <n v="0"/>
    <n v="0"/>
    <m/>
    <x v="1"/>
  </r>
  <r>
    <n v="5047636"/>
    <x v="0"/>
    <s v="N"/>
    <s v="Y"/>
    <n v="3"/>
    <x v="11"/>
    <x v="3"/>
    <x v="0"/>
    <x v="1"/>
    <x v="0"/>
    <d v="1989-08-24T00:00:00"/>
    <n v="-12904"/>
    <x v="954"/>
    <x v="3"/>
    <n v="-1404"/>
    <n v="3.8439425051334704"/>
    <x v="1"/>
    <n v="1"/>
    <n v="0"/>
    <n v="1"/>
    <n v="0"/>
    <s v="Core staff"/>
    <x v="4"/>
  </r>
  <r>
    <n v="5047665"/>
    <x v="0"/>
    <s v="N"/>
    <s v="Y"/>
    <n v="1"/>
    <x v="37"/>
    <x v="1"/>
    <x v="1"/>
    <x v="1"/>
    <x v="0"/>
    <d v="1973-04-14T00:00:00"/>
    <n v="-18880"/>
    <x v="955"/>
    <x v="2"/>
    <n v="-4114"/>
    <n v="11.263518138261464"/>
    <x v="1"/>
    <n v="1"/>
    <n v="0"/>
    <n v="0"/>
    <n v="0"/>
    <s v="Accountants"/>
    <x v="3"/>
  </r>
  <r>
    <n v="5047669"/>
    <x v="0"/>
    <s v="N"/>
    <s v="N"/>
    <n v="1"/>
    <x v="16"/>
    <x v="3"/>
    <x v="0"/>
    <x v="1"/>
    <x v="0"/>
    <d v="1986-06-16T00:00:00"/>
    <n v="-14069"/>
    <x v="956"/>
    <x v="3"/>
    <n v="-2500"/>
    <n v="6.8446269678302532"/>
    <x v="1"/>
    <n v="1"/>
    <n v="1"/>
    <n v="1"/>
    <n v="1"/>
    <s v="Core staff"/>
    <x v="3"/>
  </r>
  <r>
    <n v="5047673"/>
    <x v="0"/>
    <s v="N"/>
    <s v="N"/>
    <n v="1"/>
    <x v="16"/>
    <x v="3"/>
    <x v="0"/>
    <x v="1"/>
    <x v="0"/>
    <d v="1986-06-16T00:00:00"/>
    <n v="-14069"/>
    <x v="956"/>
    <x v="3"/>
    <n v="-2500"/>
    <n v="6.8446269678302532"/>
    <x v="1"/>
    <n v="1"/>
    <n v="1"/>
    <n v="1"/>
    <n v="1"/>
    <s v="Core staff"/>
    <x v="3"/>
  </r>
  <r>
    <n v="5047680"/>
    <x v="1"/>
    <s v="Y"/>
    <s v="Y"/>
    <n v="0"/>
    <x v="1"/>
    <x v="2"/>
    <x v="0"/>
    <x v="1"/>
    <x v="0"/>
    <d v="2000-02-17T00:00:00"/>
    <n v="-9075"/>
    <x v="957"/>
    <x v="4"/>
    <n v="-614"/>
    <n v="1.6810403832991101"/>
    <x v="1"/>
    <n v="1"/>
    <n v="1"/>
    <n v="1"/>
    <n v="0"/>
    <s v="Sales staff"/>
    <x v="1"/>
  </r>
  <r>
    <n v="5047689"/>
    <x v="0"/>
    <s v="N"/>
    <s v="Y"/>
    <n v="0"/>
    <x v="35"/>
    <x v="1"/>
    <x v="1"/>
    <x v="1"/>
    <x v="0"/>
    <d v="1972-02-21T00:00:00"/>
    <n v="-19298"/>
    <x v="958"/>
    <x v="2"/>
    <n v="-4813"/>
    <n v="13.177275838466803"/>
    <x v="1"/>
    <n v="1"/>
    <n v="1"/>
    <n v="1"/>
    <n v="0"/>
    <s v="Accountants"/>
    <x v="1"/>
  </r>
  <r>
    <n v="5047693"/>
    <x v="1"/>
    <s v="Y"/>
    <s v="Y"/>
    <n v="0"/>
    <x v="5"/>
    <x v="2"/>
    <x v="0"/>
    <x v="1"/>
    <x v="0"/>
    <d v="1965-02-02T00:00:00"/>
    <n v="-21873"/>
    <x v="959"/>
    <x v="2"/>
    <n v="-4691"/>
    <n v="12.843258042436688"/>
    <x v="1"/>
    <n v="1"/>
    <n v="1"/>
    <n v="1"/>
    <n v="0"/>
    <s v="Laborers"/>
    <x v="1"/>
  </r>
  <r>
    <n v="5047703"/>
    <x v="1"/>
    <s v="N"/>
    <s v="Y"/>
    <n v="0"/>
    <x v="1"/>
    <x v="2"/>
    <x v="1"/>
    <x v="1"/>
    <x v="0"/>
    <d v="1987-04-28T00:00:00"/>
    <n v="-13753"/>
    <x v="960"/>
    <x v="3"/>
    <n v="-4813"/>
    <n v="13.177275838466803"/>
    <x v="1"/>
    <n v="1"/>
    <n v="0"/>
    <n v="1"/>
    <n v="0"/>
    <s v="Managers"/>
    <x v="1"/>
  </r>
  <r>
    <n v="5047723"/>
    <x v="0"/>
    <s v="N"/>
    <s v="N"/>
    <n v="0"/>
    <x v="36"/>
    <x v="2"/>
    <x v="0"/>
    <x v="1"/>
    <x v="0"/>
    <d v="1985-07-06T00:00:00"/>
    <n v="-14414"/>
    <x v="961"/>
    <x v="3"/>
    <n v="-1253"/>
    <n v="3.4305270362765228"/>
    <x v="1"/>
    <n v="1"/>
    <n v="0"/>
    <n v="0"/>
    <n v="0"/>
    <s v="Accountants"/>
    <x v="1"/>
  </r>
  <r>
    <n v="5047735"/>
    <x v="0"/>
    <s v="N"/>
    <s v="Y"/>
    <n v="0"/>
    <x v="11"/>
    <x v="0"/>
    <x v="1"/>
    <x v="4"/>
    <x v="0"/>
    <d v="1965-03-23T00:00:00"/>
    <n v="-21824"/>
    <x v="962"/>
    <x v="2"/>
    <n v="365243"/>
    <n v="0"/>
    <x v="0"/>
    <n v="1"/>
    <n v="0"/>
    <n v="0"/>
    <n v="0"/>
    <m/>
    <x v="0"/>
  </r>
  <r>
    <n v="5047746"/>
    <x v="0"/>
    <s v="N"/>
    <s v="Y"/>
    <n v="2"/>
    <x v="5"/>
    <x v="1"/>
    <x v="1"/>
    <x v="1"/>
    <x v="0"/>
    <d v="1997-05-12T00:00:00"/>
    <n v="-10086"/>
    <x v="963"/>
    <x v="4"/>
    <n v="-1679"/>
    <n v="4.5968514715947979"/>
    <x v="1"/>
    <n v="1"/>
    <n v="0"/>
    <n v="0"/>
    <n v="0"/>
    <s v="Sales staff"/>
    <x v="2"/>
  </r>
  <r>
    <n v="5047762"/>
    <x v="0"/>
    <s v="N"/>
    <s v="N"/>
    <n v="0"/>
    <x v="1"/>
    <x v="1"/>
    <x v="1"/>
    <x v="1"/>
    <x v="0"/>
    <d v="1981-02-23T00:00:00"/>
    <n v="-16008"/>
    <x v="964"/>
    <x v="1"/>
    <n v="-157"/>
    <n v="0.42984257357973993"/>
    <x v="1"/>
    <n v="1"/>
    <n v="0"/>
    <n v="0"/>
    <n v="0"/>
    <s v="Cooking staff"/>
    <x v="1"/>
  </r>
  <r>
    <n v="5047764"/>
    <x v="0"/>
    <s v="N"/>
    <s v="N"/>
    <n v="0"/>
    <x v="1"/>
    <x v="1"/>
    <x v="1"/>
    <x v="1"/>
    <x v="0"/>
    <d v="1981-02-23T00:00:00"/>
    <n v="-16008"/>
    <x v="964"/>
    <x v="1"/>
    <n v="-157"/>
    <n v="0.42984257357973993"/>
    <x v="1"/>
    <n v="1"/>
    <n v="0"/>
    <n v="0"/>
    <n v="0"/>
    <s v="Cooking staff"/>
    <x v="1"/>
  </r>
  <r>
    <n v="5047768"/>
    <x v="1"/>
    <s v="N"/>
    <s v="Y"/>
    <n v="0"/>
    <x v="5"/>
    <x v="0"/>
    <x v="1"/>
    <x v="1"/>
    <x v="0"/>
    <d v="1960-03-13T00:00:00"/>
    <n v="-23660"/>
    <x v="965"/>
    <x v="0"/>
    <n v="365243"/>
    <n v="0"/>
    <x v="0"/>
    <n v="1"/>
    <n v="0"/>
    <n v="0"/>
    <n v="0"/>
    <m/>
    <x v="1"/>
  </r>
  <r>
    <n v="5047790"/>
    <x v="0"/>
    <s v="Y"/>
    <s v="Y"/>
    <n v="0"/>
    <x v="8"/>
    <x v="1"/>
    <x v="0"/>
    <x v="1"/>
    <x v="0"/>
    <d v="1996-05-06T00:00:00"/>
    <n v="-10457"/>
    <x v="966"/>
    <x v="4"/>
    <n v="-979"/>
    <n v="2.6803559206023273"/>
    <x v="1"/>
    <n v="1"/>
    <n v="0"/>
    <n v="0"/>
    <n v="0"/>
    <m/>
    <x v="1"/>
  </r>
  <r>
    <n v="5047794"/>
    <x v="0"/>
    <s v="Y"/>
    <s v="Y"/>
    <n v="0"/>
    <x v="8"/>
    <x v="1"/>
    <x v="0"/>
    <x v="1"/>
    <x v="0"/>
    <d v="1996-05-06T00:00:00"/>
    <n v="-10457"/>
    <x v="966"/>
    <x v="4"/>
    <n v="-979"/>
    <n v="2.6803559206023273"/>
    <x v="1"/>
    <n v="1"/>
    <n v="0"/>
    <n v="0"/>
    <n v="0"/>
    <m/>
    <x v="1"/>
  </r>
  <r>
    <n v="5047796"/>
    <x v="0"/>
    <s v="N"/>
    <s v="Y"/>
    <n v="1"/>
    <x v="2"/>
    <x v="4"/>
    <x v="1"/>
    <x v="3"/>
    <x v="0"/>
    <d v="1991-10-10T00:00:00"/>
    <n v="-12127"/>
    <x v="967"/>
    <x v="3"/>
    <n v="-795"/>
    <n v="2.1765913757700206"/>
    <x v="1"/>
    <n v="1"/>
    <n v="0"/>
    <n v="0"/>
    <n v="0"/>
    <s v="Laborers"/>
    <x v="3"/>
  </r>
  <r>
    <n v="5047801"/>
    <x v="0"/>
    <s v="N"/>
    <s v="Y"/>
    <n v="1"/>
    <x v="30"/>
    <x v="2"/>
    <x v="1"/>
    <x v="1"/>
    <x v="0"/>
    <d v="1986-07-31T00:00:00"/>
    <n v="-14024"/>
    <x v="968"/>
    <x v="3"/>
    <n v="-369"/>
    <n v="1.0102669404517455"/>
    <x v="1"/>
    <n v="1"/>
    <n v="0"/>
    <n v="1"/>
    <n v="0"/>
    <m/>
    <x v="3"/>
  </r>
  <r>
    <n v="5047825"/>
    <x v="0"/>
    <s v="Y"/>
    <s v="N"/>
    <n v="0"/>
    <x v="1"/>
    <x v="1"/>
    <x v="1"/>
    <x v="1"/>
    <x v="0"/>
    <d v="1996-05-18T00:00:00"/>
    <n v="-10445"/>
    <x v="969"/>
    <x v="4"/>
    <n v="-249"/>
    <n v="0.68172484599589322"/>
    <x v="1"/>
    <n v="1"/>
    <n v="0"/>
    <n v="0"/>
    <n v="0"/>
    <s v="Laborers"/>
    <x v="1"/>
  </r>
  <r>
    <n v="5047828"/>
    <x v="0"/>
    <s v="Y"/>
    <s v="N"/>
    <n v="0"/>
    <x v="1"/>
    <x v="1"/>
    <x v="1"/>
    <x v="1"/>
    <x v="0"/>
    <d v="1996-05-18T00:00:00"/>
    <n v="-10445"/>
    <x v="969"/>
    <x v="4"/>
    <n v="-249"/>
    <n v="0.68172484599589322"/>
    <x v="1"/>
    <n v="1"/>
    <n v="0"/>
    <n v="0"/>
    <n v="0"/>
    <s v="Laborers"/>
    <x v="1"/>
  </r>
  <r>
    <n v="5047830"/>
    <x v="0"/>
    <s v="Y"/>
    <s v="N"/>
    <n v="0"/>
    <x v="1"/>
    <x v="1"/>
    <x v="1"/>
    <x v="1"/>
    <x v="0"/>
    <d v="1996-05-18T00:00:00"/>
    <n v="-10445"/>
    <x v="969"/>
    <x v="4"/>
    <n v="-249"/>
    <n v="0.68172484599589322"/>
    <x v="1"/>
    <n v="1"/>
    <n v="0"/>
    <n v="0"/>
    <n v="0"/>
    <s v="Laborers"/>
    <x v="1"/>
  </r>
  <r>
    <n v="5047847"/>
    <x v="1"/>
    <s v="Y"/>
    <s v="Y"/>
    <n v="0"/>
    <x v="12"/>
    <x v="1"/>
    <x v="1"/>
    <x v="1"/>
    <x v="0"/>
    <d v="1965-02-04T00:00:00"/>
    <n v="-21871"/>
    <x v="970"/>
    <x v="2"/>
    <n v="-979"/>
    <n v="2.6803559206023273"/>
    <x v="1"/>
    <n v="1"/>
    <n v="0"/>
    <n v="0"/>
    <n v="0"/>
    <s v="Drivers"/>
    <x v="1"/>
  </r>
  <r>
    <n v="5047880"/>
    <x v="0"/>
    <s v="N"/>
    <s v="Y"/>
    <n v="2"/>
    <x v="61"/>
    <x v="3"/>
    <x v="1"/>
    <x v="1"/>
    <x v="0"/>
    <d v="1974-06-09T00:00:00"/>
    <n v="-18459"/>
    <x v="971"/>
    <x v="2"/>
    <n v="-4145"/>
    <n v="11.348391512662561"/>
    <x v="1"/>
    <n v="1"/>
    <n v="0"/>
    <n v="1"/>
    <n v="0"/>
    <s v="Medicine staff"/>
    <x v="2"/>
  </r>
  <r>
    <n v="5047881"/>
    <x v="0"/>
    <s v="N"/>
    <s v="Y"/>
    <n v="2"/>
    <x v="61"/>
    <x v="3"/>
    <x v="1"/>
    <x v="1"/>
    <x v="0"/>
    <d v="1974-06-09T00:00:00"/>
    <n v="-18459"/>
    <x v="971"/>
    <x v="2"/>
    <n v="-4145"/>
    <n v="11.348391512662561"/>
    <x v="1"/>
    <n v="1"/>
    <n v="0"/>
    <n v="1"/>
    <n v="0"/>
    <s v="Medicine staff"/>
    <x v="2"/>
  </r>
  <r>
    <n v="5047899"/>
    <x v="0"/>
    <s v="N"/>
    <s v="Y"/>
    <n v="0"/>
    <x v="11"/>
    <x v="2"/>
    <x v="1"/>
    <x v="1"/>
    <x v="0"/>
    <d v="1974-08-26T00:00:00"/>
    <n v="-18381"/>
    <x v="972"/>
    <x v="2"/>
    <n v="-734"/>
    <n v="2.0095824777549622"/>
    <x v="1"/>
    <n v="1"/>
    <n v="0"/>
    <n v="1"/>
    <n v="0"/>
    <s v="Medicine staff"/>
    <x v="1"/>
  </r>
  <r>
    <n v="5047904"/>
    <x v="0"/>
    <s v="N"/>
    <s v="Y"/>
    <n v="0"/>
    <x v="11"/>
    <x v="2"/>
    <x v="1"/>
    <x v="1"/>
    <x v="0"/>
    <d v="1974-08-26T00:00:00"/>
    <n v="-18381"/>
    <x v="972"/>
    <x v="2"/>
    <n v="-734"/>
    <n v="2.0095824777549622"/>
    <x v="1"/>
    <n v="1"/>
    <n v="0"/>
    <n v="1"/>
    <n v="0"/>
    <s v="Medicine staff"/>
    <x v="1"/>
  </r>
  <r>
    <n v="5047928"/>
    <x v="1"/>
    <s v="Y"/>
    <s v="Y"/>
    <n v="0"/>
    <x v="11"/>
    <x v="1"/>
    <x v="1"/>
    <x v="1"/>
    <x v="0"/>
    <d v="1976-02-08T00:00:00"/>
    <n v="-17850"/>
    <x v="973"/>
    <x v="1"/>
    <n v="-2014"/>
    <n v="5.5140314852840522"/>
    <x v="1"/>
    <n v="1"/>
    <n v="0"/>
    <n v="1"/>
    <n v="0"/>
    <s v="Cooking staff"/>
    <x v="1"/>
  </r>
  <r>
    <n v="5047934"/>
    <x v="1"/>
    <s v="Y"/>
    <s v="Y"/>
    <n v="1"/>
    <x v="18"/>
    <x v="1"/>
    <x v="2"/>
    <x v="1"/>
    <x v="0"/>
    <d v="1979-08-11T00:00:00"/>
    <n v="-16570"/>
    <x v="974"/>
    <x v="1"/>
    <n v="-2806"/>
    <n v="7.6824093086926766"/>
    <x v="1"/>
    <n v="1"/>
    <n v="0"/>
    <n v="0"/>
    <n v="0"/>
    <s v="Managers"/>
    <x v="3"/>
  </r>
  <r>
    <n v="5047954"/>
    <x v="1"/>
    <s v="N"/>
    <s v="N"/>
    <n v="0"/>
    <x v="99"/>
    <x v="2"/>
    <x v="1"/>
    <x v="2"/>
    <x v="1"/>
    <d v="1999-09-20T00:00:00"/>
    <n v="-9225"/>
    <x v="975"/>
    <x v="4"/>
    <n v="-522"/>
    <n v="1.429158110882957"/>
    <x v="1"/>
    <n v="1"/>
    <n v="0"/>
    <n v="0"/>
    <n v="0"/>
    <s v="Laborers"/>
    <x v="0"/>
  </r>
  <r>
    <n v="5047966"/>
    <x v="0"/>
    <s v="Y"/>
    <s v="Y"/>
    <n v="0"/>
    <x v="2"/>
    <x v="2"/>
    <x v="1"/>
    <x v="1"/>
    <x v="0"/>
    <d v="1991-11-28T00:00:00"/>
    <n v="-12078"/>
    <x v="976"/>
    <x v="3"/>
    <n v="-673"/>
    <n v="1.8425735797399041"/>
    <x v="1"/>
    <n v="1"/>
    <n v="1"/>
    <n v="1"/>
    <n v="0"/>
    <s v="Laborers"/>
    <x v="1"/>
  </r>
  <r>
    <n v="5047969"/>
    <x v="0"/>
    <s v="Y"/>
    <s v="Y"/>
    <n v="0"/>
    <x v="2"/>
    <x v="2"/>
    <x v="1"/>
    <x v="1"/>
    <x v="0"/>
    <d v="1991-11-28T00:00:00"/>
    <n v="-12078"/>
    <x v="976"/>
    <x v="3"/>
    <n v="-673"/>
    <n v="1.8425735797399041"/>
    <x v="1"/>
    <n v="1"/>
    <n v="1"/>
    <n v="1"/>
    <n v="0"/>
    <s v="Laborers"/>
    <x v="1"/>
  </r>
  <r>
    <n v="5047975"/>
    <x v="0"/>
    <s v="N"/>
    <s v="N"/>
    <n v="0"/>
    <x v="16"/>
    <x v="2"/>
    <x v="1"/>
    <x v="4"/>
    <x v="4"/>
    <d v="1966-05-08T00:00:00"/>
    <n v="-21413"/>
    <x v="977"/>
    <x v="2"/>
    <n v="-461"/>
    <n v="1.2621492128678986"/>
    <x v="1"/>
    <n v="1"/>
    <n v="0"/>
    <n v="0"/>
    <n v="0"/>
    <s v="Cleaning staff"/>
    <x v="0"/>
  </r>
  <r>
    <n v="5047986"/>
    <x v="0"/>
    <s v="N"/>
    <s v="Y"/>
    <n v="0"/>
    <x v="16"/>
    <x v="3"/>
    <x v="1"/>
    <x v="1"/>
    <x v="0"/>
    <d v="1970-10-24T00:00:00"/>
    <n v="-19783"/>
    <x v="978"/>
    <x v="2"/>
    <n v="-3992"/>
    <n v="10.929500342231348"/>
    <x v="1"/>
    <n v="1"/>
    <n v="0"/>
    <n v="0"/>
    <n v="0"/>
    <s v="Managers"/>
    <x v="1"/>
  </r>
  <r>
    <n v="5048008"/>
    <x v="1"/>
    <s v="Y"/>
    <s v="Y"/>
    <n v="0"/>
    <x v="39"/>
    <x v="2"/>
    <x v="1"/>
    <x v="1"/>
    <x v="0"/>
    <d v="1986-04-24T00:00:00"/>
    <n v="-14122"/>
    <x v="979"/>
    <x v="3"/>
    <n v="-3383"/>
    <n v="9.2621492128678984"/>
    <x v="1"/>
    <n v="1"/>
    <n v="0"/>
    <n v="0"/>
    <n v="0"/>
    <s v="Managers"/>
    <x v="1"/>
  </r>
  <r>
    <n v="5048016"/>
    <x v="1"/>
    <s v="Y"/>
    <s v="Y"/>
    <n v="2"/>
    <x v="16"/>
    <x v="2"/>
    <x v="1"/>
    <x v="3"/>
    <x v="0"/>
    <d v="1989-03-22T00:00:00"/>
    <n v="-13059"/>
    <x v="980"/>
    <x v="3"/>
    <n v="-4813"/>
    <n v="13.177275838466803"/>
    <x v="1"/>
    <n v="1"/>
    <n v="0"/>
    <n v="0"/>
    <n v="0"/>
    <s v="Laborers"/>
    <x v="2"/>
  </r>
  <r>
    <n v="5048019"/>
    <x v="1"/>
    <s v="Y"/>
    <s v="Y"/>
    <n v="2"/>
    <x v="16"/>
    <x v="2"/>
    <x v="1"/>
    <x v="3"/>
    <x v="0"/>
    <d v="1989-03-22T00:00:00"/>
    <n v="-13059"/>
    <x v="980"/>
    <x v="3"/>
    <n v="-4813"/>
    <n v="13.177275838466803"/>
    <x v="1"/>
    <n v="1"/>
    <n v="0"/>
    <n v="0"/>
    <n v="0"/>
    <s v="Laborers"/>
    <x v="2"/>
  </r>
  <r>
    <n v="5048020"/>
    <x v="1"/>
    <s v="Y"/>
    <s v="Y"/>
    <n v="2"/>
    <x v="16"/>
    <x v="2"/>
    <x v="1"/>
    <x v="3"/>
    <x v="0"/>
    <d v="1989-03-22T00:00:00"/>
    <n v="-13059"/>
    <x v="980"/>
    <x v="3"/>
    <n v="-4813"/>
    <n v="13.177275838466803"/>
    <x v="1"/>
    <n v="1"/>
    <n v="0"/>
    <n v="0"/>
    <n v="0"/>
    <s v="Laborers"/>
    <x v="2"/>
  </r>
  <r>
    <n v="5048022"/>
    <x v="1"/>
    <s v="Y"/>
    <s v="Y"/>
    <n v="2"/>
    <x v="16"/>
    <x v="2"/>
    <x v="1"/>
    <x v="3"/>
    <x v="0"/>
    <d v="1989-03-22T00:00:00"/>
    <n v="-13059"/>
    <x v="980"/>
    <x v="3"/>
    <n v="-4813"/>
    <n v="13.177275838466803"/>
    <x v="1"/>
    <n v="1"/>
    <n v="0"/>
    <n v="0"/>
    <n v="0"/>
    <s v="Laborers"/>
    <x v="2"/>
  </r>
  <r>
    <n v="5048030"/>
    <x v="1"/>
    <s v="Y"/>
    <s v="Y"/>
    <n v="2"/>
    <x v="16"/>
    <x v="2"/>
    <x v="1"/>
    <x v="3"/>
    <x v="0"/>
    <d v="1989-03-22T00:00:00"/>
    <n v="-13059"/>
    <x v="980"/>
    <x v="3"/>
    <n v="-4813"/>
    <n v="13.177275838466803"/>
    <x v="1"/>
    <n v="1"/>
    <n v="0"/>
    <n v="0"/>
    <n v="0"/>
    <s v="Laborers"/>
    <x v="2"/>
  </r>
  <r>
    <n v="5048033"/>
    <x v="1"/>
    <s v="Y"/>
    <s v="Y"/>
    <n v="2"/>
    <x v="16"/>
    <x v="2"/>
    <x v="1"/>
    <x v="3"/>
    <x v="0"/>
    <d v="1989-03-22T00:00:00"/>
    <n v="-13059"/>
    <x v="980"/>
    <x v="3"/>
    <n v="-4813"/>
    <n v="13.177275838466803"/>
    <x v="1"/>
    <n v="1"/>
    <n v="0"/>
    <n v="0"/>
    <n v="0"/>
    <s v="Laborers"/>
    <x v="2"/>
  </r>
  <r>
    <n v="5048061"/>
    <x v="1"/>
    <s v="N"/>
    <s v="Y"/>
    <n v="0"/>
    <x v="19"/>
    <x v="1"/>
    <x v="0"/>
    <x v="1"/>
    <x v="0"/>
    <d v="1980-05-27T00:00:00"/>
    <n v="-16280"/>
    <x v="981"/>
    <x v="1"/>
    <n v="-887"/>
    <n v="2.4284736481861739"/>
    <x v="1"/>
    <n v="1"/>
    <n v="0"/>
    <n v="0"/>
    <n v="0"/>
    <s v="Laborers"/>
    <x v="1"/>
  </r>
  <r>
    <n v="5048067"/>
    <x v="0"/>
    <s v="N"/>
    <s v="Y"/>
    <n v="0"/>
    <x v="76"/>
    <x v="2"/>
    <x v="0"/>
    <x v="2"/>
    <x v="0"/>
    <d v="1978-03-18T00:00:00"/>
    <n v="-17081"/>
    <x v="982"/>
    <x v="1"/>
    <n v="-4783"/>
    <n v="13.095140314852841"/>
    <x v="1"/>
    <n v="1"/>
    <n v="0"/>
    <n v="1"/>
    <n v="0"/>
    <s v="Laborers"/>
    <x v="0"/>
  </r>
  <r>
    <n v="5048072"/>
    <x v="0"/>
    <s v="N"/>
    <s v="Y"/>
    <n v="0"/>
    <x v="76"/>
    <x v="2"/>
    <x v="0"/>
    <x v="2"/>
    <x v="0"/>
    <d v="1978-03-18T00:00:00"/>
    <n v="-17081"/>
    <x v="982"/>
    <x v="1"/>
    <n v="-4783"/>
    <n v="13.095140314852841"/>
    <x v="1"/>
    <n v="1"/>
    <n v="0"/>
    <n v="1"/>
    <n v="0"/>
    <s v="Laborers"/>
    <x v="0"/>
  </r>
  <r>
    <n v="5048100"/>
    <x v="0"/>
    <s v="N"/>
    <s v="Y"/>
    <n v="0"/>
    <x v="30"/>
    <x v="1"/>
    <x v="1"/>
    <x v="1"/>
    <x v="0"/>
    <d v="1984-01-07T00:00:00"/>
    <n v="-14960"/>
    <x v="983"/>
    <x v="1"/>
    <n v="-2865"/>
    <n v="7.8439425051334704"/>
    <x v="1"/>
    <n v="1"/>
    <n v="0"/>
    <n v="0"/>
    <n v="0"/>
    <s v="Laborers"/>
    <x v="1"/>
  </r>
  <r>
    <n v="5048103"/>
    <x v="0"/>
    <s v="Y"/>
    <s v="Y"/>
    <n v="1"/>
    <x v="5"/>
    <x v="2"/>
    <x v="3"/>
    <x v="1"/>
    <x v="0"/>
    <d v="1985-07-20T00:00:00"/>
    <n v="-14400"/>
    <x v="886"/>
    <x v="3"/>
    <n v="-1435"/>
    <n v="3.9288158795345653"/>
    <x v="1"/>
    <n v="1"/>
    <n v="0"/>
    <n v="0"/>
    <n v="0"/>
    <s v="Sales staff"/>
    <x v="3"/>
  </r>
  <r>
    <n v="5048106"/>
    <x v="0"/>
    <s v="Y"/>
    <s v="Y"/>
    <n v="1"/>
    <x v="5"/>
    <x v="2"/>
    <x v="3"/>
    <x v="1"/>
    <x v="0"/>
    <d v="1985-07-20T00:00:00"/>
    <n v="-14400"/>
    <x v="886"/>
    <x v="3"/>
    <n v="-1435"/>
    <n v="3.9288158795345653"/>
    <x v="1"/>
    <n v="1"/>
    <n v="0"/>
    <n v="0"/>
    <n v="0"/>
    <s v="Sales staff"/>
    <x v="3"/>
  </r>
  <r>
    <n v="5048139"/>
    <x v="0"/>
    <s v="N"/>
    <s v="N"/>
    <n v="0"/>
    <x v="2"/>
    <x v="0"/>
    <x v="1"/>
    <x v="1"/>
    <x v="0"/>
    <d v="1960-05-24T00:00:00"/>
    <n v="-23588"/>
    <x v="984"/>
    <x v="0"/>
    <n v="365243"/>
    <n v="0"/>
    <x v="0"/>
    <n v="1"/>
    <n v="0"/>
    <n v="0"/>
    <n v="0"/>
    <m/>
    <x v="1"/>
  </r>
  <r>
    <n v="5048153"/>
    <x v="0"/>
    <s v="Y"/>
    <s v="N"/>
    <n v="2"/>
    <x v="1"/>
    <x v="2"/>
    <x v="1"/>
    <x v="1"/>
    <x v="2"/>
    <d v="1997-07-19T00:00:00"/>
    <n v="-10018"/>
    <x v="985"/>
    <x v="4"/>
    <n v="-704"/>
    <n v="1.9274469541409993"/>
    <x v="1"/>
    <n v="1"/>
    <n v="0"/>
    <n v="0"/>
    <n v="1"/>
    <s v="Laborers"/>
    <x v="2"/>
  </r>
  <r>
    <n v="5048154"/>
    <x v="0"/>
    <s v="Y"/>
    <s v="N"/>
    <n v="2"/>
    <x v="1"/>
    <x v="2"/>
    <x v="1"/>
    <x v="1"/>
    <x v="2"/>
    <d v="1997-07-19T00:00:00"/>
    <n v="-10018"/>
    <x v="985"/>
    <x v="4"/>
    <n v="-704"/>
    <n v="1.9274469541409993"/>
    <x v="1"/>
    <n v="1"/>
    <n v="0"/>
    <n v="0"/>
    <n v="1"/>
    <s v="Laborers"/>
    <x v="2"/>
  </r>
  <r>
    <n v="5048175"/>
    <x v="1"/>
    <s v="Y"/>
    <s v="N"/>
    <n v="0"/>
    <x v="10"/>
    <x v="2"/>
    <x v="1"/>
    <x v="3"/>
    <x v="0"/>
    <d v="1994-11-24T00:00:00"/>
    <n v="-10986"/>
    <x v="986"/>
    <x v="3"/>
    <n v="-3595"/>
    <n v="9.8425735797399039"/>
    <x v="1"/>
    <n v="1"/>
    <n v="1"/>
    <n v="1"/>
    <n v="0"/>
    <s v="Laborers"/>
    <x v="1"/>
  </r>
  <r>
    <n v="5048195"/>
    <x v="1"/>
    <s v="Y"/>
    <s v="Y"/>
    <n v="0"/>
    <x v="39"/>
    <x v="3"/>
    <x v="0"/>
    <x v="2"/>
    <x v="0"/>
    <d v="1997-07-25T00:00:00"/>
    <n v="-10012"/>
    <x v="987"/>
    <x v="4"/>
    <n v="-826"/>
    <n v="2.2614647501711156"/>
    <x v="1"/>
    <n v="1"/>
    <n v="1"/>
    <n v="1"/>
    <n v="0"/>
    <s v="High skill tech staff"/>
    <x v="0"/>
  </r>
  <r>
    <n v="5048196"/>
    <x v="1"/>
    <s v="Y"/>
    <s v="Y"/>
    <n v="0"/>
    <x v="39"/>
    <x v="3"/>
    <x v="0"/>
    <x v="2"/>
    <x v="0"/>
    <d v="1997-07-25T00:00:00"/>
    <n v="-10012"/>
    <x v="987"/>
    <x v="4"/>
    <n v="-826"/>
    <n v="2.2614647501711156"/>
    <x v="1"/>
    <n v="1"/>
    <n v="1"/>
    <n v="1"/>
    <n v="0"/>
    <s v="High skill tech staff"/>
    <x v="0"/>
  </r>
  <r>
    <n v="5048199"/>
    <x v="0"/>
    <s v="Y"/>
    <s v="Y"/>
    <n v="0"/>
    <x v="8"/>
    <x v="0"/>
    <x v="0"/>
    <x v="1"/>
    <x v="0"/>
    <d v="1960-09-03T00:00:00"/>
    <n v="-23486"/>
    <x v="988"/>
    <x v="0"/>
    <n v="365243"/>
    <n v="0"/>
    <x v="0"/>
    <n v="1"/>
    <n v="0"/>
    <n v="0"/>
    <n v="0"/>
    <m/>
    <x v="1"/>
  </r>
  <r>
    <n v="5048203"/>
    <x v="0"/>
    <s v="Y"/>
    <s v="Y"/>
    <n v="0"/>
    <x v="8"/>
    <x v="0"/>
    <x v="0"/>
    <x v="1"/>
    <x v="0"/>
    <d v="1960-09-03T00:00:00"/>
    <n v="-23486"/>
    <x v="988"/>
    <x v="0"/>
    <n v="365243"/>
    <n v="0"/>
    <x v="0"/>
    <n v="1"/>
    <n v="0"/>
    <n v="0"/>
    <n v="0"/>
    <m/>
    <x v="1"/>
  </r>
  <r>
    <n v="5048206"/>
    <x v="0"/>
    <s v="N"/>
    <s v="Y"/>
    <n v="0"/>
    <x v="1"/>
    <x v="0"/>
    <x v="1"/>
    <x v="0"/>
    <x v="0"/>
    <d v="1965-10-20T00:00:00"/>
    <n v="-21613"/>
    <x v="989"/>
    <x v="2"/>
    <n v="365243"/>
    <n v="0"/>
    <x v="0"/>
    <n v="1"/>
    <n v="0"/>
    <n v="0"/>
    <n v="0"/>
    <m/>
    <x v="0"/>
  </r>
  <r>
    <n v="5048232"/>
    <x v="0"/>
    <s v="N"/>
    <s v="N"/>
    <n v="0"/>
    <x v="30"/>
    <x v="2"/>
    <x v="1"/>
    <x v="0"/>
    <x v="0"/>
    <d v="1973-08-08T00:00:00"/>
    <n v="-18764"/>
    <x v="990"/>
    <x v="2"/>
    <n v="-9866"/>
    <n v="27.01163586584531"/>
    <x v="1"/>
    <n v="1"/>
    <n v="0"/>
    <n v="0"/>
    <n v="0"/>
    <s v="Laborers"/>
    <x v="0"/>
  </r>
  <r>
    <n v="5048237"/>
    <x v="0"/>
    <s v="Y"/>
    <s v="Y"/>
    <n v="0"/>
    <x v="23"/>
    <x v="1"/>
    <x v="1"/>
    <x v="1"/>
    <x v="0"/>
    <d v="1991-10-21T00:00:00"/>
    <n v="-12116"/>
    <x v="991"/>
    <x v="3"/>
    <n v="-2714"/>
    <n v="7.4305270362765228"/>
    <x v="1"/>
    <n v="1"/>
    <n v="1"/>
    <n v="1"/>
    <n v="0"/>
    <s v="Drivers"/>
    <x v="1"/>
  </r>
  <r>
    <n v="5048244"/>
    <x v="1"/>
    <s v="Y"/>
    <s v="Y"/>
    <n v="0"/>
    <x v="2"/>
    <x v="2"/>
    <x v="1"/>
    <x v="1"/>
    <x v="0"/>
    <d v="1988-03-06T00:00:00"/>
    <n v="-13440"/>
    <x v="992"/>
    <x v="3"/>
    <n v="-6639"/>
    <n v="18.17659137577002"/>
    <x v="1"/>
    <n v="1"/>
    <n v="0"/>
    <n v="0"/>
    <n v="0"/>
    <s v="Core staff"/>
    <x v="1"/>
  </r>
  <r>
    <n v="5048248"/>
    <x v="1"/>
    <s v="Y"/>
    <s v="Y"/>
    <n v="0"/>
    <x v="2"/>
    <x v="2"/>
    <x v="1"/>
    <x v="1"/>
    <x v="0"/>
    <d v="1988-03-06T00:00:00"/>
    <n v="-13440"/>
    <x v="992"/>
    <x v="3"/>
    <n v="-6639"/>
    <n v="18.17659137577002"/>
    <x v="1"/>
    <n v="1"/>
    <n v="0"/>
    <n v="0"/>
    <n v="0"/>
    <s v="Core staff"/>
    <x v="1"/>
  </r>
  <r>
    <n v="5048263"/>
    <x v="0"/>
    <s v="N"/>
    <s v="Y"/>
    <n v="0"/>
    <x v="42"/>
    <x v="2"/>
    <x v="1"/>
    <x v="1"/>
    <x v="0"/>
    <d v="1966-03-02T00:00:00"/>
    <n v="-21480"/>
    <x v="993"/>
    <x v="2"/>
    <n v="-4660"/>
    <n v="12.758384668035593"/>
    <x v="1"/>
    <n v="1"/>
    <n v="1"/>
    <n v="0"/>
    <n v="0"/>
    <m/>
    <x v="1"/>
  </r>
  <r>
    <n v="5048268"/>
    <x v="0"/>
    <s v="N"/>
    <s v="Y"/>
    <n v="0"/>
    <x v="42"/>
    <x v="2"/>
    <x v="1"/>
    <x v="1"/>
    <x v="0"/>
    <d v="1966-03-02T00:00:00"/>
    <n v="-21480"/>
    <x v="993"/>
    <x v="2"/>
    <n v="-4660"/>
    <n v="12.758384668035593"/>
    <x v="1"/>
    <n v="1"/>
    <n v="1"/>
    <n v="0"/>
    <n v="0"/>
    <m/>
    <x v="1"/>
  </r>
  <r>
    <n v="5048272"/>
    <x v="0"/>
    <s v="Y"/>
    <s v="N"/>
    <n v="1"/>
    <x v="2"/>
    <x v="2"/>
    <x v="0"/>
    <x v="2"/>
    <x v="0"/>
    <d v="1997-07-09T00:00:00"/>
    <n v="-10028"/>
    <x v="994"/>
    <x v="4"/>
    <n v="-1618"/>
    <n v="4.42984257357974"/>
    <x v="1"/>
    <n v="1"/>
    <n v="0"/>
    <n v="0"/>
    <n v="0"/>
    <s v="Core staff"/>
    <x v="1"/>
  </r>
  <r>
    <n v="5048286"/>
    <x v="1"/>
    <s v="Y"/>
    <s v="Y"/>
    <n v="0"/>
    <x v="16"/>
    <x v="2"/>
    <x v="0"/>
    <x v="1"/>
    <x v="0"/>
    <d v="1965-06-02T00:00:00"/>
    <n v="-21753"/>
    <x v="995"/>
    <x v="2"/>
    <n v="-4540"/>
    <n v="12.429842573579739"/>
    <x v="1"/>
    <n v="1"/>
    <n v="0"/>
    <n v="0"/>
    <n v="0"/>
    <m/>
    <x v="1"/>
  </r>
  <r>
    <n v="5048289"/>
    <x v="1"/>
    <s v="Y"/>
    <s v="Y"/>
    <n v="0"/>
    <x v="16"/>
    <x v="2"/>
    <x v="0"/>
    <x v="1"/>
    <x v="0"/>
    <d v="1965-06-02T00:00:00"/>
    <n v="-21753"/>
    <x v="995"/>
    <x v="2"/>
    <n v="-4540"/>
    <n v="12.429842573579739"/>
    <x v="1"/>
    <n v="1"/>
    <n v="0"/>
    <n v="0"/>
    <n v="0"/>
    <m/>
    <x v="1"/>
  </r>
  <r>
    <n v="5048292"/>
    <x v="1"/>
    <s v="Y"/>
    <s v="Y"/>
    <n v="0"/>
    <x v="16"/>
    <x v="2"/>
    <x v="0"/>
    <x v="1"/>
    <x v="0"/>
    <d v="1965-06-02T00:00:00"/>
    <n v="-21753"/>
    <x v="995"/>
    <x v="2"/>
    <n v="-4540"/>
    <n v="12.429842573579739"/>
    <x v="1"/>
    <n v="1"/>
    <n v="0"/>
    <n v="0"/>
    <n v="0"/>
    <m/>
    <x v="1"/>
  </r>
  <r>
    <n v="5048294"/>
    <x v="1"/>
    <s v="Y"/>
    <s v="Y"/>
    <n v="0"/>
    <x v="16"/>
    <x v="2"/>
    <x v="0"/>
    <x v="1"/>
    <x v="0"/>
    <d v="1965-06-02T00:00:00"/>
    <n v="-21753"/>
    <x v="995"/>
    <x v="2"/>
    <n v="-4540"/>
    <n v="12.429842573579739"/>
    <x v="1"/>
    <n v="1"/>
    <n v="0"/>
    <n v="0"/>
    <n v="0"/>
    <m/>
    <x v="1"/>
  </r>
  <r>
    <n v="5048317"/>
    <x v="0"/>
    <s v="N"/>
    <s v="N"/>
    <n v="0"/>
    <x v="30"/>
    <x v="2"/>
    <x v="0"/>
    <x v="0"/>
    <x v="0"/>
    <d v="1965-01-19T00:00:00"/>
    <n v="-21887"/>
    <x v="996"/>
    <x v="2"/>
    <n v="-1526"/>
    <n v="4.1779603011635862"/>
    <x v="1"/>
    <n v="1"/>
    <n v="0"/>
    <n v="0"/>
    <n v="0"/>
    <s v="Core staff"/>
    <x v="0"/>
  </r>
  <r>
    <n v="5048328"/>
    <x v="1"/>
    <s v="N"/>
    <s v="Y"/>
    <n v="0"/>
    <x v="1"/>
    <x v="2"/>
    <x v="1"/>
    <x v="2"/>
    <x v="0"/>
    <d v="1998-11-19T00:00:00"/>
    <n v="-9530"/>
    <x v="997"/>
    <x v="4"/>
    <n v="-430"/>
    <n v="1.1772758384668036"/>
    <x v="1"/>
    <n v="1"/>
    <n v="1"/>
    <n v="0"/>
    <n v="0"/>
    <s v="Security staff"/>
    <x v="0"/>
  </r>
  <r>
    <n v="5048367"/>
    <x v="0"/>
    <s v="N"/>
    <s v="N"/>
    <n v="0"/>
    <x v="68"/>
    <x v="0"/>
    <x v="1"/>
    <x v="4"/>
    <x v="0"/>
    <d v="1964-03-30T00:00:00"/>
    <n v="-22182"/>
    <x v="998"/>
    <x v="0"/>
    <n v="365243"/>
    <n v="0"/>
    <x v="0"/>
    <n v="1"/>
    <n v="0"/>
    <n v="0"/>
    <n v="0"/>
    <m/>
    <x v="0"/>
  </r>
  <r>
    <n v="5048368"/>
    <x v="0"/>
    <s v="N"/>
    <s v="N"/>
    <n v="0"/>
    <x v="68"/>
    <x v="0"/>
    <x v="1"/>
    <x v="4"/>
    <x v="0"/>
    <d v="1964-03-30T00:00:00"/>
    <n v="-22182"/>
    <x v="998"/>
    <x v="0"/>
    <n v="365243"/>
    <n v="0"/>
    <x v="0"/>
    <n v="1"/>
    <n v="0"/>
    <n v="0"/>
    <n v="0"/>
    <m/>
    <x v="0"/>
  </r>
  <r>
    <n v="5048369"/>
    <x v="0"/>
    <s v="N"/>
    <s v="N"/>
    <n v="0"/>
    <x v="68"/>
    <x v="0"/>
    <x v="1"/>
    <x v="4"/>
    <x v="0"/>
    <d v="1964-03-30T00:00:00"/>
    <n v="-22182"/>
    <x v="998"/>
    <x v="0"/>
    <n v="365243"/>
    <n v="0"/>
    <x v="0"/>
    <n v="1"/>
    <n v="0"/>
    <n v="0"/>
    <n v="0"/>
    <m/>
    <x v="0"/>
  </r>
  <r>
    <n v="5048387"/>
    <x v="0"/>
    <s v="Y"/>
    <s v="Y"/>
    <n v="0"/>
    <x v="11"/>
    <x v="2"/>
    <x v="0"/>
    <x v="2"/>
    <x v="0"/>
    <d v="1995-07-14T00:00:00"/>
    <n v="-10754"/>
    <x v="999"/>
    <x v="4"/>
    <n v="-3870"/>
    <n v="10.595482546201232"/>
    <x v="1"/>
    <n v="1"/>
    <n v="1"/>
    <n v="1"/>
    <n v="0"/>
    <s v="Accountants"/>
    <x v="0"/>
  </r>
  <r>
    <n v="5048396"/>
    <x v="0"/>
    <s v="N"/>
    <s v="Y"/>
    <n v="0"/>
    <x v="14"/>
    <x v="1"/>
    <x v="0"/>
    <x v="0"/>
    <x v="0"/>
    <d v="1975-10-16T00:00:00"/>
    <n v="-17965"/>
    <x v="1000"/>
    <x v="1"/>
    <n v="-2775"/>
    <n v="7.5975359342915807"/>
    <x v="1"/>
    <n v="1"/>
    <n v="0"/>
    <n v="1"/>
    <n v="0"/>
    <s v="Private service staff"/>
    <x v="0"/>
  </r>
  <r>
    <n v="5048400"/>
    <x v="0"/>
    <s v="N"/>
    <s v="Y"/>
    <n v="0"/>
    <x v="14"/>
    <x v="1"/>
    <x v="0"/>
    <x v="0"/>
    <x v="0"/>
    <d v="1975-10-16T00:00:00"/>
    <n v="-17965"/>
    <x v="1000"/>
    <x v="1"/>
    <n v="-2775"/>
    <n v="7.5975359342915807"/>
    <x v="1"/>
    <n v="1"/>
    <n v="0"/>
    <n v="1"/>
    <n v="0"/>
    <s v="Private service staff"/>
    <x v="0"/>
  </r>
  <r>
    <n v="5048402"/>
    <x v="0"/>
    <s v="N"/>
    <s v="Y"/>
    <n v="0"/>
    <x v="14"/>
    <x v="1"/>
    <x v="0"/>
    <x v="0"/>
    <x v="0"/>
    <d v="1975-10-16T00:00:00"/>
    <n v="-17965"/>
    <x v="1000"/>
    <x v="1"/>
    <n v="-2775"/>
    <n v="7.5975359342915807"/>
    <x v="1"/>
    <n v="1"/>
    <n v="0"/>
    <n v="1"/>
    <n v="0"/>
    <s v="Private service staff"/>
    <x v="0"/>
  </r>
  <r>
    <n v="5048407"/>
    <x v="1"/>
    <s v="N"/>
    <s v="Y"/>
    <n v="0"/>
    <x v="10"/>
    <x v="1"/>
    <x v="1"/>
    <x v="1"/>
    <x v="0"/>
    <d v="1979-01-05T00:00:00"/>
    <n v="-16788"/>
    <x v="654"/>
    <x v="1"/>
    <n v="-1314"/>
    <n v="3.5975359342915811"/>
    <x v="1"/>
    <n v="1"/>
    <n v="0"/>
    <n v="0"/>
    <n v="0"/>
    <m/>
    <x v="1"/>
  </r>
  <r>
    <n v="5048426"/>
    <x v="0"/>
    <s v="N"/>
    <s v="Y"/>
    <n v="0"/>
    <x v="70"/>
    <x v="2"/>
    <x v="1"/>
    <x v="2"/>
    <x v="0"/>
    <d v="1970-07-18T00:00:00"/>
    <n v="-19881"/>
    <x v="1001"/>
    <x v="2"/>
    <n v="-8405"/>
    <n v="23.01163586584531"/>
    <x v="1"/>
    <n v="1"/>
    <n v="0"/>
    <n v="1"/>
    <n v="0"/>
    <s v="Accountants"/>
    <x v="0"/>
  </r>
  <r>
    <n v="5048427"/>
    <x v="0"/>
    <s v="N"/>
    <s v="Y"/>
    <n v="0"/>
    <x v="70"/>
    <x v="2"/>
    <x v="1"/>
    <x v="2"/>
    <x v="0"/>
    <d v="1970-07-18T00:00:00"/>
    <n v="-19881"/>
    <x v="1001"/>
    <x v="2"/>
    <n v="-8405"/>
    <n v="23.01163586584531"/>
    <x v="1"/>
    <n v="1"/>
    <n v="0"/>
    <n v="1"/>
    <n v="0"/>
    <s v="Accountants"/>
    <x v="0"/>
  </r>
  <r>
    <n v="5048444"/>
    <x v="0"/>
    <s v="N"/>
    <s v="Y"/>
    <n v="0"/>
    <x v="11"/>
    <x v="0"/>
    <x v="1"/>
    <x v="1"/>
    <x v="0"/>
    <d v="1966-12-21T00:00:00"/>
    <n v="-21186"/>
    <x v="1002"/>
    <x v="2"/>
    <n v="365243"/>
    <n v="0"/>
    <x v="0"/>
    <n v="1"/>
    <n v="0"/>
    <n v="0"/>
    <n v="0"/>
    <m/>
    <x v="1"/>
  </r>
  <r>
    <n v="5048449"/>
    <x v="0"/>
    <s v="N"/>
    <s v="Y"/>
    <n v="0"/>
    <x v="11"/>
    <x v="0"/>
    <x v="1"/>
    <x v="1"/>
    <x v="0"/>
    <d v="1966-12-21T00:00:00"/>
    <n v="-21186"/>
    <x v="1002"/>
    <x v="2"/>
    <n v="365243"/>
    <n v="0"/>
    <x v="0"/>
    <n v="1"/>
    <n v="0"/>
    <n v="0"/>
    <n v="0"/>
    <m/>
    <x v="1"/>
  </r>
  <r>
    <n v="5048453"/>
    <x v="0"/>
    <s v="N"/>
    <s v="N"/>
    <n v="0"/>
    <x v="1"/>
    <x v="1"/>
    <x v="1"/>
    <x v="1"/>
    <x v="0"/>
    <d v="1978-06-18T00:00:00"/>
    <n v="-16989"/>
    <x v="1003"/>
    <x v="1"/>
    <n v="-3444"/>
    <n v="9.4291581108829572"/>
    <x v="1"/>
    <n v="1"/>
    <n v="0"/>
    <n v="0"/>
    <n v="0"/>
    <m/>
    <x v="1"/>
  </r>
  <r>
    <n v="5048461"/>
    <x v="0"/>
    <s v="Y"/>
    <s v="Y"/>
    <n v="1"/>
    <x v="3"/>
    <x v="2"/>
    <x v="0"/>
    <x v="1"/>
    <x v="0"/>
    <d v="1999-02-16T00:00:00"/>
    <n v="-9441"/>
    <x v="896"/>
    <x v="4"/>
    <n v="-157"/>
    <n v="0.42984257357973993"/>
    <x v="1"/>
    <n v="1"/>
    <n v="0"/>
    <n v="0"/>
    <n v="0"/>
    <m/>
    <x v="3"/>
  </r>
  <r>
    <n v="5048471"/>
    <x v="1"/>
    <s v="N"/>
    <s v="N"/>
    <n v="0"/>
    <x v="23"/>
    <x v="1"/>
    <x v="2"/>
    <x v="2"/>
    <x v="1"/>
    <d v="1996-09-03T00:00:00"/>
    <n v="-10337"/>
    <x v="1004"/>
    <x v="4"/>
    <n v="-795"/>
    <n v="2.1765913757700206"/>
    <x v="1"/>
    <n v="1"/>
    <n v="1"/>
    <n v="0"/>
    <n v="0"/>
    <s v="Security staff"/>
    <x v="0"/>
  </r>
  <r>
    <n v="5048487"/>
    <x v="1"/>
    <s v="Y"/>
    <s v="Y"/>
    <n v="0"/>
    <x v="11"/>
    <x v="2"/>
    <x v="1"/>
    <x v="1"/>
    <x v="0"/>
    <d v="1989-05-28T00:00:00"/>
    <n v="-12992"/>
    <x v="1005"/>
    <x v="3"/>
    <n v="-734"/>
    <n v="2.0095824777549622"/>
    <x v="1"/>
    <n v="1"/>
    <n v="1"/>
    <n v="1"/>
    <n v="0"/>
    <s v="Drivers"/>
    <x v="1"/>
  </r>
  <r>
    <n v="5048490"/>
    <x v="1"/>
    <s v="Y"/>
    <s v="N"/>
    <n v="2"/>
    <x v="100"/>
    <x v="3"/>
    <x v="0"/>
    <x v="1"/>
    <x v="0"/>
    <d v="1990-07-25T00:00:00"/>
    <n v="-12569"/>
    <x v="1006"/>
    <x v="3"/>
    <n v="-3748"/>
    <n v="10.261464750171116"/>
    <x v="1"/>
    <n v="1"/>
    <n v="1"/>
    <n v="1"/>
    <n v="0"/>
    <s v="Core staff"/>
    <x v="2"/>
  </r>
  <r>
    <n v="5048491"/>
    <x v="1"/>
    <s v="Y"/>
    <s v="N"/>
    <n v="2"/>
    <x v="100"/>
    <x v="3"/>
    <x v="0"/>
    <x v="1"/>
    <x v="0"/>
    <d v="1990-07-25T00:00:00"/>
    <n v="-12569"/>
    <x v="1006"/>
    <x v="3"/>
    <n v="-3748"/>
    <n v="10.261464750171116"/>
    <x v="1"/>
    <n v="1"/>
    <n v="1"/>
    <n v="1"/>
    <n v="0"/>
    <s v="Core staff"/>
    <x v="2"/>
  </r>
  <r>
    <n v="5048497"/>
    <x v="0"/>
    <s v="Y"/>
    <s v="Y"/>
    <n v="1"/>
    <x v="29"/>
    <x v="2"/>
    <x v="1"/>
    <x v="1"/>
    <x v="0"/>
    <d v="1992-06-24T00:00:00"/>
    <n v="-11869"/>
    <x v="1007"/>
    <x v="3"/>
    <n v="-4479"/>
    <n v="12.262833675564682"/>
    <x v="1"/>
    <n v="1"/>
    <n v="1"/>
    <n v="1"/>
    <n v="0"/>
    <s v="Core staff"/>
    <x v="3"/>
  </r>
  <r>
    <n v="5048498"/>
    <x v="0"/>
    <s v="Y"/>
    <s v="Y"/>
    <n v="1"/>
    <x v="29"/>
    <x v="2"/>
    <x v="1"/>
    <x v="1"/>
    <x v="0"/>
    <d v="1992-06-24T00:00:00"/>
    <n v="-11869"/>
    <x v="1007"/>
    <x v="3"/>
    <n v="-4479"/>
    <n v="12.262833675564682"/>
    <x v="1"/>
    <n v="1"/>
    <n v="1"/>
    <n v="1"/>
    <n v="0"/>
    <s v="Core staff"/>
    <x v="3"/>
  </r>
  <r>
    <n v="5048519"/>
    <x v="0"/>
    <s v="N"/>
    <s v="Y"/>
    <n v="0"/>
    <x v="5"/>
    <x v="2"/>
    <x v="1"/>
    <x v="1"/>
    <x v="0"/>
    <d v="1977-07-30T00:00:00"/>
    <n v="-17312"/>
    <x v="1008"/>
    <x v="1"/>
    <n v="-2500"/>
    <n v="6.8446269678302532"/>
    <x v="1"/>
    <n v="1"/>
    <n v="0"/>
    <n v="0"/>
    <n v="0"/>
    <s v="Sales staff"/>
    <x v="1"/>
  </r>
  <r>
    <n v="5048530"/>
    <x v="0"/>
    <s v="Y"/>
    <s v="Y"/>
    <n v="1"/>
    <x v="18"/>
    <x v="1"/>
    <x v="4"/>
    <x v="1"/>
    <x v="0"/>
    <d v="1991-09-12T00:00:00"/>
    <n v="-12155"/>
    <x v="1009"/>
    <x v="3"/>
    <n v="-979"/>
    <n v="2.6803559206023273"/>
    <x v="1"/>
    <n v="1"/>
    <n v="0"/>
    <n v="0"/>
    <n v="0"/>
    <s v="Sales staff"/>
    <x v="3"/>
  </r>
  <r>
    <n v="5048536"/>
    <x v="0"/>
    <s v="Y"/>
    <s v="Y"/>
    <n v="1"/>
    <x v="18"/>
    <x v="1"/>
    <x v="4"/>
    <x v="1"/>
    <x v="0"/>
    <d v="1991-09-12T00:00:00"/>
    <n v="-12155"/>
    <x v="1009"/>
    <x v="3"/>
    <n v="-979"/>
    <n v="2.6803559206023273"/>
    <x v="1"/>
    <n v="1"/>
    <n v="0"/>
    <n v="0"/>
    <n v="0"/>
    <s v="Sales staff"/>
    <x v="3"/>
  </r>
  <r>
    <n v="5048539"/>
    <x v="0"/>
    <s v="Y"/>
    <s v="Y"/>
    <n v="1"/>
    <x v="18"/>
    <x v="1"/>
    <x v="4"/>
    <x v="1"/>
    <x v="0"/>
    <d v="1991-09-12T00:00:00"/>
    <n v="-12155"/>
    <x v="1009"/>
    <x v="3"/>
    <n v="-979"/>
    <n v="2.6803559206023273"/>
    <x v="1"/>
    <n v="1"/>
    <n v="0"/>
    <n v="0"/>
    <n v="0"/>
    <s v="Sales staff"/>
    <x v="3"/>
  </r>
  <r>
    <n v="5048546"/>
    <x v="0"/>
    <s v="N"/>
    <s v="N"/>
    <n v="0"/>
    <x v="11"/>
    <x v="3"/>
    <x v="1"/>
    <x v="4"/>
    <x v="0"/>
    <d v="1961-03-02T00:00:00"/>
    <n v="-23306"/>
    <x v="1010"/>
    <x v="0"/>
    <n v="-430"/>
    <n v="1.1772758384668036"/>
    <x v="1"/>
    <n v="1"/>
    <n v="0"/>
    <n v="0"/>
    <n v="0"/>
    <s v="Core staff"/>
    <x v="0"/>
  </r>
  <r>
    <n v="5048565"/>
    <x v="1"/>
    <s v="Y"/>
    <s v="Y"/>
    <n v="0"/>
    <x v="1"/>
    <x v="2"/>
    <x v="1"/>
    <x v="1"/>
    <x v="0"/>
    <d v="1984-01-19T00:00:00"/>
    <n v="-14948"/>
    <x v="1011"/>
    <x v="1"/>
    <n v="-8100"/>
    <n v="22.17659137577002"/>
    <x v="1"/>
    <n v="1"/>
    <n v="0"/>
    <n v="0"/>
    <n v="0"/>
    <s v="Laborers"/>
    <x v="1"/>
  </r>
  <r>
    <n v="5048580"/>
    <x v="0"/>
    <s v="N"/>
    <s v="Y"/>
    <n v="0"/>
    <x v="1"/>
    <x v="0"/>
    <x v="1"/>
    <x v="1"/>
    <x v="0"/>
    <d v="1965-11-23T00:00:00"/>
    <n v="-21579"/>
    <x v="1012"/>
    <x v="2"/>
    <n v="365243"/>
    <n v="0"/>
    <x v="0"/>
    <n v="1"/>
    <n v="0"/>
    <n v="0"/>
    <n v="0"/>
    <m/>
    <x v="1"/>
  </r>
  <r>
    <n v="5048601"/>
    <x v="0"/>
    <s v="N"/>
    <s v="Y"/>
    <n v="0"/>
    <x v="12"/>
    <x v="2"/>
    <x v="1"/>
    <x v="0"/>
    <x v="0"/>
    <d v="1983-03-17T00:00:00"/>
    <n v="-15256"/>
    <x v="913"/>
    <x v="1"/>
    <n v="-3291"/>
    <n v="9.0102669404517446"/>
    <x v="1"/>
    <n v="1"/>
    <n v="0"/>
    <n v="0"/>
    <n v="0"/>
    <s v="Laborers"/>
    <x v="0"/>
  </r>
  <r>
    <n v="5048628"/>
    <x v="1"/>
    <s v="N"/>
    <s v="N"/>
    <n v="2"/>
    <x v="1"/>
    <x v="2"/>
    <x v="1"/>
    <x v="1"/>
    <x v="0"/>
    <d v="1987-08-20T00:00:00"/>
    <n v="-13639"/>
    <x v="1013"/>
    <x v="3"/>
    <n v="-430"/>
    <n v="1.1772758384668036"/>
    <x v="1"/>
    <n v="1"/>
    <n v="0"/>
    <n v="0"/>
    <n v="0"/>
    <s v="Laborers"/>
    <x v="2"/>
  </r>
  <r>
    <n v="5048642"/>
    <x v="0"/>
    <s v="N"/>
    <s v="N"/>
    <n v="0"/>
    <x v="5"/>
    <x v="0"/>
    <x v="1"/>
    <x v="0"/>
    <x v="0"/>
    <d v="1959-02-19T00:00:00"/>
    <n v="-24048"/>
    <x v="1014"/>
    <x v="0"/>
    <n v="365243"/>
    <n v="0"/>
    <x v="0"/>
    <n v="1"/>
    <n v="0"/>
    <n v="0"/>
    <n v="0"/>
    <m/>
    <x v="0"/>
  </r>
  <r>
    <n v="5050453"/>
    <x v="1"/>
    <s v="N"/>
    <s v="Y"/>
    <n v="1"/>
    <x v="101"/>
    <x v="2"/>
    <x v="1"/>
    <x v="1"/>
    <x v="0"/>
    <d v="1985-12-20T00:00:00"/>
    <n v="-14247"/>
    <x v="1015"/>
    <x v="3"/>
    <n v="-135"/>
    <n v="0.36960985626283366"/>
    <x v="1"/>
    <n v="1"/>
    <n v="0"/>
    <n v="0"/>
    <n v="0"/>
    <m/>
    <x v="3"/>
  </r>
  <r>
    <n v="5050487"/>
    <x v="0"/>
    <s v="N"/>
    <s v="N"/>
    <n v="0"/>
    <x v="19"/>
    <x v="1"/>
    <x v="1"/>
    <x v="3"/>
    <x v="0"/>
    <d v="1973-10-13T00:00:00"/>
    <n v="-18698"/>
    <x v="1016"/>
    <x v="2"/>
    <n v="-10758"/>
    <n v="29.453798767967147"/>
    <x v="1"/>
    <n v="1"/>
    <n v="0"/>
    <n v="0"/>
    <n v="0"/>
    <s v="Laborers"/>
    <x v="1"/>
  </r>
  <r>
    <n v="5050490"/>
    <x v="0"/>
    <s v="N"/>
    <s v="N"/>
    <n v="0"/>
    <x v="19"/>
    <x v="1"/>
    <x v="1"/>
    <x v="3"/>
    <x v="0"/>
    <d v="1973-10-13T00:00:00"/>
    <n v="-18698"/>
    <x v="1016"/>
    <x v="2"/>
    <n v="-10758"/>
    <n v="29.453798767967147"/>
    <x v="1"/>
    <n v="1"/>
    <n v="0"/>
    <n v="0"/>
    <n v="0"/>
    <s v="Laborers"/>
    <x v="1"/>
  </r>
  <r>
    <n v="5050509"/>
    <x v="0"/>
    <s v="N"/>
    <s v="N"/>
    <n v="2"/>
    <x v="1"/>
    <x v="1"/>
    <x v="1"/>
    <x v="1"/>
    <x v="0"/>
    <d v="1990-08-22T00:00:00"/>
    <n v="-12541"/>
    <x v="1017"/>
    <x v="3"/>
    <n v="-4549"/>
    <n v="12.454483230663929"/>
    <x v="1"/>
    <n v="1"/>
    <n v="1"/>
    <n v="1"/>
    <n v="0"/>
    <s v="Laborers"/>
    <x v="2"/>
  </r>
  <r>
    <n v="5050513"/>
    <x v="0"/>
    <s v="N"/>
    <s v="N"/>
    <n v="0"/>
    <x v="8"/>
    <x v="1"/>
    <x v="1"/>
    <x v="3"/>
    <x v="0"/>
    <d v="1971-08-15T00:00:00"/>
    <n v="-19488"/>
    <x v="1018"/>
    <x v="2"/>
    <n v="-3119"/>
    <n v="8.5393566050650236"/>
    <x v="1"/>
    <n v="1"/>
    <n v="1"/>
    <n v="0"/>
    <n v="0"/>
    <s v="Sales staff"/>
    <x v="1"/>
  </r>
  <r>
    <n v="5050515"/>
    <x v="0"/>
    <s v="N"/>
    <s v="N"/>
    <n v="0"/>
    <x v="8"/>
    <x v="1"/>
    <x v="1"/>
    <x v="3"/>
    <x v="0"/>
    <d v="1971-08-15T00:00:00"/>
    <n v="-19488"/>
    <x v="1018"/>
    <x v="2"/>
    <n v="-3119"/>
    <n v="8.5393566050650236"/>
    <x v="1"/>
    <n v="1"/>
    <n v="1"/>
    <n v="0"/>
    <n v="0"/>
    <s v="Sales staff"/>
    <x v="1"/>
  </r>
  <r>
    <n v="5050530"/>
    <x v="1"/>
    <s v="N"/>
    <s v="N"/>
    <n v="0"/>
    <x v="16"/>
    <x v="2"/>
    <x v="1"/>
    <x v="3"/>
    <x v="0"/>
    <d v="1996-10-06T00:00:00"/>
    <n v="-10304"/>
    <x v="89"/>
    <x v="4"/>
    <n v="-743"/>
    <n v="2.0342231348391513"/>
    <x v="1"/>
    <n v="1"/>
    <n v="0"/>
    <n v="1"/>
    <n v="0"/>
    <s v="Laborers"/>
    <x v="1"/>
  </r>
  <r>
    <n v="5050533"/>
    <x v="1"/>
    <s v="N"/>
    <s v="N"/>
    <n v="2"/>
    <x v="8"/>
    <x v="2"/>
    <x v="0"/>
    <x v="3"/>
    <x v="0"/>
    <d v="1979-01-25T00:00:00"/>
    <n v="-16768"/>
    <x v="1019"/>
    <x v="1"/>
    <n v="-3088"/>
    <n v="8.4544832306639286"/>
    <x v="1"/>
    <n v="1"/>
    <n v="1"/>
    <n v="0"/>
    <n v="0"/>
    <s v="Laborers"/>
    <x v="2"/>
  </r>
  <r>
    <n v="5050564"/>
    <x v="1"/>
    <s v="N"/>
    <s v="N"/>
    <n v="2"/>
    <x v="8"/>
    <x v="2"/>
    <x v="0"/>
    <x v="3"/>
    <x v="0"/>
    <d v="1979-01-25T00:00:00"/>
    <n v="-16768"/>
    <x v="1019"/>
    <x v="1"/>
    <n v="-3088"/>
    <n v="8.4544832306639286"/>
    <x v="1"/>
    <n v="1"/>
    <n v="1"/>
    <n v="0"/>
    <n v="0"/>
    <s v="Laborers"/>
    <x v="2"/>
  </r>
  <r>
    <n v="5050565"/>
    <x v="1"/>
    <s v="N"/>
    <s v="N"/>
    <n v="2"/>
    <x v="8"/>
    <x v="2"/>
    <x v="0"/>
    <x v="3"/>
    <x v="0"/>
    <d v="1979-01-25T00:00:00"/>
    <n v="-16768"/>
    <x v="1019"/>
    <x v="1"/>
    <n v="-3088"/>
    <n v="8.4544832306639286"/>
    <x v="1"/>
    <n v="1"/>
    <n v="1"/>
    <n v="0"/>
    <n v="0"/>
    <s v="Laborers"/>
    <x v="2"/>
  </r>
  <r>
    <n v="5050586"/>
    <x v="0"/>
    <s v="N"/>
    <s v="N"/>
    <n v="0"/>
    <x v="3"/>
    <x v="2"/>
    <x v="1"/>
    <x v="1"/>
    <x v="0"/>
    <d v="1982-02-13T00:00:00"/>
    <n v="-15653"/>
    <x v="494"/>
    <x v="1"/>
    <n v="-2235"/>
    <n v="6.1190965092402463"/>
    <x v="1"/>
    <n v="1"/>
    <n v="1"/>
    <n v="0"/>
    <n v="0"/>
    <s v="Laborers"/>
    <x v="1"/>
  </r>
  <r>
    <n v="5050591"/>
    <x v="0"/>
    <s v="Y"/>
    <s v="N"/>
    <n v="0"/>
    <x v="43"/>
    <x v="2"/>
    <x v="1"/>
    <x v="1"/>
    <x v="0"/>
    <d v="1990-04-23T00:00:00"/>
    <n v="-12662"/>
    <x v="1020"/>
    <x v="3"/>
    <n v="-1382"/>
    <n v="3.783709787816564"/>
    <x v="1"/>
    <n v="1"/>
    <n v="1"/>
    <n v="0"/>
    <n v="0"/>
    <s v="Medicine staff"/>
    <x v="1"/>
  </r>
  <r>
    <n v="5050595"/>
    <x v="0"/>
    <s v="Y"/>
    <s v="N"/>
    <n v="0"/>
    <x v="43"/>
    <x v="2"/>
    <x v="1"/>
    <x v="1"/>
    <x v="0"/>
    <d v="1990-04-23T00:00:00"/>
    <n v="-12662"/>
    <x v="1020"/>
    <x v="3"/>
    <n v="-1382"/>
    <n v="3.783709787816564"/>
    <x v="1"/>
    <n v="1"/>
    <n v="1"/>
    <n v="0"/>
    <n v="0"/>
    <s v="Medicine staff"/>
    <x v="1"/>
  </r>
  <r>
    <n v="5050603"/>
    <x v="1"/>
    <s v="N"/>
    <s v="N"/>
    <n v="0"/>
    <x v="5"/>
    <x v="2"/>
    <x v="1"/>
    <x v="1"/>
    <x v="0"/>
    <d v="1974-10-19T00:00:00"/>
    <n v="-18327"/>
    <x v="1021"/>
    <x v="2"/>
    <n v="-7288"/>
    <n v="19.953456536618756"/>
    <x v="1"/>
    <n v="1"/>
    <n v="1"/>
    <n v="0"/>
    <n v="0"/>
    <s v="Laborers"/>
    <x v="1"/>
  </r>
  <r>
    <n v="5050618"/>
    <x v="1"/>
    <s v="Y"/>
    <s v="N"/>
    <n v="0"/>
    <x v="30"/>
    <x v="2"/>
    <x v="1"/>
    <x v="2"/>
    <x v="0"/>
    <d v="1978-03-03T00:00:00"/>
    <n v="-17096"/>
    <x v="1022"/>
    <x v="1"/>
    <n v="-9236"/>
    <n v="25.286789869952088"/>
    <x v="1"/>
    <n v="1"/>
    <n v="0"/>
    <n v="0"/>
    <n v="0"/>
    <s v="Drivers"/>
    <x v="0"/>
  </r>
  <r>
    <n v="5050620"/>
    <x v="1"/>
    <s v="Y"/>
    <s v="N"/>
    <n v="0"/>
    <x v="2"/>
    <x v="2"/>
    <x v="1"/>
    <x v="3"/>
    <x v="0"/>
    <d v="1997-08-02T00:00:00"/>
    <n v="-10004"/>
    <x v="1023"/>
    <x v="4"/>
    <n v="-1962"/>
    <n v="5.3716632443531829"/>
    <x v="1"/>
    <n v="1"/>
    <n v="0"/>
    <n v="1"/>
    <n v="0"/>
    <m/>
    <x v="1"/>
  </r>
  <r>
    <n v="5050624"/>
    <x v="1"/>
    <s v="Y"/>
    <s v="N"/>
    <n v="0"/>
    <x v="12"/>
    <x v="2"/>
    <x v="1"/>
    <x v="1"/>
    <x v="0"/>
    <d v="1989-03-19T00:00:00"/>
    <n v="-13062"/>
    <x v="1024"/>
    <x v="3"/>
    <n v="-501"/>
    <n v="1.3716632443531827"/>
    <x v="1"/>
    <n v="1"/>
    <n v="0"/>
    <n v="1"/>
    <n v="0"/>
    <s v="Drivers"/>
    <x v="1"/>
  </r>
  <r>
    <n v="5050625"/>
    <x v="1"/>
    <s v="Y"/>
    <s v="N"/>
    <n v="0"/>
    <x v="12"/>
    <x v="2"/>
    <x v="1"/>
    <x v="1"/>
    <x v="0"/>
    <d v="1989-03-19T00:00:00"/>
    <n v="-13062"/>
    <x v="1024"/>
    <x v="3"/>
    <n v="-501"/>
    <n v="1.3716632443531827"/>
    <x v="1"/>
    <n v="1"/>
    <n v="0"/>
    <n v="1"/>
    <n v="0"/>
    <s v="Drivers"/>
    <x v="1"/>
  </r>
  <r>
    <n v="5050628"/>
    <x v="1"/>
    <s v="Y"/>
    <s v="N"/>
    <n v="0"/>
    <x v="12"/>
    <x v="2"/>
    <x v="1"/>
    <x v="1"/>
    <x v="0"/>
    <d v="1989-03-19T00:00:00"/>
    <n v="-13062"/>
    <x v="1024"/>
    <x v="3"/>
    <n v="-501"/>
    <n v="1.3716632443531827"/>
    <x v="1"/>
    <n v="1"/>
    <n v="0"/>
    <n v="1"/>
    <n v="0"/>
    <s v="Drivers"/>
    <x v="1"/>
  </r>
  <r>
    <n v="5050629"/>
    <x v="1"/>
    <s v="Y"/>
    <s v="N"/>
    <n v="0"/>
    <x v="12"/>
    <x v="2"/>
    <x v="1"/>
    <x v="1"/>
    <x v="0"/>
    <d v="1989-03-19T00:00:00"/>
    <n v="-13062"/>
    <x v="1024"/>
    <x v="3"/>
    <n v="-501"/>
    <n v="1.3716632443531827"/>
    <x v="1"/>
    <n v="1"/>
    <n v="0"/>
    <n v="1"/>
    <n v="0"/>
    <s v="Drivers"/>
    <x v="1"/>
  </r>
  <r>
    <n v="5050646"/>
    <x v="1"/>
    <s v="Y"/>
    <s v="N"/>
    <n v="0"/>
    <x v="102"/>
    <x v="1"/>
    <x v="1"/>
    <x v="1"/>
    <x v="0"/>
    <d v="2000-05-12T00:00:00"/>
    <n v="-8990"/>
    <x v="1025"/>
    <x v="4"/>
    <n v="-1566"/>
    <n v="4.2874743326488707"/>
    <x v="1"/>
    <n v="1"/>
    <n v="0"/>
    <n v="0"/>
    <n v="0"/>
    <s v="Laborers"/>
    <x v="1"/>
  </r>
  <r>
    <n v="5050649"/>
    <x v="0"/>
    <s v="N"/>
    <s v="N"/>
    <n v="0"/>
    <x v="2"/>
    <x v="2"/>
    <x v="1"/>
    <x v="1"/>
    <x v="0"/>
    <d v="1984-10-26T00:00:00"/>
    <n v="-14667"/>
    <x v="484"/>
    <x v="1"/>
    <n v="-1048"/>
    <n v="2.8692676249144422"/>
    <x v="1"/>
    <n v="1"/>
    <n v="1"/>
    <n v="1"/>
    <n v="0"/>
    <s v="Accountants"/>
    <x v="1"/>
  </r>
  <r>
    <n v="5050677"/>
    <x v="1"/>
    <s v="Y"/>
    <s v="N"/>
    <n v="0"/>
    <x v="103"/>
    <x v="1"/>
    <x v="1"/>
    <x v="1"/>
    <x v="2"/>
    <d v="2001-12-09T00:00:00"/>
    <n v="-8414"/>
    <x v="1026"/>
    <x v="4"/>
    <n v="-378"/>
    <n v="1.0349075975359343"/>
    <x v="1"/>
    <n v="1"/>
    <n v="1"/>
    <n v="0"/>
    <n v="1"/>
    <s v="Sales staff"/>
    <x v="1"/>
  </r>
  <r>
    <n v="5050682"/>
    <x v="0"/>
    <s v="N"/>
    <s v="N"/>
    <n v="0"/>
    <x v="5"/>
    <x v="2"/>
    <x v="1"/>
    <x v="4"/>
    <x v="0"/>
    <d v="1975-10-18T00:00:00"/>
    <n v="-17963"/>
    <x v="1027"/>
    <x v="1"/>
    <n v="-197"/>
    <n v="0.53935660506502392"/>
    <x v="1"/>
    <n v="1"/>
    <n v="0"/>
    <n v="0"/>
    <n v="0"/>
    <s v="Cleaning staff"/>
    <x v="0"/>
  </r>
  <r>
    <n v="5050683"/>
    <x v="0"/>
    <s v="N"/>
    <s v="N"/>
    <n v="0"/>
    <x v="5"/>
    <x v="2"/>
    <x v="1"/>
    <x v="4"/>
    <x v="0"/>
    <d v="1975-10-18T00:00:00"/>
    <n v="-17963"/>
    <x v="1027"/>
    <x v="1"/>
    <n v="-197"/>
    <n v="0.53935660506502392"/>
    <x v="1"/>
    <n v="1"/>
    <n v="0"/>
    <n v="0"/>
    <n v="0"/>
    <s v="Cleaning staff"/>
    <x v="0"/>
  </r>
  <r>
    <n v="5050691"/>
    <x v="0"/>
    <s v="N"/>
    <s v="N"/>
    <n v="1"/>
    <x v="1"/>
    <x v="1"/>
    <x v="1"/>
    <x v="2"/>
    <x v="0"/>
    <d v="1984-02-29T00:00:00"/>
    <n v="-14907"/>
    <x v="1028"/>
    <x v="1"/>
    <n v="-2540"/>
    <n v="6.9541409993155376"/>
    <x v="1"/>
    <n v="1"/>
    <n v="0"/>
    <n v="0"/>
    <n v="0"/>
    <s v="Sales staff"/>
    <x v="1"/>
  </r>
  <r>
    <n v="5050705"/>
    <x v="0"/>
    <s v="Y"/>
    <s v="N"/>
    <n v="0"/>
    <x v="5"/>
    <x v="1"/>
    <x v="1"/>
    <x v="3"/>
    <x v="0"/>
    <d v="1991-04-11T00:00:00"/>
    <n v="-12309"/>
    <x v="1029"/>
    <x v="3"/>
    <n v="-1962"/>
    <n v="5.3716632443531829"/>
    <x v="1"/>
    <n v="1"/>
    <n v="0"/>
    <n v="0"/>
    <n v="0"/>
    <m/>
    <x v="1"/>
  </r>
  <r>
    <n v="5050714"/>
    <x v="1"/>
    <s v="Y"/>
    <s v="N"/>
    <n v="0"/>
    <x v="5"/>
    <x v="1"/>
    <x v="0"/>
    <x v="1"/>
    <x v="0"/>
    <d v="1998-10-01T00:00:00"/>
    <n v="-9579"/>
    <x v="1030"/>
    <x v="4"/>
    <n v="-835"/>
    <n v="2.2861054072553046"/>
    <x v="1"/>
    <n v="1"/>
    <n v="0"/>
    <n v="0"/>
    <n v="0"/>
    <s v="Laborers"/>
    <x v="1"/>
  </r>
  <r>
    <n v="5050718"/>
    <x v="1"/>
    <s v="Y"/>
    <s v="N"/>
    <n v="0"/>
    <x v="5"/>
    <x v="1"/>
    <x v="0"/>
    <x v="1"/>
    <x v="0"/>
    <d v="1998-10-01T00:00:00"/>
    <n v="-9579"/>
    <x v="1030"/>
    <x v="4"/>
    <n v="-835"/>
    <n v="2.2861054072553046"/>
    <x v="1"/>
    <n v="1"/>
    <n v="0"/>
    <n v="0"/>
    <n v="0"/>
    <s v="Laborers"/>
    <x v="1"/>
  </r>
  <r>
    <n v="5050743"/>
    <x v="0"/>
    <s v="N"/>
    <s v="N"/>
    <n v="0"/>
    <x v="1"/>
    <x v="0"/>
    <x v="1"/>
    <x v="1"/>
    <x v="0"/>
    <d v="1968-07-21T00:00:00"/>
    <n v="-20608"/>
    <x v="1031"/>
    <x v="2"/>
    <n v="365243"/>
    <n v="0"/>
    <x v="0"/>
    <n v="1"/>
    <n v="0"/>
    <n v="0"/>
    <n v="0"/>
    <m/>
    <x v="1"/>
  </r>
  <r>
    <n v="5050744"/>
    <x v="0"/>
    <s v="N"/>
    <s v="N"/>
    <n v="0"/>
    <x v="1"/>
    <x v="0"/>
    <x v="1"/>
    <x v="1"/>
    <x v="0"/>
    <d v="1968-07-21T00:00:00"/>
    <n v="-20608"/>
    <x v="1031"/>
    <x v="2"/>
    <n v="365243"/>
    <n v="0"/>
    <x v="0"/>
    <n v="1"/>
    <n v="0"/>
    <n v="0"/>
    <n v="0"/>
    <m/>
    <x v="1"/>
  </r>
  <r>
    <n v="5050756"/>
    <x v="1"/>
    <s v="Y"/>
    <s v="N"/>
    <n v="0"/>
    <x v="8"/>
    <x v="1"/>
    <x v="1"/>
    <x v="1"/>
    <x v="0"/>
    <d v="1975-07-15T00:00:00"/>
    <n v="-18058"/>
    <x v="1032"/>
    <x v="1"/>
    <n v="-4031"/>
    <n v="11.0362765229295"/>
    <x v="1"/>
    <n v="1"/>
    <n v="1"/>
    <n v="0"/>
    <n v="0"/>
    <s v="Drivers"/>
    <x v="1"/>
  </r>
  <r>
    <n v="5050758"/>
    <x v="1"/>
    <s v="N"/>
    <s v="N"/>
    <n v="0"/>
    <x v="39"/>
    <x v="2"/>
    <x v="1"/>
    <x v="1"/>
    <x v="0"/>
    <d v="1975-10-07T00:00:00"/>
    <n v="-17974"/>
    <x v="1033"/>
    <x v="1"/>
    <n v="-1413"/>
    <n v="3.868583162217659"/>
    <x v="1"/>
    <n v="1"/>
    <n v="0"/>
    <n v="0"/>
    <n v="0"/>
    <s v="Drivers"/>
    <x v="1"/>
  </r>
  <r>
    <n v="5050759"/>
    <x v="1"/>
    <s v="Y"/>
    <s v="N"/>
    <n v="0"/>
    <x v="16"/>
    <x v="2"/>
    <x v="1"/>
    <x v="0"/>
    <x v="4"/>
    <d v="1985-09-09T00:00:00"/>
    <n v="-14349"/>
    <x v="1034"/>
    <x v="3"/>
    <n v="-317"/>
    <n v="0.86789869952087606"/>
    <x v="1"/>
    <n v="1"/>
    <n v="0"/>
    <n v="0"/>
    <n v="0"/>
    <s v="Laborers"/>
    <x v="0"/>
  </r>
  <r>
    <n v="5050760"/>
    <x v="1"/>
    <s v="Y"/>
    <s v="N"/>
    <n v="0"/>
    <x v="16"/>
    <x v="2"/>
    <x v="1"/>
    <x v="0"/>
    <x v="4"/>
    <d v="1985-09-09T00:00:00"/>
    <n v="-14349"/>
    <x v="1034"/>
    <x v="3"/>
    <n v="-317"/>
    <n v="0.86789869952087606"/>
    <x v="1"/>
    <n v="1"/>
    <n v="0"/>
    <n v="0"/>
    <n v="0"/>
    <s v="Laborers"/>
    <x v="0"/>
  </r>
  <r>
    <n v="5050763"/>
    <x v="1"/>
    <s v="Y"/>
    <s v="N"/>
    <n v="0"/>
    <x v="16"/>
    <x v="2"/>
    <x v="1"/>
    <x v="0"/>
    <x v="4"/>
    <d v="1985-09-09T00:00:00"/>
    <n v="-14349"/>
    <x v="1034"/>
    <x v="3"/>
    <n v="-317"/>
    <n v="0.86789869952087606"/>
    <x v="1"/>
    <n v="1"/>
    <n v="0"/>
    <n v="0"/>
    <n v="0"/>
    <s v="Laborers"/>
    <x v="0"/>
  </r>
  <r>
    <n v="5050773"/>
    <x v="0"/>
    <s v="N"/>
    <s v="N"/>
    <n v="0"/>
    <x v="104"/>
    <x v="2"/>
    <x v="1"/>
    <x v="2"/>
    <x v="0"/>
    <d v="1965-04-12T00:00:00"/>
    <n v="-21804"/>
    <x v="1035"/>
    <x v="2"/>
    <n v="-1627"/>
    <n v="4.4544832306639286"/>
    <x v="1"/>
    <n v="1"/>
    <n v="1"/>
    <n v="0"/>
    <n v="0"/>
    <s v="Managers"/>
    <x v="0"/>
  </r>
  <r>
    <n v="5050777"/>
    <x v="0"/>
    <s v="Y"/>
    <s v="N"/>
    <n v="0"/>
    <x v="51"/>
    <x v="2"/>
    <x v="1"/>
    <x v="1"/>
    <x v="0"/>
    <d v="1972-05-10T00:00:00"/>
    <n v="-19219"/>
    <x v="1036"/>
    <x v="2"/>
    <n v="-988"/>
    <n v="2.7049965776865159"/>
    <x v="1"/>
    <n v="1"/>
    <n v="0"/>
    <n v="0"/>
    <n v="0"/>
    <s v="Sales staff"/>
    <x v="1"/>
  </r>
  <r>
    <n v="5050795"/>
    <x v="0"/>
    <s v="Y"/>
    <s v="N"/>
    <n v="1"/>
    <x v="1"/>
    <x v="2"/>
    <x v="0"/>
    <x v="3"/>
    <x v="0"/>
    <d v="1989-11-09T00:00:00"/>
    <n v="-12827"/>
    <x v="1037"/>
    <x v="3"/>
    <n v="-623"/>
    <n v="1.7056810403832992"/>
    <x v="1"/>
    <n v="1"/>
    <n v="0"/>
    <n v="0"/>
    <n v="0"/>
    <s v="Sales staff"/>
    <x v="3"/>
  </r>
  <r>
    <n v="5050796"/>
    <x v="0"/>
    <s v="Y"/>
    <s v="N"/>
    <n v="1"/>
    <x v="1"/>
    <x v="2"/>
    <x v="0"/>
    <x v="3"/>
    <x v="0"/>
    <d v="1989-11-09T00:00:00"/>
    <n v="-12827"/>
    <x v="1037"/>
    <x v="3"/>
    <n v="-623"/>
    <n v="1.7056810403832992"/>
    <x v="1"/>
    <n v="1"/>
    <n v="0"/>
    <n v="0"/>
    <n v="0"/>
    <s v="Sales staff"/>
    <x v="3"/>
  </r>
  <r>
    <n v="5050805"/>
    <x v="0"/>
    <s v="Y"/>
    <s v="N"/>
    <n v="2"/>
    <x v="18"/>
    <x v="2"/>
    <x v="0"/>
    <x v="1"/>
    <x v="0"/>
    <d v="1988-12-27T00:00:00"/>
    <n v="-13144"/>
    <x v="1038"/>
    <x v="3"/>
    <n v="-682"/>
    <n v="1.8672142368240932"/>
    <x v="1"/>
    <n v="1"/>
    <n v="1"/>
    <n v="1"/>
    <n v="0"/>
    <m/>
    <x v="2"/>
  </r>
  <r>
    <n v="5050825"/>
    <x v="1"/>
    <s v="N"/>
    <s v="N"/>
    <n v="0"/>
    <x v="30"/>
    <x v="2"/>
    <x v="1"/>
    <x v="1"/>
    <x v="0"/>
    <d v="1994-06-17T00:00:00"/>
    <n v="-11146"/>
    <x v="1039"/>
    <x v="3"/>
    <n v="-1413"/>
    <n v="3.868583162217659"/>
    <x v="1"/>
    <n v="1"/>
    <n v="0"/>
    <n v="0"/>
    <n v="0"/>
    <s v="Drivers"/>
    <x v="1"/>
  </r>
  <r>
    <n v="5050836"/>
    <x v="0"/>
    <s v="N"/>
    <s v="N"/>
    <n v="0"/>
    <x v="30"/>
    <x v="2"/>
    <x v="1"/>
    <x v="1"/>
    <x v="0"/>
    <d v="1996-03-26T00:00:00"/>
    <n v="-10498"/>
    <x v="1040"/>
    <x v="4"/>
    <n v="-2418"/>
    <n v="6.6201232032854209"/>
    <x v="1"/>
    <n v="1"/>
    <n v="1"/>
    <n v="1"/>
    <n v="0"/>
    <m/>
    <x v="1"/>
  </r>
  <r>
    <n v="5050838"/>
    <x v="1"/>
    <s v="Y"/>
    <s v="N"/>
    <n v="0"/>
    <x v="30"/>
    <x v="1"/>
    <x v="1"/>
    <x v="1"/>
    <x v="0"/>
    <d v="1962-08-24T00:00:00"/>
    <n v="-22766"/>
    <x v="1041"/>
    <x v="0"/>
    <n v="-227"/>
    <n v="0.62149212867898695"/>
    <x v="1"/>
    <n v="1"/>
    <n v="0"/>
    <n v="0"/>
    <n v="0"/>
    <s v="Security staff"/>
    <x v="1"/>
  </r>
  <r>
    <n v="5050840"/>
    <x v="1"/>
    <s v="Y"/>
    <s v="N"/>
    <n v="0"/>
    <x v="30"/>
    <x v="1"/>
    <x v="1"/>
    <x v="1"/>
    <x v="0"/>
    <d v="1962-08-24T00:00:00"/>
    <n v="-22766"/>
    <x v="1041"/>
    <x v="0"/>
    <n v="-227"/>
    <n v="0.62149212867898695"/>
    <x v="1"/>
    <n v="1"/>
    <n v="0"/>
    <n v="0"/>
    <n v="0"/>
    <s v="Security staff"/>
    <x v="1"/>
  </r>
  <r>
    <n v="5050852"/>
    <x v="1"/>
    <s v="N"/>
    <s v="N"/>
    <n v="0"/>
    <x v="16"/>
    <x v="1"/>
    <x v="0"/>
    <x v="2"/>
    <x v="0"/>
    <d v="1998-12-31T00:00:00"/>
    <n v="-9488"/>
    <x v="1042"/>
    <x v="4"/>
    <n v="-1505"/>
    <n v="4.1204654346338128"/>
    <x v="1"/>
    <n v="1"/>
    <n v="0"/>
    <n v="0"/>
    <n v="0"/>
    <s v="High skill tech staff"/>
    <x v="0"/>
  </r>
  <r>
    <n v="5050855"/>
    <x v="1"/>
    <s v="N"/>
    <s v="N"/>
    <n v="0"/>
    <x v="16"/>
    <x v="1"/>
    <x v="0"/>
    <x v="2"/>
    <x v="0"/>
    <d v="1998-12-31T00:00:00"/>
    <n v="-9488"/>
    <x v="1042"/>
    <x v="4"/>
    <n v="-1505"/>
    <n v="4.1204654346338128"/>
    <x v="1"/>
    <n v="1"/>
    <n v="0"/>
    <n v="0"/>
    <n v="0"/>
    <s v="High skill tech staff"/>
    <x v="0"/>
  </r>
  <r>
    <n v="5050890"/>
    <x v="1"/>
    <s v="Y"/>
    <s v="N"/>
    <n v="0"/>
    <x v="19"/>
    <x v="0"/>
    <x v="1"/>
    <x v="1"/>
    <x v="0"/>
    <d v="1973-04-19T00:00:00"/>
    <n v="-18875"/>
    <x v="1043"/>
    <x v="2"/>
    <n v="365243"/>
    <n v="0"/>
    <x v="0"/>
    <n v="1"/>
    <n v="0"/>
    <n v="0"/>
    <n v="0"/>
    <m/>
    <x v="1"/>
  </r>
  <r>
    <n v="5050891"/>
    <x v="1"/>
    <s v="Y"/>
    <s v="N"/>
    <n v="0"/>
    <x v="19"/>
    <x v="0"/>
    <x v="1"/>
    <x v="1"/>
    <x v="0"/>
    <d v="1973-04-19T00:00:00"/>
    <n v="-18875"/>
    <x v="1043"/>
    <x v="2"/>
    <n v="365243"/>
    <n v="0"/>
    <x v="0"/>
    <n v="1"/>
    <n v="0"/>
    <n v="0"/>
    <n v="0"/>
    <m/>
    <x v="1"/>
  </r>
  <r>
    <n v="5050910"/>
    <x v="1"/>
    <s v="N"/>
    <s v="N"/>
    <n v="1"/>
    <x v="8"/>
    <x v="1"/>
    <x v="1"/>
    <x v="1"/>
    <x v="0"/>
    <d v="1989-10-02T00:00:00"/>
    <n v="-12865"/>
    <x v="1044"/>
    <x v="3"/>
    <n v="-804"/>
    <n v="2.2012320328542097"/>
    <x v="1"/>
    <n v="1"/>
    <n v="0"/>
    <n v="0"/>
    <n v="0"/>
    <m/>
    <x v="3"/>
  </r>
  <r>
    <n v="5050914"/>
    <x v="0"/>
    <s v="Y"/>
    <s v="N"/>
    <n v="2"/>
    <x v="3"/>
    <x v="2"/>
    <x v="0"/>
    <x v="1"/>
    <x v="0"/>
    <d v="1998-06-24T00:00:00"/>
    <n v="-9678"/>
    <x v="1045"/>
    <x v="4"/>
    <n v="-1535"/>
    <n v="4.2026009582477757"/>
    <x v="1"/>
    <n v="1"/>
    <n v="0"/>
    <n v="0"/>
    <n v="0"/>
    <s v="Core staff"/>
    <x v="2"/>
  </r>
  <r>
    <n v="5050919"/>
    <x v="0"/>
    <s v="Y"/>
    <s v="N"/>
    <n v="1"/>
    <x v="16"/>
    <x v="2"/>
    <x v="1"/>
    <x v="1"/>
    <x v="0"/>
    <d v="1985-03-15T00:00:00"/>
    <n v="-14527"/>
    <x v="1046"/>
    <x v="3"/>
    <n v="-3208"/>
    <n v="8.7830253251197803"/>
    <x v="1"/>
    <n v="1"/>
    <n v="0"/>
    <n v="0"/>
    <n v="0"/>
    <s v="Laborers"/>
    <x v="3"/>
  </r>
  <r>
    <n v="5050920"/>
    <x v="0"/>
    <s v="Y"/>
    <s v="N"/>
    <n v="1"/>
    <x v="16"/>
    <x v="2"/>
    <x v="1"/>
    <x v="1"/>
    <x v="0"/>
    <d v="1985-03-15T00:00:00"/>
    <n v="-14527"/>
    <x v="1046"/>
    <x v="3"/>
    <n v="-3208"/>
    <n v="8.7830253251197803"/>
    <x v="1"/>
    <n v="1"/>
    <n v="0"/>
    <n v="0"/>
    <n v="0"/>
    <s v="Laborers"/>
    <x v="3"/>
  </r>
  <r>
    <n v="5050957"/>
    <x v="1"/>
    <s v="N"/>
    <s v="N"/>
    <n v="0"/>
    <x v="16"/>
    <x v="1"/>
    <x v="0"/>
    <x v="2"/>
    <x v="0"/>
    <d v="1997-06-28T00:00:00"/>
    <n v="-10039"/>
    <x v="1047"/>
    <x v="4"/>
    <n v="-197"/>
    <n v="0.53935660506502392"/>
    <x v="1"/>
    <n v="1"/>
    <n v="0"/>
    <n v="0"/>
    <n v="0"/>
    <s v="Core staff"/>
    <x v="0"/>
  </r>
  <r>
    <n v="5050976"/>
    <x v="0"/>
    <s v="N"/>
    <s v="N"/>
    <n v="1"/>
    <x v="2"/>
    <x v="3"/>
    <x v="1"/>
    <x v="2"/>
    <x v="0"/>
    <d v="1981-04-08T00:00:00"/>
    <n v="-15964"/>
    <x v="809"/>
    <x v="1"/>
    <n v="-7591"/>
    <n v="20.78302532511978"/>
    <x v="1"/>
    <n v="1"/>
    <n v="0"/>
    <n v="0"/>
    <n v="0"/>
    <s v="Core staff"/>
    <x v="1"/>
  </r>
  <r>
    <n v="5050981"/>
    <x v="0"/>
    <s v="Y"/>
    <s v="N"/>
    <n v="1"/>
    <x v="39"/>
    <x v="1"/>
    <x v="1"/>
    <x v="2"/>
    <x v="0"/>
    <d v="1983-08-30T00:00:00"/>
    <n v="-15090"/>
    <x v="1048"/>
    <x v="1"/>
    <n v="-6495"/>
    <n v="17.782340862422998"/>
    <x v="1"/>
    <n v="1"/>
    <n v="0"/>
    <n v="0"/>
    <n v="0"/>
    <s v="Sales staff"/>
    <x v="1"/>
  </r>
  <r>
    <n v="5050985"/>
    <x v="1"/>
    <s v="N"/>
    <s v="N"/>
    <n v="0"/>
    <x v="105"/>
    <x v="3"/>
    <x v="0"/>
    <x v="1"/>
    <x v="0"/>
    <d v="1995-04-25T00:00:00"/>
    <n v="-10834"/>
    <x v="1049"/>
    <x v="4"/>
    <n v="-988"/>
    <n v="2.7049965776865159"/>
    <x v="1"/>
    <n v="1"/>
    <n v="0"/>
    <n v="0"/>
    <n v="0"/>
    <s v="Core staff"/>
    <x v="1"/>
  </r>
  <r>
    <n v="5051014"/>
    <x v="0"/>
    <s v="N"/>
    <s v="N"/>
    <n v="1"/>
    <x v="8"/>
    <x v="1"/>
    <x v="1"/>
    <x v="1"/>
    <x v="0"/>
    <d v="1996-05-15T00:00:00"/>
    <n v="-10448"/>
    <x v="1050"/>
    <x v="4"/>
    <n v="-3392"/>
    <n v="9.2867898699520879"/>
    <x v="1"/>
    <n v="1"/>
    <n v="1"/>
    <n v="1"/>
    <n v="1"/>
    <s v="Realty agents"/>
    <x v="3"/>
  </r>
  <r>
    <n v="5051017"/>
    <x v="0"/>
    <s v="N"/>
    <s v="N"/>
    <n v="0"/>
    <x v="18"/>
    <x v="1"/>
    <x v="1"/>
    <x v="3"/>
    <x v="0"/>
    <d v="1982-11-12T00:00:00"/>
    <n v="-15381"/>
    <x v="1051"/>
    <x v="1"/>
    <n v="-470"/>
    <n v="1.2867898699520877"/>
    <x v="1"/>
    <n v="1"/>
    <n v="0"/>
    <n v="0"/>
    <n v="0"/>
    <s v="Laborers"/>
    <x v="1"/>
  </r>
  <r>
    <n v="5051034"/>
    <x v="0"/>
    <s v="N"/>
    <s v="N"/>
    <n v="0"/>
    <x v="16"/>
    <x v="1"/>
    <x v="0"/>
    <x v="2"/>
    <x v="2"/>
    <d v="2000-07-29T00:00:00"/>
    <n v="-8912"/>
    <x v="1052"/>
    <x v="4"/>
    <n v="-1017"/>
    <n v="2.7843942505133472"/>
    <x v="1"/>
    <n v="1"/>
    <n v="0"/>
    <n v="0"/>
    <n v="0"/>
    <m/>
    <x v="0"/>
  </r>
  <r>
    <n v="5051036"/>
    <x v="0"/>
    <s v="N"/>
    <s v="N"/>
    <n v="0"/>
    <x v="16"/>
    <x v="1"/>
    <x v="0"/>
    <x v="2"/>
    <x v="2"/>
    <d v="2000-07-29T00:00:00"/>
    <n v="-8912"/>
    <x v="1052"/>
    <x v="4"/>
    <n v="-1017"/>
    <n v="2.7843942505133472"/>
    <x v="1"/>
    <n v="1"/>
    <n v="0"/>
    <n v="0"/>
    <n v="0"/>
    <m/>
    <x v="0"/>
  </r>
  <r>
    <n v="5051037"/>
    <x v="0"/>
    <s v="N"/>
    <s v="N"/>
    <n v="0"/>
    <x v="16"/>
    <x v="1"/>
    <x v="0"/>
    <x v="2"/>
    <x v="2"/>
    <d v="2000-07-29T00:00:00"/>
    <n v="-8912"/>
    <x v="1052"/>
    <x v="4"/>
    <n v="-1017"/>
    <n v="2.7843942505133472"/>
    <x v="1"/>
    <n v="1"/>
    <n v="0"/>
    <n v="0"/>
    <n v="0"/>
    <m/>
    <x v="0"/>
  </r>
  <r>
    <n v="5051045"/>
    <x v="1"/>
    <s v="Y"/>
    <s v="N"/>
    <n v="0"/>
    <x v="37"/>
    <x v="2"/>
    <x v="1"/>
    <x v="1"/>
    <x v="0"/>
    <d v="1963-08-18T00:00:00"/>
    <n v="-22407"/>
    <x v="1053"/>
    <x v="0"/>
    <n v="-2174"/>
    <n v="5.9520876112251884"/>
    <x v="1"/>
    <n v="1"/>
    <n v="0"/>
    <n v="0"/>
    <n v="0"/>
    <s v="Laborers"/>
    <x v="1"/>
  </r>
  <r>
    <n v="5051052"/>
    <x v="1"/>
    <s v="Y"/>
    <s v="N"/>
    <n v="0"/>
    <x v="37"/>
    <x v="2"/>
    <x v="1"/>
    <x v="1"/>
    <x v="0"/>
    <d v="1963-08-18T00:00:00"/>
    <n v="-22407"/>
    <x v="1053"/>
    <x v="0"/>
    <n v="-2174"/>
    <n v="5.9520876112251884"/>
    <x v="1"/>
    <n v="1"/>
    <n v="0"/>
    <n v="0"/>
    <n v="0"/>
    <s v="Laborers"/>
    <x v="1"/>
  </r>
  <r>
    <n v="5051057"/>
    <x v="0"/>
    <s v="N"/>
    <s v="N"/>
    <n v="0"/>
    <x v="63"/>
    <x v="0"/>
    <x v="1"/>
    <x v="4"/>
    <x v="0"/>
    <d v="1959-08-15T00:00:00"/>
    <n v="-23871"/>
    <x v="1054"/>
    <x v="0"/>
    <n v="365243"/>
    <n v="0"/>
    <x v="0"/>
    <n v="1"/>
    <n v="0"/>
    <n v="0"/>
    <n v="0"/>
    <m/>
    <x v="0"/>
  </r>
  <r>
    <n v="5051058"/>
    <x v="0"/>
    <s v="N"/>
    <s v="N"/>
    <n v="0"/>
    <x v="63"/>
    <x v="0"/>
    <x v="1"/>
    <x v="4"/>
    <x v="0"/>
    <d v="1959-08-15T00:00:00"/>
    <n v="-23871"/>
    <x v="1054"/>
    <x v="0"/>
    <n v="365243"/>
    <n v="0"/>
    <x v="0"/>
    <n v="1"/>
    <n v="0"/>
    <n v="0"/>
    <n v="0"/>
    <m/>
    <x v="0"/>
  </r>
  <r>
    <n v="5051059"/>
    <x v="0"/>
    <s v="N"/>
    <s v="N"/>
    <n v="0"/>
    <x v="63"/>
    <x v="0"/>
    <x v="1"/>
    <x v="4"/>
    <x v="0"/>
    <d v="1959-08-15T00:00:00"/>
    <n v="-23871"/>
    <x v="1054"/>
    <x v="0"/>
    <n v="365243"/>
    <n v="0"/>
    <x v="0"/>
    <n v="1"/>
    <n v="0"/>
    <n v="0"/>
    <n v="0"/>
    <m/>
    <x v="0"/>
  </r>
  <r>
    <n v="5051062"/>
    <x v="0"/>
    <s v="N"/>
    <s v="N"/>
    <n v="2"/>
    <x v="2"/>
    <x v="1"/>
    <x v="1"/>
    <x v="1"/>
    <x v="0"/>
    <d v="1992-04-09T00:00:00"/>
    <n v="-11945"/>
    <x v="1055"/>
    <x v="3"/>
    <n v="-1323"/>
    <n v="3.6221765913757702"/>
    <x v="1"/>
    <n v="1"/>
    <n v="0"/>
    <n v="1"/>
    <n v="0"/>
    <m/>
    <x v="2"/>
  </r>
  <r>
    <n v="5051082"/>
    <x v="0"/>
    <s v="N"/>
    <s v="N"/>
    <n v="0"/>
    <x v="18"/>
    <x v="1"/>
    <x v="1"/>
    <x v="0"/>
    <x v="4"/>
    <d v="1978-06-08T00:00:00"/>
    <n v="-16999"/>
    <x v="1056"/>
    <x v="1"/>
    <n v="-1140"/>
    <n v="3.1211498973305956"/>
    <x v="1"/>
    <n v="1"/>
    <n v="1"/>
    <n v="1"/>
    <n v="0"/>
    <s v="Sales staff"/>
    <x v="0"/>
  </r>
  <r>
    <n v="5051090"/>
    <x v="0"/>
    <s v="N"/>
    <s v="N"/>
    <n v="0"/>
    <x v="39"/>
    <x v="3"/>
    <x v="0"/>
    <x v="1"/>
    <x v="0"/>
    <d v="1992-12-14T00:00:00"/>
    <n v="-11696"/>
    <x v="1057"/>
    <x v="3"/>
    <n v="-2905"/>
    <n v="7.953456536618754"/>
    <x v="1"/>
    <n v="1"/>
    <n v="0"/>
    <n v="0"/>
    <n v="0"/>
    <s v="Core staff"/>
    <x v="1"/>
  </r>
  <r>
    <n v="5051104"/>
    <x v="0"/>
    <s v="N"/>
    <s v="N"/>
    <n v="0"/>
    <x v="2"/>
    <x v="0"/>
    <x v="1"/>
    <x v="3"/>
    <x v="0"/>
    <d v="1962-03-22T00:00:00"/>
    <n v="-22921"/>
    <x v="1058"/>
    <x v="0"/>
    <n v="365243"/>
    <n v="0"/>
    <x v="0"/>
    <n v="1"/>
    <n v="0"/>
    <n v="0"/>
    <n v="0"/>
    <m/>
    <x v="1"/>
  </r>
  <r>
    <n v="5051111"/>
    <x v="0"/>
    <s v="N"/>
    <s v="N"/>
    <n v="0"/>
    <x v="36"/>
    <x v="0"/>
    <x v="1"/>
    <x v="0"/>
    <x v="0"/>
    <d v="1959-01-16T00:00:00"/>
    <n v="-24082"/>
    <x v="1059"/>
    <x v="0"/>
    <n v="365243"/>
    <n v="0"/>
    <x v="0"/>
    <n v="1"/>
    <n v="0"/>
    <n v="1"/>
    <n v="0"/>
    <m/>
    <x v="0"/>
  </r>
  <r>
    <n v="5051123"/>
    <x v="1"/>
    <s v="N"/>
    <s v="N"/>
    <n v="0"/>
    <x v="11"/>
    <x v="3"/>
    <x v="0"/>
    <x v="1"/>
    <x v="0"/>
    <d v="1990-02-19T00:00:00"/>
    <n v="-12725"/>
    <x v="1060"/>
    <x v="3"/>
    <n v="-5006"/>
    <n v="13.705681040383299"/>
    <x v="1"/>
    <n v="1"/>
    <n v="0"/>
    <n v="0"/>
    <n v="0"/>
    <s v="Core staff"/>
    <x v="1"/>
  </r>
  <r>
    <n v="5051124"/>
    <x v="1"/>
    <s v="N"/>
    <s v="N"/>
    <n v="0"/>
    <x v="11"/>
    <x v="3"/>
    <x v="0"/>
    <x v="1"/>
    <x v="0"/>
    <d v="1990-02-19T00:00:00"/>
    <n v="-12725"/>
    <x v="1060"/>
    <x v="3"/>
    <n v="-5006"/>
    <n v="13.705681040383299"/>
    <x v="1"/>
    <n v="1"/>
    <n v="0"/>
    <n v="0"/>
    <n v="0"/>
    <s v="Core staff"/>
    <x v="1"/>
  </r>
  <r>
    <n v="5051133"/>
    <x v="0"/>
    <s v="N"/>
    <s v="N"/>
    <n v="0"/>
    <x v="42"/>
    <x v="1"/>
    <x v="0"/>
    <x v="2"/>
    <x v="0"/>
    <d v="1997-03-20T00:00:00"/>
    <n v="-10139"/>
    <x v="1061"/>
    <x v="4"/>
    <n v="-136"/>
    <n v="0.37234770704996578"/>
    <x v="1"/>
    <n v="1"/>
    <n v="0"/>
    <n v="0"/>
    <n v="0"/>
    <s v="Core staff"/>
    <x v="0"/>
  </r>
  <r>
    <n v="5051135"/>
    <x v="1"/>
    <s v="Y"/>
    <s v="N"/>
    <n v="0"/>
    <x v="12"/>
    <x v="2"/>
    <x v="2"/>
    <x v="3"/>
    <x v="5"/>
    <d v="1982-05-19T00:00:00"/>
    <n v="-15558"/>
    <x v="1062"/>
    <x v="1"/>
    <n v="-4276"/>
    <n v="11.707049965776864"/>
    <x v="1"/>
    <n v="1"/>
    <n v="0"/>
    <n v="1"/>
    <n v="0"/>
    <m/>
    <x v="1"/>
  </r>
  <r>
    <n v="5051166"/>
    <x v="1"/>
    <s v="N"/>
    <s v="N"/>
    <n v="0"/>
    <x v="2"/>
    <x v="1"/>
    <x v="1"/>
    <x v="2"/>
    <x v="0"/>
    <d v="1962-10-22T00:00:00"/>
    <n v="-22707"/>
    <x v="1063"/>
    <x v="0"/>
    <n v="-6771"/>
    <n v="18.537987679671456"/>
    <x v="1"/>
    <n v="1"/>
    <n v="0"/>
    <n v="0"/>
    <n v="0"/>
    <s v="Laborers"/>
    <x v="0"/>
  </r>
  <r>
    <n v="5051175"/>
    <x v="1"/>
    <s v="Y"/>
    <s v="N"/>
    <n v="0"/>
    <x v="19"/>
    <x v="2"/>
    <x v="1"/>
    <x v="1"/>
    <x v="0"/>
    <d v="1973-06-22T00:00:00"/>
    <n v="-18811"/>
    <x v="1064"/>
    <x v="2"/>
    <n v="-1170"/>
    <n v="3.2032854209445585"/>
    <x v="1"/>
    <n v="1"/>
    <n v="0"/>
    <n v="0"/>
    <n v="0"/>
    <s v="Laborers"/>
    <x v="1"/>
  </r>
  <r>
    <n v="5051180"/>
    <x v="1"/>
    <s v="Y"/>
    <s v="N"/>
    <n v="1"/>
    <x v="39"/>
    <x v="2"/>
    <x v="1"/>
    <x v="1"/>
    <x v="0"/>
    <d v="1989-02-23T00:00:00"/>
    <n v="-13086"/>
    <x v="1065"/>
    <x v="3"/>
    <n v="-1931"/>
    <n v="5.2867898699520879"/>
    <x v="1"/>
    <n v="1"/>
    <n v="0"/>
    <n v="1"/>
    <n v="0"/>
    <s v="Laborers"/>
    <x v="3"/>
  </r>
  <r>
    <n v="5051202"/>
    <x v="1"/>
    <s v="Y"/>
    <s v="N"/>
    <n v="1"/>
    <x v="1"/>
    <x v="2"/>
    <x v="2"/>
    <x v="1"/>
    <x v="0"/>
    <d v="1987-12-13T00:00:00"/>
    <n v="-13524"/>
    <x v="1066"/>
    <x v="3"/>
    <n v="-1293"/>
    <n v="3.5400410677618068"/>
    <x v="1"/>
    <n v="1"/>
    <n v="0"/>
    <n v="1"/>
    <n v="0"/>
    <m/>
    <x v="3"/>
  </r>
  <r>
    <n v="5051205"/>
    <x v="1"/>
    <s v="Y"/>
    <s v="N"/>
    <n v="1"/>
    <x v="1"/>
    <x v="2"/>
    <x v="2"/>
    <x v="1"/>
    <x v="0"/>
    <d v="1987-12-13T00:00:00"/>
    <n v="-13524"/>
    <x v="1066"/>
    <x v="3"/>
    <n v="-1293"/>
    <n v="3.5400410677618068"/>
    <x v="1"/>
    <n v="1"/>
    <n v="0"/>
    <n v="1"/>
    <n v="0"/>
    <m/>
    <x v="3"/>
  </r>
  <r>
    <n v="5051210"/>
    <x v="1"/>
    <s v="Y"/>
    <s v="N"/>
    <n v="0"/>
    <x v="106"/>
    <x v="2"/>
    <x v="3"/>
    <x v="1"/>
    <x v="0"/>
    <d v="1982-08-12T00:00:00"/>
    <n v="-15473"/>
    <x v="1067"/>
    <x v="1"/>
    <n v="-6557"/>
    <n v="17.952087611225188"/>
    <x v="1"/>
    <n v="1"/>
    <n v="1"/>
    <n v="1"/>
    <n v="0"/>
    <s v="Drivers"/>
    <x v="1"/>
  </r>
  <r>
    <n v="5051214"/>
    <x v="1"/>
    <s v="Y"/>
    <s v="N"/>
    <n v="0"/>
    <x v="72"/>
    <x v="1"/>
    <x v="0"/>
    <x v="1"/>
    <x v="0"/>
    <d v="1977-01-19T00:00:00"/>
    <n v="-17504"/>
    <x v="1068"/>
    <x v="1"/>
    <n v="-6102"/>
    <n v="16.706365503080082"/>
    <x v="1"/>
    <n v="1"/>
    <n v="0"/>
    <n v="1"/>
    <n v="0"/>
    <s v="Managers"/>
    <x v="1"/>
  </r>
  <r>
    <n v="5051216"/>
    <x v="1"/>
    <s v="Y"/>
    <s v="N"/>
    <n v="0"/>
    <x v="72"/>
    <x v="1"/>
    <x v="0"/>
    <x v="1"/>
    <x v="0"/>
    <d v="1977-01-19T00:00:00"/>
    <n v="-17504"/>
    <x v="1068"/>
    <x v="1"/>
    <n v="-6102"/>
    <n v="16.706365503080082"/>
    <x v="1"/>
    <n v="1"/>
    <n v="0"/>
    <n v="1"/>
    <n v="0"/>
    <s v="Managers"/>
    <x v="1"/>
  </r>
  <r>
    <n v="5051240"/>
    <x v="0"/>
    <s v="Y"/>
    <s v="N"/>
    <n v="0"/>
    <x v="43"/>
    <x v="0"/>
    <x v="1"/>
    <x v="2"/>
    <x v="0"/>
    <d v="1961-02-08T00:00:00"/>
    <n v="-23328"/>
    <x v="1069"/>
    <x v="0"/>
    <n v="365243"/>
    <n v="0"/>
    <x v="0"/>
    <n v="1"/>
    <n v="0"/>
    <n v="0"/>
    <n v="0"/>
    <m/>
    <x v="0"/>
  </r>
  <r>
    <n v="5052590"/>
    <x v="0"/>
    <s v="N"/>
    <s v="Y"/>
    <n v="0"/>
    <x v="1"/>
    <x v="2"/>
    <x v="1"/>
    <x v="2"/>
    <x v="0"/>
    <d v="1964-03-04T00:00:00"/>
    <n v="-22208"/>
    <x v="1070"/>
    <x v="0"/>
    <n v="-229"/>
    <n v="0.6269678302532512"/>
    <x v="1"/>
    <n v="1"/>
    <n v="0"/>
    <n v="1"/>
    <n v="0"/>
    <m/>
    <x v="0"/>
  </r>
  <r>
    <n v="5052594"/>
    <x v="0"/>
    <s v="N"/>
    <s v="Y"/>
    <n v="0"/>
    <x v="29"/>
    <x v="3"/>
    <x v="1"/>
    <x v="1"/>
    <x v="0"/>
    <d v="1973-10-25T00:00:00"/>
    <n v="-18686"/>
    <x v="1071"/>
    <x v="2"/>
    <n v="-6773"/>
    <n v="18.543463381245722"/>
    <x v="1"/>
    <n v="1"/>
    <n v="0"/>
    <n v="0"/>
    <n v="0"/>
    <m/>
    <x v="1"/>
  </r>
  <r>
    <n v="5052596"/>
    <x v="0"/>
    <s v="Y"/>
    <s v="Y"/>
    <n v="0"/>
    <x v="2"/>
    <x v="0"/>
    <x v="1"/>
    <x v="1"/>
    <x v="0"/>
    <d v="1968-02-05T00:00:00"/>
    <n v="-20775"/>
    <x v="1072"/>
    <x v="2"/>
    <n v="365243"/>
    <n v="0"/>
    <x v="0"/>
    <n v="1"/>
    <n v="0"/>
    <n v="0"/>
    <n v="0"/>
    <m/>
    <x v="1"/>
  </r>
  <r>
    <n v="5052615"/>
    <x v="1"/>
    <s v="N"/>
    <s v="N"/>
    <n v="0"/>
    <x v="1"/>
    <x v="2"/>
    <x v="1"/>
    <x v="2"/>
    <x v="4"/>
    <d v="1987-05-24T00:00:00"/>
    <n v="-13727"/>
    <x v="1073"/>
    <x v="3"/>
    <n v="-321"/>
    <n v="0.87885010266940455"/>
    <x v="1"/>
    <n v="1"/>
    <n v="0"/>
    <n v="1"/>
    <n v="0"/>
    <m/>
    <x v="0"/>
  </r>
  <r>
    <n v="5052625"/>
    <x v="0"/>
    <s v="Y"/>
    <s v="N"/>
    <n v="0"/>
    <x v="51"/>
    <x v="2"/>
    <x v="1"/>
    <x v="2"/>
    <x v="0"/>
    <d v="1974-07-16T00:00:00"/>
    <n v="-18422"/>
    <x v="1074"/>
    <x v="2"/>
    <n v="-5494"/>
    <n v="15.041752224503764"/>
    <x v="1"/>
    <n v="1"/>
    <n v="0"/>
    <n v="0"/>
    <n v="0"/>
    <s v="Laborers"/>
    <x v="0"/>
  </r>
  <r>
    <n v="5052634"/>
    <x v="1"/>
    <s v="N"/>
    <s v="Y"/>
    <n v="0"/>
    <x v="107"/>
    <x v="1"/>
    <x v="0"/>
    <x v="1"/>
    <x v="0"/>
    <d v="1968-05-30T00:00:00"/>
    <n v="-20660"/>
    <x v="1075"/>
    <x v="2"/>
    <n v="-3029"/>
    <n v="8.2929500342231357"/>
    <x v="1"/>
    <n v="1"/>
    <n v="0"/>
    <n v="1"/>
    <n v="0"/>
    <s v="Managers"/>
    <x v="1"/>
  </r>
  <r>
    <n v="5052638"/>
    <x v="0"/>
    <s v="N"/>
    <s v="Y"/>
    <n v="0"/>
    <x v="8"/>
    <x v="2"/>
    <x v="0"/>
    <x v="4"/>
    <x v="0"/>
    <d v="1968-09-29T00:00:00"/>
    <n v="-20538"/>
    <x v="1076"/>
    <x v="2"/>
    <n v="-5525"/>
    <n v="15.126625598904859"/>
    <x v="1"/>
    <n v="1"/>
    <n v="1"/>
    <n v="0"/>
    <n v="0"/>
    <s v="Sales staff"/>
    <x v="0"/>
  </r>
  <r>
    <n v="5052641"/>
    <x v="0"/>
    <s v="N"/>
    <s v="Y"/>
    <n v="0"/>
    <x v="8"/>
    <x v="2"/>
    <x v="0"/>
    <x v="4"/>
    <x v="0"/>
    <d v="1968-09-29T00:00:00"/>
    <n v="-20538"/>
    <x v="1076"/>
    <x v="2"/>
    <n v="-5525"/>
    <n v="15.126625598904859"/>
    <x v="1"/>
    <n v="1"/>
    <n v="1"/>
    <n v="0"/>
    <n v="0"/>
    <s v="Sales staff"/>
    <x v="0"/>
  </r>
  <r>
    <n v="5052643"/>
    <x v="0"/>
    <s v="N"/>
    <s v="Y"/>
    <n v="0"/>
    <x v="8"/>
    <x v="2"/>
    <x v="0"/>
    <x v="4"/>
    <x v="0"/>
    <d v="1968-09-29T00:00:00"/>
    <n v="-20538"/>
    <x v="1076"/>
    <x v="2"/>
    <n v="-5525"/>
    <n v="15.126625598904859"/>
    <x v="1"/>
    <n v="1"/>
    <n v="1"/>
    <n v="0"/>
    <n v="0"/>
    <s v="Sales staff"/>
    <x v="0"/>
  </r>
  <r>
    <n v="5052649"/>
    <x v="0"/>
    <s v="N"/>
    <s v="Y"/>
    <n v="0"/>
    <x v="8"/>
    <x v="2"/>
    <x v="0"/>
    <x v="4"/>
    <x v="0"/>
    <d v="1968-09-29T00:00:00"/>
    <n v="-20538"/>
    <x v="1076"/>
    <x v="2"/>
    <n v="-5525"/>
    <n v="15.126625598904859"/>
    <x v="1"/>
    <n v="1"/>
    <n v="1"/>
    <n v="0"/>
    <n v="0"/>
    <s v="Sales staff"/>
    <x v="0"/>
  </r>
  <r>
    <n v="5052665"/>
    <x v="0"/>
    <s v="Y"/>
    <s v="N"/>
    <n v="0"/>
    <x v="39"/>
    <x v="1"/>
    <x v="1"/>
    <x v="1"/>
    <x v="0"/>
    <d v="1981-05-10T00:00:00"/>
    <n v="-15932"/>
    <x v="1077"/>
    <x v="1"/>
    <n v="-4490"/>
    <n v="12.292950034223136"/>
    <x v="1"/>
    <n v="1"/>
    <n v="0"/>
    <n v="0"/>
    <n v="0"/>
    <s v="High skill tech staff"/>
    <x v="1"/>
  </r>
  <r>
    <n v="5052690"/>
    <x v="0"/>
    <s v="N"/>
    <s v="N"/>
    <n v="0"/>
    <x v="30"/>
    <x v="1"/>
    <x v="1"/>
    <x v="1"/>
    <x v="0"/>
    <d v="1993-03-04T00:00:00"/>
    <n v="-11616"/>
    <x v="1078"/>
    <x v="3"/>
    <n v="-3029"/>
    <n v="8.2929500342231357"/>
    <x v="1"/>
    <n v="1"/>
    <n v="0"/>
    <n v="0"/>
    <n v="0"/>
    <s v="Laborers"/>
    <x v="1"/>
  </r>
  <r>
    <n v="5052693"/>
    <x v="1"/>
    <s v="N"/>
    <s v="Y"/>
    <n v="0"/>
    <x v="16"/>
    <x v="1"/>
    <x v="1"/>
    <x v="1"/>
    <x v="0"/>
    <d v="1996-11-08T00:00:00"/>
    <n v="-10271"/>
    <x v="1079"/>
    <x v="4"/>
    <n v="-1629"/>
    <n v="4.4599589322381927"/>
    <x v="1"/>
    <n v="1"/>
    <n v="0"/>
    <n v="0"/>
    <n v="0"/>
    <s v="Laborers"/>
    <x v="1"/>
  </r>
  <r>
    <n v="5052704"/>
    <x v="0"/>
    <s v="N"/>
    <s v="Y"/>
    <n v="2"/>
    <x v="30"/>
    <x v="2"/>
    <x v="0"/>
    <x v="1"/>
    <x v="0"/>
    <d v="1990-10-06T00:00:00"/>
    <n v="-12496"/>
    <x v="1080"/>
    <x v="3"/>
    <n v="-597"/>
    <n v="1.6344969199178645"/>
    <x v="1"/>
    <n v="1"/>
    <n v="0"/>
    <n v="0"/>
    <n v="0"/>
    <m/>
    <x v="2"/>
  </r>
  <r>
    <n v="5052708"/>
    <x v="0"/>
    <s v="N"/>
    <s v="Y"/>
    <n v="2"/>
    <x v="30"/>
    <x v="2"/>
    <x v="0"/>
    <x v="1"/>
    <x v="0"/>
    <d v="1990-10-06T00:00:00"/>
    <n v="-12496"/>
    <x v="1080"/>
    <x v="3"/>
    <n v="-597"/>
    <n v="1.6344969199178645"/>
    <x v="1"/>
    <n v="1"/>
    <n v="0"/>
    <n v="0"/>
    <n v="0"/>
    <m/>
    <x v="2"/>
  </r>
  <r>
    <n v="5052735"/>
    <x v="0"/>
    <s v="N"/>
    <s v="Y"/>
    <n v="2"/>
    <x v="16"/>
    <x v="1"/>
    <x v="1"/>
    <x v="1"/>
    <x v="0"/>
    <d v="1996-05-09T00:00:00"/>
    <n v="-10454"/>
    <x v="1081"/>
    <x v="4"/>
    <n v="-505"/>
    <n v="1.3826146475017111"/>
    <x v="1"/>
    <n v="1"/>
    <n v="0"/>
    <n v="0"/>
    <n v="1"/>
    <s v="High skill tech staff"/>
    <x v="2"/>
  </r>
  <r>
    <n v="5052756"/>
    <x v="1"/>
    <s v="N"/>
    <s v="Y"/>
    <n v="0"/>
    <x v="8"/>
    <x v="2"/>
    <x v="1"/>
    <x v="3"/>
    <x v="0"/>
    <d v="1996-01-14T00:00:00"/>
    <n v="-10570"/>
    <x v="1082"/>
    <x v="4"/>
    <n v="-1175"/>
    <n v="3.2169746748802188"/>
    <x v="1"/>
    <n v="1"/>
    <n v="0"/>
    <n v="0"/>
    <n v="0"/>
    <s v="Managers"/>
    <x v="1"/>
  </r>
  <r>
    <n v="5052765"/>
    <x v="0"/>
    <s v="N"/>
    <s v="Y"/>
    <n v="0"/>
    <x v="12"/>
    <x v="2"/>
    <x v="1"/>
    <x v="1"/>
    <x v="0"/>
    <d v="1965-03-06T00:00:00"/>
    <n v="-21841"/>
    <x v="1083"/>
    <x v="2"/>
    <n v="-1632"/>
    <n v="4.4681724845995889"/>
    <x v="1"/>
    <n v="1"/>
    <n v="0"/>
    <n v="0"/>
    <n v="0"/>
    <s v="Sales staff"/>
    <x v="1"/>
  </r>
  <r>
    <n v="5052773"/>
    <x v="1"/>
    <s v="N"/>
    <s v="Y"/>
    <n v="2"/>
    <x v="1"/>
    <x v="1"/>
    <x v="1"/>
    <x v="1"/>
    <x v="0"/>
    <d v="1988-06-01T00:00:00"/>
    <n v="-13353"/>
    <x v="1084"/>
    <x v="3"/>
    <n v="-567"/>
    <n v="1.5523613963039014"/>
    <x v="1"/>
    <n v="1"/>
    <n v="0"/>
    <n v="0"/>
    <n v="0"/>
    <m/>
    <x v="2"/>
  </r>
  <r>
    <n v="5052779"/>
    <x v="1"/>
    <s v="N"/>
    <s v="Y"/>
    <n v="2"/>
    <x v="1"/>
    <x v="1"/>
    <x v="1"/>
    <x v="1"/>
    <x v="0"/>
    <d v="1988-06-01T00:00:00"/>
    <n v="-13353"/>
    <x v="1084"/>
    <x v="3"/>
    <n v="-567"/>
    <n v="1.5523613963039014"/>
    <x v="1"/>
    <n v="1"/>
    <n v="0"/>
    <n v="0"/>
    <n v="0"/>
    <m/>
    <x v="2"/>
  </r>
  <r>
    <n v="5052784"/>
    <x v="1"/>
    <s v="Y"/>
    <s v="Y"/>
    <n v="0"/>
    <x v="2"/>
    <x v="2"/>
    <x v="1"/>
    <x v="1"/>
    <x v="0"/>
    <d v="1990-02-11T00:00:00"/>
    <n v="-12733"/>
    <x v="1085"/>
    <x v="3"/>
    <n v="-3185"/>
    <n v="8.7200547570157418"/>
    <x v="1"/>
    <n v="1"/>
    <n v="1"/>
    <n v="0"/>
    <n v="0"/>
    <s v="Drivers"/>
    <x v="1"/>
  </r>
  <r>
    <n v="5052797"/>
    <x v="1"/>
    <s v="Y"/>
    <s v="Y"/>
    <n v="0"/>
    <x v="2"/>
    <x v="2"/>
    <x v="1"/>
    <x v="1"/>
    <x v="0"/>
    <d v="1990-02-11T00:00:00"/>
    <n v="-12733"/>
    <x v="1085"/>
    <x v="3"/>
    <n v="-3185"/>
    <n v="8.7200547570157418"/>
    <x v="1"/>
    <n v="1"/>
    <n v="1"/>
    <n v="0"/>
    <n v="0"/>
    <s v="Drivers"/>
    <x v="1"/>
  </r>
  <r>
    <n v="5052803"/>
    <x v="0"/>
    <s v="N"/>
    <s v="Y"/>
    <n v="0"/>
    <x v="51"/>
    <x v="2"/>
    <x v="1"/>
    <x v="2"/>
    <x v="0"/>
    <d v="1972-05-19T00:00:00"/>
    <n v="-19210"/>
    <x v="1086"/>
    <x v="2"/>
    <n v="-2454"/>
    <n v="6.7186858316221763"/>
    <x v="1"/>
    <n v="1"/>
    <n v="0"/>
    <n v="1"/>
    <n v="0"/>
    <m/>
    <x v="0"/>
  </r>
  <r>
    <n v="5052840"/>
    <x v="0"/>
    <s v="N"/>
    <s v="Y"/>
    <n v="0"/>
    <x v="8"/>
    <x v="2"/>
    <x v="1"/>
    <x v="1"/>
    <x v="0"/>
    <d v="1970-04-06T00:00:00"/>
    <n v="-19984"/>
    <x v="1087"/>
    <x v="2"/>
    <n v="-3915"/>
    <n v="10.718685831622176"/>
    <x v="1"/>
    <n v="1"/>
    <n v="0"/>
    <n v="0"/>
    <n v="0"/>
    <s v="Cleaning staff"/>
    <x v="1"/>
  </r>
  <r>
    <n v="5052846"/>
    <x v="0"/>
    <s v="N"/>
    <s v="Y"/>
    <n v="0"/>
    <x v="45"/>
    <x v="1"/>
    <x v="1"/>
    <x v="1"/>
    <x v="0"/>
    <d v="1981-12-04T00:00:00"/>
    <n v="-15724"/>
    <x v="1088"/>
    <x v="1"/>
    <n v="-1389"/>
    <n v="3.8028747433264889"/>
    <x v="1"/>
    <n v="1"/>
    <n v="1"/>
    <n v="1"/>
    <n v="0"/>
    <s v="Sales staff"/>
    <x v="1"/>
  </r>
  <r>
    <n v="5052847"/>
    <x v="0"/>
    <s v="N"/>
    <s v="Y"/>
    <n v="0"/>
    <x v="45"/>
    <x v="1"/>
    <x v="1"/>
    <x v="1"/>
    <x v="0"/>
    <d v="1981-12-04T00:00:00"/>
    <n v="-15724"/>
    <x v="1088"/>
    <x v="1"/>
    <n v="-1389"/>
    <n v="3.8028747433264889"/>
    <x v="1"/>
    <n v="1"/>
    <n v="1"/>
    <n v="1"/>
    <n v="0"/>
    <s v="Sales staff"/>
    <x v="1"/>
  </r>
  <r>
    <n v="5052858"/>
    <x v="0"/>
    <s v="N"/>
    <s v="Y"/>
    <n v="2"/>
    <x v="18"/>
    <x v="2"/>
    <x v="1"/>
    <x v="1"/>
    <x v="0"/>
    <d v="1986-02-08T00:00:00"/>
    <n v="-14197"/>
    <x v="1089"/>
    <x v="3"/>
    <n v="-1389"/>
    <n v="3.8028747433264889"/>
    <x v="1"/>
    <n v="1"/>
    <n v="0"/>
    <n v="0"/>
    <n v="0"/>
    <s v="Sales staff"/>
    <x v="2"/>
  </r>
  <r>
    <n v="5052897"/>
    <x v="1"/>
    <s v="Y"/>
    <s v="Y"/>
    <n v="0"/>
    <x v="25"/>
    <x v="1"/>
    <x v="0"/>
    <x v="1"/>
    <x v="0"/>
    <d v="2001-02-03T00:00:00"/>
    <n v="-8723"/>
    <x v="1090"/>
    <x v="4"/>
    <n v="-263"/>
    <n v="0.72005475701574262"/>
    <x v="1"/>
    <n v="1"/>
    <n v="1"/>
    <n v="0"/>
    <n v="0"/>
    <s v="Managers"/>
    <x v="1"/>
  </r>
  <r>
    <n v="5052904"/>
    <x v="0"/>
    <s v="N"/>
    <s v="Y"/>
    <n v="1"/>
    <x v="8"/>
    <x v="2"/>
    <x v="1"/>
    <x v="0"/>
    <x v="0"/>
    <d v="1986-06-08T00:00:00"/>
    <n v="-14077"/>
    <x v="1091"/>
    <x v="3"/>
    <n v="-3792"/>
    <n v="10.381930184804927"/>
    <x v="1"/>
    <n v="1"/>
    <n v="0"/>
    <n v="0"/>
    <n v="0"/>
    <m/>
    <x v="1"/>
  </r>
  <r>
    <n v="5052909"/>
    <x v="0"/>
    <s v="N"/>
    <s v="Y"/>
    <n v="1"/>
    <x v="8"/>
    <x v="2"/>
    <x v="1"/>
    <x v="0"/>
    <x v="0"/>
    <d v="1986-06-08T00:00:00"/>
    <n v="-14077"/>
    <x v="1091"/>
    <x v="3"/>
    <n v="-3792"/>
    <n v="10.381930184804927"/>
    <x v="1"/>
    <n v="1"/>
    <n v="0"/>
    <n v="0"/>
    <n v="0"/>
    <m/>
    <x v="1"/>
  </r>
  <r>
    <n v="5052911"/>
    <x v="0"/>
    <s v="N"/>
    <s v="Y"/>
    <n v="1"/>
    <x v="8"/>
    <x v="2"/>
    <x v="1"/>
    <x v="0"/>
    <x v="0"/>
    <d v="1986-06-08T00:00:00"/>
    <n v="-14077"/>
    <x v="1091"/>
    <x v="3"/>
    <n v="-3792"/>
    <n v="10.381930184804927"/>
    <x v="1"/>
    <n v="1"/>
    <n v="0"/>
    <n v="0"/>
    <n v="0"/>
    <m/>
    <x v="1"/>
  </r>
  <r>
    <n v="5052924"/>
    <x v="0"/>
    <s v="N"/>
    <s v="Y"/>
    <n v="0"/>
    <x v="37"/>
    <x v="0"/>
    <x v="1"/>
    <x v="1"/>
    <x v="0"/>
    <d v="1965-06-23T00:00:00"/>
    <n v="-21732"/>
    <x v="1092"/>
    <x v="2"/>
    <n v="365243"/>
    <n v="0"/>
    <x v="0"/>
    <n v="1"/>
    <n v="0"/>
    <n v="0"/>
    <n v="0"/>
    <m/>
    <x v="1"/>
  </r>
  <r>
    <n v="5052930"/>
    <x v="1"/>
    <s v="Y"/>
    <s v="Y"/>
    <n v="0"/>
    <x v="39"/>
    <x v="2"/>
    <x v="1"/>
    <x v="0"/>
    <x v="0"/>
    <d v="1966-11-15T00:00:00"/>
    <n v="-21222"/>
    <x v="1093"/>
    <x v="2"/>
    <n v="-3154"/>
    <n v="8.6351813826146469"/>
    <x v="1"/>
    <n v="1"/>
    <n v="0"/>
    <n v="0"/>
    <n v="0"/>
    <s v="Drivers"/>
    <x v="0"/>
  </r>
  <r>
    <n v="5052931"/>
    <x v="0"/>
    <s v="N"/>
    <s v="Y"/>
    <n v="0"/>
    <x v="58"/>
    <x v="0"/>
    <x v="1"/>
    <x v="1"/>
    <x v="0"/>
    <d v="1959-02-23T00:00:00"/>
    <n v="-24044"/>
    <x v="1094"/>
    <x v="0"/>
    <n v="365243"/>
    <n v="0"/>
    <x v="0"/>
    <n v="1"/>
    <n v="0"/>
    <n v="1"/>
    <n v="0"/>
    <m/>
    <x v="1"/>
  </r>
  <r>
    <n v="5052936"/>
    <x v="0"/>
    <s v="N"/>
    <s v="Y"/>
    <n v="0"/>
    <x v="58"/>
    <x v="0"/>
    <x v="1"/>
    <x v="1"/>
    <x v="0"/>
    <d v="1959-02-23T00:00:00"/>
    <n v="-24044"/>
    <x v="1094"/>
    <x v="0"/>
    <n v="365243"/>
    <n v="0"/>
    <x v="0"/>
    <n v="1"/>
    <n v="0"/>
    <n v="1"/>
    <n v="0"/>
    <m/>
    <x v="1"/>
  </r>
  <r>
    <n v="5052937"/>
    <x v="1"/>
    <s v="Y"/>
    <s v="Y"/>
    <n v="0"/>
    <x v="18"/>
    <x v="2"/>
    <x v="1"/>
    <x v="2"/>
    <x v="0"/>
    <d v="1977-09-21T00:00:00"/>
    <n v="-17259"/>
    <x v="1095"/>
    <x v="1"/>
    <n v="-1420"/>
    <n v="3.8877481177275839"/>
    <x v="1"/>
    <n v="1"/>
    <n v="0"/>
    <n v="0"/>
    <n v="0"/>
    <s v="Drivers"/>
    <x v="0"/>
  </r>
  <r>
    <n v="5052963"/>
    <x v="1"/>
    <s v="Y"/>
    <s v="Y"/>
    <n v="0"/>
    <x v="1"/>
    <x v="1"/>
    <x v="1"/>
    <x v="1"/>
    <x v="0"/>
    <d v="1997-08-22T00:00:00"/>
    <n v="-9984"/>
    <x v="1096"/>
    <x v="4"/>
    <n v="-2606"/>
    <n v="7.1348391512662559"/>
    <x v="1"/>
    <n v="1"/>
    <n v="0"/>
    <n v="0"/>
    <n v="0"/>
    <s v="Laborers"/>
    <x v="1"/>
  </r>
  <r>
    <n v="5052971"/>
    <x v="1"/>
    <s v="Y"/>
    <s v="Y"/>
    <n v="1"/>
    <x v="14"/>
    <x v="2"/>
    <x v="1"/>
    <x v="1"/>
    <x v="0"/>
    <d v="1979-09-29T00:00:00"/>
    <n v="-16521"/>
    <x v="1097"/>
    <x v="1"/>
    <n v="-1359"/>
    <n v="3.7207392197125255"/>
    <x v="1"/>
    <n v="1"/>
    <n v="0"/>
    <n v="1"/>
    <n v="0"/>
    <s v="Laborers"/>
    <x v="3"/>
  </r>
  <r>
    <n v="5052982"/>
    <x v="0"/>
    <s v="N"/>
    <s v="Y"/>
    <n v="0"/>
    <x v="2"/>
    <x v="2"/>
    <x v="1"/>
    <x v="1"/>
    <x v="0"/>
    <d v="1972-02-15T00:00:00"/>
    <n v="-19304"/>
    <x v="44"/>
    <x v="2"/>
    <n v="-1601"/>
    <n v="4.3832991101984939"/>
    <x v="1"/>
    <n v="1"/>
    <n v="0"/>
    <n v="0"/>
    <n v="0"/>
    <s v="Sales staff"/>
    <x v="1"/>
  </r>
  <r>
    <n v="5052985"/>
    <x v="1"/>
    <s v="Y"/>
    <s v="Y"/>
    <n v="0"/>
    <x v="8"/>
    <x v="2"/>
    <x v="1"/>
    <x v="1"/>
    <x v="0"/>
    <d v="1983-09-01T00:00:00"/>
    <n v="-15088"/>
    <x v="286"/>
    <x v="1"/>
    <n v="-2759"/>
    <n v="7.5537303216974676"/>
    <x v="1"/>
    <n v="1"/>
    <n v="0"/>
    <n v="0"/>
    <n v="0"/>
    <s v="Laborers"/>
    <x v="1"/>
  </r>
  <r>
    <n v="5052986"/>
    <x v="1"/>
    <s v="Y"/>
    <s v="Y"/>
    <n v="0"/>
    <x v="8"/>
    <x v="2"/>
    <x v="1"/>
    <x v="1"/>
    <x v="0"/>
    <d v="1983-09-01T00:00:00"/>
    <n v="-15088"/>
    <x v="286"/>
    <x v="1"/>
    <n v="-2759"/>
    <n v="7.5537303216974676"/>
    <x v="1"/>
    <n v="1"/>
    <n v="0"/>
    <n v="0"/>
    <n v="0"/>
    <s v="Laborers"/>
    <x v="1"/>
  </r>
  <r>
    <n v="5053002"/>
    <x v="0"/>
    <s v="Y"/>
    <s v="Y"/>
    <n v="0"/>
    <x v="5"/>
    <x v="2"/>
    <x v="2"/>
    <x v="1"/>
    <x v="0"/>
    <d v="1999-04-09T00:00:00"/>
    <n v="-9389"/>
    <x v="1098"/>
    <x v="4"/>
    <n v="-1632"/>
    <n v="4.4681724845995889"/>
    <x v="1"/>
    <n v="1"/>
    <n v="1"/>
    <n v="1"/>
    <n v="0"/>
    <m/>
    <x v="1"/>
  </r>
  <r>
    <n v="5053030"/>
    <x v="0"/>
    <s v="N"/>
    <s v="Y"/>
    <n v="0"/>
    <x v="1"/>
    <x v="0"/>
    <x v="1"/>
    <x v="1"/>
    <x v="0"/>
    <d v="1968-02-25T00:00:00"/>
    <n v="-20755"/>
    <x v="1099"/>
    <x v="2"/>
    <n v="365243"/>
    <n v="0"/>
    <x v="0"/>
    <n v="1"/>
    <n v="0"/>
    <n v="0"/>
    <n v="0"/>
    <m/>
    <x v="1"/>
  </r>
  <r>
    <n v="5053034"/>
    <x v="0"/>
    <s v="N"/>
    <s v="Y"/>
    <n v="0"/>
    <x v="1"/>
    <x v="0"/>
    <x v="1"/>
    <x v="1"/>
    <x v="0"/>
    <d v="1968-02-25T00:00:00"/>
    <n v="-20755"/>
    <x v="1099"/>
    <x v="2"/>
    <n v="365243"/>
    <n v="0"/>
    <x v="0"/>
    <n v="1"/>
    <n v="0"/>
    <n v="0"/>
    <n v="0"/>
    <m/>
    <x v="1"/>
  </r>
  <r>
    <n v="5053039"/>
    <x v="0"/>
    <s v="N"/>
    <s v="Y"/>
    <n v="0"/>
    <x v="45"/>
    <x v="0"/>
    <x v="3"/>
    <x v="1"/>
    <x v="0"/>
    <d v="1964-01-22T00:00:00"/>
    <n v="-22250"/>
    <x v="1100"/>
    <x v="0"/>
    <n v="365243"/>
    <n v="0"/>
    <x v="0"/>
    <n v="1"/>
    <n v="0"/>
    <n v="0"/>
    <n v="0"/>
    <m/>
    <x v="1"/>
  </r>
  <r>
    <n v="5053056"/>
    <x v="0"/>
    <s v="N"/>
    <s v="Y"/>
    <n v="0"/>
    <x v="37"/>
    <x v="0"/>
    <x v="1"/>
    <x v="1"/>
    <x v="0"/>
    <d v="1968-08-23T00:00:00"/>
    <n v="-20575"/>
    <x v="1101"/>
    <x v="2"/>
    <n v="365243"/>
    <n v="0"/>
    <x v="0"/>
    <n v="1"/>
    <n v="0"/>
    <n v="1"/>
    <n v="0"/>
    <m/>
    <x v="1"/>
  </r>
  <r>
    <n v="5053080"/>
    <x v="0"/>
    <s v="N"/>
    <s v="N"/>
    <n v="0"/>
    <x v="62"/>
    <x v="2"/>
    <x v="1"/>
    <x v="2"/>
    <x v="0"/>
    <d v="1973-12-07T00:00:00"/>
    <n v="-18643"/>
    <x v="1102"/>
    <x v="2"/>
    <n v="-658"/>
    <n v="1.8015058179329226"/>
    <x v="1"/>
    <n v="1"/>
    <n v="0"/>
    <n v="0"/>
    <n v="0"/>
    <s v="High skill tech staff"/>
    <x v="0"/>
  </r>
  <r>
    <n v="5053083"/>
    <x v="0"/>
    <s v="N"/>
    <s v="N"/>
    <n v="0"/>
    <x v="62"/>
    <x v="2"/>
    <x v="1"/>
    <x v="2"/>
    <x v="0"/>
    <d v="1973-12-07T00:00:00"/>
    <n v="-18643"/>
    <x v="1102"/>
    <x v="2"/>
    <n v="-658"/>
    <n v="1.8015058179329226"/>
    <x v="1"/>
    <n v="1"/>
    <n v="0"/>
    <n v="0"/>
    <n v="0"/>
    <s v="High skill tech staff"/>
    <x v="0"/>
  </r>
  <r>
    <n v="5053093"/>
    <x v="1"/>
    <s v="N"/>
    <s v="Y"/>
    <n v="1"/>
    <x v="16"/>
    <x v="2"/>
    <x v="1"/>
    <x v="1"/>
    <x v="0"/>
    <d v="1987-06-14T00:00:00"/>
    <n v="-13706"/>
    <x v="1103"/>
    <x v="3"/>
    <n v="-932"/>
    <n v="2.5516769336071183"/>
    <x v="1"/>
    <n v="1"/>
    <n v="0"/>
    <n v="1"/>
    <n v="0"/>
    <s v="Laborers"/>
    <x v="3"/>
  </r>
  <r>
    <n v="5053103"/>
    <x v="1"/>
    <s v="N"/>
    <s v="N"/>
    <n v="0"/>
    <x v="22"/>
    <x v="0"/>
    <x v="0"/>
    <x v="1"/>
    <x v="0"/>
    <d v="1957-03-12T00:00:00"/>
    <n v="-24757"/>
    <x v="1104"/>
    <x v="0"/>
    <n v="365243"/>
    <n v="0"/>
    <x v="0"/>
    <n v="1"/>
    <n v="0"/>
    <n v="0"/>
    <n v="0"/>
    <m/>
    <x v="1"/>
  </r>
  <r>
    <n v="5053109"/>
    <x v="0"/>
    <s v="N"/>
    <s v="Y"/>
    <n v="0"/>
    <x v="35"/>
    <x v="0"/>
    <x v="1"/>
    <x v="1"/>
    <x v="0"/>
    <d v="1959-09-06T00:00:00"/>
    <n v="-23849"/>
    <x v="1105"/>
    <x v="0"/>
    <n v="365243"/>
    <n v="0"/>
    <x v="0"/>
    <n v="1"/>
    <n v="0"/>
    <n v="0"/>
    <n v="0"/>
    <m/>
    <x v="1"/>
  </r>
  <r>
    <n v="5053119"/>
    <x v="1"/>
    <s v="Y"/>
    <s v="N"/>
    <n v="1"/>
    <x v="18"/>
    <x v="1"/>
    <x v="1"/>
    <x v="3"/>
    <x v="0"/>
    <d v="1987-12-03T00:00:00"/>
    <n v="-13534"/>
    <x v="1106"/>
    <x v="3"/>
    <n v="-1420"/>
    <n v="3.8877481177275839"/>
    <x v="1"/>
    <n v="1"/>
    <n v="0"/>
    <n v="0"/>
    <n v="0"/>
    <m/>
    <x v="3"/>
  </r>
  <r>
    <n v="5053135"/>
    <x v="1"/>
    <s v="Y"/>
    <s v="Y"/>
    <n v="1"/>
    <x v="60"/>
    <x v="2"/>
    <x v="1"/>
    <x v="1"/>
    <x v="0"/>
    <d v="1993-06-17T00:00:00"/>
    <n v="-11511"/>
    <x v="403"/>
    <x v="3"/>
    <n v="-3611"/>
    <n v="9.886379192334017"/>
    <x v="1"/>
    <n v="1"/>
    <n v="0"/>
    <n v="0"/>
    <n v="0"/>
    <s v="High skill tech staff"/>
    <x v="3"/>
  </r>
  <r>
    <n v="5053148"/>
    <x v="0"/>
    <s v="N"/>
    <s v="Y"/>
    <n v="1"/>
    <x v="3"/>
    <x v="2"/>
    <x v="1"/>
    <x v="1"/>
    <x v="0"/>
    <d v="1991-09-27T00:00:00"/>
    <n v="-12140"/>
    <x v="1107"/>
    <x v="3"/>
    <n v="-779"/>
    <n v="2.1327857631759071"/>
    <x v="1"/>
    <n v="1"/>
    <n v="0"/>
    <n v="0"/>
    <n v="0"/>
    <s v="Core staff"/>
    <x v="0"/>
  </r>
  <r>
    <n v="5053149"/>
    <x v="0"/>
    <s v="N"/>
    <s v="Y"/>
    <n v="1"/>
    <x v="3"/>
    <x v="2"/>
    <x v="1"/>
    <x v="1"/>
    <x v="0"/>
    <d v="1991-09-27T00:00:00"/>
    <n v="-12140"/>
    <x v="1107"/>
    <x v="3"/>
    <n v="-779"/>
    <n v="2.1327857631759071"/>
    <x v="1"/>
    <n v="1"/>
    <n v="0"/>
    <n v="0"/>
    <n v="0"/>
    <s v="Core staff"/>
    <x v="3"/>
  </r>
  <r>
    <n v="5053151"/>
    <x v="0"/>
    <s v="N"/>
    <s v="Y"/>
    <n v="1"/>
    <x v="30"/>
    <x v="2"/>
    <x v="0"/>
    <x v="2"/>
    <x v="0"/>
    <d v="1980-09-30T00:00:00"/>
    <n v="-16154"/>
    <x v="1108"/>
    <x v="1"/>
    <n v="-2178"/>
    <n v="5.9630390143737166"/>
    <x v="1"/>
    <n v="1"/>
    <n v="0"/>
    <n v="0"/>
    <n v="0"/>
    <s v="Core staff"/>
    <x v="1"/>
  </r>
  <r>
    <n v="5053155"/>
    <x v="0"/>
    <s v="N"/>
    <s v="Y"/>
    <n v="0"/>
    <x v="5"/>
    <x v="0"/>
    <x v="1"/>
    <x v="4"/>
    <x v="0"/>
    <d v="1959-11-20T00:00:00"/>
    <n v="-23774"/>
    <x v="1109"/>
    <x v="0"/>
    <n v="365243"/>
    <n v="0"/>
    <x v="0"/>
    <n v="1"/>
    <n v="0"/>
    <n v="0"/>
    <n v="0"/>
    <m/>
    <x v="0"/>
  </r>
  <r>
    <n v="5053160"/>
    <x v="0"/>
    <s v="N"/>
    <s v="Y"/>
    <n v="0"/>
    <x v="5"/>
    <x v="0"/>
    <x v="1"/>
    <x v="4"/>
    <x v="0"/>
    <d v="1959-11-20T00:00:00"/>
    <n v="-23774"/>
    <x v="1109"/>
    <x v="0"/>
    <n v="365243"/>
    <n v="0"/>
    <x v="0"/>
    <n v="1"/>
    <n v="0"/>
    <n v="0"/>
    <n v="0"/>
    <m/>
    <x v="0"/>
  </r>
  <r>
    <n v="5053162"/>
    <x v="0"/>
    <s v="N"/>
    <s v="Y"/>
    <n v="0"/>
    <x v="5"/>
    <x v="0"/>
    <x v="1"/>
    <x v="4"/>
    <x v="0"/>
    <d v="1959-11-20T00:00:00"/>
    <n v="-23774"/>
    <x v="1109"/>
    <x v="0"/>
    <n v="365243"/>
    <n v="0"/>
    <x v="0"/>
    <n v="1"/>
    <n v="0"/>
    <n v="0"/>
    <n v="0"/>
    <m/>
    <x v="0"/>
  </r>
  <r>
    <n v="5053167"/>
    <x v="0"/>
    <s v="Y"/>
    <s v="Y"/>
    <n v="0"/>
    <x v="5"/>
    <x v="2"/>
    <x v="1"/>
    <x v="1"/>
    <x v="0"/>
    <d v="1979-03-22T00:00:00"/>
    <n v="-16712"/>
    <x v="303"/>
    <x v="1"/>
    <n v="-2393"/>
    <n v="6.5516769336071183"/>
    <x v="1"/>
    <n v="1"/>
    <n v="0"/>
    <n v="0"/>
    <n v="0"/>
    <s v="Core staff"/>
    <x v="1"/>
  </r>
  <r>
    <n v="5053181"/>
    <x v="1"/>
    <s v="Y"/>
    <s v="Y"/>
    <n v="0"/>
    <x v="57"/>
    <x v="0"/>
    <x v="0"/>
    <x v="1"/>
    <x v="0"/>
    <d v="1958-05-31T00:00:00"/>
    <n v="-24312"/>
    <x v="1110"/>
    <x v="0"/>
    <n v="365243"/>
    <n v="0"/>
    <x v="0"/>
    <n v="1"/>
    <n v="0"/>
    <n v="0"/>
    <n v="0"/>
    <m/>
    <x v="1"/>
  </r>
  <r>
    <n v="5053194"/>
    <x v="0"/>
    <s v="N"/>
    <s v="Y"/>
    <n v="0"/>
    <x v="12"/>
    <x v="2"/>
    <x v="0"/>
    <x v="1"/>
    <x v="0"/>
    <d v="1982-06-19T00:00:00"/>
    <n v="-15527"/>
    <x v="49"/>
    <x v="1"/>
    <n v="-3792"/>
    <n v="10.381930184804927"/>
    <x v="1"/>
    <n v="1"/>
    <n v="1"/>
    <n v="1"/>
    <n v="0"/>
    <s v="Accountants"/>
    <x v="1"/>
  </r>
  <r>
    <n v="5053221"/>
    <x v="0"/>
    <s v="N"/>
    <s v="Y"/>
    <n v="1"/>
    <x v="5"/>
    <x v="1"/>
    <x v="2"/>
    <x v="3"/>
    <x v="0"/>
    <d v="1989-04-25T00:00:00"/>
    <n v="-13025"/>
    <x v="1111"/>
    <x v="3"/>
    <n v="-3124"/>
    <n v="8.5530458590006848"/>
    <x v="1"/>
    <n v="1"/>
    <n v="1"/>
    <n v="0"/>
    <n v="0"/>
    <s v="Managers"/>
    <x v="3"/>
  </r>
  <r>
    <n v="5053228"/>
    <x v="1"/>
    <s v="N"/>
    <s v="Y"/>
    <n v="0"/>
    <x v="1"/>
    <x v="2"/>
    <x v="1"/>
    <x v="1"/>
    <x v="0"/>
    <d v="1970-10-22T00:00:00"/>
    <n v="-19785"/>
    <x v="1112"/>
    <x v="2"/>
    <n v="-1571"/>
    <n v="4.301163586584531"/>
    <x v="1"/>
    <n v="1"/>
    <n v="0"/>
    <n v="0"/>
    <n v="0"/>
    <s v="Laborers"/>
    <x v="1"/>
  </r>
  <r>
    <n v="5053245"/>
    <x v="1"/>
    <s v="N"/>
    <s v="Y"/>
    <n v="1"/>
    <x v="18"/>
    <x v="1"/>
    <x v="1"/>
    <x v="1"/>
    <x v="0"/>
    <d v="1985-03-04T00:00:00"/>
    <n v="-14538"/>
    <x v="1113"/>
    <x v="3"/>
    <n v="-5803"/>
    <n v="15.887748117727584"/>
    <x v="1"/>
    <n v="1"/>
    <n v="0"/>
    <n v="0"/>
    <n v="0"/>
    <s v="Laborers"/>
    <x v="3"/>
  </r>
  <r>
    <n v="5053294"/>
    <x v="0"/>
    <s v="N"/>
    <s v="Y"/>
    <n v="0"/>
    <x v="29"/>
    <x v="0"/>
    <x v="1"/>
    <x v="1"/>
    <x v="4"/>
    <d v="1969-03-04T00:00:00"/>
    <n v="-20382"/>
    <x v="1114"/>
    <x v="2"/>
    <n v="365243"/>
    <n v="0"/>
    <x v="0"/>
    <n v="1"/>
    <n v="0"/>
    <n v="0"/>
    <n v="0"/>
    <m/>
    <x v="1"/>
  </r>
  <r>
    <n v="5053315"/>
    <x v="0"/>
    <s v="N"/>
    <s v="Y"/>
    <n v="1"/>
    <x v="3"/>
    <x v="2"/>
    <x v="1"/>
    <x v="1"/>
    <x v="0"/>
    <d v="1987-12-01T00:00:00"/>
    <n v="-13536"/>
    <x v="1115"/>
    <x v="3"/>
    <n v="-3580"/>
    <n v="9.801505817932922"/>
    <x v="1"/>
    <n v="1"/>
    <n v="0"/>
    <n v="0"/>
    <n v="0"/>
    <m/>
    <x v="3"/>
  </r>
  <r>
    <n v="5053329"/>
    <x v="1"/>
    <s v="Y"/>
    <s v="Y"/>
    <n v="0"/>
    <x v="16"/>
    <x v="2"/>
    <x v="1"/>
    <x v="1"/>
    <x v="0"/>
    <d v="1988-11-07T00:00:00"/>
    <n v="-13194"/>
    <x v="1116"/>
    <x v="3"/>
    <n v="-809"/>
    <n v="2.21492128678987"/>
    <x v="1"/>
    <n v="1"/>
    <n v="0"/>
    <n v="0"/>
    <n v="0"/>
    <s v="Drivers"/>
    <x v="1"/>
  </r>
  <r>
    <n v="5053336"/>
    <x v="0"/>
    <s v="N"/>
    <s v="N"/>
    <n v="1"/>
    <x v="1"/>
    <x v="2"/>
    <x v="1"/>
    <x v="1"/>
    <x v="0"/>
    <d v="1976-06-29T00:00:00"/>
    <n v="-17708"/>
    <x v="1117"/>
    <x v="1"/>
    <n v="-1571"/>
    <n v="4.301163586584531"/>
    <x v="1"/>
    <n v="1"/>
    <n v="0"/>
    <n v="0"/>
    <n v="0"/>
    <m/>
    <x v="3"/>
  </r>
  <r>
    <n v="5053337"/>
    <x v="0"/>
    <s v="N"/>
    <s v="N"/>
    <n v="1"/>
    <x v="1"/>
    <x v="2"/>
    <x v="1"/>
    <x v="1"/>
    <x v="0"/>
    <d v="1976-06-29T00:00:00"/>
    <n v="-17708"/>
    <x v="1117"/>
    <x v="1"/>
    <n v="-1571"/>
    <n v="4.301163586584531"/>
    <x v="1"/>
    <n v="1"/>
    <n v="0"/>
    <n v="0"/>
    <n v="0"/>
    <m/>
    <x v="3"/>
  </r>
  <r>
    <n v="5053345"/>
    <x v="0"/>
    <s v="Y"/>
    <s v="Y"/>
    <n v="0"/>
    <x v="39"/>
    <x v="1"/>
    <x v="1"/>
    <x v="1"/>
    <x v="0"/>
    <d v="1975-10-23T00:00:00"/>
    <n v="-17958"/>
    <x v="1118"/>
    <x v="1"/>
    <n v="-2515"/>
    <n v="6.8856947296372351"/>
    <x v="1"/>
    <n v="1"/>
    <n v="0"/>
    <n v="0"/>
    <n v="0"/>
    <s v="Drivers"/>
    <x v="1"/>
  </r>
  <r>
    <n v="5053347"/>
    <x v="0"/>
    <s v="Y"/>
    <s v="Y"/>
    <n v="0"/>
    <x v="39"/>
    <x v="1"/>
    <x v="1"/>
    <x v="1"/>
    <x v="0"/>
    <d v="1975-10-23T00:00:00"/>
    <n v="-17958"/>
    <x v="1118"/>
    <x v="1"/>
    <n v="-2515"/>
    <n v="6.8856947296372351"/>
    <x v="1"/>
    <n v="1"/>
    <n v="0"/>
    <n v="0"/>
    <n v="0"/>
    <s v="Drivers"/>
    <x v="1"/>
  </r>
  <r>
    <n v="5053361"/>
    <x v="0"/>
    <s v="N"/>
    <s v="Y"/>
    <n v="0"/>
    <x v="70"/>
    <x v="1"/>
    <x v="1"/>
    <x v="2"/>
    <x v="0"/>
    <d v="1969-12-08T00:00:00"/>
    <n v="-20103"/>
    <x v="1119"/>
    <x v="2"/>
    <n v="-2697"/>
    <n v="7.3839835728952776"/>
    <x v="1"/>
    <n v="1"/>
    <n v="0"/>
    <n v="0"/>
    <n v="0"/>
    <s v="Cleaning staff"/>
    <x v="1"/>
  </r>
  <r>
    <n v="5053372"/>
    <x v="0"/>
    <s v="N"/>
    <s v="Y"/>
    <n v="0"/>
    <x v="1"/>
    <x v="1"/>
    <x v="1"/>
    <x v="1"/>
    <x v="0"/>
    <d v="1994-08-18T00:00:00"/>
    <n v="-11084"/>
    <x v="330"/>
    <x v="3"/>
    <n v="-2697"/>
    <n v="7.3839835728952776"/>
    <x v="1"/>
    <n v="1"/>
    <n v="0"/>
    <n v="0"/>
    <n v="0"/>
    <s v="Managers"/>
    <x v="1"/>
  </r>
  <r>
    <n v="5053387"/>
    <x v="1"/>
    <s v="Y"/>
    <s v="Y"/>
    <n v="2"/>
    <x v="39"/>
    <x v="2"/>
    <x v="2"/>
    <x v="1"/>
    <x v="0"/>
    <d v="1989-02-07T00:00:00"/>
    <n v="-13102"/>
    <x v="1120"/>
    <x v="3"/>
    <n v="-962"/>
    <n v="2.6338124572210813"/>
    <x v="1"/>
    <n v="1"/>
    <n v="0"/>
    <n v="0"/>
    <n v="0"/>
    <s v="Drivers"/>
    <x v="2"/>
  </r>
  <r>
    <n v="5053399"/>
    <x v="1"/>
    <s v="N"/>
    <s v="Y"/>
    <n v="0"/>
    <x v="5"/>
    <x v="1"/>
    <x v="0"/>
    <x v="1"/>
    <x v="0"/>
    <d v="1964-05-31T00:00:00"/>
    <n v="-22120"/>
    <x v="1121"/>
    <x v="0"/>
    <n v="-2250"/>
    <n v="6.1601642710472282"/>
    <x v="1"/>
    <n v="1"/>
    <n v="0"/>
    <n v="0"/>
    <n v="0"/>
    <s v="High skill tech staff"/>
    <x v="1"/>
  </r>
  <r>
    <n v="5053418"/>
    <x v="0"/>
    <s v="N"/>
    <s v="Y"/>
    <n v="0"/>
    <x v="18"/>
    <x v="0"/>
    <x v="0"/>
    <x v="1"/>
    <x v="0"/>
    <d v="1970-12-22T00:00:00"/>
    <n v="-19724"/>
    <x v="1122"/>
    <x v="2"/>
    <n v="365243"/>
    <n v="0"/>
    <x v="0"/>
    <n v="1"/>
    <n v="0"/>
    <n v="1"/>
    <n v="0"/>
    <m/>
    <x v="1"/>
  </r>
  <r>
    <n v="5053462"/>
    <x v="1"/>
    <s v="Y"/>
    <s v="Y"/>
    <n v="0"/>
    <x v="108"/>
    <x v="2"/>
    <x v="1"/>
    <x v="1"/>
    <x v="0"/>
    <d v="1978-06-26T00:00:00"/>
    <n v="-16981"/>
    <x v="1123"/>
    <x v="1"/>
    <n v="-1246"/>
    <n v="3.4113620807665983"/>
    <x v="1"/>
    <n v="1"/>
    <n v="0"/>
    <n v="0"/>
    <n v="0"/>
    <s v="Drivers"/>
    <x v="1"/>
  </r>
  <r>
    <n v="5053472"/>
    <x v="1"/>
    <s v="N"/>
    <s v="Y"/>
    <n v="0"/>
    <x v="2"/>
    <x v="2"/>
    <x v="1"/>
    <x v="1"/>
    <x v="0"/>
    <d v="1974-04-13T00:00:00"/>
    <n v="-18516"/>
    <x v="1124"/>
    <x v="2"/>
    <n v="-2129"/>
    <n v="5.8288843258042435"/>
    <x v="1"/>
    <n v="1"/>
    <n v="1"/>
    <n v="1"/>
    <n v="0"/>
    <s v="Low-skill Laborers"/>
    <x v="1"/>
  </r>
  <r>
    <n v="5053478"/>
    <x v="0"/>
    <s v="N"/>
    <s v="Y"/>
    <n v="0"/>
    <x v="5"/>
    <x v="3"/>
    <x v="1"/>
    <x v="1"/>
    <x v="0"/>
    <d v="1974-10-13T00:00:00"/>
    <n v="-18333"/>
    <x v="1125"/>
    <x v="2"/>
    <n v="-7213"/>
    <n v="19.748117727583846"/>
    <x v="1"/>
    <n v="1"/>
    <n v="0"/>
    <n v="0"/>
    <n v="0"/>
    <s v="Medicine staff"/>
    <x v="1"/>
  </r>
  <r>
    <n v="5053483"/>
    <x v="0"/>
    <s v="N"/>
    <s v="Y"/>
    <n v="0"/>
    <x v="5"/>
    <x v="3"/>
    <x v="1"/>
    <x v="1"/>
    <x v="0"/>
    <d v="1974-10-13T00:00:00"/>
    <n v="-18333"/>
    <x v="1125"/>
    <x v="2"/>
    <n v="-7213"/>
    <n v="19.748117727583846"/>
    <x v="1"/>
    <n v="1"/>
    <n v="0"/>
    <n v="0"/>
    <n v="0"/>
    <s v="Medicine staff"/>
    <x v="1"/>
  </r>
  <r>
    <n v="5053496"/>
    <x v="0"/>
    <s v="Y"/>
    <s v="N"/>
    <n v="1"/>
    <x v="2"/>
    <x v="1"/>
    <x v="1"/>
    <x v="1"/>
    <x v="5"/>
    <d v="1985-04-12T00:00:00"/>
    <n v="-14499"/>
    <x v="1126"/>
    <x v="3"/>
    <n v="-2860"/>
    <n v="7.83025325119781"/>
    <x v="1"/>
    <n v="1"/>
    <n v="0"/>
    <n v="0"/>
    <n v="0"/>
    <s v="Accountants"/>
    <x v="3"/>
  </r>
  <r>
    <n v="5053498"/>
    <x v="0"/>
    <s v="Y"/>
    <s v="N"/>
    <n v="1"/>
    <x v="2"/>
    <x v="1"/>
    <x v="1"/>
    <x v="1"/>
    <x v="5"/>
    <d v="1985-04-12T00:00:00"/>
    <n v="-14499"/>
    <x v="1126"/>
    <x v="3"/>
    <n v="-2860"/>
    <n v="7.83025325119781"/>
    <x v="1"/>
    <n v="1"/>
    <n v="0"/>
    <n v="0"/>
    <n v="0"/>
    <s v="Accountants"/>
    <x v="3"/>
  </r>
  <r>
    <n v="5053501"/>
    <x v="0"/>
    <s v="Y"/>
    <s v="N"/>
    <n v="1"/>
    <x v="2"/>
    <x v="1"/>
    <x v="1"/>
    <x v="1"/>
    <x v="5"/>
    <d v="1985-04-12T00:00:00"/>
    <n v="-14499"/>
    <x v="1126"/>
    <x v="3"/>
    <n v="-2860"/>
    <n v="7.83025325119781"/>
    <x v="1"/>
    <n v="1"/>
    <n v="0"/>
    <n v="0"/>
    <n v="0"/>
    <s v="Accountants"/>
    <x v="3"/>
  </r>
  <r>
    <n v="5053520"/>
    <x v="0"/>
    <s v="N"/>
    <s v="Y"/>
    <n v="0"/>
    <x v="2"/>
    <x v="2"/>
    <x v="1"/>
    <x v="1"/>
    <x v="0"/>
    <d v="1984-07-23T00:00:00"/>
    <n v="-14762"/>
    <x v="1127"/>
    <x v="1"/>
    <n v="-2464"/>
    <n v="6.7460643394934978"/>
    <x v="1"/>
    <n v="1"/>
    <n v="0"/>
    <n v="1"/>
    <n v="0"/>
    <s v="Managers"/>
    <x v="1"/>
  </r>
  <r>
    <n v="5053551"/>
    <x v="1"/>
    <s v="Y"/>
    <s v="Y"/>
    <n v="1"/>
    <x v="76"/>
    <x v="2"/>
    <x v="1"/>
    <x v="1"/>
    <x v="0"/>
    <d v="1996-05-24T00:00:00"/>
    <n v="-10439"/>
    <x v="1128"/>
    <x v="4"/>
    <n v="-2250"/>
    <n v="6.1601642710472282"/>
    <x v="1"/>
    <n v="1"/>
    <n v="1"/>
    <n v="0"/>
    <n v="0"/>
    <s v="Core staff"/>
    <x v="3"/>
  </r>
  <r>
    <n v="5053558"/>
    <x v="1"/>
    <s v="Y"/>
    <s v="Y"/>
    <n v="1"/>
    <x v="76"/>
    <x v="2"/>
    <x v="1"/>
    <x v="1"/>
    <x v="0"/>
    <d v="1996-05-24T00:00:00"/>
    <n v="-10439"/>
    <x v="1128"/>
    <x v="4"/>
    <n v="-2250"/>
    <n v="6.1601642710472282"/>
    <x v="1"/>
    <n v="1"/>
    <n v="1"/>
    <n v="0"/>
    <n v="0"/>
    <s v="Core staff"/>
    <x v="3"/>
  </r>
  <r>
    <n v="5053566"/>
    <x v="0"/>
    <s v="N"/>
    <s v="Y"/>
    <n v="2"/>
    <x v="5"/>
    <x v="1"/>
    <x v="0"/>
    <x v="1"/>
    <x v="0"/>
    <d v="1991-10-02T00:00:00"/>
    <n v="-12135"/>
    <x v="1129"/>
    <x v="3"/>
    <n v="-1216"/>
    <n v="3.3292265571526354"/>
    <x v="1"/>
    <n v="1"/>
    <n v="0"/>
    <n v="0"/>
    <n v="0"/>
    <s v="High skill tech staff"/>
    <x v="2"/>
  </r>
  <r>
    <n v="5053571"/>
    <x v="0"/>
    <s v="N"/>
    <s v="Y"/>
    <n v="2"/>
    <x v="5"/>
    <x v="1"/>
    <x v="0"/>
    <x v="1"/>
    <x v="0"/>
    <d v="1991-10-02T00:00:00"/>
    <n v="-12135"/>
    <x v="1129"/>
    <x v="3"/>
    <n v="-1216"/>
    <n v="3.3292265571526354"/>
    <x v="1"/>
    <n v="1"/>
    <n v="0"/>
    <n v="0"/>
    <n v="0"/>
    <s v="High skill tech staff"/>
    <x v="2"/>
  </r>
  <r>
    <n v="5053585"/>
    <x v="1"/>
    <s v="Y"/>
    <s v="Y"/>
    <n v="0"/>
    <x v="61"/>
    <x v="2"/>
    <x v="0"/>
    <x v="1"/>
    <x v="0"/>
    <d v="1995-06-26T00:00:00"/>
    <n v="-10772"/>
    <x v="1130"/>
    <x v="4"/>
    <n v="-546"/>
    <n v="1.4948665297741273"/>
    <x v="1"/>
    <n v="1"/>
    <n v="0"/>
    <n v="0"/>
    <n v="0"/>
    <s v="Managers"/>
    <x v="1"/>
  </r>
  <r>
    <n v="5053604"/>
    <x v="0"/>
    <s v="N"/>
    <s v="Y"/>
    <n v="0"/>
    <x v="18"/>
    <x v="2"/>
    <x v="1"/>
    <x v="1"/>
    <x v="4"/>
    <d v="1967-03-29T00:00:00"/>
    <n v="-21088"/>
    <x v="1131"/>
    <x v="2"/>
    <n v="-8855"/>
    <n v="24.243668720054757"/>
    <x v="1"/>
    <n v="1"/>
    <n v="0"/>
    <n v="0"/>
    <n v="0"/>
    <s v="Laborers"/>
    <x v="1"/>
  </r>
  <r>
    <n v="5053606"/>
    <x v="0"/>
    <s v="N"/>
    <s v="Y"/>
    <n v="0"/>
    <x v="18"/>
    <x v="2"/>
    <x v="1"/>
    <x v="1"/>
    <x v="4"/>
    <d v="1967-03-29T00:00:00"/>
    <n v="-21088"/>
    <x v="1131"/>
    <x v="2"/>
    <n v="-8855"/>
    <n v="24.243668720054757"/>
    <x v="1"/>
    <n v="1"/>
    <n v="0"/>
    <n v="0"/>
    <n v="0"/>
    <s v="Laborers"/>
    <x v="1"/>
  </r>
  <r>
    <n v="5053612"/>
    <x v="0"/>
    <s v="N"/>
    <s v="Y"/>
    <n v="0"/>
    <x v="2"/>
    <x v="2"/>
    <x v="1"/>
    <x v="1"/>
    <x v="4"/>
    <d v="1968-08-09T00:00:00"/>
    <n v="-20589"/>
    <x v="1132"/>
    <x v="2"/>
    <n v="-3680"/>
    <n v="10.075290896646132"/>
    <x v="1"/>
    <n v="1"/>
    <n v="0"/>
    <n v="0"/>
    <n v="0"/>
    <m/>
    <x v="1"/>
  </r>
  <r>
    <n v="5053619"/>
    <x v="0"/>
    <s v="N"/>
    <s v="Y"/>
    <n v="0"/>
    <x v="2"/>
    <x v="2"/>
    <x v="1"/>
    <x v="1"/>
    <x v="4"/>
    <d v="1968-08-09T00:00:00"/>
    <n v="-20589"/>
    <x v="1132"/>
    <x v="2"/>
    <n v="-3680"/>
    <n v="10.075290896646132"/>
    <x v="1"/>
    <n v="1"/>
    <n v="0"/>
    <n v="0"/>
    <n v="0"/>
    <m/>
    <x v="1"/>
  </r>
  <r>
    <n v="5053644"/>
    <x v="1"/>
    <s v="N"/>
    <s v="N"/>
    <n v="0"/>
    <x v="14"/>
    <x v="1"/>
    <x v="0"/>
    <x v="1"/>
    <x v="0"/>
    <d v="1969-04-01T00:00:00"/>
    <n v="-20354"/>
    <x v="1133"/>
    <x v="2"/>
    <n v="-1823"/>
    <n v="4.991101984941821"/>
    <x v="1"/>
    <n v="1"/>
    <n v="0"/>
    <n v="1"/>
    <n v="0"/>
    <s v="Managers"/>
    <x v="1"/>
  </r>
  <r>
    <n v="5053661"/>
    <x v="0"/>
    <s v="N"/>
    <s v="Y"/>
    <n v="0"/>
    <x v="18"/>
    <x v="0"/>
    <x v="1"/>
    <x v="4"/>
    <x v="0"/>
    <d v="1961-02-26T00:00:00"/>
    <n v="-23310"/>
    <x v="1134"/>
    <x v="0"/>
    <n v="365243"/>
    <n v="0"/>
    <x v="0"/>
    <n v="1"/>
    <n v="0"/>
    <n v="0"/>
    <n v="0"/>
    <m/>
    <x v="0"/>
  </r>
  <r>
    <n v="5053680"/>
    <x v="0"/>
    <s v="Y"/>
    <s v="Y"/>
    <n v="0"/>
    <x v="8"/>
    <x v="1"/>
    <x v="1"/>
    <x v="2"/>
    <x v="0"/>
    <d v="1991-12-01T00:00:00"/>
    <n v="-12075"/>
    <x v="1135"/>
    <x v="3"/>
    <n v="-1430"/>
    <n v="3.915126625598905"/>
    <x v="1"/>
    <n v="1"/>
    <n v="0"/>
    <n v="1"/>
    <n v="0"/>
    <s v="High skill tech staff"/>
    <x v="0"/>
  </r>
  <r>
    <n v="5053698"/>
    <x v="0"/>
    <s v="N"/>
    <s v="Y"/>
    <n v="0"/>
    <x v="76"/>
    <x v="2"/>
    <x v="1"/>
    <x v="1"/>
    <x v="4"/>
    <d v="1976-01-09T00:00:00"/>
    <n v="-17880"/>
    <x v="1136"/>
    <x v="1"/>
    <n v="-9858"/>
    <n v="26.989733059548254"/>
    <x v="1"/>
    <n v="1"/>
    <n v="0"/>
    <n v="0"/>
    <n v="0"/>
    <s v="Cooking staff"/>
    <x v="1"/>
  </r>
  <r>
    <n v="5053703"/>
    <x v="0"/>
    <s v="N"/>
    <s v="Y"/>
    <n v="0"/>
    <x v="76"/>
    <x v="2"/>
    <x v="1"/>
    <x v="1"/>
    <x v="4"/>
    <d v="1976-01-09T00:00:00"/>
    <n v="-17880"/>
    <x v="1136"/>
    <x v="1"/>
    <n v="-9858"/>
    <n v="26.989733059548254"/>
    <x v="1"/>
    <n v="1"/>
    <n v="0"/>
    <n v="0"/>
    <n v="0"/>
    <s v="Cooking staff"/>
    <x v="1"/>
  </r>
  <r>
    <n v="5053709"/>
    <x v="1"/>
    <s v="N"/>
    <s v="Y"/>
    <n v="1"/>
    <x v="1"/>
    <x v="2"/>
    <x v="1"/>
    <x v="0"/>
    <x v="0"/>
    <d v="1979-03-06T00:00:00"/>
    <n v="-16728"/>
    <x v="1137"/>
    <x v="1"/>
    <n v="-880"/>
    <n v="2.409308692676249"/>
    <x v="1"/>
    <n v="1"/>
    <n v="0"/>
    <n v="0"/>
    <n v="0"/>
    <s v="Laborers"/>
    <x v="1"/>
  </r>
  <r>
    <n v="5053712"/>
    <x v="0"/>
    <s v="Y"/>
    <s v="N"/>
    <n v="2"/>
    <x v="5"/>
    <x v="1"/>
    <x v="2"/>
    <x v="1"/>
    <x v="0"/>
    <d v="1989-10-10T00:00:00"/>
    <n v="-12857"/>
    <x v="1138"/>
    <x v="3"/>
    <n v="-1399"/>
    <n v="3.8302532511978096"/>
    <x v="1"/>
    <n v="1"/>
    <n v="0"/>
    <n v="0"/>
    <n v="1"/>
    <m/>
    <x v="2"/>
  </r>
  <r>
    <n v="5053719"/>
    <x v="0"/>
    <s v="Y"/>
    <s v="Y"/>
    <n v="1"/>
    <x v="8"/>
    <x v="2"/>
    <x v="0"/>
    <x v="0"/>
    <x v="0"/>
    <d v="1984-05-30T00:00:00"/>
    <n v="-14816"/>
    <x v="1139"/>
    <x v="1"/>
    <n v="-1672"/>
    <n v="4.5776865160848734"/>
    <x v="1"/>
    <n v="1"/>
    <n v="0"/>
    <n v="0"/>
    <n v="0"/>
    <s v="Core staff"/>
    <x v="1"/>
  </r>
  <r>
    <n v="5053720"/>
    <x v="0"/>
    <s v="Y"/>
    <s v="Y"/>
    <n v="1"/>
    <x v="8"/>
    <x v="2"/>
    <x v="0"/>
    <x v="0"/>
    <x v="0"/>
    <d v="1984-05-30T00:00:00"/>
    <n v="-14816"/>
    <x v="1139"/>
    <x v="1"/>
    <n v="-1672"/>
    <n v="4.5776865160848734"/>
    <x v="1"/>
    <n v="1"/>
    <n v="0"/>
    <n v="0"/>
    <n v="0"/>
    <s v="Core staff"/>
    <x v="1"/>
  </r>
  <r>
    <n v="5053729"/>
    <x v="0"/>
    <s v="Y"/>
    <s v="Y"/>
    <n v="1"/>
    <x v="8"/>
    <x v="2"/>
    <x v="0"/>
    <x v="0"/>
    <x v="0"/>
    <d v="1984-05-30T00:00:00"/>
    <n v="-14816"/>
    <x v="1139"/>
    <x v="1"/>
    <n v="-1672"/>
    <n v="4.5776865160848734"/>
    <x v="1"/>
    <n v="1"/>
    <n v="0"/>
    <n v="0"/>
    <n v="0"/>
    <s v="Core staff"/>
    <x v="1"/>
  </r>
  <r>
    <n v="5053749"/>
    <x v="0"/>
    <s v="N"/>
    <s v="Y"/>
    <n v="1"/>
    <x v="1"/>
    <x v="1"/>
    <x v="0"/>
    <x v="1"/>
    <x v="0"/>
    <d v="1997-02-05T00:00:00"/>
    <n v="-10182"/>
    <x v="1140"/>
    <x v="4"/>
    <n v="-971"/>
    <n v="2.6584531143052703"/>
    <x v="1"/>
    <n v="1"/>
    <n v="0"/>
    <n v="0"/>
    <n v="0"/>
    <s v="Sales staff"/>
    <x v="3"/>
  </r>
  <r>
    <n v="5053753"/>
    <x v="0"/>
    <s v="N"/>
    <s v="Y"/>
    <n v="1"/>
    <x v="1"/>
    <x v="1"/>
    <x v="0"/>
    <x v="1"/>
    <x v="0"/>
    <d v="1997-02-05T00:00:00"/>
    <n v="-10182"/>
    <x v="1140"/>
    <x v="4"/>
    <n v="-971"/>
    <n v="2.6584531143052703"/>
    <x v="1"/>
    <n v="1"/>
    <n v="0"/>
    <n v="0"/>
    <n v="0"/>
    <s v="Sales staff"/>
    <x v="3"/>
  </r>
  <r>
    <n v="5053754"/>
    <x v="0"/>
    <s v="N"/>
    <s v="Y"/>
    <n v="1"/>
    <x v="1"/>
    <x v="1"/>
    <x v="0"/>
    <x v="1"/>
    <x v="0"/>
    <d v="1997-02-05T00:00:00"/>
    <n v="-10182"/>
    <x v="1140"/>
    <x v="4"/>
    <n v="-971"/>
    <n v="2.6584531143052703"/>
    <x v="1"/>
    <n v="1"/>
    <n v="0"/>
    <n v="0"/>
    <n v="0"/>
    <s v="Sales staff"/>
    <x v="3"/>
  </r>
  <r>
    <n v="5053756"/>
    <x v="0"/>
    <s v="N"/>
    <s v="Y"/>
    <n v="1"/>
    <x v="1"/>
    <x v="1"/>
    <x v="0"/>
    <x v="1"/>
    <x v="0"/>
    <d v="1997-02-05T00:00:00"/>
    <n v="-10182"/>
    <x v="1140"/>
    <x v="4"/>
    <n v="-971"/>
    <n v="2.6584531143052703"/>
    <x v="1"/>
    <n v="1"/>
    <n v="0"/>
    <n v="0"/>
    <n v="0"/>
    <s v="Sales staff"/>
    <x v="3"/>
  </r>
  <r>
    <n v="5053766"/>
    <x v="0"/>
    <s v="N"/>
    <s v="Y"/>
    <n v="0"/>
    <x v="14"/>
    <x v="2"/>
    <x v="1"/>
    <x v="1"/>
    <x v="0"/>
    <d v="1984-10-06T00:00:00"/>
    <n v="-14687"/>
    <x v="948"/>
    <x v="1"/>
    <n v="-2463"/>
    <n v="6.7433264887063658"/>
    <x v="1"/>
    <n v="1"/>
    <n v="1"/>
    <n v="1"/>
    <n v="0"/>
    <s v="Cooking staff"/>
    <x v="1"/>
  </r>
  <r>
    <n v="5053769"/>
    <x v="0"/>
    <s v="N"/>
    <s v="Y"/>
    <n v="0"/>
    <x v="14"/>
    <x v="2"/>
    <x v="1"/>
    <x v="1"/>
    <x v="0"/>
    <d v="1984-10-06T00:00:00"/>
    <n v="-14687"/>
    <x v="948"/>
    <x v="1"/>
    <n v="-2463"/>
    <n v="6.7433264887063658"/>
    <x v="1"/>
    <n v="1"/>
    <n v="1"/>
    <n v="1"/>
    <n v="0"/>
    <s v="Cooking staff"/>
    <x v="1"/>
  </r>
  <r>
    <n v="5053774"/>
    <x v="1"/>
    <s v="N"/>
    <s v="Y"/>
    <n v="1"/>
    <x v="1"/>
    <x v="2"/>
    <x v="0"/>
    <x v="1"/>
    <x v="0"/>
    <d v="1988-03-08T00:00:00"/>
    <n v="-13438"/>
    <x v="1141"/>
    <x v="3"/>
    <n v="-3679"/>
    <n v="10.072553045859001"/>
    <x v="1"/>
    <n v="1"/>
    <n v="0"/>
    <n v="0"/>
    <n v="0"/>
    <m/>
    <x v="3"/>
  </r>
  <r>
    <n v="5053781"/>
    <x v="0"/>
    <s v="Y"/>
    <s v="Y"/>
    <n v="0"/>
    <x v="5"/>
    <x v="1"/>
    <x v="1"/>
    <x v="4"/>
    <x v="0"/>
    <d v="1971-08-16T00:00:00"/>
    <n v="-19487"/>
    <x v="1142"/>
    <x v="2"/>
    <n v="-3255"/>
    <n v="8.9117043121149901"/>
    <x v="1"/>
    <n v="1"/>
    <n v="0"/>
    <n v="1"/>
    <n v="0"/>
    <s v="Laborers"/>
    <x v="0"/>
  </r>
  <r>
    <n v="5053822"/>
    <x v="1"/>
    <s v="Y"/>
    <s v="Y"/>
    <n v="0"/>
    <x v="16"/>
    <x v="2"/>
    <x v="2"/>
    <x v="2"/>
    <x v="0"/>
    <d v="1995-06-09T00:00:00"/>
    <n v="-10789"/>
    <x v="1143"/>
    <x v="4"/>
    <n v="-1702"/>
    <n v="4.6598220396988363"/>
    <x v="1"/>
    <n v="1"/>
    <n v="0"/>
    <n v="0"/>
    <n v="0"/>
    <s v="Laborers"/>
    <x v="0"/>
  </r>
  <r>
    <n v="5053827"/>
    <x v="1"/>
    <s v="Y"/>
    <s v="Y"/>
    <n v="0"/>
    <x v="16"/>
    <x v="2"/>
    <x v="2"/>
    <x v="2"/>
    <x v="0"/>
    <d v="1995-06-09T00:00:00"/>
    <n v="-10789"/>
    <x v="1143"/>
    <x v="4"/>
    <n v="-1702"/>
    <n v="4.6598220396988363"/>
    <x v="1"/>
    <n v="1"/>
    <n v="0"/>
    <n v="0"/>
    <n v="0"/>
    <s v="Laborers"/>
    <x v="0"/>
  </r>
  <r>
    <n v="5053837"/>
    <x v="0"/>
    <s v="N"/>
    <s v="Y"/>
    <n v="0"/>
    <x v="2"/>
    <x v="3"/>
    <x v="1"/>
    <x v="1"/>
    <x v="0"/>
    <d v="1973-07-09T00:00:00"/>
    <n v="-18794"/>
    <x v="1144"/>
    <x v="2"/>
    <n v="-6358"/>
    <n v="17.407255304585899"/>
    <x v="1"/>
    <n v="1"/>
    <n v="0"/>
    <n v="0"/>
    <n v="0"/>
    <s v="High skill tech staff"/>
    <x v="1"/>
  </r>
  <r>
    <n v="5053854"/>
    <x v="1"/>
    <s v="Y"/>
    <s v="N"/>
    <n v="0"/>
    <x v="109"/>
    <x v="2"/>
    <x v="1"/>
    <x v="1"/>
    <x v="4"/>
    <d v="1975-08-29T00:00:00"/>
    <n v="-18013"/>
    <x v="1145"/>
    <x v="1"/>
    <n v="-1215"/>
    <n v="3.3264887063655029"/>
    <x v="1"/>
    <n v="1"/>
    <n v="0"/>
    <n v="0"/>
    <n v="0"/>
    <s v="Laborers"/>
    <x v="1"/>
  </r>
  <r>
    <n v="5053891"/>
    <x v="0"/>
    <s v="N"/>
    <s v="Y"/>
    <n v="0"/>
    <x v="30"/>
    <x v="3"/>
    <x v="1"/>
    <x v="0"/>
    <x v="0"/>
    <d v="1985-11-26T00:00:00"/>
    <n v="-14271"/>
    <x v="1146"/>
    <x v="3"/>
    <n v="-302"/>
    <n v="0.8268309377138946"/>
    <x v="1"/>
    <n v="1"/>
    <n v="0"/>
    <n v="0"/>
    <n v="0"/>
    <m/>
    <x v="0"/>
  </r>
  <r>
    <n v="5053894"/>
    <x v="0"/>
    <s v="N"/>
    <s v="Y"/>
    <n v="0"/>
    <x v="30"/>
    <x v="3"/>
    <x v="1"/>
    <x v="0"/>
    <x v="0"/>
    <d v="1985-11-26T00:00:00"/>
    <n v="-14271"/>
    <x v="1146"/>
    <x v="3"/>
    <n v="-302"/>
    <n v="0.8268309377138946"/>
    <x v="1"/>
    <n v="1"/>
    <n v="0"/>
    <n v="0"/>
    <n v="0"/>
    <m/>
    <x v="0"/>
  </r>
  <r>
    <n v="5053905"/>
    <x v="0"/>
    <s v="N"/>
    <s v="Y"/>
    <n v="0"/>
    <x v="30"/>
    <x v="3"/>
    <x v="1"/>
    <x v="0"/>
    <x v="0"/>
    <d v="1985-11-26T00:00:00"/>
    <n v="-14271"/>
    <x v="1146"/>
    <x v="3"/>
    <n v="-302"/>
    <n v="0.8268309377138946"/>
    <x v="1"/>
    <n v="1"/>
    <n v="0"/>
    <n v="0"/>
    <n v="0"/>
    <m/>
    <x v="0"/>
  </r>
  <r>
    <n v="5053932"/>
    <x v="0"/>
    <s v="N"/>
    <s v="N"/>
    <n v="0"/>
    <x v="8"/>
    <x v="0"/>
    <x v="0"/>
    <x v="1"/>
    <x v="0"/>
    <d v="1965-02-21T00:00:00"/>
    <n v="-21854"/>
    <x v="107"/>
    <x v="2"/>
    <n v="365243"/>
    <n v="0"/>
    <x v="0"/>
    <n v="1"/>
    <n v="0"/>
    <n v="1"/>
    <n v="0"/>
    <m/>
    <x v="1"/>
  </r>
  <r>
    <n v="5053944"/>
    <x v="0"/>
    <s v="N"/>
    <s v="N"/>
    <n v="0"/>
    <x v="1"/>
    <x v="0"/>
    <x v="1"/>
    <x v="4"/>
    <x v="0"/>
    <d v="1967-03-17T00:00:00"/>
    <n v="-21100"/>
    <x v="1147"/>
    <x v="2"/>
    <n v="365243"/>
    <n v="0"/>
    <x v="0"/>
    <n v="1"/>
    <n v="0"/>
    <n v="1"/>
    <n v="0"/>
    <m/>
    <x v="0"/>
  </r>
  <r>
    <n v="5053963"/>
    <x v="0"/>
    <s v="N"/>
    <s v="N"/>
    <n v="0"/>
    <x v="18"/>
    <x v="3"/>
    <x v="0"/>
    <x v="1"/>
    <x v="0"/>
    <d v="1988-08-27T00:00:00"/>
    <n v="-13266"/>
    <x v="1148"/>
    <x v="3"/>
    <n v="-2341"/>
    <n v="6.409308692676249"/>
    <x v="1"/>
    <n v="1"/>
    <n v="1"/>
    <n v="1"/>
    <n v="0"/>
    <s v="Core staff"/>
    <x v="1"/>
  </r>
  <r>
    <n v="5053967"/>
    <x v="1"/>
    <s v="Y"/>
    <s v="N"/>
    <n v="0"/>
    <x v="11"/>
    <x v="2"/>
    <x v="1"/>
    <x v="2"/>
    <x v="0"/>
    <d v="1993-10-14T00:00:00"/>
    <n v="-11392"/>
    <x v="1149"/>
    <x v="3"/>
    <n v="-758"/>
    <n v="2.0752908966461328"/>
    <x v="1"/>
    <n v="1"/>
    <n v="1"/>
    <n v="1"/>
    <n v="0"/>
    <s v="Managers"/>
    <x v="0"/>
  </r>
  <r>
    <n v="5053984"/>
    <x v="0"/>
    <s v="Y"/>
    <s v="N"/>
    <n v="0"/>
    <x v="68"/>
    <x v="2"/>
    <x v="1"/>
    <x v="1"/>
    <x v="2"/>
    <d v="1991-06-10T00:00:00"/>
    <n v="-12249"/>
    <x v="1150"/>
    <x v="3"/>
    <n v="-3195"/>
    <n v="8.7474332648870643"/>
    <x v="1"/>
    <n v="1"/>
    <n v="1"/>
    <n v="0"/>
    <n v="0"/>
    <m/>
    <x v="1"/>
  </r>
  <r>
    <n v="5053995"/>
    <x v="1"/>
    <s v="Y"/>
    <s v="N"/>
    <n v="0"/>
    <x v="30"/>
    <x v="0"/>
    <x v="1"/>
    <x v="1"/>
    <x v="0"/>
    <d v="1970-04-07T00:00:00"/>
    <n v="-19983"/>
    <x v="1151"/>
    <x v="2"/>
    <n v="365243"/>
    <n v="0"/>
    <x v="0"/>
    <n v="1"/>
    <n v="0"/>
    <n v="0"/>
    <n v="0"/>
    <m/>
    <x v="1"/>
  </r>
  <r>
    <n v="5054021"/>
    <x v="0"/>
    <s v="N"/>
    <s v="N"/>
    <n v="0"/>
    <x v="11"/>
    <x v="2"/>
    <x v="1"/>
    <x v="1"/>
    <x v="5"/>
    <d v="1970-11-16T00:00:00"/>
    <n v="-19760"/>
    <x v="1152"/>
    <x v="2"/>
    <n v="-2099"/>
    <n v="5.7467488021902806"/>
    <x v="1"/>
    <n v="1"/>
    <n v="0"/>
    <n v="0"/>
    <n v="0"/>
    <s v="Cleaning staff"/>
    <x v="1"/>
  </r>
  <r>
    <n v="5054042"/>
    <x v="0"/>
    <s v="N"/>
    <s v="N"/>
    <n v="1"/>
    <x v="51"/>
    <x v="2"/>
    <x v="1"/>
    <x v="1"/>
    <x v="0"/>
    <d v="1985-11-07T00:00:00"/>
    <n v="-14290"/>
    <x v="1153"/>
    <x v="3"/>
    <n v="-1308"/>
    <n v="3.5811088295687883"/>
    <x v="1"/>
    <n v="1"/>
    <n v="0"/>
    <n v="1"/>
    <n v="0"/>
    <s v="Cooking staff"/>
    <x v="3"/>
  </r>
  <r>
    <n v="5054056"/>
    <x v="1"/>
    <s v="Y"/>
    <s v="N"/>
    <n v="1"/>
    <x v="2"/>
    <x v="2"/>
    <x v="1"/>
    <x v="1"/>
    <x v="1"/>
    <d v="1993-04-06T00:00:00"/>
    <n v="-11583"/>
    <x v="1154"/>
    <x v="3"/>
    <n v="-3407"/>
    <n v="9.3278576317590698"/>
    <x v="1"/>
    <n v="1"/>
    <n v="1"/>
    <n v="0"/>
    <n v="0"/>
    <s v="Laborers"/>
    <x v="3"/>
  </r>
  <r>
    <n v="5054061"/>
    <x v="1"/>
    <s v="N"/>
    <s v="N"/>
    <n v="1"/>
    <x v="5"/>
    <x v="2"/>
    <x v="1"/>
    <x v="1"/>
    <x v="0"/>
    <d v="1980-01-04T00:00:00"/>
    <n v="-16424"/>
    <x v="1155"/>
    <x v="1"/>
    <n v="-1458"/>
    <n v="3.9917864476386038"/>
    <x v="1"/>
    <n v="1"/>
    <n v="0"/>
    <n v="0"/>
    <n v="0"/>
    <s v="Drivers"/>
    <x v="3"/>
  </r>
  <r>
    <n v="5054074"/>
    <x v="0"/>
    <s v="N"/>
    <s v="N"/>
    <n v="0"/>
    <x v="1"/>
    <x v="2"/>
    <x v="1"/>
    <x v="1"/>
    <x v="0"/>
    <d v="1978-01-15T00:00:00"/>
    <n v="-17143"/>
    <x v="1156"/>
    <x v="1"/>
    <n v="-5507"/>
    <n v="15.077344284736482"/>
    <x v="1"/>
    <n v="1"/>
    <n v="0"/>
    <n v="1"/>
    <n v="0"/>
    <m/>
    <x v="1"/>
  </r>
  <r>
    <n v="5054076"/>
    <x v="0"/>
    <s v="N"/>
    <s v="N"/>
    <n v="0"/>
    <x v="1"/>
    <x v="2"/>
    <x v="1"/>
    <x v="1"/>
    <x v="0"/>
    <d v="1978-01-15T00:00:00"/>
    <n v="-17143"/>
    <x v="1156"/>
    <x v="1"/>
    <n v="-5507"/>
    <n v="15.077344284736482"/>
    <x v="1"/>
    <n v="1"/>
    <n v="0"/>
    <n v="1"/>
    <n v="0"/>
    <m/>
    <x v="1"/>
  </r>
  <r>
    <n v="5054078"/>
    <x v="0"/>
    <s v="N"/>
    <s v="N"/>
    <n v="0"/>
    <x v="1"/>
    <x v="2"/>
    <x v="1"/>
    <x v="1"/>
    <x v="0"/>
    <d v="1978-01-15T00:00:00"/>
    <n v="-17143"/>
    <x v="1156"/>
    <x v="1"/>
    <n v="-5507"/>
    <n v="15.077344284736482"/>
    <x v="1"/>
    <n v="1"/>
    <n v="0"/>
    <n v="1"/>
    <n v="0"/>
    <m/>
    <x v="1"/>
  </r>
  <r>
    <n v="5054079"/>
    <x v="0"/>
    <s v="N"/>
    <s v="N"/>
    <n v="0"/>
    <x v="1"/>
    <x v="2"/>
    <x v="1"/>
    <x v="1"/>
    <x v="0"/>
    <d v="1978-01-15T00:00:00"/>
    <n v="-17143"/>
    <x v="1156"/>
    <x v="1"/>
    <n v="-5507"/>
    <n v="15.077344284736482"/>
    <x v="1"/>
    <n v="1"/>
    <n v="0"/>
    <n v="1"/>
    <n v="0"/>
    <m/>
    <x v="1"/>
  </r>
  <r>
    <n v="5054082"/>
    <x v="0"/>
    <s v="N"/>
    <s v="N"/>
    <n v="0"/>
    <x v="1"/>
    <x v="2"/>
    <x v="1"/>
    <x v="1"/>
    <x v="0"/>
    <d v="1978-01-15T00:00:00"/>
    <n v="-17143"/>
    <x v="1156"/>
    <x v="1"/>
    <n v="-5507"/>
    <n v="15.077344284736482"/>
    <x v="1"/>
    <n v="1"/>
    <n v="0"/>
    <n v="1"/>
    <n v="0"/>
    <m/>
    <x v="1"/>
  </r>
  <r>
    <n v="5054083"/>
    <x v="0"/>
    <s v="N"/>
    <s v="N"/>
    <n v="0"/>
    <x v="1"/>
    <x v="2"/>
    <x v="1"/>
    <x v="1"/>
    <x v="0"/>
    <d v="1978-01-15T00:00:00"/>
    <n v="-17143"/>
    <x v="1156"/>
    <x v="1"/>
    <n v="-5507"/>
    <n v="15.077344284736482"/>
    <x v="1"/>
    <n v="1"/>
    <n v="0"/>
    <n v="1"/>
    <n v="0"/>
    <m/>
    <x v="1"/>
  </r>
  <r>
    <n v="5054093"/>
    <x v="1"/>
    <s v="N"/>
    <s v="N"/>
    <n v="0"/>
    <x v="110"/>
    <x v="1"/>
    <x v="1"/>
    <x v="1"/>
    <x v="2"/>
    <d v="2000-02-19T00:00:00"/>
    <n v="-9073"/>
    <x v="1157"/>
    <x v="4"/>
    <n v="-699"/>
    <n v="1.9137577002053388"/>
    <x v="1"/>
    <n v="1"/>
    <n v="1"/>
    <n v="0"/>
    <n v="0"/>
    <s v="Core staff"/>
    <x v="1"/>
  </r>
  <r>
    <n v="5054094"/>
    <x v="1"/>
    <s v="Y"/>
    <s v="N"/>
    <n v="2"/>
    <x v="11"/>
    <x v="2"/>
    <x v="0"/>
    <x v="1"/>
    <x v="0"/>
    <d v="1992-11-04T00:00:00"/>
    <n v="-11736"/>
    <x v="1158"/>
    <x v="3"/>
    <n v="-727"/>
    <n v="1.9904175222450375"/>
    <x v="1"/>
    <n v="1"/>
    <n v="0"/>
    <n v="0"/>
    <n v="0"/>
    <s v="Drivers"/>
    <x v="2"/>
  </r>
  <r>
    <n v="5054105"/>
    <x v="0"/>
    <s v="N"/>
    <s v="N"/>
    <n v="0"/>
    <x v="37"/>
    <x v="0"/>
    <x v="1"/>
    <x v="0"/>
    <x v="0"/>
    <d v="1966-01-25T00:00:00"/>
    <n v="-21516"/>
    <x v="1159"/>
    <x v="2"/>
    <n v="365243"/>
    <n v="0"/>
    <x v="0"/>
    <n v="1"/>
    <n v="0"/>
    <n v="0"/>
    <n v="0"/>
    <m/>
    <x v="0"/>
  </r>
  <r>
    <n v="5054111"/>
    <x v="0"/>
    <s v="N"/>
    <s v="N"/>
    <n v="0"/>
    <x v="111"/>
    <x v="1"/>
    <x v="0"/>
    <x v="2"/>
    <x v="0"/>
    <d v="1996-09-01T00:00:00"/>
    <n v="-10339"/>
    <x v="1160"/>
    <x v="4"/>
    <n v="-393"/>
    <n v="1.0759753593429158"/>
    <x v="1"/>
    <n v="1"/>
    <n v="1"/>
    <n v="0"/>
    <n v="0"/>
    <m/>
    <x v="0"/>
  </r>
  <r>
    <n v="5054142"/>
    <x v="0"/>
    <s v="N"/>
    <s v="N"/>
    <n v="0"/>
    <x v="1"/>
    <x v="2"/>
    <x v="0"/>
    <x v="1"/>
    <x v="0"/>
    <d v="1988-10-30T00:00:00"/>
    <n v="-13202"/>
    <x v="1161"/>
    <x v="3"/>
    <n v="-2646"/>
    <n v="7.2443531827515404"/>
    <x v="1"/>
    <n v="1"/>
    <n v="1"/>
    <n v="0"/>
    <n v="0"/>
    <s v="Laborers"/>
    <x v="1"/>
  </r>
  <r>
    <n v="5054150"/>
    <x v="0"/>
    <s v="N"/>
    <s v="N"/>
    <n v="0"/>
    <x v="1"/>
    <x v="2"/>
    <x v="0"/>
    <x v="1"/>
    <x v="0"/>
    <d v="1988-10-30T00:00:00"/>
    <n v="-13202"/>
    <x v="1161"/>
    <x v="3"/>
    <n v="-2646"/>
    <n v="7.2443531827515404"/>
    <x v="1"/>
    <n v="1"/>
    <n v="1"/>
    <n v="0"/>
    <n v="0"/>
    <s v="Laborers"/>
    <x v="1"/>
  </r>
  <r>
    <n v="5054160"/>
    <x v="0"/>
    <s v="Y"/>
    <s v="N"/>
    <n v="0"/>
    <x v="12"/>
    <x v="1"/>
    <x v="1"/>
    <x v="3"/>
    <x v="0"/>
    <d v="1986-11-30T00:00:00"/>
    <n v="-13902"/>
    <x v="1162"/>
    <x v="3"/>
    <n v="-1703"/>
    <n v="4.6625598904859684"/>
    <x v="1"/>
    <n v="1"/>
    <n v="1"/>
    <n v="0"/>
    <n v="0"/>
    <s v="High skill tech staff"/>
    <x v="1"/>
  </r>
  <r>
    <n v="5054172"/>
    <x v="0"/>
    <s v="Y"/>
    <s v="N"/>
    <n v="1"/>
    <x v="19"/>
    <x v="2"/>
    <x v="0"/>
    <x v="1"/>
    <x v="0"/>
    <d v="1977-11-14T00:00:00"/>
    <n v="-17205"/>
    <x v="1163"/>
    <x v="1"/>
    <n v="-1946"/>
    <n v="5.3278576317590689"/>
    <x v="1"/>
    <n v="1"/>
    <n v="1"/>
    <n v="1"/>
    <n v="0"/>
    <s v="Accountants"/>
    <x v="3"/>
  </r>
  <r>
    <n v="5054176"/>
    <x v="1"/>
    <s v="Y"/>
    <s v="N"/>
    <n v="1"/>
    <x v="1"/>
    <x v="2"/>
    <x v="0"/>
    <x v="1"/>
    <x v="0"/>
    <d v="1991-06-18T00:00:00"/>
    <n v="-12241"/>
    <x v="1164"/>
    <x v="3"/>
    <n v="-1581"/>
    <n v="4.3285420944558526"/>
    <x v="1"/>
    <n v="1"/>
    <n v="1"/>
    <n v="0"/>
    <n v="0"/>
    <s v="Managers"/>
    <x v="3"/>
  </r>
  <r>
    <n v="5054177"/>
    <x v="1"/>
    <s v="Y"/>
    <s v="N"/>
    <n v="1"/>
    <x v="1"/>
    <x v="2"/>
    <x v="0"/>
    <x v="1"/>
    <x v="0"/>
    <d v="1991-06-18T00:00:00"/>
    <n v="-12241"/>
    <x v="1164"/>
    <x v="3"/>
    <n v="-1581"/>
    <n v="4.3285420944558526"/>
    <x v="1"/>
    <n v="1"/>
    <n v="1"/>
    <n v="0"/>
    <n v="0"/>
    <s v="Managers"/>
    <x v="3"/>
  </r>
  <r>
    <n v="5054192"/>
    <x v="0"/>
    <s v="N"/>
    <s v="N"/>
    <n v="0"/>
    <x v="1"/>
    <x v="2"/>
    <x v="1"/>
    <x v="1"/>
    <x v="0"/>
    <d v="1993-10-16T00:00:00"/>
    <n v="-11390"/>
    <x v="1165"/>
    <x v="3"/>
    <n v="-515"/>
    <n v="1.4099931553730323"/>
    <x v="1"/>
    <n v="1"/>
    <n v="0"/>
    <n v="1"/>
    <n v="0"/>
    <s v="Sales staff"/>
    <x v="1"/>
  </r>
  <r>
    <n v="5054202"/>
    <x v="0"/>
    <s v="Y"/>
    <s v="N"/>
    <n v="2"/>
    <x v="2"/>
    <x v="2"/>
    <x v="1"/>
    <x v="1"/>
    <x v="0"/>
    <d v="1991-05-20T00:00:00"/>
    <n v="-12270"/>
    <x v="1166"/>
    <x v="3"/>
    <n v="-150"/>
    <n v="0.41067761806981518"/>
    <x v="1"/>
    <n v="1"/>
    <n v="0"/>
    <n v="1"/>
    <n v="0"/>
    <s v="Security staff"/>
    <x v="2"/>
  </r>
  <r>
    <n v="5054231"/>
    <x v="1"/>
    <s v="N"/>
    <s v="N"/>
    <n v="0"/>
    <x v="1"/>
    <x v="2"/>
    <x v="1"/>
    <x v="1"/>
    <x v="0"/>
    <d v="1992-12-26T00:00:00"/>
    <n v="-11684"/>
    <x v="1167"/>
    <x v="3"/>
    <n v="-1611"/>
    <n v="4.4106776180698155"/>
    <x v="1"/>
    <n v="1"/>
    <n v="0"/>
    <n v="0"/>
    <n v="0"/>
    <s v="Security staff"/>
    <x v="1"/>
  </r>
  <r>
    <n v="5054251"/>
    <x v="1"/>
    <s v="N"/>
    <s v="N"/>
    <n v="0"/>
    <x v="11"/>
    <x v="2"/>
    <x v="1"/>
    <x v="1"/>
    <x v="0"/>
    <d v="1997-03-07T00:00:00"/>
    <n v="-10152"/>
    <x v="1168"/>
    <x v="4"/>
    <n v="-2585"/>
    <n v="7.0773442847364816"/>
    <x v="1"/>
    <n v="1"/>
    <n v="1"/>
    <n v="0"/>
    <n v="0"/>
    <s v="Laborers"/>
    <x v="1"/>
  </r>
  <r>
    <n v="5054254"/>
    <x v="1"/>
    <s v="N"/>
    <s v="N"/>
    <n v="0"/>
    <x v="11"/>
    <x v="2"/>
    <x v="1"/>
    <x v="1"/>
    <x v="0"/>
    <d v="1997-03-07T00:00:00"/>
    <n v="-10152"/>
    <x v="1168"/>
    <x v="4"/>
    <n v="-2585"/>
    <n v="7.0773442847364816"/>
    <x v="1"/>
    <n v="1"/>
    <n v="1"/>
    <n v="0"/>
    <n v="0"/>
    <s v="Laborers"/>
    <x v="1"/>
  </r>
  <r>
    <n v="5054257"/>
    <x v="1"/>
    <s v="N"/>
    <s v="N"/>
    <n v="0"/>
    <x v="11"/>
    <x v="2"/>
    <x v="1"/>
    <x v="1"/>
    <x v="0"/>
    <d v="1997-03-07T00:00:00"/>
    <n v="-10152"/>
    <x v="1168"/>
    <x v="4"/>
    <n v="-2585"/>
    <n v="7.0773442847364816"/>
    <x v="1"/>
    <n v="1"/>
    <n v="1"/>
    <n v="0"/>
    <n v="0"/>
    <s v="Laborers"/>
    <x v="1"/>
  </r>
  <r>
    <n v="5054292"/>
    <x v="0"/>
    <s v="N"/>
    <s v="N"/>
    <n v="1"/>
    <x v="43"/>
    <x v="2"/>
    <x v="1"/>
    <x v="3"/>
    <x v="0"/>
    <d v="1990-02-28T00:00:00"/>
    <n v="-12716"/>
    <x v="1169"/>
    <x v="3"/>
    <n v="-393"/>
    <n v="1.0759753593429158"/>
    <x v="1"/>
    <n v="1"/>
    <n v="1"/>
    <n v="0"/>
    <n v="0"/>
    <s v="Core staff"/>
    <x v="3"/>
  </r>
  <r>
    <n v="5054293"/>
    <x v="0"/>
    <s v="N"/>
    <s v="N"/>
    <n v="1"/>
    <x v="43"/>
    <x v="2"/>
    <x v="1"/>
    <x v="3"/>
    <x v="0"/>
    <d v="1990-02-28T00:00:00"/>
    <n v="-12716"/>
    <x v="1169"/>
    <x v="3"/>
    <n v="-393"/>
    <n v="1.0759753593429158"/>
    <x v="1"/>
    <n v="1"/>
    <n v="1"/>
    <n v="0"/>
    <n v="0"/>
    <s v="Core staff"/>
    <x v="3"/>
  </r>
  <r>
    <n v="5054302"/>
    <x v="0"/>
    <s v="Y"/>
    <s v="N"/>
    <n v="0"/>
    <x v="2"/>
    <x v="2"/>
    <x v="1"/>
    <x v="1"/>
    <x v="0"/>
    <d v="1986-06-25T00:00:00"/>
    <n v="-14060"/>
    <x v="823"/>
    <x v="3"/>
    <n v="-7364"/>
    <n v="20.161533196440793"/>
    <x v="1"/>
    <n v="1"/>
    <n v="1"/>
    <n v="0"/>
    <n v="0"/>
    <s v="Cooking staff"/>
    <x v="1"/>
  </r>
  <r>
    <n v="5054311"/>
    <x v="0"/>
    <s v="N"/>
    <s v="N"/>
    <n v="0"/>
    <x v="2"/>
    <x v="1"/>
    <x v="1"/>
    <x v="1"/>
    <x v="0"/>
    <d v="1969-06-09T00:00:00"/>
    <n v="-20285"/>
    <x v="1170"/>
    <x v="2"/>
    <n v="-1734"/>
    <n v="4.7474332648870634"/>
    <x v="1"/>
    <n v="1"/>
    <n v="1"/>
    <n v="1"/>
    <n v="0"/>
    <s v="High skill tech staff"/>
    <x v="1"/>
  </r>
  <r>
    <n v="5054316"/>
    <x v="0"/>
    <s v="N"/>
    <s v="N"/>
    <n v="2"/>
    <x v="37"/>
    <x v="2"/>
    <x v="1"/>
    <x v="3"/>
    <x v="0"/>
    <d v="1999-11-09T00:00:00"/>
    <n v="-9175"/>
    <x v="1171"/>
    <x v="4"/>
    <n v="-1399"/>
    <n v="3.8302532511978096"/>
    <x v="1"/>
    <n v="1"/>
    <n v="0"/>
    <n v="0"/>
    <n v="0"/>
    <s v="Managers"/>
    <x v="2"/>
  </r>
  <r>
    <n v="5054344"/>
    <x v="0"/>
    <s v="Y"/>
    <s v="N"/>
    <n v="0"/>
    <x v="8"/>
    <x v="2"/>
    <x v="1"/>
    <x v="1"/>
    <x v="0"/>
    <d v="1968-06-18T00:00:00"/>
    <n v="-20641"/>
    <x v="1172"/>
    <x v="2"/>
    <n v="-1064"/>
    <n v="2.9130732375085557"/>
    <x v="1"/>
    <n v="1"/>
    <n v="0"/>
    <n v="1"/>
    <n v="0"/>
    <s v="Sales staff"/>
    <x v="1"/>
  </r>
  <r>
    <n v="5054350"/>
    <x v="0"/>
    <s v="N"/>
    <s v="N"/>
    <n v="0"/>
    <x v="5"/>
    <x v="2"/>
    <x v="0"/>
    <x v="2"/>
    <x v="0"/>
    <d v="1989-09-27T00:00:00"/>
    <n v="-12870"/>
    <x v="1173"/>
    <x v="3"/>
    <n v="-515"/>
    <n v="1.4099931553730323"/>
    <x v="1"/>
    <n v="1"/>
    <n v="0"/>
    <n v="0"/>
    <n v="1"/>
    <s v="Sales staff"/>
    <x v="0"/>
  </r>
  <r>
    <n v="5054378"/>
    <x v="0"/>
    <s v="N"/>
    <s v="N"/>
    <n v="0"/>
    <x v="5"/>
    <x v="0"/>
    <x v="1"/>
    <x v="1"/>
    <x v="0"/>
    <d v="1974-04-06T00:00:00"/>
    <n v="-18523"/>
    <x v="1174"/>
    <x v="2"/>
    <n v="365243"/>
    <n v="0"/>
    <x v="0"/>
    <n v="1"/>
    <n v="0"/>
    <n v="0"/>
    <n v="0"/>
    <m/>
    <x v="1"/>
  </r>
  <r>
    <n v="5054381"/>
    <x v="0"/>
    <s v="N"/>
    <s v="N"/>
    <n v="0"/>
    <x v="5"/>
    <x v="0"/>
    <x v="1"/>
    <x v="1"/>
    <x v="0"/>
    <d v="1974-04-06T00:00:00"/>
    <n v="-18523"/>
    <x v="1174"/>
    <x v="2"/>
    <n v="365243"/>
    <n v="0"/>
    <x v="0"/>
    <n v="1"/>
    <n v="0"/>
    <n v="0"/>
    <n v="0"/>
    <m/>
    <x v="1"/>
  </r>
  <r>
    <n v="5054389"/>
    <x v="1"/>
    <s v="N"/>
    <s v="N"/>
    <n v="3"/>
    <x v="30"/>
    <x v="3"/>
    <x v="1"/>
    <x v="1"/>
    <x v="0"/>
    <d v="1985-09-10T00:00:00"/>
    <n v="-14348"/>
    <x v="1175"/>
    <x v="3"/>
    <n v="-727"/>
    <n v="1.9904175222450375"/>
    <x v="1"/>
    <n v="1"/>
    <n v="0"/>
    <n v="0"/>
    <n v="1"/>
    <m/>
    <x v="4"/>
  </r>
  <r>
    <n v="5054405"/>
    <x v="1"/>
    <s v="N"/>
    <s v="N"/>
    <n v="0"/>
    <x v="8"/>
    <x v="1"/>
    <x v="0"/>
    <x v="1"/>
    <x v="2"/>
    <d v="1989-04-29T00:00:00"/>
    <n v="-13021"/>
    <x v="1176"/>
    <x v="3"/>
    <n v="-5082"/>
    <n v="13.913757700205339"/>
    <x v="1"/>
    <n v="1"/>
    <n v="1"/>
    <n v="0"/>
    <n v="0"/>
    <s v="Managers"/>
    <x v="1"/>
  </r>
  <r>
    <n v="5054421"/>
    <x v="1"/>
    <s v="Y"/>
    <s v="N"/>
    <n v="2"/>
    <x v="5"/>
    <x v="0"/>
    <x v="1"/>
    <x v="1"/>
    <x v="0"/>
    <d v="1969-06-28T00:00:00"/>
    <n v="-20266"/>
    <x v="770"/>
    <x v="2"/>
    <n v="365243"/>
    <n v="0"/>
    <x v="0"/>
    <n v="1"/>
    <n v="0"/>
    <n v="0"/>
    <n v="0"/>
    <m/>
    <x v="2"/>
  </r>
  <r>
    <n v="5054438"/>
    <x v="1"/>
    <s v="N"/>
    <s v="Y"/>
    <n v="0"/>
    <x v="16"/>
    <x v="0"/>
    <x v="0"/>
    <x v="1"/>
    <x v="0"/>
    <d v="1971-04-06T00:00:00"/>
    <n v="-19619"/>
    <x v="1177"/>
    <x v="2"/>
    <n v="365243"/>
    <n v="0"/>
    <x v="0"/>
    <n v="1"/>
    <n v="0"/>
    <n v="0"/>
    <n v="0"/>
    <m/>
    <x v="1"/>
  </r>
  <r>
    <n v="5054454"/>
    <x v="1"/>
    <s v="Y"/>
    <s v="Y"/>
    <n v="0"/>
    <x v="5"/>
    <x v="2"/>
    <x v="1"/>
    <x v="2"/>
    <x v="0"/>
    <d v="2002-03-25T00:00:00"/>
    <n v="-8308"/>
    <x v="1178"/>
    <x v="4"/>
    <n v="-1308"/>
    <n v="3.5811088295687883"/>
    <x v="1"/>
    <n v="1"/>
    <n v="1"/>
    <n v="1"/>
    <n v="0"/>
    <m/>
    <x v="0"/>
  </r>
  <r>
    <n v="5054471"/>
    <x v="1"/>
    <s v="Y"/>
    <s v="Y"/>
    <n v="0"/>
    <x v="1"/>
    <x v="2"/>
    <x v="1"/>
    <x v="2"/>
    <x v="2"/>
    <d v="1996-08-27T00:00:00"/>
    <n v="-10344"/>
    <x v="1179"/>
    <x v="4"/>
    <n v="-3072"/>
    <n v="8.4106776180698155"/>
    <x v="1"/>
    <n v="1"/>
    <n v="1"/>
    <n v="1"/>
    <n v="0"/>
    <s v="High skill tech staff"/>
    <x v="0"/>
  </r>
  <r>
    <n v="5054477"/>
    <x v="0"/>
    <s v="Y"/>
    <s v="Y"/>
    <n v="1"/>
    <x v="8"/>
    <x v="2"/>
    <x v="1"/>
    <x v="3"/>
    <x v="0"/>
    <d v="1990-07-30T00:00:00"/>
    <n v="-12564"/>
    <x v="1180"/>
    <x v="3"/>
    <n v="-819"/>
    <n v="2.2422997946611911"/>
    <x v="1"/>
    <n v="1"/>
    <n v="1"/>
    <n v="1"/>
    <n v="0"/>
    <s v="Private service staff"/>
    <x v="3"/>
  </r>
  <r>
    <n v="5054507"/>
    <x v="0"/>
    <s v="N"/>
    <s v="Y"/>
    <n v="0"/>
    <x v="46"/>
    <x v="0"/>
    <x v="1"/>
    <x v="1"/>
    <x v="0"/>
    <d v="1962-10-27T00:00:00"/>
    <n v="-22702"/>
    <x v="1181"/>
    <x v="0"/>
    <n v="365243"/>
    <n v="0"/>
    <x v="0"/>
    <n v="1"/>
    <n v="0"/>
    <n v="0"/>
    <n v="0"/>
    <m/>
    <x v="1"/>
  </r>
  <r>
    <n v="5054508"/>
    <x v="0"/>
    <s v="N"/>
    <s v="Y"/>
    <n v="0"/>
    <x v="46"/>
    <x v="0"/>
    <x v="1"/>
    <x v="1"/>
    <x v="0"/>
    <d v="1962-10-27T00:00:00"/>
    <n v="-22702"/>
    <x v="1181"/>
    <x v="0"/>
    <n v="365243"/>
    <n v="0"/>
    <x v="0"/>
    <n v="1"/>
    <n v="0"/>
    <n v="0"/>
    <n v="0"/>
    <m/>
    <x v="1"/>
  </r>
  <r>
    <n v="5054510"/>
    <x v="1"/>
    <s v="Y"/>
    <s v="Y"/>
    <n v="0"/>
    <x v="112"/>
    <x v="2"/>
    <x v="1"/>
    <x v="2"/>
    <x v="0"/>
    <d v="2002-05-21T00:00:00"/>
    <n v="-8251"/>
    <x v="1182"/>
    <x v="4"/>
    <n v="-181"/>
    <n v="0.49555099247091033"/>
    <x v="1"/>
    <n v="1"/>
    <n v="1"/>
    <n v="0"/>
    <n v="0"/>
    <s v="Sales staff"/>
    <x v="0"/>
  </r>
  <r>
    <n v="5054516"/>
    <x v="0"/>
    <s v="Y"/>
    <s v="Y"/>
    <n v="1"/>
    <x v="1"/>
    <x v="2"/>
    <x v="0"/>
    <x v="1"/>
    <x v="0"/>
    <d v="1997-07-23T00:00:00"/>
    <n v="-10014"/>
    <x v="1183"/>
    <x v="4"/>
    <n v="-2311"/>
    <n v="6.3271731690622861"/>
    <x v="1"/>
    <n v="1"/>
    <n v="0"/>
    <n v="0"/>
    <n v="0"/>
    <m/>
    <x v="3"/>
  </r>
  <r>
    <n v="5054526"/>
    <x v="0"/>
    <s v="N"/>
    <s v="Y"/>
    <n v="2"/>
    <x v="30"/>
    <x v="1"/>
    <x v="1"/>
    <x v="1"/>
    <x v="0"/>
    <d v="1987-01-07T00:00:00"/>
    <n v="-13864"/>
    <x v="1184"/>
    <x v="3"/>
    <n v="-1399"/>
    <n v="3.8302532511978096"/>
    <x v="1"/>
    <n v="1"/>
    <n v="0"/>
    <n v="0"/>
    <n v="0"/>
    <s v="Private service staff"/>
    <x v="2"/>
  </r>
  <r>
    <n v="5054527"/>
    <x v="0"/>
    <s v="N"/>
    <s v="Y"/>
    <n v="2"/>
    <x v="30"/>
    <x v="1"/>
    <x v="1"/>
    <x v="1"/>
    <x v="0"/>
    <d v="1987-01-07T00:00:00"/>
    <n v="-13864"/>
    <x v="1184"/>
    <x v="3"/>
    <n v="-1399"/>
    <n v="3.8302532511978096"/>
    <x v="1"/>
    <n v="1"/>
    <n v="0"/>
    <n v="0"/>
    <n v="0"/>
    <s v="Private service staff"/>
    <x v="2"/>
  </r>
  <r>
    <n v="5054541"/>
    <x v="0"/>
    <s v="N"/>
    <s v="Y"/>
    <n v="0"/>
    <x v="50"/>
    <x v="2"/>
    <x v="1"/>
    <x v="1"/>
    <x v="0"/>
    <d v="1981-10-02T00:00:00"/>
    <n v="-15787"/>
    <x v="1185"/>
    <x v="1"/>
    <n v="-2188"/>
    <n v="5.9904175222450373"/>
    <x v="1"/>
    <n v="1"/>
    <n v="1"/>
    <n v="0"/>
    <n v="0"/>
    <s v="Accountants"/>
    <x v="1"/>
  </r>
  <r>
    <n v="5054558"/>
    <x v="1"/>
    <s v="Y"/>
    <s v="Y"/>
    <n v="3"/>
    <x v="16"/>
    <x v="2"/>
    <x v="1"/>
    <x v="1"/>
    <x v="0"/>
    <d v="1983-10-23T00:00:00"/>
    <n v="-15036"/>
    <x v="1186"/>
    <x v="1"/>
    <n v="-638"/>
    <n v="1.7467488021902806"/>
    <x v="1"/>
    <n v="1"/>
    <n v="0"/>
    <n v="0"/>
    <n v="0"/>
    <s v="Laborers"/>
    <x v="4"/>
  </r>
  <r>
    <n v="5054581"/>
    <x v="0"/>
    <s v="N"/>
    <s v="Y"/>
    <n v="0"/>
    <x v="15"/>
    <x v="2"/>
    <x v="1"/>
    <x v="4"/>
    <x v="0"/>
    <d v="1974-03-06T00:00:00"/>
    <n v="-18554"/>
    <x v="1187"/>
    <x v="2"/>
    <n v="-5386"/>
    <n v="14.746064339493497"/>
    <x v="1"/>
    <n v="1"/>
    <n v="1"/>
    <n v="0"/>
    <n v="0"/>
    <s v="Private service staff"/>
    <x v="0"/>
  </r>
  <r>
    <n v="5054585"/>
    <x v="1"/>
    <s v="Y"/>
    <s v="Y"/>
    <n v="0"/>
    <x v="55"/>
    <x v="2"/>
    <x v="1"/>
    <x v="2"/>
    <x v="0"/>
    <d v="1982-11-04T00:00:00"/>
    <n v="-15389"/>
    <x v="1188"/>
    <x v="1"/>
    <n v="-607"/>
    <n v="1.6618754277891854"/>
    <x v="1"/>
    <n v="1"/>
    <n v="0"/>
    <n v="0"/>
    <n v="0"/>
    <s v="Laborers"/>
    <x v="0"/>
  </r>
  <r>
    <n v="5054590"/>
    <x v="0"/>
    <s v="N"/>
    <s v="Y"/>
    <n v="0"/>
    <x v="5"/>
    <x v="0"/>
    <x v="1"/>
    <x v="1"/>
    <x v="0"/>
    <d v="1965-02-16T00:00:00"/>
    <n v="-21859"/>
    <x v="1189"/>
    <x v="2"/>
    <n v="365243"/>
    <n v="0"/>
    <x v="0"/>
    <n v="1"/>
    <n v="0"/>
    <n v="0"/>
    <n v="0"/>
    <m/>
    <x v="1"/>
  </r>
  <r>
    <n v="5054592"/>
    <x v="0"/>
    <s v="N"/>
    <s v="Y"/>
    <n v="0"/>
    <x v="5"/>
    <x v="0"/>
    <x v="1"/>
    <x v="1"/>
    <x v="0"/>
    <d v="1965-02-16T00:00:00"/>
    <n v="-21859"/>
    <x v="1189"/>
    <x v="2"/>
    <n v="365243"/>
    <n v="0"/>
    <x v="0"/>
    <n v="1"/>
    <n v="0"/>
    <n v="0"/>
    <n v="0"/>
    <m/>
    <x v="1"/>
  </r>
  <r>
    <n v="5054601"/>
    <x v="0"/>
    <s v="N"/>
    <s v="Y"/>
    <n v="0"/>
    <x v="19"/>
    <x v="0"/>
    <x v="1"/>
    <x v="1"/>
    <x v="0"/>
    <d v="1967-04-10T00:00:00"/>
    <n v="-21076"/>
    <x v="1190"/>
    <x v="2"/>
    <n v="365243"/>
    <n v="0"/>
    <x v="0"/>
    <n v="1"/>
    <n v="0"/>
    <n v="0"/>
    <n v="0"/>
    <m/>
    <x v="1"/>
  </r>
  <r>
    <n v="5054605"/>
    <x v="0"/>
    <s v="N"/>
    <s v="Y"/>
    <n v="0"/>
    <x v="19"/>
    <x v="0"/>
    <x v="1"/>
    <x v="1"/>
    <x v="0"/>
    <d v="1967-04-10T00:00:00"/>
    <n v="-21076"/>
    <x v="1190"/>
    <x v="2"/>
    <n v="365243"/>
    <n v="0"/>
    <x v="0"/>
    <n v="1"/>
    <n v="0"/>
    <n v="0"/>
    <n v="0"/>
    <m/>
    <x v="1"/>
  </r>
  <r>
    <n v="5054620"/>
    <x v="0"/>
    <s v="N"/>
    <s v="Y"/>
    <n v="0"/>
    <x v="6"/>
    <x v="2"/>
    <x v="0"/>
    <x v="3"/>
    <x v="2"/>
    <d v="1994-04-03T00:00:00"/>
    <n v="-11221"/>
    <x v="1191"/>
    <x v="3"/>
    <n v="-393"/>
    <n v="1.0759753593429158"/>
    <x v="1"/>
    <n v="1"/>
    <n v="1"/>
    <n v="0"/>
    <n v="0"/>
    <s v="Core staff"/>
    <x v="1"/>
  </r>
  <r>
    <n v="5054663"/>
    <x v="1"/>
    <s v="N"/>
    <s v="N"/>
    <n v="0"/>
    <x v="55"/>
    <x v="1"/>
    <x v="2"/>
    <x v="2"/>
    <x v="2"/>
    <d v="2001-12-11T00:00:00"/>
    <n v="-8412"/>
    <x v="1192"/>
    <x v="4"/>
    <n v="-1033"/>
    <n v="2.8281998631074607"/>
    <x v="1"/>
    <n v="1"/>
    <n v="0"/>
    <n v="0"/>
    <n v="0"/>
    <s v="Laborers"/>
    <x v="0"/>
  </r>
  <r>
    <n v="5054665"/>
    <x v="0"/>
    <s v="N"/>
    <s v="Y"/>
    <n v="0"/>
    <x v="1"/>
    <x v="1"/>
    <x v="0"/>
    <x v="1"/>
    <x v="0"/>
    <d v="1961-09-02T00:00:00"/>
    <n v="-23122"/>
    <x v="1193"/>
    <x v="0"/>
    <n v="-3621"/>
    <n v="9.9137577002053394"/>
    <x v="1"/>
    <n v="1"/>
    <n v="0"/>
    <n v="0"/>
    <n v="0"/>
    <s v="Sales staff"/>
    <x v="1"/>
  </r>
  <r>
    <n v="5054670"/>
    <x v="1"/>
    <s v="N"/>
    <s v="Y"/>
    <n v="0"/>
    <x v="8"/>
    <x v="1"/>
    <x v="0"/>
    <x v="2"/>
    <x v="0"/>
    <d v="1997-02-05T00:00:00"/>
    <n v="-10182"/>
    <x v="1140"/>
    <x v="4"/>
    <n v="-2403"/>
    <n v="6.579055441478439"/>
    <x v="1"/>
    <n v="1"/>
    <n v="0"/>
    <n v="0"/>
    <n v="0"/>
    <s v="Sales staff"/>
    <x v="0"/>
  </r>
  <r>
    <n v="5054678"/>
    <x v="1"/>
    <s v="N"/>
    <s v="Y"/>
    <n v="0"/>
    <x v="8"/>
    <x v="1"/>
    <x v="0"/>
    <x v="2"/>
    <x v="0"/>
    <d v="1997-02-05T00:00:00"/>
    <n v="-10182"/>
    <x v="1140"/>
    <x v="4"/>
    <n v="-2403"/>
    <n v="6.579055441478439"/>
    <x v="1"/>
    <n v="1"/>
    <n v="0"/>
    <n v="0"/>
    <n v="0"/>
    <s v="Sales staff"/>
    <x v="0"/>
  </r>
  <r>
    <n v="5054679"/>
    <x v="1"/>
    <s v="N"/>
    <s v="Y"/>
    <n v="0"/>
    <x v="8"/>
    <x v="1"/>
    <x v="0"/>
    <x v="2"/>
    <x v="0"/>
    <d v="1997-02-05T00:00:00"/>
    <n v="-10182"/>
    <x v="1140"/>
    <x v="4"/>
    <n v="-2403"/>
    <n v="6.579055441478439"/>
    <x v="1"/>
    <n v="1"/>
    <n v="0"/>
    <n v="0"/>
    <n v="0"/>
    <s v="Sales staff"/>
    <x v="0"/>
  </r>
  <r>
    <n v="5054680"/>
    <x v="1"/>
    <s v="N"/>
    <s v="Y"/>
    <n v="0"/>
    <x v="8"/>
    <x v="1"/>
    <x v="0"/>
    <x v="2"/>
    <x v="0"/>
    <d v="1997-02-05T00:00:00"/>
    <n v="-10182"/>
    <x v="1140"/>
    <x v="4"/>
    <n v="-2403"/>
    <n v="6.579055441478439"/>
    <x v="1"/>
    <n v="1"/>
    <n v="0"/>
    <n v="0"/>
    <n v="0"/>
    <s v="Sales staff"/>
    <x v="0"/>
  </r>
  <r>
    <n v="5054682"/>
    <x v="1"/>
    <s v="N"/>
    <s v="Y"/>
    <n v="0"/>
    <x v="8"/>
    <x v="1"/>
    <x v="0"/>
    <x v="2"/>
    <x v="0"/>
    <d v="1997-02-05T00:00:00"/>
    <n v="-10182"/>
    <x v="1140"/>
    <x v="4"/>
    <n v="-2403"/>
    <n v="6.579055441478439"/>
    <x v="1"/>
    <n v="1"/>
    <n v="0"/>
    <n v="0"/>
    <n v="0"/>
    <s v="Sales staff"/>
    <x v="0"/>
  </r>
  <r>
    <n v="5054688"/>
    <x v="1"/>
    <s v="N"/>
    <s v="Y"/>
    <n v="0"/>
    <x v="8"/>
    <x v="1"/>
    <x v="0"/>
    <x v="2"/>
    <x v="0"/>
    <d v="1997-02-05T00:00:00"/>
    <n v="-10182"/>
    <x v="1140"/>
    <x v="4"/>
    <n v="-2403"/>
    <n v="6.579055441478439"/>
    <x v="1"/>
    <n v="1"/>
    <n v="0"/>
    <n v="0"/>
    <n v="0"/>
    <s v="Sales staff"/>
    <x v="0"/>
  </r>
  <r>
    <n v="5054690"/>
    <x v="1"/>
    <s v="N"/>
    <s v="N"/>
    <n v="2"/>
    <x v="14"/>
    <x v="2"/>
    <x v="0"/>
    <x v="1"/>
    <x v="1"/>
    <d v="1983-11-27T00:00:00"/>
    <n v="-15001"/>
    <x v="1194"/>
    <x v="1"/>
    <n v="-1246"/>
    <n v="3.4113620807665983"/>
    <x v="1"/>
    <n v="1"/>
    <n v="0"/>
    <n v="0"/>
    <n v="0"/>
    <s v="Core staff"/>
    <x v="2"/>
  </r>
  <r>
    <n v="5054691"/>
    <x v="1"/>
    <s v="N"/>
    <s v="N"/>
    <n v="2"/>
    <x v="14"/>
    <x v="2"/>
    <x v="0"/>
    <x v="1"/>
    <x v="1"/>
    <d v="1983-11-27T00:00:00"/>
    <n v="-15001"/>
    <x v="1194"/>
    <x v="1"/>
    <n v="-1246"/>
    <n v="3.4113620807665983"/>
    <x v="1"/>
    <n v="1"/>
    <n v="0"/>
    <n v="0"/>
    <n v="0"/>
    <s v="Core staff"/>
    <x v="2"/>
  </r>
  <r>
    <n v="5054711"/>
    <x v="0"/>
    <s v="N"/>
    <s v="Y"/>
    <n v="0"/>
    <x v="55"/>
    <x v="1"/>
    <x v="1"/>
    <x v="1"/>
    <x v="0"/>
    <d v="1974-11-23T00:00:00"/>
    <n v="-18292"/>
    <x v="1195"/>
    <x v="2"/>
    <n v="-638"/>
    <n v="1.7467488021902806"/>
    <x v="1"/>
    <n v="1"/>
    <n v="1"/>
    <n v="1"/>
    <n v="0"/>
    <s v="Laborers"/>
    <x v="1"/>
  </r>
  <r>
    <n v="5054714"/>
    <x v="0"/>
    <s v="N"/>
    <s v="Y"/>
    <n v="0"/>
    <x v="55"/>
    <x v="1"/>
    <x v="1"/>
    <x v="1"/>
    <x v="0"/>
    <d v="1974-11-23T00:00:00"/>
    <n v="-18292"/>
    <x v="1195"/>
    <x v="2"/>
    <n v="-638"/>
    <n v="1.7467488021902806"/>
    <x v="1"/>
    <n v="1"/>
    <n v="1"/>
    <n v="1"/>
    <n v="0"/>
    <s v="Laborers"/>
    <x v="1"/>
  </r>
  <r>
    <n v="5054726"/>
    <x v="0"/>
    <s v="N"/>
    <s v="Y"/>
    <n v="1"/>
    <x v="2"/>
    <x v="3"/>
    <x v="1"/>
    <x v="1"/>
    <x v="0"/>
    <d v="1973-07-12T00:00:00"/>
    <n v="-18791"/>
    <x v="1196"/>
    <x v="2"/>
    <n v="-1003"/>
    <n v="2.7460643394934978"/>
    <x v="1"/>
    <n v="1"/>
    <n v="1"/>
    <n v="0"/>
    <n v="0"/>
    <s v="Managers"/>
    <x v="3"/>
  </r>
  <r>
    <n v="5054729"/>
    <x v="0"/>
    <s v="N"/>
    <s v="Y"/>
    <n v="0"/>
    <x v="113"/>
    <x v="0"/>
    <x v="1"/>
    <x v="4"/>
    <x v="0"/>
    <d v="1956-08-18T00:00:00"/>
    <n v="-24963"/>
    <x v="1197"/>
    <x v="0"/>
    <n v="365243"/>
    <n v="0"/>
    <x v="0"/>
    <n v="1"/>
    <n v="0"/>
    <n v="1"/>
    <n v="0"/>
    <m/>
    <x v="0"/>
  </r>
  <r>
    <n v="5054742"/>
    <x v="0"/>
    <s v="N"/>
    <s v="Y"/>
    <n v="0"/>
    <x v="39"/>
    <x v="1"/>
    <x v="1"/>
    <x v="3"/>
    <x v="0"/>
    <d v="1976-01-27T00:00:00"/>
    <n v="-17862"/>
    <x v="1198"/>
    <x v="1"/>
    <n v="-212"/>
    <n v="0.58042436687200549"/>
    <x v="1"/>
    <n v="1"/>
    <n v="0"/>
    <n v="0"/>
    <n v="0"/>
    <s v="Laborers"/>
    <x v="1"/>
  </r>
  <r>
    <n v="5054747"/>
    <x v="0"/>
    <s v="N"/>
    <s v="Y"/>
    <n v="0"/>
    <x v="39"/>
    <x v="1"/>
    <x v="1"/>
    <x v="3"/>
    <x v="0"/>
    <d v="1976-01-27T00:00:00"/>
    <n v="-17862"/>
    <x v="1198"/>
    <x v="1"/>
    <n v="-212"/>
    <n v="0.58042436687200549"/>
    <x v="1"/>
    <n v="1"/>
    <n v="0"/>
    <n v="0"/>
    <n v="0"/>
    <s v="Laborers"/>
    <x v="1"/>
  </r>
  <r>
    <n v="5054752"/>
    <x v="0"/>
    <s v="N"/>
    <s v="Y"/>
    <n v="0"/>
    <x v="39"/>
    <x v="1"/>
    <x v="1"/>
    <x v="3"/>
    <x v="0"/>
    <d v="1976-01-27T00:00:00"/>
    <n v="-17862"/>
    <x v="1198"/>
    <x v="1"/>
    <n v="-212"/>
    <n v="0.58042436687200549"/>
    <x v="1"/>
    <n v="1"/>
    <n v="0"/>
    <n v="0"/>
    <n v="0"/>
    <s v="Laborers"/>
    <x v="1"/>
  </r>
  <r>
    <n v="5054754"/>
    <x v="0"/>
    <s v="N"/>
    <s v="Y"/>
    <n v="0"/>
    <x v="45"/>
    <x v="3"/>
    <x v="1"/>
    <x v="1"/>
    <x v="0"/>
    <d v="1969-09-02T00:00:00"/>
    <n v="-20200"/>
    <x v="1199"/>
    <x v="2"/>
    <n v="-9404"/>
    <n v="25.746748802190282"/>
    <x v="1"/>
    <n v="1"/>
    <n v="1"/>
    <n v="0"/>
    <n v="0"/>
    <s v="Cleaning staff"/>
    <x v="1"/>
  </r>
  <r>
    <n v="5054760"/>
    <x v="0"/>
    <s v="N"/>
    <s v="Y"/>
    <n v="2"/>
    <x v="11"/>
    <x v="2"/>
    <x v="1"/>
    <x v="1"/>
    <x v="0"/>
    <d v="1981-09-27T00:00:00"/>
    <n v="-15792"/>
    <x v="1200"/>
    <x v="1"/>
    <n v="-6237"/>
    <n v="17.075975359342916"/>
    <x v="1"/>
    <n v="1"/>
    <n v="1"/>
    <n v="1"/>
    <n v="0"/>
    <s v="Medicine staff"/>
    <x v="2"/>
  </r>
  <r>
    <n v="5054767"/>
    <x v="0"/>
    <s v="N"/>
    <s v="Y"/>
    <n v="2"/>
    <x v="11"/>
    <x v="2"/>
    <x v="1"/>
    <x v="1"/>
    <x v="0"/>
    <d v="1981-09-27T00:00:00"/>
    <n v="-15792"/>
    <x v="1200"/>
    <x v="1"/>
    <n v="-6237"/>
    <n v="17.075975359342916"/>
    <x v="1"/>
    <n v="1"/>
    <n v="1"/>
    <n v="1"/>
    <n v="0"/>
    <s v="Medicine staff"/>
    <x v="2"/>
  </r>
  <r>
    <n v="5054774"/>
    <x v="1"/>
    <s v="N"/>
    <s v="Y"/>
    <n v="0"/>
    <x v="8"/>
    <x v="2"/>
    <x v="1"/>
    <x v="1"/>
    <x v="0"/>
    <d v="1966-06-28T00:00:00"/>
    <n v="-21362"/>
    <x v="1201"/>
    <x v="2"/>
    <n v="-1520"/>
    <n v="4.1615331964407938"/>
    <x v="1"/>
    <n v="1"/>
    <n v="0"/>
    <n v="0"/>
    <n v="0"/>
    <s v="Laborers"/>
    <x v="1"/>
  </r>
  <r>
    <n v="5055998"/>
    <x v="0"/>
    <s v="N"/>
    <s v="Y"/>
    <n v="0"/>
    <x v="16"/>
    <x v="2"/>
    <x v="0"/>
    <x v="1"/>
    <x v="0"/>
    <d v="1981-02-18T00:00:00"/>
    <n v="-16013"/>
    <x v="1202"/>
    <x v="1"/>
    <n v="-1517"/>
    <n v="4.1533196440793976"/>
    <x v="1"/>
    <n v="1"/>
    <n v="0"/>
    <n v="1"/>
    <n v="0"/>
    <s v="Cooking staff"/>
    <x v="1"/>
  </r>
  <r>
    <n v="5056021"/>
    <x v="0"/>
    <s v="N"/>
    <s v="Y"/>
    <n v="1"/>
    <x v="30"/>
    <x v="2"/>
    <x v="0"/>
    <x v="1"/>
    <x v="0"/>
    <d v="1987-11-21T00:00:00"/>
    <n v="-13546"/>
    <x v="1203"/>
    <x v="3"/>
    <n v="-3373"/>
    <n v="9.2347707049965777"/>
    <x v="1"/>
    <n v="1"/>
    <n v="0"/>
    <n v="0"/>
    <n v="0"/>
    <s v="Cleaning staff"/>
    <x v="3"/>
  </r>
  <r>
    <n v="5056047"/>
    <x v="0"/>
    <s v="N"/>
    <s v="N"/>
    <n v="0"/>
    <x v="3"/>
    <x v="3"/>
    <x v="0"/>
    <x v="1"/>
    <x v="0"/>
    <d v="1983-04-08T00:00:00"/>
    <n v="-15234"/>
    <x v="1204"/>
    <x v="1"/>
    <n v="-7756"/>
    <n v="21.234770704996578"/>
    <x v="1"/>
    <n v="1"/>
    <n v="0"/>
    <n v="0"/>
    <n v="0"/>
    <s v="Core staff"/>
    <x v="1"/>
  </r>
  <r>
    <n v="5056056"/>
    <x v="1"/>
    <s v="Y"/>
    <s v="Y"/>
    <n v="0"/>
    <x v="1"/>
    <x v="2"/>
    <x v="1"/>
    <x v="1"/>
    <x v="0"/>
    <d v="1973-06-23T00:00:00"/>
    <n v="-18810"/>
    <x v="1205"/>
    <x v="2"/>
    <n v="-3830"/>
    <n v="10.485968514715948"/>
    <x v="1"/>
    <n v="1"/>
    <n v="1"/>
    <n v="0"/>
    <n v="0"/>
    <s v="Laborers"/>
    <x v="1"/>
  </r>
  <r>
    <n v="5056071"/>
    <x v="0"/>
    <s v="N"/>
    <s v="Y"/>
    <n v="0"/>
    <x v="5"/>
    <x v="2"/>
    <x v="1"/>
    <x v="1"/>
    <x v="0"/>
    <d v="1986-06-20T00:00:00"/>
    <n v="-14065"/>
    <x v="1206"/>
    <x v="3"/>
    <n v="-786"/>
    <n v="2.1519507186858315"/>
    <x v="1"/>
    <n v="1"/>
    <n v="1"/>
    <n v="0"/>
    <n v="0"/>
    <s v="Laborers"/>
    <x v="1"/>
  </r>
  <r>
    <n v="5056072"/>
    <x v="1"/>
    <s v="Y"/>
    <s v="Y"/>
    <n v="0"/>
    <x v="5"/>
    <x v="0"/>
    <x v="0"/>
    <x v="1"/>
    <x v="0"/>
    <d v="1957-01-10T00:00:00"/>
    <n v="-24818"/>
    <x v="1207"/>
    <x v="0"/>
    <n v="365243"/>
    <n v="0"/>
    <x v="0"/>
    <n v="1"/>
    <n v="0"/>
    <n v="0"/>
    <n v="0"/>
    <m/>
    <x v="1"/>
  </r>
  <r>
    <n v="5056087"/>
    <x v="0"/>
    <s v="N"/>
    <s v="Y"/>
    <n v="3"/>
    <x v="16"/>
    <x v="3"/>
    <x v="0"/>
    <x v="1"/>
    <x v="0"/>
    <d v="1981-03-03T00:00:00"/>
    <n v="-16000"/>
    <x v="1208"/>
    <x v="1"/>
    <n v="-7401"/>
    <n v="20.262833675564682"/>
    <x v="1"/>
    <n v="1"/>
    <n v="0"/>
    <n v="0"/>
    <n v="0"/>
    <s v="Core staff"/>
    <x v="4"/>
  </r>
  <r>
    <n v="5056095"/>
    <x v="0"/>
    <s v="N"/>
    <s v="Y"/>
    <n v="0"/>
    <x v="2"/>
    <x v="0"/>
    <x v="1"/>
    <x v="1"/>
    <x v="0"/>
    <d v="1962-11-28T00:00:00"/>
    <n v="-22670"/>
    <x v="1209"/>
    <x v="0"/>
    <n v="365243"/>
    <n v="0"/>
    <x v="0"/>
    <n v="1"/>
    <n v="0"/>
    <n v="1"/>
    <n v="0"/>
    <m/>
    <x v="1"/>
  </r>
  <r>
    <n v="5056127"/>
    <x v="1"/>
    <s v="N"/>
    <s v="Y"/>
    <n v="0"/>
    <x v="32"/>
    <x v="2"/>
    <x v="1"/>
    <x v="3"/>
    <x v="0"/>
    <d v="1976-11-15T00:00:00"/>
    <n v="-17569"/>
    <x v="1210"/>
    <x v="1"/>
    <n v="-5148"/>
    <n v="14.094455852156058"/>
    <x v="1"/>
    <n v="1"/>
    <n v="0"/>
    <n v="0"/>
    <n v="0"/>
    <s v="Laborers"/>
    <x v="1"/>
  </r>
  <r>
    <n v="5056135"/>
    <x v="1"/>
    <s v="Y"/>
    <s v="Y"/>
    <n v="0"/>
    <x v="11"/>
    <x v="2"/>
    <x v="2"/>
    <x v="1"/>
    <x v="0"/>
    <d v="1977-10-08T00:00:00"/>
    <n v="-17242"/>
    <x v="1211"/>
    <x v="1"/>
    <n v="-857"/>
    <n v="2.346338124572211"/>
    <x v="1"/>
    <n v="1"/>
    <n v="0"/>
    <n v="1"/>
    <n v="0"/>
    <s v="Security staff"/>
    <x v="1"/>
  </r>
  <r>
    <n v="5056142"/>
    <x v="1"/>
    <s v="Y"/>
    <s v="N"/>
    <n v="0"/>
    <x v="5"/>
    <x v="2"/>
    <x v="1"/>
    <x v="1"/>
    <x v="0"/>
    <d v="1960-11-04T00:00:00"/>
    <n v="-23424"/>
    <x v="1212"/>
    <x v="0"/>
    <n v="-14887"/>
    <n v="40.758384668035589"/>
    <x v="1"/>
    <n v="1"/>
    <n v="0"/>
    <n v="0"/>
    <n v="0"/>
    <s v="Laborers"/>
    <x v="1"/>
  </r>
  <r>
    <n v="5056160"/>
    <x v="0"/>
    <s v="N"/>
    <s v="Y"/>
    <n v="0"/>
    <x v="7"/>
    <x v="2"/>
    <x v="1"/>
    <x v="1"/>
    <x v="0"/>
    <d v="1975-07-06T00:00:00"/>
    <n v="-18067"/>
    <x v="1213"/>
    <x v="1"/>
    <n v="-6517"/>
    <n v="17.842573579739906"/>
    <x v="1"/>
    <n v="1"/>
    <n v="1"/>
    <n v="1"/>
    <n v="1"/>
    <s v="High skill tech staff"/>
    <x v="1"/>
  </r>
  <r>
    <n v="5056176"/>
    <x v="0"/>
    <s v="N"/>
    <s v="Y"/>
    <n v="2"/>
    <x v="36"/>
    <x v="2"/>
    <x v="1"/>
    <x v="3"/>
    <x v="0"/>
    <d v="1997-05-17T00:00:00"/>
    <n v="-10081"/>
    <x v="1214"/>
    <x v="4"/>
    <n v="-249"/>
    <n v="0.68172484599589322"/>
    <x v="1"/>
    <n v="1"/>
    <n v="0"/>
    <n v="0"/>
    <n v="0"/>
    <s v="Sales staff"/>
    <x v="2"/>
  </r>
  <r>
    <n v="5056182"/>
    <x v="0"/>
    <s v="N"/>
    <s v="Y"/>
    <n v="0"/>
    <x v="11"/>
    <x v="1"/>
    <x v="0"/>
    <x v="1"/>
    <x v="0"/>
    <d v="1998-07-09T00:00:00"/>
    <n v="-9663"/>
    <x v="1215"/>
    <x v="4"/>
    <n v="-218"/>
    <n v="0.59685147159479812"/>
    <x v="1"/>
    <n v="1"/>
    <n v="0"/>
    <n v="0"/>
    <n v="0"/>
    <m/>
    <x v="1"/>
  </r>
  <r>
    <n v="5056187"/>
    <x v="1"/>
    <s v="N"/>
    <s v="Y"/>
    <n v="0"/>
    <x v="5"/>
    <x v="2"/>
    <x v="1"/>
    <x v="1"/>
    <x v="0"/>
    <d v="1997-07-05T00:00:00"/>
    <n v="-10032"/>
    <x v="1216"/>
    <x v="4"/>
    <n v="-795"/>
    <n v="2.1765913757700206"/>
    <x v="1"/>
    <n v="1"/>
    <n v="0"/>
    <n v="0"/>
    <n v="0"/>
    <s v="Laborers"/>
    <x v="1"/>
  </r>
  <r>
    <n v="5056200"/>
    <x v="0"/>
    <s v="Y"/>
    <s v="Y"/>
    <n v="0"/>
    <x v="5"/>
    <x v="2"/>
    <x v="0"/>
    <x v="1"/>
    <x v="0"/>
    <d v="1965-01-22T00:00:00"/>
    <n v="-21884"/>
    <x v="1217"/>
    <x v="2"/>
    <n v="-1496"/>
    <n v="4.0958247775496233"/>
    <x v="1"/>
    <n v="1"/>
    <n v="0"/>
    <n v="1"/>
    <n v="0"/>
    <s v="High skill tech staff"/>
    <x v="1"/>
  </r>
  <r>
    <n v="5056238"/>
    <x v="0"/>
    <s v="N"/>
    <s v="Y"/>
    <n v="0"/>
    <x v="98"/>
    <x v="2"/>
    <x v="1"/>
    <x v="1"/>
    <x v="0"/>
    <d v="1990-02-15T00:00:00"/>
    <n v="-12729"/>
    <x v="1218"/>
    <x v="3"/>
    <n v="-4936"/>
    <n v="13.514031485284052"/>
    <x v="1"/>
    <n v="1"/>
    <n v="1"/>
    <n v="0"/>
    <n v="0"/>
    <s v="Cleaning staff"/>
    <x v="1"/>
  </r>
  <r>
    <n v="5058254"/>
    <x v="1"/>
    <s v="N"/>
    <s v="Y"/>
    <n v="1"/>
    <x v="5"/>
    <x v="2"/>
    <x v="1"/>
    <x v="1"/>
    <x v="0"/>
    <d v="2001-07-11T00:00:00"/>
    <n v="-8565"/>
    <x v="1219"/>
    <x v="4"/>
    <n v="-423"/>
    <n v="1.1581108829568789"/>
    <x v="1"/>
    <n v="1"/>
    <n v="0"/>
    <n v="0"/>
    <n v="1"/>
    <s v="Core staff"/>
    <x v="3"/>
  </r>
  <r>
    <n v="5058255"/>
    <x v="1"/>
    <s v="N"/>
    <s v="Y"/>
    <n v="1"/>
    <x v="5"/>
    <x v="2"/>
    <x v="1"/>
    <x v="1"/>
    <x v="0"/>
    <d v="2001-07-11T00:00:00"/>
    <n v="-8565"/>
    <x v="1219"/>
    <x v="4"/>
    <n v="-423"/>
    <n v="1.1581108829568789"/>
    <x v="1"/>
    <n v="1"/>
    <n v="0"/>
    <n v="0"/>
    <n v="1"/>
    <s v="Core staff"/>
    <x v="3"/>
  </r>
  <r>
    <n v="5058256"/>
    <x v="1"/>
    <s v="N"/>
    <s v="Y"/>
    <n v="1"/>
    <x v="5"/>
    <x v="2"/>
    <x v="1"/>
    <x v="1"/>
    <x v="0"/>
    <d v="2001-07-11T00:00:00"/>
    <n v="-8565"/>
    <x v="1219"/>
    <x v="4"/>
    <n v="-423"/>
    <n v="1.1581108829568789"/>
    <x v="1"/>
    <n v="1"/>
    <n v="0"/>
    <n v="0"/>
    <n v="1"/>
    <s v="Core staff"/>
    <x v="3"/>
  </r>
  <r>
    <n v="5058259"/>
    <x v="1"/>
    <s v="N"/>
    <s v="N"/>
    <n v="1"/>
    <x v="8"/>
    <x v="1"/>
    <x v="1"/>
    <x v="1"/>
    <x v="2"/>
    <d v="1976-01-21T00:00:00"/>
    <n v="-17868"/>
    <x v="1220"/>
    <x v="1"/>
    <n v="-1912"/>
    <n v="5.2347707049965777"/>
    <x v="1"/>
    <n v="1"/>
    <n v="0"/>
    <n v="0"/>
    <n v="0"/>
    <s v="Drivers"/>
    <x v="3"/>
  </r>
  <r>
    <n v="5058266"/>
    <x v="1"/>
    <s v="N"/>
    <s v="N"/>
    <n v="1"/>
    <x v="8"/>
    <x v="1"/>
    <x v="1"/>
    <x v="1"/>
    <x v="2"/>
    <d v="1976-01-21T00:00:00"/>
    <n v="-17868"/>
    <x v="1220"/>
    <x v="1"/>
    <n v="-1912"/>
    <n v="5.2347707049965777"/>
    <x v="1"/>
    <n v="1"/>
    <n v="0"/>
    <n v="0"/>
    <n v="0"/>
    <s v="Drivers"/>
    <x v="3"/>
  </r>
  <r>
    <n v="5058273"/>
    <x v="0"/>
    <s v="N"/>
    <s v="Y"/>
    <n v="0"/>
    <x v="1"/>
    <x v="2"/>
    <x v="1"/>
    <x v="1"/>
    <x v="0"/>
    <d v="1971-04-18T00:00:00"/>
    <n v="-19607"/>
    <x v="1221"/>
    <x v="2"/>
    <n v="-4288"/>
    <n v="11.739904175222451"/>
    <x v="1"/>
    <n v="1"/>
    <n v="0"/>
    <n v="0"/>
    <n v="0"/>
    <s v="Low-skill Laborers"/>
    <x v="1"/>
  </r>
  <r>
    <n v="5058280"/>
    <x v="0"/>
    <s v="N"/>
    <s v="Y"/>
    <n v="0"/>
    <x v="38"/>
    <x v="1"/>
    <x v="0"/>
    <x v="1"/>
    <x v="0"/>
    <d v="1984-03-10T00:00:00"/>
    <n v="-14897"/>
    <x v="1222"/>
    <x v="1"/>
    <n v="-3435"/>
    <n v="9.4045174537987677"/>
    <x v="1"/>
    <n v="1"/>
    <n v="1"/>
    <n v="1"/>
    <n v="1"/>
    <m/>
    <x v="1"/>
  </r>
  <r>
    <n v="5058299"/>
    <x v="0"/>
    <s v="N"/>
    <s v="Y"/>
    <n v="0"/>
    <x v="1"/>
    <x v="0"/>
    <x v="1"/>
    <x v="2"/>
    <x v="0"/>
    <d v="1961-08-09T00:00:00"/>
    <n v="-23146"/>
    <x v="1223"/>
    <x v="0"/>
    <n v="365243"/>
    <n v="0"/>
    <x v="0"/>
    <n v="1"/>
    <n v="0"/>
    <n v="0"/>
    <n v="0"/>
    <m/>
    <x v="0"/>
  </r>
  <r>
    <n v="5058308"/>
    <x v="1"/>
    <s v="Y"/>
    <s v="Y"/>
    <n v="0"/>
    <x v="11"/>
    <x v="2"/>
    <x v="1"/>
    <x v="2"/>
    <x v="0"/>
    <d v="1997-08-04T00:00:00"/>
    <n v="-10002"/>
    <x v="1224"/>
    <x v="4"/>
    <n v="-447"/>
    <n v="1.2238193018480492"/>
    <x v="1"/>
    <n v="1"/>
    <n v="0"/>
    <n v="0"/>
    <n v="0"/>
    <s v="Drivers"/>
    <x v="0"/>
  </r>
  <r>
    <n v="5058339"/>
    <x v="0"/>
    <s v="N"/>
    <s v="Y"/>
    <n v="0"/>
    <x v="64"/>
    <x v="2"/>
    <x v="1"/>
    <x v="1"/>
    <x v="0"/>
    <d v="1970-07-03T00:00:00"/>
    <n v="-19896"/>
    <x v="1225"/>
    <x v="2"/>
    <n v="-1574"/>
    <n v="4.3093771389459272"/>
    <x v="1"/>
    <n v="1"/>
    <n v="1"/>
    <n v="0"/>
    <n v="0"/>
    <s v="High skill tech staff"/>
    <x v="1"/>
  </r>
  <r>
    <n v="5058342"/>
    <x v="0"/>
    <s v="N"/>
    <s v="Y"/>
    <n v="0"/>
    <x v="64"/>
    <x v="2"/>
    <x v="1"/>
    <x v="1"/>
    <x v="0"/>
    <d v="1970-07-03T00:00:00"/>
    <n v="-19896"/>
    <x v="1225"/>
    <x v="2"/>
    <n v="-1574"/>
    <n v="4.3093771389459272"/>
    <x v="1"/>
    <n v="1"/>
    <n v="1"/>
    <n v="0"/>
    <n v="0"/>
    <s v="High skill tech staff"/>
    <x v="1"/>
  </r>
  <r>
    <n v="5058359"/>
    <x v="1"/>
    <s v="Y"/>
    <s v="N"/>
    <n v="0"/>
    <x v="72"/>
    <x v="1"/>
    <x v="1"/>
    <x v="2"/>
    <x v="1"/>
    <d v="1996-03-25T00:00:00"/>
    <n v="-10499"/>
    <x v="1226"/>
    <x v="4"/>
    <n v="-1727"/>
    <n v="4.7282683093771389"/>
    <x v="1"/>
    <n v="1"/>
    <n v="0"/>
    <n v="0"/>
    <n v="0"/>
    <s v="Sales staff"/>
    <x v="0"/>
  </r>
  <r>
    <n v="5058365"/>
    <x v="0"/>
    <s v="N"/>
    <s v="Y"/>
    <n v="0"/>
    <x v="68"/>
    <x v="0"/>
    <x v="1"/>
    <x v="0"/>
    <x v="0"/>
    <d v="1966-03-06T00:00:00"/>
    <n v="-21476"/>
    <x v="1227"/>
    <x v="2"/>
    <n v="365243"/>
    <n v="0"/>
    <x v="0"/>
    <n v="1"/>
    <n v="0"/>
    <n v="0"/>
    <n v="0"/>
    <m/>
    <x v="0"/>
  </r>
  <r>
    <n v="5058395"/>
    <x v="1"/>
    <s v="N"/>
    <s v="Y"/>
    <n v="0"/>
    <x v="43"/>
    <x v="0"/>
    <x v="0"/>
    <x v="1"/>
    <x v="0"/>
    <d v="1966-05-11T00:00:00"/>
    <n v="-21410"/>
    <x v="1228"/>
    <x v="2"/>
    <n v="365243"/>
    <n v="0"/>
    <x v="0"/>
    <n v="1"/>
    <n v="0"/>
    <n v="0"/>
    <n v="0"/>
    <m/>
    <x v="1"/>
  </r>
  <r>
    <n v="5058400"/>
    <x v="0"/>
    <s v="N"/>
    <s v="Y"/>
    <n v="0"/>
    <x v="58"/>
    <x v="2"/>
    <x v="1"/>
    <x v="1"/>
    <x v="0"/>
    <d v="1973-11-29T00:00:00"/>
    <n v="-18651"/>
    <x v="1229"/>
    <x v="2"/>
    <n v="-7752"/>
    <n v="21.223819301848049"/>
    <x v="1"/>
    <n v="1"/>
    <n v="1"/>
    <n v="1"/>
    <n v="0"/>
    <m/>
    <x v="1"/>
  </r>
  <r>
    <n v="5058403"/>
    <x v="0"/>
    <s v="N"/>
    <s v="Y"/>
    <n v="0"/>
    <x v="58"/>
    <x v="2"/>
    <x v="1"/>
    <x v="1"/>
    <x v="0"/>
    <d v="1973-11-29T00:00:00"/>
    <n v="-18651"/>
    <x v="1229"/>
    <x v="2"/>
    <n v="-7752"/>
    <n v="21.223819301848049"/>
    <x v="1"/>
    <n v="1"/>
    <n v="1"/>
    <n v="1"/>
    <n v="0"/>
    <m/>
    <x v="1"/>
  </r>
  <r>
    <n v="5058426"/>
    <x v="0"/>
    <s v="N"/>
    <s v="Y"/>
    <n v="1"/>
    <x v="68"/>
    <x v="3"/>
    <x v="1"/>
    <x v="1"/>
    <x v="0"/>
    <d v="1986-07-27T00:00:00"/>
    <n v="-14028"/>
    <x v="1230"/>
    <x v="3"/>
    <n v="-3277"/>
    <n v="8.9719370294318956"/>
    <x v="1"/>
    <n v="1"/>
    <n v="0"/>
    <n v="0"/>
    <n v="0"/>
    <s v="Core staff"/>
    <x v="3"/>
  </r>
  <r>
    <n v="5058429"/>
    <x v="0"/>
    <s v="Y"/>
    <s v="N"/>
    <n v="1"/>
    <x v="12"/>
    <x v="1"/>
    <x v="0"/>
    <x v="1"/>
    <x v="0"/>
    <d v="1985-04-07T00:00:00"/>
    <n v="-14504"/>
    <x v="1231"/>
    <x v="3"/>
    <n v="-2518"/>
    <n v="6.8939082819986313"/>
    <x v="1"/>
    <n v="1"/>
    <n v="0"/>
    <n v="0"/>
    <n v="0"/>
    <s v="Accountants"/>
    <x v="3"/>
  </r>
  <r>
    <n v="5058439"/>
    <x v="0"/>
    <s v="Y"/>
    <s v="Y"/>
    <n v="0"/>
    <x v="1"/>
    <x v="1"/>
    <x v="0"/>
    <x v="1"/>
    <x v="0"/>
    <d v="1967-09-12T00:00:00"/>
    <n v="-20921"/>
    <x v="1232"/>
    <x v="2"/>
    <n v="-113"/>
    <n v="0.30937713894592744"/>
    <x v="1"/>
    <n v="1"/>
    <n v="0"/>
    <n v="0"/>
    <n v="0"/>
    <s v="Sales staff"/>
    <x v="1"/>
  </r>
  <r>
    <n v="5058450"/>
    <x v="0"/>
    <s v="N"/>
    <s v="Y"/>
    <n v="0"/>
    <x v="36"/>
    <x v="3"/>
    <x v="1"/>
    <x v="1"/>
    <x v="0"/>
    <d v="1986-12-08T00:00:00"/>
    <n v="-13894"/>
    <x v="1233"/>
    <x v="3"/>
    <n v="-2457"/>
    <n v="6.7268993839835725"/>
    <x v="1"/>
    <n v="1"/>
    <n v="0"/>
    <n v="0"/>
    <n v="0"/>
    <s v="Core staff"/>
    <x v="1"/>
  </r>
  <r>
    <n v="5058464"/>
    <x v="0"/>
    <s v="N"/>
    <s v="Y"/>
    <n v="2"/>
    <x v="8"/>
    <x v="1"/>
    <x v="1"/>
    <x v="3"/>
    <x v="0"/>
    <d v="1990-10-16T00:00:00"/>
    <n v="-12486"/>
    <x v="1234"/>
    <x v="3"/>
    <n v="-1816"/>
    <n v="4.9719370294318956"/>
    <x v="1"/>
    <n v="1"/>
    <n v="0"/>
    <n v="0"/>
    <n v="0"/>
    <s v="Laborers"/>
    <x v="2"/>
  </r>
  <r>
    <n v="5058484"/>
    <x v="1"/>
    <s v="N"/>
    <s v="N"/>
    <n v="0"/>
    <x v="18"/>
    <x v="2"/>
    <x v="1"/>
    <x v="2"/>
    <x v="0"/>
    <d v="1983-04-29T00:00:00"/>
    <n v="-15213"/>
    <x v="1235"/>
    <x v="1"/>
    <n v="-1331"/>
    <n v="3.6440793976728267"/>
    <x v="1"/>
    <n v="1"/>
    <n v="0"/>
    <n v="0"/>
    <n v="0"/>
    <s v="Drivers"/>
    <x v="0"/>
  </r>
  <r>
    <n v="5058529"/>
    <x v="1"/>
    <s v="N"/>
    <s v="N"/>
    <n v="0"/>
    <x v="114"/>
    <x v="2"/>
    <x v="1"/>
    <x v="2"/>
    <x v="4"/>
    <d v="1999-09-03T00:00:00"/>
    <n v="-9242"/>
    <x v="897"/>
    <x v="4"/>
    <n v="-508"/>
    <n v="1.3908281998631074"/>
    <x v="1"/>
    <n v="1"/>
    <n v="0"/>
    <n v="0"/>
    <n v="0"/>
    <s v="Sales staff"/>
    <x v="0"/>
  </r>
  <r>
    <n v="5058544"/>
    <x v="1"/>
    <s v="Y"/>
    <s v="Y"/>
    <n v="0"/>
    <x v="1"/>
    <x v="0"/>
    <x v="1"/>
    <x v="1"/>
    <x v="0"/>
    <d v="1960-06-18T00:00:00"/>
    <n v="-23563"/>
    <x v="1236"/>
    <x v="0"/>
    <n v="365243"/>
    <n v="0"/>
    <x v="0"/>
    <n v="1"/>
    <n v="0"/>
    <n v="1"/>
    <n v="0"/>
    <m/>
    <x v="1"/>
  </r>
  <r>
    <n v="5058545"/>
    <x v="1"/>
    <s v="Y"/>
    <s v="Y"/>
    <n v="0"/>
    <x v="1"/>
    <x v="0"/>
    <x v="1"/>
    <x v="1"/>
    <x v="0"/>
    <d v="1960-06-18T00:00:00"/>
    <n v="-23563"/>
    <x v="1236"/>
    <x v="0"/>
    <n v="365243"/>
    <n v="0"/>
    <x v="0"/>
    <n v="1"/>
    <n v="0"/>
    <n v="1"/>
    <n v="0"/>
    <m/>
    <x v="1"/>
  </r>
  <r>
    <n v="5061068"/>
    <x v="1"/>
    <s v="Y"/>
    <s v="N"/>
    <n v="0"/>
    <x v="87"/>
    <x v="0"/>
    <x v="0"/>
    <x v="1"/>
    <x v="0"/>
    <d v="1964-12-24T00:00:00"/>
    <n v="-21913"/>
    <x v="1237"/>
    <x v="2"/>
    <n v="365243"/>
    <n v="0"/>
    <x v="0"/>
    <n v="1"/>
    <n v="0"/>
    <n v="1"/>
    <n v="0"/>
    <m/>
    <x v="1"/>
  </r>
  <r>
    <n v="5061081"/>
    <x v="1"/>
    <s v="N"/>
    <s v="N"/>
    <n v="0"/>
    <x v="18"/>
    <x v="2"/>
    <x v="0"/>
    <x v="1"/>
    <x v="0"/>
    <d v="1995-08-03T00:00:00"/>
    <n v="-10734"/>
    <x v="1238"/>
    <x v="4"/>
    <n v="-2511"/>
    <n v="6.8747433264887068"/>
    <x v="1"/>
    <n v="1"/>
    <n v="0"/>
    <n v="1"/>
    <n v="0"/>
    <m/>
    <x v="1"/>
  </r>
  <r>
    <n v="5061082"/>
    <x v="1"/>
    <s v="N"/>
    <s v="N"/>
    <n v="0"/>
    <x v="18"/>
    <x v="2"/>
    <x v="0"/>
    <x v="1"/>
    <x v="0"/>
    <d v="1995-08-03T00:00:00"/>
    <n v="-10734"/>
    <x v="1238"/>
    <x v="4"/>
    <n v="-2511"/>
    <n v="6.8747433264887068"/>
    <x v="1"/>
    <n v="1"/>
    <n v="0"/>
    <n v="1"/>
    <n v="0"/>
    <m/>
    <x v="1"/>
  </r>
  <r>
    <n v="5061083"/>
    <x v="0"/>
    <s v="N"/>
    <s v="N"/>
    <n v="0"/>
    <x v="5"/>
    <x v="3"/>
    <x v="1"/>
    <x v="4"/>
    <x v="0"/>
    <d v="1969-03-23T00:00:00"/>
    <n v="-20363"/>
    <x v="1239"/>
    <x v="2"/>
    <n v="-6679"/>
    <n v="18.286105407255306"/>
    <x v="1"/>
    <n v="1"/>
    <n v="1"/>
    <n v="0"/>
    <n v="0"/>
    <s v="Cleaning staff"/>
    <x v="0"/>
  </r>
  <r>
    <n v="5061084"/>
    <x v="0"/>
    <s v="N"/>
    <s v="N"/>
    <n v="0"/>
    <x v="5"/>
    <x v="3"/>
    <x v="1"/>
    <x v="4"/>
    <x v="0"/>
    <d v="1969-03-23T00:00:00"/>
    <n v="-20363"/>
    <x v="1239"/>
    <x v="2"/>
    <n v="-6679"/>
    <n v="18.286105407255306"/>
    <x v="1"/>
    <n v="1"/>
    <n v="1"/>
    <n v="0"/>
    <n v="0"/>
    <s v="Cleaning staff"/>
    <x v="0"/>
  </r>
  <r>
    <n v="5061095"/>
    <x v="0"/>
    <s v="N"/>
    <s v="Y"/>
    <n v="1"/>
    <x v="16"/>
    <x v="2"/>
    <x v="1"/>
    <x v="3"/>
    <x v="0"/>
    <d v="1983-12-21T00:00:00"/>
    <n v="-14977"/>
    <x v="1240"/>
    <x v="1"/>
    <n v="-6772"/>
    <n v="18.540725530458591"/>
    <x v="1"/>
    <n v="1"/>
    <n v="0"/>
    <n v="0"/>
    <n v="1"/>
    <s v="Laborers"/>
    <x v="3"/>
  </r>
  <r>
    <n v="5061099"/>
    <x v="1"/>
    <s v="Y"/>
    <s v="Y"/>
    <n v="0"/>
    <x v="2"/>
    <x v="1"/>
    <x v="1"/>
    <x v="2"/>
    <x v="0"/>
    <d v="1998-10-28T00:00:00"/>
    <n v="-9552"/>
    <x v="1241"/>
    <x v="4"/>
    <n v="-1567"/>
    <n v="4.2902121834360027"/>
    <x v="1"/>
    <n v="1"/>
    <n v="0"/>
    <n v="0"/>
    <n v="0"/>
    <s v="Cooking staff"/>
    <x v="0"/>
  </r>
  <r>
    <n v="5061101"/>
    <x v="1"/>
    <s v="Y"/>
    <s v="Y"/>
    <n v="0"/>
    <x v="2"/>
    <x v="1"/>
    <x v="1"/>
    <x v="2"/>
    <x v="0"/>
    <d v="1998-10-28T00:00:00"/>
    <n v="-9552"/>
    <x v="1241"/>
    <x v="4"/>
    <n v="-1567"/>
    <n v="4.2902121834360027"/>
    <x v="1"/>
    <n v="1"/>
    <n v="0"/>
    <n v="0"/>
    <n v="0"/>
    <s v="Cooking staff"/>
    <x v="0"/>
  </r>
  <r>
    <n v="5061102"/>
    <x v="1"/>
    <s v="Y"/>
    <s v="N"/>
    <n v="2"/>
    <x v="25"/>
    <x v="2"/>
    <x v="1"/>
    <x v="1"/>
    <x v="0"/>
    <d v="1989-05-31T00:00:00"/>
    <n v="-12989"/>
    <x v="1242"/>
    <x v="3"/>
    <n v="-1598"/>
    <n v="4.3750855578370977"/>
    <x v="1"/>
    <n v="1"/>
    <n v="1"/>
    <n v="1"/>
    <n v="0"/>
    <s v="Core staff"/>
    <x v="2"/>
  </r>
  <r>
    <n v="5061110"/>
    <x v="1"/>
    <s v="N"/>
    <s v="Y"/>
    <n v="0"/>
    <x v="2"/>
    <x v="2"/>
    <x v="0"/>
    <x v="3"/>
    <x v="0"/>
    <d v="1970-03-13T00:00:00"/>
    <n v="-20008"/>
    <x v="1243"/>
    <x v="2"/>
    <n v="-5585"/>
    <n v="15.290896646132786"/>
    <x v="1"/>
    <n v="1"/>
    <n v="0"/>
    <n v="0"/>
    <n v="0"/>
    <s v="Security staff"/>
    <x v="1"/>
  </r>
  <r>
    <n v="5061115"/>
    <x v="1"/>
    <s v="N"/>
    <s v="Y"/>
    <n v="0"/>
    <x v="2"/>
    <x v="2"/>
    <x v="0"/>
    <x v="3"/>
    <x v="0"/>
    <d v="1970-03-13T00:00:00"/>
    <n v="-20008"/>
    <x v="1243"/>
    <x v="2"/>
    <n v="-5585"/>
    <n v="15.290896646132786"/>
    <x v="1"/>
    <n v="1"/>
    <n v="0"/>
    <n v="0"/>
    <n v="0"/>
    <s v="Security staff"/>
    <x v="1"/>
  </r>
  <r>
    <n v="5061117"/>
    <x v="1"/>
    <s v="N"/>
    <s v="Y"/>
    <n v="0"/>
    <x v="2"/>
    <x v="2"/>
    <x v="0"/>
    <x v="3"/>
    <x v="0"/>
    <d v="1970-03-13T00:00:00"/>
    <n v="-20008"/>
    <x v="1243"/>
    <x v="2"/>
    <n v="-5585"/>
    <n v="15.290896646132786"/>
    <x v="1"/>
    <n v="1"/>
    <n v="0"/>
    <n v="0"/>
    <n v="0"/>
    <s v="Security staff"/>
    <x v="1"/>
  </r>
  <r>
    <n v="5061132"/>
    <x v="1"/>
    <s v="N"/>
    <s v="Y"/>
    <n v="0"/>
    <x v="1"/>
    <x v="3"/>
    <x v="0"/>
    <x v="1"/>
    <x v="0"/>
    <d v="1972-08-24T00:00:00"/>
    <n v="-19113"/>
    <x v="1244"/>
    <x v="2"/>
    <n v="-2816"/>
    <n v="7.7097878165639973"/>
    <x v="1"/>
    <n v="1"/>
    <n v="0"/>
    <n v="1"/>
    <n v="0"/>
    <s v="Core staff"/>
    <x v="1"/>
  </r>
  <r>
    <n v="5061136"/>
    <x v="0"/>
    <s v="N"/>
    <s v="Y"/>
    <n v="2"/>
    <x v="73"/>
    <x v="2"/>
    <x v="0"/>
    <x v="1"/>
    <x v="0"/>
    <d v="1986-01-08T00:00:00"/>
    <n v="-14228"/>
    <x v="1245"/>
    <x v="3"/>
    <n v="-5950"/>
    <n v="16.290212183436001"/>
    <x v="1"/>
    <n v="1"/>
    <n v="0"/>
    <n v="0"/>
    <n v="0"/>
    <s v="Core staff"/>
    <x v="2"/>
  </r>
  <r>
    <n v="5061140"/>
    <x v="0"/>
    <s v="Y"/>
    <s v="Y"/>
    <n v="0"/>
    <x v="30"/>
    <x v="0"/>
    <x v="1"/>
    <x v="1"/>
    <x v="0"/>
    <d v="1966-03-28T00:00:00"/>
    <n v="-21454"/>
    <x v="1246"/>
    <x v="2"/>
    <n v="365243"/>
    <n v="0"/>
    <x v="0"/>
    <n v="1"/>
    <n v="0"/>
    <n v="0"/>
    <n v="0"/>
    <m/>
    <x v="1"/>
  </r>
  <r>
    <n v="5061142"/>
    <x v="0"/>
    <s v="Y"/>
    <s v="Y"/>
    <n v="0"/>
    <x v="30"/>
    <x v="0"/>
    <x v="1"/>
    <x v="1"/>
    <x v="0"/>
    <d v="1966-03-28T00:00:00"/>
    <n v="-21454"/>
    <x v="1246"/>
    <x v="2"/>
    <n v="365243"/>
    <n v="0"/>
    <x v="0"/>
    <n v="1"/>
    <n v="0"/>
    <n v="0"/>
    <n v="0"/>
    <m/>
    <x v="1"/>
  </r>
  <r>
    <n v="5061169"/>
    <x v="1"/>
    <s v="Y"/>
    <s v="Y"/>
    <n v="3"/>
    <x v="11"/>
    <x v="2"/>
    <x v="1"/>
    <x v="1"/>
    <x v="0"/>
    <d v="1988-07-24T00:00:00"/>
    <n v="-13300"/>
    <x v="1247"/>
    <x v="3"/>
    <n v="-3668"/>
    <n v="10.042436687200547"/>
    <x v="1"/>
    <n v="1"/>
    <n v="0"/>
    <n v="1"/>
    <n v="0"/>
    <m/>
    <x v="4"/>
  </r>
  <r>
    <n v="5061182"/>
    <x v="1"/>
    <s v="Y"/>
    <s v="Y"/>
    <n v="0"/>
    <x v="1"/>
    <x v="2"/>
    <x v="1"/>
    <x v="1"/>
    <x v="0"/>
    <d v="1990-06-08T00:00:00"/>
    <n v="-12616"/>
    <x v="920"/>
    <x v="3"/>
    <n v="-777"/>
    <n v="2.1273100616016429"/>
    <x v="1"/>
    <n v="1"/>
    <n v="0"/>
    <n v="0"/>
    <n v="0"/>
    <s v="Laborers"/>
    <x v="1"/>
  </r>
  <r>
    <n v="5061187"/>
    <x v="0"/>
    <s v="N"/>
    <s v="Y"/>
    <n v="1"/>
    <x v="16"/>
    <x v="3"/>
    <x v="0"/>
    <x v="1"/>
    <x v="0"/>
    <d v="1994-12-11T00:00:00"/>
    <n v="-10969"/>
    <x v="1248"/>
    <x v="3"/>
    <n v="-3485"/>
    <n v="9.5414099931553729"/>
    <x v="1"/>
    <n v="1"/>
    <n v="0"/>
    <n v="0"/>
    <n v="1"/>
    <s v="High skill tech staff"/>
    <x v="3"/>
  </r>
  <r>
    <n v="5061190"/>
    <x v="0"/>
    <s v="N"/>
    <s v="Y"/>
    <n v="1"/>
    <x v="16"/>
    <x v="3"/>
    <x v="0"/>
    <x v="1"/>
    <x v="0"/>
    <d v="1994-12-11T00:00:00"/>
    <n v="-10969"/>
    <x v="1248"/>
    <x v="3"/>
    <n v="-3485"/>
    <n v="9.5414099931553729"/>
    <x v="1"/>
    <n v="1"/>
    <n v="0"/>
    <n v="0"/>
    <n v="1"/>
    <s v="High skill tech staff"/>
    <x v="3"/>
  </r>
  <r>
    <n v="5061191"/>
    <x v="0"/>
    <s v="N"/>
    <s v="Y"/>
    <n v="1"/>
    <x v="16"/>
    <x v="3"/>
    <x v="0"/>
    <x v="1"/>
    <x v="0"/>
    <d v="1994-12-11T00:00:00"/>
    <n v="-10969"/>
    <x v="1248"/>
    <x v="3"/>
    <n v="-3485"/>
    <n v="9.5414099931553729"/>
    <x v="1"/>
    <n v="1"/>
    <n v="0"/>
    <n v="0"/>
    <n v="1"/>
    <s v="High skill tech staff"/>
    <x v="3"/>
  </r>
  <r>
    <n v="5061196"/>
    <x v="0"/>
    <s v="N"/>
    <s v="Y"/>
    <n v="1"/>
    <x v="1"/>
    <x v="2"/>
    <x v="1"/>
    <x v="3"/>
    <x v="2"/>
    <d v="1993-04-22T00:00:00"/>
    <n v="-11567"/>
    <x v="1249"/>
    <x v="3"/>
    <n v="-655"/>
    <n v="1.7932922655715264"/>
    <x v="1"/>
    <n v="1"/>
    <n v="0"/>
    <n v="0"/>
    <n v="1"/>
    <s v="Sales staff"/>
    <x v="3"/>
  </r>
  <r>
    <n v="5061220"/>
    <x v="0"/>
    <s v="Y"/>
    <s v="Y"/>
    <n v="0"/>
    <x v="5"/>
    <x v="2"/>
    <x v="1"/>
    <x v="1"/>
    <x v="0"/>
    <d v="1967-12-11T00:00:00"/>
    <n v="-20831"/>
    <x v="1250"/>
    <x v="2"/>
    <n v="-1142"/>
    <n v="3.1266255989048597"/>
    <x v="1"/>
    <n v="1"/>
    <n v="0"/>
    <n v="0"/>
    <n v="1"/>
    <s v="Cleaning staff"/>
    <x v="1"/>
  </r>
  <r>
    <n v="5061222"/>
    <x v="0"/>
    <s v="Y"/>
    <s v="Y"/>
    <n v="0"/>
    <x v="5"/>
    <x v="2"/>
    <x v="1"/>
    <x v="1"/>
    <x v="0"/>
    <d v="1967-12-11T00:00:00"/>
    <n v="-20831"/>
    <x v="1250"/>
    <x v="2"/>
    <n v="-1142"/>
    <n v="3.1266255989048597"/>
    <x v="1"/>
    <n v="1"/>
    <n v="0"/>
    <n v="0"/>
    <n v="1"/>
    <s v="Cleaning staff"/>
    <x v="1"/>
  </r>
  <r>
    <n v="5061224"/>
    <x v="0"/>
    <s v="Y"/>
    <s v="Y"/>
    <n v="0"/>
    <x v="5"/>
    <x v="2"/>
    <x v="1"/>
    <x v="1"/>
    <x v="0"/>
    <d v="1967-12-11T00:00:00"/>
    <n v="-20831"/>
    <x v="1250"/>
    <x v="2"/>
    <n v="-1142"/>
    <n v="3.1266255989048597"/>
    <x v="1"/>
    <n v="1"/>
    <n v="0"/>
    <n v="0"/>
    <n v="1"/>
    <s v="Cleaning staff"/>
    <x v="1"/>
  </r>
  <r>
    <n v="5061232"/>
    <x v="1"/>
    <s v="Y"/>
    <s v="Y"/>
    <n v="0"/>
    <x v="115"/>
    <x v="2"/>
    <x v="0"/>
    <x v="1"/>
    <x v="0"/>
    <d v="1978-08-02T00:00:00"/>
    <n v="-16944"/>
    <x v="1251"/>
    <x v="1"/>
    <n v="-1324"/>
    <n v="3.6249144421629023"/>
    <x v="1"/>
    <n v="1"/>
    <n v="0"/>
    <n v="0"/>
    <n v="0"/>
    <s v="Drivers"/>
    <x v="1"/>
  </r>
  <r>
    <n v="5061244"/>
    <x v="0"/>
    <s v="N"/>
    <s v="Y"/>
    <n v="0"/>
    <x v="16"/>
    <x v="0"/>
    <x v="0"/>
    <x v="1"/>
    <x v="0"/>
    <d v="1965-01-25T00:00:00"/>
    <n v="-21881"/>
    <x v="1252"/>
    <x v="2"/>
    <n v="365243"/>
    <n v="0"/>
    <x v="0"/>
    <n v="1"/>
    <n v="0"/>
    <n v="0"/>
    <n v="0"/>
    <m/>
    <x v="1"/>
  </r>
  <r>
    <n v="5061261"/>
    <x v="1"/>
    <s v="N"/>
    <s v="Y"/>
    <n v="1"/>
    <x v="8"/>
    <x v="2"/>
    <x v="1"/>
    <x v="3"/>
    <x v="0"/>
    <d v="1994-05-11T00:00:00"/>
    <n v="-11183"/>
    <x v="1253"/>
    <x v="3"/>
    <n v="-320"/>
    <n v="0.87611225188227237"/>
    <x v="1"/>
    <n v="1"/>
    <n v="1"/>
    <n v="1"/>
    <n v="0"/>
    <s v="Drivers"/>
    <x v="3"/>
  </r>
  <r>
    <n v="5061280"/>
    <x v="1"/>
    <s v="N"/>
    <s v="N"/>
    <n v="0"/>
    <x v="5"/>
    <x v="2"/>
    <x v="1"/>
    <x v="1"/>
    <x v="0"/>
    <d v="1986-04-16T00:00:00"/>
    <n v="-14130"/>
    <x v="1254"/>
    <x v="3"/>
    <n v="-2877"/>
    <n v="7.8767967145790552"/>
    <x v="1"/>
    <n v="1"/>
    <n v="1"/>
    <n v="1"/>
    <n v="1"/>
    <s v="Private service staff"/>
    <x v="1"/>
  </r>
  <r>
    <n v="5061306"/>
    <x v="0"/>
    <s v="N"/>
    <s v="N"/>
    <n v="0"/>
    <x v="37"/>
    <x v="2"/>
    <x v="1"/>
    <x v="1"/>
    <x v="2"/>
    <d v="1982-01-22T00:00:00"/>
    <n v="-15675"/>
    <x v="108"/>
    <x v="1"/>
    <n v="-8691"/>
    <n v="23.794661190965094"/>
    <x v="1"/>
    <n v="1"/>
    <n v="1"/>
    <n v="1"/>
    <n v="0"/>
    <s v="Medicine staff"/>
    <x v="1"/>
  </r>
  <r>
    <n v="5061311"/>
    <x v="0"/>
    <s v="N"/>
    <s v="Y"/>
    <n v="0"/>
    <x v="11"/>
    <x v="2"/>
    <x v="1"/>
    <x v="1"/>
    <x v="0"/>
    <d v="1972-02-02T00:00:00"/>
    <n v="-19317"/>
    <x v="1255"/>
    <x v="2"/>
    <n v="-6590"/>
    <n v="18.042436687200549"/>
    <x v="1"/>
    <n v="1"/>
    <n v="1"/>
    <n v="1"/>
    <n v="1"/>
    <s v="Laborers"/>
    <x v="1"/>
  </r>
  <r>
    <n v="5061315"/>
    <x v="0"/>
    <s v="N"/>
    <s v="Y"/>
    <n v="0"/>
    <x v="11"/>
    <x v="2"/>
    <x v="1"/>
    <x v="1"/>
    <x v="0"/>
    <d v="1972-02-02T00:00:00"/>
    <n v="-19317"/>
    <x v="1255"/>
    <x v="2"/>
    <n v="-6590"/>
    <n v="18.042436687200549"/>
    <x v="1"/>
    <n v="1"/>
    <n v="1"/>
    <n v="1"/>
    <n v="1"/>
    <s v="Laborers"/>
    <x v="1"/>
  </r>
  <r>
    <n v="5061320"/>
    <x v="0"/>
    <s v="Y"/>
    <s v="Y"/>
    <n v="1"/>
    <x v="97"/>
    <x v="3"/>
    <x v="0"/>
    <x v="1"/>
    <x v="0"/>
    <d v="1983-10-09T00:00:00"/>
    <n v="-15050"/>
    <x v="1256"/>
    <x v="1"/>
    <n v="-1628"/>
    <n v="4.4572210814510607"/>
    <x v="1"/>
    <n v="1"/>
    <n v="0"/>
    <n v="0"/>
    <n v="0"/>
    <s v="Managers"/>
    <x v="3"/>
  </r>
  <r>
    <n v="5061359"/>
    <x v="1"/>
    <s v="N"/>
    <s v="Y"/>
    <n v="0"/>
    <x v="44"/>
    <x v="0"/>
    <x v="0"/>
    <x v="1"/>
    <x v="0"/>
    <d v="1967-10-31T00:00:00"/>
    <n v="-20872"/>
    <x v="1257"/>
    <x v="2"/>
    <n v="365243"/>
    <n v="0"/>
    <x v="0"/>
    <n v="1"/>
    <n v="0"/>
    <n v="0"/>
    <n v="0"/>
    <m/>
    <x v="1"/>
  </r>
  <r>
    <n v="5061363"/>
    <x v="1"/>
    <s v="Y"/>
    <s v="Y"/>
    <n v="0"/>
    <x v="16"/>
    <x v="2"/>
    <x v="0"/>
    <x v="2"/>
    <x v="0"/>
    <d v="1999-02-22T00:00:00"/>
    <n v="-9435"/>
    <x v="1258"/>
    <x v="4"/>
    <n v="-532"/>
    <n v="1.4565366187542779"/>
    <x v="1"/>
    <n v="1"/>
    <n v="0"/>
    <n v="0"/>
    <n v="0"/>
    <s v="Drivers"/>
    <x v="0"/>
  </r>
  <r>
    <n v="5061371"/>
    <x v="0"/>
    <s v="N"/>
    <s v="Y"/>
    <n v="1"/>
    <x v="1"/>
    <x v="2"/>
    <x v="1"/>
    <x v="2"/>
    <x v="0"/>
    <d v="1978-03-31T00:00:00"/>
    <n v="-17068"/>
    <x v="1259"/>
    <x v="1"/>
    <n v="-8325"/>
    <n v="22.792607802874745"/>
    <x v="1"/>
    <n v="1"/>
    <n v="0"/>
    <n v="0"/>
    <n v="0"/>
    <s v="Laborers"/>
    <x v="1"/>
  </r>
  <r>
    <n v="5061388"/>
    <x v="0"/>
    <s v="Y"/>
    <s v="Y"/>
    <n v="1"/>
    <x v="8"/>
    <x v="3"/>
    <x v="1"/>
    <x v="1"/>
    <x v="0"/>
    <d v="1987-08-10T00:00:00"/>
    <n v="-13649"/>
    <x v="1260"/>
    <x v="3"/>
    <n v="-1477"/>
    <n v="4.043805612594114"/>
    <x v="1"/>
    <n v="1"/>
    <n v="0"/>
    <n v="0"/>
    <n v="1"/>
    <s v="Medicine staff"/>
    <x v="3"/>
  </r>
  <r>
    <n v="5061391"/>
    <x v="0"/>
    <s v="N"/>
    <s v="Y"/>
    <n v="0"/>
    <x v="30"/>
    <x v="0"/>
    <x v="1"/>
    <x v="4"/>
    <x v="0"/>
    <d v="1967-04-30T00:00:00"/>
    <n v="-21056"/>
    <x v="1261"/>
    <x v="2"/>
    <n v="365243"/>
    <n v="0"/>
    <x v="0"/>
    <n v="1"/>
    <n v="0"/>
    <n v="1"/>
    <n v="0"/>
    <m/>
    <x v="0"/>
  </r>
  <r>
    <n v="5061393"/>
    <x v="0"/>
    <s v="N"/>
    <s v="Y"/>
    <n v="0"/>
    <x v="30"/>
    <x v="0"/>
    <x v="1"/>
    <x v="4"/>
    <x v="0"/>
    <d v="1967-04-30T00:00:00"/>
    <n v="-21056"/>
    <x v="1261"/>
    <x v="2"/>
    <n v="365243"/>
    <n v="0"/>
    <x v="0"/>
    <n v="1"/>
    <n v="0"/>
    <n v="1"/>
    <n v="0"/>
    <m/>
    <x v="0"/>
  </r>
  <r>
    <n v="5061396"/>
    <x v="1"/>
    <s v="N"/>
    <s v="Y"/>
    <n v="0"/>
    <x v="116"/>
    <x v="0"/>
    <x v="3"/>
    <x v="1"/>
    <x v="0"/>
    <d v="1960-11-05T00:00:00"/>
    <n v="-23423"/>
    <x v="1262"/>
    <x v="0"/>
    <n v="365243"/>
    <n v="0"/>
    <x v="0"/>
    <n v="1"/>
    <n v="0"/>
    <n v="0"/>
    <n v="0"/>
    <m/>
    <x v="1"/>
  </r>
  <r>
    <n v="5061405"/>
    <x v="0"/>
    <s v="Y"/>
    <s v="Y"/>
    <n v="2"/>
    <x v="16"/>
    <x v="2"/>
    <x v="1"/>
    <x v="1"/>
    <x v="0"/>
    <d v="1989-05-06T00:00:00"/>
    <n v="-13014"/>
    <x v="1263"/>
    <x v="3"/>
    <n v="-1386"/>
    <n v="3.7946611909650922"/>
    <x v="1"/>
    <n v="1"/>
    <n v="0"/>
    <n v="0"/>
    <n v="1"/>
    <s v="Laborers"/>
    <x v="2"/>
  </r>
  <r>
    <n v="5061412"/>
    <x v="0"/>
    <s v="N"/>
    <s v="Y"/>
    <n v="0"/>
    <x v="69"/>
    <x v="2"/>
    <x v="1"/>
    <x v="3"/>
    <x v="0"/>
    <d v="1985-04-23T00:00:00"/>
    <n v="-14488"/>
    <x v="764"/>
    <x v="3"/>
    <n v="-7168"/>
    <n v="19.6249144421629"/>
    <x v="1"/>
    <n v="1"/>
    <n v="1"/>
    <n v="1"/>
    <n v="0"/>
    <s v="Cooking staff"/>
    <x v="1"/>
  </r>
  <r>
    <n v="5061423"/>
    <x v="0"/>
    <s v="N"/>
    <s v="Y"/>
    <n v="0"/>
    <x v="11"/>
    <x v="2"/>
    <x v="1"/>
    <x v="1"/>
    <x v="0"/>
    <d v="1980-07-19T00:00:00"/>
    <n v="-16227"/>
    <x v="1264"/>
    <x v="1"/>
    <n v="-4854"/>
    <n v="13.289527720739219"/>
    <x v="1"/>
    <n v="1"/>
    <n v="0"/>
    <n v="0"/>
    <n v="0"/>
    <s v="Sales staff"/>
    <x v="1"/>
  </r>
  <r>
    <n v="5061428"/>
    <x v="1"/>
    <s v="N"/>
    <s v="Y"/>
    <n v="0"/>
    <x v="8"/>
    <x v="3"/>
    <x v="1"/>
    <x v="1"/>
    <x v="0"/>
    <d v="1987-04-17T00:00:00"/>
    <n v="-13764"/>
    <x v="97"/>
    <x v="3"/>
    <n v="-1111"/>
    <n v="3.0417522245037647"/>
    <x v="1"/>
    <n v="1"/>
    <n v="0"/>
    <n v="0"/>
    <n v="0"/>
    <m/>
    <x v="1"/>
  </r>
  <r>
    <n v="5061436"/>
    <x v="0"/>
    <s v="N"/>
    <s v="Y"/>
    <n v="0"/>
    <x v="19"/>
    <x v="2"/>
    <x v="1"/>
    <x v="2"/>
    <x v="0"/>
    <d v="1988-03-12T00:00:00"/>
    <n v="-13434"/>
    <x v="1265"/>
    <x v="3"/>
    <n v="-3515"/>
    <n v="9.6235455167693367"/>
    <x v="1"/>
    <n v="1"/>
    <n v="0"/>
    <n v="0"/>
    <n v="1"/>
    <m/>
    <x v="0"/>
  </r>
  <r>
    <n v="5061455"/>
    <x v="0"/>
    <s v="N"/>
    <s v="Y"/>
    <n v="0"/>
    <x v="18"/>
    <x v="2"/>
    <x v="1"/>
    <x v="1"/>
    <x v="0"/>
    <d v="1975-05-20T00:00:00"/>
    <n v="-18114"/>
    <x v="1266"/>
    <x v="1"/>
    <n v="-10121"/>
    <n v="27.709787816563999"/>
    <x v="1"/>
    <n v="1"/>
    <n v="0"/>
    <n v="0"/>
    <n v="0"/>
    <s v="High skill tech staff"/>
    <x v="1"/>
  </r>
  <r>
    <n v="5061495"/>
    <x v="0"/>
    <s v="N"/>
    <s v="Y"/>
    <n v="1"/>
    <x v="1"/>
    <x v="2"/>
    <x v="2"/>
    <x v="1"/>
    <x v="0"/>
    <d v="1981-04-24T00:00:00"/>
    <n v="-15948"/>
    <x v="1267"/>
    <x v="1"/>
    <n v="-9359"/>
    <n v="25.623545516769337"/>
    <x v="1"/>
    <n v="1"/>
    <n v="0"/>
    <n v="0"/>
    <n v="0"/>
    <m/>
    <x v="3"/>
  </r>
  <r>
    <n v="5061497"/>
    <x v="0"/>
    <s v="N"/>
    <s v="Y"/>
    <n v="1"/>
    <x v="1"/>
    <x v="2"/>
    <x v="2"/>
    <x v="1"/>
    <x v="0"/>
    <d v="1981-04-24T00:00:00"/>
    <n v="-15948"/>
    <x v="1267"/>
    <x v="1"/>
    <n v="-9359"/>
    <n v="25.623545516769337"/>
    <x v="1"/>
    <n v="1"/>
    <n v="0"/>
    <n v="0"/>
    <n v="0"/>
    <m/>
    <x v="3"/>
  </r>
  <r>
    <n v="5061506"/>
    <x v="0"/>
    <s v="N"/>
    <s v="Y"/>
    <n v="0"/>
    <x v="11"/>
    <x v="0"/>
    <x v="1"/>
    <x v="1"/>
    <x v="0"/>
    <d v="1966-03-18T00:00:00"/>
    <n v="-21464"/>
    <x v="1268"/>
    <x v="2"/>
    <n v="365243"/>
    <n v="0"/>
    <x v="0"/>
    <n v="1"/>
    <n v="0"/>
    <n v="0"/>
    <n v="0"/>
    <m/>
    <x v="1"/>
  </r>
  <r>
    <n v="5061510"/>
    <x v="0"/>
    <s v="N"/>
    <s v="Y"/>
    <n v="0"/>
    <x v="11"/>
    <x v="0"/>
    <x v="1"/>
    <x v="1"/>
    <x v="0"/>
    <d v="1966-03-18T00:00:00"/>
    <n v="-21464"/>
    <x v="1268"/>
    <x v="2"/>
    <n v="365243"/>
    <n v="0"/>
    <x v="0"/>
    <n v="1"/>
    <n v="0"/>
    <n v="0"/>
    <n v="0"/>
    <m/>
    <x v="1"/>
  </r>
  <r>
    <n v="5061512"/>
    <x v="0"/>
    <s v="N"/>
    <s v="Y"/>
    <n v="0"/>
    <x v="16"/>
    <x v="2"/>
    <x v="1"/>
    <x v="1"/>
    <x v="0"/>
    <d v="1973-08-05T00:00:00"/>
    <n v="-18767"/>
    <x v="1269"/>
    <x v="2"/>
    <n v="-1842"/>
    <n v="5.0431211498973303"/>
    <x v="1"/>
    <n v="1"/>
    <n v="0"/>
    <n v="0"/>
    <n v="0"/>
    <s v="Cleaning staff"/>
    <x v="1"/>
  </r>
  <r>
    <n v="5061513"/>
    <x v="0"/>
    <s v="N"/>
    <s v="Y"/>
    <n v="0"/>
    <x v="16"/>
    <x v="2"/>
    <x v="1"/>
    <x v="1"/>
    <x v="0"/>
    <d v="1973-08-05T00:00:00"/>
    <n v="-18767"/>
    <x v="1269"/>
    <x v="2"/>
    <n v="-1842"/>
    <n v="5.0431211498973303"/>
    <x v="1"/>
    <n v="1"/>
    <n v="0"/>
    <n v="0"/>
    <n v="0"/>
    <s v="Cleaning staff"/>
    <x v="1"/>
  </r>
  <r>
    <n v="5061522"/>
    <x v="0"/>
    <s v="N"/>
    <s v="Y"/>
    <n v="0"/>
    <x v="16"/>
    <x v="2"/>
    <x v="1"/>
    <x v="1"/>
    <x v="0"/>
    <d v="1973-08-05T00:00:00"/>
    <n v="-18767"/>
    <x v="1269"/>
    <x v="2"/>
    <n v="-1842"/>
    <n v="5.0431211498973303"/>
    <x v="1"/>
    <n v="1"/>
    <n v="0"/>
    <n v="0"/>
    <n v="0"/>
    <s v="Cleaning staff"/>
    <x v="1"/>
  </r>
  <r>
    <n v="5061530"/>
    <x v="0"/>
    <s v="N"/>
    <s v="Y"/>
    <n v="1"/>
    <x v="11"/>
    <x v="2"/>
    <x v="1"/>
    <x v="1"/>
    <x v="0"/>
    <d v="1986-03-25T00:00:00"/>
    <n v="-14152"/>
    <x v="1270"/>
    <x v="3"/>
    <n v="-4673"/>
    <n v="12.793976728268309"/>
    <x v="1"/>
    <n v="1"/>
    <n v="0"/>
    <n v="0"/>
    <n v="0"/>
    <m/>
    <x v="3"/>
  </r>
  <r>
    <n v="5061532"/>
    <x v="0"/>
    <s v="N"/>
    <s v="Y"/>
    <n v="1"/>
    <x v="11"/>
    <x v="2"/>
    <x v="1"/>
    <x v="1"/>
    <x v="0"/>
    <d v="1986-03-25T00:00:00"/>
    <n v="-14152"/>
    <x v="1270"/>
    <x v="3"/>
    <n v="-4673"/>
    <n v="12.793976728268309"/>
    <x v="1"/>
    <n v="1"/>
    <n v="0"/>
    <n v="0"/>
    <n v="0"/>
    <m/>
    <x v="3"/>
  </r>
  <r>
    <n v="5061555"/>
    <x v="0"/>
    <s v="Y"/>
    <s v="Y"/>
    <n v="0"/>
    <x v="16"/>
    <x v="0"/>
    <x v="1"/>
    <x v="1"/>
    <x v="0"/>
    <d v="1958-12-08T00:00:00"/>
    <n v="-24121"/>
    <x v="1271"/>
    <x v="0"/>
    <n v="365243"/>
    <n v="0"/>
    <x v="0"/>
    <n v="1"/>
    <n v="0"/>
    <n v="0"/>
    <n v="0"/>
    <m/>
    <x v="1"/>
  </r>
  <r>
    <n v="5061559"/>
    <x v="0"/>
    <s v="N"/>
    <s v="Y"/>
    <n v="0"/>
    <x v="11"/>
    <x v="2"/>
    <x v="1"/>
    <x v="1"/>
    <x v="0"/>
    <d v="1983-10-12T00:00:00"/>
    <n v="-15047"/>
    <x v="1272"/>
    <x v="1"/>
    <n v="-1720"/>
    <n v="4.7091033538672145"/>
    <x v="1"/>
    <n v="1"/>
    <n v="1"/>
    <n v="0"/>
    <n v="0"/>
    <s v="Laborers"/>
    <x v="1"/>
  </r>
  <r>
    <n v="5061581"/>
    <x v="0"/>
    <s v="N"/>
    <s v="Y"/>
    <n v="0"/>
    <x v="67"/>
    <x v="1"/>
    <x v="0"/>
    <x v="1"/>
    <x v="0"/>
    <d v="1971-02-02T00:00:00"/>
    <n v="-19682"/>
    <x v="1273"/>
    <x v="2"/>
    <n v="-3880"/>
    <n v="10.622861054072553"/>
    <x v="1"/>
    <n v="1"/>
    <n v="0"/>
    <n v="1"/>
    <n v="1"/>
    <s v="Managers"/>
    <x v="1"/>
  </r>
  <r>
    <n v="5061582"/>
    <x v="0"/>
    <s v="N"/>
    <s v="Y"/>
    <n v="0"/>
    <x v="67"/>
    <x v="1"/>
    <x v="0"/>
    <x v="1"/>
    <x v="0"/>
    <d v="1971-02-02T00:00:00"/>
    <n v="-19682"/>
    <x v="1273"/>
    <x v="2"/>
    <n v="-3880"/>
    <n v="10.622861054072553"/>
    <x v="1"/>
    <n v="1"/>
    <n v="0"/>
    <n v="1"/>
    <n v="1"/>
    <s v="Managers"/>
    <x v="1"/>
  </r>
  <r>
    <n v="5061613"/>
    <x v="1"/>
    <s v="Y"/>
    <s v="Y"/>
    <n v="1"/>
    <x v="8"/>
    <x v="2"/>
    <x v="1"/>
    <x v="1"/>
    <x v="0"/>
    <d v="1993-10-28T00:00:00"/>
    <n v="-11378"/>
    <x v="1274"/>
    <x v="3"/>
    <n v="-867"/>
    <n v="2.3737166324435317"/>
    <x v="1"/>
    <n v="1"/>
    <n v="0"/>
    <n v="1"/>
    <n v="0"/>
    <s v="Drivers"/>
    <x v="3"/>
  </r>
  <r>
    <n v="5061615"/>
    <x v="1"/>
    <s v="Y"/>
    <s v="Y"/>
    <n v="1"/>
    <x v="8"/>
    <x v="2"/>
    <x v="1"/>
    <x v="1"/>
    <x v="0"/>
    <d v="1993-10-28T00:00:00"/>
    <n v="-11378"/>
    <x v="1274"/>
    <x v="3"/>
    <n v="-867"/>
    <n v="2.3737166324435317"/>
    <x v="1"/>
    <n v="1"/>
    <n v="0"/>
    <n v="1"/>
    <n v="0"/>
    <s v="Drivers"/>
    <x v="3"/>
  </r>
  <r>
    <n v="5061620"/>
    <x v="1"/>
    <s v="Y"/>
    <s v="Y"/>
    <n v="0"/>
    <x v="117"/>
    <x v="3"/>
    <x v="2"/>
    <x v="2"/>
    <x v="1"/>
    <d v="1992-04-11T00:00:00"/>
    <n v="-11943"/>
    <x v="1275"/>
    <x v="3"/>
    <n v="-3150"/>
    <n v="8.6242299794661186"/>
    <x v="1"/>
    <n v="1"/>
    <n v="0"/>
    <n v="1"/>
    <n v="0"/>
    <s v="High skill tech staff"/>
    <x v="0"/>
  </r>
  <r>
    <n v="5061624"/>
    <x v="0"/>
    <s v="Y"/>
    <s v="Y"/>
    <n v="0"/>
    <x v="2"/>
    <x v="2"/>
    <x v="1"/>
    <x v="2"/>
    <x v="2"/>
    <d v="1999-11-03T00:00:00"/>
    <n v="-9181"/>
    <x v="1276"/>
    <x v="4"/>
    <n v="-320"/>
    <n v="0.87611225188227237"/>
    <x v="1"/>
    <n v="1"/>
    <n v="0"/>
    <n v="0"/>
    <n v="0"/>
    <s v="Medicine staff"/>
    <x v="0"/>
  </r>
  <r>
    <n v="5061632"/>
    <x v="0"/>
    <s v="N"/>
    <s v="Y"/>
    <n v="0"/>
    <x v="30"/>
    <x v="0"/>
    <x v="1"/>
    <x v="2"/>
    <x v="0"/>
    <d v="1963-12-17T00:00:00"/>
    <n v="-22286"/>
    <x v="1277"/>
    <x v="0"/>
    <n v="365243"/>
    <n v="0"/>
    <x v="0"/>
    <n v="1"/>
    <n v="0"/>
    <n v="0"/>
    <n v="0"/>
    <m/>
    <x v="0"/>
  </r>
  <r>
    <n v="5061633"/>
    <x v="0"/>
    <s v="N"/>
    <s v="Y"/>
    <n v="0"/>
    <x v="30"/>
    <x v="0"/>
    <x v="1"/>
    <x v="2"/>
    <x v="0"/>
    <d v="1963-12-17T00:00:00"/>
    <n v="-22286"/>
    <x v="1277"/>
    <x v="0"/>
    <n v="365243"/>
    <n v="0"/>
    <x v="0"/>
    <n v="1"/>
    <n v="0"/>
    <n v="0"/>
    <n v="0"/>
    <m/>
    <x v="0"/>
  </r>
  <r>
    <n v="5061654"/>
    <x v="1"/>
    <s v="Y"/>
    <s v="Y"/>
    <n v="0"/>
    <x v="1"/>
    <x v="2"/>
    <x v="1"/>
    <x v="1"/>
    <x v="0"/>
    <d v="1978-10-26T00:00:00"/>
    <n v="-16859"/>
    <x v="1278"/>
    <x v="1"/>
    <n v="-1659"/>
    <n v="4.5420944558521557"/>
    <x v="1"/>
    <n v="1"/>
    <n v="1"/>
    <n v="1"/>
    <n v="0"/>
    <s v="Drivers"/>
    <x v="1"/>
  </r>
  <r>
    <n v="5061661"/>
    <x v="0"/>
    <s v="N"/>
    <s v="N"/>
    <n v="0"/>
    <x v="26"/>
    <x v="0"/>
    <x v="1"/>
    <x v="4"/>
    <x v="0"/>
    <d v="1962-08-25T00:00:00"/>
    <n v="-22765"/>
    <x v="816"/>
    <x v="0"/>
    <n v="365243"/>
    <n v="0"/>
    <x v="0"/>
    <n v="1"/>
    <n v="0"/>
    <n v="0"/>
    <n v="0"/>
    <m/>
    <x v="0"/>
  </r>
  <r>
    <n v="5061665"/>
    <x v="0"/>
    <s v="N"/>
    <s v="N"/>
    <n v="0"/>
    <x v="26"/>
    <x v="0"/>
    <x v="1"/>
    <x v="4"/>
    <x v="0"/>
    <d v="1962-08-25T00:00:00"/>
    <n v="-22765"/>
    <x v="816"/>
    <x v="0"/>
    <n v="365243"/>
    <n v="0"/>
    <x v="0"/>
    <n v="1"/>
    <n v="0"/>
    <n v="0"/>
    <n v="0"/>
    <m/>
    <x v="0"/>
  </r>
  <r>
    <n v="5061670"/>
    <x v="0"/>
    <s v="Y"/>
    <s v="Y"/>
    <n v="0"/>
    <x v="28"/>
    <x v="0"/>
    <x v="1"/>
    <x v="1"/>
    <x v="0"/>
    <d v="1966-12-30T00:00:00"/>
    <n v="-21177"/>
    <x v="288"/>
    <x v="2"/>
    <n v="365243"/>
    <n v="0"/>
    <x v="0"/>
    <n v="1"/>
    <n v="0"/>
    <n v="0"/>
    <n v="0"/>
    <m/>
    <x v="1"/>
  </r>
  <r>
    <n v="5061671"/>
    <x v="0"/>
    <s v="Y"/>
    <s v="Y"/>
    <n v="0"/>
    <x v="28"/>
    <x v="0"/>
    <x v="1"/>
    <x v="1"/>
    <x v="0"/>
    <d v="1966-12-30T00:00:00"/>
    <n v="-21177"/>
    <x v="288"/>
    <x v="2"/>
    <n v="365243"/>
    <n v="0"/>
    <x v="0"/>
    <n v="1"/>
    <n v="0"/>
    <n v="0"/>
    <n v="0"/>
    <m/>
    <x v="1"/>
  </r>
  <r>
    <n v="5061672"/>
    <x v="0"/>
    <s v="Y"/>
    <s v="Y"/>
    <n v="0"/>
    <x v="28"/>
    <x v="0"/>
    <x v="1"/>
    <x v="1"/>
    <x v="0"/>
    <d v="1966-12-30T00:00:00"/>
    <n v="-21177"/>
    <x v="288"/>
    <x v="2"/>
    <n v="365243"/>
    <n v="0"/>
    <x v="0"/>
    <n v="1"/>
    <n v="0"/>
    <n v="0"/>
    <n v="0"/>
    <m/>
    <x v="1"/>
  </r>
  <r>
    <n v="5061676"/>
    <x v="1"/>
    <s v="N"/>
    <s v="N"/>
    <n v="0"/>
    <x v="18"/>
    <x v="2"/>
    <x v="1"/>
    <x v="1"/>
    <x v="0"/>
    <d v="1992-08-10T00:00:00"/>
    <n v="-11822"/>
    <x v="135"/>
    <x v="3"/>
    <n v="-4246"/>
    <n v="11.624914442162902"/>
    <x v="1"/>
    <n v="1"/>
    <n v="0"/>
    <n v="0"/>
    <n v="0"/>
    <m/>
    <x v="1"/>
  </r>
  <r>
    <n v="5061677"/>
    <x v="1"/>
    <s v="N"/>
    <s v="N"/>
    <n v="0"/>
    <x v="18"/>
    <x v="2"/>
    <x v="1"/>
    <x v="1"/>
    <x v="0"/>
    <d v="1992-08-10T00:00:00"/>
    <n v="-11822"/>
    <x v="135"/>
    <x v="3"/>
    <n v="-4246"/>
    <n v="11.624914442162902"/>
    <x v="1"/>
    <n v="1"/>
    <n v="0"/>
    <n v="0"/>
    <n v="0"/>
    <m/>
    <x v="1"/>
  </r>
  <r>
    <n v="5061678"/>
    <x v="1"/>
    <s v="N"/>
    <s v="N"/>
    <n v="0"/>
    <x v="18"/>
    <x v="2"/>
    <x v="1"/>
    <x v="1"/>
    <x v="0"/>
    <d v="1992-08-10T00:00:00"/>
    <n v="-11822"/>
    <x v="135"/>
    <x v="3"/>
    <n v="-4246"/>
    <n v="11.624914442162902"/>
    <x v="1"/>
    <n v="1"/>
    <n v="0"/>
    <n v="0"/>
    <n v="0"/>
    <m/>
    <x v="1"/>
  </r>
  <r>
    <n v="5061701"/>
    <x v="0"/>
    <s v="Y"/>
    <s v="Y"/>
    <n v="0"/>
    <x v="1"/>
    <x v="1"/>
    <x v="1"/>
    <x v="1"/>
    <x v="0"/>
    <d v="1976-02-18T00:00:00"/>
    <n v="-17840"/>
    <x v="1279"/>
    <x v="1"/>
    <n v="-1993"/>
    <n v="5.4565366187542779"/>
    <x v="1"/>
    <n v="1"/>
    <n v="0"/>
    <n v="1"/>
    <n v="1"/>
    <s v="High skill tech staff"/>
    <x v="1"/>
  </r>
  <r>
    <n v="5061748"/>
    <x v="0"/>
    <s v="N"/>
    <s v="Y"/>
    <n v="0"/>
    <x v="1"/>
    <x v="0"/>
    <x v="1"/>
    <x v="2"/>
    <x v="0"/>
    <d v="1959-06-18T00:00:00"/>
    <n v="-23929"/>
    <x v="1280"/>
    <x v="0"/>
    <n v="365243"/>
    <n v="0"/>
    <x v="0"/>
    <n v="1"/>
    <n v="0"/>
    <n v="1"/>
    <n v="0"/>
    <m/>
    <x v="0"/>
  </r>
  <r>
    <n v="5061761"/>
    <x v="0"/>
    <s v="Y"/>
    <s v="N"/>
    <n v="1"/>
    <x v="1"/>
    <x v="2"/>
    <x v="0"/>
    <x v="1"/>
    <x v="1"/>
    <d v="1994-02-21T00:00:00"/>
    <n v="-11262"/>
    <x v="1281"/>
    <x v="3"/>
    <n v="-563"/>
    <n v="1.5414099931553731"/>
    <x v="1"/>
    <n v="1"/>
    <n v="0"/>
    <n v="0"/>
    <n v="1"/>
    <s v="Accountants"/>
    <x v="3"/>
  </r>
  <r>
    <n v="5061793"/>
    <x v="1"/>
    <s v="N"/>
    <s v="Y"/>
    <n v="0"/>
    <x v="2"/>
    <x v="1"/>
    <x v="1"/>
    <x v="2"/>
    <x v="0"/>
    <d v="1995-12-21T00:00:00"/>
    <n v="-10594"/>
    <x v="1282"/>
    <x v="4"/>
    <n v="-2116"/>
    <n v="5.7932922655715267"/>
    <x v="1"/>
    <n v="1"/>
    <n v="0"/>
    <n v="0"/>
    <n v="1"/>
    <s v="Security staff"/>
    <x v="0"/>
  </r>
  <r>
    <n v="5061803"/>
    <x v="0"/>
    <s v="N"/>
    <s v="Y"/>
    <n v="0"/>
    <x v="8"/>
    <x v="1"/>
    <x v="1"/>
    <x v="4"/>
    <x v="0"/>
    <d v="1967-09-09T00:00:00"/>
    <n v="-20924"/>
    <x v="1283"/>
    <x v="2"/>
    <n v="-1050"/>
    <n v="2.8747433264887063"/>
    <x v="1"/>
    <n v="1"/>
    <n v="0"/>
    <n v="0"/>
    <n v="0"/>
    <s v="Cleaning staff"/>
    <x v="0"/>
  </r>
  <r>
    <n v="5061807"/>
    <x v="0"/>
    <s v="N"/>
    <s v="Y"/>
    <n v="0"/>
    <x v="8"/>
    <x v="1"/>
    <x v="1"/>
    <x v="4"/>
    <x v="0"/>
    <d v="1967-09-09T00:00:00"/>
    <n v="-20924"/>
    <x v="1283"/>
    <x v="2"/>
    <n v="-1050"/>
    <n v="2.8747433264887063"/>
    <x v="1"/>
    <n v="1"/>
    <n v="0"/>
    <n v="0"/>
    <n v="0"/>
    <s v="Cleaning staff"/>
    <x v="0"/>
  </r>
  <r>
    <n v="5061813"/>
    <x v="0"/>
    <s v="N"/>
    <s v="Y"/>
    <n v="0"/>
    <x v="2"/>
    <x v="2"/>
    <x v="2"/>
    <x v="2"/>
    <x v="1"/>
    <d v="2002-02-14T00:00:00"/>
    <n v="-8347"/>
    <x v="1284"/>
    <x v="4"/>
    <n v="-1598"/>
    <n v="4.3750855578370977"/>
    <x v="1"/>
    <n v="1"/>
    <n v="0"/>
    <n v="0"/>
    <n v="0"/>
    <s v="Laborers"/>
    <x v="0"/>
  </r>
  <r>
    <n v="5061819"/>
    <x v="0"/>
    <s v="N"/>
    <s v="Y"/>
    <n v="0"/>
    <x v="2"/>
    <x v="2"/>
    <x v="2"/>
    <x v="2"/>
    <x v="1"/>
    <d v="2002-02-14T00:00:00"/>
    <n v="-8347"/>
    <x v="1284"/>
    <x v="4"/>
    <n v="-1598"/>
    <n v="4.3750855578370977"/>
    <x v="1"/>
    <n v="1"/>
    <n v="0"/>
    <n v="0"/>
    <n v="0"/>
    <s v="Laborers"/>
    <x v="0"/>
  </r>
  <r>
    <n v="5061856"/>
    <x v="0"/>
    <s v="N"/>
    <s v="Y"/>
    <n v="0"/>
    <x v="2"/>
    <x v="2"/>
    <x v="1"/>
    <x v="2"/>
    <x v="0"/>
    <d v="2000-06-16T00:00:00"/>
    <n v="-8955"/>
    <x v="1285"/>
    <x v="4"/>
    <n v="-1171"/>
    <n v="3.2060232717316905"/>
    <x v="1"/>
    <n v="1"/>
    <n v="1"/>
    <n v="0"/>
    <n v="0"/>
    <s v="Sales staff"/>
    <x v="0"/>
  </r>
  <r>
    <n v="5061868"/>
    <x v="1"/>
    <s v="Y"/>
    <s v="Y"/>
    <n v="0"/>
    <x v="8"/>
    <x v="0"/>
    <x v="1"/>
    <x v="1"/>
    <x v="0"/>
    <d v="1974-06-25T00:00:00"/>
    <n v="-18443"/>
    <x v="1286"/>
    <x v="2"/>
    <n v="365243"/>
    <n v="0"/>
    <x v="0"/>
    <n v="1"/>
    <n v="0"/>
    <n v="0"/>
    <n v="0"/>
    <m/>
    <x v="1"/>
  </r>
  <r>
    <n v="5061870"/>
    <x v="1"/>
    <s v="N"/>
    <s v="Y"/>
    <n v="0"/>
    <x v="5"/>
    <x v="2"/>
    <x v="1"/>
    <x v="2"/>
    <x v="0"/>
    <d v="1994-02-19T00:00:00"/>
    <n v="-11264"/>
    <x v="1287"/>
    <x v="3"/>
    <n v="-563"/>
    <n v="1.5414099931553731"/>
    <x v="1"/>
    <n v="1"/>
    <n v="1"/>
    <n v="0"/>
    <n v="1"/>
    <s v="Drivers"/>
    <x v="0"/>
  </r>
  <r>
    <n v="5061871"/>
    <x v="1"/>
    <s v="N"/>
    <s v="Y"/>
    <n v="0"/>
    <x v="5"/>
    <x v="2"/>
    <x v="1"/>
    <x v="2"/>
    <x v="0"/>
    <d v="1994-02-19T00:00:00"/>
    <n v="-11264"/>
    <x v="1287"/>
    <x v="3"/>
    <n v="-563"/>
    <n v="1.5414099931553731"/>
    <x v="1"/>
    <n v="1"/>
    <n v="1"/>
    <n v="0"/>
    <n v="1"/>
    <s v="Drivers"/>
    <x v="0"/>
  </r>
  <r>
    <n v="5061872"/>
    <x v="1"/>
    <s v="N"/>
    <s v="Y"/>
    <n v="0"/>
    <x v="5"/>
    <x v="2"/>
    <x v="1"/>
    <x v="2"/>
    <x v="0"/>
    <d v="1994-02-19T00:00:00"/>
    <n v="-11264"/>
    <x v="1287"/>
    <x v="3"/>
    <n v="-563"/>
    <n v="1.5414099931553731"/>
    <x v="1"/>
    <n v="1"/>
    <n v="1"/>
    <n v="0"/>
    <n v="1"/>
    <s v="Drivers"/>
    <x v="0"/>
  </r>
  <r>
    <n v="5061899"/>
    <x v="1"/>
    <s v="N"/>
    <s v="Y"/>
    <n v="1"/>
    <x v="19"/>
    <x v="3"/>
    <x v="0"/>
    <x v="1"/>
    <x v="0"/>
    <d v="1978-11-21T00:00:00"/>
    <n v="-16833"/>
    <x v="1288"/>
    <x v="1"/>
    <n v="-3515"/>
    <n v="9.6235455167693367"/>
    <x v="1"/>
    <n v="1"/>
    <n v="0"/>
    <n v="0"/>
    <n v="1"/>
    <s v="Core staff"/>
    <x v="3"/>
  </r>
  <r>
    <n v="5061901"/>
    <x v="1"/>
    <s v="N"/>
    <s v="Y"/>
    <n v="1"/>
    <x v="19"/>
    <x v="3"/>
    <x v="0"/>
    <x v="1"/>
    <x v="0"/>
    <d v="1978-11-21T00:00:00"/>
    <n v="-16833"/>
    <x v="1288"/>
    <x v="1"/>
    <n v="-3515"/>
    <n v="9.6235455167693367"/>
    <x v="1"/>
    <n v="1"/>
    <n v="0"/>
    <n v="0"/>
    <n v="1"/>
    <s v="Core staff"/>
    <x v="3"/>
  </r>
  <r>
    <n v="5061910"/>
    <x v="0"/>
    <s v="N"/>
    <s v="Y"/>
    <n v="0"/>
    <x v="51"/>
    <x v="2"/>
    <x v="1"/>
    <x v="1"/>
    <x v="0"/>
    <d v="1978-08-06T00:00:00"/>
    <n v="-16940"/>
    <x v="1289"/>
    <x v="1"/>
    <n v="-563"/>
    <n v="1.5414099931553731"/>
    <x v="1"/>
    <n v="1"/>
    <n v="0"/>
    <n v="0"/>
    <n v="0"/>
    <s v="Laborers"/>
    <x v="1"/>
  </r>
  <r>
    <n v="5061914"/>
    <x v="0"/>
    <s v="N"/>
    <s v="Y"/>
    <n v="0"/>
    <x v="58"/>
    <x v="0"/>
    <x v="1"/>
    <x v="4"/>
    <x v="0"/>
    <d v="1962-04-14T00:00:00"/>
    <n v="-22898"/>
    <x v="1290"/>
    <x v="0"/>
    <n v="365243"/>
    <n v="0"/>
    <x v="0"/>
    <n v="1"/>
    <n v="0"/>
    <n v="0"/>
    <n v="1"/>
    <m/>
    <x v="0"/>
  </r>
  <r>
    <n v="5061923"/>
    <x v="1"/>
    <s v="Y"/>
    <s v="Y"/>
    <n v="0"/>
    <x v="64"/>
    <x v="0"/>
    <x v="1"/>
    <x v="1"/>
    <x v="0"/>
    <d v="1959-04-08T00:00:00"/>
    <n v="-24000"/>
    <x v="1291"/>
    <x v="0"/>
    <n v="365243"/>
    <n v="0"/>
    <x v="0"/>
    <n v="1"/>
    <n v="0"/>
    <n v="0"/>
    <n v="0"/>
    <m/>
    <x v="1"/>
  </r>
  <r>
    <n v="5061927"/>
    <x v="1"/>
    <s v="Y"/>
    <s v="Y"/>
    <n v="0"/>
    <x v="11"/>
    <x v="0"/>
    <x v="1"/>
    <x v="1"/>
    <x v="0"/>
    <d v="1968-09-23T00:00:00"/>
    <n v="-20544"/>
    <x v="1292"/>
    <x v="2"/>
    <n v="365243"/>
    <n v="0"/>
    <x v="0"/>
    <n v="1"/>
    <n v="0"/>
    <n v="0"/>
    <n v="0"/>
    <m/>
    <x v="1"/>
  </r>
  <r>
    <n v="5061935"/>
    <x v="1"/>
    <s v="Y"/>
    <s v="Y"/>
    <n v="0"/>
    <x v="11"/>
    <x v="0"/>
    <x v="1"/>
    <x v="1"/>
    <x v="0"/>
    <d v="1968-09-23T00:00:00"/>
    <n v="-20544"/>
    <x v="1292"/>
    <x v="2"/>
    <n v="365243"/>
    <n v="0"/>
    <x v="0"/>
    <n v="1"/>
    <n v="0"/>
    <n v="0"/>
    <n v="0"/>
    <m/>
    <x v="1"/>
  </r>
  <r>
    <n v="5061945"/>
    <x v="0"/>
    <s v="N"/>
    <s v="Y"/>
    <n v="0"/>
    <x v="1"/>
    <x v="0"/>
    <x v="1"/>
    <x v="4"/>
    <x v="0"/>
    <d v="1961-07-03T00:00:00"/>
    <n v="-23183"/>
    <x v="1293"/>
    <x v="0"/>
    <n v="365243"/>
    <n v="0"/>
    <x v="0"/>
    <n v="1"/>
    <n v="0"/>
    <n v="1"/>
    <n v="0"/>
    <m/>
    <x v="0"/>
  </r>
  <r>
    <n v="5061950"/>
    <x v="1"/>
    <s v="Y"/>
    <s v="N"/>
    <n v="0"/>
    <x v="1"/>
    <x v="2"/>
    <x v="1"/>
    <x v="2"/>
    <x v="4"/>
    <d v="1991-11-07T00:00:00"/>
    <n v="-12099"/>
    <x v="1294"/>
    <x v="3"/>
    <n v="-1567"/>
    <n v="4.2902121834360027"/>
    <x v="1"/>
    <n v="1"/>
    <n v="0"/>
    <n v="0"/>
    <n v="0"/>
    <s v="Laborers"/>
    <x v="0"/>
  </r>
  <r>
    <n v="5061978"/>
    <x v="0"/>
    <s v="N"/>
    <s v="Y"/>
    <n v="0"/>
    <x v="1"/>
    <x v="2"/>
    <x v="0"/>
    <x v="1"/>
    <x v="0"/>
    <d v="1988-07-25T00:00:00"/>
    <n v="-13299"/>
    <x v="1295"/>
    <x v="3"/>
    <n v="-1628"/>
    <n v="4.4572210814510607"/>
    <x v="1"/>
    <n v="1"/>
    <n v="0"/>
    <n v="0"/>
    <n v="0"/>
    <s v="Laborers"/>
    <x v="1"/>
  </r>
  <r>
    <n v="5061987"/>
    <x v="0"/>
    <s v="N"/>
    <s v="Y"/>
    <n v="0"/>
    <x v="1"/>
    <x v="2"/>
    <x v="0"/>
    <x v="1"/>
    <x v="0"/>
    <d v="1988-07-25T00:00:00"/>
    <n v="-13299"/>
    <x v="1295"/>
    <x v="3"/>
    <n v="-1628"/>
    <n v="4.4572210814510607"/>
    <x v="1"/>
    <n v="1"/>
    <n v="0"/>
    <n v="0"/>
    <n v="0"/>
    <s v="Laborers"/>
    <x v="1"/>
  </r>
  <r>
    <n v="5062007"/>
    <x v="0"/>
    <s v="N"/>
    <s v="Y"/>
    <n v="0"/>
    <x v="16"/>
    <x v="0"/>
    <x v="1"/>
    <x v="1"/>
    <x v="0"/>
    <d v="1965-08-31T00:00:00"/>
    <n v="-21663"/>
    <x v="1296"/>
    <x v="2"/>
    <n v="365243"/>
    <n v="0"/>
    <x v="0"/>
    <n v="1"/>
    <n v="0"/>
    <n v="0"/>
    <n v="1"/>
    <m/>
    <x v="1"/>
  </r>
  <r>
    <n v="5062023"/>
    <x v="0"/>
    <s v="N"/>
    <s v="Y"/>
    <n v="0"/>
    <x v="25"/>
    <x v="1"/>
    <x v="1"/>
    <x v="1"/>
    <x v="0"/>
    <d v="1968-10-23T00:00:00"/>
    <n v="-20514"/>
    <x v="1297"/>
    <x v="2"/>
    <n v="-5707"/>
    <n v="15.624914442162902"/>
    <x v="1"/>
    <n v="1"/>
    <n v="0"/>
    <n v="1"/>
    <n v="0"/>
    <m/>
    <x v="1"/>
  </r>
  <r>
    <n v="5062058"/>
    <x v="0"/>
    <s v="N"/>
    <s v="Y"/>
    <n v="1"/>
    <x v="12"/>
    <x v="1"/>
    <x v="1"/>
    <x v="0"/>
    <x v="4"/>
    <d v="1973-07-09T00:00:00"/>
    <n v="-18794"/>
    <x v="1144"/>
    <x v="2"/>
    <n v="-1842"/>
    <n v="5.0431211498973303"/>
    <x v="1"/>
    <n v="1"/>
    <n v="0"/>
    <n v="1"/>
    <n v="0"/>
    <s v="Cleaning staff"/>
    <x v="1"/>
  </r>
  <r>
    <n v="5062062"/>
    <x v="0"/>
    <s v="N"/>
    <s v="Y"/>
    <n v="1"/>
    <x v="5"/>
    <x v="2"/>
    <x v="1"/>
    <x v="4"/>
    <x v="0"/>
    <d v="1975-09-26T00:00:00"/>
    <n v="-17985"/>
    <x v="1298"/>
    <x v="1"/>
    <n v="-1812"/>
    <n v="4.9609856262833674"/>
    <x v="1"/>
    <n v="1"/>
    <n v="0"/>
    <n v="0"/>
    <n v="0"/>
    <s v="Sales staff"/>
    <x v="1"/>
  </r>
  <r>
    <n v="5062063"/>
    <x v="0"/>
    <s v="N"/>
    <s v="Y"/>
    <n v="1"/>
    <x v="2"/>
    <x v="2"/>
    <x v="1"/>
    <x v="1"/>
    <x v="0"/>
    <d v="1989-10-20T00:00:00"/>
    <n v="-12847"/>
    <x v="1299"/>
    <x v="3"/>
    <n v="-1111"/>
    <n v="3.0417522245037647"/>
    <x v="1"/>
    <n v="1"/>
    <n v="1"/>
    <n v="1"/>
    <n v="0"/>
    <s v="Sales staff"/>
    <x v="3"/>
  </r>
  <r>
    <n v="5062067"/>
    <x v="0"/>
    <s v="N"/>
    <s v="Y"/>
    <n v="0"/>
    <x v="118"/>
    <x v="0"/>
    <x v="1"/>
    <x v="4"/>
    <x v="0"/>
    <d v="1961-09-19T00:00:00"/>
    <n v="-23105"/>
    <x v="1300"/>
    <x v="0"/>
    <n v="365243"/>
    <n v="0"/>
    <x v="0"/>
    <n v="1"/>
    <n v="0"/>
    <n v="0"/>
    <n v="0"/>
    <m/>
    <x v="0"/>
  </r>
  <r>
    <n v="5062072"/>
    <x v="1"/>
    <s v="N"/>
    <s v="N"/>
    <n v="0"/>
    <x v="1"/>
    <x v="2"/>
    <x v="1"/>
    <x v="3"/>
    <x v="0"/>
    <d v="1990-03-01T00:00:00"/>
    <n v="-12715"/>
    <x v="1301"/>
    <x v="3"/>
    <n v="-5707"/>
    <n v="15.624914442162902"/>
    <x v="1"/>
    <n v="1"/>
    <n v="1"/>
    <n v="1"/>
    <n v="0"/>
    <m/>
    <x v="1"/>
  </r>
  <r>
    <n v="5062075"/>
    <x v="0"/>
    <s v="N"/>
    <s v="Y"/>
    <n v="0"/>
    <x v="2"/>
    <x v="0"/>
    <x v="1"/>
    <x v="1"/>
    <x v="0"/>
    <d v="1966-05-29T00:00:00"/>
    <n v="-21392"/>
    <x v="1302"/>
    <x v="2"/>
    <n v="365243"/>
    <n v="0"/>
    <x v="0"/>
    <n v="1"/>
    <n v="0"/>
    <n v="0"/>
    <n v="0"/>
    <m/>
    <x v="1"/>
  </r>
  <r>
    <n v="5062083"/>
    <x v="0"/>
    <s v="N"/>
    <s v="Y"/>
    <n v="0"/>
    <x v="2"/>
    <x v="2"/>
    <x v="1"/>
    <x v="1"/>
    <x v="0"/>
    <d v="1996-02-18T00:00:00"/>
    <n v="-10535"/>
    <x v="1303"/>
    <x v="4"/>
    <n v="-3819"/>
    <n v="10.455852156057494"/>
    <x v="1"/>
    <n v="1"/>
    <n v="1"/>
    <n v="1"/>
    <n v="0"/>
    <s v="Laborers"/>
    <x v="1"/>
  </r>
  <r>
    <n v="5062095"/>
    <x v="1"/>
    <s v="Y"/>
    <s v="N"/>
    <n v="0"/>
    <x v="16"/>
    <x v="2"/>
    <x v="1"/>
    <x v="2"/>
    <x v="0"/>
    <d v="1997-02-16T00:00:00"/>
    <n v="-10171"/>
    <x v="1304"/>
    <x v="4"/>
    <n v="-1812"/>
    <n v="4.9609856262833674"/>
    <x v="1"/>
    <n v="1"/>
    <n v="1"/>
    <n v="1"/>
    <n v="0"/>
    <s v="High skill tech staff"/>
    <x v="0"/>
  </r>
  <r>
    <n v="5062096"/>
    <x v="1"/>
    <s v="Y"/>
    <s v="Y"/>
    <n v="0"/>
    <x v="37"/>
    <x v="2"/>
    <x v="1"/>
    <x v="1"/>
    <x v="0"/>
    <d v="1972-12-04T00:00:00"/>
    <n v="-19011"/>
    <x v="1305"/>
    <x v="2"/>
    <n v="-3273"/>
    <n v="8.9609856262833674"/>
    <x v="1"/>
    <n v="1"/>
    <n v="0"/>
    <n v="0"/>
    <n v="0"/>
    <s v="Drivers"/>
    <x v="1"/>
  </r>
  <r>
    <n v="5062106"/>
    <x v="1"/>
    <s v="Y"/>
    <s v="Y"/>
    <n v="0"/>
    <x v="1"/>
    <x v="1"/>
    <x v="1"/>
    <x v="1"/>
    <x v="0"/>
    <d v="1972-12-07T00:00:00"/>
    <n v="-19008"/>
    <x v="1306"/>
    <x v="2"/>
    <n v="-3607"/>
    <n v="9.8754277891854887"/>
    <x v="1"/>
    <n v="1"/>
    <n v="0"/>
    <n v="0"/>
    <n v="0"/>
    <s v="Managers"/>
    <x v="1"/>
  </r>
  <r>
    <n v="5062120"/>
    <x v="0"/>
    <s v="N"/>
    <s v="Y"/>
    <n v="0"/>
    <x v="5"/>
    <x v="1"/>
    <x v="1"/>
    <x v="0"/>
    <x v="2"/>
    <d v="1971-07-11T00:00:00"/>
    <n v="-19523"/>
    <x v="1307"/>
    <x v="2"/>
    <n v="-259"/>
    <n v="0.70910335386721424"/>
    <x v="1"/>
    <n v="1"/>
    <n v="0"/>
    <n v="0"/>
    <n v="0"/>
    <m/>
    <x v="0"/>
  </r>
  <r>
    <n v="5062136"/>
    <x v="1"/>
    <s v="N"/>
    <s v="N"/>
    <n v="1"/>
    <x v="16"/>
    <x v="2"/>
    <x v="1"/>
    <x v="2"/>
    <x v="0"/>
    <d v="1989-07-12T00:00:00"/>
    <n v="-12947"/>
    <x v="1308"/>
    <x v="3"/>
    <n v="-137"/>
    <n v="0.3750855578370979"/>
    <x v="1"/>
    <n v="1"/>
    <n v="0"/>
    <n v="0"/>
    <n v="0"/>
    <s v="Laborers"/>
    <x v="1"/>
  </r>
  <r>
    <n v="5062141"/>
    <x v="1"/>
    <s v="Y"/>
    <s v="Y"/>
    <n v="1"/>
    <x v="1"/>
    <x v="1"/>
    <x v="0"/>
    <x v="1"/>
    <x v="0"/>
    <d v="1993-10-23T00:00:00"/>
    <n v="-11383"/>
    <x v="1309"/>
    <x v="3"/>
    <n v="-777"/>
    <n v="2.1273100616016429"/>
    <x v="1"/>
    <n v="1"/>
    <n v="1"/>
    <n v="0"/>
    <n v="0"/>
    <m/>
    <x v="3"/>
  </r>
  <r>
    <n v="5062145"/>
    <x v="1"/>
    <s v="N"/>
    <s v="Y"/>
    <n v="1"/>
    <x v="14"/>
    <x v="2"/>
    <x v="1"/>
    <x v="3"/>
    <x v="0"/>
    <d v="1990-06-12T00:00:00"/>
    <n v="-12612"/>
    <x v="1310"/>
    <x v="3"/>
    <n v="-2877"/>
    <n v="7.8767967145790552"/>
    <x v="1"/>
    <n v="1"/>
    <n v="0"/>
    <n v="1"/>
    <n v="0"/>
    <m/>
    <x v="3"/>
  </r>
  <r>
    <n v="5062151"/>
    <x v="0"/>
    <s v="Y"/>
    <s v="Y"/>
    <n v="0"/>
    <x v="11"/>
    <x v="2"/>
    <x v="0"/>
    <x v="1"/>
    <x v="0"/>
    <d v="1985-12-30T00:00:00"/>
    <n v="-14237"/>
    <x v="1311"/>
    <x v="3"/>
    <n v="-958"/>
    <n v="2.622861054072553"/>
    <x v="1"/>
    <n v="1"/>
    <n v="0"/>
    <n v="0"/>
    <n v="1"/>
    <s v="Sales staff"/>
    <x v="1"/>
  </r>
  <r>
    <n v="5062157"/>
    <x v="0"/>
    <s v="N"/>
    <s v="Y"/>
    <n v="0"/>
    <x v="6"/>
    <x v="1"/>
    <x v="0"/>
    <x v="4"/>
    <x v="0"/>
    <d v="1969-01-23T00:00:00"/>
    <n v="-20422"/>
    <x v="1312"/>
    <x v="2"/>
    <n v="-2328"/>
    <n v="6.3737166324435321"/>
    <x v="1"/>
    <n v="1"/>
    <n v="0"/>
    <n v="0"/>
    <n v="0"/>
    <s v="Cleaning staff"/>
    <x v="0"/>
  </r>
  <r>
    <n v="5062167"/>
    <x v="0"/>
    <s v="N"/>
    <s v="Y"/>
    <n v="0"/>
    <x v="1"/>
    <x v="0"/>
    <x v="1"/>
    <x v="4"/>
    <x v="0"/>
    <d v="1958-05-19T00:00:00"/>
    <n v="-24324"/>
    <x v="1313"/>
    <x v="0"/>
    <n v="365243"/>
    <n v="0"/>
    <x v="0"/>
    <n v="1"/>
    <n v="0"/>
    <n v="0"/>
    <n v="0"/>
    <m/>
    <x v="0"/>
  </r>
  <r>
    <n v="5062170"/>
    <x v="0"/>
    <s v="N"/>
    <s v="Y"/>
    <n v="0"/>
    <x v="1"/>
    <x v="0"/>
    <x v="1"/>
    <x v="4"/>
    <x v="0"/>
    <d v="1958-05-19T00:00:00"/>
    <n v="-24324"/>
    <x v="1313"/>
    <x v="0"/>
    <n v="365243"/>
    <n v="0"/>
    <x v="0"/>
    <n v="1"/>
    <n v="0"/>
    <n v="0"/>
    <n v="0"/>
    <m/>
    <x v="0"/>
  </r>
  <r>
    <n v="5062173"/>
    <x v="0"/>
    <s v="N"/>
    <s v="Y"/>
    <n v="2"/>
    <x v="1"/>
    <x v="1"/>
    <x v="1"/>
    <x v="1"/>
    <x v="0"/>
    <d v="1982-12-01T00:00:00"/>
    <n v="-15362"/>
    <x v="1314"/>
    <x v="1"/>
    <n v="-897"/>
    <n v="2.4558521560574951"/>
    <x v="1"/>
    <n v="1"/>
    <n v="0"/>
    <n v="0"/>
    <n v="0"/>
    <s v="Sales staff"/>
    <x v="2"/>
  </r>
  <r>
    <n v="5062175"/>
    <x v="0"/>
    <s v="N"/>
    <s v="Y"/>
    <n v="2"/>
    <x v="1"/>
    <x v="1"/>
    <x v="1"/>
    <x v="1"/>
    <x v="0"/>
    <d v="1982-12-01T00:00:00"/>
    <n v="-15362"/>
    <x v="1314"/>
    <x v="1"/>
    <n v="-897"/>
    <n v="2.4558521560574951"/>
    <x v="1"/>
    <n v="1"/>
    <n v="0"/>
    <n v="0"/>
    <n v="0"/>
    <s v="Sales staff"/>
    <x v="2"/>
  </r>
  <r>
    <n v="5062176"/>
    <x v="0"/>
    <s v="N"/>
    <s v="Y"/>
    <n v="2"/>
    <x v="1"/>
    <x v="1"/>
    <x v="1"/>
    <x v="1"/>
    <x v="0"/>
    <d v="1982-12-01T00:00:00"/>
    <n v="-15362"/>
    <x v="1314"/>
    <x v="1"/>
    <n v="-897"/>
    <n v="2.4558521560574951"/>
    <x v="1"/>
    <n v="1"/>
    <n v="0"/>
    <n v="0"/>
    <n v="0"/>
    <s v="Sales staff"/>
    <x v="2"/>
  </r>
  <r>
    <n v="5062182"/>
    <x v="0"/>
    <s v="Y"/>
    <s v="Y"/>
    <n v="2"/>
    <x v="23"/>
    <x v="2"/>
    <x v="0"/>
    <x v="1"/>
    <x v="0"/>
    <d v="1985-11-06T00:00:00"/>
    <n v="-14291"/>
    <x v="1315"/>
    <x v="3"/>
    <n v="-532"/>
    <n v="1.4565366187542779"/>
    <x v="1"/>
    <n v="1"/>
    <n v="0"/>
    <n v="0"/>
    <n v="1"/>
    <s v="Accountants"/>
    <x v="2"/>
  </r>
  <r>
    <n v="5062184"/>
    <x v="0"/>
    <s v="Y"/>
    <s v="Y"/>
    <n v="2"/>
    <x v="23"/>
    <x v="2"/>
    <x v="0"/>
    <x v="1"/>
    <x v="0"/>
    <d v="1985-11-06T00:00:00"/>
    <n v="-14291"/>
    <x v="1315"/>
    <x v="3"/>
    <n v="-532"/>
    <n v="1.4565366187542779"/>
    <x v="1"/>
    <n v="1"/>
    <n v="0"/>
    <n v="0"/>
    <n v="1"/>
    <s v="Accountants"/>
    <x v="2"/>
  </r>
  <r>
    <n v="5062185"/>
    <x v="0"/>
    <s v="Y"/>
    <s v="Y"/>
    <n v="2"/>
    <x v="23"/>
    <x v="2"/>
    <x v="0"/>
    <x v="1"/>
    <x v="0"/>
    <d v="1985-11-06T00:00:00"/>
    <n v="-14291"/>
    <x v="1315"/>
    <x v="3"/>
    <n v="-532"/>
    <n v="1.4565366187542779"/>
    <x v="1"/>
    <n v="1"/>
    <n v="0"/>
    <n v="0"/>
    <n v="1"/>
    <s v="Accountants"/>
    <x v="2"/>
  </r>
  <r>
    <n v="5062199"/>
    <x v="0"/>
    <s v="N"/>
    <s v="Y"/>
    <n v="0"/>
    <x v="2"/>
    <x v="1"/>
    <x v="0"/>
    <x v="1"/>
    <x v="0"/>
    <d v="1977-02-20T00:00:00"/>
    <n v="-17472"/>
    <x v="1316"/>
    <x v="1"/>
    <n v="-1202"/>
    <n v="3.2908966461327855"/>
    <x v="1"/>
    <n v="1"/>
    <n v="1"/>
    <n v="1"/>
    <n v="0"/>
    <m/>
    <x v="1"/>
  </r>
  <r>
    <n v="5062201"/>
    <x v="0"/>
    <s v="N"/>
    <s v="Y"/>
    <n v="0"/>
    <x v="2"/>
    <x v="1"/>
    <x v="0"/>
    <x v="1"/>
    <x v="0"/>
    <d v="1977-02-20T00:00:00"/>
    <n v="-17472"/>
    <x v="1316"/>
    <x v="1"/>
    <n v="-1202"/>
    <n v="3.2908966461327855"/>
    <x v="1"/>
    <n v="1"/>
    <n v="1"/>
    <n v="1"/>
    <n v="0"/>
    <m/>
    <x v="1"/>
  </r>
  <r>
    <n v="5062213"/>
    <x v="0"/>
    <s v="N"/>
    <s v="Y"/>
    <n v="2"/>
    <x v="33"/>
    <x v="1"/>
    <x v="0"/>
    <x v="1"/>
    <x v="0"/>
    <d v="1988-08-10T00:00:00"/>
    <n v="-13283"/>
    <x v="1317"/>
    <x v="3"/>
    <n v="-1324"/>
    <n v="3.6249144421629023"/>
    <x v="1"/>
    <n v="1"/>
    <n v="0"/>
    <n v="0"/>
    <n v="0"/>
    <s v="Accountants"/>
    <x v="2"/>
  </r>
  <r>
    <n v="5062214"/>
    <x v="0"/>
    <s v="N"/>
    <s v="Y"/>
    <n v="2"/>
    <x v="33"/>
    <x v="1"/>
    <x v="0"/>
    <x v="1"/>
    <x v="0"/>
    <d v="1988-08-10T00:00:00"/>
    <n v="-13283"/>
    <x v="1317"/>
    <x v="3"/>
    <n v="-1324"/>
    <n v="3.6249144421629023"/>
    <x v="1"/>
    <n v="1"/>
    <n v="0"/>
    <n v="0"/>
    <n v="0"/>
    <s v="Accountants"/>
    <x v="2"/>
  </r>
  <r>
    <n v="5062218"/>
    <x v="0"/>
    <s v="N"/>
    <s v="Y"/>
    <n v="2"/>
    <x v="33"/>
    <x v="1"/>
    <x v="0"/>
    <x v="1"/>
    <x v="0"/>
    <d v="1988-08-10T00:00:00"/>
    <n v="-13283"/>
    <x v="1317"/>
    <x v="3"/>
    <n v="-1324"/>
    <n v="3.6249144421629023"/>
    <x v="1"/>
    <n v="1"/>
    <n v="0"/>
    <n v="0"/>
    <n v="0"/>
    <s v="Accountants"/>
    <x v="2"/>
  </r>
  <r>
    <n v="5062221"/>
    <x v="1"/>
    <s v="N"/>
    <s v="Y"/>
    <n v="0"/>
    <x v="16"/>
    <x v="1"/>
    <x v="0"/>
    <x v="2"/>
    <x v="0"/>
    <d v="1991-04-01T00:00:00"/>
    <n v="-12319"/>
    <x v="1318"/>
    <x v="3"/>
    <n v="-1689"/>
    <n v="4.6242299794661195"/>
    <x v="1"/>
    <n v="1"/>
    <n v="0"/>
    <n v="0"/>
    <n v="0"/>
    <m/>
    <x v="0"/>
  </r>
  <r>
    <n v="5062241"/>
    <x v="0"/>
    <s v="Y"/>
    <s v="N"/>
    <n v="0"/>
    <x v="12"/>
    <x v="2"/>
    <x v="1"/>
    <x v="1"/>
    <x v="0"/>
    <d v="1971-10-01T00:00:00"/>
    <n v="-19441"/>
    <x v="1319"/>
    <x v="2"/>
    <n v="-4064"/>
    <n v="11.126625598904859"/>
    <x v="1"/>
    <n v="1"/>
    <n v="0"/>
    <n v="0"/>
    <n v="0"/>
    <s v="Managers"/>
    <x v="1"/>
  </r>
  <r>
    <n v="5062243"/>
    <x v="0"/>
    <s v="Y"/>
    <s v="N"/>
    <n v="0"/>
    <x v="12"/>
    <x v="2"/>
    <x v="1"/>
    <x v="1"/>
    <x v="0"/>
    <d v="1971-10-01T00:00:00"/>
    <n v="-19441"/>
    <x v="1319"/>
    <x v="2"/>
    <n v="-4064"/>
    <n v="11.126625598904859"/>
    <x v="1"/>
    <n v="1"/>
    <n v="0"/>
    <n v="0"/>
    <n v="0"/>
    <s v="Managers"/>
    <x v="1"/>
  </r>
  <r>
    <n v="5062245"/>
    <x v="0"/>
    <s v="Y"/>
    <s v="N"/>
    <n v="0"/>
    <x v="12"/>
    <x v="2"/>
    <x v="1"/>
    <x v="1"/>
    <x v="0"/>
    <d v="1971-10-01T00:00:00"/>
    <n v="-19441"/>
    <x v="1319"/>
    <x v="2"/>
    <n v="-4064"/>
    <n v="11.126625598904859"/>
    <x v="1"/>
    <n v="1"/>
    <n v="0"/>
    <n v="0"/>
    <n v="0"/>
    <s v="Managers"/>
    <x v="1"/>
  </r>
  <r>
    <n v="5062248"/>
    <x v="0"/>
    <s v="Y"/>
    <s v="N"/>
    <n v="0"/>
    <x v="12"/>
    <x v="2"/>
    <x v="1"/>
    <x v="1"/>
    <x v="0"/>
    <d v="1971-10-01T00:00:00"/>
    <n v="-19441"/>
    <x v="1319"/>
    <x v="2"/>
    <n v="-4064"/>
    <n v="11.126625598904859"/>
    <x v="1"/>
    <n v="1"/>
    <n v="0"/>
    <n v="0"/>
    <n v="0"/>
    <s v="Managers"/>
    <x v="1"/>
  </r>
  <r>
    <n v="5062254"/>
    <x v="0"/>
    <s v="N"/>
    <s v="N"/>
    <n v="1"/>
    <x v="5"/>
    <x v="2"/>
    <x v="1"/>
    <x v="1"/>
    <x v="0"/>
    <d v="1983-07-23T00:00:00"/>
    <n v="-15128"/>
    <x v="1320"/>
    <x v="1"/>
    <n v="-1628"/>
    <n v="4.4572210814510607"/>
    <x v="1"/>
    <n v="1"/>
    <n v="0"/>
    <n v="0"/>
    <n v="1"/>
    <s v="Private service staff"/>
    <x v="3"/>
  </r>
  <r>
    <n v="5062286"/>
    <x v="1"/>
    <s v="N"/>
    <s v="Y"/>
    <n v="0"/>
    <x v="11"/>
    <x v="1"/>
    <x v="1"/>
    <x v="1"/>
    <x v="0"/>
    <d v="2002-02-08T00:00:00"/>
    <n v="-8353"/>
    <x v="1321"/>
    <x v="4"/>
    <n v="-1081"/>
    <n v="2.9596167008898013"/>
    <x v="1"/>
    <n v="1"/>
    <n v="1"/>
    <n v="0"/>
    <n v="1"/>
    <s v="Core staff"/>
    <x v="1"/>
  </r>
  <r>
    <n v="5062304"/>
    <x v="0"/>
    <s v="N"/>
    <s v="Y"/>
    <n v="0"/>
    <x v="43"/>
    <x v="1"/>
    <x v="1"/>
    <x v="1"/>
    <x v="0"/>
    <d v="1976-02-23T00:00:00"/>
    <n v="-17835"/>
    <x v="1322"/>
    <x v="1"/>
    <n v="-3273"/>
    <n v="8.9609856262833674"/>
    <x v="1"/>
    <n v="1"/>
    <n v="0"/>
    <n v="0"/>
    <n v="0"/>
    <s v="Core staff"/>
    <x v="1"/>
  </r>
  <r>
    <n v="5062337"/>
    <x v="1"/>
    <s v="N"/>
    <s v="Y"/>
    <n v="1"/>
    <x v="11"/>
    <x v="1"/>
    <x v="1"/>
    <x v="1"/>
    <x v="0"/>
    <d v="1983-09-04T00:00:00"/>
    <n v="-15085"/>
    <x v="1323"/>
    <x v="1"/>
    <n v="-4033"/>
    <n v="11.041752224503764"/>
    <x v="1"/>
    <n v="1"/>
    <n v="0"/>
    <n v="0"/>
    <n v="1"/>
    <m/>
    <x v="3"/>
  </r>
  <r>
    <n v="5062342"/>
    <x v="1"/>
    <s v="Y"/>
    <s v="Y"/>
    <n v="0"/>
    <x v="2"/>
    <x v="2"/>
    <x v="1"/>
    <x v="2"/>
    <x v="0"/>
    <d v="2001-01-22T00:00:00"/>
    <n v="-8735"/>
    <x v="1324"/>
    <x v="4"/>
    <n v="-198"/>
    <n v="0.5420944558521561"/>
    <x v="1"/>
    <n v="1"/>
    <n v="0"/>
    <n v="0"/>
    <n v="1"/>
    <m/>
    <x v="0"/>
  </r>
  <r>
    <n v="5062364"/>
    <x v="0"/>
    <s v="Y"/>
    <s v="Y"/>
    <n v="0"/>
    <x v="11"/>
    <x v="2"/>
    <x v="1"/>
    <x v="1"/>
    <x v="0"/>
    <d v="1996-01-20T00:00:00"/>
    <n v="-10564"/>
    <x v="1325"/>
    <x v="4"/>
    <n v="-897"/>
    <n v="2.4558521560574951"/>
    <x v="1"/>
    <n v="1"/>
    <n v="1"/>
    <n v="1"/>
    <n v="0"/>
    <s v="Core staff"/>
    <x v="1"/>
  </r>
  <r>
    <n v="5062374"/>
    <x v="0"/>
    <s v="N"/>
    <s v="Y"/>
    <n v="0"/>
    <x v="43"/>
    <x v="3"/>
    <x v="0"/>
    <x v="4"/>
    <x v="0"/>
    <d v="1971-10-16T00:00:00"/>
    <n v="-19426"/>
    <x v="1326"/>
    <x v="2"/>
    <n v="-1598"/>
    <n v="4.3750855578370977"/>
    <x v="1"/>
    <n v="1"/>
    <n v="1"/>
    <n v="1"/>
    <n v="0"/>
    <s v="Accountants"/>
    <x v="0"/>
  </r>
  <r>
    <n v="5062411"/>
    <x v="0"/>
    <s v="N"/>
    <s v="Y"/>
    <n v="0"/>
    <x v="55"/>
    <x v="0"/>
    <x v="1"/>
    <x v="4"/>
    <x v="0"/>
    <d v="1959-01-04T00:00:00"/>
    <n v="-24094"/>
    <x v="1327"/>
    <x v="0"/>
    <n v="365243"/>
    <n v="0"/>
    <x v="0"/>
    <n v="1"/>
    <n v="0"/>
    <n v="1"/>
    <n v="0"/>
    <m/>
    <x v="0"/>
  </r>
  <r>
    <n v="5062414"/>
    <x v="0"/>
    <s v="N"/>
    <s v="Y"/>
    <n v="0"/>
    <x v="55"/>
    <x v="0"/>
    <x v="1"/>
    <x v="4"/>
    <x v="0"/>
    <d v="1959-01-04T00:00:00"/>
    <n v="-24094"/>
    <x v="1327"/>
    <x v="0"/>
    <n v="365243"/>
    <n v="0"/>
    <x v="0"/>
    <n v="1"/>
    <n v="0"/>
    <n v="1"/>
    <n v="0"/>
    <m/>
    <x v="0"/>
  </r>
  <r>
    <n v="5062416"/>
    <x v="0"/>
    <s v="N"/>
    <s v="Y"/>
    <n v="0"/>
    <x v="55"/>
    <x v="0"/>
    <x v="1"/>
    <x v="4"/>
    <x v="0"/>
    <d v="1959-01-04T00:00:00"/>
    <n v="-24094"/>
    <x v="1327"/>
    <x v="0"/>
    <n v="365243"/>
    <n v="0"/>
    <x v="0"/>
    <n v="1"/>
    <n v="0"/>
    <n v="1"/>
    <n v="0"/>
    <m/>
    <x v="0"/>
  </r>
  <r>
    <n v="5062425"/>
    <x v="0"/>
    <s v="N"/>
    <s v="Y"/>
    <n v="0"/>
    <x v="2"/>
    <x v="0"/>
    <x v="1"/>
    <x v="1"/>
    <x v="0"/>
    <d v="1968-06-23T00:00:00"/>
    <n v="-20636"/>
    <x v="1328"/>
    <x v="2"/>
    <n v="365243"/>
    <n v="0"/>
    <x v="0"/>
    <n v="1"/>
    <n v="0"/>
    <n v="0"/>
    <n v="0"/>
    <m/>
    <x v="1"/>
  </r>
  <r>
    <n v="5062443"/>
    <x v="0"/>
    <s v="N"/>
    <s v="Y"/>
    <n v="0"/>
    <x v="37"/>
    <x v="3"/>
    <x v="1"/>
    <x v="1"/>
    <x v="0"/>
    <d v="1970-09-19T00:00:00"/>
    <n v="-19818"/>
    <x v="1329"/>
    <x v="2"/>
    <n v="-11398"/>
    <n v="31.206023271731691"/>
    <x v="1"/>
    <n v="1"/>
    <n v="0"/>
    <n v="0"/>
    <n v="0"/>
    <m/>
    <x v="1"/>
  </r>
  <r>
    <n v="5062446"/>
    <x v="0"/>
    <s v="N"/>
    <s v="Y"/>
    <n v="0"/>
    <x v="37"/>
    <x v="3"/>
    <x v="1"/>
    <x v="1"/>
    <x v="0"/>
    <d v="1970-09-19T00:00:00"/>
    <n v="-19818"/>
    <x v="1329"/>
    <x v="2"/>
    <n v="-11398"/>
    <n v="31.206023271731691"/>
    <x v="1"/>
    <n v="1"/>
    <n v="0"/>
    <n v="0"/>
    <n v="0"/>
    <m/>
    <x v="1"/>
  </r>
  <r>
    <n v="5062484"/>
    <x v="0"/>
    <s v="N"/>
    <s v="Y"/>
    <n v="1"/>
    <x v="37"/>
    <x v="2"/>
    <x v="2"/>
    <x v="1"/>
    <x v="0"/>
    <d v="1989-02-15T00:00:00"/>
    <n v="-13094"/>
    <x v="1330"/>
    <x v="3"/>
    <n v="-3454"/>
    <n v="9.4565366187542779"/>
    <x v="1"/>
    <n v="1"/>
    <n v="0"/>
    <n v="0"/>
    <n v="0"/>
    <m/>
    <x v="3"/>
  </r>
  <r>
    <n v="5062495"/>
    <x v="1"/>
    <s v="N"/>
    <s v="Y"/>
    <n v="1"/>
    <x v="8"/>
    <x v="3"/>
    <x v="1"/>
    <x v="1"/>
    <x v="0"/>
    <d v="1999-11-01T00:00:00"/>
    <n v="-9183"/>
    <x v="1331"/>
    <x v="4"/>
    <n v="-2054"/>
    <n v="5.6235455167693358"/>
    <x v="1"/>
    <n v="1"/>
    <n v="0"/>
    <n v="0"/>
    <n v="0"/>
    <s v="Drivers"/>
    <x v="3"/>
  </r>
  <r>
    <n v="5062500"/>
    <x v="1"/>
    <s v="N"/>
    <s v="N"/>
    <n v="1"/>
    <x v="11"/>
    <x v="2"/>
    <x v="1"/>
    <x v="1"/>
    <x v="0"/>
    <d v="1984-05-17T00:00:00"/>
    <n v="-14829"/>
    <x v="1332"/>
    <x v="1"/>
    <n v="-685"/>
    <n v="1.8754277891854894"/>
    <x v="1"/>
    <n v="1"/>
    <n v="0"/>
    <n v="1"/>
    <n v="0"/>
    <s v="Laborers"/>
    <x v="3"/>
  </r>
  <r>
    <n v="5062501"/>
    <x v="1"/>
    <s v="N"/>
    <s v="N"/>
    <n v="1"/>
    <x v="11"/>
    <x v="2"/>
    <x v="1"/>
    <x v="1"/>
    <x v="0"/>
    <d v="1984-05-17T00:00:00"/>
    <n v="-14829"/>
    <x v="1332"/>
    <x v="1"/>
    <n v="-685"/>
    <n v="1.8754277891854894"/>
    <x v="1"/>
    <n v="1"/>
    <n v="0"/>
    <n v="1"/>
    <n v="0"/>
    <s v="Laborers"/>
    <x v="3"/>
  </r>
  <r>
    <n v="5062514"/>
    <x v="0"/>
    <s v="N"/>
    <s v="Y"/>
    <n v="1"/>
    <x v="2"/>
    <x v="2"/>
    <x v="0"/>
    <x v="1"/>
    <x v="0"/>
    <d v="1987-08-03T00:00:00"/>
    <n v="-13656"/>
    <x v="1333"/>
    <x v="3"/>
    <n v="-2207"/>
    <n v="6.0424366872005475"/>
    <x v="1"/>
    <n v="1"/>
    <n v="0"/>
    <n v="1"/>
    <n v="0"/>
    <s v="Sales staff"/>
    <x v="3"/>
  </r>
  <r>
    <n v="5062517"/>
    <x v="0"/>
    <s v="N"/>
    <s v="Y"/>
    <n v="1"/>
    <x v="2"/>
    <x v="2"/>
    <x v="0"/>
    <x v="1"/>
    <x v="0"/>
    <d v="1987-08-03T00:00:00"/>
    <n v="-13656"/>
    <x v="1333"/>
    <x v="3"/>
    <n v="-2207"/>
    <n v="6.0424366872005475"/>
    <x v="1"/>
    <n v="1"/>
    <n v="0"/>
    <n v="1"/>
    <n v="0"/>
    <s v="Sales staff"/>
    <x v="3"/>
  </r>
  <r>
    <n v="5062519"/>
    <x v="0"/>
    <s v="N"/>
    <s v="Y"/>
    <n v="1"/>
    <x v="2"/>
    <x v="2"/>
    <x v="0"/>
    <x v="1"/>
    <x v="0"/>
    <d v="1987-08-03T00:00:00"/>
    <n v="-13656"/>
    <x v="1333"/>
    <x v="3"/>
    <n v="-2207"/>
    <n v="6.0424366872005475"/>
    <x v="1"/>
    <n v="1"/>
    <n v="0"/>
    <n v="1"/>
    <n v="0"/>
    <s v="Sales staff"/>
    <x v="3"/>
  </r>
  <r>
    <n v="5062525"/>
    <x v="0"/>
    <s v="N"/>
    <s v="Y"/>
    <n v="1"/>
    <x v="2"/>
    <x v="2"/>
    <x v="0"/>
    <x v="1"/>
    <x v="0"/>
    <d v="1987-08-03T00:00:00"/>
    <n v="-13656"/>
    <x v="1333"/>
    <x v="3"/>
    <n v="-2207"/>
    <n v="6.0424366872005475"/>
    <x v="1"/>
    <n v="1"/>
    <n v="0"/>
    <n v="1"/>
    <n v="0"/>
    <s v="Sales staff"/>
    <x v="3"/>
  </r>
  <r>
    <n v="5062527"/>
    <x v="0"/>
    <s v="N"/>
    <s v="Y"/>
    <n v="1"/>
    <x v="2"/>
    <x v="2"/>
    <x v="0"/>
    <x v="1"/>
    <x v="0"/>
    <d v="1987-08-03T00:00:00"/>
    <n v="-13656"/>
    <x v="1333"/>
    <x v="3"/>
    <n v="-2207"/>
    <n v="6.0424366872005475"/>
    <x v="1"/>
    <n v="1"/>
    <n v="0"/>
    <n v="1"/>
    <n v="0"/>
    <s v="Sales staff"/>
    <x v="3"/>
  </r>
  <r>
    <n v="5062536"/>
    <x v="0"/>
    <s v="Y"/>
    <s v="Y"/>
    <n v="0"/>
    <x v="1"/>
    <x v="1"/>
    <x v="0"/>
    <x v="3"/>
    <x v="0"/>
    <d v="1989-01-26T00:00:00"/>
    <n v="-13114"/>
    <x v="1334"/>
    <x v="3"/>
    <n v="-1812"/>
    <n v="4.9609856262833674"/>
    <x v="1"/>
    <n v="1"/>
    <n v="0"/>
    <n v="0"/>
    <n v="1"/>
    <s v="Medicine staff"/>
    <x v="1"/>
  </r>
  <r>
    <n v="5062544"/>
    <x v="0"/>
    <s v="N"/>
    <s v="Y"/>
    <n v="1"/>
    <x v="8"/>
    <x v="1"/>
    <x v="1"/>
    <x v="1"/>
    <x v="0"/>
    <d v="1991-06-14T00:00:00"/>
    <n v="-12245"/>
    <x v="1335"/>
    <x v="3"/>
    <n v="-137"/>
    <n v="0.3750855578370979"/>
    <x v="1"/>
    <n v="1"/>
    <n v="0"/>
    <n v="0"/>
    <n v="0"/>
    <m/>
    <x v="3"/>
  </r>
  <r>
    <n v="5062550"/>
    <x v="0"/>
    <s v="N"/>
    <s v="Y"/>
    <n v="3"/>
    <x v="39"/>
    <x v="1"/>
    <x v="2"/>
    <x v="1"/>
    <x v="0"/>
    <d v="1991-11-07T00:00:00"/>
    <n v="-12099"/>
    <x v="1294"/>
    <x v="3"/>
    <n v="-2207"/>
    <n v="6.0424366872005475"/>
    <x v="1"/>
    <n v="1"/>
    <n v="0"/>
    <n v="0"/>
    <n v="1"/>
    <m/>
    <x v="4"/>
  </r>
  <r>
    <n v="5062562"/>
    <x v="0"/>
    <s v="N"/>
    <s v="N"/>
    <n v="0"/>
    <x v="16"/>
    <x v="2"/>
    <x v="1"/>
    <x v="4"/>
    <x v="0"/>
    <d v="1958-03-28T00:00:00"/>
    <n v="-24376"/>
    <x v="1336"/>
    <x v="0"/>
    <n v="-4369"/>
    <n v="11.961670088980151"/>
    <x v="1"/>
    <n v="1"/>
    <n v="0"/>
    <n v="0"/>
    <n v="0"/>
    <m/>
    <x v="0"/>
  </r>
  <r>
    <n v="5062586"/>
    <x v="0"/>
    <s v="N"/>
    <s v="Y"/>
    <n v="0"/>
    <x v="16"/>
    <x v="0"/>
    <x v="1"/>
    <x v="1"/>
    <x v="0"/>
    <d v="1966-03-12T00:00:00"/>
    <n v="-21470"/>
    <x v="1337"/>
    <x v="2"/>
    <n v="365243"/>
    <n v="0"/>
    <x v="0"/>
    <n v="1"/>
    <n v="0"/>
    <n v="0"/>
    <n v="0"/>
    <m/>
    <x v="1"/>
  </r>
  <r>
    <n v="5062591"/>
    <x v="1"/>
    <s v="Y"/>
    <s v="Y"/>
    <n v="1"/>
    <x v="1"/>
    <x v="3"/>
    <x v="0"/>
    <x v="1"/>
    <x v="0"/>
    <d v="2000-05-30T00:00:00"/>
    <n v="-8972"/>
    <x v="1338"/>
    <x v="4"/>
    <n v="-145"/>
    <n v="0.39698836413415467"/>
    <x v="1"/>
    <n v="1"/>
    <n v="0"/>
    <n v="0"/>
    <n v="1"/>
    <s v="Core staff"/>
    <x v="3"/>
  </r>
  <r>
    <n v="5062605"/>
    <x v="0"/>
    <s v="Y"/>
    <s v="Y"/>
    <n v="0"/>
    <x v="14"/>
    <x v="2"/>
    <x v="1"/>
    <x v="1"/>
    <x v="0"/>
    <d v="1974-09-20T00:00:00"/>
    <n v="-18356"/>
    <x v="1339"/>
    <x v="2"/>
    <n v="-1820"/>
    <n v="4.9828884325804248"/>
    <x v="1"/>
    <n v="1"/>
    <n v="0"/>
    <n v="0"/>
    <n v="0"/>
    <s v="High skill tech staff"/>
    <x v="1"/>
  </r>
  <r>
    <n v="5062614"/>
    <x v="0"/>
    <s v="N"/>
    <s v="N"/>
    <n v="1"/>
    <x v="1"/>
    <x v="1"/>
    <x v="1"/>
    <x v="0"/>
    <x v="0"/>
    <d v="1995-08-12T00:00:00"/>
    <n v="-10725"/>
    <x v="1340"/>
    <x v="4"/>
    <n v="-2802"/>
    <n v="7.6714579055441474"/>
    <x v="1"/>
    <n v="1"/>
    <n v="0"/>
    <n v="0"/>
    <n v="0"/>
    <s v="Private service staff"/>
    <x v="1"/>
  </r>
  <r>
    <n v="5062651"/>
    <x v="0"/>
    <s v="N"/>
    <s v="Y"/>
    <n v="1"/>
    <x v="11"/>
    <x v="1"/>
    <x v="1"/>
    <x v="1"/>
    <x v="0"/>
    <d v="1989-08-02T00:00:00"/>
    <n v="-12926"/>
    <x v="1341"/>
    <x v="3"/>
    <n v="-1241"/>
    <n v="3.3976728268309375"/>
    <x v="1"/>
    <n v="1"/>
    <n v="0"/>
    <n v="0"/>
    <n v="0"/>
    <m/>
    <x v="3"/>
  </r>
  <r>
    <n v="5062653"/>
    <x v="0"/>
    <s v="N"/>
    <s v="Y"/>
    <n v="1"/>
    <x v="11"/>
    <x v="1"/>
    <x v="1"/>
    <x v="1"/>
    <x v="0"/>
    <d v="1989-08-02T00:00:00"/>
    <n v="-12926"/>
    <x v="1341"/>
    <x v="3"/>
    <n v="-1241"/>
    <n v="3.3976728268309375"/>
    <x v="1"/>
    <n v="1"/>
    <n v="0"/>
    <n v="0"/>
    <n v="0"/>
    <m/>
    <x v="3"/>
  </r>
  <r>
    <n v="5062655"/>
    <x v="1"/>
    <s v="Y"/>
    <s v="Y"/>
    <n v="1"/>
    <x v="23"/>
    <x v="2"/>
    <x v="1"/>
    <x v="1"/>
    <x v="0"/>
    <d v="1987-12-28T00:00:00"/>
    <n v="-13509"/>
    <x v="1342"/>
    <x v="3"/>
    <n v="-1028"/>
    <n v="2.8145106091718"/>
    <x v="1"/>
    <n v="1"/>
    <n v="0"/>
    <n v="0"/>
    <n v="0"/>
    <s v="Laborers"/>
    <x v="3"/>
  </r>
  <r>
    <n v="5062674"/>
    <x v="0"/>
    <s v="Y"/>
    <s v="Y"/>
    <n v="1"/>
    <x v="1"/>
    <x v="2"/>
    <x v="0"/>
    <x v="1"/>
    <x v="0"/>
    <d v="1984-04-13T00:00:00"/>
    <n v="-14863"/>
    <x v="1343"/>
    <x v="1"/>
    <n v="-4407"/>
    <n v="12.06570841889117"/>
    <x v="1"/>
    <n v="1"/>
    <n v="0"/>
    <n v="0"/>
    <n v="0"/>
    <s v="Managers"/>
    <x v="3"/>
  </r>
  <r>
    <n v="5062690"/>
    <x v="1"/>
    <s v="Y"/>
    <s v="Y"/>
    <n v="0"/>
    <x v="39"/>
    <x v="3"/>
    <x v="1"/>
    <x v="1"/>
    <x v="4"/>
    <d v="1969-11-29T00:00:00"/>
    <n v="-20112"/>
    <x v="1344"/>
    <x v="2"/>
    <n v="-875"/>
    <n v="2.3956194387405887"/>
    <x v="1"/>
    <n v="1"/>
    <n v="1"/>
    <n v="0"/>
    <n v="1"/>
    <s v="High skill tech staff"/>
    <x v="1"/>
  </r>
  <r>
    <n v="5062712"/>
    <x v="0"/>
    <s v="N"/>
    <s v="Y"/>
    <n v="1"/>
    <x v="5"/>
    <x v="2"/>
    <x v="1"/>
    <x v="1"/>
    <x v="0"/>
    <d v="1985-04-01T00:00:00"/>
    <n v="-14510"/>
    <x v="1345"/>
    <x v="3"/>
    <n v="-3805"/>
    <n v="10.417522245037645"/>
    <x v="1"/>
    <n v="1"/>
    <n v="0"/>
    <n v="0"/>
    <n v="0"/>
    <s v="Core staff"/>
    <x v="3"/>
  </r>
  <r>
    <n v="5062714"/>
    <x v="0"/>
    <s v="N"/>
    <s v="Y"/>
    <n v="1"/>
    <x v="5"/>
    <x v="2"/>
    <x v="1"/>
    <x v="1"/>
    <x v="0"/>
    <d v="1985-04-01T00:00:00"/>
    <n v="-14510"/>
    <x v="1345"/>
    <x v="3"/>
    <n v="-3805"/>
    <n v="10.417522245037645"/>
    <x v="1"/>
    <n v="1"/>
    <n v="0"/>
    <n v="0"/>
    <n v="0"/>
    <s v="Core staff"/>
    <x v="3"/>
  </r>
  <r>
    <n v="5062723"/>
    <x v="1"/>
    <s v="N"/>
    <s v="Y"/>
    <n v="0"/>
    <x v="1"/>
    <x v="2"/>
    <x v="0"/>
    <x v="1"/>
    <x v="0"/>
    <d v="1978-06-30T00:00:00"/>
    <n v="-16977"/>
    <x v="1346"/>
    <x v="1"/>
    <n v="-92"/>
    <n v="0.2518822724161533"/>
    <x v="1"/>
    <n v="1"/>
    <n v="0"/>
    <n v="0"/>
    <n v="0"/>
    <s v="Managers"/>
    <x v="1"/>
  </r>
  <r>
    <n v="5062755"/>
    <x v="0"/>
    <s v="N"/>
    <s v="N"/>
    <n v="0"/>
    <x v="2"/>
    <x v="2"/>
    <x v="1"/>
    <x v="2"/>
    <x v="0"/>
    <d v="1993-09-05T00:00:00"/>
    <n v="-11431"/>
    <x v="1347"/>
    <x v="3"/>
    <n v="-306"/>
    <n v="0.83778234086242298"/>
    <x v="1"/>
    <n v="1"/>
    <n v="0"/>
    <n v="0"/>
    <n v="0"/>
    <s v="Core staff"/>
    <x v="0"/>
  </r>
  <r>
    <n v="5065313"/>
    <x v="0"/>
    <s v="N"/>
    <s v="Y"/>
    <n v="1"/>
    <x v="5"/>
    <x v="3"/>
    <x v="0"/>
    <x v="1"/>
    <x v="0"/>
    <d v="1982-02-21T00:00:00"/>
    <n v="-15645"/>
    <x v="1348"/>
    <x v="1"/>
    <n v="-4280"/>
    <n v="11.718001368925394"/>
    <x v="1"/>
    <n v="1"/>
    <n v="0"/>
    <n v="0"/>
    <n v="0"/>
    <s v="Core staff"/>
    <x v="3"/>
  </r>
  <r>
    <n v="5065356"/>
    <x v="1"/>
    <s v="N"/>
    <s v="Y"/>
    <n v="0"/>
    <x v="5"/>
    <x v="2"/>
    <x v="1"/>
    <x v="1"/>
    <x v="0"/>
    <d v="1966-12-08T00:00:00"/>
    <n v="-21199"/>
    <x v="1349"/>
    <x v="2"/>
    <n v="-5069"/>
    <n v="13.878165639972622"/>
    <x v="1"/>
    <n v="1"/>
    <n v="0"/>
    <n v="0"/>
    <n v="1"/>
    <s v="Managers"/>
    <x v="1"/>
  </r>
  <r>
    <n v="5065357"/>
    <x v="1"/>
    <s v="N"/>
    <s v="Y"/>
    <n v="0"/>
    <x v="5"/>
    <x v="2"/>
    <x v="1"/>
    <x v="1"/>
    <x v="0"/>
    <d v="1966-12-08T00:00:00"/>
    <n v="-21199"/>
    <x v="1349"/>
    <x v="2"/>
    <n v="-5069"/>
    <n v="13.878165639972622"/>
    <x v="1"/>
    <n v="1"/>
    <n v="0"/>
    <n v="0"/>
    <n v="1"/>
    <s v="Managers"/>
    <x v="1"/>
  </r>
  <r>
    <n v="5065358"/>
    <x v="0"/>
    <s v="N"/>
    <s v="Y"/>
    <n v="1"/>
    <x v="7"/>
    <x v="2"/>
    <x v="0"/>
    <x v="2"/>
    <x v="0"/>
    <d v="1996-03-12T00:00:00"/>
    <n v="-10512"/>
    <x v="1350"/>
    <x v="4"/>
    <n v="-1782"/>
    <n v="4.8788501026694044"/>
    <x v="1"/>
    <n v="1"/>
    <n v="0"/>
    <n v="1"/>
    <n v="0"/>
    <s v="Core staff"/>
    <x v="1"/>
  </r>
  <r>
    <n v="5065361"/>
    <x v="0"/>
    <s v="N"/>
    <s v="Y"/>
    <n v="1"/>
    <x v="7"/>
    <x v="2"/>
    <x v="0"/>
    <x v="2"/>
    <x v="0"/>
    <d v="1996-03-12T00:00:00"/>
    <n v="-10512"/>
    <x v="1350"/>
    <x v="4"/>
    <n v="-1782"/>
    <n v="4.8788501026694044"/>
    <x v="1"/>
    <n v="1"/>
    <n v="0"/>
    <n v="1"/>
    <n v="0"/>
    <s v="Core staff"/>
    <x v="1"/>
  </r>
  <r>
    <n v="5065369"/>
    <x v="0"/>
    <s v="N"/>
    <s v="Y"/>
    <n v="1"/>
    <x v="7"/>
    <x v="2"/>
    <x v="0"/>
    <x v="2"/>
    <x v="0"/>
    <d v="1996-03-12T00:00:00"/>
    <n v="-10512"/>
    <x v="1350"/>
    <x v="4"/>
    <n v="-1782"/>
    <n v="4.8788501026694044"/>
    <x v="1"/>
    <n v="1"/>
    <n v="0"/>
    <n v="1"/>
    <n v="0"/>
    <s v="Core staff"/>
    <x v="1"/>
  </r>
  <r>
    <n v="5065380"/>
    <x v="0"/>
    <s v="Y"/>
    <s v="Y"/>
    <n v="0"/>
    <x v="1"/>
    <x v="2"/>
    <x v="0"/>
    <x v="3"/>
    <x v="0"/>
    <d v="1979-04-24T00:00:00"/>
    <n v="-16679"/>
    <x v="1351"/>
    <x v="1"/>
    <n v="-443"/>
    <n v="1.2128678986995209"/>
    <x v="1"/>
    <n v="1"/>
    <n v="0"/>
    <n v="0"/>
    <n v="0"/>
    <m/>
    <x v="1"/>
  </r>
  <r>
    <n v="5065395"/>
    <x v="1"/>
    <s v="Y"/>
    <s v="N"/>
    <n v="0"/>
    <x v="84"/>
    <x v="1"/>
    <x v="0"/>
    <x v="1"/>
    <x v="0"/>
    <d v="1990-07-20T00:00:00"/>
    <n v="-12574"/>
    <x v="1352"/>
    <x v="3"/>
    <n v="-2453"/>
    <n v="6.7159479808350442"/>
    <x v="1"/>
    <n v="1"/>
    <n v="1"/>
    <n v="1"/>
    <n v="0"/>
    <s v="Managers"/>
    <x v="1"/>
  </r>
  <r>
    <n v="5065399"/>
    <x v="0"/>
    <s v="Y"/>
    <s v="Y"/>
    <n v="0"/>
    <x v="5"/>
    <x v="0"/>
    <x v="0"/>
    <x v="0"/>
    <x v="0"/>
    <d v="1961-05-06T00:00:00"/>
    <n v="-23241"/>
    <x v="1353"/>
    <x v="0"/>
    <n v="365243"/>
    <n v="0"/>
    <x v="0"/>
    <n v="1"/>
    <n v="0"/>
    <n v="0"/>
    <n v="0"/>
    <m/>
    <x v="0"/>
  </r>
  <r>
    <n v="5065407"/>
    <x v="0"/>
    <s v="N"/>
    <s v="Y"/>
    <n v="1"/>
    <x v="1"/>
    <x v="1"/>
    <x v="1"/>
    <x v="1"/>
    <x v="0"/>
    <d v="1982-07-25T00:00:00"/>
    <n v="-15491"/>
    <x v="1354"/>
    <x v="1"/>
    <n v="-1539"/>
    <n v="4.213552361396304"/>
    <x v="1"/>
    <n v="1"/>
    <n v="0"/>
    <n v="0"/>
    <n v="0"/>
    <m/>
    <x v="3"/>
  </r>
  <r>
    <n v="5065419"/>
    <x v="0"/>
    <s v="N"/>
    <s v="Y"/>
    <n v="0"/>
    <x v="78"/>
    <x v="2"/>
    <x v="1"/>
    <x v="1"/>
    <x v="0"/>
    <d v="1981-05-17T00:00:00"/>
    <n v="-15925"/>
    <x v="1355"/>
    <x v="1"/>
    <n v="-3335"/>
    <n v="9.1307323750855574"/>
    <x v="1"/>
    <n v="1"/>
    <n v="1"/>
    <n v="1"/>
    <n v="0"/>
    <s v="Sales staff"/>
    <x v="1"/>
  </r>
  <r>
    <n v="5065421"/>
    <x v="0"/>
    <s v="N"/>
    <s v="Y"/>
    <n v="0"/>
    <x v="78"/>
    <x v="2"/>
    <x v="1"/>
    <x v="1"/>
    <x v="0"/>
    <d v="1981-05-17T00:00:00"/>
    <n v="-15925"/>
    <x v="1355"/>
    <x v="1"/>
    <n v="-3335"/>
    <n v="9.1307323750855574"/>
    <x v="1"/>
    <n v="1"/>
    <n v="1"/>
    <n v="1"/>
    <n v="0"/>
    <s v="Sales staff"/>
    <x v="1"/>
  </r>
  <r>
    <n v="5065423"/>
    <x v="0"/>
    <s v="N"/>
    <s v="Y"/>
    <n v="0"/>
    <x v="78"/>
    <x v="2"/>
    <x v="1"/>
    <x v="1"/>
    <x v="0"/>
    <d v="1981-05-17T00:00:00"/>
    <n v="-15925"/>
    <x v="1355"/>
    <x v="1"/>
    <n v="-3335"/>
    <n v="9.1307323750855574"/>
    <x v="1"/>
    <n v="1"/>
    <n v="1"/>
    <n v="1"/>
    <n v="0"/>
    <s v="Sales staff"/>
    <x v="1"/>
  </r>
  <r>
    <n v="5065443"/>
    <x v="0"/>
    <s v="Y"/>
    <s v="N"/>
    <n v="2"/>
    <x v="18"/>
    <x v="2"/>
    <x v="1"/>
    <x v="1"/>
    <x v="2"/>
    <d v="1988-09-04T00:00:00"/>
    <n v="-13258"/>
    <x v="1356"/>
    <x v="3"/>
    <n v="-2300"/>
    <n v="6.2970568104038334"/>
    <x v="1"/>
    <n v="1"/>
    <n v="0"/>
    <n v="0"/>
    <n v="0"/>
    <s v="Managers"/>
    <x v="2"/>
  </r>
  <r>
    <n v="5065452"/>
    <x v="1"/>
    <s v="N"/>
    <s v="Y"/>
    <n v="0"/>
    <x v="16"/>
    <x v="2"/>
    <x v="2"/>
    <x v="1"/>
    <x v="0"/>
    <d v="1978-01-12T00:00:00"/>
    <n v="-17146"/>
    <x v="1357"/>
    <x v="1"/>
    <n v="-5680"/>
    <n v="15.550992470910336"/>
    <x v="1"/>
    <n v="1"/>
    <n v="0"/>
    <n v="1"/>
    <n v="0"/>
    <s v="Laborers"/>
    <x v="1"/>
  </r>
  <r>
    <n v="5065457"/>
    <x v="0"/>
    <s v="Y"/>
    <s v="Y"/>
    <n v="1"/>
    <x v="16"/>
    <x v="2"/>
    <x v="0"/>
    <x v="3"/>
    <x v="2"/>
    <d v="1988-03-11T00:00:00"/>
    <n v="-13435"/>
    <x v="254"/>
    <x v="3"/>
    <n v="-1297"/>
    <n v="3.5509924709103355"/>
    <x v="1"/>
    <n v="1"/>
    <n v="0"/>
    <n v="0"/>
    <n v="0"/>
    <m/>
    <x v="3"/>
  </r>
  <r>
    <n v="5065475"/>
    <x v="0"/>
    <s v="N"/>
    <s v="N"/>
    <n v="1"/>
    <x v="2"/>
    <x v="1"/>
    <x v="1"/>
    <x v="1"/>
    <x v="0"/>
    <d v="1998-09-28T00:00:00"/>
    <n v="-9582"/>
    <x v="500"/>
    <x v="4"/>
    <n v="-747"/>
    <n v="2.0451745379876796"/>
    <x v="1"/>
    <n v="1"/>
    <n v="0"/>
    <n v="0"/>
    <n v="0"/>
    <s v="Sales staff"/>
    <x v="3"/>
  </r>
  <r>
    <n v="5065479"/>
    <x v="1"/>
    <s v="N"/>
    <s v="N"/>
    <n v="1"/>
    <x v="10"/>
    <x v="2"/>
    <x v="1"/>
    <x v="1"/>
    <x v="0"/>
    <d v="1987-10-24T00:00:00"/>
    <n v="-13574"/>
    <x v="1358"/>
    <x v="3"/>
    <n v="-109"/>
    <n v="0.29842573579739906"/>
    <x v="1"/>
    <n v="1"/>
    <n v="0"/>
    <n v="0"/>
    <n v="0"/>
    <s v="Laborers"/>
    <x v="3"/>
  </r>
  <r>
    <n v="5065486"/>
    <x v="0"/>
    <s v="N"/>
    <s v="N"/>
    <n v="2"/>
    <x v="50"/>
    <x v="2"/>
    <x v="1"/>
    <x v="0"/>
    <x v="4"/>
    <d v="1997-04-28T00:00:00"/>
    <n v="-10100"/>
    <x v="1359"/>
    <x v="4"/>
    <n v="-596"/>
    <n v="1.6317590691307324"/>
    <x v="1"/>
    <n v="1"/>
    <n v="0"/>
    <n v="0"/>
    <n v="0"/>
    <m/>
    <x v="3"/>
  </r>
  <r>
    <n v="5065489"/>
    <x v="0"/>
    <s v="N"/>
    <s v="Y"/>
    <n v="0"/>
    <x v="2"/>
    <x v="1"/>
    <x v="1"/>
    <x v="3"/>
    <x v="0"/>
    <d v="1990-12-03T00:00:00"/>
    <n v="-12438"/>
    <x v="1360"/>
    <x v="3"/>
    <n v="-747"/>
    <n v="2.0451745379876796"/>
    <x v="1"/>
    <n v="1"/>
    <n v="1"/>
    <n v="1"/>
    <n v="0"/>
    <s v="Medicine staff"/>
    <x v="1"/>
  </r>
  <r>
    <n v="5065500"/>
    <x v="0"/>
    <s v="Y"/>
    <s v="N"/>
    <n v="1"/>
    <x v="1"/>
    <x v="2"/>
    <x v="0"/>
    <x v="1"/>
    <x v="4"/>
    <d v="1990-09-09T00:00:00"/>
    <n v="-12523"/>
    <x v="1361"/>
    <x v="3"/>
    <n v="-2482"/>
    <n v="6.795345653661875"/>
    <x v="1"/>
    <n v="1"/>
    <n v="0"/>
    <n v="0"/>
    <n v="0"/>
    <s v="Managers"/>
    <x v="3"/>
  </r>
  <r>
    <n v="5065501"/>
    <x v="0"/>
    <s v="Y"/>
    <s v="N"/>
    <n v="1"/>
    <x v="1"/>
    <x v="2"/>
    <x v="0"/>
    <x v="1"/>
    <x v="4"/>
    <d v="1990-09-09T00:00:00"/>
    <n v="-12523"/>
    <x v="1361"/>
    <x v="3"/>
    <n v="-2482"/>
    <n v="6.795345653661875"/>
    <x v="1"/>
    <n v="1"/>
    <n v="0"/>
    <n v="0"/>
    <n v="0"/>
    <s v="Managers"/>
    <x v="3"/>
  </r>
  <r>
    <n v="5065505"/>
    <x v="0"/>
    <s v="Y"/>
    <s v="N"/>
    <n v="1"/>
    <x v="1"/>
    <x v="2"/>
    <x v="0"/>
    <x v="1"/>
    <x v="4"/>
    <d v="1990-09-09T00:00:00"/>
    <n v="-12523"/>
    <x v="1361"/>
    <x v="3"/>
    <n v="-2482"/>
    <n v="6.795345653661875"/>
    <x v="1"/>
    <n v="1"/>
    <n v="0"/>
    <n v="0"/>
    <n v="0"/>
    <s v="Managers"/>
    <x v="3"/>
  </r>
  <r>
    <n v="5065515"/>
    <x v="0"/>
    <s v="N"/>
    <s v="Y"/>
    <n v="0"/>
    <x v="12"/>
    <x v="1"/>
    <x v="0"/>
    <x v="1"/>
    <x v="0"/>
    <d v="1971-03-03T00:00:00"/>
    <n v="-19653"/>
    <x v="1362"/>
    <x v="2"/>
    <n v="-5953"/>
    <n v="16.298425735797398"/>
    <x v="1"/>
    <n v="1"/>
    <n v="0"/>
    <n v="0"/>
    <n v="0"/>
    <m/>
    <x v="1"/>
  </r>
  <r>
    <n v="5065518"/>
    <x v="0"/>
    <s v="Y"/>
    <s v="N"/>
    <n v="1"/>
    <x v="11"/>
    <x v="2"/>
    <x v="0"/>
    <x v="1"/>
    <x v="1"/>
    <d v="1998-12-09T00:00:00"/>
    <n v="-9510"/>
    <x v="1363"/>
    <x v="4"/>
    <n v="-2878"/>
    <n v="7.8795345653661872"/>
    <x v="1"/>
    <n v="1"/>
    <n v="0"/>
    <n v="0"/>
    <n v="0"/>
    <s v="Laborers"/>
    <x v="3"/>
  </r>
  <r>
    <n v="5065520"/>
    <x v="0"/>
    <s v="Y"/>
    <s v="N"/>
    <n v="1"/>
    <x v="11"/>
    <x v="2"/>
    <x v="0"/>
    <x v="1"/>
    <x v="1"/>
    <d v="1998-12-09T00:00:00"/>
    <n v="-9510"/>
    <x v="1363"/>
    <x v="4"/>
    <n v="-2878"/>
    <n v="7.8795345653661872"/>
    <x v="1"/>
    <n v="1"/>
    <n v="0"/>
    <n v="0"/>
    <n v="0"/>
    <s v="Laborers"/>
    <x v="3"/>
  </r>
  <r>
    <n v="5065536"/>
    <x v="1"/>
    <s v="N"/>
    <s v="Y"/>
    <n v="2"/>
    <x v="57"/>
    <x v="1"/>
    <x v="1"/>
    <x v="1"/>
    <x v="0"/>
    <d v="1989-05-25T00:00:00"/>
    <n v="-12995"/>
    <x v="1364"/>
    <x v="3"/>
    <n v="-1509"/>
    <n v="4.131416837782341"/>
    <x v="1"/>
    <n v="1"/>
    <n v="0"/>
    <n v="0"/>
    <n v="0"/>
    <s v="Managers"/>
    <x v="2"/>
  </r>
  <r>
    <n v="5065548"/>
    <x v="0"/>
    <s v="N"/>
    <s v="Y"/>
    <n v="0"/>
    <x v="5"/>
    <x v="2"/>
    <x v="1"/>
    <x v="1"/>
    <x v="4"/>
    <d v="1977-05-02T00:00:00"/>
    <n v="-17401"/>
    <x v="369"/>
    <x v="1"/>
    <n v="-1144"/>
    <n v="3.1321013004791238"/>
    <x v="1"/>
    <n v="1"/>
    <n v="0"/>
    <n v="1"/>
    <n v="0"/>
    <m/>
    <x v="1"/>
  </r>
  <r>
    <n v="5065566"/>
    <x v="0"/>
    <s v="N"/>
    <s v="N"/>
    <n v="1"/>
    <x v="1"/>
    <x v="2"/>
    <x v="1"/>
    <x v="4"/>
    <x v="0"/>
    <d v="1987-06-01T00:00:00"/>
    <n v="-13719"/>
    <x v="1365"/>
    <x v="3"/>
    <n v="-17"/>
    <n v="4.6543463381245723E-2"/>
    <x v="1"/>
    <n v="1"/>
    <n v="0"/>
    <n v="0"/>
    <n v="0"/>
    <s v="Sales staff"/>
    <x v="1"/>
  </r>
  <r>
    <n v="5065571"/>
    <x v="1"/>
    <s v="Y"/>
    <s v="Y"/>
    <n v="0"/>
    <x v="18"/>
    <x v="1"/>
    <x v="1"/>
    <x v="1"/>
    <x v="0"/>
    <d v="1975-02-05T00:00:00"/>
    <n v="-18218"/>
    <x v="1366"/>
    <x v="1"/>
    <n v="-1539"/>
    <n v="4.213552361396304"/>
    <x v="1"/>
    <n v="1"/>
    <n v="0"/>
    <n v="0"/>
    <n v="0"/>
    <s v="Drivers"/>
    <x v="1"/>
  </r>
  <r>
    <n v="5065579"/>
    <x v="0"/>
    <s v="N"/>
    <s v="Y"/>
    <n v="2"/>
    <x v="23"/>
    <x v="2"/>
    <x v="1"/>
    <x v="1"/>
    <x v="0"/>
    <d v="1994-06-16T00:00:00"/>
    <n v="-11147"/>
    <x v="1367"/>
    <x v="3"/>
    <n v="-262"/>
    <n v="0.71731690622861055"/>
    <x v="1"/>
    <n v="1"/>
    <n v="0"/>
    <n v="0"/>
    <n v="0"/>
    <s v="Cleaning staff"/>
    <x v="2"/>
  </r>
  <r>
    <n v="5065581"/>
    <x v="0"/>
    <s v="N"/>
    <s v="Y"/>
    <n v="2"/>
    <x v="23"/>
    <x v="2"/>
    <x v="1"/>
    <x v="1"/>
    <x v="0"/>
    <d v="1994-06-16T00:00:00"/>
    <n v="-11147"/>
    <x v="1367"/>
    <x v="3"/>
    <n v="-262"/>
    <n v="0.71731690622861055"/>
    <x v="1"/>
    <n v="1"/>
    <n v="0"/>
    <n v="0"/>
    <n v="0"/>
    <s v="Cleaning staff"/>
    <x v="2"/>
  </r>
  <r>
    <n v="5065585"/>
    <x v="0"/>
    <s v="Y"/>
    <s v="N"/>
    <n v="1"/>
    <x v="30"/>
    <x v="3"/>
    <x v="1"/>
    <x v="1"/>
    <x v="4"/>
    <d v="1986-12-11T00:00:00"/>
    <n v="-13891"/>
    <x v="1368"/>
    <x v="3"/>
    <n v="-7080"/>
    <n v="19.383983572895279"/>
    <x v="1"/>
    <n v="1"/>
    <n v="1"/>
    <n v="1"/>
    <n v="0"/>
    <s v="Medicine staff"/>
    <x v="3"/>
  </r>
  <r>
    <n v="5065598"/>
    <x v="0"/>
    <s v="N"/>
    <s v="Y"/>
    <n v="0"/>
    <x v="16"/>
    <x v="0"/>
    <x v="1"/>
    <x v="4"/>
    <x v="0"/>
    <d v="1968-10-15T00:00:00"/>
    <n v="-20522"/>
    <x v="1369"/>
    <x v="2"/>
    <n v="365243"/>
    <n v="0"/>
    <x v="0"/>
    <n v="1"/>
    <n v="0"/>
    <n v="1"/>
    <n v="0"/>
    <m/>
    <x v="0"/>
  </r>
  <r>
    <n v="5065608"/>
    <x v="0"/>
    <s v="N"/>
    <s v="Y"/>
    <n v="0"/>
    <x v="11"/>
    <x v="2"/>
    <x v="1"/>
    <x v="1"/>
    <x v="0"/>
    <d v="1980-05-08T00:00:00"/>
    <n v="-16299"/>
    <x v="1370"/>
    <x v="1"/>
    <n v="-655"/>
    <n v="1.7932922655715264"/>
    <x v="1"/>
    <n v="1"/>
    <n v="0"/>
    <n v="0"/>
    <n v="0"/>
    <s v="Managers"/>
    <x v="1"/>
  </r>
  <r>
    <n v="5065642"/>
    <x v="1"/>
    <s v="Y"/>
    <s v="Y"/>
    <n v="2"/>
    <x v="8"/>
    <x v="2"/>
    <x v="1"/>
    <x v="1"/>
    <x v="0"/>
    <d v="1980-07-25T00:00:00"/>
    <n v="-16221"/>
    <x v="1371"/>
    <x v="1"/>
    <n v="-6903"/>
    <n v="18.899383983572896"/>
    <x v="1"/>
    <n v="1"/>
    <n v="1"/>
    <n v="1"/>
    <n v="0"/>
    <s v="Laborers"/>
    <x v="2"/>
  </r>
  <r>
    <n v="5065645"/>
    <x v="1"/>
    <s v="Y"/>
    <s v="Y"/>
    <n v="2"/>
    <x v="8"/>
    <x v="2"/>
    <x v="1"/>
    <x v="1"/>
    <x v="0"/>
    <d v="1980-07-25T00:00:00"/>
    <n v="-16221"/>
    <x v="1371"/>
    <x v="1"/>
    <n v="-6903"/>
    <n v="18.899383983572896"/>
    <x v="1"/>
    <n v="1"/>
    <n v="1"/>
    <n v="1"/>
    <n v="0"/>
    <s v="Laborers"/>
    <x v="2"/>
  </r>
  <r>
    <n v="5065667"/>
    <x v="0"/>
    <s v="Y"/>
    <s v="Y"/>
    <n v="0"/>
    <x v="7"/>
    <x v="1"/>
    <x v="1"/>
    <x v="1"/>
    <x v="0"/>
    <d v="1988-04-13T00:00:00"/>
    <n v="-13402"/>
    <x v="1372"/>
    <x v="3"/>
    <n v="-542"/>
    <n v="1.483915126625599"/>
    <x v="1"/>
    <n v="1"/>
    <n v="0"/>
    <n v="0"/>
    <n v="0"/>
    <m/>
    <x v="1"/>
  </r>
  <r>
    <n v="5065668"/>
    <x v="0"/>
    <s v="Y"/>
    <s v="Y"/>
    <n v="0"/>
    <x v="7"/>
    <x v="1"/>
    <x v="1"/>
    <x v="1"/>
    <x v="0"/>
    <d v="1988-04-13T00:00:00"/>
    <n v="-13402"/>
    <x v="1372"/>
    <x v="3"/>
    <n v="-542"/>
    <n v="1.483915126625599"/>
    <x v="1"/>
    <n v="1"/>
    <n v="0"/>
    <n v="0"/>
    <n v="0"/>
    <m/>
    <x v="1"/>
  </r>
  <r>
    <n v="5065669"/>
    <x v="0"/>
    <s v="Y"/>
    <s v="Y"/>
    <n v="0"/>
    <x v="7"/>
    <x v="1"/>
    <x v="1"/>
    <x v="1"/>
    <x v="0"/>
    <d v="1988-04-13T00:00:00"/>
    <n v="-13402"/>
    <x v="1372"/>
    <x v="3"/>
    <n v="-542"/>
    <n v="1.483915126625599"/>
    <x v="1"/>
    <n v="1"/>
    <n v="0"/>
    <n v="0"/>
    <n v="0"/>
    <m/>
    <x v="1"/>
  </r>
  <r>
    <n v="5065674"/>
    <x v="0"/>
    <s v="N"/>
    <s v="N"/>
    <n v="0"/>
    <x v="1"/>
    <x v="2"/>
    <x v="1"/>
    <x v="2"/>
    <x v="0"/>
    <d v="1993-06-16T00:00:00"/>
    <n v="-11512"/>
    <x v="1373"/>
    <x v="3"/>
    <n v="-4711"/>
    <n v="12.898015058179329"/>
    <x v="1"/>
    <n v="1"/>
    <n v="0"/>
    <n v="0"/>
    <n v="0"/>
    <m/>
    <x v="0"/>
  </r>
  <r>
    <n v="5065675"/>
    <x v="0"/>
    <s v="N"/>
    <s v="N"/>
    <n v="0"/>
    <x v="1"/>
    <x v="2"/>
    <x v="1"/>
    <x v="2"/>
    <x v="0"/>
    <d v="1993-06-16T00:00:00"/>
    <n v="-11512"/>
    <x v="1373"/>
    <x v="3"/>
    <n v="-4711"/>
    <n v="12.898015058179329"/>
    <x v="1"/>
    <n v="1"/>
    <n v="0"/>
    <n v="0"/>
    <n v="0"/>
    <m/>
    <x v="0"/>
  </r>
  <r>
    <n v="5065685"/>
    <x v="0"/>
    <s v="Y"/>
    <s v="Y"/>
    <n v="2"/>
    <x v="42"/>
    <x v="1"/>
    <x v="0"/>
    <x v="1"/>
    <x v="0"/>
    <d v="1983-07-14T00:00:00"/>
    <n v="-15137"/>
    <x v="1374"/>
    <x v="1"/>
    <n v="-2734"/>
    <n v="7.485284052019165"/>
    <x v="1"/>
    <n v="1"/>
    <n v="0"/>
    <n v="1"/>
    <n v="0"/>
    <m/>
    <x v="2"/>
  </r>
  <r>
    <n v="5065690"/>
    <x v="1"/>
    <s v="Y"/>
    <s v="Y"/>
    <n v="0"/>
    <x v="12"/>
    <x v="2"/>
    <x v="1"/>
    <x v="1"/>
    <x v="0"/>
    <d v="1975-02-10T00:00:00"/>
    <n v="-18213"/>
    <x v="1375"/>
    <x v="1"/>
    <n v="-1151"/>
    <n v="3.1512662559890487"/>
    <x v="1"/>
    <n v="1"/>
    <n v="1"/>
    <n v="0"/>
    <n v="0"/>
    <s v="Managers"/>
    <x v="1"/>
  </r>
  <r>
    <n v="5065695"/>
    <x v="1"/>
    <s v="Y"/>
    <s v="Y"/>
    <n v="0"/>
    <x v="12"/>
    <x v="2"/>
    <x v="1"/>
    <x v="1"/>
    <x v="0"/>
    <d v="1975-02-10T00:00:00"/>
    <n v="-18213"/>
    <x v="1375"/>
    <x v="1"/>
    <n v="-1151"/>
    <n v="3.1512662559890487"/>
    <x v="1"/>
    <n v="1"/>
    <n v="1"/>
    <n v="0"/>
    <n v="0"/>
    <s v="Managers"/>
    <x v="1"/>
  </r>
  <r>
    <n v="5065697"/>
    <x v="1"/>
    <s v="Y"/>
    <s v="Y"/>
    <n v="0"/>
    <x v="12"/>
    <x v="2"/>
    <x v="1"/>
    <x v="1"/>
    <x v="0"/>
    <d v="1975-02-10T00:00:00"/>
    <n v="-18213"/>
    <x v="1375"/>
    <x v="1"/>
    <n v="-1151"/>
    <n v="3.1512662559890487"/>
    <x v="1"/>
    <n v="1"/>
    <n v="1"/>
    <n v="0"/>
    <n v="0"/>
    <s v="Managers"/>
    <x v="1"/>
  </r>
  <r>
    <n v="5065748"/>
    <x v="0"/>
    <s v="Y"/>
    <s v="Y"/>
    <n v="0"/>
    <x v="8"/>
    <x v="0"/>
    <x v="0"/>
    <x v="1"/>
    <x v="0"/>
    <d v="1964-11-12T00:00:00"/>
    <n v="-21955"/>
    <x v="869"/>
    <x v="0"/>
    <n v="365243"/>
    <n v="0"/>
    <x v="0"/>
    <n v="1"/>
    <n v="0"/>
    <n v="1"/>
    <n v="0"/>
    <m/>
    <x v="1"/>
  </r>
  <r>
    <n v="5065750"/>
    <x v="1"/>
    <s v="Y"/>
    <s v="Y"/>
    <n v="0"/>
    <x v="50"/>
    <x v="2"/>
    <x v="1"/>
    <x v="1"/>
    <x v="0"/>
    <d v="1981-06-05T00:00:00"/>
    <n v="-15906"/>
    <x v="1376"/>
    <x v="1"/>
    <n v="-1881"/>
    <n v="5.1498973305954827"/>
    <x v="1"/>
    <n v="1"/>
    <n v="0"/>
    <n v="0"/>
    <n v="0"/>
    <s v="High skill tech staff"/>
    <x v="1"/>
  </r>
  <r>
    <n v="5065754"/>
    <x v="0"/>
    <s v="Y"/>
    <s v="Y"/>
    <n v="0"/>
    <x v="8"/>
    <x v="2"/>
    <x v="1"/>
    <x v="3"/>
    <x v="0"/>
    <d v="1970-07-13T00:00:00"/>
    <n v="-19886"/>
    <x v="1377"/>
    <x v="2"/>
    <n v="-1577"/>
    <n v="4.3175906913073234"/>
    <x v="1"/>
    <n v="1"/>
    <n v="1"/>
    <n v="0"/>
    <n v="0"/>
    <s v="Accountants"/>
    <x v="1"/>
  </r>
  <r>
    <n v="5065758"/>
    <x v="1"/>
    <s v="Y"/>
    <s v="Y"/>
    <n v="1"/>
    <x v="5"/>
    <x v="2"/>
    <x v="1"/>
    <x v="1"/>
    <x v="0"/>
    <d v="1978-09-13T00:00:00"/>
    <n v="-16902"/>
    <x v="1378"/>
    <x v="1"/>
    <n v="-1699"/>
    <n v="4.6516084873374401"/>
    <x v="1"/>
    <n v="1"/>
    <n v="0"/>
    <n v="0"/>
    <n v="0"/>
    <s v="Laborers"/>
    <x v="3"/>
  </r>
  <r>
    <n v="5065766"/>
    <x v="0"/>
    <s v="N"/>
    <s v="Y"/>
    <n v="0"/>
    <x v="50"/>
    <x v="2"/>
    <x v="1"/>
    <x v="1"/>
    <x v="0"/>
    <d v="1985-07-18T00:00:00"/>
    <n v="-14402"/>
    <x v="1379"/>
    <x v="3"/>
    <n v="-1059"/>
    <n v="2.8993839835728954"/>
    <x v="1"/>
    <n v="1"/>
    <n v="0"/>
    <n v="0"/>
    <n v="1"/>
    <s v="Sales staff"/>
    <x v="1"/>
  </r>
  <r>
    <n v="5065772"/>
    <x v="0"/>
    <s v="N"/>
    <s v="Y"/>
    <n v="0"/>
    <x v="19"/>
    <x v="0"/>
    <x v="1"/>
    <x v="1"/>
    <x v="0"/>
    <d v="1967-04-07T00:00:00"/>
    <n v="-21079"/>
    <x v="1380"/>
    <x v="2"/>
    <n v="365243"/>
    <n v="0"/>
    <x v="0"/>
    <n v="1"/>
    <n v="0"/>
    <n v="0"/>
    <n v="0"/>
    <m/>
    <x v="1"/>
  </r>
  <r>
    <n v="5065779"/>
    <x v="0"/>
    <s v="N"/>
    <s v="Y"/>
    <n v="0"/>
    <x v="119"/>
    <x v="0"/>
    <x v="1"/>
    <x v="1"/>
    <x v="0"/>
    <d v="1964-11-30T00:00:00"/>
    <n v="-21937"/>
    <x v="1381"/>
    <x v="0"/>
    <n v="365243"/>
    <n v="0"/>
    <x v="0"/>
    <n v="1"/>
    <n v="0"/>
    <n v="0"/>
    <n v="0"/>
    <m/>
    <x v="1"/>
  </r>
  <r>
    <n v="5065781"/>
    <x v="0"/>
    <s v="N"/>
    <s v="Y"/>
    <n v="0"/>
    <x v="5"/>
    <x v="2"/>
    <x v="1"/>
    <x v="1"/>
    <x v="0"/>
    <d v="1977-06-29T00:00:00"/>
    <n v="-17343"/>
    <x v="1382"/>
    <x v="1"/>
    <n v="-938"/>
    <n v="2.5681040383299112"/>
    <x v="1"/>
    <n v="1"/>
    <n v="0"/>
    <n v="0"/>
    <n v="0"/>
    <s v="Sales staff"/>
    <x v="1"/>
  </r>
  <r>
    <n v="5065791"/>
    <x v="1"/>
    <s v="Y"/>
    <s v="Y"/>
    <n v="0"/>
    <x v="12"/>
    <x v="2"/>
    <x v="1"/>
    <x v="2"/>
    <x v="0"/>
    <d v="1989-08-16T00:00:00"/>
    <n v="-12912"/>
    <x v="1383"/>
    <x v="3"/>
    <n v="-3403"/>
    <n v="9.3169062286105415"/>
    <x v="1"/>
    <n v="1"/>
    <n v="0"/>
    <n v="0"/>
    <n v="1"/>
    <s v="Drivers"/>
    <x v="0"/>
  </r>
  <r>
    <n v="5065800"/>
    <x v="0"/>
    <s v="N"/>
    <s v="Y"/>
    <n v="0"/>
    <x v="1"/>
    <x v="0"/>
    <x v="1"/>
    <x v="4"/>
    <x v="0"/>
    <d v="1958-10-16T00:00:00"/>
    <n v="-24174"/>
    <x v="1384"/>
    <x v="0"/>
    <n v="365243"/>
    <n v="0"/>
    <x v="0"/>
    <n v="1"/>
    <n v="0"/>
    <n v="0"/>
    <n v="0"/>
    <m/>
    <x v="0"/>
  </r>
  <r>
    <n v="5065804"/>
    <x v="0"/>
    <s v="N"/>
    <s v="Y"/>
    <n v="0"/>
    <x v="1"/>
    <x v="0"/>
    <x v="1"/>
    <x v="4"/>
    <x v="0"/>
    <d v="1958-10-16T00:00:00"/>
    <n v="-24174"/>
    <x v="1384"/>
    <x v="0"/>
    <n v="365243"/>
    <n v="0"/>
    <x v="0"/>
    <n v="1"/>
    <n v="0"/>
    <n v="0"/>
    <n v="0"/>
    <m/>
    <x v="0"/>
  </r>
  <r>
    <n v="5065805"/>
    <x v="0"/>
    <s v="N"/>
    <s v="N"/>
    <n v="1"/>
    <x v="29"/>
    <x v="2"/>
    <x v="0"/>
    <x v="1"/>
    <x v="0"/>
    <d v="1981-05-27T00:00:00"/>
    <n v="-15915"/>
    <x v="1385"/>
    <x v="1"/>
    <n v="-785"/>
    <n v="2.1492128678986995"/>
    <x v="1"/>
    <n v="1"/>
    <n v="1"/>
    <n v="1"/>
    <n v="0"/>
    <s v="Sales staff"/>
    <x v="3"/>
  </r>
  <r>
    <n v="5065835"/>
    <x v="0"/>
    <s v="N"/>
    <s v="Y"/>
    <n v="0"/>
    <x v="37"/>
    <x v="0"/>
    <x v="1"/>
    <x v="0"/>
    <x v="0"/>
    <d v="1970-12-09T00:00:00"/>
    <n v="-19737"/>
    <x v="339"/>
    <x v="2"/>
    <n v="365243"/>
    <n v="0"/>
    <x v="0"/>
    <n v="1"/>
    <n v="0"/>
    <n v="0"/>
    <n v="0"/>
    <m/>
    <x v="0"/>
  </r>
  <r>
    <n v="5066380"/>
    <x v="0"/>
    <s v="N"/>
    <s v="Y"/>
    <n v="0"/>
    <x v="5"/>
    <x v="2"/>
    <x v="1"/>
    <x v="0"/>
    <x v="0"/>
    <d v="1975-04-16T00:00:00"/>
    <n v="-18148"/>
    <x v="1386"/>
    <x v="1"/>
    <n v="-8376"/>
    <n v="22.932238193018481"/>
    <x v="1"/>
    <n v="1"/>
    <n v="0"/>
    <n v="0"/>
    <n v="0"/>
    <m/>
    <x v="0"/>
  </r>
  <r>
    <n v="5066402"/>
    <x v="0"/>
    <s v="N"/>
    <s v="Y"/>
    <n v="1"/>
    <x v="41"/>
    <x v="1"/>
    <x v="0"/>
    <x v="1"/>
    <x v="0"/>
    <d v="1981-04-28T00:00:00"/>
    <n v="-15944"/>
    <x v="1387"/>
    <x v="1"/>
    <n v="-1467"/>
    <n v="4.0164271047227924"/>
    <x v="1"/>
    <n v="1"/>
    <n v="0"/>
    <n v="1"/>
    <n v="0"/>
    <m/>
    <x v="3"/>
  </r>
  <r>
    <n v="5066411"/>
    <x v="0"/>
    <s v="N"/>
    <s v="Y"/>
    <n v="1"/>
    <x v="19"/>
    <x v="2"/>
    <x v="2"/>
    <x v="2"/>
    <x v="0"/>
    <d v="1990-04-20T00:00:00"/>
    <n v="-12665"/>
    <x v="1388"/>
    <x v="3"/>
    <n v="-2593"/>
    <n v="7.099247091033539"/>
    <x v="1"/>
    <n v="1"/>
    <n v="0"/>
    <n v="0"/>
    <n v="0"/>
    <s v="Core staff"/>
    <x v="1"/>
  </r>
  <r>
    <n v="5066428"/>
    <x v="0"/>
    <s v="N"/>
    <s v="Y"/>
    <n v="1"/>
    <x v="8"/>
    <x v="1"/>
    <x v="0"/>
    <x v="1"/>
    <x v="0"/>
    <d v="1989-05-09T00:00:00"/>
    <n v="-13011"/>
    <x v="1389"/>
    <x v="3"/>
    <n v="-1953"/>
    <n v="5.3470225872689943"/>
    <x v="1"/>
    <n v="1"/>
    <n v="0"/>
    <n v="0"/>
    <n v="0"/>
    <s v="Sales staff"/>
    <x v="3"/>
  </r>
  <r>
    <n v="5066430"/>
    <x v="0"/>
    <s v="N"/>
    <s v="Y"/>
    <n v="1"/>
    <x v="8"/>
    <x v="1"/>
    <x v="0"/>
    <x v="1"/>
    <x v="0"/>
    <d v="1989-05-09T00:00:00"/>
    <n v="-13011"/>
    <x v="1389"/>
    <x v="3"/>
    <n v="-1953"/>
    <n v="5.3470225872689943"/>
    <x v="1"/>
    <n v="1"/>
    <n v="0"/>
    <n v="0"/>
    <n v="0"/>
    <s v="Sales staff"/>
    <x v="3"/>
  </r>
  <r>
    <n v="5066435"/>
    <x v="1"/>
    <s v="Y"/>
    <s v="Y"/>
    <n v="0"/>
    <x v="5"/>
    <x v="2"/>
    <x v="1"/>
    <x v="1"/>
    <x v="0"/>
    <d v="1977-06-28T00:00:00"/>
    <n v="-17344"/>
    <x v="1390"/>
    <x v="1"/>
    <n v="-553"/>
    <n v="1.514031485284052"/>
    <x v="1"/>
    <n v="1"/>
    <n v="0"/>
    <n v="0"/>
    <n v="1"/>
    <s v="Drivers"/>
    <x v="1"/>
  </r>
  <r>
    <n v="5066458"/>
    <x v="0"/>
    <s v="Y"/>
    <s v="Y"/>
    <n v="0"/>
    <x v="1"/>
    <x v="2"/>
    <x v="1"/>
    <x v="0"/>
    <x v="0"/>
    <d v="1980-08-04T00:00:00"/>
    <n v="-16211"/>
    <x v="1391"/>
    <x v="1"/>
    <n v="-1406"/>
    <n v="3.8494182067077345"/>
    <x v="1"/>
    <n v="1"/>
    <n v="0"/>
    <n v="0"/>
    <n v="0"/>
    <s v="Laborers"/>
    <x v="0"/>
  </r>
  <r>
    <n v="5066477"/>
    <x v="0"/>
    <s v="N"/>
    <s v="Y"/>
    <n v="0"/>
    <x v="1"/>
    <x v="1"/>
    <x v="1"/>
    <x v="1"/>
    <x v="0"/>
    <d v="1979-10-23T00:00:00"/>
    <n v="-16497"/>
    <x v="1392"/>
    <x v="1"/>
    <n v="-430"/>
    <n v="1.1772758384668036"/>
    <x v="1"/>
    <n v="1"/>
    <n v="0"/>
    <n v="0"/>
    <n v="0"/>
    <m/>
    <x v="1"/>
  </r>
  <r>
    <n v="5066482"/>
    <x v="0"/>
    <s v="N"/>
    <s v="Y"/>
    <n v="0"/>
    <x v="16"/>
    <x v="1"/>
    <x v="0"/>
    <x v="1"/>
    <x v="2"/>
    <d v="1998-08-17T00:00:00"/>
    <n v="-9624"/>
    <x v="1393"/>
    <x v="4"/>
    <n v="-2775"/>
    <n v="7.5975359342915807"/>
    <x v="1"/>
    <n v="1"/>
    <n v="0"/>
    <n v="0"/>
    <n v="0"/>
    <s v="Laborers"/>
    <x v="1"/>
  </r>
  <r>
    <n v="5066498"/>
    <x v="0"/>
    <s v="N"/>
    <s v="N"/>
    <n v="1"/>
    <x v="2"/>
    <x v="2"/>
    <x v="0"/>
    <x v="3"/>
    <x v="2"/>
    <d v="1991-11-30T00:00:00"/>
    <n v="-12076"/>
    <x v="1394"/>
    <x v="3"/>
    <n v="-5362"/>
    <n v="14.680355920602327"/>
    <x v="1"/>
    <n v="1"/>
    <n v="0"/>
    <n v="1"/>
    <n v="1"/>
    <s v="Laborers"/>
    <x v="3"/>
  </r>
  <r>
    <n v="5066501"/>
    <x v="1"/>
    <s v="N"/>
    <s v="Y"/>
    <n v="0"/>
    <x v="8"/>
    <x v="1"/>
    <x v="1"/>
    <x v="1"/>
    <x v="0"/>
    <d v="1996-01-07T00:00:00"/>
    <n v="-10577"/>
    <x v="1395"/>
    <x v="4"/>
    <n v="-2653"/>
    <n v="7.2635181382614649"/>
    <x v="1"/>
    <n v="1"/>
    <n v="0"/>
    <n v="0"/>
    <n v="0"/>
    <m/>
    <x v="1"/>
  </r>
  <r>
    <n v="5066507"/>
    <x v="0"/>
    <s v="N"/>
    <s v="Y"/>
    <n v="0"/>
    <x v="5"/>
    <x v="2"/>
    <x v="1"/>
    <x v="2"/>
    <x v="0"/>
    <d v="1976-12-16T00:00:00"/>
    <n v="-17538"/>
    <x v="1396"/>
    <x v="1"/>
    <n v="-7676"/>
    <n v="21.015742642026009"/>
    <x v="1"/>
    <n v="1"/>
    <n v="0"/>
    <n v="1"/>
    <n v="0"/>
    <s v="Private service staff"/>
    <x v="0"/>
  </r>
  <r>
    <n v="5066509"/>
    <x v="0"/>
    <s v="N"/>
    <s v="Y"/>
    <n v="0"/>
    <x v="5"/>
    <x v="2"/>
    <x v="1"/>
    <x v="2"/>
    <x v="0"/>
    <d v="1976-12-16T00:00:00"/>
    <n v="-17538"/>
    <x v="1396"/>
    <x v="1"/>
    <n v="-7676"/>
    <n v="21.015742642026009"/>
    <x v="1"/>
    <n v="1"/>
    <n v="0"/>
    <n v="1"/>
    <n v="0"/>
    <s v="Private service staff"/>
    <x v="0"/>
  </r>
  <r>
    <n v="5066513"/>
    <x v="0"/>
    <s v="N"/>
    <s v="Y"/>
    <n v="0"/>
    <x v="5"/>
    <x v="2"/>
    <x v="1"/>
    <x v="2"/>
    <x v="0"/>
    <d v="1976-12-16T00:00:00"/>
    <n v="-17538"/>
    <x v="1396"/>
    <x v="1"/>
    <n v="-7676"/>
    <n v="21.015742642026009"/>
    <x v="1"/>
    <n v="1"/>
    <n v="0"/>
    <n v="1"/>
    <n v="0"/>
    <s v="Private service staff"/>
    <x v="0"/>
  </r>
  <r>
    <n v="5066514"/>
    <x v="0"/>
    <s v="N"/>
    <s v="Y"/>
    <n v="0"/>
    <x v="5"/>
    <x v="2"/>
    <x v="1"/>
    <x v="2"/>
    <x v="0"/>
    <d v="1976-12-16T00:00:00"/>
    <n v="-17538"/>
    <x v="1396"/>
    <x v="1"/>
    <n v="-7676"/>
    <n v="21.015742642026009"/>
    <x v="1"/>
    <n v="1"/>
    <n v="0"/>
    <n v="1"/>
    <n v="0"/>
    <s v="Private service staff"/>
    <x v="0"/>
  </r>
  <r>
    <n v="5066522"/>
    <x v="0"/>
    <s v="N"/>
    <s v="Y"/>
    <n v="0"/>
    <x v="23"/>
    <x v="2"/>
    <x v="1"/>
    <x v="1"/>
    <x v="0"/>
    <d v="1970-04-15T00:00:00"/>
    <n v="-19975"/>
    <x v="1397"/>
    <x v="2"/>
    <n v="-10780"/>
    <n v="29.51403148528405"/>
    <x v="1"/>
    <n v="1"/>
    <n v="1"/>
    <n v="1"/>
    <n v="0"/>
    <s v="Laborers"/>
    <x v="1"/>
  </r>
  <r>
    <n v="5066533"/>
    <x v="0"/>
    <s v="N"/>
    <s v="Y"/>
    <n v="0"/>
    <x v="39"/>
    <x v="2"/>
    <x v="1"/>
    <x v="4"/>
    <x v="0"/>
    <d v="1975-08-02T00:00:00"/>
    <n v="-18040"/>
    <x v="1398"/>
    <x v="1"/>
    <n v="-4813"/>
    <n v="13.177275838466803"/>
    <x v="1"/>
    <n v="1"/>
    <n v="0"/>
    <n v="0"/>
    <n v="0"/>
    <m/>
    <x v="0"/>
  </r>
  <r>
    <n v="5066539"/>
    <x v="1"/>
    <s v="Y"/>
    <s v="Y"/>
    <n v="1"/>
    <x v="120"/>
    <x v="2"/>
    <x v="1"/>
    <x v="1"/>
    <x v="3"/>
    <d v="1982-12-19T00:00:00"/>
    <n v="-15344"/>
    <x v="1399"/>
    <x v="1"/>
    <n v="-1101"/>
    <n v="3.0143737166324436"/>
    <x v="1"/>
    <n v="1"/>
    <n v="0"/>
    <n v="0"/>
    <n v="0"/>
    <s v="Managers"/>
    <x v="3"/>
  </r>
  <r>
    <n v="5066558"/>
    <x v="0"/>
    <s v="Y"/>
    <s v="N"/>
    <n v="1"/>
    <x v="16"/>
    <x v="3"/>
    <x v="1"/>
    <x v="1"/>
    <x v="4"/>
    <d v="1976-11-26T00:00:00"/>
    <n v="-17558"/>
    <x v="1400"/>
    <x v="1"/>
    <n v="-1802"/>
    <n v="4.9336071184120467"/>
    <x v="1"/>
    <n v="1"/>
    <n v="0"/>
    <n v="0"/>
    <n v="0"/>
    <s v="Core staff"/>
    <x v="3"/>
  </r>
  <r>
    <n v="5066574"/>
    <x v="0"/>
    <s v="Y"/>
    <s v="Y"/>
    <n v="1"/>
    <x v="12"/>
    <x v="2"/>
    <x v="2"/>
    <x v="2"/>
    <x v="0"/>
    <d v="1992-11-15T00:00:00"/>
    <n v="-11725"/>
    <x v="1401"/>
    <x v="3"/>
    <n v="-2044"/>
    <n v="5.5961670088980151"/>
    <x v="1"/>
    <n v="1"/>
    <n v="0"/>
    <n v="0"/>
    <n v="0"/>
    <s v="Core staff"/>
    <x v="1"/>
  </r>
  <r>
    <n v="5066588"/>
    <x v="0"/>
    <s v="Y"/>
    <s v="Y"/>
    <n v="0"/>
    <x v="29"/>
    <x v="2"/>
    <x v="1"/>
    <x v="1"/>
    <x v="0"/>
    <d v="1991-01-30T00:00:00"/>
    <n v="-12380"/>
    <x v="1402"/>
    <x v="3"/>
    <n v="-2287"/>
    <n v="6.2614647501711156"/>
    <x v="1"/>
    <n v="1"/>
    <n v="1"/>
    <n v="1"/>
    <n v="0"/>
    <s v="High skill tech staff"/>
    <x v="1"/>
  </r>
  <r>
    <n v="5066589"/>
    <x v="0"/>
    <s v="N"/>
    <s v="N"/>
    <n v="1"/>
    <x v="14"/>
    <x v="1"/>
    <x v="0"/>
    <x v="3"/>
    <x v="0"/>
    <d v="1984-06-10T00:00:00"/>
    <n v="-14805"/>
    <x v="1403"/>
    <x v="1"/>
    <n v="-1922"/>
    <n v="5.2621492128678984"/>
    <x v="1"/>
    <n v="1"/>
    <n v="0"/>
    <n v="0"/>
    <n v="0"/>
    <s v="Sales staff"/>
    <x v="3"/>
  </r>
  <r>
    <n v="5066598"/>
    <x v="0"/>
    <s v="N"/>
    <s v="N"/>
    <n v="1"/>
    <x v="14"/>
    <x v="1"/>
    <x v="0"/>
    <x v="3"/>
    <x v="0"/>
    <d v="1984-06-10T00:00:00"/>
    <n v="-14805"/>
    <x v="1403"/>
    <x v="1"/>
    <n v="-1922"/>
    <n v="5.2621492128678984"/>
    <x v="1"/>
    <n v="1"/>
    <n v="0"/>
    <n v="0"/>
    <n v="0"/>
    <s v="Sales staff"/>
    <x v="3"/>
  </r>
  <r>
    <n v="5066601"/>
    <x v="0"/>
    <s v="N"/>
    <s v="N"/>
    <n v="1"/>
    <x v="14"/>
    <x v="1"/>
    <x v="0"/>
    <x v="3"/>
    <x v="0"/>
    <d v="1984-06-10T00:00:00"/>
    <n v="-14805"/>
    <x v="1403"/>
    <x v="1"/>
    <n v="-1922"/>
    <n v="5.2621492128678984"/>
    <x v="1"/>
    <n v="1"/>
    <n v="0"/>
    <n v="0"/>
    <n v="0"/>
    <s v="Sales staff"/>
    <x v="3"/>
  </r>
  <r>
    <n v="5066604"/>
    <x v="0"/>
    <s v="N"/>
    <s v="Y"/>
    <n v="0"/>
    <x v="36"/>
    <x v="0"/>
    <x v="1"/>
    <x v="1"/>
    <x v="0"/>
    <d v="1966-01-10T00:00:00"/>
    <n v="-21531"/>
    <x v="1404"/>
    <x v="2"/>
    <n v="365243"/>
    <n v="0"/>
    <x v="0"/>
    <n v="1"/>
    <n v="0"/>
    <n v="0"/>
    <n v="0"/>
    <m/>
    <x v="1"/>
  </r>
  <r>
    <n v="5066607"/>
    <x v="0"/>
    <s v="N"/>
    <s v="Y"/>
    <n v="0"/>
    <x v="36"/>
    <x v="0"/>
    <x v="1"/>
    <x v="1"/>
    <x v="0"/>
    <d v="1966-01-10T00:00:00"/>
    <n v="-21531"/>
    <x v="1404"/>
    <x v="2"/>
    <n v="365243"/>
    <n v="0"/>
    <x v="0"/>
    <n v="1"/>
    <n v="0"/>
    <n v="0"/>
    <n v="0"/>
    <m/>
    <x v="1"/>
  </r>
  <r>
    <n v="5066617"/>
    <x v="0"/>
    <s v="N"/>
    <s v="Y"/>
    <n v="0"/>
    <x v="25"/>
    <x v="2"/>
    <x v="1"/>
    <x v="1"/>
    <x v="0"/>
    <d v="1973-09-11T00:00:00"/>
    <n v="-18730"/>
    <x v="1405"/>
    <x v="2"/>
    <n v="-157"/>
    <n v="0.42984257357973993"/>
    <x v="1"/>
    <n v="1"/>
    <n v="0"/>
    <n v="0"/>
    <n v="1"/>
    <s v="Cooking staff"/>
    <x v="1"/>
  </r>
  <r>
    <n v="5066646"/>
    <x v="0"/>
    <s v="N"/>
    <s v="N"/>
    <n v="4"/>
    <x v="37"/>
    <x v="1"/>
    <x v="1"/>
    <x v="1"/>
    <x v="0"/>
    <d v="1988-08-13T00:00:00"/>
    <n v="-13280"/>
    <x v="1406"/>
    <x v="3"/>
    <n v="-280"/>
    <n v="0.76659822039698833"/>
    <x v="1"/>
    <n v="1"/>
    <n v="1"/>
    <n v="0"/>
    <n v="0"/>
    <s v="Sales staff"/>
    <x v="5"/>
  </r>
  <r>
    <n v="5066655"/>
    <x v="1"/>
    <s v="Y"/>
    <s v="Y"/>
    <n v="0"/>
    <x v="30"/>
    <x v="2"/>
    <x v="1"/>
    <x v="1"/>
    <x v="2"/>
    <d v="1994-05-18T00:00:00"/>
    <n v="-11176"/>
    <x v="1407"/>
    <x v="3"/>
    <n v="-3079"/>
    <n v="8.4298425735797391"/>
    <x v="1"/>
    <n v="1"/>
    <n v="1"/>
    <n v="0"/>
    <n v="0"/>
    <m/>
    <x v="1"/>
  </r>
  <r>
    <n v="5066676"/>
    <x v="0"/>
    <s v="N"/>
    <s v="Y"/>
    <n v="2"/>
    <x v="51"/>
    <x v="2"/>
    <x v="1"/>
    <x v="1"/>
    <x v="0"/>
    <d v="1979-12-24T00:00:00"/>
    <n v="-16435"/>
    <x v="1408"/>
    <x v="1"/>
    <n v="-9745"/>
    <n v="26.680355920602327"/>
    <x v="1"/>
    <n v="1"/>
    <n v="0"/>
    <n v="1"/>
    <n v="0"/>
    <m/>
    <x v="2"/>
  </r>
  <r>
    <n v="5066691"/>
    <x v="0"/>
    <s v="N"/>
    <s v="Y"/>
    <n v="0"/>
    <x v="16"/>
    <x v="1"/>
    <x v="0"/>
    <x v="3"/>
    <x v="0"/>
    <d v="1989-07-13T00:00:00"/>
    <n v="-12946"/>
    <x v="1409"/>
    <x v="3"/>
    <n v="-341"/>
    <n v="0.93360711841204658"/>
    <x v="1"/>
    <n v="1"/>
    <n v="0"/>
    <n v="1"/>
    <n v="1"/>
    <s v="Sales staff"/>
    <x v="1"/>
  </r>
  <r>
    <n v="5066693"/>
    <x v="0"/>
    <s v="N"/>
    <s v="Y"/>
    <n v="0"/>
    <x v="16"/>
    <x v="1"/>
    <x v="0"/>
    <x v="3"/>
    <x v="0"/>
    <d v="1989-07-13T00:00:00"/>
    <n v="-12946"/>
    <x v="1409"/>
    <x v="3"/>
    <n v="-341"/>
    <n v="0.93360711841204658"/>
    <x v="1"/>
    <n v="1"/>
    <n v="0"/>
    <n v="1"/>
    <n v="1"/>
    <s v="Sales staff"/>
    <x v="1"/>
  </r>
  <r>
    <n v="5066705"/>
    <x v="1"/>
    <s v="Y"/>
    <s v="N"/>
    <n v="0"/>
    <x v="16"/>
    <x v="1"/>
    <x v="1"/>
    <x v="2"/>
    <x v="5"/>
    <d v="1998-05-23T00:00:00"/>
    <n v="-9710"/>
    <x v="1410"/>
    <x v="4"/>
    <n v="-1376"/>
    <n v="3.7672826830937716"/>
    <x v="1"/>
    <n v="1"/>
    <n v="1"/>
    <n v="1"/>
    <n v="0"/>
    <s v="Drivers"/>
    <x v="0"/>
  </r>
  <r>
    <n v="5066727"/>
    <x v="1"/>
    <s v="Y"/>
    <s v="Y"/>
    <n v="0"/>
    <x v="121"/>
    <x v="0"/>
    <x v="1"/>
    <x v="1"/>
    <x v="0"/>
    <d v="1970-09-12T00:00:00"/>
    <n v="-19825"/>
    <x v="1411"/>
    <x v="2"/>
    <n v="365243"/>
    <n v="0"/>
    <x v="0"/>
    <n v="1"/>
    <n v="0"/>
    <n v="0"/>
    <n v="0"/>
    <m/>
    <x v="1"/>
  </r>
  <r>
    <n v="5066731"/>
    <x v="0"/>
    <s v="N"/>
    <s v="Y"/>
    <n v="0"/>
    <x v="7"/>
    <x v="0"/>
    <x v="1"/>
    <x v="1"/>
    <x v="0"/>
    <d v="1962-10-14T00:00:00"/>
    <n v="-22715"/>
    <x v="1412"/>
    <x v="0"/>
    <n v="365243"/>
    <n v="0"/>
    <x v="0"/>
    <n v="1"/>
    <n v="0"/>
    <n v="0"/>
    <n v="0"/>
    <m/>
    <x v="1"/>
  </r>
  <r>
    <n v="5066734"/>
    <x v="0"/>
    <s v="N"/>
    <s v="Y"/>
    <n v="0"/>
    <x v="7"/>
    <x v="0"/>
    <x v="1"/>
    <x v="1"/>
    <x v="0"/>
    <d v="1962-10-14T00:00:00"/>
    <n v="-22715"/>
    <x v="1412"/>
    <x v="0"/>
    <n v="365243"/>
    <n v="0"/>
    <x v="0"/>
    <n v="1"/>
    <n v="0"/>
    <n v="0"/>
    <n v="0"/>
    <m/>
    <x v="1"/>
  </r>
  <r>
    <n v="5066735"/>
    <x v="0"/>
    <s v="N"/>
    <s v="Y"/>
    <n v="0"/>
    <x v="7"/>
    <x v="0"/>
    <x v="1"/>
    <x v="1"/>
    <x v="0"/>
    <d v="1962-10-14T00:00:00"/>
    <n v="-22715"/>
    <x v="1412"/>
    <x v="0"/>
    <n v="365243"/>
    <n v="0"/>
    <x v="0"/>
    <n v="1"/>
    <n v="0"/>
    <n v="0"/>
    <n v="0"/>
    <m/>
    <x v="1"/>
  </r>
  <r>
    <n v="5066736"/>
    <x v="0"/>
    <s v="N"/>
    <s v="Y"/>
    <n v="0"/>
    <x v="7"/>
    <x v="0"/>
    <x v="1"/>
    <x v="1"/>
    <x v="0"/>
    <d v="1962-10-14T00:00:00"/>
    <n v="-22715"/>
    <x v="1412"/>
    <x v="0"/>
    <n v="365243"/>
    <n v="0"/>
    <x v="0"/>
    <n v="1"/>
    <n v="0"/>
    <n v="0"/>
    <n v="0"/>
    <m/>
    <x v="1"/>
  </r>
  <r>
    <n v="5066742"/>
    <x v="0"/>
    <s v="N"/>
    <s v="Y"/>
    <n v="0"/>
    <x v="2"/>
    <x v="2"/>
    <x v="1"/>
    <x v="2"/>
    <x v="0"/>
    <d v="1973-02-24T00:00:00"/>
    <n v="-18929"/>
    <x v="1413"/>
    <x v="2"/>
    <n v="-1376"/>
    <n v="3.7672826830937716"/>
    <x v="1"/>
    <n v="1"/>
    <n v="0"/>
    <n v="0"/>
    <n v="0"/>
    <s v="Sales staff"/>
    <x v="0"/>
  </r>
  <r>
    <n v="5066794"/>
    <x v="1"/>
    <s v="Y"/>
    <s v="N"/>
    <n v="1"/>
    <x v="16"/>
    <x v="0"/>
    <x v="1"/>
    <x v="1"/>
    <x v="0"/>
    <d v="1982-07-06T00:00:00"/>
    <n v="-15510"/>
    <x v="798"/>
    <x v="1"/>
    <n v="365243"/>
    <n v="0"/>
    <x v="0"/>
    <n v="1"/>
    <n v="0"/>
    <n v="0"/>
    <n v="0"/>
    <m/>
    <x v="3"/>
  </r>
  <r>
    <n v="5066810"/>
    <x v="0"/>
    <s v="Y"/>
    <s v="N"/>
    <n v="1"/>
    <x v="14"/>
    <x v="2"/>
    <x v="0"/>
    <x v="4"/>
    <x v="0"/>
    <d v="1979-11-09T00:00:00"/>
    <n v="-16480"/>
    <x v="1414"/>
    <x v="1"/>
    <n v="-4023"/>
    <n v="11.014373716632443"/>
    <x v="1"/>
    <n v="1"/>
    <n v="0"/>
    <n v="0"/>
    <n v="1"/>
    <s v="Managers"/>
    <x v="1"/>
  </r>
  <r>
    <n v="5066816"/>
    <x v="0"/>
    <s v="Y"/>
    <s v="N"/>
    <n v="1"/>
    <x v="14"/>
    <x v="2"/>
    <x v="0"/>
    <x v="4"/>
    <x v="0"/>
    <d v="1979-11-09T00:00:00"/>
    <n v="-16480"/>
    <x v="1414"/>
    <x v="1"/>
    <n v="-4023"/>
    <n v="11.014373716632443"/>
    <x v="1"/>
    <n v="1"/>
    <n v="0"/>
    <n v="0"/>
    <n v="1"/>
    <s v="Managers"/>
    <x v="1"/>
  </r>
  <r>
    <n v="5066840"/>
    <x v="1"/>
    <s v="Y"/>
    <s v="Y"/>
    <n v="1"/>
    <x v="2"/>
    <x v="2"/>
    <x v="1"/>
    <x v="1"/>
    <x v="0"/>
    <d v="1980-10-04T00:00:00"/>
    <n v="-16150"/>
    <x v="1415"/>
    <x v="1"/>
    <n v="-1618"/>
    <n v="4.42984257357974"/>
    <x v="1"/>
    <n v="1"/>
    <n v="0"/>
    <n v="0"/>
    <n v="1"/>
    <s v="Drivers"/>
    <x v="3"/>
  </r>
  <r>
    <n v="5066866"/>
    <x v="0"/>
    <s v="N"/>
    <s v="Y"/>
    <n v="2"/>
    <x v="58"/>
    <x v="2"/>
    <x v="1"/>
    <x v="1"/>
    <x v="0"/>
    <d v="1997-11-09T00:00:00"/>
    <n v="-9905"/>
    <x v="1416"/>
    <x v="4"/>
    <n v="-795"/>
    <n v="2.1765913757700206"/>
    <x v="1"/>
    <n v="1"/>
    <n v="0"/>
    <n v="0"/>
    <n v="0"/>
    <s v="Sales staff"/>
    <x v="2"/>
  </r>
  <r>
    <n v="5066868"/>
    <x v="1"/>
    <s v="Y"/>
    <s v="Y"/>
    <n v="0"/>
    <x v="18"/>
    <x v="2"/>
    <x v="1"/>
    <x v="2"/>
    <x v="0"/>
    <d v="1987-03-07T00:00:00"/>
    <n v="-13805"/>
    <x v="1417"/>
    <x v="3"/>
    <n v="-1557"/>
    <n v="4.2628336755646821"/>
    <x v="1"/>
    <n v="1"/>
    <n v="0"/>
    <n v="0"/>
    <n v="0"/>
    <s v="Laborers"/>
    <x v="0"/>
  </r>
  <r>
    <n v="5066873"/>
    <x v="1"/>
    <s v="Y"/>
    <s v="Y"/>
    <n v="0"/>
    <x v="18"/>
    <x v="2"/>
    <x v="1"/>
    <x v="2"/>
    <x v="0"/>
    <d v="1987-03-07T00:00:00"/>
    <n v="-13805"/>
    <x v="1417"/>
    <x v="3"/>
    <n v="-1557"/>
    <n v="4.2628336755646821"/>
    <x v="1"/>
    <n v="1"/>
    <n v="0"/>
    <n v="0"/>
    <n v="0"/>
    <s v="Laborers"/>
    <x v="0"/>
  </r>
  <r>
    <n v="5066911"/>
    <x v="1"/>
    <s v="Y"/>
    <s v="Y"/>
    <n v="0"/>
    <x v="16"/>
    <x v="2"/>
    <x v="0"/>
    <x v="1"/>
    <x v="2"/>
    <d v="1994-08-13T00:00:00"/>
    <n v="-11089"/>
    <x v="1418"/>
    <x v="3"/>
    <n v="-1467"/>
    <n v="4.0164271047227924"/>
    <x v="1"/>
    <n v="1"/>
    <n v="0"/>
    <n v="0"/>
    <n v="0"/>
    <s v="Laborers"/>
    <x v="1"/>
  </r>
  <r>
    <n v="5066914"/>
    <x v="1"/>
    <s v="Y"/>
    <s v="Y"/>
    <n v="0"/>
    <x v="16"/>
    <x v="2"/>
    <x v="0"/>
    <x v="1"/>
    <x v="2"/>
    <d v="1994-08-13T00:00:00"/>
    <n v="-11089"/>
    <x v="1418"/>
    <x v="3"/>
    <n v="-1467"/>
    <n v="4.0164271047227924"/>
    <x v="1"/>
    <n v="1"/>
    <n v="0"/>
    <n v="0"/>
    <n v="0"/>
    <s v="Laborers"/>
    <x v="1"/>
  </r>
  <r>
    <n v="5066932"/>
    <x v="1"/>
    <s v="N"/>
    <s v="Y"/>
    <n v="0"/>
    <x v="114"/>
    <x v="2"/>
    <x v="1"/>
    <x v="0"/>
    <x v="0"/>
    <d v="1977-01-01T00:00:00"/>
    <n v="-17522"/>
    <x v="1419"/>
    <x v="1"/>
    <n v="-1526"/>
    <n v="4.1779603011635862"/>
    <x v="1"/>
    <n v="1"/>
    <n v="0"/>
    <n v="0"/>
    <n v="0"/>
    <s v="Security staff"/>
    <x v="0"/>
  </r>
  <r>
    <n v="5066953"/>
    <x v="0"/>
    <s v="N"/>
    <s v="Y"/>
    <n v="0"/>
    <x v="30"/>
    <x v="0"/>
    <x v="1"/>
    <x v="1"/>
    <x v="0"/>
    <d v="1961-09-04T00:00:00"/>
    <n v="-23120"/>
    <x v="1420"/>
    <x v="0"/>
    <n v="365243"/>
    <n v="0"/>
    <x v="0"/>
    <n v="1"/>
    <n v="0"/>
    <n v="0"/>
    <n v="0"/>
    <m/>
    <x v="1"/>
  </r>
  <r>
    <n v="5066956"/>
    <x v="0"/>
    <s v="N"/>
    <s v="Y"/>
    <n v="0"/>
    <x v="30"/>
    <x v="0"/>
    <x v="1"/>
    <x v="1"/>
    <x v="0"/>
    <d v="1961-09-04T00:00:00"/>
    <n v="-23120"/>
    <x v="1420"/>
    <x v="0"/>
    <n v="365243"/>
    <n v="0"/>
    <x v="0"/>
    <n v="1"/>
    <n v="0"/>
    <n v="0"/>
    <n v="0"/>
    <m/>
    <x v="1"/>
  </r>
  <r>
    <n v="5066980"/>
    <x v="1"/>
    <s v="Y"/>
    <s v="N"/>
    <n v="0"/>
    <x v="122"/>
    <x v="2"/>
    <x v="1"/>
    <x v="3"/>
    <x v="0"/>
    <d v="1976-12-12T00:00:00"/>
    <n v="-17542"/>
    <x v="1421"/>
    <x v="1"/>
    <n v="-645"/>
    <n v="1.7659137577002053"/>
    <x v="1"/>
    <n v="1"/>
    <n v="0"/>
    <n v="0"/>
    <n v="1"/>
    <s v="Drivers"/>
    <x v="1"/>
  </r>
  <r>
    <n v="5066986"/>
    <x v="1"/>
    <s v="N"/>
    <s v="Y"/>
    <n v="0"/>
    <x v="16"/>
    <x v="2"/>
    <x v="1"/>
    <x v="0"/>
    <x v="0"/>
    <d v="1975-10-16T00:00:00"/>
    <n v="-17965"/>
    <x v="1000"/>
    <x v="1"/>
    <n v="-218"/>
    <n v="0.59685147159479812"/>
    <x v="1"/>
    <n v="1"/>
    <n v="0"/>
    <n v="0"/>
    <n v="0"/>
    <s v="Laborers"/>
    <x v="0"/>
  </r>
  <r>
    <n v="5066993"/>
    <x v="0"/>
    <s v="Y"/>
    <s v="Y"/>
    <n v="0"/>
    <x v="8"/>
    <x v="2"/>
    <x v="1"/>
    <x v="1"/>
    <x v="0"/>
    <d v="1966-11-20T00:00:00"/>
    <n v="-21217"/>
    <x v="1422"/>
    <x v="2"/>
    <n v="-1557"/>
    <n v="4.2628336755646821"/>
    <x v="1"/>
    <n v="1"/>
    <n v="0"/>
    <n v="0"/>
    <n v="1"/>
    <s v="Accountants"/>
    <x v="1"/>
  </r>
  <r>
    <n v="5067017"/>
    <x v="1"/>
    <s v="N"/>
    <s v="Y"/>
    <n v="0"/>
    <x v="8"/>
    <x v="2"/>
    <x v="1"/>
    <x v="2"/>
    <x v="0"/>
    <d v="1997-10-19T00:00:00"/>
    <n v="-9926"/>
    <x v="1423"/>
    <x v="4"/>
    <n v="-461"/>
    <n v="1.2621492128678986"/>
    <x v="1"/>
    <n v="1"/>
    <n v="0"/>
    <n v="0"/>
    <n v="0"/>
    <s v="Drivers"/>
    <x v="0"/>
  </r>
  <r>
    <n v="5067025"/>
    <x v="0"/>
    <s v="N"/>
    <s v="Y"/>
    <n v="1"/>
    <x v="1"/>
    <x v="2"/>
    <x v="1"/>
    <x v="1"/>
    <x v="0"/>
    <d v="1987-10-09T00:00:00"/>
    <n v="-13589"/>
    <x v="1424"/>
    <x v="3"/>
    <n v="-1649"/>
    <n v="4.514715947980835"/>
    <x v="1"/>
    <n v="1"/>
    <n v="0"/>
    <n v="0"/>
    <n v="0"/>
    <s v="Waiters/barmen staff"/>
    <x v="3"/>
  </r>
  <r>
    <n v="5067026"/>
    <x v="0"/>
    <s v="N"/>
    <s v="Y"/>
    <n v="1"/>
    <x v="1"/>
    <x v="2"/>
    <x v="1"/>
    <x v="1"/>
    <x v="0"/>
    <d v="1987-10-09T00:00:00"/>
    <n v="-13589"/>
    <x v="1424"/>
    <x v="3"/>
    <n v="-1649"/>
    <n v="4.514715947980835"/>
    <x v="1"/>
    <n v="1"/>
    <n v="0"/>
    <n v="0"/>
    <n v="0"/>
    <s v="Waiters/barmen staff"/>
    <x v="3"/>
  </r>
  <r>
    <n v="5067029"/>
    <x v="1"/>
    <s v="N"/>
    <s v="N"/>
    <n v="0"/>
    <x v="18"/>
    <x v="2"/>
    <x v="2"/>
    <x v="2"/>
    <x v="0"/>
    <d v="2001-03-14T00:00:00"/>
    <n v="-8684"/>
    <x v="1425"/>
    <x v="4"/>
    <n v="-218"/>
    <n v="0.59685147159479812"/>
    <x v="1"/>
    <n v="1"/>
    <n v="0"/>
    <n v="0"/>
    <n v="0"/>
    <m/>
    <x v="0"/>
  </r>
  <r>
    <n v="5067030"/>
    <x v="1"/>
    <s v="N"/>
    <s v="N"/>
    <n v="0"/>
    <x v="18"/>
    <x v="2"/>
    <x v="2"/>
    <x v="2"/>
    <x v="0"/>
    <d v="2001-03-14T00:00:00"/>
    <n v="-8684"/>
    <x v="1425"/>
    <x v="4"/>
    <n v="-218"/>
    <n v="0.59685147159479812"/>
    <x v="1"/>
    <n v="1"/>
    <n v="0"/>
    <n v="0"/>
    <n v="0"/>
    <m/>
    <x v="0"/>
  </r>
  <r>
    <n v="5067044"/>
    <x v="0"/>
    <s v="N"/>
    <s v="Y"/>
    <n v="0"/>
    <x v="50"/>
    <x v="2"/>
    <x v="1"/>
    <x v="1"/>
    <x v="0"/>
    <d v="1979-10-25T00:00:00"/>
    <n v="-16495"/>
    <x v="1426"/>
    <x v="1"/>
    <n v="-1437"/>
    <n v="3.9342915811088295"/>
    <x v="1"/>
    <n v="1"/>
    <n v="0"/>
    <n v="0"/>
    <n v="0"/>
    <s v="Sales staff"/>
    <x v="1"/>
  </r>
  <r>
    <n v="5067055"/>
    <x v="0"/>
    <s v="Y"/>
    <s v="Y"/>
    <n v="0"/>
    <x v="23"/>
    <x v="2"/>
    <x v="1"/>
    <x v="1"/>
    <x v="0"/>
    <d v="1982-10-30T00:00:00"/>
    <n v="-15394"/>
    <x v="1427"/>
    <x v="1"/>
    <n v="-2959"/>
    <n v="8.1013004791238874"/>
    <x v="1"/>
    <n v="1"/>
    <n v="0"/>
    <n v="1"/>
    <n v="0"/>
    <s v="Core staff"/>
    <x v="1"/>
  </r>
  <r>
    <n v="5067067"/>
    <x v="0"/>
    <s v="Y"/>
    <s v="Y"/>
    <n v="2"/>
    <x v="42"/>
    <x v="2"/>
    <x v="1"/>
    <x v="1"/>
    <x v="0"/>
    <d v="1984-04-02T00:00:00"/>
    <n v="-14874"/>
    <x v="346"/>
    <x v="1"/>
    <n v="-4693"/>
    <n v="12.848733744010952"/>
    <x v="1"/>
    <n v="1"/>
    <n v="0"/>
    <n v="0"/>
    <n v="0"/>
    <s v="Core staff"/>
    <x v="2"/>
  </r>
  <r>
    <n v="5067081"/>
    <x v="0"/>
    <s v="N"/>
    <s v="N"/>
    <n v="1"/>
    <x v="8"/>
    <x v="3"/>
    <x v="1"/>
    <x v="3"/>
    <x v="0"/>
    <d v="1976-09-29T00:00:00"/>
    <n v="-17616"/>
    <x v="1428"/>
    <x v="1"/>
    <n v="-7189"/>
    <n v="19.682409308692677"/>
    <x v="1"/>
    <n v="1"/>
    <n v="1"/>
    <n v="1"/>
    <n v="0"/>
    <s v="Managers"/>
    <x v="3"/>
  </r>
  <r>
    <n v="5067088"/>
    <x v="1"/>
    <s v="N"/>
    <s v="N"/>
    <n v="0"/>
    <x v="16"/>
    <x v="2"/>
    <x v="1"/>
    <x v="1"/>
    <x v="0"/>
    <d v="1987-08-16T00:00:00"/>
    <n v="-13643"/>
    <x v="919"/>
    <x v="3"/>
    <n v="-4663"/>
    <n v="12.766598220396988"/>
    <x v="1"/>
    <n v="1"/>
    <n v="0"/>
    <n v="1"/>
    <n v="0"/>
    <s v="Laborers"/>
    <x v="1"/>
  </r>
  <r>
    <n v="5067095"/>
    <x v="1"/>
    <s v="Y"/>
    <s v="Y"/>
    <n v="0"/>
    <x v="11"/>
    <x v="2"/>
    <x v="0"/>
    <x v="1"/>
    <x v="0"/>
    <d v="1984-11-16T00:00:00"/>
    <n v="-14646"/>
    <x v="1429"/>
    <x v="1"/>
    <n v="-1953"/>
    <n v="5.3470225872689943"/>
    <x v="1"/>
    <n v="1"/>
    <n v="0"/>
    <n v="0"/>
    <n v="0"/>
    <s v="Managers"/>
    <x v="1"/>
  </r>
  <r>
    <n v="5067099"/>
    <x v="0"/>
    <s v="N"/>
    <s v="Y"/>
    <n v="0"/>
    <x v="43"/>
    <x v="2"/>
    <x v="1"/>
    <x v="2"/>
    <x v="0"/>
    <d v="1964-07-23T00:00:00"/>
    <n v="-22067"/>
    <x v="1430"/>
    <x v="0"/>
    <n v="-1625"/>
    <n v="4.4490075290896645"/>
    <x v="1"/>
    <n v="1"/>
    <n v="0"/>
    <n v="0"/>
    <n v="0"/>
    <s v="Laborers"/>
    <x v="0"/>
  </r>
  <r>
    <n v="5067127"/>
    <x v="0"/>
    <s v="Y"/>
    <s v="Y"/>
    <n v="4"/>
    <x v="2"/>
    <x v="2"/>
    <x v="1"/>
    <x v="1"/>
    <x v="0"/>
    <d v="1987-04-27T00:00:00"/>
    <n v="-13754"/>
    <x v="1431"/>
    <x v="3"/>
    <n v="-4169"/>
    <n v="11.41409993155373"/>
    <x v="1"/>
    <n v="1"/>
    <n v="0"/>
    <n v="0"/>
    <n v="0"/>
    <s v="Medicine staff"/>
    <x v="5"/>
  </r>
  <r>
    <n v="5067129"/>
    <x v="1"/>
    <s v="N"/>
    <s v="N"/>
    <n v="0"/>
    <x v="16"/>
    <x v="1"/>
    <x v="0"/>
    <x v="3"/>
    <x v="0"/>
    <d v="1971-12-16T00:00:00"/>
    <n v="-19365"/>
    <x v="1432"/>
    <x v="2"/>
    <n v="-243"/>
    <n v="0.6652977412731006"/>
    <x v="1"/>
    <n v="1"/>
    <n v="0"/>
    <n v="0"/>
    <n v="1"/>
    <s v="Laborers"/>
    <x v="1"/>
  </r>
  <r>
    <n v="5067140"/>
    <x v="0"/>
    <s v="N"/>
    <s v="Y"/>
    <n v="0"/>
    <x v="2"/>
    <x v="0"/>
    <x v="1"/>
    <x v="2"/>
    <x v="0"/>
    <d v="1960-11-28T00:00:00"/>
    <n v="-23400"/>
    <x v="1433"/>
    <x v="0"/>
    <n v="365243"/>
    <n v="0"/>
    <x v="0"/>
    <n v="1"/>
    <n v="0"/>
    <n v="1"/>
    <n v="1"/>
    <m/>
    <x v="0"/>
  </r>
  <r>
    <n v="5067147"/>
    <x v="1"/>
    <s v="N"/>
    <s v="N"/>
    <n v="2"/>
    <x v="8"/>
    <x v="2"/>
    <x v="2"/>
    <x v="1"/>
    <x v="0"/>
    <d v="1986-09-24T00:00:00"/>
    <n v="-13969"/>
    <x v="1434"/>
    <x v="3"/>
    <n v="-263"/>
    <n v="0.72005475701574262"/>
    <x v="1"/>
    <n v="1"/>
    <n v="0"/>
    <n v="0"/>
    <n v="0"/>
    <m/>
    <x v="2"/>
  </r>
  <r>
    <n v="5067152"/>
    <x v="0"/>
    <s v="N"/>
    <s v="Y"/>
    <n v="0"/>
    <x v="37"/>
    <x v="2"/>
    <x v="1"/>
    <x v="2"/>
    <x v="0"/>
    <d v="1966-03-10T00:00:00"/>
    <n v="-21472"/>
    <x v="1435"/>
    <x v="2"/>
    <n v="-9575"/>
    <n v="26.21492128678987"/>
    <x v="1"/>
    <n v="1"/>
    <n v="1"/>
    <n v="0"/>
    <n v="0"/>
    <m/>
    <x v="0"/>
  </r>
  <r>
    <n v="5067154"/>
    <x v="0"/>
    <s v="N"/>
    <s v="Y"/>
    <n v="0"/>
    <x v="37"/>
    <x v="2"/>
    <x v="1"/>
    <x v="2"/>
    <x v="0"/>
    <d v="1966-03-10T00:00:00"/>
    <n v="-21472"/>
    <x v="1435"/>
    <x v="2"/>
    <n v="-9575"/>
    <n v="26.21492128678987"/>
    <x v="1"/>
    <n v="1"/>
    <n v="1"/>
    <n v="0"/>
    <n v="0"/>
    <m/>
    <x v="0"/>
  </r>
  <r>
    <n v="5067157"/>
    <x v="1"/>
    <s v="Y"/>
    <s v="N"/>
    <n v="0"/>
    <x v="5"/>
    <x v="2"/>
    <x v="1"/>
    <x v="2"/>
    <x v="0"/>
    <d v="1992-11-16T00:00:00"/>
    <n v="-11724"/>
    <x v="1436"/>
    <x v="3"/>
    <n v="-3703"/>
    <n v="10.138261464750171"/>
    <x v="1"/>
    <n v="1"/>
    <n v="1"/>
    <n v="0"/>
    <n v="1"/>
    <s v="Laborers"/>
    <x v="0"/>
  </r>
  <r>
    <n v="5067158"/>
    <x v="1"/>
    <s v="Y"/>
    <s v="N"/>
    <n v="0"/>
    <x v="5"/>
    <x v="2"/>
    <x v="1"/>
    <x v="2"/>
    <x v="0"/>
    <d v="1992-11-16T00:00:00"/>
    <n v="-11724"/>
    <x v="1436"/>
    <x v="3"/>
    <n v="-3703"/>
    <n v="10.138261464750171"/>
    <x v="1"/>
    <n v="1"/>
    <n v="1"/>
    <n v="0"/>
    <n v="1"/>
    <s v="Laborers"/>
    <x v="0"/>
  </r>
  <r>
    <n v="5067165"/>
    <x v="0"/>
    <s v="N"/>
    <s v="N"/>
    <n v="0"/>
    <x v="123"/>
    <x v="2"/>
    <x v="1"/>
    <x v="1"/>
    <x v="0"/>
    <d v="1967-08-12T00:00:00"/>
    <n v="-20952"/>
    <x v="558"/>
    <x v="2"/>
    <n v="-1155"/>
    <n v="3.162217659137577"/>
    <x v="1"/>
    <n v="1"/>
    <n v="1"/>
    <n v="0"/>
    <n v="1"/>
    <s v="Medicine staff"/>
    <x v="1"/>
  </r>
  <r>
    <n v="5067166"/>
    <x v="0"/>
    <s v="N"/>
    <s v="N"/>
    <n v="0"/>
    <x v="123"/>
    <x v="2"/>
    <x v="1"/>
    <x v="1"/>
    <x v="0"/>
    <d v="1967-08-12T00:00:00"/>
    <n v="-20952"/>
    <x v="558"/>
    <x v="2"/>
    <n v="-1155"/>
    <n v="3.162217659137577"/>
    <x v="1"/>
    <n v="1"/>
    <n v="1"/>
    <n v="0"/>
    <n v="1"/>
    <s v="Medicine staff"/>
    <x v="1"/>
  </r>
  <r>
    <n v="5067191"/>
    <x v="1"/>
    <s v="Y"/>
    <s v="Y"/>
    <n v="0"/>
    <x v="16"/>
    <x v="2"/>
    <x v="3"/>
    <x v="2"/>
    <x v="0"/>
    <d v="1992-02-26T00:00:00"/>
    <n v="-11988"/>
    <x v="1437"/>
    <x v="3"/>
    <n v="-2495"/>
    <n v="6.8309377138945928"/>
    <x v="1"/>
    <n v="1"/>
    <n v="0"/>
    <n v="0"/>
    <n v="0"/>
    <s v="Laborers"/>
    <x v="0"/>
  </r>
  <r>
    <n v="5067200"/>
    <x v="1"/>
    <s v="N"/>
    <s v="N"/>
    <n v="1"/>
    <x v="61"/>
    <x v="2"/>
    <x v="1"/>
    <x v="1"/>
    <x v="2"/>
    <d v="1990-04-10T00:00:00"/>
    <n v="-12675"/>
    <x v="1438"/>
    <x v="3"/>
    <n v="-1328"/>
    <n v="3.6358658453114305"/>
    <x v="1"/>
    <n v="1"/>
    <n v="0"/>
    <n v="0"/>
    <n v="0"/>
    <s v="Drivers"/>
    <x v="3"/>
  </r>
  <r>
    <n v="5067203"/>
    <x v="1"/>
    <s v="N"/>
    <s v="N"/>
    <n v="1"/>
    <x v="61"/>
    <x v="2"/>
    <x v="1"/>
    <x v="1"/>
    <x v="2"/>
    <d v="1990-04-10T00:00:00"/>
    <n v="-12675"/>
    <x v="1438"/>
    <x v="3"/>
    <n v="-1328"/>
    <n v="3.6358658453114305"/>
    <x v="1"/>
    <n v="1"/>
    <n v="0"/>
    <n v="0"/>
    <n v="0"/>
    <s v="Drivers"/>
    <x v="3"/>
  </r>
  <r>
    <n v="5067209"/>
    <x v="0"/>
    <s v="N"/>
    <s v="N"/>
    <n v="0"/>
    <x v="55"/>
    <x v="0"/>
    <x v="1"/>
    <x v="1"/>
    <x v="0"/>
    <d v="1962-09-25T00:00:00"/>
    <n v="-22734"/>
    <x v="1439"/>
    <x v="0"/>
    <n v="365243"/>
    <n v="0"/>
    <x v="0"/>
    <n v="1"/>
    <n v="0"/>
    <n v="0"/>
    <n v="0"/>
    <m/>
    <x v="1"/>
  </r>
  <r>
    <n v="5067237"/>
    <x v="0"/>
    <s v="Y"/>
    <s v="Y"/>
    <n v="0"/>
    <x v="114"/>
    <x v="2"/>
    <x v="1"/>
    <x v="1"/>
    <x v="0"/>
    <d v="1978-06-12T00:00:00"/>
    <n v="-16995"/>
    <x v="1440"/>
    <x v="1"/>
    <n v="-7264"/>
    <n v="19.887748117727583"/>
    <x v="1"/>
    <n v="1"/>
    <n v="0"/>
    <n v="0"/>
    <n v="0"/>
    <s v="Core staff"/>
    <x v="1"/>
  </r>
  <r>
    <n v="5067240"/>
    <x v="0"/>
    <s v="Y"/>
    <s v="Y"/>
    <n v="0"/>
    <x v="114"/>
    <x v="2"/>
    <x v="1"/>
    <x v="1"/>
    <x v="0"/>
    <d v="1978-06-12T00:00:00"/>
    <n v="-16995"/>
    <x v="1440"/>
    <x v="1"/>
    <n v="-7264"/>
    <n v="19.887748117727583"/>
    <x v="1"/>
    <n v="1"/>
    <n v="0"/>
    <n v="0"/>
    <n v="0"/>
    <s v="Core staff"/>
    <x v="1"/>
  </r>
  <r>
    <n v="5067249"/>
    <x v="0"/>
    <s v="Y"/>
    <s v="Y"/>
    <n v="0"/>
    <x v="114"/>
    <x v="2"/>
    <x v="1"/>
    <x v="1"/>
    <x v="0"/>
    <d v="1978-06-12T00:00:00"/>
    <n v="-16995"/>
    <x v="1440"/>
    <x v="1"/>
    <n v="-7264"/>
    <n v="19.887748117727583"/>
    <x v="1"/>
    <n v="1"/>
    <n v="0"/>
    <n v="0"/>
    <n v="0"/>
    <s v="Core staff"/>
    <x v="1"/>
  </r>
  <r>
    <n v="5067255"/>
    <x v="1"/>
    <s v="Y"/>
    <s v="Y"/>
    <n v="0"/>
    <x v="14"/>
    <x v="0"/>
    <x v="1"/>
    <x v="1"/>
    <x v="0"/>
    <d v="1967-11-13T00:00:00"/>
    <n v="-20859"/>
    <x v="1441"/>
    <x v="2"/>
    <n v="365243"/>
    <n v="0"/>
    <x v="0"/>
    <n v="1"/>
    <n v="0"/>
    <n v="0"/>
    <n v="1"/>
    <m/>
    <x v="1"/>
  </r>
  <r>
    <n v="5067260"/>
    <x v="0"/>
    <s v="Y"/>
    <s v="Y"/>
    <n v="0"/>
    <x v="18"/>
    <x v="2"/>
    <x v="1"/>
    <x v="1"/>
    <x v="0"/>
    <d v="1970-04-08T00:00:00"/>
    <n v="-19982"/>
    <x v="1442"/>
    <x v="2"/>
    <n v="-1724"/>
    <n v="4.7200547570157427"/>
    <x v="1"/>
    <n v="1"/>
    <n v="0"/>
    <n v="1"/>
    <n v="0"/>
    <m/>
    <x v="1"/>
  </r>
  <r>
    <n v="5067263"/>
    <x v="0"/>
    <s v="Y"/>
    <s v="Y"/>
    <n v="0"/>
    <x v="18"/>
    <x v="2"/>
    <x v="1"/>
    <x v="1"/>
    <x v="0"/>
    <d v="1970-04-08T00:00:00"/>
    <n v="-19982"/>
    <x v="1442"/>
    <x v="2"/>
    <n v="-1724"/>
    <n v="4.7200547570157427"/>
    <x v="1"/>
    <n v="1"/>
    <n v="0"/>
    <n v="1"/>
    <n v="0"/>
    <m/>
    <x v="1"/>
  </r>
  <r>
    <n v="5067265"/>
    <x v="0"/>
    <s v="Y"/>
    <s v="Y"/>
    <n v="0"/>
    <x v="18"/>
    <x v="2"/>
    <x v="1"/>
    <x v="1"/>
    <x v="0"/>
    <d v="1970-04-08T00:00:00"/>
    <n v="-19982"/>
    <x v="1442"/>
    <x v="2"/>
    <n v="-1724"/>
    <n v="4.7200547570157427"/>
    <x v="1"/>
    <n v="1"/>
    <n v="0"/>
    <n v="1"/>
    <n v="0"/>
    <m/>
    <x v="1"/>
  </r>
  <r>
    <n v="5067266"/>
    <x v="0"/>
    <s v="Y"/>
    <s v="Y"/>
    <n v="0"/>
    <x v="18"/>
    <x v="2"/>
    <x v="1"/>
    <x v="1"/>
    <x v="0"/>
    <d v="1970-04-08T00:00:00"/>
    <n v="-19982"/>
    <x v="1442"/>
    <x v="2"/>
    <n v="-1724"/>
    <n v="4.7200547570157427"/>
    <x v="1"/>
    <n v="1"/>
    <n v="0"/>
    <n v="1"/>
    <n v="0"/>
    <m/>
    <x v="1"/>
  </r>
  <r>
    <n v="5067277"/>
    <x v="0"/>
    <s v="N"/>
    <s v="Y"/>
    <n v="0"/>
    <x v="1"/>
    <x v="2"/>
    <x v="1"/>
    <x v="3"/>
    <x v="0"/>
    <d v="1987-03-15T00:00:00"/>
    <n v="-13797"/>
    <x v="1443"/>
    <x v="3"/>
    <n v="-4230"/>
    <n v="11.581108829568789"/>
    <x v="1"/>
    <n v="1"/>
    <n v="0"/>
    <n v="0"/>
    <n v="0"/>
    <s v="Core staff"/>
    <x v="1"/>
  </r>
  <r>
    <n v="5067285"/>
    <x v="0"/>
    <s v="N"/>
    <s v="Y"/>
    <n v="0"/>
    <x v="30"/>
    <x v="1"/>
    <x v="1"/>
    <x v="0"/>
    <x v="0"/>
    <d v="1970-08-01T00:00:00"/>
    <n v="-19867"/>
    <x v="1444"/>
    <x v="2"/>
    <n v="-720"/>
    <n v="1.9712525667351128"/>
    <x v="1"/>
    <n v="1"/>
    <n v="0"/>
    <n v="0"/>
    <n v="1"/>
    <m/>
    <x v="0"/>
  </r>
  <r>
    <n v="5067292"/>
    <x v="0"/>
    <s v="N"/>
    <s v="Y"/>
    <n v="0"/>
    <x v="30"/>
    <x v="1"/>
    <x v="1"/>
    <x v="0"/>
    <x v="0"/>
    <d v="1970-08-01T00:00:00"/>
    <n v="-19867"/>
    <x v="1444"/>
    <x v="2"/>
    <n v="-720"/>
    <n v="1.9712525667351128"/>
    <x v="1"/>
    <n v="1"/>
    <n v="0"/>
    <n v="0"/>
    <n v="1"/>
    <m/>
    <x v="0"/>
  </r>
  <r>
    <n v="5067315"/>
    <x v="1"/>
    <s v="Y"/>
    <s v="N"/>
    <n v="0"/>
    <x v="12"/>
    <x v="1"/>
    <x v="2"/>
    <x v="2"/>
    <x v="0"/>
    <d v="1978-02-20T00:00:00"/>
    <n v="-17107"/>
    <x v="1445"/>
    <x v="1"/>
    <n v="-781"/>
    <n v="2.1382614647501712"/>
    <x v="1"/>
    <n v="1"/>
    <n v="0"/>
    <n v="0"/>
    <n v="1"/>
    <m/>
    <x v="0"/>
  </r>
  <r>
    <n v="5067339"/>
    <x v="0"/>
    <s v="Y"/>
    <s v="N"/>
    <n v="0"/>
    <x v="16"/>
    <x v="1"/>
    <x v="1"/>
    <x v="1"/>
    <x v="0"/>
    <d v="1979-09-09T00:00:00"/>
    <n v="-16541"/>
    <x v="1446"/>
    <x v="1"/>
    <n v="-1085"/>
    <n v="2.97056810403833"/>
    <x v="1"/>
    <n v="1"/>
    <n v="0"/>
    <n v="1"/>
    <n v="0"/>
    <m/>
    <x v="1"/>
  </r>
  <r>
    <n v="5067346"/>
    <x v="1"/>
    <s v="Y"/>
    <s v="Y"/>
    <n v="1"/>
    <x v="30"/>
    <x v="1"/>
    <x v="1"/>
    <x v="1"/>
    <x v="0"/>
    <d v="1998-03-02T00:00:00"/>
    <n v="-9792"/>
    <x v="1447"/>
    <x v="4"/>
    <n v="-365"/>
    <n v="0.99931553730321698"/>
    <x v="1"/>
    <n v="1"/>
    <n v="0"/>
    <n v="0"/>
    <n v="0"/>
    <s v="Sales staff"/>
    <x v="3"/>
  </r>
  <r>
    <n v="5067357"/>
    <x v="0"/>
    <s v="N"/>
    <s v="Y"/>
    <n v="0"/>
    <x v="35"/>
    <x v="3"/>
    <x v="0"/>
    <x v="1"/>
    <x v="4"/>
    <d v="1960-12-03T00:00:00"/>
    <n v="-23395"/>
    <x v="1448"/>
    <x v="0"/>
    <n v="-151"/>
    <n v="0.4134154688569473"/>
    <x v="1"/>
    <n v="1"/>
    <n v="0"/>
    <n v="1"/>
    <n v="0"/>
    <s v="Core staff"/>
    <x v="1"/>
  </r>
  <r>
    <n v="5067371"/>
    <x v="0"/>
    <s v="Y"/>
    <s v="Y"/>
    <n v="0"/>
    <x v="12"/>
    <x v="1"/>
    <x v="2"/>
    <x v="2"/>
    <x v="0"/>
    <d v="1999-12-24T00:00:00"/>
    <n v="-9130"/>
    <x v="1449"/>
    <x v="4"/>
    <n v="-1390"/>
    <n v="3.805612594113621"/>
    <x v="1"/>
    <n v="1"/>
    <n v="0"/>
    <n v="1"/>
    <n v="0"/>
    <s v="Core staff"/>
    <x v="0"/>
  </r>
  <r>
    <n v="5067375"/>
    <x v="0"/>
    <s v="Y"/>
    <s v="Y"/>
    <n v="0"/>
    <x v="12"/>
    <x v="1"/>
    <x v="2"/>
    <x v="2"/>
    <x v="0"/>
    <d v="1999-12-24T00:00:00"/>
    <n v="-9130"/>
    <x v="1449"/>
    <x v="4"/>
    <n v="-1390"/>
    <n v="3.805612594113621"/>
    <x v="1"/>
    <n v="1"/>
    <n v="0"/>
    <n v="1"/>
    <n v="0"/>
    <s v="Core staff"/>
    <x v="0"/>
  </r>
  <r>
    <n v="5067377"/>
    <x v="0"/>
    <s v="Y"/>
    <s v="Y"/>
    <n v="0"/>
    <x v="12"/>
    <x v="1"/>
    <x v="2"/>
    <x v="2"/>
    <x v="0"/>
    <d v="1999-12-24T00:00:00"/>
    <n v="-9130"/>
    <x v="1449"/>
    <x v="4"/>
    <n v="-1390"/>
    <n v="3.805612594113621"/>
    <x v="1"/>
    <n v="1"/>
    <n v="0"/>
    <n v="1"/>
    <n v="0"/>
    <s v="Core staff"/>
    <x v="0"/>
  </r>
  <r>
    <n v="5067379"/>
    <x v="0"/>
    <s v="Y"/>
    <s v="Y"/>
    <n v="0"/>
    <x v="12"/>
    <x v="1"/>
    <x v="2"/>
    <x v="2"/>
    <x v="0"/>
    <d v="1999-12-24T00:00:00"/>
    <n v="-9130"/>
    <x v="1449"/>
    <x v="4"/>
    <n v="-1390"/>
    <n v="3.805612594113621"/>
    <x v="1"/>
    <n v="1"/>
    <n v="0"/>
    <n v="1"/>
    <n v="0"/>
    <s v="Core staff"/>
    <x v="0"/>
  </r>
  <r>
    <n v="5067412"/>
    <x v="1"/>
    <s v="Y"/>
    <s v="Y"/>
    <n v="0"/>
    <x v="8"/>
    <x v="1"/>
    <x v="1"/>
    <x v="1"/>
    <x v="0"/>
    <d v="1992-03-22T00:00:00"/>
    <n v="-11963"/>
    <x v="1450"/>
    <x v="3"/>
    <n v="-3742"/>
    <n v="10.245037645448322"/>
    <x v="1"/>
    <n v="1"/>
    <n v="0"/>
    <n v="0"/>
    <n v="1"/>
    <s v="Managers"/>
    <x v="1"/>
  </r>
  <r>
    <n v="5067431"/>
    <x v="0"/>
    <s v="N"/>
    <s v="Y"/>
    <n v="0"/>
    <x v="2"/>
    <x v="0"/>
    <x v="1"/>
    <x v="4"/>
    <x v="0"/>
    <d v="1968-10-01T00:00:00"/>
    <n v="-20536"/>
    <x v="1451"/>
    <x v="2"/>
    <n v="365243"/>
    <n v="0"/>
    <x v="0"/>
    <n v="1"/>
    <n v="0"/>
    <n v="0"/>
    <n v="0"/>
    <m/>
    <x v="0"/>
  </r>
  <r>
    <n v="5067433"/>
    <x v="0"/>
    <s v="N"/>
    <s v="Y"/>
    <n v="0"/>
    <x v="2"/>
    <x v="0"/>
    <x v="1"/>
    <x v="4"/>
    <x v="0"/>
    <d v="1968-10-01T00:00:00"/>
    <n v="-20536"/>
    <x v="1451"/>
    <x v="2"/>
    <n v="365243"/>
    <n v="0"/>
    <x v="0"/>
    <n v="1"/>
    <n v="0"/>
    <n v="0"/>
    <n v="0"/>
    <m/>
    <x v="0"/>
  </r>
  <r>
    <n v="5067444"/>
    <x v="0"/>
    <s v="Y"/>
    <s v="Y"/>
    <n v="0"/>
    <x v="1"/>
    <x v="0"/>
    <x v="1"/>
    <x v="1"/>
    <x v="0"/>
    <d v="1962-05-02T00:00:00"/>
    <n v="-22880"/>
    <x v="1452"/>
    <x v="0"/>
    <n v="365243"/>
    <n v="0"/>
    <x v="0"/>
    <n v="1"/>
    <n v="0"/>
    <n v="0"/>
    <n v="0"/>
    <m/>
    <x v="1"/>
  </r>
  <r>
    <n v="5067461"/>
    <x v="0"/>
    <s v="N"/>
    <s v="Y"/>
    <n v="1"/>
    <x v="39"/>
    <x v="1"/>
    <x v="1"/>
    <x v="3"/>
    <x v="0"/>
    <d v="1993-10-26T00:00:00"/>
    <n v="-11380"/>
    <x v="1453"/>
    <x v="3"/>
    <n v="-1540"/>
    <n v="4.216290212183436"/>
    <x v="1"/>
    <n v="1"/>
    <n v="0"/>
    <n v="0"/>
    <n v="1"/>
    <s v="Laborers"/>
    <x v="3"/>
  </r>
  <r>
    <n v="5067470"/>
    <x v="0"/>
    <s v="N"/>
    <s v="Y"/>
    <n v="1"/>
    <x v="39"/>
    <x v="1"/>
    <x v="1"/>
    <x v="3"/>
    <x v="0"/>
    <d v="1993-10-26T00:00:00"/>
    <n v="-11380"/>
    <x v="1453"/>
    <x v="3"/>
    <n v="-1540"/>
    <n v="4.216290212183436"/>
    <x v="1"/>
    <n v="1"/>
    <n v="0"/>
    <n v="0"/>
    <n v="1"/>
    <s v="Laborers"/>
    <x v="3"/>
  </r>
  <r>
    <n v="5067473"/>
    <x v="1"/>
    <s v="N"/>
    <s v="Y"/>
    <n v="0"/>
    <x v="39"/>
    <x v="2"/>
    <x v="0"/>
    <x v="1"/>
    <x v="0"/>
    <d v="1996-04-03T00:00:00"/>
    <n v="-10490"/>
    <x v="1454"/>
    <x v="4"/>
    <n v="-3591"/>
    <n v="9.8316221765913756"/>
    <x v="1"/>
    <n v="1"/>
    <n v="0"/>
    <n v="0"/>
    <n v="0"/>
    <s v="Drivers"/>
    <x v="1"/>
  </r>
  <r>
    <n v="5067489"/>
    <x v="0"/>
    <s v="N"/>
    <s v="Y"/>
    <n v="2"/>
    <x v="16"/>
    <x v="2"/>
    <x v="0"/>
    <x v="1"/>
    <x v="0"/>
    <d v="1989-10-07T00:00:00"/>
    <n v="-12860"/>
    <x v="1455"/>
    <x v="3"/>
    <n v="-4657"/>
    <n v="12.750171115674195"/>
    <x v="1"/>
    <n v="1"/>
    <n v="1"/>
    <n v="1"/>
    <n v="0"/>
    <s v="High skill tech staff"/>
    <x v="2"/>
  </r>
  <r>
    <n v="5067490"/>
    <x v="0"/>
    <s v="N"/>
    <s v="Y"/>
    <n v="2"/>
    <x v="16"/>
    <x v="2"/>
    <x v="0"/>
    <x v="1"/>
    <x v="0"/>
    <d v="1989-10-07T00:00:00"/>
    <n v="-12860"/>
    <x v="1455"/>
    <x v="3"/>
    <n v="-4657"/>
    <n v="12.750171115674195"/>
    <x v="1"/>
    <n v="1"/>
    <n v="1"/>
    <n v="1"/>
    <n v="0"/>
    <s v="High skill tech staff"/>
    <x v="2"/>
  </r>
  <r>
    <n v="5067500"/>
    <x v="0"/>
    <s v="N"/>
    <s v="Y"/>
    <n v="1"/>
    <x v="2"/>
    <x v="3"/>
    <x v="1"/>
    <x v="1"/>
    <x v="0"/>
    <d v="1975-10-25T00:00:00"/>
    <n v="-17956"/>
    <x v="1456"/>
    <x v="1"/>
    <n v="-9363"/>
    <n v="25.634496919917865"/>
    <x v="1"/>
    <n v="1"/>
    <n v="0"/>
    <n v="0"/>
    <n v="0"/>
    <s v="Core staff"/>
    <x v="3"/>
  </r>
  <r>
    <n v="5067518"/>
    <x v="0"/>
    <s v="N"/>
    <s v="Y"/>
    <n v="0"/>
    <x v="41"/>
    <x v="2"/>
    <x v="1"/>
    <x v="1"/>
    <x v="0"/>
    <d v="1975-10-17T00:00:00"/>
    <n v="-17964"/>
    <x v="1457"/>
    <x v="1"/>
    <n v="-6594"/>
    <n v="18.053388090349078"/>
    <x v="1"/>
    <n v="1"/>
    <n v="0"/>
    <n v="0"/>
    <n v="1"/>
    <m/>
    <x v="1"/>
  </r>
  <r>
    <n v="5067533"/>
    <x v="0"/>
    <s v="N"/>
    <s v="Y"/>
    <n v="0"/>
    <x v="30"/>
    <x v="0"/>
    <x v="1"/>
    <x v="2"/>
    <x v="0"/>
    <d v="1964-07-28T00:00:00"/>
    <n v="-22062"/>
    <x v="495"/>
    <x v="0"/>
    <n v="365243"/>
    <n v="0"/>
    <x v="0"/>
    <n v="1"/>
    <n v="0"/>
    <n v="1"/>
    <n v="0"/>
    <m/>
    <x v="0"/>
  </r>
  <r>
    <n v="5067550"/>
    <x v="0"/>
    <s v="N"/>
    <s v="Y"/>
    <n v="0"/>
    <x v="62"/>
    <x v="0"/>
    <x v="1"/>
    <x v="1"/>
    <x v="0"/>
    <d v="1960-10-17T00:00:00"/>
    <n v="-23442"/>
    <x v="444"/>
    <x v="0"/>
    <n v="365243"/>
    <n v="0"/>
    <x v="0"/>
    <n v="1"/>
    <n v="0"/>
    <n v="1"/>
    <n v="0"/>
    <m/>
    <x v="1"/>
  </r>
  <r>
    <n v="5067552"/>
    <x v="0"/>
    <s v="N"/>
    <s v="Y"/>
    <n v="0"/>
    <x v="62"/>
    <x v="0"/>
    <x v="1"/>
    <x v="1"/>
    <x v="0"/>
    <d v="1960-10-17T00:00:00"/>
    <n v="-23442"/>
    <x v="444"/>
    <x v="0"/>
    <n v="365243"/>
    <n v="0"/>
    <x v="0"/>
    <n v="1"/>
    <n v="0"/>
    <n v="1"/>
    <n v="0"/>
    <m/>
    <x v="1"/>
  </r>
  <r>
    <n v="5067557"/>
    <x v="0"/>
    <s v="N"/>
    <s v="Y"/>
    <n v="0"/>
    <x v="1"/>
    <x v="1"/>
    <x v="1"/>
    <x v="1"/>
    <x v="0"/>
    <d v="1973-06-17T00:00:00"/>
    <n v="-18816"/>
    <x v="1458"/>
    <x v="2"/>
    <n v="-11494"/>
    <n v="31.468856947296374"/>
    <x v="1"/>
    <n v="1"/>
    <n v="0"/>
    <n v="0"/>
    <n v="0"/>
    <s v="Laborers"/>
    <x v="1"/>
  </r>
  <r>
    <n v="5067559"/>
    <x v="0"/>
    <s v="N"/>
    <s v="Y"/>
    <n v="1"/>
    <x v="8"/>
    <x v="1"/>
    <x v="0"/>
    <x v="1"/>
    <x v="0"/>
    <d v="1983-06-23T00:00:00"/>
    <n v="-15158"/>
    <x v="1459"/>
    <x v="1"/>
    <n v="-3642"/>
    <n v="9.9712525667351137"/>
    <x v="1"/>
    <n v="1"/>
    <n v="0"/>
    <n v="0"/>
    <n v="0"/>
    <s v="Core staff"/>
    <x v="3"/>
  </r>
  <r>
    <n v="5067568"/>
    <x v="1"/>
    <s v="N"/>
    <s v="Y"/>
    <n v="0"/>
    <x v="5"/>
    <x v="2"/>
    <x v="1"/>
    <x v="3"/>
    <x v="0"/>
    <d v="1999-06-25T00:00:00"/>
    <n v="-9312"/>
    <x v="1460"/>
    <x v="4"/>
    <n v="-1095"/>
    <n v="2.9979466119096507"/>
    <x v="1"/>
    <n v="1"/>
    <n v="0"/>
    <n v="0"/>
    <n v="1"/>
    <s v="Laborers"/>
    <x v="1"/>
  </r>
  <r>
    <n v="5067575"/>
    <x v="1"/>
    <s v="Y"/>
    <s v="Y"/>
    <n v="1"/>
    <x v="18"/>
    <x v="0"/>
    <x v="1"/>
    <x v="1"/>
    <x v="0"/>
    <d v="1973-02-05T00:00:00"/>
    <n v="-18948"/>
    <x v="1461"/>
    <x v="2"/>
    <n v="365243"/>
    <n v="0"/>
    <x v="0"/>
    <n v="1"/>
    <n v="0"/>
    <n v="0"/>
    <n v="0"/>
    <m/>
    <x v="3"/>
  </r>
  <r>
    <n v="5067576"/>
    <x v="1"/>
    <s v="Y"/>
    <s v="Y"/>
    <n v="1"/>
    <x v="18"/>
    <x v="0"/>
    <x v="1"/>
    <x v="1"/>
    <x v="0"/>
    <d v="1973-02-05T00:00:00"/>
    <n v="-18948"/>
    <x v="1461"/>
    <x v="2"/>
    <n v="365243"/>
    <n v="0"/>
    <x v="0"/>
    <n v="1"/>
    <n v="0"/>
    <n v="0"/>
    <n v="0"/>
    <m/>
    <x v="3"/>
  </r>
  <r>
    <n v="5067578"/>
    <x v="1"/>
    <s v="Y"/>
    <s v="Y"/>
    <n v="1"/>
    <x v="18"/>
    <x v="0"/>
    <x v="1"/>
    <x v="1"/>
    <x v="0"/>
    <d v="1973-02-05T00:00:00"/>
    <n v="-18948"/>
    <x v="1461"/>
    <x v="2"/>
    <n v="365243"/>
    <n v="0"/>
    <x v="0"/>
    <n v="1"/>
    <n v="0"/>
    <n v="0"/>
    <n v="0"/>
    <m/>
    <x v="3"/>
  </r>
  <r>
    <n v="5067581"/>
    <x v="1"/>
    <s v="Y"/>
    <s v="Y"/>
    <n v="1"/>
    <x v="18"/>
    <x v="0"/>
    <x v="1"/>
    <x v="1"/>
    <x v="0"/>
    <d v="1973-02-05T00:00:00"/>
    <n v="-18948"/>
    <x v="1461"/>
    <x v="2"/>
    <n v="365243"/>
    <n v="0"/>
    <x v="0"/>
    <n v="1"/>
    <n v="0"/>
    <n v="0"/>
    <n v="0"/>
    <m/>
    <x v="3"/>
  </r>
  <r>
    <n v="5067584"/>
    <x v="1"/>
    <s v="Y"/>
    <s v="Y"/>
    <n v="0"/>
    <x v="39"/>
    <x v="1"/>
    <x v="1"/>
    <x v="1"/>
    <x v="0"/>
    <d v="1976-01-02T00:00:00"/>
    <n v="-17887"/>
    <x v="1462"/>
    <x v="1"/>
    <n v="-567"/>
    <n v="1.5523613963039014"/>
    <x v="1"/>
    <n v="1"/>
    <n v="1"/>
    <n v="0"/>
    <n v="0"/>
    <s v="Drivers"/>
    <x v="1"/>
  </r>
  <r>
    <n v="5067589"/>
    <x v="1"/>
    <s v="Y"/>
    <s v="Y"/>
    <n v="0"/>
    <x v="39"/>
    <x v="1"/>
    <x v="1"/>
    <x v="1"/>
    <x v="0"/>
    <d v="1976-01-02T00:00:00"/>
    <n v="-17887"/>
    <x v="1462"/>
    <x v="1"/>
    <n v="-567"/>
    <n v="1.5523613963039014"/>
    <x v="1"/>
    <n v="1"/>
    <n v="1"/>
    <n v="0"/>
    <n v="0"/>
    <s v="Drivers"/>
    <x v="1"/>
  </r>
  <r>
    <n v="5067594"/>
    <x v="0"/>
    <s v="Y"/>
    <s v="Y"/>
    <n v="0"/>
    <x v="1"/>
    <x v="2"/>
    <x v="1"/>
    <x v="1"/>
    <x v="0"/>
    <d v="1984-02-10T00:00:00"/>
    <n v="-14926"/>
    <x v="1463"/>
    <x v="1"/>
    <n v="-789"/>
    <n v="2.1601642710472277"/>
    <x v="1"/>
    <n v="1"/>
    <n v="0"/>
    <n v="0"/>
    <n v="0"/>
    <s v="Cooking staff"/>
    <x v="1"/>
  </r>
  <r>
    <n v="5067606"/>
    <x v="0"/>
    <s v="N"/>
    <s v="Y"/>
    <n v="0"/>
    <x v="2"/>
    <x v="2"/>
    <x v="1"/>
    <x v="1"/>
    <x v="0"/>
    <d v="1982-07-01T00:00:00"/>
    <n v="-15515"/>
    <x v="1464"/>
    <x v="1"/>
    <n v="-2485"/>
    <n v="6.8035592060232721"/>
    <x v="1"/>
    <n v="1"/>
    <n v="0"/>
    <n v="0"/>
    <n v="1"/>
    <s v="Sales staff"/>
    <x v="1"/>
  </r>
  <r>
    <n v="5067613"/>
    <x v="1"/>
    <s v="Y"/>
    <s v="Y"/>
    <n v="1"/>
    <x v="8"/>
    <x v="3"/>
    <x v="0"/>
    <x v="1"/>
    <x v="0"/>
    <d v="1993-09-07T00:00:00"/>
    <n v="-11429"/>
    <x v="1465"/>
    <x v="3"/>
    <n v="-3165"/>
    <n v="8.6652977412731005"/>
    <x v="1"/>
    <n v="1"/>
    <n v="1"/>
    <n v="0"/>
    <n v="0"/>
    <m/>
    <x v="3"/>
  </r>
  <r>
    <n v="5067615"/>
    <x v="1"/>
    <s v="Y"/>
    <s v="Y"/>
    <n v="1"/>
    <x v="8"/>
    <x v="3"/>
    <x v="0"/>
    <x v="1"/>
    <x v="0"/>
    <d v="1993-09-07T00:00:00"/>
    <n v="-11429"/>
    <x v="1465"/>
    <x v="3"/>
    <n v="-3165"/>
    <n v="8.6652977412731005"/>
    <x v="1"/>
    <n v="1"/>
    <n v="1"/>
    <n v="0"/>
    <n v="0"/>
    <m/>
    <x v="3"/>
  </r>
  <r>
    <n v="5067629"/>
    <x v="0"/>
    <s v="N"/>
    <s v="N"/>
    <n v="1"/>
    <x v="37"/>
    <x v="2"/>
    <x v="1"/>
    <x v="1"/>
    <x v="0"/>
    <d v="1979-07-31T00:00:00"/>
    <n v="-16581"/>
    <x v="1466"/>
    <x v="1"/>
    <n v="-6959"/>
    <n v="19.052703627652292"/>
    <x v="1"/>
    <n v="1"/>
    <n v="0"/>
    <n v="0"/>
    <n v="0"/>
    <s v="Laborers"/>
    <x v="3"/>
  </r>
  <r>
    <n v="5067632"/>
    <x v="0"/>
    <s v="N"/>
    <s v="Y"/>
    <n v="1"/>
    <x v="3"/>
    <x v="2"/>
    <x v="1"/>
    <x v="1"/>
    <x v="0"/>
    <d v="1976-03-14T00:00:00"/>
    <n v="-17815"/>
    <x v="1467"/>
    <x v="1"/>
    <n v="-932"/>
    <n v="2.5516769336071183"/>
    <x v="1"/>
    <n v="1"/>
    <n v="0"/>
    <n v="0"/>
    <n v="0"/>
    <s v="Core staff"/>
    <x v="3"/>
  </r>
  <r>
    <n v="5067642"/>
    <x v="0"/>
    <s v="N"/>
    <s v="Y"/>
    <n v="0"/>
    <x v="70"/>
    <x v="0"/>
    <x v="0"/>
    <x v="1"/>
    <x v="0"/>
    <d v="1970-04-29T00:00:00"/>
    <n v="-19961"/>
    <x v="1468"/>
    <x v="2"/>
    <n v="365243"/>
    <n v="0"/>
    <x v="0"/>
    <n v="1"/>
    <n v="0"/>
    <n v="0"/>
    <n v="0"/>
    <m/>
    <x v="1"/>
  </r>
  <r>
    <n v="5067645"/>
    <x v="0"/>
    <s v="N"/>
    <s v="Y"/>
    <n v="0"/>
    <x v="70"/>
    <x v="0"/>
    <x v="0"/>
    <x v="1"/>
    <x v="0"/>
    <d v="1970-04-29T00:00:00"/>
    <n v="-19961"/>
    <x v="1468"/>
    <x v="2"/>
    <n v="365243"/>
    <n v="0"/>
    <x v="0"/>
    <n v="1"/>
    <n v="0"/>
    <n v="0"/>
    <n v="0"/>
    <m/>
    <x v="1"/>
  </r>
  <r>
    <n v="5067692"/>
    <x v="0"/>
    <s v="N"/>
    <s v="Y"/>
    <n v="0"/>
    <x v="49"/>
    <x v="3"/>
    <x v="1"/>
    <x v="1"/>
    <x v="0"/>
    <d v="1976-04-16T00:00:00"/>
    <n v="-17782"/>
    <x v="321"/>
    <x v="1"/>
    <n v="-2403"/>
    <n v="6.579055441478439"/>
    <x v="1"/>
    <n v="1"/>
    <n v="0"/>
    <n v="0"/>
    <n v="1"/>
    <m/>
    <x v="1"/>
  </r>
  <r>
    <n v="5067702"/>
    <x v="1"/>
    <s v="Y"/>
    <s v="Y"/>
    <n v="0"/>
    <x v="42"/>
    <x v="2"/>
    <x v="0"/>
    <x v="1"/>
    <x v="0"/>
    <d v="1972-09-19T00:00:00"/>
    <n v="-19087"/>
    <x v="1469"/>
    <x v="2"/>
    <n v="-4434"/>
    <n v="12.139630390143736"/>
    <x v="1"/>
    <n v="1"/>
    <n v="0"/>
    <n v="1"/>
    <n v="0"/>
    <s v="Managers"/>
    <x v="1"/>
  </r>
  <r>
    <n v="5067719"/>
    <x v="0"/>
    <s v="N"/>
    <s v="Y"/>
    <n v="1"/>
    <x v="21"/>
    <x v="2"/>
    <x v="4"/>
    <x v="2"/>
    <x v="0"/>
    <d v="1990-08-08T00:00:00"/>
    <n v="-12555"/>
    <x v="372"/>
    <x v="3"/>
    <n v="-2769"/>
    <n v="7.5811088295687883"/>
    <x v="1"/>
    <n v="1"/>
    <n v="0"/>
    <n v="0"/>
    <n v="0"/>
    <m/>
    <x v="1"/>
  </r>
  <r>
    <n v="5067728"/>
    <x v="0"/>
    <s v="N"/>
    <s v="Y"/>
    <n v="1"/>
    <x v="1"/>
    <x v="1"/>
    <x v="2"/>
    <x v="1"/>
    <x v="0"/>
    <d v="1996-10-22T00:00:00"/>
    <n v="-10288"/>
    <x v="1470"/>
    <x v="4"/>
    <n v="-2616"/>
    <n v="7.1622176591375766"/>
    <x v="1"/>
    <n v="1"/>
    <n v="1"/>
    <n v="1"/>
    <n v="0"/>
    <s v="Managers"/>
    <x v="3"/>
  </r>
  <r>
    <n v="5067732"/>
    <x v="0"/>
    <s v="N"/>
    <s v="Y"/>
    <n v="1"/>
    <x v="1"/>
    <x v="1"/>
    <x v="2"/>
    <x v="1"/>
    <x v="0"/>
    <d v="1996-10-22T00:00:00"/>
    <n v="-10288"/>
    <x v="1470"/>
    <x v="4"/>
    <n v="-2616"/>
    <n v="7.1622176591375766"/>
    <x v="1"/>
    <n v="1"/>
    <n v="1"/>
    <n v="1"/>
    <n v="0"/>
    <s v="Managers"/>
    <x v="3"/>
  </r>
  <r>
    <n v="5067740"/>
    <x v="0"/>
    <s v="Y"/>
    <s v="Y"/>
    <n v="1"/>
    <x v="1"/>
    <x v="2"/>
    <x v="0"/>
    <x v="1"/>
    <x v="0"/>
    <d v="1999-10-23T00:00:00"/>
    <n v="-9192"/>
    <x v="1471"/>
    <x v="4"/>
    <n v="-1308"/>
    <n v="3.5811088295687883"/>
    <x v="1"/>
    <n v="1"/>
    <n v="0"/>
    <n v="1"/>
    <n v="0"/>
    <s v="High skill tech staff"/>
    <x v="3"/>
  </r>
  <r>
    <n v="5067765"/>
    <x v="0"/>
    <s v="N"/>
    <s v="Y"/>
    <n v="0"/>
    <x v="11"/>
    <x v="3"/>
    <x v="1"/>
    <x v="2"/>
    <x v="0"/>
    <d v="1961-01-26T00:00:00"/>
    <n v="-23341"/>
    <x v="1472"/>
    <x v="0"/>
    <n v="-5437"/>
    <n v="14.885694729637235"/>
    <x v="1"/>
    <n v="1"/>
    <n v="0"/>
    <n v="0"/>
    <n v="0"/>
    <s v="Medicine staff"/>
    <x v="0"/>
  </r>
  <r>
    <n v="5067779"/>
    <x v="0"/>
    <s v="Y"/>
    <s v="Y"/>
    <n v="1"/>
    <x v="8"/>
    <x v="1"/>
    <x v="0"/>
    <x v="0"/>
    <x v="0"/>
    <d v="1982-01-26T00:00:00"/>
    <n v="-15671"/>
    <x v="1473"/>
    <x v="1"/>
    <n v="-232"/>
    <n v="0.63518138261464752"/>
    <x v="1"/>
    <n v="1"/>
    <n v="0"/>
    <n v="0"/>
    <n v="1"/>
    <s v="Laborers"/>
    <x v="1"/>
  </r>
  <r>
    <n v="5067787"/>
    <x v="1"/>
    <s v="Y"/>
    <s v="N"/>
    <n v="2"/>
    <x v="42"/>
    <x v="2"/>
    <x v="1"/>
    <x v="1"/>
    <x v="0"/>
    <d v="1983-12-28T00:00:00"/>
    <n v="-14970"/>
    <x v="1474"/>
    <x v="1"/>
    <n v="-7183"/>
    <n v="19.665982203969882"/>
    <x v="1"/>
    <n v="1"/>
    <n v="0"/>
    <n v="0"/>
    <n v="1"/>
    <s v="Drivers"/>
    <x v="2"/>
  </r>
  <r>
    <n v="5067791"/>
    <x v="1"/>
    <s v="Y"/>
    <s v="N"/>
    <n v="2"/>
    <x v="42"/>
    <x v="2"/>
    <x v="1"/>
    <x v="1"/>
    <x v="0"/>
    <d v="1983-12-28T00:00:00"/>
    <n v="-14970"/>
    <x v="1474"/>
    <x v="1"/>
    <n v="-7183"/>
    <n v="19.665982203969882"/>
    <x v="1"/>
    <n v="1"/>
    <n v="0"/>
    <n v="0"/>
    <n v="1"/>
    <s v="Drivers"/>
    <x v="2"/>
  </r>
  <r>
    <n v="5067800"/>
    <x v="0"/>
    <s v="N"/>
    <s v="Y"/>
    <n v="0"/>
    <x v="1"/>
    <x v="1"/>
    <x v="0"/>
    <x v="2"/>
    <x v="0"/>
    <d v="1971-11-19T00:00:00"/>
    <n v="-19392"/>
    <x v="1475"/>
    <x v="2"/>
    <n v="-121"/>
    <n v="0.33127994524298426"/>
    <x v="1"/>
    <n v="1"/>
    <n v="0"/>
    <n v="1"/>
    <n v="0"/>
    <m/>
    <x v="0"/>
  </r>
  <r>
    <n v="5067824"/>
    <x v="1"/>
    <s v="N"/>
    <s v="Y"/>
    <n v="0"/>
    <x v="16"/>
    <x v="1"/>
    <x v="1"/>
    <x v="2"/>
    <x v="0"/>
    <d v="1976-02-14T00:00:00"/>
    <n v="-17844"/>
    <x v="1476"/>
    <x v="1"/>
    <n v="-1095"/>
    <n v="2.9979466119096507"/>
    <x v="1"/>
    <n v="1"/>
    <n v="0"/>
    <n v="0"/>
    <n v="0"/>
    <s v="Sales staff"/>
    <x v="0"/>
  </r>
  <r>
    <n v="5067838"/>
    <x v="0"/>
    <s v="Y"/>
    <s v="Y"/>
    <n v="0"/>
    <x v="12"/>
    <x v="2"/>
    <x v="0"/>
    <x v="1"/>
    <x v="0"/>
    <d v="1966-06-13T00:00:00"/>
    <n v="-21377"/>
    <x v="1477"/>
    <x v="2"/>
    <n v="-577"/>
    <n v="1.5797399041752225"/>
    <x v="1"/>
    <n v="1"/>
    <n v="0"/>
    <n v="0"/>
    <n v="1"/>
    <m/>
    <x v="1"/>
  </r>
  <r>
    <n v="5067844"/>
    <x v="0"/>
    <s v="Y"/>
    <s v="Y"/>
    <n v="0"/>
    <x v="12"/>
    <x v="2"/>
    <x v="0"/>
    <x v="1"/>
    <x v="0"/>
    <d v="1966-06-13T00:00:00"/>
    <n v="-21377"/>
    <x v="1477"/>
    <x v="2"/>
    <n v="-577"/>
    <n v="1.5797399041752225"/>
    <x v="1"/>
    <n v="1"/>
    <n v="0"/>
    <n v="0"/>
    <n v="1"/>
    <m/>
    <x v="1"/>
  </r>
  <r>
    <n v="5067847"/>
    <x v="0"/>
    <s v="N"/>
    <s v="Y"/>
    <n v="0"/>
    <x v="16"/>
    <x v="1"/>
    <x v="1"/>
    <x v="2"/>
    <x v="0"/>
    <d v="1984-07-29T00:00:00"/>
    <n v="-14756"/>
    <x v="1478"/>
    <x v="1"/>
    <n v="-567"/>
    <n v="1.5523613963039014"/>
    <x v="1"/>
    <n v="1"/>
    <n v="0"/>
    <n v="0"/>
    <n v="0"/>
    <m/>
    <x v="0"/>
  </r>
  <r>
    <n v="5067851"/>
    <x v="0"/>
    <s v="Y"/>
    <s v="N"/>
    <n v="1"/>
    <x v="30"/>
    <x v="2"/>
    <x v="0"/>
    <x v="1"/>
    <x v="0"/>
    <d v="1992-06-28T00:00:00"/>
    <n v="-11865"/>
    <x v="1479"/>
    <x v="3"/>
    <n v="-3895"/>
    <n v="10.663928815879535"/>
    <x v="1"/>
    <n v="1"/>
    <n v="0"/>
    <n v="1"/>
    <n v="0"/>
    <s v="Core staff"/>
    <x v="3"/>
  </r>
  <r>
    <n v="5067857"/>
    <x v="0"/>
    <s v="N"/>
    <s v="Y"/>
    <n v="0"/>
    <x v="2"/>
    <x v="0"/>
    <x v="1"/>
    <x v="1"/>
    <x v="0"/>
    <d v="1961-05-08T00:00:00"/>
    <n v="-23239"/>
    <x v="1480"/>
    <x v="0"/>
    <n v="365243"/>
    <n v="0"/>
    <x v="0"/>
    <n v="1"/>
    <n v="0"/>
    <n v="0"/>
    <n v="0"/>
    <m/>
    <x v="1"/>
  </r>
  <r>
    <n v="5067858"/>
    <x v="0"/>
    <s v="N"/>
    <s v="Y"/>
    <n v="1"/>
    <x v="76"/>
    <x v="1"/>
    <x v="1"/>
    <x v="1"/>
    <x v="0"/>
    <d v="1978-08-25T00:00:00"/>
    <n v="-16921"/>
    <x v="1481"/>
    <x v="1"/>
    <n v="-1095"/>
    <n v="2.9979466119096507"/>
    <x v="1"/>
    <n v="1"/>
    <n v="0"/>
    <n v="0"/>
    <n v="1"/>
    <s v="Laborers"/>
    <x v="3"/>
  </r>
  <r>
    <n v="5067864"/>
    <x v="0"/>
    <s v="N"/>
    <s v="Y"/>
    <n v="0"/>
    <x v="23"/>
    <x v="2"/>
    <x v="1"/>
    <x v="1"/>
    <x v="0"/>
    <d v="1973-10-06T00:00:00"/>
    <n v="-18705"/>
    <x v="1482"/>
    <x v="2"/>
    <n v="-5345"/>
    <n v="14.633812457221081"/>
    <x v="1"/>
    <n v="1"/>
    <n v="0"/>
    <n v="0"/>
    <n v="0"/>
    <s v="Medicine staff"/>
    <x v="1"/>
  </r>
  <r>
    <n v="5067881"/>
    <x v="1"/>
    <s v="Y"/>
    <s v="Y"/>
    <n v="1"/>
    <x v="12"/>
    <x v="2"/>
    <x v="1"/>
    <x v="1"/>
    <x v="0"/>
    <d v="1976-12-11T00:00:00"/>
    <n v="-17543"/>
    <x v="1483"/>
    <x v="1"/>
    <n v="-2851"/>
    <n v="7.8056125941136205"/>
    <x v="1"/>
    <n v="1"/>
    <n v="0"/>
    <n v="1"/>
    <n v="0"/>
    <s v="Drivers"/>
    <x v="3"/>
  </r>
  <r>
    <n v="5067886"/>
    <x v="1"/>
    <s v="Y"/>
    <s v="Y"/>
    <n v="0"/>
    <x v="19"/>
    <x v="2"/>
    <x v="1"/>
    <x v="1"/>
    <x v="1"/>
    <d v="1978-05-27T00:00:00"/>
    <n v="-17011"/>
    <x v="1484"/>
    <x v="1"/>
    <n v="-901"/>
    <n v="2.4668035592060233"/>
    <x v="1"/>
    <n v="1"/>
    <n v="0"/>
    <n v="0"/>
    <n v="0"/>
    <m/>
    <x v="1"/>
  </r>
  <r>
    <n v="5067893"/>
    <x v="1"/>
    <s v="Y"/>
    <s v="Y"/>
    <n v="0"/>
    <x v="19"/>
    <x v="2"/>
    <x v="1"/>
    <x v="1"/>
    <x v="1"/>
    <d v="1978-05-27T00:00:00"/>
    <n v="-17011"/>
    <x v="1484"/>
    <x v="1"/>
    <n v="-901"/>
    <n v="2.4668035592060233"/>
    <x v="1"/>
    <n v="1"/>
    <n v="0"/>
    <n v="0"/>
    <n v="0"/>
    <m/>
    <x v="1"/>
  </r>
  <r>
    <n v="5067933"/>
    <x v="0"/>
    <s v="Y"/>
    <s v="N"/>
    <n v="0"/>
    <x v="23"/>
    <x v="1"/>
    <x v="0"/>
    <x v="1"/>
    <x v="0"/>
    <d v="1978-11-24T00:00:00"/>
    <n v="-16830"/>
    <x v="1485"/>
    <x v="1"/>
    <n v="-3458"/>
    <n v="9.4674880219028061"/>
    <x v="1"/>
    <n v="1"/>
    <n v="0"/>
    <n v="0"/>
    <n v="0"/>
    <m/>
    <x v="1"/>
  </r>
  <r>
    <n v="5067940"/>
    <x v="0"/>
    <s v="Y"/>
    <s v="N"/>
    <n v="0"/>
    <x v="23"/>
    <x v="1"/>
    <x v="0"/>
    <x v="1"/>
    <x v="0"/>
    <d v="1978-11-24T00:00:00"/>
    <n v="-16830"/>
    <x v="1485"/>
    <x v="1"/>
    <n v="-3458"/>
    <n v="9.4674880219028061"/>
    <x v="1"/>
    <n v="1"/>
    <n v="0"/>
    <n v="0"/>
    <n v="0"/>
    <m/>
    <x v="1"/>
  </r>
  <r>
    <n v="5067943"/>
    <x v="0"/>
    <s v="Y"/>
    <s v="N"/>
    <n v="0"/>
    <x v="23"/>
    <x v="1"/>
    <x v="0"/>
    <x v="1"/>
    <x v="0"/>
    <d v="1978-11-24T00:00:00"/>
    <n v="-16830"/>
    <x v="1485"/>
    <x v="1"/>
    <n v="-3458"/>
    <n v="9.4674880219028061"/>
    <x v="1"/>
    <n v="1"/>
    <n v="0"/>
    <n v="0"/>
    <n v="0"/>
    <m/>
    <x v="1"/>
  </r>
  <r>
    <n v="5067945"/>
    <x v="0"/>
    <s v="Y"/>
    <s v="N"/>
    <n v="0"/>
    <x v="23"/>
    <x v="1"/>
    <x v="0"/>
    <x v="1"/>
    <x v="0"/>
    <d v="1978-11-24T00:00:00"/>
    <n v="-16830"/>
    <x v="1485"/>
    <x v="1"/>
    <n v="-3458"/>
    <n v="9.4674880219028061"/>
    <x v="1"/>
    <n v="1"/>
    <n v="0"/>
    <n v="0"/>
    <n v="0"/>
    <m/>
    <x v="1"/>
  </r>
  <r>
    <n v="5067947"/>
    <x v="0"/>
    <s v="Y"/>
    <s v="N"/>
    <n v="0"/>
    <x v="23"/>
    <x v="1"/>
    <x v="0"/>
    <x v="1"/>
    <x v="0"/>
    <d v="1978-11-24T00:00:00"/>
    <n v="-16830"/>
    <x v="1485"/>
    <x v="1"/>
    <n v="-3458"/>
    <n v="9.4674880219028061"/>
    <x v="1"/>
    <n v="1"/>
    <n v="0"/>
    <n v="0"/>
    <n v="0"/>
    <m/>
    <x v="1"/>
  </r>
  <r>
    <n v="5067961"/>
    <x v="1"/>
    <s v="Y"/>
    <s v="Y"/>
    <n v="0"/>
    <x v="14"/>
    <x v="2"/>
    <x v="0"/>
    <x v="1"/>
    <x v="0"/>
    <d v="1964-06-09T00:00:00"/>
    <n v="-22111"/>
    <x v="1486"/>
    <x v="0"/>
    <n v="-3854"/>
    <n v="10.551676933607119"/>
    <x v="1"/>
    <n v="1"/>
    <n v="0"/>
    <n v="0"/>
    <n v="0"/>
    <s v="Managers"/>
    <x v="1"/>
  </r>
  <r>
    <n v="5067975"/>
    <x v="0"/>
    <s v="N"/>
    <s v="N"/>
    <n v="0"/>
    <x v="68"/>
    <x v="1"/>
    <x v="1"/>
    <x v="1"/>
    <x v="0"/>
    <d v="1981-09-16T00:00:00"/>
    <n v="-15803"/>
    <x v="1487"/>
    <x v="1"/>
    <n v="-9029"/>
    <n v="24.720054757015742"/>
    <x v="1"/>
    <n v="1"/>
    <n v="0"/>
    <n v="1"/>
    <n v="0"/>
    <s v="High skill tech staff"/>
    <x v="1"/>
  </r>
  <r>
    <n v="5068012"/>
    <x v="1"/>
    <s v="N"/>
    <s v="Y"/>
    <n v="0"/>
    <x v="1"/>
    <x v="1"/>
    <x v="1"/>
    <x v="1"/>
    <x v="0"/>
    <d v="1961-10-01T00:00:00"/>
    <n v="-23093"/>
    <x v="1488"/>
    <x v="0"/>
    <n v="-659"/>
    <n v="1.8042436687200547"/>
    <x v="1"/>
    <n v="1"/>
    <n v="1"/>
    <n v="0"/>
    <n v="0"/>
    <s v="Security staff"/>
    <x v="1"/>
  </r>
  <r>
    <n v="5068028"/>
    <x v="0"/>
    <s v="N"/>
    <s v="N"/>
    <n v="0"/>
    <x v="1"/>
    <x v="1"/>
    <x v="1"/>
    <x v="1"/>
    <x v="0"/>
    <d v="1976-10-01T00:00:00"/>
    <n v="-17614"/>
    <x v="1489"/>
    <x v="1"/>
    <n v="-4219"/>
    <n v="11.550992470910336"/>
    <x v="1"/>
    <n v="1"/>
    <n v="0"/>
    <n v="0"/>
    <n v="0"/>
    <s v="Sales staff"/>
    <x v="1"/>
  </r>
  <r>
    <n v="5068037"/>
    <x v="0"/>
    <s v="N"/>
    <s v="N"/>
    <n v="0"/>
    <x v="1"/>
    <x v="1"/>
    <x v="1"/>
    <x v="1"/>
    <x v="0"/>
    <d v="1976-10-01T00:00:00"/>
    <n v="-17614"/>
    <x v="1489"/>
    <x v="1"/>
    <n v="-4219"/>
    <n v="11.550992470910336"/>
    <x v="1"/>
    <n v="1"/>
    <n v="0"/>
    <n v="0"/>
    <n v="0"/>
    <s v="Sales staff"/>
    <x v="1"/>
  </r>
  <r>
    <n v="5068041"/>
    <x v="0"/>
    <s v="Y"/>
    <s v="Y"/>
    <n v="0"/>
    <x v="39"/>
    <x v="2"/>
    <x v="1"/>
    <x v="1"/>
    <x v="0"/>
    <d v="1980-02-06T00:00:00"/>
    <n v="-16391"/>
    <x v="1490"/>
    <x v="1"/>
    <n v="-1601"/>
    <n v="4.3832991101984939"/>
    <x v="1"/>
    <n v="1"/>
    <n v="0"/>
    <n v="0"/>
    <n v="0"/>
    <s v="Security staff"/>
    <x v="1"/>
  </r>
  <r>
    <n v="5068043"/>
    <x v="0"/>
    <s v="Y"/>
    <s v="Y"/>
    <n v="0"/>
    <x v="39"/>
    <x v="2"/>
    <x v="1"/>
    <x v="1"/>
    <x v="0"/>
    <d v="1980-02-06T00:00:00"/>
    <n v="-16391"/>
    <x v="1490"/>
    <x v="1"/>
    <n v="-1601"/>
    <n v="4.3832991101984939"/>
    <x v="1"/>
    <n v="1"/>
    <n v="0"/>
    <n v="0"/>
    <n v="0"/>
    <s v="Security staff"/>
    <x v="1"/>
  </r>
  <r>
    <n v="5068045"/>
    <x v="0"/>
    <s v="Y"/>
    <s v="Y"/>
    <n v="0"/>
    <x v="39"/>
    <x v="2"/>
    <x v="1"/>
    <x v="1"/>
    <x v="0"/>
    <d v="1980-02-06T00:00:00"/>
    <n v="-16391"/>
    <x v="1490"/>
    <x v="1"/>
    <n v="-1601"/>
    <n v="4.3832991101984939"/>
    <x v="1"/>
    <n v="1"/>
    <n v="0"/>
    <n v="0"/>
    <n v="0"/>
    <s v="Security staff"/>
    <x v="1"/>
  </r>
  <r>
    <n v="5068057"/>
    <x v="1"/>
    <s v="Y"/>
    <s v="Y"/>
    <n v="1"/>
    <x v="117"/>
    <x v="2"/>
    <x v="0"/>
    <x v="1"/>
    <x v="0"/>
    <d v="1983-09-04T00:00:00"/>
    <n v="-15085"/>
    <x v="1323"/>
    <x v="1"/>
    <n v="-354"/>
    <n v="0.9691991786447639"/>
    <x v="1"/>
    <n v="1"/>
    <n v="0"/>
    <n v="0"/>
    <n v="0"/>
    <s v="Managers"/>
    <x v="3"/>
  </r>
  <r>
    <n v="5068060"/>
    <x v="1"/>
    <s v="Y"/>
    <s v="Y"/>
    <n v="1"/>
    <x v="117"/>
    <x v="2"/>
    <x v="0"/>
    <x v="1"/>
    <x v="0"/>
    <d v="1983-09-04T00:00:00"/>
    <n v="-15085"/>
    <x v="1323"/>
    <x v="1"/>
    <n v="-354"/>
    <n v="0.9691991786447639"/>
    <x v="1"/>
    <n v="1"/>
    <n v="0"/>
    <n v="0"/>
    <n v="0"/>
    <s v="Managers"/>
    <x v="3"/>
  </r>
  <r>
    <n v="5068061"/>
    <x v="1"/>
    <s v="Y"/>
    <s v="Y"/>
    <n v="1"/>
    <x v="117"/>
    <x v="2"/>
    <x v="0"/>
    <x v="1"/>
    <x v="0"/>
    <d v="1983-09-04T00:00:00"/>
    <n v="-15085"/>
    <x v="1323"/>
    <x v="1"/>
    <n v="-354"/>
    <n v="0.9691991786447639"/>
    <x v="1"/>
    <n v="1"/>
    <n v="0"/>
    <n v="0"/>
    <n v="0"/>
    <s v="Managers"/>
    <x v="3"/>
  </r>
  <r>
    <n v="5068098"/>
    <x v="0"/>
    <s v="Y"/>
    <s v="Y"/>
    <n v="1"/>
    <x v="60"/>
    <x v="1"/>
    <x v="1"/>
    <x v="1"/>
    <x v="0"/>
    <d v="1995-03-25T00:00:00"/>
    <n v="-10865"/>
    <x v="1491"/>
    <x v="4"/>
    <n v="-1481"/>
    <n v="4.0547570157426422"/>
    <x v="1"/>
    <n v="1"/>
    <n v="0"/>
    <n v="0"/>
    <n v="0"/>
    <s v="Sales staff"/>
    <x v="3"/>
  </r>
  <r>
    <n v="5068103"/>
    <x v="0"/>
    <s v="Y"/>
    <s v="Y"/>
    <n v="1"/>
    <x v="60"/>
    <x v="1"/>
    <x v="1"/>
    <x v="1"/>
    <x v="0"/>
    <d v="1995-03-25T00:00:00"/>
    <n v="-10865"/>
    <x v="1491"/>
    <x v="4"/>
    <n v="-1481"/>
    <n v="4.0547570157426422"/>
    <x v="1"/>
    <n v="1"/>
    <n v="0"/>
    <n v="0"/>
    <n v="0"/>
    <s v="Sales staff"/>
    <x v="3"/>
  </r>
  <r>
    <n v="5068105"/>
    <x v="0"/>
    <s v="Y"/>
    <s v="Y"/>
    <n v="1"/>
    <x v="60"/>
    <x v="1"/>
    <x v="1"/>
    <x v="1"/>
    <x v="0"/>
    <d v="1995-03-25T00:00:00"/>
    <n v="-10865"/>
    <x v="1491"/>
    <x v="4"/>
    <n v="-1481"/>
    <n v="4.0547570157426422"/>
    <x v="1"/>
    <n v="1"/>
    <n v="0"/>
    <n v="0"/>
    <n v="0"/>
    <s v="Sales staff"/>
    <x v="3"/>
  </r>
  <r>
    <n v="5068110"/>
    <x v="0"/>
    <s v="N"/>
    <s v="Y"/>
    <n v="0"/>
    <x v="42"/>
    <x v="3"/>
    <x v="0"/>
    <x v="2"/>
    <x v="0"/>
    <d v="1969-10-30T00:00:00"/>
    <n v="-20142"/>
    <x v="1492"/>
    <x v="2"/>
    <n v="-3093"/>
    <n v="8.4681724845995898"/>
    <x v="1"/>
    <n v="1"/>
    <n v="0"/>
    <n v="1"/>
    <n v="1"/>
    <s v="Core staff"/>
    <x v="0"/>
  </r>
  <r>
    <n v="5068141"/>
    <x v="0"/>
    <s v="N"/>
    <s v="Y"/>
    <n v="0"/>
    <x v="5"/>
    <x v="0"/>
    <x v="1"/>
    <x v="2"/>
    <x v="0"/>
    <d v="1969-01-04T00:00:00"/>
    <n v="-20441"/>
    <x v="1493"/>
    <x v="2"/>
    <n v="365243"/>
    <n v="0"/>
    <x v="0"/>
    <n v="1"/>
    <n v="0"/>
    <n v="0"/>
    <n v="0"/>
    <m/>
    <x v="0"/>
  </r>
  <r>
    <n v="5068144"/>
    <x v="0"/>
    <s v="N"/>
    <s v="Y"/>
    <n v="0"/>
    <x v="5"/>
    <x v="0"/>
    <x v="1"/>
    <x v="2"/>
    <x v="0"/>
    <d v="1969-01-04T00:00:00"/>
    <n v="-20441"/>
    <x v="1493"/>
    <x v="2"/>
    <n v="365243"/>
    <n v="0"/>
    <x v="0"/>
    <n v="1"/>
    <n v="0"/>
    <n v="0"/>
    <n v="0"/>
    <m/>
    <x v="0"/>
  </r>
  <r>
    <n v="5068153"/>
    <x v="1"/>
    <s v="Y"/>
    <s v="Y"/>
    <n v="0"/>
    <x v="16"/>
    <x v="2"/>
    <x v="1"/>
    <x v="1"/>
    <x v="0"/>
    <d v="1971-05-30T00:00:00"/>
    <n v="-19565"/>
    <x v="1494"/>
    <x v="2"/>
    <n v="-3246"/>
    <n v="8.8870636550308006"/>
    <x v="1"/>
    <n v="1"/>
    <n v="0"/>
    <n v="0"/>
    <n v="0"/>
    <m/>
    <x v="1"/>
  </r>
  <r>
    <n v="5068162"/>
    <x v="1"/>
    <s v="Y"/>
    <s v="N"/>
    <n v="0"/>
    <x v="39"/>
    <x v="2"/>
    <x v="0"/>
    <x v="1"/>
    <x v="4"/>
    <d v="1978-03-24T00:00:00"/>
    <n v="-17075"/>
    <x v="1495"/>
    <x v="1"/>
    <n v="-1815"/>
    <n v="4.9691991786447636"/>
    <x v="1"/>
    <n v="1"/>
    <n v="0"/>
    <n v="0"/>
    <n v="1"/>
    <s v="Security staff"/>
    <x v="1"/>
  </r>
  <r>
    <n v="5068171"/>
    <x v="1"/>
    <s v="Y"/>
    <s v="Y"/>
    <n v="1"/>
    <x v="48"/>
    <x v="2"/>
    <x v="0"/>
    <x v="1"/>
    <x v="0"/>
    <d v="1994-10-18T00:00:00"/>
    <n v="-11023"/>
    <x v="1496"/>
    <x v="3"/>
    <n v="-3093"/>
    <n v="8.4681724845995898"/>
    <x v="1"/>
    <n v="1"/>
    <n v="0"/>
    <n v="0"/>
    <n v="1"/>
    <s v="IT staff"/>
    <x v="3"/>
  </r>
  <r>
    <n v="5068176"/>
    <x v="0"/>
    <s v="Y"/>
    <s v="Y"/>
    <n v="2"/>
    <x v="2"/>
    <x v="2"/>
    <x v="1"/>
    <x v="1"/>
    <x v="0"/>
    <d v="1988-07-29T00:00:00"/>
    <n v="-13295"/>
    <x v="1497"/>
    <x v="3"/>
    <n v="-2454"/>
    <n v="6.7186858316221763"/>
    <x v="1"/>
    <n v="1"/>
    <n v="0"/>
    <n v="0"/>
    <n v="1"/>
    <s v="Sales staff"/>
    <x v="2"/>
  </r>
  <r>
    <n v="5068183"/>
    <x v="1"/>
    <s v="Y"/>
    <s v="Y"/>
    <n v="3"/>
    <x v="10"/>
    <x v="3"/>
    <x v="1"/>
    <x v="1"/>
    <x v="0"/>
    <d v="1989-06-29T00:00:00"/>
    <n v="-12960"/>
    <x v="1498"/>
    <x v="3"/>
    <n v="-2027"/>
    <n v="5.5496235455167691"/>
    <x v="1"/>
    <n v="1"/>
    <n v="0"/>
    <n v="1"/>
    <n v="0"/>
    <s v="Drivers"/>
    <x v="4"/>
  </r>
  <r>
    <n v="5068184"/>
    <x v="1"/>
    <s v="Y"/>
    <s v="Y"/>
    <n v="3"/>
    <x v="10"/>
    <x v="3"/>
    <x v="1"/>
    <x v="1"/>
    <x v="0"/>
    <d v="1989-06-29T00:00:00"/>
    <n v="-12960"/>
    <x v="1498"/>
    <x v="3"/>
    <n v="-2027"/>
    <n v="5.5496235455167691"/>
    <x v="1"/>
    <n v="1"/>
    <n v="0"/>
    <n v="1"/>
    <n v="0"/>
    <s v="Drivers"/>
    <x v="4"/>
  </r>
  <r>
    <n v="5068195"/>
    <x v="1"/>
    <s v="Y"/>
    <s v="N"/>
    <n v="0"/>
    <x v="18"/>
    <x v="2"/>
    <x v="1"/>
    <x v="1"/>
    <x v="0"/>
    <d v="1975-12-19T00:00:00"/>
    <n v="-17901"/>
    <x v="1499"/>
    <x v="1"/>
    <n v="-3611"/>
    <n v="9.886379192334017"/>
    <x v="1"/>
    <n v="1"/>
    <n v="0"/>
    <n v="0"/>
    <n v="0"/>
    <s v="Laborers"/>
    <x v="1"/>
  </r>
  <r>
    <n v="5068200"/>
    <x v="1"/>
    <s v="Y"/>
    <s v="Y"/>
    <n v="0"/>
    <x v="16"/>
    <x v="2"/>
    <x v="1"/>
    <x v="1"/>
    <x v="0"/>
    <d v="1980-05-27T00:00:00"/>
    <n v="-16280"/>
    <x v="981"/>
    <x v="1"/>
    <n v="-3062"/>
    <n v="8.3832991101984948"/>
    <x v="1"/>
    <n v="1"/>
    <n v="0"/>
    <n v="1"/>
    <n v="1"/>
    <s v="Managers"/>
    <x v="1"/>
  </r>
  <r>
    <n v="5068201"/>
    <x v="1"/>
    <s v="Y"/>
    <s v="Y"/>
    <n v="0"/>
    <x v="16"/>
    <x v="2"/>
    <x v="1"/>
    <x v="1"/>
    <x v="0"/>
    <d v="1980-05-27T00:00:00"/>
    <n v="-16280"/>
    <x v="981"/>
    <x v="1"/>
    <n v="-3062"/>
    <n v="8.3832991101984948"/>
    <x v="1"/>
    <n v="1"/>
    <n v="0"/>
    <n v="1"/>
    <n v="1"/>
    <s v="Managers"/>
    <x v="1"/>
  </r>
  <r>
    <n v="5068214"/>
    <x v="0"/>
    <s v="N"/>
    <s v="N"/>
    <n v="0"/>
    <x v="6"/>
    <x v="2"/>
    <x v="1"/>
    <x v="1"/>
    <x v="0"/>
    <d v="1963-04-12T00:00:00"/>
    <n v="-22535"/>
    <x v="1500"/>
    <x v="0"/>
    <n v="-5467"/>
    <n v="14.967830253251197"/>
    <x v="1"/>
    <n v="1"/>
    <n v="0"/>
    <n v="1"/>
    <n v="0"/>
    <m/>
    <x v="1"/>
  </r>
  <r>
    <n v="5068236"/>
    <x v="1"/>
    <s v="Y"/>
    <s v="N"/>
    <n v="0"/>
    <x v="8"/>
    <x v="3"/>
    <x v="0"/>
    <x v="3"/>
    <x v="0"/>
    <d v="1981-01-30T00:00:00"/>
    <n v="-16032"/>
    <x v="1501"/>
    <x v="1"/>
    <n v="-5406"/>
    <n v="14.80082135523614"/>
    <x v="1"/>
    <n v="1"/>
    <n v="0"/>
    <n v="0"/>
    <n v="1"/>
    <s v="Drivers"/>
    <x v="1"/>
  </r>
  <r>
    <n v="5068240"/>
    <x v="0"/>
    <s v="N"/>
    <s v="Y"/>
    <n v="0"/>
    <x v="39"/>
    <x v="2"/>
    <x v="1"/>
    <x v="1"/>
    <x v="0"/>
    <d v="1994-02-15T00:00:00"/>
    <n v="-11268"/>
    <x v="1502"/>
    <x v="3"/>
    <n v="-2545"/>
    <n v="6.967830253251198"/>
    <x v="1"/>
    <n v="1"/>
    <n v="1"/>
    <n v="1"/>
    <n v="0"/>
    <s v="Laborers"/>
    <x v="1"/>
  </r>
  <r>
    <n v="5068255"/>
    <x v="1"/>
    <s v="N"/>
    <s v="Y"/>
    <n v="2"/>
    <x v="30"/>
    <x v="1"/>
    <x v="1"/>
    <x v="1"/>
    <x v="0"/>
    <d v="1972-11-19T00:00:00"/>
    <n v="-19026"/>
    <x v="1503"/>
    <x v="2"/>
    <n v="-2881"/>
    <n v="7.8877481177275834"/>
    <x v="1"/>
    <n v="1"/>
    <n v="0"/>
    <n v="0"/>
    <n v="0"/>
    <s v="Sales staff"/>
    <x v="2"/>
  </r>
  <r>
    <n v="5068266"/>
    <x v="0"/>
    <s v="N"/>
    <s v="N"/>
    <n v="2"/>
    <x v="5"/>
    <x v="3"/>
    <x v="0"/>
    <x v="1"/>
    <x v="0"/>
    <d v="1990-05-19T00:00:00"/>
    <n v="-12636"/>
    <x v="70"/>
    <x v="3"/>
    <n v="-5345"/>
    <n v="14.633812457221081"/>
    <x v="1"/>
    <n v="1"/>
    <n v="0"/>
    <n v="0"/>
    <n v="0"/>
    <s v="Medicine staff"/>
    <x v="2"/>
  </r>
  <r>
    <n v="5068272"/>
    <x v="0"/>
    <s v="Y"/>
    <s v="Y"/>
    <n v="0"/>
    <x v="42"/>
    <x v="1"/>
    <x v="1"/>
    <x v="2"/>
    <x v="0"/>
    <d v="1981-01-09T00:00:00"/>
    <n v="-16053"/>
    <x v="827"/>
    <x v="1"/>
    <n v="-1905"/>
    <n v="5.2156057494866532"/>
    <x v="1"/>
    <n v="1"/>
    <n v="0"/>
    <n v="0"/>
    <n v="0"/>
    <s v="Core staff"/>
    <x v="0"/>
  </r>
  <r>
    <n v="5068284"/>
    <x v="0"/>
    <s v="Y"/>
    <s v="Y"/>
    <n v="0"/>
    <x v="42"/>
    <x v="1"/>
    <x v="1"/>
    <x v="2"/>
    <x v="0"/>
    <d v="1981-01-09T00:00:00"/>
    <n v="-16053"/>
    <x v="827"/>
    <x v="1"/>
    <n v="-1905"/>
    <n v="5.2156057494866532"/>
    <x v="1"/>
    <n v="1"/>
    <n v="0"/>
    <n v="0"/>
    <n v="0"/>
    <s v="Core staff"/>
    <x v="0"/>
  </r>
  <r>
    <n v="5068293"/>
    <x v="1"/>
    <s v="Y"/>
    <s v="Y"/>
    <n v="0"/>
    <x v="19"/>
    <x v="2"/>
    <x v="1"/>
    <x v="1"/>
    <x v="0"/>
    <d v="1982-12-12T00:00:00"/>
    <n v="-15351"/>
    <x v="789"/>
    <x v="1"/>
    <n v="-566"/>
    <n v="1.5496235455167693"/>
    <x v="1"/>
    <n v="1"/>
    <n v="0"/>
    <n v="0"/>
    <n v="0"/>
    <s v="Drivers"/>
    <x v="1"/>
  </r>
  <r>
    <n v="5068296"/>
    <x v="1"/>
    <s v="Y"/>
    <s v="Y"/>
    <n v="0"/>
    <x v="19"/>
    <x v="2"/>
    <x v="1"/>
    <x v="1"/>
    <x v="0"/>
    <d v="1982-12-12T00:00:00"/>
    <n v="-15351"/>
    <x v="789"/>
    <x v="1"/>
    <n v="-566"/>
    <n v="1.5496235455167693"/>
    <x v="1"/>
    <n v="1"/>
    <n v="0"/>
    <n v="0"/>
    <n v="0"/>
    <s v="Drivers"/>
    <x v="1"/>
  </r>
  <r>
    <n v="5068305"/>
    <x v="1"/>
    <s v="N"/>
    <s v="Y"/>
    <n v="0"/>
    <x v="1"/>
    <x v="2"/>
    <x v="1"/>
    <x v="2"/>
    <x v="0"/>
    <d v="1988-04-20T00:00:00"/>
    <n v="-13395"/>
    <x v="1504"/>
    <x v="3"/>
    <n v="-413"/>
    <n v="1.1307323750855578"/>
    <x v="1"/>
    <n v="1"/>
    <n v="0"/>
    <n v="0"/>
    <n v="0"/>
    <m/>
    <x v="0"/>
  </r>
  <r>
    <n v="5068331"/>
    <x v="0"/>
    <s v="N"/>
    <s v="Y"/>
    <n v="1"/>
    <x v="1"/>
    <x v="2"/>
    <x v="1"/>
    <x v="3"/>
    <x v="0"/>
    <d v="1980-04-14T00:00:00"/>
    <n v="-16323"/>
    <x v="1505"/>
    <x v="1"/>
    <n v="-5467"/>
    <n v="14.967830253251197"/>
    <x v="1"/>
    <n v="1"/>
    <n v="0"/>
    <n v="0"/>
    <n v="0"/>
    <s v="Medicine staff"/>
    <x v="3"/>
  </r>
  <r>
    <n v="5068374"/>
    <x v="1"/>
    <s v="Y"/>
    <s v="Y"/>
    <n v="0"/>
    <x v="16"/>
    <x v="2"/>
    <x v="1"/>
    <x v="1"/>
    <x v="0"/>
    <d v="1971-10-04T00:00:00"/>
    <n v="-19438"/>
    <x v="1506"/>
    <x v="2"/>
    <n v="-5314"/>
    <n v="14.548939082819986"/>
    <x v="1"/>
    <n v="1"/>
    <n v="0"/>
    <n v="0"/>
    <n v="0"/>
    <s v="Drivers"/>
    <x v="1"/>
  </r>
  <r>
    <n v="5068380"/>
    <x v="0"/>
    <s v="N"/>
    <s v="Y"/>
    <n v="1"/>
    <x v="3"/>
    <x v="2"/>
    <x v="0"/>
    <x v="1"/>
    <x v="0"/>
    <d v="1990-04-23T00:00:00"/>
    <n v="-12662"/>
    <x v="1020"/>
    <x v="3"/>
    <n v="-1359"/>
    <n v="3.7207392197125255"/>
    <x v="1"/>
    <n v="1"/>
    <n v="1"/>
    <n v="1"/>
    <n v="1"/>
    <s v="Sales staff"/>
    <x v="3"/>
  </r>
  <r>
    <n v="5068382"/>
    <x v="0"/>
    <s v="N"/>
    <s v="Y"/>
    <n v="1"/>
    <x v="3"/>
    <x v="2"/>
    <x v="0"/>
    <x v="1"/>
    <x v="0"/>
    <d v="1990-04-23T00:00:00"/>
    <n v="-12662"/>
    <x v="1020"/>
    <x v="3"/>
    <n v="-1359"/>
    <n v="3.7207392197125255"/>
    <x v="1"/>
    <n v="1"/>
    <n v="1"/>
    <n v="1"/>
    <n v="1"/>
    <s v="Sales staff"/>
    <x v="3"/>
  </r>
  <r>
    <n v="5068395"/>
    <x v="0"/>
    <s v="N"/>
    <s v="Y"/>
    <n v="0"/>
    <x v="11"/>
    <x v="0"/>
    <x v="0"/>
    <x v="2"/>
    <x v="0"/>
    <d v="1966-07-16T00:00:00"/>
    <n v="-21344"/>
    <x v="1507"/>
    <x v="2"/>
    <n v="365243"/>
    <n v="0"/>
    <x v="0"/>
    <n v="1"/>
    <n v="0"/>
    <n v="1"/>
    <n v="1"/>
    <m/>
    <x v="0"/>
  </r>
  <r>
    <n v="5068397"/>
    <x v="0"/>
    <s v="N"/>
    <s v="Y"/>
    <n v="0"/>
    <x v="11"/>
    <x v="0"/>
    <x v="0"/>
    <x v="2"/>
    <x v="0"/>
    <d v="1966-07-16T00:00:00"/>
    <n v="-21344"/>
    <x v="1507"/>
    <x v="2"/>
    <n v="365243"/>
    <n v="0"/>
    <x v="0"/>
    <n v="1"/>
    <n v="0"/>
    <n v="1"/>
    <n v="1"/>
    <m/>
    <x v="0"/>
  </r>
  <r>
    <n v="5068398"/>
    <x v="0"/>
    <s v="N"/>
    <s v="Y"/>
    <n v="0"/>
    <x v="11"/>
    <x v="0"/>
    <x v="0"/>
    <x v="2"/>
    <x v="0"/>
    <d v="1966-07-16T00:00:00"/>
    <n v="-21344"/>
    <x v="1507"/>
    <x v="2"/>
    <n v="365243"/>
    <n v="0"/>
    <x v="0"/>
    <n v="1"/>
    <n v="0"/>
    <n v="1"/>
    <n v="1"/>
    <m/>
    <x v="0"/>
  </r>
  <r>
    <n v="5068411"/>
    <x v="0"/>
    <s v="N"/>
    <s v="Y"/>
    <n v="0"/>
    <x v="5"/>
    <x v="2"/>
    <x v="0"/>
    <x v="1"/>
    <x v="0"/>
    <d v="1997-12-08T00:00:00"/>
    <n v="-9876"/>
    <x v="1508"/>
    <x v="4"/>
    <n v="-1571"/>
    <n v="4.301163586584531"/>
    <x v="1"/>
    <n v="1"/>
    <n v="0"/>
    <n v="0"/>
    <n v="0"/>
    <s v="Core staff"/>
    <x v="1"/>
  </r>
  <r>
    <n v="5068419"/>
    <x v="0"/>
    <s v="N"/>
    <s v="Y"/>
    <n v="1"/>
    <x v="5"/>
    <x v="3"/>
    <x v="1"/>
    <x v="1"/>
    <x v="0"/>
    <d v="1991-12-29T00:00:00"/>
    <n v="-12047"/>
    <x v="1509"/>
    <x v="3"/>
    <n v="-4796"/>
    <n v="13.130732375085557"/>
    <x v="1"/>
    <n v="1"/>
    <n v="0"/>
    <n v="0"/>
    <n v="0"/>
    <s v="Medicine staff"/>
    <x v="3"/>
  </r>
  <r>
    <n v="5068427"/>
    <x v="0"/>
    <s v="N"/>
    <s v="Y"/>
    <n v="0"/>
    <x v="14"/>
    <x v="3"/>
    <x v="1"/>
    <x v="1"/>
    <x v="0"/>
    <d v="1972-10-06T00:00:00"/>
    <n v="-19070"/>
    <x v="1510"/>
    <x v="2"/>
    <n v="-10490"/>
    <n v="28.720054757015742"/>
    <x v="1"/>
    <n v="1"/>
    <n v="0"/>
    <n v="0"/>
    <n v="0"/>
    <s v="Accountants"/>
    <x v="1"/>
  </r>
  <r>
    <n v="5068440"/>
    <x v="0"/>
    <s v="N"/>
    <s v="N"/>
    <n v="0"/>
    <x v="5"/>
    <x v="0"/>
    <x v="0"/>
    <x v="1"/>
    <x v="0"/>
    <d v="1967-05-10T00:00:00"/>
    <n v="-21046"/>
    <x v="1511"/>
    <x v="2"/>
    <n v="365243"/>
    <n v="0"/>
    <x v="0"/>
    <n v="1"/>
    <n v="0"/>
    <n v="0"/>
    <n v="1"/>
    <m/>
    <x v="1"/>
  </r>
  <r>
    <n v="5068462"/>
    <x v="0"/>
    <s v="N"/>
    <s v="Y"/>
    <n v="1"/>
    <x v="30"/>
    <x v="1"/>
    <x v="1"/>
    <x v="1"/>
    <x v="0"/>
    <d v="1997-02-12T00:00:00"/>
    <n v="-10175"/>
    <x v="1512"/>
    <x v="4"/>
    <n v="-1966"/>
    <n v="5.3826146475017111"/>
    <x v="1"/>
    <n v="1"/>
    <n v="0"/>
    <n v="1"/>
    <n v="0"/>
    <s v="Private service staff"/>
    <x v="3"/>
  </r>
  <r>
    <n v="5068477"/>
    <x v="1"/>
    <s v="Y"/>
    <s v="N"/>
    <n v="1"/>
    <x v="17"/>
    <x v="3"/>
    <x v="1"/>
    <x v="1"/>
    <x v="0"/>
    <d v="1965-08-29T00:00:00"/>
    <n v="-21665"/>
    <x v="1513"/>
    <x v="2"/>
    <n v="-4342"/>
    <n v="11.887748117727584"/>
    <x v="1"/>
    <n v="1"/>
    <n v="0"/>
    <n v="0"/>
    <n v="0"/>
    <s v="Managers"/>
    <x v="3"/>
  </r>
  <r>
    <n v="5068489"/>
    <x v="1"/>
    <s v="N"/>
    <s v="N"/>
    <n v="1"/>
    <x v="12"/>
    <x v="1"/>
    <x v="0"/>
    <x v="1"/>
    <x v="0"/>
    <d v="1974-10-25T00:00:00"/>
    <n v="-18321"/>
    <x v="1514"/>
    <x v="2"/>
    <n v="-110"/>
    <n v="0.30116358658453113"/>
    <x v="1"/>
    <n v="1"/>
    <n v="0"/>
    <n v="1"/>
    <n v="0"/>
    <m/>
    <x v="3"/>
  </r>
  <r>
    <n v="5068497"/>
    <x v="1"/>
    <s v="N"/>
    <s v="N"/>
    <n v="1"/>
    <x v="12"/>
    <x v="1"/>
    <x v="0"/>
    <x v="1"/>
    <x v="0"/>
    <d v="1974-10-25T00:00:00"/>
    <n v="-18321"/>
    <x v="1514"/>
    <x v="2"/>
    <n v="-110"/>
    <n v="0.30116358658453113"/>
    <x v="1"/>
    <n v="1"/>
    <n v="0"/>
    <n v="1"/>
    <n v="0"/>
    <m/>
    <x v="3"/>
  </r>
  <r>
    <n v="5068498"/>
    <x v="1"/>
    <s v="N"/>
    <s v="N"/>
    <n v="1"/>
    <x v="12"/>
    <x v="1"/>
    <x v="0"/>
    <x v="1"/>
    <x v="0"/>
    <d v="1974-10-25T00:00:00"/>
    <n v="-18321"/>
    <x v="1514"/>
    <x v="2"/>
    <n v="-110"/>
    <n v="0.30116358658453113"/>
    <x v="1"/>
    <n v="1"/>
    <n v="0"/>
    <n v="1"/>
    <n v="0"/>
    <m/>
    <x v="3"/>
  </r>
  <r>
    <n v="5068499"/>
    <x v="1"/>
    <s v="N"/>
    <s v="N"/>
    <n v="1"/>
    <x v="12"/>
    <x v="1"/>
    <x v="0"/>
    <x v="1"/>
    <x v="0"/>
    <d v="1974-10-25T00:00:00"/>
    <n v="-18321"/>
    <x v="1514"/>
    <x v="2"/>
    <n v="-110"/>
    <n v="0.30116358658453113"/>
    <x v="1"/>
    <n v="1"/>
    <n v="0"/>
    <n v="1"/>
    <n v="0"/>
    <m/>
    <x v="3"/>
  </r>
  <r>
    <n v="5068500"/>
    <x v="1"/>
    <s v="N"/>
    <s v="N"/>
    <n v="1"/>
    <x v="12"/>
    <x v="1"/>
    <x v="0"/>
    <x v="1"/>
    <x v="0"/>
    <d v="1974-10-25T00:00:00"/>
    <n v="-18321"/>
    <x v="1514"/>
    <x v="2"/>
    <n v="-110"/>
    <n v="0.30116358658453113"/>
    <x v="1"/>
    <n v="1"/>
    <n v="0"/>
    <n v="1"/>
    <n v="0"/>
    <m/>
    <x v="3"/>
  </r>
  <r>
    <n v="5068511"/>
    <x v="0"/>
    <s v="N"/>
    <s v="Y"/>
    <n v="0"/>
    <x v="1"/>
    <x v="1"/>
    <x v="1"/>
    <x v="1"/>
    <x v="0"/>
    <d v="1981-07-06T00:00:00"/>
    <n v="-15875"/>
    <x v="1515"/>
    <x v="1"/>
    <n v="-2758"/>
    <n v="7.5509924709103355"/>
    <x v="1"/>
    <n v="1"/>
    <n v="1"/>
    <n v="1"/>
    <n v="0"/>
    <s v="Core staff"/>
    <x v="1"/>
  </r>
  <r>
    <n v="5068516"/>
    <x v="0"/>
    <s v="N"/>
    <s v="Y"/>
    <n v="0"/>
    <x v="1"/>
    <x v="1"/>
    <x v="1"/>
    <x v="1"/>
    <x v="0"/>
    <d v="1981-07-06T00:00:00"/>
    <n v="-15875"/>
    <x v="1515"/>
    <x v="1"/>
    <n v="-2758"/>
    <n v="7.5509924709103355"/>
    <x v="1"/>
    <n v="1"/>
    <n v="1"/>
    <n v="1"/>
    <n v="0"/>
    <s v="Core staff"/>
    <x v="1"/>
  </r>
  <r>
    <n v="5068524"/>
    <x v="0"/>
    <s v="N"/>
    <s v="Y"/>
    <n v="0"/>
    <x v="1"/>
    <x v="2"/>
    <x v="1"/>
    <x v="2"/>
    <x v="0"/>
    <d v="1991-02-19T00:00:00"/>
    <n v="-12360"/>
    <x v="1516"/>
    <x v="3"/>
    <n v="-385"/>
    <n v="1.054072553045859"/>
    <x v="1"/>
    <n v="1"/>
    <n v="0"/>
    <n v="0"/>
    <n v="1"/>
    <s v="Laborers"/>
    <x v="0"/>
  </r>
  <r>
    <n v="5068526"/>
    <x v="0"/>
    <s v="N"/>
    <s v="Y"/>
    <n v="0"/>
    <x v="1"/>
    <x v="2"/>
    <x v="1"/>
    <x v="2"/>
    <x v="0"/>
    <d v="1991-02-19T00:00:00"/>
    <n v="-12360"/>
    <x v="1516"/>
    <x v="3"/>
    <n v="-385"/>
    <n v="1.054072553045859"/>
    <x v="1"/>
    <n v="1"/>
    <n v="0"/>
    <n v="0"/>
    <n v="1"/>
    <s v="Laborers"/>
    <x v="0"/>
  </r>
  <r>
    <n v="5068527"/>
    <x v="0"/>
    <s v="N"/>
    <s v="Y"/>
    <n v="0"/>
    <x v="1"/>
    <x v="2"/>
    <x v="0"/>
    <x v="1"/>
    <x v="0"/>
    <d v="2002-03-14T00:00:00"/>
    <n v="-8319"/>
    <x v="1517"/>
    <x v="4"/>
    <n v="-689"/>
    <n v="1.8863791923340179"/>
    <x v="1"/>
    <n v="1"/>
    <n v="1"/>
    <n v="0"/>
    <n v="0"/>
    <m/>
    <x v="1"/>
  </r>
  <r>
    <n v="5068532"/>
    <x v="0"/>
    <s v="N"/>
    <s v="Y"/>
    <n v="0"/>
    <x v="1"/>
    <x v="2"/>
    <x v="0"/>
    <x v="1"/>
    <x v="0"/>
    <d v="2002-03-14T00:00:00"/>
    <n v="-8319"/>
    <x v="1517"/>
    <x v="4"/>
    <n v="-689"/>
    <n v="1.8863791923340179"/>
    <x v="1"/>
    <n v="1"/>
    <n v="1"/>
    <n v="0"/>
    <n v="0"/>
    <m/>
    <x v="1"/>
  </r>
  <r>
    <n v="5068536"/>
    <x v="0"/>
    <s v="Y"/>
    <s v="Y"/>
    <n v="0"/>
    <x v="21"/>
    <x v="2"/>
    <x v="1"/>
    <x v="2"/>
    <x v="0"/>
    <d v="1970-10-03T00:00:00"/>
    <n v="-19804"/>
    <x v="1518"/>
    <x v="2"/>
    <n v="-3246"/>
    <n v="8.8870636550308006"/>
    <x v="1"/>
    <n v="1"/>
    <n v="0"/>
    <n v="0"/>
    <n v="0"/>
    <s v="Sales staff"/>
    <x v="0"/>
  </r>
  <r>
    <n v="5068559"/>
    <x v="1"/>
    <s v="Y"/>
    <s v="N"/>
    <n v="0"/>
    <x v="1"/>
    <x v="2"/>
    <x v="1"/>
    <x v="1"/>
    <x v="0"/>
    <d v="1971-04-11T00:00:00"/>
    <n v="-19614"/>
    <x v="1519"/>
    <x v="2"/>
    <n v="-385"/>
    <n v="1.054072553045859"/>
    <x v="1"/>
    <n v="1"/>
    <n v="0"/>
    <n v="0"/>
    <n v="0"/>
    <s v="Laborers"/>
    <x v="1"/>
  </r>
  <r>
    <n v="5068563"/>
    <x v="0"/>
    <s v="N"/>
    <s v="Y"/>
    <n v="0"/>
    <x v="7"/>
    <x v="2"/>
    <x v="1"/>
    <x v="1"/>
    <x v="0"/>
    <d v="1974-02-17T00:00:00"/>
    <n v="-18571"/>
    <x v="1520"/>
    <x v="2"/>
    <n v="-2970"/>
    <n v="8.131416837782341"/>
    <x v="1"/>
    <n v="1"/>
    <n v="0"/>
    <n v="0"/>
    <n v="0"/>
    <s v="Medicine staff"/>
    <x v="1"/>
  </r>
  <r>
    <n v="5068577"/>
    <x v="0"/>
    <s v="N"/>
    <s v="Y"/>
    <n v="3"/>
    <x v="124"/>
    <x v="2"/>
    <x v="1"/>
    <x v="1"/>
    <x v="0"/>
    <d v="1991-02-07T00:00:00"/>
    <n v="-12372"/>
    <x v="1521"/>
    <x v="3"/>
    <n v="-3246"/>
    <n v="8.8870636550308006"/>
    <x v="1"/>
    <n v="1"/>
    <n v="0"/>
    <n v="0"/>
    <n v="0"/>
    <s v="Core staff"/>
    <x v="4"/>
  </r>
  <r>
    <n v="5068582"/>
    <x v="0"/>
    <s v="N"/>
    <s v="Y"/>
    <n v="3"/>
    <x v="124"/>
    <x v="2"/>
    <x v="1"/>
    <x v="1"/>
    <x v="0"/>
    <d v="1991-02-07T00:00:00"/>
    <n v="-12372"/>
    <x v="1521"/>
    <x v="3"/>
    <n v="-3246"/>
    <n v="8.8870636550308006"/>
    <x v="1"/>
    <n v="1"/>
    <n v="0"/>
    <n v="0"/>
    <n v="0"/>
    <s v="Core staff"/>
    <x v="4"/>
  </r>
  <r>
    <n v="5068583"/>
    <x v="0"/>
    <s v="N"/>
    <s v="Y"/>
    <n v="1"/>
    <x v="43"/>
    <x v="2"/>
    <x v="1"/>
    <x v="1"/>
    <x v="0"/>
    <d v="1980-02-22T00:00:00"/>
    <n v="-16375"/>
    <x v="1522"/>
    <x v="1"/>
    <n v="-962"/>
    <n v="2.6338124572210813"/>
    <x v="1"/>
    <n v="1"/>
    <n v="0"/>
    <n v="1"/>
    <n v="0"/>
    <s v="Sales staff"/>
    <x v="3"/>
  </r>
  <r>
    <n v="5068586"/>
    <x v="0"/>
    <s v="N"/>
    <s v="Y"/>
    <n v="1"/>
    <x v="43"/>
    <x v="2"/>
    <x v="1"/>
    <x v="1"/>
    <x v="0"/>
    <d v="1980-02-22T00:00:00"/>
    <n v="-16375"/>
    <x v="1522"/>
    <x v="1"/>
    <n v="-962"/>
    <n v="2.6338124572210813"/>
    <x v="1"/>
    <n v="1"/>
    <n v="0"/>
    <n v="1"/>
    <n v="0"/>
    <s v="Sales staff"/>
    <x v="3"/>
  </r>
  <r>
    <n v="5068603"/>
    <x v="0"/>
    <s v="N"/>
    <s v="Y"/>
    <n v="1"/>
    <x v="8"/>
    <x v="2"/>
    <x v="1"/>
    <x v="1"/>
    <x v="0"/>
    <d v="1983-03-17T00:00:00"/>
    <n v="-15256"/>
    <x v="913"/>
    <x v="1"/>
    <n v="-8664"/>
    <n v="23.720739219712527"/>
    <x v="1"/>
    <n v="1"/>
    <n v="0"/>
    <n v="0"/>
    <n v="0"/>
    <s v="Managers"/>
    <x v="3"/>
  </r>
  <r>
    <n v="5068619"/>
    <x v="0"/>
    <s v="Y"/>
    <s v="Y"/>
    <n v="0"/>
    <x v="5"/>
    <x v="0"/>
    <x v="1"/>
    <x v="1"/>
    <x v="0"/>
    <d v="1962-10-06T00:00:00"/>
    <n v="-22723"/>
    <x v="1523"/>
    <x v="0"/>
    <n v="365243"/>
    <n v="0"/>
    <x v="0"/>
    <n v="1"/>
    <n v="0"/>
    <n v="0"/>
    <n v="0"/>
    <m/>
    <x v="1"/>
  </r>
  <r>
    <n v="5068647"/>
    <x v="1"/>
    <s v="N"/>
    <s v="Y"/>
    <n v="0"/>
    <x v="1"/>
    <x v="2"/>
    <x v="1"/>
    <x v="2"/>
    <x v="2"/>
    <d v="1993-12-01T00:00:00"/>
    <n v="-11344"/>
    <x v="482"/>
    <x v="3"/>
    <n v="-1054"/>
    <n v="2.8856947296372346"/>
    <x v="1"/>
    <n v="1"/>
    <n v="0"/>
    <n v="0"/>
    <n v="0"/>
    <s v="Drivers"/>
    <x v="0"/>
  </r>
  <r>
    <n v="5068665"/>
    <x v="0"/>
    <s v="Y"/>
    <s v="Y"/>
    <n v="0"/>
    <x v="14"/>
    <x v="3"/>
    <x v="0"/>
    <x v="0"/>
    <x v="0"/>
    <d v="1972-02-14T00:00:00"/>
    <n v="-19305"/>
    <x v="1524"/>
    <x v="2"/>
    <n v="-1905"/>
    <n v="5.2156057494866532"/>
    <x v="1"/>
    <n v="1"/>
    <n v="0"/>
    <n v="0"/>
    <n v="0"/>
    <s v="Core staff"/>
    <x v="0"/>
  </r>
  <r>
    <n v="5068667"/>
    <x v="0"/>
    <s v="Y"/>
    <s v="Y"/>
    <n v="0"/>
    <x v="14"/>
    <x v="3"/>
    <x v="0"/>
    <x v="0"/>
    <x v="0"/>
    <d v="1972-02-14T00:00:00"/>
    <n v="-19305"/>
    <x v="1524"/>
    <x v="2"/>
    <n v="-1905"/>
    <n v="5.2156057494866532"/>
    <x v="1"/>
    <n v="1"/>
    <n v="0"/>
    <n v="0"/>
    <n v="0"/>
    <s v="Core staff"/>
    <x v="0"/>
  </r>
  <r>
    <n v="5068670"/>
    <x v="1"/>
    <s v="N"/>
    <s v="Y"/>
    <n v="0"/>
    <x v="39"/>
    <x v="2"/>
    <x v="2"/>
    <x v="1"/>
    <x v="0"/>
    <d v="1999-11-25T00:00:00"/>
    <n v="-9159"/>
    <x v="1525"/>
    <x v="4"/>
    <n v="-413"/>
    <n v="1.1307323750855578"/>
    <x v="1"/>
    <n v="1"/>
    <n v="0"/>
    <n v="0"/>
    <n v="0"/>
    <s v="Core staff"/>
    <x v="1"/>
  </r>
  <r>
    <n v="5068685"/>
    <x v="1"/>
    <s v="N"/>
    <s v="Y"/>
    <n v="0"/>
    <x v="10"/>
    <x v="2"/>
    <x v="1"/>
    <x v="2"/>
    <x v="0"/>
    <d v="1992-08-13T00:00:00"/>
    <n v="-11819"/>
    <x v="1526"/>
    <x v="3"/>
    <n v="-962"/>
    <n v="2.6338124572210813"/>
    <x v="1"/>
    <n v="1"/>
    <n v="0"/>
    <n v="0"/>
    <n v="0"/>
    <s v="Laborers"/>
    <x v="0"/>
  </r>
  <r>
    <n v="5068712"/>
    <x v="0"/>
    <s v="Y"/>
    <s v="Y"/>
    <n v="0"/>
    <x v="30"/>
    <x v="2"/>
    <x v="1"/>
    <x v="1"/>
    <x v="0"/>
    <d v="1988-01-23T00:00:00"/>
    <n v="-13483"/>
    <x v="1527"/>
    <x v="3"/>
    <n v="-5345"/>
    <n v="14.633812457221081"/>
    <x v="1"/>
    <n v="1"/>
    <n v="0"/>
    <n v="0"/>
    <n v="0"/>
    <s v="Laborers"/>
    <x v="1"/>
  </r>
  <r>
    <n v="5068722"/>
    <x v="0"/>
    <s v="N"/>
    <s v="N"/>
    <n v="0"/>
    <x v="16"/>
    <x v="2"/>
    <x v="1"/>
    <x v="2"/>
    <x v="0"/>
    <d v="1984-05-29T00:00:00"/>
    <n v="-14817"/>
    <x v="1528"/>
    <x v="1"/>
    <n v="-1115"/>
    <n v="3.052703627652293"/>
    <x v="1"/>
    <n v="1"/>
    <n v="0"/>
    <n v="0"/>
    <n v="1"/>
    <s v="Cooking staff"/>
    <x v="0"/>
  </r>
  <r>
    <n v="5068746"/>
    <x v="0"/>
    <s v="N"/>
    <s v="Y"/>
    <n v="3"/>
    <x v="8"/>
    <x v="1"/>
    <x v="1"/>
    <x v="2"/>
    <x v="0"/>
    <d v="1992-06-23T00:00:00"/>
    <n v="-11870"/>
    <x v="1529"/>
    <x v="3"/>
    <n v="-5072"/>
    <n v="13.886379192334017"/>
    <x v="1"/>
    <n v="1"/>
    <n v="0"/>
    <n v="0"/>
    <n v="0"/>
    <s v="Laborers"/>
    <x v="2"/>
  </r>
  <r>
    <n v="5068754"/>
    <x v="0"/>
    <s v="N"/>
    <s v="Y"/>
    <n v="0"/>
    <x v="1"/>
    <x v="1"/>
    <x v="1"/>
    <x v="1"/>
    <x v="0"/>
    <d v="1976-06-04T00:00:00"/>
    <n v="-17733"/>
    <x v="1530"/>
    <x v="1"/>
    <n v="-2362"/>
    <n v="6.4668035592060233"/>
    <x v="1"/>
    <n v="1"/>
    <n v="0"/>
    <n v="0"/>
    <n v="0"/>
    <s v="Security staff"/>
    <x v="1"/>
  </r>
  <r>
    <n v="5068758"/>
    <x v="0"/>
    <s v="N"/>
    <s v="Y"/>
    <n v="0"/>
    <x v="1"/>
    <x v="1"/>
    <x v="1"/>
    <x v="1"/>
    <x v="0"/>
    <d v="1976-06-04T00:00:00"/>
    <n v="-17733"/>
    <x v="1530"/>
    <x v="1"/>
    <n v="-2362"/>
    <n v="6.4668035592060233"/>
    <x v="1"/>
    <n v="1"/>
    <n v="0"/>
    <n v="0"/>
    <n v="0"/>
    <s v="Security staff"/>
    <x v="1"/>
  </r>
  <r>
    <n v="5068760"/>
    <x v="0"/>
    <s v="N"/>
    <s v="Y"/>
    <n v="0"/>
    <x v="1"/>
    <x v="1"/>
    <x v="1"/>
    <x v="1"/>
    <x v="0"/>
    <d v="1976-06-04T00:00:00"/>
    <n v="-17733"/>
    <x v="1530"/>
    <x v="1"/>
    <n v="-2362"/>
    <n v="6.4668035592060233"/>
    <x v="1"/>
    <n v="1"/>
    <n v="0"/>
    <n v="0"/>
    <n v="0"/>
    <s v="Security staff"/>
    <x v="1"/>
  </r>
  <r>
    <n v="5068814"/>
    <x v="0"/>
    <s v="N"/>
    <s v="Y"/>
    <n v="0"/>
    <x v="12"/>
    <x v="1"/>
    <x v="1"/>
    <x v="1"/>
    <x v="0"/>
    <d v="1985-07-01T00:00:00"/>
    <n v="-14419"/>
    <x v="792"/>
    <x v="3"/>
    <n v="-2423"/>
    <n v="6.6338124572210813"/>
    <x v="1"/>
    <n v="1"/>
    <n v="0"/>
    <n v="0"/>
    <n v="0"/>
    <m/>
    <x v="1"/>
  </r>
  <r>
    <n v="5068819"/>
    <x v="0"/>
    <s v="N"/>
    <s v="Y"/>
    <n v="0"/>
    <x v="12"/>
    <x v="1"/>
    <x v="1"/>
    <x v="1"/>
    <x v="0"/>
    <d v="1985-07-01T00:00:00"/>
    <n v="-14419"/>
    <x v="792"/>
    <x v="3"/>
    <n v="-2423"/>
    <n v="6.6338124572210813"/>
    <x v="1"/>
    <n v="1"/>
    <n v="0"/>
    <n v="0"/>
    <n v="0"/>
    <m/>
    <x v="1"/>
  </r>
  <r>
    <n v="5068823"/>
    <x v="0"/>
    <s v="Y"/>
    <s v="Y"/>
    <n v="0"/>
    <x v="5"/>
    <x v="2"/>
    <x v="0"/>
    <x v="1"/>
    <x v="0"/>
    <d v="1983-12-22T00:00:00"/>
    <n v="-14976"/>
    <x v="1531"/>
    <x v="1"/>
    <n v="-3550"/>
    <n v="9.7193702943189599"/>
    <x v="1"/>
    <n v="1"/>
    <n v="0"/>
    <n v="0"/>
    <n v="1"/>
    <s v="Drivers"/>
    <x v="1"/>
  </r>
  <r>
    <n v="5068832"/>
    <x v="0"/>
    <s v="N"/>
    <s v="Y"/>
    <n v="1"/>
    <x v="5"/>
    <x v="1"/>
    <x v="1"/>
    <x v="1"/>
    <x v="4"/>
    <d v="1988-01-26T00:00:00"/>
    <n v="-13480"/>
    <x v="1532"/>
    <x v="3"/>
    <n v="-1328"/>
    <n v="3.6358658453114305"/>
    <x v="1"/>
    <n v="1"/>
    <n v="0"/>
    <n v="0"/>
    <n v="1"/>
    <s v="Sales staff"/>
    <x v="3"/>
  </r>
  <r>
    <n v="5068836"/>
    <x v="0"/>
    <s v="N"/>
    <s v="Y"/>
    <n v="0"/>
    <x v="8"/>
    <x v="0"/>
    <x v="1"/>
    <x v="4"/>
    <x v="0"/>
    <d v="1967-01-25T00:00:00"/>
    <n v="-21151"/>
    <x v="1533"/>
    <x v="2"/>
    <n v="365243"/>
    <n v="0"/>
    <x v="0"/>
    <n v="1"/>
    <n v="0"/>
    <n v="0"/>
    <n v="1"/>
    <m/>
    <x v="0"/>
  </r>
  <r>
    <n v="5068857"/>
    <x v="1"/>
    <s v="N"/>
    <s v="Y"/>
    <n v="1"/>
    <x v="1"/>
    <x v="1"/>
    <x v="1"/>
    <x v="0"/>
    <x v="0"/>
    <d v="1985-10-19T00:00:00"/>
    <n v="-14309"/>
    <x v="1534"/>
    <x v="3"/>
    <n v="-1359"/>
    <n v="3.7207392197125255"/>
    <x v="1"/>
    <n v="1"/>
    <n v="0"/>
    <n v="0"/>
    <n v="0"/>
    <s v="Security staff"/>
    <x v="1"/>
  </r>
  <r>
    <n v="5068866"/>
    <x v="0"/>
    <s v="Y"/>
    <s v="Y"/>
    <n v="0"/>
    <x v="21"/>
    <x v="0"/>
    <x v="1"/>
    <x v="1"/>
    <x v="0"/>
    <d v="1968-06-30T00:00:00"/>
    <n v="-20629"/>
    <x v="1535"/>
    <x v="2"/>
    <n v="365243"/>
    <n v="0"/>
    <x v="0"/>
    <n v="1"/>
    <n v="0"/>
    <n v="0"/>
    <n v="1"/>
    <m/>
    <x v="1"/>
  </r>
  <r>
    <n v="5068882"/>
    <x v="0"/>
    <s v="N"/>
    <s v="N"/>
    <n v="1"/>
    <x v="2"/>
    <x v="2"/>
    <x v="1"/>
    <x v="1"/>
    <x v="2"/>
    <d v="1993-06-29T00:00:00"/>
    <n v="-11499"/>
    <x v="1536"/>
    <x v="3"/>
    <n v="-4006"/>
    <n v="10.967830253251197"/>
    <x v="1"/>
    <n v="1"/>
    <n v="0"/>
    <n v="1"/>
    <n v="1"/>
    <s v="Core staff"/>
    <x v="3"/>
  </r>
  <r>
    <n v="5068895"/>
    <x v="1"/>
    <s v="Y"/>
    <s v="Y"/>
    <n v="0"/>
    <x v="3"/>
    <x v="2"/>
    <x v="1"/>
    <x v="1"/>
    <x v="0"/>
    <d v="1969-11-28T00:00:00"/>
    <n v="-20113"/>
    <x v="1537"/>
    <x v="2"/>
    <n v="-1754"/>
    <n v="4.8021902806297057"/>
    <x v="1"/>
    <n v="1"/>
    <n v="1"/>
    <n v="0"/>
    <n v="0"/>
    <s v="Laborers"/>
    <x v="1"/>
  </r>
  <r>
    <n v="5068902"/>
    <x v="1"/>
    <s v="N"/>
    <s v="N"/>
    <n v="0"/>
    <x v="8"/>
    <x v="2"/>
    <x v="1"/>
    <x v="2"/>
    <x v="3"/>
    <d v="1992-10-09T00:00:00"/>
    <n v="-11762"/>
    <x v="885"/>
    <x v="3"/>
    <n v="-293"/>
    <n v="0.80219028062970565"/>
    <x v="1"/>
    <n v="1"/>
    <n v="0"/>
    <n v="0"/>
    <n v="0"/>
    <s v="Laborers"/>
    <x v="0"/>
  </r>
  <r>
    <n v="5068903"/>
    <x v="1"/>
    <s v="N"/>
    <s v="N"/>
    <n v="0"/>
    <x v="8"/>
    <x v="2"/>
    <x v="1"/>
    <x v="2"/>
    <x v="3"/>
    <d v="1992-10-09T00:00:00"/>
    <n v="-11762"/>
    <x v="885"/>
    <x v="3"/>
    <n v="-293"/>
    <n v="0.80219028062970565"/>
    <x v="1"/>
    <n v="1"/>
    <n v="0"/>
    <n v="0"/>
    <n v="0"/>
    <s v="Laborers"/>
    <x v="0"/>
  </r>
  <r>
    <n v="5068905"/>
    <x v="0"/>
    <s v="Y"/>
    <s v="Y"/>
    <n v="1"/>
    <x v="5"/>
    <x v="1"/>
    <x v="1"/>
    <x v="1"/>
    <x v="0"/>
    <d v="1982-12-08T00:00:00"/>
    <n v="-15355"/>
    <x v="1538"/>
    <x v="1"/>
    <n v="-4403"/>
    <n v="12.054757015742641"/>
    <x v="1"/>
    <n v="1"/>
    <n v="0"/>
    <n v="0"/>
    <n v="0"/>
    <s v="Sales staff"/>
    <x v="3"/>
  </r>
  <r>
    <n v="5068915"/>
    <x v="0"/>
    <s v="N"/>
    <s v="Y"/>
    <n v="1"/>
    <x v="2"/>
    <x v="2"/>
    <x v="1"/>
    <x v="3"/>
    <x v="0"/>
    <d v="1987-11-26T00:00:00"/>
    <n v="-13541"/>
    <x v="90"/>
    <x v="3"/>
    <n v="-3427"/>
    <n v="9.3826146475017111"/>
    <x v="1"/>
    <n v="1"/>
    <n v="0"/>
    <n v="0"/>
    <n v="0"/>
    <s v="Core staff"/>
    <x v="3"/>
  </r>
  <r>
    <n v="5068917"/>
    <x v="0"/>
    <s v="N"/>
    <s v="Y"/>
    <n v="1"/>
    <x v="2"/>
    <x v="2"/>
    <x v="1"/>
    <x v="3"/>
    <x v="0"/>
    <d v="1987-11-26T00:00:00"/>
    <n v="-13541"/>
    <x v="90"/>
    <x v="3"/>
    <n v="-3427"/>
    <n v="9.3826146475017111"/>
    <x v="1"/>
    <n v="1"/>
    <n v="0"/>
    <n v="0"/>
    <n v="0"/>
    <s v="Core staff"/>
    <x v="3"/>
  </r>
  <r>
    <n v="5068923"/>
    <x v="0"/>
    <s v="N"/>
    <s v="Y"/>
    <n v="0"/>
    <x v="14"/>
    <x v="2"/>
    <x v="1"/>
    <x v="1"/>
    <x v="0"/>
    <d v="1977-09-09T00:00:00"/>
    <n v="-17271"/>
    <x v="1539"/>
    <x v="1"/>
    <n v="-993"/>
    <n v="2.7186858316221767"/>
    <x v="1"/>
    <n v="1"/>
    <n v="0"/>
    <n v="0"/>
    <n v="0"/>
    <s v="High skill tech staff"/>
    <x v="1"/>
  </r>
  <r>
    <n v="5068932"/>
    <x v="0"/>
    <s v="N"/>
    <s v="N"/>
    <n v="0"/>
    <x v="18"/>
    <x v="2"/>
    <x v="1"/>
    <x v="3"/>
    <x v="5"/>
    <d v="1999-10-31T00:00:00"/>
    <n v="-9184"/>
    <x v="1540"/>
    <x v="4"/>
    <n v="-840"/>
    <n v="2.299794661190965"/>
    <x v="1"/>
    <n v="1"/>
    <n v="1"/>
    <n v="1"/>
    <n v="0"/>
    <s v="Sales staff"/>
    <x v="1"/>
  </r>
  <r>
    <n v="5068934"/>
    <x v="1"/>
    <s v="Y"/>
    <s v="Y"/>
    <n v="2"/>
    <x v="8"/>
    <x v="2"/>
    <x v="1"/>
    <x v="1"/>
    <x v="0"/>
    <d v="1983-05-02T00:00:00"/>
    <n v="-15210"/>
    <x v="1541"/>
    <x v="1"/>
    <n v="-4707"/>
    <n v="12.887063655030801"/>
    <x v="1"/>
    <n v="1"/>
    <n v="0"/>
    <n v="0"/>
    <n v="1"/>
    <s v="Security staff"/>
    <x v="2"/>
  </r>
  <r>
    <n v="5068967"/>
    <x v="1"/>
    <s v="Y"/>
    <s v="Y"/>
    <n v="1"/>
    <x v="16"/>
    <x v="2"/>
    <x v="1"/>
    <x v="1"/>
    <x v="0"/>
    <d v="1983-04-30T00:00:00"/>
    <n v="-15212"/>
    <x v="1542"/>
    <x v="1"/>
    <n v="-1267"/>
    <n v="3.4688569472963722"/>
    <x v="1"/>
    <n v="1"/>
    <n v="0"/>
    <n v="0"/>
    <n v="0"/>
    <s v="Drivers"/>
    <x v="3"/>
  </r>
  <r>
    <n v="5068972"/>
    <x v="0"/>
    <s v="N"/>
    <s v="Y"/>
    <n v="0"/>
    <x v="19"/>
    <x v="2"/>
    <x v="0"/>
    <x v="2"/>
    <x v="0"/>
    <d v="1977-05-15T00:00:00"/>
    <n v="-17388"/>
    <x v="1543"/>
    <x v="1"/>
    <n v="-1662"/>
    <n v="4.5503080082135527"/>
    <x v="1"/>
    <n v="1"/>
    <n v="0"/>
    <n v="1"/>
    <n v="1"/>
    <s v="Managers"/>
    <x v="0"/>
  </r>
  <r>
    <n v="5068974"/>
    <x v="0"/>
    <s v="N"/>
    <s v="Y"/>
    <n v="0"/>
    <x v="19"/>
    <x v="2"/>
    <x v="0"/>
    <x v="2"/>
    <x v="0"/>
    <d v="1977-05-15T00:00:00"/>
    <n v="-17388"/>
    <x v="1543"/>
    <x v="1"/>
    <n v="-1662"/>
    <n v="4.5503080082135527"/>
    <x v="1"/>
    <n v="1"/>
    <n v="0"/>
    <n v="1"/>
    <n v="1"/>
    <s v="Managers"/>
    <x v="0"/>
  </r>
  <r>
    <n v="5068976"/>
    <x v="0"/>
    <s v="N"/>
    <s v="Y"/>
    <n v="0"/>
    <x v="19"/>
    <x v="2"/>
    <x v="0"/>
    <x v="2"/>
    <x v="0"/>
    <d v="1977-05-15T00:00:00"/>
    <n v="-17388"/>
    <x v="1543"/>
    <x v="1"/>
    <n v="-1662"/>
    <n v="4.5503080082135527"/>
    <x v="1"/>
    <n v="1"/>
    <n v="0"/>
    <n v="1"/>
    <n v="1"/>
    <s v="Managers"/>
    <x v="0"/>
  </r>
  <r>
    <n v="5068999"/>
    <x v="0"/>
    <s v="Y"/>
    <s v="Y"/>
    <n v="1"/>
    <x v="28"/>
    <x v="2"/>
    <x v="0"/>
    <x v="3"/>
    <x v="0"/>
    <d v="1980-08-28T00:00:00"/>
    <n v="-16187"/>
    <x v="1544"/>
    <x v="1"/>
    <n v="-3731"/>
    <n v="10.21492128678987"/>
    <x v="1"/>
    <n v="1"/>
    <n v="1"/>
    <n v="1"/>
    <n v="0"/>
    <s v="Managers"/>
    <x v="3"/>
  </r>
  <r>
    <n v="5069004"/>
    <x v="1"/>
    <s v="Y"/>
    <s v="Y"/>
    <n v="0"/>
    <x v="21"/>
    <x v="2"/>
    <x v="0"/>
    <x v="1"/>
    <x v="2"/>
    <d v="1995-11-23T00:00:00"/>
    <n v="-10622"/>
    <x v="1545"/>
    <x v="4"/>
    <n v="-1175"/>
    <n v="3.2169746748802188"/>
    <x v="1"/>
    <n v="1"/>
    <n v="0"/>
    <n v="0"/>
    <n v="0"/>
    <s v="Laborers"/>
    <x v="1"/>
  </r>
  <r>
    <n v="5069007"/>
    <x v="1"/>
    <s v="Y"/>
    <s v="Y"/>
    <n v="0"/>
    <x v="21"/>
    <x v="2"/>
    <x v="0"/>
    <x v="1"/>
    <x v="2"/>
    <d v="1995-11-23T00:00:00"/>
    <n v="-10622"/>
    <x v="1545"/>
    <x v="4"/>
    <n v="-1175"/>
    <n v="3.2169746748802188"/>
    <x v="1"/>
    <n v="1"/>
    <n v="0"/>
    <n v="0"/>
    <n v="0"/>
    <s v="Laborers"/>
    <x v="1"/>
  </r>
  <r>
    <n v="5069010"/>
    <x v="1"/>
    <s v="N"/>
    <s v="Y"/>
    <n v="0"/>
    <x v="5"/>
    <x v="2"/>
    <x v="1"/>
    <x v="1"/>
    <x v="0"/>
    <d v="1965-02-08T00:00:00"/>
    <n v="-21867"/>
    <x v="1546"/>
    <x v="2"/>
    <n v="-3611"/>
    <n v="9.886379192334017"/>
    <x v="1"/>
    <n v="1"/>
    <n v="0"/>
    <n v="0"/>
    <n v="0"/>
    <s v="Laborers"/>
    <x v="1"/>
  </r>
  <r>
    <n v="5069020"/>
    <x v="0"/>
    <s v="N"/>
    <s v="Y"/>
    <n v="0"/>
    <x v="11"/>
    <x v="2"/>
    <x v="1"/>
    <x v="1"/>
    <x v="0"/>
    <d v="1969-05-30T00:00:00"/>
    <n v="-20295"/>
    <x v="1547"/>
    <x v="2"/>
    <n v="-3700"/>
    <n v="10.130047912388775"/>
    <x v="1"/>
    <n v="1"/>
    <n v="0"/>
    <n v="0"/>
    <n v="0"/>
    <s v="Laborers"/>
    <x v="1"/>
  </r>
  <r>
    <n v="5069026"/>
    <x v="1"/>
    <s v="Y"/>
    <s v="Y"/>
    <n v="0"/>
    <x v="11"/>
    <x v="2"/>
    <x v="1"/>
    <x v="1"/>
    <x v="0"/>
    <d v="1968-02-12T00:00:00"/>
    <n v="-20768"/>
    <x v="538"/>
    <x v="2"/>
    <n v="-3519"/>
    <n v="9.6344969199178649"/>
    <x v="1"/>
    <n v="1"/>
    <n v="0"/>
    <n v="1"/>
    <n v="1"/>
    <s v="Laborers"/>
    <x v="1"/>
  </r>
  <r>
    <n v="5069035"/>
    <x v="1"/>
    <s v="Y"/>
    <s v="N"/>
    <n v="0"/>
    <x v="5"/>
    <x v="3"/>
    <x v="1"/>
    <x v="2"/>
    <x v="4"/>
    <d v="2001-10-18T00:00:00"/>
    <n v="-8466"/>
    <x v="1548"/>
    <x v="4"/>
    <n v="-1236"/>
    <n v="3.3839835728952772"/>
    <x v="1"/>
    <n v="1"/>
    <n v="0"/>
    <n v="0"/>
    <n v="0"/>
    <s v="Laborers"/>
    <x v="0"/>
  </r>
  <r>
    <n v="5069055"/>
    <x v="1"/>
    <s v="Y"/>
    <s v="N"/>
    <n v="0"/>
    <x v="8"/>
    <x v="1"/>
    <x v="1"/>
    <x v="1"/>
    <x v="0"/>
    <d v="1976-05-06T00:00:00"/>
    <n v="-17762"/>
    <x v="1549"/>
    <x v="1"/>
    <n v="-2484"/>
    <n v="6.8008213552361401"/>
    <x v="1"/>
    <n v="1"/>
    <n v="0"/>
    <n v="0"/>
    <n v="0"/>
    <s v="Laborers"/>
    <x v="1"/>
  </r>
  <r>
    <n v="5069057"/>
    <x v="1"/>
    <s v="Y"/>
    <s v="N"/>
    <n v="0"/>
    <x v="8"/>
    <x v="1"/>
    <x v="1"/>
    <x v="1"/>
    <x v="0"/>
    <d v="1976-05-06T00:00:00"/>
    <n v="-17762"/>
    <x v="1549"/>
    <x v="1"/>
    <n v="-2484"/>
    <n v="6.8008213552361401"/>
    <x v="1"/>
    <n v="1"/>
    <n v="0"/>
    <n v="0"/>
    <n v="0"/>
    <s v="Laborers"/>
    <x v="1"/>
  </r>
  <r>
    <n v="5069066"/>
    <x v="1"/>
    <s v="N"/>
    <s v="Y"/>
    <n v="0"/>
    <x v="11"/>
    <x v="2"/>
    <x v="1"/>
    <x v="2"/>
    <x v="0"/>
    <d v="1998-04-20T00:00:00"/>
    <n v="-9743"/>
    <x v="1550"/>
    <x v="4"/>
    <n v="-3093"/>
    <n v="8.4681724845995898"/>
    <x v="1"/>
    <n v="1"/>
    <n v="0"/>
    <n v="0"/>
    <n v="0"/>
    <s v="Laborers"/>
    <x v="0"/>
  </r>
  <r>
    <n v="5069073"/>
    <x v="0"/>
    <s v="Y"/>
    <s v="Y"/>
    <n v="0"/>
    <x v="5"/>
    <x v="3"/>
    <x v="1"/>
    <x v="1"/>
    <x v="0"/>
    <d v="1973-04-01T00:00:00"/>
    <n v="-18893"/>
    <x v="1551"/>
    <x v="2"/>
    <n v="-2423"/>
    <n v="6.6338124572210813"/>
    <x v="1"/>
    <n v="1"/>
    <n v="0"/>
    <n v="0"/>
    <n v="0"/>
    <s v="Core staff"/>
    <x v="1"/>
  </r>
  <r>
    <n v="5069078"/>
    <x v="0"/>
    <s v="N"/>
    <s v="Y"/>
    <n v="1"/>
    <x v="11"/>
    <x v="1"/>
    <x v="0"/>
    <x v="3"/>
    <x v="0"/>
    <d v="1986-06-16T00:00:00"/>
    <n v="-14069"/>
    <x v="956"/>
    <x v="3"/>
    <n v="-3093"/>
    <n v="8.4681724845995898"/>
    <x v="1"/>
    <n v="1"/>
    <n v="0"/>
    <n v="0"/>
    <n v="1"/>
    <s v="Accountants"/>
    <x v="3"/>
  </r>
  <r>
    <n v="5069084"/>
    <x v="0"/>
    <s v="Y"/>
    <s v="Y"/>
    <n v="2"/>
    <x v="1"/>
    <x v="1"/>
    <x v="1"/>
    <x v="1"/>
    <x v="0"/>
    <d v="1988-09-14T00:00:00"/>
    <n v="-13248"/>
    <x v="1552"/>
    <x v="3"/>
    <n v="-2605"/>
    <n v="7.1321013004791238"/>
    <x v="1"/>
    <n v="1"/>
    <n v="0"/>
    <n v="1"/>
    <n v="0"/>
    <s v="Accountants"/>
    <x v="2"/>
  </r>
  <r>
    <n v="5069118"/>
    <x v="0"/>
    <s v="N"/>
    <s v="Y"/>
    <n v="0"/>
    <x v="16"/>
    <x v="0"/>
    <x v="1"/>
    <x v="2"/>
    <x v="0"/>
    <d v="1968-08-21T00:00:00"/>
    <n v="-20577"/>
    <x v="1553"/>
    <x v="2"/>
    <n v="365243"/>
    <n v="0"/>
    <x v="0"/>
    <n v="1"/>
    <n v="0"/>
    <n v="0"/>
    <n v="0"/>
    <m/>
    <x v="0"/>
  </r>
  <r>
    <n v="5069122"/>
    <x v="0"/>
    <s v="Y"/>
    <s v="Y"/>
    <n v="0"/>
    <x v="55"/>
    <x v="0"/>
    <x v="0"/>
    <x v="3"/>
    <x v="0"/>
    <d v="1961-12-31T00:00:00"/>
    <n v="-23002"/>
    <x v="1554"/>
    <x v="0"/>
    <n v="365243"/>
    <n v="0"/>
    <x v="0"/>
    <n v="1"/>
    <n v="0"/>
    <n v="1"/>
    <n v="0"/>
    <m/>
    <x v="1"/>
  </r>
  <r>
    <n v="5069134"/>
    <x v="0"/>
    <s v="N"/>
    <s v="N"/>
    <n v="0"/>
    <x v="1"/>
    <x v="1"/>
    <x v="0"/>
    <x v="1"/>
    <x v="2"/>
    <d v="1982-12-03T00:00:00"/>
    <n v="-15360"/>
    <x v="1555"/>
    <x v="1"/>
    <n v="-413"/>
    <n v="1.1307323750855578"/>
    <x v="1"/>
    <n v="1"/>
    <n v="0"/>
    <n v="0"/>
    <n v="1"/>
    <s v="Core staff"/>
    <x v="1"/>
  </r>
  <r>
    <n v="5069137"/>
    <x v="0"/>
    <s v="N"/>
    <s v="N"/>
    <n v="0"/>
    <x v="1"/>
    <x v="1"/>
    <x v="0"/>
    <x v="1"/>
    <x v="2"/>
    <d v="1982-12-03T00:00:00"/>
    <n v="-15360"/>
    <x v="1555"/>
    <x v="1"/>
    <n v="-413"/>
    <n v="1.1307323750855578"/>
    <x v="1"/>
    <n v="1"/>
    <n v="0"/>
    <n v="0"/>
    <n v="1"/>
    <s v="Core staff"/>
    <x v="1"/>
  </r>
  <r>
    <n v="5069141"/>
    <x v="0"/>
    <s v="N"/>
    <s v="N"/>
    <n v="0"/>
    <x v="1"/>
    <x v="1"/>
    <x v="0"/>
    <x v="1"/>
    <x v="2"/>
    <d v="1982-12-03T00:00:00"/>
    <n v="-15360"/>
    <x v="1555"/>
    <x v="1"/>
    <n v="-413"/>
    <n v="1.1307323750855578"/>
    <x v="1"/>
    <n v="1"/>
    <n v="0"/>
    <n v="0"/>
    <n v="1"/>
    <s v="Core staff"/>
    <x v="1"/>
  </r>
  <r>
    <n v="5069149"/>
    <x v="1"/>
    <s v="N"/>
    <s v="Y"/>
    <n v="0"/>
    <x v="7"/>
    <x v="1"/>
    <x v="0"/>
    <x v="1"/>
    <x v="0"/>
    <d v="1972-07-18T00:00:00"/>
    <n v="-19150"/>
    <x v="1556"/>
    <x v="2"/>
    <n v="-7415"/>
    <n v="20.301163586584533"/>
    <x v="1"/>
    <n v="1"/>
    <n v="0"/>
    <n v="0"/>
    <n v="1"/>
    <s v="Managers"/>
    <x v="1"/>
  </r>
  <r>
    <n v="5069159"/>
    <x v="1"/>
    <s v="N"/>
    <s v="Y"/>
    <n v="0"/>
    <x v="7"/>
    <x v="1"/>
    <x v="0"/>
    <x v="1"/>
    <x v="0"/>
    <d v="1972-07-18T00:00:00"/>
    <n v="-19150"/>
    <x v="1556"/>
    <x v="2"/>
    <n v="-7415"/>
    <n v="20.301163586584533"/>
    <x v="1"/>
    <n v="1"/>
    <n v="0"/>
    <n v="0"/>
    <n v="1"/>
    <s v="Managers"/>
    <x v="1"/>
  </r>
  <r>
    <n v="5069163"/>
    <x v="1"/>
    <s v="N"/>
    <s v="Y"/>
    <n v="0"/>
    <x v="7"/>
    <x v="1"/>
    <x v="0"/>
    <x v="1"/>
    <x v="0"/>
    <d v="1972-07-18T00:00:00"/>
    <n v="-19150"/>
    <x v="1556"/>
    <x v="2"/>
    <n v="-7415"/>
    <n v="20.301163586584533"/>
    <x v="1"/>
    <n v="1"/>
    <n v="0"/>
    <n v="0"/>
    <n v="1"/>
    <s v="Managers"/>
    <x v="1"/>
  </r>
  <r>
    <n v="5069192"/>
    <x v="0"/>
    <s v="N"/>
    <s v="Y"/>
    <n v="0"/>
    <x v="1"/>
    <x v="1"/>
    <x v="1"/>
    <x v="1"/>
    <x v="0"/>
    <d v="1981-02-07T00:00:00"/>
    <n v="-16024"/>
    <x v="1557"/>
    <x v="1"/>
    <n v="-171"/>
    <n v="0.46817248459958932"/>
    <x v="1"/>
    <n v="1"/>
    <n v="0"/>
    <n v="0"/>
    <n v="0"/>
    <s v="Laborers"/>
    <x v="1"/>
  </r>
  <r>
    <n v="5069200"/>
    <x v="0"/>
    <s v="N"/>
    <s v="Y"/>
    <n v="0"/>
    <x v="80"/>
    <x v="1"/>
    <x v="1"/>
    <x v="1"/>
    <x v="0"/>
    <d v="1978-02-27T00:00:00"/>
    <n v="-17100"/>
    <x v="1558"/>
    <x v="1"/>
    <n v="-1236"/>
    <n v="3.3839835728952772"/>
    <x v="1"/>
    <n v="1"/>
    <n v="1"/>
    <n v="1"/>
    <n v="0"/>
    <s v="Core staff"/>
    <x v="1"/>
  </r>
  <r>
    <n v="5069209"/>
    <x v="0"/>
    <s v="Y"/>
    <s v="Y"/>
    <n v="0"/>
    <x v="1"/>
    <x v="0"/>
    <x v="0"/>
    <x v="1"/>
    <x v="0"/>
    <d v="1969-08-05T00:00:00"/>
    <n v="-20228"/>
    <x v="1559"/>
    <x v="2"/>
    <n v="365243"/>
    <n v="0"/>
    <x v="0"/>
    <n v="1"/>
    <n v="0"/>
    <n v="0"/>
    <n v="0"/>
    <m/>
    <x v="1"/>
  </r>
  <r>
    <n v="5069218"/>
    <x v="0"/>
    <s v="Y"/>
    <s v="Y"/>
    <n v="0"/>
    <x v="87"/>
    <x v="1"/>
    <x v="0"/>
    <x v="2"/>
    <x v="0"/>
    <d v="1994-04-14T00:00:00"/>
    <n v="-11210"/>
    <x v="1560"/>
    <x v="3"/>
    <n v="-1724"/>
    <n v="4.7200547570157427"/>
    <x v="1"/>
    <n v="1"/>
    <n v="1"/>
    <n v="0"/>
    <n v="0"/>
    <s v="Accountants"/>
    <x v="1"/>
  </r>
  <r>
    <n v="5069223"/>
    <x v="1"/>
    <s v="N"/>
    <s v="N"/>
    <n v="3"/>
    <x v="1"/>
    <x v="2"/>
    <x v="1"/>
    <x v="1"/>
    <x v="2"/>
    <d v="1992-10-14T00:00:00"/>
    <n v="-11757"/>
    <x v="1561"/>
    <x v="3"/>
    <n v="-658"/>
    <n v="1.8015058179329226"/>
    <x v="1"/>
    <n v="1"/>
    <n v="0"/>
    <n v="0"/>
    <n v="0"/>
    <s v="Laborers"/>
    <x v="4"/>
  </r>
  <r>
    <n v="5069233"/>
    <x v="0"/>
    <s v="N"/>
    <s v="N"/>
    <n v="1"/>
    <x v="37"/>
    <x v="2"/>
    <x v="1"/>
    <x v="1"/>
    <x v="2"/>
    <d v="1996-01-19T00:00:00"/>
    <n v="-10565"/>
    <x v="488"/>
    <x v="4"/>
    <n v="-2970"/>
    <n v="8.131416837782341"/>
    <x v="1"/>
    <n v="1"/>
    <n v="0"/>
    <n v="0"/>
    <n v="0"/>
    <s v="Medicine staff"/>
    <x v="3"/>
  </r>
  <r>
    <n v="5069235"/>
    <x v="0"/>
    <s v="Y"/>
    <s v="Y"/>
    <n v="0"/>
    <x v="11"/>
    <x v="3"/>
    <x v="1"/>
    <x v="1"/>
    <x v="0"/>
    <d v="1992-07-27T00:00:00"/>
    <n v="-11836"/>
    <x v="1562"/>
    <x v="3"/>
    <n v="-4646"/>
    <n v="12.720054757015742"/>
    <x v="1"/>
    <n v="1"/>
    <n v="0"/>
    <n v="0"/>
    <n v="1"/>
    <s v="Medicine staff"/>
    <x v="1"/>
  </r>
  <r>
    <n v="5069257"/>
    <x v="0"/>
    <s v="Y"/>
    <s v="Y"/>
    <n v="1"/>
    <x v="37"/>
    <x v="2"/>
    <x v="1"/>
    <x v="1"/>
    <x v="0"/>
    <d v="1989-11-15T00:00:00"/>
    <n v="-12821"/>
    <x v="793"/>
    <x v="3"/>
    <n v="-931"/>
    <n v="2.5489390828199863"/>
    <x v="1"/>
    <n v="1"/>
    <n v="0"/>
    <n v="1"/>
    <n v="1"/>
    <s v="Laborers"/>
    <x v="3"/>
  </r>
  <r>
    <n v="5069263"/>
    <x v="0"/>
    <s v="Y"/>
    <s v="Y"/>
    <n v="1"/>
    <x v="37"/>
    <x v="2"/>
    <x v="1"/>
    <x v="1"/>
    <x v="0"/>
    <d v="1989-11-15T00:00:00"/>
    <n v="-12821"/>
    <x v="793"/>
    <x v="3"/>
    <n v="-931"/>
    <n v="2.5489390828199863"/>
    <x v="1"/>
    <n v="1"/>
    <n v="0"/>
    <n v="1"/>
    <n v="1"/>
    <s v="Laborers"/>
    <x v="3"/>
  </r>
  <r>
    <n v="5069286"/>
    <x v="0"/>
    <s v="N"/>
    <s v="N"/>
    <n v="0"/>
    <x v="8"/>
    <x v="1"/>
    <x v="0"/>
    <x v="1"/>
    <x v="2"/>
    <d v="1998-04-28T00:00:00"/>
    <n v="-9735"/>
    <x v="1563"/>
    <x v="4"/>
    <n v="-901"/>
    <n v="2.4668035592060233"/>
    <x v="1"/>
    <n v="1"/>
    <n v="0"/>
    <n v="0"/>
    <n v="0"/>
    <m/>
    <x v="1"/>
  </r>
  <r>
    <n v="5069301"/>
    <x v="0"/>
    <s v="N"/>
    <s v="Y"/>
    <n v="0"/>
    <x v="8"/>
    <x v="0"/>
    <x v="1"/>
    <x v="1"/>
    <x v="0"/>
    <d v="1967-07-06T00:00:00"/>
    <n v="-20989"/>
    <x v="1564"/>
    <x v="2"/>
    <n v="365243"/>
    <n v="0"/>
    <x v="0"/>
    <n v="1"/>
    <n v="0"/>
    <n v="0"/>
    <n v="0"/>
    <m/>
    <x v="1"/>
  </r>
  <r>
    <n v="5069313"/>
    <x v="1"/>
    <s v="N"/>
    <s v="Y"/>
    <n v="0"/>
    <x v="67"/>
    <x v="1"/>
    <x v="1"/>
    <x v="3"/>
    <x v="0"/>
    <d v="1979-02-21T00:00:00"/>
    <n v="-16741"/>
    <x v="1565"/>
    <x v="1"/>
    <n v="-658"/>
    <n v="1.8015058179329226"/>
    <x v="1"/>
    <n v="1"/>
    <n v="0"/>
    <n v="0"/>
    <n v="0"/>
    <s v="Managers"/>
    <x v="1"/>
  </r>
  <r>
    <n v="5069325"/>
    <x v="0"/>
    <s v="N"/>
    <s v="Y"/>
    <n v="0"/>
    <x v="5"/>
    <x v="2"/>
    <x v="1"/>
    <x v="1"/>
    <x v="0"/>
    <d v="1969-05-14T00:00:00"/>
    <n v="-20311"/>
    <x v="1566"/>
    <x v="2"/>
    <n v="-597"/>
    <n v="1.6344969199178645"/>
    <x v="1"/>
    <n v="1"/>
    <n v="0"/>
    <n v="0"/>
    <n v="0"/>
    <s v="Cleaning staff"/>
    <x v="1"/>
  </r>
  <r>
    <n v="5069334"/>
    <x v="1"/>
    <s v="Y"/>
    <s v="Y"/>
    <n v="1"/>
    <x v="39"/>
    <x v="2"/>
    <x v="0"/>
    <x v="1"/>
    <x v="0"/>
    <d v="1999-03-04T00:00:00"/>
    <n v="-9425"/>
    <x v="1567"/>
    <x v="4"/>
    <n v="-232"/>
    <n v="0.63518138261464752"/>
    <x v="1"/>
    <n v="1"/>
    <n v="0"/>
    <n v="0"/>
    <n v="0"/>
    <s v="Sales staff"/>
    <x v="3"/>
  </r>
  <r>
    <n v="5069338"/>
    <x v="1"/>
    <s v="Y"/>
    <s v="Y"/>
    <n v="1"/>
    <x v="39"/>
    <x v="2"/>
    <x v="0"/>
    <x v="1"/>
    <x v="0"/>
    <d v="1999-03-04T00:00:00"/>
    <n v="-9425"/>
    <x v="1567"/>
    <x v="4"/>
    <n v="-232"/>
    <n v="0.63518138261464752"/>
    <x v="1"/>
    <n v="1"/>
    <n v="0"/>
    <n v="0"/>
    <n v="0"/>
    <s v="Sales staff"/>
    <x v="3"/>
  </r>
  <r>
    <n v="5069346"/>
    <x v="0"/>
    <s v="Y"/>
    <s v="Y"/>
    <n v="0"/>
    <x v="8"/>
    <x v="2"/>
    <x v="0"/>
    <x v="1"/>
    <x v="0"/>
    <d v="1992-12-28T00:00:00"/>
    <n v="-11682"/>
    <x v="1568"/>
    <x v="3"/>
    <n v="-3488"/>
    <n v="9.54962354551677"/>
    <x v="1"/>
    <n v="1"/>
    <n v="1"/>
    <n v="0"/>
    <n v="0"/>
    <m/>
    <x v="1"/>
  </r>
  <r>
    <n v="5069350"/>
    <x v="0"/>
    <s v="Y"/>
    <s v="Y"/>
    <n v="0"/>
    <x v="8"/>
    <x v="2"/>
    <x v="0"/>
    <x v="1"/>
    <x v="0"/>
    <d v="1992-12-28T00:00:00"/>
    <n v="-11682"/>
    <x v="1568"/>
    <x v="3"/>
    <n v="-3488"/>
    <n v="9.54962354551677"/>
    <x v="1"/>
    <n v="1"/>
    <n v="1"/>
    <n v="0"/>
    <n v="0"/>
    <m/>
    <x v="1"/>
  </r>
  <r>
    <n v="5069377"/>
    <x v="1"/>
    <s v="Y"/>
    <s v="N"/>
    <n v="2"/>
    <x v="21"/>
    <x v="2"/>
    <x v="0"/>
    <x v="2"/>
    <x v="0"/>
    <d v="1992-08-22T00:00:00"/>
    <n v="-11810"/>
    <x v="1569"/>
    <x v="3"/>
    <n v="-1662"/>
    <n v="4.5503080082135527"/>
    <x v="1"/>
    <n v="1"/>
    <n v="1"/>
    <n v="0"/>
    <n v="0"/>
    <m/>
    <x v="2"/>
  </r>
  <r>
    <n v="5069379"/>
    <x v="1"/>
    <s v="N"/>
    <s v="Y"/>
    <n v="0"/>
    <x v="21"/>
    <x v="2"/>
    <x v="1"/>
    <x v="2"/>
    <x v="0"/>
    <d v="1979-03-17T00:00:00"/>
    <n v="-16717"/>
    <x v="1570"/>
    <x v="1"/>
    <n v="-1267"/>
    <n v="3.4688569472963722"/>
    <x v="1"/>
    <n v="1"/>
    <n v="0"/>
    <n v="0"/>
    <n v="0"/>
    <s v="High skill tech staff"/>
    <x v="0"/>
  </r>
  <r>
    <n v="5069394"/>
    <x v="0"/>
    <s v="N"/>
    <s v="Y"/>
    <n v="1"/>
    <x v="18"/>
    <x v="2"/>
    <x v="0"/>
    <x v="1"/>
    <x v="0"/>
    <d v="1974-07-27T00:00:00"/>
    <n v="-18411"/>
    <x v="1571"/>
    <x v="2"/>
    <n v="-10094"/>
    <n v="27.635865845311429"/>
    <x v="1"/>
    <n v="1"/>
    <n v="0"/>
    <n v="0"/>
    <n v="0"/>
    <s v="Core staff"/>
    <x v="3"/>
  </r>
  <r>
    <n v="5069415"/>
    <x v="1"/>
    <s v="Y"/>
    <s v="N"/>
    <n v="1"/>
    <x v="8"/>
    <x v="2"/>
    <x v="1"/>
    <x v="1"/>
    <x v="0"/>
    <d v="1973-10-27T00:00:00"/>
    <n v="-18684"/>
    <x v="1572"/>
    <x v="2"/>
    <n v="-2423"/>
    <n v="6.6338124572210813"/>
    <x v="1"/>
    <n v="1"/>
    <n v="0"/>
    <n v="0"/>
    <n v="1"/>
    <s v="Drivers"/>
    <x v="3"/>
  </r>
  <r>
    <n v="5069416"/>
    <x v="1"/>
    <s v="Y"/>
    <s v="N"/>
    <n v="1"/>
    <x v="8"/>
    <x v="2"/>
    <x v="1"/>
    <x v="1"/>
    <x v="0"/>
    <d v="1973-10-27T00:00:00"/>
    <n v="-18684"/>
    <x v="1572"/>
    <x v="2"/>
    <n v="-2423"/>
    <n v="6.6338124572210813"/>
    <x v="1"/>
    <n v="1"/>
    <n v="0"/>
    <n v="0"/>
    <n v="1"/>
    <s v="Drivers"/>
    <x v="3"/>
  </r>
  <r>
    <n v="5069419"/>
    <x v="0"/>
    <s v="N"/>
    <s v="Y"/>
    <n v="0"/>
    <x v="5"/>
    <x v="2"/>
    <x v="2"/>
    <x v="2"/>
    <x v="0"/>
    <d v="1998-10-06T00:00:00"/>
    <n v="-9574"/>
    <x v="1573"/>
    <x v="4"/>
    <n v="-171"/>
    <n v="0.46817248459958932"/>
    <x v="1"/>
    <n v="1"/>
    <n v="1"/>
    <n v="1"/>
    <n v="0"/>
    <s v="Medicine staff"/>
    <x v="0"/>
  </r>
  <r>
    <n v="5069426"/>
    <x v="1"/>
    <s v="Y"/>
    <s v="Y"/>
    <n v="0"/>
    <x v="11"/>
    <x v="2"/>
    <x v="1"/>
    <x v="1"/>
    <x v="4"/>
    <d v="1978-09-19T00:00:00"/>
    <n v="-16896"/>
    <x v="168"/>
    <x v="1"/>
    <n v="-354"/>
    <n v="0.9691991786447639"/>
    <x v="1"/>
    <n v="1"/>
    <n v="0"/>
    <n v="1"/>
    <n v="0"/>
    <s v="Sales staff"/>
    <x v="1"/>
  </r>
  <r>
    <n v="5069427"/>
    <x v="1"/>
    <s v="Y"/>
    <s v="Y"/>
    <n v="0"/>
    <x v="11"/>
    <x v="2"/>
    <x v="1"/>
    <x v="1"/>
    <x v="4"/>
    <d v="1978-09-19T00:00:00"/>
    <n v="-16896"/>
    <x v="168"/>
    <x v="1"/>
    <n v="-354"/>
    <n v="0.9691991786447639"/>
    <x v="1"/>
    <n v="1"/>
    <n v="0"/>
    <n v="1"/>
    <n v="0"/>
    <s v="Sales staff"/>
    <x v="1"/>
  </r>
  <r>
    <n v="5069435"/>
    <x v="1"/>
    <s v="Y"/>
    <s v="Y"/>
    <n v="0"/>
    <x v="11"/>
    <x v="2"/>
    <x v="1"/>
    <x v="1"/>
    <x v="4"/>
    <d v="1978-09-19T00:00:00"/>
    <n v="-16896"/>
    <x v="168"/>
    <x v="1"/>
    <n v="-354"/>
    <n v="0.9691991786447639"/>
    <x v="1"/>
    <n v="1"/>
    <n v="0"/>
    <n v="1"/>
    <n v="0"/>
    <s v="Sales staff"/>
    <x v="1"/>
  </r>
  <r>
    <n v="5069450"/>
    <x v="0"/>
    <s v="N"/>
    <s v="Y"/>
    <n v="0"/>
    <x v="11"/>
    <x v="3"/>
    <x v="0"/>
    <x v="4"/>
    <x v="0"/>
    <d v="1981-10-05T00:00:00"/>
    <n v="-15784"/>
    <x v="1574"/>
    <x v="1"/>
    <n v="-4919"/>
    <n v="13.467488021902806"/>
    <x v="1"/>
    <n v="1"/>
    <n v="0"/>
    <n v="0"/>
    <n v="0"/>
    <m/>
    <x v="0"/>
  </r>
  <r>
    <n v="5069453"/>
    <x v="0"/>
    <s v="N"/>
    <s v="Y"/>
    <n v="0"/>
    <x v="11"/>
    <x v="3"/>
    <x v="0"/>
    <x v="4"/>
    <x v="0"/>
    <d v="1981-10-05T00:00:00"/>
    <n v="-15784"/>
    <x v="1574"/>
    <x v="1"/>
    <n v="-4919"/>
    <n v="13.467488021902806"/>
    <x v="1"/>
    <n v="1"/>
    <n v="0"/>
    <n v="0"/>
    <n v="0"/>
    <m/>
    <x v="0"/>
  </r>
  <r>
    <n v="5069468"/>
    <x v="0"/>
    <s v="N"/>
    <s v="Y"/>
    <n v="0"/>
    <x v="2"/>
    <x v="1"/>
    <x v="0"/>
    <x v="1"/>
    <x v="0"/>
    <d v="1997-11-24T00:00:00"/>
    <n v="-9890"/>
    <x v="1575"/>
    <x v="4"/>
    <n v="-719"/>
    <n v="1.9685147159479808"/>
    <x v="1"/>
    <n v="1"/>
    <n v="0"/>
    <n v="0"/>
    <n v="0"/>
    <m/>
    <x v="1"/>
  </r>
  <r>
    <n v="5069474"/>
    <x v="0"/>
    <s v="N"/>
    <s v="Y"/>
    <n v="2"/>
    <x v="8"/>
    <x v="2"/>
    <x v="0"/>
    <x v="1"/>
    <x v="0"/>
    <d v="1987-09-28T00:00:00"/>
    <n v="-13600"/>
    <x v="1576"/>
    <x v="3"/>
    <n v="-5711"/>
    <n v="15.635865845311431"/>
    <x v="1"/>
    <n v="1"/>
    <n v="0"/>
    <n v="1"/>
    <n v="0"/>
    <s v="Core staff"/>
    <x v="2"/>
  </r>
  <r>
    <n v="5069476"/>
    <x v="0"/>
    <s v="N"/>
    <s v="Y"/>
    <n v="2"/>
    <x v="8"/>
    <x v="2"/>
    <x v="0"/>
    <x v="1"/>
    <x v="0"/>
    <d v="1987-09-28T00:00:00"/>
    <n v="-13600"/>
    <x v="1576"/>
    <x v="3"/>
    <n v="-5711"/>
    <n v="15.635865845311431"/>
    <x v="1"/>
    <n v="1"/>
    <n v="0"/>
    <n v="1"/>
    <n v="0"/>
    <s v="Core staff"/>
    <x v="2"/>
  </r>
  <r>
    <n v="5069480"/>
    <x v="0"/>
    <s v="N"/>
    <s v="Y"/>
    <n v="0"/>
    <x v="5"/>
    <x v="2"/>
    <x v="0"/>
    <x v="1"/>
    <x v="0"/>
    <d v="1978-04-12T00:00:00"/>
    <n v="-17056"/>
    <x v="1577"/>
    <x v="1"/>
    <n v="-10094"/>
    <n v="27.635865845311429"/>
    <x v="1"/>
    <n v="1"/>
    <n v="1"/>
    <n v="1"/>
    <n v="0"/>
    <s v="Core staff"/>
    <x v="1"/>
  </r>
  <r>
    <n v="5069488"/>
    <x v="0"/>
    <s v="Y"/>
    <s v="Y"/>
    <n v="0"/>
    <x v="5"/>
    <x v="1"/>
    <x v="1"/>
    <x v="1"/>
    <x v="0"/>
    <d v="1985-09-28T00:00:00"/>
    <n v="-14330"/>
    <x v="1578"/>
    <x v="3"/>
    <n v="-1936"/>
    <n v="5.3004791238877482"/>
    <x v="1"/>
    <n v="1"/>
    <n v="0"/>
    <n v="0"/>
    <n v="0"/>
    <s v="Sales staff"/>
    <x v="1"/>
  </r>
  <r>
    <n v="5069494"/>
    <x v="0"/>
    <s v="Y"/>
    <s v="Y"/>
    <n v="0"/>
    <x v="5"/>
    <x v="1"/>
    <x v="1"/>
    <x v="1"/>
    <x v="0"/>
    <d v="1985-09-28T00:00:00"/>
    <n v="-14330"/>
    <x v="1578"/>
    <x v="3"/>
    <n v="-1936"/>
    <n v="5.3004791238877482"/>
    <x v="1"/>
    <n v="1"/>
    <n v="0"/>
    <n v="0"/>
    <n v="0"/>
    <s v="Sales staff"/>
    <x v="1"/>
  </r>
  <r>
    <n v="5069500"/>
    <x v="0"/>
    <s v="Y"/>
    <s v="Y"/>
    <n v="0"/>
    <x v="5"/>
    <x v="1"/>
    <x v="1"/>
    <x v="1"/>
    <x v="0"/>
    <d v="1985-09-28T00:00:00"/>
    <n v="-14330"/>
    <x v="1578"/>
    <x v="3"/>
    <n v="-1936"/>
    <n v="5.3004791238877482"/>
    <x v="1"/>
    <n v="1"/>
    <n v="0"/>
    <n v="0"/>
    <n v="0"/>
    <s v="Sales staff"/>
    <x v="1"/>
  </r>
  <r>
    <n v="5069506"/>
    <x v="1"/>
    <s v="Y"/>
    <s v="N"/>
    <n v="0"/>
    <x v="8"/>
    <x v="2"/>
    <x v="1"/>
    <x v="1"/>
    <x v="4"/>
    <d v="1985-02-28T00:00:00"/>
    <n v="-14542"/>
    <x v="1579"/>
    <x v="3"/>
    <n v="-444"/>
    <n v="1.215605749486653"/>
    <x v="1"/>
    <n v="1"/>
    <n v="1"/>
    <n v="1"/>
    <n v="1"/>
    <m/>
    <x v="1"/>
  </r>
  <r>
    <n v="5069523"/>
    <x v="0"/>
    <s v="N"/>
    <s v="Y"/>
    <n v="1"/>
    <x v="18"/>
    <x v="1"/>
    <x v="0"/>
    <x v="1"/>
    <x v="0"/>
    <d v="1984-04-26T00:00:00"/>
    <n v="-14850"/>
    <x v="1580"/>
    <x v="1"/>
    <n v="-232"/>
    <n v="0.63518138261464752"/>
    <x v="1"/>
    <n v="1"/>
    <n v="0"/>
    <n v="0"/>
    <n v="1"/>
    <s v="Core staff"/>
    <x v="3"/>
  </r>
  <r>
    <n v="5069530"/>
    <x v="0"/>
    <s v="N"/>
    <s v="Y"/>
    <n v="0"/>
    <x v="69"/>
    <x v="2"/>
    <x v="0"/>
    <x v="2"/>
    <x v="0"/>
    <d v="1969-12-17T00:00:00"/>
    <n v="-20094"/>
    <x v="1581"/>
    <x v="2"/>
    <n v="-3488"/>
    <n v="9.54962354551677"/>
    <x v="1"/>
    <n v="1"/>
    <n v="0"/>
    <n v="0"/>
    <n v="0"/>
    <m/>
    <x v="0"/>
  </r>
  <r>
    <n v="5074526"/>
    <x v="0"/>
    <s v="N"/>
    <s v="Y"/>
    <n v="0"/>
    <x v="11"/>
    <x v="1"/>
    <x v="1"/>
    <x v="2"/>
    <x v="0"/>
    <d v="1972-10-23T00:00:00"/>
    <n v="-19053"/>
    <x v="1582"/>
    <x v="2"/>
    <n v="-3629"/>
    <n v="9.935660506502396"/>
    <x v="1"/>
    <n v="1"/>
    <n v="0"/>
    <n v="0"/>
    <n v="0"/>
    <s v="High skill tech staff"/>
    <x v="0"/>
  </r>
  <r>
    <n v="5074591"/>
    <x v="0"/>
    <s v="Y"/>
    <s v="Y"/>
    <n v="0"/>
    <x v="30"/>
    <x v="2"/>
    <x v="1"/>
    <x v="1"/>
    <x v="0"/>
    <d v="1965-12-09T00:00:00"/>
    <n v="-21563"/>
    <x v="1583"/>
    <x v="2"/>
    <n v="-3509"/>
    <n v="9.6071184120465443"/>
    <x v="1"/>
    <n v="1"/>
    <n v="1"/>
    <n v="1"/>
    <n v="0"/>
    <s v="Sales staff"/>
    <x v="1"/>
  </r>
  <r>
    <n v="5074615"/>
    <x v="0"/>
    <s v="N"/>
    <s v="Y"/>
    <n v="0"/>
    <x v="86"/>
    <x v="0"/>
    <x v="1"/>
    <x v="1"/>
    <x v="0"/>
    <d v="1965-10-05T00:00:00"/>
    <n v="-21628"/>
    <x v="1584"/>
    <x v="2"/>
    <n v="365243"/>
    <n v="0"/>
    <x v="0"/>
    <n v="1"/>
    <n v="0"/>
    <n v="0"/>
    <n v="0"/>
    <m/>
    <x v="1"/>
  </r>
  <r>
    <n v="5074661"/>
    <x v="1"/>
    <s v="N"/>
    <s v="Y"/>
    <n v="0"/>
    <x v="1"/>
    <x v="2"/>
    <x v="1"/>
    <x v="1"/>
    <x v="0"/>
    <d v="1965-06-13T00:00:00"/>
    <n v="-21742"/>
    <x v="1585"/>
    <x v="2"/>
    <n v="-3144"/>
    <n v="8.6078028747433262"/>
    <x v="1"/>
    <n v="1"/>
    <n v="0"/>
    <n v="0"/>
    <n v="0"/>
    <s v="Laborers"/>
    <x v="1"/>
  </r>
  <r>
    <n v="5074684"/>
    <x v="0"/>
    <s v="Y"/>
    <s v="N"/>
    <n v="0"/>
    <x v="1"/>
    <x v="0"/>
    <x v="1"/>
    <x v="1"/>
    <x v="0"/>
    <d v="1964-09-14T00:00:00"/>
    <n v="-22014"/>
    <x v="1586"/>
    <x v="0"/>
    <n v="365243"/>
    <n v="0"/>
    <x v="0"/>
    <n v="1"/>
    <n v="0"/>
    <n v="0"/>
    <n v="0"/>
    <m/>
    <x v="1"/>
  </r>
  <r>
    <n v="5074698"/>
    <x v="0"/>
    <s v="N"/>
    <s v="Y"/>
    <n v="0"/>
    <x v="5"/>
    <x v="2"/>
    <x v="0"/>
    <x v="2"/>
    <x v="0"/>
    <d v="1964-02-06T00:00:00"/>
    <n v="-22235"/>
    <x v="1587"/>
    <x v="0"/>
    <n v="-10600"/>
    <n v="29.021218343600275"/>
    <x v="1"/>
    <n v="1"/>
    <n v="0"/>
    <n v="0"/>
    <n v="0"/>
    <s v="Laborers"/>
    <x v="0"/>
  </r>
  <r>
    <n v="5074745"/>
    <x v="0"/>
    <s v="N"/>
    <s v="Y"/>
    <n v="0"/>
    <x v="2"/>
    <x v="0"/>
    <x v="1"/>
    <x v="1"/>
    <x v="0"/>
    <d v="1960-06-02T00:00:00"/>
    <n v="-23579"/>
    <x v="1588"/>
    <x v="0"/>
    <n v="365243"/>
    <n v="0"/>
    <x v="0"/>
    <n v="1"/>
    <n v="0"/>
    <n v="0"/>
    <n v="0"/>
    <m/>
    <x v="1"/>
  </r>
  <r>
    <n v="5074753"/>
    <x v="0"/>
    <s v="N"/>
    <s v="Y"/>
    <n v="0"/>
    <x v="68"/>
    <x v="0"/>
    <x v="1"/>
    <x v="3"/>
    <x v="0"/>
    <d v="1962-06-02T00:00:00"/>
    <n v="-22849"/>
    <x v="1589"/>
    <x v="0"/>
    <n v="365243"/>
    <n v="0"/>
    <x v="0"/>
    <n v="1"/>
    <n v="0"/>
    <n v="0"/>
    <n v="0"/>
    <m/>
    <x v="1"/>
  </r>
  <r>
    <n v="5074803"/>
    <x v="0"/>
    <s v="Y"/>
    <s v="Y"/>
    <n v="2"/>
    <x v="8"/>
    <x v="2"/>
    <x v="1"/>
    <x v="1"/>
    <x v="0"/>
    <d v="1988-12-11T00:00:00"/>
    <n v="-13160"/>
    <x v="1590"/>
    <x v="3"/>
    <n v="-6156"/>
    <n v="16.854209445585216"/>
    <x v="1"/>
    <n v="1"/>
    <n v="0"/>
    <n v="0"/>
    <n v="0"/>
    <m/>
    <x v="2"/>
  </r>
  <r>
    <n v="5078781"/>
    <x v="0"/>
    <s v="N"/>
    <s v="Y"/>
    <n v="2"/>
    <x v="55"/>
    <x v="2"/>
    <x v="1"/>
    <x v="1"/>
    <x v="0"/>
    <d v="1982-05-10T00:00:00"/>
    <n v="-15567"/>
    <x v="1591"/>
    <x v="1"/>
    <n v="-1882"/>
    <n v="5.1526351813826148"/>
    <x v="1"/>
    <n v="1"/>
    <n v="1"/>
    <n v="1"/>
    <n v="0"/>
    <s v="Laborers"/>
    <x v="2"/>
  </r>
  <r>
    <n v="5078817"/>
    <x v="0"/>
    <s v="N"/>
    <s v="N"/>
    <n v="2"/>
    <x v="8"/>
    <x v="1"/>
    <x v="1"/>
    <x v="1"/>
    <x v="0"/>
    <d v="1985-05-05T00:00:00"/>
    <n v="-14476"/>
    <x v="630"/>
    <x v="3"/>
    <n v="-4987"/>
    <n v="13.653661875427789"/>
    <x v="1"/>
    <n v="1"/>
    <n v="0"/>
    <n v="0"/>
    <n v="0"/>
    <s v="High skill tech staff"/>
    <x v="2"/>
  </r>
  <r>
    <n v="5078829"/>
    <x v="1"/>
    <s v="Y"/>
    <s v="N"/>
    <n v="1"/>
    <x v="1"/>
    <x v="1"/>
    <x v="1"/>
    <x v="2"/>
    <x v="0"/>
    <d v="1977-12-02T00:00:00"/>
    <n v="-17187"/>
    <x v="1592"/>
    <x v="1"/>
    <n v="-178"/>
    <n v="0.48733744010951402"/>
    <x v="1"/>
    <n v="1"/>
    <n v="0"/>
    <n v="0"/>
    <n v="0"/>
    <s v="Drivers"/>
    <x v="1"/>
  </r>
  <r>
    <n v="5078852"/>
    <x v="1"/>
    <s v="Y"/>
    <s v="Y"/>
    <n v="0"/>
    <x v="1"/>
    <x v="2"/>
    <x v="0"/>
    <x v="3"/>
    <x v="0"/>
    <d v="1972-01-28T00:00:00"/>
    <n v="-19322"/>
    <x v="1593"/>
    <x v="2"/>
    <n v="-663"/>
    <n v="1.8151950718685832"/>
    <x v="1"/>
    <n v="1"/>
    <n v="1"/>
    <n v="1"/>
    <n v="0"/>
    <s v="Laborers"/>
    <x v="1"/>
  </r>
  <r>
    <n v="5078853"/>
    <x v="1"/>
    <s v="Y"/>
    <s v="Y"/>
    <n v="0"/>
    <x v="1"/>
    <x v="2"/>
    <x v="0"/>
    <x v="3"/>
    <x v="0"/>
    <d v="1972-01-28T00:00:00"/>
    <n v="-19322"/>
    <x v="1593"/>
    <x v="2"/>
    <n v="-663"/>
    <n v="1.8151950718685832"/>
    <x v="1"/>
    <n v="1"/>
    <n v="1"/>
    <n v="1"/>
    <n v="0"/>
    <s v="Laborers"/>
    <x v="1"/>
  </r>
  <r>
    <n v="5078857"/>
    <x v="1"/>
    <s v="N"/>
    <s v="N"/>
    <n v="0"/>
    <x v="14"/>
    <x v="2"/>
    <x v="1"/>
    <x v="1"/>
    <x v="1"/>
    <d v="1986-10-05T00:00:00"/>
    <n v="-13958"/>
    <x v="128"/>
    <x v="3"/>
    <n v="-969"/>
    <n v="2.6529774127310062"/>
    <x v="1"/>
    <n v="1"/>
    <n v="0"/>
    <n v="1"/>
    <n v="0"/>
    <s v="Drivers"/>
    <x v="1"/>
  </r>
  <r>
    <n v="5078863"/>
    <x v="0"/>
    <s v="N"/>
    <s v="Y"/>
    <n v="1"/>
    <x v="43"/>
    <x v="2"/>
    <x v="1"/>
    <x v="1"/>
    <x v="0"/>
    <d v="1988-01-18T00:00:00"/>
    <n v="-13488"/>
    <x v="1594"/>
    <x v="3"/>
    <n v="-1305"/>
    <n v="3.5728952772073921"/>
    <x v="1"/>
    <n v="1"/>
    <n v="1"/>
    <n v="0"/>
    <n v="0"/>
    <s v="Cooking staff"/>
    <x v="3"/>
  </r>
  <r>
    <n v="5078871"/>
    <x v="1"/>
    <s v="Y"/>
    <s v="N"/>
    <n v="1"/>
    <x v="8"/>
    <x v="1"/>
    <x v="1"/>
    <x v="1"/>
    <x v="0"/>
    <d v="1992-05-29T00:00:00"/>
    <n v="-11895"/>
    <x v="1595"/>
    <x v="3"/>
    <n v="-663"/>
    <n v="1.8151950718685832"/>
    <x v="1"/>
    <n v="1"/>
    <n v="0"/>
    <n v="0"/>
    <n v="0"/>
    <s v="Laborers"/>
    <x v="3"/>
  </r>
  <r>
    <n v="5078877"/>
    <x v="0"/>
    <s v="N"/>
    <s v="Y"/>
    <n v="0"/>
    <x v="43"/>
    <x v="0"/>
    <x v="1"/>
    <x v="4"/>
    <x v="0"/>
    <d v="1966-06-24T00:00:00"/>
    <n v="-21366"/>
    <x v="1596"/>
    <x v="2"/>
    <n v="365243"/>
    <n v="0"/>
    <x v="0"/>
    <n v="1"/>
    <n v="0"/>
    <n v="0"/>
    <n v="0"/>
    <m/>
    <x v="0"/>
  </r>
  <r>
    <n v="5078882"/>
    <x v="0"/>
    <s v="N"/>
    <s v="Y"/>
    <n v="0"/>
    <x v="43"/>
    <x v="0"/>
    <x v="1"/>
    <x v="4"/>
    <x v="0"/>
    <d v="1966-06-24T00:00:00"/>
    <n v="-21366"/>
    <x v="1596"/>
    <x v="2"/>
    <n v="365243"/>
    <n v="0"/>
    <x v="0"/>
    <n v="1"/>
    <n v="0"/>
    <n v="0"/>
    <n v="0"/>
    <m/>
    <x v="0"/>
  </r>
  <r>
    <n v="5078889"/>
    <x v="0"/>
    <s v="Y"/>
    <s v="Y"/>
    <n v="0"/>
    <x v="10"/>
    <x v="1"/>
    <x v="1"/>
    <x v="1"/>
    <x v="5"/>
    <d v="1978-02-20T00:00:00"/>
    <n v="-17107"/>
    <x v="1445"/>
    <x v="1"/>
    <n v="-2277"/>
    <n v="6.2340862422997949"/>
    <x v="1"/>
    <n v="1"/>
    <n v="0"/>
    <n v="0"/>
    <n v="0"/>
    <s v="Core staff"/>
    <x v="1"/>
  </r>
  <r>
    <n v="5078900"/>
    <x v="0"/>
    <s v="N"/>
    <s v="Y"/>
    <n v="1"/>
    <x v="16"/>
    <x v="2"/>
    <x v="0"/>
    <x v="3"/>
    <x v="0"/>
    <d v="1987-04-14T00:00:00"/>
    <n v="-13767"/>
    <x v="1597"/>
    <x v="3"/>
    <n v="-1882"/>
    <n v="5.1526351813826148"/>
    <x v="1"/>
    <n v="1"/>
    <n v="0"/>
    <n v="0"/>
    <n v="0"/>
    <s v="Sales staff"/>
    <x v="3"/>
  </r>
  <r>
    <n v="5078901"/>
    <x v="0"/>
    <s v="N"/>
    <s v="Y"/>
    <n v="1"/>
    <x v="16"/>
    <x v="2"/>
    <x v="0"/>
    <x v="3"/>
    <x v="0"/>
    <d v="1987-04-14T00:00:00"/>
    <n v="-13767"/>
    <x v="1597"/>
    <x v="3"/>
    <n v="-1882"/>
    <n v="5.1526351813826148"/>
    <x v="1"/>
    <n v="1"/>
    <n v="0"/>
    <n v="0"/>
    <n v="0"/>
    <s v="Sales staff"/>
    <x v="3"/>
  </r>
  <r>
    <n v="5078905"/>
    <x v="0"/>
    <s v="N"/>
    <s v="Y"/>
    <n v="1"/>
    <x v="16"/>
    <x v="2"/>
    <x v="0"/>
    <x v="3"/>
    <x v="0"/>
    <d v="1987-04-14T00:00:00"/>
    <n v="-13767"/>
    <x v="1597"/>
    <x v="3"/>
    <n v="-1882"/>
    <n v="5.1526351813826148"/>
    <x v="1"/>
    <n v="1"/>
    <n v="0"/>
    <n v="0"/>
    <n v="0"/>
    <s v="Sales staff"/>
    <x v="3"/>
  </r>
  <r>
    <n v="5078906"/>
    <x v="0"/>
    <s v="N"/>
    <s v="Y"/>
    <n v="1"/>
    <x v="16"/>
    <x v="2"/>
    <x v="0"/>
    <x v="3"/>
    <x v="0"/>
    <d v="1987-04-14T00:00:00"/>
    <n v="-13767"/>
    <x v="1597"/>
    <x v="3"/>
    <n v="-1882"/>
    <n v="5.1526351813826148"/>
    <x v="1"/>
    <n v="1"/>
    <n v="0"/>
    <n v="0"/>
    <n v="0"/>
    <s v="Sales staff"/>
    <x v="3"/>
  </r>
  <r>
    <n v="5078932"/>
    <x v="1"/>
    <s v="N"/>
    <s v="N"/>
    <n v="0"/>
    <x v="2"/>
    <x v="1"/>
    <x v="1"/>
    <x v="2"/>
    <x v="4"/>
    <d v="1981-07-28T00:00:00"/>
    <n v="-15853"/>
    <x v="1598"/>
    <x v="1"/>
    <n v="-298"/>
    <n v="0.81587953456536622"/>
    <x v="1"/>
    <n v="1"/>
    <n v="0"/>
    <n v="1"/>
    <n v="0"/>
    <s v="Laborers"/>
    <x v="0"/>
  </r>
  <r>
    <n v="5078960"/>
    <x v="0"/>
    <s v="N"/>
    <s v="Y"/>
    <n v="0"/>
    <x v="5"/>
    <x v="1"/>
    <x v="1"/>
    <x v="0"/>
    <x v="0"/>
    <d v="1992-02-05T00:00:00"/>
    <n v="-12009"/>
    <x v="1599"/>
    <x v="3"/>
    <n v="-1912"/>
    <n v="5.2347707049965777"/>
    <x v="1"/>
    <n v="1"/>
    <n v="0"/>
    <n v="1"/>
    <n v="0"/>
    <s v="Sales staff"/>
    <x v="0"/>
  </r>
  <r>
    <n v="5079007"/>
    <x v="1"/>
    <s v="N"/>
    <s v="Y"/>
    <n v="0"/>
    <x v="11"/>
    <x v="1"/>
    <x v="0"/>
    <x v="1"/>
    <x v="4"/>
    <d v="1967-11-27T00:00:00"/>
    <n v="-20845"/>
    <x v="1600"/>
    <x v="2"/>
    <n v="-847"/>
    <n v="2.3189596167008899"/>
    <x v="1"/>
    <n v="1"/>
    <n v="0"/>
    <n v="0"/>
    <n v="0"/>
    <m/>
    <x v="1"/>
  </r>
  <r>
    <n v="5079008"/>
    <x v="1"/>
    <s v="Y"/>
    <s v="Y"/>
    <n v="1"/>
    <x v="8"/>
    <x v="2"/>
    <x v="1"/>
    <x v="1"/>
    <x v="0"/>
    <d v="1985-11-14T00:00:00"/>
    <n v="-14283"/>
    <x v="1601"/>
    <x v="3"/>
    <n v="-1609"/>
    <n v="4.4052019164955514"/>
    <x v="1"/>
    <n v="1"/>
    <n v="0"/>
    <n v="0"/>
    <n v="0"/>
    <s v="Managers"/>
    <x v="3"/>
  </r>
  <r>
    <n v="5079013"/>
    <x v="1"/>
    <s v="Y"/>
    <s v="Y"/>
    <n v="2"/>
    <x v="120"/>
    <x v="1"/>
    <x v="0"/>
    <x v="1"/>
    <x v="0"/>
    <d v="1997-11-25T00:00:00"/>
    <n v="-9889"/>
    <x v="1602"/>
    <x v="4"/>
    <n v="-1000"/>
    <n v="2.7378507871321012"/>
    <x v="1"/>
    <n v="1"/>
    <n v="0"/>
    <n v="0"/>
    <n v="0"/>
    <s v="Managers"/>
    <x v="2"/>
  </r>
  <r>
    <n v="5079024"/>
    <x v="0"/>
    <s v="N"/>
    <s v="Y"/>
    <n v="0"/>
    <x v="1"/>
    <x v="0"/>
    <x v="3"/>
    <x v="1"/>
    <x v="0"/>
    <d v="1963-03-09T00:00:00"/>
    <n v="-22569"/>
    <x v="642"/>
    <x v="0"/>
    <n v="365243"/>
    <n v="0"/>
    <x v="0"/>
    <n v="1"/>
    <n v="0"/>
    <n v="0"/>
    <n v="0"/>
    <m/>
    <x v="1"/>
  </r>
  <r>
    <n v="5079028"/>
    <x v="0"/>
    <s v="N"/>
    <s v="Y"/>
    <n v="0"/>
    <x v="1"/>
    <x v="0"/>
    <x v="3"/>
    <x v="1"/>
    <x v="0"/>
    <d v="1963-03-09T00:00:00"/>
    <n v="-22569"/>
    <x v="642"/>
    <x v="0"/>
    <n v="365243"/>
    <n v="0"/>
    <x v="0"/>
    <n v="1"/>
    <n v="0"/>
    <n v="0"/>
    <n v="0"/>
    <m/>
    <x v="1"/>
  </r>
  <r>
    <n v="5079060"/>
    <x v="1"/>
    <s v="Y"/>
    <s v="N"/>
    <n v="0"/>
    <x v="43"/>
    <x v="2"/>
    <x v="1"/>
    <x v="1"/>
    <x v="0"/>
    <d v="1984-04-07T00:00:00"/>
    <n v="-14869"/>
    <x v="1603"/>
    <x v="1"/>
    <n v="-6904"/>
    <n v="18.902121834360027"/>
    <x v="1"/>
    <n v="1"/>
    <n v="0"/>
    <n v="1"/>
    <n v="0"/>
    <s v="Laborers"/>
    <x v="1"/>
  </r>
  <r>
    <n v="5079072"/>
    <x v="0"/>
    <s v="N"/>
    <s v="Y"/>
    <n v="0"/>
    <x v="7"/>
    <x v="2"/>
    <x v="1"/>
    <x v="1"/>
    <x v="0"/>
    <d v="1982-05-08T00:00:00"/>
    <n v="-15569"/>
    <x v="1604"/>
    <x v="1"/>
    <n v="-1639"/>
    <n v="4.4873374401095143"/>
    <x v="1"/>
    <n v="1"/>
    <n v="1"/>
    <n v="0"/>
    <n v="0"/>
    <s v="Core staff"/>
    <x v="1"/>
  </r>
  <r>
    <n v="5079073"/>
    <x v="0"/>
    <s v="N"/>
    <s v="Y"/>
    <n v="0"/>
    <x v="7"/>
    <x v="2"/>
    <x v="1"/>
    <x v="1"/>
    <x v="0"/>
    <d v="1982-05-08T00:00:00"/>
    <n v="-15569"/>
    <x v="1604"/>
    <x v="1"/>
    <n v="-1639"/>
    <n v="4.4873374401095143"/>
    <x v="1"/>
    <n v="1"/>
    <n v="1"/>
    <n v="0"/>
    <n v="0"/>
    <s v="Core staff"/>
    <x v="1"/>
  </r>
  <r>
    <n v="5079077"/>
    <x v="0"/>
    <s v="N"/>
    <s v="Y"/>
    <n v="0"/>
    <x v="7"/>
    <x v="2"/>
    <x v="1"/>
    <x v="1"/>
    <x v="0"/>
    <d v="1982-05-08T00:00:00"/>
    <n v="-15569"/>
    <x v="1604"/>
    <x v="1"/>
    <n v="-1639"/>
    <n v="4.4873374401095143"/>
    <x v="1"/>
    <n v="1"/>
    <n v="1"/>
    <n v="0"/>
    <n v="0"/>
    <s v="Core staff"/>
    <x v="1"/>
  </r>
  <r>
    <n v="5079080"/>
    <x v="0"/>
    <s v="N"/>
    <s v="Y"/>
    <n v="2"/>
    <x v="16"/>
    <x v="1"/>
    <x v="1"/>
    <x v="1"/>
    <x v="0"/>
    <d v="1989-11-15T00:00:00"/>
    <n v="-12821"/>
    <x v="793"/>
    <x v="3"/>
    <n v="-5657"/>
    <n v="15.488021902806297"/>
    <x v="1"/>
    <n v="1"/>
    <n v="0"/>
    <n v="0"/>
    <n v="0"/>
    <s v="Laborers"/>
    <x v="2"/>
  </r>
  <r>
    <n v="5079092"/>
    <x v="1"/>
    <s v="Y"/>
    <s v="Y"/>
    <n v="1"/>
    <x v="2"/>
    <x v="2"/>
    <x v="1"/>
    <x v="1"/>
    <x v="0"/>
    <d v="1990-07-23T00:00:00"/>
    <n v="-12571"/>
    <x v="1605"/>
    <x v="3"/>
    <n v="-451"/>
    <n v="1.2347707049965777"/>
    <x v="1"/>
    <n v="1"/>
    <n v="1"/>
    <n v="0"/>
    <n v="1"/>
    <s v="Drivers"/>
    <x v="3"/>
  </r>
  <r>
    <n v="5079111"/>
    <x v="1"/>
    <s v="Y"/>
    <s v="Y"/>
    <n v="1"/>
    <x v="5"/>
    <x v="1"/>
    <x v="1"/>
    <x v="1"/>
    <x v="0"/>
    <d v="1988-09-16T00:00:00"/>
    <n v="-13246"/>
    <x v="1606"/>
    <x v="3"/>
    <n v="-635"/>
    <n v="1.7385352498288844"/>
    <x v="1"/>
    <n v="1"/>
    <n v="0"/>
    <n v="0"/>
    <n v="0"/>
    <s v="Managers"/>
    <x v="3"/>
  </r>
  <r>
    <n v="5079118"/>
    <x v="1"/>
    <s v="N"/>
    <s v="Y"/>
    <n v="0"/>
    <x v="11"/>
    <x v="2"/>
    <x v="1"/>
    <x v="1"/>
    <x v="0"/>
    <d v="1978-07-19T00:00:00"/>
    <n v="-16958"/>
    <x v="1607"/>
    <x v="1"/>
    <n v="-298"/>
    <n v="0.81587953456536622"/>
    <x v="1"/>
    <n v="1"/>
    <n v="0"/>
    <n v="0"/>
    <n v="0"/>
    <m/>
    <x v="1"/>
  </r>
  <r>
    <n v="5079120"/>
    <x v="1"/>
    <s v="N"/>
    <s v="Y"/>
    <n v="0"/>
    <x v="11"/>
    <x v="2"/>
    <x v="1"/>
    <x v="1"/>
    <x v="0"/>
    <d v="1978-07-19T00:00:00"/>
    <n v="-16958"/>
    <x v="1607"/>
    <x v="1"/>
    <n v="-298"/>
    <n v="0.81587953456536622"/>
    <x v="1"/>
    <n v="1"/>
    <n v="0"/>
    <n v="0"/>
    <n v="0"/>
    <m/>
    <x v="1"/>
  </r>
  <r>
    <n v="5079143"/>
    <x v="0"/>
    <s v="N"/>
    <s v="Y"/>
    <n v="2"/>
    <x v="37"/>
    <x v="2"/>
    <x v="1"/>
    <x v="0"/>
    <x v="0"/>
    <d v="1987-01-03T00:00:00"/>
    <n v="-13868"/>
    <x v="1608"/>
    <x v="3"/>
    <n v="-3008"/>
    <n v="8.2354551676933614"/>
    <x v="1"/>
    <n v="1"/>
    <n v="1"/>
    <n v="0"/>
    <n v="0"/>
    <s v="Sales staff"/>
    <x v="3"/>
  </r>
  <r>
    <n v="5079152"/>
    <x v="1"/>
    <s v="Y"/>
    <s v="N"/>
    <n v="0"/>
    <x v="8"/>
    <x v="2"/>
    <x v="0"/>
    <x v="1"/>
    <x v="0"/>
    <d v="1984-08-25T00:00:00"/>
    <n v="-14729"/>
    <x v="1609"/>
    <x v="1"/>
    <n v="-3251"/>
    <n v="8.9007529089664619"/>
    <x v="1"/>
    <n v="1"/>
    <n v="0"/>
    <n v="0"/>
    <n v="0"/>
    <s v="Laborers"/>
    <x v="1"/>
  </r>
  <r>
    <n v="5079155"/>
    <x v="0"/>
    <s v="Y"/>
    <s v="Y"/>
    <n v="0"/>
    <x v="60"/>
    <x v="2"/>
    <x v="1"/>
    <x v="3"/>
    <x v="0"/>
    <d v="1984-11-02T00:00:00"/>
    <n v="-14660"/>
    <x v="1610"/>
    <x v="1"/>
    <n v="-1060"/>
    <n v="2.9021218343600275"/>
    <x v="1"/>
    <n v="1"/>
    <n v="0"/>
    <n v="0"/>
    <n v="0"/>
    <s v="Cleaning staff"/>
    <x v="1"/>
  </r>
  <r>
    <n v="5079156"/>
    <x v="0"/>
    <s v="Y"/>
    <s v="Y"/>
    <n v="0"/>
    <x v="60"/>
    <x v="2"/>
    <x v="1"/>
    <x v="3"/>
    <x v="0"/>
    <d v="1984-11-02T00:00:00"/>
    <n v="-14660"/>
    <x v="1610"/>
    <x v="1"/>
    <n v="-1060"/>
    <n v="2.9021218343600275"/>
    <x v="1"/>
    <n v="1"/>
    <n v="0"/>
    <n v="0"/>
    <n v="0"/>
    <s v="Cleaning staff"/>
    <x v="1"/>
  </r>
  <r>
    <n v="5079159"/>
    <x v="0"/>
    <s v="Y"/>
    <s v="Y"/>
    <n v="3"/>
    <x v="5"/>
    <x v="2"/>
    <x v="0"/>
    <x v="1"/>
    <x v="0"/>
    <d v="1989-10-24T00:00:00"/>
    <n v="-12843"/>
    <x v="1611"/>
    <x v="3"/>
    <n v="-755"/>
    <n v="2.0670773442847366"/>
    <x v="1"/>
    <n v="1"/>
    <n v="0"/>
    <n v="0"/>
    <n v="0"/>
    <s v="Core staff"/>
    <x v="4"/>
  </r>
  <r>
    <n v="5079171"/>
    <x v="0"/>
    <s v="N"/>
    <s v="Y"/>
    <n v="0"/>
    <x v="18"/>
    <x v="0"/>
    <x v="1"/>
    <x v="2"/>
    <x v="0"/>
    <d v="1964-08-29T00:00:00"/>
    <n v="-22030"/>
    <x v="1612"/>
    <x v="0"/>
    <n v="365243"/>
    <n v="0"/>
    <x v="0"/>
    <n v="1"/>
    <n v="0"/>
    <n v="0"/>
    <n v="0"/>
    <m/>
    <x v="0"/>
  </r>
  <r>
    <n v="5079197"/>
    <x v="0"/>
    <s v="N"/>
    <s v="Y"/>
    <n v="0"/>
    <x v="37"/>
    <x v="2"/>
    <x v="1"/>
    <x v="0"/>
    <x v="0"/>
    <d v="1971-05-03T00:00:00"/>
    <n v="-19592"/>
    <x v="1613"/>
    <x v="2"/>
    <n v="-3131"/>
    <n v="8.5722108145106084"/>
    <x v="1"/>
    <n v="1"/>
    <n v="0"/>
    <n v="0"/>
    <n v="0"/>
    <m/>
    <x v="0"/>
  </r>
  <r>
    <n v="5079199"/>
    <x v="1"/>
    <s v="N"/>
    <s v="Y"/>
    <n v="1"/>
    <x v="5"/>
    <x v="2"/>
    <x v="1"/>
    <x v="1"/>
    <x v="0"/>
    <d v="1994-10-13T00:00:00"/>
    <n v="-11028"/>
    <x v="1614"/>
    <x v="3"/>
    <n v="-133"/>
    <n v="0.36413415468856947"/>
    <x v="1"/>
    <n v="1"/>
    <n v="1"/>
    <n v="1"/>
    <n v="0"/>
    <s v="Security staff"/>
    <x v="3"/>
  </r>
  <r>
    <n v="5079203"/>
    <x v="1"/>
    <s v="Y"/>
    <s v="Y"/>
    <n v="0"/>
    <x v="11"/>
    <x v="2"/>
    <x v="1"/>
    <x v="1"/>
    <x v="0"/>
    <d v="1974-08-01T00:00:00"/>
    <n v="-18406"/>
    <x v="1615"/>
    <x v="2"/>
    <n v="-5961"/>
    <n v="16.320328542094455"/>
    <x v="1"/>
    <n v="1"/>
    <n v="1"/>
    <n v="1"/>
    <n v="0"/>
    <s v="Drivers"/>
    <x v="1"/>
  </r>
  <r>
    <n v="5079211"/>
    <x v="1"/>
    <s v="N"/>
    <s v="Y"/>
    <n v="0"/>
    <x v="5"/>
    <x v="2"/>
    <x v="1"/>
    <x v="1"/>
    <x v="0"/>
    <d v="1977-02-18T00:00:00"/>
    <n v="-17474"/>
    <x v="1616"/>
    <x v="1"/>
    <n v="-1152"/>
    <n v="3.1540041067761808"/>
    <x v="1"/>
    <n v="1"/>
    <n v="0"/>
    <n v="0"/>
    <n v="0"/>
    <s v="Laborers"/>
    <x v="1"/>
  </r>
  <r>
    <n v="5079224"/>
    <x v="1"/>
    <s v="N"/>
    <s v="Y"/>
    <n v="0"/>
    <x v="35"/>
    <x v="0"/>
    <x v="1"/>
    <x v="3"/>
    <x v="0"/>
    <d v="1963-02-06T00:00:00"/>
    <n v="-22600"/>
    <x v="638"/>
    <x v="0"/>
    <n v="365243"/>
    <n v="0"/>
    <x v="0"/>
    <n v="1"/>
    <n v="0"/>
    <n v="0"/>
    <n v="0"/>
    <m/>
    <x v="1"/>
  </r>
  <r>
    <n v="5079230"/>
    <x v="0"/>
    <s v="N"/>
    <s v="Y"/>
    <n v="2"/>
    <x v="43"/>
    <x v="1"/>
    <x v="1"/>
    <x v="1"/>
    <x v="0"/>
    <d v="1995-01-10T00:00:00"/>
    <n v="-10939"/>
    <x v="1617"/>
    <x v="4"/>
    <n v="-2247"/>
    <n v="6.151950718685832"/>
    <x v="1"/>
    <n v="1"/>
    <n v="0"/>
    <n v="0"/>
    <n v="0"/>
    <s v="Cooking staff"/>
    <x v="2"/>
  </r>
  <r>
    <n v="5079256"/>
    <x v="0"/>
    <s v="Y"/>
    <s v="Y"/>
    <n v="0"/>
    <x v="69"/>
    <x v="2"/>
    <x v="0"/>
    <x v="0"/>
    <x v="0"/>
    <d v="1982-02-14T00:00:00"/>
    <n v="-15652"/>
    <x v="1618"/>
    <x v="1"/>
    <n v="-3404"/>
    <n v="9.3196440793976727"/>
    <x v="1"/>
    <n v="1"/>
    <n v="1"/>
    <n v="1"/>
    <n v="0"/>
    <s v="Accountants"/>
    <x v="0"/>
  </r>
  <r>
    <n v="5079267"/>
    <x v="0"/>
    <s v="N"/>
    <s v="Y"/>
    <n v="2"/>
    <x v="8"/>
    <x v="2"/>
    <x v="0"/>
    <x v="1"/>
    <x v="0"/>
    <d v="1997-07-08T00:00:00"/>
    <n v="-10029"/>
    <x v="1619"/>
    <x v="4"/>
    <n v="-2705"/>
    <n v="7.4058863791923342"/>
    <x v="1"/>
    <n v="1"/>
    <n v="0"/>
    <n v="0"/>
    <n v="0"/>
    <m/>
    <x v="2"/>
  </r>
  <r>
    <n v="5079273"/>
    <x v="0"/>
    <s v="N"/>
    <s v="Y"/>
    <n v="2"/>
    <x v="8"/>
    <x v="2"/>
    <x v="0"/>
    <x v="1"/>
    <x v="0"/>
    <d v="1997-07-08T00:00:00"/>
    <n v="-10029"/>
    <x v="1619"/>
    <x v="4"/>
    <n v="-2705"/>
    <n v="7.4058863791923342"/>
    <x v="1"/>
    <n v="1"/>
    <n v="0"/>
    <n v="0"/>
    <n v="0"/>
    <m/>
    <x v="2"/>
  </r>
  <r>
    <n v="5079291"/>
    <x v="0"/>
    <s v="N"/>
    <s v="Y"/>
    <n v="1"/>
    <x v="61"/>
    <x v="1"/>
    <x v="0"/>
    <x v="4"/>
    <x v="0"/>
    <d v="1988-09-21T00:00:00"/>
    <n v="-13241"/>
    <x v="1620"/>
    <x v="3"/>
    <n v="-1974"/>
    <n v="5.4045174537987677"/>
    <x v="1"/>
    <n v="1"/>
    <n v="1"/>
    <n v="0"/>
    <n v="0"/>
    <s v="Accountants"/>
    <x v="1"/>
  </r>
  <r>
    <n v="5085652"/>
    <x v="0"/>
    <s v="N"/>
    <s v="N"/>
    <n v="0"/>
    <x v="1"/>
    <x v="2"/>
    <x v="1"/>
    <x v="2"/>
    <x v="1"/>
    <d v="1987-10-03T00:00:00"/>
    <n v="-13595"/>
    <x v="1621"/>
    <x v="3"/>
    <n v="-1387"/>
    <n v="3.7973990417522243"/>
    <x v="1"/>
    <n v="1"/>
    <n v="0"/>
    <n v="0"/>
    <n v="0"/>
    <s v="Laborers"/>
    <x v="0"/>
  </r>
  <r>
    <n v="5085656"/>
    <x v="0"/>
    <s v="N"/>
    <s v="N"/>
    <n v="0"/>
    <x v="1"/>
    <x v="2"/>
    <x v="1"/>
    <x v="2"/>
    <x v="1"/>
    <d v="1987-10-03T00:00:00"/>
    <n v="-13595"/>
    <x v="1621"/>
    <x v="3"/>
    <n v="-1387"/>
    <n v="3.7973990417522243"/>
    <x v="1"/>
    <n v="1"/>
    <n v="0"/>
    <n v="0"/>
    <n v="0"/>
    <s v="Laborers"/>
    <x v="0"/>
  </r>
  <r>
    <n v="5085661"/>
    <x v="1"/>
    <s v="N"/>
    <s v="Y"/>
    <n v="1"/>
    <x v="18"/>
    <x v="2"/>
    <x v="1"/>
    <x v="1"/>
    <x v="0"/>
    <d v="1987-08-10T00:00:00"/>
    <n v="-13649"/>
    <x v="1260"/>
    <x v="3"/>
    <n v="-412"/>
    <n v="1.1279945242984257"/>
    <x v="1"/>
    <n v="1"/>
    <n v="0"/>
    <n v="0"/>
    <n v="0"/>
    <m/>
    <x v="3"/>
  </r>
  <r>
    <n v="5085664"/>
    <x v="1"/>
    <s v="Y"/>
    <s v="Y"/>
    <n v="0"/>
    <x v="11"/>
    <x v="0"/>
    <x v="1"/>
    <x v="3"/>
    <x v="0"/>
    <d v="1967-04-22T00:00:00"/>
    <n v="-21064"/>
    <x v="1622"/>
    <x v="2"/>
    <n v="365243"/>
    <n v="0"/>
    <x v="0"/>
    <n v="1"/>
    <n v="0"/>
    <n v="0"/>
    <n v="0"/>
    <m/>
    <x v="1"/>
  </r>
  <r>
    <n v="5085668"/>
    <x v="0"/>
    <s v="N"/>
    <s v="Y"/>
    <n v="0"/>
    <x v="16"/>
    <x v="2"/>
    <x v="1"/>
    <x v="4"/>
    <x v="0"/>
    <d v="1976-06-12T00:00:00"/>
    <n v="-17725"/>
    <x v="1623"/>
    <x v="1"/>
    <n v="-1783"/>
    <n v="4.8815879534565365"/>
    <x v="1"/>
    <n v="1"/>
    <n v="0"/>
    <n v="0"/>
    <n v="0"/>
    <s v="Accountants"/>
    <x v="0"/>
  </r>
  <r>
    <n v="5085671"/>
    <x v="0"/>
    <s v="N"/>
    <s v="Y"/>
    <n v="0"/>
    <x v="16"/>
    <x v="2"/>
    <x v="1"/>
    <x v="4"/>
    <x v="0"/>
    <d v="1976-06-12T00:00:00"/>
    <n v="-17725"/>
    <x v="1623"/>
    <x v="1"/>
    <n v="-1783"/>
    <n v="4.8815879534565365"/>
    <x v="1"/>
    <n v="1"/>
    <n v="0"/>
    <n v="0"/>
    <n v="0"/>
    <s v="Accountants"/>
    <x v="0"/>
  </r>
  <r>
    <n v="5085678"/>
    <x v="0"/>
    <s v="N"/>
    <s v="Y"/>
    <n v="0"/>
    <x v="55"/>
    <x v="2"/>
    <x v="1"/>
    <x v="1"/>
    <x v="0"/>
    <d v="1969-06-02T00:00:00"/>
    <n v="-20292"/>
    <x v="1624"/>
    <x v="2"/>
    <n v="-1691"/>
    <n v="4.6297056810403836"/>
    <x v="1"/>
    <n v="1"/>
    <n v="0"/>
    <n v="0"/>
    <n v="0"/>
    <s v="Laborers"/>
    <x v="1"/>
  </r>
  <r>
    <n v="5085682"/>
    <x v="1"/>
    <s v="Y"/>
    <s v="Y"/>
    <n v="0"/>
    <x v="21"/>
    <x v="1"/>
    <x v="0"/>
    <x v="1"/>
    <x v="0"/>
    <d v="1974-01-23T00:00:00"/>
    <n v="-18596"/>
    <x v="1625"/>
    <x v="2"/>
    <n v="-7566"/>
    <n v="20.714579055441479"/>
    <x v="1"/>
    <n v="1"/>
    <n v="0"/>
    <n v="0"/>
    <n v="0"/>
    <s v="Managers"/>
    <x v="1"/>
  </r>
  <r>
    <n v="5085684"/>
    <x v="0"/>
    <s v="N"/>
    <s v="Y"/>
    <n v="0"/>
    <x v="1"/>
    <x v="2"/>
    <x v="1"/>
    <x v="2"/>
    <x v="0"/>
    <d v="1967-10-13T00:00:00"/>
    <n v="-20890"/>
    <x v="1626"/>
    <x v="2"/>
    <n v="-3303"/>
    <n v="9.0431211498973312"/>
    <x v="1"/>
    <n v="1"/>
    <n v="0"/>
    <n v="0"/>
    <n v="0"/>
    <s v="Laborers"/>
    <x v="0"/>
  </r>
  <r>
    <n v="5085705"/>
    <x v="1"/>
    <s v="N"/>
    <s v="Y"/>
    <n v="2"/>
    <x v="5"/>
    <x v="2"/>
    <x v="1"/>
    <x v="1"/>
    <x v="0"/>
    <d v="1989-07-20T00:00:00"/>
    <n v="-12939"/>
    <x v="1627"/>
    <x v="3"/>
    <n v="-200"/>
    <n v="0.54757015742642023"/>
    <x v="1"/>
    <n v="1"/>
    <n v="0"/>
    <n v="0"/>
    <n v="0"/>
    <s v="Core staff"/>
    <x v="2"/>
  </r>
  <r>
    <n v="5085717"/>
    <x v="0"/>
    <s v="N"/>
    <s v="N"/>
    <n v="0"/>
    <x v="8"/>
    <x v="2"/>
    <x v="0"/>
    <x v="1"/>
    <x v="0"/>
    <d v="1978-11-17T00:00:00"/>
    <n v="-16837"/>
    <x v="1628"/>
    <x v="1"/>
    <n v="-2848"/>
    <n v="7.7973990417522243"/>
    <x v="1"/>
    <n v="1"/>
    <n v="0"/>
    <n v="0"/>
    <n v="0"/>
    <s v="Managers"/>
    <x v="1"/>
  </r>
  <r>
    <n v="5085718"/>
    <x v="0"/>
    <s v="N"/>
    <s v="Y"/>
    <n v="0"/>
    <x v="69"/>
    <x v="2"/>
    <x v="0"/>
    <x v="1"/>
    <x v="0"/>
    <d v="1984-07-14T00:00:00"/>
    <n v="-14771"/>
    <x v="1629"/>
    <x v="1"/>
    <n v="-5921"/>
    <n v="16.210814510609172"/>
    <x v="1"/>
    <n v="1"/>
    <n v="0"/>
    <n v="1"/>
    <n v="0"/>
    <m/>
    <x v="1"/>
  </r>
  <r>
    <n v="5085744"/>
    <x v="0"/>
    <s v="N"/>
    <s v="Y"/>
    <n v="1"/>
    <x v="11"/>
    <x v="2"/>
    <x v="1"/>
    <x v="1"/>
    <x v="0"/>
    <d v="1986-06-25T00:00:00"/>
    <n v="-14060"/>
    <x v="823"/>
    <x v="3"/>
    <n v="-261"/>
    <n v="0.71457905544147848"/>
    <x v="1"/>
    <n v="1"/>
    <n v="0"/>
    <n v="0"/>
    <n v="0"/>
    <s v="Medicine staff"/>
    <x v="3"/>
  </r>
  <r>
    <n v="5085745"/>
    <x v="0"/>
    <s v="N"/>
    <s v="Y"/>
    <n v="1"/>
    <x v="11"/>
    <x v="2"/>
    <x v="1"/>
    <x v="1"/>
    <x v="0"/>
    <d v="1986-06-25T00:00:00"/>
    <n v="-14060"/>
    <x v="823"/>
    <x v="3"/>
    <n v="-261"/>
    <n v="0.71457905544147848"/>
    <x v="1"/>
    <n v="1"/>
    <n v="0"/>
    <n v="0"/>
    <n v="0"/>
    <s v="Medicine staff"/>
    <x v="3"/>
  </r>
  <r>
    <n v="5085747"/>
    <x v="0"/>
    <s v="N"/>
    <s v="Y"/>
    <n v="1"/>
    <x v="11"/>
    <x v="2"/>
    <x v="1"/>
    <x v="1"/>
    <x v="0"/>
    <d v="1986-06-25T00:00:00"/>
    <n v="-14060"/>
    <x v="823"/>
    <x v="3"/>
    <n v="-261"/>
    <n v="0.71457905544147848"/>
    <x v="1"/>
    <n v="1"/>
    <n v="0"/>
    <n v="0"/>
    <n v="0"/>
    <s v="Medicine staff"/>
    <x v="3"/>
  </r>
  <r>
    <n v="5085757"/>
    <x v="0"/>
    <s v="Y"/>
    <s v="Y"/>
    <n v="1"/>
    <x v="2"/>
    <x v="1"/>
    <x v="1"/>
    <x v="3"/>
    <x v="0"/>
    <d v="1993-01-19T00:00:00"/>
    <n v="-11660"/>
    <x v="1630"/>
    <x v="3"/>
    <n v="-807"/>
    <n v="2.2094455852156059"/>
    <x v="1"/>
    <n v="1"/>
    <n v="0"/>
    <n v="0"/>
    <n v="0"/>
    <s v="Core staff"/>
    <x v="3"/>
  </r>
  <r>
    <n v="5085761"/>
    <x v="1"/>
    <s v="Y"/>
    <s v="Y"/>
    <n v="1"/>
    <x v="61"/>
    <x v="3"/>
    <x v="0"/>
    <x v="1"/>
    <x v="0"/>
    <d v="1993-05-27T00:00:00"/>
    <n v="-11532"/>
    <x v="1631"/>
    <x v="3"/>
    <n v="-4917"/>
    <n v="13.462012320328542"/>
    <x v="1"/>
    <n v="1"/>
    <n v="0"/>
    <n v="0"/>
    <n v="0"/>
    <s v="Managers"/>
    <x v="3"/>
  </r>
  <r>
    <n v="5085763"/>
    <x v="1"/>
    <s v="Y"/>
    <s v="Y"/>
    <n v="1"/>
    <x v="61"/>
    <x v="3"/>
    <x v="0"/>
    <x v="1"/>
    <x v="0"/>
    <d v="1993-05-27T00:00:00"/>
    <n v="-11532"/>
    <x v="1631"/>
    <x v="3"/>
    <n v="-4917"/>
    <n v="13.462012320328542"/>
    <x v="1"/>
    <n v="1"/>
    <n v="0"/>
    <n v="0"/>
    <n v="0"/>
    <s v="Managers"/>
    <x v="3"/>
  </r>
  <r>
    <n v="5085768"/>
    <x v="1"/>
    <s v="Y"/>
    <s v="Y"/>
    <n v="1"/>
    <x v="61"/>
    <x v="3"/>
    <x v="0"/>
    <x v="1"/>
    <x v="0"/>
    <d v="1993-05-27T00:00:00"/>
    <n v="-11532"/>
    <x v="1631"/>
    <x v="3"/>
    <n v="-4917"/>
    <n v="13.462012320328542"/>
    <x v="1"/>
    <n v="1"/>
    <n v="0"/>
    <n v="0"/>
    <n v="0"/>
    <s v="Managers"/>
    <x v="3"/>
  </r>
  <r>
    <n v="5085786"/>
    <x v="1"/>
    <s v="Y"/>
    <s v="N"/>
    <n v="0"/>
    <x v="5"/>
    <x v="1"/>
    <x v="1"/>
    <x v="1"/>
    <x v="2"/>
    <d v="1978-04-29T00:00:00"/>
    <n v="-17039"/>
    <x v="1632"/>
    <x v="1"/>
    <n v="-4156"/>
    <n v="11.378507871321013"/>
    <x v="1"/>
    <n v="1"/>
    <n v="0"/>
    <n v="0"/>
    <n v="0"/>
    <s v="Sales staff"/>
    <x v="1"/>
  </r>
  <r>
    <n v="5085807"/>
    <x v="0"/>
    <s v="Y"/>
    <s v="Y"/>
    <n v="0"/>
    <x v="12"/>
    <x v="3"/>
    <x v="0"/>
    <x v="1"/>
    <x v="0"/>
    <d v="1971-05-24T00:00:00"/>
    <n v="-19571"/>
    <x v="1633"/>
    <x v="2"/>
    <n v="-1081"/>
    <n v="2.9596167008898013"/>
    <x v="1"/>
    <n v="1"/>
    <n v="0"/>
    <n v="0"/>
    <n v="1"/>
    <s v="Drivers"/>
    <x v="1"/>
  </r>
  <r>
    <n v="5085811"/>
    <x v="0"/>
    <s v="Y"/>
    <s v="Y"/>
    <n v="0"/>
    <x v="12"/>
    <x v="3"/>
    <x v="0"/>
    <x v="1"/>
    <x v="0"/>
    <d v="1971-05-24T00:00:00"/>
    <n v="-19571"/>
    <x v="1633"/>
    <x v="2"/>
    <n v="-1081"/>
    <n v="2.9596167008898013"/>
    <x v="1"/>
    <n v="1"/>
    <n v="0"/>
    <n v="0"/>
    <n v="1"/>
    <s v="Drivers"/>
    <x v="1"/>
  </r>
  <r>
    <n v="5085843"/>
    <x v="1"/>
    <s v="Y"/>
    <s v="Y"/>
    <n v="1"/>
    <x v="1"/>
    <x v="2"/>
    <x v="2"/>
    <x v="1"/>
    <x v="0"/>
    <d v="1993-02-10T00:00:00"/>
    <n v="-11638"/>
    <x v="1634"/>
    <x v="3"/>
    <n v="-5009"/>
    <n v="13.713894592744696"/>
    <x v="1"/>
    <n v="1"/>
    <n v="0"/>
    <n v="1"/>
    <n v="0"/>
    <s v="Laborers"/>
    <x v="3"/>
  </r>
  <r>
    <n v="5085851"/>
    <x v="0"/>
    <s v="N"/>
    <s v="Y"/>
    <n v="0"/>
    <x v="2"/>
    <x v="0"/>
    <x v="1"/>
    <x v="1"/>
    <x v="0"/>
    <d v="1971-08-29T00:00:00"/>
    <n v="-19474"/>
    <x v="1635"/>
    <x v="2"/>
    <n v="365243"/>
    <n v="0"/>
    <x v="0"/>
    <n v="1"/>
    <n v="0"/>
    <n v="1"/>
    <n v="0"/>
    <m/>
    <x v="1"/>
  </r>
  <r>
    <n v="5085860"/>
    <x v="0"/>
    <s v="N"/>
    <s v="Y"/>
    <n v="1"/>
    <x v="43"/>
    <x v="3"/>
    <x v="0"/>
    <x v="0"/>
    <x v="0"/>
    <d v="1986-04-08T00:00:00"/>
    <n v="-14138"/>
    <x v="1636"/>
    <x v="3"/>
    <n v="-1418"/>
    <n v="3.8822724161533197"/>
    <x v="1"/>
    <n v="1"/>
    <n v="0"/>
    <n v="1"/>
    <n v="0"/>
    <s v="Medicine staff"/>
    <x v="1"/>
  </r>
  <r>
    <n v="5085864"/>
    <x v="0"/>
    <s v="N"/>
    <s v="Y"/>
    <n v="0"/>
    <x v="1"/>
    <x v="2"/>
    <x v="1"/>
    <x v="1"/>
    <x v="0"/>
    <d v="1975-02-24T00:00:00"/>
    <n v="-18199"/>
    <x v="1637"/>
    <x v="1"/>
    <n v="-5190"/>
    <n v="14.209445585215606"/>
    <x v="1"/>
    <n v="1"/>
    <n v="0"/>
    <n v="0"/>
    <n v="0"/>
    <s v="Cleaning staff"/>
    <x v="1"/>
  </r>
  <r>
    <n v="5085875"/>
    <x v="1"/>
    <s v="Y"/>
    <s v="Y"/>
    <n v="0"/>
    <x v="1"/>
    <x v="1"/>
    <x v="2"/>
    <x v="3"/>
    <x v="0"/>
    <d v="1998-12-22T00:00:00"/>
    <n v="-9497"/>
    <x v="1638"/>
    <x v="4"/>
    <n v="-1052"/>
    <n v="2.8802190280629705"/>
    <x v="1"/>
    <n v="1"/>
    <n v="0"/>
    <n v="0"/>
    <n v="0"/>
    <s v="Laborers"/>
    <x v="1"/>
  </r>
  <r>
    <n v="5085881"/>
    <x v="1"/>
    <s v="N"/>
    <s v="Y"/>
    <n v="0"/>
    <x v="1"/>
    <x v="1"/>
    <x v="1"/>
    <x v="1"/>
    <x v="0"/>
    <d v="1977-12-10T00:00:00"/>
    <n v="-17179"/>
    <x v="1639"/>
    <x v="1"/>
    <n v="-7747"/>
    <n v="21.21013004791239"/>
    <x v="1"/>
    <n v="1"/>
    <n v="0"/>
    <n v="0"/>
    <n v="0"/>
    <s v="Laborers"/>
    <x v="1"/>
  </r>
  <r>
    <n v="5085894"/>
    <x v="0"/>
    <s v="N"/>
    <s v="Y"/>
    <n v="0"/>
    <x v="2"/>
    <x v="2"/>
    <x v="1"/>
    <x v="1"/>
    <x v="0"/>
    <d v="1984-12-31T00:00:00"/>
    <n v="-14601"/>
    <x v="1640"/>
    <x v="3"/>
    <n v="-7900"/>
    <n v="21.629021218343599"/>
    <x v="1"/>
    <n v="1"/>
    <n v="0"/>
    <n v="1"/>
    <n v="0"/>
    <s v="Laborers"/>
    <x v="1"/>
  </r>
  <r>
    <n v="5085895"/>
    <x v="0"/>
    <s v="N"/>
    <s v="Y"/>
    <n v="0"/>
    <x v="2"/>
    <x v="2"/>
    <x v="1"/>
    <x v="1"/>
    <x v="0"/>
    <d v="1984-12-31T00:00:00"/>
    <n v="-14601"/>
    <x v="1640"/>
    <x v="3"/>
    <n v="-7900"/>
    <n v="21.629021218343599"/>
    <x v="1"/>
    <n v="1"/>
    <n v="0"/>
    <n v="1"/>
    <n v="0"/>
    <s v="Laborers"/>
    <x v="1"/>
  </r>
  <r>
    <n v="5085900"/>
    <x v="0"/>
    <s v="N"/>
    <s v="Y"/>
    <n v="0"/>
    <x v="8"/>
    <x v="0"/>
    <x v="1"/>
    <x v="1"/>
    <x v="0"/>
    <d v="1963-03-05T00:00:00"/>
    <n v="-22573"/>
    <x v="1641"/>
    <x v="0"/>
    <n v="365243"/>
    <n v="0"/>
    <x v="0"/>
    <n v="1"/>
    <n v="0"/>
    <n v="0"/>
    <n v="0"/>
    <m/>
    <x v="1"/>
  </r>
  <r>
    <n v="5085922"/>
    <x v="0"/>
    <s v="N"/>
    <s v="Y"/>
    <n v="0"/>
    <x v="8"/>
    <x v="1"/>
    <x v="0"/>
    <x v="2"/>
    <x v="0"/>
    <d v="1968-12-06T00:00:00"/>
    <n v="-20470"/>
    <x v="1642"/>
    <x v="2"/>
    <n v="-9269"/>
    <n v="25.377138945927445"/>
    <x v="1"/>
    <n v="1"/>
    <n v="0"/>
    <n v="0"/>
    <n v="0"/>
    <s v="Core staff"/>
    <x v="0"/>
  </r>
  <r>
    <n v="5085934"/>
    <x v="0"/>
    <s v="Y"/>
    <s v="N"/>
    <n v="0"/>
    <x v="2"/>
    <x v="2"/>
    <x v="1"/>
    <x v="1"/>
    <x v="4"/>
    <d v="1975-10-05T00:00:00"/>
    <n v="-17976"/>
    <x v="1643"/>
    <x v="1"/>
    <n v="-6105"/>
    <n v="16.714579055441479"/>
    <x v="1"/>
    <n v="1"/>
    <n v="0"/>
    <n v="0"/>
    <n v="0"/>
    <s v="Sales staff"/>
    <x v="1"/>
  </r>
  <r>
    <n v="5085944"/>
    <x v="0"/>
    <s v="N"/>
    <s v="Y"/>
    <n v="0"/>
    <x v="97"/>
    <x v="1"/>
    <x v="1"/>
    <x v="0"/>
    <x v="0"/>
    <d v="1970-11-18T00:00:00"/>
    <n v="-19758"/>
    <x v="1644"/>
    <x v="2"/>
    <n v="-1842"/>
    <n v="5.0431211498973303"/>
    <x v="1"/>
    <n v="1"/>
    <n v="0"/>
    <n v="1"/>
    <n v="0"/>
    <s v="High skill tech staff"/>
    <x v="0"/>
  </r>
  <r>
    <n v="5085946"/>
    <x v="0"/>
    <s v="N"/>
    <s v="Y"/>
    <n v="0"/>
    <x v="97"/>
    <x v="1"/>
    <x v="1"/>
    <x v="0"/>
    <x v="0"/>
    <d v="1970-11-18T00:00:00"/>
    <n v="-19758"/>
    <x v="1644"/>
    <x v="2"/>
    <n v="-1842"/>
    <n v="5.0431211498973303"/>
    <x v="1"/>
    <n v="1"/>
    <n v="0"/>
    <n v="1"/>
    <n v="0"/>
    <s v="High skill tech staff"/>
    <x v="0"/>
  </r>
  <r>
    <n v="5085962"/>
    <x v="1"/>
    <s v="N"/>
    <s v="Y"/>
    <n v="0"/>
    <x v="8"/>
    <x v="3"/>
    <x v="1"/>
    <x v="1"/>
    <x v="0"/>
    <d v="1991-01-16T00:00:00"/>
    <n v="-12394"/>
    <x v="1645"/>
    <x v="3"/>
    <n v="-381"/>
    <n v="1.0431211498973305"/>
    <x v="1"/>
    <n v="1"/>
    <n v="0"/>
    <n v="0"/>
    <n v="0"/>
    <s v="Laborers"/>
    <x v="1"/>
  </r>
  <r>
    <n v="5085970"/>
    <x v="0"/>
    <s v="N"/>
    <s v="N"/>
    <n v="0"/>
    <x v="3"/>
    <x v="3"/>
    <x v="1"/>
    <x v="0"/>
    <x v="0"/>
    <d v="1967-08-30T00:00:00"/>
    <n v="-20934"/>
    <x v="1646"/>
    <x v="2"/>
    <n v="-2757"/>
    <n v="7.5482546201232035"/>
    <x v="1"/>
    <n v="1"/>
    <n v="1"/>
    <n v="1"/>
    <n v="0"/>
    <s v="Waiters/barmen staff"/>
    <x v="0"/>
  </r>
  <r>
    <n v="5085989"/>
    <x v="0"/>
    <s v="Y"/>
    <s v="Y"/>
    <n v="0"/>
    <x v="8"/>
    <x v="0"/>
    <x v="1"/>
    <x v="1"/>
    <x v="0"/>
    <d v="1965-07-08T00:00:00"/>
    <n v="-21717"/>
    <x v="381"/>
    <x v="2"/>
    <n v="365243"/>
    <n v="0"/>
    <x v="0"/>
    <n v="1"/>
    <n v="0"/>
    <n v="0"/>
    <n v="0"/>
    <m/>
    <x v="1"/>
  </r>
  <r>
    <n v="5086013"/>
    <x v="0"/>
    <s v="N"/>
    <s v="Y"/>
    <n v="0"/>
    <x v="61"/>
    <x v="2"/>
    <x v="0"/>
    <x v="1"/>
    <x v="0"/>
    <d v="1977-02-27T00:00:00"/>
    <n v="-17465"/>
    <x v="1647"/>
    <x v="1"/>
    <n v="-7627"/>
    <n v="20.881587953456538"/>
    <x v="1"/>
    <n v="1"/>
    <n v="0"/>
    <n v="0"/>
    <n v="0"/>
    <m/>
    <x v="1"/>
  </r>
  <r>
    <n v="5086016"/>
    <x v="0"/>
    <s v="N"/>
    <s v="Y"/>
    <n v="0"/>
    <x v="61"/>
    <x v="2"/>
    <x v="0"/>
    <x v="1"/>
    <x v="0"/>
    <d v="1977-02-27T00:00:00"/>
    <n v="-17465"/>
    <x v="1647"/>
    <x v="1"/>
    <n v="-7627"/>
    <n v="20.881587953456538"/>
    <x v="1"/>
    <n v="1"/>
    <n v="0"/>
    <n v="0"/>
    <n v="0"/>
    <m/>
    <x v="1"/>
  </r>
  <r>
    <n v="5086022"/>
    <x v="0"/>
    <s v="N"/>
    <s v="Y"/>
    <n v="0"/>
    <x v="61"/>
    <x v="2"/>
    <x v="0"/>
    <x v="1"/>
    <x v="0"/>
    <d v="1977-02-27T00:00:00"/>
    <n v="-17465"/>
    <x v="1647"/>
    <x v="1"/>
    <n v="-7627"/>
    <n v="20.881587953456538"/>
    <x v="1"/>
    <n v="1"/>
    <n v="0"/>
    <n v="0"/>
    <n v="0"/>
    <m/>
    <x v="1"/>
  </r>
  <r>
    <n v="5086024"/>
    <x v="0"/>
    <s v="N"/>
    <s v="Y"/>
    <n v="0"/>
    <x v="61"/>
    <x v="2"/>
    <x v="0"/>
    <x v="1"/>
    <x v="0"/>
    <d v="1977-02-27T00:00:00"/>
    <n v="-17465"/>
    <x v="1647"/>
    <x v="1"/>
    <n v="-7627"/>
    <n v="20.881587953456538"/>
    <x v="1"/>
    <n v="1"/>
    <n v="0"/>
    <n v="0"/>
    <n v="0"/>
    <m/>
    <x v="1"/>
  </r>
  <r>
    <n v="5086028"/>
    <x v="0"/>
    <s v="N"/>
    <s v="Y"/>
    <n v="0"/>
    <x v="61"/>
    <x v="2"/>
    <x v="0"/>
    <x v="1"/>
    <x v="0"/>
    <d v="1977-02-27T00:00:00"/>
    <n v="-17465"/>
    <x v="1647"/>
    <x v="1"/>
    <n v="-7627"/>
    <n v="20.881587953456538"/>
    <x v="1"/>
    <n v="1"/>
    <n v="0"/>
    <n v="0"/>
    <n v="0"/>
    <m/>
    <x v="1"/>
  </r>
  <r>
    <n v="5087477"/>
    <x v="1"/>
    <s v="Y"/>
    <s v="Y"/>
    <n v="0"/>
    <x v="5"/>
    <x v="2"/>
    <x v="1"/>
    <x v="1"/>
    <x v="0"/>
    <d v="1964-02-18T00:00:00"/>
    <n v="-22223"/>
    <x v="1648"/>
    <x v="0"/>
    <n v="-7103"/>
    <n v="19.446954140999317"/>
    <x v="1"/>
    <n v="1"/>
    <n v="1"/>
    <n v="1"/>
    <n v="0"/>
    <s v="High skill tech staff"/>
    <x v="1"/>
  </r>
  <r>
    <n v="5087486"/>
    <x v="0"/>
    <s v="Y"/>
    <s v="N"/>
    <n v="1"/>
    <x v="1"/>
    <x v="2"/>
    <x v="0"/>
    <x v="3"/>
    <x v="1"/>
    <d v="1990-07-15T00:00:00"/>
    <n v="-12579"/>
    <x v="1649"/>
    <x v="3"/>
    <n v="-1654"/>
    <n v="4.5284052019164953"/>
    <x v="1"/>
    <n v="1"/>
    <n v="0"/>
    <n v="0"/>
    <n v="0"/>
    <m/>
    <x v="3"/>
  </r>
  <r>
    <n v="5087497"/>
    <x v="0"/>
    <s v="Y"/>
    <s v="Y"/>
    <n v="0"/>
    <x v="5"/>
    <x v="1"/>
    <x v="0"/>
    <x v="3"/>
    <x v="0"/>
    <d v="1983-01-02T00:00:00"/>
    <n v="-15330"/>
    <x v="1650"/>
    <x v="1"/>
    <n v="-1014"/>
    <n v="2.7761806981519506"/>
    <x v="1"/>
    <n v="1"/>
    <n v="1"/>
    <n v="1"/>
    <n v="0"/>
    <s v="Managers"/>
    <x v="1"/>
  </r>
  <r>
    <n v="5087499"/>
    <x v="0"/>
    <s v="Y"/>
    <s v="Y"/>
    <n v="0"/>
    <x v="5"/>
    <x v="1"/>
    <x v="0"/>
    <x v="3"/>
    <x v="0"/>
    <d v="1983-01-02T00:00:00"/>
    <n v="-15330"/>
    <x v="1650"/>
    <x v="1"/>
    <n v="-1014"/>
    <n v="2.7761806981519506"/>
    <x v="1"/>
    <n v="1"/>
    <n v="1"/>
    <n v="1"/>
    <n v="0"/>
    <s v="Managers"/>
    <x v="1"/>
  </r>
  <r>
    <n v="5087532"/>
    <x v="1"/>
    <s v="N"/>
    <s v="Y"/>
    <n v="0"/>
    <x v="51"/>
    <x v="1"/>
    <x v="0"/>
    <x v="2"/>
    <x v="0"/>
    <d v="1997-12-10T00:00:00"/>
    <n v="-9874"/>
    <x v="1651"/>
    <x v="4"/>
    <n v="-1928"/>
    <n v="5.2785763175906917"/>
    <x v="1"/>
    <n v="1"/>
    <n v="0"/>
    <n v="1"/>
    <n v="0"/>
    <s v="Laborers"/>
    <x v="0"/>
  </r>
  <r>
    <n v="5087550"/>
    <x v="1"/>
    <s v="Y"/>
    <s v="Y"/>
    <n v="0"/>
    <x v="3"/>
    <x v="2"/>
    <x v="1"/>
    <x v="1"/>
    <x v="0"/>
    <d v="1984-06-04T00:00:00"/>
    <n v="-14811"/>
    <x v="1652"/>
    <x v="1"/>
    <n v="-2628"/>
    <n v="7.1950718685831623"/>
    <x v="1"/>
    <n v="1"/>
    <n v="0"/>
    <n v="0"/>
    <n v="0"/>
    <s v="Laborers"/>
    <x v="1"/>
  </r>
  <r>
    <n v="5087553"/>
    <x v="1"/>
    <s v="Y"/>
    <s v="Y"/>
    <n v="0"/>
    <x v="3"/>
    <x v="2"/>
    <x v="1"/>
    <x v="1"/>
    <x v="0"/>
    <d v="1984-06-04T00:00:00"/>
    <n v="-14811"/>
    <x v="1652"/>
    <x v="1"/>
    <n v="-2628"/>
    <n v="7.1950718685831623"/>
    <x v="1"/>
    <n v="1"/>
    <n v="0"/>
    <n v="0"/>
    <n v="0"/>
    <s v="Laborers"/>
    <x v="1"/>
  </r>
  <r>
    <n v="5087554"/>
    <x v="1"/>
    <s v="Y"/>
    <s v="Y"/>
    <n v="0"/>
    <x v="3"/>
    <x v="2"/>
    <x v="1"/>
    <x v="1"/>
    <x v="0"/>
    <d v="1984-06-04T00:00:00"/>
    <n v="-14811"/>
    <x v="1652"/>
    <x v="1"/>
    <n v="-2628"/>
    <n v="7.1950718685831623"/>
    <x v="1"/>
    <n v="1"/>
    <n v="0"/>
    <n v="0"/>
    <n v="0"/>
    <s v="Laborers"/>
    <x v="1"/>
  </r>
  <r>
    <n v="5087562"/>
    <x v="0"/>
    <s v="N"/>
    <s v="Y"/>
    <n v="1"/>
    <x v="8"/>
    <x v="1"/>
    <x v="0"/>
    <x v="2"/>
    <x v="0"/>
    <d v="1981-05-16T00:00:00"/>
    <n v="-15926"/>
    <x v="1653"/>
    <x v="1"/>
    <n v="-3327"/>
    <n v="9.1088295687885008"/>
    <x v="1"/>
    <n v="1"/>
    <n v="0"/>
    <n v="0"/>
    <n v="0"/>
    <m/>
    <x v="1"/>
  </r>
  <r>
    <n v="5087571"/>
    <x v="0"/>
    <s v="N"/>
    <s v="Y"/>
    <n v="1"/>
    <x v="8"/>
    <x v="1"/>
    <x v="0"/>
    <x v="2"/>
    <x v="0"/>
    <d v="1981-05-16T00:00:00"/>
    <n v="-15926"/>
    <x v="1653"/>
    <x v="1"/>
    <n v="-3327"/>
    <n v="9.1088295687885008"/>
    <x v="1"/>
    <n v="1"/>
    <n v="0"/>
    <n v="0"/>
    <n v="0"/>
    <m/>
    <x v="1"/>
  </r>
  <r>
    <n v="5087613"/>
    <x v="0"/>
    <s v="N"/>
    <s v="Y"/>
    <n v="0"/>
    <x v="5"/>
    <x v="2"/>
    <x v="0"/>
    <x v="1"/>
    <x v="0"/>
    <d v="1990-04-04T00:00:00"/>
    <n v="-12681"/>
    <x v="1654"/>
    <x v="3"/>
    <n v="-709"/>
    <n v="1.9411362080766599"/>
    <x v="1"/>
    <n v="1"/>
    <n v="0"/>
    <n v="0"/>
    <n v="0"/>
    <s v="Sales staff"/>
    <x v="1"/>
  </r>
  <r>
    <n v="5087624"/>
    <x v="0"/>
    <s v="N"/>
    <s v="Y"/>
    <n v="0"/>
    <x v="23"/>
    <x v="3"/>
    <x v="1"/>
    <x v="1"/>
    <x v="0"/>
    <d v="1974-02-25T00:00:00"/>
    <n v="-18563"/>
    <x v="779"/>
    <x v="2"/>
    <n v="-1075"/>
    <n v="2.9431895961670089"/>
    <x v="1"/>
    <n v="1"/>
    <n v="0"/>
    <n v="0"/>
    <n v="0"/>
    <s v="Cleaning staff"/>
    <x v="1"/>
  </r>
  <r>
    <n v="5087685"/>
    <x v="0"/>
    <s v="N"/>
    <s v="Y"/>
    <n v="0"/>
    <x v="29"/>
    <x v="0"/>
    <x v="0"/>
    <x v="4"/>
    <x v="0"/>
    <d v="1960-03-14T00:00:00"/>
    <n v="-23659"/>
    <x v="1655"/>
    <x v="0"/>
    <n v="365243"/>
    <n v="0"/>
    <x v="0"/>
    <n v="1"/>
    <n v="0"/>
    <n v="0"/>
    <n v="0"/>
    <m/>
    <x v="0"/>
  </r>
  <r>
    <n v="5087688"/>
    <x v="0"/>
    <s v="N"/>
    <s v="Y"/>
    <n v="0"/>
    <x v="29"/>
    <x v="0"/>
    <x v="0"/>
    <x v="4"/>
    <x v="0"/>
    <d v="1960-03-14T00:00:00"/>
    <n v="-23659"/>
    <x v="1655"/>
    <x v="0"/>
    <n v="365243"/>
    <n v="0"/>
    <x v="0"/>
    <n v="1"/>
    <n v="0"/>
    <n v="0"/>
    <n v="0"/>
    <m/>
    <x v="0"/>
  </r>
  <r>
    <n v="5087699"/>
    <x v="1"/>
    <s v="N"/>
    <s v="N"/>
    <n v="0"/>
    <x v="5"/>
    <x v="2"/>
    <x v="1"/>
    <x v="1"/>
    <x v="0"/>
    <d v="1966-10-07T00:00:00"/>
    <n v="-21261"/>
    <x v="1656"/>
    <x v="2"/>
    <n v="-405"/>
    <n v="1.108829568788501"/>
    <x v="1"/>
    <n v="1"/>
    <n v="0"/>
    <n v="0"/>
    <n v="0"/>
    <s v="Security staff"/>
    <x v="1"/>
  </r>
  <r>
    <n v="5087702"/>
    <x v="1"/>
    <s v="N"/>
    <s v="N"/>
    <n v="0"/>
    <x v="5"/>
    <x v="2"/>
    <x v="1"/>
    <x v="1"/>
    <x v="0"/>
    <d v="1966-10-07T00:00:00"/>
    <n v="-21261"/>
    <x v="1656"/>
    <x v="2"/>
    <n v="-405"/>
    <n v="1.108829568788501"/>
    <x v="1"/>
    <n v="1"/>
    <n v="0"/>
    <n v="0"/>
    <n v="0"/>
    <s v="Security staff"/>
    <x v="1"/>
  </r>
  <r>
    <n v="5087729"/>
    <x v="1"/>
    <s v="N"/>
    <s v="Y"/>
    <n v="0"/>
    <x v="8"/>
    <x v="0"/>
    <x v="0"/>
    <x v="3"/>
    <x v="0"/>
    <d v="1979-10-02T00:00:00"/>
    <n v="-16518"/>
    <x v="1657"/>
    <x v="1"/>
    <n v="365243"/>
    <n v="0"/>
    <x v="0"/>
    <n v="1"/>
    <n v="0"/>
    <n v="0"/>
    <n v="0"/>
    <m/>
    <x v="1"/>
  </r>
  <r>
    <n v="5087733"/>
    <x v="1"/>
    <s v="N"/>
    <s v="Y"/>
    <n v="0"/>
    <x v="8"/>
    <x v="0"/>
    <x v="0"/>
    <x v="3"/>
    <x v="0"/>
    <d v="1979-10-02T00:00:00"/>
    <n v="-16518"/>
    <x v="1657"/>
    <x v="1"/>
    <n v="365243"/>
    <n v="0"/>
    <x v="0"/>
    <n v="1"/>
    <n v="0"/>
    <n v="0"/>
    <n v="0"/>
    <m/>
    <x v="1"/>
  </r>
  <r>
    <n v="5087750"/>
    <x v="0"/>
    <s v="N"/>
    <s v="Y"/>
    <n v="0"/>
    <x v="88"/>
    <x v="0"/>
    <x v="1"/>
    <x v="1"/>
    <x v="0"/>
    <d v="1974-04-15T00:00:00"/>
    <n v="-18514"/>
    <x v="1658"/>
    <x v="2"/>
    <n v="365243"/>
    <n v="0"/>
    <x v="0"/>
    <n v="1"/>
    <n v="0"/>
    <n v="0"/>
    <n v="0"/>
    <m/>
    <x v="1"/>
  </r>
  <r>
    <n v="5087766"/>
    <x v="1"/>
    <s v="Y"/>
    <s v="Y"/>
    <n v="0"/>
    <x v="22"/>
    <x v="2"/>
    <x v="1"/>
    <x v="1"/>
    <x v="0"/>
    <d v="1971-08-01T00:00:00"/>
    <n v="-19502"/>
    <x v="1659"/>
    <x v="2"/>
    <n v="-1624"/>
    <n v="4.4462696783025324"/>
    <x v="1"/>
    <n v="1"/>
    <n v="1"/>
    <n v="1"/>
    <n v="0"/>
    <s v="Drivers"/>
    <x v="1"/>
  </r>
  <r>
    <n v="5087775"/>
    <x v="0"/>
    <s v="N"/>
    <s v="N"/>
    <n v="0"/>
    <x v="37"/>
    <x v="1"/>
    <x v="1"/>
    <x v="1"/>
    <x v="0"/>
    <d v="1986-01-13T00:00:00"/>
    <n v="-14223"/>
    <x v="1660"/>
    <x v="3"/>
    <n v="-1928"/>
    <n v="5.2785763175906917"/>
    <x v="1"/>
    <n v="1"/>
    <n v="0"/>
    <n v="0"/>
    <n v="0"/>
    <s v="Laborers"/>
    <x v="1"/>
  </r>
  <r>
    <n v="5087813"/>
    <x v="0"/>
    <s v="Y"/>
    <s v="Y"/>
    <n v="1"/>
    <x v="1"/>
    <x v="2"/>
    <x v="1"/>
    <x v="0"/>
    <x v="0"/>
    <d v="1992-08-22T00:00:00"/>
    <n v="-11810"/>
    <x v="1569"/>
    <x v="3"/>
    <n v="-648"/>
    <n v="1.7741273100616017"/>
    <x v="1"/>
    <n v="1"/>
    <n v="1"/>
    <n v="1"/>
    <n v="0"/>
    <s v="Sales staff"/>
    <x v="1"/>
  </r>
  <r>
    <n v="5087821"/>
    <x v="1"/>
    <s v="N"/>
    <s v="Y"/>
    <n v="2"/>
    <x v="2"/>
    <x v="2"/>
    <x v="1"/>
    <x v="1"/>
    <x v="0"/>
    <d v="1981-10-01T00:00:00"/>
    <n v="-15788"/>
    <x v="1661"/>
    <x v="1"/>
    <n v="-1563"/>
    <n v="4.2792607802874745"/>
    <x v="1"/>
    <n v="1"/>
    <n v="0"/>
    <n v="0"/>
    <n v="0"/>
    <s v="Security staff"/>
    <x v="2"/>
  </r>
  <r>
    <n v="5087830"/>
    <x v="1"/>
    <s v="N"/>
    <s v="Y"/>
    <n v="0"/>
    <x v="1"/>
    <x v="3"/>
    <x v="1"/>
    <x v="1"/>
    <x v="1"/>
    <d v="1996-05-15T00:00:00"/>
    <n v="-10448"/>
    <x v="1050"/>
    <x v="4"/>
    <n v="-2323"/>
    <n v="6.3600273785078709"/>
    <x v="1"/>
    <n v="1"/>
    <n v="1"/>
    <n v="0"/>
    <n v="1"/>
    <m/>
    <x v="1"/>
  </r>
  <r>
    <n v="5087835"/>
    <x v="1"/>
    <s v="N"/>
    <s v="Y"/>
    <n v="0"/>
    <x v="1"/>
    <x v="3"/>
    <x v="1"/>
    <x v="1"/>
    <x v="1"/>
    <d v="1996-05-15T00:00:00"/>
    <n v="-10448"/>
    <x v="1050"/>
    <x v="4"/>
    <n v="-2323"/>
    <n v="6.3600273785078709"/>
    <x v="1"/>
    <n v="1"/>
    <n v="1"/>
    <n v="0"/>
    <n v="1"/>
    <m/>
    <x v="1"/>
  </r>
  <r>
    <n v="5087840"/>
    <x v="1"/>
    <s v="N"/>
    <s v="Y"/>
    <n v="0"/>
    <x v="1"/>
    <x v="3"/>
    <x v="1"/>
    <x v="1"/>
    <x v="1"/>
    <d v="1996-05-15T00:00:00"/>
    <n v="-10448"/>
    <x v="1050"/>
    <x v="4"/>
    <n v="-2323"/>
    <n v="6.3600273785078709"/>
    <x v="1"/>
    <n v="1"/>
    <n v="1"/>
    <n v="0"/>
    <n v="1"/>
    <m/>
    <x v="1"/>
  </r>
  <r>
    <n v="5087850"/>
    <x v="0"/>
    <s v="Y"/>
    <s v="N"/>
    <n v="0"/>
    <x v="11"/>
    <x v="3"/>
    <x v="1"/>
    <x v="1"/>
    <x v="0"/>
    <d v="1971-04-27T00:00:00"/>
    <n v="-19598"/>
    <x v="1662"/>
    <x v="2"/>
    <n v="-11940"/>
    <n v="32.689938398357292"/>
    <x v="1"/>
    <n v="1"/>
    <n v="0"/>
    <n v="1"/>
    <n v="0"/>
    <s v="Medicine staff"/>
    <x v="1"/>
  </r>
  <r>
    <n v="5087863"/>
    <x v="0"/>
    <s v="N"/>
    <s v="Y"/>
    <n v="1"/>
    <x v="2"/>
    <x v="2"/>
    <x v="1"/>
    <x v="1"/>
    <x v="0"/>
    <d v="1993-06-27T00:00:00"/>
    <n v="-11501"/>
    <x v="1663"/>
    <x v="3"/>
    <n v="-1775"/>
    <n v="4.85968514715948"/>
    <x v="1"/>
    <n v="1"/>
    <n v="0"/>
    <n v="0"/>
    <n v="0"/>
    <s v="Private service staff"/>
    <x v="3"/>
  </r>
  <r>
    <n v="5087919"/>
    <x v="0"/>
    <s v="Y"/>
    <s v="N"/>
    <n v="1"/>
    <x v="30"/>
    <x v="2"/>
    <x v="2"/>
    <x v="1"/>
    <x v="1"/>
    <d v="1991-01-27T00:00:00"/>
    <n v="-12383"/>
    <x v="1664"/>
    <x v="3"/>
    <n v="-3480"/>
    <n v="9.5277207392197134"/>
    <x v="1"/>
    <n v="1"/>
    <n v="0"/>
    <n v="0"/>
    <n v="0"/>
    <s v="Laborers"/>
    <x v="3"/>
  </r>
  <r>
    <n v="5087933"/>
    <x v="0"/>
    <s v="Y"/>
    <s v="N"/>
    <n v="2"/>
    <x v="5"/>
    <x v="1"/>
    <x v="0"/>
    <x v="1"/>
    <x v="0"/>
    <d v="1988-01-18T00:00:00"/>
    <n v="-13488"/>
    <x v="1594"/>
    <x v="3"/>
    <n v="-3723"/>
    <n v="10.193018480492814"/>
    <x v="1"/>
    <n v="1"/>
    <n v="0"/>
    <n v="0"/>
    <n v="0"/>
    <m/>
    <x v="2"/>
  </r>
  <r>
    <n v="5087938"/>
    <x v="0"/>
    <s v="Y"/>
    <s v="N"/>
    <n v="2"/>
    <x v="5"/>
    <x v="1"/>
    <x v="0"/>
    <x v="1"/>
    <x v="0"/>
    <d v="1988-01-18T00:00:00"/>
    <n v="-13488"/>
    <x v="1594"/>
    <x v="3"/>
    <n v="-3723"/>
    <n v="10.193018480492814"/>
    <x v="1"/>
    <n v="1"/>
    <n v="0"/>
    <n v="0"/>
    <n v="0"/>
    <m/>
    <x v="2"/>
  </r>
  <r>
    <n v="5087939"/>
    <x v="0"/>
    <s v="N"/>
    <s v="Y"/>
    <n v="0"/>
    <x v="14"/>
    <x v="1"/>
    <x v="1"/>
    <x v="1"/>
    <x v="4"/>
    <d v="1975-06-08T00:00:00"/>
    <n v="-18095"/>
    <x v="1665"/>
    <x v="1"/>
    <n v="-3205"/>
    <n v="8.774811772758385"/>
    <x v="1"/>
    <n v="1"/>
    <n v="0"/>
    <n v="0"/>
    <n v="0"/>
    <s v="Sales staff"/>
    <x v="1"/>
  </r>
  <r>
    <n v="5087941"/>
    <x v="0"/>
    <s v="N"/>
    <s v="Y"/>
    <n v="0"/>
    <x v="88"/>
    <x v="2"/>
    <x v="1"/>
    <x v="4"/>
    <x v="0"/>
    <d v="1970-06-06T00:00:00"/>
    <n v="-19923"/>
    <x v="1666"/>
    <x v="2"/>
    <n v="-2078"/>
    <n v="5.6892539356605063"/>
    <x v="1"/>
    <n v="1"/>
    <n v="1"/>
    <n v="1"/>
    <n v="0"/>
    <s v="Cleaning staff"/>
    <x v="0"/>
  </r>
  <r>
    <n v="5087960"/>
    <x v="1"/>
    <s v="Y"/>
    <s v="Y"/>
    <n v="0"/>
    <x v="5"/>
    <x v="2"/>
    <x v="1"/>
    <x v="1"/>
    <x v="0"/>
    <d v="1981-12-26T00:00:00"/>
    <n v="-15702"/>
    <x v="1667"/>
    <x v="1"/>
    <n v="-2415"/>
    <n v="6.6119096509240247"/>
    <x v="1"/>
    <n v="1"/>
    <n v="0"/>
    <n v="0"/>
    <n v="0"/>
    <s v="Drivers"/>
    <x v="1"/>
  </r>
  <r>
    <n v="5087970"/>
    <x v="1"/>
    <s v="N"/>
    <s v="Y"/>
    <n v="0"/>
    <x v="35"/>
    <x v="2"/>
    <x v="0"/>
    <x v="1"/>
    <x v="3"/>
    <d v="1997-07-04T00:00:00"/>
    <n v="-10033"/>
    <x v="1668"/>
    <x v="4"/>
    <n v="-558"/>
    <n v="1.5277207392197125"/>
    <x v="1"/>
    <n v="1"/>
    <n v="0"/>
    <n v="0"/>
    <n v="0"/>
    <s v="Managers"/>
    <x v="1"/>
  </r>
  <r>
    <n v="5088020"/>
    <x v="0"/>
    <s v="N"/>
    <s v="Y"/>
    <n v="1"/>
    <x v="11"/>
    <x v="1"/>
    <x v="1"/>
    <x v="1"/>
    <x v="0"/>
    <d v="1986-01-12T00:00:00"/>
    <n v="-14224"/>
    <x v="1669"/>
    <x v="3"/>
    <n v="-617"/>
    <n v="1.6892539356605065"/>
    <x v="1"/>
    <n v="1"/>
    <n v="0"/>
    <n v="0"/>
    <n v="0"/>
    <m/>
    <x v="3"/>
  </r>
  <r>
    <n v="5088049"/>
    <x v="0"/>
    <s v="N"/>
    <s v="Y"/>
    <n v="0"/>
    <x v="7"/>
    <x v="2"/>
    <x v="1"/>
    <x v="2"/>
    <x v="0"/>
    <d v="1975-11-13T00:00:00"/>
    <n v="-17937"/>
    <x v="1670"/>
    <x v="1"/>
    <n v="-3054"/>
    <n v="8.3613963039014365"/>
    <x v="1"/>
    <n v="1"/>
    <n v="0"/>
    <n v="0"/>
    <n v="0"/>
    <s v="Medicine staff"/>
    <x v="0"/>
  </r>
  <r>
    <n v="5088051"/>
    <x v="0"/>
    <s v="N"/>
    <s v="Y"/>
    <n v="0"/>
    <x v="7"/>
    <x v="2"/>
    <x v="1"/>
    <x v="2"/>
    <x v="0"/>
    <d v="1975-11-13T00:00:00"/>
    <n v="-17937"/>
    <x v="1670"/>
    <x v="1"/>
    <n v="-3054"/>
    <n v="8.3613963039014365"/>
    <x v="1"/>
    <n v="1"/>
    <n v="0"/>
    <n v="0"/>
    <n v="0"/>
    <s v="Medicine staff"/>
    <x v="0"/>
  </r>
  <r>
    <n v="5088052"/>
    <x v="0"/>
    <s v="N"/>
    <s v="Y"/>
    <n v="0"/>
    <x v="7"/>
    <x v="2"/>
    <x v="1"/>
    <x v="2"/>
    <x v="0"/>
    <d v="1975-11-13T00:00:00"/>
    <n v="-17937"/>
    <x v="1670"/>
    <x v="1"/>
    <n v="-3054"/>
    <n v="8.3613963039014365"/>
    <x v="1"/>
    <n v="1"/>
    <n v="0"/>
    <n v="0"/>
    <n v="0"/>
    <s v="Medicine staff"/>
    <x v="0"/>
  </r>
  <r>
    <n v="5088083"/>
    <x v="0"/>
    <s v="N"/>
    <s v="Y"/>
    <n v="0"/>
    <x v="37"/>
    <x v="0"/>
    <x v="1"/>
    <x v="3"/>
    <x v="0"/>
    <d v="1964-10-17T00:00:00"/>
    <n v="-21981"/>
    <x v="1671"/>
    <x v="0"/>
    <n v="365243"/>
    <n v="0"/>
    <x v="0"/>
    <n v="1"/>
    <n v="0"/>
    <n v="1"/>
    <n v="0"/>
    <m/>
    <x v="1"/>
  </r>
  <r>
    <n v="5088101"/>
    <x v="0"/>
    <s v="Y"/>
    <s v="Y"/>
    <n v="0"/>
    <x v="18"/>
    <x v="2"/>
    <x v="1"/>
    <x v="0"/>
    <x v="0"/>
    <d v="1978-07-06T00:00:00"/>
    <n v="-16971"/>
    <x v="1672"/>
    <x v="1"/>
    <n v="-375"/>
    <n v="1.0266940451745379"/>
    <x v="1"/>
    <n v="1"/>
    <n v="0"/>
    <n v="0"/>
    <n v="0"/>
    <m/>
    <x v="0"/>
  </r>
  <r>
    <n v="5088112"/>
    <x v="1"/>
    <s v="Y"/>
    <s v="Y"/>
    <n v="1"/>
    <x v="16"/>
    <x v="2"/>
    <x v="1"/>
    <x v="1"/>
    <x v="0"/>
    <d v="1988-03-09T00:00:00"/>
    <n v="-13437"/>
    <x v="1673"/>
    <x v="3"/>
    <n v="-1713"/>
    <n v="4.6899383983572891"/>
    <x v="1"/>
    <n v="1"/>
    <n v="0"/>
    <n v="0"/>
    <n v="0"/>
    <s v="Drivers"/>
    <x v="3"/>
  </r>
  <r>
    <n v="5088132"/>
    <x v="0"/>
    <s v="N"/>
    <s v="N"/>
    <n v="1"/>
    <x v="18"/>
    <x v="3"/>
    <x v="1"/>
    <x v="1"/>
    <x v="0"/>
    <d v="1982-09-09T00:00:00"/>
    <n v="-15445"/>
    <x v="661"/>
    <x v="1"/>
    <n v="-2750"/>
    <n v="7.529089664613279"/>
    <x v="1"/>
    <n v="1"/>
    <n v="0"/>
    <n v="0"/>
    <n v="0"/>
    <s v="Core staff"/>
    <x v="3"/>
  </r>
  <r>
    <n v="5088161"/>
    <x v="0"/>
    <s v="N"/>
    <s v="Y"/>
    <n v="0"/>
    <x v="18"/>
    <x v="2"/>
    <x v="1"/>
    <x v="2"/>
    <x v="0"/>
    <d v="1989-08-06T00:00:00"/>
    <n v="-12922"/>
    <x v="1674"/>
    <x v="3"/>
    <n v="-923"/>
    <n v="2.5270362765229293"/>
    <x v="1"/>
    <n v="1"/>
    <n v="0"/>
    <n v="0"/>
    <n v="0"/>
    <s v="Core staff"/>
    <x v="0"/>
  </r>
  <r>
    <n v="5088180"/>
    <x v="0"/>
    <s v="N"/>
    <s v="N"/>
    <n v="0"/>
    <x v="16"/>
    <x v="2"/>
    <x v="2"/>
    <x v="4"/>
    <x v="0"/>
    <d v="1971-03-27T00:00:00"/>
    <n v="-19629"/>
    <x v="1675"/>
    <x v="2"/>
    <n v="-1897"/>
    <n v="5.1937029431895958"/>
    <x v="1"/>
    <n v="1"/>
    <n v="1"/>
    <n v="1"/>
    <n v="0"/>
    <s v="Core staff"/>
    <x v="0"/>
  </r>
  <r>
    <n v="5088204"/>
    <x v="0"/>
    <s v="N"/>
    <s v="Y"/>
    <n v="0"/>
    <x v="33"/>
    <x v="0"/>
    <x v="1"/>
    <x v="0"/>
    <x v="0"/>
    <d v="1965-05-08T00:00:00"/>
    <n v="-21778"/>
    <x v="1676"/>
    <x v="2"/>
    <n v="365243"/>
    <n v="0"/>
    <x v="0"/>
    <n v="1"/>
    <n v="0"/>
    <n v="1"/>
    <n v="0"/>
    <m/>
    <x v="0"/>
  </r>
  <r>
    <n v="5088230"/>
    <x v="0"/>
    <s v="N"/>
    <s v="Y"/>
    <n v="0"/>
    <x v="1"/>
    <x v="0"/>
    <x v="1"/>
    <x v="1"/>
    <x v="0"/>
    <d v="1965-09-16T00:00:00"/>
    <n v="-21647"/>
    <x v="1677"/>
    <x v="2"/>
    <n v="365243"/>
    <n v="0"/>
    <x v="0"/>
    <n v="1"/>
    <n v="0"/>
    <n v="0"/>
    <n v="0"/>
    <m/>
    <x v="1"/>
  </r>
  <r>
    <n v="5088266"/>
    <x v="0"/>
    <s v="N"/>
    <s v="Y"/>
    <n v="0"/>
    <x v="18"/>
    <x v="2"/>
    <x v="1"/>
    <x v="1"/>
    <x v="0"/>
    <d v="1979-04-10T00:00:00"/>
    <n v="-16693"/>
    <x v="1678"/>
    <x v="1"/>
    <n v="-6678"/>
    <n v="18.283367556468171"/>
    <x v="1"/>
    <n v="1"/>
    <n v="0"/>
    <n v="0"/>
    <n v="0"/>
    <m/>
    <x v="1"/>
  </r>
  <r>
    <n v="5088284"/>
    <x v="1"/>
    <s v="Y"/>
    <s v="Y"/>
    <n v="1"/>
    <x v="8"/>
    <x v="1"/>
    <x v="1"/>
    <x v="1"/>
    <x v="0"/>
    <d v="1977-07-25T00:00:00"/>
    <n v="-17317"/>
    <x v="1679"/>
    <x v="1"/>
    <n v="-285"/>
    <n v="0.78028747433264889"/>
    <x v="1"/>
    <n v="1"/>
    <n v="0"/>
    <n v="0"/>
    <n v="0"/>
    <s v="Drivers"/>
    <x v="3"/>
  </r>
  <r>
    <n v="5088290"/>
    <x v="1"/>
    <s v="Y"/>
    <s v="Y"/>
    <n v="1"/>
    <x v="8"/>
    <x v="1"/>
    <x v="1"/>
    <x v="1"/>
    <x v="0"/>
    <d v="1977-07-25T00:00:00"/>
    <n v="-17317"/>
    <x v="1679"/>
    <x v="1"/>
    <n v="-285"/>
    <n v="0.78028747433264889"/>
    <x v="1"/>
    <n v="1"/>
    <n v="0"/>
    <n v="0"/>
    <n v="0"/>
    <s v="Drivers"/>
    <x v="3"/>
  </r>
  <r>
    <n v="5088355"/>
    <x v="1"/>
    <s v="N"/>
    <s v="Y"/>
    <n v="0"/>
    <x v="18"/>
    <x v="2"/>
    <x v="1"/>
    <x v="1"/>
    <x v="0"/>
    <d v="1989-12-29T00:00:00"/>
    <n v="-12777"/>
    <x v="1680"/>
    <x v="3"/>
    <n v="-3541"/>
    <n v="9.6947296372347704"/>
    <x v="1"/>
    <n v="1"/>
    <n v="0"/>
    <n v="0"/>
    <n v="0"/>
    <s v="Laborers"/>
    <x v="1"/>
  </r>
  <r>
    <n v="5088361"/>
    <x v="1"/>
    <s v="N"/>
    <s v="Y"/>
    <n v="0"/>
    <x v="18"/>
    <x v="2"/>
    <x v="1"/>
    <x v="1"/>
    <x v="0"/>
    <d v="1989-12-29T00:00:00"/>
    <n v="-12777"/>
    <x v="1680"/>
    <x v="3"/>
    <n v="-3541"/>
    <n v="9.6947296372347704"/>
    <x v="1"/>
    <n v="1"/>
    <n v="0"/>
    <n v="0"/>
    <n v="0"/>
    <s v="Laborers"/>
    <x v="1"/>
  </r>
  <r>
    <n v="5088450"/>
    <x v="0"/>
    <s v="N"/>
    <s v="Y"/>
    <n v="0"/>
    <x v="5"/>
    <x v="3"/>
    <x v="1"/>
    <x v="4"/>
    <x v="0"/>
    <d v="1962-04-25T00:00:00"/>
    <n v="-22887"/>
    <x v="1681"/>
    <x v="0"/>
    <n v="-2052"/>
    <n v="5.6180698151950716"/>
    <x v="1"/>
    <n v="1"/>
    <n v="0"/>
    <n v="1"/>
    <n v="0"/>
    <s v="Drivers"/>
    <x v="0"/>
  </r>
  <r>
    <n v="5088458"/>
    <x v="1"/>
    <s v="Y"/>
    <s v="Y"/>
    <n v="1"/>
    <x v="8"/>
    <x v="1"/>
    <x v="1"/>
    <x v="1"/>
    <x v="0"/>
    <d v="1983-02-05T00:00:00"/>
    <n v="-15296"/>
    <x v="1682"/>
    <x v="1"/>
    <n v="-4244"/>
    <n v="11.619438740588638"/>
    <x v="1"/>
    <n v="1"/>
    <n v="1"/>
    <n v="0"/>
    <n v="0"/>
    <s v="Drivers"/>
    <x v="3"/>
  </r>
  <r>
    <n v="5088498"/>
    <x v="0"/>
    <s v="N"/>
    <s v="N"/>
    <n v="0"/>
    <x v="50"/>
    <x v="2"/>
    <x v="1"/>
    <x v="2"/>
    <x v="0"/>
    <d v="1968-04-19T00:00:00"/>
    <n v="-20701"/>
    <x v="1683"/>
    <x v="2"/>
    <n v="-1746"/>
    <n v="4.7802874743326491"/>
    <x v="1"/>
    <n v="1"/>
    <n v="0"/>
    <n v="0"/>
    <n v="0"/>
    <s v="Sales staff"/>
    <x v="0"/>
  </r>
  <r>
    <n v="5088516"/>
    <x v="0"/>
    <s v="N"/>
    <s v="Y"/>
    <n v="0"/>
    <x v="55"/>
    <x v="0"/>
    <x v="3"/>
    <x v="1"/>
    <x v="0"/>
    <d v="1961-12-18T00:00:00"/>
    <n v="-23015"/>
    <x v="1684"/>
    <x v="0"/>
    <n v="365243"/>
    <n v="0"/>
    <x v="0"/>
    <n v="1"/>
    <n v="0"/>
    <n v="0"/>
    <n v="0"/>
    <m/>
    <x v="1"/>
  </r>
  <r>
    <n v="5088534"/>
    <x v="0"/>
    <s v="N"/>
    <s v="Y"/>
    <n v="0"/>
    <x v="73"/>
    <x v="0"/>
    <x v="1"/>
    <x v="1"/>
    <x v="0"/>
    <d v="1959-03-13T00:00:00"/>
    <n v="-24026"/>
    <x v="1685"/>
    <x v="0"/>
    <n v="365243"/>
    <n v="0"/>
    <x v="0"/>
    <n v="1"/>
    <n v="0"/>
    <n v="0"/>
    <n v="0"/>
    <m/>
    <x v="1"/>
  </r>
  <r>
    <n v="5088554"/>
    <x v="0"/>
    <s v="N"/>
    <s v="Y"/>
    <n v="0"/>
    <x v="30"/>
    <x v="1"/>
    <x v="0"/>
    <x v="0"/>
    <x v="0"/>
    <d v="1974-08-21T00:00:00"/>
    <n v="-18386"/>
    <x v="1686"/>
    <x v="2"/>
    <n v="-8808"/>
    <n v="24.114989733059549"/>
    <x v="1"/>
    <n v="1"/>
    <n v="0"/>
    <n v="0"/>
    <n v="0"/>
    <s v="Core staff"/>
    <x v="0"/>
  </r>
  <r>
    <n v="5088602"/>
    <x v="0"/>
    <s v="Y"/>
    <s v="Y"/>
    <n v="0"/>
    <x v="16"/>
    <x v="2"/>
    <x v="1"/>
    <x v="1"/>
    <x v="0"/>
    <d v="1989-01-01T00:00:00"/>
    <n v="-13139"/>
    <x v="1687"/>
    <x v="3"/>
    <n v="-1412"/>
    <n v="3.8658453114305269"/>
    <x v="1"/>
    <n v="1"/>
    <n v="0"/>
    <n v="0"/>
    <n v="0"/>
    <s v="Private service staff"/>
    <x v="1"/>
  </r>
  <r>
    <n v="5088605"/>
    <x v="0"/>
    <s v="Y"/>
    <s v="Y"/>
    <n v="0"/>
    <x v="16"/>
    <x v="2"/>
    <x v="1"/>
    <x v="1"/>
    <x v="0"/>
    <d v="1989-01-01T00:00:00"/>
    <n v="-13139"/>
    <x v="1687"/>
    <x v="3"/>
    <n v="-1412"/>
    <n v="3.8658453114305269"/>
    <x v="1"/>
    <n v="1"/>
    <n v="0"/>
    <n v="0"/>
    <n v="0"/>
    <s v="Private service staff"/>
    <x v="1"/>
  </r>
  <r>
    <n v="5088655"/>
    <x v="0"/>
    <s v="Y"/>
    <s v="Y"/>
    <n v="1"/>
    <x v="5"/>
    <x v="2"/>
    <x v="0"/>
    <x v="1"/>
    <x v="0"/>
    <d v="1979-04-23T00:00:00"/>
    <n v="-16680"/>
    <x v="1688"/>
    <x v="1"/>
    <n v="-2477"/>
    <n v="6.7816563997262147"/>
    <x v="1"/>
    <n v="1"/>
    <n v="0"/>
    <n v="0"/>
    <n v="0"/>
    <s v="Managers"/>
    <x v="3"/>
  </r>
  <r>
    <n v="5088667"/>
    <x v="1"/>
    <s v="Y"/>
    <s v="Y"/>
    <n v="0"/>
    <x v="8"/>
    <x v="1"/>
    <x v="0"/>
    <x v="2"/>
    <x v="0"/>
    <d v="1999-09-25T00:00:00"/>
    <n v="-9220"/>
    <x v="1689"/>
    <x v="4"/>
    <n v="-1473"/>
    <n v="4.0328542094455848"/>
    <x v="1"/>
    <n v="1"/>
    <n v="0"/>
    <n v="0"/>
    <n v="0"/>
    <s v="Core staff"/>
    <x v="0"/>
  </r>
  <r>
    <n v="5088683"/>
    <x v="1"/>
    <s v="Y"/>
    <s v="Y"/>
    <n v="0"/>
    <x v="109"/>
    <x v="1"/>
    <x v="1"/>
    <x v="1"/>
    <x v="2"/>
    <d v="1970-07-23T00:00:00"/>
    <n v="-19876"/>
    <x v="1690"/>
    <x v="2"/>
    <n v="-499"/>
    <n v="1.3661875427789185"/>
    <x v="1"/>
    <n v="1"/>
    <n v="0"/>
    <n v="0"/>
    <n v="0"/>
    <s v="Security staff"/>
    <x v="1"/>
  </r>
  <r>
    <n v="5088690"/>
    <x v="1"/>
    <s v="N"/>
    <s v="Y"/>
    <n v="1"/>
    <x v="1"/>
    <x v="2"/>
    <x v="1"/>
    <x v="1"/>
    <x v="0"/>
    <d v="1973-09-22T00:00:00"/>
    <n v="-18719"/>
    <x v="1691"/>
    <x v="2"/>
    <n v="-1473"/>
    <n v="4.0328542094455848"/>
    <x v="1"/>
    <n v="1"/>
    <n v="1"/>
    <n v="1"/>
    <n v="0"/>
    <s v="Laborers"/>
    <x v="3"/>
  </r>
  <r>
    <n v="5088699"/>
    <x v="0"/>
    <s v="Y"/>
    <s v="Y"/>
    <n v="0"/>
    <x v="26"/>
    <x v="2"/>
    <x v="1"/>
    <x v="1"/>
    <x v="0"/>
    <d v="1976-11-22T00:00:00"/>
    <n v="-17562"/>
    <x v="1692"/>
    <x v="1"/>
    <n v="-1261"/>
    <n v="3.4524298425735798"/>
    <x v="1"/>
    <n v="1"/>
    <n v="0"/>
    <n v="0"/>
    <n v="0"/>
    <s v="Medicine staff"/>
    <x v="1"/>
  </r>
  <r>
    <n v="5088700"/>
    <x v="0"/>
    <s v="Y"/>
    <s v="Y"/>
    <n v="0"/>
    <x v="26"/>
    <x v="2"/>
    <x v="1"/>
    <x v="1"/>
    <x v="0"/>
    <d v="1976-11-22T00:00:00"/>
    <n v="-17562"/>
    <x v="1692"/>
    <x v="1"/>
    <n v="-1261"/>
    <n v="3.4524298425735798"/>
    <x v="1"/>
    <n v="1"/>
    <n v="0"/>
    <n v="0"/>
    <n v="0"/>
    <s v="Medicine staff"/>
    <x v="1"/>
  </r>
  <r>
    <n v="5088702"/>
    <x v="0"/>
    <s v="Y"/>
    <s v="Y"/>
    <n v="1"/>
    <x v="5"/>
    <x v="2"/>
    <x v="0"/>
    <x v="2"/>
    <x v="0"/>
    <d v="1984-11-13T00:00:00"/>
    <n v="-14649"/>
    <x v="1693"/>
    <x v="1"/>
    <n v="-1534"/>
    <n v="4.1998631074606436"/>
    <x v="1"/>
    <n v="1"/>
    <n v="0"/>
    <n v="0"/>
    <n v="0"/>
    <m/>
    <x v="1"/>
  </r>
  <r>
    <n v="5088707"/>
    <x v="0"/>
    <s v="N"/>
    <s v="Y"/>
    <n v="0"/>
    <x v="125"/>
    <x v="0"/>
    <x v="1"/>
    <x v="1"/>
    <x v="0"/>
    <d v="1959-02-09T00:00:00"/>
    <n v="-24058"/>
    <x v="1694"/>
    <x v="0"/>
    <n v="365243"/>
    <n v="0"/>
    <x v="0"/>
    <n v="1"/>
    <n v="0"/>
    <n v="1"/>
    <n v="0"/>
    <m/>
    <x v="1"/>
  </r>
  <r>
    <n v="5088709"/>
    <x v="0"/>
    <s v="N"/>
    <s v="Y"/>
    <n v="0"/>
    <x v="125"/>
    <x v="0"/>
    <x v="1"/>
    <x v="1"/>
    <x v="0"/>
    <d v="1959-02-09T00:00:00"/>
    <n v="-24058"/>
    <x v="1694"/>
    <x v="0"/>
    <n v="365243"/>
    <n v="0"/>
    <x v="0"/>
    <n v="1"/>
    <n v="0"/>
    <n v="1"/>
    <n v="0"/>
    <m/>
    <x v="1"/>
  </r>
  <r>
    <n v="5088710"/>
    <x v="0"/>
    <s v="N"/>
    <s v="Y"/>
    <n v="0"/>
    <x v="125"/>
    <x v="0"/>
    <x v="1"/>
    <x v="1"/>
    <x v="0"/>
    <d v="1959-02-09T00:00:00"/>
    <n v="-24058"/>
    <x v="1694"/>
    <x v="0"/>
    <n v="365243"/>
    <n v="0"/>
    <x v="0"/>
    <n v="1"/>
    <n v="0"/>
    <n v="1"/>
    <n v="0"/>
    <m/>
    <x v="1"/>
  </r>
  <r>
    <n v="5088809"/>
    <x v="1"/>
    <s v="Y"/>
    <s v="Y"/>
    <n v="0"/>
    <x v="8"/>
    <x v="3"/>
    <x v="1"/>
    <x v="1"/>
    <x v="0"/>
    <d v="1987-06-02T00:00:00"/>
    <n v="-13718"/>
    <x v="1695"/>
    <x v="3"/>
    <n v="-3694"/>
    <n v="10.113620807665983"/>
    <x v="1"/>
    <n v="1"/>
    <n v="1"/>
    <n v="1"/>
    <n v="0"/>
    <s v="High skill tech staff"/>
    <x v="1"/>
  </r>
  <r>
    <n v="5088819"/>
    <x v="0"/>
    <s v="N"/>
    <s v="Y"/>
    <n v="0"/>
    <x v="11"/>
    <x v="0"/>
    <x v="1"/>
    <x v="0"/>
    <x v="0"/>
    <d v="1963-01-20T00:00:00"/>
    <n v="-22617"/>
    <x v="1696"/>
    <x v="0"/>
    <n v="365243"/>
    <n v="0"/>
    <x v="0"/>
    <n v="1"/>
    <n v="0"/>
    <n v="1"/>
    <n v="0"/>
    <m/>
    <x v="0"/>
  </r>
  <r>
    <n v="5088832"/>
    <x v="0"/>
    <s v="N"/>
    <s v="Y"/>
    <n v="0"/>
    <x v="126"/>
    <x v="3"/>
    <x v="1"/>
    <x v="1"/>
    <x v="0"/>
    <d v="1990-07-31T00:00:00"/>
    <n v="-12563"/>
    <x v="509"/>
    <x v="3"/>
    <n v="-3715"/>
    <n v="10.171115674195756"/>
    <x v="1"/>
    <n v="1"/>
    <n v="0"/>
    <n v="0"/>
    <n v="1"/>
    <s v="Accountants"/>
    <x v="1"/>
  </r>
  <r>
    <n v="5088854"/>
    <x v="0"/>
    <s v="Y"/>
    <s v="Y"/>
    <n v="0"/>
    <x v="2"/>
    <x v="2"/>
    <x v="0"/>
    <x v="1"/>
    <x v="0"/>
    <d v="1993-11-22T00:00:00"/>
    <n v="-11353"/>
    <x v="1697"/>
    <x v="3"/>
    <n v="-2316"/>
    <n v="6.3408624229979464"/>
    <x v="1"/>
    <n v="1"/>
    <n v="0"/>
    <n v="0"/>
    <n v="1"/>
    <s v="Accountants"/>
    <x v="1"/>
  </r>
  <r>
    <n v="5088865"/>
    <x v="0"/>
    <s v="Y"/>
    <s v="Y"/>
    <n v="0"/>
    <x v="18"/>
    <x v="2"/>
    <x v="0"/>
    <x v="1"/>
    <x v="0"/>
    <d v="1968-06-16T00:00:00"/>
    <n v="-20643"/>
    <x v="1698"/>
    <x v="2"/>
    <n v="-6456"/>
    <n v="17.675564681724847"/>
    <x v="1"/>
    <n v="1"/>
    <n v="0"/>
    <n v="0"/>
    <n v="1"/>
    <s v="Core staff"/>
    <x v="1"/>
  </r>
  <r>
    <n v="5088870"/>
    <x v="0"/>
    <s v="N"/>
    <s v="Y"/>
    <n v="0"/>
    <x v="6"/>
    <x v="2"/>
    <x v="1"/>
    <x v="2"/>
    <x v="2"/>
    <d v="1998-08-01T00:00:00"/>
    <n v="-9640"/>
    <x v="1699"/>
    <x v="4"/>
    <n v="-612"/>
    <n v="1.675564681724846"/>
    <x v="1"/>
    <n v="1"/>
    <n v="0"/>
    <n v="0"/>
    <n v="1"/>
    <s v="Sales staff"/>
    <x v="0"/>
  </r>
  <r>
    <n v="5088880"/>
    <x v="0"/>
    <s v="Y"/>
    <s v="Y"/>
    <n v="0"/>
    <x v="19"/>
    <x v="1"/>
    <x v="1"/>
    <x v="1"/>
    <x v="0"/>
    <d v="1982-11-18T00:00:00"/>
    <n v="-15375"/>
    <x v="1700"/>
    <x v="1"/>
    <n v="-3200"/>
    <n v="8.7611225188227237"/>
    <x v="1"/>
    <n v="1"/>
    <n v="0"/>
    <n v="0"/>
    <n v="1"/>
    <s v="Laborers"/>
    <x v="1"/>
  </r>
  <r>
    <n v="5088882"/>
    <x v="0"/>
    <s v="Y"/>
    <s v="Y"/>
    <n v="0"/>
    <x v="19"/>
    <x v="1"/>
    <x v="1"/>
    <x v="1"/>
    <x v="0"/>
    <d v="1982-11-18T00:00:00"/>
    <n v="-15375"/>
    <x v="1700"/>
    <x v="1"/>
    <n v="-3200"/>
    <n v="8.7611225188227237"/>
    <x v="1"/>
    <n v="1"/>
    <n v="0"/>
    <n v="0"/>
    <n v="1"/>
    <s v="Laborers"/>
    <x v="1"/>
  </r>
  <r>
    <n v="5088886"/>
    <x v="0"/>
    <s v="N"/>
    <s v="Y"/>
    <n v="0"/>
    <x v="70"/>
    <x v="2"/>
    <x v="1"/>
    <x v="2"/>
    <x v="1"/>
    <d v="1978-08-08T00:00:00"/>
    <n v="-16938"/>
    <x v="1701"/>
    <x v="1"/>
    <n v="-673"/>
    <n v="1.8425735797399041"/>
    <x v="1"/>
    <n v="1"/>
    <n v="0"/>
    <n v="0"/>
    <n v="0"/>
    <s v="Laborers"/>
    <x v="0"/>
  </r>
  <r>
    <n v="5088891"/>
    <x v="0"/>
    <s v="N"/>
    <s v="Y"/>
    <n v="0"/>
    <x v="70"/>
    <x v="2"/>
    <x v="1"/>
    <x v="2"/>
    <x v="1"/>
    <d v="1978-08-08T00:00:00"/>
    <n v="-16938"/>
    <x v="1701"/>
    <x v="1"/>
    <n v="-673"/>
    <n v="1.8425735797399041"/>
    <x v="1"/>
    <n v="1"/>
    <n v="0"/>
    <n v="0"/>
    <n v="0"/>
    <s v="Laborers"/>
    <x v="0"/>
  </r>
  <r>
    <n v="5088923"/>
    <x v="0"/>
    <s v="N"/>
    <s v="Y"/>
    <n v="0"/>
    <x v="16"/>
    <x v="2"/>
    <x v="1"/>
    <x v="0"/>
    <x v="0"/>
    <d v="1989-08-14T00:00:00"/>
    <n v="-12914"/>
    <x v="1702"/>
    <x v="3"/>
    <n v="-278"/>
    <n v="0.76112251882272419"/>
    <x v="1"/>
    <n v="1"/>
    <n v="0"/>
    <n v="0"/>
    <n v="1"/>
    <s v="Laborers"/>
    <x v="0"/>
  </r>
  <r>
    <n v="5088927"/>
    <x v="0"/>
    <s v="Y"/>
    <s v="Y"/>
    <n v="0"/>
    <x v="14"/>
    <x v="2"/>
    <x v="0"/>
    <x v="3"/>
    <x v="0"/>
    <d v="1993-08-15T00:00:00"/>
    <n v="-11452"/>
    <x v="1703"/>
    <x v="3"/>
    <n v="-2012"/>
    <n v="5.508555783709788"/>
    <x v="1"/>
    <n v="1"/>
    <n v="0"/>
    <n v="0"/>
    <n v="0"/>
    <m/>
    <x v="1"/>
  </r>
  <r>
    <n v="5088928"/>
    <x v="0"/>
    <s v="Y"/>
    <s v="Y"/>
    <n v="0"/>
    <x v="14"/>
    <x v="2"/>
    <x v="0"/>
    <x v="3"/>
    <x v="0"/>
    <d v="1993-08-15T00:00:00"/>
    <n v="-11452"/>
    <x v="1703"/>
    <x v="3"/>
    <n v="-2012"/>
    <n v="5.508555783709788"/>
    <x v="1"/>
    <n v="1"/>
    <n v="0"/>
    <n v="0"/>
    <n v="0"/>
    <m/>
    <x v="1"/>
  </r>
  <r>
    <n v="5088930"/>
    <x v="0"/>
    <s v="Y"/>
    <s v="Y"/>
    <n v="0"/>
    <x v="14"/>
    <x v="2"/>
    <x v="0"/>
    <x v="3"/>
    <x v="0"/>
    <d v="1993-08-15T00:00:00"/>
    <n v="-11452"/>
    <x v="1703"/>
    <x v="3"/>
    <n v="-2012"/>
    <n v="5.508555783709788"/>
    <x v="1"/>
    <n v="1"/>
    <n v="0"/>
    <n v="0"/>
    <n v="0"/>
    <m/>
    <x v="1"/>
  </r>
  <r>
    <n v="5088939"/>
    <x v="0"/>
    <s v="N"/>
    <s v="Y"/>
    <n v="0"/>
    <x v="2"/>
    <x v="0"/>
    <x v="1"/>
    <x v="4"/>
    <x v="0"/>
    <d v="1961-10-17T00:00:00"/>
    <n v="-23077"/>
    <x v="1704"/>
    <x v="0"/>
    <n v="365243"/>
    <n v="0"/>
    <x v="0"/>
    <n v="1"/>
    <n v="0"/>
    <n v="0"/>
    <n v="0"/>
    <m/>
    <x v="0"/>
  </r>
  <r>
    <n v="5088976"/>
    <x v="0"/>
    <s v="Y"/>
    <s v="N"/>
    <n v="0"/>
    <x v="127"/>
    <x v="1"/>
    <x v="1"/>
    <x v="1"/>
    <x v="0"/>
    <d v="1976-05-06T00:00:00"/>
    <n v="-17762"/>
    <x v="1549"/>
    <x v="1"/>
    <n v="-7734"/>
    <n v="21.17453798767967"/>
    <x v="1"/>
    <n v="1"/>
    <n v="1"/>
    <n v="1"/>
    <n v="0"/>
    <s v="Cleaning staff"/>
    <x v="1"/>
  </r>
  <r>
    <n v="5089004"/>
    <x v="0"/>
    <s v="Y"/>
    <s v="N"/>
    <n v="0"/>
    <x v="35"/>
    <x v="2"/>
    <x v="1"/>
    <x v="1"/>
    <x v="0"/>
    <d v="1971-02-27T00:00:00"/>
    <n v="-19657"/>
    <x v="1705"/>
    <x v="2"/>
    <n v="-2774"/>
    <n v="7.5947980835044486"/>
    <x v="1"/>
    <n v="1"/>
    <n v="0"/>
    <n v="1"/>
    <n v="0"/>
    <m/>
    <x v="1"/>
  </r>
  <r>
    <n v="5089016"/>
    <x v="0"/>
    <s v="N"/>
    <s v="N"/>
    <n v="1"/>
    <x v="11"/>
    <x v="1"/>
    <x v="0"/>
    <x v="0"/>
    <x v="0"/>
    <d v="1982-04-29T00:00:00"/>
    <n v="-15578"/>
    <x v="1706"/>
    <x v="1"/>
    <n v="-7949"/>
    <n v="21.763175906913073"/>
    <x v="1"/>
    <n v="1"/>
    <n v="1"/>
    <n v="1"/>
    <n v="0"/>
    <m/>
    <x v="1"/>
  </r>
  <r>
    <n v="5089028"/>
    <x v="0"/>
    <s v="N"/>
    <s v="N"/>
    <n v="0"/>
    <x v="70"/>
    <x v="2"/>
    <x v="1"/>
    <x v="1"/>
    <x v="0"/>
    <d v="1977-01-15T00:00:00"/>
    <n v="-17508"/>
    <x v="1707"/>
    <x v="1"/>
    <n v="-1648"/>
    <n v="4.5119780971937029"/>
    <x v="1"/>
    <n v="1"/>
    <n v="0"/>
    <n v="0"/>
    <n v="0"/>
    <s v="Laborers"/>
    <x v="1"/>
  </r>
  <r>
    <n v="5089030"/>
    <x v="0"/>
    <s v="N"/>
    <s v="N"/>
    <n v="0"/>
    <x v="70"/>
    <x v="2"/>
    <x v="1"/>
    <x v="1"/>
    <x v="0"/>
    <d v="1977-01-15T00:00:00"/>
    <n v="-17508"/>
    <x v="1707"/>
    <x v="1"/>
    <n v="-1648"/>
    <n v="4.5119780971937029"/>
    <x v="1"/>
    <n v="1"/>
    <n v="0"/>
    <n v="0"/>
    <n v="0"/>
    <s v="Laborers"/>
    <x v="1"/>
  </r>
  <r>
    <n v="5089034"/>
    <x v="0"/>
    <s v="N"/>
    <s v="N"/>
    <n v="0"/>
    <x v="70"/>
    <x v="2"/>
    <x v="1"/>
    <x v="1"/>
    <x v="0"/>
    <d v="1977-01-15T00:00:00"/>
    <n v="-17508"/>
    <x v="1707"/>
    <x v="1"/>
    <n v="-1648"/>
    <n v="4.5119780971937029"/>
    <x v="1"/>
    <n v="1"/>
    <n v="0"/>
    <n v="0"/>
    <n v="0"/>
    <s v="Laborers"/>
    <x v="1"/>
  </r>
  <r>
    <n v="5089037"/>
    <x v="0"/>
    <s v="N"/>
    <s v="N"/>
    <n v="0"/>
    <x v="32"/>
    <x v="0"/>
    <x v="1"/>
    <x v="2"/>
    <x v="0"/>
    <d v="1964-08-07T00:00:00"/>
    <n v="-22052"/>
    <x v="1708"/>
    <x v="0"/>
    <n v="365243"/>
    <n v="0"/>
    <x v="0"/>
    <n v="1"/>
    <n v="0"/>
    <n v="1"/>
    <n v="0"/>
    <m/>
    <x v="0"/>
  </r>
  <r>
    <n v="5089039"/>
    <x v="0"/>
    <s v="Y"/>
    <s v="N"/>
    <n v="0"/>
    <x v="8"/>
    <x v="2"/>
    <x v="1"/>
    <x v="4"/>
    <x v="0"/>
    <d v="1990-09-10T00:00:00"/>
    <n v="-12522"/>
    <x v="1709"/>
    <x v="3"/>
    <n v="-613"/>
    <n v="1.678302532511978"/>
    <x v="1"/>
    <n v="1"/>
    <n v="1"/>
    <n v="0"/>
    <n v="0"/>
    <s v="Laborers"/>
    <x v="0"/>
  </r>
  <r>
    <n v="5089048"/>
    <x v="0"/>
    <s v="Y"/>
    <s v="N"/>
    <n v="0"/>
    <x v="8"/>
    <x v="2"/>
    <x v="1"/>
    <x v="4"/>
    <x v="0"/>
    <d v="1990-09-10T00:00:00"/>
    <n v="-12522"/>
    <x v="1709"/>
    <x v="3"/>
    <n v="-613"/>
    <n v="1.678302532511978"/>
    <x v="1"/>
    <n v="1"/>
    <n v="1"/>
    <n v="0"/>
    <n v="0"/>
    <s v="Laborers"/>
    <x v="0"/>
  </r>
  <r>
    <n v="5089050"/>
    <x v="1"/>
    <s v="N"/>
    <s v="N"/>
    <n v="0"/>
    <x v="8"/>
    <x v="2"/>
    <x v="0"/>
    <x v="1"/>
    <x v="0"/>
    <d v="1988-10-01T00:00:00"/>
    <n v="-13231"/>
    <x v="1710"/>
    <x v="3"/>
    <n v="-3139"/>
    <n v="8.5941136208076667"/>
    <x v="1"/>
    <n v="1"/>
    <n v="1"/>
    <n v="1"/>
    <n v="0"/>
    <s v="Sales staff"/>
    <x v="1"/>
  </r>
  <r>
    <n v="5089057"/>
    <x v="0"/>
    <s v="Y"/>
    <s v="N"/>
    <n v="0"/>
    <x v="5"/>
    <x v="3"/>
    <x v="1"/>
    <x v="1"/>
    <x v="0"/>
    <d v="1978-03-18T00:00:00"/>
    <n v="-17081"/>
    <x v="982"/>
    <x v="1"/>
    <n v="-2927"/>
    <n v="8.0136892539356612"/>
    <x v="1"/>
    <n v="1"/>
    <n v="0"/>
    <n v="1"/>
    <n v="0"/>
    <m/>
    <x v="1"/>
  </r>
  <r>
    <n v="5089058"/>
    <x v="0"/>
    <s v="Y"/>
    <s v="N"/>
    <n v="0"/>
    <x v="5"/>
    <x v="3"/>
    <x v="1"/>
    <x v="1"/>
    <x v="0"/>
    <d v="1978-03-18T00:00:00"/>
    <n v="-17081"/>
    <x v="982"/>
    <x v="1"/>
    <n v="-2927"/>
    <n v="8.0136892539356612"/>
    <x v="1"/>
    <n v="1"/>
    <n v="0"/>
    <n v="1"/>
    <n v="0"/>
    <m/>
    <x v="1"/>
  </r>
  <r>
    <n v="5089065"/>
    <x v="0"/>
    <s v="Y"/>
    <s v="N"/>
    <n v="0"/>
    <x v="8"/>
    <x v="2"/>
    <x v="1"/>
    <x v="2"/>
    <x v="0"/>
    <d v="1988-03-29T00:00:00"/>
    <n v="-13417"/>
    <x v="1711"/>
    <x v="3"/>
    <n v="-3931"/>
    <n v="10.762491444216289"/>
    <x v="1"/>
    <n v="1"/>
    <n v="1"/>
    <n v="1"/>
    <n v="0"/>
    <s v="Accountants"/>
    <x v="0"/>
  </r>
  <r>
    <n v="5089079"/>
    <x v="0"/>
    <s v="N"/>
    <s v="N"/>
    <n v="0"/>
    <x v="1"/>
    <x v="1"/>
    <x v="1"/>
    <x v="4"/>
    <x v="0"/>
    <d v="1974-05-26T00:00:00"/>
    <n v="-18473"/>
    <x v="1712"/>
    <x v="2"/>
    <n v="-2531"/>
    <n v="6.9295003422313481"/>
    <x v="1"/>
    <n v="1"/>
    <n v="0"/>
    <n v="1"/>
    <n v="0"/>
    <s v="Cooking staff"/>
    <x v="0"/>
  </r>
  <r>
    <n v="5089083"/>
    <x v="0"/>
    <s v="N"/>
    <s v="N"/>
    <n v="0"/>
    <x v="1"/>
    <x v="1"/>
    <x v="1"/>
    <x v="4"/>
    <x v="0"/>
    <d v="1974-05-26T00:00:00"/>
    <n v="-18473"/>
    <x v="1712"/>
    <x v="2"/>
    <n v="-2531"/>
    <n v="6.9295003422313481"/>
    <x v="1"/>
    <n v="1"/>
    <n v="0"/>
    <n v="1"/>
    <n v="0"/>
    <s v="Cooking staff"/>
    <x v="0"/>
  </r>
  <r>
    <n v="5089108"/>
    <x v="0"/>
    <s v="N"/>
    <s v="N"/>
    <n v="0"/>
    <x v="2"/>
    <x v="2"/>
    <x v="1"/>
    <x v="1"/>
    <x v="2"/>
    <d v="1970-12-23T00:00:00"/>
    <n v="-19723"/>
    <x v="1713"/>
    <x v="2"/>
    <n v="-1191"/>
    <n v="3.2607802874743328"/>
    <x v="1"/>
    <n v="1"/>
    <n v="0"/>
    <n v="1"/>
    <n v="0"/>
    <m/>
    <x v="1"/>
  </r>
  <r>
    <n v="5089121"/>
    <x v="0"/>
    <s v="N"/>
    <s v="N"/>
    <n v="1"/>
    <x v="69"/>
    <x v="2"/>
    <x v="2"/>
    <x v="3"/>
    <x v="0"/>
    <d v="1990-07-14T00:00:00"/>
    <n v="-12580"/>
    <x v="1714"/>
    <x v="3"/>
    <n v="-3109"/>
    <n v="8.5119780971937029"/>
    <x v="1"/>
    <n v="1"/>
    <n v="1"/>
    <n v="1"/>
    <n v="0"/>
    <s v="Core staff"/>
    <x v="3"/>
  </r>
  <r>
    <n v="5089125"/>
    <x v="0"/>
    <s v="N"/>
    <s v="N"/>
    <n v="1"/>
    <x v="69"/>
    <x v="2"/>
    <x v="2"/>
    <x v="3"/>
    <x v="0"/>
    <d v="1990-07-14T00:00:00"/>
    <n v="-12580"/>
    <x v="1714"/>
    <x v="3"/>
    <n v="-3109"/>
    <n v="8.5119780971937029"/>
    <x v="1"/>
    <n v="1"/>
    <n v="1"/>
    <n v="1"/>
    <n v="0"/>
    <s v="Core staff"/>
    <x v="3"/>
  </r>
  <r>
    <n v="5089132"/>
    <x v="0"/>
    <s v="N"/>
    <s v="N"/>
    <n v="0"/>
    <x v="30"/>
    <x v="2"/>
    <x v="1"/>
    <x v="1"/>
    <x v="4"/>
    <d v="1972-06-27T00:00:00"/>
    <n v="-19171"/>
    <x v="1715"/>
    <x v="2"/>
    <n v="-429"/>
    <n v="1.1745379876796715"/>
    <x v="1"/>
    <n v="1"/>
    <n v="0"/>
    <n v="0"/>
    <n v="0"/>
    <s v="Laborers"/>
    <x v="1"/>
  </r>
  <r>
    <n v="5089139"/>
    <x v="0"/>
    <s v="Y"/>
    <s v="N"/>
    <n v="0"/>
    <x v="11"/>
    <x v="1"/>
    <x v="1"/>
    <x v="3"/>
    <x v="2"/>
    <d v="1986-01-08T00:00:00"/>
    <n v="-14228"/>
    <x v="1245"/>
    <x v="3"/>
    <n v="-5330"/>
    <n v="14.592744695414099"/>
    <x v="1"/>
    <n v="1"/>
    <n v="0"/>
    <n v="1"/>
    <n v="0"/>
    <m/>
    <x v="1"/>
  </r>
  <r>
    <n v="5089144"/>
    <x v="0"/>
    <s v="Y"/>
    <s v="N"/>
    <n v="0"/>
    <x v="11"/>
    <x v="1"/>
    <x v="1"/>
    <x v="3"/>
    <x v="2"/>
    <d v="1986-01-08T00:00:00"/>
    <n v="-14228"/>
    <x v="1245"/>
    <x v="3"/>
    <n v="-5330"/>
    <n v="14.592744695414099"/>
    <x v="1"/>
    <n v="1"/>
    <n v="0"/>
    <n v="1"/>
    <n v="0"/>
    <m/>
    <x v="1"/>
  </r>
  <r>
    <n v="5089151"/>
    <x v="1"/>
    <s v="Y"/>
    <s v="N"/>
    <n v="2"/>
    <x v="19"/>
    <x v="3"/>
    <x v="1"/>
    <x v="1"/>
    <x v="2"/>
    <d v="1982-04-24T00:00:00"/>
    <n v="-15583"/>
    <x v="1716"/>
    <x v="1"/>
    <n v="-6031"/>
    <n v="16.511978097193705"/>
    <x v="1"/>
    <n v="1"/>
    <n v="0"/>
    <n v="1"/>
    <n v="0"/>
    <s v="Drivers"/>
    <x v="2"/>
  </r>
  <r>
    <n v="5089152"/>
    <x v="1"/>
    <s v="Y"/>
    <s v="N"/>
    <n v="2"/>
    <x v="19"/>
    <x v="3"/>
    <x v="1"/>
    <x v="1"/>
    <x v="2"/>
    <d v="1982-04-24T00:00:00"/>
    <n v="-15583"/>
    <x v="1716"/>
    <x v="1"/>
    <n v="-6031"/>
    <n v="16.511978097193705"/>
    <x v="1"/>
    <n v="1"/>
    <n v="0"/>
    <n v="1"/>
    <n v="0"/>
    <s v="Drivers"/>
    <x v="2"/>
  </r>
  <r>
    <n v="5089156"/>
    <x v="1"/>
    <s v="Y"/>
    <s v="N"/>
    <n v="2"/>
    <x v="19"/>
    <x v="3"/>
    <x v="1"/>
    <x v="1"/>
    <x v="2"/>
    <d v="1982-04-24T00:00:00"/>
    <n v="-15583"/>
    <x v="1716"/>
    <x v="1"/>
    <n v="-6031"/>
    <n v="16.511978097193705"/>
    <x v="1"/>
    <n v="1"/>
    <n v="0"/>
    <n v="1"/>
    <n v="0"/>
    <s v="Drivers"/>
    <x v="2"/>
  </r>
  <r>
    <n v="5089194"/>
    <x v="0"/>
    <s v="N"/>
    <s v="N"/>
    <n v="0"/>
    <x v="56"/>
    <x v="0"/>
    <x v="0"/>
    <x v="1"/>
    <x v="0"/>
    <d v="1966-06-17T00:00:00"/>
    <n v="-21373"/>
    <x v="1717"/>
    <x v="2"/>
    <n v="365243"/>
    <n v="0"/>
    <x v="0"/>
    <n v="1"/>
    <n v="0"/>
    <n v="1"/>
    <n v="0"/>
    <m/>
    <x v="1"/>
  </r>
  <r>
    <n v="5089196"/>
    <x v="0"/>
    <s v="N"/>
    <s v="N"/>
    <n v="0"/>
    <x v="56"/>
    <x v="0"/>
    <x v="0"/>
    <x v="1"/>
    <x v="0"/>
    <d v="1966-06-17T00:00:00"/>
    <n v="-21373"/>
    <x v="1717"/>
    <x v="2"/>
    <n v="365243"/>
    <n v="0"/>
    <x v="0"/>
    <n v="1"/>
    <n v="0"/>
    <n v="1"/>
    <n v="0"/>
    <m/>
    <x v="1"/>
  </r>
  <r>
    <n v="5089211"/>
    <x v="0"/>
    <s v="Y"/>
    <s v="N"/>
    <n v="0"/>
    <x v="50"/>
    <x v="1"/>
    <x v="1"/>
    <x v="1"/>
    <x v="0"/>
    <d v="1976-01-25T00:00:00"/>
    <n v="-17864"/>
    <x v="1718"/>
    <x v="1"/>
    <n v="-705"/>
    <n v="1.9301848049281314"/>
    <x v="1"/>
    <n v="1"/>
    <n v="1"/>
    <n v="0"/>
    <n v="0"/>
    <s v="High skill tech staff"/>
    <x v="1"/>
  </r>
  <r>
    <n v="5089212"/>
    <x v="0"/>
    <s v="Y"/>
    <s v="N"/>
    <n v="0"/>
    <x v="50"/>
    <x v="1"/>
    <x v="1"/>
    <x v="1"/>
    <x v="0"/>
    <d v="1976-01-25T00:00:00"/>
    <n v="-17864"/>
    <x v="1718"/>
    <x v="1"/>
    <n v="-705"/>
    <n v="1.9301848049281314"/>
    <x v="1"/>
    <n v="1"/>
    <n v="1"/>
    <n v="0"/>
    <n v="0"/>
    <s v="High skill tech staff"/>
    <x v="1"/>
  </r>
  <r>
    <n v="5089242"/>
    <x v="0"/>
    <s v="N"/>
    <s v="N"/>
    <n v="0"/>
    <x v="18"/>
    <x v="3"/>
    <x v="1"/>
    <x v="0"/>
    <x v="0"/>
    <d v="1971-12-18T00:00:00"/>
    <n v="-19363"/>
    <x v="1719"/>
    <x v="2"/>
    <n v="-12332"/>
    <n v="33.763175906913077"/>
    <x v="1"/>
    <n v="1"/>
    <n v="0"/>
    <n v="1"/>
    <n v="1"/>
    <s v="Medicine staff"/>
    <x v="0"/>
  </r>
  <r>
    <n v="5089244"/>
    <x v="0"/>
    <s v="N"/>
    <s v="N"/>
    <n v="0"/>
    <x v="18"/>
    <x v="3"/>
    <x v="1"/>
    <x v="0"/>
    <x v="0"/>
    <d v="1971-12-18T00:00:00"/>
    <n v="-19363"/>
    <x v="1719"/>
    <x v="2"/>
    <n v="-12332"/>
    <n v="33.763175906913077"/>
    <x v="1"/>
    <n v="1"/>
    <n v="0"/>
    <n v="1"/>
    <n v="1"/>
    <s v="Medicine staff"/>
    <x v="0"/>
  </r>
  <r>
    <n v="5089255"/>
    <x v="0"/>
    <s v="N"/>
    <s v="N"/>
    <n v="0"/>
    <x v="88"/>
    <x v="2"/>
    <x v="1"/>
    <x v="2"/>
    <x v="0"/>
    <d v="1973-07-04T00:00:00"/>
    <n v="-18799"/>
    <x v="1720"/>
    <x v="2"/>
    <n v="-1466"/>
    <n v="4.0136892539356603"/>
    <x v="1"/>
    <n v="1"/>
    <n v="1"/>
    <n v="0"/>
    <n v="0"/>
    <s v="Cleaning staff"/>
    <x v="0"/>
  </r>
  <r>
    <n v="5089283"/>
    <x v="1"/>
    <s v="Y"/>
    <s v="N"/>
    <n v="0"/>
    <x v="2"/>
    <x v="2"/>
    <x v="1"/>
    <x v="1"/>
    <x v="0"/>
    <d v="1976-07-28T00:00:00"/>
    <n v="-17679"/>
    <x v="1721"/>
    <x v="1"/>
    <n v="-2592"/>
    <n v="7.0965092402464069"/>
    <x v="1"/>
    <n v="1"/>
    <n v="1"/>
    <n v="0"/>
    <n v="0"/>
    <s v="Sales staff"/>
    <x v="1"/>
  </r>
  <r>
    <n v="5089311"/>
    <x v="0"/>
    <s v="N"/>
    <s v="N"/>
    <n v="1"/>
    <x v="41"/>
    <x v="1"/>
    <x v="0"/>
    <x v="1"/>
    <x v="0"/>
    <d v="1995-03-05T00:00:00"/>
    <n v="-10885"/>
    <x v="1722"/>
    <x v="4"/>
    <n v="-1039"/>
    <n v="2.8446269678302532"/>
    <x v="1"/>
    <n v="1"/>
    <n v="1"/>
    <n v="0"/>
    <n v="0"/>
    <s v="Sales staff"/>
    <x v="3"/>
  </r>
  <r>
    <n v="5089320"/>
    <x v="0"/>
    <s v="Y"/>
    <s v="N"/>
    <n v="0"/>
    <x v="1"/>
    <x v="1"/>
    <x v="0"/>
    <x v="1"/>
    <x v="0"/>
    <d v="1993-03-04T00:00:00"/>
    <n v="-11616"/>
    <x v="1078"/>
    <x v="3"/>
    <n v="-825"/>
    <n v="2.2587268993839835"/>
    <x v="1"/>
    <n v="1"/>
    <n v="1"/>
    <n v="1"/>
    <n v="1"/>
    <s v="High skill tech staff"/>
    <x v="1"/>
  </r>
  <r>
    <n v="5089327"/>
    <x v="0"/>
    <s v="N"/>
    <s v="N"/>
    <n v="0"/>
    <x v="88"/>
    <x v="2"/>
    <x v="1"/>
    <x v="2"/>
    <x v="0"/>
    <d v="1994-12-12T00:00:00"/>
    <n v="-10968"/>
    <x v="1723"/>
    <x v="3"/>
    <n v="-126"/>
    <n v="0.34496919917864477"/>
    <x v="1"/>
    <n v="1"/>
    <n v="1"/>
    <n v="1"/>
    <n v="0"/>
    <s v="Sales staff"/>
    <x v="0"/>
  </r>
  <r>
    <n v="5089335"/>
    <x v="0"/>
    <s v="Y"/>
    <s v="N"/>
    <n v="0"/>
    <x v="39"/>
    <x v="3"/>
    <x v="0"/>
    <x v="2"/>
    <x v="0"/>
    <d v="1978-08-28T00:00:00"/>
    <n v="-16918"/>
    <x v="1724"/>
    <x v="1"/>
    <n v="-4174"/>
    <n v="11.427789185489392"/>
    <x v="1"/>
    <n v="1"/>
    <n v="1"/>
    <n v="0"/>
    <n v="0"/>
    <s v="Managers"/>
    <x v="0"/>
  </r>
  <r>
    <n v="5089341"/>
    <x v="0"/>
    <s v="N"/>
    <s v="N"/>
    <n v="0"/>
    <x v="2"/>
    <x v="0"/>
    <x v="1"/>
    <x v="0"/>
    <x v="0"/>
    <d v="1968-07-24T00:00:00"/>
    <n v="-20605"/>
    <x v="1725"/>
    <x v="2"/>
    <n v="365243"/>
    <n v="0"/>
    <x v="0"/>
    <n v="1"/>
    <n v="0"/>
    <n v="0"/>
    <n v="0"/>
    <m/>
    <x v="0"/>
  </r>
  <r>
    <n v="5089349"/>
    <x v="0"/>
    <s v="N"/>
    <s v="N"/>
    <n v="0"/>
    <x v="43"/>
    <x v="3"/>
    <x v="0"/>
    <x v="1"/>
    <x v="0"/>
    <d v="1964-09-14T00:00:00"/>
    <n v="-22014"/>
    <x v="1586"/>
    <x v="0"/>
    <n v="-5239"/>
    <n v="14.343600273785079"/>
    <x v="1"/>
    <n v="1"/>
    <n v="1"/>
    <n v="0"/>
    <n v="0"/>
    <s v="Accountants"/>
    <x v="1"/>
  </r>
  <r>
    <n v="5089351"/>
    <x v="0"/>
    <s v="N"/>
    <s v="N"/>
    <n v="0"/>
    <x v="43"/>
    <x v="3"/>
    <x v="0"/>
    <x v="1"/>
    <x v="0"/>
    <d v="1964-09-14T00:00:00"/>
    <n v="-22014"/>
    <x v="1586"/>
    <x v="0"/>
    <n v="-5239"/>
    <n v="14.343600273785079"/>
    <x v="1"/>
    <n v="1"/>
    <n v="1"/>
    <n v="0"/>
    <n v="0"/>
    <s v="Accountants"/>
    <x v="1"/>
  </r>
  <r>
    <n v="5089353"/>
    <x v="0"/>
    <s v="N"/>
    <s v="N"/>
    <n v="0"/>
    <x v="43"/>
    <x v="3"/>
    <x v="0"/>
    <x v="1"/>
    <x v="0"/>
    <d v="1964-09-14T00:00:00"/>
    <n v="-22014"/>
    <x v="1586"/>
    <x v="0"/>
    <n v="-5239"/>
    <n v="14.343600273785079"/>
    <x v="1"/>
    <n v="1"/>
    <n v="1"/>
    <n v="0"/>
    <n v="0"/>
    <s v="Accountants"/>
    <x v="1"/>
  </r>
  <r>
    <n v="5089365"/>
    <x v="0"/>
    <s v="N"/>
    <s v="N"/>
    <n v="0"/>
    <x v="11"/>
    <x v="0"/>
    <x v="1"/>
    <x v="2"/>
    <x v="0"/>
    <d v="1963-10-03T00:00:00"/>
    <n v="-22361"/>
    <x v="1726"/>
    <x v="0"/>
    <n v="365243"/>
    <n v="0"/>
    <x v="0"/>
    <n v="1"/>
    <n v="0"/>
    <n v="1"/>
    <n v="0"/>
    <m/>
    <x v="0"/>
  </r>
  <r>
    <n v="5089368"/>
    <x v="0"/>
    <s v="N"/>
    <s v="N"/>
    <n v="0"/>
    <x v="11"/>
    <x v="0"/>
    <x v="1"/>
    <x v="2"/>
    <x v="0"/>
    <d v="1963-10-03T00:00:00"/>
    <n v="-22361"/>
    <x v="1726"/>
    <x v="0"/>
    <n v="365243"/>
    <n v="0"/>
    <x v="0"/>
    <n v="1"/>
    <n v="0"/>
    <n v="1"/>
    <n v="0"/>
    <m/>
    <x v="0"/>
  </r>
  <r>
    <n v="5089370"/>
    <x v="0"/>
    <s v="N"/>
    <s v="N"/>
    <n v="0"/>
    <x v="11"/>
    <x v="0"/>
    <x v="1"/>
    <x v="2"/>
    <x v="0"/>
    <d v="1963-10-03T00:00:00"/>
    <n v="-22361"/>
    <x v="1726"/>
    <x v="0"/>
    <n v="365243"/>
    <n v="0"/>
    <x v="0"/>
    <n v="1"/>
    <n v="0"/>
    <n v="1"/>
    <n v="0"/>
    <m/>
    <x v="0"/>
  </r>
  <r>
    <n v="5089375"/>
    <x v="0"/>
    <s v="N"/>
    <s v="N"/>
    <n v="0"/>
    <x v="30"/>
    <x v="3"/>
    <x v="0"/>
    <x v="3"/>
    <x v="5"/>
    <d v="1970-07-27T00:00:00"/>
    <n v="-19872"/>
    <x v="1727"/>
    <x v="2"/>
    <n v="-4509"/>
    <n v="12.344969199178644"/>
    <x v="1"/>
    <n v="1"/>
    <n v="1"/>
    <n v="0"/>
    <n v="0"/>
    <m/>
    <x v="1"/>
  </r>
  <r>
    <n v="5089379"/>
    <x v="0"/>
    <s v="N"/>
    <s v="N"/>
    <n v="0"/>
    <x v="30"/>
    <x v="3"/>
    <x v="0"/>
    <x v="3"/>
    <x v="5"/>
    <d v="1970-07-27T00:00:00"/>
    <n v="-19872"/>
    <x v="1727"/>
    <x v="2"/>
    <n v="-4509"/>
    <n v="12.344969199178644"/>
    <x v="1"/>
    <n v="1"/>
    <n v="1"/>
    <n v="0"/>
    <n v="0"/>
    <m/>
    <x v="1"/>
  </r>
  <r>
    <n v="5089393"/>
    <x v="0"/>
    <s v="Y"/>
    <s v="N"/>
    <n v="0"/>
    <x v="40"/>
    <x v="2"/>
    <x v="0"/>
    <x v="1"/>
    <x v="0"/>
    <d v="1984-11-08T00:00:00"/>
    <n v="-14654"/>
    <x v="1728"/>
    <x v="1"/>
    <n v="-2836"/>
    <n v="7.7645448323066395"/>
    <x v="1"/>
    <n v="1"/>
    <n v="1"/>
    <n v="0"/>
    <n v="0"/>
    <s v="Managers"/>
    <x v="1"/>
  </r>
  <r>
    <n v="5089403"/>
    <x v="0"/>
    <s v="Y"/>
    <s v="N"/>
    <n v="0"/>
    <x v="40"/>
    <x v="2"/>
    <x v="0"/>
    <x v="1"/>
    <x v="0"/>
    <d v="1984-11-08T00:00:00"/>
    <n v="-14654"/>
    <x v="1728"/>
    <x v="1"/>
    <n v="-2836"/>
    <n v="7.7645448323066395"/>
    <x v="1"/>
    <n v="1"/>
    <n v="1"/>
    <n v="0"/>
    <n v="0"/>
    <s v="Managers"/>
    <x v="1"/>
  </r>
  <r>
    <n v="5089407"/>
    <x v="0"/>
    <s v="N"/>
    <s v="N"/>
    <n v="0"/>
    <x v="56"/>
    <x v="2"/>
    <x v="1"/>
    <x v="1"/>
    <x v="0"/>
    <d v="1973-09-28T00:00:00"/>
    <n v="-18713"/>
    <x v="1729"/>
    <x v="2"/>
    <n v="-3627"/>
    <n v="9.9301848049281318"/>
    <x v="1"/>
    <n v="1"/>
    <n v="1"/>
    <n v="0"/>
    <n v="0"/>
    <m/>
    <x v="1"/>
  </r>
  <r>
    <n v="5089410"/>
    <x v="0"/>
    <s v="N"/>
    <s v="N"/>
    <n v="0"/>
    <x v="56"/>
    <x v="2"/>
    <x v="1"/>
    <x v="1"/>
    <x v="0"/>
    <d v="1973-09-28T00:00:00"/>
    <n v="-18713"/>
    <x v="1729"/>
    <x v="2"/>
    <n v="-3627"/>
    <n v="9.9301848049281318"/>
    <x v="1"/>
    <n v="1"/>
    <n v="1"/>
    <n v="0"/>
    <n v="0"/>
    <m/>
    <x v="1"/>
  </r>
  <r>
    <n v="5089422"/>
    <x v="0"/>
    <s v="Y"/>
    <s v="N"/>
    <n v="0"/>
    <x v="2"/>
    <x v="3"/>
    <x v="1"/>
    <x v="1"/>
    <x v="0"/>
    <d v="1965-03-05T00:00:00"/>
    <n v="-21842"/>
    <x v="1730"/>
    <x v="2"/>
    <n v="-3869"/>
    <n v="10.592744695414099"/>
    <x v="1"/>
    <n v="1"/>
    <n v="0"/>
    <n v="0"/>
    <n v="0"/>
    <s v="High skill tech staff"/>
    <x v="1"/>
  </r>
  <r>
    <n v="5089445"/>
    <x v="0"/>
    <s v="N"/>
    <s v="N"/>
    <n v="0"/>
    <x v="5"/>
    <x v="2"/>
    <x v="0"/>
    <x v="0"/>
    <x v="0"/>
    <d v="1973-05-21T00:00:00"/>
    <n v="-18843"/>
    <x v="1731"/>
    <x v="2"/>
    <n v="-3474"/>
    <n v="9.5112936344969192"/>
    <x v="1"/>
    <n v="1"/>
    <n v="1"/>
    <n v="1"/>
    <n v="0"/>
    <s v="High skill tech staff"/>
    <x v="0"/>
  </r>
  <r>
    <n v="5089464"/>
    <x v="0"/>
    <s v="N"/>
    <s v="N"/>
    <n v="2"/>
    <x v="37"/>
    <x v="2"/>
    <x v="1"/>
    <x v="1"/>
    <x v="4"/>
    <d v="1986-12-11T00:00:00"/>
    <n v="-13891"/>
    <x v="1368"/>
    <x v="3"/>
    <n v="-248"/>
    <n v="0.67898699520876116"/>
    <x v="1"/>
    <n v="1"/>
    <n v="1"/>
    <n v="1"/>
    <n v="0"/>
    <s v="Core staff"/>
    <x v="2"/>
  </r>
  <r>
    <n v="5089476"/>
    <x v="1"/>
    <s v="N"/>
    <s v="N"/>
    <n v="0"/>
    <x v="16"/>
    <x v="2"/>
    <x v="0"/>
    <x v="1"/>
    <x v="0"/>
    <d v="1985-09-14T00:00:00"/>
    <n v="-14344"/>
    <x v="1732"/>
    <x v="3"/>
    <n v="-3443"/>
    <n v="9.4264202600958242"/>
    <x v="1"/>
    <n v="1"/>
    <n v="0"/>
    <n v="0"/>
    <n v="0"/>
    <s v="Laborers"/>
    <x v="1"/>
  </r>
  <r>
    <n v="5089486"/>
    <x v="0"/>
    <s v="N"/>
    <s v="N"/>
    <n v="2"/>
    <x v="12"/>
    <x v="1"/>
    <x v="0"/>
    <x v="1"/>
    <x v="0"/>
    <d v="1989-07-27T00:00:00"/>
    <n v="-12932"/>
    <x v="1733"/>
    <x v="3"/>
    <n v="-309"/>
    <n v="0.8459958932238193"/>
    <x v="1"/>
    <n v="1"/>
    <n v="1"/>
    <n v="1"/>
    <n v="0"/>
    <s v="Managers"/>
    <x v="2"/>
  </r>
  <r>
    <n v="5089489"/>
    <x v="0"/>
    <s v="N"/>
    <s v="N"/>
    <n v="2"/>
    <x v="16"/>
    <x v="2"/>
    <x v="0"/>
    <x v="0"/>
    <x v="0"/>
    <d v="1980-05-13T00:00:00"/>
    <n v="-16294"/>
    <x v="1734"/>
    <x v="1"/>
    <n v="-217"/>
    <n v="0.59411362080766594"/>
    <x v="1"/>
    <n v="1"/>
    <n v="1"/>
    <n v="1"/>
    <n v="0"/>
    <m/>
    <x v="3"/>
  </r>
  <r>
    <n v="5089534"/>
    <x v="0"/>
    <s v="Y"/>
    <s v="N"/>
    <n v="0"/>
    <x v="16"/>
    <x v="2"/>
    <x v="1"/>
    <x v="1"/>
    <x v="0"/>
    <d v="1974-10-05T00:00:00"/>
    <n v="-18341"/>
    <x v="1735"/>
    <x v="2"/>
    <n v="-5574"/>
    <n v="15.260780287474333"/>
    <x v="1"/>
    <n v="1"/>
    <n v="1"/>
    <n v="1"/>
    <n v="0"/>
    <s v="Laborers"/>
    <x v="1"/>
  </r>
  <r>
    <n v="5089535"/>
    <x v="0"/>
    <s v="Y"/>
    <s v="N"/>
    <n v="0"/>
    <x v="16"/>
    <x v="2"/>
    <x v="1"/>
    <x v="1"/>
    <x v="0"/>
    <d v="1974-10-05T00:00:00"/>
    <n v="-18341"/>
    <x v="1735"/>
    <x v="2"/>
    <n v="-5574"/>
    <n v="15.260780287474333"/>
    <x v="1"/>
    <n v="1"/>
    <n v="1"/>
    <n v="1"/>
    <n v="0"/>
    <s v="Laborers"/>
    <x v="1"/>
  </r>
  <r>
    <n v="5089539"/>
    <x v="0"/>
    <s v="Y"/>
    <s v="N"/>
    <n v="0"/>
    <x v="16"/>
    <x v="2"/>
    <x v="1"/>
    <x v="1"/>
    <x v="0"/>
    <d v="1974-10-05T00:00:00"/>
    <n v="-18341"/>
    <x v="1735"/>
    <x v="2"/>
    <n v="-5574"/>
    <n v="15.260780287474333"/>
    <x v="1"/>
    <n v="1"/>
    <n v="1"/>
    <n v="1"/>
    <n v="0"/>
    <s v="Laborers"/>
    <x v="1"/>
  </r>
  <r>
    <n v="5089547"/>
    <x v="0"/>
    <s v="N"/>
    <s v="N"/>
    <n v="1"/>
    <x v="1"/>
    <x v="2"/>
    <x v="0"/>
    <x v="0"/>
    <x v="0"/>
    <d v="1989-02-01T00:00:00"/>
    <n v="-13108"/>
    <x v="1736"/>
    <x v="3"/>
    <n v="-2043"/>
    <n v="5.593429158110883"/>
    <x v="1"/>
    <n v="1"/>
    <n v="0"/>
    <n v="1"/>
    <n v="0"/>
    <s v="Core staff"/>
    <x v="1"/>
  </r>
  <r>
    <n v="5089550"/>
    <x v="0"/>
    <s v="N"/>
    <s v="N"/>
    <n v="1"/>
    <x v="1"/>
    <x v="2"/>
    <x v="0"/>
    <x v="0"/>
    <x v="0"/>
    <d v="1989-02-01T00:00:00"/>
    <n v="-13108"/>
    <x v="1736"/>
    <x v="3"/>
    <n v="-2043"/>
    <n v="5.593429158110883"/>
    <x v="1"/>
    <n v="1"/>
    <n v="0"/>
    <n v="1"/>
    <n v="0"/>
    <s v="Core staff"/>
    <x v="1"/>
  </r>
  <r>
    <n v="5089556"/>
    <x v="0"/>
    <s v="Y"/>
    <s v="N"/>
    <n v="0"/>
    <x v="5"/>
    <x v="2"/>
    <x v="2"/>
    <x v="2"/>
    <x v="0"/>
    <d v="1993-09-30T00:00:00"/>
    <n v="-11406"/>
    <x v="1737"/>
    <x v="3"/>
    <n v="-3078"/>
    <n v="8.4271047227926079"/>
    <x v="1"/>
    <n v="1"/>
    <n v="1"/>
    <n v="0"/>
    <n v="0"/>
    <s v="Managers"/>
    <x v="0"/>
  </r>
  <r>
    <n v="5089572"/>
    <x v="0"/>
    <s v="N"/>
    <s v="N"/>
    <n v="0"/>
    <x v="11"/>
    <x v="1"/>
    <x v="0"/>
    <x v="1"/>
    <x v="0"/>
    <d v="1994-01-05T00:00:00"/>
    <n v="-11309"/>
    <x v="1738"/>
    <x v="3"/>
    <n v="-2713"/>
    <n v="7.4277891854893907"/>
    <x v="1"/>
    <n v="1"/>
    <n v="1"/>
    <n v="0"/>
    <n v="0"/>
    <s v="Sales staff"/>
    <x v="1"/>
  </r>
  <r>
    <n v="5089580"/>
    <x v="0"/>
    <s v="Y"/>
    <s v="N"/>
    <n v="0"/>
    <x v="2"/>
    <x v="3"/>
    <x v="1"/>
    <x v="1"/>
    <x v="0"/>
    <d v="1993-01-15T00:00:00"/>
    <n v="-11664"/>
    <x v="1739"/>
    <x v="3"/>
    <n v="-460"/>
    <n v="1.2594113620807665"/>
    <x v="1"/>
    <n v="1"/>
    <n v="1"/>
    <n v="1"/>
    <n v="0"/>
    <s v="Core staff"/>
    <x v="1"/>
  </r>
  <r>
    <n v="5089581"/>
    <x v="0"/>
    <s v="Y"/>
    <s v="N"/>
    <n v="0"/>
    <x v="2"/>
    <x v="3"/>
    <x v="1"/>
    <x v="1"/>
    <x v="0"/>
    <d v="1993-01-15T00:00:00"/>
    <n v="-11664"/>
    <x v="1739"/>
    <x v="3"/>
    <n v="-460"/>
    <n v="1.2594113620807665"/>
    <x v="1"/>
    <n v="1"/>
    <n v="1"/>
    <n v="1"/>
    <n v="0"/>
    <s v="Core staff"/>
    <x v="1"/>
  </r>
  <r>
    <n v="5089596"/>
    <x v="1"/>
    <s v="Y"/>
    <s v="N"/>
    <n v="0"/>
    <x v="12"/>
    <x v="1"/>
    <x v="1"/>
    <x v="3"/>
    <x v="0"/>
    <d v="1986-08-13T00:00:00"/>
    <n v="-14011"/>
    <x v="1740"/>
    <x v="3"/>
    <n v="-978"/>
    <n v="2.6776180698151952"/>
    <x v="1"/>
    <n v="1"/>
    <n v="0"/>
    <n v="0"/>
    <n v="0"/>
    <s v="Managers"/>
    <x v="1"/>
  </r>
  <r>
    <n v="5089611"/>
    <x v="0"/>
    <s v="Y"/>
    <s v="N"/>
    <n v="0"/>
    <x v="39"/>
    <x v="2"/>
    <x v="0"/>
    <x v="1"/>
    <x v="0"/>
    <d v="1981-07-23T00:00:00"/>
    <n v="-15858"/>
    <x v="1741"/>
    <x v="1"/>
    <n v="-1801"/>
    <n v="4.9308692676249146"/>
    <x v="1"/>
    <n v="1"/>
    <n v="1"/>
    <n v="0"/>
    <n v="0"/>
    <s v="Laborers"/>
    <x v="1"/>
  </r>
  <r>
    <n v="5089623"/>
    <x v="0"/>
    <s v="N"/>
    <s v="N"/>
    <n v="0"/>
    <x v="12"/>
    <x v="1"/>
    <x v="0"/>
    <x v="1"/>
    <x v="0"/>
    <d v="1980-08-27T00:00:00"/>
    <n v="-16188"/>
    <x v="1742"/>
    <x v="1"/>
    <n v="-309"/>
    <n v="0.8459958932238193"/>
    <x v="1"/>
    <n v="1"/>
    <n v="1"/>
    <n v="1"/>
    <n v="1"/>
    <s v="Sales staff"/>
    <x v="1"/>
  </r>
  <r>
    <n v="5089626"/>
    <x v="0"/>
    <s v="N"/>
    <s v="N"/>
    <n v="0"/>
    <x v="12"/>
    <x v="1"/>
    <x v="0"/>
    <x v="1"/>
    <x v="0"/>
    <d v="1980-08-27T00:00:00"/>
    <n v="-16188"/>
    <x v="1742"/>
    <x v="1"/>
    <n v="-309"/>
    <n v="0.8459958932238193"/>
    <x v="1"/>
    <n v="1"/>
    <n v="1"/>
    <n v="1"/>
    <n v="1"/>
    <s v="Sales staff"/>
    <x v="1"/>
  </r>
  <r>
    <n v="5089632"/>
    <x v="0"/>
    <s v="N"/>
    <s v="N"/>
    <n v="0"/>
    <x v="12"/>
    <x v="1"/>
    <x v="0"/>
    <x v="1"/>
    <x v="0"/>
    <d v="1980-08-27T00:00:00"/>
    <n v="-16188"/>
    <x v="1742"/>
    <x v="1"/>
    <n v="-309"/>
    <n v="0.8459958932238193"/>
    <x v="1"/>
    <n v="1"/>
    <n v="1"/>
    <n v="1"/>
    <n v="1"/>
    <s v="Sales staff"/>
    <x v="1"/>
  </r>
  <r>
    <n v="5089649"/>
    <x v="1"/>
    <s v="Y"/>
    <s v="N"/>
    <n v="0"/>
    <x v="38"/>
    <x v="2"/>
    <x v="0"/>
    <x v="1"/>
    <x v="0"/>
    <d v="1989-03-28T00:00:00"/>
    <n v="-13053"/>
    <x v="1743"/>
    <x v="3"/>
    <n v="-2866"/>
    <n v="7.8466803559206024"/>
    <x v="1"/>
    <n v="1"/>
    <n v="1"/>
    <n v="0"/>
    <n v="0"/>
    <s v="Accountants"/>
    <x v="1"/>
  </r>
  <r>
    <n v="5089655"/>
    <x v="0"/>
    <s v="N"/>
    <s v="N"/>
    <n v="0"/>
    <x v="35"/>
    <x v="1"/>
    <x v="1"/>
    <x v="2"/>
    <x v="0"/>
    <d v="1980-02-19T00:00:00"/>
    <n v="-16378"/>
    <x v="1744"/>
    <x v="1"/>
    <n v="-370"/>
    <n v="1.0130047912388775"/>
    <x v="1"/>
    <n v="1"/>
    <n v="1"/>
    <n v="0"/>
    <n v="0"/>
    <s v="Core staff"/>
    <x v="0"/>
  </r>
  <r>
    <n v="5089657"/>
    <x v="0"/>
    <s v="N"/>
    <s v="N"/>
    <n v="0"/>
    <x v="35"/>
    <x v="1"/>
    <x v="1"/>
    <x v="2"/>
    <x v="0"/>
    <d v="1980-02-19T00:00:00"/>
    <n v="-16378"/>
    <x v="1744"/>
    <x v="1"/>
    <n v="-370"/>
    <n v="1.0130047912388775"/>
    <x v="1"/>
    <n v="1"/>
    <n v="1"/>
    <n v="0"/>
    <n v="0"/>
    <s v="Core staff"/>
    <x v="0"/>
  </r>
  <r>
    <n v="5089675"/>
    <x v="0"/>
    <s v="Y"/>
    <s v="N"/>
    <n v="2"/>
    <x v="30"/>
    <x v="2"/>
    <x v="1"/>
    <x v="1"/>
    <x v="0"/>
    <d v="1989-01-05T00:00:00"/>
    <n v="-13135"/>
    <x v="1745"/>
    <x v="3"/>
    <n v="-3657"/>
    <n v="10.012320328542094"/>
    <x v="1"/>
    <n v="1"/>
    <n v="1"/>
    <n v="1"/>
    <n v="0"/>
    <s v="High skill tech staff"/>
    <x v="2"/>
  </r>
  <r>
    <n v="5089683"/>
    <x v="1"/>
    <s v="Y"/>
    <s v="N"/>
    <n v="0"/>
    <x v="23"/>
    <x v="2"/>
    <x v="1"/>
    <x v="1"/>
    <x v="0"/>
    <d v="1984-07-18T00:00:00"/>
    <n v="-14767"/>
    <x v="1746"/>
    <x v="1"/>
    <n v="-613"/>
    <n v="1.678302532511978"/>
    <x v="1"/>
    <n v="1"/>
    <n v="1"/>
    <n v="0"/>
    <n v="0"/>
    <s v="Drivers"/>
    <x v="1"/>
  </r>
  <r>
    <n v="5089685"/>
    <x v="1"/>
    <s v="N"/>
    <s v="N"/>
    <n v="0"/>
    <x v="30"/>
    <x v="0"/>
    <x v="1"/>
    <x v="2"/>
    <x v="0"/>
    <d v="1968-06-15T00:00:00"/>
    <n v="-20644"/>
    <x v="79"/>
    <x v="2"/>
    <n v="365243"/>
    <n v="0"/>
    <x v="0"/>
    <n v="1"/>
    <n v="0"/>
    <n v="0"/>
    <n v="0"/>
    <m/>
    <x v="0"/>
  </r>
  <r>
    <n v="5089691"/>
    <x v="0"/>
    <s v="N"/>
    <s v="N"/>
    <n v="0"/>
    <x v="37"/>
    <x v="2"/>
    <x v="1"/>
    <x v="3"/>
    <x v="0"/>
    <d v="1982-05-14T00:00:00"/>
    <n v="-15563"/>
    <x v="1747"/>
    <x v="1"/>
    <n v="-309"/>
    <n v="0.8459958932238193"/>
    <x v="1"/>
    <n v="1"/>
    <n v="0"/>
    <n v="0"/>
    <n v="0"/>
    <s v="Cooking staff"/>
    <x v="1"/>
  </r>
  <r>
    <n v="5089698"/>
    <x v="0"/>
    <s v="N"/>
    <s v="N"/>
    <n v="0"/>
    <x v="1"/>
    <x v="0"/>
    <x v="1"/>
    <x v="1"/>
    <x v="0"/>
    <d v="1961-11-07T00:00:00"/>
    <n v="-23056"/>
    <x v="424"/>
    <x v="0"/>
    <n v="365243"/>
    <n v="0"/>
    <x v="0"/>
    <n v="1"/>
    <n v="0"/>
    <n v="1"/>
    <n v="0"/>
    <m/>
    <x v="1"/>
  </r>
  <r>
    <n v="5089707"/>
    <x v="1"/>
    <s v="N"/>
    <s v="N"/>
    <n v="0"/>
    <x v="22"/>
    <x v="2"/>
    <x v="1"/>
    <x v="2"/>
    <x v="2"/>
    <d v="1992-06-20T00:00:00"/>
    <n v="-11873"/>
    <x v="1748"/>
    <x v="3"/>
    <n v="-3504"/>
    <n v="9.593429158110883"/>
    <x v="1"/>
    <n v="1"/>
    <n v="0"/>
    <n v="0"/>
    <n v="0"/>
    <s v="Laborers"/>
    <x v="0"/>
  </r>
  <r>
    <n v="5089710"/>
    <x v="1"/>
    <s v="N"/>
    <s v="N"/>
    <n v="0"/>
    <x v="22"/>
    <x v="2"/>
    <x v="1"/>
    <x v="2"/>
    <x v="2"/>
    <d v="1992-06-20T00:00:00"/>
    <n v="-11873"/>
    <x v="1748"/>
    <x v="3"/>
    <n v="-3504"/>
    <n v="9.593429158110883"/>
    <x v="1"/>
    <n v="1"/>
    <n v="0"/>
    <n v="0"/>
    <n v="0"/>
    <s v="Laborers"/>
    <x v="0"/>
  </r>
  <r>
    <n v="5089767"/>
    <x v="1"/>
    <s v="Y"/>
    <s v="Y"/>
    <n v="2"/>
    <x v="8"/>
    <x v="2"/>
    <x v="1"/>
    <x v="1"/>
    <x v="0"/>
    <d v="1995-06-02T00:00:00"/>
    <n v="-10796"/>
    <x v="1749"/>
    <x v="4"/>
    <n v="-2531"/>
    <n v="6.9295003422313481"/>
    <x v="1"/>
    <n v="1"/>
    <n v="1"/>
    <n v="0"/>
    <n v="0"/>
    <s v="Laborers"/>
    <x v="2"/>
  </r>
  <r>
    <n v="5089770"/>
    <x v="1"/>
    <s v="Y"/>
    <s v="Y"/>
    <n v="2"/>
    <x v="8"/>
    <x v="2"/>
    <x v="1"/>
    <x v="1"/>
    <x v="0"/>
    <d v="1995-06-02T00:00:00"/>
    <n v="-10796"/>
    <x v="1749"/>
    <x v="4"/>
    <n v="-2531"/>
    <n v="6.9295003422313481"/>
    <x v="1"/>
    <n v="1"/>
    <n v="1"/>
    <n v="0"/>
    <n v="0"/>
    <s v="Laborers"/>
    <x v="2"/>
  </r>
  <r>
    <n v="5089777"/>
    <x v="1"/>
    <s v="Y"/>
    <s v="Y"/>
    <n v="0"/>
    <x v="39"/>
    <x v="2"/>
    <x v="1"/>
    <x v="1"/>
    <x v="0"/>
    <d v="1985-02-03T00:00:00"/>
    <n v="-14567"/>
    <x v="1750"/>
    <x v="3"/>
    <n v="-7369"/>
    <n v="20.175222450376456"/>
    <x v="1"/>
    <n v="1"/>
    <n v="1"/>
    <n v="0"/>
    <n v="0"/>
    <s v="Laborers"/>
    <x v="1"/>
  </r>
  <r>
    <n v="5089781"/>
    <x v="1"/>
    <s v="Y"/>
    <s v="Y"/>
    <n v="0"/>
    <x v="39"/>
    <x v="2"/>
    <x v="1"/>
    <x v="1"/>
    <x v="0"/>
    <d v="1985-02-03T00:00:00"/>
    <n v="-14567"/>
    <x v="1750"/>
    <x v="3"/>
    <n v="-7369"/>
    <n v="20.175222450376456"/>
    <x v="1"/>
    <n v="1"/>
    <n v="1"/>
    <n v="0"/>
    <n v="0"/>
    <s v="Laborers"/>
    <x v="1"/>
  </r>
  <r>
    <n v="5089813"/>
    <x v="0"/>
    <s v="N"/>
    <s v="N"/>
    <n v="1"/>
    <x v="11"/>
    <x v="2"/>
    <x v="1"/>
    <x v="1"/>
    <x v="0"/>
    <d v="1991-12-29T00:00:00"/>
    <n v="-12047"/>
    <x v="1509"/>
    <x v="3"/>
    <n v="-3443"/>
    <n v="9.4264202600958242"/>
    <x v="1"/>
    <n v="1"/>
    <n v="0"/>
    <n v="0"/>
    <n v="0"/>
    <s v="Managers"/>
    <x v="3"/>
  </r>
  <r>
    <n v="5089815"/>
    <x v="0"/>
    <s v="N"/>
    <s v="N"/>
    <n v="1"/>
    <x v="11"/>
    <x v="2"/>
    <x v="1"/>
    <x v="1"/>
    <x v="0"/>
    <d v="1991-12-29T00:00:00"/>
    <n v="-12047"/>
    <x v="1509"/>
    <x v="3"/>
    <n v="-3443"/>
    <n v="9.4264202600958242"/>
    <x v="1"/>
    <n v="1"/>
    <n v="0"/>
    <n v="0"/>
    <n v="0"/>
    <s v="Managers"/>
    <x v="3"/>
  </r>
  <r>
    <n v="5089819"/>
    <x v="1"/>
    <s v="Y"/>
    <s v="Y"/>
    <n v="1"/>
    <x v="18"/>
    <x v="2"/>
    <x v="1"/>
    <x v="1"/>
    <x v="0"/>
    <d v="1990-04-09T00:00:00"/>
    <n v="-12676"/>
    <x v="1751"/>
    <x v="3"/>
    <n v="-917"/>
    <n v="2.5106091718001369"/>
    <x v="1"/>
    <n v="1"/>
    <n v="0"/>
    <n v="1"/>
    <n v="0"/>
    <s v="Drivers"/>
    <x v="3"/>
  </r>
  <r>
    <n v="5089827"/>
    <x v="0"/>
    <s v="N"/>
    <s v="Y"/>
    <n v="0"/>
    <x v="8"/>
    <x v="0"/>
    <x v="1"/>
    <x v="2"/>
    <x v="0"/>
    <d v="1962-01-26T00:00:00"/>
    <n v="-22976"/>
    <x v="1752"/>
    <x v="0"/>
    <n v="365243"/>
    <n v="0"/>
    <x v="0"/>
    <n v="1"/>
    <n v="0"/>
    <n v="0"/>
    <n v="0"/>
    <m/>
    <x v="0"/>
  </r>
  <r>
    <n v="5089834"/>
    <x v="0"/>
    <s v="N"/>
    <s v="Y"/>
    <n v="0"/>
    <x v="8"/>
    <x v="0"/>
    <x v="1"/>
    <x v="2"/>
    <x v="0"/>
    <d v="1962-01-26T00:00:00"/>
    <n v="-22976"/>
    <x v="1752"/>
    <x v="0"/>
    <n v="365243"/>
    <n v="0"/>
    <x v="0"/>
    <n v="1"/>
    <n v="0"/>
    <n v="0"/>
    <n v="0"/>
    <m/>
    <x v="0"/>
  </r>
  <r>
    <n v="5089836"/>
    <x v="0"/>
    <s v="N"/>
    <s v="Y"/>
    <n v="0"/>
    <x v="8"/>
    <x v="0"/>
    <x v="1"/>
    <x v="2"/>
    <x v="0"/>
    <d v="1962-01-26T00:00:00"/>
    <n v="-22976"/>
    <x v="1752"/>
    <x v="0"/>
    <n v="365243"/>
    <n v="0"/>
    <x v="0"/>
    <n v="1"/>
    <n v="0"/>
    <n v="0"/>
    <n v="0"/>
    <m/>
    <x v="0"/>
  </r>
  <r>
    <n v="5089838"/>
    <x v="0"/>
    <s v="N"/>
    <s v="Y"/>
    <n v="0"/>
    <x v="8"/>
    <x v="0"/>
    <x v="1"/>
    <x v="2"/>
    <x v="0"/>
    <d v="1962-01-26T00:00:00"/>
    <n v="-22976"/>
    <x v="1752"/>
    <x v="0"/>
    <n v="365243"/>
    <n v="0"/>
    <x v="0"/>
    <n v="1"/>
    <n v="0"/>
    <n v="0"/>
    <n v="0"/>
    <m/>
    <x v="0"/>
  </r>
  <r>
    <n v="5089845"/>
    <x v="0"/>
    <s v="N"/>
    <s v="Y"/>
    <n v="1"/>
    <x v="8"/>
    <x v="1"/>
    <x v="1"/>
    <x v="3"/>
    <x v="0"/>
    <d v="1979-10-15T00:00:00"/>
    <n v="-16505"/>
    <x v="1753"/>
    <x v="1"/>
    <n v="-1862"/>
    <n v="5.0978781656399725"/>
    <x v="1"/>
    <n v="1"/>
    <n v="0"/>
    <n v="1"/>
    <n v="1"/>
    <s v="Core staff"/>
    <x v="3"/>
  </r>
  <r>
    <n v="5089858"/>
    <x v="0"/>
    <s v="Y"/>
    <s v="N"/>
    <n v="1"/>
    <x v="68"/>
    <x v="2"/>
    <x v="1"/>
    <x v="1"/>
    <x v="0"/>
    <d v="1981-11-26T00:00:00"/>
    <n v="-15732"/>
    <x v="1754"/>
    <x v="1"/>
    <n v="-95"/>
    <n v="0.26009582477754961"/>
    <x v="1"/>
    <n v="1"/>
    <n v="0"/>
    <n v="0"/>
    <n v="1"/>
    <s v="Sales staff"/>
    <x v="3"/>
  </r>
  <r>
    <n v="5089861"/>
    <x v="0"/>
    <s v="N"/>
    <s v="Y"/>
    <n v="0"/>
    <x v="29"/>
    <x v="0"/>
    <x v="1"/>
    <x v="1"/>
    <x v="0"/>
    <d v="1967-09-02T00:00:00"/>
    <n v="-20931"/>
    <x v="87"/>
    <x v="2"/>
    <n v="365243"/>
    <n v="0"/>
    <x v="0"/>
    <n v="1"/>
    <n v="0"/>
    <n v="1"/>
    <n v="0"/>
    <m/>
    <x v="1"/>
  </r>
  <r>
    <n v="5089871"/>
    <x v="0"/>
    <s v="N"/>
    <s v="Y"/>
    <n v="0"/>
    <x v="16"/>
    <x v="0"/>
    <x v="1"/>
    <x v="1"/>
    <x v="0"/>
    <d v="1965-09-18T00:00:00"/>
    <n v="-21645"/>
    <x v="1755"/>
    <x v="2"/>
    <n v="365243"/>
    <n v="0"/>
    <x v="0"/>
    <n v="1"/>
    <n v="0"/>
    <n v="0"/>
    <n v="0"/>
    <m/>
    <x v="1"/>
  </r>
  <r>
    <n v="5089883"/>
    <x v="0"/>
    <s v="N"/>
    <s v="Y"/>
    <n v="0"/>
    <x v="23"/>
    <x v="0"/>
    <x v="1"/>
    <x v="1"/>
    <x v="0"/>
    <d v="1972-12-13T00:00:00"/>
    <n v="-19002"/>
    <x v="1756"/>
    <x v="2"/>
    <n v="365243"/>
    <n v="0"/>
    <x v="0"/>
    <n v="1"/>
    <n v="0"/>
    <n v="0"/>
    <n v="0"/>
    <m/>
    <x v="1"/>
  </r>
  <r>
    <n v="5089885"/>
    <x v="0"/>
    <s v="N"/>
    <s v="Y"/>
    <n v="0"/>
    <x v="23"/>
    <x v="0"/>
    <x v="1"/>
    <x v="1"/>
    <x v="0"/>
    <d v="1972-12-13T00:00:00"/>
    <n v="-19002"/>
    <x v="1756"/>
    <x v="2"/>
    <n v="365243"/>
    <n v="0"/>
    <x v="0"/>
    <n v="1"/>
    <n v="0"/>
    <n v="0"/>
    <n v="0"/>
    <m/>
    <x v="1"/>
  </r>
  <r>
    <n v="5089894"/>
    <x v="0"/>
    <s v="N"/>
    <s v="Y"/>
    <n v="0"/>
    <x v="37"/>
    <x v="0"/>
    <x v="0"/>
    <x v="2"/>
    <x v="4"/>
    <d v="1960-02-08T00:00:00"/>
    <n v="-23694"/>
    <x v="1757"/>
    <x v="0"/>
    <n v="365243"/>
    <n v="0"/>
    <x v="0"/>
    <n v="1"/>
    <n v="0"/>
    <n v="0"/>
    <n v="1"/>
    <m/>
    <x v="0"/>
  </r>
  <r>
    <n v="5089920"/>
    <x v="0"/>
    <s v="N"/>
    <s v="Y"/>
    <n v="0"/>
    <x v="23"/>
    <x v="0"/>
    <x v="1"/>
    <x v="1"/>
    <x v="0"/>
    <d v="1964-12-21T00:00:00"/>
    <n v="-21916"/>
    <x v="1758"/>
    <x v="0"/>
    <n v="365243"/>
    <n v="0"/>
    <x v="0"/>
    <n v="1"/>
    <n v="0"/>
    <n v="1"/>
    <n v="0"/>
    <m/>
    <x v="1"/>
  </r>
  <r>
    <n v="5089946"/>
    <x v="0"/>
    <s v="Y"/>
    <s v="Y"/>
    <n v="0"/>
    <x v="14"/>
    <x v="3"/>
    <x v="0"/>
    <x v="1"/>
    <x v="0"/>
    <d v="1985-04-13T00:00:00"/>
    <n v="-14498"/>
    <x v="1759"/>
    <x v="3"/>
    <n v="-6123"/>
    <n v="16.763860369609855"/>
    <x v="1"/>
    <n v="1"/>
    <n v="0"/>
    <n v="0"/>
    <n v="1"/>
    <s v="Core staff"/>
    <x v="1"/>
  </r>
  <r>
    <n v="5089950"/>
    <x v="0"/>
    <s v="N"/>
    <s v="Y"/>
    <n v="0"/>
    <x v="11"/>
    <x v="2"/>
    <x v="1"/>
    <x v="4"/>
    <x v="0"/>
    <d v="1973-12-10T00:00:00"/>
    <n v="-18640"/>
    <x v="1760"/>
    <x v="2"/>
    <n v="-1100"/>
    <n v="3.0116358658453115"/>
    <x v="1"/>
    <n v="1"/>
    <n v="0"/>
    <n v="0"/>
    <n v="0"/>
    <s v="Sales staff"/>
    <x v="0"/>
  </r>
  <r>
    <n v="5089951"/>
    <x v="0"/>
    <s v="N"/>
    <s v="Y"/>
    <n v="0"/>
    <x v="11"/>
    <x v="2"/>
    <x v="1"/>
    <x v="4"/>
    <x v="0"/>
    <d v="1973-12-10T00:00:00"/>
    <n v="-18640"/>
    <x v="1760"/>
    <x v="2"/>
    <n v="-1100"/>
    <n v="3.0116358658453115"/>
    <x v="1"/>
    <n v="1"/>
    <n v="0"/>
    <n v="0"/>
    <n v="0"/>
    <s v="Sales staff"/>
    <x v="0"/>
  </r>
  <r>
    <n v="5089956"/>
    <x v="1"/>
    <s v="N"/>
    <s v="Y"/>
    <n v="1"/>
    <x v="3"/>
    <x v="1"/>
    <x v="1"/>
    <x v="3"/>
    <x v="0"/>
    <d v="1990-01-20T00:00:00"/>
    <n v="-12755"/>
    <x v="1761"/>
    <x v="3"/>
    <n v="-2105"/>
    <n v="5.763175906913073"/>
    <x v="1"/>
    <n v="1"/>
    <n v="0"/>
    <n v="0"/>
    <n v="0"/>
    <m/>
    <x v="3"/>
  </r>
  <r>
    <n v="5089958"/>
    <x v="1"/>
    <s v="N"/>
    <s v="Y"/>
    <n v="1"/>
    <x v="3"/>
    <x v="1"/>
    <x v="1"/>
    <x v="3"/>
    <x v="0"/>
    <d v="1990-01-20T00:00:00"/>
    <n v="-12755"/>
    <x v="1761"/>
    <x v="3"/>
    <n v="-2105"/>
    <n v="5.763175906913073"/>
    <x v="1"/>
    <n v="1"/>
    <n v="0"/>
    <n v="0"/>
    <n v="0"/>
    <m/>
    <x v="3"/>
  </r>
  <r>
    <n v="5089967"/>
    <x v="1"/>
    <s v="N"/>
    <s v="N"/>
    <n v="0"/>
    <x v="1"/>
    <x v="2"/>
    <x v="1"/>
    <x v="2"/>
    <x v="0"/>
    <d v="1999-11-17T00:00:00"/>
    <n v="-9167"/>
    <x v="1762"/>
    <x v="4"/>
    <n v="-947"/>
    <n v="2.5927446954140998"/>
    <x v="1"/>
    <n v="1"/>
    <n v="0"/>
    <n v="0"/>
    <n v="0"/>
    <s v="Cooking staff"/>
    <x v="0"/>
  </r>
  <r>
    <n v="5089974"/>
    <x v="1"/>
    <s v="N"/>
    <s v="N"/>
    <n v="0"/>
    <x v="1"/>
    <x v="2"/>
    <x v="1"/>
    <x v="2"/>
    <x v="0"/>
    <d v="1999-11-17T00:00:00"/>
    <n v="-9167"/>
    <x v="1762"/>
    <x v="4"/>
    <n v="-947"/>
    <n v="2.5927446954140998"/>
    <x v="1"/>
    <n v="1"/>
    <n v="0"/>
    <n v="0"/>
    <n v="0"/>
    <s v="Cooking staff"/>
    <x v="0"/>
  </r>
  <r>
    <n v="5089995"/>
    <x v="0"/>
    <s v="N"/>
    <s v="Y"/>
    <n v="0"/>
    <x v="16"/>
    <x v="0"/>
    <x v="1"/>
    <x v="1"/>
    <x v="0"/>
    <d v="1959-11-24T00:00:00"/>
    <n v="-23770"/>
    <x v="1763"/>
    <x v="0"/>
    <n v="365243"/>
    <n v="0"/>
    <x v="0"/>
    <n v="1"/>
    <n v="0"/>
    <n v="0"/>
    <n v="0"/>
    <m/>
    <x v="1"/>
  </r>
  <r>
    <n v="5090009"/>
    <x v="0"/>
    <s v="N"/>
    <s v="Y"/>
    <n v="0"/>
    <x v="10"/>
    <x v="2"/>
    <x v="2"/>
    <x v="1"/>
    <x v="0"/>
    <d v="1997-11-05T00:00:00"/>
    <n v="-9909"/>
    <x v="1764"/>
    <x v="4"/>
    <n v="-3048"/>
    <n v="8.3449691991786441"/>
    <x v="1"/>
    <n v="1"/>
    <n v="1"/>
    <n v="0"/>
    <n v="0"/>
    <m/>
    <x v="1"/>
  </r>
  <r>
    <n v="5090035"/>
    <x v="0"/>
    <s v="N"/>
    <s v="Y"/>
    <n v="0"/>
    <x v="5"/>
    <x v="0"/>
    <x v="1"/>
    <x v="1"/>
    <x v="0"/>
    <d v="1966-02-08T00:00:00"/>
    <n v="-21502"/>
    <x v="1765"/>
    <x v="2"/>
    <n v="365243"/>
    <n v="0"/>
    <x v="0"/>
    <n v="1"/>
    <n v="0"/>
    <n v="1"/>
    <n v="0"/>
    <m/>
    <x v="1"/>
  </r>
  <r>
    <n v="5090048"/>
    <x v="0"/>
    <s v="N"/>
    <s v="Y"/>
    <n v="0"/>
    <x v="128"/>
    <x v="2"/>
    <x v="1"/>
    <x v="1"/>
    <x v="0"/>
    <d v="1981-06-24T00:00:00"/>
    <n v="-15887"/>
    <x v="1766"/>
    <x v="1"/>
    <n v="-217"/>
    <n v="0.59411362080766594"/>
    <x v="1"/>
    <n v="1"/>
    <n v="1"/>
    <n v="1"/>
    <n v="0"/>
    <s v="Laborers"/>
    <x v="1"/>
  </r>
  <r>
    <n v="5090049"/>
    <x v="0"/>
    <s v="N"/>
    <s v="Y"/>
    <n v="0"/>
    <x v="128"/>
    <x v="2"/>
    <x v="1"/>
    <x v="1"/>
    <x v="0"/>
    <d v="1981-06-24T00:00:00"/>
    <n v="-15887"/>
    <x v="1766"/>
    <x v="1"/>
    <n v="-217"/>
    <n v="0.59411362080766594"/>
    <x v="1"/>
    <n v="1"/>
    <n v="1"/>
    <n v="1"/>
    <n v="0"/>
    <s v="Laborers"/>
    <x v="1"/>
  </r>
  <r>
    <n v="5090057"/>
    <x v="0"/>
    <s v="N"/>
    <s v="Y"/>
    <n v="0"/>
    <x v="2"/>
    <x v="2"/>
    <x v="1"/>
    <x v="1"/>
    <x v="0"/>
    <d v="1974-02-13T00:00:00"/>
    <n v="-18575"/>
    <x v="1767"/>
    <x v="2"/>
    <n v="-4113"/>
    <n v="11.260780287474333"/>
    <x v="1"/>
    <n v="1"/>
    <n v="0"/>
    <n v="0"/>
    <n v="0"/>
    <s v="Accountants"/>
    <x v="1"/>
  </r>
  <r>
    <n v="5090062"/>
    <x v="0"/>
    <s v="N"/>
    <s v="Y"/>
    <n v="0"/>
    <x v="2"/>
    <x v="2"/>
    <x v="1"/>
    <x v="1"/>
    <x v="0"/>
    <d v="1974-02-13T00:00:00"/>
    <n v="-18575"/>
    <x v="1767"/>
    <x v="2"/>
    <n v="-4113"/>
    <n v="11.260780287474333"/>
    <x v="1"/>
    <n v="1"/>
    <n v="0"/>
    <n v="0"/>
    <n v="0"/>
    <s v="Accountants"/>
    <x v="1"/>
  </r>
  <r>
    <n v="5090070"/>
    <x v="0"/>
    <s v="Y"/>
    <s v="Y"/>
    <n v="1"/>
    <x v="5"/>
    <x v="2"/>
    <x v="1"/>
    <x v="3"/>
    <x v="0"/>
    <d v="1981-07-30T00:00:00"/>
    <n v="-15851"/>
    <x v="1768"/>
    <x v="1"/>
    <n v="-2317"/>
    <n v="6.3436002737850785"/>
    <x v="1"/>
    <n v="1"/>
    <n v="0"/>
    <n v="0"/>
    <n v="0"/>
    <s v="Managers"/>
    <x v="3"/>
  </r>
  <r>
    <n v="5090079"/>
    <x v="0"/>
    <s v="Y"/>
    <s v="Y"/>
    <n v="0"/>
    <x v="11"/>
    <x v="2"/>
    <x v="0"/>
    <x v="4"/>
    <x v="0"/>
    <d v="1992-02-16T00:00:00"/>
    <n v="-11998"/>
    <x v="267"/>
    <x v="3"/>
    <n v="-1497"/>
    <n v="4.0985626283367553"/>
    <x v="1"/>
    <n v="1"/>
    <n v="0"/>
    <n v="0"/>
    <n v="0"/>
    <s v="Managers"/>
    <x v="0"/>
  </r>
  <r>
    <n v="5090084"/>
    <x v="1"/>
    <s v="Y"/>
    <s v="Y"/>
    <n v="1"/>
    <x v="21"/>
    <x v="1"/>
    <x v="0"/>
    <x v="1"/>
    <x v="0"/>
    <d v="1993-12-13T00:00:00"/>
    <n v="-11332"/>
    <x v="1769"/>
    <x v="3"/>
    <n v="-429"/>
    <n v="1.1745379876796715"/>
    <x v="1"/>
    <n v="1"/>
    <n v="0"/>
    <n v="0"/>
    <n v="0"/>
    <m/>
    <x v="3"/>
  </r>
  <r>
    <n v="5090092"/>
    <x v="0"/>
    <s v="Y"/>
    <s v="Y"/>
    <n v="1"/>
    <x v="55"/>
    <x v="2"/>
    <x v="1"/>
    <x v="0"/>
    <x v="0"/>
    <d v="1996-05-18T00:00:00"/>
    <n v="-10445"/>
    <x v="969"/>
    <x v="4"/>
    <n v="-680"/>
    <n v="1.8617385352498288"/>
    <x v="1"/>
    <n v="1"/>
    <n v="0"/>
    <n v="0"/>
    <n v="1"/>
    <s v="Laborers"/>
    <x v="1"/>
  </r>
  <r>
    <n v="5090105"/>
    <x v="1"/>
    <s v="Y"/>
    <s v="Y"/>
    <n v="0"/>
    <x v="86"/>
    <x v="1"/>
    <x v="1"/>
    <x v="1"/>
    <x v="0"/>
    <d v="1966-02-26T00:00:00"/>
    <n v="-21484"/>
    <x v="1770"/>
    <x v="2"/>
    <n v="-1709"/>
    <n v="4.6789869952087608"/>
    <x v="1"/>
    <n v="1"/>
    <n v="0"/>
    <n v="0"/>
    <n v="0"/>
    <s v="Laborers"/>
    <x v="1"/>
  </r>
  <r>
    <n v="5090133"/>
    <x v="0"/>
    <s v="Y"/>
    <s v="Y"/>
    <n v="1"/>
    <x v="19"/>
    <x v="1"/>
    <x v="1"/>
    <x v="1"/>
    <x v="0"/>
    <d v="1987-06-30T00:00:00"/>
    <n v="-13690"/>
    <x v="1771"/>
    <x v="3"/>
    <n v="-133"/>
    <n v="0.36413415468856947"/>
    <x v="1"/>
    <n v="1"/>
    <n v="0"/>
    <n v="0"/>
    <n v="1"/>
    <s v="Medicine staff"/>
    <x v="3"/>
  </r>
  <r>
    <n v="5090134"/>
    <x v="0"/>
    <s v="Y"/>
    <s v="Y"/>
    <n v="0"/>
    <x v="87"/>
    <x v="3"/>
    <x v="0"/>
    <x v="1"/>
    <x v="0"/>
    <d v="1986-01-24T00:00:00"/>
    <n v="-14212"/>
    <x v="1772"/>
    <x v="3"/>
    <n v="-3330"/>
    <n v="9.1170431211498979"/>
    <x v="1"/>
    <n v="1"/>
    <n v="0"/>
    <n v="0"/>
    <n v="0"/>
    <s v="Managers"/>
    <x v="1"/>
  </r>
  <r>
    <n v="5090144"/>
    <x v="0"/>
    <s v="N"/>
    <s v="N"/>
    <n v="0"/>
    <x v="55"/>
    <x v="2"/>
    <x v="1"/>
    <x v="2"/>
    <x v="4"/>
    <d v="1984-02-15T00:00:00"/>
    <n v="-14921"/>
    <x v="1773"/>
    <x v="1"/>
    <n v="-3844"/>
    <n v="10.524298425735797"/>
    <x v="1"/>
    <n v="1"/>
    <n v="1"/>
    <n v="1"/>
    <n v="0"/>
    <m/>
    <x v="0"/>
  </r>
  <r>
    <n v="5090146"/>
    <x v="0"/>
    <s v="N"/>
    <s v="N"/>
    <n v="1"/>
    <x v="69"/>
    <x v="3"/>
    <x v="0"/>
    <x v="3"/>
    <x v="0"/>
    <d v="1996-05-17T00:00:00"/>
    <n v="-10446"/>
    <x v="1774"/>
    <x v="4"/>
    <n v="-1075"/>
    <n v="2.9431895961670089"/>
    <x v="1"/>
    <n v="1"/>
    <n v="1"/>
    <n v="0"/>
    <n v="0"/>
    <s v="Secretaries"/>
    <x v="3"/>
  </r>
  <r>
    <n v="5090154"/>
    <x v="0"/>
    <s v="Y"/>
    <s v="Y"/>
    <n v="0"/>
    <x v="8"/>
    <x v="2"/>
    <x v="0"/>
    <x v="3"/>
    <x v="0"/>
    <d v="1994-09-04T00:00:00"/>
    <n v="-11067"/>
    <x v="1775"/>
    <x v="3"/>
    <n v="-492"/>
    <n v="1.3470225872689938"/>
    <x v="1"/>
    <n v="1"/>
    <n v="0"/>
    <n v="0"/>
    <n v="0"/>
    <s v="Sales staff"/>
    <x v="1"/>
  </r>
  <r>
    <n v="5090232"/>
    <x v="0"/>
    <s v="N"/>
    <s v="Y"/>
    <n v="0"/>
    <x v="1"/>
    <x v="2"/>
    <x v="1"/>
    <x v="4"/>
    <x v="0"/>
    <d v="1964-10-21T00:00:00"/>
    <n v="-21977"/>
    <x v="1776"/>
    <x v="0"/>
    <n v="-9447"/>
    <n v="25.864476386036962"/>
    <x v="1"/>
    <n v="1"/>
    <n v="0"/>
    <n v="0"/>
    <n v="0"/>
    <s v="High skill tech staff"/>
    <x v="0"/>
  </r>
  <r>
    <n v="5090234"/>
    <x v="0"/>
    <s v="N"/>
    <s v="Y"/>
    <n v="0"/>
    <x v="8"/>
    <x v="1"/>
    <x v="1"/>
    <x v="1"/>
    <x v="0"/>
    <d v="1978-02-03T00:00:00"/>
    <n v="-17124"/>
    <x v="1777"/>
    <x v="1"/>
    <n v="-3206"/>
    <n v="8.7775496235455162"/>
    <x v="1"/>
    <n v="1"/>
    <n v="0"/>
    <n v="0"/>
    <n v="0"/>
    <s v="Sales staff"/>
    <x v="1"/>
  </r>
  <r>
    <n v="5090275"/>
    <x v="0"/>
    <s v="Y"/>
    <s v="Y"/>
    <n v="1"/>
    <x v="19"/>
    <x v="2"/>
    <x v="1"/>
    <x v="1"/>
    <x v="0"/>
    <d v="1990-02-04T00:00:00"/>
    <n v="-12740"/>
    <x v="1778"/>
    <x v="3"/>
    <n v="-3504"/>
    <n v="9.593429158110883"/>
    <x v="1"/>
    <n v="1"/>
    <n v="0"/>
    <n v="0"/>
    <n v="0"/>
    <s v="Core staff"/>
    <x v="3"/>
  </r>
  <r>
    <n v="5090277"/>
    <x v="1"/>
    <s v="N"/>
    <s v="Y"/>
    <n v="3"/>
    <x v="1"/>
    <x v="0"/>
    <x v="1"/>
    <x v="1"/>
    <x v="0"/>
    <d v="1983-08-21T00:00:00"/>
    <n v="-15099"/>
    <x v="1779"/>
    <x v="1"/>
    <n v="365243"/>
    <n v="0"/>
    <x v="0"/>
    <n v="1"/>
    <n v="0"/>
    <n v="0"/>
    <n v="0"/>
    <m/>
    <x v="4"/>
  </r>
  <r>
    <n v="5090286"/>
    <x v="1"/>
    <s v="N"/>
    <s v="N"/>
    <n v="1"/>
    <x v="19"/>
    <x v="3"/>
    <x v="1"/>
    <x v="1"/>
    <x v="5"/>
    <d v="1980-11-22T00:00:00"/>
    <n v="-16101"/>
    <x v="1780"/>
    <x v="1"/>
    <n v="-4935"/>
    <n v="13.511293634496919"/>
    <x v="1"/>
    <n v="1"/>
    <n v="0"/>
    <n v="0"/>
    <n v="0"/>
    <s v="Core staff"/>
    <x v="3"/>
  </r>
  <r>
    <n v="5090298"/>
    <x v="1"/>
    <s v="Y"/>
    <s v="Y"/>
    <n v="0"/>
    <x v="19"/>
    <x v="0"/>
    <x v="1"/>
    <x v="2"/>
    <x v="0"/>
    <d v="1970-10-16T00:00:00"/>
    <n v="-19791"/>
    <x v="706"/>
    <x v="2"/>
    <n v="365243"/>
    <n v="0"/>
    <x v="0"/>
    <n v="1"/>
    <n v="0"/>
    <n v="0"/>
    <n v="0"/>
    <m/>
    <x v="0"/>
  </r>
  <r>
    <n v="5090310"/>
    <x v="1"/>
    <s v="Y"/>
    <s v="Y"/>
    <n v="0"/>
    <x v="1"/>
    <x v="0"/>
    <x v="1"/>
    <x v="1"/>
    <x v="0"/>
    <d v="1957-09-05T00:00:00"/>
    <n v="-24580"/>
    <x v="1781"/>
    <x v="0"/>
    <n v="365243"/>
    <n v="0"/>
    <x v="0"/>
    <n v="1"/>
    <n v="0"/>
    <n v="0"/>
    <n v="0"/>
    <m/>
    <x v="1"/>
  </r>
  <r>
    <n v="5090312"/>
    <x v="0"/>
    <s v="N"/>
    <s v="Y"/>
    <n v="0"/>
    <x v="16"/>
    <x v="0"/>
    <x v="1"/>
    <x v="1"/>
    <x v="0"/>
    <d v="1965-01-22T00:00:00"/>
    <n v="-21884"/>
    <x v="1217"/>
    <x v="2"/>
    <n v="365243"/>
    <n v="0"/>
    <x v="0"/>
    <n v="1"/>
    <n v="0"/>
    <n v="1"/>
    <n v="0"/>
    <m/>
    <x v="1"/>
  </r>
  <r>
    <n v="5090321"/>
    <x v="0"/>
    <s v="N"/>
    <s v="Y"/>
    <n v="1"/>
    <x v="11"/>
    <x v="2"/>
    <x v="1"/>
    <x v="0"/>
    <x v="0"/>
    <d v="1972-07-28T00:00:00"/>
    <n v="-19140"/>
    <x v="1782"/>
    <x v="2"/>
    <n v="-887"/>
    <n v="2.4284736481861739"/>
    <x v="1"/>
    <n v="1"/>
    <n v="0"/>
    <n v="0"/>
    <n v="0"/>
    <s v="High skill tech staff"/>
    <x v="1"/>
  </r>
  <r>
    <n v="5090347"/>
    <x v="0"/>
    <s v="N"/>
    <s v="N"/>
    <n v="0"/>
    <x v="37"/>
    <x v="2"/>
    <x v="1"/>
    <x v="4"/>
    <x v="0"/>
    <d v="1971-12-17T00:00:00"/>
    <n v="-19364"/>
    <x v="1783"/>
    <x v="2"/>
    <n v="-2539"/>
    <n v="6.9514031485284056"/>
    <x v="1"/>
    <n v="1"/>
    <n v="0"/>
    <n v="0"/>
    <n v="0"/>
    <s v="Cooking staff"/>
    <x v="0"/>
  </r>
  <r>
    <n v="5090348"/>
    <x v="0"/>
    <s v="Y"/>
    <s v="N"/>
    <n v="0"/>
    <x v="39"/>
    <x v="2"/>
    <x v="1"/>
    <x v="0"/>
    <x v="0"/>
    <d v="1987-11-21T00:00:00"/>
    <n v="-13546"/>
    <x v="1203"/>
    <x v="3"/>
    <n v="-2142"/>
    <n v="5.8644763860369613"/>
    <x v="1"/>
    <n v="1"/>
    <n v="0"/>
    <n v="0"/>
    <n v="0"/>
    <s v="Laborers"/>
    <x v="0"/>
  </r>
  <r>
    <n v="5090354"/>
    <x v="0"/>
    <s v="N"/>
    <s v="Y"/>
    <n v="1"/>
    <x v="43"/>
    <x v="1"/>
    <x v="1"/>
    <x v="3"/>
    <x v="0"/>
    <d v="1982-09-13T00:00:00"/>
    <n v="-15441"/>
    <x v="1784"/>
    <x v="1"/>
    <n v="-433"/>
    <n v="1.1854893908281998"/>
    <x v="1"/>
    <n v="1"/>
    <n v="0"/>
    <n v="0"/>
    <n v="0"/>
    <m/>
    <x v="3"/>
  </r>
  <r>
    <n v="5090368"/>
    <x v="0"/>
    <s v="N"/>
    <s v="Y"/>
    <n v="0"/>
    <x v="8"/>
    <x v="2"/>
    <x v="1"/>
    <x v="3"/>
    <x v="0"/>
    <d v="1988-01-26T00:00:00"/>
    <n v="-13480"/>
    <x v="1532"/>
    <x v="3"/>
    <n v="-5300"/>
    <n v="14.510609171800137"/>
    <x v="1"/>
    <n v="1"/>
    <n v="1"/>
    <n v="1"/>
    <n v="0"/>
    <s v="Medicine staff"/>
    <x v="1"/>
  </r>
  <r>
    <n v="5090393"/>
    <x v="0"/>
    <s v="Y"/>
    <s v="Y"/>
    <n v="0"/>
    <x v="29"/>
    <x v="2"/>
    <x v="0"/>
    <x v="1"/>
    <x v="0"/>
    <d v="1976-05-25T00:00:00"/>
    <n v="-17743"/>
    <x v="1785"/>
    <x v="1"/>
    <n v="-4205"/>
    <n v="11.512662559890487"/>
    <x v="1"/>
    <n v="1"/>
    <n v="0"/>
    <n v="0"/>
    <n v="0"/>
    <m/>
    <x v="1"/>
  </r>
  <r>
    <n v="5090396"/>
    <x v="0"/>
    <s v="N"/>
    <s v="Y"/>
    <n v="0"/>
    <x v="2"/>
    <x v="3"/>
    <x v="0"/>
    <x v="1"/>
    <x v="0"/>
    <d v="1987-02-04T00:00:00"/>
    <n v="-13836"/>
    <x v="1786"/>
    <x v="3"/>
    <n v="-3747"/>
    <n v="10.258726899383984"/>
    <x v="1"/>
    <n v="1"/>
    <n v="0"/>
    <n v="0"/>
    <n v="1"/>
    <s v="Core staff"/>
    <x v="1"/>
  </r>
  <r>
    <n v="5090407"/>
    <x v="0"/>
    <s v="Y"/>
    <s v="N"/>
    <n v="1"/>
    <x v="12"/>
    <x v="2"/>
    <x v="0"/>
    <x v="1"/>
    <x v="0"/>
    <d v="1985-09-02T00:00:00"/>
    <n v="-14356"/>
    <x v="1787"/>
    <x v="3"/>
    <n v="-1069"/>
    <n v="2.9267624914442161"/>
    <x v="1"/>
    <n v="1"/>
    <n v="1"/>
    <n v="1"/>
    <n v="1"/>
    <s v="Sales staff"/>
    <x v="3"/>
  </r>
  <r>
    <n v="5090419"/>
    <x v="0"/>
    <s v="N"/>
    <s v="N"/>
    <n v="0"/>
    <x v="16"/>
    <x v="2"/>
    <x v="0"/>
    <x v="1"/>
    <x v="0"/>
    <d v="1982-03-20T00:00:00"/>
    <n v="-15618"/>
    <x v="1788"/>
    <x v="1"/>
    <n v="-2499"/>
    <n v="6.8418891170431211"/>
    <x v="1"/>
    <n v="1"/>
    <n v="1"/>
    <n v="1"/>
    <n v="0"/>
    <s v="Security staff"/>
    <x v="1"/>
  </r>
  <r>
    <n v="5090424"/>
    <x v="0"/>
    <s v="N"/>
    <s v="Y"/>
    <n v="0"/>
    <x v="50"/>
    <x v="2"/>
    <x v="1"/>
    <x v="2"/>
    <x v="0"/>
    <d v="1977-03-01T00:00:00"/>
    <n v="-17463"/>
    <x v="1789"/>
    <x v="1"/>
    <n v="-6304"/>
    <n v="17.259411362080765"/>
    <x v="1"/>
    <n v="1"/>
    <n v="0"/>
    <n v="0"/>
    <n v="0"/>
    <s v="Laborers"/>
    <x v="0"/>
  </r>
  <r>
    <n v="5090444"/>
    <x v="1"/>
    <s v="Y"/>
    <s v="Y"/>
    <n v="0"/>
    <x v="18"/>
    <x v="2"/>
    <x v="1"/>
    <x v="1"/>
    <x v="0"/>
    <d v="1969-06-10T00:00:00"/>
    <n v="-20284"/>
    <x v="1790"/>
    <x v="2"/>
    <n v="-557"/>
    <n v="1.5249828884325805"/>
    <x v="1"/>
    <n v="1"/>
    <n v="0"/>
    <n v="0"/>
    <n v="0"/>
    <s v="Security staff"/>
    <x v="1"/>
  </r>
  <r>
    <n v="5090445"/>
    <x v="0"/>
    <s v="N"/>
    <s v="Y"/>
    <n v="1"/>
    <x v="5"/>
    <x v="2"/>
    <x v="1"/>
    <x v="1"/>
    <x v="0"/>
    <d v="1982-06-12T00:00:00"/>
    <n v="-15534"/>
    <x v="1791"/>
    <x v="1"/>
    <n v="-587"/>
    <n v="1.6071184120465434"/>
    <x v="1"/>
    <n v="1"/>
    <n v="0"/>
    <n v="0"/>
    <n v="0"/>
    <s v="Secretaries"/>
    <x v="3"/>
  </r>
  <r>
    <n v="5090522"/>
    <x v="1"/>
    <s v="N"/>
    <s v="Y"/>
    <n v="0"/>
    <x v="12"/>
    <x v="1"/>
    <x v="0"/>
    <x v="1"/>
    <x v="0"/>
    <d v="1970-09-19T00:00:00"/>
    <n v="-19818"/>
    <x v="1329"/>
    <x v="2"/>
    <n v="-4113"/>
    <n v="11.260780287474333"/>
    <x v="1"/>
    <n v="1"/>
    <n v="0"/>
    <n v="0"/>
    <n v="0"/>
    <s v="Managers"/>
    <x v="1"/>
  </r>
  <r>
    <n v="5090529"/>
    <x v="0"/>
    <s v="Y"/>
    <s v="Y"/>
    <n v="0"/>
    <x v="89"/>
    <x v="2"/>
    <x v="0"/>
    <x v="1"/>
    <x v="0"/>
    <d v="1985-02-20T00:00:00"/>
    <n v="-14550"/>
    <x v="1792"/>
    <x v="3"/>
    <n v="-3239"/>
    <n v="8.8678986995208753"/>
    <x v="1"/>
    <n v="1"/>
    <n v="0"/>
    <n v="1"/>
    <n v="1"/>
    <s v="Managers"/>
    <x v="1"/>
  </r>
  <r>
    <n v="5090530"/>
    <x v="0"/>
    <s v="N"/>
    <s v="Y"/>
    <n v="0"/>
    <x v="5"/>
    <x v="1"/>
    <x v="1"/>
    <x v="1"/>
    <x v="0"/>
    <d v="1987-03-23T00:00:00"/>
    <n v="-13789"/>
    <x v="1793"/>
    <x v="3"/>
    <n v="-4030"/>
    <n v="11.033538672142368"/>
    <x v="1"/>
    <n v="1"/>
    <n v="1"/>
    <n v="1"/>
    <n v="1"/>
    <s v="Cooking staff"/>
    <x v="1"/>
  </r>
  <r>
    <n v="5090535"/>
    <x v="0"/>
    <s v="N"/>
    <s v="Y"/>
    <n v="0"/>
    <x v="16"/>
    <x v="1"/>
    <x v="0"/>
    <x v="1"/>
    <x v="0"/>
    <d v="1984-10-27T00:00:00"/>
    <n v="-14666"/>
    <x v="1794"/>
    <x v="1"/>
    <n v="-1229"/>
    <n v="3.3648186173853527"/>
    <x v="1"/>
    <n v="1"/>
    <n v="0"/>
    <n v="0"/>
    <n v="1"/>
    <s v="Private service staff"/>
    <x v="1"/>
  </r>
  <r>
    <n v="5090538"/>
    <x v="0"/>
    <s v="Y"/>
    <s v="Y"/>
    <n v="0"/>
    <x v="18"/>
    <x v="2"/>
    <x v="1"/>
    <x v="3"/>
    <x v="0"/>
    <d v="1968-04-05T00:00:00"/>
    <n v="-20715"/>
    <x v="1795"/>
    <x v="2"/>
    <n v="-1104"/>
    <n v="3.0225872689938398"/>
    <x v="1"/>
    <n v="1"/>
    <n v="1"/>
    <n v="1"/>
    <n v="0"/>
    <s v="Laborers"/>
    <x v="1"/>
  </r>
  <r>
    <n v="5090552"/>
    <x v="0"/>
    <s v="Y"/>
    <s v="Y"/>
    <n v="1"/>
    <x v="2"/>
    <x v="2"/>
    <x v="1"/>
    <x v="1"/>
    <x v="0"/>
    <d v="1976-01-29T00:00:00"/>
    <n v="-17860"/>
    <x v="1796"/>
    <x v="1"/>
    <n v="-2439"/>
    <n v="6.6776180698151952"/>
    <x v="1"/>
    <n v="1"/>
    <n v="0"/>
    <n v="0"/>
    <n v="0"/>
    <m/>
    <x v="3"/>
  </r>
  <r>
    <n v="5090561"/>
    <x v="0"/>
    <s v="N"/>
    <s v="N"/>
    <n v="1"/>
    <x v="8"/>
    <x v="2"/>
    <x v="1"/>
    <x v="3"/>
    <x v="0"/>
    <d v="1989-09-27T00:00:00"/>
    <n v="-12870"/>
    <x v="1173"/>
    <x v="3"/>
    <n v="-2416"/>
    <n v="6.6146475017111568"/>
    <x v="1"/>
    <n v="1"/>
    <n v="0"/>
    <n v="0"/>
    <n v="0"/>
    <s v="Laborers"/>
    <x v="3"/>
  </r>
  <r>
    <n v="5090573"/>
    <x v="1"/>
    <s v="Y"/>
    <s v="N"/>
    <n v="0"/>
    <x v="16"/>
    <x v="0"/>
    <x v="0"/>
    <x v="1"/>
    <x v="0"/>
    <d v="1964-01-04T00:00:00"/>
    <n v="-22268"/>
    <x v="1797"/>
    <x v="0"/>
    <n v="365243"/>
    <n v="0"/>
    <x v="0"/>
    <n v="1"/>
    <n v="0"/>
    <n v="0"/>
    <n v="1"/>
    <m/>
    <x v="1"/>
  </r>
  <r>
    <n v="5090581"/>
    <x v="1"/>
    <s v="N"/>
    <s v="N"/>
    <n v="1"/>
    <x v="11"/>
    <x v="3"/>
    <x v="0"/>
    <x v="1"/>
    <x v="0"/>
    <d v="1981-09-11T00:00:00"/>
    <n v="-15808"/>
    <x v="1798"/>
    <x v="1"/>
    <n v="-461"/>
    <n v="1.2621492128678986"/>
    <x v="1"/>
    <n v="1"/>
    <n v="0"/>
    <n v="0"/>
    <n v="0"/>
    <s v="Managers"/>
    <x v="3"/>
  </r>
  <r>
    <n v="5090594"/>
    <x v="1"/>
    <s v="Y"/>
    <s v="Y"/>
    <n v="3"/>
    <x v="18"/>
    <x v="2"/>
    <x v="1"/>
    <x v="1"/>
    <x v="0"/>
    <d v="1990-05-21T00:00:00"/>
    <n v="-12634"/>
    <x v="1799"/>
    <x v="3"/>
    <n v="-4053"/>
    <n v="11.096509240246407"/>
    <x v="1"/>
    <n v="1"/>
    <n v="0"/>
    <n v="0"/>
    <n v="0"/>
    <s v="Laborers"/>
    <x v="4"/>
  </r>
  <r>
    <n v="5090600"/>
    <x v="1"/>
    <s v="Y"/>
    <s v="Y"/>
    <n v="2"/>
    <x v="11"/>
    <x v="2"/>
    <x v="0"/>
    <x v="1"/>
    <x v="0"/>
    <d v="1982-08-25T00:00:00"/>
    <n v="-15460"/>
    <x v="1800"/>
    <x v="1"/>
    <n v="-7004"/>
    <n v="19.175906913073238"/>
    <x v="1"/>
    <n v="1"/>
    <n v="0"/>
    <n v="0"/>
    <n v="0"/>
    <s v="Core staff"/>
    <x v="2"/>
  </r>
  <r>
    <n v="5090622"/>
    <x v="0"/>
    <s v="N"/>
    <s v="Y"/>
    <n v="0"/>
    <x v="14"/>
    <x v="2"/>
    <x v="0"/>
    <x v="1"/>
    <x v="0"/>
    <d v="1966-07-30T00:00:00"/>
    <n v="-21330"/>
    <x v="1801"/>
    <x v="2"/>
    <n v="-7522"/>
    <n v="20.594113620807665"/>
    <x v="1"/>
    <n v="1"/>
    <n v="0"/>
    <n v="0"/>
    <n v="0"/>
    <s v="Managers"/>
    <x v="1"/>
  </r>
  <r>
    <n v="5090636"/>
    <x v="0"/>
    <s v="Y"/>
    <s v="Y"/>
    <n v="0"/>
    <x v="32"/>
    <x v="2"/>
    <x v="1"/>
    <x v="0"/>
    <x v="0"/>
    <d v="1972-08-18T00:00:00"/>
    <n v="-19119"/>
    <x v="1802"/>
    <x v="2"/>
    <n v="-1686"/>
    <n v="4.6160164271047224"/>
    <x v="1"/>
    <n v="1"/>
    <n v="1"/>
    <n v="0"/>
    <n v="0"/>
    <s v="Sales staff"/>
    <x v="0"/>
  </r>
  <r>
    <n v="5090653"/>
    <x v="1"/>
    <s v="Y"/>
    <s v="Y"/>
    <n v="0"/>
    <x v="69"/>
    <x v="1"/>
    <x v="1"/>
    <x v="1"/>
    <x v="0"/>
    <d v="1996-06-02T00:00:00"/>
    <n v="-10430"/>
    <x v="1803"/>
    <x v="4"/>
    <n v="-1130"/>
    <n v="3.0937713894592744"/>
    <x v="1"/>
    <n v="1"/>
    <n v="0"/>
    <n v="0"/>
    <n v="1"/>
    <s v="Laborers"/>
    <x v="1"/>
  </r>
  <r>
    <n v="5090697"/>
    <x v="0"/>
    <s v="N"/>
    <s v="Y"/>
    <n v="1"/>
    <x v="39"/>
    <x v="1"/>
    <x v="2"/>
    <x v="1"/>
    <x v="0"/>
    <d v="1995-02-02T00:00:00"/>
    <n v="-10916"/>
    <x v="1804"/>
    <x v="4"/>
    <n v="-921"/>
    <n v="2.5215605749486651"/>
    <x v="1"/>
    <n v="1"/>
    <n v="0"/>
    <n v="0"/>
    <n v="0"/>
    <s v="Accountants"/>
    <x v="3"/>
  </r>
  <r>
    <n v="5090698"/>
    <x v="0"/>
    <s v="N"/>
    <s v="Y"/>
    <n v="0"/>
    <x v="30"/>
    <x v="2"/>
    <x v="1"/>
    <x v="1"/>
    <x v="0"/>
    <d v="1969-08-14T00:00:00"/>
    <n v="-20219"/>
    <x v="1805"/>
    <x v="2"/>
    <n v="-1224"/>
    <n v="3.3511293634496919"/>
    <x v="1"/>
    <n v="1"/>
    <n v="0"/>
    <n v="1"/>
    <n v="1"/>
    <s v="Security staff"/>
    <x v="1"/>
  </r>
  <r>
    <n v="5090702"/>
    <x v="0"/>
    <s v="Y"/>
    <s v="Y"/>
    <n v="1"/>
    <x v="11"/>
    <x v="3"/>
    <x v="1"/>
    <x v="3"/>
    <x v="0"/>
    <d v="1987-08-07T00:00:00"/>
    <n v="-13652"/>
    <x v="1806"/>
    <x v="3"/>
    <n v="-2530"/>
    <n v="6.9267624914442161"/>
    <x v="1"/>
    <n v="1"/>
    <n v="0"/>
    <n v="0"/>
    <n v="0"/>
    <s v="Sales staff"/>
    <x v="3"/>
  </r>
  <r>
    <n v="5090715"/>
    <x v="0"/>
    <s v="N"/>
    <s v="N"/>
    <n v="0"/>
    <x v="37"/>
    <x v="2"/>
    <x v="1"/>
    <x v="3"/>
    <x v="0"/>
    <d v="1982-05-14T00:00:00"/>
    <n v="-15563"/>
    <x v="1747"/>
    <x v="1"/>
    <n v="-309"/>
    <n v="0.8459958932238193"/>
    <x v="1"/>
    <n v="1"/>
    <n v="0"/>
    <n v="0"/>
    <n v="0"/>
    <s v="Cooking staff"/>
    <x v="1"/>
  </r>
  <r>
    <n v="5090724"/>
    <x v="1"/>
    <s v="Y"/>
    <s v="Y"/>
    <n v="0"/>
    <x v="16"/>
    <x v="2"/>
    <x v="1"/>
    <x v="2"/>
    <x v="2"/>
    <d v="2002-03-07T00:00:00"/>
    <n v="-8326"/>
    <x v="1807"/>
    <x v="4"/>
    <n v="-857"/>
    <n v="2.346338124572211"/>
    <x v="1"/>
    <n v="1"/>
    <n v="0"/>
    <n v="0"/>
    <n v="0"/>
    <s v="Drivers"/>
    <x v="0"/>
  </r>
  <r>
    <n v="5090730"/>
    <x v="0"/>
    <s v="N"/>
    <s v="Y"/>
    <n v="1"/>
    <x v="1"/>
    <x v="1"/>
    <x v="0"/>
    <x v="1"/>
    <x v="0"/>
    <d v="1989-10-13T00:00:00"/>
    <n v="-12854"/>
    <x v="1808"/>
    <x v="3"/>
    <n v="-125"/>
    <n v="0.34223134839151265"/>
    <x v="1"/>
    <n v="1"/>
    <n v="0"/>
    <n v="1"/>
    <n v="0"/>
    <s v="Core staff"/>
    <x v="3"/>
  </r>
  <r>
    <n v="5090732"/>
    <x v="1"/>
    <s v="Y"/>
    <s v="Y"/>
    <n v="1"/>
    <x v="70"/>
    <x v="1"/>
    <x v="0"/>
    <x v="1"/>
    <x v="0"/>
    <d v="1990-10-25T00:00:00"/>
    <n v="-12477"/>
    <x v="208"/>
    <x v="3"/>
    <n v="-2254"/>
    <n v="6.1711156741957565"/>
    <x v="1"/>
    <n v="1"/>
    <n v="0"/>
    <n v="0"/>
    <n v="0"/>
    <s v="Managers"/>
    <x v="3"/>
  </r>
  <r>
    <n v="5090751"/>
    <x v="1"/>
    <s v="N"/>
    <s v="N"/>
    <n v="0"/>
    <x v="32"/>
    <x v="2"/>
    <x v="1"/>
    <x v="2"/>
    <x v="0"/>
    <d v="1984-10-04T00:00:00"/>
    <n v="-14689"/>
    <x v="54"/>
    <x v="1"/>
    <n v="-3661"/>
    <n v="10.023271731690622"/>
    <x v="1"/>
    <n v="1"/>
    <n v="1"/>
    <n v="0"/>
    <n v="0"/>
    <s v="Low-skill Laborers"/>
    <x v="0"/>
  </r>
  <r>
    <n v="5090756"/>
    <x v="0"/>
    <s v="Y"/>
    <s v="N"/>
    <n v="0"/>
    <x v="15"/>
    <x v="2"/>
    <x v="0"/>
    <x v="1"/>
    <x v="0"/>
    <d v="1982-09-19T00:00:00"/>
    <n v="-15435"/>
    <x v="67"/>
    <x v="1"/>
    <n v="-3965"/>
    <n v="10.855578370978781"/>
    <x v="1"/>
    <n v="1"/>
    <n v="1"/>
    <n v="1"/>
    <n v="0"/>
    <m/>
    <x v="1"/>
  </r>
  <r>
    <n v="5090759"/>
    <x v="0"/>
    <s v="N"/>
    <s v="Y"/>
    <n v="0"/>
    <x v="51"/>
    <x v="3"/>
    <x v="1"/>
    <x v="4"/>
    <x v="0"/>
    <d v="1964-10-08T00:00:00"/>
    <n v="-21990"/>
    <x v="813"/>
    <x v="0"/>
    <n v="-7677"/>
    <n v="21.018480492813143"/>
    <x v="1"/>
    <n v="1"/>
    <n v="1"/>
    <n v="1"/>
    <n v="0"/>
    <s v="Medicine staff"/>
    <x v="0"/>
  </r>
  <r>
    <n v="5090761"/>
    <x v="0"/>
    <s v="N"/>
    <s v="Y"/>
    <n v="0"/>
    <x v="30"/>
    <x v="2"/>
    <x v="1"/>
    <x v="1"/>
    <x v="0"/>
    <d v="1977-05-19T00:00:00"/>
    <n v="-17384"/>
    <x v="1809"/>
    <x v="1"/>
    <n v="-4421"/>
    <n v="12.10403832991102"/>
    <x v="1"/>
    <n v="1"/>
    <n v="0"/>
    <n v="0"/>
    <n v="0"/>
    <s v="High skill tech staff"/>
    <x v="1"/>
  </r>
  <r>
    <n v="5090767"/>
    <x v="0"/>
    <s v="N"/>
    <s v="N"/>
    <n v="1"/>
    <x v="68"/>
    <x v="2"/>
    <x v="1"/>
    <x v="4"/>
    <x v="0"/>
    <d v="1990-07-07T00:00:00"/>
    <n v="-12587"/>
    <x v="1810"/>
    <x v="3"/>
    <n v="-3626"/>
    <n v="9.9274469541409989"/>
    <x v="1"/>
    <n v="1"/>
    <n v="0"/>
    <n v="0"/>
    <n v="1"/>
    <s v="Sales staff"/>
    <x v="1"/>
  </r>
  <r>
    <n v="5090796"/>
    <x v="0"/>
    <s v="N"/>
    <s v="Y"/>
    <n v="0"/>
    <x v="8"/>
    <x v="0"/>
    <x v="1"/>
    <x v="2"/>
    <x v="0"/>
    <d v="1962-01-26T00:00:00"/>
    <n v="-22976"/>
    <x v="1752"/>
    <x v="0"/>
    <n v="365243"/>
    <n v="0"/>
    <x v="0"/>
    <n v="1"/>
    <n v="0"/>
    <n v="0"/>
    <n v="0"/>
    <m/>
    <x v="0"/>
  </r>
  <r>
    <n v="5090812"/>
    <x v="1"/>
    <s v="N"/>
    <s v="Y"/>
    <n v="1"/>
    <x v="3"/>
    <x v="2"/>
    <x v="1"/>
    <x v="1"/>
    <x v="0"/>
    <d v="1988-04-29T00:00:00"/>
    <n v="-13386"/>
    <x v="1811"/>
    <x v="3"/>
    <n v="-1708"/>
    <n v="4.6762491444216288"/>
    <x v="1"/>
    <n v="1"/>
    <n v="0"/>
    <n v="0"/>
    <n v="1"/>
    <s v="Drivers"/>
    <x v="3"/>
  </r>
  <r>
    <n v="5090827"/>
    <x v="1"/>
    <s v="Y"/>
    <s v="Y"/>
    <n v="0"/>
    <x v="1"/>
    <x v="1"/>
    <x v="1"/>
    <x v="1"/>
    <x v="0"/>
    <d v="1976-09-17T00:00:00"/>
    <n v="-17628"/>
    <x v="1812"/>
    <x v="1"/>
    <n v="-1284"/>
    <n v="3.5154004106776182"/>
    <x v="1"/>
    <n v="1"/>
    <n v="0"/>
    <n v="0"/>
    <n v="0"/>
    <s v="Drivers"/>
    <x v="1"/>
  </r>
  <r>
    <n v="5090831"/>
    <x v="0"/>
    <s v="Y"/>
    <s v="Y"/>
    <n v="0"/>
    <x v="42"/>
    <x v="1"/>
    <x v="1"/>
    <x v="3"/>
    <x v="0"/>
    <d v="1970-12-16T00:00:00"/>
    <n v="-19730"/>
    <x v="1813"/>
    <x v="2"/>
    <n v="-3016"/>
    <n v="8.2573579739904179"/>
    <x v="1"/>
    <n v="1"/>
    <n v="0"/>
    <n v="0"/>
    <n v="1"/>
    <s v="Managers"/>
    <x v="1"/>
  </r>
  <r>
    <n v="5090832"/>
    <x v="0"/>
    <s v="N"/>
    <s v="Y"/>
    <n v="1"/>
    <x v="30"/>
    <x v="2"/>
    <x v="1"/>
    <x v="2"/>
    <x v="0"/>
    <d v="1987-06-22T00:00:00"/>
    <n v="-13698"/>
    <x v="1814"/>
    <x v="3"/>
    <n v="-1195"/>
    <n v="3.2717316906228611"/>
    <x v="1"/>
    <n v="1"/>
    <n v="0"/>
    <n v="0"/>
    <n v="0"/>
    <s v="Sales staff"/>
    <x v="1"/>
  </r>
  <r>
    <n v="5090851"/>
    <x v="0"/>
    <s v="Y"/>
    <s v="Y"/>
    <n v="0"/>
    <x v="18"/>
    <x v="2"/>
    <x v="0"/>
    <x v="1"/>
    <x v="0"/>
    <d v="1968-06-16T00:00:00"/>
    <n v="-20643"/>
    <x v="1698"/>
    <x v="2"/>
    <n v="-6456"/>
    <n v="17.675564681724847"/>
    <x v="1"/>
    <n v="1"/>
    <n v="0"/>
    <n v="0"/>
    <n v="1"/>
    <s v="Core staff"/>
    <x v="1"/>
  </r>
  <r>
    <n v="5090860"/>
    <x v="0"/>
    <s v="N"/>
    <s v="Y"/>
    <n v="0"/>
    <x v="56"/>
    <x v="0"/>
    <x v="1"/>
    <x v="2"/>
    <x v="0"/>
    <d v="1959-03-26T00:00:00"/>
    <n v="-24013"/>
    <x v="1815"/>
    <x v="0"/>
    <n v="365243"/>
    <n v="0"/>
    <x v="0"/>
    <n v="1"/>
    <n v="0"/>
    <n v="1"/>
    <n v="0"/>
    <m/>
    <x v="0"/>
  </r>
  <r>
    <n v="5090878"/>
    <x v="0"/>
    <s v="Y"/>
    <s v="Y"/>
    <n v="0"/>
    <x v="21"/>
    <x v="2"/>
    <x v="0"/>
    <x v="3"/>
    <x v="5"/>
    <d v="1985-10-17T00:00:00"/>
    <n v="-14311"/>
    <x v="1816"/>
    <x v="3"/>
    <n v="-2985"/>
    <n v="8.1724845995893229"/>
    <x v="1"/>
    <n v="1"/>
    <n v="0"/>
    <n v="0"/>
    <n v="1"/>
    <s v="Drivers"/>
    <x v="1"/>
  </r>
  <r>
    <n v="5090884"/>
    <x v="1"/>
    <s v="Y"/>
    <s v="N"/>
    <n v="0"/>
    <x v="15"/>
    <x v="3"/>
    <x v="0"/>
    <x v="1"/>
    <x v="5"/>
    <d v="1992-03-25T00:00:00"/>
    <n v="-11960"/>
    <x v="1817"/>
    <x v="3"/>
    <n v="-4174"/>
    <n v="11.427789185489392"/>
    <x v="1"/>
    <n v="1"/>
    <n v="0"/>
    <n v="0"/>
    <n v="0"/>
    <m/>
    <x v="1"/>
  </r>
  <r>
    <n v="5090890"/>
    <x v="1"/>
    <s v="Y"/>
    <s v="Y"/>
    <n v="0"/>
    <x v="7"/>
    <x v="0"/>
    <x v="0"/>
    <x v="1"/>
    <x v="0"/>
    <d v="1971-03-25T00:00:00"/>
    <n v="-19631"/>
    <x v="1818"/>
    <x v="2"/>
    <n v="365243"/>
    <n v="0"/>
    <x v="0"/>
    <n v="1"/>
    <n v="0"/>
    <n v="0"/>
    <n v="1"/>
    <m/>
    <x v="1"/>
  </r>
  <r>
    <n v="5090891"/>
    <x v="0"/>
    <s v="N"/>
    <s v="Y"/>
    <n v="0"/>
    <x v="2"/>
    <x v="0"/>
    <x v="1"/>
    <x v="1"/>
    <x v="0"/>
    <d v="1962-02-28T00:00:00"/>
    <n v="-22943"/>
    <x v="1819"/>
    <x v="0"/>
    <n v="365243"/>
    <n v="0"/>
    <x v="0"/>
    <n v="1"/>
    <n v="0"/>
    <n v="0"/>
    <n v="0"/>
    <m/>
    <x v="1"/>
  </r>
  <r>
    <n v="5090894"/>
    <x v="0"/>
    <s v="Y"/>
    <s v="Y"/>
    <n v="2"/>
    <x v="30"/>
    <x v="2"/>
    <x v="0"/>
    <x v="1"/>
    <x v="0"/>
    <d v="1988-12-15T00:00:00"/>
    <n v="-13156"/>
    <x v="200"/>
    <x v="3"/>
    <n v="-4234"/>
    <n v="11.592060232717317"/>
    <x v="1"/>
    <n v="1"/>
    <n v="0"/>
    <n v="0"/>
    <n v="0"/>
    <s v="Accountants"/>
    <x v="2"/>
  </r>
  <r>
    <n v="5090896"/>
    <x v="0"/>
    <s v="N"/>
    <s v="N"/>
    <n v="0"/>
    <x v="32"/>
    <x v="0"/>
    <x v="1"/>
    <x v="2"/>
    <x v="0"/>
    <d v="1964-08-07T00:00:00"/>
    <n v="-22052"/>
    <x v="1708"/>
    <x v="0"/>
    <n v="365243"/>
    <n v="0"/>
    <x v="0"/>
    <n v="1"/>
    <n v="0"/>
    <n v="1"/>
    <n v="0"/>
    <m/>
    <x v="0"/>
  </r>
  <r>
    <n v="5090898"/>
    <x v="0"/>
    <s v="Y"/>
    <s v="N"/>
    <n v="2"/>
    <x v="43"/>
    <x v="1"/>
    <x v="1"/>
    <x v="1"/>
    <x v="0"/>
    <d v="1994-10-18T00:00:00"/>
    <n v="-11023"/>
    <x v="1496"/>
    <x v="3"/>
    <n v="-2652"/>
    <n v="7.2607802874743328"/>
    <x v="1"/>
    <n v="1"/>
    <n v="1"/>
    <n v="0"/>
    <n v="0"/>
    <s v="Laborers"/>
    <x v="2"/>
  </r>
  <r>
    <n v="5090902"/>
    <x v="0"/>
    <s v="N"/>
    <s v="N"/>
    <n v="0"/>
    <x v="2"/>
    <x v="2"/>
    <x v="1"/>
    <x v="1"/>
    <x v="2"/>
    <d v="1970-12-23T00:00:00"/>
    <n v="-19723"/>
    <x v="1713"/>
    <x v="2"/>
    <n v="-1191"/>
    <n v="3.2607802874743328"/>
    <x v="1"/>
    <n v="1"/>
    <n v="0"/>
    <n v="1"/>
    <n v="0"/>
    <m/>
    <x v="1"/>
  </r>
  <r>
    <n v="5090929"/>
    <x v="0"/>
    <s v="Y"/>
    <s v="N"/>
    <n v="0"/>
    <x v="11"/>
    <x v="1"/>
    <x v="1"/>
    <x v="3"/>
    <x v="2"/>
    <d v="1986-01-08T00:00:00"/>
    <n v="-14228"/>
    <x v="1245"/>
    <x v="3"/>
    <n v="-5330"/>
    <n v="14.592744695414099"/>
    <x v="1"/>
    <n v="1"/>
    <n v="0"/>
    <n v="1"/>
    <n v="0"/>
    <m/>
    <x v="1"/>
  </r>
  <r>
    <n v="5090942"/>
    <x v="1"/>
    <s v="N"/>
    <s v="N"/>
    <n v="0"/>
    <x v="8"/>
    <x v="1"/>
    <x v="1"/>
    <x v="1"/>
    <x v="0"/>
    <d v="1988-06-18T00:00:00"/>
    <n v="-13336"/>
    <x v="1820"/>
    <x v="3"/>
    <n v="-1436"/>
    <n v="3.9315537303216974"/>
    <x v="1"/>
    <n v="1"/>
    <n v="0"/>
    <n v="0"/>
    <n v="0"/>
    <s v="Low-skill Laborers"/>
    <x v="1"/>
  </r>
  <r>
    <n v="5090949"/>
    <x v="0"/>
    <s v="N"/>
    <s v="N"/>
    <n v="0"/>
    <x v="56"/>
    <x v="0"/>
    <x v="0"/>
    <x v="1"/>
    <x v="0"/>
    <d v="1966-06-17T00:00:00"/>
    <n v="-21373"/>
    <x v="1717"/>
    <x v="2"/>
    <n v="365243"/>
    <n v="0"/>
    <x v="0"/>
    <n v="1"/>
    <n v="0"/>
    <n v="1"/>
    <n v="0"/>
    <m/>
    <x v="1"/>
  </r>
  <r>
    <n v="5090985"/>
    <x v="1"/>
    <s v="Y"/>
    <s v="Y"/>
    <n v="0"/>
    <x v="67"/>
    <x v="2"/>
    <x v="2"/>
    <x v="1"/>
    <x v="2"/>
    <d v="2000-07-24T00:00:00"/>
    <n v="-8917"/>
    <x v="1821"/>
    <x v="4"/>
    <n v="-1101"/>
    <n v="3.0143737166324436"/>
    <x v="1"/>
    <n v="1"/>
    <n v="0"/>
    <n v="0"/>
    <n v="1"/>
    <s v="Drivers"/>
    <x v="1"/>
  </r>
  <r>
    <n v="5090993"/>
    <x v="1"/>
    <s v="Y"/>
    <s v="Y"/>
    <n v="0"/>
    <x v="61"/>
    <x v="2"/>
    <x v="0"/>
    <x v="1"/>
    <x v="0"/>
    <d v="1996-09-17T00:00:00"/>
    <n v="-10323"/>
    <x v="1822"/>
    <x v="4"/>
    <n v="-2622"/>
    <n v="7.1786447638603699"/>
    <x v="1"/>
    <n v="1"/>
    <n v="1"/>
    <n v="1"/>
    <n v="1"/>
    <s v="Managers"/>
    <x v="1"/>
  </r>
  <r>
    <n v="5090997"/>
    <x v="1"/>
    <s v="Y"/>
    <s v="Y"/>
    <n v="0"/>
    <x v="61"/>
    <x v="2"/>
    <x v="0"/>
    <x v="1"/>
    <x v="0"/>
    <d v="1996-09-17T00:00:00"/>
    <n v="-10323"/>
    <x v="1822"/>
    <x v="4"/>
    <n v="-2622"/>
    <n v="7.1786447638603699"/>
    <x v="1"/>
    <n v="1"/>
    <n v="1"/>
    <n v="1"/>
    <n v="1"/>
    <s v="Managers"/>
    <x v="1"/>
  </r>
  <r>
    <n v="5091022"/>
    <x v="0"/>
    <s v="N"/>
    <s v="N"/>
    <n v="0"/>
    <x v="5"/>
    <x v="2"/>
    <x v="1"/>
    <x v="1"/>
    <x v="4"/>
    <d v="1986-03-22T00:00:00"/>
    <n v="-14155"/>
    <x v="1823"/>
    <x v="3"/>
    <n v="-6670"/>
    <n v="18.261464750171115"/>
    <x v="1"/>
    <n v="1"/>
    <n v="0"/>
    <n v="0"/>
    <n v="1"/>
    <s v="Medicine staff"/>
    <x v="1"/>
  </r>
  <r>
    <n v="5091026"/>
    <x v="0"/>
    <s v="N"/>
    <s v="Y"/>
    <n v="0"/>
    <x v="22"/>
    <x v="0"/>
    <x v="1"/>
    <x v="1"/>
    <x v="0"/>
    <d v="1960-09-13T00:00:00"/>
    <n v="-23476"/>
    <x v="1824"/>
    <x v="0"/>
    <n v="365243"/>
    <n v="0"/>
    <x v="0"/>
    <n v="1"/>
    <n v="0"/>
    <n v="0"/>
    <n v="0"/>
    <m/>
    <x v="1"/>
  </r>
  <r>
    <n v="5091037"/>
    <x v="0"/>
    <s v="Y"/>
    <s v="N"/>
    <n v="0"/>
    <x v="5"/>
    <x v="2"/>
    <x v="2"/>
    <x v="2"/>
    <x v="2"/>
    <d v="1980-06-05T00:00:00"/>
    <n v="-16271"/>
    <x v="1825"/>
    <x v="1"/>
    <n v="-96"/>
    <n v="0.26283367556468173"/>
    <x v="1"/>
    <n v="1"/>
    <n v="0"/>
    <n v="0"/>
    <n v="0"/>
    <m/>
    <x v="0"/>
  </r>
  <r>
    <n v="5091051"/>
    <x v="0"/>
    <s v="N"/>
    <s v="Y"/>
    <n v="2"/>
    <x v="18"/>
    <x v="1"/>
    <x v="0"/>
    <x v="1"/>
    <x v="0"/>
    <d v="1982-09-16T00:00:00"/>
    <n v="-15438"/>
    <x v="1826"/>
    <x v="1"/>
    <n v="-2197"/>
    <n v="6.0150581793292268"/>
    <x v="1"/>
    <n v="1"/>
    <n v="0"/>
    <n v="0"/>
    <n v="1"/>
    <s v="Secretaries"/>
    <x v="2"/>
  </r>
  <r>
    <n v="5091061"/>
    <x v="0"/>
    <s v="N"/>
    <s v="Y"/>
    <n v="1"/>
    <x v="37"/>
    <x v="3"/>
    <x v="1"/>
    <x v="1"/>
    <x v="0"/>
    <d v="1986-12-20T00:00:00"/>
    <n v="-13882"/>
    <x v="1827"/>
    <x v="3"/>
    <n v="-3505"/>
    <n v="9.5961670088980142"/>
    <x v="1"/>
    <n v="1"/>
    <n v="1"/>
    <n v="0"/>
    <n v="0"/>
    <s v="Sales staff"/>
    <x v="3"/>
  </r>
  <r>
    <n v="5091064"/>
    <x v="0"/>
    <s v="N"/>
    <s v="Y"/>
    <n v="0"/>
    <x v="15"/>
    <x v="1"/>
    <x v="2"/>
    <x v="1"/>
    <x v="4"/>
    <d v="1993-04-10T00:00:00"/>
    <n v="-11579"/>
    <x v="1828"/>
    <x v="3"/>
    <n v="-1161"/>
    <n v="3.1786447638603694"/>
    <x v="1"/>
    <n v="1"/>
    <n v="0"/>
    <n v="0"/>
    <n v="0"/>
    <s v="Accountants"/>
    <x v="1"/>
  </r>
  <r>
    <n v="5091071"/>
    <x v="1"/>
    <s v="N"/>
    <s v="Y"/>
    <n v="0"/>
    <x v="11"/>
    <x v="2"/>
    <x v="1"/>
    <x v="1"/>
    <x v="0"/>
    <d v="1988-03-22T00:00:00"/>
    <n v="-13424"/>
    <x v="1829"/>
    <x v="3"/>
    <n v="-4754"/>
    <n v="13.015742642026009"/>
    <x v="1"/>
    <n v="1"/>
    <n v="0"/>
    <n v="0"/>
    <n v="1"/>
    <s v="Laborers"/>
    <x v="1"/>
  </r>
  <r>
    <n v="5091075"/>
    <x v="1"/>
    <s v="N"/>
    <s v="Y"/>
    <n v="0"/>
    <x v="11"/>
    <x v="2"/>
    <x v="1"/>
    <x v="1"/>
    <x v="0"/>
    <d v="1988-03-22T00:00:00"/>
    <n v="-13424"/>
    <x v="1829"/>
    <x v="3"/>
    <n v="-4754"/>
    <n v="13.015742642026009"/>
    <x v="1"/>
    <n v="1"/>
    <n v="0"/>
    <n v="0"/>
    <n v="1"/>
    <s v="Laborers"/>
    <x v="1"/>
  </r>
  <r>
    <n v="5091095"/>
    <x v="1"/>
    <s v="N"/>
    <s v="Y"/>
    <n v="0"/>
    <x v="31"/>
    <x v="0"/>
    <x v="0"/>
    <x v="1"/>
    <x v="0"/>
    <d v="1957-06-15T00:00:00"/>
    <n v="-24662"/>
    <x v="1830"/>
    <x v="0"/>
    <n v="365243"/>
    <n v="0"/>
    <x v="0"/>
    <n v="1"/>
    <n v="0"/>
    <n v="0"/>
    <n v="0"/>
    <m/>
    <x v="1"/>
  </r>
  <r>
    <n v="5091098"/>
    <x v="1"/>
    <s v="N"/>
    <s v="Y"/>
    <n v="0"/>
    <x v="31"/>
    <x v="0"/>
    <x v="0"/>
    <x v="1"/>
    <x v="0"/>
    <d v="1957-06-15T00:00:00"/>
    <n v="-24662"/>
    <x v="1830"/>
    <x v="0"/>
    <n v="365243"/>
    <n v="0"/>
    <x v="0"/>
    <n v="1"/>
    <n v="0"/>
    <n v="0"/>
    <n v="0"/>
    <m/>
    <x v="1"/>
  </r>
  <r>
    <n v="5091105"/>
    <x v="1"/>
    <s v="N"/>
    <s v="Y"/>
    <n v="0"/>
    <x v="31"/>
    <x v="0"/>
    <x v="0"/>
    <x v="1"/>
    <x v="0"/>
    <d v="1957-06-15T00:00:00"/>
    <n v="-24662"/>
    <x v="1830"/>
    <x v="0"/>
    <n v="365243"/>
    <n v="0"/>
    <x v="0"/>
    <n v="1"/>
    <n v="0"/>
    <n v="0"/>
    <n v="0"/>
    <m/>
    <x v="1"/>
  </r>
  <r>
    <n v="5091109"/>
    <x v="1"/>
    <s v="N"/>
    <s v="Y"/>
    <n v="0"/>
    <x v="31"/>
    <x v="0"/>
    <x v="0"/>
    <x v="1"/>
    <x v="0"/>
    <d v="1957-06-15T00:00:00"/>
    <n v="-24662"/>
    <x v="1830"/>
    <x v="0"/>
    <n v="365243"/>
    <n v="0"/>
    <x v="0"/>
    <n v="1"/>
    <n v="0"/>
    <n v="0"/>
    <n v="0"/>
    <m/>
    <x v="1"/>
  </r>
  <r>
    <n v="5091125"/>
    <x v="0"/>
    <s v="N"/>
    <s v="Y"/>
    <n v="1"/>
    <x v="2"/>
    <x v="2"/>
    <x v="1"/>
    <x v="2"/>
    <x v="0"/>
    <d v="1973-09-26T00:00:00"/>
    <n v="-18715"/>
    <x v="1831"/>
    <x v="2"/>
    <n v="-2867"/>
    <n v="7.8494182067077345"/>
    <x v="1"/>
    <n v="1"/>
    <n v="1"/>
    <n v="0"/>
    <n v="0"/>
    <s v="Secretaries"/>
    <x v="1"/>
  </r>
  <r>
    <n v="5091130"/>
    <x v="0"/>
    <s v="N"/>
    <s v="Y"/>
    <n v="1"/>
    <x v="2"/>
    <x v="2"/>
    <x v="1"/>
    <x v="2"/>
    <x v="0"/>
    <d v="1973-09-26T00:00:00"/>
    <n v="-18715"/>
    <x v="1831"/>
    <x v="2"/>
    <n v="-2867"/>
    <n v="7.8494182067077345"/>
    <x v="1"/>
    <n v="1"/>
    <n v="1"/>
    <n v="0"/>
    <n v="0"/>
    <s v="Secretaries"/>
    <x v="1"/>
  </r>
  <r>
    <n v="5091142"/>
    <x v="0"/>
    <s v="N"/>
    <s v="N"/>
    <n v="2"/>
    <x v="30"/>
    <x v="2"/>
    <x v="1"/>
    <x v="1"/>
    <x v="0"/>
    <d v="1981-10-14T00:00:00"/>
    <n v="-15775"/>
    <x v="1832"/>
    <x v="1"/>
    <n v="-7888"/>
    <n v="21.596167008898014"/>
    <x v="1"/>
    <n v="1"/>
    <n v="1"/>
    <n v="0"/>
    <n v="0"/>
    <m/>
    <x v="2"/>
  </r>
  <r>
    <n v="5091145"/>
    <x v="1"/>
    <s v="Y"/>
    <s v="N"/>
    <n v="0"/>
    <x v="8"/>
    <x v="2"/>
    <x v="1"/>
    <x v="1"/>
    <x v="0"/>
    <d v="1995-06-13T00:00:00"/>
    <n v="-10785"/>
    <x v="1833"/>
    <x v="4"/>
    <n v="-1345"/>
    <n v="3.6824093086926761"/>
    <x v="1"/>
    <n v="1"/>
    <n v="0"/>
    <n v="0"/>
    <n v="0"/>
    <m/>
    <x v="1"/>
  </r>
  <r>
    <n v="5091148"/>
    <x v="1"/>
    <s v="Y"/>
    <s v="N"/>
    <n v="0"/>
    <x v="8"/>
    <x v="2"/>
    <x v="1"/>
    <x v="1"/>
    <x v="0"/>
    <d v="1995-06-13T00:00:00"/>
    <n v="-10785"/>
    <x v="1833"/>
    <x v="4"/>
    <n v="-1345"/>
    <n v="3.6824093086926761"/>
    <x v="1"/>
    <n v="1"/>
    <n v="0"/>
    <n v="0"/>
    <n v="0"/>
    <m/>
    <x v="1"/>
  </r>
  <r>
    <n v="5091160"/>
    <x v="0"/>
    <s v="Y"/>
    <s v="Y"/>
    <n v="0"/>
    <x v="87"/>
    <x v="1"/>
    <x v="1"/>
    <x v="1"/>
    <x v="0"/>
    <d v="1987-02-19T00:00:00"/>
    <n v="-13821"/>
    <x v="1834"/>
    <x v="3"/>
    <n v="-1071"/>
    <n v="2.9322381930184807"/>
    <x v="1"/>
    <n v="1"/>
    <n v="0"/>
    <n v="0"/>
    <n v="1"/>
    <s v="Core staff"/>
    <x v="1"/>
  </r>
  <r>
    <n v="5091164"/>
    <x v="0"/>
    <s v="Y"/>
    <s v="Y"/>
    <n v="0"/>
    <x v="87"/>
    <x v="1"/>
    <x v="1"/>
    <x v="1"/>
    <x v="0"/>
    <d v="1987-02-19T00:00:00"/>
    <n v="-13821"/>
    <x v="1834"/>
    <x v="3"/>
    <n v="-1071"/>
    <n v="2.9322381930184807"/>
    <x v="1"/>
    <n v="1"/>
    <n v="0"/>
    <n v="0"/>
    <n v="1"/>
    <s v="Core staff"/>
    <x v="1"/>
  </r>
  <r>
    <n v="5091184"/>
    <x v="0"/>
    <s v="N"/>
    <s v="Y"/>
    <n v="1"/>
    <x v="37"/>
    <x v="2"/>
    <x v="1"/>
    <x v="0"/>
    <x v="0"/>
    <d v="1994-07-07T00:00:00"/>
    <n v="-11126"/>
    <x v="1835"/>
    <x v="3"/>
    <n v="-2087"/>
    <n v="5.7138945927446958"/>
    <x v="1"/>
    <n v="1"/>
    <n v="1"/>
    <n v="1"/>
    <n v="0"/>
    <s v="Accountants"/>
    <x v="1"/>
  </r>
  <r>
    <n v="5091187"/>
    <x v="0"/>
    <s v="N"/>
    <s v="Y"/>
    <n v="1"/>
    <x v="37"/>
    <x v="2"/>
    <x v="1"/>
    <x v="0"/>
    <x v="0"/>
    <d v="1994-07-07T00:00:00"/>
    <n v="-11126"/>
    <x v="1835"/>
    <x v="3"/>
    <n v="-2087"/>
    <n v="5.7138945927446958"/>
    <x v="1"/>
    <n v="1"/>
    <n v="1"/>
    <n v="1"/>
    <n v="0"/>
    <s v="Accountants"/>
    <x v="1"/>
  </r>
  <r>
    <n v="5091192"/>
    <x v="0"/>
    <s v="N"/>
    <s v="Y"/>
    <n v="1"/>
    <x v="37"/>
    <x v="2"/>
    <x v="1"/>
    <x v="0"/>
    <x v="0"/>
    <d v="1994-07-07T00:00:00"/>
    <n v="-11126"/>
    <x v="1835"/>
    <x v="3"/>
    <n v="-2087"/>
    <n v="5.7138945927446958"/>
    <x v="1"/>
    <n v="1"/>
    <n v="1"/>
    <n v="1"/>
    <n v="0"/>
    <s v="Accountants"/>
    <x v="1"/>
  </r>
  <r>
    <n v="5091218"/>
    <x v="0"/>
    <s v="N"/>
    <s v="Y"/>
    <n v="0"/>
    <x v="67"/>
    <x v="0"/>
    <x v="1"/>
    <x v="4"/>
    <x v="0"/>
    <d v="1965-11-06T00:00:00"/>
    <n v="-21596"/>
    <x v="1836"/>
    <x v="2"/>
    <n v="365243"/>
    <n v="0"/>
    <x v="0"/>
    <n v="1"/>
    <n v="0"/>
    <n v="1"/>
    <n v="0"/>
    <m/>
    <x v="0"/>
  </r>
  <r>
    <n v="5091273"/>
    <x v="0"/>
    <s v="N"/>
    <s v="Y"/>
    <n v="0"/>
    <x v="37"/>
    <x v="0"/>
    <x v="1"/>
    <x v="1"/>
    <x v="0"/>
    <d v="1960-10-18T00:00:00"/>
    <n v="-23441"/>
    <x v="1837"/>
    <x v="0"/>
    <n v="365243"/>
    <n v="0"/>
    <x v="0"/>
    <n v="1"/>
    <n v="0"/>
    <n v="0"/>
    <n v="0"/>
    <m/>
    <x v="1"/>
  </r>
  <r>
    <n v="5091285"/>
    <x v="1"/>
    <s v="Y"/>
    <s v="Y"/>
    <n v="2"/>
    <x v="16"/>
    <x v="2"/>
    <x v="1"/>
    <x v="1"/>
    <x v="0"/>
    <d v="1984-12-14T00:00:00"/>
    <n v="-14618"/>
    <x v="1838"/>
    <x v="1"/>
    <n v="-4979"/>
    <n v="13.631759069130732"/>
    <x v="1"/>
    <n v="1"/>
    <n v="1"/>
    <n v="0"/>
    <n v="0"/>
    <s v="Laborers"/>
    <x v="2"/>
  </r>
  <r>
    <n v="5091318"/>
    <x v="0"/>
    <s v="N"/>
    <s v="Y"/>
    <n v="1"/>
    <x v="18"/>
    <x v="2"/>
    <x v="1"/>
    <x v="3"/>
    <x v="4"/>
    <d v="1994-05-08T00:00:00"/>
    <n v="-11186"/>
    <x v="1839"/>
    <x v="3"/>
    <n v="-1753"/>
    <n v="4.7994524298425736"/>
    <x v="1"/>
    <n v="1"/>
    <n v="0"/>
    <n v="0"/>
    <n v="0"/>
    <s v="Sales staff"/>
    <x v="3"/>
  </r>
  <r>
    <n v="5091321"/>
    <x v="0"/>
    <s v="N"/>
    <s v="N"/>
    <n v="1"/>
    <x v="3"/>
    <x v="1"/>
    <x v="1"/>
    <x v="1"/>
    <x v="0"/>
    <d v="1986-08-22T00:00:00"/>
    <n v="-14002"/>
    <x v="1840"/>
    <x v="3"/>
    <n v="-5557"/>
    <n v="15.214236824093087"/>
    <x v="1"/>
    <n v="1"/>
    <n v="0"/>
    <n v="0"/>
    <n v="0"/>
    <s v="Laborers"/>
    <x v="3"/>
  </r>
  <r>
    <n v="5091340"/>
    <x v="0"/>
    <s v="N"/>
    <s v="Y"/>
    <n v="0"/>
    <x v="1"/>
    <x v="1"/>
    <x v="1"/>
    <x v="1"/>
    <x v="0"/>
    <d v="1994-08-14T00:00:00"/>
    <n v="-11088"/>
    <x v="1841"/>
    <x v="3"/>
    <n v="-1447"/>
    <n v="3.9616700889801506"/>
    <x v="1"/>
    <n v="1"/>
    <n v="0"/>
    <n v="1"/>
    <n v="0"/>
    <s v="Cooking staff"/>
    <x v="1"/>
  </r>
  <r>
    <n v="5091341"/>
    <x v="0"/>
    <s v="N"/>
    <s v="Y"/>
    <n v="0"/>
    <x v="1"/>
    <x v="1"/>
    <x v="1"/>
    <x v="1"/>
    <x v="0"/>
    <d v="1994-08-14T00:00:00"/>
    <n v="-11088"/>
    <x v="1841"/>
    <x v="3"/>
    <n v="-1447"/>
    <n v="3.9616700889801506"/>
    <x v="1"/>
    <n v="1"/>
    <n v="0"/>
    <n v="1"/>
    <n v="0"/>
    <s v="Cooking staff"/>
    <x v="1"/>
  </r>
  <r>
    <n v="5091350"/>
    <x v="0"/>
    <s v="N"/>
    <s v="Y"/>
    <n v="1"/>
    <x v="8"/>
    <x v="2"/>
    <x v="1"/>
    <x v="2"/>
    <x v="0"/>
    <d v="1985-05-12T00:00:00"/>
    <n v="-14469"/>
    <x v="1842"/>
    <x v="3"/>
    <n v="-504"/>
    <n v="1.3798767967145791"/>
    <x v="1"/>
    <n v="1"/>
    <n v="0"/>
    <n v="0"/>
    <n v="0"/>
    <s v="Core staff"/>
    <x v="1"/>
  </r>
  <r>
    <n v="5091351"/>
    <x v="0"/>
    <s v="N"/>
    <s v="Y"/>
    <n v="1"/>
    <x v="8"/>
    <x v="2"/>
    <x v="1"/>
    <x v="2"/>
    <x v="0"/>
    <d v="1985-05-12T00:00:00"/>
    <n v="-14469"/>
    <x v="1842"/>
    <x v="3"/>
    <n v="-504"/>
    <n v="1.3798767967145791"/>
    <x v="1"/>
    <n v="1"/>
    <n v="0"/>
    <n v="0"/>
    <n v="0"/>
    <s v="Core staff"/>
    <x v="1"/>
  </r>
  <r>
    <n v="5091353"/>
    <x v="0"/>
    <s v="N"/>
    <s v="Y"/>
    <n v="0"/>
    <x v="30"/>
    <x v="0"/>
    <x v="1"/>
    <x v="1"/>
    <x v="0"/>
    <d v="1964-05-28T00:00:00"/>
    <n v="-22123"/>
    <x v="1843"/>
    <x v="0"/>
    <n v="365243"/>
    <n v="0"/>
    <x v="0"/>
    <n v="1"/>
    <n v="0"/>
    <n v="0"/>
    <n v="1"/>
    <m/>
    <x v="1"/>
  </r>
  <r>
    <n v="5091359"/>
    <x v="0"/>
    <s v="N"/>
    <s v="Y"/>
    <n v="0"/>
    <x v="30"/>
    <x v="0"/>
    <x v="1"/>
    <x v="1"/>
    <x v="0"/>
    <d v="1964-05-28T00:00:00"/>
    <n v="-22123"/>
    <x v="1843"/>
    <x v="0"/>
    <n v="365243"/>
    <n v="0"/>
    <x v="0"/>
    <n v="1"/>
    <n v="0"/>
    <n v="0"/>
    <n v="1"/>
    <m/>
    <x v="1"/>
  </r>
  <r>
    <n v="5091373"/>
    <x v="1"/>
    <s v="Y"/>
    <s v="Y"/>
    <n v="0"/>
    <x v="39"/>
    <x v="2"/>
    <x v="1"/>
    <x v="1"/>
    <x v="0"/>
    <d v="1982-11-27T00:00:00"/>
    <n v="-15366"/>
    <x v="1844"/>
    <x v="1"/>
    <n v="-1266"/>
    <n v="3.4661190965092401"/>
    <x v="1"/>
    <n v="1"/>
    <n v="1"/>
    <n v="1"/>
    <n v="0"/>
    <s v="Drivers"/>
    <x v="1"/>
  </r>
  <r>
    <n v="5091374"/>
    <x v="1"/>
    <s v="Y"/>
    <s v="Y"/>
    <n v="0"/>
    <x v="39"/>
    <x v="2"/>
    <x v="1"/>
    <x v="1"/>
    <x v="0"/>
    <d v="1982-11-27T00:00:00"/>
    <n v="-15366"/>
    <x v="1844"/>
    <x v="1"/>
    <n v="-1266"/>
    <n v="3.4661190965092401"/>
    <x v="1"/>
    <n v="1"/>
    <n v="1"/>
    <n v="1"/>
    <n v="0"/>
    <s v="Drivers"/>
    <x v="1"/>
  </r>
  <r>
    <n v="5091382"/>
    <x v="0"/>
    <s v="Y"/>
    <s v="Y"/>
    <n v="2"/>
    <x v="7"/>
    <x v="2"/>
    <x v="0"/>
    <x v="1"/>
    <x v="0"/>
    <d v="1990-01-18T00:00:00"/>
    <n v="-12757"/>
    <x v="1845"/>
    <x v="3"/>
    <n v="-4887"/>
    <n v="13.379876796714578"/>
    <x v="1"/>
    <n v="1"/>
    <n v="0"/>
    <n v="0"/>
    <n v="0"/>
    <s v="Core staff"/>
    <x v="2"/>
  </r>
  <r>
    <n v="5091389"/>
    <x v="1"/>
    <s v="Y"/>
    <s v="Y"/>
    <n v="0"/>
    <x v="21"/>
    <x v="2"/>
    <x v="1"/>
    <x v="1"/>
    <x v="0"/>
    <d v="1982-11-24T00:00:00"/>
    <n v="-15369"/>
    <x v="1846"/>
    <x v="1"/>
    <n v="-5618"/>
    <n v="15.381245722108146"/>
    <x v="1"/>
    <n v="1"/>
    <n v="0"/>
    <n v="0"/>
    <n v="0"/>
    <m/>
    <x v="1"/>
  </r>
  <r>
    <n v="5091401"/>
    <x v="0"/>
    <s v="N"/>
    <s v="N"/>
    <n v="0"/>
    <x v="1"/>
    <x v="2"/>
    <x v="1"/>
    <x v="1"/>
    <x v="2"/>
    <d v="1991-05-12T00:00:00"/>
    <n v="-12278"/>
    <x v="1847"/>
    <x v="3"/>
    <n v="-869"/>
    <n v="2.3791923340177958"/>
    <x v="1"/>
    <n v="1"/>
    <n v="0"/>
    <n v="0"/>
    <n v="0"/>
    <m/>
    <x v="1"/>
  </r>
  <r>
    <n v="5091406"/>
    <x v="0"/>
    <s v="N"/>
    <s v="Y"/>
    <n v="0"/>
    <x v="1"/>
    <x v="2"/>
    <x v="1"/>
    <x v="2"/>
    <x v="0"/>
    <d v="1976-11-05T00:00:00"/>
    <n v="-17579"/>
    <x v="1848"/>
    <x v="1"/>
    <n v="-1904"/>
    <n v="5.2128678986995212"/>
    <x v="1"/>
    <n v="1"/>
    <n v="1"/>
    <n v="0"/>
    <n v="0"/>
    <s v="Laborers"/>
    <x v="0"/>
  </r>
  <r>
    <n v="5091422"/>
    <x v="0"/>
    <s v="N"/>
    <s v="Y"/>
    <n v="0"/>
    <x v="8"/>
    <x v="2"/>
    <x v="0"/>
    <x v="1"/>
    <x v="0"/>
    <d v="1980-08-13T00:00:00"/>
    <n v="-16202"/>
    <x v="1849"/>
    <x v="1"/>
    <n v="-2939"/>
    <n v="8.046543463381246"/>
    <x v="1"/>
    <n v="1"/>
    <n v="1"/>
    <n v="1"/>
    <n v="0"/>
    <s v="Managers"/>
    <x v="1"/>
  </r>
  <r>
    <n v="5091425"/>
    <x v="0"/>
    <s v="N"/>
    <s v="Y"/>
    <n v="0"/>
    <x v="8"/>
    <x v="2"/>
    <x v="0"/>
    <x v="1"/>
    <x v="0"/>
    <d v="1980-08-13T00:00:00"/>
    <n v="-16202"/>
    <x v="1849"/>
    <x v="1"/>
    <n v="-2939"/>
    <n v="8.046543463381246"/>
    <x v="1"/>
    <n v="1"/>
    <n v="1"/>
    <n v="1"/>
    <n v="0"/>
    <s v="Managers"/>
    <x v="1"/>
  </r>
  <r>
    <n v="5091429"/>
    <x v="0"/>
    <s v="N"/>
    <s v="Y"/>
    <n v="0"/>
    <x v="8"/>
    <x v="2"/>
    <x v="0"/>
    <x v="1"/>
    <x v="0"/>
    <d v="1980-08-13T00:00:00"/>
    <n v="-16202"/>
    <x v="1849"/>
    <x v="1"/>
    <n v="-2939"/>
    <n v="8.046543463381246"/>
    <x v="1"/>
    <n v="1"/>
    <n v="1"/>
    <n v="1"/>
    <n v="0"/>
    <s v="Managers"/>
    <x v="1"/>
  </r>
  <r>
    <n v="5091434"/>
    <x v="0"/>
    <s v="N"/>
    <s v="Y"/>
    <n v="2"/>
    <x v="30"/>
    <x v="1"/>
    <x v="1"/>
    <x v="1"/>
    <x v="0"/>
    <d v="1979-03-09T00:00:00"/>
    <n v="-16725"/>
    <x v="1850"/>
    <x v="1"/>
    <n v="-5618"/>
    <n v="15.381245722108146"/>
    <x v="1"/>
    <n v="1"/>
    <n v="0"/>
    <n v="0"/>
    <n v="0"/>
    <s v="Low-skill Laborers"/>
    <x v="2"/>
  </r>
  <r>
    <n v="5091436"/>
    <x v="0"/>
    <s v="N"/>
    <s v="Y"/>
    <n v="2"/>
    <x v="30"/>
    <x v="1"/>
    <x v="1"/>
    <x v="1"/>
    <x v="0"/>
    <d v="1979-03-09T00:00:00"/>
    <n v="-16725"/>
    <x v="1850"/>
    <x v="1"/>
    <n v="-5618"/>
    <n v="15.381245722108146"/>
    <x v="1"/>
    <n v="1"/>
    <n v="0"/>
    <n v="0"/>
    <n v="0"/>
    <s v="Low-skill Laborers"/>
    <x v="2"/>
  </r>
  <r>
    <n v="5091443"/>
    <x v="0"/>
    <s v="N"/>
    <s v="Y"/>
    <n v="2"/>
    <x v="30"/>
    <x v="1"/>
    <x v="1"/>
    <x v="1"/>
    <x v="0"/>
    <d v="1979-03-09T00:00:00"/>
    <n v="-16725"/>
    <x v="1850"/>
    <x v="1"/>
    <n v="-5618"/>
    <n v="15.381245722108146"/>
    <x v="1"/>
    <n v="1"/>
    <n v="0"/>
    <n v="0"/>
    <n v="0"/>
    <s v="Low-skill Laborers"/>
    <x v="2"/>
  </r>
  <r>
    <n v="5091445"/>
    <x v="0"/>
    <s v="Y"/>
    <s v="Y"/>
    <n v="2"/>
    <x v="37"/>
    <x v="2"/>
    <x v="1"/>
    <x v="1"/>
    <x v="0"/>
    <d v="1986-06-12T00:00:00"/>
    <n v="-14073"/>
    <x v="1851"/>
    <x v="3"/>
    <n v="-838"/>
    <n v="2.2943189596167008"/>
    <x v="1"/>
    <n v="1"/>
    <n v="0"/>
    <n v="1"/>
    <n v="0"/>
    <s v="Sales staff"/>
    <x v="2"/>
  </r>
  <r>
    <n v="5091465"/>
    <x v="1"/>
    <s v="Y"/>
    <s v="Y"/>
    <n v="0"/>
    <x v="2"/>
    <x v="0"/>
    <x v="0"/>
    <x v="1"/>
    <x v="0"/>
    <d v="1960-12-19T00:00:00"/>
    <n v="-23379"/>
    <x v="1852"/>
    <x v="0"/>
    <n v="365243"/>
    <n v="0"/>
    <x v="0"/>
    <n v="1"/>
    <n v="0"/>
    <n v="0"/>
    <n v="0"/>
    <m/>
    <x v="1"/>
  </r>
  <r>
    <n v="5091468"/>
    <x v="0"/>
    <s v="N"/>
    <s v="Y"/>
    <n v="0"/>
    <x v="1"/>
    <x v="2"/>
    <x v="1"/>
    <x v="1"/>
    <x v="0"/>
    <d v="1978-06-26T00:00:00"/>
    <n v="-16981"/>
    <x v="1123"/>
    <x v="1"/>
    <n v="-1478"/>
    <n v="4.046543463381246"/>
    <x v="1"/>
    <n v="1"/>
    <n v="0"/>
    <n v="1"/>
    <n v="0"/>
    <m/>
    <x v="1"/>
  </r>
  <r>
    <n v="5091503"/>
    <x v="0"/>
    <s v="N"/>
    <s v="N"/>
    <n v="0"/>
    <x v="1"/>
    <x v="2"/>
    <x v="1"/>
    <x v="1"/>
    <x v="0"/>
    <d v="1973-08-15T00:00:00"/>
    <n v="-18757"/>
    <x v="1853"/>
    <x v="2"/>
    <n v="-2057"/>
    <n v="5.631759069130732"/>
    <x v="1"/>
    <n v="1"/>
    <n v="0"/>
    <n v="0"/>
    <n v="0"/>
    <s v="Core staff"/>
    <x v="1"/>
  </r>
  <r>
    <n v="5091508"/>
    <x v="1"/>
    <s v="Y"/>
    <s v="Y"/>
    <n v="0"/>
    <x v="5"/>
    <x v="0"/>
    <x v="1"/>
    <x v="1"/>
    <x v="0"/>
    <d v="1962-09-28T00:00:00"/>
    <n v="-22731"/>
    <x v="1854"/>
    <x v="0"/>
    <n v="365243"/>
    <n v="0"/>
    <x v="0"/>
    <n v="1"/>
    <n v="0"/>
    <n v="1"/>
    <n v="0"/>
    <m/>
    <x v="1"/>
  </r>
  <r>
    <n v="5091509"/>
    <x v="1"/>
    <s v="Y"/>
    <s v="Y"/>
    <n v="0"/>
    <x v="5"/>
    <x v="0"/>
    <x v="1"/>
    <x v="1"/>
    <x v="0"/>
    <d v="1962-09-28T00:00:00"/>
    <n v="-22731"/>
    <x v="1854"/>
    <x v="0"/>
    <n v="365243"/>
    <n v="0"/>
    <x v="0"/>
    <n v="1"/>
    <n v="0"/>
    <n v="1"/>
    <n v="0"/>
    <m/>
    <x v="1"/>
  </r>
  <r>
    <n v="5091511"/>
    <x v="1"/>
    <s v="Y"/>
    <s v="Y"/>
    <n v="0"/>
    <x v="5"/>
    <x v="0"/>
    <x v="1"/>
    <x v="1"/>
    <x v="0"/>
    <d v="1962-09-28T00:00:00"/>
    <n v="-22731"/>
    <x v="1854"/>
    <x v="0"/>
    <n v="365243"/>
    <n v="0"/>
    <x v="0"/>
    <n v="1"/>
    <n v="0"/>
    <n v="1"/>
    <n v="0"/>
    <m/>
    <x v="1"/>
  </r>
  <r>
    <n v="5091529"/>
    <x v="0"/>
    <s v="N"/>
    <s v="Y"/>
    <n v="1"/>
    <x v="86"/>
    <x v="2"/>
    <x v="0"/>
    <x v="1"/>
    <x v="0"/>
    <d v="1990-11-29T00:00:00"/>
    <n v="-12442"/>
    <x v="1855"/>
    <x v="3"/>
    <n v="-2330"/>
    <n v="6.3791923340177963"/>
    <x v="1"/>
    <n v="1"/>
    <n v="0"/>
    <n v="0"/>
    <n v="0"/>
    <s v="Core staff"/>
    <x v="3"/>
  </r>
  <r>
    <n v="5091552"/>
    <x v="0"/>
    <s v="N"/>
    <s v="Y"/>
    <n v="0"/>
    <x v="39"/>
    <x v="1"/>
    <x v="1"/>
    <x v="1"/>
    <x v="0"/>
    <d v="1991-04-11T00:00:00"/>
    <n v="-12309"/>
    <x v="1029"/>
    <x v="3"/>
    <n v="-2788"/>
    <n v="7.6331279945242985"/>
    <x v="1"/>
    <n v="1"/>
    <n v="0"/>
    <n v="1"/>
    <n v="0"/>
    <s v="Laborers"/>
    <x v="1"/>
  </r>
  <r>
    <n v="5091573"/>
    <x v="0"/>
    <s v="N"/>
    <s v="Y"/>
    <n v="0"/>
    <x v="1"/>
    <x v="0"/>
    <x v="1"/>
    <x v="2"/>
    <x v="0"/>
    <d v="1968-12-14T00:00:00"/>
    <n v="-20462"/>
    <x v="1856"/>
    <x v="2"/>
    <n v="365243"/>
    <n v="0"/>
    <x v="0"/>
    <n v="1"/>
    <n v="0"/>
    <n v="1"/>
    <n v="0"/>
    <m/>
    <x v="0"/>
  </r>
  <r>
    <n v="5091576"/>
    <x v="0"/>
    <s v="N"/>
    <s v="Y"/>
    <n v="0"/>
    <x v="1"/>
    <x v="0"/>
    <x v="1"/>
    <x v="2"/>
    <x v="0"/>
    <d v="1968-12-14T00:00:00"/>
    <n v="-20462"/>
    <x v="1856"/>
    <x v="2"/>
    <n v="365243"/>
    <n v="0"/>
    <x v="0"/>
    <n v="1"/>
    <n v="0"/>
    <n v="1"/>
    <n v="0"/>
    <m/>
    <x v="0"/>
  </r>
  <r>
    <n v="5091577"/>
    <x v="0"/>
    <s v="N"/>
    <s v="Y"/>
    <n v="0"/>
    <x v="1"/>
    <x v="0"/>
    <x v="1"/>
    <x v="2"/>
    <x v="0"/>
    <d v="1968-12-14T00:00:00"/>
    <n v="-20462"/>
    <x v="1856"/>
    <x v="2"/>
    <n v="365243"/>
    <n v="0"/>
    <x v="0"/>
    <n v="1"/>
    <n v="0"/>
    <n v="1"/>
    <n v="0"/>
    <m/>
    <x v="0"/>
  </r>
  <r>
    <n v="5091579"/>
    <x v="0"/>
    <s v="N"/>
    <s v="N"/>
    <n v="2"/>
    <x v="8"/>
    <x v="2"/>
    <x v="1"/>
    <x v="1"/>
    <x v="2"/>
    <d v="1991-06-15T00:00:00"/>
    <n v="-12244"/>
    <x v="1857"/>
    <x v="3"/>
    <n v="-2361"/>
    <n v="6.4640657084188913"/>
    <x v="1"/>
    <n v="1"/>
    <n v="0"/>
    <n v="0"/>
    <n v="0"/>
    <s v="Sales staff"/>
    <x v="2"/>
  </r>
  <r>
    <n v="5091607"/>
    <x v="1"/>
    <s v="N"/>
    <s v="N"/>
    <n v="0"/>
    <x v="30"/>
    <x v="1"/>
    <x v="0"/>
    <x v="2"/>
    <x v="2"/>
    <d v="1999-07-05T00:00:00"/>
    <n v="-9302"/>
    <x v="1858"/>
    <x v="4"/>
    <n v="-1722"/>
    <n v="4.7145790554414786"/>
    <x v="1"/>
    <n v="1"/>
    <n v="1"/>
    <n v="0"/>
    <n v="0"/>
    <s v="Drivers"/>
    <x v="0"/>
  </r>
  <r>
    <n v="5091610"/>
    <x v="1"/>
    <s v="Y"/>
    <s v="Y"/>
    <n v="2"/>
    <x v="8"/>
    <x v="1"/>
    <x v="0"/>
    <x v="1"/>
    <x v="0"/>
    <d v="1973-11-16T00:00:00"/>
    <n v="-18664"/>
    <x v="1859"/>
    <x v="2"/>
    <n v="-6560"/>
    <n v="17.960301163586585"/>
    <x v="1"/>
    <n v="1"/>
    <n v="1"/>
    <n v="0"/>
    <n v="0"/>
    <s v="Managers"/>
    <x v="2"/>
  </r>
  <r>
    <n v="5091611"/>
    <x v="1"/>
    <s v="Y"/>
    <s v="Y"/>
    <n v="0"/>
    <x v="16"/>
    <x v="2"/>
    <x v="1"/>
    <x v="1"/>
    <x v="0"/>
    <d v="1999-04-05T00:00:00"/>
    <n v="-9393"/>
    <x v="1860"/>
    <x v="4"/>
    <n v="-2757"/>
    <n v="7.5482546201232035"/>
    <x v="1"/>
    <n v="1"/>
    <n v="1"/>
    <n v="1"/>
    <n v="0"/>
    <s v="Laborers"/>
    <x v="1"/>
  </r>
  <r>
    <n v="5091613"/>
    <x v="1"/>
    <s v="Y"/>
    <s v="Y"/>
    <n v="0"/>
    <x v="16"/>
    <x v="2"/>
    <x v="1"/>
    <x v="1"/>
    <x v="0"/>
    <d v="1999-04-05T00:00:00"/>
    <n v="-9393"/>
    <x v="1860"/>
    <x v="4"/>
    <n v="-2757"/>
    <n v="7.5482546201232035"/>
    <x v="1"/>
    <n v="1"/>
    <n v="1"/>
    <n v="1"/>
    <n v="0"/>
    <s v="Laborers"/>
    <x v="1"/>
  </r>
  <r>
    <n v="5091620"/>
    <x v="0"/>
    <s v="Y"/>
    <s v="Y"/>
    <n v="0"/>
    <x v="1"/>
    <x v="1"/>
    <x v="0"/>
    <x v="1"/>
    <x v="0"/>
    <d v="1992-02-01T00:00:00"/>
    <n v="-12013"/>
    <x v="1861"/>
    <x v="3"/>
    <n v="-3973"/>
    <n v="10.877481177275838"/>
    <x v="1"/>
    <n v="1"/>
    <n v="1"/>
    <n v="0"/>
    <n v="0"/>
    <s v="Accountants"/>
    <x v="1"/>
  </r>
  <r>
    <n v="5091621"/>
    <x v="0"/>
    <s v="Y"/>
    <s v="Y"/>
    <n v="0"/>
    <x v="1"/>
    <x v="1"/>
    <x v="0"/>
    <x v="1"/>
    <x v="0"/>
    <d v="1992-02-01T00:00:00"/>
    <n v="-12013"/>
    <x v="1861"/>
    <x v="3"/>
    <n v="-3973"/>
    <n v="10.877481177275838"/>
    <x v="1"/>
    <n v="1"/>
    <n v="1"/>
    <n v="0"/>
    <n v="0"/>
    <s v="Accountants"/>
    <x v="1"/>
  </r>
  <r>
    <n v="5091624"/>
    <x v="0"/>
    <s v="N"/>
    <s v="Y"/>
    <n v="0"/>
    <x v="11"/>
    <x v="2"/>
    <x v="1"/>
    <x v="1"/>
    <x v="0"/>
    <d v="1971-10-11T00:00:00"/>
    <n v="-19431"/>
    <x v="1862"/>
    <x v="2"/>
    <n v="-6226"/>
    <n v="17.045859000684462"/>
    <x v="1"/>
    <n v="1"/>
    <n v="0"/>
    <n v="0"/>
    <n v="0"/>
    <s v="High skill tech staff"/>
    <x v="1"/>
  </r>
  <r>
    <n v="5091625"/>
    <x v="0"/>
    <s v="N"/>
    <s v="Y"/>
    <n v="0"/>
    <x v="11"/>
    <x v="2"/>
    <x v="1"/>
    <x v="1"/>
    <x v="0"/>
    <d v="1971-10-11T00:00:00"/>
    <n v="-19431"/>
    <x v="1862"/>
    <x v="2"/>
    <n v="-6226"/>
    <n v="17.045859000684462"/>
    <x v="1"/>
    <n v="1"/>
    <n v="0"/>
    <n v="0"/>
    <n v="0"/>
    <s v="High skill tech staff"/>
    <x v="1"/>
  </r>
  <r>
    <n v="5091629"/>
    <x v="0"/>
    <s v="N"/>
    <s v="Y"/>
    <n v="0"/>
    <x v="11"/>
    <x v="2"/>
    <x v="1"/>
    <x v="1"/>
    <x v="0"/>
    <d v="1971-10-11T00:00:00"/>
    <n v="-19431"/>
    <x v="1862"/>
    <x v="2"/>
    <n v="-6226"/>
    <n v="17.045859000684462"/>
    <x v="1"/>
    <n v="1"/>
    <n v="0"/>
    <n v="0"/>
    <n v="0"/>
    <s v="High skill tech staff"/>
    <x v="1"/>
  </r>
  <r>
    <n v="5091641"/>
    <x v="1"/>
    <s v="Y"/>
    <s v="Y"/>
    <n v="0"/>
    <x v="11"/>
    <x v="2"/>
    <x v="1"/>
    <x v="2"/>
    <x v="0"/>
    <d v="1975-06-10T00:00:00"/>
    <n v="-18093"/>
    <x v="1863"/>
    <x v="1"/>
    <n v="-3061"/>
    <n v="8.3805612594113619"/>
    <x v="1"/>
    <n v="1"/>
    <n v="0"/>
    <n v="0"/>
    <n v="0"/>
    <m/>
    <x v="0"/>
  </r>
  <r>
    <n v="5091657"/>
    <x v="0"/>
    <s v="N"/>
    <s v="Y"/>
    <n v="1"/>
    <x v="14"/>
    <x v="1"/>
    <x v="1"/>
    <x v="1"/>
    <x v="0"/>
    <d v="1978-02-21T00:00:00"/>
    <n v="-17106"/>
    <x v="1864"/>
    <x v="1"/>
    <n v="-2849"/>
    <n v="7.8001368925393564"/>
    <x v="1"/>
    <n v="1"/>
    <n v="0"/>
    <n v="0"/>
    <n v="0"/>
    <s v="Managers"/>
    <x v="3"/>
  </r>
  <r>
    <n v="5091663"/>
    <x v="0"/>
    <s v="N"/>
    <s v="Y"/>
    <n v="1"/>
    <x v="14"/>
    <x v="1"/>
    <x v="1"/>
    <x v="1"/>
    <x v="0"/>
    <d v="1978-02-21T00:00:00"/>
    <n v="-17106"/>
    <x v="1864"/>
    <x v="1"/>
    <n v="-2849"/>
    <n v="7.8001368925393564"/>
    <x v="1"/>
    <n v="1"/>
    <n v="0"/>
    <n v="0"/>
    <n v="0"/>
    <s v="Managers"/>
    <x v="3"/>
  </r>
  <r>
    <n v="5091667"/>
    <x v="0"/>
    <s v="N"/>
    <s v="Y"/>
    <n v="1"/>
    <x v="14"/>
    <x v="1"/>
    <x v="1"/>
    <x v="1"/>
    <x v="0"/>
    <d v="1978-02-21T00:00:00"/>
    <n v="-17106"/>
    <x v="1864"/>
    <x v="1"/>
    <n v="-2849"/>
    <n v="7.8001368925393564"/>
    <x v="1"/>
    <n v="1"/>
    <n v="0"/>
    <n v="0"/>
    <n v="0"/>
    <s v="Managers"/>
    <x v="3"/>
  </r>
  <r>
    <n v="5091682"/>
    <x v="0"/>
    <s v="N"/>
    <s v="Y"/>
    <n v="0"/>
    <x v="2"/>
    <x v="0"/>
    <x v="1"/>
    <x v="1"/>
    <x v="0"/>
    <d v="1961-12-07T00:00:00"/>
    <n v="-23026"/>
    <x v="1865"/>
    <x v="0"/>
    <n v="365243"/>
    <n v="0"/>
    <x v="0"/>
    <n v="1"/>
    <n v="0"/>
    <n v="0"/>
    <n v="0"/>
    <m/>
    <x v="1"/>
  </r>
  <r>
    <n v="5091687"/>
    <x v="0"/>
    <s v="N"/>
    <s v="Y"/>
    <n v="0"/>
    <x v="19"/>
    <x v="2"/>
    <x v="0"/>
    <x v="2"/>
    <x v="0"/>
    <d v="1983-01-29T00:00:00"/>
    <n v="-15303"/>
    <x v="1866"/>
    <x v="1"/>
    <n v="-108"/>
    <n v="0.29568788501026694"/>
    <x v="1"/>
    <n v="1"/>
    <n v="0"/>
    <n v="0"/>
    <n v="0"/>
    <m/>
    <x v="0"/>
  </r>
  <r>
    <n v="5091705"/>
    <x v="0"/>
    <s v="Y"/>
    <s v="Y"/>
    <n v="0"/>
    <x v="1"/>
    <x v="2"/>
    <x v="0"/>
    <x v="1"/>
    <x v="0"/>
    <d v="1991-05-16T00:00:00"/>
    <n v="-12274"/>
    <x v="1867"/>
    <x v="3"/>
    <n v="-3944"/>
    <n v="10.798083504449007"/>
    <x v="1"/>
    <n v="1"/>
    <n v="0"/>
    <n v="0"/>
    <n v="0"/>
    <s v="Managers"/>
    <x v="1"/>
  </r>
  <r>
    <n v="5091708"/>
    <x v="0"/>
    <s v="Y"/>
    <s v="Y"/>
    <n v="0"/>
    <x v="1"/>
    <x v="2"/>
    <x v="0"/>
    <x v="1"/>
    <x v="0"/>
    <d v="1991-05-16T00:00:00"/>
    <n v="-12274"/>
    <x v="1867"/>
    <x v="3"/>
    <n v="-3944"/>
    <n v="10.798083504449007"/>
    <x v="1"/>
    <n v="1"/>
    <n v="0"/>
    <n v="0"/>
    <n v="0"/>
    <s v="Managers"/>
    <x v="1"/>
  </r>
  <r>
    <n v="5091717"/>
    <x v="0"/>
    <s v="Y"/>
    <s v="Y"/>
    <n v="0"/>
    <x v="30"/>
    <x v="1"/>
    <x v="1"/>
    <x v="1"/>
    <x v="0"/>
    <d v="1986-04-30T00:00:00"/>
    <n v="-14116"/>
    <x v="1868"/>
    <x v="3"/>
    <n v="-2269"/>
    <n v="6.2121834360027375"/>
    <x v="1"/>
    <n v="1"/>
    <n v="0"/>
    <n v="0"/>
    <n v="0"/>
    <s v="Medicine staff"/>
    <x v="1"/>
  </r>
  <r>
    <n v="5091726"/>
    <x v="0"/>
    <s v="Y"/>
    <s v="Y"/>
    <n v="0"/>
    <x v="30"/>
    <x v="1"/>
    <x v="1"/>
    <x v="1"/>
    <x v="0"/>
    <d v="1986-04-30T00:00:00"/>
    <n v="-14116"/>
    <x v="1868"/>
    <x v="3"/>
    <n v="-2269"/>
    <n v="6.2121834360027375"/>
    <x v="1"/>
    <n v="1"/>
    <n v="0"/>
    <n v="0"/>
    <n v="0"/>
    <s v="Medicine staff"/>
    <x v="1"/>
  </r>
  <r>
    <n v="5091728"/>
    <x v="0"/>
    <s v="Y"/>
    <s v="Y"/>
    <n v="0"/>
    <x v="30"/>
    <x v="1"/>
    <x v="1"/>
    <x v="1"/>
    <x v="0"/>
    <d v="1986-04-30T00:00:00"/>
    <n v="-14116"/>
    <x v="1868"/>
    <x v="3"/>
    <n v="-2269"/>
    <n v="6.2121834360027375"/>
    <x v="1"/>
    <n v="1"/>
    <n v="0"/>
    <n v="0"/>
    <n v="0"/>
    <s v="Medicine staff"/>
    <x v="1"/>
  </r>
  <r>
    <n v="5091730"/>
    <x v="0"/>
    <s v="Y"/>
    <s v="Y"/>
    <n v="0"/>
    <x v="30"/>
    <x v="1"/>
    <x v="1"/>
    <x v="1"/>
    <x v="0"/>
    <d v="1986-04-30T00:00:00"/>
    <n v="-14116"/>
    <x v="1868"/>
    <x v="3"/>
    <n v="-2269"/>
    <n v="6.2121834360027375"/>
    <x v="1"/>
    <n v="1"/>
    <n v="0"/>
    <n v="0"/>
    <n v="0"/>
    <s v="Medicine staff"/>
    <x v="1"/>
  </r>
  <r>
    <n v="5091739"/>
    <x v="0"/>
    <s v="Y"/>
    <s v="Y"/>
    <n v="0"/>
    <x v="46"/>
    <x v="2"/>
    <x v="1"/>
    <x v="2"/>
    <x v="0"/>
    <d v="1984-09-07T00:00:00"/>
    <n v="-14716"/>
    <x v="1869"/>
    <x v="1"/>
    <n v="-2057"/>
    <n v="5.631759069130732"/>
    <x v="1"/>
    <n v="1"/>
    <n v="0"/>
    <n v="0"/>
    <n v="0"/>
    <s v="Sales staff"/>
    <x v="0"/>
  </r>
  <r>
    <n v="5091747"/>
    <x v="0"/>
    <s v="N"/>
    <s v="Y"/>
    <n v="0"/>
    <x v="8"/>
    <x v="1"/>
    <x v="0"/>
    <x v="2"/>
    <x v="0"/>
    <d v="1970-10-30T00:00:00"/>
    <n v="-19777"/>
    <x v="1870"/>
    <x v="2"/>
    <n v="-6835"/>
    <n v="18.713210130047912"/>
    <x v="1"/>
    <n v="1"/>
    <n v="1"/>
    <n v="1"/>
    <n v="0"/>
    <s v="Core staff"/>
    <x v="0"/>
  </r>
  <r>
    <n v="5091764"/>
    <x v="1"/>
    <s v="N"/>
    <s v="Y"/>
    <n v="0"/>
    <x v="39"/>
    <x v="2"/>
    <x v="1"/>
    <x v="1"/>
    <x v="0"/>
    <d v="1977-03-10T00:00:00"/>
    <n v="-17454"/>
    <x v="1871"/>
    <x v="1"/>
    <n v="-2361"/>
    <n v="6.4640657084188913"/>
    <x v="1"/>
    <n v="1"/>
    <n v="0"/>
    <n v="0"/>
    <n v="0"/>
    <s v="Laborers"/>
    <x v="1"/>
  </r>
  <r>
    <n v="5091775"/>
    <x v="0"/>
    <s v="N"/>
    <s v="Y"/>
    <n v="0"/>
    <x v="8"/>
    <x v="2"/>
    <x v="2"/>
    <x v="2"/>
    <x v="0"/>
    <d v="1971-06-26T00:00:00"/>
    <n v="-19538"/>
    <x v="1872"/>
    <x v="2"/>
    <n v="-1904"/>
    <n v="5.2128678986995212"/>
    <x v="1"/>
    <n v="1"/>
    <n v="0"/>
    <n v="0"/>
    <n v="0"/>
    <s v="Managers"/>
    <x v="0"/>
  </r>
  <r>
    <n v="5091777"/>
    <x v="0"/>
    <s v="N"/>
    <s v="Y"/>
    <n v="0"/>
    <x v="8"/>
    <x v="2"/>
    <x v="2"/>
    <x v="2"/>
    <x v="0"/>
    <d v="1971-06-26T00:00:00"/>
    <n v="-19538"/>
    <x v="1872"/>
    <x v="2"/>
    <n v="-1904"/>
    <n v="5.2128678986995212"/>
    <x v="1"/>
    <n v="1"/>
    <n v="0"/>
    <n v="0"/>
    <n v="0"/>
    <s v="Managers"/>
    <x v="0"/>
  </r>
  <r>
    <n v="5091807"/>
    <x v="0"/>
    <s v="N"/>
    <s v="Y"/>
    <n v="1"/>
    <x v="45"/>
    <x v="1"/>
    <x v="1"/>
    <x v="1"/>
    <x v="0"/>
    <d v="1981-04-21T00:00:00"/>
    <n v="-15951"/>
    <x v="1873"/>
    <x v="1"/>
    <n v="-504"/>
    <n v="1.3798767967145791"/>
    <x v="1"/>
    <n v="1"/>
    <n v="0"/>
    <n v="0"/>
    <n v="0"/>
    <s v="Sales staff"/>
    <x v="3"/>
  </r>
  <r>
    <n v="5091811"/>
    <x v="1"/>
    <s v="Y"/>
    <s v="N"/>
    <n v="0"/>
    <x v="2"/>
    <x v="3"/>
    <x v="2"/>
    <x v="2"/>
    <x v="2"/>
    <d v="2001-01-11T00:00:00"/>
    <n v="-8746"/>
    <x v="1874"/>
    <x v="4"/>
    <n v="-1873"/>
    <n v="5.1279945242984262"/>
    <x v="1"/>
    <n v="1"/>
    <n v="1"/>
    <n v="1"/>
    <n v="0"/>
    <s v="Laborers"/>
    <x v="0"/>
  </r>
  <r>
    <n v="5091836"/>
    <x v="0"/>
    <s v="Y"/>
    <s v="Y"/>
    <n v="3"/>
    <x v="58"/>
    <x v="2"/>
    <x v="1"/>
    <x v="1"/>
    <x v="0"/>
    <d v="1990-10-27T00:00:00"/>
    <n v="-12475"/>
    <x v="1875"/>
    <x v="3"/>
    <n v="-2057"/>
    <n v="5.631759069130732"/>
    <x v="1"/>
    <n v="1"/>
    <n v="0"/>
    <n v="0"/>
    <n v="0"/>
    <s v="Laborers"/>
    <x v="4"/>
  </r>
  <r>
    <n v="5091842"/>
    <x v="1"/>
    <s v="Y"/>
    <s v="N"/>
    <n v="1"/>
    <x v="11"/>
    <x v="2"/>
    <x v="1"/>
    <x v="1"/>
    <x v="2"/>
    <d v="1992-04-12T00:00:00"/>
    <n v="-11942"/>
    <x v="1876"/>
    <x v="3"/>
    <n v="-3638"/>
    <n v="9.9603011635865837"/>
    <x v="1"/>
    <n v="1"/>
    <n v="0"/>
    <n v="1"/>
    <n v="0"/>
    <s v="Sales staff"/>
    <x v="3"/>
  </r>
  <r>
    <n v="5091843"/>
    <x v="1"/>
    <s v="Y"/>
    <s v="N"/>
    <n v="1"/>
    <x v="11"/>
    <x v="2"/>
    <x v="1"/>
    <x v="1"/>
    <x v="2"/>
    <d v="1992-04-12T00:00:00"/>
    <n v="-11942"/>
    <x v="1876"/>
    <x v="3"/>
    <n v="-3638"/>
    <n v="9.9603011635865837"/>
    <x v="1"/>
    <n v="1"/>
    <n v="0"/>
    <n v="1"/>
    <n v="0"/>
    <s v="Sales staff"/>
    <x v="3"/>
  </r>
  <r>
    <n v="5091853"/>
    <x v="1"/>
    <s v="N"/>
    <s v="Y"/>
    <n v="1"/>
    <x v="5"/>
    <x v="1"/>
    <x v="1"/>
    <x v="1"/>
    <x v="0"/>
    <d v="1995-09-20T00:00:00"/>
    <n v="-10686"/>
    <x v="1877"/>
    <x v="4"/>
    <n v="-3457"/>
    <n v="9.464750171115675"/>
    <x v="1"/>
    <n v="1"/>
    <n v="0"/>
    <n v="0"/>
    <n v="0"/>
    <s v="Laborers"/>
    <x v="3"/>
  </r>
  <r>
    <n v="5091857"/>
    <x v="1"/>
    <s v="Y"/>
    <s v="Y"/>
    <n v="0"/>
    <x v="1"/>
    <x v="2"/>
    <x v="2"/>
    <x v="1"/>
    <x v="0"/>
    <d v="1990-06-14T00:00:00"/>
    <n v="-12610"/>
    <x v="1878"/>
    <x v="3"/>
    <n v="-5313"/>
    <n v="14.546201232032855"/>
    <x v="1"/>
    <n v="1"/>
    <n v="1"/>
    <n v="0"/>
    <n v="1"/>
    <s v="Laborers"/>
    <x v="1"/>
  </r>
  <r>
    <n v="5091862"/>
    <x v="0"/>
    <s v="N"/>
    <s v="Y"/>
    <n v="3"/>
    <x v="55"/>
    <x v="2"/>
    <x v="1"/>
    <x v="1"/>
    <x v="0"/>
    <d v="1995-09-24T00:00:00"/>
    <n v="-10682"/>
    <x v="179"/>
    <x v="4"/>
    <n v="-1692"/>
    <n v="4.6324435318275157"/>
    <x v="1"/>
    <n v="1"/>
    <n v="0"/>
    <n v="0"/>
    <n v="0"/>
    <s v="Medicine staff"/>
    <x v="4"/>
  </r>
  <r>
    <n v="5091866"/>
    <x v="0"/>
    <s v="N"/>
    <s v="Y"/>
    <n v="0"/>
    <x v="39"/>
    <x v="2"/>
    <x v="0"/>
    <x v="1"/>
    <x v="0"/>
    <d v="1970-08-16T00:00:00"/>
    <n v="-19852"/>
    <x v="1879"/>
    <x v="2"/>
    <n v="-200"/>
    <n v="0.54757015742642023"/>
    <x v="1"/>
    <n v="1"/>
    <n v="0"/>
    <n v="1"/>
    <n v="0"/>
    <s v="Sales staff"/>
    <x v="1"/>
  </r>
  <r>
    <n v="5091888"/>
    <x v="0"/>
    <s v="N"/>
    <s v="Y"/>
    <n v="1"/>
    <x v="14"/>
    <x v="2"/>
    <x v="1"/>
    <x v="1"/>
    <x v="0"/>
    <d v="1981-07-17T00:00:00"/>
    <n v="-15864"/>
    <x v="1880"/>
    <x v="1"/>
    <n v="-2696"/>
    <n v="7.3812457221081447"/>
    <x v="1"/>
    <n v="1"/>
    <n v="0"/>
    <n v="1"/>
    <n v="0"/>
    <s v="High skill tech staff"/>
    <x v="3"/>
  </r>
  <r>
    <n v="5091911"/>
    <x v="0"/>
    <s v="N"/>
    <s v="Y"/>
    <n v="0"/>
    <x v="16"/>
    <x v="1"/>
    <x v="0"/>
    <x v="1"/>
    <x v="0"/>
    <d v="1994-09-04T00:00:00"/>
    <n v="-11067"/>
    <x v="1775"/>
    <x v="3"/>
    <n v="-2208"/>
    <n v="6.0451745379876796"/>
    <x v="1"/>
    <n v="1"/>
    <n v="1"/>
    <n v="0"/>
    <n v="1"/>
    <s v="Managers"/>
    <x v="1"/>
  </r>
  <r>
    <n v="5091921"/>
    <x v="0"/>
    <s v="N"/>
    <s v="Y"/>
    <n v="2"/>
    <x v="88"/>
    <x v="2"/>
    <x v="1"/>
    <x v="1"/>
    <x v="0"/>
    <d v="1982-11-25T00:00:00"/>
    <n v="-15368"/>
    <x v="1881"/>
    <x v="1"/>
    <n v="-5496"/>
    <n v="15.047227926078028"/>
    <x v="1"/>
    <n v="1"/>
    <n v="1"/>
    <n v="1"/>
    <n v="0"/>
    <s v="Medicine staff"/>
    <x v="2"/>
  </r>
  <r>
    <n v="5091939"/>
    <x v="1"/>
    <s v="Y"/>
    <s v="Y"/>
    <n v="2"/>
    <x v="46"/>
    <x v="3"/>
    <x v="0"/>
    <x v="1"/>
    <x v="0"/>
    <d v="1996-04-26T00:00:00"/>
    <n v="-10467"/>
    <x v="1882"/>
    <x v="4"/>
    <n v="-200"/>
    <n v="0.54757015742642023"/>
    <x v="1"/>
    <n v="1"/>
    <n v="0"/>
    <n v="0"/>
    <n v="0"/>
    <s v="Core staff"/>
    <x v="2"/>
  </r>
  <r>
    <n v="5091960"/>
    <x v="0"/>
    <s v="N"/>
    <s v="Y"/>
    <n v="0"/>
    <x v="70"/>
    <x v="0"/>
    <x v="1"/>
    <x v="1"/>
    <x v="0"/>
    <d v="1972-01-25T00:00:00"/>
    <n v="-19325"/>
    <x v="1883"/>
    <x v="2"/>
    <n v="365243"/>
    <n v="0"/>
    <x v="0"/>
    <n v="1"/>
    <n v="0"/>
    <n v="1"/>
    <n v="0"/>
    <m/>
    <x v="1"/>
  </r>
  <r>
    <n v="5091965"/>
    <x v="1"/>
    <s v="Y"/>
    <s v="N"/>
    <n v="0"/>
    <x v="16"/>
    <x v="2"/>
    <x v="1"/>
    <x v="1"/>
    <x v="4"/>
    <d v="1973-06-24T00:00:00"/>
    <n v="-18809"/>
    <x v="1884"/>
    <x v="2"/>
    <n v="-1416"/>
    <n v="3.8767967145790556"/>
    <x v="1"/>
    <n v="1"/>
    <n v="1"/>
    <n v="0"/>
    <n v="0"/>
    <s v="Drivers"/>
    <x v="1"/>
  </r>
  <r>
    <n v="5091968"/>
    <x v="1"/>
    <s v="Y"/>
    <s v="Y"/>
    <n v="2"/>
    <x v="16"/>
    <x v="2"/>
    <x v="1"/>
    <x v="1"/>
    <x v="0"/>
    <d v="1985-11-25T00:00:00"/>
    <n v="-14272"/>
    <x v="1885"/>
    <x v="3"/>
    <n v="-596"/>
    <n v="1.6317590691307324"/>
    <x v="1"/>
    <n v="1"/>
    <n v="0"/>
    <n v="0"/>
    <n v="0"/>
    <s v="Drivers"/>
    <x v="2"/>
  </r>
  <r>
    <n v="5091970"/>
    <x v="1"/>
    <s v="Y"/>
    <s v="Y"/>
    <n v="2"/>
    <x v="16"/>
    <x v="2"/>
    <x v="1"/>
    <x v="1"/>
    <x v="0"/>
    <d v="1985-11-25T00:00:00"/>
    <n v="-14272"/>
    <x v="1885"/>
    <x v="3"/>
    <n v="-596"/>
    <n v="1.6317590691307324"/>
    <x v="1"/>
    <n v="1"/>
    <n v="0"/>
    <n v="0"/>
    <n v="0"/>
    <s v="Drivers"/>
    <x v="2"/>
  </r>
  <r>
    <n v="5091973"/>
    <x v="0"/>
    <s v="N"/>
    <s v="Y"/>
    <n v="0"/>
    <x v="70"/>
    <x v="1"/>
    <x v="1"/>
    <x v="1"/>
    <x v="0"/>
    <d v="1983-12-20T00:00:00"/>
    <n v="-14978"/>
    <x v="1886"/>
    <x v="1"/>
    <n v="-2330"/>
    <n v="6.3791923340177963"/>
    <x v="1"/>
    <n v="1"/>
    <n v="0"/>
    <n v="0"/>
    <n v="0"/>
    <s v="Cooking staff"/>
    <x v="1"/>
  </r>
  <r>
    <n v="5091981"/>
    <x v="1"/>
    <s v="N"/>
    <s v="Y"/>
    <n v="0"/>
    <x v="2"/>
    <x v="1"/>
    <x v="0"/>
    <x v="1"/>
    <x v="0"/>
    <d v="1965-11-01T00:00:00"/>
    <n v="-21601"/>
    <x v="1887"/>
    <x v="2"/>
    <n v="-808"/>
    <n v="2.2121834360027379"/>
    <x v="1"/>
    <n v="1"/>
    <n v="1"/>
    <n v="0"/>
    <n v="1"/>
    <s v="Managers"/>
    <x v="1"/>
  </r>
  <r>
    <n v="5091983"/>
    <x v="1"/>
    <s v="N"/>
    <s v="Y"/>
    <n v="0"/>
    <x v="2"/>
    <x v="1"/>
    <x v="0"/>
    <x v="1"/>
    <x v="0"/>
    <d v="1965-11-01T00:00:00"/>
    <n v="-21601"/>
    <x v="1887"/>
    <x v="2"/>
    <n v="-808"/>
    <n v="2.2121834360027379"/>
    <x v="1"/>
    <n v="1"/>
    <n v="1"/>
    <n v="0"/>
    <n v="1"/>
    <s v="Managers"/>
    <x v="1"/>
  </r>
  <r>
    <n v="5091985"/>
    <x v="1"/>
    <s v="N"/>
    <s v="Y"/>
    <n v="0"/>
    <x v="2"/>
    <x v="1"/>
    <x v="0"/>
    <x v="1"/>
    <x v="0"/>
    <d v="1965-11-01T00:00:00"/>
    <n v="-21601"/>
    <x v="1887"/>
    <x v="2"/>
    <n v="-808"/>
    <n v="2.2121834360027379"/>
    <x v="1"/>
    <n v="1"/>
    <n v="1"/>
    <n v="0"/>
    <n v="1"/>
    <s v="Managers"/>
    <x v="1"/>
  </r>
  <r>
    <n v="5091986"/>
    <x v="1"/>
    <s v="N"/>
    <s v="Y"/>
    <n v="0"/>
    <x v="2"/>
    <x v="1"/>
    <x v="0"/>
    <x v="1"/>
    <x v="0"/>
    <d v="1965-11-01T00:00:00"/>
    <n v="-21601"/>
    <x v="1887"/>
    <x v="2"/>
    <n v="-808"/>
    <n v="2.2121834360027379"/>
    <x v="1"/>
    <n v="1"/>
    <n v="1"/>
    <n v="0"/>
    <n v="1"/>
    <s v="Managers"/>
    <x v="1"/>
  </r>
  <r>
    <n v="5091990"/>
    <x v="0"/>
    <s v="N"/>
    <s v="N"/>
    <n v="0"/>
    <x v="5"/>
    <x v="2"/>
    <x v="0"/>
    <x v="1"/>
    <x v="0"/>
    <d v="1975-02-18T00:00:00"/>
    <n v="-18205"/>
    <x v="1888"/>
    <x v="1"/>
    <n v="-9178"/>
    <n v="25.127994524298426"/>
    <x v="1"/>
    <n v="1"/>
    <n v="0"/>
    <n v="0"/>
    <n v="0"/>
    <s v="Core staff"/>
    <x v="1"/>
  </r>
  <r>
    <n v="5091995"/>
    <x v="1"/>
    <s v="Y"/>
    <s v="Y"/>
    <n v="2"/>
    <x v="46"/>
    <x v="0"/>
    <x v="0"/>
    <x v="1"/>
    <x v="5"/>
    <d v="1971-03-27T00:00:00"/>
    <n v="-19629"/>
    <x v="1675"/>
    <x v="2"/>
    <n v="365243"/>
    <n v="0"/>
    <x v="0"/>
    <n v="1"/>
    <n v="0"/>
    <n v="0"/>
    <n v="0"/>
    <m/>
    <x v="2"/>
  </r>
  <r>
    <n v="5092006"/>
    <x v="0"/>
    <s v="N"/>
    <s v="N"/>
    <n v="0"/>
    <x v="2"/>
    <x v="1"/>
    <x v="0"/>
    <x v="1"/>
    <x v="2"/>
    <d v="1970-12-25T00:00:00"/>
    <n v="-19721"/>
    <x v="1889"/>
    <x v="2"/>
    <n v="-1539"/>
    <n v="4.213552361396304"/>
    <x v="1"/>
    <n v="1"/>
    <n v="0"/>
    <n v="0"/>
    <n v="0"/>
    <s v="Accountants"/>
    <x v="1"/>
  </r>
  <r>
    <n v="5092012"/>
    <x v="0"/>
    <s v="N"/>
    <s v="N"/>
    <n v="0"/>
    <x v="2"/>
    <x v="1"/>
    <x v="0"/>
    <x v="1"/>
    <x v="2"/>
    <d v="1970-12-25T00:00:00"/>
    <n v="-19721"/>
    <x v="1889"/>
    <x v="2"/>
    <n v="-1539"/>
    <n v="4.213552361396304"/>
    <x v="1"/>
    <n v="1"/>
    <n v="0"/>
    <n v="0"/>
    <n v="0"/>
    <s v="Accountants"/>
    <x v="1"/>
  </r>
  <r>
    <n v="5092043"/>
    <x v="0"/>
    <s v="N"/>
    <s v="Y"/>
    <n v="1"/>
    <x v="1"/>
    <x v="2"/>
    <x v="1"/>
    <x v="1"/>
    <x v="0"/>
    <d v="1993-03-22T00:00:00"/>
    <n v="-11598"/>
    <x v="1890"/>
    <x v="3"/>
    <n v="-2330"/>
    <n v="6.3791923340177963"/>
    <x v="1"/>
    <n v="1"/>
    <n v="0"/>
    <n v="0"/>
    <n v="0"/>
    <m/>
    <x v="3"/>
  </r>
  <r>
    <n v="5092051"/>
    <x v="0"/>
    <s v="N"/>
    <s v="Y"/>
    <n v="1"/>
    <x v="1"/>
    <x v="2"/>
    <x v="1"/>
    <x v="1"/>
    <x v="0"/>
    <d v="1993-03-22T00:00:00"/>
    <n v="-11598"/>
    <x v="1890"/>
    <x v="3"/>
    <n v="-2330"/>
    <n v="6.3791923340177963"/>
    <x v="1"/>
    <n v="1"/>
    <n v="0"/>
    <n v="0"/>
    <n v="0"/>
    <m/>
    <x v="3"/>
  </r>
  <r>
    <n v="5092052"/>
    <x v="0"/>
    <s v="N"/>
    <s v="N"/>
    <n v="0"/>
    <x v="55"/>
    <x v="0"/>
    <x v="0"/>
    <x v="2"/>
    <x v="0"/>
    <d v="1957-10-12T00:00:00"/>
    <n v="-24543"/>
    <x v="1891"/>
    <x v="0"/>
    <n v="365243"/>
    <n v="0"/>
    <x v="0"/>
    <n v="1"/>
    <n v="0"/>
    <n v="0"/>
    <n v="0"/>
    <m/>
    <x v="0"/>
  </r>
  <r>
    <n v="5092055"/>
    <x v="0"/>
    <s v="N"/>
    <s v="N"/>
    <n v="0"/>
    <x v="55"/>
    <x v="0"/>
    <x v="0"/>
    <x v="2"/>
    <x v="0"/>
    <d v="1957-10-12T00:00:00"/>
    <n v="-24543"/>
    <x v="1891"/>
    <x v="0"/>
    <n v="365243"/>
    <n v="0"/>
    <x v="0"/>
    <n v="1"/>
    <n v="0"/>
    <n v="0"/>
    <n v="0"/>
    <m/>
    <x v="0"/>
  </r>
  <r>
    <n v="5092070"/>
    <x v="0"/>
    <s v="N"/>
    <s v="N"/>
    <n v="1"/>
    <x v="2"/>
    <x v="1"/>
    <x v="1"/>
    <x v="2"/>
    <x v="0"/>
    <d v="1988-03-10T00:00:00"/>
    <n v="-13436"/>
    <x v="1892"/>
    <x v="3"/>
    <n v="-2452"/>
    <n v="6.7132101300479121"/>
    <x v="1"/>
    <n v="1"/>
    <n v="0"/>
    <n v="0"/>
    <n v="0"/>
    <s v="High skill tech staff"/>
    <x v="1"/>
  </r>
  <r>
    <n v="5092073"/>
    <x v="0"/>
    <s v="N"/>
    <s v="N"/>
    <n v="1"/>
    <x v="2"/>
    <x v="1"/>
    <x v="1"/>
    <x v="2"/>
    <x v="0"/>
    <d v="1988-03-10T00:00:00"/>
    <n v="-13436"/>
    <x v="1892"/>
    <x v="3"/>
    <n v="-2452"/>
    <n v="6.7132101300479121"/>
    <x v="1"/>
    <n v="1"/>
    <n v="0"/>
    <n v="0"/>
    <n v="0"/>
    <s v="High skill tech staff"/>
    <x v="1"/>
  </r>
  <r>
    <n v="5092075"/>
    <x v="1"/>
    <s v="N"/>
    <s v="N"/>
    <n v="0"/>
    <x v="11"/>
    <x v="2"/>
    <x v="1"/>
    <x v="1"/>
    <x v="4"/>
    <d v="1976-07-11T00:00:00"/>
    <n v="-17696"/>
    <x v="1893"/>
    <x v="1"/>
    <n v="-412"/>
    <n v="1.1279945242984257"/>
    <x v="1"/>
    <n v="1"/>
    <n v="0"/>
    <n v="0"/>
    <n v="0"/>
    <s v="Laborers"/>
    <x v="1"/>
  </r>
  <r>
    <n v="5092087"/>
    <x v="1"/>
    <s v="Y"/>
    <s v="Y"/>
    <n v="2"/>
    <x v="39"/>
    <x v="2"/>
    <x v="1"/>
    <x v="1"/>
    <x v="0"/>
    <d v="1977-07-22T00:00:00"/>
    <n v="-17320"/>
    <x v="1894"/>
    <x v="1"/>
    <n v="-535"/>
    <n v="1.4647501711156743"/>
    <x v="1"/>
    <n v="1"/>
    <n v="0"/>
    <n v="0"/>
    <n v="0"/>
    <s v="Laborers"/>
    <x v="2"/>
  </r>
  <r>
    <n v="5092090"/>
    <x v="0"/>
    <s v="N"/>
    <s v="Y"/>
    <n v="0"/>
    <x v="37"/>
    <x v="2"/>
    <x v="1"/>
    <x v="1"/>
    <x v="0"/>
    <d v="1984-10-03T00:00:00"/>
    <n v="-14690"/>
    <x v="1895"/>
    <x v="1"/>
    <n v="-504"/>
    <n v="1.3798767967145791"/>
    <x v="1"/>
    <n v="1"/>
    <n v="0"/>
    <n v="0"/>
    <n v="0"/>
    <s v="Cooking staff"/>
    <x v="1"/>
  </r>
  <r>
    <n v="5092106"/>
    <x v="0"/>
    <s v="N"/>
    <s v="Y"/>
    <n v="1"/>
    <x v="1"/>
    <x v="2"/>
    <x v="1"/>
    <x v="2"/>
    <x v="4"/>
    <d v="1979-01-26T00:00:00"/>
    <n v="-16767"/>
    <x v="1896"/>
    <x v="1"/>
    <n v="-9270"/>
    <n v="25.37987679671458"/>
    <x v="1"/>
    <n v="1"/>
    <n v="0"/>
    <n v="0"/>
    <n v="0"/>
    <s v="Medicine staff"/>
    <x v="1"/>
  </r>
  <r>
    <n v="5092108"/>
    <x v="0"/>
    <s v="N"/>
    <s v="Y"/>
    <n v="1"/>
    <x v="1"/>
    <x v="2"/>
    <x v="1"/>
    <x v="2"/>
    <x v="4"/>
    <d v="1979-01-26T00:00:00"/>
    <n v="-16767"/>
    <x v="1896"/>
    <x v="1"/>
    <n v="-9270"/>
    <n v="25.37987679671458"/>
    <x v="1"/>
    <n v="1"/>
    <n v="0"/>
    <n v="0"/>
    <n v="0"/>
    <s v="Medicine staff"/>
    <x v="1"/>
  </r>
  <r>
    <n v="5092109"/>
    <x v="0"/>
    <s v="N"/>
    <s v="Y"/>
    <n v="1"/>
    <x v="1"/>
    <x v="2"/>
    <x v="1"/>
    <x v="2"/>
    <x v="4"/>
    <d v="1979-01-26T00:00:00"/>
    <n v="-16767"/>
    <x v="1896"/>
    <x v="1"/>
    <n v="-9270"/>
    <n v="25.37987679671458"/>
    <x v="1"/>
    <n v="1"/>
    <n v="0"/>
    <n v="0"/>
    <n v="0"/>
    <s v="Medicine staff"/>
    <x v="1"/>
  </r>
  <r>
    <n v="5092115"/>
    <x v="1"/>
    <s v="Y"/>
    <s v="Y"/>
    <n v="1"/>
    <x v="16"/>
    <x v="1"/>
    <x v="1"/>
    <x v="1"/>
    <x v="0"/>
    <d v="1978-12-30T00:00:00"/>
    <n v="-16794"/>
    <x v="1897"/>
    <x v="1"/>
    <n v="-3092"/>
    <n v="8.4654346338124569"/>
    <x v="1"/>
    <n v="1"/>
    <n v="1"/>
    <n v="1"/>
    <n v="0"/>
    <s v="High skill tech staff"/>
    <x v="3"/>
  </r>
  <r>
    <n v="5092118"/>
    <x v="0"/>
    <s v="N"/>
    <s v="Y"/>
    <n v="0"/>
    <x v="76"/>
    <x v="0"/>
    <x v="1"/>
    <x v="1"/>
    <x v="0"/>
    <d v="1965-05-29T00:00:00"/>
    <n v="-21757"/>
    <x v="637"/>
    <x v="2"/>
    <n v="365243"/>
    <n v="0"/>
    <x v="0"/>
    <n v="1"/>
    <n v="0"/>
    <n v="0"/>
    <n v="0"/>
    <m/>
    <x v="1"/>
  </r>
  <r>
    <n v="5092151"/>
    <x v="0"/>
    <s v="N"/>
    <s v="Y"/>
    <n v="0"/>
    <x v="19"/>
    <x v="0"/>
    <x v="1"/>
    <x v="1"/>
    <x v="0"/>
    <d v="1973-04-15T00:00:00"/>
    <n v="-18879"/>
    <x v="1898"/>
    <x v="2"/>
    <n v="365243"/>
    <n v="0"/>
    <x v="0"/>
    <n v="1"/>
    <n v="0"/>
    <n v="0"/>
    <n v="0"/>
    <m/>
    <x v="1"/>
  </r>
  <r>
    <n v="5092159"/>
    <x v="0"/>
    <s v="Y"/>
    <s v="Y"/>
    <n v="0"/>
    <x v="129"/>
    <x v="0"/>
    <x v="0"/>
    <x v="1"/>
    <x v="0"/>
    <d v="1967-05-12T00:00:00"/>
    <n v="-21044"/>
    <x v="1899"/>
    <x v="2"/>
    <n v="365243"/>
    <n v="0"/>
    <x v="0"/>
    <n v="1"/>
    <n v="0"/>
    <n v="1"/>
    <n v="0"/>
    <m/>
    <x v="1"/>
  </r>
  <r>
    <n v="5092169"/>
    <x v="1"/>
    <s v="Y"/>
    <s v="Y"/>
    <n v="3"/>
    <x v="51"/>
    <x v="2"/>
    <x v="1"/>
    <x v="1"/>
    <x v="0"/>
    <d v="1990-05-01T00:00:00"/>
    <n v="-12654"/>
    <x v="1900"/>
    <x v="3"/>
    <n v="-200"/>
    <n v="0.54757015742642023"/>
    <x v="1"/>
    <n v="1"/>
    <n v="0"/>
    <n v="0"/>
    <n v="0"/>
    <s v="Laborers"/>
    <x v="4"/>
  </r>
  <r>
    <n v="5092173"/>
    <x v="1"/>
    <s v="Y"/>
    <s v="N"/>
    <n v="2"/>
    <x v="12"/>
    <x v="1"/>
    <x v="2"/>
    <x v="1"/>
    <x v="0"/>
    <d v="1994-08-22T00:00:00"/>
    <n v="-11080"/>
    <x v="1901"/>
    <x v="3"/>
    <n v="-657"/>
    <n v="1.7987679671457906"/>
    <x v="1"/>
    <n v="1"/>
    <n v="0"/>
    <n v="0"/>
    <n v="0"/>
    <s v="Managers"/>
    <x v="2"/>
  </r>
  <r>
    <n v="5092174"/>
    <x v="1"/>
    <s v="Y"/>
    <s v="N"/>
    <n v="2"/>
    <x v="12"/>
    <x v="1"/>
    <x v="2"/>
    <x v="1"/>
    <x v="0"/>
    <d v="1994-08-22T00:00:00"/>
    <n v="-11080"/>
    <x v="1901"/>
    <x v="3"/>
    <n v="-657"/>
    <n v="1.7987679671457906"/>
    <x v="1"/>
    <n v="1"/>
    <n v="0"/>
    <n v="0"/>
    <n v="0"/>
    <s v="Managers"/>
    <x v="2"/>
  </r>
  <r>
    <n v="5092176"/>
    <x v="1"/>
    <s v="Y"/>
    <s v="N"/>
    <n v="2"/>
    <x v="12"/>
    <x v="1"/>
    <x v="2"/>
    <x v="1"/>
    <x v="0"/>
    <d v="1994-08-22T00:00:00"/>
    <n v="-11080"/>
    <x v="1901"/>
    <x v="3"/>
    <n v="-657"/>
    <n v="1.7987679671457906"/>
    <x v="1"/>
    <n v="1"/>
    <n v="0"/>
    <n v="0"/>
    <n v="0"/>
    <s v="Managers"/>
    <x v="2"/>
  </r>
  <r>
    <n v="5092206"/>
    <x v="1"/>
    <s v="Y"/>
    <s v="Y"/>
    <n v="0"/>
    <x v="16"/>
    <x v="2"/>
    <x v="0"/>
    <x v="1"/>
    <x v="0"/>
    <d v="1992-02-21T00:00:00"/>
    <n v="-11993"/>
    <x v="1902"/>
    <x v="3"/>
    <n v="-4826"/>
    <n v="13.212867898699521"/>
    <x v="1"/>
    <n v="1"/>
    <n v="0"/>
    <n v="1"/>
    <n v="0"/>
    <s v="Laborers"/>
    <x v="1"/>
  </r>
  <r>
    <n v="5092212"/>
    <x v="0"/>
    <s v="Y"/>
    <s v="Y"/>
    <n v="0"/>
    <x v="23"/>
    <x v="2"/>
    <x v="1"/>
    <x v="1"/>
    <x v="0"/>
    <d v="1966-02-08T00:00:00"/>
    <n v="-21502"/>
    <x v="1765"/>
    <x v="2"/>
    <n v="-3122"/>
    <n v="8.5475701574264207"/>
    <x v="1"/>
    <n v="1"/>
    <n v="0"/>
    <n v="0"/>
    <n v="0"/>
    <s v="Accountants"/>
    <x v="1"/>
  </r>
  <r>
    <n v="5092215"/>
    <x v="0"/>
    <s v="Y"/>
    <s v="Y"/>
    <n v="0"/>
    <x v="23"/>
    <x v="2"/>
    <x v="1"/>
    <x v="1"/>
    <x v="0"/>
    <d v="1966-02-08T00:00:00"/>
    <n v="-21502"/>
    <x v="1765"/>
    <x v="2"/>
    <n v="-3122"/>
    <n v="8.5475701574264207"/>
    <x v="1"/>
    <n v="1"/>
    <n v="0"/>
    <n v="0"/>
    <n v="0"/>
    <s v="Accountants"/>
    <x v="1"/>
  </r>
  <r>
    <n v="5092216"/>
    <x v="0"/>
    <s v="Y"/>
    <s v="Y"/>
    <n v="0"/>
    <x v="23"/>
    <x v="2"/>
    <x v="1"/>
    <x v="1"/>
    <x v="0"/>
    <d v="1966-02-08T00:00:00"/>
    <n v="-21502"/>
    <x v="1765"/>
    <x v="2"/>
    <n v="-3122"/>
    <n v="8.5475701574264207"/>
    <x v="1"/>
    <n v="1"/>
    <n v="0"/>
    <n v="0"/>
    <n v="0"/>
    <s v="Accountants"/>
    <x v="1"/>
  </r>
  <r>
    <n v="5092225"/>
    <x v="1"/>
    <s v="Y"/>
    <s v="Y"/>
    <n v="0"/>
    <x v="8"/>
    <x v="2"/>
    <x v="1"/>
    <x v="1"/>
    <x v="0"/>
    <d v="1985-04-15T00:00:00"/>
    <n v="-14496"/>
    <x v="1903"/>
    <x v="3"/>
    <n v="-808"/>
    <n v="2.2121834360027379"/>
    <x v="1"/>
    <n v="1"/>
    <n v="0"/>
    <n v="1"/>
    <n v="0"/>
    <m/>
    <x v="1"/>
  </r>
  <r>
    <n v="5092230"/>
    <x v="1"/>
    <s v="Y"/>
    <s v="Y"/>
    <n v="0"/>
    <x v="8"/>
    <x v="2"/>
    <x v="1"/>
    <x v="1"/>
    <x v="0"/>
    <d v="1985-04-15T00:00:00"/>
    <n v="-14496"/>
    <x v="1903"/>
    <x v="3"/>
    <n v="-808"/>
    <n v="2.2121834360027379"/>
    <x v="1"/>
    <n v="1"/>
    <n v="0"/>
    <n v="1"/>
    <n v="0"/>
    <m/>
    <x v="1"/>
  </r>
  <r>
    <n v="5092245"/>
    <x v="0"/>
    <s v="N"/>
    <s v="N"/>
    <n v="0"/>
    <x v="55"/>
    <x v="0"/>
    <x v="1"/>
    <x v="1"/>
    <x v="0"/>
    <d v="1964-06-09T00:00:00"/>
    <n v="-22111"/>
    <x v="1486"/>
    <x v="0"/>
    <n v="365243"/>
    <n v="0"/>
    <x v="0"/>
    <n v="1"/>
    <n v="0"/>
    <n v="0"/>
    <n v="0"/>
    <m/>
    <x v="1"/>
  </r>
  <r>
    <n v="5092265"/>
    <x v="1"/>
    <s v="N"/>
    <s v="Y"/>
    <n v="0"/>
    <x v="2"/>
    <x v="2"/>
    <x v="1"/>
    <x v="3"/>
    <x v="0"/>
    <d v="1976-02-21T00:00:00"/>
    <n v="-17837"/>
    <x v="1904"/>
    <x v="1"/>
    <n v="-351"/>
    <n v="0.96098562628336759"/>
    <x v="1"/>
    <n v="1"/>
    <n v="0"/>
    <n v="0"/>
    <n v="0"/>
    <s v="Security staff"/>
    <x v="1"/>
  </r>
  <r>
    <n v="5092293"/>
    <x v="0"/>
    <s v="N"/>
    <s v="Y"/>
    <n v="0"/>
    <x v="39"/>
    <x v="0"/>
    <x v="0"/>
    <x v="1"/>
    <x v="0"/>
    <d v="1964-06-13T00:00:00"/>
    <n v="-22107"/>
    <x v="1905"/>
    <x v="0"/>
    <n v="365243"/>
    <n v="0"/>
    <x v="0"/>
    <n v="1"/>
    <n v="0"/>
    <n v="0"/>
    <n v="0"/>
    <m/>
    <x v="1"/>
  </r>
  <r>
    <n v="5092315"/>
    <x v="1"/>
    <s v="N"/>
    <s v="Y"/>
    <n v="0"/>
    <x v="18"/>
    <x v="2"/>
    <x v="1"/>
    <x v="1"/>
    <x v="0"/>
    <d v="1973-12-25T00:00:00"/>
    <n v="-18625"/>
    <x v="1906"/>
    <x v="2"/>
    <n v="-3153"/>
    <n v="8.6324435318275157"/>
    <x v="1"/>
    <n v="1"/>
    <n v="0"/>
    <n v="1"/>
    <n v="0"/>
    <s v="Laborers"/>
    <x v="1"/>
  </r>
  <r>
    <n v="5092335"/>
    <x v="0"/>
    <s v="N"/>
    <s v="Y"/>
    <n v="0"/>
    <x v="73"/>
    <x v="0"/>
    <x v="1"/>
    <x v="2"/>
    <x v="0"/>
    <d v="1956-09-04T00:00:00"/>
    <n v="-24946"/>
    <x v="1907"/>
    <x v="0"/>
    <n v="365243"/>
    <n v="0"/>
    <x v="0"/>
    <n v="1"/>
    <n v="0"/>
    <n v="1"/>
    <n v="0"/>
    <m/>
    <x v="0"/>
  </r>
  <r>
    <n v="5092340"/>
    <x v="0"/>
    <s v="N"/>
    <s v="Y"/>
    <n v="0"/>
    <x v="2"/>
    <x v="2"/>
    <x v="1"/>
    <x v="1"/>
    <x v="0"/>
    <d v="1972-10-22T00:00:00"/>
    <n v="-19054"/>
    <x v="1908"/>
    <x v="2"/>
    <n v="-1296"/>
    <n v="3.5482546201232035"/>
    <x v="1"/>
    <n v="1"/>
    <n v="0"/>
    <n v="0"/>
    <n v="0"/>
    <s v="Cleaning staff"/>
    <x v="1"/>
  </r>
  <r>
    <n v="5092350"/>
    <x v="0"/>
    <s v="N"/>
    <s v="Y"/>
    <n v="0"/>
    <x v="8"/>
    <x v="2"/>
    <x v="1"/>
    <x v="4"/>
    <x v="0"/>
    <d v="1972-04-07T00:00:00"/>
    <n v="-19252"/>
    <x v="1909"/>
    <x v="2"/>
    <n v="-2057"/>
    <n v="5.631759069130732"/>
    <x v="1"/>
    <n v="1"/>
    <n v="0"/>
    <n v="0"/>
    <n v="0"/>
    <s v="Sales staff"/>
    <x v="0"/>
  </r>
  <r>
    <n v="5092399"/>
    <x v="0"/>
    <s v="Y"/>
    <s v="Y"/>
    <n v="0"/>
    <x v="16"/>
    <x v="0"/>
    <x v="1"/>
    <x v="1"/>
    <x v="0"/>
    <d v="1964-12-31T00:00:00"/>
    <n v="-21906"/>
    <x v="1910"/>
    <x v="2"/>
    <n v="365243"/>
    <n v="0"/>
    <x v="0"/>
    <n v="1"/>
    <n v="0"/>
    <n v="0"/>
    <n v="0"/>
    <m/>
    <x v="1"/>
  </r>
  <r>
    <n v="5092406"/>
    <x v="1"/>
    <s v="N"/>
    <s v="Y"/>
    <n v="0"/>
    <x v="23"/>
    <x v="2"/>
    <x v="1"/>
    <x v="1"/>
    <x v="0"/>
    <d v="1965-09-14T00:00:00"/>
    <n v="-21649"/>
    <x v="1911"/>
    <x v="2"/>
    <n v="-3000"/>
    <n v="8.2135523613963031"/>
    <x v="1"/>
    <n v="1"/>
    <n v="1"/>
    <n v="1"/>
    <n v="0"/>
    <s v="Drivers"/>
    <x v="1"/>
  </r>
  <r>
    <n v="5092409"/>
    <x v="1"/>
    <s v="N"/>
    <s v="Y"/>
    <n v="0"/>
    <x v="23"/>
    <x v="2"/>
    <x v="1"/>
    <x v="1"/>
    <x v="0"/>
    <d v="1965-09-14T00:00:00"/>
    <n v="-21649"/>
    <x v="1911"/>
    <x v="2"/>
    <n v="-3000"/>
    <n v="8.2135523613963031"/>
    <x v="1"/>
    <n v="1"/>
    <n v="1"/>
    <n v="1"/>
    <n v="0"/>
    <s v="Drivers"/>
    <x v="1"/>
  </r>
  <r>
    <n v="5092438"/>
    <x v="0"/>
    <s v="Y"/>
    <s v="Y"/>
    <n v="0"/>
    <x v="2"/>
    <x v="0"/>
    <x v="1"/>
    <x v="1"/>
    <x v="0"/>
    <d v="1970-06-08T00:00:00"/>
    <n v="-19921"/>
    <x v="1912"/>
    <x v="2"/>
    <n v="365243"/>
    <n v="0"/>
    <x v="0"/>
    <n v="1"/>
    <n v="0"/>
    <n v="1"/>
    <n v="0"/>
    <m/>
    <x v="1"/>
  </r>
  <r>
    <n v="5092442"/>
    <x v="0"/>
    <s v="Y"/>
    <s v="Y"/>
    <n v="0"/>
    <x v="2"/>
    <x v="0"/>
    <x v="1"/>
    <x v="1"/>
    <x v="0"/>
    <d v="1970-06-08T00:00:00"/>
    <n v="-19921"/>
    <x v="1912"/>
    <x v="2"/>
    <n v="365243"/>
    <n v="0"/>
    <x v="0"/>
    <n v="1"/>
    <n v="0"/>
    <n v="1"/>
    <n v="0"/>
    <m/>
    <x v="1"/>
  </r>
  <r>
    <n v="5092464"/>
    <x v="0"/>
    <s v="N"/>
    <s v="Y"/>
    <n v="0"/>
    <x v="22"/>
    <x v="0"/>
    <x v="0"/>
    <x v="3"/>
    <x v="0"/>
    <d v="1966-03-21T00:00:00"/>
    <n v="-21461"/>
    <x v="1913"/>
    <x v="2"/>
    <n v="365243"/>
    <n v="0"/>
    <x v="0"/>
    <n v="1"/>
    <n v="0"/>
    <n v="0"/>
    <n v="0"/>
    <m/>
    <x v="1"/>
  </r>
  <r>
    <n v="5092465"/>
    <x v="0"/>
    <s v="N"/>
    <s v="N"/>
    <n v="0"/>
    <x v="37"/>
    <x v="2"/>
    <x v="1"/>
    <x v="1"/>
    <x v="0"/>
    <d v="1983-06-20T00:00:00"/>
    <n v="-15161"/>
    <x v="570"/>
    <x v="1"/>
    <n v="-2087"/>
    <n v="5.7138945927446958"/>
    <x v="1"/>
    <n v="1"/>
    <n v="1"/>
    <n v="0"/>
    <n v="0"/>
    <s v="Sales staff"/>
    <x v="1"/>
  </r>
  <r>
    <n v="5092481"/>
    <x v="0"/>
    <s v="N"/>
    <s v="N"/>
    <n v="1"/>
    <x v="36"/>
    <x v="3"/>
    <x v="1"/>
    <x v="1"/>
    <x v="4"/>
    <d v="1983-11-14T00:00:00"/>
    <n v="-15014"/>
    <x v="1914"/>
    <x v="1"/>
    <n v="-6866"/>
    <n v="18.798083504449007"/>
    <x v="1"/>
    <n v="1"/>
    <n v="0"/>
    <n v="0"/>
    <n v="0"/>
    <s v="Core staff"/>
    <x v="3"/>
  </r>
  <r>
    <n v="5093213"/>
    <x v="0"/>
    <s v="N"/>
    <s v="Y"/>
    <n v="0"/>
    <x v="30"/>
    <x v="0"/>
    <x v="1"/>
    <x v="1"/>
    <x v="0"/>
    <d v="1965-03-14T00:00:00"/>
    <n v="-21833"/>
    <x v="1915"/>
    <x v="2"/>
    <n v="365243"/>
    <n v="0"/>
    <x v="0"/>
    <n v="1"/>
    <n v="0"/>
    <n v="0"/>
    <n v="0"/>
    <m/>
    <x v="1"/>
  </r>
  <r>
    <n v="5093247"/>
    <x v="0"/>
    <s v="N"/>
    <s v="Y"/>
    <n v="0"/>
    <x v="39"/>
    <x v="1"/>
    <x v="0"/>
    <x v="1"/>
    <x v="0"/>
    <d v="1992-05-10T00:00:00"/>
    <n v="-11914"/>
    <x v="1916"/>
    <x v="3"/>
    <n v="-2980"/>
    <n v="8.1587953456536617"/>
    <x v="1"/>
    <n v="1"/>
    <n v="0"/>
    <n v="0"/>
    <n v="0"/>
    <s v="Sales staff"/>
    <x v="1"/>
  </r>
  <r>
    <n v="5093250"/>
    <x v="0"/>
    <s v="N"/>
    <s v="Y"/>
    <n v="0"/>
    <x v="39"/>
    <x v="1"/>
    <x v="0"/>
    <x v="1"/>
    <x v="0"/>
    <d v="1992-05-10T00:00:00"/>
    <n v="-11914"/>
    <x v="1916"/>
    <x v="3"/>
    <n v="-2980"/>
    <n v="8.1587953456536617"/>
    <x v="1"/>
    <n v="1"/>
    <n v="0"/>
    <n v="0"/>
    <n v="0"/>
    <s v="Sales staff"/>
    <x v="1"/>
  </r>
  <r>
    <n v="5093252"/>
    <x v="0"/>
    <s v="N"/>
    <s v="Y"/>
    <n v="0"/>
    <x v="39"/>
    <x v="1"/>
    <x v="0"/>
    <x v="1"/>
    <x v="0"/>
    <d v="1992-05-10T00:00:00"/>
    <n v="-11914"/>
    <x v="1916"/>
    <x v="3"/>
    <n v="-2980"/>
    <n v="8.1587953456536617"/>
    <x v="1"/>
    <n v="1"/>
    <n v="0"/>
    <n v="0"/>
    <n v="0"/>
    <s v="Sales staff"/>
    <x v="1"/>
  </r>
  <r>
    <n v="5093280"/>
    <x v="1"/>
    <s v="Y"/>
    <s v="N"/>
    <n v="0"/>
    <x v="8"/>
    <x v="1"/>
    <x v="1"/>
    <x v="0"/>
    <x v="0"/>
    <d v="1982-09-13T00:00:00"/>
    <n v="-15441"/>
    <x v="1784"/>
    <x v="1"/>
    <n v="-1976"/>
    <n v="5.4099931553730318"/>
    <x v="1"/>
    <n v="1"/>
    <n v="0"/>
    <n v="0"/>
    <n v="0"/>
    <s v="Drivers"/>
    <x v="0"/>
  </r>
  <r>
    <n v="5093287"/>
    <x v="1"/>
    <s v="Y"/>
    <s v="Y"/>
    <n v="1"/>
    <x v="19"/>
    <x v="2"/>
    <x v="1"/>
    <x v="1"/>
    <x v="2"/>
    <d v="1992-01-30T00:00:00"/>
    <n v="-12015"/>
    <x v="1917"/>
    <x v="3"/>
    <n v="-1550"/>
    <n v="4.2436687200547567"/>
    <x v="1"/>
    <n v="1"/>
    <n v="0"/>
    <n v="0"/>
    <n v="0"/>
    <s v="Laborers"/>
    <x v="3"/>
  </r>
  <r>
    <n v="5093289"/>
    <x v="1"/>
    <s v="Y"/>
    <s v="Y"/>
    <n v="1"/>
    <x v="19"/>
    <x v="2"/>
    <x v="1"/>
    <x v="1"/>
    <x v="2"/>
    <d v="1992-01-30T00:00:00"/>
    <n v="-12015"/>
    <x v="1917"/>
    <x v="3"/>
    <n v="-1550"/>
    <n v="4.2436687200547567"/>
    <x v="1"/>
    <n v="1"/>
    <n v="0"/>
    <n v="0"/>
    <n v="0"/>
    <s v="Laborers"/>
    <x v="3"/>
  </r>
  <r>
    <n v="5094874"/>
    <x v="0"/>
    <s v="N"/>
    <s v="Y"/>
    <n v="0"/>
    <x v="130"/>
    <x v="2"/>
    <x v="1"/>
    <x v="4"/>
    <x v="0"/>
    <d v="1974-03-16T00:00:00"/>
    <n v="-18544"/>
    <x v="1918"/>
    <x v="2"/>
    <n v="-2073"/>
    <n v="5.675564681724846"/>
    <x v="1"/>
    <n v="1"/>
    <n v="0"/>
    <n v="0"/>
    <n v="0"/>
    <m/>
    <x v="0"/>
  </r>
  <r>
    <n v="5094889"/>
    <x v="0"/>
    <s v="N"/>
    <s v="Y"/>
    <n v="0"/>
    <x v="30"/>
    <x v="2"/>
    <x v="0"/>
    <x v="2"/>
    <x v="0"/>
    <d v="1966-01-09T00:00:00"/>
    <n v="-21532"/>
    <x v="1919"/>
    <x v="2"/>
    <n v="-4630"/>
    <n v="12.676249144421629"/>
    <x v="1"/>
    <n v="1"/>
    <n v="0"/>
    <n v="0"/>
    <n v="0"/>
    <s v="Laborers"/>
    <x v="0"/>
  </r>
  <r>
    <n v="5094916"/>
    <x v="0"/>
    <s v="N"/>
    <s v="Y"/>
    <n v="2"/>
    <x v="30"/>
    <x v="2"/>
    <x v="1"/>
    <x v="2"/>
    <x v="0"/>
    <d v="1986-06-14T00:00:00"/>
    <n v="-14071"/>
    <x v="386"/>
    <x v="3"/>
    <n v="-1098"/>
    <n v="3.0061601642710474"/>
    <x v="1"/>
    <n v="1"/>
    <n v="0"/>
    <n v="0"/>
    <n v="0"/>
    <s v="Cooking staff"/>
    <x v="3"/>
  </r>
  <r>
    <n v="5094921"/>
    <x v="0"/>
    <s v="Y"/>
    <s v="Y"/>
    <n v="0"/>
    <x v="1"/>
    <x v="1"/>
    <x v="1"/>
    <x v="1"/>
    <x v="0"/>
    <d v="1991-08-23T00:00:00"/>
    <n v="-12175"/>
    <x v="1920"/>
    <x v="3"/>
    <n v="-1463"/>
    <n v="4.0054757015742641"/>
    <x v="1"/>
    <n v="1"/>
    <n v="1"/>
    <n v="0"/>
    <n v="0"/>
    <s v="Core staff"/>
    <x v="1"/>
  </r>
  <r>
    <n v="5094922"/>
    <x v="0"/>
    <s v="Y"/>
    <s v="Y"/>
    <n v="0"/>
    <x v="1"/>
    <x v="1"/>
    <x v="1"/>
    <x v="1"/>
    <x v="0"/>
    <d v="1991-08-23T00:00:00"/>
    <n v="-12175"/>
    <x v="1920"/>
    <x v="3"/>
    <n v="-1463"/>
    <n v="4.0054757015742641"/>
    <x v="1"/>
    <n v="1"/>
    <n v="1"/>
    <n v="0"/>
    <n v="0"/>
    <s v="Core staff"/>
    <x v="1"/>
  </r>
  <r>
    <n v="5094926"/>
    <x v="0"/>
    <s v="Y"/>
    <s v="Y"/>
    <n v="0"/>
    <x v="1"/>
    <x v="1"/>
    <x v="1"/>
    <x v="1"/>
    <x v="0"/>
    <d v="1991-08-23T00:00:00"/>
    <n v="-12175"/>
    <x v="1920"/>
    <x v="3"/>
    <n v="-1463"/>
    <n v="4.0054757015742641"/>
    <x v="1"/>
    <n v="1"/>
    <n v="1"/>
    <n v="0"/>
    <n v="0"/>
    <s v="Core staff"/>
    <x v="1"/>
  </r>
  <r>
    <n v="5094943"/>
    <x v="0"/>
    <s v="Y"/>
    <s v="N"/>
    <n v="0"/>
    <x v="45"/>
    <x v="2"/>
    <x v="1"/>
    <x v="2"/>
    <x v="1"/>
    <d v="2000-05-14T00:00:00"/>
    <n v="-8988"/>
    <x v="1921"/>
    <x v="4"/>
    <n v="-977"/>
    <n v="2.6748802190280632"/>
    <x v="1"/>
    <n v="1"/>
    <n v="1"/>
    <n v="0"/>
    <n v="0"/>
    <s v="Sales staff"/>
    <x v="0"/>
  </r>
  <r>
    <n v="5094966"/>
    <x v="0"/>
    <s v="N"/>
    <s v="Y"/>
    <n v="2"/>
    <x v="130"/>
    <x v="1"/>
    <x v="0"/>
    <x v="1"/>
    <x v="0"/>
    <d v="1995-09-19T00:00:00"/>
    <n v="-10687"/>
    <x v="1922"/>
    <x v="4"/>
    <n v="-1981"/>
    <n v="5.4236824093086931"/>
    <x v="1"/>
    <n v="1"/>
    <n v="1"/>
    <n v="1"/>
    <n v="0"/>
    <s v="Core staff"/>
    <x v="2"/>
  </r>
  <r>
    <n v="5095008"/>
    <x v="1"/>
    <s v="N"/>
    <s v="Y"/>
    <n v="2"/>
    <x v="16"/>
    <x v="2"/>
    <x v="1"/>
    <x v="1"/>
    <x v="0"/>
    <d v="1995-11-05T00:00:00"/>
    <n v="-10640"/>
    <x v="1923"/>
    <x v="4"/>
    <n v="-1494"/>
    <n v="4.0903490759753591"/>
    <x v="1"/>
    <n v="1"/>
    <n v="1"/>
    <n v="1"/>
    <n v="0"/>
    <s v="Laborers"/>
    <x v="2"/>
  </r>
  <r>
    <n v="5095019"/>
    <x v="0"/>
    <s v="N"/>
    <s v="Y"/>
    <n v="0"/>
    <x v="8"/>
    <x v="1"/>
    <x v="1"/>
    <x v="3"/>
    <x v="0"/>
    <d v="1989-04-04T00:00:00"/>
    <n v="-13046"/>
    <x v="1924"/>
    <x v="3"/>
    <n v="-671"/>
    <n v="1.83709787816564"/>
    <x v="1"/>
    <n v="1"/>
    <n v="0"/>
    <n v="0"/>
    <n v="0"/>
    <m/>
    <x v="1"/>
  </r>
  <r>
    <n v="5095020"/>
    <x v="0"/>
    <s v="N"/>
    <s v="Y"/>
    <n v="0"/>
    <x v="8"/>
    <x v="1"/>
    <x v="1"/>
    <x v="3"/>
    <x v="0"/>
    <d v="1989-04-04T00:00:00"/>
    <n v="-13046"/>
    <x v="1924"/>
    <x v="3"/>
    <n v="-671"/>
    <n v="1.83709787816564"/>
    <x v="1"/>
    <n v="1"/>
    <n v="0"/>
    <n v="0"/>
    <n v="0"/>
    <m/>
    <x v="1"/>
  </r>
  <r>
    <n v="5095023"/>
    <x v="0"/>
    <s v="N"/>
    <s v="Y"/>
    <n v="0"/>
    <x v="8"/>
    <x v="1"/>
    <x v="1"/>
    <x v="3"/>
    <x v="0"/>
    <d v="1989-04-04T00:00:00"/>
    <n v="-13046"/>
    <x v="1924"/>
    <x v="3"/>
    <n v="-671"/>
    <n v="1.83709787816564"/>
    <x v="1"/>
    <n v="1"/>
    <n v="0"/>
    <n v="0"/>
    <n v="0"/>
    <m/>
    <x v="1"/>
  </r>
  <r>
    <n v="5095029"/>
    <x v="0"/>
    <s v="N"/>
    <s v="Y"/>
    <n v="0"/>
    <x v="55"/>
    <x v="0"/>
    <x v="1"/>
    <x v="4"/>
    <x v="0"/>
    <d v="1962-04-30T00:00:00"/>
    <n v="-22882"/>
    <x v="1925"/>
    <x v="0"/>
    <n v="365243"/>
    <n v="0"/>
    <x v="0"/>
    <n v="1"/>
    <n v="0"/>
    <n v="0"/>
    <n v="0"/>
    <m/>
    <x v="0"/>
  </r>
  <r>
    <n v="5095030"/>
    <x v="1"/>
    <s v="Y"/>
    <s v="Y"/>
    <n v="0"/>
    <x v="11"/>
    <x v="1"/>
    <x v="0"/>
    <x v="1"/>
    <x v="0"/>
    <d v="1982-10-18T00:00:00"/>
    <n v="-15406"/>
    <x v="1926"/>
    <x v="1"/>
    <n v="-1463"/>
    <n v="4.0054757015742641"/>
    <x v="1"/>
    <n v="1"/>
    <n v="0"/>
    <n v="0"/>
    <n v="0"/>
    <s v="Drivers"/>
    <x v="1"/>
  </r>
  <r>
    <n v="5095035"/>
    <x v="1"/>
    <s v="Y"/>
    <s v="Y"/>
    <n v="0"/>
    <x v="5"/>
    <x v="2"/>
    <x v="1"/>
    <x v="1"/>
    <x v="0"/>
    <d v="1996-10-05T00:00:00"/>
    <n v="-10305"/>
    <x v="1927"/>
    <x v="4"/>
    <n v="-155"/>
    <n v="0.42436687200547568"/>
    <x v="1"/>
    <n v="1"/>
    <n v="0"/>
    <n v="0"/>
    <n v="0"/>
    <s v="Laborers"/>
    <x v="1"/>
  </r>
  <r>
    <n v="5095043"/>
    <x v="1"/>
    <s v="Y"/>
    <s v="Y"/>
    <n v="0"/>
    <x v="5"/>
    <x v="2"/>
    <x v="1"/>
    <x v="1"/>
    <x v="0"/>
    <d v="1996-10-05T00:00:00"/>
    <n v="-10305"/>
    <x v="1927"/>
    <x v="4"/>
    <n v="-155"/>
    <n v="0.42436687200547568"/>
    <x v="1"/>
    <n v="1"/>
    <n v="0"/>
    <n v="0"/>
    <n v="0"/>
    <s v="Laborers"/>
    <x v="1"/>
  </r>
  <r>
    <n v="5095056"/>
    <x v="0"/>
    <s v="Y"/>
    <s v="Y"/>
    <n v="0"/>
    <x v="5"/>
    <x v="0"/>
    <x v="1"/>
    <x v="1"/>
    <x v="0"/>
    <d v="1962-11-14T00:00:00"/>
    <n v="-22684"/>
    <x v="1928"/>
    <x v="0"/>
    <n v="365243"/>
    <n v="0"/>
    <x v="0"/>
    <n v="1"/>
    <n v="0"/>
    <n v="0"/>
    <n v="0"/>
    <m/>
    <x v="1"/>
  </r>
  <r>
    <n v="5095092"/>
    <x v="0"/>
    <s v="N"/>
    <s v="Y"/>
    <n v="2"/>
    <x v="11"/>
    <x v="2"/>
    <x v="0"/>
    <x v="1"/>
    <x v="0"/>
    <d v="1987-03-15T00:00:00"/>
    <n v="-13797"/>
    <x v="1443"/>
    <x v="3"/>
    <n v="-3259"/>
    <n v="8.9226557152635184"/>
    <x v="1"/>
    <n v="1"/>
    <n v="0"/>
    <n v="1"/>
    <n v="0"/>
    <s v="High skill tech staff"/>
    <x v="2"/>
  </r>
  <r>
    <n v="5095103"/>
    <x v="0"/>
    <s v="N"/>
    <s v="Y"/>
    <n v="2"/>
    <x v="11"/>
    <x v="2"/>
    <x v="0"/>
    <x v="1"/>
    <x v="0"/>
    <d v="1987-03-15T00:00:00"/>
    <n v="-13797"/>
    <x v="1443"/>
    <x v="3"/>
    <n v="-3259"/>
    <n v="8.9226557152635184"/>
    <x v="1"/>
    <n v="1"/>
    <n v="0"/>
    <n v="1"/>
    <n v="0"/>
    <s v="High skill tech staff"/>
    <x v="2"/>
  </r>
  <r>
    <n v="5095104"/>
    <x v="0"/>
    <s v="N"/>
    <s v="Y"/>
    <n v="2"/>
    <x v="11"/>
    <x v="2"/>
    <x v="0"/>
    <x v="1"/>
    <x v="0"/>
    <d v="1987-03-15T00:00:00"/>
    <n v="-13797"/>
    <x v="1443"/>
    <x v="3"/>
    <n v="-3259"/>
    <n v="8.9226557152635184"/>
    <x v="1"/>
    <n v="1"/>
    <n v="0"/>
    <n v="1"/>
    <n v="0"/>
    <s v="High skill tech staff"/>
    <x v="2"/>
  </r>
  <r>
    <n v="5095113"/>
    <x v="1"/>
    <s v="N"/>
    <s v="Y"/>
    <n v="0"/>
    <x v="16"/>
    <x v="1"/>
    <x v="2"/>
    <x v="1"/>
    <x v="0"/>
    <d v="1970-09-28T00:00:00"/>
    <n v="-19809"/>
    <x v="1929"/>
    <x v="2"/>
    <n v="-1098"/>
    <n v="3.0061601642710474"/>
    <x v="1"/>
    <n v="1"/>
    <n v="1"/>
    <n v="0"/>
    <n v="0"/>
    <s v="Core staff"/>
    <x v="1"/>
  </r>
  <r>
    <n v="5095130"/>
    <x v="0"/>
    <s v="N"/>
    <s v="Y"/>
    <n v="0"/>
    <x v="1"/>
    <x v="0"/>
    <x v="0"/>
    <x v="1"/>
    <x v="0"/>
    <d v="1966-01-18T00:00:00"/>
    <n v="-21523"/>
    <x v="1930"/>
    <x v="2"/>
    <n v="365243"/>
    <n v="0"/>
    <x v="0"/>
    <n v="1"/>
    <n v="0"/>
    <n v="1"/>
    <n v="0"/>
    <m/>
    <x v="1"/>
  </r>
  <r>
    <n v="5095134"/>
    <x v="0"/>
    <s v="N"/>
    <s v="Y"/>
    <n v="0"/>
    <x v="1"/>
    <x v="0"/>
    <x v="0"/>
    <x v="1"/>
    <x v="0"/>
    <d v="1966-01-18T00:00:00"/>
    <n v="-21523"/>
    <x v="1930"/>
    <x v="2"/>
    <n v="365243"/>
    <n v="0"/>
    <x v="0"/>
    <n v="1"/>
    <n v="0"/>
    <n v="1"/>
    <n v="0"/>
    <m/>
    <x v="1"/>
  </r>
  <r>
    <n v="5095145"/>
    <x v="0"/>
    <s v="N"/>
    <s v="Y"/>
    <n v="2"/>
    <x v="5"/>
    <x v="2"/>
    <x v="1"/>
    <x v="2"/>
    <x v="0"/>
    <d v="1986-02-08T00:00:00"/>
    <n v="-14197"/>
    <x v="1089"/>
    <x v="3"/>
    <n v="-3350"/>
    <n v="9.1718001368925393"/>
    <x v="1"/>
    <n v="1"/>
    <n v="1"/>
    <n v="1"/>
    <n v="0"/>
    <s v="High skill tech staff"/>
    <x v="3"/>
  </r>
  <r>
    <n v="5095153"/>
    <x v="0"/>
    <s v="N"/>
    <s v="Y"/>
    <n v="1"/>
    <x v="12"/>
    <x v="1"/>
    <x v="0"/>
    <x v="2"/>
    <x v="0"/>
    <d v="1987-07-07T00:00:00"/>
    <n v="-13683"/>
    <x v="1931"/>
    <x v="3"/>
    <n v="-2193"/>
    <n v="6.0041067761806985"/>
    <x v="1"/>
    <n v="1"/>
    <n v="0"/>
    <n v="0"/>
    <n v="0"/>
    <m/>
    <x v="1"/>
  </r>
  <r>
    <n v="5095165"/>
    <x v="1"/>
    <s v="Y"/>
    <s v="Y"/>
    <n v="0"/>
    <x v="26"/>
    <x v="1"/>
    <x v="0"/>
    <x v="1"/>
    <x v="0"/>
    <d v="1987-03-16T00:00:00"/>
    <n v="-13796"/>
    <x v="1932"/>
    <x v="3"/>
    <n v="-2682"/>
    <n v="7.3429158110882957"/>
    <x v="1"/>
    <n v="1"/>
    <n v="0"/>
    <n v="0"/>
    <n v="0"/>
    <s v="Drivers"/>
    <x v="1"/>
  </r>
  <r>
    <n v="5095186"/>
    <x v="1"/>
    <s v="Y"/>
    <s v="Y"/>
    <n v="1"/>
    <x v="67"/>
    <x v="1"/>
    <x v="1"/>
    <x v="1"/>
    <x v="0"/>
    <d v="1979-10-23T00:00:00"/>
    <n v="-16497"/>
    <x v="1392"/>
    <x v="1"/>
    <n v="-1190"/>
    <n v="3.2580424366872007"/>
    <x v="1"/>
    <n v="1"/>
    <n v="0"/>
    <n v="1"/>
    <n v="0"/>
    <s v="Managers"/>
    <x v="3"/>
  </r>
  <r>
    <n v="5095195"/>
    <x v="0"/>
    <s v="N"/>
    <s v="Y"/>
    <n v="0"/>
    <x v="2"/>
    <x v="2"/>
    <x v="1"/>
    <x v="0"/>
    <x v="0"/>
    <d v="1981-09-02T00:00:00"/>
    <n v="-15817"/>
    <x v="1933"/>
    <x v="1"/>
    <n v="-2407"/>
    <n v="6.5900068446269682"/>
    <x v="1"/>
    <n v="1"/>
    <n v="0"/>
    <n v="1"/>
    <n v="0"/>
    <s v="Medicine staff"/>
    <x v="0"/>
  </r>
  <r>
    <n v="5095198"/>
    <x v="0"/>
    <s v="N"/>
    <s v="Y"/>
    <n v="0"/>
    <x v="2"/>
    <x v="2"/>
    <x v="1"/>
    <x v="0"/>
    <x v="0"/>
    <d v="1981-09-02T00:00:00"/>
    <n v="-15817"/>
    <x v="1933"/>
    <x v="1"/>
    <n v="-2407"/>
    <n v="6.5900068446269682"/>
    <x v="1"/>
    <n v="1"/>
    <n v="0"/>
    <n v="1"/>
    <n v="0"/>
    <s v="Medicine staff"/>
    <x v="0"/>
  </r>
  <r>
    <n v="5095210"/>
    <x v="0"/>
    <s v="N"/>
    <s v="Y"/>
    <n v="0"/>
    <x v="1"/>
    <x v="2"/>
    <x v="1"/>
    <x v="4"/>
    <x v="0"/>
    <d v="1970-12-16T00:00:00"/>
    <n v="-19730"/>
    <x v="1813"/>
    <x v="2"/>
    <n v="-4934"/>
    <n v="13.508555783709788"/>
    <x v="1"/>
    <n v="1"/>
    <n v="0"/>
    <n v="0"/>
    <n v="0"/>
    <s v="Sales staff"/>
    <x v="0"/>
  </r>
  <r>
    <n v="5095220"/>
    <x v="1"/>
    <s v="Y"/>
    <s v="Y"/>
    <n v="2"/>
    <x v="16"/>
    <x v="2"/>
    <x v="1"/>
    <x v="1"/>
    <x v="0"/>
    <d v="1981-01-30T00:00:00"/>
    <n v="-16032"/>
    <x v="1501"/>
    <x v="1"/>
    <n v="-1221"/>
    <n v="3.3429158110882957"/>
    <x v="1"/>
    <n v="1"/>
    <n v="0"/>
    <n v="0"/>
    <n v="0"/>
    <s v="Drivers"/>
    <x v="2"/>
  </r>
  <r>
    <n v="5095221"/>
    <x v="1"/>
    <s v="Y"/>
    <s v="Y"/>
    <n v="2"/>
    <x v="16"/>
    <x v="2"/>
    <x v="1"/>
    <x v="1"/>
    <x v="0"/>
    <d v="1981-01-30T00:00:00"/>
    <n v="-16032"/>
    <x v="1501"/>
    <x v="1"/>
    <n v="-1221"/>
    <n v="3.3429158110882957"/>
    <x v="1"/>
    <n v="1"/>
    <n v="0"/>
    <n v="0"/>
    <n v="0"/>
    <s v="Drivers"/>
    <x v="2"/>
  </r>
  <r>
    <n v="5095225"/>
    <x v="1"/>
    <s v="Y"/>
    <s v="Y"/>
    <n v="2"/>
    <x v="16"/>
    <x v="2"/>
    <x v="1"/>
    <x v="1"/>
    <x v="0"/>
    <d v="1981-01-30T00:00:00"/>
    <n v="-16032"/>
    <x v="1501"/>
    <x v="1"/>
    <n v="-1221"/>
    <n v="3.3429158110882957"/>
    <x v="1"/>
    <n v="1"/>
    <n v="0"/>
    <n v="0"/>
    <n v="0"/>
    <s v="Drivers"/>
    <x v="2"/>
  </r>
  <r>
    <n v="5095238"/>
    <x v="0"/>
    <s v="Y"/>
    <s v="Y"/>
    <n v="0"/>
    <x v="1"/>
    <x v="2"/>
    <x v="0"/>
    <x v="1"/>
    <x v="0"/>
    <d v="1982-08-17T00:00:00"/>
    <n v="-15468"/>
    <x v="1934"/>
    <x v="1"/>
    <n v="-4834"/>
    <n v="13.234770704996578"/>
    <x v="1"/>
    <n v="1"/>
    <n v="0"/>
    <n v="0"/>
    <n v="1"/>
    <m/>
    <x v="1"/>
  </r>
  <r>
    <n v="5095244"/>
    <x v="0"/>
    <s v="N"/>
    <s v="N"/>
    <n v="2"/>
    <x v="2"/>
    <x v="2"/>
    <x v="1"/>
    <x v="0"/>
    <x v="0"/>
    <d v="1985-10-21T00:00:00"/>
    <n v="-14307"/>
    <x v="1935"/>
    <x v="3"/>
    <n v="-188"/>
    <n v="0.51471594798083509"/>
    <x v="1"/>
    <n v="1"/>
    <n v="0"/>
    <n v="0"/>
    <n v="0"/>
    <s v="Laborers"/>
    <x v="3"/>
  </r>
  <r>
    <n v="5095256"/>
    <x v="1"/>
    <s v="Y"/>
    <s v="Y"/>
    <n v="1"/>
    <x v="42"/>
    <x v="2"/>
    <x v="0"/>
    <x v="1"/>
    <x v="0"/>
    <d v="1996-05-09T00:00:00"/>
    <n v="-10454"/>
    <x v="1081"/>
    <x v="4"/>
    <n v="-1496"/>
    <n v="4.0958247775496233"/>
    <x v="1"/>
    <n v="1"/>
    <n v="0"/>
    <n v="1"/>
    <n v="0"/>
    <s v="Managers"/>
    <x v="3"/>
  </r>
  <r>
    <n v="5095270"/>
    <x v="0"/>
    <s v="Y"/>
    <s v="Y"/>
    <n v="0"/>
    <x v="3"/>
    <x v="1"/>
    <x v="1"/>
    <x v="1"/>
    <x v="0"/>
    <d v="1996-10-08T00:00:00"/>
    <n v="-10302"/>
    <x v="1936"/>
    <x v="4"/>
    <n v="-734"/>
    <n v="2.0095824777549622"/>
    <x v="1"/>
    <n v="1"/>
    <n v="0"/>
    <n v="0"/>
    <n v="0"/>
    <s v="Core staff"/>
    <x v="1"/>
  </r>
  <r>
    <n v="5095271"/>
    <x v="0"/>
    <s v="Y"/>
    <s v="Y"/>
    <n v="0"/>
    <x v="3"/>
    <x v="1"/>
    <x v="1"/>
    <x v="1"/>
    <x v="0"/>
    <d v="1996-10-08T00:00:00"/>
    <n v="-10302"/>
    <x v="1936"/>
    <x v="4"/>
    <n v="-734"/>
    <n v="2.0095824777549622"/>
    <x v="1"/>
    <n v="1"/>
    <n v="0"/>
    <n v="0"/>
    <n v="0"/>
    <s v="Core staff"/>
    <x v="1"/>
  </r>
  <r>
    <n v="5095274"/>
    <x v="0"/>
    <s v="Y"/>
    <s v="Y"/>
    <n v="0"/>
    <x v="3"/>
    <x v="1"/>
    <x v="1"/>
    <x v="1"/>
    <x v="0"/>
    <d v="1996-10-08T00:00:00"/>
    <n v="-10302"/>
    <x v="1936"/>
    <x v="4"/>
    <n v="-734"/>
    <n v="2.0095824777549622"/>
    <x v="1"/>
    <n v="1"/>
    <n v="0"/>
    <n v="0"/>
    <n v="0"/>
    <s v="Core staff"/>
    <x v="1"/>
  </r>
  <r>
    <n v="5095288"/>
    <x v="0"/>
    <s v="N"/>
    <s v="Y"/>
    <n v="1"/>
    <x v="17"/>
    <x v="3"/>
    <x v="0"/>
    <x v="1"/>
    <x v="0"/>
    <d v="1994-05-07T00:00:00"/>
    <n v="-11187"/>
    <x v="1937"/>
    <x v="3"/>
    <n v="-1769"/>
    <n v="4.8432580424366876"/>
    <x v="1"/>
    <n v="1"/>
    <n v="0"/>
    <n v="0"/>
    <n v="0"/>
    <m/>
    <x v="3"/>
  </r>
  <r>
    <n v="5095304"/>
    <x v="0"/>
    <s v="Y"/>
    <s v="Y"/>
    <n v="0"/>
    <x v="8"/>
    <x v="2"/>
    <x v="0"/>
    <x v="1"/>
    <x v="0"/>
    <d v="1991-03-29T00:00:00"/>
    <n v="-12322"/>
    <x v="1938"/>
    <x v="3"/>
    <n v="-3717"/>
    <n v="10.17659137577002"/>
    <x v="1"/>
    <n v="1"/>
    <n v="0"/>
    <n v="0"/>
    <n v="0"/>
    <s v="Core staff"/>
    <x v="1"/>
  </r>
  <r>
    <n v="5095311"/>
    <x v="0"/>
    <s v="Y"/>
    <s v="Y"/>
    <n v="0"/>
    <x v="8"/>
    <x v="2"/>
    <x v="0"/>
    <x v="1"/>
    <x v="0"/>
    <d v="1991-03-29T00:00:00"/>
    <n v="-12322"/>
    <x v="1938"/>
    <x v="3"/>
    <n v="-3717"/>
    <n v="10.17659137577002"/>
    <x v="1"/>
    <n v="1"/>
    <n v="0"/>
    <n v="0"/>
    <n v="0"/>
    <s v="Core staff"/>
    <x v="1"/>
  </r>
  <r>
    <n v="5095316"/>
    <x v="0"/>
    <s v="Y"/>
    <s v="Y"/>
    <n v="0"/>
    <x v="8"/>
    <x v="2"/>
    <x v="0"/>
    <x v="1"/>
    <x v="0"/>
    <d v="1991-03-29T00:00:00"/>
    <n v="-12322"/>
    <x v="1938"/>
    <x v="3"/>
    <n v="-3717"/>
    <n v="10.17659137577002"/>
    <x v="1"/>
    <n v="1"/>
    <n v="0"/>
    <n v="0"/>
    <n v="0"/>
    <s v="Core staff"/>
    <x v="1"/>
  </r>
  <r>
    <n v="5095322"/>
    <x v="0"/>
    <s v="N"/>
    <s v="Y"/>
    <n v="0"/>
    <x v="12"/>
    <x v="0"/>
    <x v="1"/>
    <x v="4"/>
    <x v="0"/>
    <d v="1962-05-28T00:00:00"/>
    <n v="-22854"/>
    <x v="1939"/>
    <x v="0"/>
    <n v="365243"/>
    <n v="0"/>
    <x v="0"/>
    <n v="1"/>
    <n v="0"/>
    <n v="1"/>
    <n v="0"/>
    <m/>
    <x v="0"/>
  </r>
  <r>
    <n v="5095326"/>
    <x v="0"/>
    <s v="N"/>
    <s v="Y"/>
    <n v="0"/>
    <x v="12"/>
    <x v="0"/>
    <x v="1"/>
    <x v="4"/>
    <x v="0"/>
    <d v="1962-05-28T00:00:00"/>
    <n v="-22854"/>
    <x v="1939"/>
    <x v="0"/>
    <n v="365243"/>
    <n v="0"/>
    <x v="0"/>
    <n v="1"/>
    <n v="0"/>
    <n v="1"/>
    <n v="0"/>
    <m/>
    <x v="0"/>
  </r>
  <r>
    <n v="5095333"/>
    <x v="1"/>
    <s v="N"/>
    <s v="Y"/>
    <n v="0"/>
    <x v="1"/>
    <x v="2"/>
    <x v="0"/>
    <x v="1"/>
    <x v="0"/>
    <d v="1969-08-11T00:00:00"/>
    <n v="-20222"/>
    <x v="1940"/>
    <x v="2"/>
    <n v="-218"/>
    <n v="0.59685147159479812"/>
    <x v="1"/>
    <n v="1"/>
    <n v="0"/>
    <n v="0"/>
    <n v="0"/>
    <s v="Laborers"/>
    <x v="1"/>
  </r>
  <r>
    <n v="5095334"/>
    <x v="1"/>
    <s v="N"/>
    <s v="Y"/>
    <n v="0"/>
    <x v="1"/>
    <x v="2"/>
    <x v="0"/>
    <x v="1"/>
    <x v="0"/>
    <d v="1969-08-11T00:00:00"/>
    <n v="-20222"/>
    <x v="1940"/>
    <x v="2"/>
    <n v="-218"/>
    <n v="0.59685147159479812"/>
    <x v="1"/>
    <n v="1"/>
    <n v="0"/>
    <n v="0"/>
    <n v="0"/>
    <s v="Laborers"/>
    <x v="1"/>
  </r>
  <r>
    <n v="5095336"/>
    <x v="1"/>
    <s v="N"/>
    <s v="Y"/>
    <n v="0"/>
    <x v="1"/>
    <x v="2"/>
    <x v="0"/>
    <x v="1"/>
    <x v="0"/>
    <d v="1969-08-11T00:00:00"/>
    <n v="-20222"/>
    <x v="1940"/>
    <x v="2"/>
    <n v="-218"/>
    <n v="0.59685147159479812"/>
    <x v="1"/>
    <n v="1"/>
    <n v="0"/>
    <n v="0"/>
    <n v="0"/>
    <s v="Laborers"/>
    <x v="1"/>
  </r>
  <r>
    <n v="5095354"/>
    <x v="0"/>
    <s v="Y"/>
    <s v="Y"/>
    <n v="0"/>
    <x v="16"/>
    <x v="1"/>
    <x v="1"/>
    <x v="1"/>
    <x v="0"/>
    <d v="1991-02-10T00:00:00"/>
    <n v="-12369"/>
    <x v="1941"/>
    <x v="3"/>
    <n v="-1314"/>
    <n v="3.5975359342915811"/>
    <x v="1"/>
    <n v="1"/>
    <n v="0"/>
    <n v="0"/>
    <n v="0"/>
    <s v="Accountants"/>
    <x v="1"/>
  </r>
  <r>
    <n v="5095358"/>
    <x v="1"/>
    <s v="N"/>
    <s v="Y"/>
    <n v="1"/>
    <x v="18"/>
    <x v="1"/>
    <x v="0"/>
    <x v="1"/>
    <x v="0"/>
    <d v="1996-05-09T00:00:00"/>
    <n v="-10454"/>
    <x v="1081"/>
    <x v="4"/>
    <n v="-400"/>
    <n v="1.0951403148528405"/>
    <x v="1"/>
    <n v="1"/>
    <n v="0"/>
    <n v="1"/>
    <n v="1"/>
    <s v="Managers"/>
    <x v="3"/>
  </r>
  <r>
    <n v="5095360"/>
    <x v="1"/>
    <s v="N"/>
    <s v="Y"/>
    <n v="1"/>
    <x v="18"/>
    <x v="1"/>
    <x v="0"/>
    <x v="1"/>
    <x v="0"/>
    <d v="1996-05-09T00:00:00"/>
    <n v="-10454"/>
    <x v="1081"/>
    <x v="4"/>
    <n v="-400"/>
    <n v="1.0951403148528405"/>
    <x v="1"/>
    <n v="1"/>
    <n v="0"/>
    <n v="1"/>
    <n v="1"/>
    <s v="Managers"/>
    <x v="3"/>
  </r>
  <r>
    <n v="5095361"/>
    <x v="0"/>
    <s v="N"/>
    <s v="Y"/>
    <n v="1"/>
    <x v="11"/>
    <x v="2"/>
    <x v="0"/>
    <x v="1"/>
    <x v="1"/>
    <d v="1987-04-04T00:00:00"/>
    <n v="-13777"/>
    <x v="1942"/>
    <x v="3"/>
    <n v="-3261"/>
    <n v="8.9281314168377826"/>
    <x v="1"/>
    <n v="1"/>
    <n v="0"/>
    <n v="0"/>
    <n v="0"/>
    <m/>
    <x v="3"/>
  </r>
  <r>
    <n v="5095362"/>
    <x v="0"/>
    <s v="N"/>
    <s v="Y"/>
    <n v="1"/>
    <x v="11"/>
    <x v="2"/>
    <x v="0"/>
    <x v="1"/>
    <x v="1"/>
    <d v="1987-04-04T00:00:00"/>
    <n v="-13777"/>
    <x v="1942"/>
    <x v="3"/>
    <n v="-3261"/>
    <n v="8.9281314168377826"/>
    <x v="1"/>
    <n v="1"/>
    <n v="0"/>
    <n v="0"/>
    <n v="0"/>
    <m/>
    <x v="3"/>
  </r>
  <r>
    <n v="5095365"/>
    <x v="0"/>
    <s v="N"/>
    <s v="N"/>
    <n v="2"/>
    <x v="16"/>
    <x v="3"/>
    <x v="1"/>
    <x v="1"/>
    <x v="0"/>
    <d v="1992-04-04T00:00:00"/>
    <n v="-11950"/>
    <x v="1943"/>
    <x v="3"/>
    <n v="-4022"/>
    <n v="11.011635865845312"/>
    <x v="1"/>
    <n v="1"/>
    <n v="0"/>
    <n v="1"/>
    <n v="0"/>
    <s v="Medicine staff"/>
    <x v="2"/>
  </r>
  <r>
    <n v="5095366"/>
    <x v="0"/>
    <s v="N"/>
    <s v="N"/>
    <n v="2"/>
    <x v="16"/>
    <x v="3"/>
    <x v="1"/>
    <x v="1"/>
    <x v="0"/>
    <d v="1992-04-04T00:00:00"/>
    <n v="-11950"/>
    <x v="1943"/>
    <x v="3"/>
    <n v="-4022"/>
    <n v="11.011635865845312"/>
    <x v="1"/>
    <n v="1"/>
    <n v="0"/>
    <n v="1"/>
    <n v="0"/>
    <s v="Medicine staff"/>
    <x v="2"/>
  </r>
  <r>
    <n v="5095370"/>
    <x v="1"/>
    <s v="Y"/>
    <s v="Y"/>
    <n v="1"/>
    <x v="12"/>
    <x v="2"/>
    <x v="0"/>
    <x v="0"/>
    <x v="0"/>
    <d v="1980-09-18T00:00:00"/>
    <n v="-16166"/>
    <x v="1944"/>
    <x v="1"/>
    <n v="-2531"/>
    <n v="6.9295003422313481"/>
    <x v="1"/>
    <n v="1"/>
    <n v="0"/>
    <n v="0"/>
    <n v="0"/>
    <s v="Managers"/>
    <x v="1"/>
  </r>
  <r>
    <n v="5095389"/>
    <x v="1"/>
    <s v="Y"/>
    <s v="Y"/>
    <n v="1"/>
    <x v="18"/>
    <x v="2"/>
    <x v="1"/>
    <x v="1"/>
    <x v="4"/>
    <d v="2000-08-10T00:00:00"/>
    <n v="-8900"/>
    <x v="1945"/>
    <x v="4"/>
    <n v="-673"/>
    <n v="1.8425735797399041"/>
    <x v="1"/>
    <n v="1"/>
    <n v="0"/>
    <n v="1"/>
    <n v="1"/>
    <s v="Core staff"/>
    <x v="3"/>
  </r>
  <r>
    <n v="5095413"/>
    <x v="0"/>
    <s v="N"/>
    <s v="N"/>
    <n v="0"/>
    <x v="30"/>
    <x v="2"/>
    <x v="1"/>
    <x v="2"/>
    <x v="2"/>
    <d v="1993-11-23T00:00:00"/>
    <n v="-11352"/>
    <x v="1946"/>
    <x v="3"/>
    <n v="-308"/>
    <n v="0.84325804243668723"/>
    <x v="1"/>
    <n v="1"/>
    <n v="0"/>
    <n v="0"/>
    <n v="0"/>
    <s v="Sales staff"/>
    <x v="0"/>
  </r>
  <r>
    <n v="5095416"/>
    <x v="0"/>
    <s v="N"/>
    <s v="N"/>
    <n v="0"/>
    <x v="30"/>
    <x v="2"/>
    <x v="1"/>
    <x v="2"/>
    <x v="2"/>
    <d v="1993-11-23T00:00:00"/>
    <n v="-11352"/>
    <x v="1946"/>
    <x v="3"/>
    <n v="-308"/>
    <n v="0.84325804243668723"/>
    <x v="1"/>
    <n v="1"/>
    <n v="0"/>
    <n v="0"/>
    <n v="0"/>
    <s v="Sales staff"/>
    <x v="0"/>
  </r>
  <r>
    <n v="5095433"/>
    <x v="0"/>
    <s v="N"/>
    <s v="Y"/>
    <n v="0"/>
    <x v="19"/>
    <x v="2"/>
    <x v="0"/>
    <x v="1"/>
    <x v="0"/>
    <d v="1973-08-08T00:00:00"/>
    <n v="-18764"/>
    <x v="990"/>
    <x v="2"/>
    <n v="-9258"/>
    <n v="25.347022587268995"/>
    <x v="1"/>
    <n v="1"/>
    <n v="0"/>
    <n v="0"/>
    <n v="0"/>
    <s v="High skill tech staff"/>
    <x v="1"/>
  </r>
  <r>
    <n v="5095459"/>
    <x v="0"/>
    <s v="Y"/>
    <s v="Y"/>
    <n v="2"/>
    <x v="11"/>
    <x v="1"/>
    <x v="1"/>
    <x v="1"/>
    <x v="0"/>
    <d v="1997-12-16T00:00:00"/>
    <n v="-9868"/>
    <x v="1947"/>
    <x v="4"/>
    <n v="-583"/>
    <n v="1.5961670088980151"/>
    <x v="1"/>
    <n v="1"/>
    <n v="0"/>
    <n v="0"/>
    <n v="0"/>
    <s v="Sales staff"/>
    <x v="2"/>
  </r>
  <r>
    <n v="5095471"/>
    <x v="0"/>
    <s v="Y"/>
    <s v="Y"/>
    <n v="1"/>
    <x v="14"/>
    <x v="1"/>
    <x v="2"/>
    <x v="1"/>
    <x v="0"/>
    <d v="1978-03-08T00:00:00"/>
    <n v="-17091"/>
    <x v="1948"/>
    <x v="1"/>
    <n v="-127"/>
    <n v="0.34770704996577684"/>
    <x v="1"/>
    <n v="1"/>
    <n v="0"/>
    <n v="0"/>
    <n v="0"/>
    <s v="Laborers"/>
    <x v="3"/>
  </r>
  <r>
    <n v="5095472"/>
    <x v="0"/>
    <s v="Y"/>
    <s v="Y"/>
    <n v="1"/>
    <x v="14"/>
    <x v="1"/>
    <x v="2"/>
    <x v="1"/>
    <x v="0"/>
    <d v="1978-03-08T00:00:00"/>
    <n v="-17091"/>
    <x v="1948"/>
    <x v="1"/>
    <n v="-127"/>
    <n v="0.34770704996577684"/>
    <x v="1"/>
    <n v="1"/>
    <n v="0"/>
    <n v="0"/>
    <n v="0"/>
    <s v="Laborers"/>
    <x v="3"/>
  </r>
  <r>
    <n v="5095478"/>
    <x v="0"/>
    <s v="N"/>
    <s v="Y"/>
    <n v="0"/>
    <x v="30"/>
    <x v="2"/>
    <x v="1"/>
    <x v="1"/>
    <x v="0"/>
    <d v="1990-05-27T00:00:00"/>
    <n v="-12628"/>
    <x v="1949"/>
    <x v="3"/>
    <n v="-1861"/>
    <n v="5.0951403148528405"/>
    <x v="1"/>
    <n v="1"/>
    <n v="1"/>
    <n v="1"/>
    <n v="0"/>
    <s v="Sales staff"/>
    <x v="1"/>
  </r>
  <r>
    <n v="5095498"/>
    <x v="0"/>
    <s v="N"/>
    <s v="Y"/>
    <n v="0"/>
    <x v="21"/>
    <x v="3"/>
    <x v="0"/>
    <x v="1"/>
    <x v="0"/>
    <d v="1989-12-09T00:00:00"/>
    <n v="-12797"/>
    <x v="1950"/>
    <x v="3"/>
    <n v="-2318"/>
    <n v="6.3463381245722106"/>
    <x v="1"/>
    <n v="1"/>
    <n v="0"/>
    <n v="0"/>
    <n v="0"/>
    <s v="Core staff"/>
    <x v="1"/>
  </r>
  <r>
    <n v="5095499"/>
    <x v="0"/>
    <s v="N"/>
    <s v="Y"/>
    <n v="0"/>
    <x v="21"/>
    <x v="3"/>
    <x v="0"/>
    <x v="1"/>
    <x v="0"/>
    <d v="1989-12-09T00:00:00"/>
    <n v="-12797"/>
    <x v="1950"/>
    <x v="3"/>
    <n v="-2318"/>
    <n v="6.3463381245722106"/>
    <x v="1"/>
    <n v="1"/>
    <n v="0"/>
    <n v="0"/>
    <n v="0"/>
    <s v="Core staff"/>
    <x v="1"/>
  </r>
  <r>
    <n v="5095507"/>
    <x v="0"/>
    <s v="N"/>
    <s v="Y"/>
    <n v="0"/>
    <x v="5"/>
    <x v="2"/>
    <x v="0"/>
    <x v="1"/>
    <x v="0"/>
    <d v="1991-11-20T00:00:00"/>
    <n v="-12086"/>
    <x v="1951"/>
    <x v="3"/>
    <n v="-4175"/>
    <n v="11.430527036276523"/>
    <x v="1"/>
    <n v="1"/>
    <n v="0"/>
    <n v="1"/>
    <n v="0"/>
    <s v="Managers"/>
    <x v="1"/>
  </r>
  <r>
    <n v="5095512"/>
    <x v="1"/>
    <s v="Y"/>
    <s v="Y"/>
    <n v="0"/>
    <x v="4"/>
    <x v="2"/>
    <x v="1"/>
    <x v="1"/>
    <x v="0"/>
    <d v="1968-10-28T00:00:00"/>
    <n v="-20509"/>
    <x v="1952"/>
    <x v="2"/>
    <n v="-1161"/>
    <n v="3.1786447638603694"/>
    <x v="1"/>
    <n v="1"/>
    <n v="0"/>
    <n v="1"/>
    <n v="0"/>
    <m/>
    <x v="1"/>
  </r>
  <r>
    <n v="5095518"/>
    <x v="1"/>
    <s v="Y"/>
    <s v="N"/>
    <n v="0"/>
    <x v="18"/>
    <x v="3"/>
    <x v="0"/>
    <x v="2"/>
    <x v="2"/>
    <d v="1988-06-23T00:00:00"/>
    <n v="-13331"/>
    <x v="1953"/>
    <x v="3"/>
    <n v="-3476"/>
    <n v="9.5167693360711834"/>
    <x v="1"/>
    <n v="1"/>
    <n v="0"/>
    <n v="0"/>
    <n v="0"/>
    <s v="Accountants"/>
    <x v="0"/>
  </r>
  <r>
    <n v="5095551"/>
    <x v="1"/>
    <s v="Y"/>
    <s v="N"/>
    <n v="0"/>
    <x v="14"/>
    <x v="1"/>
    <x v="0"/>
    <x v="1"/>
    <x v="0"/>
    <d v="1985-08-20T00:00:00"/>
    <n v="-14369"/>
    <x v="1954"/>
    <x v="3"/>
    <n v="-4633"/>
    <n v="12.684462696783026"/>
    <x v="1"/>
    <n v="1"/>
    <n v="0"/>
    <n v="1"/>
    <n v="0"/>
    <s v="Managers"/>
    <x v="1"/>
  </r>
  <r>
    <n v="5095560"/>
    <x v="0"/>
    <s v="N"/>
    <s v="N"/>
    <n v="1"/>
    <x v="72"/>
    <x v="2"/>
    <x v="1"/>
    <x v="0"/>
    <x v="0"/>
    <d v="1980-01-19T00:00:00"/>
    <n v="-16409"/>
    <x v="1955"/>
    <x v="1"/>
    <n v="-2045"/>
    <n v="5.5989048596851472"/>
    <x v="1"/>
    <n v="1"/>
    <n v="1"/>
    <n v="0"/>
    <n v="0"/>
    <s v="Managers"/>
    <x v="1"/>
  </r>
  <r>
    <n v="5095590"/>
    <x v="1"/>
    <s v="Y"/>
    <s v="N"/>
    <n v="0"/>
    <x v="1"/>
    <x v="2"/>
    <x v="1"/>
    <x v="1"/>
    <x v="0"/>
    <d v="1994-12-24T00:00:00"/>
    <n v="-10956"/>
    <x v="1956"/>
    <x v="4"/>
    <n v="-2076"/>
    <n v="5.6837782340862422"/>
    <x v="1"/>
    <n v="1"/>
    <n v="0"/>
    <n v="0"/>
    <n v="0"/>
    <s v="Laborers"/>
    <x v="1"/>
  </r>
  <r>
    <n v="5095592"/>
    <x v="0"/>
    <s v="N"/>
    <s v="N"/>
    <n v="0"/>
    <x v="37"/>
    <x v="2"/>
    <x v="1"/>
    <x v="2"/>
    <x v="0"/>
    <d v="2001-04-07T00:00:00"/>
    <n v="-8660"/>
    <x v="1957"/>
    <x v="4"/>
    <n v="-919"/>
    <n v="2.516084873374401"/>
    <x v="1"/>
    <n v="1"/>
    <n v="0"/>
    <n v="1"/>
    <n v="0"/>
    <s v="Sales staff"/>
    <x v="0"/>
  </r>
  <r>
    <n v="5095617"/>
    <x v="1"/>
    <s v="N"/>
    <s v="N"/>
    <n v="1"/>
    <x v="1"/>
    <x v="2"/>
    <x v="1"/>
    <x v="1"/>
    <x v="0"/>
    <d v="1994-04-10T00:00:00"/>
    <n v="-11214"/>
    <x v="1958"/>
    <x v="3"/>
    <n v="-1254"/>
    <n v="3.4332648870636548"/>
    <x v="1"/>
    <n v="1"/>
    <n v="0"/>
    <n v="0"/>
    <n v="0"/>
    <m/>
    <x v="3"/>
  </r>
  <r>
    <n v="5095631"/>
    <x v="1"/>
    <s v="Y"/>
    <s v="N"/>
    <n v="1"/>
    <x v="16"/>
    <x v="2"/>
    <x v="0"/>
    <x v="1"/>
    <x v="0"/>
    <d v="1994-05-16T00:00:00"/>
    <n v="-11178"/>
    <x v="1959"/>
    <x v="3"/>
    <n v="-219"/>
    <n v="0.59958932238193019"/>
    <x v="1"/>
    <n v="1"/>
    <n v="0"/>
    <n v="0"/>
    <n v="0"/>
    <s v="Drivers"/>
    <x v="3"/>
  </r>
  <r>
    <n v="5095662"/>
    <x v="1"/>
    <s v="N"/>
    <s v="N"/>
    <n v="0"/>
    <x v="30"/>
    <x v="2"/>
    <x v="1"/>
    <x v="1"/>
    <x v="0"/>
    <d v="1964-05-09T00:00:00"/>
    <n v="-22142"/>
    <x v="1960"/>
    <x v="0"/>
    <n v="-3749"/>
    <n v="10.264202600958248"/>
    <x v="1"/>
    <n v="1"/>
    <n v="0"/>
    <n v="1"/>
    <n v="0"/>
    <s v="Managers"/>
    <x v="1"/>
  </r>
  <r>
    <n v="5095672"/>
    <x v="0"/>
    <s v="N"/>
    <s v="N"/>
    <n v="0"/>
    <x v="37"/>
    <x v="0"/>
    <x v="1"/>
    <x v="1"/>
    <x v="0"/>
    <d v="1962-11-16T00:00:00"/>
    <n v="-22682"/>
    <x v="1961"/>
    <x v="0"/>
    <n v="365243"/>
    <n v="0"/>
    <x v="0"/>
    <n v="1"/>
    <n v="0"/>
    <n v="0"/>
    <n v="0"/>
    <m/>
    <x v="1"/>
  </r>
  <r>
    <n v="5095673"/>
    <x v="0"/>
    <s v="N"/>
    <s v="N"/>
    <n v="0"/>
    <x v="37"/>
    <x v="0"/>
    <x v="1"/>
    <x v="1"/>
    <x v="0"/>
    <d v="1962-11-16T00:00:00"/>
    <n v="-22682"/>
    <x v="1961"/>
    <x v="0"/>
    <n v="365243"/>
    <n v="0"/>
    <x v="0"/>
    <n v="1"/>
    <n v="0"/>
    <n v="0"/>
    <n v="0"/>
    <m/>
    <x v="1"/>
  </r>
  <r>
    <n v="5095678"/>
    <x v="0"/>
    <s v="N"/>
    <s v="N"/>
    <n v="0"/>
    <x v="37"/>
    <x v="0"/>
    <x v="1"/>
    <x v="1"/>
    <x v="0"/>
    <d v="1962-11-16T00:00:00"/>
    <n v="-22682"/>
    <x v="1961"/>
    <x v="0"/>
    <n v="365243"/>
    <n v="0"/>
    <x v="0"/>
    <n v="1"/>
    <n v="0"/>
    <n v="0"/>
    <n v="0"/>
    <m/>
    <x v="1"/>
  </r>
  <r>
    <n v="5095679"/>
    <x v="0"/>
    <s v="N"/>
    <s v="N"/>
    <n v="0"/>
    <x v="37"/>
    <x v="0"/>
    <x v="1"/>
    <x v="1"/>
    <x v="0"/>
    <d v="1962-11-16T00:00:00"/>
    <n v="-22682"/>
    <x v="1961"/>
    <x v="0"/>
    <n v="365243"/>
    <n v="0"/>
    <x v="0"/>
    <n v="1"/>
    <n v="0"/>
    <n v="0"/>
    <n v="0"/>
    <m/>
    <x v="1"/>
  </r>
  <r>
    <n v="5095730"/>
    <x v="1"/>
    <s v="Y"/>
    <s v="N"/>
    <n v="1"/>
    <x v="1"/>
    <x v="1"/>
    <x v="1"/>
    <x v="1"/>
    <x v="0"/>
    <d v="1999-03-06T00:00:00"/>
    <n v="-9423"/>
    <x v="1962"/>
    <x v="4"/>
    <n v="-1405"/>
    <n v="3.8466803559206024"/>
    <x v="1"/>
    <n v="1"/>
    <n v="0"/>
    <n v="0"/>
    <n v="0"/>
    <s v="Laborers"/>
    <x v="3"/>
  </r>
  <r>
    <n v="5095732"/>
    <x v="1"/>
    <s v="Y"/>
    <s v="N"/>
    <n v="2"/>
    <x v="131"/>
    <x v="2"/>
    <x v="0"/>
    <x v="1"/>
    <x v="0"/>
    <d v="1994-01-23T00:00:00"/>
    <n v="-11291"/>
    <x v="1963"/>
    <x v="3"/>
    <n v="-1589"/>
    <n v="4.3504449007529091"/>
    <x v="1"/>
    <n v="1"/>
    <n v="0"/>
    <n v="1"/>
    <n v="0"/>
    <s v="Core staff"/>
    <x v="2"/>
  </r>
  <r>
    <n v="5095734"/>
    <x v="1"/>
    <s v="Y"/>
    <s v="N"/>
    <n v="2"/>
    <x v="131"/>
    <x v="2"/>
    <x v="0"/>
    <x v="1"/>
    <x v="0"/>
    <d v="1994-01-23T00:00:00"/>
    <n v="-11291"/>
    <x v="1963"/>
    <x v="3"/>
    <n v="-1589"/>
    <n v="4.3504449007529091"/>
    <x v="1"/>
    <n v="1"/>
    <n v="0"/>
    <n v="1"/>
    <n v="0"/>
    <s v="Core staff"/>
    <x v="2"/>
  </r>
  <r>
    <n v="5095771"/>
    <x v="0"/>
    <s v="N"/>
    <s v="N"/>
    <n v="0"/>
    <x v="25"/>
    <x v="1"/>
    <x v="0"/>
    <x v="2"/>
    <x v="0"/>
    <d v="2000-06-28T00:00:00"/>
    <n v="-8943"/>
    <x v="1964"/>
    <x v="4"/>
    <n v="-158"/>
    <n v="0.432580424366872"/>
    <x v="1"/>
    <n v="1"/>
    <n v="0"/>
    <n v="1"/>
    <n v="0"/>
    <s v="Sales staff"/>
    <x v="0"/>
  </r>
  <r>
    <n v="5095804"/>
    <x v="1"/>
    <s v="Y"/>
    <s v="N"/>
    <n v="1"/>
    <x v="26"/>
    <x v="3"/>
    <x v="0"/>
    <x v="1"/>
    <x v="0"/>
    <d v="1990-10-19T00:00:00"/>
    <n v="-12483"/>
    <x v="504"/>
    <x v="3"/>
    <n v="-1650"/>
    <n v="4.517453798767967"/>
    <x v="1"/>
    <n v="1"/>
    <n v="1"/>
    <n v="1"/>
    <n v="0"/>
    <s v="High skill tech staff"/>
    <x v="3"/>
  </r>
  <r>
    <n v="5095818"/>
    <x v="0"/>
    <s v="N"/>
    <s v="N"/>
    <n v="3"/>
    <x v="2"/>
    <x v="2"/>
    <x v="2"/>
    <x v="1"/>
    <x v="4"/>
    <d v="1982-09-07T00:00:00"/>
    <n v="-15447"/>
    <x v="1965"/>
    <x v="1"/>
    <n v="-2470"/>
    <n v="6.7624914442162902"/>
    <x v="1"/>
    <n v="1"/>
    <n v="1"/>
    <n v="0"/>
    <n v="0"/>
    <s v="Sales staff"/>
    <x v="4"/>
  </r>
  <r>
    <n v="5095850"/>
    <x v="0"/>
    <s v="N"/>
    <s v="N"/>
    <n v="0"/>
    <x v="8"/>
    <x v="2"/>
    <x v="1"/>
    <x v="4"/>
    <x v="0"/>
    <d v="1968-06-02T00:00:00"/>
    <n v="-20657"/>
    <x v="1966"/>
    <x v="2"/>
    <n v="-5637"/>
    <n v="15.433264887063656"/>
    <x v="1"/>
    <n v="1"/>
    <n v="0"/>
    <n v="0"/>
    <n v="0"/>
    <s v="Accountants"/>
    <x v="0"/>
  </r>
  <r>
    <n v="5095852"/>
    <x v="0"/>
    <s v="N"/>
    <s v="N"/>
    <n v="0"/>
    <x v="8"/>
    <x v="2"/>
    <x v="1"/>
    <x v="4"/>
    <x v="0"/>
    <d v="1968-06-02T00:00:00"/>
    <n v="-20657"/>
    <x v="1966"/>
    <x v="2"/>
    <n v="-5637"/>
    <n v="15.433264887063656"/>
    <x v="1"/>
    <n v="1"/>
    <n v="0"/>
    <n v="0"/>
    <n v="0"/>
    <s v="Accountants"/>
    <x v="0"/>
  </r>
  <r>
    <n v="5095854"/>
    <x v="0"/>
    <s v="N"/>
    <s v="N"/>
    <n v="0"/>
    <x v="8"/>
    <x v="2"/>
    <x v="1"/>
    <x v="4"/>
    <x v="0"/>
    <d v="1968-06-02T00:00:00"/>
    <n v="-20657"/>
    <x v="1966"/>
    <x v="2"/>
    <n v="-5637"/>
    <n v="15.433264887063656"/>
    <x v="1"/>
    <n v="1"/>
    <n v="0"/>
    <n v="0"/>
    <n v="0"/>
    <s v="Accountants"/>
    <x v="0"/>
  </r>
  <r>
    <n v="5095861"/>
    <x v="0"/>
    <s v="N"/>
    <s v="N"/>
    <n v="0"/>
    <x v="8"/>
    <x v="2"/>
    <x v="1"/>
    <x v="4"/>
    <x v="0"/>
    <d v="1968-06-02T00:00:00"/>
    <n v="-20657"/>
    <x v="1966"/>
    <x v="2"/>
    <n v="-5637"/>
    <n v="15.433264887063656"/>
    <x v="1"/>
    <n v="1"/>
    <n v="0"/>
    <n v="0"/>
    <n v="0"/>
    <s v="Accountants"/>
    <x v="0"/>
  </r>
  <r>
    <n v="5095905"/>
    <x v="0"/>
    <s v="N"/>
    <s v="N"/>
    <n v="0"/>
    <x v="1"/>
    <x v="3"/>
    <x v="1"/>
    <x v="2"/>
    <x v="0"/>
    <d v="1982-09-25T00:00:00"/>
    <n v="-15429"/>
    <x v="1967"/>
    <x v="1"/>
    <n v="-1589"/>
    <n v="4.3504449007529091"/>
    <x v="1"/>
    <n v="1"/>
    <n v="0"/>
    <n v="0"/>
    <n v="0"/>
    <s v="Core staff"/>
    <x v="0"/>
  </r>
  <r>
    <n v="5095936"/>
    <x v="0"/>
    <s v="N"/>
    <s v="N"/>
    <n v="0"/>
    <x v="29"/>
    <x v="0"/>
    <x v="1"/>
    <x v="1"/>
    <x v="0"/>
    <d v="1968-08-06T00:00:00"/>
    <n v="-20592"/>
    <x v="1968"/>
    <x v="2"/>
    <n v="365243"/>
    <n v="0"/>
    <x v="0"/>
    <n v="1"/>
    <n v="0"/>
    <n v="1"/>
    <n v="0"/>
    <m/>
    <x v="1"/>
  </r>
  <r>
    <n v="5095939"/>
    <x v="1"/>
    <s v="N"/>
    <s v="N"/>
    <n v="0"/>
    <x v="5"/>
    <x v="2"/>
    <x v="1"/>
    <x v="1"/>
    <x v="0"/>
    <d v="1977-07-02T00:00:00"/>
    <n v="-17340"/>
    <x v="1969"/>
    <x v="1"/>
    <n v="-3596"/>
    <n v="9.8453114305270368"/>
    <x v="1"/>
    <n v="1"/>
    <n v="0"/>
    <n v="1"/>
    <n v="0"/>
    <s v="Managers"/>
    <x v="1"/>
  </r>
  <r>
    <n v="5095941"/>
    <x v="0"/>
    <s v="Y"/>
    <s v="N"/>
    <n v="0"/>
    <x v="11"/>
    <x v="2"/>
    <x v="0"/>
    <x v="1"/>
    <x v="0"/>
    <d v="1980-11-11T00:00:00"/>
    <n v="-16112"/>
    <x v="1970"/>
    <x v="1"/>
    <n v="-6337"/>
    <n v="17.349760438056126"/>
    <x v="1"/>
    <n v="1"/>
    <n v="1"/>
    <n v="1"/>
    <n v="0"/>
    <s v="Managers"/>
    <x v="1"/>
  </r>
  <r>
    <n v="5095953"/>
    <x v="0"/>
    <s v="N"/>
    <s v="N"/>
    <n v="2"/>
    <x v="76"/>
    <x v="2"/>
    <x v="0"/>
    <x v="1"/>
    <x v="2"/>
    <d v="1983-11-17T00:00:00"/>
    <n v="-15011"/>
    <x v="1971"/>
    <x v="1"/>
    <n v="-7614"/>
    <n v="20.845995893223819"/>
    <x v="1"/>
    <n v="1"/>
    <n v="1"/>
    <n v="1"/>
    <n v="0"/>
    <m/>
    <x v="2"/>
  </r>
  <r>
    <n v="5095959"/>
    <x v="0"/>
    <s v="N"/>
    <s v="N"/>
    <n v="0"/>
    <x v="1"/>
    <x v="2"/>
    <x v="1"/>
    <x v="1"/>
    <x v="0"/>
    <d v="1980-02-02T00:00:00"/>
    <n v="-16395"/>
    <x v="1972"/>
    <x v="1"/>
    <n v="-7371"/>
    <n v="20.180698151950718"/>
    <x v="1"/>
    <n v="1"/>
    <n v="1"/>
    <n v="0"/>
    <n v="0"/>
    <s v="Managers"/>
    <x v="1"/>
  </r>
  <r>
    <n v="5095965"/>
    <x v="0"/>
    <s v="N"/>
    <s v="N"/>
    <n v="0"/>
    <x v="1"/>
    <x v="2"/>
    <x v="1"/>
    <x v="1"/>
    <x v="0"/>
    <d v="1980-02-02T00:00:00"/>
    <n v="-16395"/>
    <x v="1972"/>
    <x v="1"/>
    <n v="-7371"/>
    <n v="20.180698151950718"/>
    <x v="1"/>
    <n v="1"/>
    <n v="1"/>
    <n v="0"/>
    <n v="0"/>
    <s v="Managers"/>
    <x v="1"/>
  </r>
  <r>
    <n v="5095971"/>
    <x v="0"/>
    <s v="Y"/>
    <s v="N"/>
    <n v="0"/>
    <x v="8"/>
    <x v="1"/>
    <x v="1"/>
    <x v="3"/>
    <x v="2"/>
    <d v="1980-04-23T00:00:00"/>
    <n v="-16314"/>
    <x v="271"/>
    <x v="1"/>
    <n v="-1040"/>
    <n v="2.8473648186173852"/>
    <x v="1"/>
    <n v="1"/>
    <n v="1"/>
    <n v="0"/>
    <n v="0"/>
    <s v="High skill tech staff"/>
    <x v="1"/>
  </r>
  <r>
    <n v="5095972"/>
    <x v="0"/>
    <s v="Y"/>
    <s v="N"/>
    <n v="0"/>
    <x v="8"/>
    <x v="1"/>
    <x v="1"/>
    <x v="3"/>
    <x v="2"/>
    <d v="1980-04-23T00:00:00"/>
    <n v="-16314"/>
    <x v="271"/>
    <x v="1"/>
    <n v="-1040"/>
    <n v="2.8473648186173852"/>
    <x v="1"/>
    <n v="1"/>
    <n v="1"/>
    <n v="0"/>
    <n v="0"/>
    <s v="High skill tech staff"/>
    <x v="1"/>
  </r>
  <r>
    <n v="5095975"/>
    <x v="0"/>
    <s v="Y"/>
    <s v="N"/>
    <n v="0"/>
    <x v="8"/>
    <x v="1"/>
    <x v="1"/>
    <x v="3"/>
    <x v="2"/>
    <d v="1980-04-23T00:00:00"/>
    <n v="-16314"/>
    <x v="271"/>
    <x v="1"/>
    <n v="-1040"/>
    <n v="2.8473648186173852"/>
    <x v="1"/>
    <n v="1"/>
    <n v="1"/>
    <n v="0"/>
    <n v="0"/>
    <s v="High skill tech staff"/>
    <x v="1"/>
  </r>
  <r>
    <n v="5095976"/>
    <x v="0"/>
    <s v="Y"/>
    <s v="N"/>
    <n v="0"/>
    <x v="8"/>
    <x v="1"/>
    <x v="1"/>
    <x v="3"/>
    <x v="2"/>
    <d v="1980-04-23T00:00:00"/>
    <n v="-16314"/>
    <x v="271"/>
    <x v="1"/>
    <n v="-1040"/>
    <n v="2.8473648186173852"/>
    <x v="1"/>
    <n v="1"/>
    <n v="1"/>
    <n v="0"/>
    <n v="0"/>
    <s v="High skill tech staff"/>
    <x v="1"/>
  </r>
  <r>
    <n v="5095981"/>
    <x v="0"/>
    <s v="Y"/>
    <s v="N"/>
    <n v="0"/>
    <x v="8"/>
    <x v="1"/>
    <x v="1"/>
    <x v="3"/>
    <x v="2"/>
    <d v="1980-04-23T00:00:00"/>
    <n v="-16314"/>
    <x v="271"/>
    <x v="1"/>
    <n v="-1040"/>
    <n v="2.8473648186173852"/>
    <x v="1"/>
    <n v="1"/>
    <n v="1"/>
    <n v="0"/>
    <n v="0"/>
    <s v="High skill tech staff"/>
    <x v="1"/>
  </r>
  <r>
    <n v="5095994"/>
    <x v="1"/>
    <s v="Y"/>
    <s v="N"/>
    <n v="0"/>
    <x v="60"/>
    <x v="2"/>
    <x v="1"/>
    <x v="1"/>
    <x v="0"/>
    <d v="1971-12-03T00:00:00"/>
    <n v="-19378"/>
    <x v="1973"/>
    <x v="2"/>
    <n v="-858"/>
    <n v="2.3490759753593431"/>
    <x v="1"/>
    <n v="1"/>
    <n v="1"/>
    <n v="1"/>
    <n v="0"/>
    <s v="Laborers"/>
    <x v="1"/>
  </r>
  <r>
    <n v="5095997"/>
    <x v="1"/>
    <s v="Y"/>
    <s v="N"/>
    <n v="0"/>
    <x v="60"/>
    <x v="2"/>
    <x v="1"/>
    <x v="1"/>
    <x v="0"/>
    <d v="1971-12-03T00:00:00"/>
    <n v="-19378"/>
    <x v="1973"/>
    <x v="2"/>
    <n v="-858"/>
    <n v="2.3490759753593431"/>
    <x v="1"/>
    <n v="1"/>
    <n v="1"/>
    <n v="1"/>
    <n v="0"/>
    <s v="Laborers"/>
    <x v="1"/>
  </r>
  <r>
    <n v="5096000"/>
    <x v="1"/>
    <s v="N"/>
    <s v="N"/>
    <n v="1"/>
    <x v="18"/>
    <x v="2"/>
    <x v="1"/>
    <x v="1"/>
    <x v="0"/>
    <d v="1997-10-02T00:00:00"/>
    <n v="-9943"/>
    <x v="1974"/>
    <x v="4"/>
    <n v="-554"/>
    <n v="1.516769336071184"/>
    <x v="1"/>
    <n v="1"/>
    <n v="1"/>
    <n v="0"/>
    <n v="0"/>
    <s v="Managers"/>
    <x v="3"/>
  </r>
  <r>
    <n v="5096047"/>
    <x v="0"/>
    <s v="N"/>
    <s v="N"/>
    <n v="0"/>
    <x v="8"/>
    <x v="0"/>
    <x v="0"/>
    <x v="1"/>
    <x v="0"/>
    <d v="1969-12-30T00:00:00"/>
    <n v="-20081"/>
    <x v="1975"/>
    <x v="2"/>
    <n v="365243"/>
    <n v="0"/>
    <x v="0"/>
    <n v="1"/>
    <n v="0"/>
    <n v="0"/>
    <n v="1"/>
    <m/>
    <x v="1"/>
  </r>
  <r>
    <n v="5096060"/>
    <x v="0"/>
    <s v="N"/>
    <s v="N"/>
    <n v="2"/>
    <x v="132"/>
    <x v="2"/>
    <x v="1"/>
    <x v="1"/>
    <x v="0"/>
    <d v="1985-10-07T00:00:00"/>
    <n v="-14321"/>
    <x v="1976"/>
    <x v="3"/>
    <n v="-7068"/>
    <n v="19.351129363449694"/>
    <x v="1"/>
    <n v="1"/>
    <n v="0"/>
    <n v="0"/>
    <n v="0"/>
    <s v="Medicine staff"/>
    <x v="2"/>
  </r>
  <r>
    <n v="5096082"/>
    <x v="1"/>
    <s v="N"/>
    <s v="N"/>
    <n v="0"/>
    <x v="60"/>
    <x v="2"/>
    <x v="1"/>
    <x v="1"/>
    <x v="0"/>
    <d v="1980-10-06T00:00:00"/>
    <n v="-16148"/>
    <x v="1977"/>
    <x v="1"/>
    <n v="-4541"/>
    <n v="12.432580424366872"/>
    <x v="1"/>
    <n v="1"/>
    <n v="1"/>
    <n v="0"/>
    <n v="0"/>
    <s v="Drivers"/>
    <x v="1"/>
  </r>
  <r>
    <n v="5096110"/>
    <x v="0"/>
    <s v="Y"/>
    <s v="N"/>
    <n v="2"/>
    <x v="2"/>
    <x v="2"/>
    <x v="1"/>
    <x v="3"/>
    <x v="0"/>
    <d v="1995-10-08T00:00:00"/>
    <n v="-10668"/>
    <x v="1978"/>
    <x v="4"/>
    <n v="-401"/>
    <n v="1.0978781656399725"/>
    <x v="1"/>
    <n v="1"/>
    <n v="1"/>
    <n v="1"/>
    <n v="0"/>
    <s v="Sales staff"/>
    <x v="2"/>
  </r>
  <r>
    <n v="5096159"/>
    <x v="1"/>
    <s v="N"/>
    <s v="N"/>
    <n v="2"/>
    <x v="1"/>
    <x v="1"/>
    <x v="1"/>
    <x v="1"/>
    <x v="0"/>
    <d v="1997-03-25T00:00:00"/>
    <n v="-10134"/>
    <x v="1979"/>
    <x v="4"/>
    <n v="-1619"/>
    <n v="4.4325804243668721"/>
    <x v="1"/>
    <n v="1"/>
    <n v="0"/>
    <n v="1"/>
    <n v="0"/>
    <s v="Laborers"/>
    <x v="2"/>
  </r>
  <r>
    <n v="5096210"/>
    <x v="1"/>
    <s v="N"/>
    <s v="N"/>
    <n v="0"/>
    <x v="51"/>
    <x v="2"/>
    <x v="1"/>
    <x v="3"/>
    <x v="0"/>
    <d v="1986-01-25T00:00:00"/>
    <n v="-14211"/>
    <x v="1980"/>
    <x v="3"/>
    <n v="-158"/>
    <n v="0.432580424366872"/>
    <x v="1"/>
    <n v="1"/>
    <n v="1"/>
    <n v="0"/>
    <n v="0"/>
    <s v="Low-skill Laborers"/>
    <x v="1"/>
  </r>
  <r>
    <n v="5096223"/>
    <x v="0"/>
    <s v="N"/>
    <s v="N"/>
    <n v="1"/>
    <x v="64"/>
    <x v="2"/>
    <x v="1"/>
    <x v="1"/>
    <x v="0"/>
    <d v="1988-04-10T00:00:00"/>
    <n v="-13405"/>
    <x v="1981"/>
    <x v="3"/>
    <n v="-888"/>
    <n v="2.431211498973306"/>
    <x v="1"/>
    <n v="1"/>
    <n v="1"/>
    <n v="0"/>
    <n v="0"/>
    <s v="Sales staff"/>
    <x v="3"/>
  </r>
  <r>
    <n v="5096226"/>
    <x v="0"/>
    <s v="N"/>
    <s v="N"/>
    <n v="0"/>
    <x v="30"/>
    <x v="1"/>
    <x v="1"/>
    <x v="1"/>
    <x v="0"/>
    <d v="1976-12-03T00:00:00"/>
    <n v="-17551"/>
    <x v="1982"/>
    <x v="1"/>
    <n v="-2015"/>
    <n v="5.5167693360711842"/>
    <x v="1"/>
    <n v="1"/>
    <n v="1"/>
    <n v="1"/>
    <n v="0"/>
    <s v="Laborers"/>
    <x v="1"/>
  </r>
  <r>
    <n v="5096228"/>
    <x v="0"/>
    <s v="N"/>
    <s v="N"/>
    <n v="0"/>
    <x v="30"/>
    <x v="1"/>
    <x v="1"/>
    <x v="1"/>
    <x v="0"/>
    <d v="1976-12-03T00:00:00"/>
    <n v="-17551"/>
    <x v="1982"/>
    <x v="1"/>
    <n v="-2015"/>
    <n v="5.5167693360711842"/>
    <x v="1"/>
    <n v="1"/>
    <n v="1"/>
    <n v="1"/>
    <n v="0"/>
    <s v="Laborers"/>
    <x v="1"/>
  </r>
  <r>
    <n v="5096232"/>
    <x v="0"/>
    <s v="N"/>
    <s v="N"/>
    <n v="0"/>
    <x v="32"/>
    <x v="0"/>
    <x v="1"/>
    <x v="4"/>
    <x v="0"/>
    <d v="1971-01-17T00:00:00"/>
    <n v="-19698"/>
    <x v="1983"/>
    <x v="2"/>
    <n v="365243"/>
    <n v="0"/>
    <x v="0"/>
    <n v="1"/>
    <n v="0"/>
    <n v="0"/>
    <n v="0"/>
    <m/>
    <x v="0"/>
  </r>
  <r>
    <n v="5096248"/>
    <x v="0"/>
    <s v="Y"/>
    <s v="N"/>
    <n v="0"/>
    <x v="45"/>
    <x v="0"/>
    <x v="1"/>
    <x v="1"/>
    <x v="0"/>
    <d v="1968-12-18T00:00:00"/>
    <n v="-20458"/>
    <x v="1984"/>
    <x v="2"/>
    <n v="365243"/>
    <n v="0"/>
    <x v="0"/>
    <n v="1"/>
    <n v="0"/>
    <n v="1"/>
    <n v="0"/>
    <m/>
    <x v="1"/>
  </r>
  <r>
    <n v="5096260"/>
    <x v="0"/>
    <s v="N"/>
    <s v="N"/>
    <n v="1"/>
    <x v="1"/>
    <x v="2"/>
    <x v="1"/>
    <x v="1"/>
    <x v="0"/>
    <d v="1982-01-05T00:00:00"/>
    <n v="-15692"/>
    <x v="1985"/>
    <x v="1"/>
    <n v="-9136"/>
    <n v="25.013004791238878"/>
    <x v="1"/>
    <n v="1"/>
    <n v="1"/>
    <n v="1"/>
    <n v="0"/>
    <m/>
    <x v="3"/>
  </r>
  <r>
    <n v="5096261"/>
    <x v="0"/>
    <s v="N"/>
    <s v="N"/>
    <n v="1"/>
    <x v="1"/>
    <x v="2"/>
    <x v="1"/>
    <x v="1"/>
    <x v="0"/>
    <d v="1982-01-05T00:00:00"/>
    <n v="-15692"/>
    <x v="1985"/>
    <x v="1"/>
    <n v="-9136"/>
    <n v="25.013004791238878"/>
    <x v="1"/>
    <n v="1"/>
    <n v="1"/>
    <n v="1"/>
    <n v="0"/>
    <m/>
    <x v="3"/>
  </r>
  <r>
    <n v="5096271"/>
    <x v="1"/>
    <s v="N"/>
    <s v="N"/>
    <n v="0"/>
    <x v="78"/>
    <x v="2"/>
    <x v="0"/>
    <x v="2"/>
    <x v="0"/>
    <d v="1964-11-17T00:00:00"/>
    <n v="-21950"/>
    <x v="1986"/>
    <x v="0"/>
    <n v="-3111"/>
    <n v="8.517453798767967"/>
    <x v="1"/>
    <n v="1"/>
    <n v="0"/>
    <n v="0"/>
    <n v="0"/>
    <s v="Laborers"/>
    <x v="0"/>
  </r>
  <r>
    <n v="5096278"/>
    <x v="0"/>
    <s v="N"/>
    <s v="N"/>
    <n v="0"/>
    <x v="14"/>
    <x v="1"/>
    <x v="0"/>
    <x v="0"/>
    <x v="0"/>
    <d v="1975-03-27T00:00:00"/>
    <n v="-18168"/>
    <x v="1987"/>
    <x v="1"/>
    <n v="-3931"/>
    <n v="10.762491444216289"/>
    <x v="1"/>
    <n v="1"/>
    <n v="1"/>
    <n v="1"/>
    <n v="0"/>
    <m/>
    <x v="0"/>
  </r>
  <r>
    <n v="5096280"/>
    <x v="0"/>
    <s v="N"/>
    <s v="N"/>
    <n v="0"/>
    <x v="14"/>
    <x v="1"/>
    <x v="0"/>
    <x v="0"/>
    <x v="0"/>
    <d v="1975-03-27T00:00:00"/>
    <n v="-18168"/>
    <x v="1987"/>
    <x v="1"/>
    <n v="-3931"/>
    <n v="10.762491444216289"/>
    <x v="1"/>
    <n v="1"/>
    <n v="1"/>
    <n v="1"/>
    <n v="0"/>
    <m/>
    <x v="0"/>
  </r>
  <r>
    <n v="5096291"/>
    <x v="0"/>
    <s v="N"/>
    <s v="N"/>
    <n v="0"/>
    <x v="29"/>
    <x v="2"/>
    <x v="1"/>
    <x v="1"/>
    <x v="0"/>
    <d v="1977-05-02T00:00:00"/>
    <n v="-17401"/>
    <x v="369"/>
    <x v="1"/>
    <n v="-1346"/>
    <n v="3.6851471594798082"/>
    <x v="1"/>
    <n v="1"/>
    <n v="1"/>
    <n v="0"/>
    <n v="0"/>
    <m/>
    <x v="1"/>
  </r>
  <r>
    <n v="5096301"/>
    <x v="0"/>
    <s v="N"/>
    <s v="N"/>
    <n v="1"/>
    <x v="2"/>
    <x v="1"/>
    <x v="1"/>
    <x v="1"/>
    <x v="0"/>
    <d v="1999-06-17T00:00:00"/>
    <n v="-9320"/>
    <x v="1988"/>
    <x v="4"/>
    <n v="-2257"/>
    <n v="6.1793292265571527"/>
    <x v="1"/>
    <n v="1"/>
    <n v="0"/>
    <n v="0"/>
    <n v="0"/>
    <s v="High skill tech staff"/>
    <x v="3"/>
  </r>
  <r>
    <n v="5096306"/>
    <x v="0"/>
    <s v="N"/>
    <s v="N"/>
    <n v="1"/>
    <x v="2"/>
    <x v="1"/>
    <x v="1"/>
    <x v="1"/>
    <x v="0"/>
    <d v="1999-06-17T00:00:00"/>
    <n v="-9320"/>
    <x v="1988"/>
    <x v="4"/>
    <n v="-2257"/>
    <n v="6.1793292265571527"/>
    <x v="1"/>
    <n v="1"/>
    <n v="0"/>
    <n v="0"/>
    <n v="0"/>
    <s v="High skill tech staff"/>
    <x v="3"/>
  </r>
  <r>
    <n v="5096314"/>
    <x v="0"/>
    <s v="Y"/>
    <s v="N"/>
    <n v="0"/>
    <x v="51"/>
    <x v="1"/>
    <x v="1"/>
    <x v="3"/>
    <x v="2"/>
    <d v="1986-03-20T00:00:00"/>
    <n v="-14157"/>
    <x v="1989"/>
    <x v="3"/>
    <n v="-2349"/>
    <n v="6.4312114989733056"/>
    <x v="1"/>
    <n v="1"/>
    <n v="0"/>
    <n v="0"/>
    <n v="0"/>
    <s v="Laborers"/>
    <x v="1"/>
  </r>
  <r>
    <n v="5096330"/>
    <x v="0"/>
    <s v="N"/>
    <s v="N"/>
    <n v="0"/>
    <x v="2"/>
    <x v="2"/>
    <x v="1"/>
    <x v="3"/>
    <x v="0"/>
    <d v="1996-10-07T00:00:00"/>
    <n v="-10303"/>
    <x v="1990"/>
    <x v="4"/>
    <n v="-1527"/>
    <n v="4.1806981519507183"/>
    <x v="1"/>
    <n v="1"/>
    <n v="1"/>
    <n v="1"/>
    <n v="0"/>
    <s v="Laborers"/>
    <x v="1"/>
  </r>
  <r>
    <n v="5096339"/>
    <x v="0"/>
    <s v="Y"/>
    <s v="N"/>
    <n v="0"/>
    <x v="33"/>
    <x v="0"/>
    <x v="1"/>
    <x v="4"/>
    <x v="0"/>
    <d v="1960-02-23T00:00:00"/>
    <n v="-23679"/>
    <x v="1991"/>
    <x v="0"/>
    <n v="365243"/>
    <n v="0"/>
    <x v="0"/>
    <n v="1"/>
    <n v="0"/>
    <n v="1"/>
    <n v="0"/>
    <m/>
    <x v="0"/>
  </r>
  <r>
    <n v="5096348"/>
    <x v="1"/>
    <s v="Y"/>
    <s v="N"/>
    <n v="0"/>
    <x v="12"/>
    <x v="1"/>
    <x v="1"/>
    <x v="1"/>
    <x v="0"/>
    <d v="1975-02-09T00:00:00"/>
    <n v="-18214"/>
    <x v="1992"/>
    <x v="1"/>
    <n v="-5210"/>
    <n v="14.264202600958248"/>
    <x v="1"/>
    <n v="1"/>
    <n v="1"/>
    <n v="1"/>
    <n v="0"/>
    <s v="Laborers"/>
    <x v="1"/>
  </r>
  <r>
    <n v="5096362"/>
    <x v="0"/>
    <s v="N"/>
    <s v="N"/>
    <n v="2"/>
    <x v="10"/>
    <x v="2"/>
    <x v="1"/>
    <x v="3"/>
    <x v="0"/>
    <d v="1990-01-10T00:00:00"/>
    <n v="-12765"/>
    <x v="1993"/>
    <x v="3"/>
    <n v="-1374"/>
    <n v="3.761806981519507"/>
    <x v="1"/>
    <n v="1"/>
    <n v="0"/>
    <n v="0"/>
    <n v="0"/>
    <s v="Sales staff"/>
    <x v="2"/>
  </r>
  <r>
    <n v="5096379"/>
    <x v="0"/>
    <s v="Y"/>
    <s v="N"/>
    <n v="2"/>
    <x v="46"/>
    <x v="2"/>
    <x v="1"/>
    <x v="1"/>
    <x v="0"/>
    <d v="1992-07-01T00:00:00"/>
    <n v="-11862"/>
    <x v="1994"/>
    <x v="3"/>
    <n v="-1770"/>
    <n v="4.8459958932238196"/>
    <x v="1"/>
    <n v="1"/>
    <n v="0"/>
    <n v="0"/>
    <n v="0"/>
    <s v="Medicine staff"/>
    <x v="2"/>
  </r>
  <r>
    <n v="5096381"/>
    <x v="0"/>
    <s v="Y"/>
    <s v="N"/>
    <n v="2"/>
    <x v="46"/>
    <x v="2"/>
    <x v="1"/>
    <x v="1"/>
    <x v="0"/>
    <d v="1992-07-01T00:00:00"/>
    <n v="-11862"/>
    <x v="1994"/>
    <x v="3"/>
    <n v="-1770"/>
    <n v="4.8459958932238196"/>
    <x v="1"/>
    <n v="1"/>
    <n v="0"/>
    <n v="0"/>
    <n v="0"/>
    <s v="Medicine staff"/>
    <x v="2"/>
  </r>
  <r>
    <n v="5096419"/>
    <x v="0"/>
    <s v="N"/>
    <s v="N"/>
    <n v="0"/>
    <x v="29"/>
    <x v="2"/>
    <x v="1"/>
    <x v="1"/>
    <x v="0"/>
    <d v="1978-10-09T00:00:00"/>
    <n v="-16876"/>
    <x v="1995"/>
    <x v="1"/>
    <n v="-97"/>
    <n v="0.2655715263518138"/>
    <x v="1"/>
    <n v="1"/>
    <n v="1"/>
    <n v="0"/>
    <n v="0"/>
    <m/>
    <x v="1"/>
  </r>
  <r>
    <n v="5096425"/>
    <x v="1"/>
    <s v="Y"/>
    <s v="N"/>
    <n v="0"/>
    <x v="18"/>
    <x v="1"/>
    <x v="0"/>
    <x v="0"/>
    <x v="0"/>
    <d v="1993-02-27T00:00:00"/>
    <n v="-11621"/>
    <x v="1996"/>
    <x v="3"/>
    <n v="-2349"/>
    <n v="6.4312114989733056"/>
    <x v="1"/>
    <n v="1"/>
    <n v="0"/>
    <n v="1"/>
    <n v="0"/>
    <m/>
    <x v="0"/>
  </r>
  <r>
    <n v="5096429"/>
    <x v="0"/>
    <s v="N"/>
    <s v="N"/>
    <n v="0"/>
    <x v="30"/>
    <x v="1"/>
    <x v="1"/>
    <x v="2"/>
    <x v="0"/>
    <d v="1981-04-24T00:00:00"/>
    <n v="-15948"/>
    <x v="1267"/>
    <x v="1"/>
    <n v="-4572"/>
    <n v="12.517453798767967"/>
    <x v="1"/>
    <n v="1"/>
    <n v="0"/>
    <n v="0"/>
    <n v="0"/>
    <s v="Laborers"/>
    <x v="0"/>
  </r>
  <r>
    <n v="5096436"/>
    <x v="0"/>
    <s v="N"/>
    <s v="N"/>
    <n v="0"/>
    <x v="2"/>
    <x v="2"/>
    <x v="1"/>
    <x v="1"/>
    <x v="0"/>
    <d v="1972-05-10T00:00:00"/>
    <n v="-19219"/>
    <x v="1036"/>
    <x v="2"/>
    <n v="-2835"/>
    <n v="7.7618069815195074"/>
    <x v="1"/>
    <n v="1"/>
    <n v="0"/>
    <n v="0"/>
    <n v="0"/>
    <m/>
    <x v="1"/>
  </r>
  <r>
    <n v="5096442"/>
    <x v="0"/>
    <s v="N"/>
    <s v="N"/>
    <n v="0"/>
    <x v="2"/>
    <x v="2"/>
    <x v="1"/>
    <x v="0"/>
    <x v="0"/>
    <d v="1972-11-13T00:00:00"/>
    <n v="-19032"/>
    <x v="395"/>
    <x v="2"/>
    <n v="-7249"/>
    <n v="19.846680355920601"/>
    <x v="1"/>
    <n v="1"/>
    <n v="0"/>
    <n v="0"/>
    <n v="0"/>
    <s v="Security staff"/>
    <x v="0"/>
  </r>
  <r>
    <n v="5096445"/>
    <x v="0"/>
    <s v="N"/>
    <s v="N"/>
    <n v="1"/>
    <x v="23"/>
    <x v="1"/>
    <x v="0"/>
    <x v="1"/>
    <x v="0"/>
    <d v="1990-01-22T00:00:00"/>
    <n v="-12753"/>
    <x v="1997"/>
    <x v="3"/>
    <n v="-1315"/>
    <n v="3.6002737850787132"/>
    <x v="1"/>
    <n v="1"/>
    <n v="1"/>
    <n v="1"/>
    <n v="0"/>
    <m/>
    <x v="3"/>
  </r>
  <r>
    <n v="5096446"/>
    <x v="0"/>
    <s v="N"/>
    <s v="N"/>
    <n v="1"/>
    <x v="23"/>
    <x v="1"/>
    <x v="0"/>
    <x v="1"/>
    <x v="0"/>
    <d v="1990-01-22T00:00:00"/>
    <n v="-12753"/>
    <x v="1997"/>
    <x v="3"/>
    <n v="-1315"/>
    <n v="3.6002737850787132"/>
    <x v="1"/>
    <n v="1"/>
    <n v="1"/>
    <n v="1"/>
    <n v="0"/>
    <m/>
    <x v="3"/>
  </r>
  <r>
    <n v="5096452"/>
    <x v="0"/>
    <s v="N"/>
    <s v="N"/>
    <n v="1"/>
    <x v="23"/>
    <x v="1"/>
    <x v="0"/>
    <x v="1"/>
    <x v="0"/>
    <d v="1990-01-22T00:00:00"/>
    <n v="-12753"/>
    <x v="1997"/>
    <x v="3"/>
    <n v="-1315"/>
    <n v="3.6002737850787132"/>
    <x v="1"/>
    <n v="1"/>
    <n v="1"/>
    <n v="1"/>
    <n v="0"/>
    <m/>
    <x v="3"/>
  </r>
  <r>
    <n v="5096476"/>
    <x v="0"/>
    <s v="N"/>
    <s v="N"/>
    <n v="0"/>
    <x v="2"/>
    <x v="2"/>
    <x v="1"/>
    <x v="1"/>
    <x v="0"/>
    <d v="1961-07-31T00:00:00"/>
    <n v="-23155"/>
    <x v="1998"/>
    <x v="0"/>
    <n v="-401"/>
    <n v="1.0978781656399725"/>
    <x v="1"/>
    <n v="1"/>
    <n v="0"/>
    <n v="1"/>
    <n v="0"/>
    <s v="Cleaning staff"/>
    <x v="1"/>
  </r>
  <r>
    <n v="5096492"/>
    <x v="0"/>
    <s v="N"/>
    <s v="N"/>
    <n v="2"/>
    <x v="55"/>
    <x v="1"/>
    <x v="0"/>
    <x v="1"/>
    <x v="0"/>
    <d v="1989-06-02T00:00:00"/>
    <n v="-12987"/>
    <x v="1999"/>
    <x v="3"/>
    <n v="-3537"/>
    <n v="9.6837782340862422"/>
    <x v="1"/>
    <n v="1"/>
    <n v="0"/>
    <n v="1"/>
    <n v="0"/>
    <s v="High skill tech staff"/>
    <x v="2"/>
  </r>
  <r>
    <n v="5096516"/>
    <x v="0"/>
    <s v="N"/>
    <s v="N"/>
    <n v="0"/>
    <x v="50"/>
    <x v="1"/>
    <x v="1"/>
    <x v="3"/>
    <x v="0"/>
    <d v="1980-02-02T00:00:00"/>
    <n v="-16395"/>
    <x v="1972"/>
    <x v="1"/>
    <n v="-523"/>
    <n v="1.431895961670089"/>
    <x v="1"/>
    <n v="1"/>
    <n v="0"/>
    <n v="0"/>
    <n v="0"/>
    <s v="Managers"/>
    <x v="1"/>
  </r>
  <r>
    <n v="5096518"/>
    <x v="0"/>
    <s v="N"/>
    <s v="N"/>
    <n v="0"/>
    <x v="50"/>
    <x v="1"/>
    <x v="1"/>
    <x v="3"/>
    <x v="0"/>
    <d v="1980-02-02T00:00:00"/>
    <n v="-16395"/>
    <x v="1972"/>
    <x v="1"/>
    <n v="-523"/>
    <n v="1.431895961670089"/>
    <x v="1"/>
    <n v="1"/>
    <n v="0"/>
    <n v="0"/>
    <n v="0"/>
    <s v="Managers"/>
    <x v="1"/>
  </r>
  <r>
    <n v="5096526"/>
    <x v="0"/>
    <s v="N"/>
    <s v="N"/>
    <n v="0"/>
    <x v="1"/>
    <x v="2"/>
    <x v="1"/>
    <x v="4"/>
    <x v="3"/>
    <d v="1970-03-09T00:00:00"/>
    <n v="-20012"/>
    <x v="2000"/>
    <x v="2"/>
    <n v="-584"/>
    <n v="1.5989048596851472"/>
    <x v="1"/>
    <n v="1"/>
    <n v="0"/>
    <n v="0"/>
    <n v="0"/>
    <s v="Core staff"/>
    <x v="0"/>
  </r>
  <r>
    <n v="5096538"/>
    <x v="0"/>
    <s v="Y"/>
    <s v="N"/>
    <n v="0"/>
    <x v="7"/>
    <x v="1"/>
    <x v="1"/>
    <x v="1"/>
    <x v="0"/>
    <d v="1984-07-10T00:00:00"/>
    <n v="-14775"/>
    <x v="2001"/>
    <x v="1"/>
    <n v="-4327"/>
    <n v="11.846680355920602"/>
    <x v="1"/>
    <n v="1"/>
    <n v="1"/>
    <n v="0"/>
    <n v="0"/>
    <s v="Medicine staff"/>
    <x v="1"/>
  </r>
  <r>
    <n v="5096570"/>
    <x v="1"/>
    <s v="Y"/>
    <s v="N"/>
    <n v="0"/>
    <x v="8"/>
    <x v="0"/>
    <x v="0"/>
    <x v="1"/>
    <x v="0"/>
    <d v="1970-09-14T00:00:00"/>
    <n v="-19823"/>
    <x v="2002"/>
    <x v="2"/>
    <n v="365243"/>
    <n v="0"/>
    <x v="0"/>
    <n v="1"/>
    <n v="0"/>
    <n v="1"/>
    <n v="0"/>
    <m/>
    <x v="1"/>
  </r>
  <r>
    <n v="5096572"/>
    <x v="1"/>
    <s v="Y"/>
    <s v="N"/>
    <n v="0"/>
    <x v="8"/>
    <x v="0"/>
    <x v="0"/>
    <x v="1"/>
    <x v="0"/>
    <d v="1970-09-14T00:00:00"/>
    <n v="-19823"/>
    <x v="2002"/>
    <x v="2"/>
    <n v="365243"/>
    <n v="0"/>
    <x v="0"/>
    <n v="1"/>
    <n v="0"/>
    <n v="1"/>
    <n v="0"/>
    <m/>
    <x v="1"/>
  </r>
  <r>
    <n v="5096575"/>
    <x v="0"/>
    <s v="N"/>
    <s v="N"/>
    <n v="0"/>
    <x v="32"/>
    <x v="0"/>
    <x v="1"/>
    <x v="1"/>
    <x v="0"/>
    <d v="1961-03-25T00:00:00"/>
    <n v="-23283"/>
    <x v="2003"/>
    <x v="0"/>
    <n v="365243"/>
    <n v="0"/>
    <x v="0"/>
    <n v="1"/>
    <n v="0"/>
    <n v="1"/>
    <n v="0"/>
    <m/>
    <x v="1"/>
  </r>
  <r>
    <n v="5096592"/>
    <x v="0"/>
    <s v="N"/>
    <s v="N"/>
    <n v="0"/>
    <x v="11"/>
    <x v="2"/>
    <x v="1"/>
    <x v="2"/>
    <x v="0"/>
    <d v="1993-10-08T00:00:00"/>
    <n v="-11398"/>
    <x v="2004"/>
    <x v="3"/>
    <n v="-1619"/>
    <n v="4.4325804243668721"/>
    <x v="1"/>
    <n v="1"/>
    <n v="1"/>
    <n v="1"/>
    <n v="0"/>
    <s v="Core staff"/>
    <x v="0"/>
  </r>
  <r>
    <n v="5096633"/>
    <x v="0"/>
    <s v="N"/>
    <s v="N"/>
    <n v="0"/>
    <x v="5"/>
    <x v="1"/>
    <x v="0"/>
    <x v="1"/>
    <x v="2"/>
    <d v="1997-05-02T00:00:00"/>
    <n v="-10096"/>
    <x v="2005"/>
    <x v="4"/>
    <n v="-1374"/>
    <n v="3.761806981519507"/>
    <x v="1"/>
    <n v="1"/>
    <n v="0"/>
    <n v="1"/>
    <n v="0"/>
    <m/>
    <x v="1"/>
  </r>
  <r>
    <n v="5096634"/>
    <x v="0"/>
    <s v="N"/>
    <s v="N"/>
    <n v="0"/>
    <x v="5"/>
    <x v="1"/>
    <x v="0"/>
    <x v="1"/>
    <x v="2"/>
    <d v="1997-05-02T00:00:00"/>
    <n v="-10096"/>
    <x v="2005"/>
    <x v="4"/>
    <n v="-1374"/>
    <n v="3.761806981519507"/>
    <x v="1"/>
    <n v="1"/>
    <n v="0"/>
    <n v="1"/>
    <n v="0"/>
    <m/>
    <x v="1"/>
  </r>
  <r>
    <n v="5096651"/>
    <x v="0"/>
    <s v="N"/>
    <s v="N"/>
    <n v="1"/>
    <x v="86"/>
    <x v="2"/>
    <x v="1"/>
    <x v="1"/>
    <x v="0"/>
    <d v="1977-01-04T00:00:00"/>
    <n v="-17519"/>
    <x v="2006"/>
    <x v="1"/>
    <n v="-1132"/>
    <n v="3.0992470910335386"/>
    <x v="1"/>
    <n v="1"/>
    <n v="0"/>
    <n v="0"/>
    <n v="0"/>
    <s v="Core staff"/>
    <x v="3"/>
  </r>
  <r>
    <n v="5096665"/>
    <x v="1"/>
    <s v="Y"/>
    <s v="N"/>
    <n v="0"/>
    <x v="1"/>
    <x v="0"/>
    <x v="1"/>
    <x v="1"/>
    <x v="0"/>
    <d v="1985-07-20T00:00:00"/>
    <n v="-14400"/>
    <x v="886"/>
    <x v="3"/>
    <n v="365243"/>
    <n v="0"/>
    <x v="0"/>
    <n v="1"/>
    <n v="0"/>
    <n v="1"/>
    <n v="0"/>
    <m/>
    <x v="1"/>
  </r>
  <r>
    <n v="5096667"/>
    <x v="1"/>
    <s v="Y"/>
    <s v="N"/>
    <n v="0"/>
    <x v="1"/>
    <x v="0"/>
    <x v="1"/>
    <x v="1"/>
    <x v="0"/>
    <d v="1985-07-20T00:00:00"/>
    <n v="-14400"/>
    <x v="886"/>
    <x v="3"/>
    <n v="365243"/>
    <n v="0"/>
    <x v="0"/>
    <n v="1"/>
    <n v="0"/>
    <n v="1"/>
    <n v="0"/>
    <m/>
    <x v="1"/>
  </r>
  <r>
    <n v="5096691"/>
    <x v="0"/>
    <s v="N"/>
    <s v="N"/>
    <n v="0"/>
    <x v="8"/>
    <x v="0"/>
    <x v="0"/>
    <x v="1"/>
    <x v="0"/>
    <d v="1963-04-04T00:00:00"/>
    <n v="-22543"/>
    <x v="2007"/>
    <x v="0"/>
    <n v="365243"/>
    <n v="0"/>
    <x v="0"/>
    <n v="1"/>
    <n v="0"/>
    <n v="0"/>
    <n v="0"/>
    <m/>
    <x v="1"/>
  </r>
  <r>
    <n v="5096725"/>
    <x v="1"/>
    <s v="Y"/>
    <s v="N"/>
    <n v="0"/>
    <x v="1"/>
    <x v="1"/>
    <x v="1"/>
    <x v="1"/>
    <x v="0"/>
    <d v="1995-02-08T00:00:00"/>
    <n v="-10910"/>
    <x v="2008"/>
    <x v="4"/>
    <n v="-2349"/>
    <n v="6.4312114989733056"/>
    <x v="1"/>
    <n v="1"/>
    <n v="1"/>
    <n v="0"/>
    <n v="0"/>
    <s v="Laborers"/>
    <x v="1"/>
  </r>
  <r>
    <n v="5096743"/>
    <x v="0"/>
    <s v="N"/>
    <s v="Y"/>
    <n v="0"/>
    <x v="16"/>
    <x v="2"/>
    <x v="3"/>
    <x v="4"/>
    <x v="0"/>
    <d v="1978-12-21T00:00:00"/>
    <n v="-16803"/>
    <x v="2009"/>
    <x v="1"/>
    <n v="-2227"/>
    <n v="6.0971937029431897"/>
    <x v="1"/>
    <n v="1"/>
    <n v="1"/>
    <n v="1"/>
    <n v="0"/>
    <s v="Cleaning staff"/>
    <x v="0"/>
  </r>
  <r>
    <n v="5096753"/>
    <x v="1"/>
    <s v="Y"/>
    <s v="N"/>
    <n v="0"/>
    <x v="53"/>
    <x v="2"/>
    <x v="0"/>
    <x v="1"/>
    <x v="0"/>
    <d v="1984-03-10T00:00:00"/>
    <n v="-14897"/>
    <x v="1222"/>
    <x v="1"/>
    <n v="-2654"/>
    <n v="7.2662559890485969"/>
    <x v="1"/>
    <n v="1"/>
    <n v="1"/>
    <n v="1"/>
    <n v="0"/>
    <m/>
    <x v="1"/>
  </r>
  <r>
    <n v="5096754"/>
    <x v="1"/>
    <s v="Y"/>
    <s v="N"/>
    <n v="0"/>
    <x v="53"/>
    <x v="2"/>
    <x v="0"/>
    <x v="1"/>
    <x v="0"/>
    <d v="1984-03-10T00:00:00"/>
    <n v="-14897"/>
    <x v="1222"/>
    <x v="1"/>
    <n v="-2654"/>
    <n v="7.2662559890485969"/>
    <x v="1"/>
    <n v="1"/>
    <n v="1"/>
    <n v="1"/>
    <n v="0"/>
    <m/>
    <x v="1"/>
  </r>
  <r>
    <n v="5096756"/>
    <x v="1"/>
    <s v="Y"/>
    <s v="N"/>
    <n v="0"/>
    <x v="53"/>
    <x v="2"/>
    <x v="0"/>
    <x v="1"/>
    <x v="0"/>
    <d v="1984-03-10T00:00:00"/>
    <n v="-14897"/>
    <x v="1222"/>
    <x v="1"/>
    <n v="-2654"/>
    <n v="7.2662559890485969"/>
    <x v="1"/>
    <n v="1"/>
    <n v="1"/>
    <n v="1"/>
    <n v="0"/>
    <m/>
    <x v="1"/>
  </r>
  <r>
    <n v="5096760"/>
    <x v="0"/>
    <s v="Y"/>
    <s v="Y"/>
    <n v="1"/>
    <x v="16"/>
    <x v="1"/>
    <x v="1"/>
    <x v="1"/>
    <x v="0"/>
    <d v="1997-08-26T00:00:00"/>
    <n v="-9980"/>
    <x v="2010"/>
    <x v="4"/>
    <n v="-128"/>
    <n v="0.35044490075290896"/>
    <x v="1"/>
    <n v="1"/>
    <n v="0"/>
    <n v="1"/>
    <n v="0"/>
    <s v="Sales staff"/>
    <x v="3"/>
  </r>
  <r>
    <n v="5096770"/>
    <x v="0"/>
    <s v="N"/>
    <s v="N"/>
    <n v="0"/>
    <x v="70"/>
    <x v="0"/>
    <x v="1"/>
    <x v="1"/>
    <x v="0"/>
    <d v="1965-07-25T00:00:00"/>
    <n v="-21700"/>
    <x v="319"/>
    <x v="2"/>
    <n v="365243"/>
    <n v="0"/>
    <x v="0"/>
    <n v="1"/>
    <n v="0"/>
    <n v="0"/>
    <n v="0"/>
    <m/>
    <x v="1"/>
  </r>
  <r>
    <n v="5096771"/>
    <x v="0"/>
    <s v="N"/>
    <s v="N"/>
    <n v="0"/>
    <x v="70"/>
    <x v="0"/>
    <x v="1"/>
    <x v="1"/>
    <x v="0"/>
    <d v="1965-07-25T00:00:00"/>
    <n v="-21700"/>
    <x v="319"/>
    <x v="2"/>
    <n v="365243"/>
    <n v="0"/>
    <x v="0"/>
    <n v="1"/>
    <n v="0"/>
    <n v="0"/>
    <n v="0"/>
    <m/>
    <x v="1"/>
  </r>
  <r>
    <n v="5096772"/>
    <x v="0"/>
    <s v="N"/>
    <s v="N"/>
    <n v="0"/>
    <x v="70"/>
    <x v="0"/>
    <x v="1"/>
    <x v="1"/>
    <x v="0"/>
    <d v="1965-07-25T00:00:00"/>
    <n v="-21700"/>
    <x v="319"/>
    <x v="2"/>
    <n v="365243"/>
    <n v="0"/>
    <x v="0"/>
    <n v="1"/>
    <n v="0"/>
    <n v="0"/>
    <n v="0"/>
    <m/>
    <x v="1"/>
  </r>
  <r>
    <n v="5096800"/>
    <x v="0"/>
    <s v="N"/>
    <s v="Y"/>
    <n v="0"/>
    <x v="29"/>
    <x v="1"/>
    <x v="1"/>
    <x v="4"/>
    <x v="0"/>
    <d v="1969-10-27T00:00:00"/>
    <n v="-20145"/>
    <x v="2011"/>
    <x v="2"/>
    <n v="-11907"/>
    <n v="32.599589322381931"/>
    <x v="1"/>
    <n v="1"/>
    <n v="1"/>
    <n v="1"/>
    <n v="0"/>
    <s v="Sales staff"/>
    <x v="0"/>
  </r>
  <r>
    <n v="5096831"/>
    <x v="1"/>
    <s v="Y"/>
    <s v="N"/>
    <n v="0"/>
    <x v="18"/>
    <x v="1"/>
    <x v="1"/>
    <x v="2"/>
    <x v="0"/>
    <d v="1978-09-19T00:00:00"/>
    <n v="-16896"/>
    <x v="168"/>
    <x v="1"/>
    <n v="-128"/>
    <n v="0.35044490075290896"/>
    <x v="1"/>
    <n v="1"/>
    <n v="0"/>
    <n v="0"/>
    <n v="0"/>
    <s v="Drivers"/>
    <x v="0"/>
  </r>
  <r>
    <n v="5096833"/>
    <x v="1"/>
    <s v="Y"/>
    <s v="N"/>
    <n v="0"/>
    <x v="18"/>
    <x v="1"/>
    <x v="1"/>
    <x v="2"/>
    <x v="0"/>
    <d v="1978-09-19T00:00:00"/>
    <n v="-16896"/>
    <x v="168"/>
    <x v="1"/>
    <n v="-128"/>
    <n v="0.35044490075290896"/>
    <x v="1"/>
    <n v="1"/>
    <n v="0"/>
    <n v="0"/>
    <n v="0"/>
    <s v="Drivers"/>
    <x v="0"/>
  </r>
  <r>
    <n v="5096835"/>
    <x v="0"/>
    <s v="N"/>
    <s v="Y"/>
    <n v="0"/>
    <x v="56"/>
    <x v="0"/>
    <x v="0"/>
    <x v="2"/>
    <x v="0"/>
    <d v="1963-06-05T00:00:00"/>
    <n v="-22481"/>
    <x v="2012"/>
    <x v="0"/>
    <n v="365243"/>
    <n v="0"/>
    <x v="0"/>
    <n v="1"/>
    <n v="0"/>
    <n v="0"/>
    <n v="0"/>
    <m/>
    <x v="0"/>
  </r>
  <r>
    <n v="5096839"/>
    <x v="0"/>
    <s v="N"/>
    <s v="Y"/>
    <n v="0"/>
    <x v="56"/>
    <x v="0"/>
    <x v="0"/>
    <x v="2"/>
    <x v="0"/>
    <d v="1963-06-05T00:00:00"/>
    <n v="-22481"/>
    <x v="2012"/>
    <x v="0"/>
    <n v="365243"/>
    <n v="0"/>
    <x v="0"/>
    <n v="1"/>
    <n v="0"/>
    <n v="0"/>
    <n v="0"/>
    <m/>
    <x v="0"/>
  </r>
  <r>
    <n v="5096842"/>
    <x v="0"/>
    <s v="N"/>
    <s v="Y"/>
    <n v="0"/>
    <x v="56"/>
    <x v="0"/>
    <x v="0"/>
    <x v="2"/>
    <x v="0"/>
    <d v="1963-06-05T00:00:00"/>
    <n v="-22481"/>
    <x v="2012"/>
    <x v="0"/>
    <n v="365243"/>
    <n v="0"/>
    <x v="0"/>
    <n v="1"/>
    <n v="0"/>
    <n v="0"/>
    <n v="0"/>
    <m/>
    <x v="0"/>
  </r>
  <r>
    <n v="5096843"/>
    <x v="0"/>
    <s v="N"/>
    <s v="Y"/>
    <n v="0"/>
    <x v="56"/>
    <x v="0"/>
    <x v="0"/>
    <x v="2"/>
    <x v="0"/>
    <d v="1963-06-05T00:00:00"/>
    <n v="-22481"/>
    <x v="2012"/>
    <x v="0"/>
    <n v="365243"/>
    <n v="0"/>
    <x v="0"/>
    <n v="1"/>
    <n v="0"/>
    <n v="0"/>
    <n v="0"/>
    <m/>
    <x v="0"/>
  </r>
  <r>
    <n v="5096858"/>
    <x v="1"/>
    <s v="Y"/>
    <s v="Y"/>
    <n v="0"/>
    <x v="16"/>
    <x v="1"/>
    <x v="1"/>
    <x v="1"/>
    <x v="0"/>
    <d v="1975-10-06T00:00:00"/>
    <n v="-17975"/>
    <x v="2013"/>
    <x v="1"/>
    <n v="-3476"/>
    <n v="9.5167693360711834"/>
    <x v="1"/>
    <n v="1"/>
    <n v="0"/>
    <n v="0"/>
    <n v="0"/>
    <s v="Drivers"/>
    <x v="1"/>
  </r>
  <r>
    <n v="5096871"/>
    <x v="1"/>
    <s v="Y"/>
    <s v="Y"/>
    <n v="0"/>
    <x v="18"/>
    <x v="2"/>
    <x v="3"/>
    <x v="1"/>
    <x v="0"/>
    <d v="1983-10-05T00:00:00"/>
    <n v="-15054"/>
    <x v="2014"/>
    <x v="1"/>
    <n v="-1527"/>
    <n v="4.1806981519507183"/>
    <x v="1"/>
    <n v="1"/>
    <n v="0"/>
    <n v="0"/>
    <n v="0"/>
    <s v="High skill tech staff"/>
    <x v="1"/>
  </r>
  <r>
    <n v="5096888"/>
    <x v="1"/>
    <s v="Y"/>
    <s v="N"/>
    <n v="0"/>
    <x v="18"/>
    <x v="1"/>
    <x v="2"/>
    <x v="1"/>
    <x v="0"/>
    <d v="1975-10-10T00:00:00"/>
    <n v="-17971"/>
    <x v="2015"/>
    <x v="1"/>
    <n v="-4752"/>
    <n v="13.010266940451745"/>
    <x v="1"/>
    <n v="1"/>
    <n v="0"/>
    <n v="1"/>
    <n v="0"/>
    <s v="Drivers"/>
    <x v="1"/>
  </r>
  <r>
    <n v="5096898"/>
    <x v="1"/>
    <s v="Y"/>
    <s v="Y"/>
    <n v="0"/>
    <x v="10"/>
    <x v="2"/>
    <x v="1"/>
    <x v="1"/>
    <x v="0"/>
    <d v="1975-08-04T00:00:00"/>
    <n v="-18038"/>
    <x v="2016"/>
    <x v="1"/>
    <n v="-276"/>
    <n v="0.75564681724845995"/>
    <x v="1"/>
    <n v="1"/>
    <n v="0"/>
    <n v="0"/>
    <n v="0"/>
    <s v="High skill tech staff"/>
    <x v="1"/>
  </r>
  <r>
    <n v="5096903"/>
    <x v="1"/>
    <s v="Y"/>
    <s v="Y"/>
    <n v="1"/>
    <x v="5"/>
    <x v="2"/>
    <x v="1"/>
    <x v="1"/>
    <x v="0"/>
    <d v="1988-03-05T00:00:00"/>
    <n v="-13441"/>
    <x v="2017"/>
    <x v="3"/>
    <n v="-3078"/>
    <n v="8.4271047227926079"/>
    <x v="1"/>
    <n v="1"/>
    <n v="0"/>
    <n v="1"/>
    <n v="0"/>
    <s v="Drivers"/>
    <x v="3"/>
  </r>
  <r>
    <n v="5096904"/>
    <x v="0"/>
    <s v="Y"/>
    <s v="Y"/>
    <n v="0"/>
    <x v="5"/>
    <x v="1"/>
    <x v="0"/>
    <x v="3"/>
    <x v="0"/>
    <d v="1992-06-16T00:00:00"/>
    <n v="-11877"/>
    <x v="2018"/>
    <x v="3"/>
    <n v="-1372"/>
    <n v="3.7563312799452429"/>
    <x v="1"/>
    <n v="1"/>
    <n v="0"/>
    <n v="0"/>
    <n v="0"/>
    <s v="Core staff"/>
    <x v="1"/>
  </r>
  <r>
    <n v="5096915"/>
    <x v="0"/>
    <s v="N"/>
    <s v="Y"/>
    <n v="1"/>
    <x v="1"/>
    <x v="3"/>
    <x v="0"/>
    <x v="3"/>
    <x v="0"/>
    <d v="1978-06-21T00:00:00"/>
    <n v="-16986"/>
    <x v="2019"/>
    <x v="1"/>
    <n v="-9195"/>
    <n v="25.17453798767967"/>
    <x v="1"/>
    <n v="1"/>
    <n v="1"/>
    <n v="1"/>
    <n v="0"/>
    <s v="Core staff"/>
    <x v="3"/>
  </r>
  <r>
    <n v="5096927"/>
    <x v="0"/>
    <s v="N"/>
    <s v="N"/>
    <n v="0"/>
    <x v="1"/>
    <x v="2"/>
    <x v="1"/>
    <x v="3"/>
    <x v="0"/>
    <d v="1980-09-21T00:00:00"/>
    <n v="-16163"/>
    <x v="2020"/>
    <x v="1"/>
    <n v="-1496"/>
    <n v="4.0958247775496233"/>
    <x v="1"/>
    <n v="1"/>
    <n v="1"/>
    <n v="0"/>
    <n v="0"/>
    <s v="Laborers"/>
    <x v="1"/>
  </r>
  <r>
    <n v="5096944"/>
    <x v="1"/>
    <s v="Y"/>
    <s v="N"/>
    <n v="0"/>
    <x v="1"/>
    <x v="2"/>
    <x v="2"/>
    <x v="1"/>
    <x v="0"/>
    <d v="2001-02-27T00:00:00"/>
    <n v="-8699"/>
    <x v="2021"/>
    <x v="4"/>
    <n v="-673"/>
    <n v="1.8425735797399041"/>
    <x v="1"/>
    <n v="1"/>
    <n v="1"/>
    <n v="0"/>
    <n v="0"/>
    <s v="Managers"/>
    <x v="1"/>
  </r>
  <r>
    <n v="5096950"/>
    <x v="0"/>
    <s v="N"/>
    <s v="N"/>
    <n v="0"/>
    <x v="1"/>
    <x v="2"/>
    <x v="1"/>
    <x v="1"/>
    <x v="0"/>
    <d v="1962-11-10T00:00:00"/>
    <n v="-22688"/>
    <x v="2022"/>
    <x v="0"/>
    <n v="-4266"/>
    <n v="11.679671457905544"/>
    <x v="1"/>
    <n v="1"/>
    <n v="0"/>
    <n v="0"/>
    <n v="0"/>
    <s v="Medicine staff"/>
    <x v="1"/>
  </r>
  <r>
    <n v="5096967"/>
    <x v="0"/>
    <s v="N"/>
    <s v="Y"/>
    <n v="0"/>
    <x v="29"/>
    <x v="0"/>
    <x v="1"/>
    <x v="1"/>
    <x v="0"/>
    <d v="1966-01-17T00:00:00"/>
    <n v="-21524"/>
    <x v="2023"/>
    <x v="2"/>
    <n v="365243"/>
    <n v="0"/>
    <x v="0"/>
    <n v="1"/>
    <n v="0"/>
    <n v="1"/>
    <n v="0"/>
    <m/>
    <x v="1"/>
  </r>
  <r>
    <n v="5096971"/>
    <x v="0"/>
    <s v="Y"/>
    <s v="N"/>
    <n v="0"/>
    <x v="8"/>
    <x v="2"/>
    <x v="0"/>
    <x v="1"/>
    <x v="0"/>
    <d v="1979-05-24T00:00:00"/>
    <n v="-16649"/>
    <x v="2024"/>
    <x v="1"/>
    <n v="-5453"/>
    <n v="14.929500342231348"/>
    <x v="1"/>
    <n v="1"/>
    <n v="0"/>
    <n v="1"/>
    <n v="0"/>
    <s v="Core staff"/>
    <x v="1"/>
  </r>
  <r>
    <n v="5097000"/>
    <x v="0"/>
    <s v="Y"/>
    <s v="Y"/>
    <n v="0"/>
    <x v="5"/>
    <x v="3"/>
    <x v="0"/>
    <x v="1"/>
    <x v="0"/>
    <d v="1989-07-15T00:00:00"/>
    <n v="-12944"/>
    <x v="2025"/>
    <x v="3"/>
    <n v="-4082"/>
    <n v="11.175906913073238"/>
    <x v="1"/>
    <n v="1"/>
    <n v="0"/>
    <n v="0"/>
    <n v="0"/>
    <m/>
    <x v="1"/>
  </r>
  <r>
    <n v="5097012"/>
    <x v="0"/>
    <s v="Y"/>
    <s v="N"/>
    <n v="0"/>
    <x v="11"/>
    <x v="2"/>
    <x v="0"/>
    <x v="1"/>
    <x v="0"/>
    <d v="1995-07-17T00:00:00"/>
    <n v="-10751"/>
    <x v="2026"/>
    <x v="4"/>
    <n v="-1039"/>
    <n v="2.8446269678302532"/>
    <x v="1"/>
    <n v="1"/>
    <n v="0"/>
    <n v="0"/>
    <n v="0"/>
    <s v="Core staff"/>
    <x v="1"/>
  </r>
  <r>
    <n v="5097033"/>
    <x v="0"/>
    <s v="N"/>
    <s v="N"/>
    <n v="1"/>
    <x v="33"/>
    <x v="1"/>
    <x v="1"/>
    <x v="2"/>
    <x v="0"/>
    <d v="1977-01-19T00:00:00"/>
    <n v="-17504"/>
    <x v="1068"/>
    <x v="1"/>
    <n v="-1738"/>
    <n v="4.7583846680355917"/>
    <x v="1"/>
    <n v="1"/>
    <n v="0"/>
    <n v="1"/>
    <n v="0"/>
    <s v="Laborers"/>
    <x v="1"/>
  </r>
  <r>
    <n v="5097057"/>
    <x v="0"/>
    <s v="N"/>
    <s v="Y"/>
    <n v="0"/>
    <x v="18"/>
    <x v="1"/>
    <x v="1"/>
    <x v="2"/>
    <x v="0"/>
    <d v="1970-04-06T00:00:00"/>
    <n v="-19984"/>
    <x v="1087"/>
    <x v="2"/>
    <n v="-3868"/>
    <n v="10.590006844626968"/>
    <x v="1"/>
    <n v="1"/>
    <n v="0"/>
    <n v="1"/>
    <n v="0"/>
    <s v="Core staff"/>
    <x v="0"/>
  </r>
  <r>
    <n v="5097105"/>
    <x v="0"/>
    <s v="N"/>
    <s v="Y"/>
    <n v="0"/>
    <x v="76"/>
    <x v="2"/>
    <x v="1"/>
    <x v="1"/>
    <x v="0"/>
    <d v="1967-05-30T00:00:00"/>
    <n v="-21026"/>
    <x v="2027"/>
    <x v="2"/>
    <n v="-11448"/>
    <n v="31.342915811088297"/>
    <x v="1"/>
    <n v="1"/>
    <n v="0"/>
    <n v="1"/>
    <n v="0"/>
    <m/>
    <x v="1"/>
  </r>
  <r>
    <n v="5097117"/>
    <x v="0"/>
    <s v="Y"/>
    <s v="Y"/>
    <n v="0"/>
    <x v="8"/>
    <x v="3"/>
    <x v="1"/>
    <x v="1"/>
    <x v="0"/>
    <d v="1975-05-24T00:00:00"/>
    <n v="-18110"/>
    <x v="2028"/>
    <x v="1"/>
    <n v="-2074"/>
    <n v="5.678302532511978"/>
    <x v="1"/>
    <n v="1"/>
    <n v="0"/>
    <n v="0"/>
    <n v="0"/>
    <s v="Managers"/>
    <x v="1"/>
  </r>
  <r>
    <n v="5097132"/>
    <x v="1"/>
    <s v="Y"/>
    <s v="Y"/>
    <n v="0"/>
    <x v="5"/>
    <x v="2"/>
    <x v="1"/>
    <x v="1"/>
    <x v="0"/>
    <d v="1993-10-24T00:00:00"/>
    <n v="-11382"/>
    <x v="2029"/>
    <x v="3"/>
    <n v="-2468"/>
    <n v="6.7570157426420261"/>
    <x v="1"/>
    <n v="1"/>
    <n v="1"/>
    <n v="1"/>
    <n v="0"/>
    <s v="Drivers"/>
    <x v="1"/>
  </r>
  <r>
    <n v="5097139"/>
    <x v="0"/>
    <s v="N"/>
    <s v="N"/>
    <n v="0"/>
    <x v="12"/>
    <x v="1"/>
    <x v="0"/>
    <x v="3"/>
    <x v="2"/>
    <d v="1984-10-14T00:00:00"/>
    <n v="-14679"/>
    <x v="2030"/>
    <x v="1"/>
    <n v="-1282"/>
    <n v="3.5099247091033541"/>
    <x v="1"/>
    <n v="1"/>
    <n v="0"/>
    <n v="0"/>
    <n v="0"/>
    <s v="Managers"/>
    <x v="1"/>
  </r>
  <r>
    <n v="5097148"/>
    <x v="0"/>
    <s v="N"/>
    <s v="Y"/>
    <n v="0"/>
    <x v="16"/>
    <x v="0"/>
    <x v="1"/>
    <x v="2"/>
    <x v="0"/>
    <d v="1966-05-16T00:00:00"/>
    <n v="-21405"/>
    <x v="2031"/>
    <x v="2"/>
    <n v="365243"/>
    <n v="0"/>
    <x v="0"/>
    <n v="1"/>
    <n v="0"/>
    <n v="0"/>
    <n v="0"/>
    <m/>
    <x v="0"/>
  </r>
  <r>
    <n v="5097165"/>
    <x v="0"/>
    <s v="N"/>
    <s v="Y"/>
    <n v="0"/>
    <x v="16"/>
    <x v="2"/>
    <x v="1"/>
    <x v="3"/>
    <x v="2"/>
    <d v="1984-09-14T00:00:00"/>
    <n v="-14709"/>
    <x v="2032"/>
    <x v="1"/>
    <n v="-1313"/>
    <n v="3.5947980835044491"/>
    <x v="1"/>
    <n v="1"/>
    <n v="0"/>
    <n v="0"/>
    <n v="0"/>
    <s v="Sales staff"/>
    <x v="1"/>
  </r>
  <r>
    <n v="5097170"/>
    <x v="1"/>
    <s v="Y"/>
    <s v="Y"/>
    <n v="0"/>
    <x v="16"/>
    <x v="3"/>
    <x v="1"/>
    <x v="1"/>
    <x v="0"/>
    <d v="1998-10-10T00:00:00"/>
    <n v="-9570"/>
    <x v="796"/>
    <x v="4"/>
    <n v="-2620"/>
    <n v="7.1731690622861057"/>
    <x v="1"/>
    <n v="1"/>
    <n v="0"/>
    <n v="0"/>
    <n v="0"/>
    <s v="Drivers"/>
    <x v="1"/>
  </r>
  <r>
    <n v="5097171"/>
    <x v="0"/>
    <s v="N"/>
    <s v="Y"/>
    <n v="0"/>
    <x v="12"/>
    <x v="2"/>
    <x v="1"/>
    <x v="2"/>
    <x v="0"/>
    <d v="1996-07-05T00:00:00"/>
    <n v="-10397"/>
    <x v="2033"/>
    <x v="4"/>
    <n v="-1037"/>
    <n v="2.839151266255989"/>
    <x v="1"/>
    <n v="1"/>
    <n v="0"/>
    <n v="0"/>
    <n v="0"/>
    <s v="Accountants"/>
    <x v="0"/>
  </r>
  <r>
    <n v="5097185"/>
    <x v="0"/>
    <s v="N"/>
    <s v="Y"/>
    <n v="0"/>
    <x v="11"/>
    <x v="3"/>
    <x v="0"/>
    <x v="1"/>
    <x v="0"/>
    <d v="1994-06-05T00:00:00"/>
    <n v="-11158"/>
    <x v="2034"/>
    <x v="3"/>
    <n v="-640"/>
    <n v="1.7522245037645447"/>
    <x v="1"/>
    <n v="1"/>
    <n v="0"/>
    <n v="1"/>
    <n v="0"/>
    <s v="High skill tech staff"/>
    <x v="1"/>
  </r>
  <r>
    <n v="5097189"/>
    <x v="0"/>
    <s v="N"/>
    <s v="Y"/>
    <n v="0"/>
    <x v="22"/>
    <x v="0"/>
    <x v="1"/>
    <x v="4"/>
    <x v="0"/>
    <d v="1963-04-04T00:00:00"/>
    <n v="-22543"/>
    <x v="2007"/>
    <x v="0"/>
    <n v="365243"/>
    <n v="0"/>
    <x v="0"/>
    <n v="1"/>
    <n v="0"/>
    <n v="1"/>
    <n v="0"/>
    <m/>
    <x v="0"/>
  </r>
  <r>
    <n v="5099717"/>
    <x v="1"/>
    <s v="Y"/>
    <s v="N"/>
    <n v="0"/>
    <x v="39"/>
    <x v="2"/>
    <x v="1"/>
    <x v="1"/>
    <x v="0"/>
    <d v="1986-05-21T00:00:00"/>
    <n v="-14095"/>
    <x v="2035"/>
    <x v="3"/>
    <n v="-1526"/>
    <n v="4.1779603011635862"/>
    <x v="1"/>
    <n v="1"/>
    <n v="0"/>
    <n v="0"/>
    <n v="0"/>
    <s v="Drivers"/>
    <x v="1"/>
  </r>
  <r>
    <n v="5099725"/>
    <x v="1"/>
    <s v="Y"/>
    <s v="N"/>
    <n v="0"/>
    <x v="39"/>
    <x v="2"/>
    <x v="1"/>
    <x v="1"/>
    <x v="0"/>
    <d v="1986-05-21T00:00:00"/>
    <n v="-14095"/>
    <x v="2035"/>
    <x v="3"/>
    <n v="-1526"/>
    <n v="4.1779603011635862"/>
    <x v="1"/>
    <n v="1"/>
    <n v="0"/>
    <n v="0"/>
    <n v="0"/>
    <s v="Drivers"/>
    <x v="1"/>
  </r>
  <r>
    <n v="5099733"/>
    <x v="1"/>
    <s v="Y"/>
    <s v="N"/>
    <n v="0"/>
    <x v="70"/>
    <x v="2"/>
    <x v="1"/>
    <x v="1"/>
    <x v="3"/>
    <d v="1995-04-02T00:00:00"/>
    <n v="-10857"/>
    <x v="2036"/>
    <x v="4"/>
    <n v="-218"/>
    <n v="0.59685147159479812"/>
    <x v="1"/>
    <n v="1"/>
    <n v="0"/>
    <n v="0"/>
    <n v="0"/>
    <m/>
    <x v="1"/>
  </r>
  <r>
    <n v="5099747"/>
    <x v="0"/>
    <s v="N"/>
    <s v="Y"/>
    <n v="1"/>
    <x v="1"/>
    <x v="2"/>
    <x v="1"/>
    <x v="1"/>
    <x v="0"/>
    <d v="1997-04-16T00:00:00"/>
    <n v="-10112"/>
    <x v="2037"/>
    <x v="4"/>
    <n v="-3170"/>
    <n v="8.6789869952087617"/>
    <x v="1"/>
    <n v="1"/>
    <n v="1"/>
    <n v="1"/>
    <n v="0"/>
    <s v="Laborers"/>
    <x v="3"/>
  </r>
  <r>
    <n v="5099762"/>
    <x v="0"/>
    <s v="N"/>
    <s v="Y"/>
    <n v="1"/>
    <x v="1"/>
    <x v="2"/>
    <x v="1"/>
    <x v="1"/>
    <x v="0"/>
    <d v="1997-04-16T00:00:00"/>
    <n v="-10112"/>
    <x v="2037"/>
    <x v="4"/>
    <n v="-3170"/>
    <n v="8.6789869952087617"/>
    <x v="1"/>
    <n v="1"/>
    <n v="1"/>
    <n v="1"/>
    <n v="0"/>
    <s v="Laborers"/>
    <x v="3"/>
  </r>
  <r>
    <n v="5099774"/>
    <x v="0"/>
    <s v="Y"/>
    <s v="Y"/>
    <n v="0"/>
    <x v="2"/>
    <x v="2"/>
    <x v="1"/>
    <x v="1"/>
    <x v="0"/>
    <d v="1984-07-01T00:00:00"/>
    <n v="-14784"/>
    <x v="2038"/>
    <x v="1"/>
    <n v="-5817"/>
    <n v="15.926078028747433"/>
    <x v="1"/>
    <n v="1"/>
    <n v="0"/>
    <n v="0"/>
    <n v="0"/>
    <s v="Security staff"/>
    <x v="1"/>
  </r>
  <r>
    <n v="5099776"/>
    <x v="0"/>
    <s v="Y"/>
    <s v="Y"/>
    <n v="0"/>
    <x v="5"/>
    <x v="2"/>
    <x v="0"/>
    <x v="1"/>
    <x v="0"/>
    <d v="1995-12-29T00:00:00"/>
    <n v="-10586"/>
    <x v="2039"/>
    <x v="4"/>
    <n v="-279"/>
    <n v="0.76386036960985626"/>
    <x v="1"/>
    <n v="1"/>
    <n v="0"/>
    <n v="0"/>
    <n v="0"/>
    <s v="Sales staff"/>
    <x v="1"/>
  </r>
  <r>
    <n v="5099777"/>
    <x v="0"/>
    <s v="Y"/>
    <s v="Y"/>
    <n v="0"/>
    <x v="5"/>
    <x v="2"/>
    <x v="0"/>
    <x v="1"/>
    <x v="0"/>
    <d v="1995-12-29T00:00:00"/>
    <n v="-10586"/>
    <x v="2039"/>
    <x v="4"/>
    <n v="-279"/>
    <n v="0.76386036960985626"/>
    <x v="1"/>
    <n v="1"/>
    <n v="0"/>
    <n v="0"/>
    <n v="0"/>
    <s v="Sales staff"/>
    <x v="1"/>
  </r>
  <r>
    <n v="5099780"/>
    <x v="1"/>
    <s v="Y"/>
    <s v="N"/>
    <n v="0"/>
    <x v="26"/>
    <x v="2"/>
    <x v="0"/>
    <x v="1"/>
    <x v="0"/>
    <d v="1983-04-15T00:00:00"/>
    <n v="-15227"/>
    <x v="2040"/>
    <x v="1"/>
    <n v="-5300"/>
    <n v="14.510609171800137"/>
    <x v="1"/>
    <n v="1"/>
    <n v="1"/>
    <n v="1"/>
    <n v="0"/>
    <s v="Laborers"/>
    <x v="1"/>
  </r>
  <r>
    <n v="5099789"/>
    <x v="1"/>
    <s v="Y"/>
    <s v="N"/>
    <n v="0"/>
    <x v="26"/>
    <x v="2"/>
    <x v="0"/>
    <x v="1"/>
    <x v="0"/>
    <d v="1983-04-15T00:00:00"/>
    <n v="-15227"/>
    <x v="2040"/>
    <x v="1"/>
    <n v="-5300"/>
    <n v="14.510609171800137"/>
    <x v="1"/>
    <n v="1"/>
    <n v="1"/>
    <n v="1"/>
    <n v="0"/>
    <s v="Laborers"/>
    <x v="1"/>
  </r>
  <r>
    <n v="5099791"/>
    <x v="1"/>
    <s v="Y"/>
    <s v="N"/>
    <n v="0"/>
    <x v="26"/>
    <x v="2"/>
    <x v="0"/>
    <x v="1"/>
    <x v="0"/>
    <d v="1983-04-15T00:00:00"/>
    <n v="-15227"/>
    <x v="2040"/>
    <x v="1"/>
    <n v="-5300"/>
    <n v="14.510609171800137"/>
    <x v="1"/>
    <n v="1"/>
    <n v="1"/>
    <n v="1"/>
    <n v="0"/>
    <s v="Laborers"/>
    <x v="1"/>
  </r>
  <r>
    <n v="5099804"/>
    <x v="0"/>
    <s v="N"/>
    <s v="N"/>
    <n v="2"/>
    <x v="133"/>
    <x v="2"/>
    <x v="2"/>
    <x v="1"/>
    <x v="2"/>
    <d v="1991-09-13T00:00:00"/>
    <n v="-12154"/>
    <x v="2041"/>
    <x v="3"/>
    <n v="-4083"/>
    <n v="11.178644763860369"/>
    <x v="1"/>
    <n v="1"/>
    <n v="1"/>
    <n v="0"/>
    <n v="0"/>
    <s v="Cleaning staff"/>
    <x v="2"/>
  </r>
  <r>
    <n v="5099808"/>
    <x v="1"/>
    <s v="Y"/>
    <s v="Y"/>
    <n v="1"/>
    <x v="21"/>
    <x v="2"/>
    <x v="0"/>
    <x v="1"/>
    <x v="0"/>
    <d v="1993-07-09T00:00:00"/>
    <n v="-11489"/>
    <x v="2042"/>
    <x v="3"/>
    <n v="-3109"/>
    <n v="8.5119780971937029"/>
    <x v="1"/>
    <n v="1"/>
    <n v="0"/>
    <n v="0"/>
    <n v="0"/>
    <s v="Managers"/>
    <x v="3"/>
  </r>
  <r>
    <n v="5099822"/>
    <x v="0"/>
    <s v="N"/>
    <s v="Y"/>
    <n v="0"/>
    <x v="88"/>
    <x v="0"/>
    <x v="1"/>
    <x v="1"/>
    <x v="0"/>
    <d v="1964-12-29T00:00:00"/>
    <n v="-21908"/>
    <x v="2043"/>
    <x v="2"/>
    <n v="365243"/>
    <n v="0"/>
    <x v="0"/>
    <n v="1"/>
    <n v="0"/>
    <n v="0"/>
    <n v="0"/>
    <m/>
    <x v="1"/>
  </r>
  <r>
    <n v="5099824"/>
    <x v="0"/>
    <s v="N"/>
    <s v="Y"/>
    <n v="0"/>
    <x v="88"/>
    <x v="0"/>
    <x v="1"/>
    <x v="1"/>
    <x v="0"/>
    <d v="1964-12-29T00:00:00"/>
    <n v="-21908"/>
    <x v="2043"/>
    <x v="2"/>
    <n v="365243"/>
    <n v="0"/>
    <x v="0"/>
    <n v="1"/>
    <n v="0"/>
    <n v="0"/>
    <n v="0"/>
    <m/>
    <x v="1"/>
  </r>
  <r>
    <n v="5099848"/>
    <x v="0"/>
    <s v="N"/>
    <s v="Y"/>
    <n v="2"/>
    <x v="2"/>
    <x v="2"/>
    <x v="0"/>
    <x v="1"/>
    <x v="0"/>
    <d v="1984-07-17T00:00:00"/>
    <n v="-14768"/>
    <x v="2044"/>
    <x v="1"/>
    <n v="-2133"/>
    <n v="5.8398357289527718"/>
    <x v="1"/>
    <n v="1"/>
    <n v="1"/>
    <n v="1"/>
    <n v="1"/>
    <s v="Core staff"/>
    <x v="2"/>
  </r>
  <r>
    <n v="5099867"/>
    <x v="0"/>
    <s v="N"/>
    <s v="Y"/>
    <n v="0"/>
    <x v="5"/>
    <x v="2"/>
    <x v="1"/>
    <x v="2"/>
    <x v="0"/>
    <d v="1980-05-29T00:00:00"/>
    <n v="-16278"/>
    <x v="362"/>
    <x v="1"/>
    <n v="-3140"/>
    <n v="8.5968514715947979"/>
    <x v="1"/>
    <n v="1"/>
    <n v="0"/>
    <n v="0"/>
    <n v="0"/>
    <s v="Sales staff"/>
    <x v="0"/>
  </r>
  <r>
    <n v="5099868"/>
    <x v="0"/>
    <s v="N"/>
    <s v="Y"/>
    <n v="0"/>
    <x v="5"/>
    <x v="2"/>
    <x v="1"/>
    <x v="2"/>
    <x v="0"/>
    <d v="1980-05-29T00:00:00"/>
    <n v="-16278"/>
    <x v="362"/>
    <x v="1"/>
    <n v="-3140"/>
    <n v="8.5968514715947979"/>
    <x v="1"/>
    <n v="1"/>
    <n v="0"/>
    <n v="0"/>
    <n v="0"/>
    <s v="Sales staff"/>
    <x v="0"/>
  </r>
  <r>
    <n v="5099871"/>
    <x v="0"/>
    <s v="Y"/>
    <s v="Y"/>
    <n v="2"/>
    <x v="2"/>
    <x v="2"/>
    <x v="1"/>
    <x v="1"/>
    <x v="0"/>
    <d v="1997-08-12T00:00:00"/>
    <n v="-9994"/>
    <x v="2045"/>
    <x v="4"/>
    <n v="-644"/>
    <n v="1.7631759069130732"/>
    <x v="1"/>
    <n v="1"/>
    <n v="1"/>
    <n v="0"/>
    <n v="0"/>
    <s v="Sales staff"/>
    <x v="2"/>
  </r>
  <r>
    <n v="5099876"/>
    <x v="0"/>
    <s v="Y"/>
    <s v="Y"/>
    <n v="0"/>
    <x v="55"/>
    <x v="0"/>
    <x v="1"/>
    <x v="1"/>
    <x v="0"/>
    <d v="1965-08-23T00:00:00"/>
    <n v="-21671"/>
    <x v="2046"/>
    <x v="2"/>
    <n v="365243"/>
    <n v="0"/>
    <x v="0"/>
    <n v="1"/>
    <n v="0"/>
    <n v="1"/>
    <n v="0"/>
    <m/>
    <x v="1"/>
  </r>
  <r>
    <n v="5099915"/>
    <x v="0"/>
    <s v="N"/>
    <s v="Y"/>
    <n v="2"/>
    <x v="3"/>
    <x v="2"/>
    <x v="1"/>
    <x v="1"/>
    <x v="0"/>
    <d v="1997-07-17T00:00:00"/>
    <n v="-10020"/>
    <x v="2047"/>
    <x v="4"/>
    <n v="-1587"/>
    <n v="4.344969199178645"/>
    <x v="1"/>
    <n v="1"/>
    <n v="1"/>
    <n v="1"/>
    <n v="0"/>
    <s v="Sales staff"/>
    <x v="2"/>
  </r>
  <r>
    <n v="5099929"/>
    <x v="1"/>
    <s v="Y"/>
    <s v="Y"/>
    <n v="0"/>
    <x v="5"/>
    <x v="0"/>
    <x v="1"/>
    <x v="1"/>
    <x v="0"/>
    <d v="1971-05-23T00:00:00"/>
    <n v="-19572"/>
    <x v="2048"/>
    <x v="2"/>
    <n v="365243"/>
    <n v="0"/>
    <x v="0"/>
    <n v="1"/>
    <n v="0"/>
    <n v="0"/>
    <n v="0"/>
    <m/>
    <x v="1"/>
  </r>
  <r>
    <n v="5099937"/>
    <x v="0"/>
    <s v="N"/>
    <s v="Y"/>
    <n v="3"/>
    <x v="58"/>
    <x v="3"/>
    <x v="1"/>
    <x v="1"/>
    <x v="0"/>
    <d v="1986-10-23T00:00:00"/>
    <n v="-13940"/>
    <x v="80"/>
    <x v="3"/>
    <n v="-2133"/>
    <n v="5.8398357289527718"/>
    <x v="1"/>
    <n v="1"/>
    <n v="1"/>
    <n v="1"/>
    <n v="0"/>
    <s v="Core staff"/>
    <x v="4"/>
  </r>
  <r>
    <n v="5099940"/>
    <x v="0"/>
    <s v="N"/>
    <s v="Y"/>
    <n v="3"/>
    <x v="58"/>
    <x v="3"/>
    <x v="1"/>
    <x v="1"/>
    <x v="0"/>
    <d v="1986-10-23T00:00:00"/>
    <n v="-13940"/>
    <x v="80"/>
    <x v="3"/>
    <n v="-2133"/>
    <n v="5.8398357289527718"/>
    <x v="1"/>
    <n v="1"/>
    <n v="1"/>
    <n v="1"/>
    <n v="0"/>
    <s v="Core staff"/>
    <x v="4"/>
  </r>
  <r>
    <n v="5099942"/>
    <x v="0"/>
    <s v="N"/>
    <s v="Y"/>
    <n v="3"/>
    <x v="58"/>
    <x v="3"/>
    <x v="1"/>
    <x v="1"/>
    <x v="0"/>
    <d v="1986-10-23T00:00:00"/>
    <n v="-13940"/>
    <x v="80"/>
    <x v="3"/>
    <n v="-2133"/>
    <n v="5.8398357289527718"/>
    <x v="1"/>
    <n v="1"/>
    <n v="1"/>
    <n v="1"/>
    <n v="0"/>
    <s v="Core staff"/>
    <x v="4"/>
  </r>
  <r>
    <n v="5099950"/>
    <x v="0"/>
    <s v="Y"/>
    <s v="N"/>
    <n v="0"/>
    <x v="134"/>
    <x v="1"/>
    <x v="1"/>
    <x v="1"/>
    <x v="0"/>
    <d v="1984-08-07T00:00:00"/>
    <n v="-14747"/>
    <x v="2049"/>
    <x v="1"/>
    <n v="-3229"/>
    <n v="8.8405201916495546"/>
    <x v="1"/>
    <n v="1"/>
    <n v="0"/>
    <n v="0"/>
    <n v="0"/>
    <s v="Laborers"/>
    <x v="1"/>
  </r>
  <r>
    <n v="5099955"/>
    <x v="0"/>
    <s v="Y"/>
    <s v="Y"/>
    <n v="1"/>
    <x v="8"/>
    <x v="1"/>
    <x v="0"/>
    <x v="1"/>
    <x v="0"/>
    <d v="1994-03-16T00:00:00"/>
    <n v="-11239"/>
    <x v="2050"/>
    <x v="3"/>
    <n v="-460"/>
    <n v="1.2594113620807665"/>
    <x v="1"/>
    <n v="1"/>
    <n v="0"/>
    <n v="0"/>
    <n v="0"/>
    <s v="Accountants"/>
    <x v="3"/>
  </r>
  <r>
    <n v="5099976"/>
    <x v="0"/>
    <s v="N"/>
    <s v="N"/>
    <n v="0"/>
    <x v="16"/>
    <x v="2"/>
    <x v="1"/>
    <x v="3"/>
    <x v="0"/>
    <d v="1996-12-31T00:00:00"/>
    <n v="-10218"/>
    <x v="114"/>
    <x v="4"/>
    <n v="-1740"/>
    <n v="4.7638603696098567"/>
    <x v="1"/>
    <n v="1"/>
    <n v="0"/>
    <n v="1"/>
    <n v="0"/>
    <s v="Security staff"/>
    <x v="1"/>
  </r>
  <r>
    <n v="5099977"/>
    <x v="0"/>
    <s v="N"/>
    <s v="N"/>
    <n v="0"/>
    <x v="16"/>
    <x v="2"/>
    <x v="1"/>
    <x v="3"/>
    <x v="0"/>
    <d v="1996-12-31T00:00:00"/>
    <n v="-10218"/>
    <x v="114"/>
    <x v="4"/>
    <n v="-1740"/>
    <n v="4.7638603696098567"/>
    <x v="1"/>
    <n v="1"/>
    <n v="0"/>
    <n v="1"/>
    <n v="0"/>
    <s v="Security staff"/>
    <x v="1"/>
  </r>
  <r>
    <n v="5099986"/>
    <x v="0"/>
    <s v="Y"/>
    <s v="Y"/>
    <n v="2"/>
    <x v="2"/>
    <x v="3"/>
    <x v="1"/>
    <x v="3"/>
    <x v="0"/>
    <d v="1988-06-26T00:00:00"/>
    <n v="-13328"/>
    <x v="2051"/>
    <x v="3"/>
    <n v="-5817"/>
    <n v="15.926078028747433"/>
    <x v="1"/>
    <n v="1"/>
    <n v="0"/>
    <n v="1"/>
    <n v="0"/>
    <s v="High skill tech staff"/>
    <x v="2"/>
  </r>
  <r>
    <n v="5099999"/>
    <x v="0"/>
    <s v="N"/>
    <s v="Y"/>
    <n v="0"/>
    <x v="1"/>
    <x v="0"/>
    <x v="1"/>
    <x v="1"/>
    <x v="0"/>
    <d v="1965-04-24T00:00:00"/>
    <n v="-21792"/>
    <x v="2052"/>
    <x v="2"/>
    <n v="365243"/>
    <n v="0"/>
    <x v="0"/>
    <n v="1"/>
    <n v="0"/>
    <n v="0"/>
    <n v="0"/>
    <m/>
    <x v="1"/>
  </r>
  <r>
    <n v="5100006"/>
    <x v="0"/>
    <s v="N"/>
    <s v="N"/>
    <n v="2"/>
    <x v="30"/>
    <x v="2"/>
    <x v="1"/>
    <x v="1"/>
    <x v="0"/>
    <d v="1992-06-30T00:00:00"/>
    <n v="-11863"/>
    <x v="2053"/>
    <x v="3"/>
    <n v="-96"/>
    <n v="0.26283367556468173"/>
    <x v="1"/>
    <n v="1"/>
    <n v="1"/>
    <n v="0"/>
    <n v="0"/>
    <m/>
    <x v="2"/>
  </r>
  <r>
    <n v="5100027"/>
    <x v="0"/>
    <s v="Y"/>
    <s v="N"/>
    <n v="0"/>
    <x v="16"/>
    <x v="2"/>
    <x v="1"/>
    <x v="1"/>
    <x v="0"/>
    <d v="1972-02-02T00:00:00"/>
    <n v="-19317"/>
    <x v="1255"/>
    <x v="2"/>
    <n v="-11542"/>
    <n v="31.600273785078713"/>
    <x v="1"/>
    <n v="1"/>
    <n v="0"/>
    <n v="0"/>
    <n v="0"/>
    <s v="Medicine staff"/>
    <x v="1"/>
  </r>
  <r>
    <n v="5100037"/>
    <x v="1"/>
    <s v="Y"/>
    <s v="N"/>
    <n v="0"/>
    <x v="57"/>
    <x v="2"/>
    <x v="1"/>
    <x v="1"/>
    <x v="4"/>
    <d v="1968-10-02T00:00:00"/>
    <n v="-20535"/>
    <x v="2054"/>
    <x v="2"/>
    <n v="-888"/>
    <n v="2.431211498973306"/>
    <x v="1"/>
    <n v="1"/>
    <n v="0"/>
    <n v="0"/>
    <n v="0"/>
    <s v="Laborers"/>
    <x v="1"/>
  </r>
  <r>
    <n v="5100042"/>
    <x v="0"/>
    <s v="N"/>
    <s v="N"/>
    <n v="2"/>
    <x v="55"/>
    <x v="2"/>
    <x v="2"/>
    <x v="1"/>
    <x v="0"/>
    <d v="1994-08-24T00:00:00"/>
    <n v="-11078"/>
    <x v="2055"/>
    <x v="3"/>
    <n v="-3960"/>
    <n v="10.841889117043122"/>
    <x v="1"/>
    <n v="1"/>
    <n v="0"/>
    <n v="0"/>
    <n v="0"/>
    <s v="Sales staff"/>
    <x v="2"/>
  </r>
  <r>
    <n v="5100061"/>
    <x v="0"/>
    <s v="Y"/>
    <s v="N"/>
    <n v="1"/>
    <x v="51"/>
    <x v="2"/>
    <x v="1"/>
    <x v="1"/>
    <x v="0"/>
    <d v="1983-09-27T00:00:00"/>
    <n v="-15062"/>
    <x v="2056"/>
    <x v="1"/>
    <n v="-2014"/>
    <n v="5.5140314852840522"/>
    <x v="1"/>
    <n v="1"/>
    <n v="1"/>
    <n v="0"/>
    <n v="0"/>
    <m/>
    <x v="3"/>
  </r>
  <r>
    <n v="5100067"/>
    <x v="1"/>
    <s v="Y"/>
    <s v="N"/>
    <n v="0"/>
    <x v="18"/>
    <x v="1"/>
    <x v="1"/>
    <x v="1"/>
    <x v="0"/>
    <d v="1968-02-04T00:00:00"/>
    <n v="-20776"/>
    <x v="2057"/>
    <x v="2"/>
    <n v="-2745"/>
    <n v="7.5154004106776178"/>
    <x v="1"/>
    <n v="1"/>
    <n v="1"/>
    <n v="1"/>
    <n v="0"/>
    <s v="Managers"/>
    <x v="1"/>
  </r>
  <r>
    <n v="5100082"/>
    <x v="0"/>
    <s v="Y"/>
    <s v="Y"/>
    <n v="0"/>
    <x v="8"/>
    <x v="2"/>
    <x v="0"/>
    <x v="3"/>
    <x v="0"/>
    <d v="1972-02-20T00:00:00"/>
    <n v="-19299"/>
    <x v="2058"/>
    <x v="2"/>
    <n v="-614"/>
    <n v="1.6810403832991101"/>
    <x v="1"/>
    <n v="1"/>
    <n v="0"/>
    <n v="1"/>
    <n v="0"/>
    <m/>
    <x v="1"/>
  </r>
  <r>
    <n v="5100083"/>
    <x v="1"/>
    <s v="N"/>
    <s v="Y"/>
    <n v="1"/>
    <x v="2"/>
    <x v="2"/>
    <x v="1"/>
    <x v="1"/>
    <x v="0"/>
    <d v="1995-05-14T00:00:00"/>
    <n v="-10815"/>
    <x v="2059"/>
    <x v="4"/>
    <n v="-2806"/>
    <n v="7.6824093086926766"/>
    <x v="1"/>
    <n v="1"/>
    <n v="0"/>
    <n v="0"/>
    <n v="0"/>
    <s v="Managers"/>
    <x v="3"/>
  </r>
  <r>
    <n v="5100091"/>
    <x v="1"/>
    <s v="N"/>
    <s v="Y"/>
    <n v="0"/>
    <x v="8"/>
    <x v="2"/>
    <x v="0"/>
    <x v="1"/>
    <x v="0"/>
    <d v="1987-03-08T00:00:00"/>
    <n v="-13804"/>
    <x v="2060"/>
    <x v="3"/>
    <n v="-1921"/>
    <n v="5.2594113620807663"/>
    <x v="1"/>
    <n v="1"/>
    <n v="0"/>
    <n v="0"/>
    <n v="0"/>
    <s v="Laborers"/>
    <x v="1"/>
  </r>
  <r>
    <n v="5100099"/>
    <x v="0"/>
    <s v="N"/>
    <s v="Y"/>
    <n v="0"/>
    <x v="70"/>
    <x v="0"/>
    <x v="1"/>
    <x v="1"/>
    <x v="0"/>
    <d v="1967-11-27T00:00:00"/>
    <n v="-20845"/>
    <x v="1600"/>
    <x v="2"/>
    <n v="365243"/>
    <n v="0"/>
    <x v="0"/>
    <n v="1"/>
    <n v="0"/>
    <n v="0"/>
    <n v="0"/>
    <m/>
    <x v="1"/>
  </r>
  <r>
    <n v="5100106"/>
    <x v="1"/>
    <s v="Y"/>
    <s v="N"/>
    <n v="0"/>
    <x v="51"/>
    <x v="2"/>
    <x v="1"/>
    <x v="1"/>
    <x v="0"/>
    <d v="1976-08-16T00:00:00"/>
    <n v="-17660"/>
    <x v="2061"/>
    <x v="1"/>
    <n v="-3261"/>
    <n v="8.9281314168377826"/>
    <x v="1"/>
    <n v="1"/>
    <n v="1"/>
    <n v="1"/>
    <n v="0"/>
    <s v="Laborers"/>
    <x v="1"/>
  </r>
  <r>
    <n v="5100111"/>
    <x v="1"/>
    <s v="Y"/>
    <s v="N"/>
    <n v="0"/>
    <x v="1"/>
    <x v="0"/>
    <x v="1"/>
    <x v="1"/>
    <x v="0"/>
    <d v="1996-12-10T00:00:00"/>
    <n v="-10239"/>
    <x v="2062"/>
    <x v="4"/>
    <n v="365243"/>
    <n v="0"/>
    <x v="0"/>
    <n v="1"/>
    <n v="0"/>
    <n v="0"/>
    <n v="0"/>
    <m/>
    <x v="1"/>
  </r>
  <r>
    <n v="5100119"/>
    <x v="1"/>
    <s v="Y"/>
    <s v="N"/>
    <n v="0"/>
    <x v="5"/>
    <x v="2"/>
    <x v="1"/>
    <x v="1"/>
    <x v="0"/>
    <d v="1993-11-29T00:00:00"/>
    <n v="-11346"/>
    <x v="2063"/>
    <x v="3"/>
    <n v="-1831"/>
    <n v="5.0130047912388775"/>
    <x v="1"/>
    <n v="1"/>
    <n v="0"/>
    <n v="0"/>
    <n v="0"/>
    <s v="Laborers"/>
    <x v="1"/>
  </r>
  <r>
    <n v="5100125"/>
    <x v="0"/>
    <s v="N"/>
    <s v="N"/>
    <n v="2"/>
    <x v="29"/>
    <x v="1"/>
    <x v="1"/>
    <x v="1"/>
    <x v="0"/>
    <d v="1992-03-07T00:00:00"/>
    <n v="-11978"/>
    <x v="2064"/>
    <x v="3"/>
    <n v="-370"/>
    <n v="1.0130047912388775"/>
    <x v="1"/>
    <n v="1"/>
    <n v="0"/>
    <n v="0"/>
    <n v="0"/>
    <m/>
    <x v="2"/>
  </r>
  <r>
    <n v="5100126"/>
    <x v="0"/>
    <s v="N"/>
    <s v="N"/>
    <n v="1"/>
    <x v="16"/>
    <x v="1"/>
    <x v="2"/>
    <x v="1"/>
    <x v="0"/>
    <d v="1984-10-06T00:00:00"/>
    <n v="-14687"/>
    <x v="948"/>
    <x v="1"/>
    <n v="-7401"/>
    <n v="20.262833675564682"/>
    <x v="1"/>
    <n v="1"/>
    <n v="1"/>
    <n v="1"/>
    <n v="0"/>
    <s v="High skill tech staff"/>
    <x v="3"/>
  </r>
  <r>
    <n v="5100141"/>
    <x v="0"/>
    <s v="N"/>
    <s v="Y"/>
    <n v="0"/>
    <x v="16"/>
    <x v="3"/>
    <x v="0"/>
    <x v="2"/>
    <x v="0"/>
    <d v="1976-03-02T00:00:00"/>
    <n v="-17827"/>
    <x v="2065"/>
    <x v="1"/>
    <n v="-3810"/>
    <n v="10.431211498973306"/>
    <x v="1"/>
    <n v="1"/>
    <n v="0"/>
    <n v="0"/>
    <n v="0"/>
    <s v="Managers"/>
    <x v="0"/>
  </r>
  <r>
    <n v="5100150"/>
    <x v="1"/>
    <s v="Y"/>
    <s v="N"/>
    <n v="0"/>
    <x v="38"/>
    <x v="2"/>
    <x v="1"/>
    <x v="1"/>
    <x v="0"/>
    <d v="1981-02-20T00:00:00"/>
    <n v="-16011"/>
    <x v="2066"/>
    <x v="1"/>
    <n v="-1649"/>
    <n v="4.514715947980835"/>
    <x v="1"/>
    <n v="1"/>
    <n v="0"/>
    <n v="0"/>
    <n v="0"/>
    <s v="Managers"/>
    <x v="1"/>
  </r>
  <r>
    <n v="5100160"/>
    <x v="0"/>
    <s v="N"/>
    <s v="Y"/>
    <n v="1"/>
    <x v="11"/>
    <x v="2"/>
    <x v="1"/>
    <x v="3"/>
    <x v="2"/>
    <d v="1988-10-18T00:00:00"/>
    <n v="-13214"/>
    <x v="2067"/>
    <x v="3"/>
    <n v="-2805"/>
    <n v="7.6796714579055445"/>
    <x v="1"/>
    <n v="1"/>
    <n v="0"/>
    <n v="1"/>
    <n v="0"/>
    <s v="Sales staff"/>
    <x v="3"/>
  </r>
  <r>
    <n v="5100196"/>
    <x v="0"/>
    <s v="Y"/>
    <s v="Y"/>
    <n v="2"/>
    <x v="72"/>
    <x v="2"/>
    <x v="1"/>
    <x v="1"/>
    <x v="0"/>
    <d v="1983-09-17T00:00:00"/>
    <n v="-15072"/>
    <x v="2068"/>
    <x v="1"/>
    <n v="-4997"/>
    <n v="13.681040383299111"/>
    <x v="1"/>
    <n v="1"/>
    <n v="1"/>
    <n v="1"/>
    <n v="0"/>
    <s v="Accountants"/>
    <x v="2"/>
  </r>
  <r>
    <n v="5100203"/>
    <x v="0"/>
    <s v="N"/>
    <s v="N"/>
    <n v="0"/>
    <x v="30"/>
    <x v="0"/>
    <x v="1"/>
    <x v="2"/>
    <x v="0"/>
    <d v="1956-12-16T00:00:00"/>
    <n v="-24843"/>
    <x v="2069"/>
    <x v="0"/>
    <n v="365243"/>
    <n v="0"/>
    <x v="0"/>
    <n v="1"/>
    <n v="0"/>
    <n v="0"/>
    <n v="0"/>
    <m/>
    <x v="0"/>
  </r>
  <r>
    <n v="5100211"/>
    <x v="1"/>
    <s v="N"/>
    <s v="Y"/>
    <n v="2"/>
    <x v="1"/>
    <x v="2"/>
    <x v="1"/>
    <x v="1"/>
    <x v="0"/>
    <d v="1987-02-08T00:00:00"/>
    <n v="-13832"/>
    <x v="2070"/>
    <x v="3"/>
    <n v="-430"/>
    <n v="1.1772758384668036"/>
    <x v="1"/>
    <n v="1"/>
    <n v="1"/>
    <n v="0"/>
    <n v="0"/>
    <s v="Laborers"/>
    <x v="2"/>
  </r>
  <r>
    <n v="5100217"/>
    <x v="0"/>
    <s v="N"/>
    <s v="N"/>
    <n v="0"/>
    <x v="36"/>
    <x v="2"/>
    <x v="1"/>
    <x v="2"/>
    <x v="0"/>
    <d v="1980-02-03T00:00:00"/>
    <n v="-16394"/>
    <x v="2071"/>
    <x v="1"/>
    <n v="-672"/>
    <n v="1.839835728952772"/>
    <x v="1"/>
    <n v="1"/>
    <n v="0"/>
    <n v="1"/>
    <n v="0"/>
    <s v="Laborers"/>
    <x v="0"/>
  </r>
  <r>
    <n v="5100220"/>
    <x v="1"/>
    <s v="Y"/>
    <s v="Y"/>
    <n v="2"/>
    <x v="12"/>
    <x v="1"/>
    <x v="1"/>
    <x v="1"/>
    <x v="0"/>
    <d v="1983-05-30T00:00:00"/>
    <n v="-15182"/>
    <x v="2072"/>
    <x v="1"/>
    <n v="-6123"/>
    <n v="16.763860369609855"/>
    <x v="1"/>
    <n v="1"/>
    <n v="0"/>
    <n v="0"/>
    <n v="0"/>
    <s v="Drivers"/>
    <x v="2"/>
  </r>
  <r>
    <n v="5100232"/>
    <x v="0"/>
    <s v="Y"/>
    <s v="N"/>
    <n v="0"/>
    <x v="32"/>
    <x v="0"/>
    <x v="1"/>
    <x v="3"/>
    <x v="0"/>
    <d v="1965-11-17T00:00:00"/>
    <n v="-21585"/>
    <x v="870"/>
    <x v="2"/>
    <n v="365243"/>
    <n v="0"/>
    <x v="0"/>
    <n v="1"/>
    <n v="0"/>
    <n v="1"/>
    <n v="0"/>
    <m/>
    <x v="1"/>
  </r>
  <r>
    <n v="5100242"/>
    <x v="0"/>
    <s v="Y"/>
    <s v="Y"/>
    <n v="1"/>
    <x v="16"/>
    <x v="1"/>
    <x v="0"/>
    <x v="1"/>
    <x v="0"/>
    <d v="1997-12-22T00:00:00"/>
    <n v="-9862"/>
    <x v="260"/>
    <x v="4"/>
    <n v="-2988"/>
    <n v="8.1806981519507183"/>
    <x v="1"/>
    <n v="1"/>
    <n v="1"/>
    <n v="1"/>
    <n v="0"/>
    <s v="Core staff"/>
    <x v="3"/>
  </r>
  <r>
    <n v="5100269"/>
    <x v="0"/>
    <s v="N"/>
    <s v="Y"/>
    <n v="0"/>
    <x v="5"/>
    <x v="1"/>
    <x v="1"/>
    <x v="1"/>
    <x v="0"/>
    <d v="1969-10-02T00:00:00"/>
    <n v="-20170"/>
    <x v="2073"/>
    <x v="2"/>
    <n v="-1768"/>
    <n v="4.8405201916495555"/>
    <x v="1"/>
    <n v="1"/>
    <n v="0"/>
    <n v="0"/>
    <n v="0"/>
    <s v="Laborers"/>
    <x v="1"/>
  </r>
  <r>
    <n v="5100275"/>
    <x v="0"/>
    <s v="N"/>
    <s v="Y"/>
    <n v="2"/>
    <x v="37"/>
    <x v="2"/>
    <x v="1"/>
    <x v="1"/>
    <x v="0"/>
    <d v="1990-06-23T00:00:00"/>
    <n v="-12601"/>
    <x v="622"/>
    <x v="3"/>
    <n v="-249"/>
    <n v="0.68172484599589322"/>
    <x v="1"/>
    <n v="1"/>
    <n v="1"/>
    <n v="0"/>
    <n v="0"/>
    <s v="Cooking staff"/>
    <x v="2"/>
  </r>
  <r>
    <n v="5100276"/>
    <x v="0"/>
    <s v="N"/>
    <s v="Y"/>
    <n v="0"/>
    <x v="10"/>
    <x v="0"/>
    <x v="1"/>
    <x v="1"/>
    <x v="0"/>
    <d v="1962-06-24T00:00:00"/>
    <n v="-22827"/>
    <x v="2074"/>
    <x v="0"/>
    <n v="365243"/>
    <n v="0"/>
    <x v="0"/>
    <n v="1"/>
    <n v="0"/>
    <n v="0"/>
    <n v="0"/>
    <m/>
    <x v="1"/>
  </r>
  <r>
    <n v="5100280"/>
    <x v="1"/>
    <s v="N"/>
    <s v="N"/>
    <n v="0"/>
    <x v="30"/>
    <x v="1"/>
    <x v="1"/>
    <x v="1"/>
    <x v="0"/>
    <d v="1974-06-09T00:00:00"/>
    <n v="-18459"/>
    <x v="971"/>
    <x v="2"/>
    <n v="-826"/>
    <n v="2.2614647501711156"/>
    <x v="1"/>
    <n v="1"/>
    <n v="0"/>
    <n v="0"/>
    <n v="0"/>
    <m/>
    <x v="1"/>
  </r>
  <r>
    <n v="5100303"/>
    <x v="0"/>
    <s v="Y"/>
    <s v="N"/>
    <n v="0"/>
    <x v="8"/>
    <x v="1"/>
    <x v="1"/>
    <x v="1"/>
    <x v="0"/>
    <d v="1983-10-11T00:00:00"/>
    <n v="-15048"/>
    <x v="2075"/>
    <x v="1"/>
    <n v="-1375"/>
    <n v="3.7645448323066395"/>
    <x v="1"/>
    <n v="1"/>
    <n v="0"/>
    <n v="1"/>
    <n v="0"/>
    <s v="Accountants"/>
    <x v="1"/>
  </r>
  <r>
    <n v="5100305"/>
    <x v="0"/>
    <s v="N"/>
    <s v="Y"/>
    <n v="1"/>
    <x v="2"/>
    <x v="2"/>
    <x v="1"/>
    <x v="1"/>
    <x v="0"/>
    <d v="1997-02-22T00:00:00"/>
    <n v="-10165"/>
    <x v="2076"/>
    <x v="4"/>
    <n v="-2530"/>
    <n v="6.9267624914442161"/>
    <x v="1"/>
    <n v="1"/>
    <n v="1"/>
    <n v="1"/>
    <n v="0"/>
    <s v="Laborers"/>
    <x v="3"/>
  </r>
  <r>
    <n v="5100317"/>
    <x v="0"/>
    <s v="Y"/>
    <s v="Y"/>
    <n v="0"/>
    <x v="25"/>
    <x v="1"/>
    <x v="2"/>
    <x v="1"/>
    <x v="0"/>
    <d v="1982-08-22T00:00:00"/>
    <n v="-15463"/>
    <x v="2077"/>
    <x v="1"/>
    <n v="-2165"/>
    <n v="5.9274469541409998"/>
    <x v="1"/>
    <n v="1"/>
    <n v="0"/>
    <n v="0"/>
    <n v="0"/>
    <s v="High skill tech staff"/>
    <x v="1"/>
  </r>
  <r>
    <n v="5100326"/>
    <x v="1"/>
    <s v="Y"/>
    <s v="Y"/>
    <n v="2"/>
    <x v="8"/>
    <x v="2"/>
    <x v="1"/>
    <x v="1"/>
    <x v="0"/>
    <d v="1987-09-28T00:00:00"/>
    <n v="-13600"/>
    <x v="1576"/>
    <x v="3"/>
    <n v="-338"/>
    <n v="0.92539356605065026"/>
    <x v="1"/>
    <n v="1"/>
    <n v="0"/>
    <n v="1"/>
    <n v="0"/>
    <s v="Laborers"/>
    <x v="2"/>
  </r>
  <r>
    <n v="5100342"/>
    <x v="0"/>
    <s v="Y"/>
    <s v="N"/>
    <n v="1"/>
    <x v="1"/>
    <x v="1"/>
    <x v="1"/>
    <x v="1"/>
    <x v="0"/>
    <d v="1997-04-20T00:00:00"/>
    <n v="-10108"/>
    <x v="2078"/>
    <x v="4"/>
    <n v="-431"/>
    <n v="1.1800136892539357"/>
    <x v="1"/>
    <n v="1"/>
    <n v="0"/>
    <n v="0"/>
    <n v="0"/>
    <s v="Managers"/>
    <x v="3"/>
  </r>
  <r>
    <n v="5100356"/>
    <x v="0"/>
    <s v="N"/>
    <s v="N"/>
    <n v="1"/>
    <x v="30"/>
    <x v="0"/>
    <x v="1"/>
    <x v="1"/>
    <x v="0"/>
    <d v="1997-12-23T00:00:00"/>
    <n v="-9861"/>
    <x v="2079"/>
    <x v="4"/>
    <n v="365243"/>
    <n v="0"/>
    <x v="0"/>
    <n v="1"/>
    <n v="0"/>
    <n v="0"/>
    <n v="0"/>
    <m/>
    <x v="3"/>
  </r>
  <r>
    <n v="5100384"/>
    <x v="0"/>
    <s v="N"/>
    <s v="Y"/>
    <n v="0"/>
    <x v="30"/>
    <x v="0"/>
    <x v="1"/>
    <x v="0"/>
    <x v="0"/>
    <d v="1966-08-30T00:00:00"/>
    <n v="-21299"/>
    <x v="2080"/>
    <x v="2"/>
    <n v="365243"/>
    <n v="0"/>
    <x v="0"/>
    <n v="1"/>
    <n v="0"/>
    <n v="0"/>
    <n v="0"/>
    <m/>
    <x v="0"/>
  </r>
  <r>
    <n v="5100385"/>
    <x v="1"/>
    <s v="Y"/>
    <s v="Y"/>
    <n v="0"/>
    <x v="11"/>
    <x v="2"/>
    <x v="1"/>
    <x v="1"/>
    <x v="0"/>
    <d v="1970-02-09T00:00:00"/>
    <n v="-20040"/>
    <x v="2081"/>
    <x v="2"/>
    <n v="-2013"/>
    <n v="5.5112936344969201"/>
    <x v="1"/>
    <n v="1"/>
    <n v="0"/>
    <n v="0"/>
    <n v="0"/>
    <s v="Laborers"/>
    <x v="1"/>
  </r>
  <r>
    <n v="5100413"/>
    <x v="0"/>
    <s v="N"/>
    <s v="Y"/>
    <n v="1"/>
    <x v="5"/>
    <x v="2"/>
    <x v="1"/>
    <x v="1"/>
    <x v="0"/>
    <d v="1981-05-31T00:00:00"/>
    <n v="-15911"/>
    <x v="2082"/>
    <x v="1"/>
    <n v="-3201"/>
    <n v="8.7638603696098567"/>
    <x v="1"/>
    <n v="1"/>
    <n v="0"/>
    <n v="0"/>
    <n v="0"/>
    <s v="High skill tech staff"/>
    <x v="3"/>
  </r>
  <r>
    <n v="5100423"/>
    <x v="0"/>
    <s v="N"/>
    <s v="N"/>
    <n v="0"/>
    <x v="23"/>
    <x v="0"/>
    <x v="1"/>
    <x v="0"/>
    <x v="0"/>
    <d v="1966-03-01T00:00:00"/>
    <n v="-21481"/>
    <x v="2083"/>
    <x v="2"/>
    <n v="365243"/>
    <n v="0"/>
    <x v="0"/>
    <n v="1"/>
    <n v="0"/>
    <n v="0"/>
    <n v="0"/>
    <m/>
    <x v="0"/>
  </r>
  <r>
    <n v="5100425"/>
    <x v="1"/>
    <s v="N"/>
    <s v="Y"/>
    <n v="0"/>
    <x v="1"/>
    <x v="2"/>
    <x v="1"/>
    <x v="2"/>
    <x v="0"/>
    <d v="1978-05-23T00:00:00"/>
    <n v="-17015"/>
    <x v="2084"/>
    <x v="1"/>
    <n v="-613"/>
    <n v="1.678302532511978"/>
    <x v="1"/>
    <n v="1"/>
    <n v="0"/>
    <n v="0"/>
    <n v="0"/>
    <s v="Drivers"/>
    <x v="0"/>
  </r>
  <r>
    <n v="5100433"/>
    <x v="1"/>
    <s v="Y"/>
    <s v="Y"/>
    <n v="1"/>
    <x v="8"/>
    <x v="2"/>
    <x v="1"/>
    <x v="1"/>
    <x v="0"/>
    <d v="1985-09-28T00:00:00"/>
    <n v="-14330"/>
    <x v="1578"/>
    <x v="3"/>
    <n v="-2530"/>
    <n v="6.9267624914442161"/>
    <x v="1"/>
    <n v="1"/>
    <n v="0"/>
    <n v="0"/>
    <n v="0"/>
    <s v="Core staff"/>
    <x v="3"/>
  </r>
  <r>
    <n v="5100457"/>
    <x v="0"/>
    <s v="N"/>
    <s v="Y"/>
    <n v="0"/>
    <x v="135"/>
    <x v="0"/>
    <x v="1"/>
    <x v="1"/>
    <x v="0"/>
    <d v="1964-04-10T00:00:00"/>
    <n v="-22171"/>
    <x v="2085"/>
    <x v="0"/>
    <n v="365243"/>
    <n v="0"/>
    <x v="0"/>
    <n v="1"/>
    <n v="0"/>
    <n v="1"/>
    <n v="0"/>
    <m/>
    <x v="1"/>
  </r>
  <r>
    <n v="5100462"/>
    <x v="0"/>
    <s v="N"/>
    <s v="Y"/>
    <n v="0"/>
    <x v="5"/>
    <x v="1"/>
    <x v="1"/>
    <x v="1"/>
    <x v="0"/>
    <d v="1974-09-05T00:00:00"/>
    <n v="-18371"/>
    <x v="2086"/>
    <x v="2"/>
    <n v="-1495"/>
    <n v="4.0930869267624912"/>
    <x v="1"/>
    <n v="1"/>
    <n v="0"/>
    <n v="0"/>
    <n v="0"/>
    <s v="Waiters/barmen staff"/>
    <x v="1"/>
  </r>
  <r>
    <n v="5100463"/>
    <x v="0"/>
    <s v="Y"/>
    <s v="Y"/>
    <n v="3"/>
    <x v="16"/>
    <x v="2"/>
    <x v="1"/>
    <x v="1"/>
    <x v="0"/>
    <d v="1987-08-21T00:00:00"/>
    <n v="-13638"/>
    <x v="2087"/>
    <x v="3"/>
    <n v="-3809"/>
    <n v="10.428473648186174"/>
    <x v="1"/>
    <n v="1"/>
    <n v="0"/>
    <n v="0"/>
    <n v="0"/>
    <s v="High skill tech staff"/>
    <x v="4"/>
  </r>
  <r>
    <n v="5100464"/>
    <x v="1"/>
    <s v="Y"/>
    <s v="Y"/>
    <n v="1"/>
    <x v="12"/>
    <x v="2"/>
    <x v="0"/>
    <x v="1"/>
    <x v="0"/>
    <d v="1977-07-24T00:00:00"/>
    <n v="-17318"/>
    <x v="2088"/>
    <x v="1"/>
    <n v="-552"/>
    <n v="1.5112936344969199"/>
    <x v="1"/>
    <n v="1"/>
    <n v="0"/>
    <n v="1"/>
    <n v="0"/>
    <s v="Laborers"/>
    <x v="3"/>
  </r>
  <r>
    <n v="5100465"/>
    <x v="0"/>
    <s v="N"/>
    <s v="Y"/>
    <n v="0"/>
    <x v="88"/>
    <x v="3"/>
    <x v="3"/>
    <x v="3"/>
    <x v="0"/>
    <d v="1974-06-19T00:00:00"/>
    <n v="-18449"/>
    <x v="2089"/>
    <x v="2"/>
    <n v="-187"/>
    <n v="0.51197809719370291"/>
    <x v="1"/>
    <n v="1"/>
    <n v="1"/>
    <n v="0"/>
    <n v="0"/>
    <s v="Laborers"/>
    <x v="1"/>
  </r>
  <r>
    <n v="5104852"/>
    <x v="0"/>
    <s v="Y"/>
    <s v="Y"/>
    <n v="2"/>
    <x v="55"/>
    <x v="2"/>
    <x v="1"/>
    <x v="1"/>
    <x v="0"/>
    <d v="1992-08-16T00:00:00"/>
    <n v="-11816"/>
    <x v="2090"/>
    <x v="3"/>
    <n v="-1600"/>
    <n v="4.3805612594113619"/>
    <x v="1"/>
    <n v="1"/>
    <n v="0"/>
    <n v="0"/>
    <n v="0"/>
    <s v="Accountants"/>
    <x v="2"/>
  </r>
  <r>
    <n v="5104894"/>
    <x v="0"/>
    <s v="N"/>
    <s v="Y"/>
    <n v="0"/>
    <x v="12"/>
    <x v="1"/>
    <x v="2"/>
    <x v="1"/>
    <x v="0"/>
    <d v="1976-09-04T00:00:00"/>
    <n v="-17641"/>
    <x v="13"/>
    <x v="1"/>
    <n v="-2512"/>
    <n v="6.8774811772758389"/>
    <x v="1"/>
    <n v="1"/>
    <n v="0"/>
    <n v="0"/>
    <n v="0"/>
    <s v="Realty agents"/>
    <x v="1"/>
  </r>
  <r>
    <n v="5104910"/>
    <x v="0"/>
    <s v="Y"/>
    <s v="Y"/>
    <n v="0"/>
    <x v="136"/>
    <x v="3"/>
    <x v="1"/>
    <x v="1"/>
    <x v="0"/>
    <d v="1973-05-10T00:00:00"/>
    <n v="-18854"/>
    <x v="2091"/>
    <x v="2"/>
    <n v="-8509"/>
    <n v="23.296372347707049"/>
    <x v="1"/>
    <n v="1"/>
    <n v="0"/>
    <n v="0"/>
    <n v="0"/>
    <m/>
    <x v="1"/>
  </r>
  <r>
    <n v="5104940"/>
    <x v="0"/>
    <s v="N"/>
    <s v="Y"/>
    <n v="3"/>
    <x v="37"/>
    <x v="1"/>
    <x v="1"/>
    <x v="1"/>
    <x v="0"/>
    <d v="1979-04-09T00:00:00"/>
    <n v="-16694"/>
    <x v="2092"/>
    <x v="1"/>
    <n v="-412"/>
    <n v="1.1279945242984257"/>
    <x v="1"/>
    <n v="1"/>
    <n v="1"/>
    <n v="1"/>
    <n v="0"/>
    <s v="Sales staff"/>
    <x v="4"/>
  </r>
  <r>
    <n v="5104941"/>
    <x v="0"/>
    <s v="N"/>
    <s v="Y"/>
    <n v="3"/>
    <x v="37"/>
    <x v="1"/>
    <x v="1"/>
    <x v="1"/>
    <x v="0"/>
    <d v="1979-04-09T00:00:00"/>
    <n v="-16694"/>
    <x v="2092"/>
    <x v="1"/>
    <n v="-412"/>
    <n v="1.1279945242984257"/>
    <x v="1"/>
    <n v="1"/>
    <n v="1"/>
    <n v="1"/>
    <n v="0"/>
    <s v="Sales staff"/>
    <x v="4"/>
  </r>
  <r>
    <n v="5104956"/>
    <x v="1"/>
    <s v="Y"/>
    <s v="Y"/>
    <n v="0"/>
    <x v="16"/>
    <x v="2"/>
    <x v="1"/>
    <x v="1"/>
    <x v="0"/>
    <d v="1965-08-10T00:00:00"/>
    <n v="-21684"/>
    <x v="2093"/>
    <x v="2"/>
    <n v="-2422"/>
    <n v="6.6310746064339492"/>
    <x v="1"/>
    <n v="1"/>
    <n v="0"/>
    <n v="0"/>
    <n v="0"/>
    <s v="Drivers"/>
    <x v="1"/>
  </r>
  <r>
    <n v="5104984"/>
    <x v="0"/>
    <s v="N"/>
    <s v="N"/>
    <n v="0"/>
    <x v="2"/>
    <x v="0"/>
    <x v="1"/>
    <x v="0"/>
    <x v="4"/>
    <d v="1965-10-04T00:00:00"/>
    <n v="-21629"/>
    <x v="2094"/>
    <x v="2"/>
    <n v="365243"/>
    <n v="0"/>
    <x v="0"/>
    <n v="1"/>
    <n v="0"/>
    <n v="0"/>
    <n v="0"/>
    <m/>
    <x v="0"/>
  </r>
  <r>
    <n v="5105006"/>
    <x v="1"/>
    <s v="Y"/>
    <s v="Y"/>
    <n v="1"/>
    <x v="7"/>
    <x v="2"/>
    <x v="1"/>
    <x v="1"/>
    <x v="1"/>
    <d v="1978-04-17T00:00:00"/>
    <n v="-17051"/>
    <x v="2095"/>
    <x v="1"/>
    <n v="-1457"/>
    <n v="3.9890485968514717"/>
    <x v="1"/>
    <n v="1"/>
    <n v="0"/>
    <n v="0"/>
    <n v="0"/>
    <s v="Laborers"/>
    <x v="3"/>
  </r>
  <r>
    <n v="5105013"/>
    <x v="1"/>
    <s v="Y"/>
    <s v="Y"/>
    <n v="1"/>
    <x v="7"/>
    <x v="2"/>
    <x v="1"/>
    <x v="1"/>
    <x v="1"/>
    <d v="1978-04-17T00:00:00"/>
    <n v="-17051"/>
    <x v="2095"/>
    <x v="1"/>
    <n v="-1457"/>
    <n v="3.9890485968514717"/>
    <x v="1"/>
    <n v="1"/>
    <n v="0"/>
    <n v="0"/>
    <n v="0"/>
    <s v="Laborers"/>
    <x v="3"/>
  </r>
  <r>
    <n v="5105018"/>
    <x v="0"/>
    <s v="N"/>
    <s v="Y"/>
    <n v="0"/>
    <x v="39"/>
    <x v="2"/>
    <x v="0"/>
    <x v="1"/>
    <x v="0"/>
    <d v="1976-07-09T00:00:00"/>
    <n v="-17698"/>
    <x v="2096"/>
    <x v="1"/>
    <n v="-695"/>
    <n v="1.9028062970568105"/>
    <x v="1"/>
    <n v="1"/>
    <n v="0"/>
    <n v="0"/>
    <n v="0"/>
    <s v="Sales staff"/>
    <x v="1"/>
  </r>
  <r>
    <n v="5105033"/>
    <x v="0"/>
    <s v="Y"/>
    <s v="Y"/>
    <n v="0"/>
    <x v="16"/>
    <x v="2"/>
    <x v="0"/>
    <x v="1"/>
    <x v="2"/>
    <d v="1990-05-28T00:00:00"/>
    <n v="-12627"/>
    <x v="2097"/>
    <x v="3"/>
    <n v="-241"/>
    <n v="0.65982203969883646"/>
    <x v="1"/>
    <n v="1"/>
    <n v="1"/>
    <n v="1"/>
    <n v="0"/>
    <s v="Sales staff"/>
    <x v="1"/>
  </r>
  <r>
    <n v="5105040"/>
    <x v="0"/>
    <s v="N"/>
    <s v="N"/>
    <n v="1"/>
    <x v="43"/>
    <x v="2"/>
    <x v="1"/>
    <x v="1"/>
    <x v="0"/>
    <d v="1983-12-30T00:00:00"/>
    <n v="-14968"/>
    <x v="2098"/>
    <x v="1"/>
    <n v="-118"/>
    <n v="0.32306639288158795"/>
    <x v="1"/>
    <n v="1"/>
    <n v="0"/>
    <n v="0"/>
    <n v="0"/>
    <s v="Laborers"/>
    <x v="3"/>
  </r>
  <r>
    <n v="5105041"/>
    <x v="0"/>
    <s v="N"/>
    <s v="Y"/>
    <n v="2"/>
    <x v="1"/>
    <x v="2"/>
    <x v="1"/>
    <x v="0"/>
    <x v="1"/>
    <d v="1990-10-12T00:00:00"/>
    <n v="-12490"/>
    <x v="832"/>
    <x v="3"/>
    <n v="-726"/>
    <n v="1.9876796714579055"/>
    <x v="1"/>
    <n v="1"/>
    <n v="0"/>
    <n v="0"/>
    <n v="0"/>
    <s v="Laborers"/>
    <x v="3"/>
  </r>
  <r>
    <n v="5105051"/>
    <x v="0"/>
    <s v="N"/>
    <s v="Y"/>
    <n v="2"/>
    <x v="8"/>
    <x v="1"/>
    <x v="0"/>
    <x v="1"/>
    <x v="0"/>
    <d v="1992-11-11T00:00:00"/>
    <n v="-11729"/>
    <x v="2099"/>
    <x v="3"/>
    <n v="-1153"/>
    <n v="3.1567419575633129"/>
    <x v="1"/>
    <n v="1"/>
    <n v="0"/>
    <n v="0"/>
    <n v="0"/>
    <s v="Managers"/>
    <x v="2"/>
  </r>
  <r>
    <n v="5105058"/>
    <x v="0"/>
    <s v="N"/>
    <s v="Y"/>
    <n v="0"/>
    <x v="2"/>
    <x v="1"/>
    <x v="1"/>
    <x v="1"/>
    <x v="0"/>
    <d v="1976-11-15T00:00:00"/>
    <n v="-17569"/>
    <x v="1210"/>
    <x v="1"/>
    <n v="-241"/>
    <n v="0.65982203969883646"/>
    <x v="1"/>
    <n v="1"/>
    <n v="1"/>
    <n v="1"/>
    <n v="0"/>
    <s v="Sales staff"/>
    <x v="1"/>
  </r>
  <r>
    <n v="5105061"/>
    <x v="1"/>
    <s v="N"/>
    <s v="Y"/>
    <n v="0"/>
    <x v="5"/>
    <x v="2"/>
    <x v="2"/>
    <x v="1"/>
    <x v="0"/>
    <d v="1987-07-08T00:00:00"/>
    <n v="-13682"/>
    <x v="457"/>
    <x v="3"/>
    <n v="-453"/>
    <n v="1.2402464065708418"/>
    <x v="1"/>
    <n v="1"/>
    <n v="1"/>
    <n v="1"/>
    <n v="0"/>
    <m/>
    <x v="1"/>
  </r>
  <r>
    <n v="5105087"/>
    <x v="0"/>
    <s v="Y"/>
    <s v="Y"/>
    <n v="0"/>
    <x v="14"/>
    <x v="2"/>
    <x v="0"/>
    <x v="1"/>
    <x v="0"/>
    <d v="1976-05-05T00:00:00"/>
    <n v="-17763"/>
    <x v="2100"/>
    <x v="1"/>
    <n v="-2493"/>
    <n v="6.8254620123203287"/>
    <x v="1"/>
    <n v="1"/>
    <n v="0"/>
    <n v="1"/>
    <n v="0"/>
    <m/>
    <x v="1"/>
  </r>
  <r>
    <n v="5105088"/>
    <x v="0"/>
    <s v="Y"/>
    <s v="Y"/>
    <n v="0"/>
    <x v="14"/>
    <x v="2"/>
    <x v="0"/>
    <x v="1"/>
    <x v="0"/>
    <d v="1976-05-05T00:00:00"/>
    <n v="-17763"/>
    <x v="2100"/>
    <x v="1"/>
    <n v="-2493"/>
    <n v="6.8254620123203287"/>
    <x v="1"/>
    <n v="1"/>
    <n v="0"/>
    <n v="1"/>
    <n v="0"/>
    <m/>
    <x v="1"/>
  </r>
  <r>
    <n v="5105098"/>
    <x v="1"/>
    <s v="N"/>
    <s v="N"/>
    <n v="0"/>
    <x v="43"/>
    <x v="1"/>
    <x v="1"/>
    <x v="1"/>
    <x v="0"/>
    <d v="1991-03-13T00:00:00"/>
    <n v="-12338"/>
    <x v="2101"/>
    <x v="3"/>
    <n v="-3283"/>
    <n v="8.988364134154688"/>
    <x v="1"/>
    <n v="1"/>
    <n v="0"/>
    <n v="0"/>
    <n v="0"/>
    <s v="Drivers"/>
    <x v="1"/>
  </r>
  <r>
    <n v="5105116"/>
    <x v="0"/>
    <s v="N"/>
    <s v="Y"/>
    <n v="1"/>
    <x v="1"/>
    <x v="2"/>
    <x v="1"/>
    <x v="1"/>
    <x v="0"/>
    <d v="1973-04-19T00:00:00"/>
    <n v="-18875"/>
    <x v="1043"/>
    <x v="2"/>
    <n v="-2675"/>
    <n v="7.3237508555783712"/>
    <x v="1"/>
    <n v="1"/>
    <n v="0"/>
    <n v="0"/>
    <n v="0"/>
    <s v="Cooking staff"/>
    <x v="3"/>
  </r>
  <r>
    <n v="5105130"/>
    <x v="1"/>
    <s v="Y"/>
    <s v="Y"/>
    <n v="0"/>
    <x v="5"/>
    <x v="2"/>
    <x v="1"/>
    <x v="1"/>
    <x v="0"/>
    <d v="1995-10-29T00:00:00"/>
    <n v="-10647"/>
    <x v="2102"/>
    <x v="4"/>
    <n v="-1610"/>
    <n v="4.4079397672826834"/>
    <x v="1"/>
    <n v="1"/>
    <n v="0"/>
    <n v="0"/>
    <n v="0"/>
    <s v="Laborers"/>
    <x v="1"/>
  </r>
  <r>
    <n v="5105140"/>
    <x v="0"/>
    <s v="N"/>
    <s v="Y"/>
    <n v="0"/>
    <x v="2"/>
    <x v="2"/>
    <x v="1"/>
    <x v="2"/>
    <x v="0"/>
    <d v="1997-09-18T00:00:00"/>
    <n v="-9957"/>
    <x v="30"/>
    <x v="4"/>
    <n v="-1032"/>
    <n v="2.8254620123203287"/>
    <x v="1"/>
    <n v="1"/>
    <n v="0"/>
    <n v="0"/>
    <n v="0"/>
    <s v="Laborers"/>
    <x v="0"/>
  </r>
  <r>
    <n v="5105193"/>
    <x v="1"/>
    <s v="N"/>
    <s v="Y"/>
    <n v="0"/>
    <x v="12"/>
    <x v="1"/>
    <x v="0"/>
    <x v="2"/>
    <x v="0"/>
    <d v="1996-03-25T00:00:00"/>
    <n v="-10499"/>
    <x v="1226"/>
    <x v="4"/>
    <n v="-545"/>
    <n v="1.4921286789869952"/>
    <x v="1"/>
    <n v="1"/>
    <n v="0"/>
    <n v="0"/>
    <n v="1"/>
    <s v="Laborers"/>
    <x v="0"/>
  </r>
  <r>
    <n v="5105211"/>
    <x v="0"/>
    <s v="N"/>
    <s v="N"/>
    <n v="0"/>
    <x v="5"/>
    <x v="1"/>
    <x v="1"/>
    <x v="1"/>
    <x v="0"/>
    <d v="1981-02-14T00:00:00"/>
    <n v="-16017"/>
    <x v="2103"/>
    <x v="1"/>
    <n v="-1398"/>
    <n v="3.8275154004106775"/>
    <x v="1"/>
    <n v="1"/>
    <n v="0"/>
    <n v="0"/>
    <n v="0"/>
    <s v="Laborers"/>
    <x v="1"/>
  </r>
  <r>
    <n v="5105226"/>
    <x v="0"/>
    <s v="N"/>
    <s v="Y"/>
    <n v="0"/>
    <x v="1"/>
    <x v="2"/>
    <x v="1"/>
    <x v="1"/>
    <x v="0"/>
    <d v="1977-06-07T00:00:00"/>
    <n v="-17365"/>
    <x v="2104"/>
    <x v="1"/>
    <n v="-2128"/>
    <n v="5.8261464750171115"/>
    <x v="1"/>
    <n v="1"/>
    <n v="0"/>
    <n v="0"/>
    <n v="0"/>
    <s v="Laborers"/>
    <x v="1"/>
  </r>
  <r>
    <n v="5105231"/>
    <x v="0"/>
    <s v="Y"/>
    <s v="N"/>
    <n v="1"/>
    <x v="5"/>
    <x v="2"/>
    <x v="0"/>
    <x v="1"/>
    <x v="0"/>
    <d v="1992-05-24T00:00:00"/>
    <n v="-11900"/>
    <x v="268"/>
    <x v="3"/>
    <n v="-2828"/>
    <n v="7.7426420260095821"/>
    <x v="1"/>
    <n v="1"/>
    <n v="0"/>
    <n v="0"/>
    <n v="0"/>
    <s v="Laborers"/>
    <x v="3"/>
  </r>
  <r>
    <n v="5105237"/>
    <x v="0"/>
    <s v="N"/>
    <s v="Y"/>
    <n v="0"/>
    <x v="30"/>
    <x v="2"/>
    <x v="1"/>
    <x v="1"/>
    <x v="0"/>
    <d v="1992-04-23T00:00:00"/>
    <n v="-11931"/>
    <x v="2105"/>
    <x v="3"/>
    <n v="-271"/>
    <n v="0.7419575633127995"/>
    <x v="1"/>
    <n v="1"/>
    <n v="1"/>
    <n v="1"/>
    <n v="0"/>
    <s v="Sales staff"/>
    <x v="1"/>
  </r>
  <r>
    <n v="5105239"/>
    <x v="1"/>
    <s v="N"/>
    <s v="Y"/>
    <n v="2"/>
    <x v="16"/>
    <x v="2"/>
    <x v="1"/>
    <x v="1"/>
    <x v="0"/>
    <d v="1989-05-22T00:00:00"/>
    <n v="-12998"/>
    <x v="604"/>
    <x v="3"/>
    <n v="-392"/>
    <n v="1.0732375085557837"/>
    <x v="1"/>
    <n v="1"/>
    <n v="1"/>
    <n v="0"/>
    <n v="0"/>
    <s v="Security staff"/>
    <x v="2"/>
  </r>
  <r>
    <n v="5105306"/>
    <x v="0"/>
    <s v="N"/>
    <s v="Y"/>
    <n v="1"/>
    <x v="30"/>
    <x v="2"/>
    <x v="1"/>
    <x v="2"/>
    <x v="0"/>
    <d v="1992-01-08T00:00:00"/>
    <n v="-12037"/>
    <x v="2106"/>
    <x v="3"/>
    <n v="-2706"/>
    <n v="7.4086242299794662"/>
    <x v="1"/>
    <n v="1"/>
    <n v="0"/>
    <n v="0"/>
    <n v="0"/>
    <s v="Laborers"/>
    <x v="1"/>
  </r>
  <r>
    <n v="5105311"/>
    <x v="0"/>
    <s v="Y"/>
    <s v="Y"/>
    <n v="0"/>
    <x v="8"/>
    <x v="3"/>
    <x v="0"/>
    <x v="1"/>
    <x v="0"/>
    <d v="1979-05-30T00:00:00"/>
    <n v="-16643"/>
    <x v="2107"/>
    <x v="1"/>
    <n v="-180"/>
    <n v="0.49281314168377821"/>
    <x v="1"/>
    <n v="1"/>
    <n v="0"/>
    <n v="0"/>
    <n v="0"/>
    <s v="Medicine staff"/>
    <x v="1"/>
  </r>
  <r>
    <n v="5105334"/>
    <x v="1"/>
    <s v="Y"/>
    <s v="N"/>
    <n v="0"/>
    <x v="8"/>
    <x v="1"/>
    <x v="1"/>
    <x v="1"/>
    <x v="0"/>
    <d v="1985-09-12T00:00:00"/>
    <n v="-14346"/>
    <x v="2108"/>
    <x v="3"/>
    <n v="-302"/>
    <n v="0.8268309377138946"/>
    <x v="1"/>
    <n v="1"/>
    <n v="0"/>
    <n v="0"/>
    <n v="0"/>
    <m/>
    <x v="1"/>
  </r>
  <r>
    <n v="5105341"/>
    <x v="1"/>
    <s v="Y"/>
    <s v="N"/>
    <n v="0"/>
    <x v="8"/>
    <x v="1"/>
    <x v="1"/>
    <x v="1"/>
    <x v="0"/>
    <d v="1985-09-12T00:00:00"/>
    <n v="-14346"/>
    <x v="2108"/>
    <x v="3"/>
    <n v="-302"/>
    <n v="0.8268309377138946"/>
    <x v="1"/>
    <n v="1"/>
    <n v="0"/>
    <n v="0"/>
    <n v="0"/>
    <m/>
    <x v="1"/>
  </r>
  <r>
    <n v="5105342"/>
    <x v="1"/>
    <s v="Y"/>
    <s v="Y"/>
    <n v="0"/>
    <x v="2"/>
    <x v="2"/>
    <x v="1"/>
    <x v="1"/>
    <x v="0"/>
    <d v="1980-05-22T00:00:00"/>
    <n v="-16285"/>
    <x v="2109"/>
    <x v="1"/>
    <n v="-1184"/>
    <n v="3.2416153319644079"/>
    <x v="1"/>
    <n v="1"/>
    <n v="0"/>
    <n v="0"/>
    <n v="0"/>
    <s v="Laborers"/>
    <x v="1"/>
  </r>
  <r>
    <n v="5105345"/>
    <x v="1"/>
    <s v="Y"/>
    <s v="Y"/>
    <n v="0"/>
    <x v="2"/>
    <x v="2"/>
    <x v="1"/>
    <x v="1"/>
    <x v="0"/>
    <d v="1980-05-22T00:00:00"/>
    <n v="-16285"/>
    <x v="2109"/>
    <x v="1"/>
    <n v="-1184"/>
    <n v="3.2416153319644079"/>
    <x v="1"/>
    <n v="1"/>
    <n v="0"/>
    <n v="0"/>
    <n v="0"/>
    <s v="Laborers"/>
    <x v="1"/>
  </r>
  <r>
    <n v="5105362"/>
    <x v="0"/>
    <s v="N"/>
    <s v="Y"/>
    <n v="0"/>
    <x v="33"/>
    <x v="2"/>
    <x v="1"/>
    <x v="1"/>
    <x v="0"/>
    <d v="1973-04-26T00:00:00"/>
    <n v="-18868"/>
    <x v="281"/>
    <x v="2"/>
    <n v="-726"/>
    <n v="1.9876796714579055"/>
    <x v="1"/>
    <n v="1"/>
    <n v="0"/>
    <n v="1"/>
    <n v="0"/>
    <m/>
    <x v="1"/>
  </r>
  <r>
    <n v="5105365"/>
    <x v="1"/>
    <s v="N"/>
    <s v="Y"/>
    <n v="0"/>
    <x v="5"/>
    <x v="1"/>
    <x v="1"/>
    <x v="1"/>
    <x v="0"/>
    <d v="1972-08-10T00:00:00"/>
    <n v="-19127"/>
    <x v="2110"/>
    <x v="2"/>
    <n v="-1061"/>
    <n v="2.9048596851471595"/>
    <x v="1"/>
    <n v="1"/>
    <n v="1"/>
    <n v="1"/>
    <n v="0"/>
    <s v="Core staff"/>
    <x v="1"/>
  </r>
  <r>
    <n v="5105366"/>
    <x v="1"/>
    <s v="N"/>
    <s v="Y"/>
    <n v="0"/>
    <x v="14"/>
    <x v="2"/>
    <x v="1"/>
    <x v="1"/>
    <x v="0"/>
    <d v="1975-04-21T00:00:00"/>
    <n v="-18143"/>
    <x v="2111"/>
    <x v="1"/>
    <n v="-10437"/>
    <n v="28.57494866529774"/>
    <x v="1"/>
    <n v="1"/>
    <n v="1"/>
    <n v="0"/>
    <n v="0"/>
    <s v="Laborers"/>
    <x v="1"/>
  </r>
  <r>
    <n v="5105383"/>
    <x v="1"/>
    <s v="N"/>
    <s v="Y"/>
    <n v="0"/>
    <x v="16"/>
    <x v="0"/>
    <x v="1"/>
    <x v="3"/>
    <x v="0"/>
    <d v="1960-01-11T00:00:00"/>
    <n v="-23722"/>
    <x v="2112"/>
    <x v="0"/>
    <n v="365243"/>
    <n v="0"/>
    <x v="0"/>
    <n v="1"/>
    <n v="0"/>
    <n v="0"/>
    <n v="0"/>
    <m/>
    <x v="1"/>
  </r>
  <r>
    <n v="5105396"/>
    <x v="0"/>
    <s v="N"/>
    <s v="Y"/>
    <n v="0"/>
    <x v="1"/>
    <x v="2"/>
    <x v="2"/>
    <x v="2"/>
    <x v="0"/>
    <d v="1995-01-17T00:00:00"/>
    <n v="-10932"/>
    <x v="2113"/>
    <x v="4"/>
    <n v="-575"/>
    <n v="1.5742642026009583"/>
    <x v="1"/>
    <n v="1"/>
    <n v="0"/>
    <n v="0"/>
    <n v="0"/>
    <s v="Secretaries"/>
    <x v="0"/>
  </r>
  <r>
    <n v="5105397"/>
    <x v="0"/>
    <s v="N"/>
    <s v="Y"/>
    <n v="0"/>
    <x v="2"/>
    <x v="3"/>
    <x v="0"/>
    <x v="1"/>
    <x v="0"/>
    <d v="1989-04-15T00:00:00"/>
    <n v="-13035"/>
    <x v="2114"/>
    <x v="3"/>
    <n v="-361"/>
    <n v="0.9883641341546886"/>
    <x v="1"/>
    <n v="1"/>
    <n v="0"/>
    <n v="1"/>
    <n v="0"/>
    <s v="Core staff"/>
    <x v="1"/>
  </r>
  <r>
    <n v="5105398"/>
    <x v="0"/>
    <s v="N"/>
    <s v="Y"/>
    <n v="0"/>
    <x v="2"/>
    <x v="3"/>
    <x v="0"/>
    <x v="1"/>
    <x v="0"/>
    <d v="1989-04-15T00:00:00"/>
    <n v="-13035"/>
    <x v="2114"/>
    <x v="3"/>
    <n v="-361"/>
    <n v="0.9883641341546886"/>
    <x v="1"/>
    <n v="1"/>
    <n v="0"/>
    <n v="1"/>
    <n v="0"/>
    <s v="Core staff"/>
    <x v="1"/>
  </r>
  <r>
    <n v="5105423"/>
    <x v="0"/>
    <s v="N"/>
    <s v="Y"/>
    <n v="0"/>
    <x v="76"/>
    <x v="2"/>
    <x v="1"/>
    <x v="2"/>
    <x v="0"/>
    <d v="1974-06-19T00:00:00"/>
    <n v="-18449"/>
    <x v="2089"/>
    <x v="2"/>
    <n v="-9683"/>
    <n v="26.510609171800137"/>
    <x v="1"/>
    <n v="1"/>
    <n v="0"/>
    <n v="0"/>
    <n v="0"/>
    <m/>
    <x v="0"/>
  </r>
  <r>
    <n v="5105426"/>
    <x v="0"/>
    <s v="N"/>
    <s v="Y"/>
    <n v="0"/>
    <x v="76"/>
    <x v="2"/>
    <x v="1"/>
    <x v="2"/>
    <x v="0"/>
    <d v="1974-06-19T00:00:00"/>
    <n v="-18449"/>
    <x v="2089"/>
    <x v="2"/>
    <n v="-9683"/>
    <n v="26.510609171800137"/>
    <x v="1"/>
    <n v="1"/>
    <n v="0"/>
    <n v="0"/>
    <n v="0"/>
    <m/>
    <x v="0"/>
  </r>
  <r>
    <n v="5105427"/>
    <x v="0"/>
    <s v="Y"/>
    <s v="Y"/>
    <n v="3"/>
    <x v="30"/>
    <x v="2"/>
    <x v="0"/>
    <x v="1"/>
    <x v="0"/>
    <d v="1996-08-15T00:00:00"/>
    <n v="-10356"/>
    <x v="2115"/>
    <x v="4"/>
    <n v="-2317"/>
    <n v="6.3436002737850785"/>
    <x v="1"/>
    <n v="1"/>
    <n v="0"/>
    <n v="0"/>
    <n v="0"/>
    <s v="Medicine staff"/>
    <x v="4"/>
  </r>
  <r>
    <n v="5105433"/>
    <x v="1"/>
    <s v="N"/>
    <s v="Y"/>
    <n v="2"/>
    <x v="2"/>
    <x v="2"/>
    <x v="1"/>
    <x v="3"/>
    <x v="0"/>
    <d v="1985-08-31T00:00:00"/>
    <n v="-14358"/>
    <x v="2116"/>
    <x v="3"/>
    <n v="-2317"/>
    <n v="6.3436002737850785"/>
    <x v="1"/>
    <n v="1"/>
    <n v="0"/>
    <n v="0"/>
    <n v="0"/>
    <m/>
    <x v="2"/>
  </r>
  <r>
    <n v="5105438"/>
    <x v="1"/>
    <s v="N"/>
    <s v="Y"/>
    <n v="2"/>
    <x v="2"/>
    <x v="2"/>
    <x v="1"/>
    <x v="3"/>
    <x v="0"/>
    <d v="1985-08-31T00:00:00"/>
    <n v="-14358"/>
    <x v="2116"/>
    <x v="3"/>
    <n v="-2317"/>
    <n v="6.3436002737850785"/>
    <x v="1"/>
    <n v="1"/>
    <n v="0"/>
    <n v="0"/>
    <n v="0"/>
    <m/>
    <x v="2"/>
  </r>
  <r>
    <n v="5105449"/>
    <x v="0"/>
    <s v="N"/>
    <s v="Y"/>
    <n v="0"/>
    <x v="2"/>
    <x v="2"/>
    <x v="1"/>
    <x v="1"/>
    <x v="0"/>
    <d v="1997-11-20T00:00:00"/>
    <n v="-9894"/>
    <x v="2117"/>
    <x v="4"/>
    <n v="-2499"/>
    <n v="6.8418891170431211"/>
    <x v="1"/>
    <n v="1"/>
    <n v="1"/>
    <n v="1"/>
    <n v="0"/>
    <s v="Sales staff"/>
    <x v="1"/>
  </r>
  <r>
    <n v="5105451"/>
    <x v="0"/>
    <s v="N"/>
    <s v="Y"/>
    <n v="0"/>
    <x v="2"/>
    <x v="2"/>
    <x v="1"/>
    <x v="1"/>
    <x v="0"/>
    <d v="1997-11-20T00:00:00"/>
    <n v="-9894"/>
    <x v="2117"/>
    <x v="4"/>
    <n v="-2499"/>
    <n v="6.8418891170431211"/>
    <x v="1"/>
    <n v="1"/>
    <n v="1"/>
    <n v="1"/>
    <n v="0"/>
    <s v="Sales staff"/>
    <x v="1"/>
  </r>
  <r>
    <n v="5105455"/>
    <x v="1"/>
    <s v="N"/>
    <s v="Y"/>
    <n v="0"/>
    <x v="62"/>
    <x v="1"/>
    <x v="1"/>
    <x v="1"/>
    <x v="0"/>
    <d v="1978-11-19T00:00:00"/>
    <n v="-16835"/>
    <x v="2118"/>
    <x v="1"/>
    <n v="-5109"/>
    <n v="13.987679671457906"/>
    <x v="1"/>
    <n v="1"/>
    <n v="0"/>
    <n v="0"/>
    <n v="0"/>
    <s v="Laborers"/>
    <x v="1"/>
  </r>
  <r>
    <n v="5105460"/>
    <x v="1"/>
    <s v="N"/>
    <s v="N"/>
    <n v="1"/>
    <x v="11"/>
    <x v="3"/>
    <x v="2"/>
    <x v="1"/>
    <x v="2"/>
    <d v="1991-11-10T00:00:00"/>
    <n v="-12096"/>
    <x v="2119"/>
    <x v="3"/>
    <n v="-575"/>
    <n v="1.5742642026009583"/>
    <x v="1"/>
    <n v="1"/>
    <n v="0"/>
    <n v="0"/>
    <n v="0"/>
    <s v="Drivers"/>
    <x v="3"/>
  </r>
  <r>
    <n v="5105461"/>
    <x v="1"/>
    <s v="N"/>
    <s v="N"/>
    <n v="1"/>
    <x v="11"/>
    <x v="3"/>
    <x v="2"/>
    <x v="1"/>
    <x v="2"/>
    <d v="1991-11-10T00:00:00"/>
    <n v="-12096"/>
    <x v="2119"/>
    <x v="3"/>
    <n v="-575"/>
    <n v="1.5742642026009583"/>
    <x v="1"/>
    <n v="1"/>
    <n v="0"/>
    <n v="0"/>
    <n v="0"/>
    <s v="Drivers"/>
    <x v="3"/>
  </r>
  <r>
    <n v="5105467"/>
    <x v="0"/>
    <s v="N"/>
    <s v="Y"/>
    <n v="0"/>
    <x v="2"/>
    <x v="0"/>
    <x v="1"/>
    <x v="1"/>
    <x v="0"/>
    <d v="1967-04-12T00:00:00"/>
    <n v="-21074"/>
    <x v="2120"/>
    <x v="2"/>
    <n v="365243"/>
    <n v="0"/>
    <x v="0"/>
    <n v="1"/>
    <n v="0"/>
    <n v="0"/>
    <n v="0"/>
    <m/>
    <x v="1"/>
  </r>
  <r>
    <n v="5105486"/>
    <x v="1"/>
    <s v="N"/>
    <s v="Y"/>
    <n v="0"/>
    <x v="2"/>
    <x v="2"/>
    <x v="1"/>
    <x v="2"/>
    <x v="0"/>
    <d v="1981-03-13T00:00:00"/>
    <n v="-15990"/>
    <x v="2121"/>
    <x v="1"/>
    <n v="-1100"/>
    <n v="3.0116358658453115"/>
    <x v="1"/>
    <n v="1"/>
    <n v="0"/>
    <n v="0"/>
    <n v="0"/>
    <s v="Laborers"/>
    <x v="0"/>
  </r>
  <r>
    <n v="5105504"/>
    <x v="0"/>
    <s v="N"/>
    <s v="Y"/>
    <n v="0"/>
    <x v="11"/>
    <x v="2"/>
    <x v="0"/>
    <x v="1"/>
    <x v="0"/>
    <d v="1995-10-07T00:00:00"/>
    <n v="-10669"/>
    <x v="2122"/>
    <x v="4"/>
    <n v="-1495"/>
    <n v="4.0930869267624912"/>
    <x v="1"/>
    <n v="1"/>
    <n v="0"/>
    <n v="0"/>
    <n v="0"/>
    <m/>
    <x v="1"/>
  </r>
  <r>
    <n v="5105505"/>
    <x v="1"/>
    <s v="N"/>
    <s v="Y"/>
    <n v="0"/>
    <x v="18"/>
    <x v="1"/>
    <x v="1"/>
    <x v="1"/>
    <x v="0"/>
    <d v="1987-09-30T00:00:00"/>
    <n v="-13598"/>
    <x v="2123"/>
    <x v="3"/>
    <n v="-1398"/>
    <n v="3.8275154004106775"/>
    <x v="1"/>
    <n v="1"/>
    <n v="0"/>
    <n v="0"/>
    <n v="0"/>
    <s v="Laborers"/>
    <x v="1"/>
  </r>
  <r>
    <n v="5105512"/>
    <x v="0"/>
    <s v="N"/>
    <s v="Y"/>
    <n v="1"/>
    <x v="5"/>
    <x v="2"/>
    <x v="1"/>
    <x v="1"/>
    <x v="0"/>
    <d v="1988-03-09T00:00:00"/>
    <n v="-13437"/>
    <x v="1673"/>
    <x v="3"/>
    <n v="-1671"/>
    <n v="4.5749486652977414"/>
    <x v="1"/>
    <n v="1"/>
    <n v="0"/>
    <n v="0"/>
    <n v="0"/>
    <m/>
    <x v="3"/>
  </r>
  <r>
    <n v="5105530"/>
    <x v="1"/>
    <s v="Y"/>
    <s v="Y"/>
    <n v="0"/>
    <x v="1"/>
    <x v="2"/>
    <x v="1"/>
    <x v="1"/>
    <x v="0"/>
    <d v="1997-09-20T00:00:00"/>
    <n v="-9955"/>
    <x v="2124"/>
    <x v="4"/>
    <n v="-2036"/>
    <n v="5.5742642026009586"/>
    <x v="1"/>
    <n v="1"/>
    <n v="0"/>
    <n v="0"/>
    <n v="0"/>
    <m/>
    <x v="1"/>
  </r>
  <r>
    <n v="5105546"/>
    <x v="0"/>
    <s v="Y"/>
    <s v="Y"/>
    <n v="1"/>
    <x v="2"/>
    <x v="2"/>
    <x v="1"/>
    <x v="1"/>
    <x v="0"/>
    <d v="1993-07-01T00:00:00"/>
    <n v="-11497"/>
    <x v="2125"/>
    <x v="3"/>
    <n v="-1648"/>
    <n v="4.5119780971937029"/>
    <x v="1"/>
    <n v="1"/>
    <n v="0"/>
    <n v="0"/>
    <n v="0"/>
    <s v="Sales staff"/>
    <x v="3"/>
  </r>
  <r>
    <n v="5105547"/>
    <x v="0"/>
    <s v="Y"/>
    <s v="Y"/>
    <n v="1"/>
    <x v="2"/>
    <x v="2"/>
    <x v="1"/>
    <x v="1"/>
    <x v="0"/>
    <d v="1993-07-01T00:00:00"/>
    <n v="-11497"/>
    <x v="2125"/>
    <x v="3"/>
    <n v="-1648"/>
    <n v="4.5119780971937029"/>
    <x v="1"/>
    <n v="1"/>
    <n v="0"/>
    <n v="0"/>
    <n v="0"/>
    <s v="Sales staff"/>
    <x v="3"/>
  </r>
  <r>
    <n v="5105554"/>
    <x v="0"/>
    <s v="N"/>
    <s v="Y"/>
    <n v="0"/>
    <x v="5"/>
    <x v="2"/>
    <x v="1"/>
    <x v="1"/>
    <x v="0"/>
    <d v="1970-10-05T00:00:00"/>
    <n v="-19802"/>
    <x v="2126"/>
    <x v="2"/>
    <n v="-4532"/>
    <n v="12.407939767282683"/>
    <x v="1"/>
    <n v="1"/>
    <n v="0"/>
    <n v="0"/>
    <n v="0"/>
    <s v="Laborers"/>
    <x v="1"/>
  </r>
  <r>
    <n v="5105584"/>
    <x v="0"/>
    <s v="N"/>
    <s v="N"/>
    <n v="0"/>
    <x v="70"/>
    <x v="1"/>
    <x v="1"/>
    <x v="1"/>
    <x v="0"/>
    <d v="1997-06-04T00:00:00"/>
    <n v="-10063"/>
    <x v="2127"/>
    <x v="4"/>
    <n v="-917"/>
    <n v="2.5106091718001369"/>
    <x v="1"/>
    <n v="1"/>
    <n v="0"/>
    <n v="0"/>
    <n v="0"/>
    <s v="Private service staff"/>
    <x v="1"/>
  </r>
  <r>
    <n v="5105593"/>
    <x v="0"/>
    <s v="Y"/>
    <s v="Y"/>
    <n v="1"/>
    <x v="1"/>
    <x v="1"/>
    <x v="1"/>
    <x v="1"/>
    <x v="0"/>
    <d v="1994-06-04T00:00:00"/>
    <n v="-11159"/>
    <x v="2128"/>
    <x v="3"/>
    <n v="-856"/>
    <n v="2.3436002737850785"/>
    <x v="1"/>
    <n v="1"/>
    <n v="0"/>
    <n v="0"/>
    <n v="0"/>
    <s v="Sales staff"/>
    <x v="3"/>
  </r>
  <r>
    <n v="5105607"/>
    <x v="0"/>
    <s v="N"/>
    <s v="Y"/>
    <n v="5"/>
    <x v="5"/>
    <x v="2"/>
    <x v="1"/>
    <x v="1"/>
    <x v="0"/>
    <d v="1989-04-11T00:00:00"/>
    <n v="-13039"/>
    <x v="2129"/>
    <x v="3"/>
    <n v="-3375"/>
    <n v="9.2402464065708418"/>
    <x v="1"/>
    <n v="1"/>
    <n v="0"/>
    <n v="0"/>
    <n v="0"/>
    <s v="Laborers"/>
    <x v="6"/>
  </r>
  <r>
    <n v="5105639"/>
    <x v="0"/>
    <s v="N"/>
    <s v="Y"/>
    <n v="0"/>
    <x v="1"/>
    <x v="0"/>
    <x v="1"/>
    <x v="3"/>
    <x v="0"/>
    <d v="1967-09-26T00:00:00"/>
    <n v="-20907"/>
    <x v="2130"/>
    <x v="2"/>
    <n v="365243"/>
    <n v="0"/>
    <x v="0"/>
    <n v="1"/>
    <n v="0"/>
    <n v="0"/>
    <n v="0"/>
    <m/>
    <x v="1"/>
  </r>
  <r>
    <n v="5105659"/>
    <x v="0"/>
    <s v="Y"/>
    <s v="Y"/>
    <n v="2"/>
    <x v="72"/>
    <x v="2"/>
    <x v="0"/>
    <x v="2"/>
    <x v="0"/>
    <d v="1986-03-17T00:00:00"/>
    <n v="-14160"/>
    <x v="2131"/>
    <x v="3"/>
    <n v="-422"/>
    <n v="1.1553730321697468"/>
    <x v="1"/>
    <n v="1"/>
    <n v="0"/>
    <n v="1"/>
    <n v="1"/>
    <m/>
    <x v="3"/>
  </r>
  <r>
    <n v="5105667"/>
    <x v="0"/>
    <s v="Y"/>
    <s v="Y"/>
    <n v="2"/>
    <x v="72"/>
    <x v="2"/>
    <x v="0"/>
    <x v="2"/>
    <x v="0"/>
    <d v="1986-03-17T00:00:00"/>
    <n v="-14160"/>
    <x v="2131"/>
    <x v="3"/>
    <n v="-422"/>
    <n v="1.1553730321697468"/>
    <x v="1"/>
    <n v="1"/>
    <n v="0"/>
    <n v="1"/>
    <n v="1"/>
    <m/>
    <x v="3"/>
  </r>
  <r>
    <n v="5105668"/>
    <x v="1"/>
    <s v="Y"/>
    <s v="N"/>
    <n v="0"/>
    <x v="8"/>
    <x v="1"/>
    <x v="1"/>
    <x v="1"/>
    <x v="0"/>
    <d v="1987-08-11T00:00:00"/>
    <n v="-13648"/>
    <x v="2132"/>
    <x v="3"/>
    <n v="-4167"/>
    <n v="11.408624229979466"/>
    <x v="1"/>
    <n v="1"/>
    <n v="0"/>
    <n v="0"/>
    <n v="0"/>
    <s v="Drivers"/>
    <x v="1"/>
  </r>
  <r>
    <n v="5105682"/>
    <x v="1"/>
    <s v="N"/>
    <s v="Y"/>
    <n v="0"/>
    <x v="37"/>
    <x v="0"/>
    <x v="1"/>
    <x v="1"/>
    <x v="0"/>
    <d v="1959-02-27T00:00:00"/>
    <n v="-24040"/>
    <x v="2133"/>
    <x v="0"/>
    <n v="365243"/>
    <n v="0"/>
    <x v="0"/>
    <n v="1"/>
    <n v="0"/>
    <n v="0"/>
    <n v="0"/>
    <m/>
    <x v="1"/>
  </r>
  <r>
    <n v="5105689"/>
    <x v="1"/>
    <s v="N"/>
    <s v="Y"/>
    <n v="0"/>
    <x v="30"/>
    <x v="0"/>
    <x v="1"/>
    <x v="3"/>
    <x v="0"/>
    <d v="1968-05-27T00:00:00"/>
    <n v="-20663"/>
    <x v="2134"/>
    <x v="2"/>
    <n v="365243"/>
    <n v="0"/>
    <x v="0"/>
    <n v="1"/>
    <n v="0"/>
    <n v="0"/>
    <n v="0"/>
    <m/>
    <x v="1"/>
  </r>
  <r>
    <n v="5105699"/>
    <x v="0"/>
    <s v="Y"/>
    <s v="N"/>
    <n v="0"/>
    <x v="8"/>
    <x v="2"/>
    <x v="1"/>
    <x v="1"/>
    <x v="4"/>
    <d v="1991-09-12T00:00:00"/>
    <n v="-12155"/>
    <x v="1009"/>
    <x v="3"/>
    <n v="-667"/>
    <n v="1.8261464750171115"/>
    <x v="1"/>
    <n v="1"/>
    <n v="0"/>
    <n v="0"/>
    <n v="0"/>
    <s v="Laborers"/>
    <x v="1"/>
  </r>
  <r>
    <n v="5105725"/>
    <x v="1"/>
    <s v="N"/>
    <s v="Y"/>
    <n v="2"/>
    <x v="18"/>
    <x v="2"/>
    <x v="1"/>
    <x v="1"/>
    <x v="0"/>
    <d v="1987-04-04T00:00:00"/>
    <n v="-13777"/>
    <x v="1942"/>
    <x v="3"/>
    <n v="-460"/>
    <n v="1.2594113620807665"/>
    <x v="1"/>
    <n v="1"/>
    <n v="1"/>
    <n v="0"/>
    <n v="0"/>
    <s v="Laborers"/>
    <x v="2"/>
  </r>
  <r>
    <n v="5105739"/>
    <x v="0"/>
    <s v="N"/>
    <s v="Y"/>
    <n v="3"/>
    <x v="19"/>
    <x v="0"/>
    <x v="1"/>
    <x v="1"/>
    <x v="0"/>
    <d v="1991-02-11T00:00:00"/>
    <n v="-12368"/>
    <x v="2135"/>
    <x v="3"/>
    <n v="-672"/>
    <n v="1.839835728952772"/>
    <x v="1"/>
    <n v="1"/>
    <n v="0"/>
    <n v="0"/>
    <n v="0"/>
    <s v="Core staff"/>
    <x v="4"/>
  </r>
  <r>
    <n v="5105744"/>
    <x v="1"/>
    <s v="Y"/>
    <s v="N"/>
    <n v="2"/>
    <x v="2"/>
    <x v="2"/>
    <x v="0"/>
    <x v="1"/>
    <x v="0"/>
    <d v="1981-01-18T00:00:00"/>
    <n v="-16044"/>
    <x v="2136"/>
    <x v="1"/>
    <n v="-6693"/>
    <n v="18.324435318275153"/>
    <x v="1"/>
    <n v="1"/>
    <n v="1"/>
    <n v="1"/>
    <n v="0"/>
    <s v="High skill tech staff"/>
    <x v="2"/>
  </r>
  <r>
    <n v="5105749"/>
    <x v="1"/>
    <s v="Y"/>
    <s v="N"/>
    <n v="2"/>
    <x v="2"/>
    <x v="2"/>
    <x v="0"/>
    <x v="1"/>
    <x v="0"/>
    <d v="1981-01-18T00:00:00"/>
    <n v="-16044"/>
    <x v="2136"/>
    <x v="1"/>
    <n v="-6693"/>
    <n v="18.324435318275153"/>
    <x v="1"/>
    <n v="1"/>
    <n v="1"/>
    <n v="1"/>
    <n v="0"/>
    <s v="High skill tech staff"/>
    <x v="2"/>
  </r>
  <r>
    <n v="5105779"/>
    <x v="0"/>
    <s v="Y"/>
    <s v="N"/>
    <n v="1"/>
    <x v="70"/>
    <x v="1"/>
    <x v="0"/>
    <x v="1"/>
    <x v="0"/>
    <d v="1994-08-20T00:00:00"/>
    <n v="-11082"/>
    <x v="2137"/>
    <x v="3"/>
    <n v="-1976"/>
    <n v="5.4099931553730318"/>
    <x v="1"/>
    <n v="1"/>
    <n v="1"/>
    <n v="0"/>
    <n v="0"/>
    <s v="Accountants"/>
    <x v="3"/>
  </r>
  <r>
    <n v="5105782"/>
    <x v="0"/>
    <s v="Y"/>
    <s v="N"/>
    <n v="1"/>
    <x v="70"/>
    <x v="1"/>
    <x v="0"/>
    <x v="1"/>
    <x v="0"/>
    <d v="1994-08-20T00:00:00"/>
    <n v="-11082"/>
    <x v="2137"/>
    <x v="3"/>
    <n v="-1976"/>
    <n v="5.4099931553730318"/>
    <x v="1"/>
    <n v="1"/>
    <n v="1"/>
    <n v="0"/>
    <n v="0"/>
    <s v="Accountants"/>
    <x v="3"/>
  </r>
  <r>
    <n v="5105784"/>
    <x v="1"/>
    <s v="Y"/>
    <s v="N"/>
    <n v="0"/>
    <x v="137"/>
    <x v="1"/>
    <x v="1"/>
    <x v="1"/>
    <x v="0"/>
    <d v="1981-03-23T00:00:00"/>
    <n v="-15980"/>
    <x v="2138"/>
    <x v="1"/>
    <n v="-119"/>
    <n v="0.32580424366872007"/>
    <x v="1"/>
    <n v="1"/>
    <n v="1"/>
    <n v="1"/>
    <n v="0"/>
    <s v="Drivers"/>
    <x v="1"/>
  </r>
  <r>
    <n v="5105788"/>
    <x v="1"/>
    <s v="Y"/>
    <s v="N"/>
    <n v="0"/>
    <x v="137"/>
    <x v="1"/>
    <x v="1"/>
    <x v="1"/>
    <x v="0"/>
    <d v="1981-03-23T00:00:00"/>
    <n v="-15980"/>
    <x v="2138"/>
    <x v="1"/>
    <n v="-119"/>
    <n v="0.32580424366872007"/>
    <x v="1"/>
    <n v="1"/>
    <n v="1"/>
    <n v="1"/>
    <n v="0"/>
    <s v="Drivers"/>
    <x v="1"/>
  </r>
  <r>
    <n v="5105802"/>
    <x v="0"/>
    <s v="N"/>
    <s v="N"/>
    <n v="0"/>
    <x v="2"/>
    <x v="1"/>
    <x v="1"/>
    <x v="1"/>
    <x v="0"/>
    <d v="1971-11-12T00:00:00"/>
    <n v="-19399"/>
    <x v="2139"/>
    <x v="2"/>
    <n v="-5782"/>
    <n v="15.83025325119781"/>
    <x v="1"/>
    <n v="1"/>
    <n v="0"/>
    <n v="1"/>
    <n v="0"/>
    <m/>
    <x v="1"/>
  </r>
  <r>
    <n v="5105817"/>
    <x v="0"/>
    <s v="N"/>
    <s v="Y"/>
    <n v="0"/>
    <x v="45"/>
    <x v="0"/>
    <x v="1"/>
    <x v="1"/>
    <x v="0"/>
    <d v="1964-07-18T00:00:00"/>
    <n v="-22072"/>
    <x v="2140"/>
    <x v="0"/>
    <n v="365243"/>
    <n v="0"/>
    <x v="0"/>
    <n v="1"/>
    <n v="0"/>
    <n v="1"/>
    <n v="0"/>
    <m/>
    <x v="1"/>
  </r>
  <r>
    <n v="5105823"/>
    <x v="0"/>
    <s v="N"/>
    <s v="N"/>
    <n v="0"/>
    <x v="37"/>
    <x v="2"/>
    <x v="1"/>
    <x v="1"/>
    <x v="0"/>
    <d v="1997-11-06T00:00:00"/>
    <n v="-9908"/>
    <x v="2141"/>
    <x v="4"/>
    <n v="-2068"/>
    <n v="5.6618754277891856"/>
    <x v="1"/>
    <n v="1"/>
    <n v="0"/>
    <n v="0"/>
    <n v="0"/>
    <s v="Sales staff"/>
    <x v="1"/>
  </r>
  <r>
    <n v="5105851"/>
    <x v="1"/>
    <s v="Y"/>
    <s v="N"/>
    <n v="0"/>
    <x v="39"/>
    <x v="2"/>
    <x v="2"/>
    <x v="0"/>
    <x v="0"/>
    <d v="1996-08-01T00:00:00"/>
    <n v="-10370"/>
    <x v="2142"/>
    <x v="4"/>
    <n v="-1550"/>
    <n v="4.2436687200547567"/>
    <x v="1"/>
    <n v="1"/>
    <n v="1"/>
    <n v="1"/>
    <n v="0"/>
    <s v="Managers"/>
    <x v="0"/>
  </r>
  <r>
    <n v="5105869"/>
    <x v="1"/>
    <s v="Y"/>
    <s v="N"/>
    <n v="0"/>
    <x v="8"/>
    <x v="2"/>
    <x v="1"/>
    <x v="1"/>
    <x v="0"/>
    <d v="1993-03-22T00:00:00"/>
    <n v="-11598"/>
    <x v="1890"/>
    <x v="3"/>
    <n v="-1976"/>
    <n v="5.4099931553730318"/>
    <x v="1"/>
    <n v="1"/>
    <n v="1"/>
    <n v="0"/>
    <n v="0"/>
    <m/>
    <x v="1"/>
  </r>
  <r>
    <n v="5105873"/>
    <x v="1"/>
    <s v="Y"/>
    <s v="N"/>
    <n v="0"/>
    <x v="8"/>
    <x v="2"/>
    <x v="1"/>
    <x v="1"/>
    <x v="0"/>
    <d v="1993-03-22T00:00:00"/>
    <n v="-11598"/>
    <x v="1890"/>
    <x v="3"/>
    <n v="-1976"/>
    <n v="5.4099931553730318"/>
    <x v="1"/>
    <n v="1"/>
    <n v="1"/>
    <n v="0"/>
    <n v="0"/>
    <m/>
    <x v="1"/>
  </r>
  <r>
    <n v="5105881"/>
    <x v="0"/>
    <s v="N"/>
    <s v="N"/>
    <n v="1"/>
    <x v="138"/>
    <x v="1"/>
    <x v="0"/>
    <x v="1"/>
    <x v="0"/>
    <d v="1983-04-22T00:00:00"/>
    <n v="-15220"/>
    <x v="2143"/>
    <x v="1"/>
    <n v="-727"/>
    <n v="1.9904175222450375"/>
    <x v="1"/>
    <n v="1"/>
    <n v="0"/>
    <n v="0"/>
    <n v="0"/>
    <m/>
    <x v="3"/>
  </r>
  <r>
    <n v="5105892"/>
    <x v="1"/>
    <s v="N"/>
    <s v="N"/>
    <n v="0"/>
    <x v="38"/>
    <x v="2"/>
    <x v="1"/>
    <x v="1"/>
    <x v="0"/>
    <d v="1973-12-15T00:00:00"/>
    <n v="-18635"/>
    <x v="2144"/>
    <x v="2"/>
    <n v="-8643"/>
    <n v="23.663244353182751"/>
    <x v="1"/>
    <n v="1"/>
    <n v="0"/>
    <n v="0"/>
    <n v="0"/>
    <s v="Managers"/>
    <x v="1"/>
  </r>
  <r>
    <n v="5105907"/>
    <x v="0"/>
    <s v="Y"/>
    <s v="N"/>
    <n v="0"/>
    <x v="2"/>
    <x v="2"/>
    <x v="0"/>
    <x v="1"/>
    <x v="2"/>
    <d v="1996-04-18T00:00:00"/>
    <n v="-10475"/>
    <x v="2145"/>
    <x v="4"/>
    <n v="-1792"/>
    <n v="4.9062286105407251"/>
    <x v="1"/>
    <n v="1"/>
    <n v="1"/>
    <n v="1"/>
    <n v="0"/>
    <s v="Core staff"/>
    <x v="1"/>
  </r>
  <r>
    <n v="5105908"/>
    <x v="0"/>
    <s v="Y"/>
    <s v="N"/>
    <n v="0"/>
    <x v="2"/>
    <x v="2"/>
    <x v="0"/>
    <x v="1"/>
    <x v="2"/>
    <d v="1996-04-18T00:00:00"/>
    <n v="-10475"/>
    <x v="2145"/>
    <x v="4"/>
    <n v="-1792"/>
    <n v="4.9062286105407251"/>
    <x v="1"/>
    <n v="1"/>
    <n v="1"/>
    <n v="1"/>
    <n v="0"/>
    <s v="Core staff"/>
    <x v="1"/>
  </r>
  <r>
    <n v="5105954"/>
    <x v="0"/>
    <s v="N"/>
    <s v="N"/>
    <n v="1"/>
    <x v="2"/>
    <x v="2"/>
    <x v="1"/>
    <x v="1"/>
    <x v="0"/>
    <d v="1994-05-29T00:00:00"/>
    <n v="-11165"/>
    <x v="2146"/>
    <x v="3"/>
    <n v="-2768"/>
    <n v="7.5783709787816562"/>
    <x v="1"/>
    <n v="1"/>
    <n v="1"/>
    <n v="0"/>
    <n v="0"/>
    <s v="Laborers"/>
    <x v="3"/>
  </r>
  <r>
    <n v="5105962"/>
    <x v="0"/>
    <s v="Y"/>
    <s v="N"/>
    <n v="1"/>
    <x v="8"/>
    <x v="1"/>
    <x v="0"/>
    <x v="3"/>
    <x v="2"/>
    <d v="1997-10-13T00:00:00"/>
    <n v="-9932"/>
    <x v="2147"/>
    <x v="4"/>
    <n v="-668"/>
    <n v="1.8288843258042438"/>
    <x v="1"/>
    <n v="1"/>
    <n v="0"/>
    <n v="1"/>
    <n v="1"/>
    <s v="Accountants"/>
    <x v="3"/>
  </r>
  <r>
    <n v="5105966"/>
    <x v="0"/>
    <s v="Y"/>
    <s v="N"/>
    <n v="1"/>
    <x v="8"/>
    <x v="1"/>
    <x v="0"/>
    <x v="3"/>
    <x v="2"/>
    <d v="1997-10-13T00:00:00"/>
    <n v="-9932"/>
    <x v="2147"/>
    <x v="4"/>
    <n v="-668"/>
    <n v="1.8288843258042438"/>
    <x v="1"/>
    <n v="1"/>
    <n v="0"/>
    <n v="1"/>
    <n v="1"/>
    <s v="Accountants"/>
    <x v="3"/>
  </r>
  <r>
    <n v="5105980"/>
    <x v="1"/>
    <s v="N"/>
    <s v="N"/>
    <n v="0"/>
    <x v="8"/>
    <x v="3"/>
    <x v="1"/>
    <x v="1"/>
    <x v="0"/>
    <d v="1983-08-12T00:00:00"/>
    <n v="-15108"/>
    <x v="2148"/>
    <x v="1"/>
    <n v="-211"/>
    <n v="0.57768651608487342"/>
    <x v="1"/>
    <n v="1"/>
    <n v="1"/>
    <n v="1"/>
    <n v="0"/>
    <s v="Drivers"/>
    <x v="1"/>
  </r>
  <r>
    <n v="5105981"/>
    <x v="1"/>
    <s v="N"/>
    <s v="N"/>
    <n v="0"/>
    <x v="8"/>
    <x v="3"/>
    <x v="1"/>
    <x v="1"/>
    <x v="0"/>
    <d v="1983-08-12T00:00:00"/>
    <n v="-15108"/>
    <x v="2148"/>
    <x v="1"/>
    <n v="-211"/>
    <n v="0.57768651608487342"/>
    <x v="1"/>
    <n v="1"/>
    <n v="1"/>
    <n v="1"/>
    <n v="0"/>
    <s v="Drivers"/>
    <x v="1"/>
  </r>
  <r>
    <n v="5105982"/>
    <x v="1"/>
    <s v="N"/>
    <s v="N"/>
    <n v="0"/>
    <x v="8"/>
    <x v="3"/>
    <x v="1"/>
    <x v="1"/>
    <x v="0"/>
    <d v="1983-08-12T00:00:00"/>
    <n v="-15108"/>
    <x v="2148"/>
    <x v="1"/>
    <n v="-211"/>
    <n v="0.57768651608487342"/>
    <x v="1"/>
    <n v="1"/>
    <n v="1"/>
    <n v="1"/>
    <n v="0"/>
    <s v="Drivers"/>
    <x v="1"/>
  </r>
  <r>
    <n v="5105998"/>
    <x v="0"/>
    <s v="Y"/>
    <s v="N"/>
    <n v="0"/>
    <x v="5"/>
    <x v="2"/>
    <x v="2"/>
    <x v="1"/>
    <x v="2"/>
    <d v="2000-01-07T00:00:00"/>
    <n v="-9116"/>
    <x v="2149"/>
    <x v="4"/>
    <n v="-696"/>
    <n v="1.9055441478439425"/>
    <x v="1"/>
    <n v="1"/>
    <n v="1"/>
    <n v="1"/>
    <n v="0"/>
    <s v="Drivers"/>
    <x v="1"/>
  </r>
  <r>
    <n v="5106000"/>
    <x v="0"/>
    <s v="Y"/>
    <s v="N"/>
    <n v="0"/>
    <x v="5"/>
    <x v="2"/>
    <x v="2"/>
    <x v="1"/>
    <x v="2"/>
    <d v="2000-01-07T00:00:00"/>
    <n v="-9116"/>
    <x v="2149"/>
    <x v="4"/>
    <n v="-696"/>
    <n v="1.9055441478439425"/>
    <x v="1"/>
    <n v="1"/>
    <n v="1"/>
    <n v="1"/>
    <n v="0"/>
    <s v="Drivers"/>
    <x v="1"/>
  </r>
  <r>
    <n v="5106002"/>
    <x v="0"/>
    <s v="Y"/>
    <s v="Y"/>
    <n v="2"/>
    <x v="37"/>
    <x v="3"/>
    <x v="0"/>
    <x v="1"/>
    <x v="0"/>
    <d v="1992-08-01T00:00:00"/>
    <n v="-11831"/>
    <x v="2150"/>
    <x v="3"/>
    <n v="-3778"/>
    <n v="10.343600273785079"/>
    <x v="1"/>
    <n v="1"/>
    <n v="1"/>
    <n v="1"/>
    <n v="0"/>
    <s v="Core staff"/>
    <x v="2"/>
  </r>
  <r>
    <n v="5106018"/>
    <x v="0"/>
    <s v="N"/>
    <s v="Y"/>
    <n v="0"/>
    <x v="86"/>
    <x v="0"/>
    <x v="1"/>
    <x v="4"/>
    <x v="0"/>
    <d v="1963-04-30T00:00:00"/>
    <n v="-22517"/>
    <x v="2151"/>
    <x v="0"/>
    <n v="365243"/>
    <n v="0"/>
    <x v="0"/>
    <n v="1"/>
    <n v="0"/>
    <n v="0"/>
    <n v="0"/>
    <m/>
    <x v="0"/>
  </r>
  <r>
    <n v="5106042"/>
    <x v="1"/>
    <s v="Y"/>
    <s v="N"/>
    <n v="2"/>
    <x v="18"/>
    <x v="2"/>
    <x v="1"/>
    <x v="1"/>
    <x v="0"/>
    <d v="1983-05-05T00:00:00"/>
    <n v="-15207"/>
    <x v="841"/>
    <x v="1"/>
    <n v="-3201"/>
    <n v="8.7638603696098567"/>
    <x v="1"/>
    <n v="1"/>
    <n v="0"/>
    <n v="0"/>
    <n v="0"/>
    <s v="Core staff"/>
    <x v="2"/>
  </r>
  <r>
    <n v="5106049"/>
    <x v="0"/>
    <s v="Y"/>
    <s v="N"/>
    <n v="2"/>
    <x v="51"/>
    <x v="2"/>
    <x v="0"/>
    <x v="1"/>
    <x v="0"/>
    <d v="1991-02-21T00:00:00"/>
    <n v="-12358"/>
    <x v="2152"/>
    <x v="3"/>
    <n v="-3017"/>
    <n v="8.2600958247775491"/>
    <x v="1"/>
    <n v="1"/>
    <n v="1"/>
    <n v="0"/>
    <n v="0"/>
    <s v="Sales staff"/>
    <x v="2"/>
  </r>
  <r>
    <n v="5106050"/>
    <x v="0"/>
    <s v="Y"/>
    <s v="N"/>
    <n v="2"/>
    <x v="51"/>
    <x v="2"/>
    <x v="0"/>
    <x v="1"/>
    <x v="0"/>
    <d v="1991-02-21T00:00:00"/>
    <n v="-12358"/>
    <x v="2152"/>
    <x v="3"/>
    <n v="-3017"/>
    <n v="8.2600958247775491"/>
    <x v="1"/>
    <n v="1"/>
    <n v="1"/>
    <n v="0"/>
    <n v="0"/>
    <s v="Sales staff"/>
    <x v="2"/>
  </r>
  <r>
    <n v="5106083"/>
    <x v="0"/>
    <s v="N"/>
    <s v="N"/>
    <n v="0"/>
    <x v="1"/>
    <x v="1"/>
    <x v="0"/>
    <x v="1"/>
    <x v="0"/>
    <d v="1989-01-12T00:00:00"/>
    <n v="-13128"/>
    <x v="2153"/>
    <x v="3"/>
    <n v="-2044"/>
    <n v="5.5961670088980151"/>
    <x v="1"/>
    <n v="1"/>
    <n v="0"/>
    <n v="0"/>
    <n v="0"/>
    <s v="Laborers"/>
    <x v="1"/>
  </r>
  <r>
    <n v="5106087"/>
    <x v="1"/>
    <s v="N"/>
    <s v="N"/>
    <n v="0"/>
    <x v="3"/>
    <x v="2"/>
    <x v="1"/>
    <x v="1"/>
    <x v="0"/>
    <d v="1966-06-02T00:00:00"/>
    <n v="-21388"/>
    <x v="2154"/>
    <x v="2"/>
    <n v="-1830"/>
    <n v="5.0102669404517455"/>
    <x v="1"/>
    <n v="1"/>
    <n v="0"/>
    <n v="0"/>
    <n v="0"/>
    <s v="Security staff"/>
    <x v="1"/>
  </r>
  <r>
    <n v="5106100"/>
    <x v="1"/>
    <s v="Y"/>
    <s v="Y"/>
    <n v="2"/>
    <x v="86"/>
    <x v="2"/>
    <x v="1"/>
    <x v="1"/>
    <x v="0"/>
    <d v="1996-05-28T00:00:00"/>
    <n v="-10435"/>
    <x v="69"/>
    <x v="4"/>
    <n v="-2987"/>
    <n v="8.1779603011635871"/>
    <x v="1"/>
    <n v="1"/>
    <n v="0"/>
    <n v="0"/>
    <n v="0"/>
    <m/>
    <x v="2"/>
  </r>
  <r>
    <n v="5106154"/>
    <x v="1"/>
    <s v="Y"/>
    <s v="Y"/>
    <n v="0"/>
    <x v="1"/>
    <x v="2"/>
    <x v="1"/>
    <x v="1"/>
    <x v="0"/>
    <d v="1985-04-16T00:00:00"/>
    <n v="-14495"/>
    <x v="703"/>
    <x v="3"/>
    <n v="-3505"/>
    <n v="9.5961670088980142"/>
    <x v="1"/>
    <n v="1"/>
    <n v="0"/>
    <n v="1"/>
    <n v="0"/>
    <s v="Laborers"/>
    <x v="1"/>
  </r>
  <r>
    <n v="5106164"/>
    <x v="1"/>
    <s v="Y"/>
    <s v="Y"/>
    <n v="0"/>
    <x v="119"/>
    <x v="2"/>
    <x v="1"/>
    <x v="1"/>
    <x v="0"/>
    <d v="1972-09-07T00:00:00"/>
    <n v="-19099"/>
    <x v="2155"/>
    <x v="2"/>
    <n v="-3413"/>
    <n v="9.3442847364818622"/>
    <x v="1"/>
    <n v="1"/>
    <n v="0"/>
    <n v="0"/>
    <n v="0"/>
    <s v="Managers"/>
    <x v="1"/>
  </r>
  <r>
    <n v="5111071"/>
    <x v="0"/>
    <s v="Y"/>
    <s v="Y"/>
    <n v="0"/>
    <x v="139"/>
    <x v="2"/>
    <x v="1"/>
    <x v="4"/>
    <x v="0"/>
    <d v="1968-01-26T00:00:00"/>
    <n v="-20785"/>
    <x v="2156"/>
    <x v="2"/>
    <n v="-1577"/>
    <n v="4.3175906913073234"/>
    <x v="1"/>
    <n v="1"/>
    <n v="0"/>
    <n v="0"/>
    <n v="0"/>
    <s v="Accountants"/>
    <x v="0"/>
  </r>
  <r>
    <n v="5111079"/>
    <x v="0"/>
    <s v="Y"/>
    <s v="Y"/>
    <n v="0"/>
    <x v="139"/>
    <x v="2"/>
    <x v="1"/>
    <x v="4"/>
    <x v="0"/>
    <d v="1968-01-26T00:00:00"/>
    <n v="-20785"/>
    <x v="2156"/>
    <x v="2"/>
    <n v="-1577"/>
    <n v="4.3175906913073234"/>
    <x v="1"/>
    <n v="1"/>
    <n v="0"/>
    <n v="0"/>
    <n v="0"/>
    <s v="Accountants"/>
    <x v="0"/>
  </r>
  <r>
    <n v="5111082"/>
    <x v="0"/>
    <s v="Y"/>
    <s v="Y"/>
    <n v="0"/>
    <x v="69"/>
    <x v="0"/>
    <x v="0"/>
    <x v="1"/>
    <x v="0"/>
    <d v="1967-11-14T00:00:00"/>
    <n v="-20858"/>
    <x v="194"/>
    <x v="2"/>
    <n v="365243"/>
    <n v="0"/>
    <x v="0"/>
    <n v="1"/>
    <n v="0"/>
    <n v="1"/>
    <n v="0"/>
    <m/>
    <x v="1"/>
  </r>
  <r>
    <n v="5111090"/>
    <x v="1"/>
    <s v="N"/>
    <s v="Y"/>
    <n v="1"/>
    <x v="18"/>
    <x v="2"/>
    <x v="1"/>
    <x v="1"/>
    <x v="0"/>
    <d v="1989-08-18T00:00:00"/>
    <n v="-12910"/>
    <x v="2157"/>
    <x v="3"/>
    <n v="-359"/>
    <n v="0.98288843258042435"/>
    <x v="1"/>
    <n v="1"/>
    <n v="0"/>
    <n v="1"/>
    <n v="0"/>
    <s v="Drivers"/>
    <x v="3"/>
  </r>
  <r>
    <n v="5111093"/>
    <x v="1"/>
    <s v="N"/>
    <s v="Y"/>
    <n v="1"/>
    <x v="18"/>
    <x v="2"/>
    <x v="1"/>
    <x v="1"/>
    <x v="0"/>
    <d v="1989-08-18T00:00:00"/>
    <n v="-12910"/>
    <x v="2157"/>
    <x v="3"/>
    <n v="-359"/>
    <n v="0.98288843258042435"/>
    <x v="1"/>
    <n v="1"/>
    <n v="0"/>
    <n v="1"/>
    <n v="0"/>
    <s v="Drivers"/>
    <x v="3"/>
  </r>
  <r>
    <n v="5111095"/>
    <x v="0"/>
    <s v="N"/>
    <s v="N"/>
    <n v="0"/>
    <x v="2"/>
    <x v="2"/>
    <x v="1"/>
    <x v="1"/>
    <x v="0"/>
    <d v="1995-10-23T00:00:00"/>
    <n v="-10653"/>
    <x v="2158"/>
    <x v="4"/>
    <n v="-3007"/>
    <n v="8.2327173169062284"/>
    <x v="1"/>
    <n v="1"/>
    <n v="0"/>
    <n v="1"/>
    <n v="0"/>
    <s v="Core staff"/>
    <x v="1"/>
  </r>
  <r>
    <n v="5111106"/>
    <x v="0"/>
    <s v="N"/>
    <s v="Y"/>
    <n v="0"/>
    <x v="11"/>
    <x v="1"/>
    <x v="1"/>
    <x v="1"/>
    <x v="0"/>
    <d v="1976-03-07T00:00:00"/>
    <n v="-17822"/>
    <x v="2159"/>
    <x v="1"/>
    <n v="-1730"/>
    <n v="4.7364818617385351"/>
    <x v="1"/>
    <n v="1"/>
    <n v="0"/>
    <n v="0"/>
    <n v="0"/>
    <s v="Managers"/>
    <x v="1"/>
  </r>
  <r>
    <n v="5111117"/>
    <x v="0"/>
    <s v="N"/>
    <s v="Y"/>
    <n v="1"/>
    <x v="12"/>
    <x v="2"/>
    <x v="0"/>
    <x v="1"/>
    <x v="0"/>
    <d v="1993-03-18T00:00:00"/>
    <n v="-11602"/>
    <x v="2160"/>
    <x v="3"/>
    <n v="-1455"/>
    <n v="3.9835728952772076"/>
    <x v="1"/>
    <n v="1"/>
    <n v="0"/>
    <n v="0"/>
    <n v="0"/>
    <s v="Managers"/>
    <x v="3"/>
  </r>
  <r>
    <n v="5111126"/>
    <x v="0"/>
    <s v="N"/>
    <s v="Y"/>
    <n v="0"/>
    <x v="11"/>
    <x v="2"/>
    <x v="0"/>
    <x v="2"/>
    <x v="0"/>
    <d v="1982-04-09T00:00:00"/>
    <n v="-15598"/>
    <x v="2161"/>
    <x v="1"/>
    <n v="-7786"/>
    <n v="21.316906228610542"/>
    <x v="1"/>
    <n v="1"/>
    <n v="1"/>
    <n v="1"/>
    <n v="0"/>
    <s v="Core staff"/>
    <x v="0"/>
  </r>
  <r>
    <n v="5111142"/>
    <x v="1"/>
    <s v="Y"/>
    <s v="Y"/>
    <n v="1"/>
    <x v="16"/>
    <x v="2"/>
    <x v="1"/>
    <x v="3"/>
    <x v="0"/>
    <d v="1983-07-24T00:00:00"/>
    <n v="-15127"/>
    <x v="2162"/>
    <x v="1"/>
    <n v="-5776"/>
    <n v="15.813826146475018"/>
    <x v="1"/>
    <n v="1"/>
    <n v="0"/>
    <n v="0"/>
    <n v="0"/>
    <m/>
    <x v="3"/>
  </r>
  <r>
    <n v="5111155"/>
    <x v="0"/>
    <s v="N"/>
    <s v="Y"/>
    <n v="0"/>
    <x v="5"/>
    <x v="3"/>
    <x v="1"/>
    <x v="3"/>
    <x v="0"/>
    <d v="1985-05-31T00:00:00"/>
    <n v="-14450"/>
    <x v="11"/>
    <x v="3"/>
    <n v="-634"/>
    <n v="1.7357973990417521"/>
    <x v="1"/>
    <n v="1"/>
    <n v="0"/>
    <n v="0"/>
    <n v="0"/>
    <m/>
    <x v="1"/>
  </r>
  <r>
    <n v="5111186"/>
    <x v="0"/>
    <s v="Y"/>
    <s v="N"/>
    <n v="1"/>
    <x v="8"/>
    <x v="2"/>
    <x v="0"/>
    <x v="1"/>
    <x v="2"/>
    <d v="1994-12-21T00:00:00"/>
    <n v="-10959"/>
    <x v="2163"/>
    <x v="3"/>
    <n v="-1881"/>
    <n v="5.1498973305954827"/>
    <x v="1"/>
    <n v="1"/>
    <n v="0"/>
    <n v="0"/>
    <n v="0"/>
    <s v="Secretaries"/>
    <x v="3"/>
  </r>
  <r>
    <n v="5111191"/>
    <x v="0"/>
    <s v="N"/>
    <s v="Y"/>
    <n v="0"/>
    <x v="7"/>
    <x v="2"/>
    <x v="1"/>
    <x v="1"/>
    <x v="0"/>
    <d v="1973-04-21T00:00:00"/>
    <n v="-18873"/>
    <x v="2164"/>
    <x v="2"/>
    <n v="-12169"/>
    <n v="33.316906228610542"/>
    <x v="1"/>
    <n v="1"/>
    <n v="1"/>
    <n v="1"/>
    <n v="1"/>
    <s v="Laborers"/>
    <x v="1"/>
  </r>
  <r>
    <n v="5112594"/>
    <x v="0"/>
    <s v="N"/>
    <s v="Y"/>
    <n v="0"/>
    <x v="55"/>
    <x v="2"/>
    <x v="1"/>
    <x v="1"/>
    <x v="0"/>
    <d v="1963-06-20T00:00:00"/>
    <n v="-22466"/>
    <x v="2165"/>
    <x v="0"/>
    <n v="-12870"/>
    <n v="35.236139630390142"/>
    <x v="1"/>
    <n v="1"/>
    <n v="1"/>
    <n v="1"/>
    <n v="0"/>
    <s v="Managers"/>
    <x v="1"/>
  </r>
  <r>
    <n v="5112609"/>
    <x v="0"/>
    <s v="N"/>
    <s v="Y"/>
    <n v="0"/>
    <x v="1"/>
    <x v="3"/>
    <x v="0"/>
    <x v="1"/>
    <x v="0"/>
    <d v="1973-01-20T00:00:00"/>
    <n v="-18964"/>
    <x v="2166"/>
    <x v="2"/>
    <n v="-8671"/>
    <n v="23.739904175222449"/>
    <x v="1"/>
    <n v="1"/>
    <n v="0"/>
    <n v="1"/>
    <n v="0"/>
    <s v="Core staff"/>
    <x v="1"/>
  </r>
  <r>
    <n v="5112629"/>
    <x v="0"/>
    <s v="N"/>
    <s v="Y"/>
    <n v="0"/>
    <x v="41"/>
    <x v="1"/>
    <x v="0"/>
    <x v="1"/>
    <x v="0"/>
    <d v="1971-01-17T00:00:00"/>
    <n v="-19698"/>
    <x v="1983"/>
    <x v="2"/>
    <n v="-4441"/>
    <n v="12.158795345653662"/>
    <x v="1"/>
    <n v="1"/>
    <n v="0"/>
    <n v="1"/>
    <n v="0"/>
    <s v="Managers"/>
    <x v="1"/>
  </r>
  <r>
    <n v="5112630"/>
    <x v="0"/>
    <s v="N"/>
    <s v="Y"/>
    <n v="0"/>
    <x v="41"/>
    <x v="1"/>
    <x v="0"/>
    <x v="1"/>
    <x v="0"/>
    <d v="1971-01-17T00:00:00"/>
    <n v="-19698"/>
    <x v="1983"/>
    <x v="2"/>
    <n v="-4441"/>
    <n v="12.158795345653662"/>
    <x v="1"/>
    <n v="1"/>
    <n v="0"/>
    <n v="1"/>
    <n v="0"/>
    <s v="Managers"/>
    <x v="1"/>
  </r>
  <r>
    <n v="5112637"/>
    <x v="0"/>
    <s v="N"/>
    <s v="Y"/>
    <n v="0"/>
    <x v="5"/>
    <x v="3"/>
    <x v="1"/>
    <x v="3"/>
    <x v="0"/>
    <d v="1989-07-17T00:00:00"/>
    <n v="-12942"/>
    <x v="2167"/>
    <x v="3"/>
    <n v="-3253"/>
    <n v="8.906228610540726"/>
    <x v="1"/>
    <n v="1"/>
    <n v="0"/>
    <n v="0"/>
    <n v="0"/>
    <m/>
    <x v="1"/>
  </r>
  <r>
    <n v="5112639"/>
    <x v="0"/>
    <s v="N"/>
    <s v="Y"/>
    <n v="0"/>
    <x v="5"/>
    <x v="3"/>
    <x v="1"/>
    <x v="3"/>
    <x v="0"/>
    <d v="1989-07-17T00:00:00"/>
    <n v="-12942"/>
    <x v="2167"/>
    <x v="3"/>
    <n v="-3253"/>
    <n v="8.906228610540726"/>
    <x v="1"/>
    <n v="1"/>
    <n v="0"/>
    <n v="0"/>
    <n v="0"/>
    <m/>
    <x v="1"/>
  </r>
  <r>
    <n v="5112647"/>
    <x v="0"/>
    <s v="N"/>
    <s v="N"/>
    <n v="0"/>
    <x v="37"/>
    <x v="2"/>
    <x v="1"/>
    <x v="1"/>
    <x v="2"/>
    <d v="1980-09-02T00:00:00"/>
    <n v="-16182"/>
    <x v="2168"/>
    <x v="1"/>
    <n v="-2827"/>
    <n v="7.73990417522245"/>
    <x v="1"/>
    <n v="1"/>
    <n v="1"/>
    <n v="1"/>
    <n v="0"/>
    <s v="Cooking staff"/>
    <x v="1"/>
  </r>
  <r>
    <n v="5112648"/>
    <x v="0"/>
    <s v="N"/>
    <s v="N"/>
    <n v="0"/>
    <x v="37"/>
    <x v="2"/>
    <x v="1"/>
    <x v="1"/>
    <x v="2"/>
    <d v="1980-09-02T00:00:00"/>
    <n v="-16182"/>
    <x v="2168"/>
    <x v="1"/>
    <n v="-2827"/>
    <n v="7.73990417522245"/>
    <x v="1"/>
    <n v="1"/>
    <n v="1"/>
    <n v="1"/>
    <n v="0"/>
    <s v="Cooking staff"/>
    <x v="1"/>
  </r>
  <r>
    <n v="5112661"/>
    <x v="0"/>
    <s v="N"/>
    <s v="N"/>
    <n v="1"/>
    <x v="1"/>
    <x v="1"/>
    <x v="1"/>
    <x v="1"/>
    <x v="0"/>
    <d v="1991-05-21T00:00:00"/>
    <n v="-12269"/>
    <x v="2169"/>
    <x v="3"/>
    <n v="-604"/>
    <n v="1.6536618754277892"/>
    <x v="1"/>
    <n v="1"/>
    <n v="0"/>
    <n v="0"/>
    <n v="0"/>
    <s v="Managers"/>
    <x v="3"/>
  </r>
  <r>
    <n v="5112672"/>
    <x v="0"/>
    <s v="N"/>
    <s v="Y"/>
    <n v="0"/>
    <x v="10"/>
    <x v="2"/>
    <x v="1"/>
    <x v="2"/>
    <x v="0"/>
    <d v="1970-09-11T00:00:00"/>
    <n v="-19826"/>
    <x v="2170"/>
    <x v="2"/>
    <n v="-2888"/>
    <n v="7.9069130732375088"/>
    <x v="1"/>
    <n v="1"/>
    <n v="0"/>
    <n v="0"/>
    <n v="1"/>
    <s v="High skill tech staff"/>
    <x v="0"/>
  </r>
  <r>
    <n v="5112683"/>
    <x v="0"/>
    <s v="N"/>
    <s v="Y"/>
    <n v="0"/>
    <x v="1"/>
    <x v="0"/>
    <x v="1"/>
    <x v="1"/>
    <x v="0"/>
    <d v="1966-06-16T00:00:00"/>
    <n v="-21374"/>
    <x v="2171"/>
    <x v="2"/>
    <n v="365243"/>
    <n v="0"/>
    <x v="0"/>
    <n v="1"/>
    <n v="0"/>
    <n v="0"/>
    <n v="0"/>
    <m/>
    <x v="1"/>
  </r>
  <r>
    <n v="5112688"/>
    <x v="0"/>
    <s v="N"/>
    <s v="Y"/>
    <n v="0"/>
    <x v="1"/>
    <x v="0"/>
    <x v="1"/>
    <x v="1"/>
    <x v="0"/>
    <d v="1966-06-16T00:00:00"/>
    <n v="-21374"/>
    <x v="2171"/>
    <x v="2"/>
    <n v="365243"/>
    <n v="0"/>
    <x v="0"/>
    <n v="1"/>
    <n v="0"/>
    <n v="0"/>
    <n v="0"/>
    <m/>
    <x v="1"/>
  </r>
  <r>
    <n v="5112691"/>
    <x v="0"/>
    <s v="N"/>
    <s v="Y"/>
    <n v="0"/>
    <x v="1"/>
    <x v="0"/>
    <x v="1"/>
    <x v="1"/>
    <x v="0"/>
    <d v="1966-06-16T00:00:00"/>
    <n v="-21374"/>
    <x v="2171"/>
    <x v="2"/>
    <n v="365243"/>
    <n v="0"/>
    <x v="0"/>
    <n v="1"/>
    <n v="0"/>
    <n v="0"/>
    <n v="0"/>
    <m/>
    <x v="1"/>
  </r>
  <r>
    <n v="5112695"/>
    <x v="0"/>
    <s v="N"/>
    <s v="Y"/>
    <n v="0"/>
    <x v="1"/>
    <x v="1"/>
    <x v="1"/>
    <x v="2"/>
    <x v="0"/>
    <d v="1977-11-12T00:00:00"/>
    <n v="-17207"/>
    <x v="2172"/>
    <x v="1"/>
    <n v="-2796"/>
    <n v="7.655030800821355"/>
    <x v="1"/>
    <n v="1"/>
    <n v="0"/>
    <n v="0"/>
    <n v="0"/>
    <s v="Sales staff"/>
    <x v="0"/>
  </r>
  <r>
    <n v="5112722"/>
    <x v="1"/>
    <s v="N"/>
    <s v="Y"/>
    <n v="0"/>
    <x v="42"/>
    <x v="0"/>
    <x v="0"/>
    <x v="1"/>
    <x v="0"/>
    <d v="1960-10-05T00:00:00"/>
    <n v="-23454"/>
    <x v="2173"/>
    <x v="0"/>
    <n v="365243"/>
    <n v="0"/>
    <x v="0"/>
    <n v="1"/>
    <n v="0"/>
    <n v="1"/>
    <n v="0"/>
    <m/>
    <x v="1"/>
  </r>
  <r>
    <n v="5112745"/>
    <x v="1"/>
    <s v="Y"/>
    <s v="Y"/>
    <n v="0"/>
    <x v="12"/>
    <x v="2"/>
    <x v="0"/>
    <x v="1"/>
    <x v="0"/>
    <d v="1974-10-11T00:00:00"/>
    <n v="-18335"/>
    <x v="2174"/>
    <x v="2"/>
    <n v="-2796"/>
    <n v="7.655030800821355"/>
    <x v="1"/>
    <n v="1"/>
    <n v="0"/>
    <n v="0"/>
    <n v="0"/>
    <s v="Drivers"/>
    <x v="1"/>
  </r>
  <r>
    <n v="5112752"/>
    <x v="0"/>
    <s v="N"/>
    <s v="N"/>
    <n v="1"/>
    <x v="88"/>
    <x v="2"/>
    <x v="1"/>
    <x v="1"/>
    <x v="0"/>
    <d v="1990-01-17T00:00:00"/>
    <n v="-12758"/>
    <x v="2175"/>
    <x v="3"/>
    <n v="-148"/>
    <n v="0.40520191649555098"/>
    <x v="1"/>
    <n v="1"/>
    <n v="0"/>
    <n v="0"/>
    <n v="0"/>
    <s v="Sales staff"/>
    <x v="3"/>
  </r>
  <r>
    <n v="5112756"/>
    <x v="0"/>
    <s v="N"/>
    <s v="N"/>
    <n v="1"/>
    <x v="88"/>
    <x v="2"/>
    <x v="1"/>
    <x v="1"/>
    <x v="0"/>
    <d v="1990-01-17T00:00:00"/>
    <n v="-12758"/>
    <x v="2175"/>
    <x v="3"/>
    <n v="-148"/>
    <n v="0.40520191649555098"/>
    <x v="1"/>
    <n v="1"/>
    <n v="0"/>
    <n v="0"/>
    <n v="0"/>
    <s v="Sales staff"/>
    <x v="3"/>
  </r>
  <r>
    <n v="5112764"/>
    <x v="0"/>
    <s v="Y"/>
    <s v="N"/>
    <n v="1"/>
    <x v="12"/>
    <x v="1"/>
    <x v="0"/>
    <x v="1"/>
    <x v="0"/>
    <d v="1994-10-16T00:00:00"/>
    <n v="-11025"/>
    <x v="2176"/>
    <x v="3"/>
    <n v="-2065"/>
    <n v="5.6536618754277894"/>
    <x v="1"/>
    <n v="1"/>
    <n v="1"/>
    <n v="1"/>
    <n v="1"/>
    <m/>
    <x v="3"/>
  </r>
  <r>
    <n v="5112768"/>
    <x v="0"/>
    <s v="Y"/>
    <s v="N"/>
    <n v="1"/>
    <x v="12"/>
    <x v="1"/>
    <x v="0"/>
    <x v="1"/>
    <x v="0"/>
    <d v="1994-10-16T00:00:00"/>
    <n v="-11025"/>
    <x v="2176"/>
    <x v="3"/>
    <n v="-2065"/>
    <n v="5.6536618754277894"/>
    <x v="1"/>
    <n v="1"/>
    <n v="1"/>
    <n v="1"/>
    <n v="1"/>
    <m/>
    <x v="3"/>
  </r>
  <r>
    <n v="5112780"/>
    <x v="1"/>
    <s v="Y"/>
    <s v="Y"/>
    <n v="0"/>
    <x v="1"/>
    <x v="0"/>
    <x v="0"/>
    <x v="1"/>
    <x v="0"/>
    <d v="1961-06-05T00:00:00"/>
    <n v="-23211"/>
    <x v="2177"/>
    <x v="0"/>
    <n v="365243"/>
    <n v="0"/>
    <x v="0"/>
    <n v="1"/>
    <n v="0"/>
    <n v="0"/>
    <n v="0"/>
    <m/>
    <x v="1"/>
  </r>
  <r>
    <n v="5112783"/>
    <x v="1"/>
    <s v="Y"/>
    <s v="Y"/>
    <n v="0"/>
    <x v="1"/>
    <x v="0"/>
    <x v="0"/>
    <x v="1"/>
    <x v="0"/>
    <d v="1961-06-05T00:00:00"/>
    <n v="-23211"/>
    <x v="2177"/>
    <x v="0"/>
    <n v="365243"/>
    <n v="0"/>
    <x v="0"/>
    <n v="1"/>
    <n v="0"/>
    <n v="0"/>
    <n v="0"/>
    <m/>
    <x v="1"/>
  </r>
  <r>
    <n v="5112827"/>
    <x v="0"/>
    <s v="N"/>
    <s v="Y"/>
    <n v="3"/>
    <x v="42"/>
    <x v="0"/>
    <x v="1"/>
    <x v="1"/>
    <x v="0"/>
    <d v="1963-10-15T00:00:00"/>
    <n v="-22349"/>
    <x v="2178"/>
    <x v="0"/>
    <n v="365243"/>
    <n v="0"/>
    <x v="0"/>
    <n v="1"/>
    <n v="0"/>
    <n v="0"/>
    <n v="0"/>
    <m/>
    <x v="4"/>
  </r>
  <r>
    <n v="5112832"/>
    <x v="0"/>
    <s v="N"/>
    <s v="Y"/>
    <n v="1"/>
    <x v="30"/>
    <x v="1"/>
    <x v="1"/>
    <x v="1"/>
    <x v="2"/>
    <d v="1993-02-04T00:00:00"/>
    <n v="-11644"/>
    <x v="2179"/>
    <x v="3"/>
    <n v="-635"/>
    <n v="1.7385352498288844"/>
    <x v="1"/>
    <n v="1"/>
    <n v="0"/>
    <n v="0"/>
    <n v="0"/>
    <s v="Sales staff"/>
    <x v="3"/>
  </r>
  <r>
    <n v="5112838"/>
    <x v="0"/>
    <s v="N"/>
    <s v="Y"/>
    <n v="0"/>
    <x v="11"/>
    <x v="2"/>
    <x v="0"/>
    <x v="1"/>
    <x v="0"/>
    <d v="1981-06-08T00:00:00"/>
    <n v="-15903"/>
    <x v="2180"/>
    <x v="1"/>
    <n v="-2051"/>
    <n v="5.6153319644079396"/>
    <x v="1"/>
    <n v="1"/>
    <n v="1"/>
    <n v="1"/>
    <n v="1"/>
    <s v="Accountants"/>
    <x v="1"/>
  </r>
  <r>
    <n v="5112842"/>
    <x v="0"/>
    <s v="Y"/>
    <s v="Y"/>
    <n v="0"/>
    <x v="117"/>
    <x v="2"/>
    <x v="0"/>
    <x v="1"/>
    <x v="0"/>
    <d v="1970-01-28T00:00:00"/>
    <n v="-20052"/>
    <x v="2181"/>
    <x v="2"/>
    <n v="-2507"/>
    <n v="6.8637919233401776"/>
    <x v="1"/>
    <n v="1"/>
    <n v="0"/>
    <n v="0"/>
    <n v="1"/>
    <s v="Accountants"/>
    <x v="1"/>
  </r>
  <r>
    <n v="5112851"/>
    <x v="0"/>
    <s v="N"/>
    <s v="Y"/>
    <n v="0"/>
    <x v="16"/>
    <x v="0"/>
    <x v="1"/>
    <x v="1"/>
    <x v="0"/>
    <d v="1960-07-28T00:00:00"/>
    <n v="-23523"/>
    <x v="2182"/>
    <x v="0"/>
    <n v="365243"/>
    <n v="0"/>
    <x v="0"/>
    <n v="1"/>
    <n v="0"/>
    <n v="0"/>
    <n v="1"/>
    <m/>
    <x v="1"/>
  </r>
  <r>
    <n v="5112873"/>
    <x v="0"/>
    <s v="Y"/>
    <s v="Y"/>
    <n v="0"/>
    <x v="140"/>
    <x v="3"/>
    <x v="0"/>
    <x v="1"/>
    <x v="0"/>
    <d v="1974-08-07T00:00:00"/>
    <n v="-18400"/>
    <x v="2183"/>
    <x v="2"/>
    <n v="-10052"/>
    <n v="27.520876112251884"/>
    <x v="1"/>
    <n v="1"/>
    <n v="0"/>
    <n v="0"/>
    <n v="1"/>
    <s v="IT staff"/>
    <x v="1"/>
  </r>
  <r>
    <n v="5112874"/>
    <x v="0"/>
    <s v="N"/>
    <s v="Y"/>
    <n v="0"/>
    <x v="1"/>
    <x v="2"/>
    <x v="1"/>
    <x v="1"/>
    <x v="0"/>
    <d v="1979-10-17T00:00:00"/>
    <n v="-16503"/>
    <x v="2184"/>
    <x v="1"/>
    <n v="-2051"/>
    <n v="5.6153319644079396"/>
    <x v="1"/>
    <n v="1"/>
    <n v="0"/>
    <n v="0"/>
    <n v="0"/>
    <m/>
    <x v="1"/>
  </r>
  <r>
    <n v="5112877"/>
    <x v="1"/>
    <s v="N"/>
    <s v="Y"/>
    <n v="1"/>
    <x v="16"/>
    <x v="2"/>
    <x v="1"/>
    <x v="1"/>
    <x v="0"/>
    <d v="1992-01-06T00:00:00"/>
    <n v="-12039"/>
    <x v="2185"/>
    <x v="3"/>
    <n v="-1773"/>
    <n v="4.8542094455852158"/>
    <x v="1"/>
    <n v="1"/>
    <n v="1"/>
    <n v="0"/>
    <n v="0"/>
    <s v="High skill tech staff"/>
    <x v="3"/>
  </r>
  <r>
    <n v="5112886"/>
    <x v="0"/>
    <s v="N"/>
    <s v="Y"/>
    <n v="0"/>
    <x v="37"/>
    <x v="0"/>
    <x v="1"/>
    <x v="1"/>
    <x v="0"/>
    <d v="1963-01-08T00:00:00"/>
    <n v="-22629"/>
    <x v="2186"/>
    <x v="0"/>
    <n v="365243"/>
    <n v="0"/>
    <x v="0"/>
    <n v="1"/>
    <n v="0"/>
    <n v="1"/>
    <n v="0"/>
    <m/>
    <x v="1"/>
  </r>
  <r>
    <n v="5112896"/>
    <x v="0"/>
    <s v="N"/>
    <s v="Y"/>
    <n v="2"/>
    <x v="16"/>
    <x v="2"/>
    <x v="1"/>
    <x v="1"/>
    <x v="0"/>
    <d v="1983-12-22T00:00:00"/>
    <n v="-14976"/>
    <x v="1531"/>
    <x v="1"/>
    <n v="-4212"/>
    <n v="11.53182751540041"/>
    <x v="1"/>
    <n v="1"/>
    <n v="0"/>
    <n v="0"/>
    <n v="0"/>
    <m/>
    <x v="2"/>
  </r>
  <r>
    <n v="5112909"/>
    <x v="0"/>
    <s v="N"/>
    <s v="Y"/>
    <n v="0"/>
    <x v="39"/>
    <x v="2"/>
    <x v="0"/>
    <x v="1"/>
    <x v="0"/>
    <d v="1974-12-20T00:00:00"/>
    <n v="-18265"/>
    <x v="2187"/>
    <x v="2"/>
    <n v="-2112"/>
    <n v="5.7823408624229984"/>
    <x v="1"/>
    <n v="1"/>
    <n v="0"/>
    <n v="1"/>
    <n v="1"/>
    <s v="High skill tech staff"/>
    <x v="1"/>
  </r>
  <r>
    <n v="5112912"/>
    <x v="0"/>
    <s v="N"/>
    <s v="Y"/>
    <n v="0"/>
    <x v="19"/>
    <x v="3"/>
    <x v="0"/>
    <x v="1"/>
    <x v="0"/>
    <d v="1974-11-06T00:00:00"/>
    <n v="-18309"/>
    <x v="2188"/>
    <x v="2"/>
    <n v="-11332"/>
    <n v="31.025325119780973"/>
    <x v="1"/>
    <n v="1"/>
    <n v="1"/>
    <n v="0"/>
    <n v="0"/>
    <s v="Managers"/>
    <x v="1"/>
  </r>
  <r>
    <n v="5112917"/>
    <x v="0"/>
    <s v="N"/>
    <s v="Y"/>
    <n v="0"/>
    <x v="21"/>
    <x v="1"/>
    <x v="1"/>
    <x v="4"/>
    <x v="0"/>
    <d v="1966-05-14T00:00:00"/>
    <n v="-21407"/>
    <x v="2189"/>
    <x v="2"/>
    <n v="-3877"/>
    <n v="10.614647501711156"/>
    <x v="1"/>
    <n v="1"/>
    <n v="1"/>
    <n v="0"/>
    <n v="0"/>
    <s v="Accountants"/>
    <x v="0"/>
  </r>
  <r>
    <n v="5112947"/>
    <x v="1"/>
    <s v="N"/>
    <s v="Y"/>
    <n v="0"/>
    <x v="8"/>
    <x v="1"/>
    <x v="0"/>
    <x v="1"/>
    <x v="0"/>
    <d v="1978-11-20T00:00:00"/>
    <n v="-16834"/>
    <x v="2190"/>
    <x v="1"/>
    <n v="-3269"/>
    <n v="8.9500342231348391"/>
    <x v="1"/>
    <n v="1"/>
    <n v="1"/>
    <n v="1"/>
    <n v="1"/>
    <m/>
    <x v="1"/>
  </r>
  <r>
    <n v="5112949"/>
    <x v="0"/>
    <s v="N"/>
    <s v="Y"/>
    <n v="0"/>
    <x v="11"/>
    <x v="0"/>
    <x v="1"/>
    <x v="2"/>
    <x v="0"/>
    <d v="1963-08-11T00:00:00"/>
    <n v="-22414"/>
    <x v="2191"/>
    <x v="0"/>
    <n v="365243"/>
    <n v="0"/>
    <x v="0"/>
    <n v="1"/>
    <n v="0"/>
    <n v="0"/>
    <n v="0"/>
    <m/>
    <x v="0"/>
  </r>
  <r>
    <n v="5112960"/>
    <x v="1"/>
    <s v="Y"/>
    <s v="Y"/>
    <n v="0"/>
    <x v="15"/>
    <x v="2"/>
    <x v="0"/>
    <x v="1"/>
    <x v="0"/>
    <d v="1995-07-13T00:00:00"/>
    <n v="-10755"/>
    <x v="2192"/>
    <x v="4"/>
    <n v="-3352"/>
    <n v="9.1772758384668034"/>
    <x v="1"/>
    <n v="1"/>
    <n v="0"/>
    <n v="0"/>
    <n v="0"/>
    <s v="Core staff"/>
    <x v="1"/>
  </r>
  <r>
    <n v="5112981"/>
    <x v="1"/>
    <s v="N"/>
    <s v="Y"/>
    <n v="0"/>
    <x v="16"/>
    <x v="2"/>
    <x v="1"/>
    <x v="1"/>
    <x v="0"/>
    <d v="1983-11-11T00:00:00"/>
    <n v="-15017"/>
    <x v="2193"/>
    <x v="1"/>
    <n v="-312"/>
    <n v="0.85420944558521561"/>
    <x v="1"/>
    <n v="1"/>
    <n v="0"/>
    <n v="0"/>
    <n v="1"/>
    <s v="Laborers"/>
    <x v="1"/>
  </r>
  <r>
    <n v="5112983"/>
    <x v="0"/>
    <s v="N"/>
    <s v="Y"/>
    <n v="0"/>
    <x v="11"/>
    <x v="2"/>
    <x v="1"/>
    <x v="0"/>
    <x v="0"/>
    <d v="1975-01-07T00:00:00"/>
    <n v="-18247"/>
    <x v="2194"/>
    <x v="1"/>
    <n v="-9599"/>
    <n v="26.28062970568104"/>
    <x v="1"/>
    <n v="1"/>
    <n v="1"/>
    <n v="1"/>
    <n v="0"/>
    <s v="Cleaning staff"/>
    <x v="0"/>
  </r>
  <r>
    <n v="5112984"/>
    <x v="0"/>
    <s v="N"/>
    <s v="N"/>
    <n v="0"/>
    <x v="16"/>
    <x v="2"/>
    <x v="1"/>
    <x v="1"/>
    <x v="0"/>
    <d v="1963-11-07T00:00:00"/>
    <n v="-22326"/>
    <x v="2195"/>
    <x v="0"/>
    <n v="-1230"/>
    <n v="3.3675564681724848"/>
    <x v="1"/>
    <n v="1"/>
    <n v="0"/>
    <n v="1"/>
    <n v="0"/>
    <s v="Cleaning staff"/>
    <x v="1"/>
  </r>
  <r>
    <n v="5112985"/>
    <x v="0"/>
    <s v="N"/>
    <s v="Y"/>
    <n v="0"/>
    <x v="1"/>
    <x v="1"/>
    <x v="1"/>
    <x v="1"/>
    <x v="0"/>
    <d v="1993-04-03T00:00:00"/>
    <n v="-11586"/>
    <x v="2196"/>
    <x v="3"/>
    <n v="-4147"/>
    <n v="11.353867214236825"/>
    <x v="1"/>
    <n v="1"/>
    <n v="0"/>
    <n v="0"/>
    <n v="1"/>
    <s v="Laborers"/>
    <x v="1"/>
  </r>
  <r>
    <n v="5112987"/>
    <x v="1"/>
    <s v="N"/>
    <s v="Y"/>
    <n v="0"/>
    <x v="30"/>
    <x v="0"/>
    <x v="1"/>
    <x v="1"/>
    <x v="0"/>
    <d v="1963-03-23T00:00:00"/>
    <n v="-22555"/>
    <x v="2197"/>
    <x v="0"/>
    <n v="365243"/>
    <n v="0"/>
    <x v="0"/>
    <n v="1"/>
    <n v="0"/>
    <n v="1"/>
    <n v="0"/>
    <m/>
    <x v="1"/>
  </r>
  <r>
    <n v="5112990"/>
    <x v="1"/>
    <s v="Y"/>
    <s v="Y"/>
    <n v="0"/>
    <x v="11"/>
    <x v="2"/>
    <x v="0"/>
    <x v="1"/>
    <x v="0"/>
    <d v="1962-12-13T00:00:00"/>
    <n v="-22655"/>
    <x v="2198"/>
    <x v="0"/>
    <n v="-3903"/>
    <n v="10.685831622176591"/>
    <x v="1"/>
    <n v="1"/>
    <n v="0"/>
    <n v="0"/>
    <n v="0"/>
    <s v="Managers"/>
    <x v="1"/>
  </r>
  <r>
    <n v="5112991"/>
    <x v="0"/>
    <s v="N"/>
    <s v="Y"/>
    <n v="0"/>
    <x v="39"/>
    <x v="1"/>
    <x v="0"/>
    <x v="2"/>
    <x v="0"/>
    <d v="1993-02-16T00:00:00"/>
    <n v="-11632"/>
    <x v="2199"/>
    <x v="3"/>
    <n v="-2686"/>
    <n v="7.353867214236824"/>
    <x v="1"/>
    <n v="1"/>
    <n v="0"/>
    <n v="0"/>
    <n v="0"/>
    <s v="Cooking staff"/>
    <x v="0"/>
  </r>
  <r>
    <n v="5113023"/>
    <x v="0"/>
    <s v="Y"/>
    <s v="Y"/>
    <n v="0"/>
    <x v="35"/>
    <x v="2"/>
    <x v="1"/>
    <x v="1"/>
    <x v="0"/>
    <d v="1977-11-19T00:00:00"/>
    <n v="-17200"/>
    <x v="2200"/>
    <x v="1"/>
    <n v="-2960"/>
    <n v="8.1040383299110204"/>
    <x v="1"/>
    <n v="1"/>
    <n v="0"/>
    <n v="1"/>
    <n v="0"/>
    <s v="Secretaries"/>
    <x v="1"/>
  </r>
  <r>
    <n v="5113026"/>
    <x v="0"/>
    <s v="N"/>
    <s v="Y"/>
    <n v="1"/>
    <x v="5"/>
    <x v="1"/>
    <x v="1"/>
    <x v="1"/>
    <x v="0"/>
    <d v="1979-07-03T00:00:00"/>
    <n v="-16609"/>
    <x v="2201"/>
    <x v="1"/>
    <n v="-3629"/>
    <n v="9.935660506502396"/>
    <x v="1"/>
    <n v="1"/>
    <n v="0"/>
    <n v="0"/>
    <n v="0"/>
    <s v="HR staff"/>
    <x v="3"/>
  </r>
  <r>
    <n v="5113028"/>
    <x v="1"/>
    <s v="Y"/>
    <s v="Y"/>
    <n v="1"/>
    <x v="19"/>
    <x v="2"/>
    <x v="0"/>
    <x v="1"/>
    <x v="0"/>
    <d v="1984-10-06T00:00:00"/>
    <n v="-14687"/>
    <x v="948"/>
    <x v="1"/>
    <n v="-4664"/>
    <n v="12.769336071184121"/>
    <x v="1"/>
    <n v="1"/>
    <n v="0"/>
    <n v="0"/>
    <n v="1"/>
    <s v="Security staff"/>
    <x v="3"/>
  </r>
  <r>
    <n v="5113049"/>
    <x v="0"/>
    <s v="N"/>
    <s v="Y"/>
    <n v="0"/>
    <x v="5"/>
    <x v="2"/>
    <x v="1"/>
    <x v="1"/>
    <x v="0"/>
    <d v="1974-06-12T00:00:00"/>
    <n v="-18456"/>
    <x v="2202"/>
    <x v="2"/>
    <n v="-6791"/>
    <n v="18.592744695414101"/>
    <x v="1"/>
    <n v="1"/>
    <n v="0"/>
    <n v="0"/>
    <n v="0"/>
    <s v="Managers"/>
    <x v="1"/>
  </r>
  <r>
    <n v="5113059"/>
    <x v="1"/>
    <s v="Y"/>
    <s v="Y"/>
    <n v="0"/>
    <x v="2"/>
    <x v="2"/>
    <x v="1"/>
    <x v="1"/>
    <x v="0"/>
    <d v="1974-11-22T00:00:00"/>
    <n v="-18293"/>
    <x v="278"/>
    <x v="2"/>
    <n v="-521"/>
    <n v="1.4264202600958247"/>
    <x v="1"/>
    <n v="1"/>
    <n v="1"/>
    <n v="0"/>
    <n v="0"/>
    <m/>
    <x v="1"/>
  </r>
  <r>
    <n v="5113070"/>
    <x v="0"/>
    <s v="Y"/>
    <s v="N"/>
    <n v="1"/>
    <x v="8"/>
    <x v="1"/>
    <x v="1"/>
    <x v="0"/>
    <x v="0"/>
    <d v="1992-11-26T00:00:00"/>
    <n v="-11714"/>
    <x v="835"/>
    <x v="3"/>
    <n v="-1740"/>
    <n v="4.7638603696098567"/>
    <x v="1"/>
    <n v="1"/>
    <n v="0"/>
    <n v="0"/>
    <n v="1"/>
    <s v="Core staff"/>
    <x v="1"/>
  </r>
  <r>
    <n v="5113071"/>
    <x v="0"/>
    <s v="N"/>
    <s v="Y"/>
    <n v="0"/>
    <x v="1"/>
    <x v="2"/>
    <x v="2"/>
    <x v="1"/>
    <x v="0"/>
    <d v="1989-04-12T00:00:00"/>
    <n v="-13038"/>
    <x v="2203"/>
    <x v="3"/>
    <n v="-1617"/>
    <n v="4.4271047227926079"/>
    <x v="1"/>
    <n v="1"/>
    <n v="0"/>
    <n v="0"/>
    <n v="1"/>
    <m/>
    <x v="1"/>
  </r>
  <r>
    <n v="5113072"/>
    <x v="0"/>
    <s v="N"/>
    <s v="Y"/>
    <n v="0"/>
    <x v="5"/>
    <x v="2"/>
    <x v="1"/>
    <x v="1"/>
    <x v="0"/>
    <d v="1978-07-26T00:00:00"/>
    <n v="-16951"/>
    <x v="247"/>
    <x v="1"/>
    <n v="-3017"/>
    <n v="8.2600958247775491"/>
    <x v="1"/>
    <n v="1"/>
    <n v="1"/>
    <n v="1"/>
    <n v="0"/>
    <m/>
    <x v="1"/>
  </r>
  <r>
    <n v="5113085"/>
    <x v="1"/>
    <s v="N"/>
    <s v="Y"/>
    <n v="2"/>
    <x v="8"/>
    <x v="3"/>
    <x v="0"/>
    <x v="1"/>
    <x v="0"/>
    <d v="1985-03-07T00:00:00"/>
    <n v="-14535"/>
    <x v="2204"/>
    <x v="3"/>
    <n v="-7918"/>
    <n v="21.678302532511978"/>
    <x v="1"/>
    <n v="1"/>
    <n v="0"/>
    <n v="1"/>
    <n v="1"/>
    <s v="Core staff"/>
    <x v="2"/>
  </r>
  <r>
    <n v="5113094"/>
    <x v="1"/>
    <s v="Y"/>
    <s v="Y"/>
    <n v="1"/>
    <x v="8"/>
    <x v="1"/>
    <x v="1"/>
    <x v="1"/>
    <x v="0"/>
    <d v="1983-12-12T00:00:00"/>
    <n v="-14986"/>
    <x v="2205"/>
    <x v="1"/>
    <n v="-856"/>
    <n v="2.3436002737850785"/>
    <x v="1"/>
    <n v="1"/>
    <n v="0"/>
    <n v="0"/>
    <n v="0"/>
    <s v="Laborers"/>
    <x v="3"/>
  </r>
  <r>
    <n v="5113096"/>
    <x v="0"/>
    <s v="Y"/>
    <s v="N"/>
    <n v="1"/>
    <x v="12"/>
    <x v="2"/>
    <x v="0"/>
    <x v="1"/>
    <x v="0"/>
    <d v="1982-10-05T00:00:00"/>
    <n v="-15419"/>
    <x v="2206"/>
    <x v="1"/>
    <n v="-3657"/>
    <n v="10.012320328542094"/>
    <x v="1"/>
    <n v="1"/>
    <n v="0"/>
    <n v="0"/>
    <n v="0"/>
    <m/>
    <x v="3"/>
  </r>
  <r>
    <n v="5113105"/>
    <x v="1"/>
    <s v="Y"/>
    <s v="N"/>
    <n v="0"/>
    <x v="8"/>
    <x v="2"/>
    <x v="1"/>
    <x v="1"/>
    <x v="0"/>
    <d v="1970-04-18T00:00:00"/>
    <n v="-19972"/>
    <x v="2207"/>
    <x v="2"/>
    <n v="-6610"/>
    <n v="18.097193702943191"/>
    <x v="1"/>
    <n v="1"/>
    <n v="0"/>
    <n v="0"/>
    <n v="0"/>
    <s v="Laborers"/>
    <x v="1"/>
  </r>
  <r>
    <n v="5113111"/>
    <x v="1"/>
    <s v="Y"/>
    <s v="Y"/>
    <n v="2"/>
    <x v="8"/>
    <x v="2"/>
    <x v="1"/>
    <x v="1"/>
    <x v="0"/>
    <d v="1973-11-08T00:00:00"/>
    <n v="-18672"/>
    <x v="2208"/>
    <x v="2"/>
    <n v="-2927"/>
    <n v="8.0136892539356612"/>
    <x v="1"/>
    <n v="1"/>
    <n v="0"/>
    <n v="1"/>
    <n v="1"/>
    <s v="Drivers"/>
    <x v="2"/>
  </r>
  <r>
    <n v="5113113"/>
    <x v="1"/>
    <s v="Y"/>
    <s v="Y"/>
    <n v="0"/>
    <x v="11"/>
    <x v="2"/>
    <x v="1"/>
    <x v="1"/>
    <x v="0"/>
    <d v="1982-10-01T00:00:00"/>
    <n v="-15423"/>
    <x v="2209"/>
    <x v="1"/>
    <n v="-3231"/>
    <n v="8.8459958932238187"/>
    <x v="1"/>
    <n v="1"/>
    <n v="1"/>
    <n v="1"/>
    <n v="0"/>
    <s v="Laborers"/>
    <x v="1"/>
  </r>
  <r>
    <n v="5113125"/>
    <x v="0"/>
    <s v="N"/>
    <s v="Y"/>
    <n v="0"/>
    <x v="2"/>
    <x v="3"/>
    <x v="0"/>
    <x v="1"/>
    <x v="0"/>
    <d v="1987-02-04T00:00:00"/>
    <n v="-13836"/>
    <x v="1786"/>
    <x v="3"/>
    <n v="-3747"/>
    <n v="10.258726899383984"/>
    <x v="1"/>
    <n v="1"/>
    <n v="0"/>
    <n v="0"/>
    <n v="1"/>
    <s v="Core staff"/>
    <x v="1"/>
  </r>
  <r>
    <n v="5113126"/>
    <x v="0"/>
    <s v="N"/>
    <s v="Y"/>
    <n v="0"/>
    <x v="2"/>
    <x v="3"/>
    <x v="0"/>
    <x v="1"/>
    <x v="0"/>
    <d v="1987-02-04T00:00:00"/>
    <n v="-13836"/>
    <x v="1786"/>
    <x v="3"/>
    <n v="-3747"/>
    <n v="10.258726899383984"/>
    <x v="1"/>
    <n v="1"/>
    <n v="0"/>
    <n v="0"/>
    <n v="1"/>
    <s v="Core staff"/>
    <x v="1"/>
  </r>
  <r>
    <n v="5113135"/>
    <x v="0"/>
    <s v="N"/>
    <s v="Y"/>
    <n v="0"/>
    <x v="50"/>
    <x v="0"/>
    <x v="2"/>
    <x v="4"/>
    <x v="0"/>
    <d v="1965-03-02T00:00:00"/>
    <n v="-21845"/>
    <x v="172"/>
    <x v="2"/>
    <n v="365243"/>
    <n v="0"/>
    <x v="0"/>
    <n v="1"/>
    <n v="0"/>
    <n v="0"/>
    <n v="0"/>
    <m/>
    <x v="0"/>
  </r>
  <r>
    <n v="5113145"/>
    <x v="1"/>
    <s v="N"/>
    <s v="Y"/>
    <n v="1"/>
    <x v="18"/>
    <x v="3"/>
    <x v="1"/>
    <x v="1"/>
    <x v="0"/>
    <d v="1978-02-17T00:00:00"/>
    <n v="-17110"/>
    <x v="2210"/>
    <x v="1"/>
    <n v="-370"/>
    <n v="1.0130047912388775"/>
    <x v="1"/>
    <n v="1"/>
    <n v="0"/>
    <n v="0"/>
    <n v="0"/>
    <s v="Laborers"/>
    <x v="3"/>
  </r>
  <r>
    <n v="5113189"/>
    <x v="0"/>
    <s v="N"/>
    <s v="Y"/>
    <n v="1"/>
    <x v="1"/>
    <x v="2"/>
    <x v="1"/>
    <x v="3"/>
    <x v="2"/>
    <d v="1997-01-28T00:00:00"/>
    <n v="-10190"/>
    <x v="2211"/>
    <x v="4"/>
    <n v="-279"/>
    <n v="0.76386036960985626"/>
    <x v="1"/>
    <n v="1"/>
    <n v="0"/>
    <n v="0"/>
    <n v="0"/>
    <m/>
    <x v="3"/>
  </r>
  <r>
    <n v="5113201"/>
    <x v="0"/>
    <s v="Y"/>
    <s v="Y"/>
    <n v="0"/>
    <x v="32"/>
    <x v="2"/>
    <x v="1"/>
    <x v="1"/>
    <x v="4"/>
    <d v="1976-12-18T00:00:00"/>
    <n v="-17536"/>
    <x v="239"/>
    <x v="1"/>
    <n v="-4113"/>
    <n v="11.260780287474333"/>
    <x v="1"/>
    <n v="1"/>
    <n v="0"/>
    <n v="1"/>
    <n v="0"/>
    <s v="Sales staff"/>
    <x v="1"/>
  </r>
  <r>
    <n v="5113208"/>
    <x v="0"/>
    <s v="N"/>
    <s v="Y"/>
    <n v="0"/>
    <x v="16"/>
    <x v="2"/>
    <x v="1"/>
    <x v="1"/>
    <x v="0"/>
    <d v="1987-05-24T00:00:00"/>
    <n v="-13727"/>
    <x v="1073"/>
    <x v="3"/>
    <n v="-6031"/>
    <n v="16.511978097193705"/>
    <x v="1"/>
    <n v="1"/>
    <n v="0"/>
    <n v="0"/>
    <n v="0"/>
    <m/>
    <x v="1"/>
  </r>
  <r>
    <n v="5113211"/>
    <x v="0"/>
    <s v="Y"/>
    <s v="N"/>
    <n v="1"/>
    <x v="38"/>
    <x v="2"/>
    <x v="0"/>
    <x v="1"/>
    <x v="0"/>
    <d v="1999-06-27T00:00:00"/>
    <n v="-9310"/>
    <x v="2212"/>
    <x v="4"/>
    <n v="-1678"/>
    <n v="4.5941136208076658"/>
    <x v="1"/>
    <n v="1"/>
    <n v="0"/>
    <n v="0"/>
    <n v="0"/>
    <m/>
    <x v="3"/>
  </r>
  <r>
    <n v="5113218"/>
    <x v="0"/>
    <s v="N"/>
    <s v="Y"/>
    <n v="0"/>
    <x v="37"/>
    <x v="2"/>
    <x v="1"/>
    <x v="2"/>
    <x v="2"/>
    <d v="1999-12-24T00:00:00"/>
    <n v="-9130"/>
    <x v="1449"/>
    <x v="4"/>
    <n v="-2105"/>
    <n v="5.763175906913073"/>
    <x v="1"/>
    <n v="1"/>
    <n v="0"/>
    <n v="0"/>
    <n v="0"/>
    <s v="High skill tech staff"/>
    <x v="0"/>
  </r>
  <r>
    <n v="5113245"/>
    <x v="0"/>
    <s v="N"/>
    <s v="Y"/>
    <n v="1"/>
    <x v="62"/>
    <x v="2"/>
    <x v="1"/>
    <x v="1"/>
    <x v="0"/>
    <d v="1979-03-30T00:00:00"/>
    <n v="-16704"/>
    <x v="2213"/>
    <x v="1"/>
    <n v="-132"/>
    <n v="0.3613963039014374"/>
    <x v="1"/>
    <n v="1"/>
    <n v="1"/>
    <n v="0"/>
    <n v="0"/>
    <s v="Cleaning staff"/>
    <x v="3"/>
  </r>
  <r>
    <n v="5113246"/>
    <x v="1"/>
    <s v="N"/>
    <s v="Y"/>
    <n v="1"/>
    <x v="14"/>
    <x v="2"/>
    <x v="0"/>
    <x v="0"/>
    <x v="0"/>
    <d v="1986-11-19T00:00:00"/>
    <n v="-13913"/>
    <x v="2214"/>
    <x v="3"/>
    <n v="-619"/>
    <n v="1.6947296372347707"/>
    <x v="1"/>
    <n v="1"/>
    <n v="0"/>
    <n v="0"/>
    <n v="0"/>
    <s v="High skill tech staff"/>
    <x v="1"/>
  </r>
  <r>
    <n v="5113255"/>
    <x v="0"/>
    <s v="Y"/>
    <s v="Y"/>
    <n v="0"/>
    <x v="39"/>
    <x v="2"/>
    <x v="1"/>
    <x v="2"/>
    <x v="2"/>
    <d v="1992-10-01T00:00:00"/>
    <n v="-11770"/>
    <x v="2215"/>
    <x v="3"/>
    <n v="-285"/>
    <n v="0.78028747433264889"/>
    <x v="1"/>
    <n v="1"/>
    <n v="0"/>
    <n v="0"/>
    <n v="0"/>
    <s v="Sales staff"/>
    <x v="0"/>
  </r>
  <r>
    <n v="5113264"/>
    <x v="0"/>
    <s v="N"/>
    <s v="Y"/>
    <n v="0"/>
    <x v="30"/>
    <x v="0"/>
    <x v="1"/>
    <x v="2"/>
    <x v="0"/>
    <d v="1963-07-19T00:00:00"/>
    <n v="-22437"/>
    <x v="2216"/>
    <x v="0"/>
    <n v="365243"/>
    <n v="0"/>
    <x v="0"/>
    <n v="1"/>
    <n v="0"/>
    <n v="1"/>
    <n v="0"/>
    <m/>
    <x v="0"/>
  </r>
  <r>
    <n v="5113271"/>
    <x v="1"/>
    <s v="Y"/>
    <s v="Y"/>
    <n v="1"/>
    <x v="42"/>
    <x v="1"/>
    <x v="0"/>
    <x v="1"/>
    <x v="0"/>
    <d v="1983-08-22T00:00:00"/>
    <n v="-15098"/>
    <x v="2217"/>
    <x v="1"/>
    <n v="-1562"/>
    <n v="4.2765229295003424"/>
    <x v="1"/>
    <n v="1"/>
    <n v="0"/>
    <n v="0"/>
    <n v="1"/>
    <s v="Managers"/>
    <x v="3"/>
  </r>
  <r>
    <n v="5113278"/>
    <x v="1"/>
    <s v="N"/>
    <s v="Y"/>
    <n v="0"/>
    <x v="2"/>
    <x v="2"/>
    <x v="1"/>
    <x v="1"/>
    <x v="2"/>
    <d v="1998-09-25T00:00:00"/>
    <n v="-9585"/>
    <x v="2218"/>
    <x v="4"/>
    <n v="-346"/>
    <n v="0.94729637234770703"/>
    <x v="1"/>
    <n v="1"/>
    <n v="0"/>
    <n v="0"/>
    <n v="0"/>
    <s v="Low-skill Laborers"/>
    <x v="1"/>
  </r>
  <r>
    <n v="5113293"/>
    <x v="0"/>
    <s v="Y"/>
    <s v="Y"/>
    <n v="2"/>
    <x v="43"/>
    <x v="2"/>
    <x v="2"/>
    <x v="1"/>
    <x v="0"/>
    <d v="1993-12-18T00:00:00"/>
    <n v="-11327"/>
    <x v="2219"/>
    <x v="3"/>
    <n v="-101"/>
    <n v="0.27652292950034224"/>
    <x v="1"/>
    <n v="1"/>
    <n v="1"/>
    <n v="1"/>
    <n v="0"/>
    <s v="Core staff"/>
    <x v="2"/>
  </r>
  <r>
    <n v="5113327"/>
    <x v="0"/>
    <s v="N"/>
    <s v="Y"/>
    <n v="0"/>
    <x v="16"/>
    <x v="0"/>
    <x v="1"/>
    <x v="1"/>
    <x v="0"/>
    <d v="1963-09-13T00:00:00"/>
    <n v="-22381"/>
    <x v="2220"/>
    <x v="0"/>
    <n v="365243"/>
    <n v="0"/>
    <x v="0"/>
    <n v="1"/>
    <n v="0"/>
    <n v="0"/>
    <n v="0"/>
    <m/>
    <x v="1"/>
  </r>
  <r>
    <n v="5113366"/>
    <x v="1"/>
    <s v="N"/>
    <s v="Y"/>
    <n v="0"/>
    <x v="10"/>
    <x v="1"/>
    <x v="0"/>
    <x v="2"/>
    <x v="0"/>
    <d v="1999-04-16T00:00:00"/>
    <n v="-9382"/>
    <x v="2221"/>
    <x v="4"/>
    <n v="-2049"/>
    <n v="5.6098562628336754"/>
    <x v="1"/>
    <n v="1"/>
    <n v="0"/>
    <n v="1"/>
    <n v="1"/>
    <s v="Medicine staff"/>
    <x v="0"/>
  </r>
  <r>
    <n v="5113367"/>
    <x v="1"/>
    <s v="N"/>
    <s v="Y"/>
    <n v="0"/>
    <x v="10"/>
    <x v="1"/>
    <x v="0"/>
    <x v="2"/>
    <x v="0"/>
    <d v="1999-04-16T00:00:00"/>
    <n v="-9382"/>
    <x v="2221"/>
    <x v="4"/>
    <n v="-2049"/>
    <n v="5.6098562628336754"/>
    <x v="1"/>
    <n v="1"/>
    <n v="0"/>
    <n v="1"/>
    <n v="1"/>
    <s v="Medicine staff"/>
    <x v="0"/>
  </r>
  <r>
    <n v="5113384"/>
    <x v="0"/>
    <s v="N"/>
    <s v="N"/>
    <n v="0"/>
    <x v="30"/>
    <x v="2"/>
    <x v="1"/>
    <x v="1"/>
    <x v="4"/>
    <d v="1972-08-17T00:00:00"/>
    <n v="-19120"/>
    <x v="76"/>
    <x v="2"/>
    <n v="-2567"/>
    <n v="7.0280629705681044"/>
    <x v="1"/>
    <n v="1"/>
    <n v="0"/>
    <n v="1"/>
    <n v="0"/>
    <s v="Laborers"/>
    <x v="1"/>
  </r>
  <r>
    <n v="5113385"/>
    <x v="0"/>
    <s v="N"/>
    <s v="N"/>
    <n v="0"/>
    <x v="30"/>
    <x v="2"/>
    <x v="1"/>
    <x v="1"/>
    <x v="4"/>
    <d v="1972-08-17T00:00:00"/>
    <n v="-19120"/>
    <x v="76"/>
    <x v="2"/>
    <n v="-2567"/>
    <n v="7.0280629705681044"/>
    <x v="1"/>
    <n v="1"/>
    <n v="0"/>
    <n v="1"/>
    <n v="0"/>
    <s v="Laborers"/>
    <x v="1"/>
  </r>
  <r>
    <n v="5113394"/>
    <x v="0"/>
    <s v="N"/>
    <s v="Y"/>
    <n v="0"/>
    <x v="2"/>
    <x v="2"/>
    <x v="1"/>
    <x v="1"/>
    <x v="0"/>
    <d v="2001-07-24T00:00:00"/>
    <n v="-8552"/>
    <x v="2222"/>
    <x v="4"/>
    <n v="-1562"/>
    <n v="4.2765229295003424"/>
    <x v="1"/>
    <n v="1"/>
    <n v="0"/>
    <n v="0"/>
    <n v="0"/>
    <s v="Sales staff"/>
    <x v="1"/>
  </r>
  <r>
    <n v="5113398"/>
    <x v="1"/>
    <s v="N"/>
    <s v="N"/>
    <n v="0"/>
    <x v="16"/>
    <x v="1"/>
    <x v="0"/>
    <x v="2"/>
    <x v="0"/>
    <d v="1996-03-10T00:00:00"/>
    <n v="-10514"/>
    <x v="2223"/>
    <x v="4"/>
    <n v="-101"/>
    <n v="0.27652292950034224"/>
    <x v="1"/>
    <n v="1"/>
    <n v="1"/>
    <n v="1"/>
    <n v="0"/>
    <s v="Core staff"/>
    <x v="0"/>
  </r>
  <r>
    <n v="5113399"/>
    <x v="1"/>
    <s v="N"/>
    <s v="N"/>
    <n v="0"/>
    <x v="16"/>
    <x v="1"/>
    <x v="0"/>
    <x v="2"/>
    <x v="0"/>
    <d v="1996-03-10T00:00:00"/>
    <n v="-10514"/>
    <x v="2223"/>
    <x v="4"/>
    <n v="-101"/>
    <n v="0.27652292950034224"/>
    <x v="1"/>
    <n v="1"/>
    <n v="1"/>
    <n v="1"/>
    <n v="0"/>
    <s v="Core staff"/>
    <x v="0"/>
  </r>
  <r>
    <n v="5113411"/>
    <x v="1"/>
    <s v="Y"/>
    <s v="Y"/>
    <n v="0"/>
    <x v="42"/>
    <x v="1"/>
    <x v="0"/>
    <x v="2"/>
    <x v="0"/>
    <d v="1995-04-22T00:00:00"/>
    <n v="-10837"/>
    <x v="2224"/>
    <x v="4"/>
    <n v="-588"/>
    <n v="1.6098562628336757"/>
    <x v="1"/>
    <n v="1"/>
    <n v="0"/>
    <n v="0"/>
    <n v="1"/>
    <s v="Sales staff"/>
    <x v="0"/>
  </r>
  <r>
    <n v="5113418"/>
    <x v="0"/>
    <s v="N"/>
    <s v="N"/>
    <n v="1"/>
    <x v="5"/>
    <x v="2"/>
    <x v="1"/>
    <x v="2"/>
    <x v="4"/>
    <d v="1990-02-28T00:00:00"/>
    <n v="-12716"/>
    <x v="1169"/>
    <x v="3"/>
    <n v="-5336"/>
    <n v="14.609171800136892"/>
    <x v="1"/>
    <n v="1"/>
    <n v="0"/>
    <n v="0"/>
    <n v="0"/>
    <s v="Core staff"/>
    <x v="1"/>
  </r>
  <r>
    <n v="5113431"/>
    <x v="1"/>
    <s v="Y"/>
    <s v="Y"/>
    <n v="0"/>
    <x v="1"/>
    <x v="2"/>
    <x v="1"/>
    <x v="1"/>
    <x v="0"/>
    <d v="1966-03-29T00:00:00"/>
    <n v="-21453"/>
    <x v="2225"/>
    <x v="2"/>
    <n v="-3388"/>
    <n v="9.2758384668035596"/>
    <x v="1"/>
    <n v="1"/>
    <n v="1"/>
    <n v="1"/>
    <n v="0"/>
    <s v="Laborers"/>
    <x v="1"/>
  </r>
  <r>
    <n v="5113474"/>
    <x v="1"/>
    <s v="N"/>
    <s v="Y"/>
    <n v="0"/>
    <x v="11"/>
    <x v="2"/>
    <x v="1"/>
    <x v="1"/>
    <x v="0"/>
    <d v="1972-05-29T00:00:00"/>
    <n v="-19200"/>
    <x v="2226"/>
    <x v="2"/>
    <n v="-346"/>
    <n v="0.94729637234770703"/>
    <x v="1"/>
    <n v="1"/>
    <n v="0"/>
    <n v="1"/>
    <n v="0"/>
    <s v="High skill tech staff"/>
    <x v="1"/>
  </r>
  <r>
    <n v="5113486"/>
    <x v="0"/>
    <s v="N"/>
    <s v="Y"/>
    <n v="0"/>
    <x v="42"/>
    <x v="3"/>
    <x v="1"/>
    <x v="1"/>
    <x v="0"/>
    <d v="1989-05-22T00:00:00"/>
    <n v="-12998"/>
    <x v="604"/>
    <x v="3"/>
    <n v="-101"/>
    <n v="0.27652292950034224"/>
    <x v="1"/>
    <n v="1"/>
    <n v="0"/>
    <n v="1"/>
    <n v="0"/>
    <s v="Core staff"/>
    <x v="1"/>
  </r>
  <r>
    <n v="5113500"/>
    <x v="1"/>
    <s v="Y"/>
    <s v="Y"/>
    <n v="0"/>
    <x v="8"/>
    <x v="1"/>
    <x v="2"/>
    <x v="2"/>
    <x v="2"/>
    <d v="1997-07-04T00:00:00"/>
    <n v="-10033"/>
    <x v="1668"/>
    <x v="4"/>
    <n v="-223"/>
    <n v="0.61054072553045857"/>
    <x v="1"/>
    <n v="1"/>
    <n v="0"/>
    <n v="0"/>
    <n v="1"/>
    <s v="Managers"/>
    <x v="0"/>
  </r>
  <r>
    <n v="5113502"/>
    <x v="1"/>
    <s v="Y"/>
    <s v="N"/>
    <n v="0"/>
    <x v="16"/>
    <x v="3"/>
    <x v="1"/>
    <x v="3"/>
    <x v="0"/>
    <d v="1985-12-27T00:00:00"/>
    <n v="-14240"/>
    <x v="2227"/>
    <x v="3"/>
    <n v="-3541"/>
    <n v="9.6947296372347704"/>
    <x v="1"/>
    <n v="1"/>
    <n v="0"/>
    <n v="0"/>
    <n v="0"/>
    <s v="Core staff"/>
    <x v="1"/>
  </r>
  <r>
    <n v="5113536"/>
    <x v="0"/>
    <s v="N"/>
    <s v="Y"/>
    <n v="0"/>
    <x v="5"/>
    <x v="2"/>
    <x v="1"/>
    <x v="1"/>
    <x v="0"/>
    <d v="1967-07-19T00:00:00"/>
    <n v="-20976"/>
    <x v="2228"/>
    <x v="2"/>
    <n v="-1776"/>
    <n v="4.862422997946612"/>
    <x v="1"/>
    <n v="1"/>
    <n v="0"/>
    <n v="0"/>
    <n v="0"/>
    <s v="Laborers"/>
    <x v="1"/>
  </r>
  <r>
    <n v="5113541"/>
    <x v="0"/>
    <s v="N"/>
    <s v="N"/>
    <n v="2"/>
    <x v="76"/>
    <x v="1"/>
    <x v="3"/>
    <x v="3"/>
    <x v="0"/>
    <d v="1998-09-14T00:00:00"/>
    <n v="-9596"/>
    <x v="2229"/>
    <x v="4"/>
    <n v="-2445"/>
    <n v="6.6940451745379876"/>
    <x v="1"/>
    <n v="1"/>
    <n v="0"/>
    <n v="0"/>
    <n v="1"/>
    <s v="Accountants"/>
    <x v="2"/>
  </r>
  <r>
    <n v="5113557"/>
    <x v="1"/>
    <s v="Y"/>
    <s v="Y"/>
    <n v="0"/>
    <x v="42"/>
    <x v="1"/>
    <x v="1"/>
    <x v="1"/>
    <x v="0"/>
    <d v="1974-10-28T00:00:00"/>
    <n v="-18318"/>
    <x v="2230"/>
    <x v="2"/>
    <n v="-923"/>
    <n v="2.5270362765229293"/>
    <x v="1"/>
    <n v="1"/>
    <n v="0"/>
    <n v="1"/>
    <n v="1"/>
    <s v="Drivers"/>
    <x v="1"/>
  </r>
  <r>
    <n v="5113567"/>
    <x v="0"/>
    <s v="N"/>
    <s v="Y"/>
    <n v="0"/>
    <x v="70"/>
    <x v="2"/>
    <x v="1"/>
    <x v="1"/>
    <x v="0"/>
    <d v="1983-08-09T00:00:00"/>
    <n v="-15111"/>
    <x v="2231"/>
    <x v="1"/>
    <n v="-2019"/>
    <n v="5.5277207392197125"/>
    <x v="1"/>
    <n v="1"/>
    <n v="1"/>
    <n v="1"/>
    <n v="0"/>
    <s v="Sales staff"/>
    <x v="1"/>
  </r>
  <r>
    <n v="5113580"/>
    <x v="1"/>
    <s v="Y"/>
    <s v="Y"/>
    <n v="0"/>
    <x v="1"/>
    <x v="2"/>
    <x v="1"/>
    <x v="2"/>
    <x v="0"/>
    <d v="1998-07-10T00:00:00"/>
    <n v="-9662"/>
    <x v="2232"/>
    <x v="4"/>
    <n v="-831"/>
    <n v="2.2751540041067764"/>
    <x v="1"/>
    <n v="1"/>
    <n v="0"/>
    <n v="0"/>
    <n v="0"/>
    <s v="Drivers"/>
    <x v="0"/>
  </r>
  <r>
    <n v="5113603"/>
    <x v="1"/>
    <s v="N"/>
    <s v="Y"/>
    <n v="1"/>
    <x v="18"/>
    <x v="3"/>
    <x v="0"/>
    <x v="1"/>
    <x v="0"/>
    <d v="1994-08-20T00:00:00"/>
    <n v="-11082"/>
    <x v="2137"/>
    <x v="3"/>
    <n v="-376"/>
    <n v="1.0294318959616702"/>
    <x v="1"/>
    <n v="1"/>
    <n v="0"/>
    <n v="0"/>
    <n v="0"/>
    <s v="Core staff"/>
    <x v="3"/>
  </r>
  <r>
    <n v="5113620"/>
    <x v="1"/>
    <s v="N"/>
    <s v="N"/>
    <n v="0"/>
    <x v="8"/>
    <x v="2"/>
    <x v="1"/>
    <x v="4"/>
    <x v="4"/>
    <d v="1971-11-05T00:00:00"/>
    <n v="-19406"/>
    <x v="2233"/>
    <x v="2"/>
    <n v="-346"/>
    <n v="0.94729637234770703"/>
    <x v="1"/>
    <n v="1"/>
    <n v="0"/>
    <n v="0"/>
    <n v="0"/>
    <s v="Security staff"/>
    <x v="0"/>
  </r>
  <r>
    <n v="5113638"/>
    <x v="0"/>
    <s v="N"/>
    <s v="N"/>
    <n v="0"/>
    <x v="1"/>
    <x v="0"/>
    <x v="0"/>
    <x v="1"/>
    <x v="4"/>
    <d v="1971-01-15T00:00:00"/>
    <n v="-19700"/>
    <x v="2234"/>
    <x v="2"/>
    <n v="365243"/>
    <n v="0"/>
    <x v="0"/>
    <n v="1"/>
    <n v="0"/>
    <n v="0"/>
    <n v="0"/>
    <m/>
    <x v="1"/>
  </r>
  <r>
    <n v="5113646"/>
    <x v="0"/>
    <s v="N"/>
    <s v="Y"/>
    <n v="0"/>
    <x v="8"/>
    <x v="2"/>
    <x v="2"/>
    <x v="1"/>
    <x v="0"/>
    <d v="1991-05-28T00:00:00"/>
    <n v="-12262"/>
    <x v="2235"/>
    <x v="3"/>
    <n v="-223"/>
    <n v="0.61054072553045857"/>
    <x v="1"/>
    <n v="1"/>
    <n v="0"/>
    <n v="0"/>
    <n v="1"/>
    <s v="Managers"/>
    <x v="1"/>
  </r>
  <r>
    <n v="5113669"/>
    <x v="0"/>
    <s v="N"/>
    <s v="Y"/>
    <n v="0"/>
    <x v="10"/>
    <x v="0"/>
    <x v="1"/>
    <x v="1"/>
    <x v="0"/>
    <d v="1972-03-14T00:00:00"/>
    <n v="-19276"/>
    <x v="2236"/>
    <x v="2"/>
    <n v="365243"/>
    <n v="0"/>
    <x v="0"/>
    <n v="1"/>
    <n v="0"/>
    <n v="0"/>
    <n v="0"/>
    <m/>
    <x v="1"/>
  </r>
  <r>
    <n v="5113671"/>
    <x v="0"/>
    <s v="N"/>
    <s v="Y"/>
    <n v="0"/>
    <x v="10"/>
    <x v="0"/>
    <x v="1"/>
    <x v="1"/>
    <x v="0"/>
    <d v="1972-03-14T00:00:00"/>
    <n v="-19276"/>
    <x v="2236"/>
    <x v="2"/>
    <n v="365243"/>
    <n v="0"/>
    <x v="0"/>
    <n v="1"/>
    <n v="0"/>
    <n v="0"/>
    <n v="0"/>
    <m/>
    <x v="1"/>
  </r>
  <r>
    <n v="5113681"/>
    <x v="0"/>
    <s v="Y"/>
    <s v="Y"/>
    <n v="0"/>
    <x v="1"/>
    <x v="2"/>
    <x v="1"/>
    <x v="1"/>
    <x v="0"/>
    <d v="1979-09-02T00:00:00"/>
    <n v="-16548"/>
    <x v="2237"/>
    <x v="1"/>
    <n v="-1350"/>
    <n v="3.6960985626283369"/>
    <x v="1"/>
    <n v="1"/>
    <n v="0"/>
    <n v="0"/>
    <n v="0"/>
    <s v="Core staff"/>
    <x v="1"/>
  </r>
  <r>
    <n v="5113689"/>
    <x v="0"/>
    <s v="N"/>
    <s v="Y"/>
    <n v="0"/>
    <x v="19"/>
    <x v="2"/>
    <x v="1"/>
    <x v="1"/>
    <x v="0"/>
    <d v="1991-01-31T00:00:00"/>
    <n v="-12379"/>
    <x v="2238"/>
    <x v="3"/>
    <n v="-4453"/>
    <n v="12.191649555099247"/>
    <x v="1"/>
    <n v="1"/>
    <n v="0"/>
    <n v="0"/>
    <n v="1"/>
    <s v="Sales staff"/>
    <x v="1"/>
  </r>
  <r>
    <n v="5113698"/>
    <x v="0"/>
    <s v="N"/>
    <s v="N"/>
    <n v="0"/>
    <x v="23"/>
    <x v="0"/>
    <x v="1"/>
    <x v="1"/>
    <x v="0"/>
    <d v="1965-03-14T00:00:00"/>
    <n v="-21833"/>
    <x v="1915"/>
    <x v="2"/>
    <n v="365243"/>
    <n v="0"/>
    <x v="0"/>
    <n v="1"/>
    <n v="0"/>
    <n v="0"/>
    <n v="0"/>
    <m/>
    <x v="1"/>
  </r>
  <r>
    <n v="5113700"/>
    <x v="0"/>
    <s v="N"/>
    <s v="Y"/>
    <n v="0"/>
    <x v="2"/>
    <x v="2"/>
    <x v="1"/>
    <x v="1"/>
    <x v="0"/>
    <d v="1989-08-19T00:00:00"/>
    <n v="-12909"/>
    <x v="2239"/>
    <x v="3"/>
    <n v="-558"/>
    <n v="1.5277207392197125"/>
    <x v="1"/>
    <n v="1"/>
    <n v="0"/>
    <n v="0"/>
    <n v="0"/>
    <s v="High skill tech staff"/>
    <x v="1"/>
  </r>
  <r>
    <n v="5113718"/>
    <x v="0"/>
    <s v="N"/>
    <s v="N"/>
    <n v="1"/>
    <x v="1"/>
    <x v="2"/>
    <x v="1"/>
    <x v="1"/>
    <x v="0"/>
    <d v="1980-01-13T00:00:00"/>
    <n v="-16415"/>
    <x v="2240"/>
    <x v="1"/>
    <n v="-3054"/>
    <n v="8.3613963039014365"/>
    <x v="1"/>
    <n v="1"/>
    <n v="0"/>
    <n v="0"/>
    <n v="1"/>
    <s v="Private service staff"/>
    <x v="3"/>
  </r>
  <r>
    <n v="5113748"/>
    <x v="1"/>
    <s v="Y"/>
    <s v="Y"/>
    <n v="1"/>
    <x v="5"/>
    <x v="1"/>
    <x v="1"/>
    <x v="1"/>
    <x v="0"/>
    <d v="1985-11-06T00:00:00"/>
    <n v="-14291"/>
    <x v="1315"/>
    <x v="3"/>
    <n v="-1988"/>
    <n v="5.4428473648186175"/>
    <x v="1"/>
    <n v="1"/>
    <n v="1"/>
    <n v="0"/>
    <n v="0"/>
    <s v="Laborers"/>
    <x v="3"/>
  </r>
  <r>
    <n v="5113759"/>
    <x v="0"/>
    <s v="N"/>
    <s v="Y"/>
    <n v="1"/>
    <x v="2"/>
    <x v="1"/>
    <x v="1"/>
    <x v="1"/>
    <x v="0"/>
    <d v="1995-06-02T00:00:00"/>
    <n v="-10796"/>
    <x v="1749"/>
    <x v="4"/>
    <n v="-1958"/>
    <n v="5.3607118412046546"/>
    <x v="1"/>
    <n v="1"/>
    <n v="1"/>
    <n v="1"/>
    <n v="0"/>
    <s v="Sales staff"/>
    <x v="3"/>
  </r>
  <r>
    <n v="5113760"/>
    <x v="0"/>
    <s v="N"/>
    <s v="Y"/>
    <n v="1"/>
    <x v="2"/>
    <x v="1"/>
    <x v="1"/>
    <x v="1"/>
    <x v="0"/>
    <d v="1995-06-02T00:00:00"/>
    <n v="-10796"/>
    <x v="1749"/>
    <x v="4"/>
    <n v="-1958"/>
    <n v="5.3607118412046546"/>
    <x v="1"/>
    <n v="1"/>
    <n v="1"/>
    <n v="1"/>
    <n v="0"/>
    <s v="Sales staff"/>
    <x v="3"/>
  </r>
  <r>
    <n v="5113761"/>
    <x v="0"/>
    <s v="Y"/>
    <s v="Y"/>
    <n v="1"/>
    <x v="8"/>
    <x v="1"/>
    <x v="1"/>
    <x v="1"/>
    <x v="0"/>
    <d v="1994-06-17T00:00:00"/>
    <n v="-11146"/>
    <x v="1039"/>
    <x v="3"/>
    <n v="-1442"/>
    <n v="3.9479808350444903"/>
    <x v="1"/>
    <n v="1"/>
    <n v="1"/>
    <n v="1"/>
    <n v="0"/>
    <m/>
    <x v="3"/>
  </r>
  <r>
    <n v="5113768"/>
    <x v="0"/>
    <s v="N"/>
    <s v="Y"/>
    <n v="1"/>
    <x v="8"/>
    <x v="1"/>
    <x v="1"/>
    <x v="1"/>
    <x v="0"/>
    <d v="1983-02-20T00:00:00"/>
    <n v="-15281"/>
    <x v="2241"/>
    <x v="1"/>
    <n v="-254"/>
    <n v="0.69541409993155368"/>
    <x v="1"/>
    <n v="1"/>
    <n v="0"/>
    <n v="0"/>
    <n v="0"/>
    <m/>
    <x v="3"/>
  </r>
  <r>
    <n v="5113777"/>
    <x v="0"/>
    <s v="Y"/>
    <s v="Y"/>
    <n v="1"/>
    <x v="12"/>
    <x v="3"/>
    <x v="0"/>
    <x v="1"/>
    <x v="0"/>
    <d v="1987-04-10T00:00:00"/>
    <n v="-13771"/>
    <x v="2242"/>
    <x v="3"/>
    <n v="-2080"/>
    <n v="5.6947296372347704"/>
    <x v="1"/>
    <n v="1"/>
    <n v="0"/>
    <n v="0"/>
    <n v="0"/>
    <s v="Core staff"/>
    <x v="3"/>
  </r>
  <r>
    <n v="5113793"/>
    <x v="0"/>
    <s v="N"/>
    <s v="Y"/>
    <n v="1"/>
    <x v="21"/>
    <x v="2"/>
    <x v="1"/>
    <x v="1"/>
    <x v="0"/>
    <d v="1989-12-16T00:00:00"/>
    <n v="-12790"/>
    <x v="2243"/>
    <x v="3"/>
    <n v="-3329"/>
    <n v="9.1143052703627649"/>
    <x v="1"/>
    <n v="1"/>
    <n v="0"/>
    <n v="0"/>
    <n v="1"/>
    <s v="Core staff"/>
    <x v="3"/>
  </r>
  <r>
    <n v="5113803"/>
    <x v="0"/>
    <s v="N"/>
    <s v="Y"/>
    <n v="1"/>
    <x v="21"/>
    <x v="2"/>
    <x v="1"/>
    <x v="1"/>
    <x v="0"/>
    <d v="1989-12-16T00:00:00"/>
    <n v="-12790"/>
    <x v="2243"/>
    <x v="3"/>
    <n v="-3329"/>
    <n v="9.1143052703627649"/>
    <x v="1"/>
    <n v="1"/>
    <n v="0"/>
    <n v="0"/>
    <n v="1"/>
    <s v="Core staff"/>
    <x v="3"/>
  </r>
  <r>
    <n v="5113810"/>
    <x v="0"/>
    <s v="N"/>
    <s v="Y"/>
    <n v="1"/>
    <x v="21"/>
    <x v="2"/>
    <x v="1"/>
    <x v="1"/>
    <x v="0"/>
    <d v="1989-12-16T00:00:00"/>
    <n v="-12790"/>
    <x v="2243"/>
    <x v="3"/>
    <n v="-3329"/>
    <n v="9.1143052703627649"/>
    <x v="1"/>
    <n v="1"/>
    <n v="0"/>
    <n v="0"/>
    <n v="1"/>
    <s v="Core staff"/>
    <x v="3"/>
  </r>
  <r>
    <n v="5113815"/>
    <x v="0"/>
    <s v="N"/>
    <s v="Y"/>
    <n v="0"/>
    <x v="16"/>
    <x v="3"/>
    <x v="0"/>
    <x v="3"/>
    <x v="0"/>
    <d v="1979-10-30T00:00:00"/>
    <n v="-16490"/>
    <x v="2244"/>
    <x v="1"/>
    <n v="-2750"/>
    <n v="7.529089664613279"/>
    <x v="1"/>
    <n v="1"/>
    <n v="0"/>
    <n v="1"/>
    <n v="0"/>
    <s v="High skill tech staff"/>
    <x v="1"/>
  </r>
  <r>
    <n v="5113840"/>
    <x v="0"/>
    <s v="N"/>
    <s v="Y"/>
    <n v="0"/>
    <x v="1"/>
    <x v="1"/>
    <x v="0"/>
    <x v="1"/>
    <x v="0"/>
    <d v="2000-06-10T00:00:00"/>
    <n v="-8961"/>
    <x v="2245"/>
    <x v="4"/>
    <n v="-923"/>
    <n v="2.5270362765229293"/>
    <x v="1"/>
    <n v="1"/>
    <n v="1"/>
    <n v="0"/>
    <n v="1"/>
    <s v="Core staff"/>
    <x v="1"/>
  </r>
  <r>
    <n v="5113858"/>
    <x v="1"/>
    <s v="N"/>
    <s v="N"/>
    <n v="0"/>
    <x v="1"/>
    <x v="2"/>
    <x v="1"/>
    <x v="1"/>
    <x v="0"/>
    <d v="1996-08-03T00:00:00"/>
    <n v="-10368"/>
    <x v="2246"/>
    <x v="4"/>
    <n v="-1259"/>
    <n v="3.4469541409993156"/>
    <x v="1"/>
    <n v="1"/>
    <n v="1"/>
    <n v="0"/>
    <n v="0"/>
    <s v="High skill tech staff"/>
    <x v="1"/>
  </r>
  <r>
    <n v="5113867"/>
    <x v="0"/>
    <s v="N"/>
    <s v="N"/>
    <n v="0"/>
    <x v="30"/>
    <x v="2"/>
    <x v="1"/>
    <x v="1"/>
    <x v="0"/>
    <d v="1980-11-08T00:00:00"/>
    <n v="-16115"/>
    <x v="2247"/>
    <x v="1"/>
    <n v="-985"/>
    <n v="2.6967830253251197"/>
    <x v="1"/>
    <n v="1"/>
    <n v="0"/>
    <n v="0"/>
    <n v="0"/>
    <s v="Sales staff"/>
    <x v="1"/>
  </r>
  <r>
    <n v="5113874"/>
    <x v="0"/>
    <s v="N"/>
    <s v="N"/>
    <n v="0"/>
    <x v="30"/>
    <x v="2"/>
    <x v="1"/>
    <x v="1"/>
    <x v="0"/>
    <d v="1980-11-08T00:00:00"/>
    <n v="-16115"/>
    <x v="2247"/>
    <x v="1"/>
    <n v="-985"/>
    <n v="2.6967830253251197"/>
    <x v="1"/>
    <n v="1"/>
    <n v="0"/>
    <n v="0"/>
    <n v="0"/>
    <s v="Sales staff"/>
    <x v="1"/>
  </r>
  <r>
    <n v="5113880"/>
    <x v="0"/>
    <s v="N"/>
    <s v="N"/>
    <n v="2"/>
    <x v="16"/>
    <x v="3"/>
    <x v="0"/>
    <x v="1"/>
    <x v="0"/>
    <d v="1987-05-24T00:00:00"/>
    <n v="-13727"/>
    <x v="1073"/>
    <x v="3"/>
    <n v="-5215"/>
    <n v="14.277891854893909"/>
    <x v="1"/>
    <n v="1"/>
    <n v="0"/>
    <n v="0"/>
    <n v="0"/>
    <s v="Managers"/>
    <x v="2"/>
  </r>
  <r>
    <n v="5113956"/>
    <x v="0"/>
    <s v="N"/>
    <s v="N"/>
    <n v="0"/>
    <x v="37"/>
    <x v="3"/>
    <x v="1"/>
    <x v="1"/>
    <x v="4"/>
    <d v="1978-02-23T00:00:00"/>
    <n v="-17104"/>
    <x v="2248"/>
    <x v="1"/>
    <n v="-3024"/>
    <n v="8.2792607802874745"/>
    <x v="1"/>
    <n v="1"/>
    <n v="1"/>
    <n v="0"/>
    <n v="0"/>
    <s v="Core staff"/>
    <x v="1"/>
  </r>
  <r>
    <n v="5113960"/>
    <x v="1"/>
    <s v="N"/>
    <s v="N"/>
    <n v="0"/>
    <x v="1"/>
    <x v="2"/>
    <x v="1"/>
    <x v="2"/>
    <x v="0"/>
    <d v="1987-09-26T00:00:00"/>
    <n v="-13602"/>
    <x v="2249"/>
    <x v="3"/>
    <n v="-1382"/>
    <n v="3.783709787816564"/>
    <x v="1"/>
    <n v="1"/>
    <n v="1"/>
    <n v="1"/>
    <n v="0"/>
    <s v="Drivers"/>
    <x v="0"/>
  </r>
  <r>
    <n v="5113961"/>
    <x v="1"/>
    <s v="Y"/>
    <s v="N"/>
    <n v="0"/>
    <x v="39"/>
    <x v="2"/>
    <x v="2"/>
    <x v="2"/>
    <x v="0"/>
    <d v="2001-07-16T00:00:00"/>
    <n v="-8560"/>
    <x v="2250"/>
    <x v="4"/>
    <n v="-316"/>
    <n v="0.86516084873374399"/>
    <x v="1"/>
    <n v="1"/>
    <n v="1"/>
    <n v="0"/>
    <n v="0"/>
    <s v="Managers"/>
    <x v="0"/>
  </r>
  <r>
    <n v="5113964"/>
    <x v="1"/>
    <s v="Y"/>
    <s v="N"/>
    <n v="0"/>
    <x v="39"/>
    <x v="2"/>
    <x v="2"/>
    <x v="2"/>
    <x v="0"/>
    <d v="2001-07-16T00:00:00"/>
    <n v="-8560"/>
    <x v="2250"/>
    <x v="4"/>
    <n v="-316"/>
    <n v="0.86516084873374399"/>
    <x v="1"/>
    <n v="1"/>
    <n v="1"/>
    <n v="0"/>
    <n v="0"/>
    <s v="Managers"/>
    <x v="0"/>
  </r>
  <r>
    <n v="5113966"/>
    <x v="1"/>
    <s v="Y"/>
    <s v="N"/>
    <n v="0"/>
    <x v="39"/>
    <x v="2"/>
    <x v="2"/>
    <x v="2"/>
    <x v="0"/>
    <d v="2001-07-16T00:00:00"/>
    <n v="-8560"/>
    <x v="2250"/>
    <x v="4"/>
    <n v="-316"/>
    <n v="0.86516084873374399"/>
    <x v="1"/>
    <n v="1"/>
    <n v="1"/>
    <n v="0"/>
    <n v="0"/>
    <s v="Managers"/>
    <x v="0"/>
  </r>
  <r>
    <n v="5113976"/>
    <x v="1"/>
    <s v="Y"/>
    <s v="N"/>
    <n v="0"/>
    <x v="18"/>
    <x v="2"/>
    <x v="2"/>
    <x v="1"/>
    <x v="0"/>
    <d v="1992-03-30T00:00:00"/>
    <n v="-11955"/>
    <x v="2251"/>
    <x v="3"/>
    <n v="-893"/>
    <n v="2.4449007529089664"/>
    <x v="1"/>
    <n v="1"/>
    <n v="1"/>
    <n v="1"/>
    <n v="1"/>
    <s v="Laborers"/>
    <x v="1"/>
  </r>
  <r>
    <n v="5113990"/>
    <x v="1"/>
    <s v="Y"/>
    <s v="N"/>
    <n v="0"/>
    <x v="39"/>
    <x v="2"/>
    <x v="1"/>
    <x v="1"/>
    <x v="0"/>
    <d v="1971-08-19T00:00:00"/>
    <n v="-19484"/>
    <x v="2252"/>
    <x v="2"/>
    <n v="-6798"/>
    <n v="18.611909650924023"/>
    <x v="1"/>
    <n v="1"/>
    <n v="0"/>
    <n v="0"/>
    <n v="0"/>
    <s v="Managers"/>
    <x v="1"/>
  </r>
  <r>
    <n v="5113997"/>
    <x v="0"/>
    <s v="N"/>
    <s v="N"/>
    <n v="2"/>
    <x v="11"/>
    <x v="2"/>
    <x v="1"/>
    <x v="1"/>
    <x v="0"/>
    <d v="1988-02-29T00:00:00"/>
    <n v="-13446"/>
    <x v="2253"/>
    <x v="3"/>
    <n v="-2720"/>
    <n v="7.4469541409993152"/>
    <x v="1"/>
    <n v="1"/>
    <n v="0"/>
    <n v="0"/>
    <n v="0"/>
    <s v="Sales staff"/>
    <x v="2"/>
  </r>
  <r>
    <n v="5114005"/>
    <x v="0"/>
    <s v="N"/>
    <s v="N"/>
    <n v="2"/>
    <x v="11"/>
    <x v="2"/>
    <x v="1"/>
    <x v="1"/>
    <x v="0"/>
    <d v="1988-02-29T00:00:00"/>
    <n v="-13446"/>
    <x v="2253"/>
    <x v="3"/>
    <n v="-2720"/>
    <n v="7.4469541409993152"/>
    <x v="1"/>
    <n v="1"/>
    <n v="0"/>
    <n v="0"/>
    <n v="0"/>
    <s v="Sales staff"/>
    <x v="2"/>
  </r>
  <r>
    <n v="5114028"/>
    <x v="0"/>
    <s v="N"/>
    <s v="N"/>
    <n v="0"/>
    <x v="35"/>
    <x v="2"/>
    <x v="0"/>
    <x v="1"/>
    <x v="0"/>
    <d v="1984-11-01T00:00:00"/>
    <n v="-14661"/>
    <x v="2254"/>
    <x v="1"/>
    <n v="-5521"/>
    <n v="15.115674195756331"/>
    <x v="1"/>
    <n v="1"/>
    <n v="0"/>
    <n v="0"/>
    <n v="0"/>
    <m/>
    <x v="1"/>
  </r>
  <r>
    <n v="5114031"/>
    <x v="0"/>
    <s v="N"/>
    <s v="N"/>
    <n v="0"/>
    <x v="35"/>
    <x v="2"/>
    <x v="0"/>
    <x v="1"/>
    <x v="0"/>
    <d v="1984-11-01T00:00:00"/>
    <n v="-14661"/>
    <x v="2254"/>
    <x v="1"/>
    <n v="-5521"/>
    <n v="15.115674195756331"/>
    <x v="1"/>
    <n v="1"/>
    <n v="0"/>
    <n v="0"/>
    <n v="0"/>
    <m/>
    <x v="1"/>
  </r>
  <r>
    <n v="5114045"/>
    <x v="0"/>
    <s v="N"/>
    <s v="N"/>
    <n v="0"/>
    <x v="35"/>
    <x v="2"/>
    <x v="0"/>
    <x v="1"/>
    <x v="0"/>
    <d v="1984-11-01T00:00:00"/>
    <n v="-14661"/>
    <x v="2254"/>
    <x v="1"/>
    <n v="-5521"/>
    <n v="15.115674195756331"/>
    <x v="1"/>
    <n v="1"/>
    <n v="0"/>
    <n v="0"/>
    <n v="0"/>
    <m/>
    <x v="1"/>
  </r>
  <r>
    <n v="5114057"/>
    <x v="0"/>
    <s v="N"/>
    <s v="N"/>
    <n v="0"/>
    <x v="2"/>
    <x v="2"/>
    <x v="0"/>
    <x v="0"/>
    <x v="0"/>
    <d v="1977-12-21T00:00:00"/>
    <n v="-17168"/>
    <x v="2255"/>
    <x v="1"/>
    <n v="-2446"/>
    <n v="6.6967830253251197"/>
    <x v="1"/>
    <n v="1"/>
    <n v="1"/>
    <n v="0"/>
    <n v="0"/>
    <s v="Sales staff"/>
    <x v="0"/>
  </r>
  <r>
    <n v="5114060"/>
    <x v="1"/>
    <s v="Y"/>
    <s v="N"/>
    <n v="1"/>
    <x v="76"/>
    <x v="2"/>
    <x v="0"/>
    <x v="1"/>
    <x v="0"/>
    <d v="1975-11-18T00:00:00"/>
    <n v="-17932"/>
    <x v="2256"/>
    <x v="1"/>
    <n v="-3999"/>
    <n v="10.948665297741274"/>
    <x v="1"/>
    <n v="1"/>
    <n v="1"/>
    <n v="1"/>
    <n v="0"/>
    <m/>
    <x v="3"/>
  </r>
  <r>
    <n v="5114061"/>
    <x v="1"/>
    <s v="Y"/>
    <s v="N"/>
    <n v="1"/>
    <x v="76"/>
    <x v="2"/>
    <x v="0"/>
    <x v="1"/>
    <x v="0"/>
    <d v="1975-11-18T00:00:00"/>
    <n v="-17932"/>
    <x v="2256"/>
    <x v="1"/>
    <n v="-3999"/>
    <n v="10.948665297741274"/>
    <x v="1"/>
    <n v="1"/>
    <n v="1"/>
    <n v="1"/>
    <n v="0"/>
    <m/>
    <x v="3"/>
  </r>
  <r>
    <n v="5114065"/>
    <x v="1"/>
    <s v="N"/>
    <s v="N"/>
    <n v="0"/>
    <x v="16"/>
    <x v="3"/>
    <x v="1"/>
    <x v="1"/>
    <x v="0"/>
    <d v="1985-09-19T00:00:00"/>
    <n v="-14339"/>
    <x v="2257"/>
    <x v="3"/>
    <n v="-316"/>
    <n v="0.86516084873374399"/>
    <x v="1"/>
    <n v="1"/>
    <n v="1"/>
    <n v="0"/>
    <n v="0"/>
    <s v="Core staff"/>
    <x v="1"/>
  </r>
  <r>
    <n v="5114069"/>
    <x v="1"/>
    <s v="N"/>
    <s v="N"/>
    <n v="0"/>
    <x v="16"/>
    <x v="3"/>
    <x v="1"/>
    <x v="1"/>
    <x v="0"/>
    <d v="1985-09-19T00:00:00"/>
    <n v="-14339"/>
    <x v="2257"/>
    <x v="3"/>
    <n v="-316"/>
    <n v="0.86516084873374399"/>
    <x v="1"/>
    <n v="1"/>
    <n v="1"/>
    <n v="0"/>
    <n v="0"/>
    <s v="Core staff"/>
    <x v="1"/>
  </r>
  <r>
    <n v="5114092"/>
    <x v="1"/>
    <s v="Y"/>
    <s v="N"/>
    <n v="0"/>
    <x v="1"/>
    <x v="2"/>
    <x v="3"/>
    <x v="1"/>
    <x v="3"/>
    <d v="1988-09-21T00:00:00"/>
    <n v="-13241"/>
    <x v="1620"/>
    <x v="3"/>
    <n v="-436"/>
    <n v="1.1937029431895962"/>
    <x v="1"/>
    <n v="1"/>
    <n v="1"/>
    <n v="1"/>
    <n v="0"/>
    <s v="Laborers"/>
    <x v="1"/>
  </r>
  <r>
    <n v="5114108"/>
    <x v="0"/>
    <s v="N"/>
    <s v="N"/>
    <n v="0"/>
    <x v="8"/>
    <x v="1"/>
    <x v="1"/>
    <x v="1"/>
    <x v="0"/>
    <d v="1982-12-08T00:00:00"/>
    <n v="-15355"/>
    <x v="1538"/>
    <x v="1"/>
    <n v="-3999"/>
    <n v="10.948665297741274"/>
    <x v="1"/>
    <n v="1"/>
    <n v="0"/>
    <n v="1"/>
    <n v="0"/>
    <s v="Sales staff"/>
    <x v="1"/>
  </r>
  <r>
    <n v="5114130"/>
    <x v="0"/>
    <s v="N"/>
    <s v="N"/>
    <n v="0"/>
    <x v="1"/>
    <x v="3"/>
    <x v="1"/>
    <x v="1"/>
    <x v="0"/>
    <d v="1967-10-28T00:00:00"/>
    <n v="-20875"/>
    <x v="2258"/>
    <x v="2"/>
    <n v="-3785"/>
    <n v="10.362765229295004"/>
    <x v="1"/>
    <n v="1"/>
    <n v="0"/>
    <n v="0"/>
    <n v="0"/>
    <s v="High skill tech staff"/>
    <x v="1"/>
  </r>
  <r>
    <n v="5114135"/>
    <x v="0"/>
    <s v="N"/>
    <s v="N"/>
    <n v="0"/>
    <x v="1"/>
    <x v="3"/>
    <x v="1"/>
    <x v="1"/>
    <x v="0"/>
    <d v="1967-10-28T00:00:00"/>
    <n v="-20875"/>
    <x v="2258"/>
    <x v="2"/>
    <n v="-3785"/>
    <n v="10.362765229295004"/>
    <x v="1"/>
    <n v="1"/>
    <n v="0"/>
    <n v="0"/>
    <n v="0"/>
    <s v="High skill tech staff"/>
    <x v="1"/>
  </r>
  <r>
    <n v="5114139"/>
    <x v="0"/>
    <s v="Y"/>
    <s v="N"/>
    <n v="0"/>
    <x v="29"/>
    <x v="0"/>
    <x v="1"/>
    <x v="1"/>
    <x v="0"/>
    <d v="1968-07-17T00:00:00"/>
    <n v="-20612"/>
    <x v="2259"/>
    <x v="2"/>
    <n v="365243"/>
    <n v="0"/>
    <x v="0"/>
    <n v="1"/>
    <n v="0"/>
    <n v="0"/>
    <n v="0"/>
    <m/>
    <x v="1"/>
  </r>
  <r>
    <n v="5114140"/>
    <x v="0"/>
    <s v="Y"/>
    <s v="N"/>
    <n v="0"/>
    <x v="29"/>
    <x v="0"/>
    <x v="1"/>
    <x v="1"/>
    <x v="0"/>
    <d v="1968-07-17T00:00:00"/>
    <n v="-20612"/>
    <x v="2259"/>
    <x v="2"/>
    <n v="365243"/>
    <n v="0"/>
    <x v="0"/>
    <n v="1"/>
    <n v="0"/>
    <n v="0"/>
    <n v="0"/>
    <m/>
    <x v="1"/>
  </r>
  <r>
    <n v="5114149"/>
    <x v="0"/>
    <s v="Y"/>
    <s v="N"/>
    <n v="0"/>
    <x v="8"/>
    <x v="2"/>
    <x v="0"/>
    <x v="1"/>
    <x v="0"/>
    <d v="1983-01-14T00:00:00"/>
    <n v="-15318"/>
    <x v="2260"/>
    <x v="1"/>
    <n v="-5490"/>
    <n v="15.030800821355236"/>
    <x v="1"/>
    <n v="1"/>
    <n v="0"/>
    <n v="0"/>
    <n v="0"/>
    <s v="Accountants"/>
    <x v="1"/>
  </r>
  <r>
    <n v="5114155"/>
    <x v="0"/>
    <s v="Y"/>
    <s v="N"/>
    <n v="0"/>
    <x v="8"/>
    <x v="2"/>
    <x v="0"/>
    <x v="1"/>
    <x v="0"/>
    <d v="1983-01-14T00:00:00"/>
    <n v="-15318"/>
    <x v="2260"/>
    <x v="1"/>
    <n v="-5490"/>
    <n v="15.030800821355236"/>
    <x v="1"/>
    <n v="1"/>
    <n v="0"/>
    <n v="0"/>
    <n v="0"/>
    <s v="Accountants"/>
    <x v="1"/>
  </r>
  <r>
    <n v="5114164"/>
    <x v="1"/>
    <s v="N"/>
    <s v="N"/>
    <n v="0"/>
    <x v="1"/>
    <x v="2"/>
    <x v="0"/>
    <x v="2"/>
    <x v="2"/>
    <d v="1997-05-16T00:00:00"/>
    <n v="-10082"/>
    <x v="2261"/>
    <x v="4"/>
    <n v="-528"/>
    <n v="1.4455852156057496"/>
    <x v="1"/>
    <n v="1"/>
    <n v="1"/>
    <n v="1"/>
    <n v="0"/>
    <m/>
    <x v="0"/>
  </r>
  <r>
    <n v="5114175"/>
    <x v="1"/>
    <s v="Y"/>
    <s v="N"/>
    <n v="1"/>
    <x v="70"/>
    <x v="2"/>
    <x v="0"/>
    <x v="1"/>
    <x v="2"/>
    <d v="1982-10-04T00:00:00"/>
    <n v="-15420"/>
    <x v="2262"/>
    <x v="1"/>
    <n v="-1563"/>
    <n v="4.2792607802874745"/>
    <x v="1"/>
    <n v="1"/>
    <n v="0"/>
    <n v="0"/>
    <n v="0"/>
    <m/>
    <x v="3"/>
  </r>
  <r>
    <n v="5114207"/>
    <x v="1"/>
    <s v="Y"/>
    <s v="N"/>
    <n v="2"/>
    <x v="8"/>
    <x v="2"/>
    <x v="1"/>
    <x v="1"/>
    <x v="0"/>
    <d v="1986-04-10T00:00:00"/>
    <n v="-14136"/>
    <x v="829"/>
    <x v="3"/>
    <n v="-2628"/>
    <n v="7.1950718685831623"/>
    <x v="1"/>
    <n v="1"/>
    <n v="1"/>
    <n v="0"/>
    <n v="0"/>
    <s v="Managers"/>
    <x v="2"/>
  </r>
  <r>
    <n v="5114214"/>
    <x v="1"/>
    <s v="Y"/>
    <s v="N"/>
    <n v="2"/>
    <x v="8"/>
    <x v="2"/>
    <x v="1"/>
    <x v="1"/>
    <x v="0"/>
    <d v="1986-04-10T00:00:00"/>
    <n v="-14136"/>
    <x v="829"/>
    <x v="3"/>
    <n v="-2628"/>
    <n v="7.1950718685831623"/>
    <x v="1"/>
    <n v="1"/>
    <n v="1"/>
    <n v="0"/>
    <n v="0"/>
    <s v="Managers"/>
    <x v="2"/>
  </r>
  <r>
    <n v="5114252"/>
    <x v="1"/>
    <s v="N"/>
    <s v="N"/>
    <n v="1"/>
    <x v="22"/>
    <x v="2"/>
    <x v="2"/>
    <x v="1"/>
    <x v="1"/>
    <d v="1993-12-14T00:00:00"/>
    <n v="-11331"/>
    <x v="2263"/>
    <x v="3"/>
    <n v="-1808"/>
    <n v="4.9500342231348391"/>
    <x v="1"/>
    <n v="1"/>
    <n v="1"/>
    <n v="1"/>
    <n v="0"/>
    <m/>
    <x v="3"/>
  </r>
  <r>
    <n v="5114254"/>
    <x v="1"/>
    <s v="N"/>
    <s v="N"/>
    <n v="1"/>
    <x v="22"/>
    <x v="2"/>
    <x v="2"/>
    <x v="1"/>
    <x v="1"/>
    <d v="1993-12-14T00:00:00"/>
    <n v="-11331"/>
    <x v="2263"/>
    <x v="3"/>
    <n v="-1808"/>
    <n v="4.9500342231348391"/>
    <x v="1"/>
    <n v="1"/>
    <n v="1"/>
    <n v="1"/>
    <n v="0"/>
    <m/>
    <x v="3"/>
  </r>
  <r>
    <n v="5114257"/>
    <x v="1"/>
    <s v="Y"/>
    <s v="N"/>
    <n v="0"/>
    <x v="13"/>
    <x v="2"/>
    <x v="0"/>
    <x v="1"/>
    <x v="0"/>
    <d v="1979-10-17T00:00:00"/>
    <n v="-16503"/>
    <x v="2184"/>
    <x v="1"/>
    <n v="-1138"/>
    <n v="3.1156741957563314"/>
    <x v="1"/>
    <n v="1"/>
    <n v="0"/>
    <n v="1"/>
    <n v="0"/>
    <s v="Managers"/>
    <x v="1"/>
  </r>
  <r>
    <n v="5114262"/>
    <x v="1"/>
    <s v="Y"/>
    <s v="N"/>
    <n v="0"/>
    <x v="13"/>
    <x v="2"/>
    <x v="0"/>
    <x v="1"/>
    <x v="0"/>
    <d v="1979-10-17T00:00:00"/>
    <n v="-16503"/>
    <x v="2184"/>
    <x v="1"/>
    <n v="-1138"/>
    <n v="3.1156741957563314"/>
    <x v="1"/>
    <n v="1"/>
    <n v="0"/>
    <n v="1"/>
    <n v="0"/>
    <s v="Managers"/>
    <x v="1"/>
  </r>
  <r>
    <n v="5114270"/>
    <x v="0"/>
    <s v="N"/>
    <s v="N"/>
    <n v="1"/>
    <x v="2"/>
    <x v="2"/>
    <x v="1"/>
    <x v="1"/>
    <x v="0"/>
    <d v="1990-12-17T00:00:00"/>
    <n v="-12424"/>
    <x v="2264"/>
    <x v="3"/>
    <n v="-1716"/>
    <n v="4.6981519507186862"/>
    <x v="1"/>
    <n v="1"/>
    <n v="0"/>
    <n v="0"/>
    <n v="0"/>
    <s v="Cooking staff"/>
    <x v="3"/>
  </r>
  <r>
    <n v="5114272"/>
    <x v="0"/>
    <s v="N"/>
    <s v="N"/>
    <n v="1"/>
    <x v="2"/>
    <x v="2"/>
    <x v="1"/>
    <x v="1"/>
    <x v="0"/>
    <d v="1990-12-17T00:00:00"/>
    <n v="-12424"/>
    <x v="2264"/>
    <x v="3"/>
    <n v="-1716"/>
    <n v="4.6981519507186862"/>
    <x v="1"/>
    <n v="1"/>
    <n v="0"/>
    <n v="0"/>
    <n v="0"/>
    <s v="Cooking staff"/>
    <x v="3"/>
  </r>
  <r>
    <n v="5114278"/>
    <x v="0"/>
    <s v="N"/>
    <s v="N"/>
    <n v="0"/>
    <x v="23"/>
    <x v="0"/>
    <x v="1"/>
    <x v="1"/>
    <x v="0"/>
    <d v="1970-02-09T00:00:00"/>
    <n v="-20040"/>
    <x v="2081"/>
    <x v="2"/>
    <n v="365243"/>
    <n v="0"/>
    <x v="0"/>
    <n v="1"/>
    <n v="0"/>
    <n v="0"/>
    <n v="0"/>
    <m/>
    <x v="1"/>
  </r>
  <r>
    <n v="5114283"/>
    <x v="1"/>
    <s v="N"/>
    <s v="N"/>
    <n v="1"/>
    <x v="50"/>
    <x v="2"/>
    <x v="1"/>
    <x v="1"/>
    <x v="0"/>
    <d v="2000-06-05T00:00:00"/>
    <n v="-8966"/>
    <x v="2265"/>
    <x v="4"/>
    <n v="-985"/>
    <n v="2.6967830253251197"/>
    <x v="1"/>
    <n v="1"/>
    <n v="1"/>
    <n v="0"/>
    <n v="0"/>
    <s v="Drivers"/>
    <x v="3"/>
  </r>
  <r>
    <n v="5114315"/>
    <x v="0"/>
    <s v="N"/>
    <s v="N"/>
    <n v="0"/>
    <x v="7"/>
    <x v="3"/>
    <x v="0"/>
    <x v="4"/>
    <x v="0"/>
    <d v="1974-07-30T00:00:00"/>
    <n v="-18408"/>
    <x v="2266"/>
    <x v="2"/>
    <n v="-4242"/>
    <n v="11.613963039014374"/>
    <x v="1"/>
    <n v="1"/>
    <n v="0"/>
    <n v="1"/>
    <n v="0"/>
    <s v="Core staff"/>
    <x v="0"/>
  </r>
  <r>
    <n v="5114316"/>
    <x v="0"/>
    <s v="N"/>
    <s v="N"/>
    <n v="0"/>
    <x v="7"/>
    <x v="3"/>
    <x v="0"/>
    <x v="4"/>
    <x v="0"/>
    <d v="1974-07-30T00:00:00"/>
    <n v="-18408"/>
    <x v="2266"/>
    <x v="2"/>
    <n v="-4242"/>
    <n v="11.613963039014374"/>
    <x v="1"/>
    <n v="1"/>
    <n v="0"/>
    <n v="1"/>
    <n v="0"/>
    <s v="Core staff"/>
    <x v="0"/>
  </r>
  <r>
    <n v="5114330"/>
    <x v="0"/>
    <s v="N"/>
    <s v="N"/>
    <n v="1"/>
    <x v="1"/>
    <x v="2"/>
    <x v="1"/>
    <x v="3"/>
    <x v="0"/>
    <d v="1997-03-08T00:00:00"/>
    <n v="-10151"/>
    <x v="2267"/>
    <x v="4"/>
    <n v="-1138"/>
    <n v="3.1156741957563314"/>
    <x v="1"/>
    <n v="1"/>
    <n v="0"/>
    <n v="0"/>
    <n v="0"/>
    <s v="Laborers"/>
    <x v="3"/>
  </r>
  <r>
    <n v="5114332"/>
    <x v="0"/>
    <s v="N"/>
    <s v="N"/>
    <n v="1"/>
    <x v="1"/>
    <x v="2"/>
    <x v="1"/>
    <x v="3"/>
    <x v="0"/>
    <d v="1997-03-08T00:00:00"/>
    <n v="-10151"/>
    <x v="2267"/>
    <x v="4"/>
    <n v="-1138"/>
    <n v="3.1156741957563314"/>
    <x v="1"/>
    <n v="1"/>
    <n v="0"/>
    <n v="0"/>
    <n v="0"/>
    <s v="Laborers"/>
    <x v="3"/>
  </r>
  <r>
    <n v="5114333"/>
    <x v="0"/>
    <s v="N"/>
    <s v="N"/>
    <n v="1"/>
    <x v="1"/>
    <x v="2"/>
    <x v="1"/>
    <x v="3"/>
    <x v="0"/>
    <d v="1997-03-08T00:00:00"/>
    <n v="-10151"/>
    <x v="2267"/>
    <x v="4"/>
    <n v="-1138"/>
    <n v="3.1156741957563314"/>
    <x v="1"/>
    <n v="1"/>
    <n v="0"/>
    <n v="0"/>
    <n v="0"/>
    <s v="Laborers"/>
    <x v="3"/>
  </r>
  <r>
    <n v="5114337"/>
    <x v="0"/>
    <s v="N"/>
    <s v="N"/>
    <n v="1"/>
    <x v="1"/>
    <x v="2"/>
    <x v="1"/>
    <x v="3"/>
    <x v="0"/>
    <d v="1997-03-08T00:00:00"/>
    <n v="-10151"/>
    <x v="2267"/>
    <x v="4"/>
    <n v="-1138"/>
    <n v="3.1156741957563314"/>
    <x v="1"/>
    <n v="1"/>
    <n v="0"/>
    <n v="0"/>
    <n v="0"/>
    <s v="Laborers"/>
    <x v="3"/>
  </r>
  <r>
    <n v="5114350"/>
    <x v="1"/>
    <s v="Y"/>
    <s v="N"/>
    <n v="0"/>
    <x v="16"/>
    <x v="1"/>
    <x v="1"/>
    <x v="1"/>
    <x v="4"/>
    <d v="1998-02-12T00:00:00"/>
    <n v="-9810"/>
    <x v="2268"/>
    <x v="4"/>
    <n v="-2993"/>
    <n v="8.1943874058863795"/>
    <x v="1"/>
    <n v="1"/>
    <n v="1"/>
    <n v="0"/>
    <n v="0"/>
    <m/>
    <x v="1"/>
  </r>
  <r>
    <n v="5114352"/>
    <x v="1"/>
    <s v="Y"/>
    <s v="N"/>
    <n v="0"/>
    <x v="16"/>
    <x v="1"/>
    <x v="1"/>
    <x v="1"/>
    <x v="4"/>
    <d v="1998-02-12T00:00:00"/>
    <n v="-9810"/>
    <x v="2268"/>
    <x v="4"/>
    <n v="-2993"/>
    <n v="8.1943874058863795"/>
    <x v="1"/>
    <n v="1"/>
    <n v="1"/>
    <n v="0"/>
    <n v="0"/>
    <m/>
    <x v="1"/>
  </r>
  <r>
    <n v="5114357"/>
    <x v="0"/>
    <s v="Y"/>
    <s v="N"/>
    <n v="0"/>
    <x v="21"/>
    <x v="2"/>
    <x v="1"/>
    <x v="1"/>
    <x v="0"/>
    <d v="1978-03-20T00:00:00"/>
    <n v="-17079"/>
    <x v="2269"/>
    <x v="1"/>
    <n v="-681"/>
    <n v="1.8644763860369611"/>
    <x v="1"/>
    <n v="1"/>
    <n v="1"/>
    <n v="1"/>
    <n v="0"/>
    <s v="Laborers"/>
    <x v="1"/>
  </r>
  <r>
    <n v="5114394"/>
    <x v="0"/>
    <s v="N"/>
    <s v="N"/>
    <n v="0"/>
    <x v="30"/>
    <x v="2"/>
    <x v="1"/>
    <x v="1"/>
    <x v="0"/>
    <d v="1973-09-13T00:00:00"/>
    <n v="-18728"/>
    <x v="2270"/>
    <x v="2"/>
    <n v="-9325"/>
    <n v="25.530458590006845"/>
    <x v="1"/>
    <n v="1"/>
    <n v="0"/>
    <n v="0"/>
    <n v="0"/>
    <s v="Cooking staff"/>
    <x v="1"/>
  </r>
  <r>
    <n v="5114395"/>
    <x v="0"/>
    <s v="N"/>
    <s v="N"/>
    <n v="0"/>
    <x v="30"/>
    <x v="2"/>
    <x v="1"/>
    <x v="1"/>
    <x v="0"/>
    <d v="1973-09-13T00:00:00"/>
    <n v="-18728"/>
    <x v="2270"/>
    <x v="2"/>
    <n v="-9325"/>
    <n v="25.530458590006845"/>
    <x v="1"/>
    <n v="1"/>
    <n v="0"/>
    <n v="0"/>
    <n v="0"/>
    <s v="Cooking staff"/>
    <x v="1"/>
  </r>
  <r>
    <n v="5114407"/>
    <x v="0"/>
    <s v="N"/>
    <s v="N"/>
    <n v="0"/>
    <x v="5"/>
    <x v="3"/>
    <x v="0"/>
    <x v="1"/>
    <x v="0"/>
    <d v="1993-04-01T00:00:00"/>
    <n v="-11588"/>
    <x v="2271"/>
    <x v="3"/>
    <n v="-801"/>
    <n v="2.193018480492813"/>
    <x v="1"/>
    <n v="1"/>
    <n v="1"/>
    <n v="1"/>
    <n v="0"/>
    <s v="Core staff"/>
    <x v="1"/>
  </r>
  <r>
    <n v="5114420"/>
    <x v="1"/>
    <s v="N"/>
    <s v="N"/>
    <n v="0"/>
    <x v="5"/>
    <x v="3"/>
    <x v="0"/>
    <x v="1"/>
    <x v="0"/>
    <d v="1992-03-20T00:00:00"/>
    <n v="-11965"/>
    <x v="2272"/>
    <x v="3"/>
    <n v="-3876"/>
    <n v="10.611909650924025"/>
    <x v="1"/>
    <n v="1"/>
    <n v="0"/>
    <n v="0"/>
    <n v="0"/>
    <s v="Core staff"/>
    <x v="1"/>
  </r>
  <r>
    <n v="5114421"/>
    <x v="1"/>
    <s v="N"/>
    <s v="N"/>
    <n v="0"/>
    <x v="5"/>
    <x v="3"/>
    <x v="0"/>
    <x v="1"/>
    <x v="0"/>
    <d v="1992-03-20T00:00:00"/>
    <n v="-11965"/>
    <x v="2272"/>
    <x v="3"/>
    <n v="-3876"/>
    <n v="10.611909650924025"/>
    <x v="1"/>
    <n v="1"/>
    <n v="0"/>
    <n v="0"/>
    <n v="0"/>
    <s v="Core staff"/>
    <x v="1"/>
  </r>
  <r>
    <n v="5114429"/>
    <x v="0"/>
    <s v="N"/>
    <s v="Y"/>
    <n v="1"/>
    <x v="5"/>
    <x v="2"/>
    <x v="1"/>
    <x v="1"/>
    <x v="0"/>
    <d v="1977-09-18T00:00:00"/>
    <n v="-17262"/>
    <x v="2273"/>
    <x v="1"/>
    <n v="-1107"/>
    <n v="3.030800821355236"/>
    <x v="1"/>
    <n v="1"/>
    <n v="1"/>
    <n v="1"/>
    <n v="0"/>
    <s v="Sales staff"/>
    <x v="3"/>
  </r>
  <r>
    <n v="5114460"/>
    <x v="0"/>
    <s v="N"/>
    <s v="N"/>
    <n v="0"/>
    <x v="125"/>
    <x v="0"/>
    <x v="1"/>
    <x v="1"/>
    <x v="5"/>
    <d v="1965-01-24T00:00:00"/>
    <n v="-21882"/>
    <x v="2274"/>
    <x v="2"/>
    <n v="365243"/>
    <n v="0"/>
    <x v="0"/>
    <n v="1"/>
    <n v="0"/>
    <n v="0"/>
    <n v="0"/>
    <m/>
    <x v="1"/>
  </r>
  <r>
    <n v="5114464"/>
    <x v="1"/>
    <s v="Y"/>
    <s v="Y"/>
    <n v="0"/>
    <x v="8"/>
    <x v="2"/>
    <x v="1"/>
    <x v="3"/>
    <x v="0"/>
    <d v="1980-06-06T00:00:00"/>
    <n v="-16270"/>
    <x v="2275"/>
    <x v="1"/>
    <n v="-467"/>
    <n v="1.2785763175906912"/>
    <x v="1"/>
    <n v="1"/>
    <n v="0"/>
    <n v="0"/>
    <n v="0"/>
    <s v="Drivers"/>
    <x v="1"/>
  </r>
  <r>
    <n v="5114478"/>
    <x v="0"/>
    <s v="N"/>
    <s v="Y"/>
    <n v="0"/>
    <x v="30"/>
    <x v="0"/>
    <x v="1"/>
    <x v="2"/>
    <x v="0"/>
    <d v="1962-09-28T00:00:00"/>
    <n v="-22731"/>
    <x v="1854"/>
    <x v="0"/>
    <n v="365243"/>
    <n v="0"/>
    <x v="0"/>
    <n v="1"/>
    <n v="0"/>
    <n v="0"/>
    <n v="0"/>
    <m/>
    <x v="0"/>
  </r>
  <r>
    <n v="5114481"/>
    <x v="0"/>
    <s v="N"/>
    <s v="Y"/>
    <n v="0"/>
    <x v="30"/>
    <x v="0"/>
    <x v="1"/>
    <x v="2"/>
    <x v="0"/>
    <d v="1962-09-28T00:00:00"/>
    <n v="-22731"/>
    <x v="1854"/>
    <x v="0"/>
    <n v="365243"/>
    <n v="0"/>
    <x v="0"/>
    <n v="1"/>
    <n v="0"/>
    <n v="0"/>
    <n v="0"/>
    <m/>
    <x v="0"/>
  </r>
  <r>
    <n v="5114483"/>
    <x v="0"/>
    <s v="N"/>
    <s v="Y"/>
    <n v="0"/>
    <x v="8"/>
    <x v="3"/>
    <x v="1"/>
    <x v="1"/>
    <x v="0"/>
    <d v="1997-04-28T00:00:00"/>
    <n v="-10100"/>
    <x v="1359"/>
    <x v="4"/>
    <n v="-863"/>
    <n v="2.3627652292950034"/>
    <x v="1"/>
    <n v="1"/>
    <n v="0"/>
    <n v="0"/>
    <n v="0"/>
    <s v="Core staff"/>
    <x v="1"/>
  </r>
  <r>
    <n v="5114486"/>
    <x v="1"/>
    <s v="Y"/>
    <s v="Y"/>
    <n v="0"/>
    <x v="12"/>
    <x v="0"/>
    <x v="0"/>
    <x v="1"/>
    <x v="0"/>
    <d v="1961-02-23T00:00:00"/>
    <n v="-23313"/>
    <x v="2276"/>
    <x v="0"/>
    <n v="365243"/>
    <n v="0"/>
    <x v="0"/>
    <n v="1"/>
    <n v="0"/>
    <n v="0"/>
    <n v="0"/>
    <m/>
    <x v="1"/>
  </r>
  <r>
    <n v="5114488"/>
    <x v="1"/>
    <s v="Y"/>
    <s v="Y"/>
    <n v="0"/>
    <x v="12"/>
    <x v="0"/>
    <x v="0"/>
    <x v="1"/>
    <x v="0"/>
    <d v="1961-02-23T00:00:00"/>
    <n v="-23313"/>
    <x v="2276"/>
    <x v="0"/>
    <n v="365243"/>
    <n v="0"/>
    <x v="0"/>
    <n v="1"/>
    <n v="0"/>
    <n v="0"/>
    <n v="0"/>
    <m/>
    <x v="1"/>
  </r>
  <r>
    <n v="5114494"/>
    <x v="0"/>
    <s v="N"/>
    <s v="Y"/>
    <n v="0"/>
    <x v="36"/>
    <x v="0"/>
    <x v="1"/>
    <x v="1"/>
    <x v="0"/>
    <d v="1968-01-05T00:00:00"/>
    <n v="-20806"/>
    <x v="2277"/>
    <x v="2"/>
    <n v="365243"/>
    <n v="0"/>
    <x v="0"/>
    <n v="1"/>
    <n v="0"/>
    <n v="0"/>
    <n v="1"/>
    <m/>
    <x v="1"/>
  </r>
  <r>
    <n v="5114495"/>
    <x v="0"/>
    <s v="N"/>
    <s v="Y"/>
    <n v="0"/>
    <x v="36"/>
    <x v="0"/>
    <x v="1"/>
    <x v="1"/>
    <x v="0"/>
    <d v="1968-01-05T00:00:00"/>
    <n v="-20806"/>
    <x v="2277"/>
    <x v="2"/>
    <n v="365243"/>
    <n v="0"/>
    <x v="0"/>
    <n v="1"/>
    <n v="0"/>
    <n v="0"/>
    <n v="1"/>
    <m/>
    <x v="1"/>
  </r>
  <r>
    <n v="5114510"/>
    <x v="1"/>
    <s v="N"/>
    <s v="N"/>
    <n v="2"/>
    <x v="16"/>
    <x v="2"/>
    <x v="1"/>
    <x v="1"/>
    <x v="0"/>
    <d v="1997-10-15T00:00:00"/>
    <n v="-9930"/>
    <x v="163"/>
    <x v="4"/>
    <n v="-2324"/>
    <n v="6.362765229295003"/>
    <x v="1"/>
    <n v="1"/>
    <n v="0"/>
    <n v="0"/>
    <n v="1"/>
    <s v="Laborers"/>
    <x v="2"/>
  </r>
  <r>
    <n v="5114520"/>
    <x v="0"/>
    <s v="Y"/>
    <s v="Y"/>
    <n v="0"/>
    <x v="5"/>
    <x v="2"/>
    <x v="0"/>
    <x v="1"/>
    <x v="3"/>
    <d v="1964-03-27T00:00:00"/>
    <n v="-22185"/>
    <x v="2278"/>
    <x v="0"/>
    <n v="-347"/>
    <n v="0.95003422313483921"/>
    <x v="1"/>
    <n v="1"/>
    <n v="1"/>
    <n v="0"/>
    <n v="0"/>
    <s v="Accountants"/>
    <x v="1"/>
  </r>
  <r>
    <n v="5114524"/>
    <x v="0"/>
    <s v="Y"/>
    <s v="Y"/>
    <n v="0"/>
    <x v="5"/>
    <x v="2"/>
    <x v="0"/>
    <x v="1"/>
    <x v="3"/>
    <d v="1964-03-27T00:00:00"/>
    <n v="-22185"/>
    <x v="2278"/>
    <x v="0"/>
    <n v="-347"/>
    <n v="0.95003422313483921"/>
    <x v="1"/>
    <n v="1"/>
    <n v="1"/>
    <n v="0"/>
    <n v="0"/>
    <s v="Accountants"/>
    <x v="1"/>
  </r>
  <r>
    <n v="5114534"/>
    <x v="0"/>
    <s v="N"/>
    <s v="Y"/>
    <n v="0"/>
    <x v="3"/>
    <x v="3"/>
    <x v="2"/>
    <x v="1"/>
    <x v="0"/>
    <d v="1976-12-25T00:00:00"/>
    <n v="-17529"/>
    <x v="2279"/>
    <x v="1"/>
    <n v="-1716"/>
    <n v="4.6981519507186862"/>
    <x v="1"/>
    <n v="1"/>
    <n v="0"/>
    <n v="0"/>
    <n v="0"/>
    <m/>
    <x v="1"/>
  </r>
  <r>
    <n v="5114550"/>
    <x v="0"/>
    <s v="N"/>
    <s v="Y"/>
    <n v="1"/>
    <x v="1"/>
    <x v="1"/>
    <x v="1"/>
    <x v="4"/>
    <x v="4"/>
    <d v="1978-02-06T00:00:00"/>
    <n v="-17121"/>
    <x v="2280"/>
    <x v="1"/>
    <n v="-9751"/>
    <n v="26.696783025325121"/>
    <x v="1"/>
    <n v="1"/>
    <n v="0"/>
    <n v="0"/>
    <n v="0"/>
    <s v="Core staff"/>
    <x v="1"/>
  </r>
  <r>
    <n v="5114551"/>
    <x v="0"/>
    <s v="N"/>
    <s v="Y"/>
    <n v="1"/>
    <x v="1"/>
    <x v="1"/>
    <x v="1"/>
    <x v="4"/>
    <x v="4"/>
    <d v="1978-02-06T00:00:00"/>
    <n v="-17121"/>
    <x v="2280"/>
    <x v="1"/>
    <n v="-9751"/>
    <n v="26.696783025325121"/>
    <x v="1"/>
    <n v="1"/>
    <n v="0"/>
    <n v="0"/>
    <n v="0"/>
    <s v="Core staff"/>
    <x v="1"/>
  </r>
  <r>
    <n v="5114553"/>
    <x v="0"/>
    <s v="N"/>
    <s v="Y"/>
    <n v="1"/>
    <x v="1"/>
    <x v="1"/>
    <x v="1"/>
    <x v="4"/>
    <x v="4"/>
    <d v="1978-02-06T00:00:00"/>
    <n v="-17121"/>
    <x v="2280"/>
    <x v="1"/>
    <n v="-9751"/>
    <n v="26.696783025325121"/>
    <x v="1"/>
    <n v="1"/>
    <n v="0"/>
    <n v="0"/>
    <n v="0"/>
    <s v="Core staff"/>
    <x v="1"/>
  </r>
  <r>
    <n v="5114563"/>
    <x v="1"/>
    <s v="Y"/>
    <s v="Y"/>
    <n v="1"/>
    <x v="5"/>
    <x v="2"/>
    <x v="1"/>
    <x v="1"/>
    <x v="0"/>
    <d v="1983-04-03T00:00:00"/>
    <n v="-15239"/>
    <x v="2281"/>
    <x v="1"/>
    <n v="-2538"/>
    <n v="6.9486652977412735"/>
    <x v="1"/>
    <n v="1"/>
    <n v="0"/>
    <n v="1"/>
    <n v="0"/>
    <s v="Drivers"/>
    <x v="3"/>
  </r>
  <r>
    <n v="5114570"/>
    <x v="1"/>
    <s v="Y"/>
    <s v="Y"/>
    <n v="2"/>
    <x v="5"/>
    <x v="1"/>
    <x v="1"/>
    <x v="1"/>
    <x v="0"/>
    <d v="1995-11-11T00:00:00"/>
    <n v="-10634"/>
    <x v="2282"/>
    <x v="4"/>
    <n v="-102"/>
    <n v="0.27926078028747431"/>
    <x v="1"/>
    <n v="1"/>
    <n v="0"/>
    <n v="0"/>
    <n v="0"/>
    <s v="IT staff"/>
    <x v="2"/>
  </r>
  <r>
    <n v="5114594"/>
    <x v="1"/>
    <s v="N"/>
    <s v="Y"/>
    <n v="0"/>
    <x v="11"/>
    <x v="2"/>
    <x v="1"/>
    <x v="3"/>
    <x v="0"/>
    <d v="1995-03-04T00:00:00"/>
    <n v="-10886"/>
    <x v="2283"/>
    <x v="4"/>
    <n v="-742"/>
    <n v="2.0314852840520192"/>
    <x v="1"/>
    <n v="1"/>
    <n v="0"/>
    <n v="0"/>
    <n v="0"/>
    <s v="Drivers"/>
    <x v="1"/>
  </r>
  <r>
    <n v="5114605"/>
    <x v="1"/>
    <s v="Y"/>
    <s v="N"/>
    <n v="0"/>
    <x v="8"/>
    <x v="2"/>
    <x v="1"/>
    <x v="2"/>
    <x v="0"/>
    <d v="1988-09-16T00:00:00"/>
    <n v="-13246"/>
    <x v="1606"/>
    <x v="3"/>
    <n v="-2659"/>
    <n v="7.2799452429842573"/>
    <x v="1"/>
    <n v="1"/>
    <n v="0"/>
    <n v="0"/>
    <n v="1"/>
    <m/>
    <x v="0"/>
  </r>
  <r>
    <n v="5114613"/>
    <x v="0"/>
    <s v="N"/>
    <s v="Y"/>
    <n v="0"/>
    <x v="3"/>
    <x v="0"/>
    <x v="1"/>
    <x v="4"/>
    <x v="0"/>
    <d v="1971-04-22T00:00:00"/>
    <n v="-19603"/>
    <x v="2284"/>
    <x v="2"/>
    <n v="365243"/>
    <n v="0"/>
    <x v="0"/>
    <n v="1"/>
    <n v="0"/>
    <n v="1"/>
    <n v="1"/>
    <m/>
    <x v="0"/>
  </r>
  <r>
    <n v="5114626"/>
    <x v="1"/>
    <s v="N"/>
    <s v="Y"/>
    <n v="0"/>
    <x v="141"/>
    <x v="2"/>
    <x v="1"/>
    <x v="1"/>
    <x v="0"/>
    <d v="1967-12-06T00:00:00"/>
    <n v="-20836"/>
    <x v="2285"/>
    <x v="2"/>
    <n v="-1838"/>
    <n v="5.032169746748802"/>
    <x v="1"/>
    <n v="1"/>
    <n v="0"/>
    <n v="0"/>
    <n v="0"/>
    <s v="Managers"/>
    <x v="1"/>
  </r>
  <r>
    <n v="5114627"/>
    <x v="1"/>
    <s v="N"/>
    <s v="Y"/>
    <n v="0"/>
    <x v="141"/>
    <x v="2"/>
    <x v="1"/>
    <x v="1"/>
    <x v="0"/>
    <d v="1967-12-06T00:00:00"/>
    <n v="-20836"/>
    <x v="2285"/>
    <x v="2"/>
    <n v="-1838"/>
    <n v="5.032169746748802"/>
    <x v="1"/>
    <n v="1"/>
    <n v="0"/>
    <n v="0"/>
    <n v="0"/>
    <s v="Managers"/>
    <x v="1"/>
  </r>
  <r>
    <n v="5114634"/>
    <x v="0"/>
    <s v="N"/>
    <s v="Y"/>
    <n v="0"/>
    <x v="51"/>
    <x v="2"/>
    <x v="1"/>
    <x v="1"/>
    <x v="0"/>
    <d v="1970-12-08T00:00:00"/>
    <n v="-19738"/>
    <x v="2286"/>
    <x v="2"/>
    <n v="-286"/>
    <n v="0.78302532511978096"/>
    <x v="1"/>
    <n v="1"/>
    <n v="1"/>
    <n v="0"/>
    <n v="0"/>
    <s v="Sales staff"/>
    <x v="1"/>
  </r>
  <r>
    <n v="5114636"/>
    <x v="1"/>
    <s v="N"/>
    <s v="Y"/>
    <n v="1"/>
    <x v="62"/>
    <x v="2"/>
    <x v="1"/>
    <x v="1"/>
    <x v="1"/>
    <d v="1995-02-01T00:00:00"/>
    <n v="-10917"/>
    <x v="2287"/>
    <x v="4"/>
    <n v="-377"/>
    <n v="1.0321697467488022"/>
    <x v="1"/>
    <n v="1"/>
    <n v="0"/>
    <n v="0"/>
    <n v="0"/>
    <s v="Sales staff"/>
    <x v="3"/>
  </r>
  <r>
    <n v="5114640"/>
    <x v="1"/>
    <s v="N"/>
    <s v="Y"/>
    <n v="2"/>
    <x v="1"/>
    <x v="2"/>
    <x v="1"/>
    <x v="1"/>
    <x v="0"/>
    <d v="1994-10-31T00:00:00"/>
    <n v="-11010"/>
    <x v="2288"/>
    <x v="3"/>
    <n v="-1838"/>
    <n v="5.032169746748802"/>
    <x v="1"/>
    <n v="1"/>
    <n v="0"/>
    <n v="0"/>
    <n v="0"/>
    <s v="Core staff"/>
    <x v="2"/>
  </r>
  <r>
    <n v="5114641"/>
    <x v="1"/>
    <s v="N"/>
    <s v="Y"/>
    <n v="2"/>
    <x v="1"/>
    <x v="2"/>
    <x v="1"/>
    <x v="1"/>
    <x v="0"/>
    <d v="1994-10-31T00:00:00"/>
    <n v="-11010"/>
    <x v="2288"/>
    <x v="3"/>
    <n v="-1838"/>
    <n v="5.032169746748802"/>
    <x v="1"/>
    <n v="1"/>
    <n v="0"/>
    <n v="0"/>
    <n v="0"/>
    <s v="Core staff"/>
    <x v="2"/>
  </r>
  <r>
    <n v="5114648"/>
    <x v="1"/>
    <s v="N"/>
    <s v="N"/>
    <n v="0"/>
    <x v="39"/>
    <x v="1"/>
    <x v="1"/>
    <x v="1"/>
    <x v="1"/>
    <d v="1972-12-22T00:00:00"/>
    <n v="-18993"/>
    <x v="2289"/>
    <x v="2"/>
    <n v="-1747"/>
    <n v="4.7830253251197812"/>
    <x v="1"/>
    <n v="1"/>
    <n v="0"/>
    <n v="0"/>
    <n v="1"/>
    <s v="Security staff"/>
    <x v="1"/>
  </r>
  <r>
    <n v="5115396"/>
    <x v="1"/>
    <s v="N"/>
    <s v="Y"/>
    <n v="2"/>
    <x v="16"/>
    <x v="2"/>
    <x v="1"/>
    <x v="1"/>
    <x v="0"/>
    <d v="1978-06-02T00:00:00"/>
    <n v="-17005"/>
    <x v="2290"/>
    <x v="1"/>
    <n v="-3267"/>
    <n v="8.944558521560575"/>
    <x v="1"/>
    <n v="1"/>
    <n v="0"/>
    <n v="0"/>
    <n v="0"/>
    <s v="Laborers"/>
    <x v="2"/>
  </r>
  <r>
    <n v="5115462"/>
    <x v="1"/>
    <s v="N"/>
    <s v="N"/>
    <n v="0"/>
    <x v="5"/>
    <x v="1"/>
    <x v="0"/>
    <x v="3"/>
    <x v="0"/>
    <d v="1999-05-07T00:00:00"/>
    <n v="-9361"/>
    <x v="2291"/>
    <x v="4"/>
    <n v="-164"/>
    <n v="0.44900752908966463"/>
    <x v="1"/>
    <n v="1"/>
    <n v="1"/>
    <n v="0"/>
    <n v="0"/>
    <s v="Waiters/barmen staff"/>
    <x v="1"/>
  </r>
  <r>
    <n v="5115465"/>
    <x v="0"/>
    <s v="N"/>
    <s v="Y"/>
    <n v="0"/>
    <x v="2"/>
    <x v="0"/>
    <x v="1"/>
    <x v="1"/>
    <x v="0"/>
    <d v="1967-06-17T00:00:00"/>
    <n v="-21008"/>
    <x v="2292"/>
    <x v="2"/>
    <n v="365243"/>
    <n v="0"/>
    <x v="0"/>
    <n v="1"/>
    <n v="0"/>
    <n v="0"/>
    <n v="0"/>
    <m/>
    <x v="1"/>
  </r>
  <r>
    <n v="5115472"/>
    <x v="0"/>
    <s v="N"/>
    <s v="Y"/>
    <n v="0"/>
    <x v="2"/>
    <x v="0"/>
    <x v="1"/>
    <x v="1"/>
    <x v="0"/>
    <d v="1967-06-17T00:00:00"/>
    <n v="-21008"/>
    <x v="2292"/>
    <x v="2"/>
    <n v="365243"/>
    <n v="0"/>
    <x v="0"/>
    <n v="1"/>
    <n v="0"/>
    <n v="0"/>
    <n v="0"/>
    <m/>
    <x v="1"/>
  </r>
  <r>
    <n v="5115474"/>
    <x v="0"/>
    <s v="N"/>
    <s v="Y"/>
    <n v="0"/>
    <x v="2"/>
    <x v="0"/>
    <x v="1"/>
    <x v="1"/>
    <x v="0"/>
    <d v="1967-06-17T00:00:00"/>
    <n v="-21008"/>
    <x v="2292"/>
    <x v="2"/>
    <n v="365243"/>
    <n v="0"/>
    <x v="0"/>
    <n v="1"/>
    <n v="0"/>
    <n v="0"/>
    <n v="0"/>
    <m/>
    <x v="1"/>
  </r>
  <r>
    <n v="5115492"/>
    <x v="1"/>
    <s v="Y"/>
    <s v="Y"/>
    <n v="2"/>
    <x v="8"/>
    <x v="1"/>
    <x v="1"/>
    <x v="1"/>
    <x v="0"/>
    <d v="1980-12-09T00:00:00"/>
    <n v="-16084"/>
    <x v="2293"/>
    <x v="1"/>
    <n v="-1382"/>
    <n v="3.783709787816564"/>
    <x v="1"/>
    <n v="1"/>
    <n v="0"/>
    <n v="0"/>
    <n v="0"/>
    <s v="Laborers"/>
    <x v="2"/>
  </r>
  <r>
    <n v="5115497"/>
    <x v="1"/>
    <s v="Y"/>
    <s v="Y"/>
    <n v="2"/>
    <x v="8"/>
    <x v="1"/>
    <x v="1"/>
    <x v="1"/>
    <x v="0"/>
    <d v="1980-12-09T00:00:00"/>
    <n v="-16084"/>
    <x v="2293"/>
    <x v="1"/>
    <n v="-1382"/>
    <n v="3.783709787816564"/>
    <x v="1"/>
    <n v="1"/>
    <n v="0"/>
    <n v="0"/>
    <n v="0"/>
    <s v="Laborers"/>
    <x v="2"/>
  </r>
  <r>
    <n v="5115498"/>
    <x v="1"/>
    <s v="Y"/>
    <s v="Y"/>
    <n v="2"/>
    <x v="8"/>
    <x v="1"/>
    <x v="1"/>
    <x v="1"/>
    <x v="0"/>
    <d v="1980-12-09T00:00:00"/>
    <n v="-16084"/>
    <x v="2293"/>
    <x v="1"/>
    <n v="-1382"/>
    <n v="3.783709787816564"/>
    <x v="1"/>
    <n v="1"/>
    <n v="0"/>
    <n v="0"/>
    <n v="0"/>
    <s v="Laborers"/>
    <x v="2"/>
  </r>
  <r>
    <n v="5115503"/>
    <x v="1"/>
    <s v="Y"/>
    <s v="Y"/>
    <n v="2"/>
    <x v="8"/>
    <x v="1"/>
    <x v="1"/>
    <x v="1"/>
    <x v="0"/>
    <d v="1980-12-09T00:00:00"/>
    <n v="-16084"/>
    <x v="2293"/>
    <x v="1"/>
    <n v="-1382"/>
    <n v="3.783709787816564"/>
    <x v="1"/>
    <n v="1"/>
    <n v="0"/>
    <n v="0"/>
    <n v="0"/>
    <s v="Laborers"/>
    <x v="2"/>
  </r>
  <r>
    <n v="5115523"/>
    <x v="0"/>
    <s v="N"/>
    <s v="Y"/>
    <n v="3"/>
    <x v="2"/>
    <x v="2"/>
    <x v="1"/>
    <x v="1"/>
    <x v="0"/>
    <d v="1989-04-30T00:00:00"/>
    <n v="-13020"/>
    <x v="2294"/>
    <x v="3"/>
    <n v="-3693"/>
    <n v="10.11088295687885"/>
    <x v="1"/>
    <n v="1"/>
    <n v="0"/>
    <n v="0"/>
    <n v="0"/>
    <s v="Core staff"/>
    <x v="4"/>
  </r>
  <r>
    <n v="5115538"/>
    <x v="0"/>
    <s v="N"/>
    <s v="Y"/>
    <n v="0"/>
    <x v="8"/>
    <x v="2"/>
    <x v="1"/>
    <x v="1"/>
    <x v="5"/>
    <d v="1972-10-12T00:00:00"/>
    <n v="-19064"/>
    <x v="2295"/>
    <x v="2"/>
    <n v="-3907"/>
    <n v="10.69678302532512"/>
    <x v="1"/>
    <n v="1"/>
    <n v="1"/>
    <n v="1"/>
    <n v="0"/>
    <m/>
    <x v="1"/>
  </r>
  <r>
    <n v="5115545"/>
    <x v="0"/>
    <s v="N"/>
    <s v="Y"/>
    <n v="1"/>
    <x v="1"/>
    <x v="2"/>
    <x v="1"/>
    <x v="1"/>
    <x v="0"/>
    <d v="1984-01-19T00:00:00"/>
    <n v="-14948"/>
    <x v="1011"/>
    <x v="1"/>
    <n v="-4881"/>
    <n v="13.363449691991786"/>
    <x v="1"/>
    <n v="1"/>
    <n v="0"/>
    <n v="0"/>
    <n v="0"/>
    <s v="Laborers"/>
    <x v="3"/>
  </r>
  <r>
    <n v="5115558"/>
    <x v="0"/>
    <s v="Y"/>
    <s v="Y"/>
    <n v="0"/>
    <x v="1"/>
    <x v="1"/>
    <x v="0"/>
    <x v="1"/>
    <x v="0"/>
    <d v="1984-06-05T00:00:00"/>
    <n v="-14810"/>
    <x v="2296"/>
    <x v="1"/>
    <n v="-1655"/>
    <n v="4.5311430527036274"/>
    <x v="1"/>
    <n v="1"/>
    <n v="0"/>
    <n v="0"/>
    <n v="0"/>
    <s v="Laborers"/>
    <x v="1"/>
  </r>
  <r>
    <n v="5115561"/>
    <x v="0"/>
    <s v="N"/>
    <s v="N"/>
    <n v="0"/>
    <x v="43"/>
    <x v="1"/>
    <x v="1"/>
    <x v="3"/>
    <x v="4"/>
    <d v="1987-05-16T00:00:00"/>
    <n v="-13735"/>
    <x v="2297"/>
    <x v="3"/>
    <n v="-679"/>
    <n v="1.8590006844626967"/>
    <x v="1"/>
    <n v="1"/>
    <n v="1"/>
    <n v="0"/>
    <n v="0"/>
    <s v="Laborers"/>
    <x v="1"/>
  </r>
  <r>
    <n v="5115579"/>
    <x v="0"/>
    <s v="N"/>
    <s v="Y"/>
    <n v="2"/>
    <x v="2"/>
    <x v="2"/>
    <x v="1"/>
    <x v="1"/>
    <x v="0"/>
    <d v="1992-06-18T00:00:00"/>
    <n v="-11875"/>
    <x v="2298"/>
    <x v="3"/>
    <n v="-2568"/>
    <n v="7.0308008213552364"/>
    <x v="1"/>
    <n v="1"/>
    <n v="1"/>
    <n v="0"/>
    <n v="0"/>
    <s v="Laborers"/>
    <x v="2"/>
  </r>
  <r>
    <n v="5115595"/>
    <x v="0"/>
    <s v="N"/>
    <s v="Y"/>
    <n v="0"/>
    <x v="6"/>
    <x v="2"/>
    <x v="0"/>
    <x v="2"/>
    <x v="0"/>
    <d v="1980-01-01T00:00:00"/>
    <n v="-16427"/>
    <x v="2299"/>
    <x v="1"/>
    <n v="-7104"/>
    <n v="19.449691991786448"/>
    <x v="1"/>
    <n v="1"/>
    <n v="0"/>
    <n v="0"/>
    <n v="0"/>
    <s v="High skill tech staff"/>
    <x v="0"/>
  </r>
  <r>
    <n v="5115601"/>
    <x v="0"/>
    <s v="N"/>
    <s v="Y"/>
    <n v="1"/>
    <x v="37"/>
    <x v="1"/>
    <x v="0"/>
    <x v="1"/>
    <x v="0"/>
    <d v="2001-08-25T00:00:00"/>
    <n v="-8520"/>
    <x v="2300"/>
    <x v="4"/>
    <n v="-133"/>
    <n v="0.36413415468856947"/>
    <x v="1"/>
    <n v="1"/>
    <n v="0"/>
    <n v="0"/>
    <n v="0"/>
    <m/>
    <x v="3"/>
  </r>
  <r>
    <n v="5115605"/>
    <x v="0"/>
    <s v="N"/>
    <s v="Y"/>
    <n v="0"/>
    <x v="11"/>
    <x v="2"/>
    <x v="1"/>
    <x v="1"/>
    <x v="0"/>
    <d v="1985-03-19T00:00:00"/>
    <n v="-14523"/>
    <x v="2301"/>
    <x v="3"/>
    <n v="-3420"/>
    <n v="9.3634496919917858"/>
    <x v="1"/>
    <n v="1"/>
    <n v="0"/>
    <n v="0"/>
    <n v="0"/>
    <s v="Core staff"/>
    <x v="1"/>
  </r>
  <r>
    <n v="5115610"/>
    <x v="0"/>
    <s v="N"/>
    <s v="Y"/>
    <n v="0"/>
    <x v="11"/>
    <x v="2"/>
    <x v="1"/>
    <x v="1"/>
    <x v="0"/>
    <d v="1985-03-19T00:00:00"/>
    <n v="-14523"/>
    <x v="2301"/>
    <x v="3"/>
    <n v="-3420"/>
    <n v="9.3634496919917858"/>
    <x v="1"/>
    <n v="1"/>
    <n v="0"/>
    <n v="0"/>
    <n v="0"/>
    <s v="Core staff"/>
    <x v="1"/>
  </r>
  <r>
    <n v="5115615"/>
    <x v="0"/>
    <s v="N"/>
    <s v="Y"/>
    <n v="0"/>
    <x v="37"/>
    <x v="0"/>
    <x v="1"/>
    <x v="4"/>
    <x v="0"/>
    <d v="1968-01-13T00:00:00"/>
    <n v="-20798"/>
    <x v="2302"/>
    <x v="2"/>
    <n v="365243"/>
    <n v="0"/>
    <x v="0"/>
    <n v="1"/>
    <n v="0"/>
    <n v="1"/>
    <n v="0"/>
    <m/>
    <x v="0"/>
  </r>
  <r>
    <n v="5115625"/>
    <x v="1"/>
    <s v="Y"/>
    <s v="Y"/>
    <n v="1"/>
    <x v="16"/>
    <x v="1"/>
    <x v="0"/>
    <x v="1"/>
    <x v="0"/>
    <d v="1997-09-14T00:00:00"/>
    <n v="-9961"/>
    <x v="2303"/>
    <x v="4"/>
    <n v="-1775"/>
    <n v="4.85968514715948"/>
    <x v="1"/>
    <n v="1"/>
    <n v="0"/>
    <n v="0"/>
    <n v="0"/>
    <m/>
    <x v="3"/>
  </r>
  <r>
    <n v="5115640"/>
    <x v="1"/>
    <s v="Y"/>
    <s v="Y"/>
    <n v="0"/>
    <x v="15"/>
    <x v="2"/>
    <x v="0"/>
    <x v="0"/>
    <x v="0"/>
    <d v="1984-06-09T00:00:00"/>
    <n v="-14806"/>
    <x v="2304"/>
    <x v="1"/>
    <n v="-710"/>
    <n v="1.9438740588637919"/>
    <x v="1"/>
    <n v="1"/>
    <n v="1"/>
    <n v="1"/>
    <n v="0"/>
    <s v="Managers"/>
    <x v="0"/>
  </r>
  <r>
    <n v="5115665"/>
    <x v="1"/>
    <s v="Y"/>
    <s v="Y"/>
    <n v="0"/>
    <x v="19"/>
    <x v="0"/>
    <x v="1"/>
    <x v="1"/>
    <x v="0"/>
    <d v="1964-05-22T00:00:00"/>
    <n v="-22129"/>
    <x v="302"/>
    <x v="0"/>
    <n v="365243"/>
    <n v="0"/>
    <x v="0"/>
    <n v="1"/>
    <n v="0"/>
    <n v="1"/>
    <n v="0"/>
    <m/>
    <x v="1"/>
  </r>
  <r>
    <n v="5115666"/>
    <x v="0"/>
    <s v="N"/>
    <s v="Y"/>
    <n v="0"/>
    <x v="30"/>
    <x v="1"/>
    <x v="1"/>
    <x v="1"/>
    <x v="0"/>
    <d v="1969-04-23T00:00:00"/>
    <n v="-20332"/>
    <x v="2305"/>
    <x v="2"/>
    <n v="-1107"/>
    <n v="3.030800821355236"/>
    <x v="1"/>
    <n v="1"/>
    <n v="0"/>
    <n v="0"/>
    <n v="0"/>
    <s v="Sales staff"/>
    <x v="1"/>
  </r>
  <r>
    <n v="5115667"/>
    <x v="0"/>
    <s v="N"/>
    <s v="Y"/>
    <n v="0"/>
    <x v="30"/>
    <x v="1"/>
    <x v="1"/>
    <x v="1"/>
    <x v="0"/>
    <d v="1969-04-23T00:00:00"/>
    <n v="-20332"/>
    <x v="2305"/>
    <x v="2"/>
    <n v="-1107"/>
    <n v="3.030800821355236"/>
    <x v="1"/>
    <n v="1"/>
    <n v="0"/>
    <n v="0"/>
    <n v="0"/>
    <s v="Sales staff"/>
    <x v="1"/>
  </r>
  <r>
    <n v="5115668"/>
    <x v="1"/>
    <s v="Y"/>
    <s v="Y"/>
    <n v="1"/>
    <x v="50"/>
    <x v="2"/>
    <x v="0"/>
    <x v="1"/>
    <x v="0"/>
    <d v="1988-07-07T00:00:00"/>
    <n v="-13317"/>
    <x v="2306"/>
    <x v="3"/>
    <n v="-3663"/>
    <n v="10.028747433264886"/>
    <x v="1"/>
    <n v="1"/>
    <n v="0"/>
    <n v="0"/>
    <n v="0"/>
    <s v="High skill tech staff"/>
    <x v="3"/>
  </r>
  <r>
    <n v="5115669"/>
    <x v="1"/>
    <s v="Y"/>
    <s v="Y"/>
    <n v="1"/>
    <x v="50"/>
    <x v="2"/>
    <x v="0"/>
    <x v="1"/>
    <x v="0"/>
    <d v="1988-07-07T00:00:00"/>
    <n v="-13317"/>
    <x v="2306"/>
    <x v="3"/>
    <n v="-3663"/>
    <n v="10.028747433264886"/>
    <x v="1"/>
    <n v="1"/>
    <n v="0"/>
    <n v="0"/>
    <n v="0"/>
    <s v="High skill tech staff"/>
    <x v="3"/>
  </r>
  <r>
    <n v="5115692"/>
    <x v="0"/>
    <s v="Y"/>
    <s v="Y"/>
    <n v="0"/>
    <x v="16"/>
    <x v="2"/>
    <x v="0"/>
    <x v="1"/>
    <x v="0"/>
    <d v="1982-05-23T00:00:00"/>
    <n v="-15554"/>
    <x v="2307"/>
    <x v="1"/>
    <n v="-2416"/>
    <n v="6.6146475017111568"/>
    <x v="1"/>
    <n v="1"/>
    <n v="0"/>
    <n v="1"/>
    <n v="0"/>
    <s v="Drivers"/>
    <x v="1"/>
  </r>
  <r>
    <n v="5115695"/>
    <x v="1"/>
    <s v="Y"/>
    <s v="Y"/>
    <n v="0"/>
    <x v="29"/>
    <x v="2"/>
    <x v="1"/>
    <x v="1"/>
    <x v="0"/>
    <d v="1975-03-18T00:00:00"/>
    <n v="-18177"/>
    <x v="2308"/>
    <x v="1"/>
    <n v="-2263"/>
    <n v="6.1957563312799451"/>
    <x v="1"/>
    <n v="1"/>
    <n v="1"/>
    <n v="1"/>
    <n v="0"/>
    <s v="Laborers"/>
    <x v="1"/>
  </r>
  <r>
    <n v="5115696"/>
    <x v="1"/>
    <s v="Y"/>
    <s v="Y"/>
    <n v="0"/>
    <x v="29"/>
    <x v="2"/>
    <x v="1"/>
    <x v="1"/>
    <x v="0"/>
    <d v="1975-03-18T00:00:00"/>
    <n v="-18177"/>
    <x v="2308"/>
    <x v="1"/>
    <n v="-2263"/>
    <n v="6.1957563312799451"/>
    <x v="1"/>
    <n v="1"/>
    <n v="1"/>
    <n v="1"/>
    <n v="0"/>
    <s v="Laborers"/>
    <x v="1"/>
  </r>
  <r>
    <n v="5115697"/>
    <x v="1"/>
    <s v="Y"/>
    <s v="Y"/>
    <n v="0"/>
    <x v="29"/>
    <x v="2"/>
    <x v="1"/>
    <x v="1"/>
    <x v="0"/>
    <d v="1975-03-18T00:00:00"/>
    <n v="-18177"/>
    <x v="2308"/>
    <x v="1"/>
    <n v="-2263"/>
    <n v="6.1957563312799451"/>
    <x v="1"/>
    <n v="1"/>
    <n v="1"/>
    <n v="1"/>
    <n v="0"/>
    <s v="Laborers"/>
    <x v="1"/>
  </r>
  <r>
    <n v="5115698"/>
    <x v="1"/>
    <s v="Y"/>
    <s v="Y"/>
    <n v="0"/>
    <x v="29"/>
    <x v="2"/>
    <x v="1"/>
    <x v="1"/>
    <x v="0"/>
    <d v="1975-03-18T00:00:00"/>
    <n v="-18177"/>
    <x v="2308"/>
    <x v="1"/>
    <n v="-2263"/>
    <n v="6.1957563312799451"/>
    <x v="1"/>
    <n v="1"/>
    <n v="1"/>
    <n v="1"/>
    <n v="0"/>
    <s v="Laborers"/>
    <x v="1"/>
  </r>
  <r>
    <n v="5115708"/>
    <x v="1"/>
    <s v="N"/>
    <s v="Y"/>
    <n v="1"/>
    <x v="11"/>
    <x v="3"/>
    <x v="0"/>
    <x v="1"/>
    <x v="0"/>
    <d v="1995-07-12T00:00:00"/>
    <n v="-10756"/>
    <x v="2309"/>
    <x v="4"/>
    <n v="-2355"/>
    <n v="6.4476386036960989"/>
    <x v="1"/>
    <n v="1"/>
    <n v="0"/>
    <n v="0"/>
    <n v="0"/>
    <s v="Core staff"/>
    <x v="3"/>
  </r>
  <r>
    <n v="5115709"/>
    <x v="1"/>
    <s v="N"/>
    <s v="Y"/>
    <n v="1"/>
    <x v="11"/>
    <x v="3"/>
    <x v="0"/>
    <x v="1"/>
    <x v="0"/>
    <d v="1995-07-12T00:00:00"/>
    <n v="-10756"/>
    <x v="2309"/>
    <x v="4"/>
    <n v="-2355"/>
    <n v="6.4476386036960989"/>
    <x v="1"/>
    <n v="1"/>
    <n v="0"/>
    <n v="0"/>
    <n v="0"/>
    <s v="Core staff"/>
    <x v="3"/>
  </r>
  <r>
    <n v="5115710"/>
    <x v="1"/>
    <s v="N"/>
    <s v="Y"/>
    <n v="1"/>
    <x v="11"/>
    <x v="3"/>
    <x v="0"/>
    <x v="1"/>
    <x v="0"/>
    <d v="1995-07-12T00:00:00"/>
    <n v="-10756"/>
    <x v="2309"/>
    <x v="4"/>
    <n v="-2355"/>
    <n v="6.4476386036960989"/>
    <x v="1"/>
    <n v="1"/>
    <n v="0"/>
    <n v="0"/>
    <n v="0"/>
    <s v="Core staff"/>
    <x v="3"/>
  </r>
  <r>
    <n v="5115730"/>
    <x v="0"/>
    <s v="N"/>
    <s v="Y"/>
    <n v="0"/>
    <x v="43"/>
    <x v="0"/>
    <x v="1"/>
    <x v="1"/>
    <x v="0"/>
    <d v="1958-06-10T00:00:00"/>
    <n v="-24302"/>
    <x v="2310"/>
    <x v="0"/>
    <n v="365243"/>
    <n v="0"/>
    <x v="0"/>
    <n v="1"/>
    <n v="0"/>
    <n v="0"/>
    <n v="0"/>
    <m/>
    <x v="1"/>
  </r>
  <r>
    <n v="5115734"/>
    <x v="0"/>
    <s v="N"/>
    <s v="Y"/>
    <n v="0"/>
    <x v="30"/>
    <x v="2"/>
    <x v="1"/>
    <x v="0"/>
    <x v="0"/>
    <d v="1970-04-17T00:00:00"/>
    <n v="-19973"/>
    <x v="2311"/>
    <x v="2"/>
    <n v="-12917"/>
    <n v="35.364818617385353"/>
    <x v="1"/>
    <n v="1"/>
    <n v="0"/>
    <n v="0"/>
    <n v="0"/>
    <s v="Accountants"/>
    <x v="0"/>
  </r>
  <r>
    <n v="5115735"/>
    <x v="0"/>
    <s v="N"/>
    <s v="Y"/>
    <n v="0"/>
    <x v="30"/>
    <x v="2"/>
    <x v="1"/>
    <x v="0"/>
    <x v="0"/>
    <d v="1970-04-17T00:00:00"/>
    <n v="-19973"/>
    <x v="2311"/>
    <x v="2"/>
    <n v="-12917"/>
    <n v="35.364818617385353"/>
    <x v="1"/>
    <n v="1"/>
    <n v="0"/>
    <n v="0"/>
    <n v="0"/>
    <s v="Accountants"/>
    <x v="0"/>
  </r>
  <r>
    <n v="5115740"/>
    <x v="0"/>
    <s v="Y"/>
    <s v="Y"/>
    <n v="2"/>
    <x v="0"/>
    <x v="3"/>
    <x v="0"/>
    <x v="1"/>
    <x v="0"/>
    <d v="1989-08-26T00:00:00"/>
    <n v="-12902"/>
    <x v="2312"/>
    <x v="3"/>
    <n v="-4120"/>
    <n v="11.279945242984258"/>
    <x v="1"/>
    <n v="1"/>
    <n v="0"/>
    <n v="0"/>
    <n v="0"/>
    <s v="Core staff"/>
    <x v="2"/>
  </r>
  <r>
    <n v="5115744"/>
    <x v="0"/>
    <s v="Y"/>
    <s v="Y"/>
    <n v="2"/>
    <x v="0"/>
    <x v="3"/>
    <x v="0"/>
    <x v="1"/>
    <x v="0"/>
    <d v="1989-08-26T00:00:00"/>
    <n v="-12902"/>
    <x v="2312"/>
    <x v="3"/>
    <n v="-4120"/>
    <n v="11.279945242984258"/>
    <x v="1"/>
    <n v="1"/>
    <n v="0"/>
    <n v="0"/>
    <n v="0"/>
    <s v="Core staff"/>
    <x v="2"/>
  </r>
  <r>
    <n v="5115761"/>
    <x v="1"/>
    <s v="Y"/>
    <s v="Y"/>
    <n v="0"/>
    <x v="18"/>
    <x v="1"/>
    <x v="1"/>
    <x v="1"/>
    <x v="0"/>
    <d v="1985-07-19T00:00:00"/>
    <n v="-14401"/>
    <x v="2313"/>
    <x v="3"/>
    <n v="-3389"/>
    <n v="9.2785763175906908"/>
    <x v="1"/>
    <n v="1"/>
    <n v="0"/>
    <n v="0"/>
    <n v="1"/>
    <s v="Laborers"/>
    <x v="1"/>
  </r>
  <r>
    <n v="5115796"/>
    <x v="0"/>
    <s v="N"/>
    <s v="Y"/>
    <n v="1"/>
    <x v="1"/>
    <x v="1"/>
    <x v="1"/>
    <x v="2"/>
    <x v="0"/>
    <d v="1985-01-23T00:00:00"/>
    <n v="-14578"/>
    <x v="2314"/>
    <x v="3"/>
    <n v="-7346"/>
    <n v="20.112251882272417"/>
    <x v="1"/>
    <n v="1"/>
    <n v="0"/>
    <n v="0"/>
    <n v="0"/>
    <s v="Laborers"/>
    <x v="1"/>
  </r>
  <r>
    <n v="5115797"/>
    <x v="0"/>
    <s v="N"/>
    <s v="Y"/>
    <n v="1"/>
    <x v="1"/>
    <x v="1"/>
    <x v="1"/>
    <x v="2"/>
    <x v="0"/>
    <d v="1985-01-23T00:00:00"/>
    <n v="-14578"/>
    <x v="2314"/>
    <x v="3"/>
    <n v="-7346"/>
    <n v="20.112251882272417"/>
    <x v="1"/>
    <n v="1"/>
    <n v="0"/>
    <n v="0"/>
    <n v="0"/>
    <s v="Laborers"/>
    <x v="1"/>
  </r>
  <r>
    <n v="5115805"/>
    <x v="0"/>
    <s v="N"/>
    <s v="Y"/>
    <n v="0"/>
    <x v="11"/>
    <x v="2"/>
    <x v="1"/>
    <x v="2"/>
    <x v="0"/>
    <d v="1995-07-16T00:00:00"/>
    <n v="-10752"/>
    <x v="2315"/>
    <x v="4"/>
    <n v="-590"/>
    <n v="1.6153319644079398"/>
    <x v="1"/>
    <n v="1"/>
    <n v="1"/>
    <n v="0"/>
    <n v="0"/>
    <m/>
    <x v="0"/>
  </r>
  <r>
    <n v="5115806"/>
    <x v="0"/>
    <s v="N"/>
    <s v="Y"/>
    <n v="0"/>
    <x v="11"/>
    <x v="2"/>
    <x v="1"/>
    <x v="2"/>
    <x v="0"/>
    <d v="1995-07-16T00:00:00"/>
    <n v="-10752"/>
    <x v="2315"/>
    <x v="4"/>
    <n v="-590"/>
    <n v="1.6153319644079398"/>
    <x v="1"/>
    <n v="1"/>
    <n v="1"/>
    <n v="0"/>
    <n v="0"/>
    <m/>
    <x v="0"/>
  </r>
  <r>
    <n v="5115810"/>
    <x v="0"/>
    <s v="Y"/>
    <s v="Y"/>
    <n v="2"/>
    <x v="30"/>
    <x v="2"/>
    <x v="0"/>
    <x v="1"/>
    <x v="0"/>
    <d v="1993-03-21T00:00:00"/>
    <n v="-11599"/>
    <x v="2316"/>
    <x v="3"/>
    <n v="-1928"/>
    <n v="5.2785763175906917"/>
    <x v="1"/>
    <n v="1"/>
    <n v="1"/>
    <n v="1"/>
    <n v="0"/>
    <s v="Accountants"/>
    <x v="2"/>
  </r>
  <r>
    <n v="5115814"/>
    <x v="1"/>
    <s v="N"/>
    <s v="Y"/>
    <n v="3"/>
    <x v="16"/>
    <x v="2"/>
    <x v="1"/>
    <x v="1"/>
    <x v="0"/>
    <d v="1985-09-22T00:00:00"/>
    <n v="-14336"/>
    <x v="2317"/>
    <x v="3"/>
    <n v="-6860"/>
    <n v="18.781656399726216"/>
    <x v="1"/>
    <n v="1"/>
    <n v="0"/>
    <n v="0"/>
    <n v="0"/>
    <s v="Laborers"/>
    <x v="4"/>
  </r>
  <r>
    <n v="5115821"/>
    <x v="0"/>
    <s v="Y"/>
    <s v="Y"/>
    <n v="2"/>
    <x v="60"/>
    <x v="1"/>
    <x v="1"/>
    <x v="1"/>
    <x v="0"/>
    <d v="1991-07-03T00:00:00"/>
    <n v="-12226"/>
    <x v="2318"/>
    <x v="3"/>
    <n v="-1382"/>
    <n v="3.783709787816564"/>
    <x v="1"/>
    <n v="1"/>
    <n v="1"/>
    <n v="1"/>
    <n v="0"/>
    <s v="Sales staff"/>
    <x v="2"/>
  </r>
  <r>
    <n v="5115828"/>
    <x v="1"/>
    <s v="Y"/>
    <s v="Y"/>
    <n v="0"/>
    <x v="12"/>
    <x v="1"/>
    <x v="0"/>
    <x v="1"/>
    <x v="0"/>
    <d v="1989-10-21T00:00:00"/>
    <n v="-12846"/>
    <x v="2319"/>
    <x v="3"/>
    <n v="-164"/>
    <n v="0.44900752908966463"/>
    <x v="1"/>
    <n v="1"/>
    <n v="0"/>
    <n v="0"/>
    <n v="0"/>
    <s v="Managers"/>
    <x v="1"/>
  </r>
  <r>
    <n v="5115829"/>
    <x v="1"/>
    <s v="Y"/>
    <s v="Y"/>
    <n v="0"/>
    <x v="12"/>
    <x v="1"/>
    <x v="0"/>
    <x v="1"/>
    <x v="0"/>
    <d v="1989-10-21T00:00:00"/>
    <n v="-12846"/>
    <x v="2319"/>
    <x v="3"/>
    <n v="-164"/>
    <n v="0.44900752908966463"/>
    <x v="1"/>
    <n v="1"/>
    <n v="0"/>
    <n v="0"/>
    <n v="0"/>
    <s v="Managers"/>
    <x v="1"/>
  </r>
  <r>
    <n v="5115830"/>
    <x v="1"/>
    <s v="Y"/>
    <s v="Y"/>
    <n v="0"/>
    <x v="12"/>
    <x v="1"/>
    <x v="0"/>
    <x v="1"/>
    <x v="0"/>
    <d v="1989-10-21T00:00:00"/>
    <n v="-12846"/>
    <x v="2319"/>
    <x v="3"/>
    <n v="-164"/>
    <n v="0.44900752908966463"/>
    <x v="1"/>
    <n v="1"/>
    <n v="0"/>
    <n v="0"/>
    <n v="0"/>
    <s v="Managers"/>
    <x v="1"/>
  </r>
  <r>
    <n v="5115838"/>
    <x v="0"/>
    <s v="N"/>
    <s v="Y"/>
    <n v="0"/>
    <x v="43"/>
    <x v="1"/>
    <x v="0"/>
    <x v="1"/>
    <x v="0"/>
    <d v="1978-04-22T00:00:00"/>
    <n v="-17046"/>
    <x v="2320"/>
    <x v="1"/>
    <n v="-1410"/>
    <n v="3.8603696098562628"/>
    <x v="1"/>
    <n v="1"/>
    <n v="0"/>
    <n v="1"/>
    <n v="0"/>
    <s v="Accountants"/>
    <x v="1"/>
  </r>
  <r>
    <n v="5115848"/>
    <x v="0"/>
    <s v="N"/>
    <s v="Y"/>
    <n v="0"/>
    <x v="37"/>
    <x v="0"/>
    <x v="1"/>
    <x v="1"/>
    <x v="4"/>
    <d v="1965-03-28T00:00:00"/>
    <n v="-21819"/>
    <x v="2321"/>
    <x v="2"/>
    <n v="365243"/>
    <n v="0"/>
    <x v="0"/>
    <n v="1"/>
    <n v="0"/>
    <n v="0"/>
    <n v="0"/>
    <m/>
    <x v="1"/>
  </r>
  <r>
    <n v="5115850"/>
    <x v="0"/>
    <s v="N"/>
    <s v="Y"/>
    <n v="0"/>
    <x v="37"/>
    <x v="0"/>
    <x v="1"/>
    <x v="1"/>
    <x v="4"/>
    <d v="1965-03-28T00:00:00"/>
    <n v="-21819"/>
    <x v="2321"/>
    <x v="2"/>
    <n v="365243"/>
    <n v="0"/>
    <x v="0"/>
    <n v="1"/>
    <n v="0"/>
    <n v="0"/>
    <n v="0"/>
    <m/>
    <x v="1"/>
  </r>
  <r>
    <n v="5115886"/>
    <x v="0"/>
    <s v="N"/>
    <s v="Y"/>
    <n v="0"/>
    <x v="58"/>
    <x v="0"/>
    <x v="0"/>
    <x v="1"/>
    <x v="0"/>
    <d v="1957-11-17T00:00:00"/>
    <n v="-24507"/>
    <x v="2322"/>
    <x v="0"/>
    <n v="365243"/>
    <n v="0"/>
    <x v="0"/>
    <n v="1"/>
    <n v="0"/>
    <n v="0"/>
    <n v="0"/>
    <m/>
    <x v="1"/>
  </r>
  <r>
    <n v="5115887"/>
    <x v="0"/>
    <s v="N"/>
    <s v="Y"/>
    <n v="0"/>
    <x v="58"/>
    <x v="0"/>
    <x v="0"/>
    <x v="1"/>
    <x v="0"/>
    <d v="1957-11-17T00:00:00"/>
    <n v="-24507"/>
    <x v="2322"/>
    <x v="0"/>
    <n v="365243"/>
    <n v="0"/>
    <x v="0"/>
    <n v="1"/>
    <n v="0"/>
    <n v="0"/>
    <n v="0"/>
    <m/>
    <x v="1"/>
  </r>
  <r>
    <n v="5115888"/>
    <x v="1"/>
    <s v="Y"/>
    <s v="Y"/>
    <n v="0"/>
    <x v="2"/>
    <x v="1"/>
    <x v="1"/>
    <x v="2"/>
    <x v="0"/>
    <d v="2002-04-30T00:00:00"/>
    <n v="-8272"/>
    <x v="2323"/>
    <x v="4"/>
    <n v="-286"/>
    <n v="0.78302532511978096"/>
    <x v="1"/>
    <n v="1"/>
    <n v="0"/>
    <n v="1"/>
    <n v="0"/>
    <s v="Core staff"/>
    <x v="0"/>
  </r>
  <r>
    <n v="5115890"/>
    <x v="1"/>
    <s v="Y"/>
    <s v="Y"/>
    <n v="0"/>
    <x v="2"/>
    <x v="1"/>
    <x v="1"/>
    <x v="2"/>
    <x v="0"/>
    <d v="2002-04-30T00:00:00"/>
    <n v="-8272"/>
    <x v="2323"/>
    <x v="4"/>
    <n v="-286"/>
    <n v="0.78302532511978096"/>
    <x v="1"/>
    <n v="1"/>
    <n v="0"/>
    <n v="1"/>
    <n v="0"/>
    <s v="Core staff"/>
    <x v="0"/>
  </r>
  <r>
    <n v="5115908"/>
    <x v="0"/>
    <s v="N"/>
    <s v="Y"/>
    <n v="1"/>
    <x v="5"/>
    <x v="1"/>
    <x v="1"/>
    <x v="3"/>
    <x v="0"/>
    <d v="1984-11-20T00:00:00"/>
    <n v="-14642"/>
    <x v="2324"/>
    <x v="1"/>
    <n v="-345"/>
    <n v="0.94455852156057496"/>
    <x v="1"/>
    <n v="1"/>
    <n v="0"/>
    <n v="0"/>
    <n v="0"/>
    <s v="Cooking staff"/>
    <x v="3"/>
  </r>
  <r>
    <n v="5115910"/>
    <x v="0"/>
    <s v="N"/>
    <s v="Y"/>
    <n v="1"/>
    <x v="5"/>
    <x v="1"/>
    <x v="1"/>
    <x v="3"/>
    <x v="0"/>
    <d v="1984-11-20T00:00:00"/>
    <n v="-14642"/>
    <x v="2324"/>
    <x v="1"/>
    <n v="-345"/>
    <n v="0.94455852156057496"/>
    <x v="1"/>
    <n v="1"/>
    <n v="0"/>
    <n v="0"/>
    <n v="0"/>
    <s v="Cooking staff"/>
    <x v="3"/>
  </r>
  <r>
    <n v="5115914"/>
    <x v="0"/>
    <s v="N"/>
    <s v="N"/>
    <n v="1"/>
    <x v="5"/>
    <x v="1"/>
    <x v="0"/>
    <x v="1"/>
    <x v="0"/>
    <d v="1992-11-27T00:00:00"/>
    <n v="-11713"/>
    <x v="2325"/>
    <x v="3"/>
    <n v="-529"/>
    <n v="1.4483230663928817"/>
    <x v="1"/>
    <n v="1"/>
    <n v="0"/>
    <n v="0"/>
    <n v="0"/>
    <m/>
    <x v="3"/>
  </r>
  <r>
    <n v="5115925"/>
    <x v="0"/>
    <s v="N"/>
    <s v="Y"/>
    <n v="0"/>
    <x v="30"/>
    <x v="1"/>
    <x v="1"/>
    <x v="1"/>
    <x v="0"/>
    <d v="1979-09-09T00:00:00"/>
    <n v="-16541"/>
    <x v="1446"/>
    <x v="1"/>
    <n v="-102"/>
    <n v="0.27926078028747431"/>
    <x v="1"/>
    <n v="1"/>
    <n v="1"/>
    <n v="1"/>
    <n v="0"/>
    <s v="Sales staff"/>
    <x v="1"/>
  </r>
  <r>
    <n v="5115946"/>
    <x v="0"/>
    <s v="N"/>
    <s v="Y"/>
    <n v="0"/>
    <x v="2"/>
    <x v="2"/>
    <x v="1"/>
    <x v="1"/>
    <x v="1"/>
    <d v="1981-02-09T00:00:00"/>
    <n v="-16022"/>
    <x v="2326"/>
    <x v="1"/>
    <n v="-9052"/>
    <n v="24.78302532511978"/>
    <x v="1"/>
    <n v="1"/>
    <n v="0"/>
    <n v="0"/>
    <n v="0"/>
    <s v="Sales staff"/>
    <x v="1"/>
  </r>
  <r>
    <n v="5115956"/>
    <x v="0"/>
    <s v="Y"/>
    <s v="Y"/>
    <n v="0"/>
    <x v="16"/>
    <x v="2"/>
    <x v="1"/>
    <x v="4"/>
    <x v="0"/>
    <d v="1982-07-22T00:00:00"/>
    <n v="-15494"/>
    <x v="2327"/>
    <x v="1"/>
    <n v="-4304"/>
    <n v="11.783709787816564"/>
    <x v="1"/>
    <n v="1"/>
    <n v="0"/>
    <n v="0"/>
    <n v="0"/>
    <s v="Sales staff"/>
    <x v="0"/>
  </r>
  <r>
    <n v="5115958"/>
    <x v="0"/>
    <s v="N"/>
    <s v="N"/>
    <n v="0"/>
    <x v="8"/>
    <x v="3"/>
    <x v="0"/>
    <x v="1"/>
    <x v="0"/>
    <d v="1976-07-01T00:00:00"/>
    <n v="-17706"/>
    <x v="2328"/>
    <x v="1"/>
    <n v="-2293"/>
    <n v="6.277891854893908"/>
    <x v="1"/>
    <n v="1"/>
    <n v="0"/>
    <n v="0"/>
    <n v="0"/>
    <s v="Core staff"/>
    <x v="1"/>
  </r>
  <r>
    <n v="5115966"/>
    <x v="1"/>
    <s v="Y"/>
    <s v="Y"/>
    <n v="2"/>
    <x v="1"/>
    <x v="2"/>
    <x v="1"/>
    <x v="1"/>
    <x v="0"/>
    <d v="1984-10-16T00:00:00"/>
    <n v="-14677"/>
    <x v="2329"/>
    <x v="1"/>
    <n v="-3938"/>
    <n v="10.781656399726215"/>
    <x v="1"/>
    <n v="1"/>
    <n v="1"/>
    <n v="0"/>
    <n v="0"/>
    <s v="Laborers"/>
    <x v="2"/>
  </r>
  <r>
    <n v="5115974"/>
    <x v="0"/>
    <s v="N"/>
    <s v="Y"/>
    <n v="2"/>
    <x v="16"/>
    <x v="2"/>
    <x v="0"/>
    <x v="1"/>
    <x v="0"/>
    <d v="1993-04-29T00:00:00"/>
    <n v="-11560"/>
    <x v="2330"/>
    <x v="3"/>
    <n v="-467"/>
    <n v="1.2785763175906912"/>
    <x v="1"/>
    <n v="1"/>
    <n v="1"/>
    <n v="0"/>
    <n v="0"/>
    <m/>
    <x v="2"/>
  </r>
  <r>
    <n v="5116012"/>
    <x v="0"/>
    <s v="N"/>
    <s v="Y"/>
    <n v="0"/>
    <x v="30"/>
    <x v="2"/>
    <x v="1"/>
    <x v="1"/>
    <x v="0"/>
    <d v="1975-10-12T00:00:00"/>
    <n v="-17969"/>
    <x v="2331"/>
    <x v="1"/>
    <n v="-3573"/>
    <n v="9.7823408624229984"/>
    <x v="1"/>
    <n v="1"/>
    <n v="0"/>
    <n v="0"/>
    <n v="0"/>
    <s v="Sales staff"/>
    <x v="1"/>
  </r>
  <r>
    <n v="5116013"/>
    <x v="0"/>
    <s v="N"/>
    <s v="Y"/>
    <n v="0"/>
    <x v="30"/>
    <x v="2"/>
    <x v="1"/>
    <x v="1"/>
    <x v="0"/>
    <d v="1975-10-12T00:00:00"/>
    <n v="-17969"/>
    <x v="2331"/>
    <x v="1"/>
    <n v="-3573"/>
    <n v="9.7823408624229984"/>
    <x v="1"/>
    <n v="1"/>
    <n v="0"/>
    <n v="0"/>
    <n v="0"/>
    <s v="Sales staff"/>
    <x v="1"/>
  </r>
  <r>
    <n v="5116021"/>
    <x v="0"/>
    <s v="Y"/>
    <s v="Y"/>
    <n v="0"/>
    <x v="42"/>
    <x v="0"/>
    <x v="0"/>
    <x v="4"/>
    <x v="0"/>
    <d v="1964-07-07T00:00:00"/>
    <n v="-22083"/>
    <x v="2332"/>
    <x v="0"/>
    <n v="365243"/>
    <n v="0"/>
    <x v="0"/>
    <n v="1"/>
    <n v="0"/>
    <n v="1"/>
    <n v="0"/>
    <m/>
    <x v="0"/>
  </r>
  <r>
    <n v="5116032"/>
    <x v="0"/>
    <s v="N"/>
    <s v="Y"/>
    <n v="0"/>
    <x v="1"/>
    <x v="0"/>
    <x v="1"/>
    <x v="1"/>
    <x v="0"/>
    <d v="1968-12-31T00:00:00"/>
    <n v="-20445"/>
    <x v="2333"/>
    <x v="2"/>
    <n v="365243"/>
    <n v="0"/>
    <x v="0"/>
    <n v="1"/>
    <n v="0"/>
    <n v="0"/>
    <n v="0"/>
    <m/>
    <x v="1"/>
  </r>
  <r>
    <n v="5116040"/>
    <x v="0"/>
    <s v="Y"/>
    <s v="Y"/>
    <n v="0"/>
    <x v="8"/>
    <x v="1"/>
    <x v="0"/>
    <x v="1"/>
    <x v="0"/>
    <d v="1980-06-13T00:00:00"/>
    <n v="-16263"/>
    <x v="2334"/>
    <x v="1"/>
    <n v="-314"/>
    <n v="0.85968514715947986"/>
    <x v="1"/>
    <n v="1"/>
    <n v="0"/>
    <n v="1"/>
    <n v="0"/>
    <s v="High skill tech staff"/>
    <x v="1"/>
  </r>
  <r>
    <n v="5116058"/>
    <x v="0"/>
    <s v="Y"/>
    <s v="Y"/>
    <n v="0"/>
    <x v="39"/>
    <x v="2"/>
    <x v="1"/>
    <x v="1"/>
    <x v="0"/>
    <d v="1974-12-02T00:00:00"/>
    <n v="-18283"/>
    <x v="2335"/>
    <x v="2"/>
    <n v="-1113"/>
    <n v="3.0472279260780288"/>
    <x v="1"/>
    <n v="1"/>
    <n v="0"/>
    <n v="0"/>
    <n v="0"/>
    <m/>
    <x v="1"/>
  </r>
  <r>
    <n v="5116075"/>
    <x v="0"/>
    <s v="N"/>
    <s v="Y"/>
    <n v="0"/>
    <x v="2"/>
    <x v="0"/>
    <x v="1"/>
    <x v="1"/>
    <x v="0"/>
    <d v="1967-07-28T00:00:00"/>
    <n v="-20967"/>
    <x v="2336"/>
    <x v="2"/>
    <n v="365243"/>
    <n v="0"/>
    <x v="0"/>
    <n v="1"/>
    <n v="0"/>
    <n v="1"/>
    <n v="0"/>
    <m/>
    <x v="1"/>
  </r>
  <r>
    <n v="5116107"/>
    <x v="1"/>
    <s v="N"/>
    <s v="Y"/>
    <n v="0"/>
    <x v="18"/>
    <x v="0"/>
    <x v="0"/>
    <x v="1"/>
    <x v="0"/>
    <d v="1983-04-05T00:00:00"/>
    <n v="-15237"/>
    <x v="2337"/>
    <x v="1"/>
    <n v="365243"/>
    <n v="0"/>
    <x v="0"/>
    <n v="1"/>
    <n v="0"/>
    <n v="0"/>
    <n v="0"/>
    <m/>
    <x v="1"/>
  </r>
  <r>
    <n v="5116111"/>
    <x v="1"/>
    <s v="Y"/>
    <s v="N"/>
    <n v="0"/>
    <x v="16"/>
    <x v="2"/>
    <x v="1"/>
    <x v="2"/>
    <x v="2"/>
    <d v="1994-06-27T00:00:00"/>
    <n v="-11136"/>
    <x v="2338"/>
    <x v="3"/>
    <n v="-3487"/>
    <n v="9.546885694729637"/>
    <x v="1"/>
    <n v="1"/>
    <n v="0"/>
    <n v="1"/>
    <n v="0"/>
    <s v="Sales staff"/>
    <x v="0"/>
  </r>
  <r>
    <n v="5116116"/>
    <x v="1"/>
    <s v="Y"/>
    <s v="N"/>
    <n v="0"/>
    <x v="16"/>
    <x v="2"/>
    <x v="1"/>
    <x v="2"/>
    <x v="2"/>
    <d v="1994-06-27T00:00:00"/>
    <n v="-11136"/>
    <x v="2338"/>
    <x v="3"/>
    <n v="-3487"/>
    <n v="9.546885694729637"/>
    <x v="1"/>
    <n v="1"/>
    <n v="0"/>
    <n v="1"/>
    <n v="0"/>
    <s v="Sales staff"/>
    <x v="0"/>
  </r>
  <r>
    <n v="5116118"/>
    <x v="0"/>
    <s v="N"/>
    <s v="N"/>
    <n v="1"/>
    <x v="16"/>
    <x v="2"/>
    <x v="2"/>
    <x v="1"/>
    <x v="2"/>
    <d v="1997-11-03T00:00:00"/>
    <n v="-9911"/>
    <x v="2339"/>
    <x v="4"/>
    <n v="-2665"/>
    <n v="7.2963723477070497"/>
    <x v="1"/>
    <n v="1"/>
    <n v="0"/>
    <n v="0"/>
    <n v="0"/>
    <m/>
    <x v="3"/>
  </r>
  <r>
    <n v="5116129"/>
    <x v="0"/>
    <s v="Y"/>
    <s v="Y"/>
    <n v="1"/>
    <x v="142"/>
    <x v="2"/>
    <x v="1"/>
    <x v="2"/>
    <x v="0"/>
    <d v="1989-06-02T00:00:00"/>
    <n v="-12987"/>
    <x v="1999"/>
    <x v="3"/>
    <n v="-2330"/>
    <n v="6.3791923340177963"/>
    <x v="1"/>
    <n v="1"/>
    <n v="0"/>
    <n v="0"/>
    <n v="0"/>
    <s v="Sales staff"/>
    <x v="1"/>
  </r>
  <r>
    <n v="5116145"/>
    <x v="0"/>
    <s v="Y"/>
    <s v="Y"/>
    <n v="1"/>
    <x v="12"/>
    <x v="3"/>
    <x v="0"/>
    <x v="1"/>
    <x v="0"/>
    <d v="1986-08-20T00:00:00"/>
    <n v="-14004"/>
    <x v="2340"/>
    <x v="3"/>
    <n v="-292"/>
    <n v="0.79945242984257359"/>
    <x v="1"/>
    <n v="1"/>
    <n v="0"/>
    <n v="0"/>
    <n v="0"/>
    <s v="Managers"/>
    <x v="3"/>
  </r>
  <r>
    <n v="5116168"/>
    <x v="0"/>
    <s v="Y"/>
    <s v="Y"/>
    <n v="0"/>
    <x v="11"/>
    <x v="0"/>
    <x v="1"/>
    <x v="1"/>
    <x v="0"/>
    <d v="1960-12-08T00:00:00"/>
    <n v="-23390"/>
    <x v="2341"/>
    <x v="0"/>
    <n v="365243"/>
    <n v="0"/>
    <x v="0"/>
    <n v="1"/>
    <n v="0"/>
    <n v="0"/>
    <n v="0"/>
    <m/>
    <x v="1"/>
  </r>
  <r>
    <n v="5116170"/>
    <x v="0"/>
    <s v="Y"/>
    <s v="Y"/>
    <n v="0"/>
    <x v="11"/>
    <x v="0"/>
    <x v="1"/>
    <x v="1"/>
    <x v="0"/>
    <d v="1960-12-08T00:00:00"/>
    <n v="-23390"/>
    <x v="2341"/>
    <x v="0"/>
    <n v="365243"/>
    <n v="0"/>
    <x v="0"/>
    <n v="1"/>
    <n v="0"/>
    <n v="0"/>
    <n v="0"/>
    <m/>
    <x v="1"/>
  </r>
  <r>
    <n v="5116208"/>
    <x v="1"/>
    <s v="Y"/>
    <s v="Y"/>
    <n v="2"/>
    <x v="2"/>
    <x v="2"/>
    <x v="1"/>
    <x v="1"/>
    <x v="0"/>
    <d v="1989-04-28T00:00:00"/>
    <n v="-13022"/>
    <x v="2342"/>
    <x v="3"/>
    <n v="-1600"/>
    <n v="4.3805612594113619"/>
    <x v="1"/>
    <n v="1"/>
    <n v="0"/>
    <n v="0"/>
    <n v="0"/>
    <s v="Laborers"/>
    <x v="2"/>
  </r>
  <r>
    <n v="5116220"/>
    <x v="1"/>
    <s v="N"/>
    <s v="Y"/>
    <n v="2"/>
    <x v="1"/>
    <x v="1"/>
    <x v="1"/>
    <x v="1"/>
    <x v="0"/>
    <d v="1989-04-13T00:00:00"/>
    <n v="-13037"/>
    <x v="2343"/>
    <x v="3"/>
    <n v="-200"/>
    <n v="0.54757015742642023"/>
    <x v="1"/>
    <n v="1"/>
    <n v="0"/>
    <n v="0"/>
    <n v="0"/>
    <s v="Laborers"/>
    <x v="2"/>
  </r>
  <r>
    <n v="5116244"/>
    <x v="0"/>
    <s v="N"/>
    <s v="Y"/>
    <n v="0"/>
    <x v="12"/>
    <x v="2"/>
    <x v="1"/>
    <x v="1"/>
    <x v="0"/>
    <d v="1963-10-30T00:00:00"/>
    <n v="-22334"/>
    <x v="2344"/>
    <x v="0"/>
    <n v="-14810"/>
    <n v="40.547570157426421"/>
    <x v="1"/>
    <n v="1"/>
    <n v="0"/>
    <n v="0"/>
    <n v="0"/>
    <s v="Medicine staff"/>
    <x v="1"/>
  </r>
  <r>
    <n v="5116248"/>
    <x v="0"/>
    <s v="N"/>
    <s v="Y"/>
    <n v="0"/>
    <x v="12"/>
    <x v="2"/>
    <x v="1"/>
    <x v="1"/>
    <x v="0"/>
    <d v="1963-10-30T00:00:00"/>
    <n v="-22334"/>
    <x v="2344"/>
    <x v="0"/>
    <n v="-14810"/>
    <n v="40.547570157426421"/>
    <x v="1"/>
    <n v="1"/>
    <n v="0"/>
    <n v="0"/>
    <n v="0"/>
    <s v="Medicine staff"/>
    <x v="1"/>
  </r>
  <r>
    <n v="5116250"/>
    <x v="0"/>
    <s v="N"/>
    <s v="Y"/>
    <n v="0"/>
    <x v="12"/>
    <x v="2"/>
    <x v="1"/>
    <x v="1"/>
    <x v="0"/>
    <d v="1963-10-30T00:00:00"/>
    <n v="-22334"/>
    <x v="2344"/>
    <x v="0"/>
    <n v="-14810"/>
    <n v="40.547570157426421"/>
    <x v="1"/>
    <n v="1"/>
    <n v="0"/>
    <n v="0"/>
    <n v="0"/>
    <s v="Medicine staff"/>
    <x v="1"/>
  </r>
  <r>
    <n v="5116251"/>
    <x v="0"/>
    <s v="N"/>
    <s v="Y"/>
    <n v="0"/>
    <x v="12"/>
    <x v="2"/>
    <x v="1"/>
    <x v="1"/>
    <x v="0"/>
    <d v="1963-10-30T00:00:00"/>
    <n v="-22334"/>
    <x v="2344"/>
    <x v="0"/>
    <n v="-14810"/>
    <n v="40.547570157426421"/>
    <x v="1"/>
    <n v="1"/>
    <n v="0"/>
    <n v="0"/>
    <n v="0"/>
    <s v="Medicine staff"/>
    <x v="1"/>
  </r>
  <r>
    <n v="5116258"/>
    <x v="0"/>
    <s v="N"/>
    <s v="Y"/>
    <n v="4"/>
    <x v="16"/>
    <x v="1"/>
    <x v="1"/>
    <x v="1"/>
    <x v="0"/>
    <d v="1977-02-24T00:00:00"/>
    <n v="-17468"/>
    <x v="2345"/>
    <x v="1"/>
    <n v="-7413"/>
    <n v="20.295687885010267"/>
    <x v="1"/>
    <n v="1"/>
    <n v="0"/>
    <n v="0"/>
    <n v="0"/>
    <s v="Core staff"/>
    <x v="5"/>
  </r>
  <r>
    <n v="5116284"/>
    <x v="0"/>
    <s v="N"/>
    <s v="N"/>
    <n v="0"/>
    <x v="2"/>
    <x v="1"/>
    <x v="3"/>
    <x v="1"/>
    <x v="4"/>
    <d v="1972-11-25T00:00:00"/>
    <n v="-19020"/>
    <x v="2346"/>
    <x v="2"/>
    <n v="-231"/>
    <n v="0.63244353182751545"/>
    <x v="1"/>
    <n v="1"/>
    <n v="0"/>
    <n v="0"/>
    <n v="0"/>
    <s v="Sales staff"/>
    <x v="1"/>
  </r>
  <r>
    <n v="5116310"/>
    <x v="0"/>
    <s v="N"/>
    <s v="Y"/>
    <n v="0"/>
    <x v="1"/>
    <x v="2"/>
    <x v="1"/>
    <x v="1"/>
    <x v="0"/>
    <d v="1969-11-30T00:00:00"/>
    <n v="-20111"/>
    <x v="2347"/>
    <x v="2"/>
    <n v="-10290"/>
    <n v="28.172484599589321"/>
    <x v="1"/>
    <n v="1"/>
    <n v="0"/>
    <n v="0"/>
    <n v="0"/>
    <s v="Medicine staff"/>
    <x v="1"/>
  </r>
  <r>
    <n v="5116325"/>
    <x v="0"/>
    <s v="N"/>
    <s v="Y"/>
    <n v="0"/>
    <x v="58"/>
    <x v="0"/>
    <x v="1"/>
    <x v="1"/>
    <x v="0"/>
    <d v="1968-11-10T00:00:00"/>
    <n v="-20496"/>
    <x v="2348"/>
    <x v="2"/>
    <n v="365243"/>
    <n v="0"/>
    <x v="0"/>
    <n v="1"/>
    <n v="0"/>
    <n v="0"/>
    <n v="0"/>
    <m/>
    <x v="1"/>
  </r>
  <r>
    <n v="5116333"/>
    <x v="0"/>
    <s v="Y"/>
    <s v="Y"/>
    <n v="0"/>
    <x v="69"/>
    <x v="2"/>
    <x v="1"/>
    <x v="3"/>
    <x v="0"/>
    <d v="1967-01-24T00:00:00"/>
    <n v="-21152"/>
    <x v="2349"/>
    <x v="2"/>
    <n v="-397"/>
    <n v="1.0869267624914443"/>
    <x v="1"/>
    <n v="1"/>
    <n v="0"/>
    <n v="0"/>
    <n v="0"/>
    <s v="Managers"/>
    <x v="1"/>
  </r>
  <r>
    <n v="5116339"/>
    <x v="0"/>
    <s v="Y"/>
    <s v="Y"/>
    <n v="0"/>
    <x v="69"/>
    <x v="2"/>
    <x v="1"/>
    <x v="3"/>
    <x v="0"/>
    <d v="1967-01-24T00:00:00"/>
    <n v="-21152"/>
    <x v="2349"/>
    <x v="2"/>
    <n v="-397"/>
    <n v="1.0869267624914443"/>
    <x v="1"/>
    <n v="1"/>
    <n v="0"/>
    <n v="0"/>
    <n v="0"/>
    <s v="Managers"/>
    <x v="1"/>
  </r>
  <r>
    <n v="5116364"/>
    <x v="0"/>
    <s v="N"/>
    <s v="Y"/>
    <n v="0"/>
    <x v="5"/>
    <x v="2"/>
    <x v="1"/>
    <x v="1"/>
    <x v="0"/>
    <d v="1992-06-25T00:00:00"/>
    <n v="-11868"/>
    <x v="2350"/>
    <x v="3"/>
    <n v="-1220"/>
    <n v="3.3401779603011637"/>
    <x v="1"/>
    <n v="1"/>
    <n v="0"/>
    <n v="0"/>
    <n v="0"/>
    <s v="Sales staff"/>
    <x v="1"/>
  </r>
  <r>
    <n v="5116365"/>
    <x v="1"/>
    <s v="N"/>
    <s v="Y"/>
    <n v="0"/>
    <x v="2"/>
    <x v="2"/>
    <x v="1"/>
    <x v="1"/>
    <x v="0"/>
    <d v="1971-07-23T00:00:00"/>
    <n v="-19511"/>
    <x v="2351"/>
    <x v="2"/>
    <n v="-3503"/>
    <n v="9.5906913073237501"/>
    <x v="1"/>
    <n v="1"/>
    <n v="0"/>
    <n v="0"/>
    <n v="0"/>
    <s v="Drivers"/>
    <x v="1"/>
  </r>
  <r>
    <n v="5116382"/>
    <x v="0"/>
    <s v="N"/>
    <s v="Y"/>
    <n v="1"/>
    <x v="143"/>
    <x v="2"/>
    <x v="0"/>
    <x v="1"/>
    <x v="0"/>
    <d v="1999-07-20T00:00:00"/>
    <n v="-9287"/>
    <x v="2352"/>
    <x v="4"/>
    <n v="-1432"/>
    <n v="3.9206023271731691"/>
    <x v="1"/>
    <n v="1"/>
    <n v="1"/>
    <n v="0"/>
    <n v="0"/>
    <s v="Core staff"/>
    <x v="3"/>
  </r>
  <r>
    <n v="5116383"/>
    <x v="0"/>
    <s v="Y"/>
    <s v="Y"/>
    <n v="0"/>
    <x v="19"/>
    <x v="2"/>
    <x v="0"/>
    <x v="2"/>
    <x v="0"/>
    <d v="1991-05-06T00:00:00"/>
    <n v="-12284"/>
    <x v="2353"/>
    <x v="3"/>
    <n v="-854"/>
    <n v="2.3381245722108144"/>
    <x v="1"/>
    <n v="1"/>
    <n v="0"/>
    <n v="0"/>
    <n v="0"/>
    <s v="Managers"/>
    <x v="0"/>
  </r>
  <r>
    <n v="5116384"/>
    <x v="0"/>
    <s v="Y"/>
    <s v="Y"/>
    <n v="0"/>
    <x v="19"/>
    <x v="2"/>
    <x v="0"/>
    <x v="2"/>
    <x v="0"/>
    <d v="1991-05-06T00:00:00"/>
    <n v="-12284"/>
    <x v="2353"/>
    <x v="3"/>
    <n v="-854"/>
    <n v="2.3381245722108144"/>
    <x v="1"/>
    <n v="1"/>
    <n v="0"/>
    <n v="0"/>
    <n v="0"/>
    <s v="Managers"/>
    <x v="0"/>
  </r>
  <r>
    <n v="5116390"/>
    <x v="0"/>
    <s v="N"/>
    <s v="Y"/>
    <n v="0"/>
    <x v="76"/>
    <x v="3"/>
    <x v="0"/>
    <x v="1"/>
    <x v="0"/>
    <d v="1994-07-09T00:00:00"/>
    <n v="-11124"/>
    <x v="2354"/>
    <x v="3"/>
    <n v="-1159"/>
    <n v="3.1731690622861053"/>
    <x v="1"/>
    <n v="1"/>
    <n v="0"/>
    <n v="0"/>
    <n v="0"/>
    <s v="Core staff"/>
    <x v="1"/>
  </r>
  <r>
    <n v="5116400"/>
    <x v="0"/>
    <s v="N"/>
    <s v="Y"/>
    <n v="0"/>
    <x v="16"/>
    <x v="2"/>
    <x v="0"/>
    <x v="2"/>
    <x v="0"/>
    <d v="1976-12-21T00:00:00"/>
    <n v="-17533"/>
    <x v="2355"/>
    <x v="1"/>
    <n v="-3776"/>
    <n v="10.338124572210814"/>
    <x v="1"/>
    <n v="1"/>
    <n v="0"/>
    <n v="0"/>
    <n v="0"/>
    <s v="Medicine staff"/>
    <x v="0"/>
  </r>
  <r>
    <n v="5116406"/>
    <x v="0"/>
    <s v="N"/>
    <s v="Y"/>
    <n v="0"/>
    <x v="144"/>
    <x v="0"/>
    <x v="1"/>
    <x v="3"/>
    <x v="0"/>
    <d v="1967-10-12T00:00:00"/>
    <n v="-20891"/>
    <x v="2356"/>
    <x v="2"/>
    <n v="365243"/>
    <n v="0"/>
    <x v="0"/>
    <n v="1"/>
    <n v="0"/>
    <n v="0"/>
    <n v="0"/>
    <m/>
    <x v="1"/>
  </r>
  <r>
    <n v="5116409"/>
    <x v="1"/>
    <s v="Y"/>
    <s v="Y"/>
    <n v="2"/>
    <x v="16"/>
    <x v="3"/>
    <x v="1"/>
    <x v="1"/>
    <x v="0"/>
    <d v="1991-06-01T00:00:00"/>
    <n v="-12258"/>
    <x v="2357"/>
    <x v="3"/>
    <n v="-5450"/>
    <n v="14.921286789869953"/>
    <x v="1"/>
    <n v="1"/>
    <n v="0"/>
    <n v="0"/>
    <n v="0"/>
    <s v="Drivers"/>
    <x v="2"/>
  </r>
  <r>
    <n v="5116412"/>
    <x v="1"/>
    <s v="Y"/>
    <s v="Y"/>
    <n v="2"/>
    <x v="16"/>
    <x v="3"/>
    <x v="1"/>
    <x v="1"/>
    <x v="0"/>
    <d v="1991-06-01T00:00:00"/>
    <n v="-12258"/>
    <x v="2357"/>
    <x v="3"/>
    <n v="-5450"/>
    <n v="14.921286789869953"/>
    <x v="1"/>
    <n v="1"/>
    <n v="0"/>
    <n v="0"/>
    <n v="0"/>
    <s v="Drivers"/>
    <x v="2"/>
  </r>
  <r>
    <n v="5116413"/>
    <x v="1"/>
    <s v="Y"/>
    <s v="Y"/>
    <n v="2"/>
    <x v="16"/>
    <x v="3"/>
    <x v="1"/>
    <x v="1"/>
    <x v="0"/>
    <d v="1991-06-01T00:00:00"/>
    <n v="-12258"/>
    <x v="2357"/>
    <x v="3"/>
    <n v="-5450"/>
    <n v="14.921286789869953"/>
    <x v="1"/>
    <n v="1"/>
    <n v="0"/>
    <n v="0"/>
    <n v="0"/>
    <s v="Drivers"/>
    <x v="2"/>
  </r>
  <r>
    <n v="5116416"/>
    <x v="0"/>
    <s v="N"/>
    <s v="Y"/>
    <n v="0"/>
    <x v="51"/>
    <x v="1"/>
    <x v="1"/>
    <x v="1"/>
    <x v="0"/>
    <d v="1977-12-26T00:00:00"/>
    <n v="-17163"/>
    <x v="2358"/>
    <x v="1"/>
    <n v="-3258"/>
    <n v="8.9199178644763855"/>
    <x v="1"/>
    <n v="1"/>
    <n v="1"/>
    <n v="1"/>
    <n v="0"/>
    <s v="Sales staff"/>
    <x v="1"/>
  </r>
  <r>
    <n v="5116426"/>
    <x v="0"/>
    <s v="N"/>
    <s v="N"/>
    <n v="2"/>
    <x v="3"/>
    <x v="2"/>
    <x v="1"/>
    <x v="1"/>
    <x v="0"/>
    <d v="1997-05-10T00:00:00"/>
    <n v="-10088"/>
    <x v="2359"/>
    <x v="4"/>
    <n v="-1797"/>
    <n v="4.9199178644763863"/>
    <x v="1"/>
    <n v="1"/>
    <n v="1"/>
    <n v="1"/>
    <n v="0"/>
    <s v="High skill tech staff"/>
    <x v="2"/>
  </r>
  <r>
    <n v="5116427"/>
    <x v="0"/>
    <s v="N"/>
    <s v="Y"/>
    <n v="1"/>
    <x v="2"/>
    <x v="2"/>
    <x v="1"/>
    <x v="1"/>
    <x v="0"/>
    <d v="1997-11-29T00:00:00"/>
    <n v="-9885"/>
    <x v="2360"/>
    <x v="4"/>
    <n v="-2072"/>
    <n v="5.6728268309377139"/>
    <x v="1"/>
    <n v="1"/>
    <n v="0"/>
    <n v="0"/>
    <n v="1"/>
    <s v="Sales staff"/>
    <x v="3"/>
  </r>
  <r>
    <n v="5116436"/>
    <x v="0"/>
    <s v="Y"/>
    <s v="Y"/>
    <n v="0"/>
    <x v="11"/>
    <x v="2"/>
    <x v="1"/>
    <x v="1"/>
    <x v="0"/>
    <d v="1984-09-12T00:00:00"/>
    <n v="-14711"/>
    <x v="2361"/>
    <x v="1"/>
    <n v="-6425"/>
    <n v="17.590691307323752"/>
    <x v="1"/>
    <n v="1"/>
    <n v="0"/>
    <n v="0"/>
    <n v="0"/>
    <s v="Sales staff"/>
    <x v="1"/>
  </r>
  <r>
    <n v="5116448"/>
    <x v="0"/>
    <s v="Y"/>
    <s v="Y"/>
    <n v="1"/>
    <x v="37"/>
    <x v="2"/>
    <x v="1"/>
    <x v="1"/>
    <x v="2"/>
    <d v="1977-11-13T00:00:00"/>
    <n v="-17206"/>
    <x v="2362"/>
    <x v="1"/>
    <n v="-1401"/>
    <n v="3.8357289527720737"/>
    <x v="1"/>
    <n v="1"/>
    <n v="0"/>
    <n v="0"/>
    <n v="0"/>
    <s v="Laborers"/>
    <x v="3"/>
  </r>
  <r>
    <n v="5116504"/>
    <x v="1"/>
    <s v="Y"/>
    <s v="Y"/>
    <n v="0"/>
    <x v="8"/>
    <x v="1"/>
    <x v="1"/>
    <x v="1"/>
    <x v="0"/>
    <d v="2000-04-15T00:00:00"/>
    <n v="-9017"/>
    <x v="2363"/>
    <x v="4"/>
    <n v="-581"/>
    <n v="1.5906913073237507"/>
    <x v="1"/>
    <n v="1"/>
    <n v="0"/>
    <n v="0"/>
    <n v="0"/>
    <s v="Sales staff"/>
    <x v="1"/>
  </r>
  <r>
    <n v="5116509"/>
    <x v="0"/>
    <s v="Y"/>
    <s v="Y"/>
    <n v="0"/>
    <x v="11"/>
    <x v="2"/>
    <x v="0"/>
    <x v="3"/>
    <x v="0"/>
    <d v="1981-03-25T00:00:00"/>
    <n v="-15978"/>
    <x v="2364"/>
    <x v="1"/>
    <n v="-3472"/>
    <n v="9.5058179329226551"/>
    <x v="1"/>
    <n v="1"/>
    <n v="1"/>
    <n v="1"/>
    <n v="0"/>
    <s v="Core staff"/>
    <x v="1"/>
  </r>
  <r>
    <n v="5116513"/>
    <x v="0"/>
    <s v="Y"/>
    <s v="Y"/>
    <n v="0"/>
    <x v="11"/>
    <x v="2"/>
    <x v="0"/>
    <x v="3"/>
    <x v="0"/>
    <d v="1981-03-25T00:00:00"/>
    <n v="-15978"/>
    <x v="2364"/>
    <x v="1"/>
    <n v="-3472"/>
    <n v="9.5058179329226551"/>
    <x v="1"/>
    <n v="1"/>
    <n v="1"/>
    <n v="1"/>
    <n v="0"/>
    <s v="Core staff"/>
    <x v="1"/>
  </r>
  <r>
    <n v="5116518"/>
    <x v="0"/>
    <s v="Y"/>
    <s v="Y"/>
    <n v="0"/>
    <x v="11"/>
    <x v="2"/>
    <x v="0"/>
    <x v="3"/>
    <x v="0"/>
    <d v="1981-03-25T00:00:00"/>
    <n v="-15978"/>
    <x v="2364"/>
    <x v="1"/>
    <n v="-3472"/>
    <n v="9.5058179329226551"/>
    <x v="1"/>
    <n v="1"/>
    <n v="1"/>
    <n v="1"/>
    <n v="0"/>
    <s v="Core staff"/>
    <x v="1"/>
  </r>
  <r>
    <n v="5116521"/>
    <x v="0"/>
    <s v="N"/>
    <s v="Y"/>
    <n v="1"/>
    <x v="5"/>
    <x v="2"/>
    <x v="1"/>
    <x v="1"/>
    <x v="0"/>
    <d v="1986-04-13T00:00:00"/>
    <n v="-14133"/>
    <x v="2365"/>
    <x v="3"/>
    <n v="-185"/>
    <n v="0.50650239561943877"/>
    <x v="1"/>
    <n v="1"/>
    <n v="0"/>
    <n v="1"/>
    <n v="0"/>
    <s v="Sales staff"/>
    <x v="3"/>
  </r>
  <r>
    <n v="5116534"/>
    <x v="1"/>
    <s v="N"/>
    <s v="Y"/>
    <n v="0"/>
    <x v="16"/>
    <x v="0"/>
    <x v="1"/>
    <x v="1"/>
    <x v="0"/>
    <d v="1971-05-31T00:00:00"/>
    <n v="-19564"/>
    <x v="2366"/>
    <x v="2"/>
    <n v="365243"/>
    <n v="0"/>
    <x v="0"/>
    <n v="1"/>
    <n v="0"/>
    <n v="1"/>
    <n v="0"/>
    <m/>
    <x v="1"/>
  </r>
  <r>
    <n v="5116552"/>
    <x v="0"/>
    <s v="N"/>
    <s v="Y"/>
    <n v="0"/>
    <x v="30"/>
    <x v="0"/>
    <x v="1"/>
    <x v="1"/>
    <x v="0"/>
    <d v="1964-02-16T00:00:00"/>
    <n v="-22225"/>
    <x v="2367"/>
    <x v="0"/>
    <n v="365243"/>
    <n v="0"/>
    <x v="0"/>
    <n v="1"/>
    <n v="0"/>
    <n v="0"/>
    <n v="0"/>
    <m/>
    <x v="1"/>
  </r>
  <r>
    <n v="5116553"/>
    <x v="0"/>
    <s v="Y"/>
    <s v="N"/>
    <n v="0"/>
    <x v="16"/>
    <x v="2"/>
    <x v="2"/>
    <x v="1"/>
    <x v="2"/>
    <d v="1995-05-05T00:00:00"/>
    <n v="-10824"/>
    <x v="2368"/>
    <x v="4"/>
    <n v="-762"/>
    <n v="2.086242299794661"/>
    <x v="1"/>
    <n v="1"/>
    <n v="0"/>
    <n v="0"/>
    <n v="0"/>
    <s v="Managers"/>
    <x v="1"/>
  </r>
  <r>
    <n v="5116563"/>
    <x v="0"/>
    <s v="N"/>
    <s v="Y"/>
    <n v="0"/>
    <x v="1"/>
    <x v="3"/>
    <x v="0"/>
    <x v="0"/>
    <x v="0"/>
    <d v="1979-10-27T00:00:00"/>
    <n v="-16493"/>
    <x v="2369"/>
    <x v="1"/>
    <n v="-9255"/>
    <n v="25.338809034907598"/>
    <x v="1"/>
    <n v="1"/>
    <n v="0"/>
    <n v="0"/>
    <n v="0"/>
    <s v="Core staff"/>
    <x v="0"/>
  </r>
  <r>
    <n v="5116571"/>
    <x v="0"/>
    <s v="N"/>
    <s v="Y"/>
    <n v="1"/>
    <x v="16"/>
    <x v="2"/>
    <x v="1"/>
    <x v="1"/>
    <x v="0"/>
    <d v="1995-10-31T00:00:00"/>
    <n v="-10645"/>
    <x v="2370"/>
    <x v="4"/>
    <n v="-3868"/>
    <n v="10.590006844626968"/>
    <x v="1"/>
    <n v="1"/>
    <n v="1"/>
    <n v="1"/>
    <n v="0"/>
    <s v="Sales staff"/>
    <x v="3"/>
  </r>
  <r>
    <n v="5116572"/>
    <x v="0"/>
    <s v="N"/>
    <s v="Y"/>
    <n v="1"/>
    <x v="16"/>
    <x v="2"/>
    <x v="1"/>
    <x v="1"/>
    <x v="0"/>
    <d v="1995-10-31T00:00:00"/>
    <n v="-10645"/>
    <x v="2370"/>
    <x v="4"/>
    <n v="-3868"/>
    <n v="10.590006844626968"/>
    <x v="1"/>
    <n v="1"/>
    <n v="1"/>
    <n v="1"/>
    <n v="0"/>
    <s v="Sales staff"/>
    <x v="3"/>
  </r>
  <r>
    <n v="5116576"/>
    <x v="0"/>
    <s v="N"/>
    <s v="N"/>
    <n v="0"/>
    <x v="5"/>
    <x v="2"/>
    <x v="1"/>
    <x v="1"/>
    <x v="0"/>
    <d v="1994-06-23T00:00:00"/>
    <n v="-11140"/>
    <x v="946"/>
    <x v="3"/>
    <n v="-3807"/>
    <n v="10.422997946611909"/>
    <x v="1"/>
    <n v="1"/>
    <n v="1"/>
    <n v="0"/>
    <n v="0"/>
    <s v="Laborers"/>
    <x v="1"/>
  </r>
  <r>
    <n v="5116577"/>
    <x v="0"/>
    <s v="N"/>
    <s v="Y"/>
    <n v="0"/>
    <x v="2"/>
    <x v="2"/>
    <x v="1"/>
    <x v="2"/>
    <x v="0"/>
    <d v="1968-03-29T00:00:00"/>
    <n v="-20722"/>
    <x v="2371"/>
    <x v="2"/>
    <n v="-2742"/>
    <n v="7.5071868583162216"/>
    <x v="1"/>
    <n v="1"/>
    <n v="0"/>
    <n v="1"/>
    <n v="0"/>
    <m/>
    <x v="0"/>
  </r>
  <r>
    <n v="5116596"/>
    <x v="0"/>
    <s v="N"/>
    <s v="N"/>
    <n v="0"/>
    <x v="23"/>
    <x v="0"/>
    <x v="1"/>
    <x v="1"/>
    <x v="0"/>
    <d v="1962-12-25T00:00:00"/>
    <n v="-22643"/>
    <x v="2372"/>
    <x v="0"/>
    <n v="365243"/>
    <n v="0"/>
    <x v="0"/>
    <n v="1"/>
    <n v="0"/>
    <n v="1"/>
    <n v="0"/>
    <m/>
    <x v="1"/>
  </r>
  <r>
    <n v="5116599"/>
    <x v="0"/>
    <s v="N"/>
    <s v="N"/>
    <n v="0"/>
    <x v="23"/>
    <x v="0"/>
    <x v="1"/>
    <x v="1"/>
    <x v="0"/>
    <d v="1962-12-25T00:00:00"/>
    <n v="-22643"/>
    <x v="2372"/>
    <x v="0"/>
    <n v="365243"/>
    <n v="0"/>
    <x v="0"/>
    <n v="1"/>
    <n v="0"/>
    <n v="1"/>
    <n v="0"/>
    <m/>
    <x v="1"/>
  </r>
  <r>
    <n v="5116609"/>
    <x v="1"/>
    <s v="Y"/>
    <s v="Y"/>
    <n v="0"/>
    <x v="16"/>
    <x v="2"/>
    <x v="2"/>
    <x v="1"/>
    <x v="0"/>
    <d v="1978-02-12T00:00:00"/>
    <n v="-17115"/>
    <x v="2373"/>
    <x v="1"/>
    <n v="-4599"/>
    <n v="12.591375770020534"/>
    <x v="1"/>
    <n v="1"/>
    <n v="0"/>
    <n v="1"/>
    <n v="0"/>
    <s v="Laborers"/>
    <x v="1"/>
  </r>
  <r>
    <n v="5116612"/>
    <x v="1"/>
    <s v="N"/>
    <s v="Y"/>
    <n v="0"/>
    <x v="8"/>
    <x v="1"/>
    <x v="1"/>
    <x v="1"/>
    <x v="0"/>
    <d v="1992-08-24T00:00:00"/>
    <n v="-11808"/>
    <x v="2374"/>
    <x v="3"/>
    <n v="-3533"/>
    <n v="9.6728268309377139"/>
    <x v="1"/>
    <n v="1"/>
    <n v="0"/>
    <n v="0"/>
    <n v="0"/>
    <m/>
    <x v="1"/>
  </r>
  <r>
    <n v="5116634"/>
    <x v="0"/>
    <s v="N"/>
    <s v="Y"/>
    <n v="0"/>
    <x v="1"/>
    <x v="0"/>
    <x v="0"/>
    <x v="2"/>
    <x v="0"/>
    <d v="1963-05-16T00:00:00"/>
    <n v="-22501"/>
    <x v="2375"/>
    <x v="0"/>
    <n v="365243"/>
    <n v="0"/>
    <x v="0"/>
    <n v="1"/>
    <n v="0"/>
    <n v="0"/>
    <n v="0"/>
    <m/>
    <x v="0"/>
  </r>
  <r>
    <n v="5116658"/>
    <x v="0"/>
    <s v="N"/>
    <s v="Y"/>
    <n v="1"/>
    <x v="16"/>
    <x v="2"/>
    <x v="1"/>
    <x v="1"/>
    <x v="0"/>
    <d v="1983-08-04T00:00:00"/>
    <n v="-15116"/>
    <x v="2376"/>
    <x v="1"/>
    <n v="-2284"/>
    <n v="6.2532511978097194"/>
    <x v="1"/>
    <n v="1"/>
    <n v="0"/>
    <n v="0"/>
    <n v="0"/>
    <s v="Laborers"/>
    <x v="3"/>
  </r>
  <r>
    <n v="5116675"/>
    <x v="1"/>
    <s v="Y"/>
    <s v="Y"/>
    <n v="3"/>
    <x v="18"/>
    <x v="2"/>
    <x v="1"/>
    <x v="1"/>
    <x v="0"/>
    <d v="1988-03-19T00:00:00"/>
    <n v="-13427"/>
    <x v="2377"/>
    <x v="3"/>
    <n v="-458"/>
    <n v="1.2539356605065024"/>
    <x v="1"/>
    <n v="1"/>
    <n v="1"/>
    <n v="0"/>
    <n v="0"/>
    <s v="Laborers"/>
    <x v="4"/>
  </r>
  <r>
    <n v="5116683"/>
    <x v="0"/>
    <s v="N"/>
    <s v="Y"/>
    <n v="0"/>
    <x v="2"/>
    <x v="2"/>
    <x v="1"/>
    <x v="4"/>
    <x v="0"/>
    <d v="1978-08-29T00:00:00"/>
    <n v="-16917"/>
    <x v="2378"/>
    <x v="1"/>
    <n v="-4081"/>
    <n v="11.173169062286105"/>
    <x v="1"/>
    <n v="1"/>
    <n v="1"/>
    <n v="0"/>
    <n v="0"/>
    <s v="Laborers"/>
    <x v="0"/>
  </r>
  <r>
    <n v="5116702"/>
    <x v="1"/>
    <s v="N"/>
    <s v="Y"/>
    <n v="1"/>
    <x v="2"/>
    <x v="1"/>
    <x v="1"/>
    <x v="1"/>
    <x v="0"/>
    <d v="1997-01-29T00:00:00"/>
    <n v="-10189"/>
    <x v="2379"/>
    <x v="4"/>
    <n v="-1189"/>
    <n v="3.2553045859000687"/>
    <x v="1"/>
    <n v="1"/>
    <n v="1"/>
    <n v="1"/>
    <n v="0"/>
    <m/>
    <x v="3"/>
  </r>
  <r>
    <n v="5116705"/>
    <x v="0"/>
    <s v="N"/>
    <s v="Y"/>
    <n v="1"/>
    <x v="5"/>
    <x v="2"/>
    <x v="3"/>
    <x v="4"/>
    <x v="0"/>
    <d v="1988-05-24T00:00:00"/>
    <n v="-13361"/>
    <x v="2380"/>
    <x v="3"/>
    <n v="-3258"/>
    <n v="8.9199178644763855"/>
    <x v="1"/>
    <n v="1"/>
    <n v="0"/>
    <n v="0"/>
    <n v="0"/>
    <s v="Cooking staff"/>
    <x v="1"/>
  </r>
  <r>
    <n v="5116707"/>
    <x v="0"/>
    <s v="N"/>
    <s v="Y"/>
    <n v="0"/>
    <x v="2"/>
    <x v="0"/>
    <x v="1"/>
    <x v="1"/>
    <x v="0"/>
    <d v="1963-08-29T00:00:00"/>
    <n v="-22396"/>
    <x v="2381"/>
    <x v="0"/>
    <n v="365243"/>
    <n v="0"/>
    <x v="0"/>
    <n v="1"/>
    <n v="0"/>
    <n v="0"/>
    <n v="0"/>
    <m/>
    <x v="1"/>
  </r>
  <r>
    <n v="5116708"/>
    <x v="0"/>
    <s v="N"/>
    <s v="Y"/>
    <n v="0"/>
    <x v="2"/>
    <x v="0"/>
    <x v="1"/>
    <x v="1"/>
    <x v="0"/>
    <d v="1963-08-29T00:00:00"/>
    <n v="-22396"/>
    <x v="2381"/>
    <x v="0"/>
    <n v="365243"/>
    <n v="0"/>
    <x v="0"/>
    <n v="1"/>
    <n v="0"/>
    <n v="0"/>
    <n v="0"/>
    <m/>
    <x v="1"/>
  </r>
  <r>
    <n v="5116713"/>
    <x v="0"/>
    <s v="N"/>
    <s v="N"/>
    <n v="0"/>
    <x v="1"/>
    <x v="1"/>
    <x v="1"/>
    <x v="0"/>
    <x v="4"/>
    <d v="1972-08-13T00:00:00"/>
    <n v="-19124"/>
    <x v="2382"/>
    <x v="2"/>
    <n v="-670"/>
    <n v="1.8343600273785079"/>
    <x v="1"/>
    <n v="1"/>
    <n v="0"/>
    <n v="0"/>
    <n v="0"/>
    <m/>
    <x v="0"/>
  </r>
  <r>
    <n v="5116718"/>
    <x v="0"/>
    <s v="N"/>
    <s v="N"/>
    <n v="0"/>
    <x v="1"/>
    <x v="1"/>
    <x v="1"/>
    <x v="0"/>
    <x v="4"/>
    <d v="1972-08-13T00:00:00"/>
    <n v="-19124"/>
    <x v="2382"/>
    <x v="2"/>
    <n v="-670"/>
    <n v="1.8343600273785079"/>
    <x v="1"/>
    <n v="1"/>
    <n v="0"/>
    <n v="0"/>
    <n v="0"/>
    <m/>
    <x v="0"/>
  </r>
  <r>
    <n v="5116729"/>
    <x v="1"/>
    <s v="Y"/>
    <s v="Y"/>
    <n v="0"/>
    <x v="16"/>
    <x v="0"/>
    <x v="1"/>
    <x v="3"/>
    <x v="0"/>
    <d v="1957-02-17T00:00:00"/>
    <n v="-24780"/>
    <x v="2383"/>
    <x v="0"/>
    <n v="365243"/>
    <n v="0"/>
    <x v="0"/>
    <n v="1"/>
    <n v="0"/>
    <n v="0"/>
    <n v="0"/>
    <m/>
    <x v="1"/>
  </r>
  <r>
    <n v="5116736"/>
    <x v="1"/>
    <s v="N"/>
    <s v="N"/>
    <n v="0"/>
    <x v="1"/>
    <x v="3"/>
    <x v="1"/>
    <x v="2"/>
    <x v="5"/>
    <d v="2002-10-19T00:00:00"/>
    <n v="-8100"/>
    <x v="2384"/>
    <x v="4"/>
    <n v="-1493"/>
    <n v="4.0876112251882271"/>
    <x v="1"/>
    <n v="1"/>
    <n v="0"/>
    <n v="0"/>
    <n v="0"/>
    <s v="Drivers"/>
    <x v="0"/>
  </r>
  <r>
    <n v="5116748"/>
    <x v="1"/>
    <s v="N"/>
    <s v="Y"/>
    <n v="1"/>
    <x v="5"/>
    <x v="2"/>
    <x v="1"/>
    <x v="1"/>
    <x v="0"/>
    <d v="1982-03-11T00:00:00"/>
    <n v="-15627"/>
    <x v="2385"/>
    <x v="1"/>
    <n v="-2315"/>
    <n v="6.3381245722108144"/>
    <x v="1"/>
    <n v="1"/>
    <n v="0"/>
    <n v="0"/>
    <n v="0"/>
    <m/>
    <x v="3"/>
  </r>
  <r>
    <n v="5116753"/>
    <x v="1"/>
    <s v="Y"/>
    <s v="Y"/>
    <n v="0"/>
    <x v="7"/>
    <x v="1"/>
    <x v="1"/>
    <x v="1"/>
    <x v="0"/>
    <d v="1980-03-31T00:00:00"/>
    <n v="-16337"/>
    <x v="557"/>
    <x v="1"/>
    <n v="-1797"/>
    <n v="4.9199178644763863"/>
    <x v="1"/>
    <n v="1"/>
    <n v="0"/>
    <n v="0"/>
    <n v="0"/>
    <s v="Drivers"/>
    <x v="1"/>
  </r>
  <r>
    <n v="5116755"/>
    <x v="1"/>
    <s v="Y"/>
    <s v="N"/>
    <n v="2"/>
    <x v="1"/>
    <x v="2"/>
    <x v="1"/>
    <x v="1"/>
    <x v="0"/>
    <d v="1985-11-18T00:00:00"/>
    <n v="-14279"/>
    <x v="2386"/>
    <x v="3"/>
    <n v="-5329"/>
    <n v="14.590006844626968"/>
    <x v="1"/>
    <n v="1"/>
    <n v="0"/>
    <n v="0"/>
    <n v="0"/>
    <s v="Sales staff"/>
    <x v="2"/>
  </r>
  <r>
    <n v="5116756"/>
    <x v="1"/>
    <s v="Y"/>
    <s v="N"/>
    <n v="2"/>
    <x v="1"/>
    <x v="2"/>
    <x v="1"/>
    <x v="1"/>
    <x v="0"/>
    <d v="1985-11-18T00:00:00"/>
    <n v="-14279"/>
    <x v="2386"/>
    <x v="3"/>
    <n v="-5329"/>
    <n v="14.590006844626968"/>
    <x v="1"/>
    <n v="1"/>
    <n v="0"/>
    <n v="0"/>
    <n v="0"/>
    <s v="Sales staff"/>
    <x v="2"/>
  </r>
  <r>
    <n v="5116767"/>
    <x v="0"/>
    <s v="N"/>
    <s v="Y"/>
    <n v="0"/>
    <x v="43"/>
    <x v="2"/>
    <x v="1"/>
    <x v="1"/>
    <x v="0"/>
    <d v="1964-08-13T00:00:00"/>
    <n v="-22046"/>
    <x v="2387"/>
    <x v="0"/>
    <n v="-2011"/>
    <n v="5.505817932922656"/>
    <x v="1"/>
    <n v="1"/>
    <n v="0"/>
    <n v="0"/>
    <n v="0"/>
    <s v="Laborers"/>
    <x v="1"/>
  </r>
  <r>
    <n v="5116769"/>
    <x v="0"/>
    <s v="N"/>
    <s v="Y"/>
    <n v="0"/>
    <x v="43"/>
    <x v="2"/>
    <x v="1"/>
    <x v="1"/>
    <x v="0"/>
    <d v="1964-08-13T00:00:00"/>
    <n v="-22046"/>
    <x v="2387"/>
    <x v="0"/>
    <n v="-2011"/>
    <n v="5.505817932922656"/>
    <x v="1"/>
    <n v="1"/>
    <n v="0"/>
    <n v="0"/>
    <n v="0"/>
    <s v="Laborers"/>
    <x v="1"/>
  </r>
  <r>
    <n v="5116770"/>
    <x v="0"/>
    <s v="N"/>
    <s v="Y"/>
    <n v="0"/>
    <x v="43"/>
    <x v="2"/>
    <x v="1"/>
    <x v="1"/>
    <x v="0"/>
    <d v="1964-08-13T00:00:00"/>
    <n v="-22046"/>
    <x v="2387"/>
    <x v="0"/>
    <n v="-2011"/>
    <n v="5.505817932922656"/>
    <x v="1"/>
    <n v="1"/>
    <n v="0"/>
    <n v="0"/>
    <n v="0"/>
    <s v="Laborers"/>
    <x v="1"/>
  </r>
  <r>
    <n v="5116782"/>
    <x v="0"/>
    <s v="N"/>
    <s v="N"/>
    <n v="1"/>
    <x v="30"/>
    <x v="1"/>
    <x v="1"/>
    <x v="1"/>
    <x v="0"/>
    <d v="1995-03-07T00:00:00"/>
    <n v="-10883"/>
    <x v="2388"/>
    <x v="4"/>
    <n v="-1858"/>
    <n v="5.0869267624914443"/>
    <x v="1"/>
    <n v="1"/>
    <n v="0"/>
    <n v="0"/>
    <n v="0"/>
    <m/>
    <x v="3"/>
  </r>
  <r>
    <n v="5116788"/>
    <x v="0"/>
    <s v="N"/>
    <s v="Y"/>
    <n v="0"/>
    <x v="51"/>
    <x v="2"/>
    <x v="1"/>
    <x v="1"/>
    <x v="0"/>
    <d v="1971-02-23T00:00:00"/>
    <n v="-19661"/>
    <x v="2389"/>
    <x v="2"/>
    <n v="-3046"/>
    <n v="8.33949349760438"/>
    <x v="1"/>
    <n v="1"/>
    <n v="1"/>
    <n v="1"/>
    <n v="0"/>
    <s v="Managers"/>
    <x v="1"/>
  </r>
  <r>
    <n v="5116814"/>
    <x v="0"/>
    <s v="N"/>
    <s v="Y"/>
    <n v="0"/>
    <x v="2"/>
    <x v="2"/>
    <x v="1"/>
    <x v="1"/>
    <x v="0"/>
    <d v="1974-09-11T00:00:00"/>
    <n v="-18365"/>
    <x v="2390"/>
    <x v="2"/>
    <n v="-701"/>
    <n v="1.9192334017796031"/>
    <x v="1"/>
    <n v="1"/>
    <n v="0"/>
    <n v="0"/>
    <n v="0"/>
    <s v="High skill tech staff"/>
    <x v="1"/>
  </r>
  <r>
    <n v="5116817"/>
    <x v="1"/>
    <s v="N"/>
    <s v="Y"/>
    <n v="0"/>
    <x v="36"/>
    <x v="3"/>
    <x v="1"/>
    <x v="0"/>
    <x v="3"/>
    <d v="1979-09-08T00:00:00"/>
    <n v="-16542"/>
    <x v="2391"/>
    <x v="1"/>
    <n v="-8737"/>
    <n v="23.920602327173167"/>
    <x v="1"/>
    <n v="1"/>
    <n v="1"/>
    <n v="1"/>
    <n v="0"/>
    <s v="Core staff"/>
    <x v="0"/>
  </r>
  <r>
    <n v="5116819"/>
    <x v="1"/>
    <s v="N"/>
    <s v="Y"/>
    <n v="0"/>
    <x v="36"/>
    <x v="3"/>
    <x v="1"/>
    <x v="0"/>
    <x v="3"/>
    <d v="1979-09-08T00:00:00"/>
    <n v="-16542"/>
    <x v="2391"/>
    <x v="1"/>
    <n v="-8737"/>
    <n v="23.920602327173167"/>
    <x v="1"/>
    <n v="1"/>
    <n v="1"/>
    <n v="1"/>
    <n v="0"/>
    <s v="Core staff"/>
    <x v="0"/>
  </r>
  <r>
    <n v="5116828"/>
    <x v="1"/>
    <s v="Y"/>
    <s v="Y"/>
    <n v="3"/>
    <x v="1"/>
    <x v="1"/>
    <x v="1"/>
    <x v="1"/>
    <x v="0"/>
    <d v="1982-09-16T00:00:00"/>
    <n v="-15438"/>
    <x v="1826"/>
    <x v="1"/>
    <n v="-4872"/>
    <n v="13.338809034907598"/>
    <x v="1"/>
    <n v="1"/>
    <n v="0"/>
    <n v="0"/>
    <n v="0"/>
    <s v="Drivers"/>
    <x v="4"/>
  </r>
  <r>
    <n v="5116838"/>
    <x v="0"/>
    <s v="Y"/>
    <s v="Y"/>
    <n v="1"/>
    <x v="3"/>
    <x v="1"/>
    <x v="1"/>
    <x v="1"/>
    <x v="0"/>
    <d v="1997-03-31T00:00:00"/>
    <n v="-10128"/>
    <x v="2392"/>
    <x v="4"/>
    <n v="-367"/>
    <n v="1.0047912388774811"/>
    <x v="1"/>
    <n v="1"/>
    <n v="0"/>
    <n v="1"/>
    <n v="0"/>
    <s v="Core staff"/>
    <x v="3"/>
  </r>
  <r>
    <n v="5116850"/>
    <x v="0"/>
    <s v="N"/>
    <s v="Y"/>
    <n v="0"/>
    <x v="76"/>
    <x v="2"/>
    <x v="1"/>
    <x v="1"/>
    <x v="0"/>
    <d v="1975-06-10T00:00:00"/>
    <n v="-18093"/>
    <x v="1863"/>
    <x v="1"/>
    <n v="-1036"/>
    <n v="2.8364134154688569"/>
    <x v="1"/>
    <n v="1"/>
    <n v="0"/>
    <n v="0"/>
    <n v="0"/>
    <s v="Laborers"/>
    <x v="1"/>
  </r>
  <r>
    <n v="5116856"/>
    <x v="0"/>
    <s v="N"/>
    <s v="N"/>
    <n v="0"/>
    <x v="1"/>
    <x v="2"/>
    <x v="0"/>
    <x v="2"/>
    <x v="0"/>
    <d v="1998-02-04T00:00:00"/>
    <n v="-9818"/>
    <x v="2393"/>
    <x v="4"/>
    <n v="-520"/>
    <n v="1.4236824093086926"/>
    <x v="1"/>
    <n v="1"/>
    <n v="0"/>
    <n v="0"/>
    <n v="0"/>
    <s v="Core staff"/>
    <x v="0"/>
  </r>
  <r>
    <n v="5116858"/>
    <x v="0"/>
    <s v="N"/>
    <s v="N"/>
    <n v="0"/>
    <x v="1"/>
    <x v="2"/>
    <x v="0"/>
    <x v="2"/>
    <x v="0"/>
    <d v="1998-02-04T00:00:00"/>
    <n v="-9818"/>
    <x v="2393"/>
    <x v="4"/>
    <n v="-520"/>
    <n v="1.4236824093086926"/>
    <x v="1"/>
    <n v="1"/>
    <n v="0"/>
    <n v="0"/>
    <n v="0"/>
    <s v="Core staff"/>
    <x v="0"/>
  </r>
  <r>
    <n v="5116878"/>
    <x v="0"/>
    <s v="N"/>
    <s v="N"/>
    <n v="0"/>
    <x v="2"/>
    <x v="2"/>
    <x v="0"/>
    <x v="2"/>
    <x v="2"/>
    <d v="1994-09-10T00:00:00"/>
    <n v="-11061"/>
    <x v="2394"/>
    <x v="3"/>
    <n v="-157"/>
    <n v="0.42984257357973993"/>
    <x v="1"/>
    <n v="1"/>
    <n v="1"/>
    <n v="1"/>
    <n v="0"/>
    <s v="High skill tech staff"/>
    <x v="0"/>
  </r>
  <r>
    <n v="5116885"/>
    <x v="1"/>
    <s v="Y"/>
    <s v="Y"/>
    <n v="0"/>
    <x v="16"/>
    <x v="1"/>
    <x v="1"/>
    <x v="3"/>
    <x v="0"/>
    <d v="1980-12-27T00:00:00"/>
    <n v="-16066"/>
    <x v="2395"/>
    <x v="1"/>
    <n v="-1434"/>
    <n v="3.9260780287474333"/>
    <x v="1"/>
    <n v="1"/>
    <n v="0"/>
    <n v="0"/>
    <n v="0"/>
    <s v="Laborers"/>
    <x v="1"/>
  </r>
  <r>
    <n v="5116912"/>
    <x v="1"/>
    <s v="N"/>
    <s v="Y"/>
    <n v="0"/>
    <x v="18"/>
    <x v="2"/>
    <x v="1"/>
    <x v="1"/>
    <x v="0"/>
    <d v="1970-10-19T00:00:00"/>
    <n v="-19788"/>
    <x v="2396"/>
    <x v="2"/>
    <n v="-2286"/>
    <n v="6.2587268993839835"/>
    <x v="1"/>
    <n v="1"/>
    <n v="0"/>
    <n v="0"/>
    <n v="0"/>
    <s v="Drivers"/>
    <x v="1"/>
  </r>
  <r>
    <n v="5116914"/>
    <x v="0"/>
    <s v="N"/>
    <s v="Y"/>
    <n v="0"/>
    <x v="29"/>
    <x v="2"/>
    <x v="1"/>
    <x v="1"/>
    <x v="0"/>
    <d v="1976-11-12T00:00:00"/>
    <n v="-17572"/>
    <x v="2397"/>
    <x v="1"/>
    <n v="-4601"/>
    <n v="12.596851471594798"/>
    <x v="1"/>
    <n v="1"/>
    <n v="1"/>
    <n v="0"/>
    <n v="0"/>
    <s v="Cooking staff"/>
    <x v="1"/>
  </r>
  <r>
    <n v="5116920"/>
    <x v="0"/>
    <s v="N"/>
    <s v="Y"/>
    <n v="0"/>
    <x v="76"/>
    <x v="2"/>
    <x v="1"/>
    <x v="2"/>
    <x v="0"/>
    <d v="1974-06-19T00:00:00"/>
    <n v="-18449"/>
    <x v="2089"/>
    <x v="2"/>
    <n v="-9683"/>
    <n v="26.510609171800137"/>
    <x v="1"/>
    <n v="1"/>
    <n v="0"/>
    <n v="0"/>
    <n v="0"/>
    <m/>
    <x v="0"/>
  </r>
  <r>
    <n v="5116926"/>
    <x v="1"/>
    <s v="Y"/>
    <s v="Y"/>
    <n v="0"/>
    <x v="18"/>
    <x v="1"/>
    <x v="1"/>
    <x v="1"/>
    <x v="0"/>
    <d v="1976-02-11T00:00:00"/>
    <n v="-17847"/>
    <x v="2398"/>
    <x v="1"/>
    <n v="-5331"/>
    <n v="14.595482546201232"/>
    <x v="1"/>
    <n v="1"/>
    <n v="0"/>
    <n v="0"/>
    <n v="0"/>
    <s v="Laborers"/>
    <x v="1"/>
  </r>
  <r>
    <n v="5116927"/>
    <x v="1"/>
    <s v="N"/>
    <s v="Y"/>
    <n v="0"/>
    <x v="8"/>
    <x v="2"/>
    <x v="0"/>
    <x v="1"/>
    <x v="0"/>
    <d v="1979-01-21T00:00:00"/>
    <n v="-16772"/>
    <x v="2399"/>
    <x v="1"/>
    <n v="-279"/>
    <n v="0.76386036960985626"/>
    <x v="1"/>
    <n v="1"/>
    <n v="0"/>
    <n v="0"/>
    <n v="0"/>
    <s v="High skill tech staff"/>
    <x v="1"/>
  </r>
  <r>
    <n v="5116928"/>
    <x v="1"/>
    <s v="N"/>
    <s v="Y"/>
    <n v="0"/>
    <x v="8"/>
    <x v="2"/>
    <x v="0"/>
    <x v="1"/>
    <x v="0"/>
    <d v="1979-01-21T00:00:00"/>
    <n v="-16772"/>
    <x v="2399"/>
    <x v="1"/>
    <n v="-279"/>
    <n v="0.76386036960985626"/>
    <x v="1"/>
    <n v="1"/>
    <n v="0"/>
    <n v="0"/>
    <n v="0"/>
    <s v="High skill tech staff"/>
    <x v="1"/>
  </r>
  <r>
    <n v="5116937"/>
    <x v="1"/>
    <s v="N"/>
    <s v="Y"/>
    <n v="0"/>
    <x v="37"/>
    <x v="0"/>
    <x v="1"/>
    <x v="1"/>
    <x v="0"/>
    <d v="1959-02-27T00:00:00"/>
    <n v="-24040"/>
    <x v="2133"/>
    <x v="0"/>
    <n v="365243"/>
    <n v="0"/>
    <x v="0"/>
    <n v="1"/>
    <n v="0"/>
    <n v="0"/>
    <n v="0"/>
    <m/>
    <x v="1"/>
  </r>
  <r>
    <n v="5116983"/>
    <x v="0"/>
    <s v="N"/>
    <s v="Y"/>
    <n v="0"/>
    <x v="2"/>
    <x v="3"/>
    <x v="1"/>
    <x v="4"/>
    <x v="0"/>
    <d v="1970-01-05T00:00:00"/>
    <n v="-20075"/>
    <x v="2400"/>
    <x v="2"/>
    <n v="-672"/>
    <n v="1.839835728952772"/>
    <x v="1"/>
    <n v="1"/>
    <n v="0"/>
    <n v="0"/>
    <n v="0"/>
    <s v="Medicine staff"/>
    <x v="0"/>
  </r>
  <r>
    <n v="5117004"/>
    <x v="0"/>
    <s v="N"/>
    <s v="Y"/>
    <n v="0"/>
    <x v="43"/>
    <x v="2"/>
    <x v="1"/>
    <x v="4"/>
    <x v="0"/>
    <d v="1970-05-17T00:00:00"/>
    <n v="-19943"/>
    <x v="2401"/>
    <x v="2"/>
    <n v="-12148"/>
    <n v="33.259411362080769"/>
    <x v="1"/>
    <n v="1"/>
    <n v="0"/>
    <n v="0"/>
    <n v="0"/>
    <s v="Laborers"/>
    <x v="0"/>
  </r>
  <r>
    <n v="5117014"/>
    <x v="0"/>
    <s v="N"/>
    <s v="N"/>
    <n v="1"/>
    <x v="8"/>
    <x v="1"/>
    <x v="1"/>
    <x v="3"/>
    <x v="0"/>
    <d v="1990-05-15T00:00:00"/>
    <n v="-12640"/>
    <x v="2402"/>
    <x v="3"/>
    <n v="-399"/>
    <n v="1.0924024640657084"/>
    <x v="1"/>
    <n v="1"/>
    <n v="0"/>
    <n v="0"/>
    <n v="0"/>
    <s v="Accountants"/>
    <x v="3"/>
  </r>
  <r>
    <n v="5117020"/>
    <x v="0"/>
    <s v="N"/>
    <s v="N"/>
    <n v="0"/>
    <x v="1"/>
    <x v="2"/>
    <x v="1"/>
    <x v="1"/>
    <x v="2"/>
    <d v="1991-03-02T00:00:00"/>
    <n v="-12349"/>
    <x v="2403"/>
    <x v="3"/>
    <n v="-1799"/>
    <n v="4.9253935660506505"/>
    <x v="1"/>
    <n v="1"/>
    <n v="0"/>
    <n v="0"/>
    <n v="0"/>
    <s v="Laborers"/>
    <x v="1"/>
  </r>
  <r>
    <n v="5117032"/>
    <x v="1"/>
    <s v="Y"/>
    <s v="N"/>
    <n v="0"/>
    <x v="30"/>
    <x v="2"/>
    <x v="1"/>
    <x v="2"/>
    <x v="0"/>
    <d v="1995-12-27T00:00:00"/>
    <n v="-10588"/>
    <x v="2404"/>
    <x v="4"/>
    <n v="-1375"/>
    <n v="3.7645448323066395"/>
    <x v="1"/>
    <n v="1"/>
    <n v="1"/>
    <n v="1"/>
    <n v="0"/>
    <s v="Security staff"/>
    <x v="0"/>
  </r>
  <r>
    <n v="5117070"/>
    <x v="0"/>
    <s v="N"/>
    <s v="N"/>
    <n v="2"/>
    <x v="12"/>
    <x v="3"/>
    <x v="0"/>
    <x v="1"/>
    <x v="0"/>
    <d v="1989-10-19T00:00:00"/>
    <n v="-12848"/>
    <x v="2405"/>
    <x v="3"/>
    <n v="-3839"/>
    <n v="10.510609171800137"/>
    <x v="1"/>
    <n v="1"/>
    <n v="0"/>
    <n v="0"/>
    <n v="1"/>
    <s v="Core staff"/>
    <x v="2"/>
  </r>
  <r>
    <n v="5117078"/>
    <x v="0"/>
    <s v="N"/>
    <s v="N"/>
    <n v="0"/>
    <x v="16"/>
    <x v="2"/>
    <x v="0"/>
    <x v="1"/>
    <x v="0"/>
    <d v="1997-09-27T00:00:00"/>
    <n v="-9948"/>
    <x v="2406"/>
    <x v="4"/>
    <n v="-704"/>
    <n v="1.9274469541409993"/>
    <x v="1"/>
    <n v="1"/>
    <n v="0"/>
    <n v="0"/>
    <n v="0"/>
    <s v="Accountants"/>
    <x v="1"/>
  </r>
  <r>
    <n v="5117093"/>
    <x v="1"/>
    <s v="Y"/>
    <s v="Y"/>
    <n v="0"/>
    <x v="14"/>
    <x v="0"/>
    <x v="1"/>
    <x v="1"/>
    <x v="0"/>
    <d v="1986-08-14T00:00:00"/>
    <n v="-14010"/>
    <x v="2407"/>
    <x v="3"/>
    <n v="365243"/>
    <n v="0"/>
    <x v="0"/>
    <n v="1"/>
    <n v="0"/>
    <n v="0"/>
    <n v="0"/>
    <m/>
    <x v="1"/>
  </r>
  <r>
    <n v="5117105"/>
    <x v="0"/>
    <s v="N"/>
    <s v="Y"/>
    <n v="0"/>
    <x v="3"/>
    <x v="0"/>
    <x v="1"/>
    <x v="1"/>
    <x v="0"/>
    <d v="1959-07-03T00:00:00"/>
    <n v="-23914"/>
    <x v="2408"/>
    <x v="0"/>
    <n v="365243"/>
    <n v="0"/>
    <x v="0"/>
    <n v="1"/>
    <n v="0"/>
    <n v="0"/>
    <n v="0"/>
    <m/>
    <x v="1"/>
  </r>
  <r>
    <n v="5117113"/>
    <x v="1"/>
    <s v="Y"/>
    <s v="Y"/>
    <n v="1"/>
    <x v="117"/>
    <x v="2"/>
    <x v="1"/>
    <x v="3"/>
    <x v="0"/>
    <d v="1981-10-01T00:00:00"/>
    <n v="-15788"/>
    <x v="1661"/>
    <x v="1"/>
    <n v="-430"/>
    <n v="1.1772758384668036"/>
    <x v="1"/>
    <n v="1"/>
    <n v="0"/>
    <n v="0"/>
    <n v="0"/>
    <m/>
    <x v="3"/>
  </r>
  <r>
    <n v="5117117"/>
    <x v="1"/>
    <s v="Y"/>
    <s v="Y"/>
    <n v="1"/>
    <x v="117"/>
    <x v="2"/>
    <x v="1"/>
    <x v="3"/>
    <x v="0"/>
    <d v="1981-10-01T00:00:00"/>
    <n v="-15788"/>
    <x v="1661"/>
    <x v="1"/>
    <n v="-430"/>
    <n v="1.1772758384668036"/>
    <x v="1"/>
    <n v="1"/>
    <n v="0"/>
    <n v="0"/>
    <n v="0"/>
    <m/>
    <x v="3"/>
  </r>
  <r>
    <n v="5117125"/>
    <x v="0"/>
    <s v="Y"/>
    <s v="Y"/>
    <n v="2"/>
    <x v="11"/>
    <x v="2"/>
    <x v="1"/>
    <x v="1"/>
    <x v="0"/>
    <d v="1988-12-30T00:00:00"/>
    <n v="-13141"/>
    <x v="2409"/>
    <x v="3"/>
    <n v="-1222"/>
    <n v="3.3456536618754278"/>
    <x v="1"/>
    <n v="1"/>
    <n v="0"/>
    <n v="0"/>
    <n v="0"/>
    <s v="Medicine staff"/>
    <x v="2"/>
  </r>
  <r>
    <n v="5117141"/>
    <x v="0"/>
    <s v="N"/>
    <s v="Y"/>
    <n v="4"/>
    <x v="97"/>
    <x v="2"/>
    <x v="1"/>
    <x v="1"/>
    <x v="0"/>
    <d v="1990-10-27T00:00:00"/>
    <n v="-12475"/>
    <x v="1875"/>
    <x v="3"/>
    <n v="-1588"/>
    <n v="4.3477070499657771"/>
    <x v="1"/>
    <n v="1"/>
    <n v="0"/>
    <n v="0"/>
    <n v="0"/>
    <s v="High skill tech staff"/>
    <x v="5"/>
  </r>
  <r>
    <n v="5117144"/>
    <x v="1"/>
    <s v="Y"/>
    <s v="N"/>
    <n v="0"/>
    <x v="14"/>
    <x v="1"/>
    <x v="1"/>
    <x v="2"/>
    <x v="0"/>
    <d v="1980-06-06T00:00:00"/>
    <n v="-16270"/>
    <x v="2275"/>
    <x v="1"/>
    <n v="-460"/>
    <n v="1.2594113620807665"/>
    <x v="1"/>
    <n v="1"/>
    <n v="0"/>
    <n v="1"/>
    <n v="0"/>
    <s v="Drivers"/>
    <x v="0"/>
  </r>
  <r>
    <n v="5117148"/>
    <x v="1"/>
    <s v="Y"/>
    <s v="N"/>
    <n v="0"/>
    <x v="14"/>
    <x v="1"/>
    <x v="1"/>
    <x v="2"/>
    <x v="0"/>
    <d v="1980-06-06T00:00:00"/>
    <n v="-16270"/>
    <x v="2275"/>
    <x v="1"/>
    <n v="-460"/>
    <n v="1.2594113620807665"/>
    <x v="1"/>
    <n v="1"/>
    <n v="0"/>
    <n v="1"/>
    <n v="0"/>
    <s v="Drivers"/>
    <x v="0"/>
  </r>
  <r>
    <n v="5117176"/>
    <x v="0"/>
    <s v="N"/>
    <s v="Y"/>
    <n v="0"/>
    <x v="26"/>
    <x v="0"/>
    <x v="0"/>
    <x v="1"/>
    <x v="0"/>
    <d v="1961-11-10T00:00:00"/>
    <n v="-23053"/>
    <x v="2410"/>
    <x v="0"/>
    <n v="365243"/>
    <n v="0"/>
    <x v="0"/>
    <n v="1"/>
    <n v="0"/>
    <n v="0"/>
    <n v="0"/>
    <m/>
    <x v="1"/>
  </r>
  <r>
    <n v="5117179"/>
    <x v="1"/>
    <s v="N"/>
    <s v="Y"/>
    <n v="0"/>
    <x v="1"/>
    <x v="2"/>
    <x v="0"/>
    <x v="1"/>
    <x v="0"/>
    <d v="1970-10-27T00:00:00"/>
    <n v="-19780"/>
    <x v="227"/>
    <x v="2"/>
    <n v="-7097"/>
    <n v="19.430527036276523"/>
    <x v="1"/>
    <n v="1"/>
    <n v="0"/>
    <n v="0"/>
    <n v="0"/>
    <s v="Laborers"/>
    <x v="1"/>
  </r>
  <r>
    <n v="5117191"/>
    <x v="0"/>
    <s v="N"/>
    <s v="Y"/>
    <n v="3"/>
    <x v="57"/>
    <x v="1"/>
    <x v="1"/>
    <x v="4"/>
    <x v="0"/>
    <d v="1983-03-06T00:00:00"/>
    <n v="-15267"/>
    <x v="2411"/>
    <x v="1"/>
    <n v="-461"/>
    <n v="1.2621492128678986"/>
    <x v="1"/>
    <n v="1"/>
    <n v="1"/>
    <n v="1"/>
    <n v="0"/>
    <m/>
    <x v="2"/>
  </r>
  <r>
    <n v="5117236"/>
    <x v="1"/>
    <s v="N"/>
    <s v="Y"/>
    <n v="0"/>
    <x v="90"/>
    <x v="2"/>
    <x v="1"/>
    <x v="1"/>
    <x v="0"/>
    <d v="2002-02-10T00:00:00"/>
    <n v="-8351"/>
    <x v="2412"/>
    <x v="4"/>
    <n v="-672"/>
    <n v="1.839835728952772"/>
    <x v="1"/>
    <n v="1"/>
    <n v="0"/>
    <n v="0"/>
    <n v="0"/>
    <s v="Laborers"/>
    <x v="1"/>
  </r>
  <r>
    <n v="5117245"/>
    <x v="0"/>
    <s v="N"/>
    <s v="Y"/>
    <n v="2"/>
    <x v="2"/>
    <x v="2"/>
    <x v="1"/>
    <x v="1"/>
    <x v="0"/>
    <d v="1989-06-15T00:00:00"/>
    <n v="-12974"/>
    <x v="2413"/>
    <x v="3"/>
    <n v="-2379"/>
    <n v="6.5133470225872694"/>
    <x v="1"/>
    <n v="1"/>
    <n v="0"/>
    <n v="0"/>
    <n v="0"/>
    <s v="Laborers"/>
    <x v="2"/>
  </r>
  <r>
    <n v="5117247"/>
    <x v="0"/>
    <s v="N"/>
    <s v="Y"/>
    <n v="2"/>
    <x v="2"/>
    <x v="2"/>
    <x v="1"/>
    <x v="1"/>
    <x v="0"/>
    <d v="1989-06-15T00:00:00"/>
    <n v="-12974"/>
    <x v="2413"/>
    <x v="3"/>
    <n v="-2379"/>
    <n v="6.5133470225872694"/>
    <x v="1"/>
    <n v="1"/>
    <n v="0"/>
    <n v="0"/>
    <n v="0"/>
    <s v="Laborers"/>
    <x v="2"/>
  </r>
  <r>
    <n v="5117257"/>
    <x v="0"/>
    <s v="Y"/>
    <s v="Y"/>
    <n v="0"/>
    <x v="57"/>
    <x v="3"/>
    <x v="0"/>
    <x v="1"/>
    <x v="0"/>
    <d v="1963-08-27T00:00:00"/>
    <n v="-22398"/>
    <x v="2414"/>
    <x v="0"/>
    <n v="-3506"/>
    <n v="9.5989048596851472"/>
    <x v="1"/>
    <n v="1"/>
    <n v="0"/>
    <n v="0"/>
    <n v="0"/>
    <s v="Medicine staff"/>
    <x v="1"/>
  </r>
  <r>
    <n v="5117259"/>
    <x v="0"/>
    <s v="N"/>
    <s v="Y"/>
    <n v="0"/>
    <x v="2"/>
    <x v="0"/>
    <x v="1"/>
    <x v="1"/>
    <x v="0"/>
    <d v="1963-10-03T00:00:00"/>
    <n v="-22361"/>
    <x v="1726"/>
    <x v="0"/>
    <n v="365243"/>
    <n v="0"/>
    <x v="0"/>
    <n v="1"/>
    <n v="0"/>
    <n v="0"/>
    <n v="0"/>
    <m/>
    <x v="1"/>
  </r>
  <r>
    <n v="5117261"/>
    <x v="0"/>
    <s v="N"/>
    <s v="Y"/>
    <n v="0"/>
    <x v="2"/>
    <x v="0"/>
    <x v="1"/>
    <x v="1"/>
    <x v="0"/>
    <d v="1963-10-03T00:00:00"/>
    <n v="-22361"/>
    <x v="1726"/>
    <x v="0"/>
    <n v="365243"/>
    <n v="0"/>
    <x v="0"/>
    <n v="1"/>
    <n v="0"/>
    <n v="0"/>
    <n v="0"/>
    <m/>
    <x v="1"/>
  </r>
  <r>
    <n v="5117266"/>
    <x v="1"/>
    <s v="N"/>
    <s v="Y"/>
    <n v="0"/>
    <x v="8"/>
    <x v="2"/>
    <x v="1"/>
    <x v="2"/>
    <x v="0"/>
    <d v="1979-10-24T00:00:00"/>
    <n v="-16496"/>
    <x v="2415"/>
    <x v="1"/>
    <n v="-338"/>
    <n v="0.92539356605065026"/>
    <x v="1"/>
    <n v="1"/>
    <n v="0"/>
    <n v="0"/>
    <n v="0"/>
    <s v="Medicine staff"/>
    <x v="0"/>
  </r>
  <r>
    <n v="5117287"/>
    <x v="1"/>
    <s v="Y"/>
    <s v="Y"/>
    <n v="1"/>
    <x v="16"/>
    <x v="2"/>
    <x v="0"/>
    <x v="1"/>
    <x v="0"/>
    <d v="1986-06-03T00:00:00"/>
    <n v="-14082"/>
    <x v="2416"/>
    <x v="3"/>
    <n v="-1800"/>
    <n v="4.9281314168377826"/>
    <x v="1"/>
    <n v="1"/>
    <n v="0"/>
    <n v="0"/>
    <n v="0"/>
    <s v="Managers"/>
    <x v="3"/>
  </r>
  <r>
    <n v="5117313"/>
    <x v="0"/>
    <s v="N"/>
    <s v="Y"/>
    <n v="1"/>
    <x v="5"/>
    <x v="1"/>
    <x v="1"/>
    <x v="1"/>
    <x v="0"/>
    <d v="1989-04-28T00:00:00"/>
    <n v="-13022"/>
    <x v="2342"/>
    <x v="3"/>
    <n v="-3931"/>
    <n v="10.762491444216289"/>
    <x v="1"/>
    <n v="1"/>
    <n v="1"/>
    <n v="1"/>
    <n v="0"/>
    <s v="Laborers"/>
    <x v="3"/>
  </r>
  <r>
    <n v="5117321"/>
    <x v="1"/>
    <s v="Y"/>
    <s v="Y"/>
    <n v="1"/>
    <x v="12"/>
    <x v="1"/>
    <x v="0"/>
    <x v="1"/>
    <x v="0"/>
    <d v="1977-06-02T00:00:00"/>
    <n v="-17370"/>
    <x v="2417"/>
    <x v="1"/>
    <n v="-492"/>
    <n v="1.3470225872689938"/>
    <x v="1"/>
    <n v="1"/>
    <n v="0"/>
    <n v="0"/>
    <n v="0"/>
    <s v="High skill tech staff"/>
    <x v="3"/>
  </r>
  <r>
    <n v="5117322"/>
    <x v="1"/>
    <s v="Y"/>
    <s v="Y"/>
    <n v="1"/>
    <x v="12"/>
    <x v="1"/>
    <x v="0"/>
    <x v="1"/>
    <x v="0"/>
    <d v="1977-06-02T00:00:00"/>
    <n v="-17370"/>
    <x v="2417"/>
    <x v="1"/>
    <n v="-492"/>
    <n v="1.3470225872689938"/>
    <x v="1"/>
    <n v="1"/>
    <n v="0"/>
    <n v="0"/>
    <n v="0"/>
    <s v="High skill tech staff"/>
    <x v="3"/>
  </r>
  <r>
    <n v="5117331"/>
    <x v="0"/>
    <s v="Y"/>
    <s v="Y"/>
    <n v="0"/>
    <x v="18"/>
    <x v="1"/>
    <x v="1"/>
    <x v="0"/>
    <x v="0"/>
    <d v="1983-11-01T00:00:00"/>
    <n v="-15027"/>
    <x v="2418"/>
    <x v="1"/>
    <n v="-2257"/>
    <n v="6.1793292265571527"/>
    <x v="1"/>
    <n v="1"/>
    <n v="0"/>
    <n v="1"/>
    <n v="0"/>
    <s v="Sales staff"/>
    <x v="0"/>
  </r>
  <r>
    <n v="5117345"/>
    <x v="0"/>
    <s v="N"/>
    <s v="N"/>
    <n v="0"/>
    <x v="1"/>
    <x v="0"/>
    <x v="1"/>
    <x v="4"/>
    <x v="4"/>
    <d v="1962-06-24T00:00:00"/>
    <n v="-22827"/>
    <x v="2074"/>
    <x v="0"/>
    <n v="365243"/>
    <n v="0"/>
    <x v="0"/>
    <n v="1"/>
    <n v="0"/>
    <n v="0"/>
    <n v="0"/>
    <m/>
    <x v="0"/>
  </r>
  <r>
    <n v="5117357"/>
    <x v="0"/>
    <s v="N"/>
    <s v="Y"/>
    <n v="3"/>
    <x v="1"/>
    <x v="1"/>
    <x v="1"/>
    <x v="1"/>
    <x v="0"/>
    <d v="1991-08-04T00:00:00"/>
    <n v="-12194"/>
    <x v="2419"/>
    <x v="3"/>
    <n v="-2287"/>
    <n v="6.2614647501711156"/>
    <x v="1"/>
    <n v="1"/>
    <n v="0"/>
    <n v="0"/>
    <n v="0"/>
    <s v="Sales staff"/>
    <x v="4"/>
  </r>
  <r>
    <n v="5117366"/>
    <x v="1"/>
    <s v="Y"/>
    <s v="Y"/>
    <n v="1"/>
    <x v="16"/>
    <x v="2"/>
    <x v="0"/>
    <x v="1"/>
    <x v="2"/>
    <d v="1992-05-07T00:00:00"/>
    <n v="-11917"/>
    <x v="2420"/>
    <x v="3"/>
    <n v="-1680"/>
    <n v="4.59958932238193"/>
    <x v="1"/>
    <n v="1"/>
    <n v="1"/>
    <n v="0"/>
    <n v="0"/>
    <s v="Laborers"/>
    <x v="3"/>
  </r>
  <r>
    <n v="5117391"/>
    <x v="0"/>
    <s v="N"/>
    <s v="N"/>
    <n v="0"/>
    <x v="1"/>
    <x v="1"/>
    <x v="2"/>
    <x v="2"/>
    <x v="0"/>
    <d v="1976-09-30T00:00:00"/>
    <n v="-17615"/>
    <x v="2421"/>
    <x v="1"/>
    <n v="-339"/>
    <n v="0.92813141683778233"/>
    <x v="1"/>
    <n v="1"/>
    <n v="0"/>
    <n v="0"/>
    <n v="0"/>
    <s v="Accountants"/>
    <x v="0"/>
  </r>
  <r>
    <n v="5117392"/>
    <x v="0"/>
    <s v="N"/>
    <s v="N"/>
    <n v="0"/>
    <x v="1"/>
    <x v="1"/>
    <x v="2"/>
    <x v="2"/>
    <x v="0"/>
    <d v="1976-09-30T00:00:00"/>
    <n v="-17615"/>
    <x v="2421"/>
    <x v="1"/>
    <n v="-339"/>
    <n v="0.92813141683778233"/>
    <x v="1"/>
    <n v="1"/>
    <n v="0"/>
    <n v="0"/>
    <n v="0"/>
    <s v="Accountants"/>
    <x v="0"/>
  </r>
  <r>
    <n v="5117401"/>
    <x v="1"/>
    <s v="N"/>
    <s v="N"/>
    <n v="0"/>
    <x v="16"/>
    <x v="1"/>
    <x v="1"/>
    <x v="2"/>
    <x v="0"/>
    <d v="1998-10-01T00:00:00"/>
    <n v="-9579"/>
    <x v="1030"/>
    <x v="4"/>
    <n v="-1953"/>
    <n v="5.3470225872689943"/>
    <x v="1"/>
    <n v="1"/>
    <n v="0"/>
    <n v="0"/>
    <n v="0"/>
    <s v="Laborers"/>
    <x v="0"/>
  </r>
  <r>
    <n v="5117406"/>
    <x v="0"/>
    <s v="N"/>
    <s v="N"/>
    <n v="0"/>
    <x v="56"/>
    <x v="2"/>
    <x v="1"/>
    <x v="1"/>
    <x v="0"/>
    <d v="1979-02-04T00:00:00"/>
    <n v="-16758"/>
    <x v="2422"/>
    <x v="1"/>
    <n v="-1619"/>
    <n v="4.4325804243668721"/>
    <x v="1"/>
    <n v="1"/>
    <n v="0"/>
    <n v="0"/>
    <n v="0"/>
    <s v="Waiters/barmen staff"/>
    <x v="1"/>
  </r>
  <r>
    <n v="5117414"/>
    <x v="0"/>
    <s v="N"/>
    <s v="N"/>
    <n v="0"/>
    <x v="2"/>
    <x v="3"/>
    <x v="0"/>
    <x v="1"/>
    <x v="0"/>
    <d v="1987-10-24T00:00:00"/>
    <n v="-13574"/>
    <x v="1358"/>
    <x v="3"/>
    <n v="-188"/>
    <n v="0.51471594798083509"/>
    <x v="1"/>
    <n v="1"/>
    <n v="0"/>
    <n v="1"/>
    <n v="0"/>
    <s v="Core staff"/>
    <x v="1"/>
  </r>
  <r>
    <n v="5117415"/>
    <x v="0"/>
    <s v="Y"/>
    <s v="N"/>
    <n v="0"/>
    <x v="2"/>
    <x v="2"/>
    <x v="1"/>
    <x v="1"/>
    <x v="0"/>
    <d v="1980-07-31T00:00:00"/>
    <n v="-16215"/>
    <x v="2423"/>
    <x v="1"/>
    <n v="-3567"/>
    <n v="9.765913757700206"/>
    <x v="1"/>
    <n v="1"/>
    <n v="0"/>
    <n v="0"/>
    <n v="0"/>
    <s v="Sales staff"/>
    <x v="1"/>
  </r>
  <r>
    <n v="5117417"/>
    <x v="0"/>
    <s v="Y"/>
    <s v="N"/>
    <n v="0"/>
    <x v="2"/>
    <x v="2"/>
    <x v="1"/>
    <x v="1"/>
    <x v="0"/>
    <d v="1980-07-31T00:00:00"/>
    <n v="-16215"/>
    <x v="2423"/>
    <x v="1"/>
    <n v="-3567"/>
    <n v="9.765913757700206"/>
    <x v="1"/>
    <n v="1"/>
    <n v="0"/>
    <n v="0"/>
    <n v="0"/>
    <s v="Sales staff"/>
    <x v="1"/>
  </r>
  <r>
    <n v="5117421"/>
    <x v="1"/>
    <s v="Y"/>
    <s v="N"/>
    <n v="3"/>
    <x v="16"/>
    <x v="2"/>
    <x v="1"/>
    <x v="1"/>
    <x v="0"/>
    <d v="1997-06-19T00:00:00"/>
    <n v="-10048"/>
    <x v="2424"/>
    <x v="4"/>
    <n v="-3475"/>
    <n v="9.5140314852840522"/>
    <x v="1"/>
    <n v="1"/>
    <n v="1"/>
    <n v="0"/>
    <n v="0"/>
    <m/>
    <x v="4"/>
  </r>
  <r>
    <n v="5117451"/>
    <x v="0"/>
    <s v="N"/>
    <s v="N"/>
    <n v="2"/>
    <x v="30"/>
    <x v="2"/>
    <x v="1"/>
    <x v="1"/>
    <x v="0"/>
    <d v="1992-06-30T00:00:00"/>
    <n v="-11863"/>
    <x v="2053"/>
    <x v="3"/>
    <n v="-96"/>
    <n v="0.26283367556468173"/>
    <x v="1"/>
    <n v="1"/>
    <n v="1"/>
    <n v="0"/>
    <n v="0"/>
    <m/>
    <x v="2"/>
  </r>
  <r>
    <n v="5117460"/>
    <x v="0"/>
    <s v="Y"/>
    <s v="N"/>
    <n v="1"/>
    <x v="10"/>
    <x v="2"/>
    <x v="1"/>
    <x v="1"/>
    <x v="0"/>
    <d v="1993-01-04T00:00:00"/>
    <n v="-11675"/>
    <x v="2425"/>
    <x v="3"/>
    <n v="-3779"/>
    <n v="10.346338124572211"/>
    <x v="1"/>
    <n v="1"/>
    <n v="1"/>
    <n v="0"/>
    <n v="0"/>
    <s v="Sales staff"/>
    <x v="3"/>
  </r>
  <r>
    <n v="5117464"/>
    <x v="1"/>
    <s v="N"/>
    <s v="N"/>
    <n v="1"/>
    <x v="11"/>
    <x v="1"/>
    <x v="0"/>
    <x v="1"/>
    <x v="0"/>
    <d v="1989-04-10T00:00:00"/>
    <n v="-13040"/>
    <x v="2426"/>
    <x v="3"/>
    <n v="-1223"/>
    <n v="3.3483915126625599"/>
    <x v="1"/>
    <n v="1"/>
    <n v="1"/>
    <n v="0"/>
    <n v="0"/>
    <s v="Core staff"/>
    <x v="3"/>
  </r>
  <r>
    <n v="5117473"/>
    <x v="1"/>
    <s v="N"/>
    <s v="N"/>
    <n v="1"/>
    <x v="11"/>
    <x v="1"/>
    <x v="0"/>
    <x v="1"/>
    <x v="0"/>
    <d v="1989-04-10T00:00:00"/>
    <n v="-13040"/>
    <x v="2426"/>
    <x v="3"/>
    <n v="-1223"/>
    <n v="3.3483915126625599"/>
    <x v="1"/>
    <n v="1"/>
    <n v="1"/>
    <n v="0"/>
    <n v="0"/>
    <s v="Core staff"/>
    <x v="3"/>
  </r>
  <r>
    <n v="5117475"/>
    <x v="1"/>
    <s v="N"/>
    <s v="N"/>
    <n v="1"/>
    <x v="11"/>
    <x v="1"/>
    <x v="0"/>
    <x v="1"/>
    <x v="0"/>
    <d v="1989-04-10T00:00:00"/>
    <n v="-13040"/>
    <x v="2426"/>
    <x v="3"/>
    <n v="-1223"/>
    <n v="3.3483915126625599"/>
    <x v="1"/>
    <n v="1"/>
    <n v="1"/>
    <n v="0"/>
    <n v="0"/>
    <s v="Core staff"/>
    <x v="3"/>
  </r>
  <r>
    <n v="5117486"/>
    <x v="1"/>
    <s v="Y"/>
    <s v="N"/>
    <n v="0"/>
    <x v="1"/>
    <x v="1"/>
    <x v="1"/>
    <x v="1"/>
    <x v="0"/>
    <d v="1972-10-28T00:00:00"/>
    <n v="-19048"/>
    <x v="2427"/>
    <x v="2"/>
    <n v="-3932"/>
    <n v="10.765229295003422"/>
    <x v="1"/>
    <n v="1"/>
    <n v="1"/>
    <n v="0"/>
    <n v="0"/>
    <s v="Drivers"/>
    <x v="1"/>
  </r>
  <r>
    <n v="5117487"/>
    <x v="0"/>
    <s v="N"/>
    <s v="N"/>
    <n v="0"/>
    <x v="68"/>
    <x v="1"/>
    <x v="1"/>
    <x v="1"/>
    <x v="0"/>
    <d v="1973-06-06T00:00:00"/>
    <n v="-18827"/>
    <x v="2428"/>
    <x v="2"/>
    <n v="-1131"/>
    <n v="3.0965092402464065"/>
    <x v="1"/>
    <n v="1"/>
    <n v="0"/>
    <n v="1"/>
    <n v="0"/>
    <s v="Laborers"/>
    <x v="1"/>
  </r>
  <r>
    <n v="5117488"/>
    <x v="0"/>
    <s v="N"/>
    <s v="N"/>
    <n v="0"/>
    <x v="68"/>
    <x v="1"/>
    <x v="1"/>
    <x v="1"/>
    <x v="0"/>
    <d v="1973-06-06T00:00:00"/>
    <n v="-18827"/>
    <x v="2428"/>
    <x v="2"/>
    <n v="-1131"/>
    <n v="3.0965092402464065"/>
    <x v="1"/>
    <n v="1"/>
    <n v="0"/>
    <n v="1"/>
    <n v="0"/>
    <s v="Laborers"/>
    <x v="1"/>
  </r>
  <r>
    <n v="5117505"/>
    <x v="1"/>
    <s v="N"/>
    <s v="N"/>
    <n v="0"/>
    <x v="39"/>
    <x v="2"/>
    <x v="1"/>
    <x v="2"/>
    <x v="0"/>
    <d v="1996-12-24T00:00:00"/>
    <n v="-10225"/>
    <x v="2429"/>
    <x v="4"/>
    <n v="-1376"/>
    <n v="3.7672826830937716"/>
    <x v="1"/>
    <n v="1"/>
    <n v="1"/>
    <n v="0"/>
    <n v="0"/>
    <s v="Laborers"/>
    <x v="0"/>
  </r>
  <r>
    <n v="5117507"/>
    <x v="1"/>
    <s v="N"/>
    <s v="N"/>
    <n v="0"/>
    <x v="39"/>
    <x v="2"/>
    <x v="1"/>
    <x v="2"/>
    <x v="0"/>
    <d v="1996-12-24T00:00:00"/>
    <n v="-10225"/>
    <x v="2429"/>
    <x v="4"/>
    <n v="-1376"/>
    <n v="3.7672826830937716"/>
    <x v="1"/>
    <n v="1"/>
    <n v="1"/>
    <n v="0"/>
    <n v="0"/>
    <s v="Laborers"/>
    <x v="0"/>
  </r>
  <r>
    <n v="5117518"/>
    <x v="0"/>
    <s v="N"/>
    <s v="N"/>
    <n v="1"/>
    <x v="23"/>
    <x v="2"/>
    <x v="1"/>
    <x v="2"/>
    <x v="1"/>
    <d v="1985-06-23T00:00:00"/>
    <n v="-14427"/>
    <x v="2430"/>
    <x v="3"/>
    <n v="-3506"/>
    <n v="9.5989048596851472"/>
    <x v="1"/>
    <n v="1"/>
    <n v="1"/>
    <n v="1"/>
    <n v="0"/>
    <s v="High skill tech staff"/>
    <x v="1"/>
  </r>
  <r>
    <n v="5117528"/>
    <x v="0"/>
    <s v="N"/>
    <s v="N"/>
    <n v="1"/>
    <x v="23"/>
    <x v="2"/>
    <x v="1"/>
    <x v="2"/>
    <x v="1"/>
    <d v="1985-06-23T00:00:00"/>
    <n v="-14427"/>
    <x v="2430"/>
    <x v="3"/>
    <n v="-3506"/>
    <n v="9.5989048596851472"/>
    <x v="1"/>
    <n v="1"/>
    <n v="1"/>
    <n v="1"/>
    <n v="0"/>
    <s v="High skill tech staff"/>
    <x v="1"/>
  </r>
  <r>
    <n v="5117531"/>
    <x v="0"/>
    <s v="N"/>
    <s v="N"/>
    <n v="0"/>
    <x v="29"/>
    <x v="2"/>
    <x v="1"/>
    <x v="1"/>
    <x v="0"/>
    <d v="1982-09-18T00:00:00"/>
    <n v="-15436"/>
    <x v="2431"/>
    <x v="1"/>
    <n v="-1953"/>
    <n v="5.3470225872689943"/>
    <x v="1"/>
    <n v="1"/>
    <n v="1"/>
    <n v="0"/>
    <n v="0"/>
    <s v="Core staff"/>
    <x v="1"/>
  </r>
  <r>
    <n v="5117550"/>
    <x v="1"/>
    <s v="Y"/>
    <s v="N"/>
    <n v="1"/>
    <x v="10"/>
    <x v="1"/>
    <x v="1"/>
    <x v="1"/>
    <x v="0"/>
    <d v="1989-07-29T00:00:00"/>
    <n v="-12930"/>
    <x v="2432"/>
    <x v="3"/>
    <n v="-2865"/>
    <n v="7.8439425051334704"/>
    <x v="1"/>
    <n v="1"/>
    <n v="1"/>
    <n v="1"/>
    <n v="0"/>
    <s v="Drivers"/>
    <x v="3"/>
  </r>
  <r>
    <n v="5117578"/>
    <x v="0"/>
    <s v="Y"/>
    <s v="N"/>
    <n v="0"/>
    <x v="16"/>
    <x v="2"/>
    <x v="1"/>
    <x v="1"/>
    <x v="0"/>
    <d v="1972-02-02T00:00:00"/>
    <n v="-19317"/>
    <x v="1255"/>
    <x v="2"/>
    <n v="-11542"/>
    <n v="31.600273785078713"/>
    <x v="1"/>
    <n v="1"/>
    <n v="0"/>
    <n v="0"/>
    <n v="0"/>
    <s v="Medicine staff"/>
    <x v="1"/>
  </r>
  <r>
    <n v="5117584"/>
    <x v="0"/>
    <s v="N"/>
    <s v="N"/>
    <n v="0"/>
    <x v="1"/>
    <x v="3"/>
    <x v="0"/>
    <x v="1"/>
    <x v="0"/>
    <d v="1975-02-26T00:00:00"/>
    <n v="-18197"/>
    <x v="2433"/>
    <x v="1"/>
    <n v="-4418"/>
    <n v="12.095824777549623"/>
    <x v="1"/>
    <n v="1"/>
    <n v="1"/>
    <n v="0"/>
    <n v="0"/>
    <s v="Accountants"/>
    <x v="1"/>
  </r>
  <r>
    <n v="5117598"/>
    <x v="0"/>
    <s v="N"/>
    <s v="N"/>
    <n v="0"/>
    <x v="23"/>
    <x v="2"/>
    <x v="1"/>
    <x v="2"/>
    <x v="0"/>
    <d v="1978-09-17T00:00:00"/>
    <n v="-16898"/>
    <x v="2434"/>
    <x v="1"/>
    <n v="-7310"/>
    <n v="20.013689253935659"/>
    <x v="1"/>
    <n v="1"/>
    <n v="1"/>
    <n v="1"/>
    <n v="0"/>
    <s v="Core staff"/>
    <x v="0"/>
  </r>
  <r>
    <n v="5117604"/>
    <x v="0"/>
    <s v="N"/>
    <s v="N"/>
    <n v="0"/>
    <x v="5"/>
    <x v="2"/>
    <x v="0"/>
    <x v="1"/>
    <x v="0"/>
    <d v="1986-05-18T00:00:00"/>
    <n v="-14098"/>
    <x v="2435"/>
    <x v="3"/>
    <n v="-2257"/>
    <n v="6.1793292265571527"/>
    <x v="1"/>
    <n v="1"/>
    <n v="0"/>
    <n v="0"/>
    <n v="0"/>
    <s v="Core staff"/>
    <x v="1"/>
  </r>
  <r>
    <n v="5117620"/>
    <x v="0"/>
    <s v="N"/>
    <s v="N"/>
    <n v="0"/>
    <x v="6"/>
    <x v="2"/>
    <x v="0"/>
    <x v="1"/>
    <x v="0"/>
    <d v="1966-03-16T00:00:00"/>
    <n v="-21466"/>
    <x v="2436"/>
    <x v="2"/>
    <n v="-3992"/>
    <n v="10.929500342231348"/>
    <x v="1"/>
    <n v="1"/>
    <n v="0"/>
    <n v="0"/>
    <n v="0"/>
    <s v="Core staff"/>
    <x v="1"/>
  </r>
  <r>
    <n v="5117627"/>
    <x v="1"/>
    <s v="N"/>
    <s v="N"/>
    <n v="0"/>
    <x v="5"/>
    <x v="1"/>
    <x v="2"/>
    <x v="2"/>
    <x v="0"/>
    <d v="1998-01-04T00:00:00"/>
    <n v="-9849"/>
    <x v="2437"/>
    <x v="4"/>
    <n v="-219"/>
    <n v="0.59958932238193019"/>
    <x v="1"/>
    <n v="1"/>
    <n v="0"/>
    <n v="1"/>
    <n v="0"/>
    <m/>
    <x v="0"/>
  </r>
  <r>
    <n v="5117654"/>
    <x v="0"/>
    <s v="N"/>
    <s v="N"/>
    <n v="2"/>
    <x v="16"/>
    <x v="3"/>
    <x v="1"/>
    <x v="1"/>
    <x v="0"/>
    <d v="1987-08-25T00:00:00"/>
    <n v="-13634"/>
    <x v="2438"/>
    <x v="3"/>
    <n v="-1741"/>
    <n v="4.7665982203969888"/>
    <x v="1"/>
    <n v="1"/>
    <n v="0"/>
    <n v="0"/>
    <n v="0"/>
    <s v="Laborers"/>
    <x v="2"/>
  </r>
  <r>
    <n v="5117659"/>
    <x v="0"/>
    <s v="Y"/>
    <s v="N"/>
    <n v="0"/>
    <x v="145"/>
    <x v="0"/>
    <x v="0"/>
    <x v="4"/>
    <x v="0"/>
    <d v="1967-04-20T00:00:00"/>
    <n v="-21066"/>
    <x v="933"/>
    <x v="2"/>
    <n v="365243"/>
    <n v="0"/>
    <x v="0"/>
    <n v="1"/>
    <n v="0"/>
    <n v="0"/>
    <n v="0"/>
    <m/>
    <x v="0"/>
  </r>
  <r>
    <n v="5117666"/>
    <x v="1"/>
    <s v="N"/>
    <s v="N"/>
    <n v="0"/>
    <x v="69"/>
    <x v="0"/>
    <x v="1"/>
    <x v="1"/>
    <x v="0"/>
    <d v="1960-03-18T00:00:00"/>
    <n v="-23655"/>
    <x v="2439"/>
    <x v="0"/>
    <n v="365243"/>
    <n v="0"/>
    <x v="0"/>
    <n v="1"/>
    <n v="0"/>
    <n v="0"/>
    <n v="0"/>
    <m/>
    <x v="1"/>
  </r>
  <r>
    <n v="5117697"/>
    <x v="0"/>
    <s v="N"/>
    <s v="N"/>
    <n v="0"/>
    <x v="78"/>
    <x v="3"/>
    <x v="1"/>
    <x v="0"/>
    <x v="0"/>
    <d v="1962-12-06T00:00:00"/>
    <n v="-22662"/>
    <x v="2440"/>
    <x v="0"/>
    <n v="-4206"/>
    <n v="11.515400410677618"/>
    <x v="1"/>
    <n v="1"/>
    <n v="0"/>
    <n v="0"/>
    <n v="0"/>
    <m/>
    <x v="0"/>
  </r>
  <r>
    <n v="5117704"/>
    <x v="1"/>
    <s v="Y"/>
    <s v="N"/>
    <n v="0"/>
    <x v="12"/>
    <x v="2"/>
    <x v="0"/>
    <x v="1"/>
    <x v="0"/>
    <d v="1969-05-06T00:00:00"/>
    <n v="-20319"/>
    <x v="2441"/>
    <x v="2"/>
    <n v="-3961"/>
    <n v="10.844626967830253"/>
    <x v="1"/>
    <n v="1"/>
    <n v="1"/>
    <n v="0"/>
    <n v="0"/>
    <m/>
    <x v="1"/>
  </r>
  <r>
    <n v="5117707"/>
    <x v="1"/>
    <s v="Y"/>
    <s v="N"/>
    <n v="0"/>
    <x v="12"/>
    <x v="2"/>
    <x v="0"/>
    <x v="1"/>
    <x v="0"/>
    <d v="1969-05-06T00:00:00"/>
    <n v="-20319"/>
    <x v="2441"/>
    <x v="2"/>
    <n v="-3961"/>
    <n v="10.844626967830253"/>
    <x v="1"/>
    <n v="1"/>
    <n v="1"/>
    <n v="0"/>
    <n v="0"/>
    <m/>
    <x v="1"/>
  </r>
  <r>
    <n v="5117710"/>
    <x v="0"/>
    <s v="N"/>
    <s v="N"/>
    <n v="2"/>
    <x v="29"/>
    <x v="1"/>
    <x v="1"/>
    <x v="1"/>
    <x v="0"/>
    <d v="1992-03-07T00:00:00"/>
    <n v="-11978"/>
    <x v="2064"/>
    <x v="3"/>
    <n v="-370"/>
    <n v="1.0130047912388775"/>
    <x v="1"/>
    <n v="1"/>
    <n v="0"/>
    <n v="0"/>
    <n v="0"/>
    <m/>
    <x v="2"/>
  </r>
  <r>
    <n v="5117756"/>
    <x v="1"/>
    <s v="Y"/>
    <s v="N"/>
    <n v="0"/>
    <x v="38"/>
    <x v="2"/>
    <x v="1"/>
    <x v="1"/>
    <x v="0"/>
    <d v="1981-02-20T00:00:00"/>
    <n v="-16011"/>
    <x v="2066"/>
    <x v="1"/>
    <n v="-1649"/>
    <n v="4.514715947980835"/>
    <x v="1"/>
    <n v="1"/>
    <n v="0"/>
    <n v="0"/>
    <n v="0"/>
    <s v="Managers"/>
    <x v="1"/>
  </r>
  <r>
    <n v="5117761"/>
    <x v="0"/>
    <s v="N"/>
    <s v="N"/>
    <n v="0"/>
    <x v="20"/>
    <x v="3"/>
    <x v="1"/>
    <x v="1"/>
    <x v="0"/>
    <d v="1970-05-29T00:00:00"/>
    <n v="-19931"/>
    <x v="2442"/>
    <x v="2"/>
    <n v="-3141"/>
    <n v="8.5995893223819309"/>
    <x v="1"/>
    <n v="1"/>
    <n v="1"/>
    <n v="0"/>
    <n v="0"/>
    <s v="Core staff"/>
    <x v="1"/>
  </r>
  <r>
    <n v="5117770"/>
    <x v="0"/>
    <s v="Y"/>
    <s v="N"/>
    <n v="0"/>
    <x v="23"/>
    <x v="2"/>
    <x v="1"/>
    <x v="4"/>
    <x v="0"/>
    <d v="1985-07-13T00:00:00"/>
    <n v="-14407"/>
    <x v="2443"/>
    <x v="3"/>
    <n v="-1345"/>
    <n v="3.6824093086926761"/>
    <x v="1"/>
    <n v="1"/>
    <n v="0"/>
    <n v="0"/>
    <n v="0"/>
    <s v="HR staff"/>
    <x v="0"/>
  </r>
  <r>
    <n v="5117778"/>
    <x v="0"/>
    <s v="Y"/>
    <s v="N"/>
    <n v="0"/>
    <x v="23"/>
    <x v="2"/>
    <x v="1"/>
    <x v="4"/>
    <x v="0"/>
    <d v="1985-07-13T00:00:00"/>
    <n v="-14407"/>
    <x v="2443"/>
    <x v="3"/>
    <n v="-1345"/>
    <n v="3.6824093086926761"/>
    <x v="1"/>
    <n v="1"/>
    <n v="0"/>
    <n v="0"/>
    <n v="0"/>
    <s v="HR staff"/>
    <x v="0"/>
  </r>
  <r>
    <n v="5117779"/>
    <x v="0"/>
    <s v="Y"/>
    <s v="N"/>
    <n v="0"/>
    <x v="23"/>
    <x v="2"/>
    <x v="1"/>
    <x v="4"/>
    <x v="0"/>
    <d v="1985-07-13T00:00:00"/>
    <n v="-14407"/>
    <x v="2443"/>
    <x v="3"/>
    <n v="-1345"/>
    <n v="3.6824093086926761"/>
    <x v="1"/>
    <n v="1"/>
    <n v="0"/>
    <n v="0"/>
    <n v="0"/>
    <s v="HR staff"/>
    <x v="0"/>
  </r>
  <r>
    <n v="5117801"/>
    <x v="1"/>
    <s v="N"/>
    <s v="N"/>
    <n v="0"/>
    <x v="2"/>
    <x v="0"/>
    <x v="1"/>
    <x v="1"/>
    <x v="0"/>
    <d v="1962-02-01T00:00:00"/>
    <n v="-22970"/>
    <x v="2444"/>
    <x v="0"/>
    <n v="365243"/>
    <n v="0"/>
    <x v="0"/>
    <n v="1"/>
    <n v="0"/>
    <n v="0"/>
    <n v="0"/>
    <m/>
    <x v="1"/>
  </r>
  <r>
    <n v="5117805"/>
    <x v="0"/>
    <s v="N"/>
    <s v="N"/>
    <n v="0"/>
    <x v="37"/>
    <x v="0"/>
    <x v="1"/>
    <x v="4"/>
    <x v="0"/>
    <d v="1965-10-16T00:00:00"/>
    <n v="-21617"/>
    <x v="2445"/>
    <x v="2"/>
    <n v="365243"/>
    <n v="0"/>
    <x v="0"/>
    <n v="1"/>
    <n v="0"/>
    <n v="0"/>
    <n v="0"/>
    <m/>
    <x v="0"/>
  </r>
  <r>
    <n v="5117815"/>
    <x v="1"/>
    <s v="N"/>
    <s v="N"/>
    <n v="0"/>
    <x v="3"/>
    <x v="0"/>
    <x v="0"/>
    <x v="1"/>
    <x v="0"/>
    <d v="1968-07-06T00:00:00"/>
    <n v="-20623"/>
    <x v="2446"/>
    <x v="2"/>
    <n v="365243"/>
    <n v="0"/>
    <x v="0"/>
    <n v="1"/>
    <n v="0"/>
    <n v="1"/>
    <n v="0"/>
    <m/>
    <x v="1"/>
  </r>
  <r>
    <n v="5117820"/>
    <x v="1"/>
    <s v="Y"/>
    <s v="N"/>
    <n v="0"/>
    <x v="65"/>
    <x v="1"/>
    <x v="1"/>
    <x v="1"/>
    <x v="0"/>
    <d v="1977-03-16T00:00:00"/>
    <n v="-17448"/>
    <x v="2447"/>
    <x v="1"/>
    <n v="-3567"/>
    <n v="9.765913757700206"/>
    <x v="1"/>
    <n v="1"/>
    <n v="0"/>
    <n v="0"/>
    <n v="0"/>
    <s v="Laborers"/>
    <x v="1"/>
  </r>
  <r>
    <n v="5117823"/>
    <x v="1"/>
    <s v="Y"/>
    <s v="N"/>
    <n v="0"/>
    <x v="65"/>
    <x v="1"/>
    <x v="1"/>
    <x v="1"/>
    <x v="0"/>
    <d v="1977-03-16T00:00:00"/>
    <n v="-17448"/>
    <x v="2447"/>
    <x v="1"/>
    <n v="-3567"/>
    <n v="9.765913757700206"/>
    <x v="1"/>
    <n v="1"/>
    <n v="0"/>
    <n v="0"/>
    <n v="0"/>
    <s v="Laborers"/>
    <x v="1"/>
  </r>
  <r>
    <n v="5117826"/>
    <x v="1"/>
    <s v="Y"/>
    <s v="Y"/>
    <n v="0"/>
    <x v="11"/>
    <x v="0"/>
    <x v="1"/>
    <x v="1"/>
    <x v="0"/>
    <d v="1980-12-20T00:00:00"/>
    <n v="-16073"/>
    <x v="2448"/>
    <x v="1"/>
    <n v="365243"/>
    <n v="0"/>
    <x v="0"/>
    <n v="1"/>
    <n v="0"/>
    <n v="0"/>
    <n v="0"/>
    <m/>
    <x v="1"/>
  </r>
  <r>
    <n v="5117837"/>
    <x v="1"/>
    <s v="Y"/>
    <s v="N"/>
    <n v="0"/>
    <x v="5"/>
    <x v="2"/>
    <x v="1"/>
    <x v="1"/>
    <x v="0"/>
    <d v="1970-08-25T00:00:00"/>
    <n v="-19843"/>
    <x v="2449"/>
    <x v="2"/>
    <n v="-1922"/>
    <n v="5.2621492128678984"/>
    <x v="1"/>
    <n v="1"/>
    <n v="0"/>
    <n v="0"/>
    <n v="0"/>
    <s v="Managers"/>
    <x v="1"/>
  </r>
  <r>
    <n v="5117852"/>
    <x v="0"/>
    <s v="N"/>
    <s v="N"/>
    <n v="1"/>
    <x v="1"/>
    <x v="2"/>
    <x v="0"/>
    <x v="1"/>
    <x v="2"/>
    <d v="1995-03-13T00:00:00"/>
    <n v="-10877"/>
    <x v="2450"/>
    <x v="4"/>
    <n v="-2349"/>
    <n v="6.4312114989733056"/>
    <x v="1"/>
    <n v="1"/>
    <n v="0"/>
    <n v="0"/>
    <n v="0"/>
    <s v="Core staff"/>
    <x v="3"/>
  </r>
  <r>
    <n v="5117862"/>
    <x v="0"/>
    <s v="N"/>
    <s v="N"/>
    <n v="0"/>
    <x v="30"/>
    <x v="0"/>
    <x v="1"/>
    <x v="2"/>
    <x v="0"/>
    <d v="1956-12-16T00:00:00"/>
    <n v="-24843"/>
    <x v="2069"/>
    <x v="0"/>
    <n v="365243"/>
    <n v="0"/>
    <x v="0"/>
    <n v="1"/>
    <n v="0"/>
    <n v="0"/>
    <n v="0"/>
    <m/>
    <x v="0"/>
  </r>
  <r>
    <n v="5117873"/>
    <x v="0"/>
    <s v="N"/>
    <s v="N"/>
    <n v="0"/>
    <x v="5"/>
    <x v="2"/>
    <x v="0"/>
    <x v="1"/>
    <x v="0"/>
    <d v="1999-03-06T00:00:00"/>
    <n v="-9423"/>
    <x v="1962"/>
    <x v="4"/>
    <n v="-370"/>
    <n v="1.0130047912388775"/>
    <x v="1"/>
    <n v="1"/>
    <n v="1"/>
    <n v="0"/>
    <n v="0"/>
    <s v="Sales staff"/>
    <x v="1"/>
  </r>
  <r>
    <n v="5117879"/>
    <x v="1"/>
    <s v="Y"/>
    <s v="N"/>
    <n v="0"/>
    <x v="19"/>
    <x v="2"/>
    <x v="1"/>
    <x v="1"/>
    <x v="0"/>
    <d v="1974-05-15T00:00:00"/>
    <n v="-18484"/>
    <x v="2451"/>
    <x v="2"/>
    <n v="-461"/>
    <n v="1.2621492128678986"/>
    <x v="1"/>
    <n v="1"/>
    <n v="0"/>
    <n v="1"/>
    <n v="0"/>
    <s v="Drivers"/>
    <x v="1"/>
  </r>
  <r>
    <n v="5117883"/>
    <x v="1"/>
    <s v="Y"/>
    <s v="N"/>
    <n v="0"/>
    <x v="19"/>
    <x v="2"/>
    <x v="1"/>
    <x v="1"/>
    <x v="0"/>
    <d v="1974-05-15T00:00:00"/>
    <n v="-18484"/>
    <x v="2451"/>
    <x v="2"/>
    <n v="-461"/>
    <n v="1.2621492128678986"/>
    <x v="1"/>
    <n v="1"/>
    <n v="0"/>
    <n v="1"/>
    <n v="0"/>
    <s v="Drivers"/>
    <x v="1"/>
  </r>
  <r>
    <n v="5117885"/>
    <x v="1"/>
    <s v="Y"/>
    <s v="N"/>
    <n v="0"/>
    <x v="19"/>
    <x v="2"/>
    <x v="1"/>
    <x v="1"/>
    <x v="0"/>
    <d v="1974-05-15T00:00:00"/>
    <n v="-18484"/>
    <x v="2451"/>
    <x v="2"/>
    <n v="-461"/>
    <n v="1.2621492128678986"/>
    <x v="1"/>
    <n v="1"/>
    <n v="0"/>
    <n v="1"/>
    <n v="0"/>
    <s v="Drivers"/>
    <x v="1"/>
  </r>
  <r>
    <n v="5117888"/>
    <x v="0"/>
    <s v="Y"/>
    <s v="N"/>
    <n v="0"/>
    <x v="146"/>
    <x v="2"/>
    <x v="0"/>
    <x v="2"/>
    <x v="0"/>
    <d v="2001-08-31T00:00:00"/>
    <n v="-8514"/>
    <x v="2452"/>
    <x v="4"/>
    <n v="-280"/>
    <n v="0.76659822039698833"/>
    <x v="1"/>
    <n v="1"/>
    <n v="0"/>
    <n v="0"/>
    <n v="0"/>
    <m/>
    <x v="0"/>
  </r>
  <r>
    <n v="5117907"/>
    <x v="0"/>
    <s v="Y"/>
    <s v="N"/>
    <n v="0"/>
    <x v="32"/>
    <x v="0"/>
    <x v="1"/>
    <x v="3"/>
    <x v="0"/>
    <d v="1965-11-17T00:00:00"/>
    <n v="-21585"/>
    <x v="870"/>
    <x v="2"/>
    <n v="365243"/>
    <n v="0"/>
    <x v="0"/>
    <n v="1"/>
    <n v="0"/>
    <n v="1"/>
    <n v="0"/>
    <m/>
    <x v="1"/>
  </r>
  <r>
    <n v="5117908"/>
    <x v="0"/>
    <s v="Y"/>
    <s v="N"/>
    <n v="0"/>
    <x v="32"/>
    <x v="0"/>
    <x v="1"/>
    <x v="3"/>
    <x v="0"/>
    <d v="1965-11-17T00:00:00"/>
    <n v="-21585"/>
    <x v="870"/>
    <x v="2"/>
    <n v="365243"/>
    <n v="0"/>
    <x v="0"/>
    <n v="1"/>
    <n v="0"/>
    <n v="1"/>
    <n v="0"/>
    <m/>
    <x v="1"/>
  </r>
  <r>
    <n v="5117910"/>
    <x v="0"/>
    <s v="Y"/>
    <s v="N"/>
    <n v="0"/>
    <x v="32"/>
    <x v="0"/>
    <x v="1"/>
    <x v="3"/>
    <x v="0"/>
    <d v="1965-11-17T00:00:00"/>
    <n v="-21585"/>
    <x v="870"/>
    <x v="2"/>
    <n v="365243"/>
    <n v="0"/>
    <x v="0"/>
    <n v="1"/>
    <n v="0"/>
    <n v="1"/>
    <n v="0"/>
    <m/>
    <x v="1"/>
  </r>
  <r>
    <n v="5117911"/>
    <x v="0"/>
    <s v="Y"/>
    <s v="N"/>
    <n v="0"/>
    <x v="32"/>
    <x v="0"/>
    <x v="1"/>
    <x v="3"/>
    <x v="0"/>
    <d v="1965-11-17T00:00:00"/>
    <n v="-21585"/>
    <x v="870"/>
    <x v="2"/>
    <n v="365243"/>
    <n v="0"/>
    <x v="0"/>
    <n v="1"/>
    <n v="0"/>
    <n v="1"/>
    <n v="0"/>
    <m/>
    <x v="1"/>
  </r>
  <r>
    <n v="5117922"/>
    <x v="0"/>
    <s v="N"/>
    <s v="N"/>
    <n v="0"/>
    <x v="37"/>
    <x v="2"/>
    <x v="1"/>
    <x v="1"/>
    <x v="0"/>
    <d v="1976-05-19T00:00:00"/>
    <n v="-17749"/>
    <x v="2453"/>
    <x v="1"/>
    <n v="-1010"/>
    <n v="2.7652292950034223"/>
    <x v="1"/>
    <n v="1"/>
    <n v="1"/>
    <n v="0"/>
    <n v="0"/>
    <m/>
    <x v="1"/>
  </r>
  <r>
    <n v="5117941"/>
    <x v="0"/>
    <s v="Y"/>
    <s v="N"/>
    <n v="0"/>
    <x v="57"/>
    <x v="0"/>
    <x v="1"/>
    <x v="4"/>
    <x v="0"/>
    <d v="1960-07-26T00:00:00"/>
    <n v="-23525"/>
    <x v="2454"/>
    <x v="0"/>
    <n v="365243"/>
    <n v="0"/>
    <x v="0"/>
    <n v="1"/>
    <n v="0"/>
    <n v="0"/>
    <n v="0"/>
    <m/>
    <x v="0"/>
  </r>
  <r>
    <n v="5117947"/>
    <x v="0"/>
    <s v="N"/>
    <s v="N"/>
    <n v="1"/>
    <x v="16"/>
    <x v="2"/>
    <x v="1"/>
    <x v="1"/>
    <x v="0"/>
    <d v="1996-07-12T00:00:00"/>
    <n v="-10390"/>
    <x v="2455"/>
    <x v="4"/>
    <n v="-1010"/>
    <n v="2.7652292950034223"/>
    <x v="1"/>
    <n v="1"/>
    <n v="1"/>
    <n v="0"/>
    <n v="0"/>
    <m/>
    <x v="3"/>
  </r>
  <r>
    <n v="5117957"/>
    <x v="1"/>
    <s v="Y"/>
    <s v="N"/>
    <n v="0"/>
    <x v="37"/>
    <x v="0"/>
    <x v="3"/>
    <x v="1"/>
    <x v="0"/>
    <d v="1957-11-24T00:00:00"/>
    <n v="-24500"/>
    <x v="2456"/>
    <x v="0"/>
    <n v="365243"/>
    <n v="0"/>
    <x v="0"/>
    <n v="1"/>
    <n v="0"/>
    <n v="0"/>
    <n v="0"/>
    <m/>
    <x v="1"/>
  </r>
  <r>
    <n v="5117963"/>
    <x v="0"/>
    <s v="Y"/>
    <s v="N"/>
    <n v="0"/>
    <x v="1"/>
    <x v="2"/>
    <x v="2"/>
    <x v="3"/>
    <x v="0"/>
    <d v="1997-05-30T00:00:00"/>
    <n v="-10068"/>
    <x v="2457"/>
    <x v="4"/>
    <n v="-219"/>
    <n v="0.59958932238193019"/>
    <x v="1"/>
    <n v="1"/>
    <n v="1"/>
    <n v="0"/>
    <n v="0"/>
    <s v="Sales staff"/>
    <x v="1"/>
  </r>
  <r>
    <n v="5117975"/>
    <x v="0"/>
    <s v="Y"/>
    <s v="N"/>
    <n v="0"/>
    <x v="23"/>
    <x v="2"/>
    <x v="0"/>
    <x v="3"/>
    <x v="0"/>
    <d v="1998-03-16T00:00:00"/>
    <n v="-9778"/>
    <x v="581"/>
    <x v="4"/>
    <n v="-857"/>
    <n v="2.346338124572211"/>
    <x v="1"/>
    <n v="1"/>
    <n v="1"/>
    <n v="1"/>
    <n v="0"/>
    <m/>
    <x v="1"/>
  </r>
  <r>
    <n v="5117980"/>
    <x v="0"/>
    <s v="N"/>
    <s v="N"/>
    <n v="0"/>
    <x v="43"/>
    <x v="0"/>
    <x v="1"/>
    <x v="3"/>
    <x v="0"/>
    <d v="1966-03-07T00:00:00"/>
    <n v="-21475"/>
    <x v="2458"/>
    <x v="2"/>
    <n v="365243"/>
    <n v="0"/>
    <x v="0"/>
    <n v="1"/>
    <n v="0"/>
    <n v="0"/>
    <n v="0"/>
    <m/>
    <x v="1"/>
  </r>
  <r>
    <n v="5117984"/>
    <x v="0"/>
    <s v="N"/>
    <s v="Y"/>
    <n v="0"/>
    <x v="1"/>
    <x v="2"/>
    <x v="0"/>
    <x v="1"/>
    <x v="0"/>
    <d v="1987-10-28T00:00:00"/>
    <n v="-13570"/>
    <x v="2459"/>
    <x v="3"/>
    <n v="-3626"/>
    <n v="9.9274469541409989"/>
    <x v="1"/>
    <n v="1"/>
    <n v="0"/>
    <n v="0"/>
    <n v="0"/>
    <s v="Accountants"/>
    <x v="1"/>
  </r>
  <r>
    <n v="5117987"/>
    <x v="0"/>
    <s v="N"/>
    <s v="Y"/>
    <n v="0"/>
    <x v="147"/>
    <x v="3"/>
    <x v="1"/>
    <x v="1"/>
    <x v="0"/>
    <d v="1972-05-29T00:00:00"/>
    <n v="-19200"/>
    <x v="2226"/>
    <x v="2"/>
    <n v="-5637"/>
    <n v="15.433264887063656"/>
    <x v="1"/>
    <n v="1"/>
    <n v="0"/>
    <n v="0"/>
    <n v="0"/>
    <s v="Managers"/>
    <x v="1"/>
  </r>
  <r>
    <n v="5118008"/>
    <x v="1"/>
    <s v="N"/>
    <s v="N"/>
    <n v="0"/>
    <x v="30"/>
    <x v="1"/>
    <x v="1"/>
    <x v="1"/>
    <x v="0"/>
    <d v="1974-06-09T00:00:00"/>
    <n v="-18459"/>
    <x v="971"/>
    <x v="2"/>
    <n v="-826"/>
    <n v="2.2614647501711156"/>
    <x v="1"/>
    <n v="1"/>
    <n v="0"/>
    <n v="0"/>
    <n v="0"/>
    <m/>
    <x v="1"/>
  </r>
  <r>
    <n v="5118017"/>
    <x v="1"/>
    <s v="Y"/>
    <s v="N"/>
    <n v="0"/>
    <x v="8"/>
    <x v="2"/>
    <x v="1"/>
    <x v="1"/>
    <x v="0"/>
    <d v="1990-01-06T00:00:00"/>
    <n v="-12769"/>
    <x v="2460"/>
    <x v="3"/>
    <n v="-4114"/>
    <n v="11.263518138261464"/>
    <x v="1"/>
    <n v="1"/>
    <n v="1"/>
    <n v="1"/>
    <n v="0"/>
    <s v="HR staff"/>
    <x v="1"/>
  </r>
  <r>
    <n v="5118018"/>
    <x v="1"/>
    <s v="Y"/>
    <s v="N"/>
    <n v="0"/>
    <x v="8"/>
    <x v="2"/>
    <x v="1"/>
    <x v="1"/>
    <x v="0"/>
    <d v="1990-01-06T00:00:00"/>
    <n v="-12769"/>
    <x v="2460"/>
    <x v="3"/>
    <n v="-4114"/>
    <n v="11.263518138261464"/>
    <x v="1"/>
    <n v="1"/>
    <n v="1"/>
    <n v="1"/>
    <n v="0"/>
    <s v="HR staff"/>
    <x v="1"/>
  </r>
  <r>
    <n v="5118038"/>
    <x v="0"/>
    <s v="N"/>
    <s v="N"/>
    <n v="2"/>
    <x v="43"/>
    <x v="2"/>
    <x v="0"/>
    <x v="1"/>
    <x v="0"/>
    <d v="1992-12-13T00:00:00"/>
    <n v="-11697"/>
    <x v="2461"/>
    <x v="3"/>
    <n v="-614"/>
    <n v="1.6810403832991101"/>
    <x v="1"/>
    <n v="1"/>
    <n v="0"/>
    <n v="0"/>
    <n v="0"/>
    <s v="HR staff"/>
    <x v="2"/>
  </r>
  <r>
    <n v="5118040"/>
    <x v="0"/>
    <s v="Y"/>
    <s v="N"/>
    <n v="0"/>
    <x v="7"/>
    <x v="2"/>
    <x v="0"/>
    <x v="3"/>
    <x v="0"/>
    <d v="1991-04-16T00:00:00"/>
    <n v="-12304"/>
    <x v="2462"/>
    <x v="3"/>
    <n v="-857"/>
    <n v="2.346338124572211"/>
    <x v="1"/>
    <n v="1"/>
    <n v="1"/>
    <n v="0"/>
    <n v="0"/>
    <m/>
    <x v="1"/>
  </r>
  <r>
    <n v="5118054"/>
    <x v="0"/>
    <s v="Y"/>
    <s v="Y"/>
    <n v="1"/>
    <x v="16"/>
    <x v="2"/>
    <x v="0"/>
    <x v="1"/>
    <x v="0"/>
    <d v="1983-11-27T00:00:00"/>
    <n v="-15001"/>
    <x v="1194"/>
    <x v="1"/>
    <n v="-249"/>
    <n v="0.68172484599589322"/>
    <x v="1"/>
    <n v="1"/>
    <n v="0"/>
    <n v="0"/>
    <n v="0"/>
    <s v="Managers"/>
    <x v="3"/>
  </r>
  <r>
    <n v="5118080"/>
    <x v="1"/>
    <s v="Y"/>
    <s v="N"/>
    <n v="1"/>
    <x v="1"/>
    <x v="2"/>
    <x v="0"/>
    <x v="1"/>
    <x v="0"/>
    <d v="1976-02-15T00:00:00"/>
    <n v="-17843"/>
    <x v="2463"/>
    <x v="1"/>
    <n v="-3353"/>
    <n v="9.1800136892539363"/>
    <x v="1"/>
    <n v="1"/>
    <n v="1"/>
    <n v="0"/>
    <n v="0"/>
    <s v="Laborers"/>
    <x v="3"/>
  </r>
  <r>
    <n v="5118083"/>
    <x v="1"/>
    <s v="Y"/>
    <s v="N"/>
    <n v="1"/>
    <x v="1"/>
    <x v="2"/>
    <x v="0"/>
    <x v="1"/>
    <x v="0"/>
    <d v="1976-02-15T00:00:00"/>
    <n v="-17843"/>
    <x v="2463"/>
    <x v="1"/>
    <n v="-3353"/>
    <n v="9.1800136892539363"/>
    <x v="1"/>
    <n v="1"/>
    <n v="1"/>
    <n v="0"/>
    <n v="0"/>
    <s v="Laborers"/>
    <x v="3"/>
  </r>
  <r>
    <n v="5118085"/>
    <x v="1"/>
    <s v="Y"/>
    <s v="N"/>
    <n v="1"/>
    <x v="1"/>
    <x v="2"/>
    <x v="0"/>
    <x v="1"/>
    <x v="0"/>
    <d v="1976-02-15T00:00:00"/>
    <n v="-17843"/>
    <x v="2463"/>
    <x v="1"/>
    <n v="-3353"/>
    <n v="9.1800136892539363"/>
    <x v="1"/>
    <n v="1"/>
    <n v="1"/>
    <n v="0"/>
    <n v="0"/>
    <s v="Laborers"/>
    <x v="3"/>
  </r>
  <r>
    <n v="5118100"/>
    <x v="0"/>
    <s v="N"/>
    <s v="N"/>
    <n v="0"/>
    <x v="16"/>
    <x v="0"/>
    <x v="1"/>
    <x v="4"/>
    <x v="0"/>
    <d v="1961-12-04T00:00:00"/>
    <n v="-23029"/>
    <x v="2464"/>
    <x v="0"/>
    <n v="365243"/>
    <n v="0"/>
    <x v="0"/>
    <n v="1"/>
    <n v="0"/>
    <n v="0"/>
    <n v="0"/>
    <m/>
    <x v="0"/>
  </r>
  <r>
    <n v="5118112"/>
    <x v="0"/>
    <s v="N"/>
    <s v="N"/>
    <n v="0"/>
    <x v="88"/>
    <x v="1"/>
    <x v="1"/>
    <x v="1"/>
    <x v="2"/>
    <d v="1999-10-04T00:00:00"/>
    <n v="-9211"/>
    <x v="2465"/>
    <x v="4"/>
    <n v="-1131"/>
    <n v="3.0965092402464065"/>
    <x v="1"/>
    <n v="1"/>
    <n v="1"/>
    <n v="0"/>
    <n v="0"/>
    <s v="Secretaries"/>
    <x v="1"/>
  </r>
  <r>
    <n v="5118114"/>
    <x v="1"/>
    <s v="N"/>
    <s v="N"/>
    <n v="1"/>
    <x v="18"/>
    <x v="1"/>
    <x v="1"/>
    <x v="1"/>
    <x v="0"/>
    <d v="1987-11-29T00:00:00"/>
    <n v="-13538"/>
    <x v="2466"/>
    <x v="3"/>
    <n v="-5422"/>
    <n v="14.844626967830253"/>
    <x v="1"/>
    <n v="1"/>
    <n v="1"/>
    <n v="1"/>
    <n v="0"/>
    <s v="Drivers"/>
    <x v="3"/>
  </r>
  <r>
    <n v="5118120"/>
    <x v="1"/>
    <s v="N"/>
    <s v="N"/>
    <n v="1"/>
    <x v="18"/>
    <x v="1"/>
    <x v="1"/>
    <x v="1"/>
    <x v="0"/>
    <d v="1987-11-29T00:00:00"/>
    <n v="-13538"/>
    <x v="2466"/>
    <x v="3"/>
    <n v="-5422"/>
    <n v="14.844626967830253"/>
    <x v="1"/>
    <n v="1"/>
    <n v="1"/>
    <n v="1"/>
    <n v="0"/>
    <s v="Drivers"/>
    <x v="3"/>
  </r>
  <r>
    <n v="5118133"/>
    <x v="1"/>
    <s v="Y"/>
    <s v="N"/>
    <n v="2"/>
    <x v="1"/>
    <x v="2"/>
    <x v="0"/>
    <x v="1"/>
    <x v="2"/>
    <d v="1993-02-03T00:00:00"/>
    <n v="-11645"/>
    <x v="2467"/>
    <x v="3"/>
    <n v="-5056"/>
    <n v="13.842573579739904"/>
    <x v="1"/>
    <n v="1"/>
    <n v="0"/>
    <n v="1"/>
    <n v="0"/>
    <s v="Laborers"/>
    <x v="2"/>
  </r>
  <r>
    <n v="5118155"/>
    <x v="0"/>
    <s v="N"/>
    <s v="N"/>
    <n v="1"/>
    <x v="11"/>
    <x v="2"/>
    <x v="0"/>
    <x v="1"/>
    <x v="0"/>
    <d v="1980-02-06T00:00:00"/>
    <n v="-16391"/>
    <x v="1490"/>
    <x v="1"/>
    <n v="-2014"/>
    <n v="5.5140314852840522"/>
    <x v="1"/>
    <n v="1"/>
    <n v="1"/>
    <n v="0"/>
    <n v="0"/>
    <m/>
    <x v="3"/>
  </r>
  <r>
    <n v="5118173"/>
    <x v="1"/>
    <s v="N"/>
    <s v="N"/>
    <n v="1"/>
    <x v="16"/>
    <x v="1"/>
    <x v="1"/>
    <x v="1"/>
    <x v="0"/>
    <d v="1985-07-19T00:00:00"/>
    <n v="-14401"/>
    <x v="2313"/>
    <x v="3"/>
    <n v="-979"/>
    <n v="2.6803559206023273"/>
    <x v="1"/>
    <n v="1"/>
    <n v="1"/>
    <n v="1"/>
    <n v="0"/>
    <s v="Security staff"/>
    <x v="3"/>
  </r>
  <r>
    <n v="5118187"/>
    <x v="0"/>
    <s v="N"/>
    <s v="N"/>
    <n v="1"/>
    <x v="45"/>
    <x v="2"/>
    <x v="1"/>
    <x v="1"/>
    <x v="0"/>
    <d v="1987-10-01T00:00:00"/>
    <n v="-13597"/>
    <x v="2468"/>
    <x v="3"/>
    <n v="-96"/>
    <n v="0.26283367556468173"/>
    <x v="1"/>
    <n v="1"/>
    <n v="0"/>
    <n v="0"/>
    <n v="0"/>
    <s v="Core staff"/>
    <x v="3"/>
  </r>
  <r>
    <n v="5118195"/>
    <x v="0"/>
    <s v="N"/>
    <s v="N"/>
    <n v="0"/>
    <x v="70"/>
    <x v="2"/>
    <x v="1"/>
    <x v="0"/>
    <x v="5"/>
    <d v="1980-07-05T00:00:00"/>
    <n v="-16241"/>
    <x v="2469"/>
    <x v="1"/>
    <n v="-8862"/>
    <n v="24.262833675564682"/>
    <x v="1"/>
    <n v="1"/>
    <n v="1"/>
    <n v="0"/>
    <n v="0"/>
    <s v="Drivers"/>
    <x v="0"/>
  </r>
  <r>
    <n v="5118196"/>
    <x v="0"/>
    <s v="N"/>
    <s v="N"/>
    <n v="0"/>
    <x v="70"/>
    <x v="2"/>
    <x v="1"/>
    <x v="0"/>
    <x v="5"/>
    <d v="1980-07-05T00:00:00"/>
    <n v="-16241"/>
    <x v="2469"/>
    <x v="1"/>
    <n v="-8862"/>
    <n v="24.262833675564682"/>
    <x v="1"/>
    <n v="1"/>
    <n v="1"/>
    <n v="0"/>
    <n v="0"/>
    <s v="Drivers"/>
    <x v="0"/>
  </r>
  <r>
    <n v="5118203"/>
    <x v="0"/>
    <s v="N"/>
    <s v="N"/>
    <n v="1"/>
    <x v="30"/>
    <x v="0"/>
    <x v="1"/>
    <x v="1"/>
    <x v="0"/>
    <d v="1997-12-23T00:00:00"/>
    <n v="-9861"/>
    <x v="2079"/>
    <x v="4"/>
    <n v="365243"/>
    <n v="0"/>
    <x v="0"/>
    <n v="1"/>
    <n v="0"/>
    <n v="0"/>
    <n v="0"/>
    <m/>
    <x v="3"/>
  </r>
  <r>
    <n v="5118212"/>
    <x v="0"/>
    <s v="N"/>
    <s v="N"/>
    <n v="0"/>
    <x v="29"/>
    <x v="1"/>
    <x v="1"/>
    <x v="1"/>
    <x v="0"/>
    <d v="1989-01-17T00:00:00"/>
    <n v="-13123"/>
    <x v="2470"/>
    <x v="3"/>
    <n v="-5240"/>
    <n v="14.346338124572211"/>
    <x v="1"/>
    <n v="1"/>
    <n v="0"/>
    <n v="0"/>
    <n v="0"/>
    <m/>
    <x v="1"/>
  </r>
  <r>
    <n v="5118217"/>
    <x v="0"/>
    <s v="N"/>
    <s v="N"/>
    <n v="2"/>
    <x v="2"/>
    <x v="3"/>
    <x v="1"/>
    <x v="1"/>
    <x v="0"/>
    <d v="1997-03-09T00:00:00"/>
    <n v="-10150"/>
    <x v="2471"/>
    <x v="4"/>
    <n v="-1162"/>
    <n v="3.1813826146475015"/>
    <x v="1"/>
    <n v="1"/>
    <n v="1"/>
    <n v="1"/>
    <n v="0"/>
    <s v="Core staff"/>
    <x v="2"/>
  </r>
  <r>
    <n v="5118230"/>
    <x v="1"/>
    <s v="Y"/>
    <s v="N"/>
    <n v="0"/>
    <x v="6"/>
    <x v="1"/>
    <x v="0"/>
    <x v="1"/>
    <x v="0"/>
    <d v="1971-01-20T00:00:00"/>
    <n v="-19695"/>
    <x v="2472"/>
    <x v="2"/>
    <n v="-339"/>
    <n v="0.92813141683778233"/>
    <x v="1"/>
    <n v="1"/>
    <n v="1"/>
    <n v="0"/>
    <n v="0"/>
    <s v="Laborers"/>
    <x v="1"/>
  </r>
  <r>
    <n v="5118241"/>
    <x v="1"/>
    <s v="N"/>
    <s v="N"/>
    <n v="0"/>
    <x v="5"/>
    <x v="2"/>
    <x v="1"/>
    <x v="1"/>
    <x v="0"/>
    <d v="1987-05-12T00:00:00"/>
    <n v="-13739"/>
    <x v="2473"/>
    <x v="3"/>
    <n v="-2896"/>
    <n v="7.9288158795345653"/>
    <x v="1"/>
    <n v="1"/>
    <n v="0"/>
    <n v="0"/>
    <n v="0"/>
    <s v="Security staff"/>
    <x v="1"/>
  </r>
  <r>
    <n v="5118260"/>
    <x v="1"/>
    <s v="N"/>
    <s v="N"/>
    <n v="0"/>
    <x v="42"/>
    <x v="1"/>
    <x v="2"/>
    <x v="1"/>
    <x v="0"/>
    <d v="1985-05-16T00:00:00"/>
    <n v="-14465"/>
    <x v="2474"/>
    <x v="3"/>
    <n v="-4145"/>
    <n v="11.348391512662561"/>
    <x v="1"/>
    <n v="1"/>
    <n v="1"/>
    <n v="1"/>
    <n v="0"/>
    <s v="Managers"/>
    <x v="1"/>
  </r>
  <r>
    <n v="5118261"/>
    <x v="1"/>
    <s v="N"/>
    <s v="N"/>
    <n v="0"/>
    <x v="42"/>
    <x v="1"/>
    <x v="2"/>
    <x v="1"/>
    <x v="0"/>
    <d v="1985-05-16T00:00:00"/>
    <n v="-14465"/>
    <x v="2474"/>
    <x v="3"/>
    <n v="-4145"/>
    <n v="11.348391512662561"/>
    <x v="1"/>
    <n v="1"/>
    <n v="1"/>
    <n v="1"/>
    <n v="0"/>
    <s v="Managers"/>
    <x v="1"/>
  </r>
  <r>
    <n v="5118287"/>
    <x v="0"/>
    <s v="N"/>
    <s v="N"/>
    <n v="0"/>
    <x v="14"/>
    <x v="2"/>
    <x v="0"/>
    <x v="1"/>
    <x v="0"/>
    <d v="1978-03-04T00:00:00"/>
    <n v="-17095"/>
    <x v="2475"/>
    <x v="1"/>
    <n v="-6275"/>
    <n v="17.180013689253936"/>
    <x v="1"/>
    <n v="1"/>
    <n v="0"/>
    <n v="1"/>
    <n v="0"/>
    <s v="Core staff"/>
    <x v="1"/>
  </r>
  <r>
    <n v="5118291"/>
    <x v="0"/>
    <s v="N"/>
    <s v="N"/>
    <n v="2"/>
    <x v="25"/>
    <x v="2"/>
    <x v="2"/>
    <x v="1"/>
    <x v="2"/>
    <d v="1988-12-05T00:00:00"/>
    <n v="-13166"/>
    <x v="2476"/>
    <x v="3"/>
    <n v="-2988"/>
    <n v="8.1806981519507183"/>
    <x v="1"/>
    <n v="1"/>
    <n v="1"/>
    <n v="1"/>
    <n v="0"/>
    <s v="Core staff"/>
    <x v="2"/>
  </r>
  <r>
    <n v="5118300"/>
    <x v="0"/>
    <s v="N"/>
    <s v="N"/>
    <n v="2"/>
    <x v="25"/>
    <x v="2"/>
    <x v="2"/>
    <x v="1"/>
    <x v="2"/>
    <d v="1988-12-05T00:00:00"/>
    <n v="-13166"/>
    <x v="2476"/>
    <x v="3"/>
    <n v="-2988"/>
    <n v="8.1806981519507183"/>
    <x v="1"/>
    <n v="1"/>
    <n v="1"/>
    <n v="1"/>
    <n v="0"/>
    <s v="Core staff"/>
    <x v="2"/>
  </r>
  <r>
    <n v="5118301"/>
    <x v="0"/>
    <s v="N"/>
    <s v="N"/>
    <n v="2"/>
    <x v="25"/>
    <x v="2"/>
    <x v="2"/>
    <x v="1"/>
    <x v="2"/>
    <d v="1988-12-05T00:00:00"/>
    <n v="-13166"/>
    <x v="2476"/>
    <x v="3"/>
    <n v="-2988"/>
    <n v="8.1806981519507183"/>
    <x v="1"/>
    <n v="1"/>
    <n v="1"/>
    <n v="1"/>
    <n v="0"/>
    <s v="Core staff"/>
    <x v="2"/>
  </r>
  <r>
    <n v="5118328"/>
    <x v="0"/>
    <s v="N"/>
    <s v="N"/>
    <n v="1"/>
    <x v="16"/>
    <x v="2"/>
    <x v="1"/>
    <x v="1"/>
    <x v="1"/>
    <d v="1998-04-01T00:00:00"/>
    <n v="-9762"/>
    <x v="2477"/>
    <x v="4"/>
    <n v="-1223"/>
    <n v="3.3483915126625599"/>
    <x v="1"/>
    <n v="1"/>
    <n v="1"/>
    <n v="0"/>
    <n v="0"/>
    <s v="Laborers"/>
    <x v="3"/>
  </r>
  <r>
    <n v="5118342"/>
    <x v="0"/>
    <s v="Y"/>
    <s v="N"/>
    <n v="1"/>
    <x v="51"/>
    <x v="2"/>
    <x v="1"/>
    <x v="1"/>
    <x v="0"/>
    <d v="1983-09-27T00:00:00"/>
    <n v="-15062"/>
    <x v="2056"/>
    <x v="1"/>
    <n v="-2014"/>
    <n v="5.5140314852840522"/>
    <x v="1"/>
    <n v="1"/>
    <n v="1"/>
    <n v="0"/>
    <n v="0"/>
    <m/>
    <x v="3"/>
  </r>
  <r>
    <n v="5118343"/>
    <x v="0"/>
    <s v="Y"/>
    <s v="N"/>
    <n v="1"/>
    <x v="51"/>
    <x v="2"/>
    <x v="1"/>
    <x v="1"/>
    <x v="0"/>
    <d v="1983-09-27T00:00:00"/>
    <n v="-15062"/>
    <x v="2056"/>
    <x v="1"/>
    <n v="-2014"/>
    <n v="5.5140314852840522"/>
    <x v="1"/>
    <n v="1"/>
    <n v="1"/>
    <n v="0"/>
    <n v="0"/>
    <m/>
    <x v="3"/>
  </r>
  <r>
    <n v="5118363"/>
    <x v="0"/>
    <s v="N"/>
    <s v="N"/>
    <n v="0"/>
    <x v="1"/>
    <x v="2"/>
    <x v="0"/>
    <x v="1"/>
    <x v="0"/>
    <d v="1995-10-01T00:00:00"/>
    <n v="-10675"/>
    <x v="2478"/>
    <x v="4"/>
    <n v="-1284"/>
    <n v="3.5154004106776182"/>
    <x v="1"/>
    <n v="1"/>
    <n v="1"/>
    <n v="0"/>
    <n v="0"/>
    <s v="Core staff"/>
    <x v="1"/>
  </r>
  <r>
    <n v="5118370"/>
    <x v="0"/>
    <s v="N"/>
    <s v="N"/>
    <n v="0"/>
    <x v="16"/>
    <x v="2"/>
    <x v="1"/>
    <x v="3"/>
    <x v="0"/>
    <d v="1996-05-07T00:00:00"/>
    <n v="-10456"/>
    <x v="2479"/>
    <x v="4"/>
    <n v="-1953"/>
    <n v="5.3470225872689943"/>
    <x v="1"/>
    <n v="1"/>
    <n v="1"/>
    <n v="0"/>
    <n v="0"/>
    <s v="Medicine staff"/>
    <x v="1"/>
  </r>
  <r>
    <n v="5118373"/>
    <x v="0"/>
    <s v="N"/>
    <s v="N"/>
    <n v="0"/>
    <x v="30"/>
    <x v="0"/>
    <x v="1"/>
    <x v="1"/>
    <x v="0"/>
    <d v="1968-11-11T00:00:00"/>
    <n v="-20495"/>
    <x v="2480"/>
    <x v="2"/>
    <n v="365243"/>
    <n v="0"/>
    <x v="0"/>
    <n v="1"/>
    <n v="0"/>
    <n v="1"/>
    <n v="0"/>
    <m/>
    <x v="1"/>
  </r>
  <r>
    <n v="5118374"/>
    <x v="0"/>
    <s v="N"/>
    <s v="N"/>
    <n v="0"/>
    <x v="30"/>
    <x v="0"/>
    <x v="1"/>
    <x v="1"/>
    <x v="0"/>
    <d v="1968-11-11T00:00:00"/>
    <n v="-20495"/>
    <x v="2480"/>
    <x v="2"/>
    <n v="365243"/>
    <n v="0"/>
    <x v="0"/>
    <n v="1"/>
    <n v="0"/>
    <n v="1"/>
    <n v="0"/>
    <m/>
    <x v="1"/>
  </r>
  <r>
    <n v="5118380"/>
    <x v="1"/>
    <s v="Y"/>
    <s v="N"/>
    <n v="0"/>
    <x v="18"/>
    <x v="1"/>
    <x v="1"/>
    <x v="1"/>
    <x v="0"/>
    <d v="1968-02-04T00:00:00"/>
    <n v="-20776"/>
    <x v="2057"/>
    <x v="2"/>
    <n v="-2745"/>
    <n v="7.5154004106776178"/>
    <x v="1"/>
    <n v="1"/>
    <n v="1"/>
    <n v="1"/>
    <n v="0"/>
    <s v="Managers"/>
    <x v="1"/>
  </r>
  <r>
    <n v="5118390"/>
    <x v="1"/>
    <s v="Y"/>
    <s v="N"/>
    <n v="0"/>
    <x v="18"/>
    <x v="1"/>
    <x v="1"/>
    <x v="1"/>
    <x v="0"/>
    <d v="1968-02-04T00:00:00"/>
    <n v="-20776"/>
    <x v="2057"/>
    <x v="2"/>
    <n v="-2745"/>
    <n v="7.5154004106776178"/>
    <x v="1"/>
    <n v="1"/>
    <n v="1"/>
    <n v="1"/>
    <n v="0"/>
    <s v="Managers"/>
    <x v="1"/>
  </r>
  <r>
    <n v="5118405"/>
    <x v="0"/>
    <s v="Y"/>
    <s v="N"/>
    <n v="0"/>
    <x v="37"/>
    <x v="2"/>
    <x v="1"/>
    <x v="1"/>
    <x v="0"/>
    <d v="1991-04-08T00:00:00"/>
    <n v="-12312"/>
    <x v="2481"/>
    <x v="3"/>
    <n v="-1404"/>
    <n v="3.8439425051334704"/>
    <x v="1"/>
    <n v="1"/>
    <n v="1"/>
    <n v="1"/>
    <n v="0"/>
    <s v="Sales staff"/>
    <x v="1"/>
  </r>
  <r>
    <n v="5118406"/>
    <x v="0"/>
    <s v="Y"/>
    <s v="N"/>
    <n v="0"/>
    <x v="37"/>
    <x v="2"/>
    <x v="1"/>
    <x v="1"/>
    <x v="0"/>
    <d v="1991-04-08T00:00:00"/>
    <n v="-12312"/>
    <x v="2481"/>
    <x v="3"/>
    <n v="-1404"/>
    <n v="3.8439425051334704"/>
    <x v="1"/>
    <n v="1"/>
    <n v="1"/>
    <n v="1"/>
    <n v="0"/>
    <s v="Sales staff"/>
    <x v="1"/>
  </r>
  <r>
    <n v="5118412"/>
    <x v="0"/>
    <s v="N"/>
    <s v="Y"/>
    <n v="1"/>
    <x v="2"/>
    <x v="2"/>
    <x v="1"/>
    <x v="1"/>
    <x v="0"/>
    <d v="1991-07-22T00:00:00"/>
    <n v="-12207"/>
    <x v="690"/>
    <x v="3"/>
    <n v="-3018"/>
    <n v="8.2628336755646821"/>
    <x v="1"/>
    <n v="1"/>
    <n v="0"/>
    <n v="0"/>
    <n v="0"/>
    <s v="Laborers"/>
    <x v="3"/>
  </r>
  <r>
    <n v="5118424"/>
    <x v="0"/>
    <s v="N"/>
    <s v="N"/>
    <n v="0"/>
    <x v="5"/>
    <x v="2"/>
    <x v="1"/>
    <x v="1"/>
    <x v="0"/>
    <d v="1974-06-21T00:00:00"/>
    <n v="-18447"/>
    <x v="2482"/>
    <x v="2"/>
    <n v="-4632"/>
    <n v="12.681724845995893"/>
    <x v="1"/>
    <n v="1"/>
    <n v="1"/>
    <n v="1"/>
    <n v="0"/>
    <s v="Cooking staff"/>
    <x v="1"/>
  </r>
  <r>
    <n v="5118435"/>
    <x v="0"/>
    <s v="N"/>
    <s v="N"/>
    <n v="0"/>
    <x v="70"/>
    <x v="0"/>
    <x v="0"/>
    <x v="1"/>
    <x v="0"/>
    <d v="1968-02-09T00:00:00"/>
    <n v="-20771"/>
    <x v="2483"/>
    <x v="2"/>
    <n v="365243"/>
    <n v="0"/>
    <x v="0"/>
    <n v="1"/>
    <n v="0"/>
    <n v="1"/>
    <n v="0"/>
    <m/>
    <x v="1"/>
  </r>
  <r>
    <n v="5118441"/>
    <x v="0"/>
    <s v="Y"/>
    <s v="N"/>
    <n v="1"/>
    <x v="68"/>
    <x v="1"/>
    <x v="0"/>
    <x v="1"/>
    <x v="0"/>
    <d v="1980-10-16T00:00:00"/>
    <n v="-16138"/>
    <x v="2484"/>
    <x v="1"/>
    <n v="-431"/>
    <n v="1.1800136892539357"/>
    <x v="1"/>
    <n v="1"/>
    <n v="1"/>
    <n v="0"/>
    <n v="0"/>
    <s v="Sales staff"/>
    <x v="3"/>
  </r>
  <r>
    <n v="5118449"/>
    <x v="0"/>
    <s v="N"/>
    <s v="N"/>
    <n v="1"/>
    <x v="29"/>
    <x v="2"/>
    <x v="1"/>
    <x v="1"/>
    <x v="0"/>
    <d v="1997-05-18T00:00:00"/>
    <n v="-10080"/>
    <x v="2485"/>
    <x v="4"/>
    <n v="-735"/>
    <n v="2.0123203285420943"/>
    <x v="1"/>
    <n v="1"/>
    <n v="1"/>
    <n v="0"/>
    <n v="0"/>
    <s v="Sales staff"/>
    <x v="3"/>
  </r>
  <r>
    <n v="5118450"/>
    <x v="0"/>
    <s v="N"/>
    <s v="N"/>
    <n v="1"/>
    <x v="29"/>
    <x v="2"/>
    <x v="1"/>
    <x v="1"/>
    <x v="0"/>
    <d v="1997-05-18T00:00:00"/>
    <n v="-10080"/>
    <x v="2485"/>
    <x v="4"/>
    <n v="-735"/>
    <n v="2.0123203285420943"/>
    <x v="1"/>
    <n v="1"/>
    <n v="1"/>
    <n v="0"/>
    <n v="0"/>
    <s v="Sales staff"/>
    <x v="3"/>
  </r>
  <r>
    <n v="5118460"/>
    <x v="0"/>
    <s v="Y"/>
    <s v="Y"/>
    <n v="1"/>
    <x v="2"/>
    <x v="1"/>
    <x v="1"/>
    <x v="1"/>
    <x v="0"/>
    <d v="1990-05-28T00:00:00"/>
    <n v="-12627"/>
    <x v="2097"/>
    <x v="3"/>
    <n v="-1404"/>
    <n v="3.8439425051334704"/>
    <x v="1"/>
    <n v="1"/>
    <n v="1"/>
    <n v="0"/>
    <n v="0"/>
    <s v="Sales staff"/>
    <x v="3"/>
  </r>
  <r>
    <n v="5118463"/>
    <x v="1"/>
    <s v="Y"/>
    <s v="N"/>
    <n v="2"/>
    <x v="18"/>
    <x v="2"/>
    <x v="1"/>
    <x v="1"/>
    <x v="0"/>
    <d v="1975-04-17T00:00:00"/>
    <n v="-18147"/>
    <x v="2486"/>
    <x v="1"/>
    <n v="-1101"/>
    <n v="3.0143737166324436"/>
    <x v="1"/>
    <n v="1"/>
    <n v="1"/>
    <n v="0"/>
    <n v="0"/>
    <s v="Managers"/>
    <x v="2"/>
  </r>
  <r>
    <n v="5118471"/>
    <x v="1"/>
    <s v="Y"/>
    <s v="N"/>
    <n v="2"/>
    <x v="18"/>
    <x v="2"/>
    <x v="1"/>
    <x v="1"/>
    <x v="0"/>
    <d v="1975-04-17T00:00:00"/>
    <n v="-18147"/>
    <x v="2486"/>
    <x v="1"/>
    <n v="-1101"/>
    <n v="3.0143737166324436"/>
    <x v="1"/>
    <n v="1"/>
    <n v="1"/>
    <n v="0"/>
    <n v="0"/>
    <s v="Managers"/>
    <x v="2"/>
  </r>
  <r>
    <n v="5118480"/>
    <x v="0"/>
    <s v="N"/>
    <s v="Y"/>
    <n v="0"/>
    <x v="16"/>
    <x v="2"/>
    <x v="1"/>
    <x v="1"/>
    <x v="0"/>
    <d v="1977-05-17T00:00:00"/>
    <n v="-17386"/>
    <x v="375"/>
    <x v="1"/>
    <n v="-888"/>
    <n v="2.431211498973306"/>
    <x v="1"/>
    <n v="1"/>
    <n v="0"/>
    <n v="0"/>
    <n v="0"/>
    <s v="Laborers"/>
    <x v="1"/>
  </r>
  <r>
    <n v="5118492"/>
    <x v="0"/>
    <s v="N"/>
    <s v="Y"/>
    <n v="0"/>
    <x v="1"/>
    <x v="2"/>
    <x v="1"/>
    <x v="3"/>
    <x v="0"/>
    <d v="1984-06-01T00:00:00"/>
    <n v="-14814"/>
    <x v="2487"/>
    <x v="1"/>
    <n v="-492"/>
    <n v="1.3470225872689938"/>
    <x v="1"/>
    <n v="1"/>
    <n v="0"/>
    <n v="0"/>
    <n v="0"/>
    <s v="Laborers"/>
    <x v="1"/>
  </r>
  <r>
    <n v="5118529"/>
    <x v="0"/>
    <s v="N"/>
    <s v="Y"/>
    <n v="0"/>
    <x v="1"/>
    <x v="2"/>
    <x v="1"/>
    <x v="1"/>
    <x v="0"/>
    <d v="1990-11-25T00:00:00"/>
    <n v="-12446"/>
    <x v="2488"/>
    <x v="3"/>
    <n v="-645"/>
    <n v="1.7659137577002053"/>
    <x v="1"/>
    <n v="1"/>
    <n v="0"/>
    <n v="0"/>
    <n v="0"/>
    <s v="Core staff"/>
    <x v="1"/>
  </r>
  <r>
    <n v="5118543"/>
    <x v="0"/>
    <s v="N"/>
    <s v="N"/>
    <n v="0"/>
    <x v="22"/>
    <x v="2"/>
    <x v="1"/>
    <x v="1"/>
    <x v="0"/>
    <d v="1974-05-15T00:00:00"/>
    <n v="-18484"/>
    <x v="2451"/>
    <x v="2"/>
    <n v="-3932"/>
    <n v="10.765229295003422"/>
    <x v="1"/>
    <n v="1"/>
    <n v="1"/>
    <n v="0"/>
    <n v="0"/>
    <s v="High skill tech staff"/>
    <x v="1"/>
  </r>
  <r>
    <n v="5118555"/>
    <x v="0"/>
    <s v="N"/>
    <s v="Y"/>
    <n v="0"/>
    <x v="3"/>
    <x v="2"/>
    <x v="1"/>
    <x v="2"/>
    <x v="0"/>
    <d v="1978-11-05T00:00:00"/>
    <n v="-16849"/>
    <x v="2489"/>
    <x v="1"/>
    <n v="-2896"/>
    <n v="7.9288158795345653"/>
    <x v="1"/>
    <n v="1"/>
    <n v="0"/>
    <n v="1"/>
    <n v="0"/>
    <s v="Cooking staff"/>
    <x v="0"/>
  </r>
  <r>
    <n v="5118561"/>
    <x v="0"/>
    <s v="Y"/>
    <s v="Y"/>
    <n v="0"/>
    <x v="16"/>
    <x v="2"/>
    <x v="0"/>
    <x v="1"/>
    <x v="3"/>
    <d v="1995-05-03T00:00:00"/>
    <n v="-10826"/>
    <x v="2490"/>
    <x v="4"/>
    <n v="-949"/>
    <n v="2.5982203969883639"/>
    <x v="1"/>
    <n v="1"/>
    <n v="0"/>
    <n v="0"/>
    <n v="0"/>
    <s v="Sales staff"/>
    <x v="1"/>
  </r>
  <r>
    <n v="5118566"/>
    <x v="0"/>
    <s v="N"/>
    <s v="Y"/>
    <n v="2"/>
    <x v="148"/>
    <x v="3"/>
    <x v="1"/>
    <x v="1"/>
    <x v="0"/>
    <d v="1987-01-18T00:00:00"/>
    <n v="-13853"/>
    <x v="2491"/>
    <x v="3"/>
    <n v="-3261"/>
    <n v="8.9281314168377826"/>
    <x v="1"/>
    <n v="1"/>
    <n v="0"/>
    <n v="0"/>
    <n v="0"/>
    <s v="Managers"/>
    <x v="2"/>
  </r>
  <r>
    <n v="5118592"/>
    <x v="0"/>
    <s v="N"/>
    <s v="Y"/>
    <n v="0"/>
    <x v="8"/>
    <x v="3"/>
    <x v="1"/>
    <x v="1"/>
    <x v="0"/>
    <d v="1980-10-27T00:00:00"/>
    <n v="-16127"/>
    <x v="2492"/>
    <x v="1"/>
    <n v="-8497"/>
    <n v="23.263518138261464"/>
    <x v="1"/>
    <n v="1"/>
    <n v="0"/>
    <n v="1"/>
    <n v="0"/>
    <m/>
    <x v="1"/>
  </r>
  <r>
    <n v="5118597"/>
    <x v="1"/>
    <s v="Y"/>
    <s v="N"/>
    <n v="0"/>
    <x v="12"/>
    <x v="1"/>
    <x v="1"/>
    <x v="1"/>
    <x v="0"/>
    <d v="1978-10-31T00:00:00"/>
    <n v="-16854"/>
    <x v="2493"/>
    <x v="1"/>
    <n v="-5179"/>
    <n v="14.179329226557153"/>
    <x v="1"/>
    <n v="1"/>
    <n v="1"/>
    <n v="0"/>
    <n v="0"/>
    <s v="Managers"/>
    <x v="1"/>
  </r>
  <r>
    <n v="5118642"/>
    <x v="1"/>
    <s v="Y"/>
    <s v="N"/>
    <n v="0"/>
    <x v="120"/>
    <x v="3"/>
    <x v="0"/>
    <x v="1"/>
    <x v="0"/>
    <d v="1960-12-06T00:00:00"/>
    <n v="-23392"/>
    <x v="2494"/>
    <x v="0"/>
    <n v="-1921"/>
    <n v="5.2594113620807663"/>
    <x v="1"/>
    <n v="1"/>
    <n v="0"/>
    <n v="1"/>
    <n v="0"/>
    <s v="Core staff"/>
    <x v="1"/>
  </r>
  <r>
    <n v="5118647"/>
    <x v="0"/>
    <s v="N"/>
    <s v="Y"/>
    <n v="2"/>
    <x v="18"/>
    <x v="3"/>
    <x v="0"/>
    <x v="2"/>
    <x v="0"/>
    <d v="1996-06-07T00:00:00"/>
    <n v="-10425"/>
    <x v="2495"/>
    <x v="4"/>
    <n v="-2745"/>
    <n v="7.5154004106776178"/>
    <x v="1"/>
    <n v="1"/>
    <n v="0"/>
    <n v="0"/>
    <n v="0"/>
    <s v="Core staff"/>
    <x v="3"/>
  </r>
  <r>
    <n v="5118649"/>
    <x v="0"/>
    <s v="N"/>
    <s v="Y"/>
    <n v="2"/>
    <x v="18"/>
    <x v="3"/>
    <x v="0"/>
    <x v="2"/>
    <x v="0"/>
    <d v="1996-06-07T00:00:00"/>
    <n v="-10425"/>
    <x v="2495"/>
    <x v="4"/>
    <n v="-2745"/>
    <n v="7.5154004106776178"/>
    <x v="1"/>
    <n v="1"/>
    <n v="0"/>
    <n v="0"/>
    <n v="0"/>
    <s v="Core staff"/>
    <x v="3"/>
  </r>
  <r>
    <n v="5125120"/>
    <x v="0"/>
    <s v="N"/>
    <s v="Y"/>
    <n v="0"/>
    <x v="55"/>
    <x v="0"/>
    <x v="1"/>
    <x v="4"/>
    <x v="0"/>
    <d v="1965-07-05T00:00:00"/>
    <n v="-21720"/>
    <x v="714"/>
    <x v="2"/>
    <n v="365243"/>
    <n v="0"/>
    <x v="0"/>
    <n v="1"/>
    <n v="0"/>
    <n v="0"/>
    <n v="1"/>
    <m/>
    <x v="0"/>
  </r>
  <r>
    <n v="5125124"/>
    <x v="0"/>
    <s v="N"/>
    <s v="Y"/>
    <n v="0"/>
    <x v="55"/>
    <x v="0"/>
    <x v="1"/>
    <x v="4"/>
    <x v="0"/>
    <d v="1965-07-05T00:00:00"/>
    <n v="-21720"/>
    <x v="714"/>
    <x v="2"/>
    <n v="365243"/>
    <n v="0"/>
    <x v="0"/>
    <n v="1"/>
    <n v="0"/>
    <n v="0"/>
    <n v="1"/>
    <m/>
    <x v="0"/>
  </r>
  <r>
    <n v="5125130"/>
    <x v="0"/>
    <s v="N"/>
    <s v="Y"/>
    <n v="0"/>
    <x v="12"/>
    <x v="1"/>
    <x v="1"/>
    <x v="1"/>
    <x v="0"/>
    <d v="1977-09-01T00:00:00"/>
    <n v="-17279"/>
    <x v="2496"/>
    <x v="1"/>
    <n v="-195"/>
    <n v="0.53388090349075978"/>
    <x v="1"/>
    <n v="1"/>
    <n v="1"/>
    <n v="1"/>
    <n v="0"/>
    <s v="Accountants"/>
    <x v="1"/>
  </r>
  <r>
    <n v="5125134"/>
    <x v="0"/>
    <s v="N"/>
    <s v="Y"/>
    <n v="0"/>
    <x v="75"/>
    <x v="2"/>
    <x v="1"/>
    <x v="0"/>
    <x v="0"/>
    <d v="1977-11-23T00:00:00"/>
    <n v="-17196"/>
    <x v="686"/>
    <x v="1"/>
    <n v="-560"/>
    <n v="1.5331964407939767"/>
    <x v="1"/>
    <n v="1"/>
    <n v="1"/>
    <n v="0"/>
    <n v="0"/>
    <s v="Core staff"/>
    <x v="0"/>
  </r>
  <r>
    <n v="5125166"/>
    <x v="1"/>
    <s v="N"/>
    <s v="Y"/>
    <n v="1"/>
    <x v="60"/>
    <x v="2"/>
    <x v="1"/>
    <x v="1"/>
    <x v="0"/>
    <d v="1992-03-15T00:00:00"/>
    <n v="-11970"/>
    <x v="2497"/>
    <x v="3"/>
    <n v="-1748"/>
    <n v="4.7857631759069132"/>
    <x v="1"/>
    <n v="1"/>
    <n v="0"/>
    <n v="0"/>
    <n v="0"/>
    <s v="Laborers"/>
    <x v="3"/>
  </r>
  <r>
    <n v="5125184"/>
    <x v="1"/>
    <s v="N"/>
    <s v="Y"/>
    <n v="1"/>
    <x v="8"/>
    <x v="1"/>
    <x v="1"/>
    <x v="0"/>
    <x v="0"/>
    <d v="1982-10-23T00:00:00"/>
    <n v="-15401"/>
    <x v="2498"/>
    <x v="1"/>
    <n v="-3878"/>
    <n v="10.617385352498289"/>
    <x v="1"/>
    <n v="1"/>
    <n v="0"/>
    <n v="1"/>
    <n v="0"/>
    <s v="Laborers"/>
    <x v="1"/>
  </r>
  <r>
    <n v="5125185"/>
    <x v="1"/>
    <s v="N"/>
    <s v="Y"/>
    <n v="1"/>
    <x v="8"/>
    <x v="1"/>
    <x v="1"/>
    <x v="0"/>
    <x v="0"/>
    <d v="1982-10-23T00:00:00"/>
    <n v="-15401"/>
    <x v="2498"/>
    <x v="1"/>
    <n v="-3878"/>
    <n v="10.617385352498289"/>
    <x v="1"/>
    <n v="1"/>
    <n v="0"/>
    <n v="1"/>
    <n v="0"/>
    <s v="Laborers"/>
    <x v="1"/>
  </r>
  <r>
    <n v="5125190"/>
    <x v="1"/>
    <s v="N"/>
    <s v="Y"/>
    <n v="0"/>
    <x v="2"/>
    <x v="1"/>
    <x v="1"/>
    <x v="1"/>
    <x v="0"/>
    <d v="1976-12-31T00:00:00"/>
    <n v="-17523"/>
    <x v="2499"/>
    <x v="1"/>
    <n v="-4152"/>
    <n v="11.367556468172484"/>
    <x v="1"/>
    <n v="1"/>
    <n v="1"/>
    <n v="0"/>
    <n v="0"/>
    <m/>
    <x v="1"/>
  </r>
  <r>
    <n v="5125194"/>
    <x v="1"/>
    <s v="N"/>
    <s v="Y"/>
    <n v="0"/>
    <x v="2"/>
    <x v="1"/>
    <x v="1"/>
    <x v="1"/>
    <x v="0"/>
    <d v="1976-12-31T00:00:00"/>
    <n v="-17523"/>
    <x v="2499"/>
    <x v="1"/>
    <n v="-4152"/>
    <n v="11.367556468172484"/>
    <x v="1"/>
    <n v="1"/>
    <n v="1"/>
    <n v="0"/>
    <n v="0"/>
    <m/>
    <x v="1"/>
  </r>
  <r>
    <n v="5125220"/>
    <x v="0"/>
    <s v="N"/>
    <s v="Y"/>
    <n v="1"/>
    <x v="30"/>
    <x v="2"/>
    <x v="1"/>
    <x v="2"/>
    <x v="0"/>
    <d v="1975-01-08T00:00:00"/>
    <n v="-18246"/>
    <x v="2500"/>
    <x v="1"/>
    <n v="-6070"/>
    <n v="16.618754277891856"/>
    <x v="1"/>
    <n v="1"/>
    <n v="1"/>
    <n v="1"/>
    <n v="0"/>
    <s v="Managers"/>
    <x v="1"/>
  </r>
  <r>
    <n v="5125222"/>
    <x v="0"/>
    <s v="N"/>
    <s v="Y"/>
    <n v="1"/>
    <x v="30"/>
    <x v="2"/>
    <x v="1"/>
    <x v="2"/>
    <x v="0"/>
    <d v="1975-01-08T00:00:00"/>
    <n v="-18246"/>
    <x v="2500"/>
    <x v="1"/>
    <n v="-6070"/>
    <n v="16.618754277891856"/>
    <x v="1"/>
    <n v="1"/>
    <n v="1"/>
    <n v="1"/>
    <n v="0"/>
    <s v="Managers"/>
    <x v="1"/>
  </r>
  <r>
    <n v="5125223"/>
    <x v="0"/>
    <s v="N"/>
    <s v="Y"/>
    <n v="1"/>
    <x v="30"/>
    <x v="2"/>
    <x v="1"/>
    <x v="2"/>
    <x v="0"/>
    <d v="1975-01-08T00:00:00"/>
    <n v="-18246"/>
    <x v="2500"/>
    <x v="1"/>
    <n v="-6070"/>
    <n v="16.618754277891856"/>
    <x v="1"/>
    <n v="1"/>
    <n v="1"/>
    <n v="1"/>
    <n v="0"/>
    <s v="Managers"/>
    <x v="1"/>
  </r>
  <r>
    <n v="5125225"/>
    <x v="0"/>
    <s v="N"/>
    <s v="Y"/>
    <n v="2"/>
    <x v="5"/>
    <x v="1"/>
    <x v="0"/>
    <x v="1"/>
    <x v="0"/>
    <d v="1987-04-15T00:00:00"/>
    <n v="-13766"/>
    <x v="466"/>
    <x v="3"/>
    <n v="-73"/>
    <n v="0.1998631074606434"/>
    <x v="1"/>
    <n v="1"/>
    <n v="0"/>
    <n v="0"/>
    <n v="0"/>
    <s v="High skill tech staff"/>
    <x v="2"/>
  </r>
  <r>
    <n v="5125239"/>
    <x v="0"/>
    <s v="N"/>
    <s v="Y"/>
    <n v="1"/>
    <x v="5"/>
    <x v="1"/>
    <x v="1"/>
    <x v="1"/>
    <x v="0"/>
    <d v="1982-11-16T00:00:00"/>
    <n v="-15377"/>
    <x v="2501"/>
    <x v="1"/>
    <n v="-3544"/>
    <n v="9.7029431895961675"/>
    <x v="1"/>
    <n v="1"/>
    <n v="1"/>
    <n v="1"/>
    <n v="0"/>
    <s v="Cleaning staff"/>
    <x v="3"/>
  </r>
  <r>
    <n v="5125247"/>
    <x v="1"/>
    <s v="N"/>
    <s v="Y"/>
    <n v="1"/>
    <x v="8"/>
    <x v="2"/>
    <x v="0"/>
    <x v="2"/>
    <x v="2"/>
    <d v="1989-07-01T00:00:00"/>
    <n v="-12958"/>
    <x v="2502"/>
    <x v="3"/>
    <n v="-1475"/>
    <n v="4.0383299110198498"/>
    <x v="1"/>
    <n v="1"/>
    <n v="1"/>
    <n v="0"/>
    <n v="1"/>
    <s v="Laborers"/>
    <x v="1"/>
  </r>
  <r>
    <n v="5125255"/>
    <x v="1"/>
    <s v="Y"/>
    <s v="N"/>
    <n v="1"/>
    <x v="21"/>
    <x v="3"/>
    <x v="0"/>
    <x v="1"/>
    <x v="0"/>
    <d v="1989-12-12T00:00:00"/>
    <n v="-12794"/>
    <x v="2503"/>
    <x v="3"/>
    <n v="-3574"/>
    <n v="9.7850787132101296"/>
    <x v="1"/>
    <n v="1"/>
    <n v="0"/>
    <n v="0"/>
    <n v="0"/>
    <m/>
    <x v="3"/>
  </r>
  <r>
    <n v="5125263"/>
    <x v="1"/>
    <s v="N"/>
    <s v="Y"/>
    <n v="0"/>
    <x v="5"/>
    <x v="1"/>
    <x v="0"/>
    <x v="1"/>
    <x v="0"/>
    <d v="1982-10-01T00:00:00"/>
    <n v="-15423"/>
    <x v="2209"/>
    <x v="1"/>
    <n v="-1200"/>
    <n v="3.2854209445585214"/>
    <x v="1"/>
    <n v="1"/>
    <n v="1"/>
    <n v="1"/>
    <n v="0"/>
    <m/>
    <x v="1"/>
  </r>
  <r>
    <n v="5125274"/>
    <x v="1"/>
    <s v="N"/>
    <s v="N"/>
    <n v="1"/>
    <x v="14"/>
    <x v="2"/>
    <x v="3"/>
    <x v="1"/>
    <x v="0"/>
    <d v="1990-06-09T00:00:00"/>
    <n v="-12615"/>
    <x v="276"/>
    <x v="3"/>
    <n v="-1048"/>
    <n v="2.8692676249144422"/>
    <x v="1"/>
    <n v="1"/>
    <n v="0"/>
    <n v="0"/>
    <n v="1"/>
    <s v="Laborers"/>
    <x v="3"/>
  </r>
  <r>
    <n v="5125290"/>
    <x v="0"/>
    <s v="N"/>
    <s v="N"/>
    <n v="1"/>
    <x v="11"/>
    <x v="2"/>
    <x v="1"/>
    <x v="0"/>
    <x v="0"/>
    <d v="1986-10-24T00:00:00"/>
    <n v="-13939"/>
    <x v="2504"/>
    <x v="3"/>
    <n v="-134"/>
    <n v="0.36687200547570159"/>
    <x v="1"/>
    <n v="1"/>
    <n v="0"/>
    <n v="0"/>
    <n v="0"/>
    <s v="Laborers"/>
    <x v="1"/>
  </r>
  <r>
    <n v="5125295"/>
    <x v="0"/>
    <s v="Y"/>
    <s v="N"/>
    <n v="0"/>
    <x v="3"/>
    <x v="2"/>
    <x v="1"/>
    <x v="0"/>
    <x v="0"/>
    <d v="1978-10-13T00:00:00"/>
    <n v="-16872"/>
    <x v="2505"/>
    <x v="1"/>
    <n v="-1656"/>
    <n v="4.5338809034907595"/>
    <x v="1"/>
    <n v="1"/>
    <n v="0"/>
    <n v="0"/>
    <n v="0"/>
    <s v="Core staff"/>
    <x v="0"/>
  </r>
  <r>
    <n v="5125332"/>
    <x v="1"/>
    <s v="Y"/>
    <s v="Y"/>
    <n v="2"/>
    <x v="21"/>
    <x v="3"/>
    <x v="1"/>
    <x v="1"/>
    <x v="5"/>
    <d v="1989-06-12T00:00:00"/>
    <n v="-12977"/>
    <x v="2506"/>
    <x v="3"/>
    <n v="-3970"/>
    <n v="10.869267624914443"/>
    <x v="1"/>
    <n v="1"/>
    <n v="0"/>
    <n v="0"/>
    <n v="0"/>
    <s v="Laborers"/>
    <x v="2"/>
  </r>
  <r>
    <n v="5125333"/>
    <x v="1"/>
    <s v="Y"/>
    <s v="Y"/>
    <n v="2"/>
    <x v="21"/>
    <x v="3"/>
    <x v="1"/>
    <x v="1"/>
    <x v="5"/>
    <d v="1989-06-12T00:00:00"/>
    <n v="-12977"/>
    <x v="2506"/>
    <x v="3"/>
    <n v="-3970"/>
    <n v="10.869267624914443"/>
    <x v="1"/>
    <n v="1"/>
    <n v="0"/>
    <n v="0"/>
    <n v="0"/>
    <s v="Laborers"/>
    <x v="2"/>
  </r>
  <r>
    <n v="5125336"/>
    <x v="1"/>
    <s v="Y"/>
    <s v="Y"/>
    <n v="2"/>
    <x v="21"/>
    <x v="3"/>
    <x v="1"/>
    <x v="1"/>
    <x v="5"/>
    <d v="1989-06-12T00:00:00"/>
    <n v="-12977"/>
    <x v="2506"/>
    <x v="3"/>
    <n v="-3970"/>
    <n v="10.869267624914443"/>
    <x v="1"/>
    <n v="1"/>
    <n v="0"/>
    <n v="0"/>
    <n v="0"/>
    <s v="Laborers"/>
    <x v="2"/>
  </r>
  <r>
    <n v="5125343"/>
    <x v="0"/>
    <s v="N"/>
    <s v="Y"/>
    <n v="0"/>
    <x v="39"/>
    <x v="0"/>
    <x v="1"/>
    <x v="4"/>
    <x v="0"/>
    <d v="1963-11-01T00:00:00"/>
    <n v="-22332"/>
    <x v="2507"/>
    <x v="0"/>
    <n v="365243"/>
    <n v="0"/>
    <x v="0"/>
    <n v="1"/>
    <n v="0"/>
    <n v="0"/>
    <n v="0"/>
    <m/>
    <x v="0"/>
  </r>
  <r>
    <n v="5125362"/>
    <x v="1"/>
    <s v="Y"/>
    <s v="N"/>
    <n v="0"/>
    <x v="1"/>
    <x v="2"/>
    <x v="1"/>
    <x v="1"/>
    <x v="0"/>
    <d v="1991-07-07T00:00:00"/>
    <n v="-12222"/>
    <x v="2508"/>
    <x v="3"/>
    <n v="-195"/>
    <n v="0.53388090349075978"/>
    <x v="1"/>
    <n v="1"/>
    <n v="0"/>
    <n v="0"/>
    <n v="0"/>
    <s v="Drivers"/>
    <x v="1"/>
  </r>
  <r>
    <n v="5125390"/>
    <x v="0"/>
    <s v="N"/>
    <s v="Y"/>
    <n v="0"/>
    <x v="1"/>
    <x v="3"/>
    <x v="1"/>
    <x v="2"/>
    <x v="0"/>
    <d v="1997-06-01T00:00:00"/>
    <n v="-10066"/>
    <x v="756"/>
    <x v="4"/>
    <n v="-3026"/>
    <n v="8.2847364818617386"/>
    <x v="1"/>
    <n v="1"/>
    <n v="1"/>
    <n v="1"/>
    <n v="0"/>
    <s v="High skill tech staff"/>
    <x v="0"/>
  </r>
  <r>
    <n v="5125402"/>
    <x v="0"/>
    <s v="N"/>
    <s v="Y"/>
    <n v="1"/>
    <x v="51"/>
    <x v="1"/>
    <x v="1"/>
    <x v="2"/>
    <x v="0"/>
    <d v="1999-06-15T00:00:00"/>
    <n v="-9322"/>
    <x v="2509"/>
    <x v="4"/>
    <n v="-1291"/>
    <n v="3.5345653661875427"/>
    <x v="1"/>
    <n v="1"/>
    <n v="0"/>
    <n v="0"/>
    <n v="1"/>
    <m/>
    <x v="1"/>
  </r>
  <r>
    <n v="5125404"/>
    <x v="0"/>
    <s v="N"/>
    <s v="Y"/>
    <n v="1"/>
    <x v="51"/>
    <x v="1"/>
    <x v="1"/>
    <x v="2"/>
    <x v="0"/>
    <d v="1999-06-15T00:00:00"/>
    <n v="-9322"/>
    <x v="2509"/>
    <x v="4"/>
    <n v="-1291"/>
    <n v="3.5345653661875427"/>
    <x v="1"/>
    <n v="1"/>
    <n v="0"/>
    <n v="0"/>
    <n v="1"/>
    <m/>
    <x v="1"/>
  </r>
  <r>
    <n v="5125409"/>
    <x v="0"/>
    <s v="N"/>
    <s v="Y"/>
    <n v="1"/>
    <x v="51"/>
    <x v="1"/>
    <x v="1"/>
    <x v="2"/>
    <x v="0"/>
    <d v="1999-06-15T00:00:00"/>
    <n v="-9322"/>
    <x v="2509"/>
    <x v="4"/>
    <n v="-1291"/>
    <n v="3.5345653661875427"/>
    <x v="1"/>
    <n v="1"/>
    <n v="0"/>
    <n v="0"/>
    <n v="1"/>
    <m/>
    <x v="1"/>
  </r>
  <r>
    <n v="5125411"/>
    <x v="1"/>
    <s v="N"/>
    <s v="Y"/>
    <n v="0"/>
    <x v="1"/>
    <x v="2"/>
    <x v="1"/>
    <x v="1"/>
    <x v="0"/>
    <d v="1983-04-16T00:00:00"/>
    <n v="-15226"/>
    <x v="2510"/>
    <x v="1"/>
    <n v="-2995"/>
    <n v="8.1998631074606436"/>
    <x v="1"/>
    <n v="1"/>
    <n v="0"/>
    <n v="0"/>
    <n v="0"/>
    <s v="Laborers"/>
    <x v="1"/>
  </r>
  <r>
    <n v="5125415"/>
    <x v="1"/>
    <s v="Y"/>
    <s v="Y"/>
    <n v="2"/>
    <x v="22"/>
    <x v="2"/>
    <x v="1"/>
    <x v="1"/>
    <x v="0"/>
    <d v="1993-02-01T00:00:00"/>
    <n v="-11647"/>
    <x v="2511"/>
    <x v="3"/>
    <n v="-2905"/>
    <n v="7.953456536618754"/>
    <x v="1"/>
    <n v="1"/>
    <n v="1"/>
    <n v="1"/>
    <n v="0"/>
    <s v="Laborers"/>
    <x v="2"/>
  </r>
  <r>
    <n v="5125453"/>
    <x v="0"/>
    <s v="N"/>
    <s v="Y"/>
    <n v="0"/>
    <x v="21"/>
    <x v="1"/>
    <x v="0"/>
    <x v="2"/>
    <x v="0"/>
    <d v="1979-07-22T00:00:00"/>
    <n v="-16590"/>
    <x v="2512"/>
    <x v="1"/>
    <n v="-438"/>
    <n v="1.1991786447638604"/>
    <x v="1"/>
    <n v="1"/>
    <n v="0"/>
    <n v="1"/>
    <n v="1"/>
    <s v="Managers"/>
    <x v="0"/>
  </r>
  <r>
    <n v="5125455"/>
    <x v="0"/>
    <s v="N"/>
    <s v="Y"/>
    <n v="0"/>
    <x v="21"/>
    <x v="1"/>
    <x v="0"/>
    <x v="2"/>
    <x v="0"/>
    <d v="1979-07-22T00:00:00"/>
    <n v="-16590"/>
    <x v="2512"/>
    <x v="1"/>
    <n v="-438"/>
    <n v="1.1991786447638604"/>
    <x v="1"/>
    <n v="1"/>
    <n v="0"/>
    <n v="1"/>
    <n v="1"/>
    <s v="Managers"/>
    <x v="0"/>
  </r>
  <r>
    <n v="5125465"/>
    <x v="1"/>
    <s v="N"/>
    <s v="Y"/>
    <n v="1"/>
    <x v="2"/>
    <x v="2"/>
    <x v="1"/>
    <x v="1"/>
    <x v="0"/>
    <d v="1974-08-13T00:00:00"/>
    <n v="-18394"/>
    <x v="2513"/>
    <x v="2"/>
    <n v="-5155"/>
    <n v="14.113620807665983"/>
    <x v="1"/>
    <n v="1"/>
    <n v="0"/>
    <n v="0"/>
    <n v="0"/>
    <s v="Laborers"/>
    <x v="3"/>
  </r>
  <r>
    <n v="5125477"/>
    <x v="0"/>
    <s v="N"/>
    <s v="Y"/>
    <n v="0"/>
    <x v="11"/>
    <x v="0"/>
    <x v="1"/>
    <x v="1"/>
    <x v="0"/>
    <d v="1968-05-29T00:00:00"/>
    <n v="-20661"/>
    <x v="673"/>
    <x v="2"/>
    <n v="365243"/>
    <n v="0"/>
    <x v="0"/>
    <n v="1"/>
    <n v="0"/>
    <n v="0"/>
    <n v="0"/>
    <m/>
    <x v="1"/>
  </r>
  <r>
    <n v="5125478"/>
    <x v="0"/>
    <s v="N"/>
    <s v="Y"/>
    <n v="0"/>
    <x v="11"/>
    <x v="0"/>
    <x v="1"/>
    <x v="1"/>
    <x v="0"/>
    <d v="1968-05-29T00:00:00"/>
    <n v="-20661"/>
    <x v="673"/>
    <x v="2"/>
    <n v="365243"/>
    <n v="0"/>
    <x v="0"/>
    <n v="1"/>
    <n v="0"/>
    <n v="0"/>
    <n v="0"/>
    <m/>
    <x v="1"/>
  </r>
  <r>
    <n v="5125484"/>
    <x v="0"/>
    <s v="N"/>
    <s v="Y"/>
    <n v="0"/>
    <x v="73"/>
    <x v="0"/>
    <x v="0"/>
    <x v="1"/>
    <x v="0"/>
    <d v="1968-06-02T00:00:00"/>
    <n v="-20657"/>
    <x v="1966"/>
    <x v="2"/>
    <n v="365243"/>
    <n v="0"/>
    <x v="0"/>
    <n v="1"/>
    <n v="0"/>
    <n v="0"/>
    <n v="0"/>
    <m/>
    <x v="1"/>
  </r>
  <r>
    <n v="5125487"/>
    <x v="1"/>
    <s v="Y"/>
    <s v="N"/>
    <n v="1"/>
    <x v="1"/>
    <x v="2"/>
    <x v="0"/>
    <x v="1"/>
    <x v="0"/>
    <d v="1989-12-24T00:00:00"/>
    <n v="-12782"/>
    <x v="2514"/>
    <x v="3"/>
    <n v="-1078"/>
    <n v="2.9514031485284051"/>
    <x v="1"/>
    <n v="1"/>
    <n v="0"/>
    <n v="0"/>
    <n v="0"/>
    <s v="Laborers"/>
    <x v="3"/>
  </r>
  <r>
    <n v="5125491"/>
    <x v="1"/>
    <s v="Y"/>
    <s v="N"/>
    <n v="1"/>
    <x v="1"/>
    <x v="2"/>
    <x v="0"/>
    <x v="1"/>
    <x v="0"/>
    <d v="1989-12-24T00:00:00"/>
    <n v="-12782"/>
    <x v="2514"/>
    <x v="3"/>
    <n v="-1078"/>
    <n v="2.9514031485284051"/>
    <x v="1"/>
    <n v="1"/>
    <n v="0"/>
    <n v="0"/>
    <n v="0"/>
    <s v="Laborers"/>
    <x v="3"/>
  </r>
  <r>
    <n v="5125501"/>
    <x v="0"/>
    <s v="N"/>
    <s v="Y"/>
    <n v="0"/>
    <x v="43"/>
    <x v="0"/>
    <x v="1"/>
    <x v="1"/>
    <x v="0"/>
    <d v="1967-09-22T00:00:00"/>
    <n v="-20911"/>
    <x v="2515"/>
    <x v="2"/>
    <n v="365243"/>
    <n v="0"/>
    <x v="0"/>
    <n v="1"/>
    <n v="0"/>
    <n v="0"/>
    <n v="0"/>
    <m/>
    <x v="1"/>
  </r>
  <r>
    <n v="5125510"/>
    <x v="1"/>
    <s v="N"/>
    <s v="Y"/>
    <n v="1"/>
    <x v="11"/>
    <x v="1"/>
    <x v="1"/>
    <x v="1"/>
    <x v="0"/>
    <d v="1984-01-15T00:00:00"/>
    <n v="-14952"/>
    <x v="2516"/>
    <x v="1"/>
    <n v="-104"/>
    <n v="0.28473648186173856"/>
    <x v="1"/>
    <n v="1"/>
    <n v="0"/>
    <n v="1"/>
    <n v="0"/>
    <s v="Security staff"/>
    <x v="3"/>
  </r>
  <r>
    <n v="5125515"/>
    <x v="1"/>
    <s v="N"/>
    <s v="Y"/>
    <n v="1"/>
    <x v="11"/>
    <x v="1"/>
    <x v="1"/>
    <x v="1"/>
    <x v="0"/>
    <d v="1984-01-15T00:00:00"/>
    <n v="-14952"/>
    <x v="2516"/>
    <x v="1"/>
    <n v="-104"/>
    <n v="0.28473648186173856"/>
    <x v="1"/>
    <n v="1"/>
    <n v="0"/>
    <n v="1"/>
    <n v="0"/>
    <s v="Security staff"/>
    <x v="3"/>
  </r>
  <r>
    <n v="5125530"/>
    <x v="0"/>
    <s v="Y"/>
    <s v="N"/>
    <n v="0"/>
    <x v="73"/>
    <x v="0"/>
    <x v="3"/>
    <x v="1"/>
    <x v="0"/>
    <d v="1960-12-21T00:00:00"/>
    <n v="-23377"/>
    <x v="2517"/>
    <x v="0"/>
    <n v="365243"/>
    <n v="0"/>
    <x v="0"/>
    <n v="1"/>
    <n v="0"/>
    <n v="0"/>
    <n v="0"/>
    <m/>
    <x v="1"/>
  </r>
  <r>
    <n v="5125533"/>
    <x v="0"/>
    <s v="N"/>
    <s v="N"/>
    <n v="0"/>
    <x v="63"/>
    <x v="2"/>
    <x v="1"/>
    <x v="1"/>
    <x v="0"/>
    <d v="1974-02-01T00:00:00"/>
    <n v="-18587"/>
    <x v="2518"/>
    <x v="2"/>
    <n v="-195"/>
    <n v="0.53388090349075978"/>
    <x v="1"/>
    <n v="1"/>
    <n v="1"/>
    <n v="0"/>
    <n v="0"/>
    <s v="Cleaning staff"/>
    <x v="1"/>
  </r>
  <r>
    <n v="5125535"/>
    <x v="1"/>
    <s v="Y"/>
    <s v="Y"/>
    <n v="0"/>
    <x v="8"/>
    <x v="2"/>
    <x v="1"/>
    <x v="1"/>
    <x v="0"/>
    <d v="1972-07-30T00:00:00"/>
    <n v="-19138"/>
    <x v="2519"/>
    <x v="2"/>
    <n v="-1291"/>
    <n v="3.5345653661875427"/>
    <x v="1"/>
    <n v="1"/>
    <n v="1"/>
    <n v="0"/>
    <n v="0"/>
    <s v="Managers"/>
    <x v="1"/>
  </r>
  <r>
    <n v="5125536"/>
    <x v="1"/>
    <s v="N"/>
    <s v="N"/>
    <n v="1"/>
    <x v="16"/>
    <x v="2"/>
    <x v="1"/>
    <x v="1"/>
    <x v="4"/>
    <d v="1985-04-04T00:00:00"/>
    <n v="-14507"/>
    <x v="2520"/>
    <x v="3"/>
    <n v="-4213"/>
    <n v="11.534565366187543"/>
    <x v="1"/>
    <n v="1"/>
    <n v="1"/>
    <n v="1"/>
    <n v="0"/>
    <s v="Laborers"/>
    <x v="3"/>
  </r>
  <r>
    <n v="5125547"/>
    <x v="1"/>
    <s v="Y"/>
    <s v="N"/>
    <n v="0"/>
    <x v="117"/>
    <x v="2"/>
    <x v="0"/>
    <x v="1"/>
    <x v="0"/>
    <d v="1979-04-12T00:00:00"/>
    <n v="-16691"/>
    <x v="2521"/>
    <x v="1"/>
    <n v="-1565"/>
    <n v="4.2847364818617386"/>
    <x v="1"/>
    <n v="1"/>
    <n v="1"/>
    <n v="0"/>
    <n v="0"/>
    <s v="Managers"/>
    <x v="1"/>
  </r>
  <r>
    <n v="5125548"/>
    <x v="0"/>
    <s v="N"/>
    <s v="Y"/>
    <n v="0"/>
    <x v="8"/>
    <x v="1"/>
    <x v="0"/>
    <x v="1"/>
    <x v="0"/>
    <d v="1999-03-11T00:00:00"/>
    <n v="-9418"/>
    <x v="2522"/>
    <x v="4"/>
    <n v="-1595"/>
    <n v="4.3668720054757015"/>
    <x v="1"/>
    <n v="1"/>
    <n v="0"/>
    <n v="1"/>
    <n v="0"/>
    <s v="Managers"/>
    <x v="1"/>
  </r>
  <r>
    <n v="5125549"/>
    <x v="0"/>
    <s v="N"/>
    <s v="Y"/>
    <n v="0"/>
    <x v="8"/>
    <x v="1"/>
    <x v="0"/>
    <x v="1"/>
    <x v="0"/>
    <d v="1999-03-11T00:00:00"/>
    <n v="-9418"/>
    <x v="2522"/>
    <x v="4"/>
    <n v="-1595"/>
    <n v="4.3668720054757015"/>
    <x v="1"/>
    <n v="1"/>
    <n v="0"/>
    <n v="1"/>
    <n v="0"/>
    <s v="Managers"/>
    <x v="1"/>
  </r>
  <r>
    <n v="5125553"/>
    <x v="0"/>
    <s v="N"/>
    <s v="N"/>
    <n v="0"/>
    <x v="56"/>
    <x v="2"/>
    <x v="1"/>
    <x v="2"/>
    <x v="0"/>
    <d v="1982-01-25T00:00:00"/>
    <n v="-15672"/>
    <x v="2523"/>
    <x v="1"/>
    <n v="-622"/>
    <n v="1.7029431895961671"/>
    <x v="1"/>
    <n v="1"/>
    <n v="1"/>
    <n v="0"/>
    <n v="0"/>
    <s v="Laborers"/>
    <x v="0"/>
  </r>
  <r>
    <n v="5125568"/>
    <x v="1"/>
    <s v="Y"/>
    <s v="N"/>
    <n v="0"/>
    <x v="10"/>
    <x v="3"/>
    <x v="1"/>
    <x v="1"/>
    <x v="0"/>
    <d v="1996-09-15T00:00:00"/>
    <n v="-10325"/>
    <x v="2524"/>
    <x v="4"/>
    <n v="-3026"/>
    <n v="8.2847364818617386"/>
    <x v="1"/>
    <n v="1"/>
    <n v="1"/>
    <n v="0"/>
    <n v="0"/>
    <m/>
    <x v="1"/>
  </r>
  <r>
    <n v="5125571"/>
    <x v="1"/>
    <s v="Y"/>
    <s v="N"/>
    <n v="0"/>
    <x v="10"/>
    <x v="3"/>
    <x v="1"/>
    <x v="1"/>
    <x v="0"/>
    <d v="1996-09-15T00:00:00"/>
    <n v="-10325"/>
    <x v="2524"/>
    <x v="4"/>
    <n v="-3026"/>
    <n v="8.2847364818617386"/>
    <x v="1"/>
    <n v="1"/>
    <n v="1"/>
    <n v="0"/>
    <n v="0"/>
    <m/>
    <x v="1"/>
  </r>
  <r>
    <n v="5125585"/>
    <x v="0"/>
    <s v="N"/>
    <s v="Y"/>
    <n v="0"/>
    <x v="43"/>
    <x v="0"/>
    <x v="1"/>
    <x v="1"/>
    <x v="0"/>
    <d v="1963-03-07T00:00:00"/>
    <n v="-22571"/>
    <x v="2525"/>
    <x v="0"/>
    <n v="365243"/>
    <n v="0"/>
    <x v="0"/>
    <n v="1"/>
    <n v="0"/>
    <n v="1"/>
    <n v="0"/>
    <m/>
    <x v="1"/>
  </r>
  <r>
    <n v="5125601"/>
    <x v="0"/>
    <s v="Y"/>
    <s v="Y"/>
    <n v="0"/>
    <x v="42"/>
    <x v="1"/>
    <x v="0"/>
    <x v="1"/>
    <x v="0"/>
    <d v="1997-03-10T00:00:00"/>
    <n v="-10149"/>
    <x v="2526"/>
    <x v="4"/>
    <n v="-2783"/>
    <n v="7.6194387405886381"/>
    <x v="1"/>
    <n v="1"/>
    <n v="0"/>
    <n v="0"/>
    <n v="0"/>
    <s v="Accountants"/>
    <x v="1"/>
  </r>
  <r>
    <n v="5125602"/>
    <x v="0"/>
    <s v="Y"/>
    <s v="Y"/>
    <n v="0"/>
    <x v="42"/>
    <x v="1"/>
    <x v="0"/>
    <x v="1"/>
    <x v="0"/>
    <d v="1997-03-10T00:00:00"/>
    <n v="-10149"/>
    <x v="2526"/>
    <x v="4"/>
    <n v="-2783"/>
    <n v="7.6194387405886381"/>
    <x v="1"/>
    <n v="1"/>
    <n v="0"/>
    <n v="0"/>
    <n v="0"/>
    <s v="Accountants"/>
    <x v="1"/>
  </r>
  <r>
    <n v="5125607"/>
    <x v="0"/>
    <s v="N"/>
    <s v="N"/>
    <n v="0"/>
    <x v="11"/>
    <x v="2"/>
    <x v="1"/>
    <x v="0"/>
    <x v="0"/>
    <d v="1982-03-31T00:00:00"/>
    <n v="-15607"/>
    <x v="2527"/>
    <x v="1"/>
    <n v="-3240"/>
    <n v="8.8706365503080082"/>
    <x v="1"/>
    <n v="1"/>
    <n v="1"/>
    <n v="1"/>
    <n v="1"/>
    <s v="High skill tech staff"/>
    <x v="0"/>
  </r>
  <r>
    <n v="5125625"/>
    <x v="1"/>
    <s v="Y"/>
    <s v="Y"/>
    <n v="0"/>
    <x v="2"/>
    <x v="2"/>
    <x v="1"/>
    <x v="1"/>
    <x v="0"/>
    <d v="1973-09-10T00:00:00"/>
    <n v="-18731"/>
    <x v="2528"/>
    <x v="2"/>
    <n v="-4397"/>
    <n v="12.038329911019849"/>
    <x v="1"/>
    <n v="1"/>
    <n v="0"/>
    <n v="0"/>
    <n v="0"/>
    <s v="Laborers"/>
    <x v="1"/>
  </r>
  <r>
    <n v="5125635"/>
    <x v="1"/>
    <s v="N"/>
    <s v="N"/>
    <n v="1"/>
    <x v="19"/>
    <x v="3"/>
    <x v="1"/>
    <x v="1"/>
    <x v="0"/>
    <d v="1982-09-17T00:00:00"/>
    <n v="-15437"/>
    <x v="2529"/>
    <x v="1"/>
    <n v="-7835"/>
    <n v="21.451060917180012"/>
    <x v="1"/>
    <n v="1"/>
    <n v="0"/>
    <n v="1"/>
    <n v="0"/>
    <m/>
    <x v="3"/>
  </r>
  <r>
    <n v="5125666"/>
    <x v="0"/>
    <s v="N"/>
    <s v="N"/>
    <n v="0"/>
    <x v="45"/>
    <x v="3"/>
    <x v="1"/>
    <x v="1"/>
    <x v="0"/>
    <d v="1974-03-28T00:00:00"/>
    <n v="-18532"/>
    <x v="2530"/>
    <x v="2"/>
    <n v="-3666"/>
    <n v="10.036960985626283"/>
    <x v="1"/>
    <n v="1"/>
    <n v="1"/>
    <n v="1"/>
    <n v="0"/>
    <s v="Core staff"/>
    <x v="1"/>
  </r>
  <r>
    <n v="5125671"/>
    <x v="0"/>
    <s v="N"/>
    <s v="N"/>
    <n v="0"/>
    <x v="45"/>
    <x v="3"/>
    <x v="1"/>
    <x v="1"/>
    <x v="0"/>
    <d v="1974-03-28T00:00:00"/>
    <n v="-18532"/>
    <x v="2530"/>
    <x v="2"/>
    <n v="-3666"/>
    <n v="10.036960985626283"/>
    <x v="1"/>
    <n v="1"/>
    <n v="1"/>
    <n v="1"/>
    <n v="0"/>
    <s v="Core staff"/>
    <x v="1"/>
  </r>
  <r>
    <n v="5125679"/>
    <x v="0"/>
    <s v="N"/>
    <s v="N"/>
    <n v="0"/>
    <x v="21"/>
    <x v="1"/>
    <x v="1"/>
    <x v="1"/>
    <x v="1"/>
    <d v="1975-06-23T00:00:00"/>
    <n v="-18080"/>
    <x v="2531"/>
    <x v="1"/>
    <n v="-1718"/>
    <n v="4.7036276522929503"/>
    <x v="1"/>
    <n v="1"/>
    <n v="1"/>
    <n v="0"/>
    <n v="0"/>
    <s v="Managers"/>
    <x v="1"/>
  </r>
  <r>
    <n v="5125680"/>
    <x v="0"/>
    <s v="N"/>
    <s v="N"/>
    <n v="0"/>
    <x v="21"/>
    <x v="1"/>
    <x v="1"/>
    <x v="1"/>
    <x v="1"/>
    <d v="1975-06-23T00:00:00"/>
    <n v="-18080"/>
    <x v="2531"/>
    <x v="1"/>
    <n v="-1718"/>
    <n v="4.7036276522929503"/>
    <x v="1"/>
    <n v="1"/>
    <n v="1"/>
    <n v="0"/>
    <n v="0"/>
    <s v="Managers"/>
    <x v="1"/>
  </r>
  <r>
    <n v="5125685"/>
    <x v="0"/>
    <s v="N"/>
    <s v="Y"/>
    <n v="1"/>
    <x v="8"/>
    <x v="1"/>
    <x v="1"/>
    <x v="1"/>
    <x v="0"/>
    <d v="1986-06-27T00:00:00"/>
    <n v="-14058"/>
    <x v="2532"/>
    <x v="3"/>
    <n v="-3694"/>
    <n v="10.113620807665983"/>
    <x v="1"/>
    <n v="1"/>
    <n v="0"/>
    <n v="0"/>
    <n v="0"/>
    <s v="Realty agents"/>
    <x v="3"/>
  </r>
  <r>
    <n v="5125690"/>
    <x v="0"/>
    <s v="N"/>
    <s v="Y"/>
    <n v="1"/>
    <x v="8"/>
    <x v="1"/>
    <x v="1"/>
    <x v="1"/>
    <x v="0"/>
    <d v="1986-06-27T00:00:00"/>
    <n v="-14058"/>
    <x v="2532"/>
    <x v="3"/>
    <n v="-3694"/>
    <n v="10.113620807665983"/>
    <x v="1"/>
    <n v="1"/>
    <n v="0"/>
    <n v="0"/>
    <n v="0"/>
    <s v="Realty agents"/>
    <x v="3"/>
  </r>
  <r>
    <n v="5125693"/>
    <x v="1"/>
    <s v="Y"/>
    <s v="Y"/>
    <n v="1"/>
    <x v="1"/>
    <x v="2"/>
    <x v="1"/>
    <x v="1"/>
    <x v="0"/>
    <d v="1997-08-06T00:00:00"/>
    <n v="-10000"/>
    <x v="2533"/>
    <x v="4"/>
    <n v="-1779"/>
    <n v="4.8706365503080082"/>
    <x v="1"/>
    <n v="1"/>
    <n v="0"/>
    <n v="0"/>
    <n v="0"/>
    <s v="Laborers"/>
    <x v="3"/>
  </r>
  <r>
    <n v="5125704"/>
    <x v="0"/>
    <s v="Y"/>
    <s v="Y"/>
    <n v="1"/>
    <x v="57"/>
    <x v="2"/>
    <x v="0"/>
    <x v="1"/>
    <x v="0"/>
    <d v="1995-06-07T00:00:00"/>
    <n v="-10791"/>
    <x v="2534"/>
    <x v="4"/>
    <n v="-2478"/>
    <n v="6.7843942505133468"/>
    <x v="1"/>
    <n v="1"/>
    <n v="0"/>
    <n v="1"/>
    <n v="1"/>
    <s v="Accountants"/>
    <x v="3"/>
  </r>
  <r>
    <n v="5125707"/>
    <x v="0"/>
    <s v="Y"/>
    <s v="Y"/>
    <n v="0"/>
    <x v="1"/>
    <x v="2"/>
    <x v="3"/>
    <x v="1"/>
    <x v="0"/>
    <d v="1980-01-15T00:00:00"/>
    <n v="-16413"/>
    <x v="2535"/>
    <x v="1"/>
    <n v="-622"/>
    <n v="1.7029431895961671"/>
    <x v="1"/>
    <n v="1"/>
    <n v="0"/>
    <n v="1"/>
    <n v="0"/>
    <s v="High skill tech staff"/>
    <x v="1"/>
  </r>
  <r>
    <n v="5125710"/>
    <x v="0"/>
    <s v="Y"/>
    <s v="Y"/>
    <n v="0"/>
    <x v="1"/>
    <x v="2"/>
    <x v="3"/>
    <x v="1"/>
    <x v="0"/>
    <d v="1980-01-15T00:00:00"/>
    <n v="-16413"/>
    <x v="2535"/>
    <x v="1"/>
    <n v="-622"/>
    <n v="1.7029431895961671"/>
    <x v="1"/>
    <n v="1"/>
    <n v="0"/>
    <n v="1"/>
    <n v="0"/>
    <s v="High skill tech staff"/>
    <x v="1"/>
  </r>
  <r>
    <n v="5125712"/>
    <x v="0"/>
    <s v="Y"/>
    <s v="Y"/>
    <n v="0"/>
    <x v="1"/>
    <x v="2"/>
    <x v="3"/>
    <x v="1"/>
    <x v="0"/>
    <d v="1980-01-15T00:00:00"/>
    <n v="-16413"/>
    <x v="2535"/>
    <x v="1"/>
    <n v="-622"/>
    <n v="1.7029431895961671"/>
    <x v="1"/>
    <n v="1"/>
    <n v="0"/>
    <n v="1"/>
    <n v="0"/>
    <s v="High skill tech staff"/>
    <x v="1"/>
  </r>
  <r>
    <n v="5125751"/>
    <x v="0"/>
    <s v="N"/>
    <s v="Y"/>
    <n v="0"/>
    <x v="35"/>
    <x v="2"/>
    <x v="1"/>
    <x v="1"/>
    <x v="0"/>
    <d v="1970-01-16T00:00:00"/>
    <n v="-20064"/>
    <x v="2536"/>
    <x v="2"/>
    <n v="-3360"/>
    <n v="9.1991786447638599"/>
    <x v="1"/>
    <n v="1"/>
    <n v="1"/>
    <n v="1"/>
    <n v="0"/>
    <s v="Sales staff"/>
    <x v="1"/>
  </r>
  <r>
    <n v="5125768"/>
    <x v="0"/>
    <s v="N"/>
    <s v="Y"/>
    <n v="1"/>
    <x v="16"/>
    <x v="2"/>
    <x v="1"/>
    <x v="1"/>
    <x v="0"/>
    <d v="1979-11-23T00:00:00"/>
    <n v="-16466"/>
    <x v="2537"/>
    <x v="1"/>
    <n v="-2083"/>
    <n v="5.7029431895961666"/>
    <x v="1"/>
    <n v="1"/>
    <n v="0"/>
    <n v="0"/>
    <n v="0"/>
    <s v="Sales staff"/>
    <x v="3"/>
  </r>
  <r>
    <n v="5125770"/>
    <x v="0"/>
    <s v="N"/>
    <s v="Y"/>
    <n v="0"/>
    <x v="2"/>
    <x v="2"/>
    <x v="1"/>
    <x v="1"/>
    <x v="0"/>
    <d v="1961-01-07T00:00:00"/>
    <n v="-23360"/>
    <x v="2538"/>
    <x v="0"/>
    <n v="-469"/>
    <n v="1.2840520191649556"/>
    <x v="1"/>
    <n v="1"/>
    <n v="0"/>
    <n v="0"/>
    <n v="0"/>
    <m/>
    <x v="1"/>
  </r>
  <r>
    <n v="5125786"/>
    <x v="0"/>
    <s v="N"/>
    <s v="Y"/>
    <n v="0"/>
    <x v="2"/>
    <x v="2"/>
    <x v="1"/>
    <x v="1"/>
    <x v="0"/>
    <d v="1961-01-07T00:00:00"/>
    <n v="-23360"/>
    <x v="2538"/>
    <x v="0"/>
    <n v="-469"/>
    <n v="1.2840520191649556"/>
    <x v="1"/>
    <n v="1"/>
    <n v="0"/>
    <n v="0"/>
    <n v="0"/>
    <m/>
    <x v="1"/>
  </r>
  <r>
    <n v="5125805"/>
    <x v="0"/>
    <s v="N"/>
    <s v="Y"/>
    <n v="0"/>
    <x v="18"/>
    <x v="2"/>
    <x v="1"/>
    <x v="0"/>
    <x v="0"/>
    <d v="1974-10-06T00:00:00"/>
    <n v="-18340"/>
    <x v="2539"/>
    <x v="2"/>
    <n v="-2052"/>
    <n v="5.6180698151950716"/>
    <x v="1"/>
    <n v="1"/>
    <n v="0"/>
    <n v="0"/>
    <n v="1"/>
    <s v="Laborers"/>
    <x v="0"/>
  </r>
  <r>
    <n v="5125828"/>
    <x v="1"/>
    <s v="Y"/>
    <s v="Y"/>
    <n v="0"/>
    <x v="14"/>
    <x v="1"/>
    <x v="1"/>
    <x v="1"/>
    <x v="0"/>
    <d v="1993-03-07T00:00:00"/>
    <n v="-11613"/>
    <x v="2540"/>
    <x v="3"/>
    <n v="-4031"/>
    <n v="11.0362765229295"/>
    <x v="1"/>
    <n v="1"/>
    <n v="0"/>
    <n v="1"/>
    <n v="0"/>
    <s v="Laborers"/>
    <x v="1"/>
  </r>
  <r>
    <n v="5125837"/>
    <x v="1"/>
    <s v="Y"/>
    <s v="Y"/>
    <n v="0"/>
    <x v="15"/>
    <x v="2"/>
    <x v="0"/>
    <x v="1"/>
    <x v="0"/>
    <d v="1992-06-29T00:00:00"/>
    <n v="-11864"/>
    <x v="123"/>
    <x v="3"/>
    <n v="-1748"/>
    <n v="4.7857631759069132"/>
    <x v="1"/>
    <n v="1"/>
    <n v="0"/>
    <n v="1"/>
    <n v="0"/>
    <s v="IT staff"/>
    <x v="1"/>
  </r>
  <r>
    <n v="5125847"/>
    <x v="0"/>
    <s v="N"/>
    <s v="N"/>
    <n v="0"/>
    <x v="60"/>
    <x v="2"/>
    <x v="1"/>
    <x v="2"/>
    <x v="0"/>
    <d v="1975-10-21T00:00:00"/>
    <n v="-17960"/>
    <x v="697"/>
    <x v="1"/>
    <n v="-1626"/>
    <n v="4.4517453798767965"/>
    <x v="1"/>
    <n v="1"/>
    <n v="1"/>
    <n v="0"/>
    <n v="0"/>
    <s v="Cleaning staff"/>
    <x v="0"/>
  </r>
  <r>
    <n v="5125851"/>
    <x v="0"/>
    <s v="N"/>
    <s v="N"/>
    <n v="0"/>
    <x v="60"/>
    <x v="2"/>
    <x v="1"/>
    <x v="2"/>
    <x v="0"/>
    <d v="1975-10-21T00:00:00"/>
    <n v="-17960"/>
    <x v="697"/>
    <x v="1"/>
    <n v="-1626"/>
    <n v="4.4517453798767965"/>
    <x v="1"/>
    <n v="1"/>
    <n v="1"/>
    <n v="0"/>
    <n v="0"/>
    <s v="Cleaning staff"/>
    <x v="0"/>
  </r>
  <r>
    <n v="5125877"/>
    <x v="0"/>
    <s v="Y"/>
    <s v="Y"/>
    <n v="2"/>
    <x v="16"/>
    <x v="1"/>
    <x v="0"/>
    <x v="3"/>
    <x v="0"/>
    <d v="1993-05-17T00:00:00"/>
    <n v="-11542"/>
    <x v="2541"/>
    <x v="3"/>
    <n v="-1169"/>
    <n v="3.2005475701574264"/>
    <x v="1"/>
    <n v="1"/>
    <n v="0"/>
    <n v="0"/>
    <n v="1"/>
    <s v="Sales staff"/>
    <x v="2"/>
  </r>
  <r>
    <n v="5125883"/>
    <x v="0"/>
    <s v="Y"/>
    <s v="Y"/>
    <n v="2"/>
    <x v="16"/>
    <x v="1"/>
    <x v="0"/>
    <x v="3"/>
    <x v="0"/>
    <d v="1993-05-17T00:00:00"/>
    <n v="-11542"/>
    <x v="2541"/>
    <x v="3"/>
    <n v="-1169"/>
    <n v="3.2005475701574264"/>
    <x v="1"/>
    <n v="1"/>
    <n v="0"/>
    <n v="0"/>
    <n v="1"/>
    <s v="Sales staff"/>
    <x v="2"/>
  </r>
  <r>
    <n v="5125889"/>
    <x v="0"/>
    <s v="Y"/>
    <s v="Y"/>
    <n v="0"/>
    <x v="2"/>
    <x v="2"/>
    <x v="0"/>
    <x v="1"/>
    <x v="0"/>
    <d v="1974-03-29T00:00:00"/>
    <n v="-18531"/>
    <x v="2542"/>
    <x v="2"/>
    <n v="-925"/>
    <n v="2.5325119780971939"/>
    <x v="1"/>
    <n v="1"/>
    <n v="0"/>
    <n v="1"/>
    <n v="0"/>
    <s v="High skill tech staff"/>
    <x v="1"/>
  </r>
  <r>
    <n v="5125899"/>
    <x v="0"/>
    <s v="Y"/>
    <s v="Y"/>
    <n v="0"/>
    <x v="41"/>
    <x v="0"/>
    <x v="0"/>
    <x v="1"/>
    <x v="0"/>
    <d v="1965-07-04T00:00:00"/>
    <n v="-21721"/>
    <x v="2543"/>
    <x v="2"/>
    <n v="365243"/>
    <n v="0"/>
    <x v="0"/>
    <n v="1"/>
    <n v="0"/>
    <n v="0"/>
    <n v="0"/>
    <m/>
    <x v="1"/>
  </r>
  <r>
    <n v="5125901"/>
    <x v="0"/>
    <s v="N"/>
    <s v="Y"/>
    <n v="0"/>
    <x v="55"/>
    <x v="2"/>
    <x v="1"/>
    <x v="1"/>
    <x v="0"/>
    <d v="1972-11-06T00:00:00"/>
    <n v="-19039"/>
    <x v="2544"/>
    <x v="2"/>
    <n v="-3240"/>
    <n v="8.8706365503080082"/>
    <x v="1"/>
    <n v="1"/>
    <n v="0"/>
    <n v="0"/>
    <n v="0"/>
    <s v="Cleaning staff"/>
    <x v="1"/>
  </r>
  <r>
    <n v="5125902"/>
    <x v="0"/>
    <s v="N"/>
    <s v="Y"/>
    <n v="0"/>
    <x v="55"/>
    <x v="2"/>
    <x v="1"/>
    <x v="1"/>
    <x v="0"/>
    <d v="1972-11-06T00:00:00"/>
    <n v="-19039"/>
    <x v="2544"/>
    <x v="2"/>
    <n v="-3240"/>
    <n v="8.8706365503080082"/>
    <x v="1"/>
    <n v="1"/>
    <n v="0"/>
    <n v="0"/>
    <n v="0"/>
    <s v="Cleaning staff"/>
    <x v="1"/>
  </r>
  <r>
    <n v="5125907"/>
    <x v="1"/>
    <s v="N"/>
    <s v="Y"/>
    <n v="0"/>
    <x v="83"/>
    <x v="1"/>
    <x v="0"/>
    <x v="2"/>
    <x v="0"/>
    <d v="1995-11-10T00:00:00"/>
    <n v="-10635"/>
    <x v="2545"/>
    <x v="4"/>
    <n v="-287"/>
    <n v="0.78576317590691303"/>
    <x v="1"/>
    <n v="1"/>
    <n v="0"/>
    <n v="0"/>
    <n v="0"/>
    <s v="Core staff"/>
    <x v="0"/>
  </r>
  <r>
    <n v="5125914"/>
    <x v="0"/>
    <s v="N"/>
    <s v="N"/>
    <n v="0"/>
    <x v="5"/>
    <x v="2"/>
    <x v="0"/>
    <x v="1"/>
    <x v="0"/>
    <d v="1993-03-05T00:00:00"/>
    <n v="-11615"/>
    <x v="2546"/>
    <x v="3"/>
    <n v="-2936"/>
    <n v="8.038329911019849"/>
    <x v="1"/>
    <n v="1"/>
    <n v="0"/>
    <n v="0"/>
    <n v="0"/>
    <s v="Sales staff"/>
    <x v="1"/>
  </r>
  <r>
    <n v="5125924"/>
    <x v="0"/>
    <s v="N"/>
    <s v="Y"/>
    <n v="0"/>
    <x v="6"/>
    <x v="2"/>
    <x v="2"/>
    <x v="2"/>
    <x v="0"/>
    <d v="1999-11-19T00:00:00"/>
    <n v="-9165"/>
    <x v="2547"/>
    <x v="4"/>
    <n v="-348"/>
    <n v="0.95277207392197127"/>
    <x v="1"/>
    <n v="1"/>
    <n v="0"/>
    <n v="0"/>
    <n v="0"/>
    <s v="High skill tech staff"/>
    <x v="0"/>
  </r>
  <r>
    <n v="5125951"/>
    <x v="0"/>
    <s v="N"/>
    <s v="Y"/>
    <n v="0"/>
    <x v="1"/>
    <x v="2"/>
    <x v="1"/>
    <x v="1"/>
    <x v="1"/>
    <d v="1985-02-11T00:00:00"/>
    <n v="-14559"/>
    <x v="2548"/>
    <x v="3"/>
    <n v="-2599"/>
    <n v="7.1156741957563314"/>
    <x v="1"/>
    <n v="1"/>
    <n v="0"/>
    <n v="0"/>
    <n v="0"/>
    <s v="Laborers"/>
    <x v="1"/>
  </r>
  <r>
    <n v="5125952"/>
    <x v="1"/>
    <s v="N"/>
    <s v="Y"/>
    <n v="0"/>
    <x v="1"/>
    <x v="2"/>
    <x v="1"/>
    <x v="1"/>
    <x v="1"/>
    <d v="1985-02-11T00:00:00"/>
    <n v="-14559"/>
    <x v="2548"/>
    <x v="3"/>
    <n v="-2599"/>
    <n v="7.1156741957563314"/>
    <x v="1"/>
    <n v="1"/>
    <n v="0"/>
    <n v="0"/>
    <n v="0"/>
    <s v="Laborers"/>
    <x v="1"/>
  </r>
  <r>
    <n v="5125956"/>
    <x v="0"/>
    <s v="N"/>
    <s v="Y"/>
    <n v="0"/>
    <x v="6"/>
    <x v="1"/>
    <x v="1"/>
    <x v="2"/>
    <x v="0"/>
    <d v="1980-12-25T00:00:00"/>
    <n v="-16068"/>
    <x v="2549"/>
    <x v="1"/>
    <n v="-2722"/>
    <n v="7.4524298425735793"/>
    <x v="1"/>
    <n v="1"/>
    <n v="0"/>
    <n v="1"/>
    <n v="0"/>
    <s v="Laborers"/>
    <x v="0"/>
  </r>
  <r>
    <n v="5125972"/>
    <x v="1"/>
    <s v="Y"/>
    <s v="Y"/>
    <n v="0"/>
    <x v="11"/>
    <x v="2"/>
    <x v="1"/>
    <x v="1"/>
    <x v="0"/>
    <d v="1984-04-18T00:00:00"/>
    <n v="-14858"/>
    <x v="2550"/>
    <x v="1"/>
    <n v="-1109"/>
    <n v="3.0362765229295001"/>
    <x v="1"/>
    <n v="1"/>
    <n v="0"/>
    <n v="0"/>
    <n v="0"/>
    <s v="Laborers"/>
    <x v="1"/>
  </r>
  <r>
    <n v="5125976"/>
    <x v="1"/>
    <s v="N"/>
    <s v="Y"/>
    <n v="0"/>
    <x v="39"/>
    <x v="1"/>
    <x v="0"/>
    <x v="4"/>
    <x v="0"/>
    <d v="1982-08-15T00:00:00"/>
    <n v="-15470"/>
    <x v="2551"/>
    <x v="1"/>
    <n v="-2233"/>
    <n v="6.1136208076659821"/>
    <x v="1"/>
    <n v="1"/>
    <n v="0"/>
    <n v="1"/>
    <n v="0"/>
    <s v="Laborers"/>
    <x v="0"/>
  </r>
  <r>
    <n v="5125979"/>
    <x v="1"/>
    <s v="N"/>
    <s v="Y"/>
    <n v="0"/>
    <x v="10"/>
    <x v="2"/>
    <x v="0"/>
    <x v="0"/>
    <x v="0"/>
    <d v="1991-10-18T00:00:00"/>
    <n v="-12119"/>
    <x v="2552"/>
    <x v="3"/>
    <n v="-1230"/>
    <n v="3.3675564681724848"/>
    <x v="1"/>
    <n v="1"/>
    <n v="0"/>
    <n v="1"/>
    <n v="1"/>
    <s v="Managers"/>
    <x v="0"/>
  </r>
  <r>
    <n v="5125980"/>
    <x v="1"/>
    <s v="N"/>
    <s v="Y"/>
    <n v="0"/>
    <x v="10"/>
    <x v="2"/>
    <x v="0"/>
    <x v="0"/>
    <x v="0"/>
    <d v="1991-10-18T00:00:00"/>
    <n v="-12119"/>
    <x v="2552"/>
    <x v="3"/>
    <n v="-1230"/>
    <n v="3.3675564681724848"/>
    <x v="1"/>
    <n v="1"/>
    <n v="0"/>
    <n v="1"/>
    <n v="1"/>
    <s v="Managers"/>
    <x v="0"/>
  </r>
  <r>
    <n v="5125982"/>
    <x v="1"/>
    <s v="N"/>
    <s v="N"/>
    <n v="1"/>
    <x v="1"/>
    <x v="2"/>
    <x v="1"/>
    <x v="1"/>
    <x v="0"/>
    <d v="1990-08-17T00:00:00"/>
    <n v="-12546"/>
    <x v="2553"/>
    <x v="3"/>
    <n v="-2539"/>
    <n v="6.9514031485284056"/>
    <x v="1"/>
    <n v="1"/>
    <n v="0"/>
    <n v="0"/>
    <n v="0"/>
    <s v="Low-skill Laborers"/>
    <x v="3"/>
  </r>
  <r>
    <n v="5125993"/>
    <x v="0"/>
    <s v="N"/>
    <s v="Y"/>
    <n v="1"/>
    <x v="8"/>
    <x v="1"/>
    <x v="0"/>
    <x v="1"/>
    <x v="0"/>
    <d v="1994-02-21T00:00:00"/>
    <n v="-11262"/>
    <x v="1281"/>
    <x v="3"/>
    <n v="-1779"/>
    <n v="4.8706365503080082"/>
    <x v="1"/>
    <n v="1"/>
    <n v="1"/>
    <n v="1"/>
    <n v="0"/>
    <s v="Waiters/barmen staff"/>
    <x v="3"/>
  </r>
  <r>
    <n v="5126007"/>
    <x v="1"/>
    <s v="Y"/>
    <s v="Y"/>
    <n v="2"/>
    <x v="70"/>
    <x v="2"/>
    <x v="1"/>
    <x v="1"/>
    <x v="0"/>
    <d v="1988-06-10T00:00:00"/>
    <n v="-13344"/>
    <x v="2554"/>
    <x v="3"/>
    <n v="-1230"/>
    <n v="3.3675564681724848"/>
    <x v="1"/>
    <n v="1"/>
    <n v="0"/>
    <n v="0"/>
    <n v="0"/>
    <s v="Core staff"/>
    <x v="2"/>
  </r>
  <r>
    <n v="5126009"/>
    <x v="0"/>
    <s v="N"/>
    <s v="Y"/>
    <n v="0"/>
    <x v="18"/>
    <x v="3"/>
    <x v="1"/>
    <x v="1"/>
    <x v="0"/>
    <d v="1969-12-08T00:00:00"/>
    <n v="-20103"/>
    <x v="1119"/>
    <x v="2"/>
    <n v="-1444"/>
    <n v="3.9534565366187544"/>
    <x v="1"/>
    <n v="1"/>
    <n v="1"/>
    <n v="1"/>
    <n v="0"/>
    <s v="Waiters/barmen staff"/>
    <x v="1"/>
  </r>
  <r>
    <n v="5126010"/>
    <x v="0"/>
    <s v="N"/>
    <s v="Y"/>
    <n v="0"/>
    <x v="18"/>
    <x v="3"/>
    <x v="1"/>
    <x v="1"/>
    <x v="0"/>
    <d v="1969-12-08T00:00:00"/>
    <n v="-20103"/>
    <x v="1119"/>
    <x v="2"/>
    <n v="-1444"/>
    <n v="3.9534565366187544"/>
    <x v="1"/>
    <n v="1"/>
    <n v="1"/>
    <n v="1"/>
    <n v="0"/>
    <s v="Waiters/barmen staff"/>
    <x v="1"/>
  </r>
  <r>
    <n v="5126018"/>
    <x v="0"/>
    <s v="N"/>
    <s v="N"/>
    <n v="1"/>
    <x v="2"/>
    <x v="2"/>
    <x v="1"/>
    <x v="3"/>
    <x v="0"/>
    <d v="1984-06-27T00:00:00"/>
    <n v="-14788"/>
    <x v="2555"/>
    <x v="1"/>
    <n v="-2661"/>
    <n v="7.2854209445585214"/>
    <x v="1"/>
    <n v="1"/>
    <n v="1"/>
    <n v="1"/>
    <n v="0"/>
    <s v="Core staff"/>
    <x v="3"/>
  </r>
  <r>
    <n v="5126019"/>
    <x v="0"/>
    <s v="N"/>
    <s v="N"/>
    <n v="1"/>
    <x v="2"/>
    <x v="2"/>
    <x v="1"/>
    <x v="3"/>
    <x v="0"/>
    <d v="1984-06-27T00:00:00"/>
    <n v="-14788"/>
    <x v="2555"/>
    <x v="1"/>
    <n v="-2661"/>
    <n v="7.2854209445585214"/>
    <x v="1"/>
    <n v="1"/>
    <n v="1"/>
    <n v="1"/>
    <n v="0"/>
    <s v="Core staff"/>
    <x v="3"/>
  </r>
  <r>
    <n v="5126020"/>
    <x v="0"/>
    <s v="N"/>
    <s v="N"/>
    <n v="1"/>
    <x v="2"/>
    <x v="2"/>
    <x v="1"/>
    <x v="3"/>
    <x v="0"/>
    <d v="1984-06-27T00:00:00"/>
    <n v="-14788"/>
    <x v="2555"/>
    <x v="1"/>
    <n v="-2661"/>
    <n v="7.2854209445585214"/>
    <x v="1"/>
    <n v="1"/>
    <n v="1"/>
    <n v="1"/>
    <n v="0"/>
    <s v="Core staff"/>
    <x v="3"/>
  </r>
  <r>
    <n v="5126022"/>
    <x v="0"/>
    <s v="N"/>
    <s v="N"/>
    <n v="1"/>
    <x v="2"/>
    <x v="2"/>
    <x v="1"/>
    <x v="3"/>
    <x v="0"/>
    <d v="1984-06-27T00:00:00"/>
    <n v="-14788"/>
    <x v="2555"/>
    <x v="1"/>
    <n v="-2661"/>
    <n v="7.2854209445585214"/>
    <x v="1"/>
    <n v="1"/>
    <n v="1"/>
    <n v="1"/>
    <n v="0"/>
    <s v="Core staff"/>
    <x v="3"/>
  </r>
  <r>
    <n v="5126044"/>
    <x v="1"/>
    <s v="Y"/>
    <s v="Y"/>
    <n v="2"/>
    <x v="2"/>
    <x v="2"/>
    <x v="1"/>
    <x v="1"/>
    <x v="0"/>
    <d v="1997-07-03T00:00:00"/>
    <n v="-10034"/>
    <x v="2556"/>
    <x v="4"/>
    <n v="-1840"/>
    <n v="5.0376454483230662"/>
    <x v="1"/>
    <n v="1"/>
    <n v="1"/>
    <n v="0"/>
    <n v="0"/>
    <s v="Medicine staff"/>
    <x v="2"/>
  </r>
  <r>
    <n v="5126046"/>
    <x v="1"/>
    <s v="Y"/>
    <s v="Y"/>
    <n v="0"/>
    <x v="43"/>
    <x v="1"/>
    <x v="1"/>
    <x v="1"/>
    <x v="0"/>
    <d v="1972-04-01T00:00:00"/>
    <n v="-19258"/>
    <x v="2557"/>
    <x v="2"/>
    <n v="-3605"/>
    <n v="9.8699520876112246"/>
    <x v="1"/>
    <n v="1"/>
    <n v="1"/>
    <n v="1"/>
    <n v="0"/>
    <s v="Drivers"/>
    <x v="1"/>
  </r>
  <r>
    <n v="5126048"/>
    <x v="0"/>
    <s v="Y"/>
    <s v="N"/>
    <n v="1"/>
    <x v="37"/>
    <x v="3"/>
    <x v="0"/>
    <x v="1"/>
    <x v="0"/>
    <d v="1986-12-26T00:00:00"/>
    <n v="-13876"/>
    <x v="2558"/>
    <x v="3"/>
    <n v="-5370"/>
    <n v="14.702258726899384"/>
    <x v="1"/>
    <n v="1"/>
    <n v="1"/>
    <n v="0"/>
    <n v="0"/>
    <s v="High skill tech staff"/>
    <x v="3"/>
  </r>
  <r>
    <n v="5126053"/>
    <x v="0"/>
    <s v="Y"/>
    <s v="N"/>
    <n v="1"/>
    <x v="37"/>
    <x v="3"/>
    <x v="0"/>
    <x v="1"/>
    <x v="0"/>
    <d v="1986-12-26T00:00:00"/>
    <n v="-13876"/>
    <x v="2558"/>
    <x v="3"/>
    <n v="-5370"/>
    <n v="14.702258726899384"/>
    <x v="1"/>
    <n v="1"/>
    <n v="1"/>
    <n v="0"/>
    <n v="0"/>
    <s v="High skill tech staff"/>
    <x v="3"/>
  </r>
  <r>
    <n v="5126068"/>
    <x v="0"/>
    <s v="Y"/>
    <s v="N"/>
    <n v="0"/>
    <x v="1"/>
    <x v="2"/>
    <x v="0"/>
    <x v="1"/>
    <x v="0"/>
    <d v="1990-02-04T00:00:00"/>
    <n v="-12740"/>
    <x v="1778"/>
    <x v="3"/>
    <n v="-1656"/>
    <n v="4.5338809034907595"/>
    <x v="1"/>
    <n v="1"/>
    <n v="1"/>
    <n v="1"/>
    <n v="0"/>
    <m/>
    <x v="1"/>
  </r>
  <r>
    <n v="5126079"/>
    <x v="0"/>
    <s v="N"/>
    <s v="Y"/>
    <n v="1"/>
    <x v="2"/>
    <x v="3"/>
    <x v="1"/>
    <x v="1"/>
    <x v="0"/>
    <d v="1984-03-20T00:00:00"/>
    <n v="-14887"/>
    <x v="2559"/>
    <x v="1"/>
    <n v="-2599"/>
    <n v="7.1156741957563314"/>
    <x v="1"/>
    <n v="1"/>
    <n v="0"/>
    <n v="0"/>
    <n v="0"/>
    <s v="Managers"/>
    <x v="3"/>
  </r>
  <r>
    <n v="5126099"/>
    <x v="0"/>
    <s v="N"/>
    <s v="N"/>
    <n v="0"/>
    <x v="5"/>
    <x v="1"/>
    <x v="1"/>
    <x v="1"/>
    <x v="0"/>
    <d v="1996-06-07T00:00:00"/>
    <n v="-10425"/>
    <x v="2495"/>
    <x v="4"/>
    <n v="-1534"/>
    <n v="4.1998631074606436"/>
    <x v="1"/>
    <n v="1"/>
    <n v="1"/>
    <n v="1"/>
    <n v="0"/>
    <s v="Sales staff"/>
    <x v="1"/>
  </r>
  <r>
    <n v="5126100"/>
    <x v="0"/>
    <s v="N"/>
    <s v="Y"/>
    <n v="0"/>
    <x v="2"/>
    <x v="0"/>
    <x v="1"/>
    <x v="1"/>
    <x v="0"/>
    <d v="1967-05-14T00:00:00"/>
    <n v="-21042"/>
    <x v="2560"/>
    <x v="2"/>
    <n v="365243"/>
    <n v="0"/>
    <x v="0"/>
    <n v="1"/>
    <n v="0"/>
    <n v="1"/>
    <n v="0"/>
    <m/>
    <x v="1"/>
  </r>
  <r>
    <n v="5126103"/>
    <x v="0"/>
    <s v="N"/>
    <s v="Y"/>
    <n v="0"/>
    <x v="2"/>
    <x v="0"/>
    <x v="1"/>
    <x v="1"/>
    <x v="0"/>
    <d v="1967-05-14T00:00:00"/>
    <n v="-21042"/>
    <x v="2560"/>
    <x v="2"/>
    <n v="365243"/>
    <n v="0"/>
    <x v="0"/>
    <n v="1"/>
    <n v="0"/>
    <n v="1"/>
    <n v="0"/>
    <m/>
    <x v="1"/>
  </r>
  <r>
    <n v="5126118"/>
    <x v="0"/>
    <s v="Y"/>
    <s v="N"/>
    <n v="0"/>
    <x v="14"/>
    <x v="1"/>
    <x v="2"/>
    <x v="1"/>
    <x v="0"/>
    <d v="1980-08-31T00:00:00"/>
    <n v="-16184"/>
    <x v="2561"/>
    <x v="1"/>
    <n v="-1688"/>
    <n v="4.6214921286789874"/>
    <x v="1"/>
    <n v="1"/>
    <n v="1"/>
    <n v="1"/>
    <n v="0"/>
    <s v="Managers"/>
    <x v="1"/>
  </r>
  <r>
    <n v="5126121"/>
    <x v="0"/>
    <s v="Y"/>
    <s v="N"/>
    <n v="0"/>
    <x v="88"/>
    <x v="2"/>
    <x v="1"/>
    <x v="1"/>
    <x v="0"/>
    <d v="1983-05-27T00:00:00"/>
    <n v="-15185"/>
    <x v="2562"/>
    <x v="1"/>
    <n v="-227"/>
    <n v="0.62149212867898695"/>
    <x v="1"/>
    <n v="1"/>
    <n v="1"/>
    <n v="1"/>
    <n v="0"/>
    <s v="Medicine staff"/>
    <x v="1"/>
  </r>
  <r>
    <n v="5126123"/>
    <x v="0"/>
    <s v="Y"/>
    <s v="N"/>
    <n v="0"/>
    <x v="88"/>
    <x v="2"/>
    <x v="1"/>
    <x v="1"/>
    <x v="0"/>
    <d v="1983-05-27T00:00:00"/>
    <n v="-15185"/>
    <x v="2562"/>
    <x v="1"/>
    <n v="-227"/>
    <n v="0.62149212867898695"/>
    <x v="1"/>
    <n v="1"/>
    <n v="1"/>
    <n v="1"/>
    <n v="0"/>
    <s v="Medicine staff"/>
    <x v="1"/>
  </r>
  <r>
    <n v="5126124"/>
    <x v="0"/>
    <s v="Y"/>
    <s v="N"/>
    <n v="0"/>
    <x v="88"/>
    <x v="2"/>
    <x v="1"/>
    <x v="1"/>
    <x v="0"/>
    <d v="1983-05-27T00:00:00"/>
    <n v="-15185"/>
    <x v="2562"/>
    <x v="1"/>
    <n v="-227"/>
    <n v="0.62149212867898695"/>
    <x v="1"/>
    <n v="1"/>
    <n v="1"/>
    <n v="1"/>
    <n v="0"/>
    <s v="Medicine staff"/>
    <x v="1"/>
  </r>
  <r>
    <n v="5126125"/>
    <x v="0"/>
    <s v="Y"/>
    <s v="N"/>
    <n v="0"/>
    <x v="88"/>
    <x v="2"/>
    <x v="1"/>
    <x v="1"/>
    <x v="0"/>
    <d v="1983-05-27T00:00:00"/>
    <n v="-15185"/>
    <x v="2562"/>
    <x v="1"/>
    <n v="-227"/>
    <n v="0.62149212867898695"/>
    <x v="1"/>
    <n v="1"/>
    <n v="1"/>
    <n v="1"/>
    <n v="0"/>
    <s v="Medicine staff"/>
    <x v="1"/>
  </r>
  <r>
    <n v="5126135"/>
    <x v="1"/>
    <s v="Y"/>
    <s v="N"/>
    <n v="2"/>
    <x v="11"/>
    <x v="2"/>
    <x v="1"/>
    <x v="1"/>
    <x v="0"/>
    <d v="1981-06-07T00:00:00"/>
    <n v="-15904"/>
    <x v="2563"/>
    <x v="1"/>
    <n v="-3787"/>
    <n v="10.368240930869268"/>
    <x v="1"/>
    <n v="1"/>
    <n v="0"/>
    <n v="0"/>
    <n v="0"/>
    <s v="Laborers"/>
    <x v="2"/>
  </r>
  <r>
    <n v="5126145"/>
    <x v="1"/>
    <s v="Y"/>
    <s v="N"/>
    <n v="2"/>
    <x v="11"/>
    <x v="2"/>
    <x v="1"/>
    <x v="1"/>
    <x v="0"/>
    <d v="1981-06-07T00:00:00"/>
    <n v="-15904"/>
    <x v="2563"/>
    <x v="1"/>
    <n v="-3787"/>
    <n v="10.368240930869268"/>
    <x v="1"/>
    <n v="1"/>
    <n v="0"/>
    <n v="0"/>
    <n v="0"/>
    <s v="Laborers"/>
    <x v="2"/>
  </r>
  <r>
    <n v="5126152"/>
    <x v="0"/>
    <s v="N"/>
    <s v="N"/>
    <n v="0"/>
    <x v="1"/>
    <x v="2"/>
    <x v="1"/>
    <x v="4"/>
    <x v="0"/>
    <d v="1981-06-23T00:00:00"/>
    <n v="-15888"/>
    <x v="409"/>
    <x v="1"/>
    <n v="-500"/>
    <n v="1.3689253935660506"/>
    <x v="1"/>
    <n v="1"/>
    <n v="1"/>
    <n v="1"/>
    <n v="0"/>
    <s v="Laborers"/>
    <x v="0"/>
  </r>
  <r>
    <n v="5126153"/>
    <x v="0"/>
    <s v="N"/>
    <s v="N"/>
    <n v="0"/>
    <x v="1"/>
    <x v="2"/>
    <x v="1"/>
    <x v="4"/>
    <x v="0"/>
    <d v="1981-06-23T00:00:00"/>
    <n v="-15888"/>
    <x v="409"/>
    <x v="1"/>
    <n v="-500"/>
    <n v="1.3689253935660506"/>
    <x v="1"/>
    <n v="1"/>
    <n v="1"/>
    <n v="1"/>
    <n v="0"/>
    <s v="Laborers"/>
    <x v="0"/>
  </r>
  <r>
    <n v="5126155"/>
    <x v="0"/>
    <s v="N"/>
    <s v="N"/>
    <n v="0"/>
    <x v="1"/>
    <x v="2"/>
    <x v="1"/>
    <x v="4"/>
    <x v="0"/>
    <d v="1981-06-23T00:00:00"/>
    <n v="-15888"/>
    <x v="409"/>
    <x v="1"/>
    <n v="-500"/>
    <n v="1.3689253935660506"/>
    <x v="1"/>
    <n v="1"/>
    <n v="1"/>
    <n v="1"/>
    <n v="0"/>
    <s v="Laborers"/>
    <x v="0"/>
  </r>
  <r>
    <n v="5126159"/>
    <x v="1"/>
    <s v="N"/>
    <s v="N"/>
    <n v="0"/>
    <x v="16"/>
    <x v="2"/>
    <x v="1"/>
    <x v="1"/>
    <x v="0"/>
    <d v="1985-08-27T00:00:00"/>
    <n v="-14362"/>
    <x v="2564"/>
    <x v="3"/>
    <n v="-288"/>
    <n v="0.7885010266940452"/>
    <x v="1"/>
    <n v="1"/>
    <n v="1"/>
    <n v="1"/>
    <n v="0"/>
    <s v="Laborers"/>
    <x v="1"/>
  </r>
  <r>
    <n v="5126163"/>
    <x v="0"/>
    <s v="N"/>
    <s v="N"/>
    <n v="0"/>
    <x v="23"/>
    <x v="0"/>
    <x v="1"/>
    <x v="1"/>
    <x v="0"/>
    <d v="1968-03-25T00:00:00"/>
    <n v="-20726"/>
    <x v="936"/>
    <x v="2"/>
    <n v="365243"/>
    <n v="0"/>
    <x v="0"/>
    <n v="1"/>
    <n v="0"/>
    <n v="1"/>
    <n v="0"/>
    <m/>
    <x v="1"/>
  </r>
  <r>
    <n v="5126167"/>
    <x v="0"/>
    <s v="N"/>
    <s v="N"/>
    <n v="2"/>
    <x v="2"/>
    <x v="2"/>
    <x v="1"/>
    <x v="1"/>
    <x v="4"/>
    <d v="1990-11-10T00:00:00"/>
    <n v="-12461"/>
    <x v="125"/>
    <x v="3"/>
    <n v="-714"/>
    <n v="1.9548254620123204"/>
    <x v="1"/>
    <n v="1"/>
    <n v="0"/>
    <n v="1"/>
    <n v="0"/>
    <s v="Medicine staff"/>
    <x v="2"/>
  </r>
  <r>
    <n v="5126183"/>
    <x v="0"/>
    <s v="N"/>
    <s v="N"/>
    <n v="0"/>
    <x v="56"/>
    <x v="0"/>
    <x v="1"/>
    <x v="1"/>
    <x v="0"/>
    <d v="1966-11-12T00:00:00"/>
    <n v="-21225"/>
    <x v="2565"/>
    <x v="2"/>
    <n v="365243"/>
    <n v="0"/>
    <x v="0"/>
    <n v="1"/>
    <n v="0"/>
    <n v="1"/>
    <n v="1"/>
    <m/>
    <x v="1"/>
  </r>
  <r>
    <n v="5126187"/>
    <x v="0"/>
    <s v="N"/>
    <s v="N"/>
    <n v="0"/>
    <x v="56"/>
    <x v="0"/>
    <x v="1"/>
    <x v="1"/>
    <x v="0"/>
    <d v="1966-11-12T00:00:00"/>
    <n v="-21225"/>
    <x v="2565"/>
    <x v="2"/>
    <n v="365243"/>
    <n v="0"/>
    <x v="0"/>
    <n v="1"/>
    <n v="0"/>
    <n v="1"/>
    <n v="1"/>
    <m/>
    <x v="1"/>
  </r>
  <r>
    <n v="5126204"/>
    <x v="0"/>
    <s v="N"/>
    <s v="N"/>
    <n v="0"/>
    <x v="18"/>
    <x v="3"/>
    <x v="0"/>
    <x v="1"/>
    <x v="0"/>
    <d v="1993-08-16T00:00:00"/>
    <n v="-11451"/>
    <x v="2566"/>
    <x v="3"/>
    <n v="-2206"/>
    <n v="6.0396988364134154"/>
    <x v="1"/>
    <n v="1"/>
    <n v="0"/>
    <n v="1"/>
    <n v="0"/>
    <s v="Accountants"/>
    <x v="1"/>
  </r>
  <r>
    <n v="5126233"/>
    <x v="0"/>
    <s v="N"/>
    <s v="N"/>
    <n v="0"/>
    <x v="1"/>
    <x v="2"/>
    <x v="0"/>
    <x v="1"/>
    <x v="0"/>
    <d v="1978-10-15T00:00:00"/>
    <n v="-16870"/>
    <x v="2567"/>
    <x v="1"/>
    <n v="-957"/>
    <n v="2.6201232032854209"/>
    <x v="1"/>
    <n v="1"/>
    <n v="0"/>
    <n v="1"/>
    <n v="0"/>
    <s v="Sales staff"/>
    <x v="1"/>
  </r>
  <r>
    <n v="5126241"/>
    <x v="0"/>
    <s v="N"/>
    <s v="N"/>
    <n v="0"/>
    <x v="7"/>
    <x v="2"/>
    <x v="1"/>
    <x v="0"/>
    <x v="0"/>
    <d v="1970-01-18T00:00:00"/>
    <n v="-20062"/>
    <x v="2568"/>
    <x v="2"/>
    <n v="-561"/>
    <n v="1.5359342915811087"/>
    <x v="1"/>
    <n v="1"/>
    <n v="1"/>
    <n v="0"/>
    <n v="0"/>
    <s v="Cleaning staff"/>
    <x v="0"/>
  </r>
  <r>
    <n v="5126242"/>
    <x v="0"/>
    <s v="N"/>
    <s v="N"/>
    <n v="0"/>
    <x v="7"/>
    <x v="2"/>
    <x v="1"/>
    <x v="0"/>
    <x v="0"/>
    <d v="1970-01-18T00:00:00"/>
    <n v="-20062"/>
    <x v="2568"/>
    <x v="2"/>
    <n v="-561"/>
    <n v="1.5359342915811087"/>
    <x v="1"/>
    <n v="1"/>
    <n v="1"/>
    <n v="0"/>
    <n v="0"/>
    <s v="Cleaning staff"/>
    <x v="0"/>
  </r>
  <r>
    <n v="5126247"/>
    <x v="0"/>
    <s v="N"/>
    <s v="N"/>
    <n v="0"/>
    <x v="7"/>
    <x v="2"/>
    <x v="1"/>
    <x v="0"/>
    <x v="0"/>
    <d v="1970-01-18T00:00:00"/>
    <n v="-20062"/>
    <x v="2568"/>
    <x v="2"/>
    <n v="-561"/>
    <n v="1.5359342915811087"/>
    <x v="1"/>
    <n v="1"/>
    <n v="1"/>
    <n v="0"/>
    <n v="0"/>
    <s v="Cleaning staff"/>
    <x v="0"/>
  </r>
  <r>
    <n v="5126261"/>
    <x v="0"/>
    <s v="N"/>
    <s v="N"/>
    <n v="2"/>
    <x v="88"/>
    <x v="1"/>
    <x v="1"/>
    <x v="1"/>
    <x v="0"/>
    <d v="1990-12-24T00:00:00"/>
    <n v="-12417"/>
    <x v="2569"/>
    <x v="3"/>
    <n v="-2265"/>
    <n v="6.2012320328542092"/>
    <x v="1"/>
    <n v="1"/>
    <n v="1"/>
    <n v="0"/>
    <n v="0"/>
    <s v="Sales staff"/>
    <x v="2"/>
  </r>
  <r>
    <n v="5126358"/>
    <x v="1"/>
    <s v="N"/>
    <s v="N"/>
    <n v="1"/>
    <x v="5"/>
    <x v="2"/>
    <x v="0"/>
    <x v="1"/>
    <x v="0"/>
    <d v="1991-03-03T00:00:00"/>
    <n v="-12348"/>
    <x v="388"/>
    <x v="3"/>
    <n v="-380"/>
    <n v="1.0403832991101984"/>
    <x v="1"/>
    <n v="1"/>
    <n v="0"/>
    <n v="1"/>
    <n v="0"/>
    <m/>
    <x v="3"/>
  </r>
  <r>
    <n v="5126377"/>
    <x v="0"/>
    <s v="N"/>
    <s v="N"/>
    <n v="0"/>
    <x v="1"/>
    <x v="2"/>
    <x v="1"/>
    <x v="1"/>
    <x v="0"/>
    <d v="1987-11-01T00:00:00"/>
    <n v="-13566"/>
    <x v="2570"/>
    <x v="3"/>
    <n v="-1900"/>
    <n v="5.2019164955509929"/>
    <x v="1"/>
    <n v="1"/>
    <n v="1"/>
    <n v="0"/>
    <n v="0"/>
    <s v="High skill tech staff"/>
    <x v="1"/>
  </r>
  <r>
    <n v="5126381"/>
    <x v="1"/>
    <s v="Y"/>
    <s v="N"/>
    <n v="0"/>
    <x v="16"/>
    <x v="2"/>
    <x v="0"/>
    <x v="1"/>
    <x v="0"/>
    <d v="1996-04-21T00:00:00"/>
    <n v="-10472"/>
    <x v="2571"/>
    <x v="4"/>
    <n v="-2996"/>
    <n v="8.2026009582477748"/>
    <x v="1"/>
    <n v="1"/>
    <n v="1"/>
    <n v="0"/>
    <n v="1"/>
    <s v="Managers"/>
    <x v="1"/>
  </r>
  <r>
    <n v="5126384"/>
    <x v="1"/>
    <s v="Y"/>
    <s v="N"/>
    <n v="0"/>
    <x v="16"/>
    <x v="2"/>
    <x v="0"/>
    <x v="1"/>
    <x v="0"/>
    <d v="1996-04-21T00:00:00"/>
    <n v="-10472"/>
    <x v="2571"/>
    <x v="4"/>
    <n v="-2996"/>
    <n v="8.2026009582477748"/>
    <x v="1"/>
    <n v="1"/>
    <n v="1"/>
    <n v="0"/>
    <n v="1"/>
    <s v="Managers"/>
    <x v="1"/>
  </r>
  <r>
    <n v="5126422"/>
    <x v="0"/>
    <s v="N"/>
    <s v="N"/>
    <n v="0"/>
    <x v="30"/>
    <x v="0"/>
    <x v="1"/>
    <x v="1"/>
    <x v="0"/>
    <d v="1964-01-24T00:00:00"/>
    <n v="-22248"/>
    <x v="2572"/>
    <x v="0"/>
    <n v="365243"/>
    <n v="0"/>
    <x v="0"/>
    <n v="1"/>
    <n v="0"/>
    <n v="1"/>
    <n v="0"/>
    <m/>
    <x v="1"/>
  </r>
  <r>
    <n v="5126433"/>
    <x v="0"/>
    <s v="N"/>
    <s v="N"/>
    <n v="0"/>
    <x v="2"/>
    <x v="0"/>
    <x v="1"/>
    <x v="2"/>
    <x v="0"/>
    <d v="1964-05-31T00:00:00"/>
    <n v="-22120"/>
    <x v="1121"/>
    <x v="0"/>
    <n v="365243"/>
    <n v="0"/>
    <x v="0"/>
    <n v="1"/>
    <n v="0"/>
    <n v="0"/>
    <n v="0"/>
    <m/>
    <x v="0"/>
  </r>
  <r>
    <n v="5126451"/>
    <x v="1"/>
    <s v="Y"/>
    <s v="N"/>
    <n v="0"/>
    <x v="12"/>
    <x v="1"/>
    <x v="0"/>
    <x v="1"/>
    <x v="0"/>
    <d v="1986-10-26T00:00:00"/>
    <n v="-13937"/>
    <x v="2573"/>
    <x v="3"/>
    <n v="-4853"/>
    <n v="13.286789869952088"/>
    <x v="1"/>
    <n v="1"/>
    <n v="1"/>
    <n v="1"/>
    <n v="0"/>
    <s v="Managers"/>
    <x v="1"/>
  </r>
  <r>
    <n v="5126457"/>
    <x v="0"/>
    <s v="N"/>
    <s v="N"/>
    <n v="0"/>
    <x v="56"/>
    <x v="2"/>
    <x v="0"/>
    <x v="1"/>
    <x v="0"/>
    <d v="1978-11-29T00:00:00"/>
    <n v="-16825"/>
    <x v="2574"/>
    <x v="1"/>
    <n v="-196"/>
    <n v="0.53661875427789185"/>
    <x v="1"/>
    <n v="1"/>
    <n v="0"/>
    <n v="0"/>
    <n v="0"/>
    <s v="Security staff"/>
    <x v="1"/>
  </r>
  <r>
    <n v="5126468"/>
    <x v="1"/>
    <s v="Y"/>
    <s v="N"/>
    <n v="0"/>
    <x v="5"/>
    <x v="2"/>
    <x v="1"/>
    <x v="1"/>
    <x v="0"/>
    <d v="1982-01-18T00:00:00"/>
    <n v="-15679"/>
    <x v="2575"/>
    <x v="1"/>
    <n v="-3667"/>
    <n v="10.039698836413416"/>
    <x v="1"/>
    <n v="1"/>
    <n v="0"/>
    <n v="0"/>
    <n v="0"/>
    <s v="Sales staff"/>
    <x v="1"/>
  </r>
  <r>
    <n v="5126492"/>
    <x v="0"/>
    <s v="N"/>
    <s v="N"/>
    <n v="0"/>
    <x v="42"/>
    <x v="0"/>
    <x v="1"/>
    <x v="1"/>
    <x v="4"/>
    <d v="1966-05-15T00:00:00"/>
    <n v="-21406"/>
    <x v="2576"/>
    <x v="2"/>
    <n v="365243"/>
    <n v="0"/>
    <x v="0"/>
    <n v="1"/>
    <n v="0"/>
    <n v="0"/>
    <n v="0"/>
    <m/>
    <x v="1"/>
  </r>
  <r>
    <n v="5126504"/>
    <x v="0"/>
    <s v="N"/>
    <s v="N"/>
    <n v="0"/>
    <x v="70"/>
    <x v="0"/>
    <x v="1"/>
    <x v="1"/>
    <x v="0"/>
    <d v="1967-07-18T00:00:00"/>
    <n v="-20977"/>
    <x v="2577"/>
    <x v="2"/>
    <n v="365243"/>
    <n v="0"/>
    <x v="0"/>
    <n v="1"/>
    <n v="0"/>
    <n v="1"/>
    <n v="0"/>
    <m/>
    <x v="1"/>
  </r>
  <r>
    <n v="5126523"/>
    <x v="1"/>
    <s v="Y"/>
    <s v="N"/>
    <n v="0"/>
    <x v="5"/>
    <x v="2"/>
    <x v="0"/>
    <x v="1"/>
    <x v="0"/>
    <d v="1968-10-21T00:00:00"/>
    <n v="-20516"/>
    <x v="2578"/>
    <x v="2"/>
    <n v="-2265"/>
    <n v="6.2012320328542092"/>
    <x v="1"/>
    <n v="1"/>
    <n v="0"/>
    <n v="1"/>
    <n v="0"/>
    <s v="Laborers"/>
    <x v="1"/>
  </r>
  <r>
    <n v="5126542"/>
    <x v="0"/>
    <s v="Y"/>
    <s v="N"/>
    <n v="0"/>
    <x v="2"/>
    <x v="2"/>
    <x v="1"/>
    <x v="1"/>
    <x v="0"/>
    <d v="1996-12-11T00:00:00"/>
    <n v="-10238"/>
    <x v="2579"/>
    <x v="4"/>
    <n v="-3453"/>
    <n v="9.4537987679671449"/>
    <x v="1"/>
    <n v="1"/>
    <n v="0"/>
    <n v="0"/>
    <n v="0"/>
    <s v="Laborers"/>
    <x v="1"/>
  </r>
  <r>
    <n v="5126545"/>
    <x v="0"/>
    <s v="Y"/>
    <s v="N"/>
    <n v="1"/>
    <x v="8"/>
    <x v="1"/>
    <x v="1"/>
    <x v="2"/>
    <x v="0"/>
    <d v="1990-03-03T00:00:00"/>
    <n v="-12713"/>
    <x v="2580"/>
    <x v="3"/>
    <n v="-1810"/>
    <n v="4.9555099247091032"/>
    <x v="1"/>
    <n v="1"/>
    <n v="1"/>
    <n v="0"/>
    <n v="0"/>
    <s v="Private service staff"/>
    <x v="1"/>
  </r>
  <r>
    <n v="5126556"/>
    <x v="0"/>
    <s v="N"/>
    <s v="N"/>
    <n v="1"/>
    <x v="5"/>
    <x v="2"/>
    <x v="1"/>
    <x v="1"/>
    <x v="0"/>
    <d v="1998-12-02T00:00:00"/>
    <n v="-9517"/>
    <x v="2581"/>
    <x v="4"/>
    <n v="-1810"/>
    <n v="4.9555099247091032"/>
    <x v="1"/>
    <n v="1"/>
    <n v="1"/>
    <n v="1"/>
    <n v="0"/>
    <s v="Laborers"/>
    <x v="3"/>
  </r>
  <r>
    <n v="5126566"/>
    <x v="0"/>
    <s v="Y"/>
    <s v="N"/>
    <n v="0"/>
    <x v="41"/>
    <x v="1"/>
    <x v="0"/>
    <x v="2"/>
    <x v="0"/>
    <d v="1979-10-20T00:00:00"/>
    <n v="-16500"/>
    <x v="2582"/>
    <x v="1"/>
    <n v="-1535"/>
    <n v="4.2026009582477757"/>
    <x v="1"/>
    <n v="1"/>
    <n v="0"/>
    <n v="0"/>
    <n v="0"/>
    <s v="Managers"/>
    <x v="0"/>
  </r>
  <r>
    <n v="5126600"/>
    <x v="0"/>
    <s v="N"/>
    <s v="N"/>
    <n v="0"/>
    <x v="2"/>
    <x v="2"/>
    <x v="1"/>
    <x v="0"/>
    <x v="0"/>
    <d v="1987-08-24T00:00:00"/>
    <n v="-13635"/>
    <x v="2583"/>
    <x v="3"/>
    <n v="-349"/>
    <n v="0.95550992470910334"/>
    <x v="1"/>
    <n v="1"/>
    <n v="1"/>
    <n v="1"/>
    <n v="0"/>
    <m/>
    <x v="0"/>
  </r>
  <r>
    <n v="5126625"/>
    <x v="0"/>
    <s v="Y"/>
    <s v="Y"/>
    <n v="0"/>
    <x v="30"/>
    <x v="0"/>
    <x v="1"/>
    <x v="4"/>
    <x v="0"/>
    <d v="1962-05-13T00:00:00"/>
    <n v="-22869"/>
    <x v="2584"/>
    <x v="0"/>
    <n v="365243"/>
    <n v="0"/>
    <x v="0"/>
    <n v="1"/>
    <n v="0"/>
    <n v="0"/>
    <n v="0"/>
    <m/>
    <x v="0"/>
  </r>
  <r>
    <n v="5126650"/>
    <x v="0"/>
    <s v="N"/>
    <s v="Y"/>
    <n v="1"/>
    <x v="2"/>
    <x v="2"/>
    <x v="1"/>
    <x v="1"/>
    <x v="0"/>
    <d v="1994-11-21T00:00:00"/>
    <n v="-10989"/>
    <x v="2585"/>
    <x v="3"/>
    <n v="-135"/>
    <n v="0.36960985626283366"/>
    <x v="1"/>
    <n v="1"/>
    <n v="1"/>
    <n v="1"/>
    <n v="0"/>
    <m/>
    <x v="3"/>
  </r>
  <r>
    <n v="5126664"/>
    <x v="0"/>
    <s v="N"/>
    <s v="Y"/>
    <n v="0"/>
    <x v="149"/>
    <x v="3"/>
    <x v="1"/>
    <x v="2"/>
    <x v="0"/>
    <d v="1977-03-29T00:00:00"/>
    <n v="-17435"/>
    <x v="2586"/>
    <x v="1"/>
    <n v="-4184"/>
    <n v="11.455167693360712"/>
    <x v="1"/>
    <n v="1"/>
    <n v="0"/>
    <n v="0"/>
    <n v="0"/>
    <s v="Medicine staff"/>
    <x v="0"/>
  </r>
  <r>
    <n v="5126666"/>
    <x v="0"/>
    <s v="N"/>
    <s v="Y"/>
    <n v="0"/>
    <x v="149"/>
    <x v="3"/>
    <x v="1"/>
    <x v="2"/>
    <x v="0"/>
    <d v="1977-03-29T00:00:00"/>
    <n v="-17435"/>
    <x v="2586"/>
    <x v="1"/>
    <n v="-4184"/>
    <n v="11.455167693360712"/>
    <x v="1"/>
    <n v="1"/>
    <n v="0"/>
    <n v="0"/>
    <n v="0"/>
    <s v="Medicine staff"/>
    <x v="0"/>
  </r>
  <r>
    <n v="5126667"/>
    <x v="0"/>
    <s v="N"/>
    <s v="Y"/>
    <n v="0"/>
    <x v="149"/>
    <x v="3"/>
    <x v="1"/>
    <x v="2"/>
    <x v="0"/>
    <d v="1977-03-29T00:00:00"/>
    <n v="-17435"/>
    <x v="2586"/>
    <x v="1"/>
    <n v="-4184"/>
    <n v="11.455167693360712"/>
    <x v="1"/>
    <n v="1"/>
    <n v="0"/>
    <n v="0"/>
    <n v="0"/>
    <s v="Medicine staff"/>
    <x v="0"/>
  </r>
  <r>
    <n v="5126687"/>
    <x v="0"/>
    <s v="N"/>
    <s v="Y"/>
    <n v="0"/>
    <x v="30"/>
    <x v="2"/>
    <x v="1"/>
    <x v="1"/>
    <x v="0"/>
    <d v="1970-06-30T00:00:00"/>
    <n v="-19899"/>
    <x v="2587"/>
    <x v="2"/>
    <n v="-3149"/>
    <n v="8.6214921286789874"/>
    <x v="1"/>
    <n v="1"/>
    <n v="1"/>
    <n v="0"/>
    <n v="0"/>
    <m/>
    <x v="1"/>
  </r>
  <r>
    <n v="5126689"/>
    <x v="0"/>
    <s v="N"/>
    <s v="N"/>
    <n v="0"/>
    <x v="150"/>
    <x v="0"/>
    <x v="1"/>
    <x v="1"/>
    <x v="0"/>
    <d v="1965-10-03T00:00:00"/>
    <n v="-21630"/>
    <x v="2588"/>
    <x v="2"/>
    <n v="365243"/>
    <n v="0"/>
    <x v="0"/>
    <n v="1"/>
    <n v="0"/>
    <n v="0"/>
    <n v="0"/>
    <m/>
    <x v="1"/>
  </r>
  <r>
    <n v="5126697"/>
    <x v="0"/>
    <s v="N"/>
    <s v="Y"/>
    <n v="2"/>
    <x v="58"/>
    <x v="0"/>
    <x v="0"/>
    <x v="1"/>
    <x v="0"/>
    <d v="1964-07-03T00:00:00"/>
    <n v="-22087"/>
    <x v="2589"/>
    <x v="0"/>
    <n v="365243"/>
    <n v="0"/>
    <x v="0"/>
    <n v="1"/>
    <n v="0"/>
    <n v="0"/>
    <n v="0"/>
    <m/>
    <x v="2"/>
  </r>
  <r>
    <n v="5126733"/>
    <x v="1"/>
    <s v="N"/>
    <s v="Y"/>
    <n v="0"/>
    <x v="17"/>
    <x v="2"/>
    <x v="1"/>
    <x v="2"/>
    <x v="0"/>
    <d v="1979-11-08T00:00:00"/>
    <n v="-16481"/>
    <x v="2590"/>
    <x v="1"/>
    <n v="-1292"/>
    <n v="3.5373032169746748"/>
    <x v="1"/>
    <n v="1"/>
    <n v="1"/>
    <n v="1"/>
    <n v="0"/>
    <s v="Drivers"/>
    <x v="0"/>
  </r>
  <r>
    <n v="5126760"/>
    <x v="0"/>
    <s v="N"/>
    <s v="N"/>
    <n v="1"/>
    <x v="8"/>
    <x v="2"/>
    <x v="1"/>
    <x v="1"/>
    <x v="0"/>
    <d v="1994-08-02T00:00:00"/>
    <n v="-11100"/>
    <x v="2591"/>
    <x v="3"/>
    <n v="-3118"/>
    <n v="8.5366187542778924"/>
    <x v="1"/>
    <n v="1"/>
    <n v="0"/>
    <n v="0"/>
    <n v="0"/>
    <s v="Accountants"/>
    <x v="3"/>
  </r>
  <r>
    <n v="5126786"/>
    <x v="0"/>
    <s v="N"/>
    <s v="Y"/>
    <n v="0"/>
    <x v="109"/>
    <x v="0"/>
    <x v="1"/>
    <x v="3"/>
    <x v="0"/>
    <d v="1968-11-10T00:00:00"/>
    <n v="-20496"/>
    <x v="2348"/>
    <x v="2"/>
    <n v="365243"/>
    <n v="0"/>
    <x v="0"/>
    <n v="1"/>
    <n v="0"/>
    <n v="0"/>
    <n v="0"/>
    <m/>
    <x v="1"/>
  </r>
  <r>
    <n v="5126802"/>
    <x v="0"/>
    <s v="N"/>
    <s v="Y"/>
    <n v="1"/>
    <x v="114"/>
    <x v="2"/>
    <x v="0"/>
    <x v="1"/>
    <x v="0"/>
    <d v="1986-06-19T00:00:00"/>
    <n v="-14066"/>
    <x v="2592"/>
    <x v="3"/>
    <n v="-3027"/>
    <n v="8.2874743326488698"/>
    <x v="1"/>
    <n v="1"/>
    <n v="0"/>
    <n v="0"/>
    <n v="0"/>
    <m/>
    <x v="3"/>
  </r>
  <r>
    <n v="5126827"/>
    <x v="0"/>
    <s v="N"/>
    <s v="N"/>
    <n v="1"/>
    <x v="5"/>
    <x v="2"/>
    <x v="1"/>
    <x v="3"/>
    <x v="2"/>
    <d v="1992-12-30T00:00:00"/>
    <n v="-11680"/>
    <x v="858"/>
    <x v="3"/>
    <n v="-3695"/>
    <n v="10.116358658453114"/>
    <x v="1"/>
    <n v="1"/>
    <n v="0"/>
    <n v="0"/>
    <n v="0"/>
    <s v="Sales staff"/>
    <x v="3"/>
  </r>
  <r>
    <n v="5126833"/>
    <x v="0"/>
    <s v="N"/>
    <s v="Y"/>
    <n v="1"/>
    <x v="30"/>
    <x v="2"/>
    <x v="1"/>
    <x v="3"/>
    <x v="0"/>
    <d v="1993-06-20T00:00:00"/>
    <n v="-11508"/>
    <x v="2593"/>
    <x v="3"/>
    <n v="-1170"/>
    <n v="3.2032854209445585"/>
    <x v="1"/>
    <n v="1"/>
    <n v="0"/>
    <n v="0"/>
    <n v="0"/>
    <s v="Cooking staff"/>
    <x v="3"/>
  </r>
  <r>
    <n v="5126853"/>
    <x v="1"/>
    <s v="N"/>
    <s v="N"/>
    <n v="0"/>
    <x v="1"/>
    <x v="2"/>
    <x v="1"/>
    <x v="1"/>
    <x v="0"/>
    <d v="1967-07-09T00:00:00"/>
    <n v="-20986"/>
    <x v="2594"/>
    <x v="2"/>
    <n v="-1262"/>
    <n v="3.4551676933607118"/>
    <x v="1"/>
    <n v="1"/>
    <n v="0"/>
    <n v="1"/>
    <n v="0"/>
    <s v="Laborers"/>
    <x v="1"/>
  </r>
  <r>
    <n v="5132295"/>
    <x v="1"/>
    <s v="N"/>
    <s v="Y"/>
    <n v="0"/>
    <x v="151"/>
    <x v="0"/>
    <x v="1"/>
    <x v="1"/>
    <x v="0"/>
    <d v="1980-12-12T00:00:00"/>
    <n v="-16081"/>
    <x v="2595"/>
    <x v="1"/>
    <n v="365243"/>
    <n v="0"/>
    <x v="0"/>
    <n v="1"/>
    <n v="0"/>
    <n v="1"/>
    <n v="0"/>
    <m/>
    <x v="1"/>
  </r>
  <r>
    <n v="5132324"/>
    <x v="0"/>
    <s v="N"/>
    <s v="N"/>
    <n v="0"/>
    <x v="47"/>
    <x v="0"/>
    <x v="1"/>
    <x v="1"/>
    <x v="5"/>
    <d v="1971-04-20T00:00:00"/>
    <n v="-19605"/>
    <x v="2596"/>
    <x v="2"/>
    <n v="365243"/>
    <n v="0"/>
    <x v="0"/>
    <n v="1"/>
    <n v="0"/>
    <n v="0"/>
    <n v="0"/>
    <m/>
    <x v="1"/>
  </r>
  <r>
    <n v="5132404"/>
    <x v="0"/>
    <s v="N"/>
    <s v="Y"/>
    <n v="0"/>
    <x v="11"/>
    <x v="2"/>
    <x v="1"/>
    <x v="1"/>
    <x v="0"/>
    <d v="1979-01-09T00:00:00"/>
    <n v="-16784"/>
    <x v="2597"/>
    <x v="1"/>
    <n v="-1503"/>
    <n v="4.1149897330595486"/>
    <x v="1"/>
    <n v="1"/>
    <n v="0"/>
    <n v="0"/>
    <n v="0"/>
    <s v="Medicine staff"/>
    <x v="1"/>
  </r>
  <r>
    <n v="5132422"/>
    <x v="0"/>
    <s v="Y"/>
    <s v="Y"/>
    <n v="0"/>
    <x v="19"/>
    <x v="1"/>
    <x v="0"/>
    <x v="1"/>
    <x v="0"/>
    <d v="1974-07-29T00:00:00"/>
    <n v="-18409"/>
    <x v="2598"/>
    <x v="2"/>
    <n v="-3482"/>
    <n v="9.5331964407939775"/>
    <x v="1"/>
    <n v="1"/>
    <n v="0"/>
    <n v="0"/>
    <n v="0"/>
    <s v="Sales staff"/>
    <x v="1"/>
  </r>
  <r>
    <n v="5132439"/>
    <x v="0"/>
    <s v="N"/>
    <s v="Y"/>
    <n v="1"/>
    <x v="12"/>
    <x v="2"/>
    <x v="1"/>
    <x v="1"/>
    <x v="0"/>
    <d v="1978-09-14T00:00:00"/>
    <n v="-16901"/>
    <x v="2599"/>
    <x v="1"/>
    <n v="-956"/>
    <n v="2.6173853524982889"/>
    <x v="1"/>
    <n v="1"/>
    <n v="0"/>
    <n v="0"/>
    <n v="0"/>
    <s v="High skill tech staff"/>
    <x v="3"/>
  </r>
  <r>
    <n v="5132440"/>
    <x v="0"/>
    <s v="N"/>
    <s v="Y"/>
    <n v="1"/>
    <x v="12"/>
    <x v="2"/>
    <x v="1"/>
    <x v="1"/>
    <x v="0"/>
    <d v="1978-09-14T00:00:00"/>
    <n v="-16901"/>
    <x v="2599"/>
    <x v="1"/>
    <n v="-956"/>
    <n v="2.6173853524982889"/>
    <x v="1"/>
    <n v="1"/>
    <n v="0"/>
    <n v="0"/>
    <n v="0"/>
    <s v="High skill tech staff"/>
    <x v="3"/>
  </r>
  <r>
    <n v="5132529"/>
    <x v="0"/>
    <s v="N"/>
    <s v="Y"/>
    <n v="0"/>
    <x v="23"/>
    <x v="2"/>
    <x v="0"/>
    <x v="2"/>
    <x v="0"/>
    <d v="1988-11-11T00:00:00"/>
    <n v="-13190"/>
    <x v="2600"/>
    <x v="3"/>
    <n v="-4943"/>
    <n v="13.533196440793978"/>
    <x v="1"/>
    <n v="1"/>
    <n v="0"/>
    <n v="0"/>
    <n v="0"/>
    <m/>
    <x v="0"/>
  </r>
  <r>
    <n v="5132535"/>
    <x v="0"/>
    <s v="N"/>
    <s v="Y"/>
    <n v="0"/>
    <x v="23"/>
    <x v="2"/>
    <x v="0"/>
    <x v="2"/>
    <x v="0"/>
    <d v="1988-11-11T00:00:00"/>
    <n v="-13190"/>
    <x v="2600"/>
    <x v="3"/>
    <n v="-4943"/>
    <n v="13.533196440793978"/>
    <x v="1"/>
    <n v="1"/>
    <n v="0"/>
    <n v="0"/>
    <n v="0"/>
    <m/>
    <x v="0"/>
  </r>
  <r>
    <n v="5132537"/>
    <x v="0"/>
    <s v="N"/>
    <s v="Y"/>
    <n v="0"/>
    <x v="23"/>
    <x v="2"/>
    <x v="0"/>
    <x v="2"/>
    <x v="0"/>
    <d v="1988-11-11T00:00:00"/>
    <n v="-13190"/>
    <x v="2600"/>
    <x v="3"/>
    <n v="-4943"/>
    <n v="13.533196440793978"/>
    <x v="1"/>
    <n v="1"/>
    <n v="0"/>
    <n v="0"/>
    <n v="0"/>
    <m/>
    <x v="0"/>
  </r>
  <r>
    <n v="5132541"/>
    <x v="0"/>
    <s v="N"/>
    <s v="Y"/>
    <n v="0"/>
    <x v="23"/>
    <x v="2"/>
    <x v="0"/>
    <x v="2"/>
    <x v="0"/>
    <d v="1988-11-11T00:00:00"/>
    <n v="-13190"/>
    <x v="2600"/>
    <x v="3"/>
    <n v="-4943"/>
    <n v="13.533196440793978"/>
    <x v="1"/>
    <n v="1"/>
    <n v="0"/>
    <n v="0"/>
    <n v="0"/>
    <m/>
    <x v="0"/>
  </r>
  <r>
    <n v="5132546"/>
    <x v="0"/>
    <s v="N"/>
    <s v="Y"/>
    <n v="0"/>
    <x v="23"/>
    <x v="2"/>
    <x v="0"/>
    <x v="2"/>
    <x v="0"/>
    <d v="1988-11-11T00:00:00"/>
    <n v="-13190"/>
    <x v="2600"/>
    <x v="3"/>
    <n v="-4943"/>
    <n v="13.533196440793978"/>
    <x v="1"/>
    <n v="1"/>
    <n v="0"/>
    <n v="0"/>
    <n v="0"/>
    <m/>
    <x v="0"/>
  </r>
  <r>
    <n v="5132570"/>
    <x v="0"/>
    <s v="N"/>
    <s v="Y"/>
    <n v="1"/>
    <x v="2"/>
    <x v="1"/>
    <x v="1"/>
    <x v="3"/>
    <x v="0"/>
    <d v="1984-02-02T00:00:00"/>
    <n v="-14934"/>
    <x v="2601"/>
    <x v="1"/>
    <n v="-1350"/>
    <n v="3.6960985626283369"/>
    <x v="1"/>
    <n v="1"/>
    <n v="0"/>
    <n v="1"/>
    <n v="0"/>
    <s v="Sales staff"/>
    <x v="3"/>
  </r>
  <r>
    <n v="5132590"/>
    <x v="0"/>
    <s v="Y"/>
    <s v="Y"/>
    <n v="0"/>
    <x v="2"/>
    <x v="2"/>
    <x v="1"/>
    <x v="1"/>
    <x v="0"/>
    <d v="1984-03-15T00:00:00"/>
    <n v="-14892"/>
    <x v="2602"/>
    <x v="1"/>
    <n v="-895"/>
    <n v="2.4503764544832305"/>
    <x v="1"/>
    <n v="1"/>
    <n v="1"/>
    <n v="1"/>
    <n v="0"/>
    <s v="Accountants"/>
    <x v="1"/>
  </r>
  <r>
    <n v="5132608"/>
    <x v="1"/>
    <s v="Y"/>
    <s v="Y"/>
    <n v="0"/>
    <x v="5"/>
    <x v="2"/>
    <x v="1"/>
    <x v="1"/>
    <x v="0"/>
    <d v="1973-02-03T00:00:00"/>
    <n v="-18950"/>
    <x v="158"/>
    <x v="2"/>
    <n v="-2021"/>
    <n v="5.5331964407939767"/>
    <x v="1"/>
    <n v="1"/>
    <n v="0"/>
    <n v="0"/>
    <n v="0"/>
    <m/>
    <x v="1"/>
  </r>
  <r>
    <n v="5132656"/>
    <x v="0"/>
    <s v="Y"/>
    <s v="Y"/>
    <n v="1"/>
    <x v="1"/>
    <x v="1"/>
    <x v="0"/>
    <x v="3"/>
    <x v="0"/>
    <d v="1994-09-09T00:00:00"/>
    <n v="-11062"/>
    <x v="2603"/>
    <x v="3"/>
    <n v="-134"/>
    <n v="0.36687200547570159"/>
    <x v="1"/>
    <n v="1"/>
    <n v="0"/>
    <n v="1"/>
    <n v="0"/>
    <s v="Accountants"/>
    <x v="3"/>
  </r>
  <r>
    <n v="5132664"/>
    <x v="0"/>
    <s v="N"/>
    <s v="Y"/>
    <n v="2"/>
    <x v="58"/>
    <x v="1"/>
    <x v="0"/>
    <x v="1"/>
    <x v="0"/>
    <d v="1989-02-18T00:00:00"/>
    <n v="-13091"/>
    <x v="2604"/>
    <x v="3"/>
    <n v="-316"/>
    <n v="0.86516084873374399"/>
    <x v="1"/>
    <n v="1"/>
    <n v="1"/>
    <n v="1"/>
    <n v="0"/>
    <s v="Sales staff"/>
    <x v="2"/>
  </r>
  <r>
    <n v="5132665"/>
    <x v="0"/>
    <s v="N"/>
    <s v="Y"/>
    <n v="2"/>
    <x v="58"/>
    <x v="1"/>
    <x v="0"/>
    <x v="1"/>
    <x v="0"/>
    <d v="1989-02-18T00:00:00"/>
    <n v="-13091"/>
    <x v="2604"/>
    <x v="3"/>
    <n v="-316"/>
    <n v="0.86516084873374399"/>
    <x v="1"/>
    <n v="1"/>
    <n v="1"/>
    <n v="1"/>
    <n v="0"/>
    <s v="Sales staff"/>
    <x v="2"/>
  </r>
  <r>
    <n v="5132670"/>
    <x v="0"/>
    <s v="N"/>
    <s v="Y"/>
    <n v="0"/>
    <x v="37"/>
    <x v="0"/>
    <x v="1"/>
    <x v="1"/>
    <x v="0"/>
    <d v="1964-09-06T00:00:00"/>
    <n v="-22022"/>
    <x v="2605"/>
    <x v="0"/>
    <n v="365243"/>
    <n v="0"/>
    <x v="0"/>
    <n v="1"/>
    <n v="0"/>
    <n v="0"/>
    <n v="0"/>
    <m/>
    <x v="1"/>
  </r>
  <r>
    <n v="5132675"/>
    <x v="1"/>
    <s v="Y"/>
    <s v="Y"/>
    <n v="1"/>
    <x v="8"/>
    <x v="2"/>
    <x v="1"/>
    <x v="1"/>
    <x v="0"/>
    <d v="1997-07-02T00:00:00"/>
    <n v="-10035"/>
    <x v="2606"/>
    <x v="4"/>
    <n v="-1108"/>
    <n v="3.0335386721423681"/>
    <x v="1"/>
    <n v="1"/>
    <n v="1"/>
    <n v="1"/>
    <n v="1"/>
    <s v="Sales staff"/>
    <x v="3"/>
  </r>
  <r>
    <n v="5132699"/>
    <x v="1"/>
    <s v="N"/>
    <s v="Y"/>
    <n v="0"/>
    <x v="5"/>
    <x v="2"/>
    <x v="1"/>
    <x v="1"/>
    <x v="0"/>
    <d v="1990-05-11T00:00:00"/>
    <n v="-12644"/>
    <x v="2607"/>
    <x v="3"/>
    <n v="-2811"/>
    <n v="7.6960985626283369"/>
    <x v="1"/>
    <n v="1"/>
    <n v="0"/>
    <n v="0"/>
    <n v="0"/>
    <s v="Laborers"/>
    <x v="1"/>
  </r>
  <r>
    <n v="5132711"/>
    <x v="0"/>
    <s v="N"/>
    <s v="Y"/>
    <n v="0"/>
    <x v="1"/>
    <x v="0"/>
    <x v="1"/>
    <x v="1"/>
    <x v="0"/>
    <d v="1961-01-16T00:00:00"/>
    <n v="-23351"/>
    <x v="2608"/>
    <x v="0"/>
    <n v="365243"/>
    <n v="0"/>
    <x v="0"/>
    <n v="1"/>
    <n v="0"/>
    <n v="0"/>
    <n v="0"/>
    <m/>
    <x v="1"/>
  </r>
  <r>
    <n v="5132722"/>
    <x v="0"/>
    <s v="N"/>
    <s v="Y"/>
    <n v="0"/>
    <x v="1"/>
    <x v="2"/>
    <x v="1"/>
    <x v="1"/>
    <x v="0"/>
    <d v="1958-01-14T00:00:00"/>
    <n v="-24449"/>
    <x v="2609"/>
    <x v="0"/>
    <n v="-3056"/>
    <n v="8.3668720054757024"/>
    <x v="1"/>
    <n v="1"/>
    <n v="0"/>
    <n v="1"/>
    <n v="0"/>
    <s v="Medicine staff"/>
    <x v="1"/>
  </r>
  <r>
    <n v="5132732"/>
    <x v="0"/>
    <s v="N"/>
    <s v="Y"/>
    <n v="3"/>
    <x v="1"/>
    <x v="1"/>
    <x v="1"/>
    <x v="1"/>
    <x v="0"/>
    <d v="1989-10-12T00:00:00"/>
    <n v="-12855"/>
    <x v="2610"/>
    <x v="3"/>
    <n v="-772"/>
    <n v="2.1136208076659821"/>
    <x v="1"/>
    <n v="1"/>
    <n v="0"/>
    <n v="0"/>
    <n v="0"/>
    <s v="Sales staff"/>
    <x v="4"/>
  </r>
  <r>
    <n v="5132747"/>
    <x v="0"/>
    <s v="Y"/>
    <s v="N"/>
    <n v="0"/>
    <x v="8"/>
    <x v="1"/>
    <x v="0"/>
    <x v="1"/>
    <x v="2"/>
    <d v="1992-08-04T00:00:00"/>
    <n v="-11828"/>
    <x v="2611"/>
    <x v="3"/>
    <n v="-165"/>
    <n v="0.45174537987679669"/>
    <x v="1"/>
    <n v="1"/>
    <n v="0"/>
    <n v="0"/>
    <n v="0"/>
    <s v="Accountants"/>
    <x v="1"/>
  </r>
  <r>
    <n v="5132752"/>
    <x v="1"/>
    <s v="N"/>
    <s v="Y"/>
    <n v="0"/>
    <x v="30"/>
    <x v="2"/>
    <x v="1"/>
    <x v="2"/>
    <x v="0"/>
    <d v="1996-01-15T00:00:00"/>
    <n v="-10569"/>
    <x v="2612"/>
    <x v="4"/>
    <n v="-226"/>
    <n v="0.61875427789185489"/>
    <x v="1"/>
    <n v="1"/>
    <n v="1"/>
    <n v="1"/>
    <n v="0"/>
    <s v="Drivers"/>
    <x v="0"/>
  </r>
  <r>
    <n v="5132755"/>
    <x v="1"/>
    <s v="N"/>
    <s v="Y"/>
    <n v="0"/>
    <x v="30"/>
    <x v="2"/>
    <x v="1"/>
    <x v="2"/>
    <x v="0"/>
    <d v="1996-01-15T00:00:00"/>
    <n v="-10569"/>
    <x v="2612"/>
    <x v="4"/>
    <n v="-226"/>
    <n v="0.61875427789185489"/>
    <x v="1"/>
    <n v="1"/>
    <n v="1"/>
    <n v="1"/>
    <n v="0"/>
    <s v="Drivers"/>
    <x v="0"/>
  </r>
  <r>
    <n v="5132785"/>
    <x v="1"/>
    <s v="Y"/>
    <s v="Y"/>
    <n v="0"/>
    <x v="2"/>
    <x v="2"/>
    <x v="1"/>
    <x v="2"/>
    <x v="0"/>
    <d v="2000-09-25T00:00:00"/>
    <n v="-8854"/>
    <x v="2613"/>
    <x v="4"/>
    <n v="-195"/>
    <n v="0.53388090349075978"/>
    <x v="1"/>
    <n v="1"/>
    <n v="1"/>
    <n v="0"/>
    <n v="0"/>
    <s v="Laborers"/>
    <x v="0"/>
  </r>
  <r>
    <n v="5132787"/>
    <x v="0"/>
    <s v="N"/>
    <s v="Y"/>
    <n v="2"/>
    <x v="16"/>
    <x v="2"/>
    <x v="1"/>
    <x v="1"/>
    <x v="0"/>
    <d v="1988-05-24T00:00:00"/>
    <n v="-13361"/>
    <x v="2380"/>
    <x v="3"/>
    <n v="-6586"/>
    <n v="18.031485284052017"/>
    <x v="1"/>
    <n v="1"/>
    <n v="1"/>
    <n v="0"/>
    <n v="0"/>
    <s v="Core staff"/>
    <x v="2"/>
  </r>
  <r>
    <n v="5132801"/>
    <x v="0"/>
    <s v="N"/>
    <s v="Y"/>
    <n v="0"/>
    <x v="5"/>
    <x v="2"/>
    <x v="1"/>
    <x v="0"/>
    <x v="0"/>
    <d v="1974-03-20T00:00:00"/>
    <n v="-18540"/>
    <x v="2614"/>
    <x v="2"/>
    <n v="-1534"/>
    <n v="4.1998631074606436"/>
    <x v="1"/>
    <n v="1"/>
    <n v="0"/>
    <n v="0"/>
    <n v="0"/>
    <s v="Sales staff"/>
    <x v="0"/>
  </r>
  <r>
    <n v="5132808"/>
    <x v="0"/>
    <s v="N"/>
    <s v="Y"/>
    <n v="0"/>
    <x v="5"/>
    <x v="2"/>
    <x v="1"/>
    <x v="0"/>
    <x v="0"/>
    <d v="1974-03-20T00:00:00"/>
    <n v="-18540"/>
    <x v="2614"/>
    <x v="2"/>
    <n v="-1534"/>
    <n v="4.1998631074606436"/>
    <x v="1"/>
    <n v="1"/>
    <n v="0"/>
    <n v="0"/>
    <n v="0"/>
    <s v="Sales staff"/>
    <x v="0"/>
  </r>
  <r>
    <n v="5132841"/>
    <x v="0"/>
    <s v="Y"/>
    <s v="Y"/>
    <n v="0"/>
    <x v="3"/>
    <x v="2"/>
    <x v="3"/>
    <x v="1"/>
    <x v="2"/>
    <d v="1992-11-21T00:00:00"/>
    <n v="-11719"/>
    <x v="225"/>
    <x v="3"/>
    <n v="-285"/>
    <n v="0.78028747433264889"/>
    <x v="1"/>
    <n v="1"/>
    <n v="0"/>
    <n v="1"/>
    <n v="0"/>
    <s v="Core staff"/>
    <x v="1"/>
  </r>
  <r>
    <n v="5132843"/>
    <x v="0"/>
    <s v="Y"/>
    <s v="Y"/>
    <n v="0"/>
    <x v="3"/>
    <x v="2"/>
    <x v="3"/>
    <x v="1"/>
    <x v="2"/>
    <d v="1992-11-21T00:00:00"/>
    <n v="-11719"/>
    <x v="225"/>
    <x v="3"/>
    <n v="-285"/>
    <n v="0.78028747433264889"/>
    <x v="1"/>
    <n v="1"/>
    <n v="0"/>
    <n v="1"/>
    <n v="0"/>
    <s v="Core staff"/>
    <x v="1"/>
  </r>
  <r>
    <n v="5132846"/>
    <x v="0"/>
    <s v="N"/>
    <s v="Y"/>
    <n v="0"/>
    <x v="2"/>
    <x v="3"/>
    <x v="1"/>
    <x v="1"/>
    <x v="0"/>
    <d v="1977-01-30T00:00:00"/>
    <n v="-17493"/>
    <x v="812"/>
    <x v="1"/>
    <n v="-3694"/>
    <n v="10.113620807665983"/>
    <x v="1"/>
    <n v="1"/>
    <n v="0"/>
    <n v="0"/>
    <n v="1"/>
    <s v="Medicine staff"/>
    <x v="1"/>
  </r>
  <r>
    <n v="5132847"/>
    <x v="0"/>
    <s v="N"/>
    <s v="Y"/>
    <n v="0"/>
    <x v="2"/>
    <x v="3"/>
    <x v="1"/>
    <x v="1"/>
    <x v="0"/>
    <d v="1977-01-30T00:00:00"/>
    <n v="-17493"/>
    <x v="812"/>
    <x v="1"/>
    <n v="-3694"/>
    <n v="10.113620807665983"/>
    <x v="1"/>
    <n v="1"/>
    <n v="0"/>
    <n v="0"/>
    <n v="1"/>
    <s v="Medicine staff"/>
    <x v="1"/>
  </r>
  <r>
    <n v="5132901"/>
    <x v="0"/>
    <s v="N"/>
    <s v="Y"/>
    <n v="0"/>
    <x v="16"/>
    <x v="1"/>
    <x v="1"/>
    <x v="1"/>
    <x v="0"/>
    <d v="1996-05-25T00:00:00"/>
    <n v="-10438"/>
    <x v="2615"/>
    <x v="4"/>
    <n v="-2264"/>
    <n v="6.1984941820670771"/>
    <x v="1"/>
    <n v="1"/>
    <n v="0"/>
    <n v="1"/>
    <n v="0"/>
    <m/>
    <x v="1"/>
  </r>
  <r>
    <n v="5132924"/>
    <x v="1"/>
    <s v="N"/>
    <s v="Y"/>
    <n v="0"/>
    <x v="5"/>
    <x v="2"/>
    <x v="1"/>
    <x v="1"/>
    <x v="0"/>
    <d v="1994-09-18T00:00:00"/>
    <n v="-11053"/>
    <x v="2616"/>
    <x v="3"/>
    <n v="-1626"/>
    <n v="4.4517453798767965"/>
    <x v="1"/>
    <n v="1"/>
    <n v="0"/>
    <n v="0"/>
    <n v="0"/>
    <s v="Laborers"/>
    <x v="1"/>
  </r>
  <r>
    <n v="5132932"/>
    <x v="0"/>
    <s v="N"/>
    <s v="Y"/>
    <n v="1"/>
    <x v="5"/>
    <x v="3"/>
    <x v="1"/>
    <x v="2"/>
    <x v="0"/>
    <d v="1990-04-09T00:00:00"/>
    <n v="-12676"/>
    <x v="1751"/>
    <x v="3"/>
    <n v="-1350"/>
    <n v="3.6960985626283369"/>
    <x v="1"/>
    <n v="1"/>
    <n v="0"/>
    <n v="0"/>
    <n v="0"/>
    <s v="Waiters/barmen staff"/>
    <x v="1"/>
  </r>
  <r>
    <n v="5132935"/>
    <x v="0"/>
    <s v="N"/>
    <s v="Y"/>
    <n v="1"/>
    <x v="5"/>
    <x v="3"/>
    <x v="1"/>
    <x v="2"/>
    <x v="0"/>
    <d v="1990-04-09T00:00:00"/>
    <n v="-12676"/>
    <x v="1751"/>
    <x v="3"/>
    <n v="-1350"/>
    <n v="3.6960985626283369"/>
    <x v="1"/>
    <n v="1"/>
    <n v="0"/>
    <n v="0"/>
    <n v="0"/>
    <s v="Waiters/barmen staff"/>
    <x v="1"/>
  </r>
  <r>
    <n v="5132950"/>
    <x v="0"/>
    <s v="N"/>
    <s v="Y"/>
    <n v="1"/>
    <x v="5"/>
    <x v="3"/>
    <x v="1"/>
    <x v="2"/>
    <x v="0"/>
    <d v="1990-04-09T00:00:00"/>
    <n v="-12676"/>
    <x v="1751"/>
    <x v="3"/>
    <n v="-1350"/>
    <n v="3.6960985626283369"/>
    <x v="1"/>
    <n v="1"/>
    <n v="0"/>
    <n v="0"/>
    <n v="0"/>
    <s v="Waiters/barmen staff"/>
    <x v="1"/>
  </r>
  <r>
    <n v="5132954"/>
    <x v="0"/>
    <s v="N"/>
    <s v="Y"/>
    <n v="1"/>
    <x v="5"/>
    <x v="3"/>
    <x v="1"/>
    <x v="2"/>
    <x v="0"/>
    <d v="1990-04-09T00:00:00"/>
    <n v="-12676"/>
    <x v="1751"/>
    <x v="3"/>
    <n v="-1350"/>
    <n v="3.6960985626283369"/>
    <x v="1"/>
    <n v="1"/>
    <n v="0"/>
    <n v="0"/>
    <n v="0"/>
    <s v="Waiters/barmen staff"/>
    <x v="1"/>
  </r>
  <r>
    <n v="5132956"/>
    <x v="0"/>
    <s v="N"/>
    <s v="Y"/>
    <n v="1"/>
    <x v="5"/>
    <x v="3"/>
    <x v="1"/>
    <x v="2"/>
    <x v="0"/>
    <d v="1990-04-09T00:00:00"/>
    <n v="-12676"/>
    <x v="1751"/>
    <x v="3"/>
    <n v="-1350"/>
    <n v="3.6960985626283369"/>
    <x v="1"/>
    <n v="1"/>
    <n v="0"/>
    <n v="0"/>
    <n v="0"/>
    <s v="Waiters/barmen staff"/>
    <x v="1"/>
  </r>
  <r>
    <n v="5132975"/>
    <x v="0"/>
    <s v="N"/>
    <s v="Y"/>
    <n v="2"/>
    <x v="2"/>
    <x v="2"/>
    <x v="1"/>
    <x v="1"/>
    <x v="0"/>
    <d v="1984-12-24T00:00:00"/>
    <n v="-14608"/>
    <x v="2617"/>
    <x v="3"/>
    <n v="-1261"/>
    <n v="3.4524298425735798"/>
    <x v="1"/>
    <n v="1"/>
    <n v="1"/>
    <n v="0"/>
    <n v="0"/>
    <s v="Sales staff"/>
    <x v="2"/>
  </r>
  <r>
    <n v="5132976"/>
    <x v="0"/>
    <s v="N"/>
    <s v="Y"/>
    <n v="2"/>
    <x v="2"/>
    <x v="2"/>
    <x v="1"/>
    <x v="1"/>
    <x v="0"/>
    <d v="1984-12-24T00:00:00"/>
    <n v="-14608"/>
    <x v="2617"/>
    <x v="3"/>
    <n v="-1261"/>
    <n v="3.4524298425735798"/>
    <x v="1"/>
    <n v="1"/>
    <n v="1"/>
    <n v="0"/>
    <n v="0"/>
    <s v="Sales staff"/>
    <x v="2"/>
  </r>
  <r>
    <n v="5135258"/>
    <x v="0"/>
    <s v="N"/>
    <s v="Y"/>
    <n v="0"/>
    <x v="30"/>
    <x v="0"/>
    <x v="1"/>
    <x v="1"/>
    <x v="0"/>
    <d v="1964-09-04T00:00:00"/>
    <n v="-22024"/>
    <x v="2618"/>
    <x v="0"/>
    <n v="365243"/>
    <n v="0"/>
    <x v="0"/>
    <n v="1"/>
    <n v="0"/>
    <n v="0"/>
    <n v="0"/>
    <m/>
    <x v="1"/>
  </r>
  <r>
    <n v="5135310"/>
    <x v="0"/>
    <s v="N"/>
    <s v="N"/>
    <n v="1"/>
    <x v="8"/>
    <x v="1"/>
    <x v="1"/>
    <x v="3"/>
    <x v="0"/>
    <d v="1984-07-20T00:00:00"/>
    <n v="-14765"/>
    <x v="2619"/>
    <x v="1"/>
    <n v="-3294"/>
    <n v="9.0184804928131417"/>
    <x v="1"/>
    <n v="1"/>
    <n v="0"/>
    <n v="0"/>
    <n v="0"/>
    <s v="Core staff"/>
    <x v="3"/>
  </r>
  <r>
    <n v="5135377"/>
    <x v="0"/>
    <s v="N"/>
    <s v="Y"/>
    <n v="0"/>
    <x v="138"/>
    <x v="1"/>
    <x v="1"/>
    <x v="1"/>
    <x v="0"/>
    <d v="1969-12-29T00:00:00"/>
    <n v="-20082"/>
    <x v="2620"/>
    <x v="2"/>
    <n v="-4979"/>
    <n v="13.631759069130732"/>
    <x v="1"/>
    <n v="1"/>
    <n v="0"/>
    <n v="0"/>
    <n v="0"/>
    <s v="Sales staff"/>
    <x v="1"/>
  </r>
  <r>
    <n v="5135378"/>
    <x v="0"/>
    <s v="N"/>
    <s v="Y"/>
    <n v="0"/>
    <x v="138"/>
    <x v="1"/>
    <x v="1"/>
    <x v="1"/>
    <x v="0"/>
    <d v="1969-12-29T00:00:00"/>
    <n v="-20082"/>
    <x v="2620"/>
    <x v="2"/>
    <n v="-4979"/>
    <n v="13.631759069130732"/>
    <x v="1"/>
    <n v="1"/>
    <n v="0"/>
    <n v="0"/>
    <n v="0"/>
    <s v="Sales staff"/>
    <x v="1"/>
  </r>
  <r>
    <n v="5135384"/>
    <x v="0"/>
    <s v="N"/>
    <s v="Y"/>
    <n v="0"/>
    <x v="138"/>
    <x v="1"/>
    <x v="1"/>
    <x v="1"/>
    <x v="0"/>
    <d v="1969-12-29T00:00:00"/>
    <n v="-20082"/>
    <x v="2620"/>
    <x v="2"/>
    <n v="-4979"/>
    <n v="13.631759069130732"/>
    <x v="1"/>
    <n v="1"/>
    <n v="0"/>
    <n v="0"/>
    <n v="0"/>
    <s v="Sales staff"/>
    <x v="1"/>
  </r>
  <r>
    <n v="5135386"/>
    <x v="0"/>
    <s v="N"/>
    <s v="Y"/>
    <n v="0"/>
    <x v="138"/>
    <x v="1"/>
    <x v="1"/>
    <x v="1"/>
    <x v="0"/>
    <d v="1969-12-29T00:00:00"/>
    <n v="-20082"/>
    <x v="2620"/>
    <x v="2"/>
    <n v="-4979"/>
    <n v="13.631759069130732"/>
    <x v="1"/>
    <n v="1"/>
    <n v="0"/>
    <n v="0"/>
    <n v="0"/>
    <s v="Sales staff"/>
    <x v="1"/>
  </r>
  <r>
    <n v="5135393"/>
    <x v="0"/>
    <s v="N"/>
    <s v="N"/>
    <n v="0"/>
    <x v="3"/>
    <x v="2"/>
    <x v="1"/>
    <x v="1"/>
    <x v="4"/>
    <d v="1982-12-19T00:00:00"/>
    <n v="-15344"/>
    <x v="1399"/>
    <x v="1"/>
    <n v="-4461"/>
    <n v="12.213552361396303"/>
    <x v="1"/>
    <n v="1"/>
    <n v="0"/>
    <n v="0"/>
    <n v="0"/>
    <m/>
    <x v="1"/>
  </r>
  <r>
    <n v="5135404"/>
    <x v="0"/>
    <s v="N"/>
    <s v="Y"/>
    <n v="0"/>
    <x v="69"/>
    <x v="1"/>
    <x v="3"/>
    <x v="1"/>
    <x v="0"/>
    <d v="1996-07-26T00:00:00"/>
    <n v="-10376"/>
    <x v="822"/>
    <x v="4"/>
    <n v="-3092"/>
    <n v="8.4654346338124569"/>
    <x v="1"/>
    <n v="1"/>
    <n v="0"/>
    <n v="0"/>
    <n v="0"/>
    <m/>
    <x v="1"/>
  </r>
  <r>
    <n v="5135424"/>
    <x v="0"/>
    <s v="N"/>
    <s v="Y"/>
    <n v="0"/>
    <x v="43"/>
    <x v="2"/>
    <x v="1"/>
    <x v="1"/>
    <x v="0"/>
    <d v="1997-04-06T00:00:00"/>
    <n v="-10122"/>
    <x v="2621"/>
    <x v="4"/>
    <n v="-231"/>
    <n v="0.63244353182751545"/>
    <x v="1"/>
    <n v="1"/>
    <n v="0"/>
    <n v="0"/>
    <n v="0"/>
    <m/>
    <x v="1"/>
  </r>
  <r>
    <n v="5135455"/>
    <x v="0"/>
    <s v="N"/>
    <s v="Y"/>
    <n v="0"/>
    <x v="8"/>
    <x v="2"/>
    <x v="1"/>
    <x v="0"/>
    <x v="0"/>
    <d v="1978-06-16T00:00:00"/>
    <n v="-16991"/>
    <x v="2622"/>
    <x v="1"/>
    <n v="-231"/>
    <n v="0.63244353182751545"/>
    <x v="1"/>
    <n v="1"/>
    <n v="0"/>
    <n v="0"/>
    <n v="0"/>
    <s v="Laborers"/>
    <x v="0"/>
  </r>
  <r>
    <n v="5135459"/>
    <x v="1"/>
    <s v="Y"/>
    <s v="Y"/>
    <n v="0"/>
    <x v="69"/>
    <x v="2"/>
    <x v="1"/>
    <x v="1"/>
    <x v="0"/>
    <d v="1988-10-14T00:00:00"/>
    <n v="-13218"/>
    <x v="2623"/>
    <x v="3"/>
    <n v="-78"/>
    <n v="0.2135523613963039"/>
    <x v="1"/>
    <n v="1"/>
    <n v="0"/>
    <n v="0"/>
    <n v="0"/>
    <s v="Laborers"/>
    <x v="1"/>
  </r>
  <r>
    <n v="5135468"/>
    <x v="0"/>
    <s v="N"/>
    <s v="Y"/>
    <n v="0"/>
    <x v="16"/>
    <x v="2"/>
    <x v="1"/>
    <x v="1"/>
    <x v="0"/>
    <d v="1970-07-18T00:00:00"/>
    <n v="-19881"/>
    <x v="1001"/>
    <x v="2"/>
    <n v="-7718"/>
    <n v="21.130732375085557"/>
    <x v="1"/>
    <n v="1"/>
    <n v="0"/>
    <n v="0"/>
    <n v="0"/>
    <s v="Secretaries"/>
    <x v="1"/>
  </r>
  <r>
    <n v="5135482"/>
    <x v="0"/>
    <s v="N"/>
    <s v="N"/>
    <n v="2"/>
    <x v="43"/>
    <x v="2"/>
    <x v="1"/>
    <x v="1"/>
    <x v="2"/>
    <d v="1997-07-31T00:00:00"/>
    <n v="-10006"/>
    <x v="2624"/>
    <x v="4"/>
    <n v="-413"/>
    <n v="1.1307323750855578"/>
    <x v="1"/>
    <n v="1"/>
    <n v="0"/>
    <n v="0"/>
    <n v="0"/>
    <s v="Medicine staff"/>
    <x v="2"/>
  </r>
  <r>
    <n v="5135487"/>
    <x v="0"/>
    <s v="N"/>
    <s v="Y"/>
    <n v="0"/>
    <x v="1"/>
    <x v="3"/>
    <x v="0"/>
    <x v="2"/>
    <x v="4"/>
    <d v="1995-10-16T00:00:00"/>
    <n v="-10660"/>
    <x v="2625"/>
    <x v="4"/>
    <n v="-1935"/>
    <n v="5.2977412731006162"/>
    <x v="1"/>
    <n v="1"/>
    <n v="0"/>
    <n v="0"/>
    <n v="0"/>
    <s v="Core staff"/>
    <x v="0"/>
  </r>
  <r>
    <n v="5135497"/>
    <x v="1"/>
    <s v="Y"/>
    <s v="Y"/>
    <n v="2"/>
    <x v="8"/>
    <x v="2"/>
    <x v="1"/>
    <x v="1"/>
    <x v="0"/>
    <d v="1996-07-22T00:00:00"/>
    <n v="-10380"/>
    <x v="2626"/>
    <x v="4"/>
    <n v="-3396"/>
    <n v="9.2977412731006162"/>
    <x v="1"/>
    <n v="1"/>
    <n v="0"/>
    <n v="0"/>
    <n v="0"/>
    <s v="Laborers"/>
    <x v="2"/>
  </r>
  <r>
    <n v="5135502"/>
    <x v="0"/>
    <s v="Y"/>
    <s v="Y"/>
    <n v="0"/>
    <x v="11"/>
    <x v="2"/>
    <x v="0"/>
    <x v="2"/>
    <x v="0"/>
    <d v="1975-10-02T00:00:00"/>
    <n v="-17979"/>
    <x v="2627"/>
    <x v="1"/>
    <n v="-1782"/>
    <n v="4.8788501026694044"/>
    <x v="1"/>
    <n v="1"/>
    <n v="1"/>
    <n v="0"/>
    <n v="0"/>
    <s v="Laborers"/>
    <x v="0"/>
  </r>
  <r>
    <n v="5135505"/>
    <x v="0"/>
    <s v="N"/>
    <s v="Y"/>
    <n v="1"/>
    <x v="2"/>
    <x v="2"/>
    <x v="1"/>
    <x v="3"/>
    <x v="0"/>
    <d v="1997-04-04T00:00:00"/>
    <n v="-10124"/>
    <x v="2628"/>
    <x v="4"/>
    <n v="-1358"/>
    <n v="3.7180013689253935"/>
    <x v="1"/>
    <n v="1"/>
    <n v="0"/>
    <n v="0"/>
    <n v="0"/>
    <s v="Laborers"/>
    <x v="3"/>
  </r>
  <r>
    <n v="5135507"/>
    <x v="0"/>
    <s v="N"/>
    <s v="Y"/>
    <n v="1"/>
    <x v="2"/>
    <x v="2"/>
    <x v="1"/>
    <x v="3"/>
    <x v="0"/>
    <d v="1997-04-04T00:00:00"/>
    <n v="-10124"/>
    <x v="2628"/>
    <x v="4"/>
    <n v="-1358"/>
    <n v="3.7180013689253935"/>
    <x v="1"/>
    <n v="1"/>
    <n v="0"/>
    <n v="0"/>
    <n v="0"/>
    <s v="Laborers"/>
    <x v="3"/>
  </r>
  <r>
    <n v="5135512"/>
    <x v="0"/>
    <s v="Y"/>
    <s v="N"/>
    <n v="0"/>
    <x v="11"/>
    <x v="2"/>
    <x v="1"/>
    <x v="1"/>
    <x v="0"/>
    <d v="1984-02-27T00:00:00"/>
    <n v="-14909"/>
    <x v="2629"/>
    <x v="1"/>
    <n v="-8083"/>
    <n v="22.130047912388775"/>
    <x v="1"/>
    <n v="1"/>
    <n v="0"/>
    <n v="1"/>
    <n v="0"/>
    <s v="Medicine staff"/>
    <x v="1"/>
  </r>
  <r>
    <n v="5135523"/>
    <x v="0"/>
    <s v="Y"/>
    <s v="Y"/>
    <n v="1"/>
    <x v="5"/>
    <x v="1"/>
    <x v="0"/>
    <x v="1"/>
    <x v="0"/>
    <d v="1977-04-17T00:00:00"/>
    <n v="-17416"/>
    <x v="752"/>
    <x v="1"/>
    <n v="-201"/>
    <n v="0.55030800821355241"/>
    <x v="1"/>
    <n v="1"/>
    <n v="0"/>
    <n v="0"/>
    <n v="0"/>
    <m/>
    <x v="3"/>
  </r>
  <r>
    <n v="5135544"/>
    <x v="0"/>
    <s v="N"/>
    <s v="Y"/>
    <n v="0"/>
    <x v="8"/>
    <x v="2"/>
    <x v="1"/>
    <x v="1"/>
    <x v="0"/>
    <d v="1968-04-15T00:00:00"/>
    <n v="-20705"/>
    <x v="2630"/>
    <x v="2"/>
    <n v="-443"/>
    <n v="1.2128678986995209"/>
    <x v="1"/>
    <n v="1"/>
    <n v="0"/>
    <n v="0"/>
    <n v="0"/>
    <s v="Cleaning staff"/>
    <x v="1"/>
  </r>
  <r>
    <n v="5135554"/>
    <x v="0"/>
    <s v="N"/>
    <s v="Y"/>
    <n v="0"/>
    <x v="1"/>
    <x v="1"/>
    <x v="0"/>
    <x v="2"/>
    <x v="0"/>
    <d v="1993-10-31T00:00:00"/>
    <n v="-11375"/>
    <x v="2631"/>
    <x v="3"/>
    <n v="-1236"/>
    <n v="3.3839835728952772"/>
    <x v="1"/>
    <n v="1"/>
    <n v="0"/>
    <n v="0"/>
    <n v="0"/>
    <s v="Sales staff"/>
    <x v="0"/>
  </r>
  <r>
    <n v="5135555"/>
    <x v="0"/>
    <s v="N"/>
    <s v="Y"/>
    <n v="0"/>
    <x v="1"/>
    <x v="1"/>
    <x v="0"/>
    <x v="2"/>
    <x v="0"/>
    <d v="1993-10-31T00:00:00"/>
    <n v="-11375"/>
    <x v="2631"/>
    <x v="3"/>
    <n v="-1236"/>
    <n v="3.3839835728952772"/>
    <x v="1"/>
    <n v="1"/>
    <n v="0"/>
    <n v="0"/>
    <n v="0"/>
    <s v="Sales staff"/>
    <x v="0"/>
  </r>
  <r>
    <n v="5135559"/>
    <x v="0"/>
    <s v="N"/>
    <s v="Y"/>
    <n v="0"/>
    <x v="16"/>
    <x v="2"/>
    <x v="0"/>
    <x v="1"/>
    <x v="0"/>
    <d v="1986-06-02T00:00:00"/>
    <n v="-14083"/>
    <x v="2632"/>
    <x v="3"/>
    <n v="-7049"/>
    <n v="19.299110198494184"/>
    <x v="1"/>
    <n v="1"/>
    <n v="1"/>
    <n v="0"/>
    <n v="0"/>
    <s v="Core staff"/>
    <x v="1"/>
  </r>
  <r>
    <n v="5135574"/>
    <x v="0"/>
    <s v="Y"/>
    <s v="Y"/>
    <n v="0"/>
    <x v="16"/>
    <x v="2"/>
    <x v="1"/>
    <x v="1"/>
    <x v="0"/>
    <d v="1992-10-22T00:00:00"/>
    <n v="-11749"/>
    <x v="2633"/>
    <x v="3"/>
    <n v="-992"/>
    <n v="2.7159479808350446"/>
    <x v="1"/>
    <n v="1"/>
    <n v="0"/>
    <n v="0"/>
    <n v="0"/>
    <s v="Medicine staff"/>
    <x v="1"/>
  </r>
  <r>
    <n v="5135577"/>
    <x v="0"/>
    <s v="N"/>
    <s v="Y"/>
    <n v="0"/>
    <x v="2"/>
    <x v="2"/>
    <x v="1"/>
    <x v="1"/>
    <x v="0"/>
    <d v="1989-01-03T00:00:00"/>
    <n v="-13137"/>
    <x v="2634"/>
    <x v="3"/>
    <n v="-2392"/>
    <n v="6.5489390828199863"/>
    <x v="1"/>
    <n v="1"/>
    <n v="1"/>
    <n v="1"/>
    <n v="0"/>
    <s v="Waiters/barmen staff"/>
    <x v="1"/>
  </r>
  <r>
    <n v="5135586"/>
    <x v="1"/>
    <s v="Y"/>
    <s v="Y"/>
    <n v="2"/>
    <x v="78"/>
    <x v="2"/>
    <x v="0"/>
    <x v="1"/>
    <x v="0"/>
    <d v="1993-02-18T00:00:00"/>
    <n v="-11630"/>
    <x v="839"/>
    <x v="3"/>
    <n v="-1904"/>
    <n v="5.2128678986995212"/>
    <x v="1"/>
    <n v="1"/>
    <n v="0"/>
    <n v="0"/>
    <n v="0"/>
    <s v="Laborers"/>
    <x v="2"/>
  </r>
  <r>
    <n v="5135605"/>
    <x v="0"/>
    <s v="N"/>
    <s v="Y"/>
    <n v="0"/>
    <x v="5"/>
    <x v="2"/>
    <x v="1"/>
    <x v="1"/>
    <x v="0"/>
    <d v="1972-10-12T00:00:00"/>
    <n v="-19064"/>
    <x v="2295"/>
    <x v="2"/>
    <n v="-2939"/>
    <n v="8.046543463381246"/>
    <x v="1"/>
    <n v="1"/>
    <n v="0"/>
    <n v="0"/>
    <n v="0"/>
    <m/>
    <x v="1"/>
  </r>
  <r>
    <n v="5135607"/>
    <x v="0"/>
    <s v="N"/>
    <s v="Y"/>
    <n v="0"/>
    <x v="5"/>
    <x v="2"/>
    <x v="1"/>
    <x v="1"/>
    <x v="0"/>
    <d v="1972-10-12T00:00:00"/>
    <n v="-19064"/>
    <x v="2295"/>
    <x v="2"/>
    <n v="-2939"/>
    <n v="8.046543463381246"/>
    <x v="1"/>
    <n v="1"/>
    <n v="0"/>
    <n v="0"/>
    <n v="0"/>
    <m/>
    <x v="1"/>
  </r>
  <r>
    <n v="5135622"/>
    <x v="0"/>
    <s v="N"/>
    <s v="Y"/>
    <n v="0"/>
    <x v="2"/>
    <x v="2"/>
    <x v="1"/>
    <x v="3"/>
    <x v="0"/>
    <d v="1981-07-14T00:00:00"/>
    <n v="-15867"/>
    <x v="2635"/>
    <x v="1"/>
    <n v="-2088"/>
    <n v="5.7166324435318279"/>
    <x v="1"/>
    <n v="1"/>
    <n v="0"/>
    <n v="0"/>
    <n v="0"/>
    <s v="Sales staff"/>
    <x v="1"/>
  </r>
  <r>
    <n v="5135629"/>
    <x v="1"/>
    <s v="Y"/>
    <s v="Y"/>
    <n v="0"/>
    <x v="75"/>
    <x v="0"/>
    <x v="1"/>
    <x v="1"/>
    <x v="0"/>
    <d v="1961-09-11T00:00:00"/>
    <n v="-23113"/>
    <x v="2636"/>
    <x v="0"/>
    <n v="365243"/>
    <n v="0"/>
    <x v="0"/>
    <n v="1"/>
    <n v="0"/>
    <n v="0"/>
    <n v="0"/>
    <m/>
    <x v="1"/>
  </r>
  <r>
    <n v="5135630"/>
    <x v="1"/>
    <s v="Y"/>
    <s v="Y"/>
    <n v="0"/>
    <x v="75"/>
    <x v="0"/>
    <x v="1"/>
    <x v="1"/>
    <x v="0"/>
    <d v="1961-09-11T00:00:00"/>
    <n v="-23113"/>
    <x v="2636"/>
    <x v="0"/>
    <n v="365243"/>
    <n v="0"/>
    <x v="0"/>
    <n v="1"/>
    <n v="0"/>
    <n v="0"/>
    <n v="0"/>
    <m/>
    <x v="1"/>
  </r>
  <r>
    <n v="5135636"/>
    <x v="1"/>
    <s v="Y"/>
    <s v="Y"/>
    <n v="0"/>
    <x v="152"/>
    <x v="2"/>
    <x v="1"/>
    <x v="1"/>
    <x v="0"/>
    <d v="1973-05-28T00:00:00"/>
    <n v="-18836"/>
    <x v="2637"/>
    <x v="2"/>
    <n v="-931"/>
    <n v="2.5489390828199863"/>
    <x v="1"/>
    <n v="1"/>
    <n v="1"/>
    <n v="1"/>
    <n v="0"/>
    <s v="Laborers"/>
    <x v="1"/>
  </r>
  <r>
    <n v="5135639"/>
    <x v="1"/>
    <s v="N"/>
    <s v="N"/>
    <n v="0"/>
    <x v="16"/>
    <x v="2"/>
    <x v="1"/>
    <x v="2"/>
    <x v="5"/>
    <d v="1979-02-19T00:00:00"/>
    <n v="-16743"/>
    <x v="2638"/>
    <x v="1"/>
    <n v="-808"/>
    <n v="2.2121834360027379"/>
    <x v="1"/>
    <n v="1"/>
    <n v="0"/>
    <n v="1"/>
    <n v="0"/>
    <s v="Laborers"/>
    <x v="0"/>
  </r>
  <r>
    <n v="5135641"/>
    <x v="0"/>
    <s v="N"/>
    <s v="Y"/>
    <n v="1"/>
    <x v="2"/>
    <x v="2"/>
    <x v="1"/>
    <x v="1"/>
    <x v="0"/>
    <d v="1983-04-29T00:00:00"/>
    <n v="-15213"/>
    <x v="1235"/>
    <x v="1"/>
    <n v="-109"/>
    <n v="0.29842573579739906"/>
    <x v="1"/>
    <n v="1"/>
    <n v="0"/>
    <n v="0"/>
    <n v="0"/>
    <s v="Laborers"/>
    <x v="3"/>
  </r>
  <r>
    <n v="5135645"/>
    <x v="0"/>
    <s v="N"/>
    <s v="Y"/>
    <n v="0"/>
    <x v="18"/>
    <x v="1"/>
    <x v="1"/>
    <x v="1"/>
    <x v="0"/>
    <d v="1978-08-24T00:00:00"/>
    <n v="-16922"/>
    <x v="2639"/>
    <x v="1"/>
    <n v="-1386"/>
    <n v="3.7946611909650922"/>
    <x v="1"/>
    <n v="1"/>
    <n v="0"/>
    <n v="0"/>
    <n v="0"/>
    <s v="Realty agents"/>
    <x v="1"/>
  </r>
  <r>
    <n v="5135648"/>
    <x v="0"/>
    <s v="N"/>
    <s v="Y"/>
    <n v="0"/>
    <x v="18"/>
    <x v="1"/>
    <x v="1"/>
    <x v="1"/>
    <x v="0"/>
    <d v="1978-08-24T00:00:00"/>
    <n v="-16922"/>
    <x v="2639"/>
    <x v="1"/>
    <n v="-1386"/>
    <n v="3.7946611909650922"/>
    <x v="1"/>
    <n v="1"/>
    <n v="0"/>
    <n v="0"/>
    <n v="0"/>
    <s v="Realty agents"/>
    <x v="1"/>
  </r>
  <r>
    <n v="5135681"/>
    <x v="0"/>
    <s v="N"/>
    <s v="Y"/>
    <n v="0"/>
    <x v="19"/>
    <x v="2"/>
    <x v="0"/>
    <x v="1"/>
    <x v="0"/>
    <d v="1987-10-21T00:00:00"/>
    <n v="-13577"/>
    <x v="2640"/>
    <x v="3"/>
    <n v="-1266"/>
    <n v="3.4661190965092401"/>
    <x v="1"/>
    <n v="1"/>
    <n v="0"/>
    <n v="1"/>
    <n v="0"/>
    <s v="Accountants"/>
    <x v="1"/>
  </r>
  <r>
    <n v="5135683"/>
    <x v="0"/>
    <s v="N"/>
    <s v="Y"/>
    <n v="0"/>
    <x v="19"/>
    <x v="2"/>
    <x v="0"/>
    <x v="1"/>
    <x v="0"/>
    <d v="1987-10-21T00:00:00"/>
    <n v="-13577"/>
    <x v="2640"/>
    <x v="3"/>
    <n v="-1266"/>
    <n v="3.4661190965092401"/>
    <x v="1"/>
    <n v="1"/>
    <n v="0"/>
    <n v="1"/>
    <n v="0"/>
    <s v="Accountants"/>
    <x v="1"/>
  </r>
  <r>
    <n v="5135685"/>
    <x v="0"/>
    <s v="N"/>
    <s v="Y"/>
    <n v="0"/>
    <x v="19"/>
    <x v="2"/>
    <x v="0"/>
    <x v="1"/>
    <x v="0"/>
    <d v="1987-10-21T00:00:00"/>
    <n v="-13577"/>
    <x v="2640"/>
    <x v="3"/>
    <n v="-1266"/>
    <n v="3.4661190965092401"/>
    <x v="1"/>
    <n v="1"/>
    <n v="0"/>
    <n v="1"/>
    <n v="0"/>
    <s v="Accountants"/>
    <x v="1"/>
  </r>
  <r>
    <n v="5135688"/>
    <x v="0"/>
    <s v="N"/>
    <s v="Y"/>
    <n v="0"/>
    <x v="19"/>
    <x v="2"/>
    <x v="0"/>
    <x v="1"/>
    <x v="0"/>
    <d v="1987-10-21T00:00:00"/>
    <n v="-13577"/>
    <x v="2640"/>
    <x v="3"/>
    <n v="-1266"/>
    <n v="3.4661190965092401"/>
    <x v="1"/>
    <n v="1"/>
    <n v="0"/>
    <n v="1"/>
    <n v="0"/>
    <s v="Accountants"/>
    <x v="1"/>
  </r>
  <r>
    <n v="5135693"/>
    <x v="0"/>
    <s v="N"/>
    <s v="N"/>
    <n v="0"/>
    <x v="1"/>
    <x v="2"/>
    <x v="1"/>
    <x v="1"/>
    <x v="0"/>
    <d v="1994-11-06T00:00:00"/>
    <n v="-11004"/>
    <x v="2641"/>
    <x v="3"/>
    <n v="-1570"/>
    <n v="4.2984257357973989"/>
    <x v="1"/>
    <n v="1"/>
    <n v="0"/>
    <n v="0"/>
    <n v="0"/>
    <s v="Private service staff"/>
    <x v="1"/>
  </r>
  <r>
    <n v="5135694"/>
    <x v="0"/>
    <s v="N"/>
    <s v="N"/>
    <n v="0"/>
    <x v="1"/>
    <x v="2"/>
    <x v="1"/>
    <x v="1"/>
    <x v="0"/>
    <d v="1994-11-06T00:00:00"/>
    <n v="-11004"/>
    <x v="2641"/>
    <x v="3"/>
    <n v="-1570"/>
    <n v="4.2984257357973989"/>
    <x v="1"/>
    <n v="1"/>
    <n v="0"/>
    <n v="0"/>
    <n v="0"/>
    <s v="Private service staff"/>
    <x v="1"/>
  </r>
  <r>
    <n v="5135702"/>
    <x v="0"/>
    <s v="N"/>
    <s v="N"/>
    <n v="0"/>
    <x v="1"/>
    <x v="2"/>
    <x v="1"/>
    <x v="1"/>
    <x v="0"/>
    <d v="1994-11-06T00:00:00"/>
    <n v="-11004"/>
    <x v="2641"/>
    <x v="3"/>
    <n v="-1570"/>
    <n v="4.2984257357973989"/>
    <x v="1"/>
    <n v="1"/>
    <n v="0"/>
    <n v="0"/>
    <n v="0"/>
    <s v="Private service staff"/>
    <x v="1"/>
  </r>
  <r>
    <n v="5135706"/>
    <x v="1"/>
    <s v="Y"/>
    <s v="Y"/>
    <n v="0"/>
    <x v="8"/>
    <x v="2"/>
    <x v="0"/>
    <x v="1"/>
    <x v="0"/>
    <d v="1967-10-12T00:00:00"/>
    <n v="-20891"/>
    <x v="2356"/>
    <x v="2"/>
    <n v="-413"/>
    <n v="1.1307323750855578"/>
    <x v="1"/>
    <n v="1"/>
    <n v="0"/>
    <n v="0"/>
    <n v="0"/>
    <s v="Security staff"/>
    <x v="1"/>
  </r>
  <r>
    <n v="5135708"/>
    <x v="1"/>
    <s v="Y"/>
    <s v="Y"/>
    <n v="0"/>
    <x v="8"/>
    <x v="2"/>
    <x v="0"/>
    <x v="1"/>
    <x v="0"/>
    <d v="1967-10-12T00:00:00"/>
    <n v="-20891"/>
    <x v="2356"/>
    <x v="2"/>
    <n v="-413"/>
    <n v="1.1307323750855578"/>
    <x v="1"/>
    <n v="1"/>
    <n v="0"/>
    <n v="0"/>
    <n v="0"/>
    <s v="Security staff"/>
    <x v="1"/>
  </r>
  <r>
    <n v="5135723"/>
    <x v="1"/>
    <s v="Y"/>
    <s v="N"/>
    <n v="1"/>
    <x v="14"/>
    <x v="3"/>
    <x v="0"/>
    <x v="1"/>
    <x v="5"/>
    <d v="1983-12-18T00:00:00"/>
    <n v="-14980"/>
    <x v="2642"/>
    <x v="1"/>
    <n v="-2847"/>
    <n v="7.7946611909650922"/>
    <x v="1"/>
    <n v="1"/>
    <n v="0"/>
    <n v="1"/>
    <n v="0"/>
    <s v="Managers"/>
    <x v="3"/>
  </r>
  <r>
    <n v="5135724"/>
    <x v="1"/>
    <s v="Y"/>
    <s v="N"/>
    <n v="1"/>
    <x v="14"/>
    <x v="3"/>
    <x v="0"/>
    <x v="1"/>
    <x v="5"/>
    <d v="1983-12-18T00:00:00"/>
    <n v="-14980"/>
    <x v="2642"/>
    <x v="1"/>
    <n v="-2847"/>
    <n v="7.7946611909650922"/>
    <x v="1"/>
    <n v="1"/>
    <n v="0"/>
    <n v="1"/>
    <n v="0"/>
    <s v="Managers"/>
    <x v="3"/>
  </r>
  <r>
    <n v="5135746"/>
    <x v="1"/>
    <s v="N"/>
    <s v="Y"/>
    <n v="2"/>
    <x v="2"/>
    <x v="2"/>
    <x v="1"/>
    <x v="1"/>
    <x v="0"/>
    <d v="1992-03-21T00:00:00"/>
    <n v="-11964"/>
    <x v="2643"/>
    <x v="3"/>
    <n v="-4280"/>
    <n v="11.718001368925394"/>
    <x v="1"/>
    <n v="1"/>
    <n v="0"/>
    <n v="0"/>
    <n v="0"/>
    <s v="Laborers"/>
    <x v="2"/>
  </r>
  <r>
    <n v="5135750"/>
    <x v="0"/>
    <s v="N"/>
    <s v="N"/>
    <n v="0"/>
    <x v="32"/>
    <x v="3"/>
    <x v="1"/>
    <x v="2"/>
    <x v="0"/>
    <d v="2000-09-27T00:00:00"/>
    <n v="-8852"/>
    <x v="2644"/>
    <x v="4"/>
    <n v="-870"/>
    <n v="2.3819301848049284"/>
    <x v="1"/>
    <n v="1"/>
    <n v="0"/>
    <n v="0"/>
    <n v="0"/>
    <s v="HR staff"/>
    <x v="0"/>
  </r>
  <r>
    <n v="5135752"/>
    <x v="0"/>
    <s v="N"/>
    <s v="N"/>
    <n v="0"/>
    <x v="32"/>
    <x v="3"/>
    <x v="1"/>
    <x v="2"/>
    <x v="0"/>
    <d v="2000-09-27T00:00:00"/>
    <n v="-8852"/>
    <x v="2644"/>
    <x v="4"/>
    <n v="-870"/>
    <n v="2.3819301848049284"/>
    <x v="1"/>
    <n v="1"/>
    <n v="0"/>
    <n v="0"/>
    <n v="0"/>
    <s v="HR staff"/>
    <x v="0"/>
  </r>
  <r>
    <n v="5135768"/>
    <x v="0"/>
    <s v="N"/>
    <s v="Y"/>
    <n v="1"/>
    <x v="16"/>
    <x v="1"/>
    <x v="1"/>
    <x v="1"/>
    <x v="0"/>
    <d v="1987-02-03T00:00:00"/>
    <n v="-13837"/>
    <x v="2645"/>
    <x v="3"/>
    <n v="-1386"/>
    <n v="3.7946611909650922"/>
    <x v="1"/>
    <n v="1"/>
    <n v="0"/>
    <n v="1"/>
    <n v="0"/>
    <s v="Laborers"/>
    <x v="3"/>
  </r>
  <r>
    <n v="5135775"/>
    <x v="0"/>
    <s v="N"/>
    <s v="Y"/>
    <n v="1"/>
    <x v="68"/>
    <x v="1"/>
    <x v="0"/>
    <x v="1"/>
    <x v="0"/>
    <d v="1986-12-25T00:00:00"/>
    <n v="-13877"/>
    <x v="2646"/>
    <x v="3"/>
    <n v="-1021"/>
    <n v="2.7953456536618755"/>
    <x v="1"/>
    <n v="1"/>
    <n v="0"/>
    <n v="0"/>
    <n v="0"/>
    <s v="Accountants"/>
    <x v="3"/>
  </r>
  <r>
    <n v="5135783"/>
    <x v="0"/>
    <s v="N"/>
    <s v="Y"/>
    <n v="0"/>
    <x v="3"/>
    <x v="2"/>
    <x v="1"/>
    <x v="1"/>
    <x v="0"/>
    <d v="1959-09-11T00:00:00"/>
    <n v="-23844"/>
    <x v="2647"/>
    <x v="0"/>
    <n v="-2147"/>
    <n v="5.8781656399726216"/>
    <x v="1"/>
    <n v="1"/>
    <n v="0"/>
    <n v="1"/>
    <n v="0"/>
    <s v="Accountants"/>
    <x v="1"/>
  </r>
  <r>
    <n v="5135807"/>
    <x v="0"/>
    <s v="N"/>
    <s v="Y"/>
    <n v="0"/>
    <x v="30"/>
    <x v="1"/>
    <x v="1"/>
    <x v="1"/>
    <x v="0"/>
    <d v="1971-08-21T00:00:00"/>
    <n v="-19482"/>
    <x v="2648"/>
    <x v="2"/>
    <n v="-2878"/>
    <n v="7.8795345653661872"/>
    <x v="1"/>
    <n v="1"/>
    <n v="0"/>
    <n v="0"/>
    <n v="0"/>
    <s v="Laborers"/>
    <x v="1"/>
  </r>
  <r>
    <n v="5135808"/>
    <x v="0"/>
    <s v="N"/>
    <s v="Y"/>
    <n v="0"/>
    <x v="30"/>
    <x v="1"/>
    <x v="1"/>
    <x v="1"/>
    <x v="0"/>
    <d v="1971-08-21T00:00:00"/>
    <n v="-19482"/>
    <x v="2648"/>
    <x v="2"/>
    <n v="-2878"/>
    <n v="7.8795345653661872"/>
    <x v="1"/>
    <n v="1"/>
    <n v="0"/>
    <n v="0"/>
    <n v="0"/>
    <s v="Laborers"/>
    <x v="1"/>
  </r>
  <r>
    <n v="5135811"/>
    <x v="0"/>
    <s v="N"/>
    <s v="Y"/>
    <n v="0"/>
    <x v="30"/>
    <x v="1"/>
    <x v="1"/>
    <x v="1"/>
    <x v="0"/>
    <d v="1971-08-21T00:00:00"/>
    <n v="-19482"/>
    <x v="2648"/>
    <x v="2"/>
    <n v="-2878"/>
    <n v="7.8795345653661872"/>
    <x v="1"/>
    <n v="1"/>
    <n v="0"/>
    <n v="0"/>
    <n v="0"/>
    <s v="Laborers"/>
    <x v="1"/>
  </r>
  <r>
    <n v="5135816"/>
    <x v="0"/>
    <s v="N"/>
    <s v="Y"/>
    <n v="0"/>
    <x v="30"/>
    <x v="1"/>
    <x v="1"/>
    <x v="1"/>
    <x v="0"/>
    <d v="1971-08-21T00:00:00"/>
    <n v="-19482"/>
    <x v="2648"/>
    <x v="2"/>
    <n v="-2878"/>
    <n v="7.8795345653661872"/>
    <x v="1"/>
    <n v="1"/>
    <n v="0"/>
    <n v="0"/>
    <n v="0"/>
    <s v="Laborers"/>
    <x v="1"/>
  </r>
  <r>
    <n v="5135822"/>
    <x v="0"/>
    <s v="N"/>
    <s v="Y"/>
    <n v="0"/>
    <x v="30"/>
    <x v="1"/>
    <x v="1"/>
    <x v="1"/>
    <x v="0"/>
    <d v="1971-08-21T00:00:00"/>
    <n v="-19482"/>
    <x v="2648"/>
    <x v="2"/>
    <n v="-2878"/>
    <n v="7.8795345653661872"/>
    <x v="1"/>
    <n v="1"/>
    <n v="0"/>
    <n v="0"/>
    <n v="0"/>
    <s v="Laborers"/>
    <x v="1"/>
  </r>
  <r>
    <n v="5135824"/>
    <x v="0"/>
    <s v="N"/>
    <s v="Y"/>
    <n v="0"/>
    <x v="30"/>
    <x v="1"/>
    <x v="1"/>
    <x v="1"/>
    <x v="0"/>
    <d v="1971-08-21T00:00:00"/>
    <n v="-19482"/>
    <x v="2648"/>
    <x v="2"/>
    <n v="-2878"/>
    <n v="7.8795345653661872"/>
    <x v="1"/>
    <n v="1"/>
    <n v="0"/>
    <n v="0"/>
    <n v="0"/>
    <s v="Laborers"/>
    <x v="1"/>
  </r>
  <r>
    <n v="5135829"/>
    <x v="0"/>
    <s v="N"/>
    <s v="Y"/>
    <n v="0"/>
    <x v="16"/>
    <x v="1"/>
    <x v="1"/>
    <x v="3"/>
    <x v="0"/>
    <d v="1973-09-28T00:00:00"/>
    <n v="-18713"/>
    <x v="1729"/>
    <x v="2"/>
    <n v="-3549"/>
    <n v="9.716632443531827"/>
    <x v="1"/>
    <n v="1"/>
    <n v="0"/>
    <n v="1"/>
    <n v="0"/>
    <s v="Sales staff"/>
    <x v="1"/>
  </r>
  <r>
    <n v="5135839"/>
    <x v="0"/>
    <s v="Y"/>
    <s v="Y"/>
    <n v="0"/>
    <x v="30"/>
    <x v="0"/>
    <x v="0"/>
    <x v="1"/>
    <x v="0"/>
    <d v="1966-03-30T00:00:00"/>
    <n v="-21452"/>
    <x v="2649"/>
    <x v="2"/>
    <n v="365243"/>
    <n v="0"/>
    <x v="0"/>
    <n v="1"/>
    <n v="0"/>
    <n v="0"/>
    <n v="0"/>
    <m/>
    <x v="1"/>
  </r>
  <r>
    <n v="5135867"/>
    <x v="1"/>
    <s v="Y"/>
    <s v="Y"/>
    <n v="0"/>
    <x v="18"/>
    <x v="1"/>
    <x v="1"/>
    <x v="1"/>
    <x v="0"/>
    <d v="1968-04-17T00:00:00"/>
    <n v="-20703"/>
    <x v="2650"/>
    <x v="2"/>
    <n v="-2239"/>
    <n v="6.1300479123887746"/>
    <x v="1"/>
    <n v="1"/>
    <n v="0"/>
    <n v="0"/>
    <n v="0"/>
    <s v="Drivers"/>
    <x v="1"/>
  </r>
  <r>
    <n v="5135888"/>
    <x v="1"/>
    <s v="Y"/>
    <s v="Y"/>
    <n v="0"/>
    <x v="30"/>
    <x v="2"/>
    <x v="2"/>
    <x v="1"/>
    <x v="0"/>
    <d v="1972-12-23T00:00:00"/>
    <n v="-18992"/>
    <x v="2651"/>
    <x v="2"/>
    <n v="-3243"/>
    <n v="8.8788501026694053"/>
    <x v="1"/>
    <n v="1"/>
    <n v="0"/>
    <n v="1"/>
    <n v="0"/>
    <s v="Drivers"/>
    <x v="1"/>
  </r>
  <r>
    <n v="5135890"/>
    <x v="1"/>
    <s v="N"/>
    <s v="Y"/>
    <n v="0"/>
    <x v="7"/>
    <x v="2"/>
    <x v="1"/>
    <x v="0"/>
    <x v="0"/>
    <d v="1985-07-25T00:00:00"/>
    <n v="-14395"/>
    <x v="842"/>
    <x v="3"/>
    <n v="-596"/>
    <n v="1.6317590691307324"/>
    <x v="1"/>
    <n v="1"/>
    <n v="1"/>
    <n v="1"/>
    <n v="0"/>
    <s v="Security staff"/>
    <x v="0"/>
  </r>
  <r>
    <n v="5135899"/>
    <x v="0"/>
    <s v="N"/>
    <s v="Y"/>
    <n v="2"/>
    <x v="30"/>
    <x v="3"/>
    <x v="1"/>
    <x v="3"/>
    <x v="0"/>
    <d v="1990-02-20T00:00:00"/>
    <n v="-12724"/>
    <x v="2652"/>
    <x v="3"/>
    <n v="-2635"/>
    <n v="7.2142368240930868"/>
    <x v="1"/>
    <n v="1"/>
    <n v="1"/>
    <n v="0"/>
    <n v="0"/>
    <s v="Core staff"/>
    <x v="2"/>
  </r>
  <r>
    <n v="5135905"/>
    <x v="0"/>
    <s v="N"/>
    <s v="Y"/>
    <n v="1"/>
    <x v="70"/>
    <x v="3"/>
    <x v="0"/>
    <x v="0"/>
    <x v="0"/>
    <d v="1968-08-17T00:00:00"/>
    <n v="-20581"/>
    <x v="2653"/>
    <x v="2"/>
    <n v="-1751"/>
    <n v="4.7939767282683095"/>
    <x v="1"/>
    <n v="1"/>
    <n v="0"/>
    <n v="0"/>
    <n v="0"/>
    <s v="IT staff"/>
    <x v="1"/>
  </r>
  <r>
    <n v="5135908"/>
    <x v="0"/>
    <s v="N"/>
    <s v="Y"/>
    <n v="0"/>
    <x v="1"/>
    <x v="2"/>
    <x v="1"/>
    <x v="1"/>
    <x v="0"/>
    <d v="1994-08-12T00:00:00"/>
    <n v="-11090"/>
    <x v="2654"/>
    <x v="3"/>
    <n v="-321"/>
    <n v="0.87885010266940455"/>
    <x v="1"/>
    <n v="1"/>
    <n v="0"/>
    <n v="1"/>
    <n v="1"/>
    <s v="Sales staff"/>
    <x v="1"/>
  </r>
  <r>
    <n v="5135938"/>
    <x v="0"/>
    <s v="Y"/>
    <s v="N"/>
    <n v="2"/>
    <x v="12"/>
    <x v="2"/>
    <x v="1"/>
    <x v="1"/>
    <x v="0"/>
    <d v="1982-03-17T00:00:00"/>
    <n v="-15621"/>
    <x v="2655"/>
    <x v="1"/>
    <n v="-3792"/>
    <n v="10.381930184804927"/>
    <x v="1"/>
    <n v="1"/>
    <n v="0"/>
    <n v="0"/>
    <n v="0"/>
    <s v="Sales staff"/>
    <x v="2"/>
  </r>
  <r>
    <n v="5135940"/>
    <x v="0"/>
    <s v="Y"/>
    <s v="N"/>
    <n v="2"/>
    <x v="12"/>
    <x v="2"/>
    <x v="1"/>
    <x v="1"/>
    <x v="0"/>
    <d v="1982-03-17T00:00:00"/>
    <n v="-15621"/>
    <x v="2655"/>
    <x v="1"/>
    <n v="-3792"/>
    <n v="10.381930184804927"/>
    <x v="1"/>
    <n v="1"/>
    <n v="0"/>
    <n v="0"/>
    <n v="0"/>
    <s v="Sales staff"/>
    <x v="2"/>
  </r>
  <r>
    <n v="5135956"/>
    <x v="0"/>
    <s v="N"/>
    <s v="N"/>
    <n v="0"/>
    <x v="37"/>
    <x v="0"/>
    <x v="0"/>
    <x v="4"/>
    <x v="0"/>
    <d v="1959-01-17T00:00:00"/>
    <n v="-24081"/>
    <x v="2656"/>
    <x v="0"/>
    <n v="365243"/>
    <n v="0"/>
    <x v="0"/>
    <n v="1"/>
    <n v="0"/>
    <n v="0"/>
    <n v="0"/>
    <m/>
    <x v="0"/>
  </r>
  <r>
    <n v="5135967"/>
    <x v="0"/>
    <s v="N"/>
    <s v="Y"/>
    <n v="0"/>
    <x v="2"/>
    <x v="0"/>
    <x v="1"/>
    <x v="3"/>
    <x v="0"/>
    <d v="1961-04-22T00:00:00"/>
    <n v="-23255"/>
    <x v="2657"/>
    <x v="0"/>
    <n v="365243"/>
    <n v="0"/>
    <x v="0"/>
    <n v="1"/>
    <n v="0"/>
    <n v="0"/>
    <n v="0"/>
    <m/>
    <x v="1"/>
  </r>
  <r>
    <n v="5135973"/>
    <x v="0"/>
    <s v="N"/>
    <s v="Y"/>
    <n v="0"/>
    <x v="153"/>
    <x v="1"/>
    <x v="1"/>
    <x v="0"/>
    <x v="0"/>
    <d v="1988-01-26T00:00:00"/>
    <n v="-13480"/>
    <x v="1532"/>
    <x v="3"/>
    <n v="-3153"/>
    <n v="8.6324435318275157"/>
    <x v="1"/>
    <n v="1"/>
    <n v="0"/>
    <n v="0"/>
    <n v="0"/>
    <s v="Private service staff"/>
    <x v="0"/>
  </r>
  <r>
    <n v="5135980"/>
    <x v="0"/>
    <s v="N"/>
    <s v="Y"/>
    <n v="0"/>
    <x v="153"/>
    <x v="1"/>
    <x v="1"/>
    <x v="0"/>
    <x v="0"/>
    <d v="1988-01-26T00:00:00"/>
    <n v="-13480"/>
    <x v="1532"/>
    <x v="3"/>
    <n v="-3153"/>
    <n v="8.6324435318275157"/>
    <x v="1"/>
    <n v="1"/>
    <n v="0"/>
    <n v="0"/>
    <n v="0"/>
    <s v="Private service staff"/>
    <x v="0"/>
  </r>
  <r>
    <n v="5136001"/>
    <x v="1"/>
    <s v="Y"/>
    <s v="Y"/>
    <n v="0"/>
    <x v="1"/>
    <x v="0"/>
    <x v="1"/>
    <x v="1"/>
    <x v="0"/>
    <d v="1964-01-19T00:00:00"/>
    <n v="-22253"/>
    <x v="2658"/>
    <x v="0"/>
    <n v="365243"/>
    <n v="0"/>
    <x v="0"/>
    <n v="1"/>
    <n v="0"/>
    <n v="0"/>
    <n v="0"/>
    <m/>
    <x v="1"/>
  </r>
  <r>
    <n v="5136009"/>
    <x v="0"/>
    <s v="Y"/>
    <s v="Y"/>
    <n v="0"/>
    <x v="1"/>
    <x v="0"/>
    <x v="1"/>
    <x v="4"/>
    <x v="0"/>
    <d v="1964-10-16T00:00:00"/>
    <n v="-21982"/>
    <x v="2659"/>
    <x v="0"/>
    <n v="365243"/>
    <n v="0"/>
    <x v="0"/>
    <n v="1"/>
    <n v="0"/>
    <n v="0"/>
    <n v="0"/>
    <m/>
    <x v="0"/>
  </r>
  <r>
    <n v="5136881"/>
    <x v="0"/>
    <s v="Y"/>
    <s v="N"/>
    <n v="0"/>
    <x v="14"/>
    <x v="2"/>
    <x v="0"/>
    <x v="1"/>
    <x v="0"/>
    <d v="1997-11-05T00:00:00"/>
    <n v="-9909"/>
    <x v="1764"/>
    <x v="4"/>
    <n v="-747"/>
    <n v="2.0451745379876796"/>
    <x v="1"/>
    <n v="1"/>
    <n v="0"/>
    <n v="0"/>
    <n v="0"/>
    <s v="Managers"/>
    <x v="1"/>
  </r>
  <r>
    <n v="5136904"/>
    <x v="0"/>
    <s v="N"/>
    <s v="N"/>
    <n v="0"/>
    <x v="30"/>
    <x v="0"/>
    <x v="1"/>
    <x v="2"/>
    <x v="0"/>
    <d v="1961-08-25T00:00:00"/>
    <n v="-23130"/>
    <x v="2660"/>
    <x v="0"/>
    <n v="365243"/>
    <n v="0"/>
    <x v="0"/>
    <n v="1"/>
    <n v="0"/>
    <n v="1"/>
    <n v="0"/>
    <m/>
    <x v="0"/>
  </r>
  <r>
    <n v="5136910"/>
    <x v="1"/>
    <s v="N"/>
    <s v="N"/>
    <n v="1"/>
    <x v="14"/>
    <x v="2"/>
    <x v="1"/>
    <x v="1"/>
    <x v="0"/>
    <d v="1983-03-29T00:00:00"/>
    <n v="-15244"/>
    <x v="2661"/>
    <x v="1"/>
    <n v="-2908"/>
    <n v="7.9616700889801502"/>
    <x v="1"/>
    <n v="1"/>
    <n v="1"/>
    <n v="0"/>
    <n v="1"/>
    <s v="Managers"/>
    <x v="3"/>
  </r>
  <r>
    <n v="5136967"/>
    <x v="1"/>
    <s v="N"/>
    <s v="N"/>
    <n v="0"/>
    <x v="1"/>
    <x v="2"/>
    <x v="3"/>
    <x v="3"/>
    <x v="0"/>
    <d v="1997-08-10T00:00:00"/>
    <n v="-9996"/>
    <x v="2662"/>
    <x v="4"/>
    <n v="-3395"/>
    <n v="9.2950034223134832"/>
    <x v="1"/>
    <n v="1"/>
    <n v="0"/>
    <n v="1"/>
    <n v="0"/>
    <s v="Low-skill Laborers"/>
    <x v="1"/>
  </r>
  <r>
    <n v="5136981"/>
    <x v="0"/>
    <s v="N"/>
    <s v="N"/>
    <n v="0"/>
    <x v="38"/>
    <x v="3"/>
    <x v="0"/>
    <x v="1"/>
    <x v="0"/>
    <d v="1990-04-08T00:00:00"/>
    <n v="-12677"/>
    <x v="2663"/>
    <x v="3"/>
    <n v="-5587"/>
    <n v="15.296372347707051"/>
    <x v="1"/>
    <n v="1"/>
    <n v="0"/>
    <n v="0"/>
    <n v="0"/>
    <s v="Medicine staff"/>
    <x v="1"/>
  </r>
  <r>
    <n v="5136985"/>
    <x v="1"/>
    <s v="Y"/>
    <s v="N"/>
    <n v="0"/>
    <x v="39"/>
    <x v="2"/>
    <x v="1"/>
    <x v="2"/>
    <x v="0"/>
    <d v="1991-03-11T00:00:00"/>
    <n v="-12340"/>
    <x v="2664"/>
    <x v="3"/>
    <n v="-3334"/>
    <n v="9.1279945242984262"/>
    <x v="1"/>
    <n v="1"/>
    <n v="1"/>
    <n v="0"/>
    <n v="0"/>
    <s v="Managers"/>
    <x v="0"/>
  </r>
  <r>
    <n v="5137002"/>
    <x v="1"/>
    <s v="Y"/>
    <s v="N"/>
    <n v="0"/>
    <x v="25"/>
    <x v="2"/>
    <x v="1"/>
    <x v="1"/>
    <x v="0"/>
    <d v="1974-10-13T00:00:00"/>
    <n v="-18333"/>
    <x v="1125"/>
    <x v="2"/>
    <n v="-8143"/>
    <n v="22.2943189596167"/>
    <x v="1"/>
    <n v="1"/>
    <n v="1"/>
    <n v="1"/>
    <n v="0"/>
    <s v="Drivers"/>
    <x v="1"/>
  </r>
  <r>
    <n v="5137008"/>
    <x v="0"/>
    <s v="Y"/>
    <s v="N"/>
    <n v="0"/>
    <x v="30"/>
    <x v="0"/>
    <x v="1"/>
    <x v="1"/>
    <x v="0"/>
    <d v="1970-03-25T00:00:00"/>
    <n v="-19996"/>
    <x v="2665"/>
    <x v="2"/>
    <n v="365243"/>
    <n v="0"/>
    <x v="0"/>
    <n v="1"/>
    <n v="0"/>
    <n v="0"/>
    <n v="0"/>
    <m/>
    <x v="1"/>
  </r>
  <r>
    <n v="5137017"/>
    <x v="1"/>
    <s v="Y"/>
    <s v="N"/>
    <n v="0"/>
    <x v="16"/>
    <x v="2"/>
    <x v="1"/>
    <x v="2"/>
    <x v="0"/>
    <d v="1992-08-31T00:00:00"/>
    <n v="-11801"/>
    <x v="2666"/>
    <x v="3"/>
    <n v="-2877"/>
    <n v="7.8767967145790552"/>
    <x v="1"/>
    <n v="1"/>
    <n v="1"/>
    <n v="0"/>
    <n v="0"/>
    <s v="Drivers"/>
    <x v="0"/>
  </r>
  <r>
    <n v="5137027"/>
    <x v="0"/>
    <s v="N"/>
    <s v="N"/>
    <n v="0"/>
    <x v="16"/>
    <x v="3"/>
    <x v="1"/>
    <x v="4"/>
    <x v="0"/>
    <d v="1975-03-14T00:00:00"/>
    <n v="-18181"/>
    <x v="2667"/>
    <x v="1"/>
    <n v="-351"/>
    <n v="0.96098562628336759"/>
    <x v="1"/>
    <n v="1"/>
    <n v="1"/>
    <n v="1"/>
    <n v="0"/>
    <s v="Laborers"/>
    <x v="0"/>
  </r>
  <r>
    <n v="5137028"/>
    <x v="1"/>
    <s v="N"/>
    <s v="N"/>
    <n v="0"/>
    <x v="16"/>
    <x v="2"/>
    <x v="1"/>
    <x v="1"/>
    <x v="0"/>
    <d v="1970-08-18T00:00:00"/>
    <n v="-19850"/>
    <x v="2668"/>
    <x v="2"/>
    <n v="-1753"/>
    <n v="4.7994524298425736"/>
    <x v="1"/>
    <n v="1"/>
    <n v="0"/>
    <n v="1"/>
    <n v="0"/>
    <m/>
    <x v="1"/>
  </r>
  <r>
    <n v="5137042"/>
    <x v="0"/>
    <s v="N"/>
    <s v="N"/>
    <n v="0"/>
    <x v="55"/>
    <x v="0"/>
    <x v="1"/>
    <x v="1"/>
    <x v="0"/>
    <d v="1969-11-18T00:00:00"/>
    <n v="-20123"/>
    <x v="2669"/>
    <x v="2"/>
    <n v="365243"/>
    <n v="0"/>
    <x v="0"/>
    <n v="1"/>
    <n v="0"/>
    <n v="0"/>
    <n v="0"/>
    <m/>
    <x v="1"/>
  </r>
  <r>
    <n v="5137058"/>
    <x v="1"/>
    <s v="Y"/>
    <s v="N"/>
    <n v="0"/>
    <x v="154"/>
    <x v="2"/>
    <x v="1"/>
    <x v="1"/>
    <x v="0"/>
    <d v="1992-01-11T00:00:00"/>
    <n v="-12034"/>
    <x v="2670"/>
    <x v="3"/>
    <n v="-139"/>
    <n v="0.3805612594113621"/>
    <x v="1"/>
    <n v="1"/>
    <n v="1"/>
    <n v="0"/>
    <n v="0"/>
    <m/>
    <x v="1"/>
  </r>
  <r>
    <n v="5137077"/>
    <x v="1"/>
    <s v="Y"/>
    <s v="N"/>
    <n v="1"/>
    <x v="12"/>
    <x v="1"/>
    <x v="0"/>
    <x v="1"/>
    <x v="2"/>
    <d v="1992-12-21T00:00:00"/>
    <n v="-11689"/>
    <x v="2671"/>
    <x v="3"/>
    <n v="-716"/>
    <n v="1.9603011635865846"/>
    <x v="1"/>
    <n v="1"/>
    <n v="1"/>
    <n v="1"/>
    <n v="0"/>
    <s v="High skill tech staff"/>
    <x v="3"/>
  </r>
  <r>
    <n v="5137079"/>
    <x v="1"/>
    <s v="Y"/>
    <s v="N"/>
    <n v="1"/>
    <x v="12"/>
    <x v="1"/>
    <x v="0"/>
    <x v="1"/>
    <x v="2"/>
    <d v="1992-12-21T00:00:00"/>
    <n v="-11689"/>
    <x v="2671"/>
    <x v="3"/>
    <n v="-716"/>
    <n v="1.9603011635865846"/>
    <x v="1"/>
    <n v="1"/>
    <n v="1"/>
    <n v="1"/>
    <n v="0"/>
    <s v="High skill tech staff"/>
    <x v="3"/>
  </r>
  <r>
    <n v="5137087"/>
    <x v="1"/>
    <s v="Y"/>
    <s v="N"/>
    <n v="1"/>
    <x v="16"/>
    <x v="1"/>
    <x v="1"/>
    <x v="1"/>
    <x v="0"/>
    <d v="1985-02-04T00:00:00"/>
    <n v="-14566"/>
    <x v="593"/>
    <x v="3"/>
    <n v="-292"/>
    <n v="0.79945242984257359"/>
    <x v="1"/>
    <n v="1"/>
    <n v="1"/>
    <n v="0"/>
    <n v="0"/>
    <s v="Laborers"/>
    <x v="3"/>
  </r>
  <r>
    <n v="5137104"/>
    <x v="0"/>
    <s v="Y"/>
    <s v="N"/>
    <n v="0"/>
    <x v="14"/>
    <x v="3"/>
    <x v="1"/>
    <x v="1"/>
    <x v="0"/>
    <d v="1974-02-11T00:00:00"/>
    <n v="-18577"/>
    <x v="2672"/>
    <x v="2"/>
    <n v="-108"/>
    <n v="0.29568788501026694"/>
    <x v="1"/>
    <n v="1"/>
    <n v="1"/>
    <n v="1"/>
    <n v="0"/>
    <s v="Medicine staff"/>
    <x v="1"/>
  </r>
  <r>
    <n v="5137116"/>
    <x v="0"/>
    <s v="Y"/>
    <s v="N"/>
    <n v="0"/>
    <x v="21"/>
    <x v="1"/>
    <x v="0"/>
    <x v="1"/>
    <x v="0"/>
    <d v="1989-11-10T00:00:00"/>
    <n v="-12826"/>
    <x v="2673"/>
    <x v="3"/>
    <n v="-5099"/>
    <n v="13.960301163586584"/>
    <x v="1"/>
    <n v="1"/>
    <n v="1"/>
    <n v="1"/>
    <n v="0"/>
    <m/>
    <x v="1"/>
  </r>
  <r>
    <n v="5137146"/>
    <x v="1"/>
    <s v="Y"/>
    <s v="N"/>
    <n v="2"/>
    <x v="19"/>
    <x v="1"/>
    <x v="1"/>
    <x v="1"/>
    <x v="0"/>
    <d v="1984-10-23T00:00:00"/>
    <n v="-14670"/>
    <x v="2674"/>
    <x v="1"/>
    <n v="-6957"/>
    <n v="19.04722792607803"/>
    <x v="1"/>
    <n v="1"/>
    <n v="0"/>
    <n v="1"/>
    <n v="0"/>
    <m/>
    <x v="2"/>
  </r>
  <r>
    <n v="5137149"/>
    <x v="0"/>
    <s v="N"/>
    <s v="N"/>
    <n v="0"/>
    <x v="8"/>
    <x v="0"/>
    <x v="1"/>
    <x v="1"/>
    <x v="0"/>
    <d v="1969-01-16T00:00:00"/>
    <n v="-20429"/>
    <x v="2675"/>
    <x v="2"/>
    <n v="365243"/>
    <n v="0"/>
    <x v="0"/>
    <n v="1"/>
    <n v="0"/>
    <n v="1"/>
    <n v="0"/>
    <m/>
    <x v="1"/>
  </r>
  <r>
    <n v="5137184"/>
    <x v="0"/>
    <s v="Y"/>
    <s v="N"/>
    <n v="0"/>
    <x v="37"/>
    <x v="2"/>
    <x v="1"/>
    <x v="1"/>
    <x v="0"/>
    <d v="1993-10-01T00:00:00"/>
    <n v="-11405"/>
    <x v="2676"/>
    <x v="3"/>
    <n v="-1934"/>
    <n v="5.2950034223134841"/>
    <x v="1"/>
    <n v="1"/>
    <n v="1"/>
    <n v="0"/>
    <n v="0"/>
    <m/>
    <x v="1"/>
  </r>
  <r>
    <n v="5137190"/>
    <x v="0"/>
    <s v="Y"/>
    <s v="N"/>
    <n v="0"/>
    <x v="45"/>
    <x v="0"/>
    <x v="1"/>
    <x v="1"/>
    <x v="0"/>
    <d v="1966-06-08T00:00:00"/>
    <n v="-21382"/>
    <x v="2677"/>
    <x v="2"/>
    <n v="365243"/>
    <n v="0"/>
    <x v="0"/>
    <n v="1"/>
    <n v="0"/>
    <n v="0"/>
    <n v="0"/>
    <m/>
    <x v="1"/>
  </r>
  <r>
    <n v="5137198"/>
    <x v="1"/>
    <s v="Y"/>
    <s v="N"/>
    <n v="0"/>
    <x v="30"/>
    <x v="2"/>
    <x v="1"/>
    <x v="1"/>
    <x v="0"/>
    <d v="1982-05-12T00:00:00"/>
    <n v="-15565"/>
    <x v="2678"/>
    <x v="1"/>
    <n v="-4004"/>
    <n v="10.962354551676933"/>
    <x v="1"/>
    <n v="1"/>
    <n v="1"/>
    <n v="1"/>
    <n v="0"/>
    <m/>
    <x v="1"/>
  </r>
  <r>
    <n v="5137204"/>
    <x v="1"/>
    <s v="N"/>
    <s v="N"/>
    <n v="0"/>
    <x v="30"/>
    <x v="2"/>
    <x v="1"/>
    <x v="2"/>
    <x v="2"/>
    <d v="1997-11-14T00:00:00"/>
    <n v="-9900"/>
    <x v="2679"/>
    <x v="4"/>
    <n v="-170"/>
    <n v="0.4654346338124572"/>
    <x v="1"/>
    <n v="1"/>
    <n v="1"/>
    <n v="0"/>
    <n v="0"/>
    <s v="Drivers"/>
    <x v="0"/>
  </r>
  <r>
    <n v="5137226"/>
    <x v="0"/>
    <s v="N"/>
    <s v="N"/>
    <n v="0"/>
    <x v="16"/>
    <x v="2"/>
    <x v="0"/>
    <x v="1"/>
    <x v="0"/>
    <d v="1995-03-22T00:00:00"/>
    <n v="-10868"/>
    <x v="2680"/>
    <x v="4"/>
    <n v="-1266"/>
    <n v="3.4661190965092401"/>
    <x v="1"/>
    <n v="1"/>
    <n v="1"/>
    <n v="1"/>
    <n v="1"/>
    <s v="Accountants"/>
    <x v="1"/>
  </r>
  <r>
    <n v="5137228"/>
    <x v="0"/>
    <s v="N"/>
    <s v="N"/>
    <n v="0"/>
    <x v="16"/>
    <x v="2"/>
    <x v="0"/>
    <x v="1"/>
    <x v="0"/>
    <d v="1995-03-22T00:00:00"/>
    <n v="-10868"/>
    <x v="2680"/>
    <x v="4"/>
    <n v="-1266"/>
    <n v="3.4661190965092401"/>
    <x v="1"/>
    <n v="1"/>
    <n v="1"/>
    <n v="1"/>
    <n v="1"/>
    <s v="Accountants"/>
    <x v="1"/>
  </r>
  <r>
    <n v="5137234"/>
    <x v="1"/>
    <s v="Y"/>
    <s v="N"/>
    <n v="0"/>
    <x v="16"/>
    <x v="1"/>
    <x v="1"/>
    <x v="1"/>
    <x v="4"/>
    <d v="1986-06-01T00:00:00"/>
    <n v="-14084"/>
    <x v="2681"/>
    <x v="3"/>
    <n v="-2696"/>
    <n v="7.3812457221081447"/>
    <x v="1"/>
    <n v="1"/>
    <n v="1"/>
    <n v="0"/>
    <n v="0"/>
    <s v="Drivers"/>
    <x v="1"/>
  </r>
  <r>
    <n v="5137236"/>
    <x v="0"/>
    <s v="N"/>
    <s v="N"/>
    <n v="1"/>
    <x v="8"/>
    <x v="2"/>
    <x v="0"/>
    <x v="1"/>
    <x v="0"/>
    <d v="1996-03-16T00:00:00"/>
    <n v="-10508"/>
    <x v="2682"/>
    <x v="4"/>
    <n v="-1631"/>
    <n v="4.4654346338124569"/>
    <x v="1"/>
    <n v="1"/>
    <n v="0"/>
    <n v="0"/>
    <n v="0"/>
    <s v="Core staff"/>
    <x v="3"/>
  </r>
  <r>
    <n v="5137249"/>
    <x v="1"/>
    <s v="Y"/>
    <s v="N"/>
    <n v="0"/>
    <x v="1"/>
    <x v="2"/>
    <x v="1"/>
    <x v="2"/>
    <x v="0"/>
    <d v="1974-03-31T00:00:00"/>
    <n v="-18529"/>
    <x v="2683"/>
    <x v="2"/>
    <n v="-1204"/>
    <n v="3.2963723477070501"/>
    <x v="1"/>
    <n v="1"/>
    <n v="0"/>
    <n v="0"/>
    <n v="0"/>
    <s v="Drivers"/>
    <x v="0"/>
  </r>
  <r>
    <n v="5137253"/>
    <x v="1"/>
    <s v="Y"/>
    <s v="N"/>
    <n v="0"/>
    <x v="1"/>
    <x v="2"/>
    <x v="1"/>
    <x v="2"/>
    <x v="0"/>
    <d v="1974-03-31T00:00:00"/>
    <n v="-18529"/>
    <x v="2683"/>
    <x v="2"/>
    <n v="-1204"/>
    <n v="3.2963723477070501"/>
    <x v="1"/>
    <n v="1"/>
    <n v="0"/>
    <n v="0"/>
    <n v="0"/>
    <s v="Drivers"/>
    <x v="0"/>
  </r>
  <r>
    <n v="5137261"/>
    <x v="1"/>
    <s v="Y"/>
    <s v="N"/>
    <n v="0"/>
    <x v="6"/>
    <x v="1"/>
    <x v="2"/>
    <x v="2"/>
    <x v="0"/>
    <d v="1996-01-16T00:00:00"/>
    <n v="-10568"/>
    <x v="2684"/>
    <x v="4"/>
    <n v="-2026"/>
    <n v="5.546885694729637"/>
    <x v="1"/>
    <n v="1"/>
    <n v="1"/>
    <n v="0"/>
    <n v="0"/>
    <s v="Laborers"/>
    <x v="0"/>
  </r>
  <r>
    <n v="5137262"/>
    <x v="1"/>
    <s v="Y"/>
    <s v="N"/>
    <n v="0"/>
    <x v="6"/>
    <x v="1"/>
    <x v="2"/>
    <x v="2"/>
    <x v="0"/>
    <d v="1996-01-16T00:00:00"/>
    <n v="-10568"/>
    <x v="2684"/>
    <x v="4"/>
    <n v="-2026"/>
    <n v="5.546885694729637"/>
    <x v="1"/>
    <n v="1"/>
    <n v="1"/>
    <n v="0"/>
    <n v="0"/>
    <s v="Laborers"/>
    <x v="0"/>
  </r>
  <r>
    <n v="5137281"/>
    <x v="0"/>
    <s v="N"/>
    <s v="N"/>
    <n v="0"/>
    <x v="61"/>
    <x v="1"/>
    <x v="0"/>
    <x v="1"/>
    <x v="0"/>
    <d v="1987-06-28T00:00:00"/>
    <n v="-13692"/>
    <x v="2685"/>
    <x v="3"/>
    <n v="-200"/>
    <n v="0.54757015742642023"/>
    <x v="1"/>
    <n v="1"/>
    <n v="0"/>
    <n v="1"/>
    <n v="0"/>
    <s v="Managers"/>
    <x v="1"/>
  </r>
  <r>
    <n v="5137290"/>
    <x v="1"/>
    <s v="Y"/>
    <s v="N"/>
    <n v="1"/>
    <x v="8"/>
    <x v="2"/>
    <x v="1"/>
    <x v="1"/>
    <x v="0"/>
    <d v="1983-03-30T00:00:00"/>
    <n v="-15243"/>
    <x v="2686"/>
    <x v="1"/>
    <n v="-7260"/>
    <n v="19.876796714579054"/>
    <x v="1"/>
    <n v="1"/>
    <n v="1"/>
    <n v="1"/>
    <n v="0"/>
    <s v="High skill tech staff"/>
    <x v="3"/>
  </r>
  <r>
    <n v="5137297"/>
    <x v="1"/>
    <s v="Y"/>
    <s v="N"/>
    <n v="1"/>
    <x v="8"/>
    <x v="2"/>
    <x v="1"/>
    <x v="1"/>
    <x v="0"/>
    <d v="1983-03-30T00:00:00"/>
    <n v="-15243"/>
    <x v="2686"/>
    <x v="1"/>
    <n v="-7260"/>
    <n v="19.876796714579054"/>
    <x v="1"/>
    <n v="1"/>
    <n v="1"/>
    <n v="1"/>
    <n v="0"/>
    <s v="High skill tech staff"/>
    <x v="3"/>
  </r>
  <r>
    <n v="5137298"/>
    <x v="1"/>
    <s v="Y"/>
    <s v="N"/>
    <n v="1"/>
    <x v="8"/>
    <x v="2"/>
    <x v="1"/>
    <x v="1"/>
    <x v="0"/>
    <d v="1983-03-30T00:00:00"/>
    <n v="-15243"/>
    <x v="2686"/>
    <x v="1"/>
    <n v="-7260"/>
    <n v="19.876796714579054"/>
    <x v="1"/>
    <n v="1"/>
    <n v="1"/>
    <n v="1"/>
    <n v="0"/>
    <s v="High skill tech staff"/>
    <x v="3"/>
  </r>
  <r>
    <n v="5137300"/>
    <x v="1"/>
    <s v="Y"/>
    <s v="N"/>
    <n v="2"/>
    <x v="5"/>
    <x v="1"/>
    <x v="0"/>
    <x v="0"/>
    <x v="5"/>
    <d v="1987-12-23T00:00:00"/>
    <n v="-13514"/>
    <x v="2687"/>
    <x v="3"/>
    <n v="-1357"/>
    <n v="3.7152635181382614"/>
    <x v="1"/>
    <n v="1"/>
    <n v="0"/>
    <n v="1"/>
    <n v="0"/>
    <s v="Managers"/>
    <x v="3"/>
  </r>
  <r>
    <n v="5137305"/>
    <x v="1"/>
    <s v="Y"/>
    <s v="N"/>
    <n v="2"/>
    <x v="5"/>
    <x v="1"/>
    <x v="0"/>
    <x v="0"/>
    <x v="5"/>
    <d v="1987-12-23T00:00:00"/>
    <n v="-13514"/>
    <x v="2687"/>
    <x v="3"/>
    <n v="-1357"/>
    <n v="3.7152635181382614"/>
    <x v="1"/>
    <n v="1"/>
    <n v="0"/>
    <n v="1"/>
    <n v="0"/>
    <s v="Managers"/>
    <x v="3"/>
  </r>
  <r>
    <n v="5137309"/>
    <x v="1"/>
    <s v="Y"/>
    <s v="N"/>
    <n v="2"/>
    <x v="5"/>
    <x v="1"/>
    <x v="0"/>
    <x v="0"/>
    <x v="5"/>
    <d v="1987-12-23T00:00:00"/>
    <n v="-13514"/>
    <x v="2687"/>
    <x v="3"/>
    <n v="-1357"/>
    <n v="3.7152635181382614"/>
    <x v="1"/>
    <n v="1"/>
    <n v="0"/>
    <n v="1"/>
    <n v="0"/>
    <s v="Managers"/>
    <x v="3"/>
  </r>
  <r>
    <n v="5137317"/>
    <x v="0"/>
    <s v="N"/>
    <s v="N"/>
    <n v="1"/>
    <x v="1"/>
    <x v="3"/>
    <x v="0"/>
    <x v="1"/>
    <x v="0"/>
    <d v="1999-02-03T00:00:00"/>
    <n v="-9454"/>
    <x v="2688"/>
    <x v="4"/>
    <n v="-1022"/>
    <n v="2.7980835044490076"/>
    <x v="1"/>
    <n v="1"/>
    <n v="1"/>
    <n v="0"/>
    <n v="0"/>
    <s v="Managers"/>
    <x v="3"/>
  </r>
  <r>
    <n v="5137322"/>
    <x v="0"/>
    <s v="N"/>
    <s v="N"/>
    <n v="0"/>
    <x v="155"/>
    <x v="0"/>
    <x v="0"/>
    <x v="1"/>
    <x v="0"/>
    <d v="1963-02-25T00:00:00"/>
    <n v="-22581"/>
    <x v="548"/>
    <x v="0"/>
    <n v="365243"/>
    <n v="0"/>
    <x v="0"/>
    <n v="1"/>
    <n v="0"/>
    <n v="0"/>
    <n v="0"/>
    <m/>
    <x v="1"/>
  </r>
  <r>
    <n v="5137333"/>
    <x v="0"/>
    <s v="N"/>
    <s v="N"/>
    <n v="1"/>
    <x v="5"/>
    <x v="2"/>
    <x v="1"/>
    <x v="1"/>
    <x v="0"/>
    <d v="1997-05-11T00:00:00"/>
    <n v="-10087"/>
    <x v="2689"/>
    <x v="4"/>
    <n v="-2908"/>
    <n v="7.9616700889801502"/>
    <x v="1"/>
    <n v="1"/>
    <n v="1"/>
    <n v="1"/>
    <n v="0"/>
    <s v="Sales staff"/>
    <x v="3"/>
  </r>
  <r>
    <n v="5137373"/>
    <x v="1"/>
    <s v="Y"/>
    <s v="N"/>
    <n v="1"/>
    <x v="11"/>
    <x v="2"/>
    <x v="2"/>
    <x v="1"/>
    <x v="0"/>
    <d v="1992-10-26T00:00:00"/>
    <n v="-11745"/>
    <x v="2690"/>
    <x v="3"/>
    <n v="-231"/>
    <n v="0.63244353182751545"/>
    <x v="1"/>
    <n v="1"/>
    <n v="1"/>
    <n v="0"/>
    <n v="0"/>
    <s v="Drivers"/>
    <x v="3"/>
  </r>
  <r>
    <n v="5137376"/>
    <x v="1"/>
    <s v="Y"/>
    <s v="N"/>
    <n v="1"/>
    <x v="11"/>
    <x v="2"/>
    <x v="2"/>
    <x v="1"/>
    <x v="0"/>
    <d v="1992-10-26T00:00:00"/>
    <n v="-11745"/>
    <x v="2690"/>
    <x v="3"/>
    <n v="-231"/>
    <n v="0.63244353182751545"/>
    <x v="1"/>
    <n v="1"/>
    <n v="1"/>
    <n v="0"/>
    <n v="0"/>
    <s v="Drivers"/>
    <x v="3"/>
  </r>
  <r>
    <n v="5137394"/>
    <x v="1"/>
    <s v="N"/>
    <s v="N"/>
    <n v="1"/>
    <x v="16"/>
    <x v="1"/>
    <x v="3"/>
    <x v="1"/>
    <x v="0"/>
    <d v="1995-01-09T00:00:00"/>
    <n v="-10940"/>
    <x v="2691"/>
    <x v="4"/>
    <n v="-2483"/>
    <n v="6.7980835044490071"/>
    <x v="1"/>
    <n v="1"/>
    <n v="1"/>
    <n v="0"/>
    <n v="0"/>
    <s v="Laborers"/>
    <x v="3"/>
  </r>
  <r>
    <n v="5137405"/>
    <x v="0"/>
    <s v="N"/>
    <s v="N"/>
    <n v="0"/>
    <x v="5"/>
    <x v="2"/>
    <x v="0"/>
    <x v="0"/>
    <x v="0"/>
    <d v="1977-10-13T00:00:00"/>
    <n v="-17237"/>
    <x v="2692"/>
    <x v="1"/>
    <n v="-3000"/>
    <n v="8.2135523613963031"/>
    <x v="1"/>
    <n v="1"/>
    <n v="0"/>
    <n v="0"/>
    <n v="0"/>
    <s v="Medicine staff"/>
    <x v="0"/>
  </r>
  <r>
    <n v="5137408"/>
    <x v="0"/>
    <s v="Y"/>
    <s v="N"/>
    <n v="0"/>
    <x v="8"/>
    <x v="2"/>
    <x v="0"/>
    <x v="2"/>
    <x v="0"/>
    <d v="1969-09-02T00:00:00"/>
    <n v="-20200"/>
    <x v="1199"/>
    <x v="2"/>
    <n v="-1022"/>
    <n v="2.7980835044490076"/>
    <x v="1"/>
    <n v="1"/>
    <n v="1"/>
    <n v="1"/>
    <n v="0"/>
    <s v="Accountants"/>
    <x v="0"/>
  </r>
  <r>
    <n v="5137410"/>
    <x v="0"/>
    <s v="Y"/>
    <s v="N"/>
    <n v="0"/>
    <x v="8"/>
    <x v="2"/>
    <x v="0"/>
    <x v="2"/>
    <x v="0"/>
    <d v="1969-09-02T00:00:00"/>
    <n v="-20200"/>
    <x v="1199"/>
    <x v="2"/>
    <n v="-1022"/>
    <n v="2.7980835044490076"/>
    <x v="1"/>
    <n v="1"/>
    <n v="1"/>
    <n v="1"/>
    <n v="0"/>
    <s v="Accountants"/>
    <x v="0"/>
  </r>
  <r>
    <n v="5137416"/>
    <x v="0"/>
    <s v="N"/>
    <s v="N"/>
    <n v="0"/>
    <x v="55"/>
    <x v="0"/>
    <x v="1"/>
    <x v="2"/>
    <x v="0"/>
    <d v="1960-10-20T00:00:00"/>
    <n v="-23439"/>
    <x v="2693"/>
    <x v="0"/>
    <n v="365243"/>
    <n v="0"/>
    <x v="0"/>
    <n v="1"/>
    <n v="0"/>
    <n v="1"/>
    <n v="0"/>
    <m/>
    <x v="0"/>
  </r>
  <r>
    <n v="5137428"/>
    <x v="1"/>
    <s v="N"/>
    <s v="N"/>
    <n v="0"/>
    <x v="1"/>
    <x v="2"/>
    <x v="1"/>
    <x v="1"/>
    <x v="0"/>
    <d v="1984-03-31T00:00:00"/>
    <n v="-14876"/>
    <x v="2694"/>
    <x v="1"/>
    <n v="-2087"/>
    <n v="5.7138945927446958"/>
    <x v="1"/>
    <n v="1"/>
    <n v="0"/>
    <n v="0"/>
    <n v="0"/>
    <m/>
    <x v="1"/>
  </r>
  <r>
    <n v="5137430"/>
    <x v="1"/>
    <s v="N"/>
    <s v="N"/>
    <n v="0"/>
    <x v="1"/>
    <x v="2"/>
    <x v="1"/>
    <x v="1"/>
    <x v="0"/>
    <d v="1984-03-31T00:00:00"/>
    <n v="-14876"/>
    <x v="2694"/>
    <x v="1"/>
    <n v="-2087"/>
    <n v="5.7138945927446958"/>
    <x v="1"/>
    <n v="1"/>
    <n v="0"/>
    <n v="0"/>
    <n v="0"/>
    <m/>
    <x v="1"/>
  </r>
  <r>
    <n v="5137433"/>
    <x v="1"/>
    <s v="N"/>
    <s v="N"/>
    <n v="0"/>
    <x v="1"/>
    <x v="2"/>
    <x v="1"/>
    <x v="1"/>
    <x v="0"/>
    <d v="1984-03-31T00:00:00"/>
    <n v="-14876"/>
    <x v="2694"/>
    <x v="1"/>
    <n v="-2087"/>
    <n v="5.7138945927446958"/>
    <x v="1"/>
    <n v="1"/>
    <n v="0"/>
    <n v="0"/>
    <n v="0"/>
    <m/>
    <x v="1"/>
  </r>
  <r>
    <n v="5137440"/>
    <x v="1"/>
    <s v="N"/>
    <s v="N"/>
    <n v="0"/>
    <x v="8"/>
    <x v="2"/>
    <x v="1"/>
    <x v="1"/>
    <x v="0"/>
    <d v="1999-11-30T00:00:00"/>
    <n v="-9154"/>
    <x v="2695"/>
    <x v="4"/>
    <n v="-1051"/>
    <n v="2.8774811772758384"/>
    <x v="1"/>
    <n v="1"/>
    <n v="0"/>
    <n v="1"/>
    <n v="0"/>
    <s v="Laborers"/>
    <x v="1"/>
  </r>
  <r>
    <n v="5137445"/>
    <x v="0"/>
    <s v="N"/>
    <s v="N"/>
    <n v="0"/>
    <x v="12"/>
    <x v="2"/>
    <x v="0"/>
    <x v="0"/>
    <x v="0"/>
    <d v="1987-06-12T00:00:00"/>
    <n v="-13708"/>
    <x v="2696"/>
    <x v="3"/>
    <n v="-1934"/>
    <n v="5.2950034223134841"/>
    <x v="1"/>
    <n v="1"/>
    <n v="0"/>
    <n v="0"/>
    <n v="0"/>
    <s v="Private service staff"/>
    <x v="0"/>
  </r>
  <r>
    <n v="5137455"/>
    <x v="1"/>
    <s v="N"/>
    <s v="N"/>
    <n v="0"/>
    <x v="1"/>
    <x v="0"/>
    <x v="1"/>
    <x v="1"/>
    <x v="0"/>
    <d v="1973-12-21T00:00:00"/>
    <n v="-18629"/>
    <x v="2697"/>
    <x v="2"/>
    <n v="365243"/>
    <n v="0"/>
    <x v="0"/>
    <n v="1"/>
    <n v="0"/>
    <n v="0"/>
    <n v="0"/>
    <m/>
    <x v="1"/>
  </r>
  <r>
    <n v="5137459"/>
    <x v="0"/>
    <s v="N"/>
    <s v="N"/>
    <n v="0"/>
    <x v="16"/>
    <x v="2"/>
    <x v="0"/>
    <x v="1"/>
    <x v="0"/>
    <d v="1976-03-10T00:00:00"/>
    <n v="-17819"/>
    <x v="2698"/>
    <x v="1"/>
    <n v="-2452"/>
    <n v="6.7132101300479121"/>
    <x v="1"/>
    <n v="1"/>
    <n v="1"/>
    <n v="0"/>
    <n v="0"/>
    <s v="Managers"/>
    <x v="1"/>
  </r>
  <r>
    <n v="5137461"/>
    <x v="0"/>
    <s v="N"/>
    <s v="N"/>
    <n v="0"/>
    <x v="16"/>
    <x v="2"/>
    <x v="0"/>
    <x v="1"/>
    <x v="0"/>
    <d v="1976-03-10T00:00:00"/>
    <n v="-17819"/>
    <x v="2698"/>
    <x v="1"/>
    <n v="-2452"/>
    <n v="6.7132101300479121"/>
    <x v="1"/>
    <n v="1"/>
    <n v="1"/>
    <n v="0"/>
    <n v="0"/>
    <s v="Managers"/>
    <x v="1"/>
  </r>
  <r>
    <n v="5137464"/>
    <x v="0"/>
    <s v="N"/>
    <s v="N"/>
    <n v="0"/>
    <x v="1"/>
    <x v="2"/>
    <x v="1"/>
    <x v="1"/>
    <x v="0"/>
    <d v="1982-07-17T00:00:00"/>
    <n v="-15499"/>
    <x v="2699"/>
    <x v="1"/>
    <n v="-869"/>
    <n v="2.3791923340177958"/>
    <x v="1"/>
    <n v="1"/>
    <n v="0"/>
    <n v="0"/>
    <n v="0"/>
    <s v="Private service staff"/>
    <x v="1"/>
  </r>
  <r>
    <n v="5137465"/>
    <x v="0"/>
    <s v="N"/>
    <s v="N"/>
    <n v="0"/>
    <x v="1"/>
    <x v="2"/>
    <x v="1"/>
    <x v="1"/>
    <x v="0"/>
    <d v="1982-07-17T00:00:00"/>
    <n v="-15499"/>
    <x v="2699"/>
    <x v="1"/>
    <n v="-869"/>
    <n v="2.3791923340177958"/>
    <x v="1"/>
    <n v="1"/>
    <n v="0"/>
    <n v="0"/>
    <n v="0"/>
    <s v="Private service staff"/>
    <x v="1"/>
  </r>
  <r>
    <n v="5137467"/>
    <x v="0"/>
    <s v="N"/>
    <s v="N"/>
    <n v="0"/>
    <x v="1"/>
    <x v="2"/>
    <x v="1"/>
    <x v="1"/>
    <x v="0"/>
    <d v="1982-07-17T00:00:00"/>
    <n v="-15499"/>
    <x v="2699"/>
    <x v="1"/>
    <n v="-869"/>
    <n v="2.3791923340177958"/>
    <x v="1"/>
    <n v="1"/>
    <n v="0"/>
    <n v="0"/>
    <n v="0"/>
    <s v="Private service staff"/>
    <x v="1"/>
  </r>
  <r>
    <n v="5137509"/>
    <x v="1"/>
    <s v="Y"/>
    <s v="N"/>
    <n v="1"/>
    <x v="8"/>
    <x v="1"/>
    <x v="0"/>
    <x v="1"/>
    <x v="2"/>
    <d v="1990-08-26T00:00:00"/>
    <n v="-12537"/>
    <x v="2700"/>
    <x v="3"/>
    <n v="-3760"/>
    <n v="10.294318959616701"/>
    <x v="1"/>
    <n v="1"/>
    <n v="1"/>
    <n v="0"/>
    <n v="0"/>
    <s v="High skill tech staff"/>
    <x v="3"/>
  </r>
  <r>
    <n v="5137517"/>
    <x v="0"/>
    <s v="Y"/>
    <s v="N"/>
    <n v="1"/>
    <x v="37"/>
    <x v="1"/>
    <x v="1"/>
    <x v="1"/>
    <x v="0"/>
    <d v="1994-06-09T00:00:00"/>
    <n v="-11154"/>
    <x v="646"/>
    <x v="3"/>
    <n v="-231"/>
    <n v="0.63244353182751545"/>
    <x v="1"/>
    <n v="1"/>
    <n v="1"/>
    <n v="1"/>
    <n v="0"/>
    <m/>
    <x v="3"/>
  </r>
  <r>
    <n v="5137521"/>
    <x v="0"/>
    <s v="Y"/>
    <s v="N"/>
    <n v="0"/>
    <x v="3"/>
    <x v="2"/>
    <x v="1"/>
    <x v="0"/>
    <x v="0"/>
    <d v="1968-03-01T00:00:00"/>
    <n v="-20750"/>
    <x v="2701"/>
    <x v="2"/>
    <n v="-443"/>
    <n v="1.2128678986995209"/>
    <x v="1"/>
    <n v="1"/>
    <n v="1"/>
    <n v="0"/>
    <n v="0"/>
    <s v="Accountants"/>
    <x v="0"/>
  </r>
  <r>
    <n v="5137524"/>
    <x v="1"/>
    <s v="N"/>
    <s v="N"/>
    <n v="0"/>
    <x v="1"/>
    <x v="2"/>
    <x v="1"/>
    <x v="1"/>
    <x v="0"/>
    <d v="1984-04-22T00:00:00"/>
    <n v="-14854"/>
    <x v="888"/>
    <x v="1"/>
    <n v="-3518"/>
    <n v="9.631759069130732"/>
    <x v="1"/>
    <n v="1"/>
    <n v="1"/>
    <n v="0"/>
    <n v="0"/>
    <s v="Drivers"/>
    <x v="1"/>
  </r>
  <r>
    <n v="5137528"/>
    <x v="1"/>
    <s v="N"/>
    <s v="N"/>
    <n v="0"/>
    <x v="1"/>
    <x v="2"/>
    <x v="1"/>
    <x v="1"/>
    <x v="0"/>
    <d v="1984-04-22T00:00:00"/>
    <n v="-14854"/>
    <x v="888"/>
    <x v="1"/>
    <n v="-3518"/>
    <n v="9.631759069130732"/>
    <x v="1"/>
    <n v="1"/>
    <n v="1"/>
    <n v="0"/>
    <n v="0"/>
    <s v="Drivers"/>
    <x v="1"/>
  </r>
  <r>
    <n v="5139310"/>
    <x v="1"/>
    <s v="Y"/>
    <s v="Y"/>
    <n v="0"/>
    <x v="16"/>
    <x v="3"/>
    <x v="0"/>
    <x v="1"/>
    <x v="0"/>
    <d v="1997-05-07T00:00:00"/>
    <n v="-10091"/>
    <x v="222"/>
    <x v="4"/>
    <n v="-643"/>
    <n v="1.7604380561259412"/>
    <x v="1"/>
    <n v="1"/>
    <n v="0"/>
    <n v="0"/>
    <n v="0"/>
    <s v="High skill tech staff"/>
    <x v="1"/>
  </r>
  <r>
    <n v="5139314"/>
    <x v="1"/>
    <s v="Y"/>
    <s v="Y"/>
    <n v="0"/>
    <x v="16"/>
    <x v="3"/>
    <x v="0"/>
    <x v="1"/>
    <x v="0"/>
    <d v="1997-05-07T00:00:00"/>
    <n v="-10091"/>
    <x v="222"/>
    <x v="4"/>
    <n v="-643"/>
    <n v="1.7604380561259412"/>
    <x v="1"/>
    <n v="1"/>
    <n v="0"/>
    <n v="0"/>
    <n v="0"/>
    <s v="High skill tech staff"/>
    <x v="1"/>
  </r>
  <r>
    <n v="5139355"/>
    <x v="0"/>
    <s v="Y"/>
    <s v="Y"/>
    <n v="0"/>
    <x v="11"/>
    <x v="2"/>
    <x v="1"/>
    <x v="1"/>
    <x v="0"/>
    <d v="1973-08-28T00:00:00"/>
    <n v="-18744"/>
    <x v="702"/>
    <x v="2"/>
    <n v="-2988"/>
    <n v="8.1806981519507183"/>
    <x v="1"/>
    <n v="1"/>
    <n v="0"/>
    <n v="0"/>
    <n v="0"/>
    <s v="Private service staff"/>
    <x v="1"/>
  </r>
  <r>
    <n v="5139381"/>
    <x v="0"/>
    <s v="N"/>
    <s v="Y"/>
    <n v="1"/>
    <x v="32"/>
    <x v="2"/>
    <x v="1"/>
    <x v="3"/>
    <x v="5"/>
    <d v="1996-11-01T00:00:00"/>
    <n v="-10278"/>
    <x v="2702"/>
    <x v="4"/>
    <n v="-1619"/>
    <n v="4.4325804243668721"/>
    <x v="1"/>
    <n v="1"/>
    <n v="0"/>
    <n v="0"/>
    <n v="0"/>
    <m/>
    <x v="3"/>
  </r>
  <r>
    <n v="5139406"/>
    <x v="0"/>
    <s v="Y"/>
    <s v="Y"/>
    <n v="2"/>
    <x v="1"/>
    <x v="3"/>
    <x v="1"/>
    <x v="1"/>
    <x v="0"/>
    <d v="1985-06-11T00:00:00"/>
    <n v="-14439"/>
    <x v="2703"/>
    <x v="3"/>
    <n v="-6094"/>
    <n v="16.684462696783026"/>
    <x v="1"/>
    <n v="1"/>
    <n v="1"/>
    <n v="0"/>
    <n v="0"/>
    <s v="Core staff"/>
    <x v="2"/>
  </r>
  <r>
    <n v="5139442"/>
    <x v="0"/>
    <s v="Y"/>
    <s v="N"/>
    <n v="5"/>
    <x v="2"/>
    <x v="2"/>
    <x v="1"/>
    <x v="1"/>
    <x v="0"/>
    <d v="1991-11-04T00:00:00"/>
    <n v="-12102"/>
    <x v="2704"/>
    <x v="3"/>
    <n v="-1346"/>
    <n v="3.6851471594798082"/>
    <x v="1"/>
    <n v="1"/>
    <n v="1"/>
    <n v="0"/>
    <n v="0"/>
    <m/>
    <x v="6"/>
  </r>
  <r>
    <n v="5139456"/>
    <x v="0"/>
    <s v="N"/>
    <s v="Y"/>
    <n v="0"/>
    <x v="16"/>
    <x v="0"/>
    <x v="1"/>
    <x v="1"/>
    <x v="0"/>
    <d v="1961-04-08T00:00:00"/>
    <n v="-23269"/>
    <x v="2705"/>
    <x v="0"/>
    <n v="365243"/>
    <n v="0"/>
    <x v="0"/>
    <n v="1"/>
    <n v="0"/>
    <n v="1"/>
    <n v="0"/>
    <m/>
    <x v="1"/>
  </r>
  <r>
    <n v="5139488"/>
    <x v="0"/>
    <s v="N"/>
    <s v="Y"/>
    <n v="0"/>
    <x v="8"/>
    <x v="2"/>
    <x v="1"/>
    <x v="1"/>
    <x v="2"/>
    <d v="1980-11-13T00:00:00"/>
    <n v="-16110"/>
    <x v="2706"/>
    <x v="1"/>
    <n v="-401"/>
    <n v="1.0978781656399725"/>
    <x v="1"/>
    <n v="1"/>
    <n v="0"/>
    <n v="0"/>
    <n v="0"/>
    <s v="Cooking staff"/>
    <x v="1"/>
  </r>
  <r>
    <n v="5139504"/>
    <x v="0"/>
    <s v="N"/>
    <s v="Y"/>
    <n v="0"/>
    <x v="18"/>
    <x v="1"/>
    <x v="0"/>
    <x v="2"/>
    <x v="0"/>
    <d v="1986-08-14T00:00:00"/>
    <n v="-14010"/>
    <x v="2407"/>
    <x v="3"/>
    <n v="-3050"/>
    <n v="8.3504449007529082"/>
    <x v="1"/>
    <n v="1"/>
    <n v="0"/>
    <n v="1"/>
    <n v="1"/>
    <s v="Private service staff"/>
    <x v="0"/>
  </r>
  <r>
    <n v="5139528"/>
    <x v="1"/>
    <s v="N"/>
    <s v="Y"/>
    <n v="0"/>
    <x v="1"/>
    <x v="2"/>
    <x v="0"/>
    <x v="1"/>
    <x v="2"/>
    <d v="1984-08-20T00:00:00"/>
    <n v="-14734"/>
    <x v="2707"/>
    <x v="1"/>
    <n v="-3172"/>
    <n v="8.6844626967830258"/>
    <x v="1"/>
    <n v="1"/>
    <n v="1"/>
    <n v="1"/>
    <n v="0"/>
    <m/>
    <x v="1"/>
  </r>
  <r>
    <n v="5139551"/>
    <x v="0"/>
    <s v="Y"/>
    <s v="Y"/>
    <n v="2"/>
    <x v="5"/>
    <x v="1"/>
    <x v="0"/>
    <x v="1"/>
    <x v="0"/>
    <d v="1987-10-14T00:00:00"/>
    <n v="-13584"/>
    <x v="2708"/>
    <x v="3"/>
    <n v="-6337"/>
    <n v="17.349760438056126"/>
    <x v="1"/>
    <n v="1"/>
    <n v="0"/>
    <n v="1"/>
    <n v="0"/>
    <s v="Medicine staff"/>
    <x v="2"/>
  </r>
  <r>
    <n v="5139553"/>
    <x v="0"/>
    <s v="Y"/>
    <s v="Y"/>
    <n v="2"/>
    <x v="5"/>
    <x v="1"/>
    <x v="0"/>
    <x v="1"/>
    <x v="0"/>
    <d v="1987-10-14T00:00:00"/>
    <n v="-13584"/>
    <x v="2708"/>
    <x v="3"/>
    <n v="-6337"/>
    <n v="17.349760438056126"/>
    <x v="1"/>
    <n v="1"/>
    <n v="0"/>
    <n v="1"/>
    <n v="0"/>
    <s v="Medicine staff"/>
    <x v="2"/>
  </r>
  <r>
    <n v="5139572"/>
    <x v="0"/>
    <s v="Y"/>
    <s v="Y"/>
    <n v="2"/>
    <x v="8"/>
    <x v="3"/>
    <x v="2"/>
    <x v="1"/>
    <x v="0"/>
    <d v="1984-11-09T00:00:00"/>
    <n v="-14653"/>
    <x v="2709"/>
    <x v="1"/>
    <n v="-8071"/>
    <n v="22.097193702943191"/>
    <x v="1"/>
    <n v="1"/>
    <n v="0"/>
    <n v="0"/>
    <n v="0"/>
    <m/>
    <x v="2"/>
  </r>
  <r>
    <n v="5139578"/>
    <x v="0"/>
    <s v="N"/>
    <s v="Y"/>
    <n v="0"/>
    <x v="16"/>
    <x v="0"/>
    <x v="1"/>
    <x v="4"/>
    <x v="0"/>
    <d v="1960-11-07T00:00:00"/>
    <n v="-23421"/>
    <x v="2710"/>
    <x v="0"/>
    <n v="365243"/>
    <n v="0"/>
    <x v="0"/>
    <n v="1"/>
    <n v="0"/>
    <n v="0"/>
    <n v="0"/>
    <m/>
    <x v="0"/>
  </r>
  <r>
    <n v="5139608"/>
    <x v="1"/>
    <s v="N"/>
    <s v="Y"/>
    <n v="3"/>
    <x v="11"/>
    <x v="2"/>
    <x v="1"/>
    <x v="1"/>
    <x v="0"/>
    <d v="1987-06-18T00:00:00"/>
    <n v="-13702"/>
    <x v="2711"/>
    <x v="3"/>
    <n v="-3565"/>
    <n v="9.7604380561259418"/>
    <x v="1"/>
    <n v="1"/>
    <n v="1"/>
    <n v="1"/>
    <n v="0"/>
    <s v="Laborers"/>
    <x v="4"/>
  </r>
  <r>
    <n v="5139649"/>
    <x v="0"/>
    <s v="N"/>
    <s v="Y"/>
    <n v="0"/>
    <x v="43"/>
    <x v="1"/>
    <x v="1"/>
    <x v="1"/>
    <x v="3"/>
    <d v="1992-01-28T00:00:00"/>
    <n v="-12017"/>
    <x v="2712"/>
    <x v="3"/>
    <n v="-1711"/>
    <n v="4.684462696783025"/>
    <x v="1"/>
    <n v="1"/>
    <n v="0"/>
    <n v="1"/>
    <n v="0"/>
    <s v="Sales staff"/>
    <x v="1"/>
  </r>
  <r>
    <n v="5139652"/>
    <x v="0"/>
    <s v="N"/>
    <s v="Y"/>
    <n v="0"/>
    <x v="43"/>
    <x v="1"/>
    <x v="1"/>
    <x v="1"/>
    <x v="3"/>
    <d v="1992-01-28T00:00:00"/>
    <n v="-12017"/>
    <x v="2712"/>
    <x v="3"/>
    <n v="-1711"/>
    <n v="4.684462696783025"/>
    <x v="1"/>
    <n v="1"/>
    <n v="0"/>
    <n v="1"/>
    <n v="0"/>
    <s v="Sales staff"/>
    <x v="1"/>
  </r>
  <r>
    <n v="5139671"/>
    <x v="0"/>
    <s v="Y"/>
    <s v="N"/>
    <n v="0"/>
    <x v="11"/>
    <x v="0"/>
    <x v="1"/>
    <x v="1"/>
    <x v="0"/>
    <d v="1965-07-05T00:00:00"/>
    <n v="-21720"/>
    <x v="714"/>
    <x v="2"/>
    <n v="365243"/>
    <n v="0"/>
    <x v="0"/>
    <n v="1"/>
    <n v="0"/>
    <n v="0"/>
    <n v="0"/>
    <m/>
    <x v="1"/>
  </r>
  <r>
    <n v="5139678"/>
    <x v="0"/>
    <s v="N"/>
    <s v="Y"/>
    <n v="0"/>
    <x v="35"/>
    <x v="1"/>
    <x v="0"/>
    <x v="2"/>
    <x v="0"/>
    <d v="1996-11-27T00:00:00"/>
    <n v="-10252"/>
    <x v="2713"/>
    <x v="4"/>
    <n v="-1374"/>
    <n v="3.761806981519507"/>
    <x v="1"/>
    <n v="1"/>
    <n v="1"/>
    <n v="1"/>
    <n v="0"/>
    <s v="Sales staff"/>
    <x v="0"/>
  </r>
  <r>
    <n v="5139694"/>
    <x v="0"/>
    <s v="Y"/>
    <s v="Y"/>
    <n v="0"/>
    <x v="39"/>
    <x v="2"/>
    <x v="1"/>
    <x v="1"/>
    <x v="0"/>
    <d v="1981-05-23T00:00:00"/>
    <n v="-15919"/>
    <x v="721"/>
    <x v="1"/>
    <n v="-2104"/>
    <n v="5.760438056125941"/>
    <x v="1"/>
    <n v="1"/>
    <n v="0"/>
    <n v="1"/>
    <n v="0"/>
    <m/>
    <x v="1"/>
  </r>
  <r>
    <n v="5139717"/>
    <x v="0"/>
    <s v="N"/>
    <s v="Y"/>
    <n v="0"/>
    <x v="11"/>
    <x v="0"/>
    <x v="1"/>
    <x v="1"/>
    <x v="0"/>
    <d v="1961-03-04T00:00:00"/>
    <n v="-23304"/>
    <x v="2714"/>
    <x v="0"/>
    <n v="365243"/>
    <n v="0"/>
    <x v="0"/>
    <n v="1"/>
    <n v="0"/>
    <n v="0"/>
    <n v="0"/>
    <m/>
    <x v="1"/>
  </r>
  <r>
    <n v="5139721"/>
    <x v="0"/>
    <s v="Y"/>
    <s v="Y"/>
    <n v="1"/>
    <x v="30"/>
    <x v="1"/>
    <x v="1"/>
    <x v="1"/>
    <x v="0"/>
    <d v="1984-07-15T00:00:00"/>
    <n v="-14770"/>
    <x v="2715"/>
    <x v="1"/>
    <n v="-219"/>
    <n v="0.59958932238193019"/>
    <x v="1"/>
    <n v="1"/>
    <n v="1"/>
    <n v="0"/>
    <n v="0"/>
    <m/>
    <x v="3"/>
  </r>
  <r>
    <n v="5139748"/>
    <x v="1"/>
    <s v="N"/>
    <s v="Y"/>
    <n v="0"/>
    <x v="11"/>
    <x v="2"/>
    <x v="0"/>
    <x v="1"/>
    <x v="2"/>
    <d v="1998-06-30T00:00:00"/>
    <n v="-9672"/>
    <x v="2716"/>
    <x v="4"/>
    <n v="-2654"/>
    <n v="7.2662559890485969"/>
    <x v="1"/>
    <n v="1"/>
    <n v="0"/>
    <n v="1"/>
    <n v="1"/>
    <m/>
    <x v="1"/>
  </r>
  <r>
    <n v="5139749"/>
    <x v="1"/>
    <s v="N"/>
    <s v="Y"/>
    <n v="0"/>
    <x v="11"/>
    <x v="2"/>
    <x v="0"/>
    <x v="1"/>
    <x v="2"/>
    <d v="1998-06-30T00:00:00"/>
    <n v="-9672"/>
    <x v="2716"/>
    <x v="4"/>
    <n v="-2654"/>
    <n v="7.2662559890485969"/>
    <x v="1"/>
    <n v="1"/>
    <n v="0"/>
    <n v="1"/>
    <n v="1"/>
    <m/>
    <x v="1"/>
  </r>
  <r>
    <n v="5139758"/>
    <x v="1"/>
    <s v="Y"/>
    <s v="Y"/>
    <n v="0"/>
    <x v="21"/>
    <x v="2"/>
    <x v="0"/>
    <x v="1"/>
    <x v="0"/>
    <d v="1960-01-22T00:00:00"/>
    <n v="-23711"/>
    <x v="2717"/>
    <x v="0"/>
    <n v="-7494"/>
    <n v="20.517453798767967"/>
    <x v="1"/>
    <n v="1"/>
    <n v="0"/>
    <n v="0"/>
    <n v="0"/>
    <s v="Laborers"/>
    <x v="1"/>
  </r>
  <r>
    <n v="5139813"/>
    <x v="1"/>
    <s v="N"/>
    <s v="Y"/>
    <n v="0"/>
    <x v="68"/>
    <x v="2"/>
    <x v="1"/>
    <x v="1"/>
    <x v="0"/>
    <d v="1981-03-06T00:00:00"/>
    <n v="-15997"/>
    <x v="2718"/>
    <x v="1"/>
    <n v="-7341"/>
    <n v="20.098562628336754"/>
    <x v="1"/>
    <n v="1"/>
    <n v="1"/>
    <n v="1"/>
    <n v="0"/>
    <s v="Laborers"/>
    <x v="1"/>
  </r>
  <r>
    <n v="5139884"/>
    <x v="0"/>
    <s v="N"/>
    <s v="Y"/>
    <n v="0"/>
    <x v="2"/>
    <x v="3"/>
    <x v="1"/>
    <x v="3"/>
    <x v="0"/>
    <d v="1974-05-15T00:00:00"/>
    <n v="-18484"/>
    <x v="2451"/>
    <x v="2"/>
    <n v="-6033"/>
    <n v="16.517453798767967"/>
    <x v="1"/>
    <n v="1"/>
    <n v="0"/>
    <n v="1"/>
    <n v="0"/>
    <s v="Medicine staff"/>
    <x v="1"/>
  </r>
  <r>
    <n v="5139933"/>
    <x v="1"/>
    <s v="Y"/>
    <s v="Y"/>
    <n v="1"/>
    <x v="50"/>
    <x v="2"/>
    <x v="2"/>
    <x v="1"/>
    <x v="0"/>
    <d v="1983-02-14T00:00:00"/>
    <n v="-15287"/>
    <x v="722"/>
    <x v="1"/>
    <n v="-2501"/>
    <n v="6.8473648186173852"/>
    <x v="1"/>
    <n v="1"/>
    <n v="0"/>
    <n v="1"/>
    <n v="0"/>
    <m/>
    <x v="3"/>
  </r>
  <r>
    <n v="5139952"/>
    <x v="1"/>
    <s v="Y"/>
    <s v="Y"/>
    <n v="0"/>
    <x v="1"/>
    <x v="2"/>
    <x v="0"/>
    <x v="1"/>
    <x v="0"/>
    <d v="1992-10-25T00:00:00"/>
    <n v="-11746"/>
    <x v="2719"/>
    <x v="3"/>
    <n v="-401"/>
    <n v="1.0978781656399725"/>
    <x v="1"/>
    <n v="1"/>
    <n v="1"/>
    <n v="1"/>
    <n v="0"/>
    <s v="Managers"/>
    <x v="1"/>
  </r>
  <r>
    <n v="5139955"/>
    <x v="1"/>
    <s v="Y"/>
    <s v="Y"/>
    <n v="0"/>
    <x v="1"/>
    <x v="2"/>
    <x v="0"/>
    <x v="1"/>
    <x v="0"/>
    <d v="1992-10-25T00:00:00"/>
    <n v="-11746"/>
    <x v="2719"/>
    <x v="3"/>
    <n v="-401"/>
    <n v="1.0978781656399725"/>
    <x v="1"/>
    <n v="1"/>
    <n v="1"/>
    <n v="1"/>
    <n v="0"/>
    <s v="Managers"/>
    <x v="1"/>
  </r>
  <r>
    <n v="5140066"/>
    <x v="0"/>
    <s v="N"/>
    <s v="Y"/>
    <n v="0"/>
    <x v="42"/>
    <x v="1"/>
    <x v="0"/>
    <x v="1"/>
    <x v="0"/>
    <d v="1979-10-18T00:00:00"/>
    <n v="-16502"/>
    <x v="2720"/>
    <x v="1"/>
    <n v="-1040"/>
    <n v="2.8473648186173852"/>
    <x v="1"/>
    <n v="1"/>
    <n v="0"/>
    <n v="0"/>
    <n v="0"/>
    <m/>
    <x v="1"/>
  </r>
  <r>
    <n v="5140067"/>
    <x v="0"/>
    <s v="N"/>
    <s v="Y"/>
    <n v="0"/>
    <x v="42"/>
    <x v="1"/>
    <x v="0"/>
    <x v="1"/>
    <x v="0"/>
    <d v="1979-10-18T00:00:00"/>
    <n v="-16502"/>
    <x v="2720"/>
    <x v="1"/>
    <n v="-1040"/>
    <n v="2.8473648186173852"/>
    <x v="1"/>
    <n v="1"/>
    <n v="0"/>
    <n v="0"/>
    <n v="0"/>
    <m/>
    <x v="1"/>
  </r>
  <r>
    <n v="5140074"/>
    <x v="0"/>
    <s v="N"/>
    <s v="Y"/>
    <n v="0"/>
    <x v="30"/>
    <x v="1"/>
    <x v="1"/>
    <x v="1"/>
    <x v="0"/>
    <d v="1983-07-27T00:00:00"/>
    <n v="-15124"/>
    <x v="2721"/>
    <x v="1"/>
    <n v="-431"/>
    <n v="1.1800136892539357"/>
    <x v="1"/>
    <n v="1"/>
    <n v="0"/>
    <n v="0"/>
    <n v="0"/>
    <s v="Core staff"/>
    <x v="1"/>
  </r>
  <r>
    <n v="5140076"/>
    <x v="0"/>
    <s v="N"/>
    <s v="Y"/>
    <n v="0"/>
    <x v="30"/>
    <x v="1"/>
    <x v="1"/>
    <x v="1"/>
    <x v="0"/>
    <d v="1983-07-27T00:00:00"/>
    <n v="-15124"/>
    <x v="2721"/>
    <x v="1"/>
    <n v="-431"/>
    <n v="1.1800136892539357"/>
    <x v="1"/>
    <n v="1"/>
    <n v="0"/>
    <n v="0"/>
    <n v="0"/>
    <s v="Core staff"/>
    <x v="1"/>
  </r>
  <r>
    <n v="5140102"/>
    <x v="0"/>
    <s v="N"/>
    <s v="N"/>
    <n v="0"/>
    <x v="1"/>
    <x v="3"/>
    <x v="1"/>
    <x v="2"/>
    <x v="0"/>
    <d v="1968-07-02T00:00:00"/>
    <n v="-20627"/>
    <x v="2722"/>
    <x v="2"/>
    <n v="-1285"/>
    <n v="3.5181382614647503"/>
    <x v="1"/>
    <n v="1"/>
    <n v="0"/>
    <n v="0"/>
    <n v="0"/>
    <s v="Core staff"/>
    <x v="0"/>
  </r>
  <r>
    <n v="5140105"/>
    <x v="0"/>
    <s v="N"/>
    <s v="N"/>
    <n v="0"/>
    <x v="1"/>
    <x v="3"/>
    <x v="1"/>
    <x v="2"/>
    <x v="0"/>
    <d v="1968-07-02T00:00:00"/>
    <n v="-20627"/>
    <x v="2722"/>
    <x v="2"/>
    <n v="-1285"/>
    <n v="3.5181382614647503"/>
    <x v="1"/>
    <n v="1"/>
    <n v="0"/>
    <n v="0"/>
    <n v="0"/>
    <s v="Core staff"/>
    <x v="0"/>
  </r>
  <r>
    <n v="5140107"/>
    <x v="1"/>
    <s v="Y"/>
    <s v="Y"/>
    <n v="0"/>
    <x v="14"/>
    <x v="2"/>
    <x v="1"/>
    <x v="1"/>
    <x v="0"/>
    <d v="1969-09-16T00:00:00"/>
    <n v="-20186"/>
    <x v="2723"/>
    <x v="2"/>
    <n v="-827"/>
    <n v="2.2642026009582477"/>
    <x v="1"/>
    <n v="1"/>
    <n v="0"/>
    <n v="0"/>
    <n v="0"/>
    <s v="Laborers"/>
    <x v="1"/>
  </r>
  <r>
    <n v="5140111"/>
    <x v="1"/>
    <s v="N"/>
    <s v="Y"/>
    <n v="0"/>
    <x v="76"/>
    <x v="1"/>
    <x v="2"/>
    <x v="2"/>
    <x v="0"/>
    <d v="2000-02-22T00:00:00"/>
    <n v="-9070"/>
    <x v="2724"/>
    <x v="4"/>
    <n v="-401"/>
    <n v="1.0978781656399725"/>
    <x v="1"/>
    <n v="1"/>
    <n v="0"/>
    <n v="0"/>
    <n v="0"/>
    <s v="Sales staff"/>
    <x v="0"/>
  </r>
  <r>
    <n v="5140124"/>
    <x v="0"/>
    <s v="Y"/>
    <s v="Y"/>
    <n v="0"/>
    <x v="3"/>
    <x v="2"/>
    <x v="1"/>
    <x v="2"/>
    <x v="0"/>
    <d v="1974-06-10T00:00:00"/>
    <n v="-18458"/>
    <x v="724"/>
    <x v="2"/>
    <n v="-2104"/>
    <n v="5.760438056125941"/>
    <x v="1"/>
    <n v="1"/>
    <n v="0"/>
    <n v="0"/>
    <n v="0"/>
    <s v="Core staff"/>
    <x v="0"/>
  </r>
  <r>
    <n v="5140127"/>
    <x v="0"/>
    <s v="Y"/>
    <s v="Y"/>
    <n v="0"/>
    <x v="3"/>
    <x v="2"/>
    <x v="1"/>
    <x v="2"/>
    <x v="0"/>
    <d v="1974-06-10T00:00:00"/>
    <n v="-18458"/>
    <x v="724"/>
    <x v="2"/>
    <n v="-2104"/>
    <n v="5.760438056125941"/>
    <x v="1"/>
    <n v="1"/>
    <n v="0"/>
    <n v="0"/>
    <n v="0"/>
    <s v="Core staff"/>
    <x v="0"/>
  </r>
  <r>
    <n v="5142086"/>
    <x v="0"/>
    <s v="Y"/>
    <s v="Y"/>
    <n v="0"/>
    <x v="2"/>
    <x v="1"/>
    <x v="1"/>
    <x v="1"/>
    <x v="0"/>
    <d v="1970-03-03T00:00:00"/>
    <n v="-20018"/>
    <x v="2725"/>
    <x v="2"/>
    <n v="-1732"/>
    <n v="4.7419575633127993"/>
    <x v="1"/>
    <n v="1"/>
    <n v="0"/>
    <n v="0"/>
    <n v="0"/>
    <s v="Laborers"/>
    <x v="1"/>
  </r>
  <r>
    <n v="5142092"/>
    <x v="1"/>
    <s v="N"/>
    <s v="N"/>
    <n v="0"/>
    <x v="12"/>
    <x v="2"/>
    <x v="1"/>
    <x v="1"/>
    <x v="0"/>
    <d v="1995-03-30T00:00:00"/>
    <n v="-10860"/>
    <x v="2726"/>
    <x v="4"/>
    <n v="-1001"/>
    <n v="2.7405886379192332"/>
    <x v="1"/>
    <n v="1"/>
    <n v="1"/>
    <n v="0"/>
    <n v="0"/>
    <s v="Security staff"/>
    <x v="1"/>
  </r>
  <r>
    <n v="5142096"/>
    <x v="1"/>
    <s v="N"/>
    <s v="N"/>
    <n v="0"/>
    <x v="12"/>
    <x v="2"/>
    <x v="1"/>
    <x v="1"/>
    <x v="0"/>
    <d v="1995-03-30T00:00:00"/>
    <n v="-10860"/>
    <x v="2726"/>
    <x v="4"/>
    <n v="-1001"/>
    <n v="2.7405886379192332"/>
    <x v="1"/>
    <n v="1"/>
    <n v="1"/>
    <n v="0"/>
    <n v="0"/>
    <s v="Security staff"/>
    <x v="1"/>
  </r>
  <r>
    <n v="5142098"/>
    <x v="0"/>
    <s v="N"/>
    <s v="Y"/>
    <n v="0"/>
    <x v="2"/>
    <x v="3"/>
    <x v="0"/>
    <x v="3"/>
    <x v="2"/>
    <d v="2000-07-01T00:00:00"/>
    <n v="-8940"/>
    <x v="2727"/>
    <x v="4"/>
    <n v="-544"/>
    <n v="1.4893908281998631"/>
    <x v="1"/>
    <n v="1"/>
    <n v="0"/>
    <n v="0"/>
    <n v="0"/>
    <m/>
    <x v="1"/>
  </r>
  <r>
    <n v="5142139"/>
    <x v="0"/>
    <s v="N"/>
    <s v="N"/>
    <n v="2"/>
    <x v="23"/>
    <x v="2"/>
    <x v="1"/>
    <x v="1"/>
    <x v="0"/>
    <d v="1978-06-06T00:00:00"/>
    <n v="-17001"/>
    <x v="2728"/>
    <x v="1"/>
    <n v="-5004"/>
    <n v="13.700205338809035"/>
    <x v="1"/>
    <n v="1"/>
    <n v="0"/>
    <n v="0"/>
    <n v="0"/>
    <s v="Medicine staff"/>
    <x v="2"/>
  </r>
  <r>
    <n v="5142153"/>
    <x v="1"/>
    <s v="Y"/>
    <s v="Y"/>
    <n v="0"/>
    <x v="42"/>
    <x v="2"/>
    <x v="1"/>
    <x v="2"/>
    <x v="0"/>
    <d v="1981-04-12T00:00:00"/>
    <n v="-15960"/>
    <x v="435"/>
    <x v="1"/>
    <n v="-3574"/>
    <n v="9.7850787132101296"/>
    <x v="1"/>
    <n v="1"/>
    <n v="0"/>
    <n v="0"/>
    <n v="0"/>
    <s v="High skill tech staff"/>
    <x v="0"/>
  </r>
  <r>
    <n v="5142166"/>
    <x v="1"/>
    <s v="N"/>
    <s v="Y"/>
    <n v="1"/>
    <x v="14"/>
    <x v="2"/>
    <x v="1"/>
    <x v="3"/>
    <x v="0"/>
    <d v="1993-06-04T00:00:00"/>
    <n v="-11524"/>
    <x v="301"/>
    <x v="3"/>
    <n v="-2554"/>
    <n v="6.9924709103353866"/>
    <x v="1"/>
    <n v="1"/>
    <n v="0"/>
    <n v="0"/>
    <n v="0"/>
    <s v="Sales staff"/>
    <x v="3"/>
  </r>
  <r>
    <n v="5142167"/>
    <x v="1"/>
    <s v="N"/>
    <s v="Y"/>
    <n v="0"/>
    <x v="12"/>
    <x v="2"/>
    <x v="1"/>
    <x v="1"/>
    <x v="0"/>
    <d v="1989-07-16T00:00:00"/>
    <n v="-12943"/>
    <x v="2729"/>
    <x v="3"/>
    <n v="-4029"/>
    <n v="11.030800821355236"/>
    <x v="1"/>
    <n v="1"/>
    <n v="0"/>
    <n v="0"/>
    <n v="0"/>
    <s v="Laborers"/>
    <x v="1"/>
  </r>
  <r>
    <n v="5142174"/>
    <x v="1"/>
    <s v="Y"/>
    <s v="Y"/>
    <n v="0"/>
    <x v="39"/>
    <x v="2"/>
    <x v="1"/>
    <x v="1"/>
    <x v="3"/>
    <d v="1994-08-17T00:00:00"/>
    <n v="-11085"/>
    <x v="2730"/>
    <x v="3"/>
    <n v="-2783"/>
    <n v="7.6194387405886381"/>
    <x v="1"/>
    <n v="1"/>
    <n v="1"/>
    <n v="0"/>
    <n v="0"/>
    <s v="Sales staff"/>
    <x v="1"/>
  </r>
  <r>
    <n v="5142175"/>
    <x v="1"/>
    <s v="Y"/>
    <s v="Y"/>
    <n v="0"/>
    <x v="39"/>
    <x v="2"/>
    <x v="1"/>
    <x v="1"/>
    <x v="3"/>
    <d v="1994-08-17T00:00:00"/>
    <n v="-11085"/>
    <x v="2730"/>
    <x v="3"/>
    <n v="-2783"/>
    <n v="7.6194387405886381"/>
    <x v="1"/>
    <n v="1"/>
    <n v="1"/>
    <n v="0"/>
    <n v="0"/>
    <s v="Sales staff"/>
    <x v="1"/>
  </r>
  <r>
    <n v="5142179"/>
    <x v="1"/>
    <s v="N"/>
    <s v="Y"/>
    <n v="2"/>
    <x v="21"/>
    <x v="1"/>
    <x v="1"/>
    <x v="1"/>
    <x v="0"/>
    <d v="1998-05-01T00:00:00"/>
    <n v="-9732"/>
    <x v="2731"/>
    <x v="4"/>
    <n v="-134"/>
    <n v="0.36687200547570159"/>
    <x v="1"/>
    <n v="1"/>
    <n v="0"/>
    <n v="0"/>
    <n v="0"/>
    <s v="Low-skill Laborers"/>
    <x v="2"/>
  </r>
  <r>
    <n v="5142185"/>
    <x v="1"/>
    <s v="Y"/>
    <s v="Y"/>
    <n v="2"/>
    <x v="42"/>
    <x v="1"/>
    <x v="0"/>
    <x v="1"/>
    <x v="0"/>
    <d v="1976-02-17T00:00:00"/>
    <n v="-17841"/>
    <x v="2732"/>
    <x v="1"/>
    <n v="-4305"/>
    <n v="11.786447638603697"/>
    <x v="1"/>
    <n v="1"/>
    <n v="1"/>
    <n v="1"/>
    <n v="0"/>
    <s v="Managers"/>
    <x v="2"/>
  </r>
  <r>
    <n v="5142213"/>
    <x v="1"/>
    <s v="Y"/>
    <s v="Y"/>
    <n v="0"/>
    <x v="11"/>
    <x v="1"/>
    <x v="1"/>
    <x v="1"/>
    <x v="0"/>
    <d v="1990-08-06T00:00:00"/>
    <n v="-12557"/>
    <x v="2733"/>
    <x v="3"/>
    <n v="-210"/>
    <n v="0.57494866529774125"/>
    <x v="1"/>
    <n v="1"/>
    <n v="0"/>
    <n v="0"/>
    <n v="0"/>
    <s v="Laborers"/>
    <x v="1"/>
  </r>
  <r>
    <n v="5142223"/>
    <x v="0"/>
    <s v="N"/>
    <s v="Y"/>
    <n v="1"/>
    <x v="2"/>
    <x v="2"/>
    <x v="1"/>
    <x v="1"/>
    <x v="0"/>
    <d v="1998-02-11T00:00:00"/>
    <n v="-9811"/>
    <x v="2734"/>
    <x v="4"/>
    <n v="-864"/>
    <n v="2.3655030800821355"/>
    <x v="1"/>
    <n v="1"/>
    <n v="0"/>
    <n v="0"/>
    <n v="0"/>
    <s v="Core staff"/>
    <x v="3"/>
  </r>
  <r>
    <n v="5142245"/>
    <x v="1"/>
    <s v="Y"/>
    <s v="Y"/>
    <n v="2"/>
    <x v="16"/>
    <x v="2"/>
    <x v="0"/>
    <x v="1"/>
    <x v="0"/>
    <d v="1971-05-15T00:00:00"/>
    <n v="-19580"/>
    <x v="2735"/>
    <x v="2"/>
    <n v="-1230"/>
    <n v="3.3675564681724848"/>
    <x v="1"/>
    <n v="1"/>
    <n v="0"/>
    <n v="0"/>
    <n v="0"/>
    <s v="Laborers"/>
    <x v="2"/>
  </r>
  <r>
    <n v="5142247"/>
    <x v="0"/>
    <s v="N"/>
    <s v="Y"/>
    <n v="0"/>
    <x v="8"/>
    <x v="3"/>
    <x v="1"/>
    <x v="1"/>
    <x v="0"/>
    <d v="1970-09-11T00:00:00"/>
    <n v="-19826"/>
    <x v="2170"/>
    <x v="2"/>
    <n v="-2340"/>
    <n v="6.406570841889117"/>
    <x v="1"/>
    <n v="1"/>
    <n v="0"/>
    <n v="0"/>
    <n v="0"/>
    <s v="Private service staff"/>
    <x v="1"/>
  </r>
  <r>
    <n v="5142251"/>
    <x v="0"/>
    <s v="N"/>
    <s v="Y"/>
    <n v="0"/>
    <x v="18"/>
    <x v="0"/>
    <x v="1"/>
    <x v="1"/>
    <x v="0"/>
    <d v="1975-01-21T00:00:00"/>
    <n v="-18233"/>
    <x v="203"/>
    <x v="1"/>
    <n v="365243"/>
    <n v="0"/>
    <x v="0"/>
    <n v="1"/>
    <n v="0"/>
    <n v="0"/>
    <n v="0"/>
    <m/>
    <x v="1"/>
  </r>
  <r>
    <n v="5142262"/>
    <x v="0"/>
    <s v="Y"/>
    <s v="N"/>
    <n v="0"/>
    <x v="16"/>
    <x v="2"/>
    <x v="0"/>
    <x v="1"/>
    <x v="4"/>
    <d v="1975-12-02T00:00:00"/>
    <n v="-17918"/>
    <x v="2736"/>
    <x v="1"/>
    <n v="-2005"/>
    <n v="5.4893908281998627"/>
    <x v="1"/>
    <n v="1"/>
    <n v="0"/>
    <n v="0"/>
    <n v="0"/>
    <m/>
    <x v="1"/>
  </r>
  <r>
    <n v="5142290"/>
    <x v="0"/>
    <s v="N"/>
    <s v="Y"/>
    <n v="1"/>
    <x v="69"/>
    <x v="3"/>
    <x v="0"/>
    <x v="3"/>
    <x v="0"/>
    <d v="1983-11-01T00:00:00"/>
    <n v="-15027"/>
    <x v="2418"/>
    <x v="1"/>
    <n v="-88"/>
    <n v="0.24093086926762491"/>
    <x v="1"/>
    <n v="1"/>
    <n v="0"/>
    <n v="0"/>
    <n v="0"/>
    <s v="Accountants"/>
    <x v="3"/>
  </r>
  <r>
    <n v="5142297"/>
    <x v="0"/>
    <s v="N"/>
    <s v="Y"/>
    <n v="0"/>
    <x v="51"/>
    <x v="1"/>
    <x v="1"/>
    <x v="2"/>
    <x v="0"/>
    <d v="1997-12-18T00:00:00"/>
    <n v="-9866"/>
    <x v="2737"/>
    <x v="4"/>
    <n v="-2583"/>
    <n v="7.0718685831622174"/>
    <x v="1"/>
    <n v="1"/>
    <n v="0"/>
    <n v="0"/>
    <n v="0"/>
    <s v="Medicine staff"/>
    <x v="0"/>
  </r>
  <r>
    <n v="5142305"/>
    <x v="1"/>
    <s v="Y"/>
    <s v="Y"/>
    <n v="0"/>
    <x v="14"/>
    <x v="1"/>
    <x v="0"/>
    <x v="1"/>
    <x v="0"/>
    <d v="1977-05-14T00:00:00"/>
    <n v="-17389"/>
    <x v="2738"/>
    <x v="1"/>
    <n v="-2113"/>
    <n v="5.7850787132101305"/>
    <x v="1"/>
    <n v="1"/>
    <n v="0"/>
    <n v="0"/>
    <n v="0"/>
    <s v="Drivers"/>
    <x v="1"/>
  </r>
  <r>
    <n v="5142310"/>
    <x v="0"/>
    <s v="N"/>
    <s v="Y"/>
    <n v="0"/>
    <x v="1"/>
    <x v="1"/>
    <x v="1"/>
    <x v="1"/>
    <x v="0"/>
    <d v="1973-04-08T00:00:00"/>
    <n v="-18886"/>
    <x v="2739"/>
    <x v="2"/>
    <n v="-2523"/>
    <n v="6.9075975359342916"/>
    <x v="1"/>
    <n v="1"/>
    <n v="1"/>
    <n v="1"/>
    <n v="0"/>
    <s v="Sales staff"/>
    <x v="1"/>
  </r>
  <r>
    <n v="5142319"/>
    <x v="1"/>
    <s v="Y"/>
    <s v="Y"/>
    <n v="0"/>
    <x v="5"/>
    <x v="1"/>
    <x v="1"/>
    <x v="3"/>
    <x v="0"/>
    <d v="1997-10-04T00:00:00"/>
    <n v="-9941"/>
    <x v="2740"/>
    <x v="4"/>
    <n v="-1990"/>
    <n v="5.4483230663928817"/>
    <x v="1"/>
    <n v="1"/>
    <n v="0"/>
    <n v="0"/>
    <n v="0"/>
    <s v="Drivers"/>
    <x v="1"/>
  </r>
  <r>
    <n v="5142324"/>
    <x v="1"/>
    <s v="Y"/>
    <s v="Y"/>
    <n v="1"/>
    <x v="11"/>
    <x v="1"/>
    <x v="0"/>
    <x v="1"/>
    <x v="0"/>
    <d v="2000-11-04T00:00:00"/>
    <n v="-8814"/>
    <x v="2741"/>
    <x v="4"/>
    <n v="-818"/>
    <n v="2.239561943874059"/>
    <x v="1"/>
    <n v="1"/>
    <n v="0"/>
    <n v="0"/>
    <n v="0"/>
    <s v="Drivers"/>
    <x v="3"/>
  </r>
  <r>
    <n v="5142340"/>
    <x v="0"/>
    <s v="Y"/>
    <s v="N"/>
    <n v="2"/>
    <x v="16"/>
    <x v="2"/>
    <x v="0"/>
    <x v="1"/>
    <x v="0"/>
    <d v="1990-03-07T00:00:00"/>
    <n v="-12709"/>
    <x v="2742"/>
    <x v="3"/>
    <n v="-3193"/>
    <n v="8.7419575633128002"/>
    <x v="1"/>
    <n v="1"/>
    <n v="0"/>
    <n v="0"/>
    <n v="0"/>
    <s v="Managers"/>
    <x v="2"/>
  </r>
  <r>
    <n v="5142351"/>
    <x v="1"/>
    <s v="Y"/>
    <s v="Y"/>
    <n v="1"/>
    <x v="11"/>
    <x v="1"/>
    <x v="1"/>
    <x v="3"/>
    <x v="0"/>
    <d v="1992-06-03T00:00:00"/>
    <n v="-11890"/>
    <x v="2743"/>
    <x v="3"/>
    <n v="-741"/>
    <n v="2.0287474332648872"/>
    <x v="1"/>
    <n v="1"/>
    <n v="1"/>
    <n v="0"/>
    <n v="0"/>
    <s v="Sales staff"/>
    <x v="3"/>
  </r>
  <r>
    <n v="5142357"/>
    <x v="1"/>
    <s v="N"/>
    <s v="Y"/>
    <n v="1"/>
    <x v="11"/>
    <x v="2"/>
    <x v="1"/>
    <x v="1"/>
    <x v="0"/>
    <d v="1988-03-20T00:00:00"/>
    <n v="-13426"/>
    <x v="2744"/>
    <x v="3"/>
    <n v="-6753"/>
    <n v="18.488706365503081"/>
    <x v="1"/>
    <n v="1"/>
    <n v="0"/>
    <n v="0"/>
    <n v="1"/>
    <s v="Laborers"/>
    <x v="3"/>
  </r>
  <r>
    <n v="5142373"/>
    <x v="1"/>
    <s v="Y"/>
    <s v="Y"/>
    <n v="1"/>
    <x v="2"/>
    <x v="2"/>
    <x v="1"/>
    <x v="1"/>
    <x v="0"/>
    <d v="1980-08-11T00:00:00"/>
    <n v="-16204"/>
    <x v="2745"/>
    <x v="1"/>
    <n v="-925"/>
    <n v="2.5325119780971939"/>
    <x v="1"/>
    <n v="1"/>
    <n v="1"/>
    <n v="1"/>
    <n v="0"/>
    <s v="Drivers"/>
    <x v="3"/>
  </r>
  <r>
    <n v="5142380"/>
    <x v="1"/>
    <s v="Y"/>
    <s v="N"/>
    <n v="0"/>
    <x v="2"/>
    <x v="2"/>
    <x v="1"/>
    <x v="3"/>
    <x v="2"/>
    <d v="2001-10-18T00:00:00"/>
    <n v="-8466"/>
    <x v="1548"/>
    <x v="4"/>
    <n v="-483"/>
    <n v="1.322381930184805"/>
    <x v="1"/>
    <n v="1"/>
    <n v="1"/>
    <n v="0"/>
    <n v="0"/>
    <s v="Core staff"/>
    <x v="1"/>
  </r>
  <r>
    <n v="5142381"/>
    <x v="1"/>
    <s v="Y"/>
    <s v="N"/>
    <n v="0"/>
    <x v="2"/>
    <x v="2"/>
    <x v="1"/>
    <x v="3"/>
    <x v="2"/>
    <d v="2001-10-18T00:00:00"/>
    <n v="-8466"/>
    <x v="1548"/>
    <x v="4"/>
    <n v="-483"/>
    <n v="1.322381930184805"/>
    <x v="1"/>
    <n v="1"/>
    <n v="1"/>
    <n v="0"/>
    <n v="0"/>
    <s v="Core staff"/>
    <x v="1"/>
  </r>
  <r>
    <n v="5142382"/>
    <x v="1"/>
    <s v="Y"/>
    <s v="N"/>
    <n v="0"/>
    <x v="2"/>
    <x v="2"/>
    <x v="1"/>
    <x v="3"/>
    <x v="2"/>
    <d v="2001-10-18T00:00:00"/>
    <n v="-8466"/>
    <x v="1548"/>
    <x v="4"/>
    <n v="-483"/>
    <n v="1.322381930184805"/>
    <x v="1"/>
    <n v="1"/>
    <n v="1"/>
    <n v="0"/>
    <n v="0"/>
    <s v="Core staff"/>
    <x v="1"/>
  </r>
  <r>
    <n v="5142409"/>
    <x v="0"/>
    <s v="Y"/>
    <s v="Y"/>
    <n v="0"/>
    <x v="134"/>
    <x v="0"/>
    <x v="1"/>
    <x v="4"/>
    <x v="0"/>
    <d v="1960-05-28T00:00:00"/>
    <n v="-23584"/>
    <x v="2746"/>
    <x v="0"/>
    <n v="365243"/>
    <n v="0"/>
    <x v="0"/>
    <n v="1"/>
    <n v="0"/>
    <n v="0"/>
    <n v="0"/>
    <m/>
    <x v="0"/>
  </r>
  <r>
    <n v="5142411"/>
    <x v="0"/>
    <s v="Y"/>
    <s v="Y"/>
    <n v="0"/>
    <x v="134"/>
    <x v="0"/>
    <x v="1"/>
    <x v="4"/>
    <x v="0"/>
    <d v="1960-05-28T00:00:00"/>
    <n v="-23584"/>
    <x v="2746"/>
    <x v="0"/>
    <n v="365243"/>
    <n v="0"/>
    <x v="0"/>
    <n v="1"/>
    <n v="0"/>
    <n v="0"/>
    <n v="0"/>
    <m/>
    <x v="0"/>
  </r>
  <r>
    <n v="5142419"/>
    <x v="1"/>
    <s v="N"/>
    <s v="Y"/>
    <n v="1"/>
    <x v="18"/>
    <x v="1"/>
    <x v="2"/>
    <x v="1"/>
    <x v="0"/>
    <d v="1990-11-28T00:00:00"/>
    <n v="-12443"/>
    <x v="2747"/>
    <x v="3"/>
    <n v="-1169"/>
    <n v="3.2005475701574264"/>
    <x v="1"/>
    <n v="1"/>
    <n v="0"/>
    <n v="1"/>
    <n v="0"/>
    <s v="Drivers"/>
    <x v="3"/>
  </r>
  <r>
    <n v="5142440"/>
    <x v="1"/>
    <s v="Y"/>
    <s v="Y"/>
    <n v="1"/>
    <x v="8"/>
    <x v="2"/>
    <x v="0"/>
    <x v="1"/>
    <x v="0"/>
    <d v="1979-01-10T00:00:00"/>
    <n v="-16783"/>
    <x v="2748"/>
    <x v="1"/>
    <n v="-3451"/>
    <n v="9.4483230663928808"/>
    <x v="1"/>
    <n v="1"/>
    <n v="0"/>
    <n v="0"/>
    <n v="0"/>
    <s v="Managers"/>
    <x v="3"/>
  </r>
  <r>
    <n v="5142449"/>
    <x v="1"/>
    <s v="Y"/>
    <s v="Y"/>
    <n v="0"/>
    <x v="12"/>
    <x v="2"/>
    <x v="2"/>
    <x v="1"/>
    <x v="0"/>
    <d v="1995-10-21T00:00:00"/>
    <n v="-10655"/>
    <x v="2749"/>
    <x v="4"/>
    <n v="-1444"/>
    <n v="3.9534565366187544"/>
    <x v="1"/>
    <n v="1"/>
    <n v="0"/>
    <n v="0"/>
    <n v="0"/>
    <s v="Managers"/>
    <x v="1"/>
  </r>
  <r>
    <n v="5142470"/>
    <x v="1"/>
    <s v="N"/>
    <s v="Y"/>
    <n v="1"/>
    <x v="32"/>
    <x v="1"/>
    <x v="1"/>
    <x v="3"/>
    <x v="0"/>
    <d v="1978-12-15T00:00:00"/>
    <n v="-16809"/>
    <x v="2750"/>
    <x v="1"/>
    <n v="-5247"/>
    <n v="14.365503080082135"/>
    <x v="1"/>
    <n v="1"/>
    <n v="0"/>
    <n v="0"/>
    <n v="0"/>
    <s v="Laborers"/>
    <x v="3"/>
  </r>
  <r>
    <n v="5142485"/>
    <x v="1"/>
    <s v="Y"/>
    <s v="N"/>
    <n v="2"/>
    <x v="6"/>
    <x v="1"/>
    <x v="0"/>
    <x v="1"/>
    <x v="0"/>
    <d v="1991-04-08T00:00:00"/>
    <n v="-12312"/>
    <x v="2481"/>
    <x v="3"/>
    <n v="-1199"/>
    <n v="3.2826830937713893"/>
    <x v="1"/>
    <n v="1"/>
    <n v="0"/>
    <n v="0"/>
    <n v="0"/>
    <s v="Core staff"/>
    <x v="2"/>
  </r>
  <r>
    <n v="5142515"/>
    <x v="0"/>
    <s v="N"/>
    <s v="N"/>
    <n v="1"/>
    <x v="45"/>
    <x v="2"/>
    <x v="1"/>
    <x v="1"/>
    <x v="0"/>
    <d v="1991-04-09T00:00:00"/>
    <n v="-12311"/>
    <x v="2751"/>
    <x v="3"/>
    <n v="-3969"/>
    <n v="10.86652977412731"/>
    <x v="1"/>
    <n v="1"/>
    <n v="0"/>
    <n v="0"/>
    <n v="0"/>
    <m/>
    <x v="3"/>
  </r>
  <r>
    <n v="5142534"/>
    <x v="0"/>
    <s v="N"/>
    <s v="N"/>
    <n v="0"/>
    <x v="5"/>
    <x v="2"/>
    <x v="1"/>
    <x v="1"/>
    <x v="4"/>
    <d v="1975-01-08T00:00:00"/>
    <n v="-18246"/>
    <x v="2500"/>
    <x v="1"/>
    <n v="-2417"/>
    <n v="6.6173853524982889"/>
    <x v="1"/>
    <n v="1"/>
    <n v="0"/>
    <n v="0"/>
    <n v="0"/>
    <s v="Core staff"/>
    <x v="1"/>
  </r>
  <r>
    <n v="5142535"/>
    <x v="1"/>
    <s v="Y"/>
    <s v="Y"/>
    <n v="0"/>
    <x v="30"/>
    <x v="1"/>
    <x v="1"/>
    <x v="1"/>
    <x v="0"/>
    <d v="1987-05-02T00:00:00"/>
    <n v="-13749"/>
    <x v="2752"/>
    <x v="3"/>
    <n v="-925"/>
    <n v="2.5325119780971939"/>
    <x v="1"/>
    <n v="1"/>
    <n v="0"/>
    <n v="0"/>
    <n v="0"/>
    <m/>
    <x v="1"/>
  </r>
  <r>
    <n v="5142556"/>
    <x v="0"/>
    <s v="N"/>
    <s v="Y"/>
    <n v="0"/>
    <x v="156"/>
    <x v="2"/>
    <x v="1"/>
    <x v="4"/>
    <x v="0"/>
    <d v="1969-04-30T00:00:00"/>
    <n v="-20325"/>
    <x v="2753"/>
    <x v="2"/>
    <n v="-4213"/>
    <n v="11.534565366187543"/>
    <x v="1"/>
    <n v="1"/>
    <n v="1"/>
    <n v="1"/>
    <n v="0"/>
    <s v="Security staff"/>
    <x v="0"/>
  </r>
  <r>
    <n v="5142558"/>
    <x v="0"/>
    <s v="N"/>
    <s v="Y"/>
    <n v="0"/>
    <x v="156"/>
    <x v="2"/>
    <x v="1"/>
    <x v="4"/>
    <x v="0"/>
    <d v="1969-04-30T00:00:00"/>
    <n v="-20325"/>
    <x v="2753"/>
    <x v="2"/>
    <n v="-4213"/>
    <n v="11.534565366187543"/>
    <x v="1"/>
    <n v="1"/>
    <n v="1"/>
    <n v="1"/>
    <n v="0"/>
    <s v="Security staff"/>
    <x v="0"/>
  </r>
  <r>
    <n v="5142561"/>
    <x v="1"/>
    <s v="N"/>
    <s v="N"/>
    <n v="0"/>
    <x v="8"/>
    <x v="2"/>
    <x v="1"/>
    <x v="1"/>
    <x v="0"/>
    <d v="1975-03-09T00:00:00"/>
    <n v="-18186"/>
    <x v="2754"/>
    <x v="1"/>
    <n v="-376"/>
    <n v="1.0294318959616702"/>
    <x v="1"/>
    <n v="1"/>
    <n v="0"/>
    <n v="1"/>
    <n v="0"/>
    <s v="Laborers"/>
    <x v="1"/>
  </r>
  <r>
    <n v="5142573"/>
    <x v="0"/>
    <s v="N"/>
    <s v="Y"/>
    <n v="0"/>
    <x v="3"/>
    <x v="2"/>
    <x v="0"/>
    <x v="2"/>
    <x v="0"/>
    <d v="1970-12-18T00:00:00"/>
    <n v="-19728"/>
    <x v="2755"/>
    <x v="2"/>
    <n v="-2905"/>
    <n v="7.953456536618754"/>
    <x v="1"/>
    <n v="1"/>
    <n v="0"/>
    <n v="0"/>
    <n v="1"/>
    <s v="Laborers"/>
    <x v="0"/>
  </r>
  <r>
    <n v="5142618"/>
    <x v="0"/>
    <s v="Y"/>
    <s v="N"/>
    <n v="1"/>
    <x v="16"/>
    <x v="1"/>
    <x v="1"/>
    <x v="1"/>
    <x v="0"/>
    <d v="1996-04-01T00:00:00"/>
    <n v="-10492"/>
    <x v="497"/>
    <x v="4"/>
    <n v="-1079"/>
    <n v="2.9541409993155372"/>
    <x v="1"/>
    <n v="1"/>
    <n v="1"/>
    <n v="1"/>
    <n v="0"/>
    <s v="Core staff"/>
    <x v="3"/>
  </r>
  <r>
    <n v="5142624"/>
    <x v="0"/>
    <s v="N"/>
    <s v="N"/>
    <n v="1"/>
    <x v="8"/>
    <x v="2"/>
    <x v="2"/>
    <x v="1"/>
    <x v="2"/>
    <d v="1981-09-02T00:00:00"/>
    <n v="-15817"/>
    <x v="1933"/>
    <x v="1"/>
    <n v="-7379"/>
    <n v="20.202600958247775"/>
    <x v="1"/>
    <n v="1"/>
    <n v="0"/>
    <n v="0"/>
    <n v="0"/>
    <s v="Accountants"/>
    <x v="3"/>
  </r>
  <r>
    <n v="5142630"/>
    <x v="0"/>
    <s v="N"/>
    <s v="N"/>
    <n v="1"/>
    <x v="8"/>
    <x v="2"/>
    <x v="2"/>
    <x v="1"/>
    <x v="2"/>
    <d v="1981-09-02T00:00:00"/>
    <n v="-15817"/>
    <x v="1933"/>
    <x v="1"/>
    <n v="-7379"/>
    <n v="20.202600958247775"/>
    <x v="1"/>
    <n v="1"/>
    <n v="0"/>
    <n v="0"/>
    <n v="0"/>
    <s v="Accountants"/>
    <x v="3"/>
  </r>
  <r>
    <n v="5142639"/>
    <x v="0"/>
    <s v="N"/>
    <s v="N"/>
    <n v="0"/>
    <x v="16"/>
    <x v="2"/>
    <x v="1"/>
    <x v="1"/>
    <x v="0"/>
    <d v="1975-01-20T00:00:00"/>
    <n v="-18234"/>
    <x v="2756"/>
    <x v="1"/>
    <n v="-2965"/>
    <n v="8.1177275838466798"/>
    <x v="1"/>
    <n v="1"/>
    <n v="1"/>
    <n v="1"/>
    <n v="0"/>
    <s v="Core staff"/>
    <x v="1"/>
  </r>
  <r>
    <n v="5142652"/>
    <x v="1"/>
    <s v="Y"/>
    <s v="N"/>
    <n v="0"/>
    <x v="8"/>
    <x v="1"/>
    <x v="1"/>
    <x v="1"/>
    <x v="1"/>
    <d v="1995-07-05T00:00:00"/>
    <n v="-10763"/>
    <x v="2757"/>
    <x v="4"/>
    <n v="-1473"/>
    <n v="4.0328542094455848"/>
    <x v="1"/>
    <n v="1"/>
    <n v="1"/>
    <n v="1"/>
    <n v="1"/>
    <m/>
    <x v="1"/>
  </r>
  <r>
    <n v="5142653"/>
    <x v="1"/>
    <s v="Y"/>
    <s v="N"/>
    <n v="0"/>
    <x v="8"/>
    <x v="1"/>
    <x v="1"/>
    <x v="1"/>
    <x v="1"/>
    <d v="1995-07-05T00:00:00"/>
    <n v="-10763"/>
    <x v="2757"/>
    <x v="4"/>
    <n v="-1473"/>
    <n v="4.0328542094455848"/>
    <x v="1"/>
    <n v="1"/>
    <n v="1"/>
    <n v="1"/>
    <n v="1"/>
    <m/>
    <x v="1"/>
  </r>
  <r>
    <n v="5142664"/>
    <x v="0"/>
    <s v="N"/>
    <s v="N"/>
    <n v="0"/>
    <x v="32"/>
    <x v="2"/>
    <x v="1"/>
    <x v="3"/>
    <x v="0"/>
    <d v="1982-09-30T00:00:00"/>
    <n v="-15424"/>
    <x v="2758"/>
    <x v="1"/>
    <n v="-6801"/>
    <n v="18.62012320328542"/>
    <x v="1"/>
    <n v="1"/>
    <n v="0"/>
    <n v="0"/>
    <n v="0"/>
    <s v="Managers"/>
    <x v="1"/>
  </r>
  <r>
    <n v="5142670"/>
    <x v="0"/>
    <s v="N"/>
    <s v="N"/>
    <n v="0"/>
    <x v="3"/>
    <x v="0"/>
    <x v="1"/>
    <x v="3"/>
    <x v="0"/>
    <d v="1963-07-05T00:00:00"/>
    <n v="-22451"/>
    <x v="2759"/>
    <x v="0"/>
    <n v="365243"/>
    <n v="0"/>
    <x v="0"/>
    <n v="1"/>
    <n v="0"/>
    <n v="0"/>
    <n v="0"/>
    <m/>
    <x v="1"/>
  </r>
  <r>
    <n v="5142673"/>
    <x v="0"/>
    <s v="N"/>
    <s v="N"/>
    <n v="0"/>
    <x v="30"/>
    <x v="0"/>
    <x v="1"/>
    <x v="1"/>
    <x v="0"/>
    <d v="1968-12-03T00:00:00"/>
    <n v="-20473"/>
    <x v="2760"/>
    <x v="2"/>
    <n v="365243"/>
    <n v="0"/>
    <x v="0"/>
    <n v="1"/>
    <n v="0"/>
    <n v="0"/>
    <n v="0"/>
    <m/>
    <x v="1"/>
  </r>
  <r>
    <n v="5142684"/>
    <x v="1"/>
    <s v="N"/>
    <s v="N"/>
    <n v="2"/>
    <x v="5"/>
    <x v="1"/>
    <x v="1"/>
    <x v="1"/>
    <x v="0"/>
    <d v="1983-12-04T00:00:00"/>
    <n v="-14994"/>
    <x v="2761"/>
    <x v="1"/>
    <n v="-926"/>
    <n v="2.5352498288843259"/>
    <x v="1"/>
    <n v="1"/>
    <n v="1"/>
    <n v="0"/>
    <n v="0"/>
    <s v="Managers"/>
    <x v="2"/>
  </r>
  <r>
    <n v="5142685"/>
    <x v="1"/>
    <s v="N"/>
    <s v="N"/>
    <n v="2"/>
    <x v="5"/>
    <x v="1"/>
    <x v="1"/>
    <x v="1"/>
    <x v="0"/>
    <d v="1983-12-04T00:00:00"/>
    <n v="-14994"/>
    <x v="2761"/>
    <x v="1"/>
    <n v="-926"/>
    <n v="2.5352498288843259"/>
    <x v="1"/>
    <n v="1"/>
    <n v="1"/>
    <n v="0"/>
    <n v="0"/>
    <s v="Managers"/>
    <x v="2"/>
  </r>
  <r>
    <n v="5142696"/>
    <x v="0"/>
    <s v="N"/>
    <s v="N"/>
    <n v="0"/>
    <x v="2"/>
    <x v="0"/>
    <x v="1"/>
    <x v="1"/>
    <x v="0"/>
    <d v="1963-09-29T00:00:00"/>
    <n v="-22365"/>
    <x v="2762"/>
    <x v="0"/>
    <n v="365243"/>
    <n v="0"/>
    <x v="0"/>
    <n v="1"/>
    <n v="0"/>
    <n v="0"/>
    <n v="0"/>
    <m/>
    <x v="1"/>
  </r>
  <r>
    <n v="5142732"/>
    <x v="1"/>
    <s v="Y"/>
    <s v="N"/>
    <n v="1"/>
    <x v="23"/>
    <x v="2"/>
    <x v="1"/>
    <x v="1"/>
    <x v="0"/>
    <d v="1991-10-21T00:00:00"/>
    <n v="-12116"/>
    <x v="991"/>
    <x v="3"/>
    <n v="-196"/>
    <n v="0.53661875427789185"/>
    <x v="1"/>
    <n v="1"/>
    <n v="1"/>
    <n v="1"/>
    <n v="0"/>
    <s v="Drivers"/>
    <x v="3"/>
  </r>
  <r>
    <n v="5142744"/>
    <x v="0"/>
    <s v="N"/>
    <s v="N"/>
    <n v="0"/>
    <x v="51"/>
    <x v="2"/>
    <x v="1"/>
    <x v="2"/>
    <x v="0"/>
    <d v="1976-01-13T00:00:00"/>
    <n v="-17876"/>
    <x v="2763"/>
    <x v="1"/>
    <n v="-377"/>
    <n v="1.0321697467488022"/>
    <x v="1"/>
    <n v="1"/>
    <n v="1"/>
    <n v="1"/>
    <n v="0"/>
    <s v="Private service staff"/>
    <x v="0"/>
  </r>
  <r>
    <n v="5142751"/>
    <x v="0"/>
    <s v="N"/>
    <s v="N"/>
    <n v="0"/>
    <x v="51"/>
    <x v="2"/>
    <x v="1"/>
    <x v="2"/>
    <x v="0"/>
    <d v="1976-01-13T00:00:00"/>
    <n v="-17876"/>
    <x v="2763"/>
    <x v="1"/>
    <n v="-377"/>
    <n v="1.0321697467488022"/>
    <x v="1"/>
    <n v="1"/>
    <n v="1"/>
    <n v="1"/>
    <n v="0"/>
    <s v="Private service staff"/>
    <x v="0"/>
  </r>
  <r>
    <n v="5142754"/>
    <x v="0"/>
    <s v="N"/>
    <s v="N"/>
    <n v="0"/>
    <x v="37"/>
    <x v="1"/>
    <x v="1"/>
    <x v="1"/>
    <x v="0"/>
    <d v="1977-01-13T00:00:00"/>
    <n v="-17510"/>
    <x v="2764"/>
    <x v="1"/>
    <n v="-1108"/>
    <n v="3.0335386721423681"/>
    <x v="1"/>
    <n v="1"/>
    <n v="1"/>
    <n v="0"/>
    <n v="0"/>
    <s v="Sales staff"/>
    <x v="1"/>
  </r>
  <r>
    <n v="5142792"/>
    <x v="0"/>
    <s v="N"/>
    <s v="N"/>
    <n v="1"/>
    <x v="50"/>
    <x v="2"/>
    <x v="1"/>
    <x v="1"/>
    <x v="0"/>
    <d v="1973-01-05T00:00:00"/>
    <n v="-18979"/>
    <x v="2765"/>
    <x v="2"/>
    <n v="-4487"/>
    <n v="12.284736481861739"/>
    <x v="1"/>
    <n v="1"/>
    <n v="1"/>
    <n v="1"/>
    <n v="0"/>
    <s v="Core staff"/>
    <x v="3"/>
  </r>
  <r>
    <n v="5142796"/>
    <x v="1"/>
    <s v="Y"/>
    <s v="N"/>
    <n v="1"/>
    <x v="11"/>
    <x v="2"/>
    <x v="1"/>
    <x v="0"/>
    <x v="2"/>
    <d v="1987-05-06T00:00:00"/>
    <n v="-13745"/>
    <x v="2766"/>
    <x v="3"/>
    <n v="-622"/>
    <n v="1.7029431895961671"/>
    <x v="1"/>
    <n v="1"/>
    <n v="1"/>
    <n v="0"/>
    <n v="0"/>
    <s v="Laborers"/>
    <x v="1"/>
  </r>
  <r>
    <n v="5142806"/>
    <x v="0"/>
    <s v="N"/>
    <s v="N"/>
    <n v="0"/>
    <x v="16"/>
    <x v="2"/>
    <x v="1"/>
    <x v="1"/>
    <x v="0"/>
    <d v="1974-08-25T00:00:00"/>
    <n v="-18382"/>
    <x v="2767"/>
    <x v="2"/>
    <n v="-4548"/>
    <n v="12.451745379876797"/>
    <x v="1"/>
    <n v="1"/>
    <n v="1"/>
    <n v="1"/>
    <n v="0"/>
    <s v="Accountants"/>
    <x v="1"/>
  </r>
  <r>
    <n v="5142810"/>
    <x v="0"/>
    <s v="N"/>
    <s v="N"/>
    <n v="0"/>
    <x v="16"/>
    <x v="2"/>
    <x v="1"/>
    <x v="1"/>
    <x v="0"/>
    <d v="1974-08-25T00:00:00"/>
    <n v="-18382"/>
    <x v="2767"/>
    <x v="2"/>
    <n v="-4548"/>
    <n v="12.451745379876797"/>
    <x v="1"/>
    <n v="1"/>
    <n v="1"/>
    <n v="1"/>
    <n v="0"/>
    <s v="Accountants"/>
    <x v="1"/>
  </r>
  <r>
    <n v="5142811"/>
    <x v="1"/>
    <s v="Y"/>
    <s v="N"/>
    <n v="0"/>
    <x v="11"/>
    <x v="3"/>
    <x v="1"/>
    <x v="1"/>
    <x v="0"/>
    <d v="1993-01-31T00:00:00"/>
    <n v="-11648"/>
    <x v="2768"/>
    <x v="3"/>
    <n v="-4275"/>
    <n v="11.704312114989733"/>
    <x v="1"/>
    <n v="1"/>
    <n v="1"/>
    <n v="1"/>
    <n v="0"/>
    <s v="Core staff"/>
    <x v="1"/>
  </r>
  <r>
    <n v="5142816"/>
    <x v="1"/>
    <s v="N"/>
    <s v="N"/>
    <n v="1"/>
    <x v="12"/>
    <x v="2"/>
    <x v="1"/>
    <x v="1"/>
    <x v="0"/>
    <d v="1976-12-17T00:00:00"/>
    <n v="-17537"/>
    <x v="2769"/>
    <x v="1"/>
    <n v="-1749"/>
    <n v="4.7885010266940453"/>
    <x v="1"/>
    <n v="1"/>
    <n v="0"/>
    <n v="0"/>
    <n v="0"/>
    <s v="Laborers"/>
    <x v="3"/>
  </r>
  <r>
    <n v="5142821"/>
    <x v="1"/>
    <s v="Y"/>
    <s v="N"/>
    <n v="1"/>
    <x v="16"/>
    <x v="2"/>
    <x v="0"/>
    <x v="2"/>
    <x v="0"/>
    <d v="1984-03-24T00:00:00"/>
    <n v="-14883"/>
    <x v="2770"/>
    <x v="1"/>
    <n v="-6221"/>
    <n v="17.032169746748803"/>
    <x v="1"/>
    <n v="1"/>
    <n v="0"/>
    <n v="1"/>
    <n v="0"/>
    <s v="Managers"/>
    <x v="1"/>
  </r>
  <r>
    <n v="5142828"/>
    <x v="0"/>
    <s v="N"/>
    <s v="N"/>
    <n v="0"/>
    <x v="5"/>
    <x v="1"/>
    <x v="1"/>
    <x v="1"/>
    <x v="0"/>
    <d v="1978-09-07T00:00:00"/>
    <n v="-16908"/>
    <x v="2771"/>
    <x v="1"/>
    <n v="-2934"/>
    <n v="8.0328542094455848"/>
    <x v="1"/>
    <n v="1"/>
    <n v="0"/>
    <n v="0"/>
    <n v="0"/>
    <s v="Cooking staff"/>
    <x v="1"/>
  </r>
  <r>
    <n v="5142832"/>
    <x v="0"/>
    <s v="N"/>
    <s v="N"/>
    <n v="0"/>
    <x v="43"/>
    <x v="1"/>
    <x v="1"/>
    <x v="2"/>
    <x v="0"/>
    <d v="1991-08-22T00:00:00"/>
    <n v="-12176"/>
    <x v="525"/>
    <x v="3"/>
    <n v="-1292"/>
    <n v="3.5373032169746748"/>
    <x v="1"/>
    <n v="1"/>
    <n v="1"/>
    <n v="0"/>
    <n v="0"/>
    <s v="Cooking staff"/>
    <x v="0"/>
  </r>
  <r>
    <n v="5142859"/>
    <x v="0"/>
    <s v="N"/>
    <s v="N"/>
    <n v="0"/>
    <x v="1"/>
    <x v="2"/>
    <x v="1"/>
    <x v="1"/>
    <x v="0"/>
    <d v="1986-06-05T00:00:00"/>
    <n v="-14080"/>
    <x v="2772"/>
    <x v="3"/>
    <n v="-1869"/>
    <n v="5.117043121149897"/>
    <x v="1"/>
    <n v="1"/>
    <n v="0"/>
    <n v="1"/>
    <n v="0"/>
    <m/>
    <x v="1"/>
  </r>
  <r>
    <n v="5142863"/>
    <x v="0"/>
    <s v="Y"/>
    <s v="N"/>
    <n v="4"/>
    <x v="11"/>
    <x v="3"/>
    <x v="1"/>
    <x v="1"/>
    <x v="0"/>
    <d v="1985-02-15T00:00:00"/>
    <n v="-14555"/>
    <x v="2773"/>
    <x v="3"/>
    <n v="-1838"/>
    <n v="5.032169746748802"/>
    <x v="1"/>
    <n v="1"/>
    <n v="1"/>
    <n v="0"/>
    <n v="0"/>
    <s v="Core staff"/>
    <x v="5"/>
  </r>
  <r>
    <n v="5142864"/>
    <x v="0"/>
    <s v="Y"/>
    <s v="N"/>
    <n v="4"/>
    <x v="11"/>
    <x v="3"/>
    <x v="1"/>
    <x v="1"/>
    <x v="0"/>
    <d v="1985-02-15T00:00:00"/>
    <n v="-14555"/>
    <x v="2773"/>
    <x v="3"/>
    <n v="-1838"/>
    <n v="5.032169746748802"/>
    <x v="1"/>
    <n v="1"/>
    <n v="1"/>
    <n v="0"/>
    <n v="0"/>
    <s v="Core staff"/>
    <x v="5"/>
  </r>
  <r>
    <n v="5142866"/>
    <x v="0"/>
    <s v="Y"/>
    <s v="N"/>
    <n v="4"/>
    <x v="11"/>
    <x v="3"/>
    <x v="1"/>
    <x v="1"/>
    <x v="0"/>
    <d v="1985-02-15T00:00:00"/>
    <n v="-14555"/>
    <x v="2773"/>
    <x v="3"/>
    <n v="-1838"/>
    <n v="5.032169746748802"/>
    <x v="1"/>
    <n v="1"/>
    <n v="1"/>
    <n v="0"/>
    <n v="0"/>
    <s v="Core staff"/>
    <x v="5"/>
  </r>
  <r>
    <n v="5142873"/>
    <x v="0"/>
    <s v="Y"/>
    <s v="N"/>
    <n v="0"/>
    <x v="73"/>
    <x v="0"/>
    <x v="1"/>
    <x v="1"/>
    <x v="0"/>
    <d v="1969-05-10T00:00:00"/>
    <n v="-20315"/>
    <x v="2774"/>
    <x v="2"/>
    <n v="365243"/>
    <n v="0"/>
    <x v="0"/>
    <n v="1"/>
    <n v="0"/>
    <n v="0"/>
    <n v="0"/>
    <m/>
    <x v="1"/>
  </r>
  <r>
    <n v="5142877"/>
    <x v="0"/>
    <s v="Y"/>
    <s v="N"/>
    <n v="0"/>
    <x v="73"/>
    <x v="0"/>
    <x v="1"/>
    <x v="1"/>
    <x v="0"/>
    <d v="1969-05-10T00:00:00"/>
    <n v="-20315"/>
    <x v="2774"/>
    <x v="2"/>
    <n v="365243"/>
    <n v="0"/>
    <x v="0"/>
    <n v="1"/>
    <n v="0"/>
    <n v="0"/>
    <n v="0"/>
    <m/>
    <x v="1"/>
  </r>
  <r>
    <n v="5142898"/>
    <x v="0"/>
    <s v="N"/>
    <s v="N"/>
    <n v="0"/>
    <x v="2"/>
    <x v="1"/>
    <x v="0"/>
    <x v="2"/>
    <x v="2"/>
    <d v="2000-03-11T00:00:00"/>
    <n v="-9052"/>
    <x v="2775"/>
    <x v="4"/>
    <n v="-227"/>
    <n v="0.62149212867898695"/>
    <x v="1"/>
    <n v="1"/>
    <n v="0"/>
    <n v="0"/>
    <n v="0"/>
    <s v="Laborers"/>
    <x v="0"/>
  </r>
  <r>
    <n v="5142899"/>
    <x v="0"/>
    <s v="N"/>
    <s v="N"/>
    <n v="0"/>
    <x v="2"/>
    <x v="1"/>
    <x v="0"/>
    <x v="2"/>
    <x v="2"/>
    <d v="2000-03-11T00:00:00"/>
    <n v="-9052"/>
    <x v="2775"/>
    <x v="4"/>
    <n v="-227"/>
    <n v="0.62149212867898695"/>
    <x v="1"/>
    <n v="1"/>
    <n v="0"/>
    <n v="0"/>
    <n v="0"/>
    <s v="Laborers"/>
    <x v="0"/>
  </r>
  <r>
    <n v="5142909"/>
    <x v="0"/>
    <s v="N"/>
    <s v="N"/>
    <n v="1"/>
    <x v="19"/>
    <x v="2"/>
    <x v="2"/>
    <x v="1"/>
    <x v="0"/>
    <d v="1990-11-17T00:00:00"/>
    <n v="-12454"/>
    <x v="2776"/>
    <x v="3"/>
    <n v="-4030"/>
    <n v="11.033538672142368"/>
    <x v="1"/>
    <n v="1"/>
    <n v="1"/>
    <n v="1"/>
    <n v="0"/>
    <s v="Sales staff"/>
    <x v="3"/>
  </r>
  <r>
    <n v="5142932"/>
    <x v="0"/>
    <s v="Y"/>
    <s v="N"/>
    <n v="0"/>
    <x v="125"/>
    <x v="0"/>
    <x v="1"/>
    <x v="1"/>
    <x v="0"/>
    <d v="1966-07-18T00:00:00"/>
    <n v="-21342"/>
    <x v="2777"/>
    <x v="2"/>
    <n v="365243"/>
    <n v="0"/>
    <x v="0"/>
    <n v="1"/>
    <n v="0"/>
    <n v="0"/>
    <n v="0"/>
    <m/>
    <x v="1"/>
  </r>
  <r>
    <n v="5142939"/>
    <x v="0"/>
    <s v="N"/>
    <s v="N"/>
    <n v="0"/>
    <x v="63"/>
    <x v="0"/>
    <x v="0"/>
    <x v="1"/>
    <x v="4"/>
    <d v="1967-01-19T00:00:00"/>
    <n v="-21157"/>
    <x v="2778"/>
    <x v="2"/>
    <n v="365243"/>
    <n v="0"/>
    <x v="0"/>
    <n v="1"/>
    <n v="0"/>
    <n v="0"/>
    <n v="0"/>
    <m/>
    <x v="1"/>
  </r>
  <r>
    <n v="5142946"/>
    <x v="0"/>
    <s v="N"/>
    <s v="N"/>
    <n v="0"/>
    <x v="63"/>
    <x v="0"/>
    <x v="0"/>
    <x v="1"/>
    <x v="4"/>
    <d v="1967-01-19T00:00:00"/>
    <n v="-21157"/>
    <x v="2778"/>
    <x v="2"/>
    <n v="365243"/>
    <n v="0"/>
    <x v="0"/>
    <n v="1"/>
    <n v="0"/>
    <n v="0"/>
    <n v="0"/>
    <m/>
    <x v="1"/>
  </r>
  <r>
    <n v="5142947"/>
    <x v="0"/>
    <s v="N"/>
    <s v="N"/>
    <n v="0"/>
    <x v="63"/>
    <x v="0"/>
    <x v="0"/>
    <x v="1"/>
    <x v="4"/>
    <d v="1967-01-19T00:00:00"/>
    <n v="-21157"/>
    <x v="2778"/>
    <x v="2"/>
    <n v="365243"/>
    <n v="0"/>
    <x v="0"/>
    <n v="1"/>
    <n v="0"/>
    <n v="0"/>
    <n v="0"/>
    <m/>
    <x v="1"/>
  </r>
  <r>
    <n v="5142954"/>
    <x v="1"/>
    <s v="N"/>
    <s v="N"/>
    <n v="1"/>
    <x v="11"/>
    <x v="2"/>
    <x v="1"/>
    <x v="0"/>
    <x v="0"/>
    <d v="2002-04-28T00:00:00"/>
    <n v="-8274"/>
    <x v="2779"/>
    <x v="4"/>
    <n v="-742"/>
    <n v="2.0314852840520192"/>
    <x v="1"/>
    <n v="1"/>
    <n v="1"/>
    <n v="1"/>
    <n v="0"/>
    <s v="Laborers"/>
    <x v="1"/>
  </r>
  <r>
    <n v="5142960"/>
    <x v="1"/>
    <s v="Y"/>
    <s v="N"/>
    <n v="1"/>
    <x v="8"/>
    <x v="2"/>
    <x v="1"/>
    <x v="1"/>
    <x v="0"/>
    <d v="1991-06-20T00:00:00"/>
    <n v="-12239"/>
    <x v="2780"/>
    <x v="3"/>
    <n v="-2600"/>
    <n v="7.1184120465434635"/>
    <x v="1"/>
    <n v="1"/>
    <n v="1"/>
    <n v="1"/>
    <n v="0"/>
    <s v="Managers"/>
    <x v="3"/>
  </r>
  <r>
    <n v="5142973"/>
    <x v="1"/>
    <s v="N"/>
    <s v="N"/>
    <n v="1"/>
    <x v="16"/>
    <x v="2"/>
    <x v="1"/>
    <x v="1"/>
    <x v="0"/>
    <d v="1995-10-20T00:00:00"/>
    <n v="-10656"/>
    <x v="2781"/>
    <x v="4"/>
    <n v="-926"/>
    <n v="2.5352498288843259"/>
    <x v="1"/>
    <n v="1"/>
    <n v="1"/>
    <n v="1"/>
    <n v="0"/>
    <s v="Laborers"/>
    <x v="0"/>
  </r>
  <r>
    <n v="5142975"/>
    <x v="0"/>
    <s v="N"/>
    <s v="N"/>
    <n v="0"/>
    <x v="37"/>
    <x v="2"/>
    <x v="1"/>
    <x v="2"/>
    <x v="0"/>
    <d v="2001-04-06T00:00:00"/>
    <n v="-8661"/>
    <x v="2782"/>
    <x v="4"/>
    <n v="-500"/>
    <n v="1.3689253935660506"/>
    <x v="1"/>
    <n v="1"/>
    <n v="1"/>
    <n v="0"/>
    <n v="0"/>
    <s v="Sales staff"/>
    <x v="0"/>
  </r>
  <r>
    <n v="5142987"/>
    <x v="0"/>
    <s v="N"/>
    <s v="N"/>
    <n v="1"/>
    <x v="1"/>
    <x v="2"/>
    <x v="0"/>
    <x v="1"/>
    <x v="0"/>
    <d v="1996-01-17T00:00:00"/>
    <n v="-10567"/>
    <x v="2783"/>
    <x v="4"/>
    <n v="-1504"/>
    <n v="4.1177275838466807"/>
    <x v="1"/>
    <n v="1"/>
    <n v="1"/>
    <n v="0"/>
    <n v="0"/>
    <s v="Core staff"/>
    <x v="3"/>
  </r>
  <r>
    <n v="5142999"/>
    <x v="1"/>
    <s v="Y"/>
    <s v="N"/>
    <n v="1"/>
    <x v="6"/>
    <x v="3"/>
    <x v="1"/>
    <x v="1"/>
    <x v="2"/>
    <d v="1991-02-07T00:00:00"/>
    <n v="-12372"/>
    <x v="1521"/>
    <x v="3"/>
    <n v="-5401"/>
    <n v="14.787132101300479"/>
    <x v="1"/>
    <n v="1"/>
    <n v="0"/>
    <n v="1"/>
    <n v="0"/>
    <s v="Core staff"/>
    <x v="3"/>
  </r>
  <r>
    <n v="5143007"/>
    <x v="1"/>
    <s v="Y"/>
    <s v="N"/>
    <n v="1"/>
    <x v="35"/>
    <x v="0"/>
    <x v="1"/>
    <x v="1"/>
    <x v="0"/>
    <d v="1973-10-19T00:00:00"/>
    <n v="-18692"/>
    <x v="2784"/>
    <x v="2"/>
    <n v="365243"/>
    <n v="0"/>
    <x v="0"/>
    <n v="1"/>
    <n v="0"/>
    <n v="1"/>
    <n v="0"/>
    <m/>
    <x v="3"/>
  </r>
  <r>
    <n v="5143019"/>
    <x v="1"/>
    <s v="N"/>
    <s v="N"/>
    <n v="0"/>
    <x v="18"/>
    <x v="2"/>
    <x v="1"/>
    <x v="1"/>
    <x v="2"/>
    <d v="1992-10-03T00:00:00"/>
    <n v="-11768"/>
    <x v="2785"/>
    <x v="3"/>
    <n v="-622"/>
    <n v="1.7029431895961671"/>
    <x v="1"/>
    <n v="1"/>
    <n v="1"/>
    <n v="1"/>
    <n v="0"/>
    <s v="Laborers"/>
    <x v="1"/>
  </r>
  <r>
    <n v="5143036"/>
    <x v="1"/>
    <s v="N"/>
    <s v="N"/>
    <n v="1"/>
    <x v="18"/>
    <x v="2"/>
    <x v="0"/>
    <x v="1"/>
    <x v="0"/>
    <d v="1997-04-20T00:00:00"/>
    <n v="-10108"/>
    <x v="2078"/>
    <x v="4"/>
    <n v="-1473"/>
    <n v="4.0328542094455848"/>
    <x v="1"/>
    <n v="1"/>
    <n v="1"/>
    <n v="0"/>
    <n v="0"/>
    <s v="High skill tech staff"/>
    <x v="3"/>
  </r>
  <r>
    <n v="5143040"/>
    <x v="0"/>
    <s v="N"/>
    <s v="N"/>
    <n v="0"/>
    <x v="1"/>
    <x v="3"/>
    <x v="0"/>
    <x v="2"/>
    <x v="0"/>
    <d v="1996-08-01T00:00:00"/>
    <n v="-10370"/>
    <x v="2142"/>
    <x v="4"/>
    <n v="-1384"/>
    <n v="3.7891854893908281"/>
    <x v="1"/>
    <n v="1"/>
    <n v="1"/>
    <n v="0"/>
    <n v="0"/>
    <s v="Accountants"/>
    <x v="0"/>
  </r>
  <r>
    <n v="5143049"/>
    <x v="1"/>
    <s v="Y"/>
    <s v="N"/>
    <n v="2"/>
    <x v="14"/>
    <x v="2"/>
    <x v="1"/>
    <x v="1"/>
    <x v="0"/>
    <d v="1981-02-01T00:00:00"/>
    <n v="-16030"/>
    <x v="2786"/>
    <x v="1"/>
    <n v="-2540"/>
    <n v="6.9541409993155376"/>
    <x v="1"/>
    <n v="1"/>
    <n v="1"/>
    <n v="0"/>
    <n v="0"/>
    <s v="Drivers"/>
    <x v="2"/>
  </r>
  <r>
    <n v="5143050"/>
    <x v="1"/>
    <s v="Y"/>
    <s v="N"/>
    <n v="2"/>
    <x v="14"/>
    <x v="2"/>
    <x v="1"/>
    <x v="1"/>
    <x v="0"/>
    <d v="1981-02-01T00:00:00"/>
    <n v="-16030"/>
    <x v="2786"/>
    <x v="1"/>
    <n v="-2540"/>
    <n v="6.9541409993155376"/>
    <x v="1"/>
    <n v="1"/>
    <n v="1"/>
    <n v="0"/>
    <n v="0"/>
    <s v="Drivers"/>
    <x v="2"/>
  </r>
  <r>
    <n v="5143051"/>
    <x v="1"/>
    <s v="N"/>
    <s v="N"/>
    <n v="0"/>
    <x v="16"/>
    <x v="1"/>
    <x v="1"/>
    <x v="1"/>
    <x v="0"/>
    <d v="1986-06-15T00:00:00"/>
    <n v="-14070"/>
    <x v="2787"/>
    <x v="3"/>
    <n v="-1565"/>
    <n v="4.2847364818617386"/>
    <x v="1"/>
    <n v="1"/>
    <n v="1"/>
    <n v="1"/>
    <n v="0"/>
    <s v="Laborers"/>
    <x v="1"/>
  </r>
  <r>
    <n v="5143072"/>
    <x v="0"/>
    <s v="Y"/>
    <s v="N"/>
    <n v="1"/>
    <x v="5"/>
    <x v="2"/>
    <x v="0"/>
    <x v="1"/>
    <x v="0"/>
    <d v="1998-06-05T00:00:00"/>
    <n v="-9697"/>
    <x v="2788"/>
    <x v="4"/>
    <n v="-257"/>
    <n v="0.70362765229294999"/>
    <x v="1"/>
    <n v="1"/>
    <n v="0"/>
    <n v="0"/>
    <n v="0"/>
    <s v="Sales staff"/>
    <x v="3"/>
  </r>
  <r>
    <n v="5143075"/>
    <x v="0"/>
    <s v="Y"/>
    <s v="N"/>
    <n v="1"/>
    <x v="5"/>
    <x v="2"/>
    <x v="0"/>
    <x v="1"/>
    <x v="0"/>
    <d v="1998-06-05T00:00:00"/>
    <n v="-9697"/>
    <x v="2788"/>
    <x v="4"/>
    <n v="-257"/>
    <n v="0.70362765229294999"/>
    <x v="1"/>
    <n v="1"/>
    <n v="0"/>
    <n v="0"/>
    <n v="0"/>
    <s v="Sales staff"/>
    <x v="3"/>
  </r>
  <r>
    <n v="5143081"/>
    <x v="0"/>
    <s v="Y"/>
    <s v="N"/>
    <n v="0"/>
    <x v="8"/>
    <x v="1"/>
    <x v="1"/>
    <x v="1"/>
    <x v="0"/>
    <d v="1986-11-06T00:00:00"/>
    <n v="-13926"/>
    <x v="2789"/>
    <x v="3"/>
    <n v="-500"/>
    <n v="1.3689253935660506"/>
    <x v="1"/>
    <n v="1"/>
    <n v="0"/>
    <n v="0"/>
    <n v="0"/>
    <s v="Sales staff"/>
    <x v="1"/>
  </r>
  <r>
    <n v="5143093"/>
    <x v="1"/>
    <s v="Y"/>
    <s v="N"/>
    <n v="0"/>
    <x v="16"/>
    <x v="2"/>
    <x v="0"/>
    <x v="1"/>
    <x v="2"/>
    <d v="1989-07-03T00:00:00"/>
    <n v="-12956"/>
    <x v="2790"/>
    <x v="3"/>
    <n v="-5553"/>
    <n v="15.203285420944558"/>
    <x v="1"/>
    <n v="1"/>
    <n v="0"/>
    <n v="0"/>
    <n v="0"/>
    <m/>
    <x v="1"/>
  </r>
  <r>
    <n v="5143099"/>
    <x v="1"/>
    <s v="Y"/>
    <s v="N"/>
    <n v="0"/>
    <x v="16"/>
    <x v="2"/>
    <x v="0"/>
    <x v="1"/>
    <x v="2"/>
    <d v="1989-07-03T00:00:00"/>
    <n v="-12956"/>
    <x v="2790"/>
    <x v="3"/>
    <n v="-5553"/>
    <n v="15.203285420944558"/>
    <x v="1"/>
    <n v="1"/>
    <n v="0"/>
    <n v="0"/>
    <n v="0"/>
    <m/>
    <x v="1"/>
  </r>
  <r>
    <n v="5143122"/>
    <x v="0"/>
    <s v="N"/>
    <s v="N"/>
    <n v="2"/>
    <x v="2"/>
    <x v="1"/>
    <x v="1"/>
    <x v="1"/>
    <x v="0"/>
    <d v="1983-06-19T00:00:00"/>
    <n v="-15162"/>
    <x v="2791"/>
    <x v="1"/>
    <n v="-1810"/>
    <n v="4.9555099247091032"/>
    <x v="1"/>
    <n v="1"/>
    <n v="1"/>
    <n v="0"/>
    <n v="0"/>
    <m/>
    <x v="2"/>
  </r>
  <r>
    <n v="5143149"/>
    <x v="1"/>
    <s v="Y"/>
    <s v="N"/>
    <n v="0"/>
    <x v="14"/>
    <x v="1"/>
    <x v="2"/>
    <x v="2"/>
    <x v="0"/>
    <d v="1999-02-23T00:00:00"/>
    <n v="-9434"/>
    <x v="2792"/>
    <x v="4"/>
    <n v="-1261"/>
    <n v="3.4524298425735798"/>
    <x v="1"/>
    <n v="1"/>
    <n v="1"/>
    <n v="0"/>
    <n v="0"/>
    <m/>
    <x v="0"/>
  </r>
  <r>
    <n v="5143162"/>
    <x v="0"/>
    <s v="Y"/>
    <s v="N"/>
    <n v="0"/>
    <x v="157"/>
    <x v="2"/>
    <x v="0"/>
    <x v="2"/>
    <x v="0"/>
    <d v="1972-07-31T00:00:00"/>
    <n v="-19137"/>
    <x v="2793"/>
    <x v="2"/>
    <n v="-349"/>
    <n v="0.95550992470910334"/>
    <x v="1"/>
    <n v="1"/>
    <n v="1"/>
    <n v="1"/>
    <n v="1"/>
    <s v="Managers"/>
    <x v="0"/>
  </r>
  <r>
    <n v="5143172"/>
    <x v="1"/>
    <s v="Y"/>
    <s v="N"/>
    <n v="0"/>
    <x v="8"/>
    <x v="1"/>
    <x v="1"/>
    <x v="2"/>
    <x v="0"/>
    <d v="1977-02-19T00:00:00"/>
    <n v="-17473"/>
    <x v="2794"/>
    <x v="1"/>
    <n v="-2631"/>
    <n v="7.2032854209445585"/>
    <x v="1"/>
    <n v="1"/>
    <n v="0"/>
    <n v="0"/>
    <n v="0"/>
    <s v="Managers"/>
    <x v="0"/>
  </r>
  <r>
    <n v="5143175"/>
    <x v="1"/>
    <s v="Y"/>
    <s v="N"/>
    <n v="0"/>
    <x v="8"/>
    <x v="1"/>
    <x v="1"/>
    <x v="2"/>
    <x v="0"/>
    <d v="1977-02-19T00:00:00"/>
    <n v="-17473"/>
    <x v="2794"/>
    <x v="1"/>
    <n v="-2631"/>
    <n v="7.2032854209445585"/>
    <x v="1"/>
    <n v="1"/>
    <n v="0"/>
    <n v="0"/>
    <n v="0"/>
    <s v="Managers"/>
    <x v="0"/>
  </r>
  <r>
    <n v="5143183"/>
    <x v="1"/>
    <s v="Y"/>
    <s v="N"/>
    <n v="0"/>
    <x v="8"/>
    <x v="1"/>
    <x v="1"/>
    <x v="2"/>
    <x v="0"/>
    <d v="1977-02-19T00:00:00"/>
    <n v="-17473"/>
    <x v="2794"/>
    <x v="1"/>
    <n v="-2631"/>
    <n v="7.2032854209445585"/>
    <x v="1"/>
    <n v="1"/>
    <n v="0"/>
    <n v="0"/>
    <n v="0"/>
    <s v="Managers"/>
    <x v="0"/>
  </r>
  <r>
    <n v="5143185"/>
    <x v="0"/>
    <s v="N"/>
    <s v="Y"/>
    <n v="1"/>
    <x v="5"/>
    <x v="1"/>
    <x v="1"/>
    <x v="3"/>
    <x v="0"/>
    <d v="1989-05-29T00:00:00"/>
    <n v="-12991"/>
    <x v="2795"/>
    <x v="3"/>
    <n v="-1596"/>
    <n v="4.3696098562628336"/>
    <x v="1"/>
    <n v="1"/>
    <n v="0"/>
    <n v="1"/>
    <n v="0"/>
    <s v="Core staff"/>
    <x v="3"/>
  </r>
  <r>
    <n v="5143199"/>
    <x v="1"/>
    <s v="Y"/>
    <s v="N"/>
    <n v="0"/>
    <x v="11"/>
    <x v="3"/>
    <x v="1"/>
    <x v="1"/>
    <x v="0"/>
    <d v="1991-06-14T00:00:00"/>
    <n v="-12245"/>
    <x v="1335"/>
    <x v="3"/>
    <n v="-3271"/>
    <n v="8.9555099247091032"/>
    <x v="1"/>
    <n v="1"/>
    <n v="1"/>
    <n v="0"/>
    <n v="0"/>
    <m/>
    <x v="1"/>
  </r>
  <r>
    <n v="5143202"/>
    <x v="1"/>
    <s v="Y"/>
    <s v="N"/>
    <n v="0"/>
    <x v="11"/>
    <x v="3"/>
    <x v="1"/>
    <x v="1"/>
    <x v="0"/>
    <d v="1991-06-14T00:00:00"/>
    <n v="-12245"/>
    <x v="1335"/>
    <x v="3"/>
    <n v="-3271"/>
    <n v="8.9555099247091032"/>
    <x v="1"/>
    <n v="1"/>
    <n v="1"/>
    <n v="0"/>
    <n v="0"/>
    <m/>
    <x v="1"/>
  </r>
  <r>
    <n v="5143206"/>
    <x v="0"/>
    <s v="N"/>
    <s v="Y"/>
    <n v="1"/>
    <x v="6"/>
    <x v="2"/>
    <x v="1"/>
    <x v="1"/>
    <x v="0"/>
    <d v="1984-07-10T00:00:00"/>
    <n v="-14775"/>
    <x v="2001"/>
    <x v="1"/>
    <n v="-7866"/>
    <n v="21.535934291581111"/>
    <x v="1"/>
    <n v="1"/>
    <n v="0"/>
    <n v="0"/>
    <n v="0"/>
    <s v="Secretaries"/>
    <x v="3"/>
  </r>
  <r>
    <n v="5143207"/>
    <x v="0"/>
    <s v="N"/>
    <s v="Y"/>
    <n v="1"/>
    <x v="6"/>
    <x v="2"/>
    <x v="1"/>
    <x v="1"/>
    <x v="0"/>
    <d v="1984-07-10T00:00:00"/>
    <n v="-14775"/>
    <x v="2001"/>
    <x v="1"/>
    <n v="-7866"/>
    <n v="21.535934291581111"/>
    <x v="1"/>
    <n v="1"/>
    <n v="0"/>
    <n v="0"/>
    <n v="0"/>
    <s v="Secretaries"/>
    <x v="3"/>
  </r>
  <r>
    <n v="5143223"/>
    <x v="0"/>
    <s v="N"/>
    <s v="Y"/>
    <n v="0"/>
    <x v="37"/>
    <x v="0"/>
    <x v="3"/>
    <x v="2"/>
    <x v="0"/>
    <d v="1964-05-06T00:00:00"/>
    <n v="-22145"/>
    <x v="2796"/>
    <x v="0"/>
    <n v="365243"/>
    <n v="0"/>
    <x v="0"/>
    <n v="1"/>
    <n v="0"/>
    <n v="0"/>
    <n v="0"/>
    <m/>
    <x v="0"/>
  </r>
  <r>
    <n v="5143225"/>
    <x v="0"/>
    <s v="N"/>
    <s v="Y"/>
    <n v="0"/>
    <x v="37"/>
    <x v="0"/>
    <x v="3"/>
    <x v="2"/>
    <x v="0"/>
    <d v="1964-05-06T00:00:00"/>
    <n v="-22145"/>
    <x v="2796"/>
    <x v="0"/>
    <n v="365243"/>
    <n v="0"/>
    <x v="0"/>
    <n v="1"/>
    <n v="0"/>
    <n v="0"/>
    <n v="0"/>
    <m/>
    <x v="0"/>
  </r>
  <r>
    <n v="5143227"/>
    <x v="0"/>
    <s v="N"/>
    <s v="Y"/>
    <n v="0"/>
    <x v="37"/>
    <x v="0"/>
    <x v="3"/>
    <x v="2"/>
    <x v="0"/>
    <d v="1964-05-06T00:00:00"/>
    <n v="-22145"/>
    <x v="2796"/>
    <x v="0"/>
    <n v="365243"/>
    <n v="0"/>
    <x v="0"/>
    <n v="1"/>
    <n v="0"/>
    <n v="0"/>
    <n v="0"/>
    <m/>
    <x v="0"/>
  </r>
  <r>
    <n v="5143234"/>
    <x v="0"/>
    <s v="Y"/>
    <s v="Y"/>
    <n v="1"/>
    <x v="158"/>
    <x v="1"/>
    <x v="0"/>
    <x v="2"/>
    <x v="0"/>
    <d v="1997-03-17T00:00:00"/>
    <n v="-10142"/>
    <x v="2797"/>
    <x v="4"/>
    <n v="-2479"/>
    <n v="6.7871321013004788"/>
    <x v="1"/>
    <n v="1"/>
    <n v="0"/>
    <n v="0"/>
    <n v="0"/>
    <s v="Managers"/>
    <x v="1"/>
  </r>
  <r>
    <n v="5143235"/>
    <x v="0"/>
    <s v="Y"/>
    <s v="Y"/>
    <n v="1"/>
    <x v="158"/>
    <x v="1"/>
    <x v="0"/>
    <x v="2"/>
    <x v="0"/>
    <d v="1997-03-17T00:00:00"/>
    <n v="-10142"/>
    <x v="2797"/>
    <x v="4"/>
    <n v="-2479"/>
    <n v="6.7871321013004788"/>
    <x v="1"/>
    <n v="1"/>
    <n v="0"/>
    <n v="0"/>
    <n v="0"/>
    <s v="Managers"/>
    <x v="1"/>
  </r>
  <r>
    <n v="5143244"/>
    <x v="0"/>
    <s v="N"/>
    <s v="N"/>
    <n v="0"/>
    <x v="1"/>
    <x v="3"/>
    <x v="0"/>
    <x v="0"/>
    <x v="2"/>
    <d v="1971-07-20T00:00:00"/>
    <n v="-19514"/>
    <x v="2798"/>
    <x v="2"/>
    <n v="-1991"/>
    <n v="5.4510609171800137"/>
    <x v="1"/>
    <n v="1"/>
    <n v="1"/>
    <n v="0"/>
    <n v="0"/>
    <s v="IT staff"/>
    <x v="0"/>
  </r>
  <r>
    <n v="5143252"/>
    <x v="0"/>
    <s v="N"/>
    <s v="Y"/>
    <n v="0"/>
    <x v="5"/>
    <x v="0"/>
    <x v="1"/>
    <x v="1"/>
    <x v="0"/>
    <d v="1968-08-20T00:00:00"/>
    <n v="-20578"/>
    <x v="2799"/>
    <x v="2"/>
    <n v="365243"/>
    <n v="0"/>
    <x v="0"/>
    <n v="1"/>
    <n v="0"/>
    <n v="1"/>
    <n v="0"/>
    <m/>
    <x v="1"/>
  </r>
  <r>
    <n v="5143267"/>
    <x v="0"/>
    <s v="N"/>
    <s v="Y"/>
    <n v="0"/>
    <x v="5"/>
    <x v="0"/>
    <x v="1"/>
    <x v="1"/>
    <x v="0"/>
    <d v="1968-08-20T00:00:00"/>
    <n v="-20578"/>
    <x v="2799"/>
    <x v="2"/>
    <n v="365243"/>
    <n v="0"/>
    <x v="0"/>
    <n v="1"/>
    <n v="0"/>
    <n v="1"/>
    <n v="0"/>
    <m/>
    <x v="1"/>
  </r>
  <r>
    <n v="5143269"/>
    <x v="0"/>
    <s v="N"/>
    <s v="Y"/>
    <n v="0"/>
    <x v="5"/>
    <x v="0"/>
    <x v="1"/>
    <x v="1"/>
    <x v="0"/>
    <d v="1968-08-20T00:00:00"/>
    <n v="-20578"/>
    <x v="2799"/>
    <x v="2"/>
    <n v="365243"/>
    <n v="0"/>
    <x v="0"/>
    <n v="1"/>
    <n v="0"/>
    <n v="1"/>
    <n v="0"/>
    <m/>
    <x v="1"/>
  </r>
  <r>
    <n v="5143281"/>
    <x v="1"/>
    <s v="Y"/>
    <s v="Y"/>
    <n v="0"/>
    <x v="61"/>
    <x v="2"/>
    <x v="1"/>
    <x v="1"/>
    <x v="0"/>
    <d v="1975-09-20T00:00:00"/>
    <n v="-17991"/>
    <x v="2800"/>
    <x v="1"/>
    <n v="-683"/>
    <n v="1.8699520876112252"/>
    <x v="1"/>
    <n v="1"/>
    <n v="0"/>
    <n v="0"/>
    <n v="0"/>
    <s v="Sales staff"/>
    <x v="1"/>
  </r>
  <r>
    <n v="5143303"/>
    <x v="0"/>
    <s v="N"/>
    <s v="Y"/>
    <n v="0"/>
    <x v="15"/>
    <x v="1"/>
    <x v="1"/>
    <x v="2"/>
    <x v="0"/>
    <d v="1979-10-06T00:00:00"/>
    <n v="-16514"/>
    <x v="2801"/>
    <x v="1"/>
    <n v="-5187"/>
    <n v="14.201232032854209"/>
    <x v="1"/>
    <n v="1"/>
    <n v="0"/>
    <n v="0"/>
    <n v="0"/>
    <s v="Managers"/>
    <x v="0"/>
  </r>
  <r>
    <n v="5143311"/>
    <x v="1"/>
    <s v="N"/>
    <s v="Y"/>
    <n v="0"/>
    <x v="156"/>
    <x v="0"/>
    <x v="1"/>
    <x v="0"/>
    <x v="0"/>
    <d v="1966-09-30T00:00:00"/>
    <n v="-21268"/>
    <x v="300"/>
    <x v="2"/>
    <n v="365243"/>
    <n v="0"/>
    <x v="0"/>
    <n v="1"/>
    <n v="0"/>
    <n v="0"/>
    <n v="0"/>
    <m/>
    <x v="0"/>
  </r>
  <r>
    <n v="5143324"/>
    <x v="0"/>
    <s v="N"/>
    <s v="Y"/>
    <n v="0"/>
    <x v="1"/>
    <x v="1"/>
    <x v="0"/>
    <x v="3"/>
    <x v="0"/>
    <d v="1968-08-02T00:00:00"/>
    <n v="-20596"/>
    <x v="2802"/>
    <x v="2"/>
    <n v="-5156"/>
    <n v="14.116358658453114"/>
    <x v="1"/>
    <n v="1"/>
    <n v="0"/>
    <n v="0"/>
    <n v="0"/>
    <s v="High skill tech staff"/>
    <x v="1"/>
  </r>
  <r>
    <n v="5143339"/>
    <x v="1"/>
    <s v="N"/>
    <s v="N"/>
    <n v="1"/>
    <x v="7"/>
    <x v="2"/>
    <x v="1"/>
    <x v="1"/>
    <x v="4"/>
    <d v="1989-07-13T00:00:00"/>
    <n v="-12946"/>
    <x v="1409"/>
    <x v="3"/>
    <n v="-2418"/>
    <n v="6.6201232032854209"/>
    <x v="1"/>
    <n v="1"/>
    <n v="0"/>
    <n v="0"/>
    <n v="1"/>
    <s v="Laborers"/>
    <x v="3"/>
  </r>
  <r>
    <n v="5143344"/>
    <x v="1"/>
    <s v="N"/>
    <s v="N"/>
    <n v="1"/>
    <x v="7"/>
    <x v="2"/>
    <x v="1"/>
    <x v="1"/>
    <x v="4"/>
    <d v="1989-07-13T00:00:00"/>
    <n v="-12946"/>
    <x v="1409"/>
    <x v="3"/>
    <n v="-2418"/>
    <n v="6.6201232032854209"/>
    <x v="1"/>
    <n v="1"/>
    <n v="0"/>
    <n v="0"/>
    <n v="1"/>
    <s v="Laborers"/>
    <x v="3"/>
  </r>
  <r>
    <n v="5143357"/>
    <x v="0"/>
    <s v="N"/>
    <s v="Y"/>
    <n v="0"/>
    <x v="3"/>
    <x v="2"/>
    <x v="1"/>
    <x v="1"/>
    <x v="0"/>
    <d v="1962-07-10T00:00:00"/>
    <n v="-22811"/>
    <x v="2803"/>
    <x v="0"/>
    <n v="-2234"/>
    <n v="6.1163586584531142"/>
    <x v="1"/>
    <n v="1"/>
    <n v="1"/>
    <n v="1"/>
    <n v="0"/>
    <s v="High skill tech staff"/>
    <x v="1"/>
  </r>
  <r>
    <n v="5143358"/>
    <x v="0"/>
    <s v="N"/>
    <s v="Y"/>
    <n v="0"/>
    <x v="3"/>
    <x v="2"/>
    <x v="1"/>
    <x v="1"/>
    <x v="0"/>
    <d v="1962-07-10T00:00:00"/>
    <n v="-22811"/>
    <x v="2803"/>
    <x v="0"/>
    <n v="-2234"/>
    <n v="6.1163586584531142"/>
    <x v="1"/>
    <n v="1"/>
    <n v="1"/>
    <n v="1"/>
    <n v="0"/>
    <s v="High skill tech staff"/>
    <x v="1"/>
  </r>
  <r>
    <n v="5143359"/>
    <x v="0"/>
    <s v="N"/>
    <s v="Y"/>
    <n v="0"/>
    <x v="3"/>
    <x v="2"/>
    <x v="1"/>
    <x v="1"/>
    <x v="0"/>
    <d v="1962-07-10T00:00:00"/>
    <n v="-22811"/>
    <x v="2803"/>
    <x v="0"/>
    <n v="-2234"/>
    <n v="6.1163586584531142"/>
    <x v="1"/>
    <n v="1"/>
    <n v="1"/>
    <n v="1"/>
    <n v="0"/>
    <s v="High skill tech staff"/>
    <x v="1"/>
  </r>
  <r>
    <n v="5143370"/>
    <x v="0"/>
    <s v="N"/>
    <s v="N"/>
    <n v="0"/>
    <x v="2"/>
    <x v="0"/>
    <x v="1"/>
    <x v="1"/>
    <x v="0"/>
    <d v="1959-04-07T00:00:00"/>
    <n v="-24001"/>
    <x v="2804"/>
    <x v="0"/>
    <n v="365243"/>
    <n v="0"/>
    <x v="0"/>
    <n v="1"/>
    <n v="0"/>
    <n v="0"/>
    <n v="0"/>
    <m/>
    <x v="1"/>
  </r>
  <r>
    <n v="5143381"/>
    <x v="1"/>
    <s v="Y"/>
    <s v="Y"/>
    <n v="0"/>
    <x v="55"/>
    <x v="2"/>
    <x v="1"/>
    <x v="1"/>
    <x v="0"/>
    <d v="1974-03-17T00:00:00"/>
    <n v="-18543"/>
    <x v="2805"/>
    <x v="2"/>
    <n v="-1353"/>
    <n v="3.7043121149897331"/>
    <x v="1"/>
    <n v="1"/>
    <n v="0"/>
    <n v="0"/>
    <n v="0"/>
    <m/>
    <x v="1"/>
  </r>
  <r>
    <n v="5143385"/>
    <x v="1"/>
    <s v="Y"/>
    <s v="Y"/>
    <n v="0"/>
    <x v="55"/>
    <x v="2"/>
    <x v="1"/>
    <x v="1"/>
    <x v="0"/>
    <d v="1974-03-17T00:00:00"/>
    <n v="-18543"/>
    <x v="2805"/>
    <x v="2"/>
    <n v="-1353"/>
    <n v="3.7043121149897331"/>
    <x v="1"/>
    <n v="1"/>
    <n v="0"/>
    <n v="0"/>
    <n v="0"/>
    <m/>
    <x v="1"/>
  </r>
  <r>
    <n v="5143386"/>
    <x v="1"/>
    <s v="Y"/>
    <s v="Y"/>
    <n v="0"/>
    <x v="55"/>
    <x v="2"/>
    <x v="1"/>
    <x v="1"/>
    <x v="0"/>
    <d v="1974-03-17T00:00:00"/>
    <n v="-18543"/>
    <x v="2805"/>
    <x v="2"/>
    <n v="-1353"/>
    <n v="3.7043121149897331"/>
    <x v="1"/>
    <n v="1"/>
    <n v="0"/>
    <n v="0"/>
    <n v="0"/>
    <m/>
    <x v="1"/>
  </r>
  <r>
    <n v="5143396"/>
    <x v="0"/>
    <s v="N"/>
    <s v="Y"/>
    <n v="0"/>
    <x v="33"/>
    <x v="2"/>
    <x v="0"/>
    <x v="2"/>
    <x v="0"/>
    <d v="1995-07-06T00:00:00"/>
    <n v="-10762"/>
    <x v="2806"/>
    <x v="4"/>
    <n v="-683"/>
    <n v="1.8699520876112252"/>
    <x v="1"/>
    <n v="1"/>
    <n v="0"/>
    <n v="1"/>
    <n v="0"/>
    <s v="Core staff"/>
    <x v="0"/>
  </r>
  <r>
    <n v="5143405"/>
    <x v="1"/>
    <s v="Y"/>
    <s v="Y"/>
    <n v="0"/>
    <x v="23"/>
    <x v="1"/>
    <x v="0"/>
    <x v="1"/>
    <x v="0"/>
    <d v="1972-03-20T00:00:00"/>
    <n v="-19270"/>
    <x v="2807"/>
    <x v="2"/>
    <n v="-2356"/>
    <n v="6.4503764544832309"/>
    <x v="1"/>
    <n v="1"/>
    <n v="0"/>
    <n v="1"/>
    <n v="0"/>
    <s v="Managers"/>
    <x v="1"/>
  </r>
  <r>
    <n v="5143417"/>
    <x v="0"/>
    <s v="N"/>
    <s v="Y"/>
    <n v="2"/>
    <x v="1"/>
    <x v="2"/>
    <x v="2"/>
    <x v="1"/>
    <x v="0"/>
    <d v="1995-12-17T00:00:00"/>
    <n v="-10598"/>
    <x v="2808"/>
    <x v="4"/>
    <n v="-2175"/>
    <n v="5.9548254620123204"/>
    <x v="1"/>
    <n v="1"/>
    <n v="0"/>
    <n v="0"/>
    <n v="1"/>
    <s v="Sales staff"/>
    <x v="2"/>
  </r>
  <r>
    <n v="5143425"/>
    <x v="1"/>
    <s v="Y"/>
    <s v="N"/>
    <n v="1"/>
    <x v="12"/>
    <x v="3"/>
    <x v="0"/>
    <x v="1"/>
    <x v="4"/>
    <d v="2000-01-28T00:00:00"/>
    <n v="-9095"/>
    <x v="2809"/>
    <x v="4"/>
    <n v="-926"/>
    <n v="2.5352498288843259"/>
    <x v="1"/>
    <n v="1"/>
    <n v="0"/>
    <n v="0"/>
    <n v="0"/>
    <s v="Core staff"/>
    <x v="3"/>
  </r>
  <r>
    <n v="5143428"/>
    <x v="0"/>
    <s v="N"/>
    <s v="Y"/>
    <n v="0"/>
    <x v="16"/>
    <x v="0"/>
    <x v="1"/>
    <x v="2"/>
    <x v="0"/>
    <d v="1960-10-28T00:00:00"/>
    <n v="-23431"/>
    <x v="2810"/>
    <x v="0"/>
    <n v="365243"/>
    <n v="0"/>
    <x v="0"/>
    <n v="1"/>
    <n v="0"/>
    <n v="0"/>
    <n v="0"/>
    <m/>
    <x v="0"/>
  </r>
  <r>
    <n v="5143441"/>
    <x v="0"/>
    <s v="N"/>
    <s v="Y"/>
    <n v="0"/>
    <x v="32"/>
    <x v="0"/>
    <x v="0"/>
    <x v="2"/>
    <x v="0"/>
    <d v="1962-10-02T00:00:00"/>
    <n v="-22727"/>
    <x v="2811"/>
    <x v="0"/>
    <n v="365243"/>
    <n v="0"/>
    <x v="0"/>
    <n v="1"/>
    <n v="0"/>
    <n v="0"/>
    <n v="0"/>
    <m/>
    <x v="0"/>
  </r>
  <r>
    <n v="5143487"/>
    <x v="1"/>
    <s v="N"/>
    <s v="Y"/>
    <n v="1"/>
    <x v="5"/>
    <x v="1"/>
    <x v="1"/>
    <x v="1"/>
    <x v="0"/>
    <d v="1992-04-19T00:00:00"/>
    <n v="-11935"/>
    <x v="2812"/>
    <x v="3"/>
    <n v="-1200"/>
    <n v="3.2854209445585214"/>
    <x v="1"/>
    <n v="1"/>
    <n v="0"/>
    <n v="0"/>
    <n v="0"/>
    <s v="Drivers"/>
    <x v="3"/>
  </r>
  <r>
    <n v="5143503"/>
    <x v="0"/>
    <s v="N"/>
    <s v="Y"/>
    <n v="1"/>
    <x v="43"/>
    <x v="2"/>
    <x v="0"/>
    <x v="1"/>
    <x v="0"/>
    <d v="1992-03-04T00:00:00"/>
    <n v="-11981"/>
    <x v="2813"/>
    <x v="3"/>
    <n v="-2965"/>
    <n v="8.1177275838466798"/>
    <x v="1"/>
    <n v="1"/>
    <n v="1"/>
    <n v="0"/>
    <n v="0"/>
    <s v="Accountants"/>
    <x v="3"/>
  </r>
  <r>
    <n v="5143504"/>
    <x v="0"/>
    <s v="N"/>
    <s v="Y"/>
    <n v="1"/>
    <x v="43"/>
    <x v="2"/>
    <x v="0"/>
    <x v="1"/>
    <x v="0"/>
    <d v="1992-03-04T00:00:00"/>
    <n v="-11981"/>
    <x v="2813"/>
    <x v="3"/>
    <n v="-2965"/>
    <n v="8.1177275838466798"/>
    <x v="1"/>
    <n v="1"/>
    <n v="1"/>
    <n v="0"/>
    <n v="0"/>
    <s v="Accountants"/>
    <x v="3"/>
  </r>
  <r>
    <n v="5143516"/>
    <x v="0"/>
    <s v="N"/>
    <s v="Y"/>
    <n v="0"/>
    <x v="39"/>
    <x v="0"/>
    <x v="1"/>
    <x v="2"/>
    <x v="0"/>
    <d v="1961-03-28T00:00:00"/>
    <n v="-23280"/>
    <x v="2814"/>
    <x v="0"/>
    <n v="365243"/>
    <n v="0"/>
    <x v="0"/>
    <n v="1"/>
    <n v="0"/>
    <n v="0"/>
    <n v="0"/>
    <m/>
    <x v="0"/>
  </r>
  <r>
    <n v="5143533"/>
    <x v="0"/>
    <s v="N"/>
    <s v="Y"/>
    <n v="0"/>
    <x v="18"/>
    <x v="2"/>
    <x v="0"/>
    <x v="2"/>
    <x v="0"/>
    <d v="1979-05-05T00:00:00"/>
    <n v="-16668"/>
    <x v="2815"/>
    <x v="1"/>
    <n v="-377"/>
    <n v="1.0321697467488022"/>
    <x v="1"/>
    <n v="1"/>
    <n v="0"/>
    <n v="0"/>
    <n v="0"/>
    <s v="Sales staff"/>
    <x v="0"/>
  </r>
  <r>
    <n v="5143534"/>
    <x v="0"/>
    <s v="N"/>
    <s v="Y"/>
    <n v="0"/>
    <x v="18"/>
    <x v="2"/>
    <x v="0"/>
    <x v="2"/>
    <x v="0"/>
    <d v="1979-05-05T00:00:00"/>
    <n v="-16668"/>
    <x v="2815"/>
    <x v="1"/>
    <n v="-377"/>
    <n v="1.0321697467488022"/>
    <x v="1"/>
    <n v="1"/>
    <n v="0"/>
    <n v="0"/>
    <n v="0"/>
    <s v="Sales staff"/>
    <x v="0"/>
  </r>
  <r>
    <n v="5143546"/>
    <x v="0"/>
    <s v="N"/>
    <s v="Y"/>
    <n v="0"/>
    <x v="2"/>
    <x v="2"/>
    <x v="1"/>
    <x v="1"/>
    <x v="0"/>
    <d v="1974-07-03T00:00:00"/>
    <n v="-18435"/>
    <x v="2816"/>
    <x v="2"/>
    <n v="-2175"/>
    <n v="5.9548254620123204"/>
    <x v="1"/>
    <n v="1"/>
    <n v="0"/>
    <n v="1"/>
    <n v="0"/>
    <s v="Sales staff"/>
    <x v="1"/>
  </r>
  <r>
    <n v="5143552"/>
    <x v="0"/>
    <s v="N"/>
    <s v="Y"/>
    <n v="0"/>
    <x v="2"/>
    <x v="2"/>
    <x v="1"/>
    <x v="1"/>
    <x v="0"/>
    <d v="1974-07-03T00:00:00"/>
    <n v="-18435"/>
    <x v="2816"/>
    <x v="2"/>
    <n v="-2175"/>
    <n v="5.9548254620123204"/>
    <x v="1"/>
    <n v="1"/>
    <n v="0"/>
    <n v="1"/>
    <n v="0"/>
    <s v="Sales staff"/>
    <x v="1"/>
  </r>
  <r>
    <n v="5143562"/>
    <x v="1"/>
    <s v="N"/>
    <s v="N"/>
    <n v="2"/>
    <x v="11"/>
    <x v="2"/>
    <x v="1"/>
    <x v="1"/>
    <x v="2"/>
    <d v="1994-12-26T00:00:00"/>
    <n v="-10954"/>
    <x v="2817"/>
    <x v="4"/>
    <n v="-745"/>
    <n v="2.0396988364134154"/>
    <x v="1"/>
    <n v="1"/>
    <n v="0"/>
    <n v="0"/>
    <n v="0"/>
    <s v="Drivers"/>
    <x v="2"/>
  </r>
  <r>
    <n v="5143566"/>
    <x v="1"/>
    <s v="Y"/>
    <s v="Y"/>
    <n v="0"/>
    <x v="18"/>
    <x v="2"/>
    <x v="1"/>
    <x v="1"/>
    <x v="0"/>
    <d v="1973-04-15T00:00:00"/>
    <n v="-18879"/>
    <x v="1898"/>
    <x v="2"/>
    <n v="-2025"/>
    <n v="5.5441478439425049"/>
    <x v="1"/>
    <n v="1"/>
    <n v="0"/>
    <n v="0"/>
    <n v="0"/>
    <s v="Managers"/>
    <x v="1"/>
  </r>
  <r>
    <n v="5143573"/>
    <x v="1"/>
    <s v="Y"/>
    <s v="N"/>
    <n v="0"/>
    <x v="5"/>
    <x v="2"/>
    <x v="2"/>
    <x v="1"/>
    <x v="2"/>
    <d v="1999-12-30T00:00:00"/>
    <n v="-9124"/>
    <x v="2818"/>
    <x v="4"/>
    <n v="-960"/>
    <n v="2.6283367556468171"/>
    <x v="1"/>
    <n v="1"/>
    <n v="1"/>
    <n v="0"/>
    <n v="0"/>
    <s v="Drivers"/>
    <x v="1"/>
  </r>
  <r>
    <n v="5143597"/>
    <x v="0"/>
    <s v="N"/>
    <s v="N"/>
    <n v="0"/>
    <x v="30"/>
    <x v="2"/>
    <x v="1"/>
    <x v="3"/>
    <x v="0"/>
    <d v="1993-02-09T00:00:00"/>
    <n v="-11639"/>
    <x v="2819"/>
    <x v="3"/>
    <n v="-3333"/>
    <n v="9.1252566735112932"/>
    <x v="1"/>
    <n v="1"/>
    <n v="1"/>
    <n v="0"/>
    <n v="0"/>
    <s v="Waiters/barmen staff"/>
    <x v="1"/>
  </r>
  <r>
    <n v="5143600"/>
    <x v="0"/>
    <s v="N"/>
    <s v="N"/>
    <n v="0"/>
    <x v="30"/>
    <x v="2"/>
    <x v="1"/>
    <x v="3"/>
    <x v="0"/>
    <d v="1993-02-09T00:00:00"/>
    <n v="-11639"/>
    <x v="2819"/>
    <x v="3"/>
    <n v="-3333"/>
    <n v="9.1252566735112932"/>
    <x v="1"/>
    <n v="1"/>
    <n v="1"/>
    <n v="0"/>
    <n v="0"/>
    <s v="Waiters/barmen staff"/>
    <x v="1"/>
  </r>
  <r>
    <n v="5143608"/>
    <x v="0"/>
    <s v="N"/>
    <s v="Y"/>
    <n v="0"/>
    <x v="10"/>
    <x v="0"/>
    <x v="1"/>
    <x v="1"/>
    <x v="0"/>
    <d v="1958-10-26T00:00:00"/>
    <n v="-24164"/>
    <x v="2820"/>
    <x v="0"/>
    <n v="365243"/>
    <n v="0"/>
    <x v="0"/>
    <n v="1"/>
    <n v="0"/>
    <n v="1"/>
    <n v="0"/>
    <m/>
    <x v="1"/>
  </r>
  <r>
    <n v="5143611"/>
    <x v="1"/>
    <s v="Y"/>
    <s v="Y"/>
    <n v="0"/>
    <x v="5"/>
    <x v="1"/>
    <x v="1"/>
    <x v="1"/>
    <x v="0"/>
    <d v="2000-06-23T00:00:00"/>
    <n v="-8948"/>
    <x v="2821"/>
    <x v="4"/>
    <n v="-230"/>
    <n v="0.62970568104038327"/>
    <x v="1"/>
    <n v="1"/>
    <n v="0"/>
    <n v="1"/>
    <n v="0"/>
    <s v="Sales staff"/>
    <x v="1"/>
  </r>
  <r>
    <n v="5143622"/>
    <x v="0"/>
    <s v="N"/>
    <s v="N"/>
    <n v="0"/>
    <x v="1"/>
    <x v="2"/>
    <x v="1"/>
    <x v="1"/>
    <x v="0"/>
    <d v="1981-05-20T00:00:00"/>
    <n v="-15922"/>
    <x v="2822"/>
    <x v="1"/>
    <n v="-2086"/>
    <n v="5.7111567419575637"/>
    <x v="1"/>
    <n v="1"/>
    <n v="0"/>
    <n v="0"/>
    <n v="0"/>
    <s v="Sales staff"/>
    <x v="1"/>
  </r>
  <r>
    <n v="5143632"/>
    <x v="1"/>
    <s v="N"/>
    <s v="N"/>
    <n v="0"/>
    <x v="39"/>
    <x v="2"/>
    <x v="0"/>
    <x v="3"/>
    <x v="0"/>
    <d v="1983-07-26T00:00:00"/>
    <n v="-15125"/>
    <x v="2823"/>
    <x v="1"/>
    <n v="-199"/>
    <n v="0.54483230663928817"/>
    <x v="1"/>
    <n v="1"/>
    <n v="0"/>
    <n v="0"/>
    <n v="0"/>
    <s v="Drivers"/>
    <x v="1"/>
  </r>
  <r>
    <n v="5143637"/>
    <x v="0"/>
    <s v="Y"/>
    <s v="Y"/>
    <n v="0"/>
    <x v="51"/>
    <x v="2"/>
    <x v="1"/>
    <x v="1"/>
    <x v="0"/>
    <d v="1974-08-26T00:00:00"/>
    <n v="-18381"/>
    <x v="972"/>
    <x v="2"/>
    <n v="-2451"/>
    <n v="6.71047227926078"/>
    <x v="1"/>
    <n v="1"/>
    <n v="0"/>
    <n v="0"/>
    <n v="0"/>
    <s v="Security staff"/>
    <x v="1"/>
  </r>
  <r>
    <n v="5145699"/>
    <x v="1"/>
    <s v="Y"/>
    <s v="Y"/>
    <n v="0"/>
    <x v="8"/>
    <x v="2"/>
    <x v="0"/>
    <x v="2"/>
    <x v="2"/>
    <d v="1999-02-13T00:00:00"/>
    <n v="-9444"/>
    <x v="2824"/>
    <x v="4"/>
    <n v="-663"/>
    <n v="1.8151950718685832"/>
    <x v="1"/>
    <n v="1"/>
    <n v="1"/>
    <n v="1"/>
    <n v="0"/>
    <m/>
    <x v="0"/>
  </r>
  <r>
    <n v="5145700"/>
    <x v="1"/>
    <s v="Y"/>
    <s v="Y"/>
    <n v="0"/>
    <x v="8"/>
    <x v="2"/>
    <x v="0"/>
    <x v="2"/>
    <x v="2"/>
    <d v="1999-02-13T00:00:00"/>
    <n v="-9444"/>
    <x v="2824"/>
    <x v="4"/>
    <n v="-663"/>
    <n v="1.8151950718685832"/>
    <x v="1"/>
    <n v="1"/>
    <n v="1"/>
    <n v="1"/>
    <n v="0"/>
    <m/>
    <x v="0"/>
  </r>
  <r>
    <n v="5145722"/>
    <x v="1"/>
    <s v="Y"/>
    <s v="Y"/>
    <n v="0"/>
    <x v="12"/>
    <x v="2"/>
    <x v="0"/>
    <x v="2"/>
    <x v="0"/>
    <d v="1996-09-12T00:00:00"/>
    <n v="-10328"/>
    <x v="206"/>
    <x v="4"/>
    <n v="-543"/>
    <n v="1.4866529774127311"/>
    <x v="1"/>
    <n v="1"/>
    <n v="0"/>
    <n v="1"/>
    <n v="0"/>
    <s v="High skill tech staff"/>
    <x v="0"/>
  </r>
  <r>
    <n v="5145723"/>
    <x v="1"/>
    <s v="Y"/>
    <s v="Y"/>
    <n v="0"/>
    <x v="12"/>
    <x v="2"/>
    <x v="0"/>
    <x v="2"/>
    <x v="0"/>
    <d v="1996-09-12T00:00:00"/>
    <n v="-10328"/>
    <x v="206"/>
    <x v="4"/>
    <n v="-543"/>
    <n v="1.4866529774127311"/>
    <x v="1"/>
    <n v="1"/>
    <n v="0"/>
    <n v="1"/>
    <n v="0"/>
    <s v="High skill tech staff"/>
    <x v="0"/>
  </r>
  <r>
    <n v="5145731"/>
    <x v="1"/>
    <s v="Y"/>
    <s v="N"/>
    <n v="1"/>
    <x v="19"/>
    <x v="1"/>
    <x v="1"/>
    <x v="1"/>
    <x v="0"/>
    <d v="1999-06-09T00:00:00"/>
    <n v="-9328"/>
    <x v="2825"/>
    <x v="4"/>
    <n v="-1000"/>
    <n v="2.7378507871321012"/>
    <x v="1"/>
    <n v="1"/>
    <n v="0"/>
    <n v="0"/>
    <n v="0"/>
    <s v="Drivers"/>
    <x v="3"/>
  </r>
  <r>
    <n v="5145734"/>
    <x v="1"/>
    <s v="Y"/>
    <s v="N"/>
    <n v="1"/>
    <x v="19"/>
    <x v="1"/>
    <x v="1"/>
    <x v="1"/>
    <x v="0"/>
    <d v="1999-06-09T00:00:00"/>
    <n v="-9328"/>
    <x v="2825"/>
    <x v="4"/>
    <n v="-1000"/>
    <n v="2.7378507871321012"/>
    <x v="1"/>
    <n v="1"/>
    <n v="0"/>
    <n v="0"/>
    <n v="0"/>
    <s v="Drivers"/>
    <x v="3"/>
  </r>
  <r>
    <n v="5145737"/>
    <x v="1"/>
    <s v="Y"/>
    <s v="Y"/>
    <n v="1"/>
    <x v="18"/>
    <x v="2"/>
    <x v="0"/>
    <x v="1"/>
    <x v="0"/>
    <d v="1968-03-12T00:00:00"/>
    <n v="-20739"/>
    <x v="2826"/>
    <x v="2"/>
    <n v="-117"/>
    <n v="0.32032854209445583"/>
    <x v="1"/>
    <n v="1"/>
    <n v="0"/>
    <n v="0"/>
    <n v="0"/>
    <s v="Laborers"/>
    <x v="3"/>
  </r>
  <r>
    <n v="5145744"/>
    <x v="0"/>
    <s v="Y"/>
    <s v="Y"/>
    <n v="0"/>
    <x v="5"/>
    <x v="2"/>
    <x v="0"/>
    <x v="1"/>
    <x v="0"/>
    <d v="1997-07-08T00:00:00"/>
    <n v="-10029"/>
    <x v="1619"/>
    <x v="4"/>
    <n v="-878"/>
    <n v="2.4038329911019849"/>
    <x v="1"/>
    <n v="1"/>
    <n v="0"/>
    <n v="0"/>
    <n v="0"/>
    <s v="Accountants"/>
    <x v="1"/>
  </r>
  <r>
    <n v="5145748"/>
    <x v="0"/>
    <s v="Y"/>
    <s v="Y"/>
    <n v="0"/>
    <x v="1"/>
    <x v="2"/>
    <x v="0"/>
    <x v="1"/>
    <x v="0"/>
    <d v="1982-08-17T00:00:00"/>
    <n v="-15468"/>
    <x v="1934"/>
    <x v="1"/>
    <n v="-4834"/>
    <n v="13.234770704996578"/>
    <x v="1"/>
    <n v="1"/>
    <n v="0"/>
    <n v="0"/>
    <n v="1"/>
    <m/>
    <x v="1"/>
  </r>
  <r>
    <n v="5145749"/>
    <x v="0"/>
    <s v="Y"/>
    <s v="Y"/>
    <n v="0"/>
    <x v="1"/>
    <x v="2"/>
    <x v="0"/>
    <x v="1"/>
    <x v="0"/>
    <d v="1982-08-17T00:00:00"/>
    <n v="-15468"/>
    <x v="1934"/>
    <x v="1"/>
    <n v="-4834"/>
    <n v="13.234770704996578"/>
    <x v="1"/>
    <n v="1"/>
    <n v="0"/>
    <n v="0"/>
    <n v="1"/>
    <m/>
    <x v="1"/>
  </r>
  <r>
    <n v="5145772"/>
    <x v="0"/>
    <s v="Y"/>
    <s v="Y"/>
    <n v="4"/>
    <x v="2"/>
    <x v="2"/>
    <x v="0"/>
    <x v="1"/>
    <x v="0"/>
    <d v="1987-07-19T00:00:00"/>
    <n v="-13671"/>
    <x v="762"/>
    <x v="3"/>
    <n v="-1974"/>
    <n v="5.4045174537987677"/>
    <x v="1"/>
    <n v="1"/>
    <n v="0"/>
    <n v="0"/>
    <n v="0"/>
    <s v="Core staff"/>
    <x v="5"/>
  </r>
  <r>
    <n v="5145801"/>
    <x v="0"/>
    <s v="N"/>
    <s v="Y"/>
    <n v="0"/>
    <x v="2"/>
    <x v="0"/>
    <x v="1"/>
    <x v="1"/>
    <x v="2"/>
    <d v="1966-07-10T00:00:00"/>
    <n v="-21350"/>
    <x v="131"/>
    <x v="2"/>
    <n v="365243"/>
    <n v="0"/>
    <x v="0"/>
    <n v="1"/>
    <n v="0"/>
    <n v="0"/>
    <n v="0"/>
    <m/>
    <x v="1"/>
  </r>
  <r>
    <n v="5145805"/>
    <x v="0"/>
    <s v="N"/>
    <s v="Y"/>
    <n v="0"/>
    <x v="11"/>
    <x v="2"/>
    <x v="1"/>
    <x v="0"/>
    <x v="0"/>
    <d v="1982-12-30T00:00:00"/>
    <n v="-15333"/>
    <x v="2827"/>
    <x v="1"/>
    <n v="-1106"/>
    <n v="3.0280629705681039"/>
    <x v="1"/>
    <n v="1"/>
    <n v="0"/>
    <n v="0"/>
    <n v="0"/>
    <s v="Laborers"/>
    <x v="0"/>
  </r>
  <r>
    <n v="5145807"/>
    <x v="0"/>
    <s v="N"/>
    <s v="Y"/>
    <n v="0"/>
    <x v="16"/>
    <x v="0"/>
    <x v="1"/>
    <x v="1"/>
    <x v="0"/>
    <d v="1970-12-25T00:00:00"/>
    <n v="-19721"/>
    <x v="1889"/>
    <x v="2"/>
    <n v="365243"/>
    <n v="0"/>
    <x v="0"/>
    <n v="1"/>
    <n v="0"/>
    <n v="0"/>
    <n v="0"/>
    <m/>
    <x v="1"/>
  </r>
  <r>
    <n v="5145819"/>
    <x v="0"/>
    <s v="N"/>
    <s v="Y"/>
    <n v="0"/>
    <x v="39"/>
    <x v="2"/>
    <x v="1"/>
    <x v="0"/>
    <x v="0"/>
    <d v="1977-11-05T00:00:00"/>
    <n v="-17214"/>
    <x v="2828"/>
    <x v="1"/>
    <n v="-5184"/>
    <n v="14.193018480492814"/>
    <x v="1"/>
    <n v="1"/>
    <n v="1"/>
    <n v="1"/>
    <n v="0"/>
    <s v="Laborers"/>
    <x v="0"/>
  </r>
  <r>
    <n v="5145823"/>
    <x v="1"/>
    <s v="Y"/>
    <s v="N"/>
    <n v="0"/>
    <x v="1"/>
    <x v="2"/>
    <x v="1"/>
    <x v="1"/>
    <x v="2"/>
    <d v="1999-11-26T00:00:00"/>
    <n v="-9158"/>
    <x v="2829"/>
    <x v="4"/>
    <n v="-735"/>
    <n v="2.0123203285420943"/>
    <x v="1"/>
    <n v="1"/>
    <n v="0"/>
    <n v="0"/>
    <n v="0"/>
    <s v="Laborers"/>
    <x v="1"/>
  </r>
  <r>
    <n v="5145846"/>
    <x v="0"/>
    <s v="N"/>
    <s v="Y"/>
    <n v="1"/>
    <x v="87"/>
    <x v="3"/>
    <x v="0"/>
    <x v="1"/>
    <x v="0"/>
    <d v="1976-10-21T00:00:00"/>
    <n v="-17594"/>
    <x v="2830"/>
    <x v="1"/>
    <n v="-1315"/>
    <n v="3.6002737850787132"/>
    <x v="1"/>
    <n v="1"/>
    <n v="0"/>
    <n v="1"/>
    <n v="0"/>
    <s v="Managers"/>
    <x v="3"/>
  </r>
  <r>
    <n v="5145850"/>
    <x v="0"/>
    <s v="N"/>
    <s v="Y"/>
    <n v="0"/>
    <x v="16"/>
    <x v="1"/>
    <x v="0"/>
    <x v="2"/>
    <x v="0"/>
    <d v="1980-02-02T00:00:00"/>
    <n v="-16395"/>
    <x v="1972"/>
    <x v="1"/>
    <n v="-888"/>
    <n v="2.431211498973306"/>
    <x v="1"/>
    <n v="1"/>
    <n v="1"/>
    <n v="0"/>
    <n v="0"/>
    <s v="High skill tech staff"/>
    <x v="0"/>
  </r>
  <r>
    <n v="5145851"/>
    <x v="0"/>
    <s v="N"/>
    <s v="Y"/>
    <n v="0"/>
    <x v="16"/>
    <x v="1"/>
    <x v="0"/>
    <x v="2"/>
    <x v="0"/>
    <d v="1980-02-02T00:00:00"/>
    <n v="-16395"/>
    <x v="1972"/>
    <x v="1"/>
    <n v="-888"/>
    <n v="2.431211498973306"/>
    <x v="1"/>
    <n v="1"/>
    <n v="1"/>
    <n v="0"/>
    <n v="0"/>
    <s v="High skill tech staff"/>
    <x v="0"/>
  </r>
  <r>
    <n v="5145857"/>
    <x v="0"/>
    <s v="N"/>
    <s v="N"/>
    <n v="1"/>
    <x v="16"/>
    <x v="1"/>
    <x v="1"/>
    <x v="1"/>
    <x v="0"/>
    <d v="1986-04-24T00:00:00"/>
    <n v="-14122"/>
    <x v="979"/>
    <x v="3"/>
    <n v="-796"/>
    <n v="2.1793292265571527"/>
    <x v="1"/>
    <n v="1"/>
    <n v="0"/>
    <n v="0"/>
    <n v="0"/>
    <s v="Laborers"/>
    <x v="3"/>
  </r>
  <r>
    <n v="5145887"/>
    <x v="0"/>
    <s v="N"/>
    <s v="Y"/>
    <n v="0"/>
    <x v="88"/>
    <x v="0"/>
    <x v="1"/>
    <x v="1"/>
    <x v="0"/>
    <d v="1964-04-02T00:00:00"/>
    <n v="-22179"/>
    <x v="2831"/>
    <x v="0"/>
    <n v="365243"/>
    <n v="0"/>
    <x v="0"/>
    <n v="1"/>
    <n v="0"/>
    <n v="0"/>
    <n v="0"/>
    <m/>
    <x v="1"/>
  </r>
  <r>
    <n v="5145888"/>
    <x v="0"/>
    <s v="N"/>
    <s v="Y"/>
    <n v="0"/>
    <x v="88"/>
    <x v="0"/>
    <x v="1"/>
    <x v="1"/>
    <x v="0"/>
    <d v="1964-04-02T00:00:00"/>
    <n v="-22179"/>
    <x v="2831"/>
    <x v="0"/>
    <n v="365243"/>
    <n v="0"/>
    <x v="0"/>
    <n v="1"/>
    <n v="0"/>
    <n v="0"/>
    <n v="0"/>
    <m/>
    <x v="1"/>
  </r>
  <r>
    <n v="5145897"/>
    <x v="0"/>
    <s v="N"/>
    <s v="Y"/>
    <n v="0"/>
    <x v="30"/>
    <x v="0"/>
    <x v="1"/>
    <x v="1"/>
    <x v="0"/>
    <d v="1969-03-24T00:00:00"/>
    <n v="-20362"/>
    <x v="2832"/>
    <x v="2"/>
    <n v="365243"/>
    <n v="0"/>
    <x v="0"/>
    <n v="1"/>
    <n v="0"/>
    <n v="0"/>
    <n v="0"/>
    <m/>
    <x v="1"/>
  </r>
  <r>
    <n v="5145920"/>
    <x v="1"/>
    <s v="Y"/>
    <s v="Y"/>
    <n v="1"/>
    <x v="16"/>
    <x v="1"/>
    <x v="0"/>
    <x v="1"/>
    <x v="0"/>
    <d v="1983-07-20T00:00:00"/>
    <n v="-15131"/>
    <x v="784"/>
    <x v="1"/>
    <n v="-1466"/>
    <n v="4.0136892539356603"/>
    <x v="1"/>
    <n v="1"/>
    <n v="0"/>
    <n v="0"/>
    <n v="1"/>
    <m/>
    <x v="3"/>
  </r>
  <r>
    <n v="5145922"/>
    <x v="1"/>
    <s v="Y"/>
    <s v="Y"/>
    <n v="1"/>
    <x v="16"/>
    <x v="1"/>
    <x v="0"/>
    <x v="1"/>
    <x v="0"/>
    <d v="1983-07-20T00:00:00"/>
    <n v="-15131"/>
    <x v="784"/>
    <x v="1"/>
    <n v="-1466"/>
    <n v="4.0136892539356603"/>
    <x v="1"/>
    <n v="1"/>
    <n v="0"/>
    <n v="0"/>
    <n v="1"/>
    <m/>
    <x v="3"/>
  </r>
  <r>
    <n v="5145944"/>
    <x v="0"/>
    <s v="N"/>
    <s v="Y"/>
    <n v="1"/>
    <x v="21"/>
    <x v="1"/>
    <x v="0"/>
    <x v="2"/>
    <x v="0"/>
    <d v="1985-07-12T00:00:00"/>
    <n v="-14408"/>
    <x v="2833"/>
    <x v="3"/>
    <n v="-431"/>
    <n v="1.1800136892539357"/>
    <x v="1"/>
    <n v="1"/>
    <n v="0"/>
    <n v="0"/>
    <n v="0"/>
    <s v="Accountants"/>
    <x v="1"/>
  </r>
  <r>
    <n v="5145964"/>
    <x v="0"/>
    <s v="N"/>
    <s v="N"/>
    <n v="2"/>
    <x v="22"/>
    <x v="2"/>
    <x v="1"/>
    <x v="1"/>
    <x v="0"/>
    <d v="1982-09-18T00:00:00"/>
    <n v="-15436"/>
    <x v="2431"/>
    <x v="1"/>
    <n v="-3476"/>
    <n v="9.5167693360711834"/>
    <x v="1"/>
    <n v="1"/>
    <n v="0"/>
    <n v="0"/>
    <n v="0"/>
    <s v="Sales staff"/>
    <x v="2"/>
  </r>
  <r>
    <n v="5145965"/>
    <x v="0"/>
    <s v="N"/>
    <s v="N"/>
    <n v="2"/>
    <x v="22"/>
    <x v="2"/>
    <x v="1"/>
    <x v="1"/>
    <x v="0"/>
    <d v="1982-09-18T00:00:00"/>
    <n v="-15436"/>
    <x v="2431"/>
    <x v="1"/>
    <n v="-3476"/>
    <n v="9.5167693360711834"/>
    <x v="1"/>
    <n v="1"/>
    <n v="0"/>
    <n v="0"/>
    <n v="0"/>
    <s v="Sales staff"/>
    <x v="2"/>
  </r>
  <r>
    <n v="5145968"/>
    <x v="0"/>
    <s v="N"/>
    <s v="Y"/>
    <n v="0"/>
    <x v="2"/>
    <x v="0"/>
    <x v="1"/>
    <x v="4"/>
    <x v="0"/>
    <d v="1961-12-15T00:00:00"/>
    <n v="-23018"/>
    <x v="2834"/>
    <x v="0"/>
    <n v="365243"/>
    <n v="0"/>
    <x v="0"/>
    <n v="1"/>
    <n v="0"/>
    <n v="0"/>
    <n v="0"/>
    <m/>
    <x v="0"/>
  </r>
  <r>
    <n v="5145970"/>
    <x v="0"/>
    <s v="N"/>
    <s v="Y"/>
    <n v="0"/>
    <x v="2"/>
    <x v="0"/>
    <x v="1"/>
    <x v="4"/>
    <x v="0"/>
    <d v="1961-12-15T00:00:00"/>
    <n v="-23018"/>
    <x v="2834"/>
    <x v="0"/>
    <n v="365243"/>
    <n v="0"/>
    <x v="0"/>
    <n v="1"/>
    <n v="0"/>
    <n v="0"/>
    <n v="0"/>
    <m/>
    <x v="0"/>
  </r>
  <r>
    <n v="5145978"/>
    <x v="0"/>
    <s v="Y"/>
    <s v="N"/>
    <n v="0"/>
    <x v="2"/>
    <x v="3"/>
    <x v="1"/>
    <x v="4"/>
    <x v="0"/>
    <d v="1971-06-26T00:00:00"/>
    <n v="-19538"/>
    <x v="1872"/>
    <x v="2"/>
    <n v="-5880"/>
    <n v="16.098562628336754"/>
    <x v="1"/>
    <n v="1"/>
    <n v="0"/>
    <n v="0"/>
    <n v="0"/>
    <s v="Secretaries"/>
    <x v="0"/>
  </r>
  <r>
    <n v="5145981"/>
    <x v="0"/>
    <s v="Y"/>
    <s v="N"/>
    <n v="0"/>
    <x v="2"/>
    <x v="3"/>
    <x v="1"/>
    <x v="4"/>
    <x v="0"/>
    <d v="1971-06-26T00:00:00"/>
    <n v="-19538"/>
    <x v="1872"/>
    <x v="2"/>
    <n v="-5880"/>
    <n v="16.098562628336754"/>
    <x v="1"/>
    <n v="1"/>
    <n v="0"/>
    <n v="0"/>
    <n v="0"/>
    <s v="Secretaries"/>
    <x v="0"/>
  </r>
  <r>
    <n v="5146000"/>
    <x v="0"/>
    <s v="N"/>
    <s v="Y"/>
    <n v="0"/>
    <x v="5"/>
    <x v="0"/>
    <x v="0"/>
    <x v="1"/>
    <x v="0"/>
    <d v="1963-08-11T00:00:00"/>
    <n v="-22414"/>
    <x v="2191"/>
    <x v="0"/>
    <n v="365243"/>
    <n v="0"/>
    <x v="0"/>
    <n v="1"/>
    <n v="0"/>
    <n v="1"/>
    <n v="0"/>
    <m/>
    <x v="1"/>
  </r>
  <r>
    <n v="5146002"/>
    <x v="1"/>
    <s v="Y"/>
    <s v="Y"/>
    <n v="0"/>
    <x v="8"/>
    <x v="2"/>
    <x v="1"/>
    <x v="2"/>
    <x v="0"/>
    <d v="1997-02-10T00:00:00"/>
    <n v="-10177"/>
    <x v="2835"/>
    <x v="4"/>
    <n v="-189"/>
    <n v="0.51745379876796715"/>
    <x v="1"/>
    <n v="1"/>
    <n v="0"/>
    <n v="0"/>
    <n v="1"/>
    <s v="Managers"/>
    <x v="0"/>
  </r>
  <r>
    <n v="5146007"/>
    <x v="1"/>
    <s v="Y"/>
    <s v="N"/>
    <n v="2"/>
    <x v="16"/>
    <x v="2"/>
    <x v="1"/>
    <x v="1"/>
    <x v="0"/>
    <d v="1999-05-26T00:00:00"/>
    <n v="-9342"/>
    <x v="2836"/>
    <x v="4"/>
    <n v="-615"/>
    <n v="1.6837782340862424"/>
    <x v="1"/>
    <n v="1"/>
    <n v="0"/>
    <n v="0"/>
    <n v="0"/>
    <s v="Laborers"/>
    <x v="2"/>
  </r>
  <r>
    <n v="5146025"/>
    <x v="0"/>
    <s v="N"/>
    <s v="Y"/>
    <n v="0"/>
    <x v="14"/>
    <x v="1"/>
    <x v="0"/>
    <x v="1"/>
    <x v="0"/>
    <d v="1994-08-13T00:00:00"/>
    <n v="-11089"/>
    <x v="1418"/>
    <x v="3"/>
    <n v="-3902"/>
    <n v="10.683093771389458"/>
    <x v="1"/>
    <n v="1"/>
    <n v="0"/>
    <n v="1"/>
    <n v="0"/>
    <s v="Core staff"/>
    <x v="1"/>
  </r>
  <r>
    <n v="5146028"/>
    <x v="0"/>
    <s v="N"/>
    <s v="Y"/>
    <n v="0"/>
    <x v="14"/>
    <x v="1"/>
    <x v="0"/>
    <x v="1"/>
    <x v="0"/>
    <d v="1994-08-13T00:00:00"/>
    <n v="-11089"/>
    <x v="1418"/>
    <x v="3"/>
    <n v="-3902"/>
    <n v="10.683093771389458"/>
    <x v="1"/>
    <n v="1"/>
    <n v="0"/>
    <n v="1"/>
    <n v="0"/>
    <s v="Core staff"/>
    <x v="1"/>
  </r>
  <r>
    <n v="5146029"/>
    <x v="0"/>
    <s v="N"/>
    <s v="Y"/>
    <n v="0"/>
    <x v="14"/>
    <x v="1"/>
    <x v="0"/>
    <x v="1"/>
    <x v="0"/>
    <d v="1994-08-13T00:00:00"/>
    <n v="-11089"/>
    <x v="1418"/>
    <x v="3"/>
    <n v="-3902"/>
    <n v="10.683093771389458"/>
    <x v="1"/>
    <n v="1"/>
    <n v="0"/>
    <n v="1"/>
    <n v="0"/>
    <s v="Core staff"/>
    <x v="1"/>
  </r>
  <r>
    <n v="5146041"/>
    <x v="0"/>
    <s v="N"/>
    <s v="Y"/>
    <n v="0"/>
    <x v="14"/>
    <x v="1"/>
    <x v="1"/>
    <x v="2"/>
    <x v="0"/>
    <d v="1974-02-11T00:00:00"/>
    <n v="-18577"/>
    <x v="2672"/>
    <x v="2"/>
    <n v="-2441"/>
    <n v="6.6830937713894594"/>
    <x v="1"/>
    <n v="1"/>
    <n v="0"/>
    <n v="0"/>
    <n v="0"/>
    <s v="Accountants"/>
    <x v="0"/>
  </r>
  <r>
    <n v="5146043"/>
    <x v="0"/>
    <s v="N"/>
    <s v="Y"/>
    <n v="0"/>
    <x v="14"/>
    <x v="1"/>
    <x v="1"/>
    <x v="2"/>
    <x v="0"/>
    <d v="1974-02-11T00:00:00"/>
    <n v="-18577"/>
    <x v="2672"/>
    <x v="2"/>
    <n v="-2441"/>
    <n v="6.6830937713894594"/>
    <x v="1"/>
    <n v="1"/>
    <n v="0"/>
    <n v="0"/>
    <n v="0"/>
    <s v="Accountants"/>
    <x v="0"/>
  </r>
  <r>
    <n v="5146062"/>
    <x v="0"/>
    <s v="N"/>
    <s v="Y"/>
    <n v="0"/>
    <x v="5"/>
    <x v="2"/>
    <x v="1"/>
    <x v="0"/>
    <x v="0"/>
    <d v="1971-09-21T00:00:00"/>
    <n v="-19451"/>
    <x v="2837"/>
    <x v="2"/>
    <n v="-278"/>
    <n v="0.76112251882272419"/>
    <x v="1"/>
    <n v="1"/>
    <n v="0"/>
    <n v="0"/>
    <n v="0"/>
    <s v="Laborers"/>
    <x v="0"/>
  </r>
  <r>
    <n v="5146064"/>
    <x v="1"/>
    <s v="Y"/>
    <s v="Y"/>
    <n v="0"/>
    <x v="16"/>
    <x v="0"/>
    <x v="1"/>
    <x v="2"/>
    <x v="0"/>
    <d v="1963-07-30T00:00:00"/>
    <n v="-22426"/>
    <x v="2838"/>
    <x v="0"/>
    <n v="365243"/>
    <n v="0"/>
    <x v="0"/>
    <n v="1"/>
    <n v="0"/>
    <n v="0"/>
    <n v="0"/>
    <m/>
    <x v="0"/>
  </r>
  <r>
    <n v="5146077"/>
    <x v="0"/>
    <s v="N"/>
    <s v="Y"/>
    <n v="1"/>
    <x v="68"/>
    <x v="2"/>
    <x v="1"/>
    <x v="1"/>
    <x v="0"/>
    <d v="1990-02-21T00:00:00"/>
    <n v="-12723"/>
    <x v="2839"/>
    <x v="3"/>
    <n v="-1132"/>
    <n v="3.0992470910335386"/>
    <x v="1"/>
    <n v="1"/>
    <n v="1"/>
    <n v="1"/>
    <n v="0"/>
    <s v="Sales staff"/>
    <x v="3"/>
  </r>
  <r>
    <n v="5146086"/>
    <x v="1"/>
    <s v="N"/>
    <s v="N"/>
    <n v="0"/>
    <x v="10"/>
    <x v="2"/>
    <x v="1"/>
    <x v="2"/>
    <x v="4"/>
    <d v="1986-04-24T00:00:00"/>
    <n v="-14122"/>
    <x v="979"/>
    <x v="3"/>
    <n v="-1193"/>
    <n v="3.2662559890485969"/>
    <x v="1"/>
    <n v="1"/>
    <n v="0"/>
    <n v="0"/>
    <n v="1"/>
    <s v="Laborers"/>
    <x v="0"/>
  </r>
  <r>
    <n v="5146087"/>
    <x v="1"/>
    <s v="N"/>
    <s v="N"/>
    <n v="0"/>
    <x v="10"/>
    <x v="2"/>
    <x v="1"/>
    <x v="2"/>
    <x v="4"/>
    <d v="1986-04-24T00:00:00"/>
    <n v="-14122"/>
    <x v="979"/>
    <x v="3"/>
    <n v="-1193"/>
    <n v="3.2662559890485969"/>
    <x v="1"/>
    <n v="1"/>
    <n v="0"/>
    <n v="0"/>
    <n v="1"/>
    <s v="Laborers"/>
    <x v="0"/>
  </r>
  <r>
    <n v="5146098"/>
    <x v="0"/>
    <s v="Y"/>
    <s v="Y"/>
    <n v="0"/>
    <x v="62"/>
    <x v="2"/>
    <x v="1"/>
    <x v="1"/>
    <x v="0"/>
    <d v="1975-07-20T00:00:00"/>
    <n v="-18053"/>
    <x v="707"/>
    <x v="1"/>
    <n v="-3141"/>
    <n v="8.5995893223819309"/>
    <x v="1"/>
    <n v="1"/>
    <n v="0"/>
    <n v="0"/>
    <n v="0"/>
    <s v="Sales staff"/>
    <x v="1"/>
  </r>
  <r>
    <n v="5146103"/>
    <x v="0"/>
    <s v="Y"/>
    <s v="Y"/>
    <n v="0"/>
    <x v="62"/>
    <x v="2"/>
    <x v="1"/>
    <x v="1"/>
    <x v="0"/>
    <d v="1975-07-20T00:00:00"/>
    <n v="-18053"/>
    <x v="707"/>
    <x v="1"/>
    <n v="-3141"/>
    <n v="8.5995893223819309"/>
    <x v="1"/>
    <n v="1"/>
    <n v="0"/>
    <n v="0"/>
    <n v="0"/>
    <s v="Sales staff"/>
    <x v="1"/>
  </r>
  <r>
    <n v="5146126"/>
    <x v="0"/>
    <s v="Y"/>
    <s v="Y"/>
    <n v="0"/>
    <x v="16"/>
    <x v="2"/>
    <x v="1"/>
    <x v="3"/>
    <x v="0"/>
    <d v="1982-06-09T00:00:00"/>
    <n v="-15537"/>
    <x v="2840"/>
    <x v="1"/>
    <n v="-7218"/>
    <n v="19.761806981519506"/>
    <x v="1"/>
    <n v="1"/>
    <n v="0"/>
    <n v="0"/>
    <n v="0"/>
    <m/>
    <x v="1"/>
  </r>
  <r>
    <n v="5146140"/>
    <x v="0"/>
    <s v="N"/>
    <s v="Y"/>
    <n v="0"/>
    <x v="1"/>
    <x v="2"/>
    <x v="1"/>
    <x v="1"/>
    <x v="0"/>
    <d v="1997-02-17T00:00:00"/>
    <n v="-10170"/>
    <x v="2841"/>
    <x v="4"/>
    <n v="-2196"/>
    <n v="6.0123203285420947"/>
    <x v="1"/>
    <n v="1"/>
    <n v="1"/>
    <n v="1"/>
    <n v="0"/>
    <s v="Cooking staff"/>
    <x v="1"/>
  </r>
  <r>
    <n v="5146143"/>
    <x v="1"/>
    <s v="N"/>
    <s v="Y"/>
    <n v="0"/>
    <x v="1"/>
    <x v="1"/>
    <x v="0"/>
    <x v="1"/>
    <x v="0"/>
    <d v="1974-03-07T00:00:00"/>
    <n v="-18553"/>
    <x v="2842"/>
    <x v="2"/>
    <n v="-4084"/>
    <n v="11.181382614647502"/>
    <x v="1"/>
    <n v="1"/>
    <n v="0"/>
    <n v="0"/>
    <n v="0"/>
    <s v="Managers"/>
    <x v="1"/>
  </r>
  <r>
    <n v="5146157"/>
    <x v="0"/>
    <s v="N"/>
    <s v="Y"/>
    <n v="0"/>
    <x v="39"/>
    <x v="0"/>
    <x v="1"/>
    <x v="2"/>
    <x v="0"/>
    <d v="1965-03-17T00:00:00"/>
    <n v="-21830"/>
    <x v="2843"/>
    <x v="2"/>
    <n v="365243"/>
    <n v="0"/>
    <x v="0"/>
    <n v="1"/>
    <n v="0"/>
    <n v="1"/>
    <n v="0"/>
    <m/>
    <x v="0"/>
  </r>
  <r>
    <n v="5146175"/>
    <x v="0"/>
    <s v="Y"/>
    <s v="Y"/>
    <n v="2"/>
    <x v="16"/>
    <x v="2"/>
    <x v="0"/>
    <x v="2"/>
    <x v="4"/>
    <d v="1996-05-30T00:00:00"/>
    <n v="-10433"/>
    <x v="687"/>
    <x v="4"/>
    <n v="-3019"/>
    <n v="8.2655715263518132"/>
    <x v="1"/>
    <n v="1"/>
    <n v="0"/>
    <n v="0"/>
    <n v="0"/>
    <s v="Laborers"/>
    <x v="3"/>
  </r>
  <r>
    <n v="5146187"/>
    <x v="1"/>
    <s v="N"/>
    <s v="N"/>
    <n v="0"/>
    <x v="11"/>
    <x v="2"/>
    <x v="1"/>
    <x v="1"/>
    <x v="4"/>
    <d v="1974-12-04T00:00:00"/>
    <n v="-18281"/>
    <x v="725"/>
    <x v="2"/>
    <n v="-3596"/>
    <n v="9.8453114305270368"/>
    <x v="1"/>
    <n v="1"/>
    <n v="0"/>
    <n v="0"/>
    <n v="0"/>
    <s v="Laborers"/>
    <x v="1"/>
  </r>
  <r>
    <n v="5146191"/>
    <x v="1"/>
    <s v="N"/>
    <s v="Y"/>
    <n v="0"/>
    <x v="18"/>
    <x v="0"/>
    <x v="1"/>
    <x v="1"/>
    <x v="0"/>
    <d v="1978-04-21T00:00:00"/>
    <n v="-17047"/>
    <x v="2844"/>
    <x v="1"/>
    <n v="365243"/>
    <n v="0"/>
    <x v="0"/>
    <n v="1"/>
    <n v="0"/>
    <n v="0"/>
    <n v="0"/>
    <m/>
    <x v="1"/>
  </r>
  <r>
    <n v="5146236"/>
    <x v="0"/>
    <s v="N"/>
    <s v="Y"/>
    <n v="0"/>
    <x v="5"/>
    <x v="2"/>
    <x v="0"/>
    <x v="3"/>
    <x v="2"/>
    <d v="2002-06-03T00:00:00"/>
    <n v="-8238"/>
    <x v="2845"/>
    <x v="4"/>
    <n v="-674"/>
    <n v="1.8453114305270362"/>
    <x v="1"/>
    <n v="1"/>
    <n v="0"/>
    <n v="0"/>
    <n v="0"/>
    <s v="Accountants"/>
    <x v="1"/>
  </r>
  <r>
    <n v="5146245"/>
    <x v="0"/>
    <s v="N"/>
    <s v="Y"/>
    <n v="0"/>
    <x v="80"/>
    <x v="0"/>
    <x v="1"/>
    <x v="1"/>
    <x v="0"/>
    <d v="1961-07-15T00:00:00"/>
    <n v="-23171"/>
    <x v="2846"/>
    <x v="0"/>
    <n v="365243"/>
    <n v="0"/>
    <x v="0"/>
    <n v="1"/>
    <n v="0"/>
    <n v="0"/>
    <n v="0"/>
    <m/>
    <x v="1"/>
  </r>
  <r>
    <n v="5146285"/>
    <x v="0"/>
    <s v="N"/>
    <s v="Y"/>
    <n v="0"/>
    <x v="16"/>
    <x v="3"/>
    <x v="1"/>
    <x v="3"/>
    <x v="0"/>
    <d v="1980-12-02T00:00:00"/>
    <n v="-16091"/>
    <x v="2847"/>
    <x v="1"/>
    <n v="-7371"/>
    <n v="20.180698151950718"/>
    <x v="1"/>
    <n v="1"/>
    <n v="1"/>
    <n v="0"/>
    <n v="0"/>
    <s v="Core staff"/>
    <x v="1"/>
  </r>
  <r>
    <n v="5146297"/>
    <x v="0"/>
    <s v="N"/>
    <s v="N"/>
    <n v="0"/>
    <x v="37"/>
    <x v="2"/>
    <x v="1"/>
    <x v="1"/>
    <x v="0"/>
    <d v="1975-08-13T00:00:00"/>
    <n v="-18029"/>
    <x v="2848"/>
    <x v="1"/>
    <n v="-3902"/>
    <n v="10.683093771389458"/>
    <x v="1"/>
    <n v="1"/>
    <n v="1"/>
    <n v="0"/>
    <n v="0"/>
    <s v="Security staff"/>
    <x v="1"/>
  </r>
  <r>
    <n v="5146298"/>
    <x v="0"/>
    <s v="N"/>
    <s v="N"/>
    <n v="0"/>
    <x v="37"/>
    <x v="2"/>
    <x v="1"/>
    <x v="1"/>
    <x v="0"/>
    <d v="1975-08-13T00:00:00"/>
    <n v="-18029"/>
    <x v="2848"/>
    <x v="1"/>
    <n v="-3902"/>
    <n v="10.683093771389458"/>
    <x v="1"/>
    <n v="1"/>
    <n v="1"/>
    <n v="0"/>
    <n v="0"/>
    <s v="Security staff"/>
    <x v="1"/>
  </r>
  <r>
    <n v="5146317"/>
    <x v="0"/>
    <s v="N"/>
    <s v="Y"/>
    <n v="0"/>
    <x v="1"/>
    <x v="2"/>
    <x v="1"/>
    <x v="0"/>
    <x v="0"/>
    <d v="1984-07-25T00:00:00"/>
    <n v="-14760"/>
    <x v="2849"/>
    <x v="1"/>
    <n v="-1315"/>
    <n v="3.6002737850787132"/>
    <x v="1"/>
    <n v="1"/>
    <n v="0"/>
    <n v="0"/>
    <n v="0"/>
    <m/>
    <x v="0"/>
  </r>
  <r>
    <n v="5146374"/>
    <x v="1"/>
    <s v="N"/>
    <s v="Y"/>
    <n v="0"/>
    <x v="18"/>
    <x v="1"/>
    <x v="1"/>
    <x v="1"/>
    <x v="0"/>
    <d v="1981-07-24T00:00:00"/>
    <n v="-15857"/>
    <x v="701"/>
    <x v="1"/>
    <n v="-4633"/>
    <n v="12.684462696783026"/>
    <x v="1"/>
    <n v="1"/>
    <n v="0"/>
    <n v="0"/>
    <n v="0"/>
    <s v="Laborers"/>
    <x v="1"/>
  </r>
  <r>
    <n v="5146390"/>
    <x v="0"/>
    <s v="N"/>
    <s v="Y"/>
    <n v="0"/>
    <x v="31"/>
    <x v="0"/>
    <x v="1"/>
    <x v="0"/>
    <x v="0"/>
    <d v="1968-10-23T00:00:00"/>
    <n v="-20514"/>
    <x v="1297"/>
    <x v="2"/>
    <n v="365243"/>
    <n v="0"/>
    <x v="0"/>
    <n v="1"/>
    <n v="0"/>
    <n v="0"/>
    <n v="0"/>
    <m/>
    <x v="0"/>
  </r>
  <r>
    <n v="5146394"/>
    <x v="0"/>
    <s v="N"/>
    <s v="Y"/>
    <n v="0"/>
    <x v="31"/>
    <x v="0"/>
    <x v="1"/>
    <x v="0"/>
    <x v="0"/>
    <d v="1968-10-23T00:00:00"/>
    <n v="-20514"/>
    <x v="1297"/>
    <x v="2"/>
    <n v="365243"/>
    <n v="0"/>
    <x v="0"/>
    <n v="1"/>
    <n v="0"/>
    <n v="0"/>
    <n v="0"/>
    <m/>
    <x v="0"/>
  </r>
  <r>
    <n v="5146424"/>
    <x v="0"/>
    <s v="N"/>
    <s v="Y"/>
    <n v="0"/>
    <x v="2"/>
    <x v="1"/>
    <x v="0"/>
    <x v="3"/>
    <x v="0"/>
    <d v="1961-02-14T00:00:00"/>
    <n v="-23322"/>
    <x v="81"/>
    <x v="0"/>
    <n v="-5607"/>
    <n v="15.351129363449692"/>
    <x v="1"/>
    <n v="1"/>
    <n v="0"/>
    <n v="0"/>
    <n v="0"/>
    <s v="Medicine staff"/>
    <x v="1"/>
  </r>
  <r>
    <n v="5146431"/>
    <x v="1"/>
    <s v="Y"/>
    <s v="N"/>
    <n v="0"/>
    <x v="97"/>
    <x v="1"/>
    <x v="2"/>
    <x v="3"/>
    <x v="2"/>
    <d v="2000-08-13T00:00:00"/>
    <n v="-8897"/>
    <x v="2850"/>
    <x v="4"/>
    <n v="-674"/>
    <n v="1.8453114305270362"/>
    <x v="1"/>
    <n v="1"/>
    <n v="0"/>
    <n v="0"/>
    <n v="0"/>
    <s v="Sales staff"/>
    <x v="1"/>
  </r>
  <r>
    <n v="5146434"/>
    <x v="0"/>
    <s v="N"/>
    <s v="Y"/>
    <n v="1"/>
    <x v="30"/>
    <x v="1"/>
    <x v="1"/>
    <x v="2"/>
    <x v="0"/>
    <d v="1996-02-28T00:00:00"/>
    <n v="-10525"/>
    <x v="2851"/>
    <x v="4"/>
    <n v="-2135"/>
    <n v="5.8453114305270359"/>
    <x v="1"/>
    <n v="1"/>
    <n v="1"/>
    <n v="1"/>
    <n v="0"/>
    <s v="Sales staff"/>
    <x v="1"/>
  </r>
  <r>
    <n v="5146447"/>
    <x v="0"/>
    <s v="N"/>
    <s v="Y"/>
    <n v="0"/>
    <x v="1"/>
    <x v="2"/>
    <x v="1"/>
    <x v="4"/>
    <x v="0"/>
    <d v="1985-07-26T00:00:00"/>
    <n v="-14394"/>
    <x v="596"/>
    <x v="3"/>
    <n v="-919"/>
    <n v="2.516084873374401"/>
    <x v="1"/>
    <n v="1"/>
    <n v="0"/>
    <n v="1"/>
    <n v="0"/>
    <s v="Managers"/>
    <x v="0"/>
  </r>
  <r>
    <n v="5146459"/>
    <x v="0"/>
    <s v="N"/>
    <s v="Y"/>
    <n v="0"/>
    <x v="1"/>
    <x v="1"/>
    <x v="1"/>
    <x v="1"/>
    <x v="0"/>
    <d v="1982-10-17T00:00:00"/>
    <n v="-15407"/>
    <x v="2852"/>
    <x v="1"/>
    <n v="-1801"/>
    <n v="4.9308692676249146"/>
    <x v="1"/>
    <n v="1"/>
    <n v="0"/>
    <n v="0"/>
    <n v="0"/>
    <s v="Waiters/barmen staff"/>
    <x v="1"/>
  </r>
  <r>
    <n v="5146467"/>
    <x v="1"/>
    <s v="Y"/>
    <s v="N"/>
    <n v="0"/>
    <x v="14"/>
    <x v="3"/>
    <x v="0"/>
    <x v="1"/>
    <x v="0"/>
    <d v="1997-08-23T00:00:00"/>
    <n v="-9983"/>
    <x v="2853"/>
    <x v="4"/>
    <n v="-1923"/>
    <n v="5.2648870636550305"/>
    <x v="1"/>
    <n v="1"/>
    <n v="0"/>
    <n v="0"/>
    <n v="0"/>
    <m/>
    <x v="1"/>
  </r>
  <r>
    <n v="5146479"/>
    <x v="0"/>
    <s v="N"/>
    <s v="Y"/>
    <n v="0"/>
    <x v="30"/>
    <x v="1"/>
    <x v="1"/>
    <x v="1"/>
    <x v="0"/>
    <d v="1973-08-28T00:00:00"/>
    <n v="-18744"/>
    <x v="702"/>
    <x v="2"/>
    <n v="-3141"/>
    <n v="8.5995893223819309"/>
    <x v="1"/>
    <n v="1"/>
    <n v="0"/>
    <n v="1"/>
    <n v="0"/>
    <s v="Laborers"/>
    <x v="1"/>
  </r>
  <r>
    <n v="5146490"/>
    <x v="0"/>
    <s v="N"/>
    <s v="Y"/>
    <n v="0"/>
    <x v="5"/>
    <x v="3"/>
    <x v="0"/>
    <x v="1"/>
    <x v="0"/>
    <d v="1999-06-24T00:00:00"/>
    <n v="-9313"/>
    <x v="2854"/>
    <x v="4"/>
    <n v="-615"/>
    <n v="1.6837782340862424"/>
    <x v="1"/>
    <n v="1"/>
    <n v="0"/>
    <n v="0"/>
    <n v="0"/>
    <m/>
    <x v="1"/>
  </r>
  <r>
    <n v="5146493"/>
    <x v="0"/>
    <s v="N"/>
    <s v="Y"/>
    <n v="0"/>
    <x v="5"/>
    <x v="3"/>
    <x v="0"/>
    <x v="1"/>
    <x v="0"/>
    <d v="1999-06-24T00:00:00"/>
    <n v="-9313"/>
    <x v="2854"/>
    <x v="4"/>
    <n v="-615"/>
    <n v="1.6837782340862424"/>
    <x v="1"/>
    <n v="1"/>
    <n v="0"/>
    <n v="0"/>
    <n v="0"/>
    <m/>
    <x v="1"/>
  </r>
  <r>
    <n v="5146501"/>
    <x v="1"/>
    <s v="N"/>
    <s v="N"/>
    <n v="1"/>
    <x v="2"/>
    <x v="2"/>
    <x v="1"/>
    <x v="3"/>
    <x v="0"/>
    <d v="1976-01-27T00:00:00"/>
    <n v="-17862"/>
    <x v="1198"/>
    <x v="1"/>
    <n v="-523"/>
    <n v="1.431895961670089"/>
    <x v="1"/>
    <n v="1"/>
    <n v="0"/>
    <n v="0"/>
    <n v="0"/>
    <s v="Laborers"/>
    <x v="3"/>
  </r>
  <r>
    <n v="5146510"/>
    <x v="0"/>
    <s v="N"/>
    <s v="Y"/>
    <n v="1"/>
    <x v="8"/>
    <x v="3"/>
    <x v="1"/>
    <x v="2"/>
    <x v="0"/>
    <d v="1981-06-12T00:00:00"/>
    <n v="-15899"/>
    <x v="728"/>
    <x v="1"/>
    <n v="-3993"/>
    <n v="10.932238193018481"/>
    <x v="1"/>
    <n v="1"/>
    <n v="0"/>
    <n v="0"/>
    <n v="0"/>
    <m/>
    <x v="1"/>
  </r>
  <r>
    <n v="5146512"/>
    <x v="0"/>
    <s v="N"/>
    <s v="Y"/>
    <n v="1"/>
    <x v="8"/>
    <x v="3"/>
    <x v="1"/>
    <x v="2"/>
    <x v="0"/>
    <d v="1981-06-12T00:00:00"/>
    <n v="-15899"/>
    <x v="728"/>
    <x v="1"/>
    <n v="-3993"/>
    <n v="10.932238193018481"/>
    <x v="1"/>
    <n v="1"/>
    <n v="0"/>
    <n v="0"/>
    <n v="0"/>
    <m/>
    <x v="1"/>
  </r>
  <r>
    <n v="5146524"/>
    <x v="0"/>
    <s v="N"/>
    <s v="Y"/>
    <n v="1"/>
    <x v="8"/>
    <x v="3"/>
    <x v="1"/>
    <x v="2"/>
    <x v="0"/>
    <d v="1981-06-12T00:00:00"/>
    <n v="-15899"/>
    <x v="728"/>
    <x v="1"/>
    <n v="-3993"/>
    <n v="10.932238193018481"/>
    <x v="1"/>
    <n v="1"/>
    <n v="0"/>
    <n v="0"/>
    <n v="0"/>
    <m/>
    <x v="1"/>
  </r>
  <r>
    <n v="5146553"/>
    <x v="0"/>
    <s v="N"/>
    <s v="Y"/>
    <n v="0"/>
    <x v="16"/>
    <x v="1"/>
    <x v="1"/>
    <x v="1"/>
    <x v="0"/>
    <d v="1976-03-13T00:00:00"/>
    <n v="-17816"/>
    <x v="720"/>
    <x v="1"/>
    <n v="-1285"/>
    <n v="3.5181382614647503"/>
    <x v="1"/>
    <n v="1"/>
    <n v="0"/>
    <n v="0"/>
    <n v="0"/>
    <s v="Medicine staff"/>
    <x v="1"/>
  </r>
  <r>
    <n v="5146557"/>
    <x v="1"/>
    <s v="N"/>
    <s v="Y"/>
    <n v="2"/>
    <x v="5"/>
    <x v="2"/>
    <x v="1"/>
    <x v="1"/>
    <x v="0"/>
    <d v="1983-10-28T00:00:00"/>
    <n v="-15031"/>
    <x v="2855"/>
    <x v="1"/>
    <n v="-1436"/>
    <n v="3.9315537303216974"/>
    <x v="1"/>
    <n v="1"/>
    <n v="0"/>
    <n v="0"/>
    <n v="0"/>
    <s v="Laborers"/>
    <x v="2"/>
  </r>
  <r>
    <n v="5146577"/>
    <x v="1"/>
    <s v="Y"/>
    <s v="Y"/>
    <n v="0"/>
    <x v="1"/>
    <x v="2"/>
    <x v="1"/>
    <x v="1"/>
    <x v="2"/>
    <d v="1980-06-05T00:00:00"/>
    <n v="-16271"/>
    <x v="1825"/>
    <x v="1"/>
    <n v="-3111"/>
    <n v="8.517453798767967"/>
    <x v="1"/>
    <n v="1"/>
    <n v="0"/>
    <n v="0"/>
    <n v="0"/>
    <s v="Core staff"/>
    <x v="1"/>
  </r>
  <r>
    <n v="5146584"/>
    <x v="1"/>
    <s v="Y"/>
    <s v="Y"/>
    <n v="0"/>
    <x v="1"/>
    <x v="2"/>
    <x v="1"/>
    <x v="1"/>
    <x v="2"/>
    <d v="1980-06-05T00:00:00"/>
    <n v="-16271"/>
    <x v="1825"/>
    <x v="1"/>
    <n v="-3111"/>
    <n v="8.517453798767967"/>
    <x v="1"/>
    <n v="1"/>
    <n v="0"/>
    <n v="0"/>
    <n v="0"/>
    <s v="Core staff"/>
    <x v="1"/>
  </r>
  <r>
    <n v="5148430"/>
    <x v="0"/>
    <s v="N"/>
    <s v="Y"/>
    <n v="0"/>
    <x v="1"/>
    <x v="1"/>
    <x v="1"/>
    <x v="3"/>
    <x v="0"/>
    <d v="1978-09-24T00:00:00"/>
    <n v="-16891"/>
    <x v="2856"/>
    <x v="1"/>
    <n v="-3332"/>
    <n v="9.122518822724162"/>
    <x v="1"/>
    <n v="1"/>
    <n v="1"/>
    <n v="1"/>
    <n v="0"/>
    <s v="Drivers"/>
    <x v="1"/>
  </r>
  <r>
    <n v="5148434"/>
    <x v="1"/>
    <s v="N"/>
    <s v="Y"/>
    <n v="0"/>
    <x v="11"/>
    <x v="1"/>
    <x v="0"/>
    <x v="1"/>
    <x v="0"/>
    <d v="1993-05-20T00:00:00"/>
    <n v="-11539"/>
    <x v="2857"/>
    <x v="3"/>
    <n v="-410"/>
    <n v="1.1225188227241616"/>
    <x v="1"/>
    <n v="1"/>
    <n v="0"/>
    <n v="0"/>
    <n v="1"/>
    <m/>
    <x v="1"/>
  </r>
  <r>
    <n v="5148439"/>
    <x v="0"/>
    <s v="N"/>
    <s v="Y"/>
    <n v="0"/>
    <x v="11"/>
    <x v="1"/>
    <x v="1"/>
    <x v="2"/>
    <x v="0"/>
    <d v="2001-11-11T00:00:00"/>
    <n v="-8442"/>
    <x v="2858"/>
    <x v="4"/>
    <n v="-410"/>
    <n v="1.1225188227241616"/>
    <x v="1"/>
    <n v="1"/>
    <n v="0"/>
    <n v="0"/>
    <n v="0"/>
    <s v="Core staff"/>
    <x v="0"/>
  </r>
  <r>
    <n v="5148468"/>
    <x v="0"/>
    <s v="N"/>
    <s v="Y"/>
    <n v="1"/>
    <x v="1"/>
    <x v="2"/>
    <x v="1"/>
    <x v="3"/>
    <x v="2"/>
    <d v="1993-09-10T00:00:00"/>
    <n v="-11426"/>
    <x v="2859"/>
    <x v="3"/>
    <n v="-229"/>
    <n v="0.6269678302532512"/>
    <x v="1"/>
    <n v="1"/>
    <n v="0"/>
    <n v="0"/>
    <n v="0"/>
    <s v="Sales staff"/>
    <x v="3"/>
  </r>
  <r>
    <n v="5148481"/>
    <x v="0"/>
    <s v="N"/>
    <s v="Y"/>
    <n v="0"/>
    <x v="5"/>
    <x v="2"/>
    <x v="1"/>
    <x v="1"/>
    <x v="0"/>
    <d v="1978-09-03T00:00:00"/>
    <n v="-16912"/>
    <x v="2860"/>
    <x v="1"/>
    <n v="-6499"/>
    <n v="17.793292265571527"/>
    <x v="1"/>
    <n v="1"/>
    <n v="0"/>
    <n v="0"/>
    <n v="0"/>
    <m/>
    <x v="1"/>
  </r>
  <r>
    <n v="5148500"/>
    <x v="0"/>
    <s v="Y"/>
    <s v="Y"/>
    <n v="0"/>
    <x v="16"/>
    <x v="2"/>
    <x v="0"/>
    <x v="1"/>
    <x v="0"/>
    <d v="1979-10-02T00:00:00"/>
    <n v="-16518"/>
    <x v="1657"/>
    <x v="1"/>
    <n v="-410"/>
    <n v="1.1225188227241616"/>
    <x v="1"/>
    <n v="1"/>
    <n v="0"/>
    <n v="0"/>
    <n v="0"/>
    <m/>
    <x v="1"/>
  </r>
  <r>
    <n v="5148550"/>
    <x v="0"/>
    <s v="Y"/>
    <s v="Y"/>
    <n v="0"/>
    <x v="5"/>
    <x v="2"/>
    <x v="1"/>
    <x v="1"/>
    <x v="0"/>
    <d v="1975-02-01T00:00:00"/>
    <n v="-18222"/>
    <x v="2861"/>
    <x v="1"/>
    <n v="-5555"/>
    <n v="15.208761122518823"/>
    <x v="1"/>
    <n v="1"/>
    <n v="0"/>
    <n v="0"/>
    <n v="0"/>
    <m/>
    <x v="1"/>
  </r>
  <r>
    <n v="5148573"/>
    <x v="0"/>
    <s v="N"/>
    <s v="Y"/>
    <n v="0"/>
    <x v="51"/>
    <x v="0"/>
    <x v="1"/>
    <x v="1"/>
    <x v="0"/>
    <d v="1967-11-24T00:00:00"/>
    <n v="-20848"/>
    <x v="2862"/>
    <x v="2"/>
    <n v="365243"/>
    <n v="0"/>
    <x v="0"/>
    <n v="1"/>
    <n v="0"/>
    <n v="0"/>
    <n v="0"/>
    <m/>
    <x v="1"/>
  </r>
  <r>
    <n v="5148577"/>
    <x v="1"/>
    <s v="Y"/>
    <s v="Y"/>
    <n v="0"/>
    <x v="8"/>
    <x v="2"/>
    <x v="1"/>
    <x v="1"/>
    <x v="0"/>
    <d v="1985-01-01T00:00:00"/>
    <n v="-14600"/>
    <x v="2863"/>
    <x v="3"/>
    <n v="-1203"/>
    <n v="3.2936344969199181"/>
    <x v="1"/>
    <n v="1"/>
    <n v="0"/>
    <n v="0"/>
    <n v="0"/>
    <s v="Managers"/>
    <x v="1"/>
  </r>
  <r>
    <n v="5148580"/>
    <x v="0"/>
    <s v="N"/>
    <s v="Y"/>
    <n v="0"/>
    <x v="5"/>
    <x v="1"/>
    <x v="1"/>
    <x v="1"/>
    <x v="0"/>
    <d v="1982-05-12T00:00:00"/>
    <n v="-15565"/>
    <x v="2678"/>
    <x v="1"/>
    <n v="-1386"/>
    <n v="3.7946611909650922"/>
    <x v="1"/>
    <n v="1"/>
    <n v="0"/>
    <n v="0"/>
    <n v="0"/>
    <m/>
    <x v="1"/>
  </r>
  <r>
    <n v="5148585"/>
    <x v="1"/>
    <s v="Y"/>
    <s v="Y"/>
    <n v="0"/>
    <x v="16"/>
    <x v="2"/>
    <x v="1"/>
    <x v="1"/>
    <x v="0"/>
    <d v="1994-04-02T00:00:00"/>
    <n v="-11222"/>
    <x v="2864"/>
    <x v="3"/>
    <n v="-1386"/>
    <n v="3.7946611909650922"/>
    <x v="1"/>
    <n v="1"/>
    <n v="0"/>
    <n v="0"/>
    <n v="0"/>
    <s v="Drivers"/>
    <x v="1"/>
  </r>
  <r>
    <n v="5148602"/>
    <x v="1"/>
    <s v="N"/>
    <s v="Y"/>
    <n v="0"/>
    <x v="8"/>
    <x v="0"/>
    <x v="1"/>
    <x v="1"/>
    <x v="0"/>
    <d v="1962-02-25T00:00:00"/>
    <n v="-22946"/>
    <x v="2865"/>
    <x v="0"/>
    <n v="365243"/>
    <n v="0"/>
    <x v="0"/>
    <n v="1"/>
    <n v="0"/>
    <n v="0"/>
    <n v="0"/>
    <m/>
    <x v="1"/>
  </r>
  <r>
    <n v="5148615"/>
    <x v="1"/>
    <s v="N"/>
    <s v="N"/>
    <n v="0"/>
    <x v="1"/>
    <x v="1"/>
    <x v="1"/>
    <x v="2"/>
    <x v="1"/>
    <d v="2001-12-11T00:00:00"/>
    <n v="-8412"/>
    <x v="1192"/>
    <x v="4"/>
    <n v="-1051"/>
    <n v="2.8774811772758384"/>
    <x v="1"/>
    <n v="1"/>
    <n v="0"/>
    <n v="0"/>
    <n v="1"/>
    <s v="Laborers"/>
    <x v="0"/>
  </r>
  <r>
    <n v="5148621"/>
    <x v="0"/>
    <s v="N"/>
    <s v="Y"/>
    <n v="0"/>
    <x v="35"/>
    <x v="0"/>
    <x v="1"/>
    <x v="2"/>
    <x v="0"/>
    <d v="1962-06-22T00:00:00"/>
    <n v="-22829"/>
    <x v="433"/>
    <x v="0"/>
    <n v="365243"/>
    <n v="0"/>
    <x v="0"/>
    <n v="1"/>
    <n v="0"/>
    <n v="0"/>
    <n v="0"/>
    <m/>
    <x v="0"/>
  </r>
  <r>
    <n v="5148651"/>
    <x v="0"/>
    <s v="Y"/>
    <s v="Y"/>
    <n v="1"/>
    <x v="11"/>
    <x v="1"/>
    <x v="1"/>
    <x v="1"/>
    <x v="0"/>
    <d v="1982-12-17T00:00:00"/>
    <n v="-15346"/>
    <x v="2866"/>
    <x v="1"/>
    <n v="-2481"/>
    <n v="6.792607802874743"/>
    <x v="1"/>
    <n v="1"/>
    <n v="0"/>
    <n v="0"/>
    <n v="0"/>
    <s v="Laborers"/>
    <x v="3"/>
  </r>
  <r>
    <n v="5148653"/>
    <x v="0"/>
    <s v="Y"/>
    <s v="Y"/>
    <n v="1"/>
    <x v="11"/>
    <x v="1"/>
    <x v="1"/>
    <x v="1"/>
    <x v="0"/>
    <d v="1982-12-17T00:00:00"/>
    <n v="-15346"/>
    <x v="2866"/>
    <x v="1"/>
    <n v="-2481"/>
    <n v="6.792607802874743"/>
    <x v="1"/>
    <n v="1"/>
    <n v="0"/>
    <n v="0"/>
    <n v="0"/>
    <s v="Laborers"/>
    <x v="3"/>
  </r>
  <r>
    <n v="5148662"/>
    <x v="1"/>
    <s v="N"/>
    <s v="Y"/>
    <n v="1"/>
    <x v="16"/>
    <x v="1"/>
    <x v="1"/>
    <x v="1"/>
    <x v="4"/>
    <d v="1990-05-28T00:00:00"/>
    <n v="-12627"/>
    <x v="2097"/>
    <x v="3"/>
    <n v="-2267"/>
    <n v="6.2067077344284733"/>
    <x v="1"/>
    <n v="1"/>
    <n v="0"/>
    <n v="0"/>
    <n v="0"/>
    <s v="High skill tech staff"/>
    <x v="3"/>
  </r>
  <r>
    <n v="5148663"/>
    <x v="1"/>
    <s v="N"/>
    <s v="Y"/>
    <n v="1"/>
    <x v="16"/>
    <x v="1"/>
    <x v="1"/>
    <x v="1"/>
    <x v="4"/>
    <d v="1990-05-28T00:00:00"/>
    <n v="-12627"/>
    <x v="2097"/>
    <x v="3"/>
    <n v="-2267"/>
    <n v="6.2067077344284733"/>
    <x v="1"/>
    <n v="1"/>
    <n v="0"/>
    <n v="0"/>
    <n v="0"/>
    <s v="High skill tech staff"/>
    <x v="3"/>
  </r>
  <r>
    <n v="5148664"/>
    <x v="1"/>
    <s v="N"/>
    <s v="N"/>
    <n v="0"/>
    <x v="37"/>
    <x v="2"/>
    <x v="1"/>
    <x v="2"/>
    <x v="0"/>
    <d v="1970-08-17T00:00:00"/>
    <n v="-19851"/>
    <x v="2867"/>
    <x v="2"/>
    <n v="-10821"/>
    <n v="29.626283367556468"/>
    <x v="1"/>
    <n v="1"/>
    <n v="0"/>
    <n v="0"/>
    <n v="0"/>
    <m/>
    <x v="0"/>
  </r>
  <r>
    <n v="5148669"/>
    <x v="1"/>
    <s v="Y"/>
    <s v="Y"/>
    <n v="1"/>
    <x v="159"/>
    <x v="1"/>
    <x v="2"/>
    <x v="3"/>
    <x v="5"/>
    <d v="1975-11-28T00:00:00"/>
    <n v="-17922"/>
    <x v="2868"/>
    <x v="1"/>
    <n v="-3455"/>
    <n v="9.4592744695414108"/>
    <x v="1"/>
    <n v="1"/>
    <n v="0"/>
    <n v="0"/>
    <n v="0"/>
    <s v="Security staff"/>
    <x v="3"/>
  </r>
  <r>
    <n v="5148682"/>
    <x v="0"/>
    <s v="N"/>
    <s v="N"/>
    <n v="0"/>
    <x v="43"/>
    <x v="1"/>
    <x v="1"/>
    <x v="1"/>
    <x v="0"/>
    <d v="1973-06-05T00:00:00"/>
    <n v="-18828"/>
    <x v="2869"/>
    <x v="2"/>
    <n v="-6195"/>
    <n v="16.960985626283367"/>
    <x v="1"/>
    <n v="1"/>
    <n v="0"/>
    <n v="0"/>
    <n v="0"/>
    <m/>
    <x v="1"/>
  </r>
  <r>
    <n v="5148718"/>
    <x v="0"/>
    <s v="Y"/>
    <s v="Y"/>
    <n v="0"/>
    <x v="16"/>
    <x v="1"/>
    <x v="1"/>
    <x v="1"/>
    <x v="0"/>
    <d v="1988-09-08T00:00:00"/>
    <n v="-13254"/>
    <x v="2870"/>
    <x v="3"/>
    <n v="-2542"/>
    <n v="6.9596167008898018"/>
    <x v="1"/>
    <n v="1"/>
    <n v="0"/>
    <n v="1"/>
    <n v="0"/>
    <m/>
    <x v="1"/>
  </r>
  <r>
    <n v="5148719"/>
    <x v="0"/>
    <s v="Y"/>
    <s v="Y"/>
    <n v="0"/>
    <x v="16"/>
    <x v="1"/>
    <x v="1"/>
    <x v="1"/>
    <x v="0"/>
    <d v="1988-09-08T00:00:00"/>
    <n v="-13254"/>
    <x v="2870"/>
    <x v="3"/>
    <n v="-2542"/>
    <n v="6.9596167008898018"/>
    <x v="1"/>
    <n v="1"/>
    <n v="0"/>
    <n v="1"/>
    <n v="0"/>
    <m/>
    <x v="1"/>
  </r>
  <r>
    <n v="5148720"/>
    <x v="0"/>
    <s v="Y"/>
    <s v="Y"/>
    <n v="0"/>
    <x v="16"/>
    <x v="1"/>
    <x v="1"/>
    <x v="1"/>
    <x v="0"/>
    <d v="1988-09-08T00:00:00"/>
    <n v="-13254"/>
    <x v="2870"/>
    <x v="3"/>
    <n v="-2542"/>
    <n v="6.9596167008898018"/>
    <x v="1"/>
    <n v="1"/>
    <n v="0"/>
    <n v="1"/>
    <n v="0"/>
    <m/>
    <x v="1"/>
  </r>
  <r>
    <n v="5148750"/>
    <x v="0"/>
    <s v="Y"/>
    <s v="Y"/>
    <n v="1"/>
    <x v="1"/>
    <x v="1"/>
    <x v="2"/>
    <x v="3"/>
    <x v="0"/>
    <d v="1993-07-29T00:00:00"/>
    <n v="-11469"/>
    <x v="2871"/>
    <x v="3"/>
    <n v="-686"/>
    <n v="1.8781656399726214"/>
    <x v="1"/>
    <n v="1"/>
    <n v="0"/>
    <n v="1"/>
    <n v="0"/>
    <m/>
    <x v="3"/>
  </r>
  <r>
    <n v="5148772"/>
    <x v="1"/>
    <s v="Y"/>
    <s v="Y"/>
    <n v="0"/>
    <x v="23"/>
    <x v="2"/>
    <x v="1"/>
    <x v="1"/>
    <x v="0"/>
    <d v="1996-08-04T00:00:00"/>
    <n v="-10367"/>
    <x v="2872"/>
    <x v="4"/>
    <n v="-2389"/>
    <n v="6.5407255304585901"/>
    <x v="1"/>
    <n v="1"/>
    <n v="0"/>
    <n v="1"/>
    <n v="0"/>
    <s v="Sales staff"/>
    <x v="1"/>
  </r>
  <r>
    <n v="5148819"/>
    <x v="0"/>
    <s v="Y"/>
    <s v="Y"/>
    <n v="0"/>
    <x v="1"/>
    <x v="2"/>
    <x v="0"/>
    <x v="3"/>
    <x v="0"/>
    <d v="1970-08-27T00:00:00"/>
    <n v="-19841"/>
    <x v="2873"/>
    <x v="2"/>
    <n v="-4428"/>
    <n v="12.123203285420944"/>
    <x v="1"/>
    <n v="1"/>
    <n v="1"/>
    <n v="1"/>
    <n v="0"/>
    <s v="Managers"/>
    <x v="1"/>
  </r>
  <r>
    <n v="5148820"/>
    <x v="0"/>
    <s v="Y"/>
    <s v="Y"/>
    <n v="0"/>
    <x v="1"/>
    <x v="2"/>
    <x v="0"/>
    <x v="3"/>
    <x v="0"/>
    <d v="1970-08-27T00:00:00"/>
    <n v="-19841"/>
    <x v="2873"/>
    <x v="2"/>
    <n v="-4428"/>
    <n v="12.123203285420944"/>
    <x v="1"/>
    <n v="1"/>
    <n v="1"/>
    <n v="1"/>
    <n v="0"/>
    <s v="Managers"/>
    <x v="1"/>
  </r>
  <r>
    <n v="5148828"/>
    <x v="0"/>
    <s v="N"/>
    <s v="Y"/>
    <n v="1"/>
    <x v="8"/>
    <x v="2"/>
    <x v="1"/>
    <x v="1"/>
    <x v="0"/>
    <d v="1985-09-01T00:00:00"/>
    <n v="-14357"/>
    <x v="2874"/>
    <x v="3"/>
    <n v="-3120"/>
    <n v="8.5420944558521565"/>
    <x v="1"/>
    <n v="1"/>
    <n v="1"/>
    <n v="1"/>
    <n v="0"/>
    <s v="Sales staff"/>
    <x v="3"/>
  </r>
  <r>
    <n v="5148834"/>
    <x v="0"/>
    <s v="Y"/>
    <s v="Y"/>
    <n v="1"/>
    <x v="1"/>
    <x v="2"/>
    <x v="0"/>
    <x v="1"/>
    <x v="0"/>
    <d v="1994-01-02T00:00:00"/>
    <n v="-11312"/>
    <x v="2875"/>
    <x v="3"/>
    <n v="-472"/>
    <n v="1.2922655715263518"/>
    <x v="1"/>
    <n v="1"/>
    <n v="0"/>
    <n v="0"/>
    <n v="1"/>
    <s v="Sales staff"/>
    <x v="3"/>
  </r>
  <r>
    <n v="5148853"/>
    <x v="1"/>
    <s v="Y"/>
    <s v="Y"/>
    <n v="0"/>
    <x v="97"/>
    <x v="2"/>
    <x v="1"/>
    <x v="1"/>
    <x v="0"/>
    <d v="1981-12-20T00:00:00"/>
    <n v="-15708"/>
    <x v="2876"/>
    <x v="1"/>
    <n v="-5250"/>
    <n v="14.373716632443532"/>
    <x v="1"/>
    <n v="1"/>
    <n v="0"/>
    <n v="0"/>
    <n v="0"/>
    <s v="Laborers"/>
    <x v="1"/>
  </r>
  <r>
    <n v="5148858"/>
    <x v="1"/>
    <s v="N"/>
    <s v="N"/>
    <n v="2"/>
    <x v="2"/>
    <x v="2"/>
    <x v="0"/>
    <x v="1"/>
    <x v="0"/>
    <d v="1994-02-05T00:00:00"/>
    <n v="-11278"/>
    <x v="2877"/>
    <x v="3"/>
    <n v="-4459"/>
    <n v="12.208076659822039"/>
    <x v="1"/>
    <n v="1"/>
    <n v="0"/>
    <n v="0"/>
    <n v="0"/>
    <s v="Low-skill Laborers"/>
    <x v="2"/>
  </r>
  <r>
    <n v="5148879"/>
    <x v="0"/>
    <s v="Y"/>
    <s v="Y"/>
    <n v="0"/>
    <x v="11"/>
    <x v="2"/>
    <x v="2"/>
    <x v="1"/>
    <x v="0"/>
    <d v="1974-01-26T00:00:00"/>
    <n v="-18593"/>
    <x v="2878"/>
    <x v="2"/>
    <n v="-5434"/>
    <n v="14.877481177275838"/>
    <x v="1"/>
    <n v="1"/>
    <n v="1"/>
    <n v="1"/>
    <n v="0"/>
    <s v="Accountants"/>
    <x v="1"/>
  </r>
  <r>
    <n v="5148881"/>
    <x v="0"/>
    <s v="Y"/>
    <s v="Y"/>
    <n v="0"/>
    <x v="11"/>
    <x v="2"/>
    <x v="2"/>
    <x v="1"/>
    <x v="0"/>
    <d v="1974-01-26T00:00:00"/>
    <n v="-18593"/>
    <x v="2878"/>
    <x v="2"/>
    <n v="-5434"/>
    <n v="14.877481177275838"/>
    <x v="1"/>
    <n v="1"/>
    <n v="1"/>
    <n v="1"/>
    <n v="0"/>
    <s v="Accountants"/>
    <x v="1"/>
  </r>
  <r>
    <n v="5148884"/>
    <x v="0"/>
    <s v="N"/>
    <s v="Y"/>
    <n v="0"/>
    <x v="68"/>
    <x v="2"/>
    <x v="1"/>
    <x v="0"/>
    <x v="0"/>
    <d v="1980-01-12T00:00:00"/>
    <n v="-16416"/>
    <x v="665"/>
    <x v="1"/>
    <n v="-1782"/>
    <n v="4.8788501026694044"/>
    <x v="1"/>
    <n v="1"/>
    <n v="0"/>
    <n v="0"/>
    <n v="0"/>
    <s v="Laborers"/>
    <x v="0"/>
  </r>
  <r>
    <n v="5148896"/>
    <x v="1"/>
    <s v="N"/>
    <s v="Y"/>
    <n v="0"/>
    <x v="66"/>
    <x v="0"/>
    <x v="1"/>
    <x v="1"/>
    <x v="0"/>
    <d v="1964-02-08T00:00:00"/>
    <n v="-22233"/>
    <x v="2879"/>
    <x v="0"/>
    <n v="365243"/>
    <n v="0"/>
    <x v="0"/>
    <n v="1"/>
    <n v="0"/>
    <n v="1"/>
    <n v="0"/>
    <m/>
    <x v="1"/>
  </r>
  <r>
    <n v="5148897"/>
    <x v="1"/>
    <s v="N"/>
    <s v="Y"/>
    <n v="0"/>
    <x v="66"/>
    <x v="0"/>
    <x v="1"/>
    <x v="1"/>
    <x v="0"/>
    <d v="1964-02-08T00:00:00"/>
    <n v="-22233"/>
    <x v="2879"/>
    <x v="0"/>
    <n v="365243"/>
    <n v="0"/>
    <x v="0"/>
    <n v="1"/>
    <n v="0"/>
    <n v="1"/>
    <n v="0"/>
    <m/>
    <x v="1"/>
  </r>
  <r>
    <n v="5148948"/>
    <x v="0"/>
    <s v="N"/>
    <s v="Y"/>
    <n v="0"/>
    <x v="30"/>
    <x v="2"/>
    <x v="1"/>
    <x v="1"/>
    <x v="4"/>
    <d v="1976-06-29T00:00:00"/>
    <n v="-17708"/>
    <x v="1117"/>
    <x v="1"/>
    <n v="-5555"/>
    <n v="15.208761122518823"/>
    <x v="1"/>
    <n v="1"/>
    <n v="0"/>
    <n v="0"/>
    <n v="0"/>
    <s v="Laborers"/>
    <x v="1"/>
  </r>
  <r>
    <n v="5148970"/>
    <x v="1"/>
    <s v="Y"/>
    <s v="Y"/>
    <n v="0"/>
    <x v="67"/>
    <x v="2"/>
    <x v="1"/>
    <x v="2"/>
    <x v="1"/>
    <d v="1985-08-31T00:00:00"/>
    <n v="-14358"/>
    <x v="2116"/>
    <x v="3"/>
    <n v="-5373"/>
    <n v="14.710472279260781"/>
    <x v="1"/>
    <n v="1"/>
    <n v="0"/>
    <n v="0"/>
    <n v="0"/>
    <s v="Cooking staff"/>
    <x v="0"/>
  </r>
  <r>
    <n v="5149016"/>
    <x v="0"/>
    <s v="N"/>
    <s v="Y"/>
    <n v="0"/>
    <x v="8"/>
    <x v="2"/>
    <x v="1"/>
    <x v="1"/>
    <x v="0"/>
    <d v="1977-05-28T00:00:00"/>
    <n v="-17375"/>
    <x v="2880"/>
    <x v="1"/>
    <n v="-3759"/>
    <n v="10.291581108829568"/>
    <x v="1"/>
    <n v="1"/>
    <n v="0"/>
    <n v="0"/>
    <n v="0"/>
    <m/>
    <x v="1"/>
  </r>
  <r>
    <n v="5149026"/>
    <x v="0"/>
    <s v="N"/>
    <s v="Y"/>
    <n v="0"/>
    <x v="69"/>
    <x v="0"/>
    <x v="1"/>
    <x v="1"/>
    <x v="0"/>
    <d v="1962-07-26T00:00:00"/>
    <n v="-22795"/>
    <x v="2881"/>
    <x v="0"/>
    <n v="365243"/>
    <n v="0"/>
    <x v="0"/>
    <n v="1"/>
    <n v="0"/>
    <n v="0"/>
    <n v="0"/>
    <m/>
    <x v="1"/>
  </r>
  <r>
    <n v="5149035"/>
    <x v="0"/>
    <s v="N"/>
    <s v="Y"/>
    <n v="0"/>
    <x v="16"/>
    <x v="3"/>
    <x v="0"/>
    <x v="1"/>
    <x v="0"/>
    <d v="1977-02-09T00:00:00"/>
    <n v="-17483"/>
    <x v="2882"/>
    <x v="1"/>
    <n v="-1203"/>
    <n v="3.2936344969199181"/>
    <x v="1"/>
    <n v="1"/>
    <n v="0"/>
    <n v="0"/>
    <n v="0"/>
    <s v="Core staff"/>
    <x v="1"/>
  </r>
  <r>
    <n v="5149058"/>
    <x v="0"/>
    <s v="N"/>
    <s v="Y"/>
    <n v="0"/>
    <x v="16"/>
    <x v="3"/>
    <x v="1"/>
    <x v="1"/>
    <x v="4"/>
    <d v="1972-07-07T00:00:00"/>
    <n v="-19161"/>
    <x v="2883"/>
    <x v="2"/>
    <n v="-4581"/>
    <n v="12.542094455852157"/>
    <x v="1"/>
    <n v="1"/>
    <n v="0"/>
    <n v="0"/>
    <n v="0"/>
    <s v="Cleaning staff"/>
    <x v="1"/>
  </r>
  <r>
    <n v="5149061"/>
    <x v="0"/>
    <s v="N"/>
    <s v="Y"/>
    <n v="0"/>
    <x v="37"/>
    <x v="0"/>
    <x v="1"/>
    <x v="1"/>
    <x v="0"/>
    <d v="1968-08-31T00:00:00"/>
    <n v="-20567"/>
    <x v="2884"/>
    <x v="2"/>
    <n v="365243"/>
    <n v="0"/>
    <x v="0"/>
    <n v="1"/>
    <n v="0"/>
    <n v="0"/>
    <n v="0"/>
    <m/>
    <x v="1"/>
  </r>
  <r>
    <n v="5149072"/>
    <x v="1"/>
    <s v="Y"/>
    <s v="Y"/>
    <n v="2"/>
    <x v="8"/>
    <x v="1"/>
    <x v="0"/>
    <x v="1"/>
    <x v="0"/>
    <d v="1984-04-07T00:00:00"/>
    <n v="-14869"/>
    <x v="1603"/>
    <x v="1"/>
    <n v="-229"/>
    <n v="0.6269678302532512"/>
    <x v="1"/>
    <n v="1"/>
    <n v="0"/>
    <n v="0"/>
    <n v="1"/>
    <m/>
    <x v="2"/>
  </r>
  <r>
    <n v="5149077"/>
    <x v="0"/>
    <s v="N"/>
    <s v="Y"/>
    <n v="1"/>
    <x v="64"/>
    <x v="3"/>
    <x v="1"/>
    <x v="1"/>
    <x v="0"/>
    <d v="1996-12-26T00:00:00"/>
    <n v="-10223"/>
    <x v="2885"/>
    <x v="4"/>
    <n v="-775"/>
    <n v="2.1218343600273784"/>
    <x v="1"/>
    <n v="1"/>
    <n v="0"/>
    <n v="0"/>
    <n v="0"/>
    <s v="Laborers"/>
    <x v="3"/>
  </r>
  <r>
    <n v="5149090"/>
    <x v="1"/>
    <s v="N"/>
    <s v="Y"/>
    <n v="1"/>
    <x v="11"/>
    <x v="2"/>
    <x v="1"/>
    <x v="1"/>
    <x v="0"/>
    <d v="1984-12-18T00:00:00"/>
    <n v="-14614"/>
    <x v="2886"/>
    <x v="1"/>
    <n v="-563"/>
    <n v="1.5414099931553731"/>
    <x v="1"/>
    <n v="1"/>
    <n v="0"/>
    <n v="0"/>
    <n v="0"/>
    <s v="Laborers"/>
    <x v="3"/>
  </r>
  <r>
    <n v="5149094"/>
    <x v="0"/>
    <s v="N"/>
    <s v="Y"/>
    <n v="0"/>
    <x v="35"/>
    <x v="2"/>
    <x v="1"/>
    <x v="1"/>
    <x v="0"/>
    <d v="1964-03-31T00:00:00"/>
    <n v="-22181"/>
    <x v="2887"/>
    <x v="0"/>
    <n v="-14413"/>
    <n v="39.460643394934976"/>
    <x v="1"/>
    <n v="1"/>
    <n v="1"/>
    <n v="0"/>
    <n v="0"/>
    <m/>
    <x v="1"/>
  </r>
  <r>
    <n v="5149119"/>
    <x v="0"/>
    <s v="N"/>
    <s v="Y"/>
    <n v="0"/>
    <x v="14"/>
    <x v="2"/>
    <x v="0"/>
    <x v="0"/>
    <x v="0"/>
    <d v="1973-03-26T00:00:00"/>
    <n v="-18899"/>
    <x v="2888"/>
    <x v="2"/>
    <n v="-8538"/>
    <n v="23.375770020533881"/>
    <x v="1"/>
    <n v="1"/>
    <n v="0"/>
    <n v="1"/>
    <n v="0"/>
    <s v="Managers"/>
    <x v="0"/>
  </r>
  <r>
    <n v="5149120"/>
    <x v="0"/>
    <s v="N"/>
    <s v="Y"/>
    <n v="0"/>
    <x v="14"/>
    <x v="2"/>
    <x v="0"/>
    <x v="0"/>
    <x v="0"/>
    <d v="1973-03-26T00:00:00"/>
    <n v="-18899"/>
    <x v="2888"/>
    <x v="2"/>
    <n v="-8538"/>
    <n v="23.375770020533881"/>
    <x v="1"/>
    <n v="1"/>
    <n v="0"/>
    <n v="1"/>
    <n v="0"/>
    <s v="Managers"/>
    <x v="0"/>
  </r>
  <r>
    <n v="5149123"/>
    <x v="0"/>
    <s v="N"/>
    <s v="Y"/>
    <n v="0"/>
    <x v="14"/>
    <x v="2"/>
    <x v="0"/>
    <x v="0"/>
    <x v="0"/>
    <d v="1973-03-26T00:00:00"/>
    <n v="-18899"/>
    <x v="2888"/>
    <x v="2"/>
    <n v="-8538"/>
    <n v="23.375770020533881"/>
    <x v="1"/>
    <n v="1"/>
    <n v="0"/>
    <n v="1"/>
    <n v="0"/>
    <s v="Managers"/>
    <x v="0"/>
  </r>
  <r>
    <n v="5149137"/>
    <x v="0"/>
    <s v="N"/>
    <s v="Y"/>
    <n v="0"/>
    <x v="16"/>
    <x v="2"/>
    <x v="1"/>
    <x v="3"/>
    <x v="0"/>
    <d v="1990-02-08T00:00:00"/>
    <n v="-12736"/>
    <x v="2889"/>
    <x v="3"/>
    <n v="-2725"/>
    <n v="7.4606433949349764"/>
    <x v="1"/>
    <n v="1"/>
    <n v="0"/>
    <n v="0"/>
    <n v="0"/>
    <s v="Laborers"/>
    <x v="1"/>
  </r>
  <r>
    <n v="5149162"/>
    <x v="1"/>
    <s v="Y"/>
    <s v="Y"/>
    <n v="0"/>
    <x v="39"/>
    <x v="2"/>
    <x v="1"/>
    <x v="1"/>
    <x v="0"/>
    <d v="1994-12-28T00:00:00"/>
    <n v="-10952"/>
    <x v="2890"/>
    <x v="4"/>
    <n v="-3577"/>
    <n v="9.7932922655715267"/>
    <x v="1"/>
    <n v="1"/>
    <n v="1"/>
    <n v="0"/>
    <n v="0"/>
    <s v="Laborers"/>
    <x v="1"/>
  </r>
  <r>
    <n v="5149206"/>
    <x v="0"/>
    <s v="Y"/>
    <s v="N"/>
    <n v="0"/>
    <x v="2"/>
    <x v="2"/>
    <x v="1"/>
    <x v="1"/>
    <x v="0"/>
    <d v="1983-03-29T00:00:00"/>
    <n v="-15244"/>
    <x v="2661"/>
    <x v="1"/>
    <n v="-2998"/>
    <n v="8.2080766598220389"/>
    <x v="1"/>
    <n v="1"/>
    <n v="0"/>
    <n v="0"/>
    <n v="0"/>
    <s v="Cooking staff"/>
    <x v="1"/>
  </r>
  <r>
    <n v="5149236"/>
    <x v="0"/>
    <s v="N"/>
    <s v="Y"/>
    <n v="0"/>
    <x v="39"/>
    <x v="1"/>
    <x v="0"/>
    <x v="4"/>
    <x v="0"/>
    <d v="1961-01-28T00:00:00"/>
    <n v="-23339"/>
    <x v="2891"/>
    <x v="0"/>
    <n v="-1233"/>
    <n v="3.375770020533881"/>
    <x v="1"/>
    <n v="1"/>
    <n v="0"/>
    <n v="1"/>
    <n v="0"/>
    <m/>
    <x v="0"/>
  </r>
  <r>
    <n v="5149249"/>
    <x v="0"/>
    <s v="N"/>
    <s v="Y"/>
    <n v="0"/>
    <x v="1"/>
    <x v="1"/>
    <x v="1"/>
    <x v="3"/>
    <x v="0"/>
    <d v="1991-08-15T00:00:00"/>
    <n v="-12183"/>
    <x v="2892"/>
    <x v="3"/>
    <n v="-655"/>
    <n v="1.7932922655715264"/>
    <x v="1"/>
    <n v="1"/>
    <n v="1"/>
    <n v="0"/>
    <n v="0"/>
    <s v="Cooking staff"/>
    <x v="1"/>
  </r>
  <r>
    <n v="5149253"/>
    <x v="0"/>
    <s v="Y"/>
    <s v="Y"/>
    <n v="1"/>
    <x v="16"/>
    <x v="2"/>
    <x v="1"/>
    <x v="1"/>
    <x v="0"/>
    <d v="1986-11-24T00:00:00"/>
    <n v="-13908"/>
    <x v="2893"/>
    <x v="3"/>
    <n v="-2512"/>
    <n v="6.8774811772758389"/>
    <x v="1"/>
    <n v="1"/>
    <n v="0"/>
    <n v="0"/>
    <n v="0"/>
    <s v="Cooking staff"/>
    <x v="3"/>
  </r>
  <r>
    <n v="5149254"/>
    <x v="0"/>
    <s v="Y"/>
    <s v="Y"/>
    <n v="1"/>
    <x v="16"/>
    <x v="2"/>
    <x v="1"/>
    <x v="1"/>
    <x v="0"/>
    <d v="1986-11-24T00:00:00"/>
    <n v="-13908"/>
    <x v="2893"/>
    <x v="3"/>
    <n v="-2512"/>
    <n v="6.8774811772758389"/>
    <x v="1"/>
    <n v="1"/>
    <n v="0"/>
    <n v="0"/>
    <n v="0"/>
    <s v="Cooking staff"/>
    <x v="3"/>
  </r>
  <r>
    <n v="5149259"/>
    <x v="1"/>
    <s v="Y"/>
    <s v="N"/>
    <n v="2"/>
    <x v="5"/>
    <x v="2"/>
    <x v="1"/>
    <x v="1"/>
    <x v="0"/>
    <d v="1984-05-04T00:00:00"/>
    <n v="-14842"/>
    <x v="2894"/>
    <x v="1"/>
    <n v="-5189"/>
    <n v="14.206707734428473"/>
    <x v="1"/>
    <n v="1"/>
    <n v="0"/>
    <n v="1"/>
    <n v="0"/>
    <s v="Drivers"/>
    <x v="2"/>
  </r>
  <r>
    <n v="5149269"/>
    <x v="1"/>
    <s v="Y"/>
    <s v="Y"/>
    <n v="0"/>
    <x v="18"/>
    <x v="2"/>
    <x v="1"/>
    <x v="1"/>
    <x v="0"/>
    <d v="1964-02-07T00:00:00"/>
    <n v="-22234"/>
    <x v="2895"/>
    <x v="0"/>
    <n v="-1506"/>
    <n v="4.1232032854209448"/>
    <x v="1"/>
    <n v="1"/>
    <n v="0"/>
    <n v="1"/>
    <n v="0"/>
    <s v="Realty agents"/>
    <x v="1"/>
  </r>
  <r>
    <n v="5149271"/>
    <x v="1"/>
    <s v="Y"/>
    <s v="Y"/>
    <n v="0"/>
    <x v="18"/>
    <x v="2"/>
    <x v="1"/>
    <x v="1"/>
    <x v="0"/>
    <d v="1964-02-07T00:00:00"/>
    <n v="-22234"/>
    <x v="2895"/>
    <x v="0"/>
    <n v="-1506"/>
    <n v="4.1232032854209448"/>
    <x v="1"/>
    <n v="1"/>
    <n v="0"/>
    <n v="1"/>
    <n v="0"/>
    <s v="Realty agents"/>
    <x v="1"/>
  </r>
  <r>
    <n v="5149293"/>
    <x v="0"/>
    <s v="Y"/>
    <s v="Y"/>
    <n v="1"/>
    <x v="8"/>
    <x v="2"/>
    <x v="1"/>
    <x v="3"/>
    <x v="0"/>
    <d v="1982-09-11T00:00:00"/>
    <n v="-15443"/>
    <x v="2896"/>
    <x v="1"/>
    <n v="-290"/>
    <n v="0.79397672826830934"/>
    <x v="1"/>
    <n v="1"/>
    <n v="0"/>
    <n v="0"/>
    <n v="0"/>
    <s v="Sales staff"/>
    <x v="3"/>
  </r>
  <r>
    <n v="5149319"/>
    <x v="0"/>
    <s v="Y"/>
    <s v="Y"/>
    <n v="1"/>
    <x v="16"/>
    <x v="2"/>
    <x v="0"/>
    <x v="0"/>
    <x v="0"/>
    <d v="1973-05-26T00:00:00"/>
    <n v="-18838"/>
    <x v="2897"/>
    <x v="2"/>
    <n v="-5981"/>
    <n v="16.3750855578371"/>
    <x v="1"/>
    <n v="1"/>
    <n v="0"/>
    <n v="0"/>
    <n v="0"/>
    <s v="Managers"/>
    <x v="1"/>
  </r>
  <r>
    <n v="5149327"/>
    <x v="0"/>
    <s v="Y"/>
    <s v="Y"/>
    <n v="1"/>
    <x v="16"/>
    <x v="2"/>
    <x v="0"/>
    <x v="0"/>
    <x v="0"/>
    <d v="1973-05-26T00:00:00"/>
    <n v="-18838"/>
    <x v="2897"/>
    <x v="2"/>
    <n v="-5981"/>
    <n v="16.3750855578371"/>
    <x v="1"/>
    <n v="1"/>
    <n v="0"/>
    <n v="0"/>
    <n v="0"/>
    <s v="Managers"/>
    <x v="1"/>
  </r>
  <r>
    <n v="5149340"/>
    <x v="0"/>
    <s v="Y"/>
    <s v="Y"/>
    <n v="0"/>
    <x v="19"/>
    <x v="1"/>
    <x v="0"/>
    <x v="2"/>
    <x v="0"/>
    <d v="1978-08-16T00:00:00"/>
    <n v="-16930"/>
    <x v="2898"/>
    <x v="1"/>
    <n v="-8995"/>
    <n v="24.62696783025325"/>
    <x v="1"/>
    <n v="1"/>
    <n v="0"/>
    <n v="0"/>
    <n v="0"/>
    <s v="High skill tech staff"/>
    <x v="0"/>
  </r>
  <r>
    <n v="5149348"/>
    <x v="0"/>
    <s v="N"/>
    <s v="Y"/>
    <n v="0"/>
    <x v="61"/>
    <x v="1"/>
    <x v="1"/>
    <x v="2"/>
    <x v="0"/>
    <d v="1988-05-23T00:00:00"/>
    <n v="-13362"/>
    <x v="2899"/>
    <x v="3"/>
    <n v="-1963"/>
    <n v="5.3744010951403149"/>
    <x v="1"/>
    <n v="1"/>
    <n v="0"/>
    <n v="0"/>
    <n v="0"/>
    <s v="Sales staff"/>
    <x v="0"/>
  </r>
  <r>
    <n v="5149356"/>
    <x v="1"/>
    <s v="N"/>
    <s v="Y"/>
    <n v="0"/>
    <x v="38"/>
    <x v="1"/>
    <x v="0"/>
    <x v="2"/>
    <x v="0"/>
    <d v="1990-10-14T00:00:00"/>
    <n v="-12488"/>
    <x v="2900"/>
    <x v="3"/>
    <n v="-2512"/>
    <n v="6.8774811772758389"/>
    <x v="1"/>
    <n v="1"/>
    <n v="1"/>
    <n v="0"/>
    <n v="0"/>
    <m/>
    <x v="0"/>
  </r>
  <r>
    <n v="5149372"/>
    <x v="0"/>
    <s v="N"/>
    <s v="Y"/>
    <n v="0"/>
    <x v="5"/>
    <x v="2"/>
    <x v="1"/>
    <x v="1"/>
    <x v="0"/>
    <d v="1973-08-23T00:00:00"/>
    <n v="-18749"/>
    <x v="2901"/>
    <x v="2"/>
    <n v="-2542"/>
    <n v="6.9596167008898018"/>
    <x v="1"/>
    <n v="1"/>
    <n v="0"/>
    <n v="0"/>
    <n v="0"/>
    <s v="Sales staff"/>
    <x v="1"/>
  </r>
  <r>
    <n v="5149396"/>
    <x v="0"/>
    <s v="N"/>
    <s v="N"/>
    <n v="1"/>
    <x v="1"/>
    <x v="1"/>
    <x v="1"/>
    <x v="1"/>
    <x v="2"/>
    <d v="1987-07-01T00:00:00"/>
    <n v="-13689"/>
    <x v="2902"/>
    <x v="3"/>
    <n v="-1172"/>
    <n v="3.2087611225188226"/>
    <x v="1"/>
    <n v="1"/>
    <n v="0"/>
    <n v="0"/>
    <n v="0"/>
    <s v="Sales staff"/>
    <x v="3"/>
  </r>
  <r>
    <n v="5149401"/>
    <x v="0"/>
    <s v="N"/>
    <s v="N"/>
    <n v="1"/>
    <x v="1"/>
    <x v="1"/>
    <x v="1"/>
    <x v="1"/>
    <x v="2"/>
    <d v="1987-07-01T00:00:00"/>
    <n v="-13689"/>
    <x v="2902"/>
    <x v="3"/>
    <n v="-1172"/>
    <n v="3.2087611225188226"/>
    <x v="1"/>
    <n v="1"/>
    <n v="0"/>
    <n v="0"/>
    <n v="0"/>
    <s v="Sales staff"/>
    <x v="3"/>
  </r>
  <r>
    <n v="5149403"/>
    <x v="0"/>
    <s v="N"/>
    <s v="N"/>
    <n v="1"/>
    <x v="1"/>
    <x v="1"/>
    <x v="1"/>
    <x v="1"/>
    <x v="2"/>
    <d v="1987-07-01T00:00:00"/>
    <n v="-13689"/>
    <x v="2902"/>
    <x v="3"/>
    <n v="-1172"/>
    <n v="3.2087611225188226"/>
    <x v="1"/>
    <n v="1"/>
    <n v="0"/>
    <n v="0"/>
    <n v="0"/>
    <s v="Sales staff"/>
    <x v="3"/>
  </r>
  <r>
    <n v="5149446"/>
    <x v="1"/>
    <s v="Y"/>
    <s v="Y"/>
    <n v="0"/>
    <x v="80"/>
    <x v="2"/>
    <x v="0"/>
    <x v="1"/>
    <x v="2"/>
    <d v="1991-08-11T00:00:00"/>
    <n v="-12187"/>
    <x v="2903"/>
    <x v="3"/>
    <n v="-2602"/>
    <n v="7.1238877481177276"/>
    <x v="1"/>
    <n v="1"/>
    <n v="0"/>
    <n v="0"/>
    <n v="0"/>
    <s v="Laborers"/>
    <x v="1"/>
  </r>
  <r>
    <n v="5149455"/>
    <x v="1"/>
    <s v="Y"/>
    <s v="Y"/>
    <n v="0"/>
    <x v="80"/>
    <x v="2"/>
    <x v="0"/>
    <x v="1"/>
    <x v="2"/>
    <d v="1991-08-11T00:00:00"/>
    <n v="-12187"/>
    <x v="2903"/>
    <x v="3"/>
    <n v="-2602"/>
    <n v="7.1238877481177276"/>
    <x v="1"/>
    <n v="1"/>
    <n v="0"/>
    <n v="0"/>
    <n v="0"/>
    <s v="Laborers"/>
    <x v="1"/>
  </r>
  <r>
    <n v="5149462"/>
    <x v="0"/>
    <s v="N"/>
    <s v="Y"/>
    <n v="0"/>
    <x v="76"/>
    <x v="1"/>
    <x v="1"/>
    <x v="1"/>
    <x v="0"/>
    <d v="1982-09-07T00:00:00"/>
    <n v="-15447"/>
    <x v="1965"/>
    <x v="1"/>
    <n v="-1721"/>
    <n v="4.7118412046543465"/>
    <x v="1"/>
    <n v="1"/>
    <n v="0"/>
    <n v="0"/>
    <n v="0"/>
    <s v="Sales staff"/>
    <x v="1"/>
  </r>
  <r>
    <n v="5149468"/>
    <x v="0"/>
    <s v="N"/>
    <s v="Y"/>
    <n v="0"/>
    <x v="76"/>
    <x v="1"/>
    <x v="1"/>
    <x v="1"/>
    <x v="0"/>
    <d v="1982-09-07T00:00:00"/>
    <n v="-15447"/>
    <x v="1965"/>
    <x v="1"/>
    <n v="-1721"/>
    <n v="4.7118412046543465"/>
    <x v="1"/>
    <n v="1"/>
    <n v="0"/>
    <n v="0"/>
    <n v="0"/>
    <s v="Sales staff"/>
    <x v="1"/>
  </r>
  <r>
    <n v="5149472"/>
    <x v="0"/>
    <s v="Y"/>
    <s v="Y"/>
    <n v="1"/>
    <x v="1"/>
    <x v="1"/>
    <x v="0"/>
    <x v="1"/>
    <x v="0"/>
    <d v="1994-02-05T00:00:00"/>
    <n v="-11278"/>
    <x v="2877"/>
    <x v="3"/>
    <n v="-2481"/>
    <n v="6.792607802874743"/>
    <x v="1"/>
    <n v="1"/>
    <n v="0"/>
    <n v="0"/>
    <n v="0"/>
    <m/>
    <x v="3"/>
  </r>
  <r>
    <n v="5149475"/>
    <x v="0"/>
    <s v="Y"/>
    <s v="Y"/>
    <n v="1"/>
    <x v="1"/>
    <x v="1"/>
    <x v="0"/>
    <x v="1"/>
    <x v="0"/>
    <d v="1994-02-05T00:00:00"/>
    <n v="-11278"/>
    <x v="2877"/>
    <x v="3"/>
    <n v="-2481"/>
    <n v="6.792607802874743"/>
    <x v="1"/>
    <n v="1"/>
    <n v="0"/>
    <n v="0"/>
    <n v="0"/>
    <m/>
    <x v="3"/>
  </r>
  <r>
    <n v="5149479"/>
    <x v="0"/>
    <s v="Y"/>
    <s v="Y"/>
    <n v="1"/>
    <x v="1"/>
    <x v="1"/>
    <x v="0"/>
    <x v="1"/>
    <x v="0"/>
    <d v="1994-02-05T00:00:00"/>
    <n v="-11278"/>
    <x v="2877"/>
    <x v="3"/>
    <n v="-2481"/>
    <n v="6.792607802874743"/>
    <x v="1"/>
    <n v="1"/>
    <n v="0"/>
    <n v="0"/>
    <n v="0"/>
    <m/>
    <x v="3"/>
  </r>
  <r>
    <n v="5149491"/>
    <x v="0"/>
    <s v="Y"/>
    <s v="Y"/>
    <n v="0"/>
    <x v="30"/>
    <x v="2"/>
    <x v="0"/>
    <x v="1"/>
    <x v="0"/>
    <d v="1993-11-24T00:00:00"/>
    <n v="-11351"/>
    <x v="2904"/>
    <x v="3"/>
    <n v="-1172"/>
    <n v="3.2087611225188226"/>
    <x v="1"/>
    <n v="1"/>
    <n v="1"/>
    <n v="0"/>
    <n v="0"/>
    <s v="Laborers"/>
    <x v="1"/>
  </r>
  <r>
    <n v="5149495"/>
    <x v="0"/>
    <s v="Y"/>
    <s v="Y"/>
    <n v="1"/>
    <x v="14"/>
    <x v="2"/>
    <x v="0"/>
    <x v="1"/>
    <x v="0"/>
    <d v="1991-02-12T00:00:00"/>
    <n v="-12367"/>
    <x v="2905"/>
    <x v="3"/>
    <n v="-928"/>
    <n v="2.5407255304585901"/>
    <x v="1"/>
    <n v="1"/>
    <n v="1"/>
    <n v="0"/>
    <n v="0"/>
    <s v="Core staff"/>
    <x v="3"/>
  </r>
  <r>
    <n v="5149527"/>
    <x v="0"/>
    <s v="N"/>
    <s v="Y"/>
    <n v="0"/>
    <x v="2"/>
    <x v="0"/>
    <x v="1"/>
    <x v="1"/>
    <x v="0"/>
    <d v="1973-11-14T00:00:00"/>
    <n v="-18666"/>
    <x v="2906"/>
    <x v="2"/>
    <n v="365243"/>
    <n v="0"/>
    <x v="0"/>
    <n v="1"/>
    <n v="0"/>
    <n v="1"/>
    <n v="0"/>
    <m/>
    <x v="1"/>
  </r>
  <r>
    <n v="5149529"/>
    <x v="0"/>
    <s v="N"/>
    <s v="Y"/>
    <n v="0"/>
    <x v="22"/>
    <x v="3"/>
    <x v="1"/>
    <x v="1"/>
    <x v="0"/>
    <d v="1990-04-09T00:00:00"/>
    <n v="-12676"/>
    <x v="1751"/>
    <x v="3"/>
    <n v="-3455"/>
    <n v="9.4592744695414108"/>
    <x v="1"/>
    <n v="1"/>
    <n v="0"/>
    <n v="0"/>
    <n v="0"/>
    <s v="Core staff"/>
    <x v="1"/>
  </r>
  <r>
    <n v="5149540"/>
    <x v="0"/>
    <s v="N"/>
    <s v="Y"/>
    <n v="0"/>
    <x v="22"/>
    <x v="3"/>
    <x v="1"/>
    <x v="1"/>
    <x v="0"/>
    <d v="1990-04-09T00:00:00"/>
    <n v="-12676"/>
    <x v="1751"/>
    <x v="3"/>
    <n v="-3455"/>
    <n v="9.4592744695414108"/>
    <x v="1"/>
    <n v="1"/>
    <n v="0"/>
    <n v="0"/>
    <n v="0"/>
    <s v="Core staff"/>
    <x v="1"/>
  </r>
  <r>
    <n v="5149542"/>
    <x v="0"/>
    <s v="N"/>
    <s v="Y"/>
    <n v="0"/>
    <x v="22"/>
    <x v="3"/>
    <x v="1"/>
    <x v="1"/>
    <x v="0"/>
    <d v="1990-04-09T00:00:00"/>
    <n v="-12676"/>
    <x v="1751"/>
    <x v="3"/>
    <n v="-3455"/>
    <n v="9.4592744695414108"/>
    <x v="1"/>
    <n v="1"/>
    <n v="0"/>
    <n v="0"/>
    <n v="0"/>
    <s v="Core staff"/>
    <x v="1"/>
  </r>
  <r>
    <n v="5149545"/>
    <x v="0"/>
    <s v="N"/>
    <s v="Y"/>
    <n v="0"/>
    <x v="22"/>
    <x v="3"/>
    <x v="1"/>
    <x v="1"/>
    <x v="0"/>
    <d v="1990-04-09T00:00:00"/>
    <n v="-12676"/>
    <x v="1751"/>
    <x v="3"/>
    <n v="-3455"/>
    <n v="9.4592744695414108"/>
    <x v="1"/>
    <n v="1"/>
    <n v="0"/>
    <n v="0"/>
    <n v="0"/>
    <s v="Core staff"/>
    <x v="1"/>
  </r>
  <r>
    <n v="5149553"/>
    <x v="0"/>
    <s v="N"/>
    <s v="Y"/>
    <n v="1"/>
    <x v="39"/>
    <x v="1"/>
    <x v="0"/>
    <x v="1"/>
    <x v="0"/>
    <d v="1985-08-18T00:00:00"/>
    <n v="-14371"/>
    <x v="2907"/>
    <x v="3"/>
    <n v="-1325"/>
    <n v="3.6276522929500343"/>
    <x v="1"/>
    <n v="1"/>
    <n v="0"/>
    <n v="0"/>
    <n v="1"/>
    <s v="Managers"/>
    <x v="3"/>
  </r>
  <r>
    <n v="5149568"/>
    <x v="0"/>
    <s v="N"/>
    <s v="Y"/>
    <n v="0"/>
    <x v="1"/>
    <x v="1"/>
    <x v="1"/>
    <x v="1"/>
    <x v="0"/>
    <d v="1978-07-12T00:00:00"/>
    <n v="-16965"/>
    <x v="2908"/>
    <x v="1"/>
    <n v="-928"/>
    <n v="2.5407255304585901"/>
    <x v="1"/>
    <n v="1"/>
    <n v="0"/>
    <n v="0"/>
    <n v="0"/>
    <s v="Accountants"/>
    <x v="1"/>
  </r>
  <r>
    <n v="5149577"/>
    <x v="0"/>
    <s v="N"/>
    <s v="Y"/>
    <n v="0"/>
    <x v="1"/>
    <x v="1"/>
    <x v="1"/>
    <x v="1"/>
    <x v="0"/>
    <d v="1978-07-12T00:00:00"/>
    <n v="-16965"/>
    <x v="2908"/>
    <x v="1"/>
    <n v="-928"/>
    <n v="2.5407255304585901"/>
    <x v="1"/>
    <n v="1"/>
    <n v="0"/>
    <n v="0"/>
    <n v="0"/>
    <s v="Accountants"/>
    <x v="1"/>
  </r>
  <r>
    <n v="5149595"/>
    <x v="0"/>
    <s v="N"/>
    <s v="Y"/>
    <n v="0"/>
    <x v="5"/>
    <x v="2"/>
    <x v="0"/>
    <x v="1"/>
    <x v="0"/>
    <d v="1991-05-01T00:00:00"/>
    <n v="-12289"/>
    <x v="2909"/>
    <x v="3"/>
    <n v="-1812"/>
    <n v="4.9609856262833674"/>
    <x v="1"/>
    <n v="1"/>
    <n v="0"/>
    <n v="1"/>
    <n v="0"/>
    <s v="Core staff"/>
    <x v="1"/>
  </r>
  <r>
    <n v="5149599"/>
    <x v="0"/>
    <s v="N"/>
    <s v="Y"/>
    <n v="0"/>
    <x v="8"/>
    <x v="1"/>
    <x v="1"/>
    <x v="3"/>
    <x v="0"/>
    <d v="1976-02-01T00:00:00"/>
    <n v="-17857"/>
    <x v="2910"/>
    <x v="1"/>
    <n v="-229"/>
    <n v="0.6269678302532512"/>
    <x v="1"/>
    <n v="1"/>
    <n v="1"/>
    <n v="0"/>
    <n v="0"/>
    <m/>
    <x v="1"/>
  </r>
  <r>
    <n v="5149602"/>
    <x v="0"/>
    <s v="N"/>
    <s v="Y"/>
    <n v="0"/>
    <x v="8"/>
    <x v="1"/>
    <x v="1"/>
    <x v="3"/>
    <x v="0"/>
    <d v="1976-02-01T00:00:00"/>
    <n v="-17857"/>
    <x v="2910"/>
    <x v="1"/>
    <n v="-229"/>
    <n v="0.6269678302532512"/>
    <x v="1"/>
    <n v="1"/>
    <n v="1"/>
    <n v="0"/>
    <n v="0"/>
    <m/>
    <x v="1"/>
  </r>
  <r>
    <n v="5149603"/>
    <x v="0"/>
    <s v="N"/>
    <s v="Y"/>
    <n v="0"/>
    <x v="8"/>
    <x v="1"/>
    <x v="1"/>
    <x v="3"/>
    <x v="0"/>
    <d v="1976-02-01T00:00:00"/>
    <n v="-17857"/>
    <x v="2910"/>
    <x v="1"/>
    <n v="-229"/>
    <n v="0.6269678302532512"/>
    <x v="1"/>
    <n v="1"/>
    <n v="1"/>
    <n v="0"/>
    <n v="0"/>
    <m/>
    <x v="1"/>
  </r>
  <r>
    <n v="5149604"/>
    <x v="1"/>
    <s v="N"/>
    <s v="Y"/>
    <n v="0"/>
    <x v="5"/>
    <x v="1"/>
    <x v="0"/>
    <x v="1"/>
    <x v="1"/>
    <d v="1996-08-24T00:00:00"/>
    <n v="-10347"/>
    <x v="2911"/>
    <x v="4"/>
    <n v="-2420"/>
    <n v="6.6255989048596851"/>
    <x v="1"/>
    <n v="1"/>
    <n v="0"/>
    <n v="0"/>
    <n v="0"/>
    <s v="Core staff"/>
    <x v="1"/>
  </r>
  <r>
    <n v="5149610"/>
    <x v="1"/>
    <s v="N"/>
    <s v="Y"/>
    <n v="0"/>
    <x v="5"/>
    <x v="1"/>
    <x v="0"/>
    <x v="1"/>
    <x v="1"/>
    <d v="1996-08-24T00:00:00"/>
    <n v="-10347"/>
    <x v="2911"/>
    <x v="4"/>
    <n v="-2420"/>
    <n v="6.6255989048596851"/>
    <x v="1"/>
    <n v="1"/>
    <n v="0"/>
    <n v="0"/>
    <n v="0"/>
    <s v="Core staff"/>
    <x v="1"/>
  </r>
  <r>
    <n v="5149614"/>
    <x v="1"/>
    <s v="Y"/>
    <s v="Y"/>
    <n v="0"/>
    <x v="16"/>
    <x v="1"/>
    <x v="1"/>
    <x v="1"/>
    <x v="0"/>
    <d v="1991-02-14T00:00:00"/>
    <n v="-12365"/>
    <x v="2912"/>
    <x v="3"/>
    <n v="-1141"/>
    <n v="3.1238877481177276"/>
    <x v="1"/>
    <n v="1"/>
    <n v="0"/>
    <n v="0"/>
    <n v="0"/>
    <s v="Laborers"/>
    <x v="1"/>
  </r>
  <r>
    <n v="5149628"/>
    <x v="1"/>
    <s v="Y"/>
    <s v="Y"/>
    <n v="0"/>
    <x v="15"/>
    <x v="2"/>
    <x v="0"/>
    <x v="1"/>
    <x v="0"/>
    <d v="1996-05-17T00:00:00"/>
    <n v="-10446"/>
    <x v="1774"/>
    <x v="4"/>
    <n v="-2420"/>
    <n v="6.6255989048596851"/>
    <x v="1"/>
    <n v="1"/>
    <n v="0"/>
    <n v="0"/>
    <n v="0"/>
    <s v="Laborers"/>
    <x v="1"/>
  </r>
  <r>
    <n v="5149637"/>
    <x v="0"/>
    <s v="N"/>
    <s v="Y"/>
    <n v="0"/>
    <x v="5"/>
    <x v="2"/>
    <x v="1"/>
    <x v="3"/>
    <x v="0"/>
    <d v="1986-11-11T00:00:00"/>
    <n v="-13921"/>
    <x v="2913"/>
    <x v="3"/>
    <n v="-2542"/>
    <n v="6.9596167008898018"/>
    <x v="1"/>
    <n v="1"/>
    <n v="0"/>
    <n v="0"/>
    <n v="0"/>
    <s v="Sales staff"/>
    <x v="1"/>
  </r>
  <r>
    <n v="5149638"/>
    <x v="0"/>
    <s v="N"/>
    <s v="Y"/>
    <n v="0"/>
    <x v="5"/>
    <x v="2"/>
    <x v="1"/>
    <x v="3"/>
    <x v="0"/>
    <d v="1986-11-11T00:00:00"/>
    <n v="-13921"/>
    <x v="2913"/>
    <x v="3"/>
    <n v="-2542"/>
    <n v="6.9596167008898018"/>
    <x v="1"/>
    <n v="1"/>
    <n v="0"/>
    <n v="0"/>
    <n v="0"/>
    <s v="Sales staff"/>
    <x v="1"/>
  </r>
  <r>
    <n v="5149644"/>
    <x v="0"/>
    <s v="N"/>
    <s v="Y"/>
    <n v="0"/>
    <x v="19"/>
    <x v="0"/>
    <x v="1"/>
    <x v="2"/>
    <x v="0"/>
    <d v="1963-03-02T00:00:00"/>
    <n v="-22576"/>
    <x v="2914"/>
    <x v="0"/>
    <n v="365243"/>
    <n v="0"/>
    <x v="0"/>
    <n v="1"/>
    <n v="0"/>
    <n v="0"/>
    <n v="0"/>
    <m/>
    <x v="0"/>
  </r>
  <r>
    <n v="5149655"/>
    <x v="0"/>
    <s v="N"/>
    <s v="Y"/>
    <n v="0"/>
    <x v="19"/>
    <x v="0"/>
    <x v="1"/>
    <x v="2"/>
    <x v="0"/>
    <d v="1963-03-02T00:00:00"/>
    <n v="-22576"/>
    <x v="2914"/>
    <x v="0"/>
    <n v="365243"/>
    <n v="0"/>
    <x v="0"/>
    <n v="1"/>
    <n v="0"/>
    <n v="0"/>
    <n v="0"/>
    <m/>
    <x v="0"/>
  </r>
  <r>
    <n v="5149663"/>
    <x v="0"/>
    <s v="N"/>
    <s v="Y"/>
    <n v="1"/>
    <x v="16"/>
    <x v="1"/>
    <x v="1"/>
    <x v="3"/>
    <x v="0"/>
    <d v="1992-05-04T00:00:00"/>
    <n v="-11920"/>
    <x v="2915"/>
    <x v="3"/>
    <n v="-2967"/>
    <n v="8.1232032854209439"/>
    <x v="1"/>
    <n v="1"/>
    <n v="0"/>
    <n v="0"/>
    <n v="0"/>
    <s v="Realty agents"/>
    <x v="3"/>
  </r>
  <r>
    <n v="5149684"/>
    <x v="0"/>
    <s v="Y"/>
    <s v="Y"/>
    <n v="3"/>
    <x v="61"/>
    <x v="2"/>
    <x v="1"/>
    <x v="1"/>
    <x v="0"/>
    <d v="1986-12-16T00:00:00"/>
    <n v="-13886"/>
    <x v="2916"/>
    <x v="3"/>
    <n v="-4003"/>
    <n v="10.959616700889802"/>
    <x v="1"/>
    <n v="1"/>
    <n v="0"/>
    <n v="0"/>
    <n v="0"/>
    <s v="Accountants"/>
    <x v="4"/>
  </r>
  <r>
    <n v="5149693"/>
    <x v="0"/>
    <s v="N"/>
    <s v="N"/>
    <n v="0"/>
    <x v="5"/>
    <x v="2"/>
    <x v="2"/>
    <x v="1"/>
    <x v="2"/>
    <d v="1986-10-20T00:00:00"/>
    <n v="-13943"/>
    <x v="2917"/>
    <x v="3"/>
    <n v="-6407"/>
    <n v="17.541409993155373"/>
    <x v="1"/>
    <n v="1"/>
    <n v="0"/>
    <n v="0"/>
    <n v="0"/>
    <s v="Core staff"/>
    <x v="1"/>
  </r>
  <r>
    <n v="5149696"/>
    <x v="0"/>
    <s v="N"/>
    <s v="N"/>
    <n v="0"/>
    <x v="5"/>
    <x v="2"/>
    <x v="2"/>
    <x v="1"/>
    <x v="2"/>
    <d v="1986-10-20T00:00:00"/>
    <n v="-13943"/>
    <x v="2917"/>
    <x v="3"/>
    <n v="-6407"/>
    <n v="17.541409993155373"/>
    <x v="1"/>
    <n v="1"/>
    <n v="0"/>
    <n v="0"/>
    <n v="0"/>
    <s v="Core staff"/>
    <x v="1"/>
  </r>
  <r>
    <n v="5149701"/>
    <x v="0"/>
    <s v="N"/>
    <s v="Y"/>
    <n v="2"/>
    <x v="2"/>
    <x v="2"/>
    <x v="1"/>
    <x v="1"/>
    <x v="0"/>
    <d v="1991-03-24T00:00:00"/>
    <n v="-12327"/>
    <x v="2918"/>
    <x v="3"/>
    <n v="-1112"/>
    <n v="3.0444900752908968"/>
    <x v="1"/>
    <n v="1"/>
    <n v="0"/>
    <n v="0"/>
    <n v="1"/>
    <s v="Sales staff"/>
    <x v="2"/>
  </r>
  <r>
    <n v="5149718"/>
    <x v="0"/>
    <s v="N"/>
    <s v="Y"/>
    <n v="0"/>
    <x v="16"/>
    <x v="1"/>
    <x v="1"/>
    <x v="1"/>
    <x v="0"/>
    <d v="1996-01-12T00:00:00"/>
    <n v="-10572"/>
    <x v="2919"/>
    <x v="4"/>
    <n v="-137"/>
    <n v="0.3750855578370979"/>
    <x v="1"/>
    <n v="1"/>
    <n v="0"/>
    <n v="0"/>
    <n v="0"/>
    <m/>
    <x v="1"/>
  </r>
  <r>
    <n v="5149722"/>
    <x v="0"/>
    <s v="N"/>
    <s v="Y"/>
    <n v="0"/>
    <x v="16"/>
    <x v="1"/>
    <x v="1"/>
    <x v="1"/>
    <x v="0"/>
    <d v="1996-01-12T00:00:00"/>
    <n v="-10572"/>
    <x v="2919"/>
    <x v="4"/>
    <n v="-137"/>
    <n v="0.3750855578370979"/>
    <x v="1"/>
    <n v="1"/>
    <n v="0"/>
    <n v="0"/>
    <n v="0"/>
    <m/>
    <x v="1"/>
  </r>
  <r>
    <n v="5149729"/>
    <x v="1"/>
    <s v="Y"/>
    <s v="Y"/>
    <n v="0"/>
    <x v="30"/>
    <x v="2"/>
    <x v="1"/>
    <x v="1"/>
    <x v="0"/>
    <d v="1972-09-05T00:00:00"/>
    <n v="-19101"/>
    <x v="2920"/>
    <x v="2"/>
    <n v="-1721"/>
    <n v="4.7118412046543465"/>
    <x v="1"/>
    <n v="1"/>
    <n v="0"/>
    <n v="0"/>
    <n v="0"/>
    <m/>
    <x v="1"/>
  </r>
  <r>
    <n v="5149738"/>
    <x v="0"/>
    <s v="Y"/>
    <s v="Y"/>
    <n v="0"/>
    <x v="80"/>
    <x v="2"/>
    <x v="1"/>
    <x v="1"/>
    <x v="1"/>
    <d v="1982-10-01T00:00:00"/>
    <n v="-15423"/>
    <x v="2209"/>
    <x v="1"/>
    <n v="-4003"/>
    <n v="10.959616700889802"/>
    <x v="1"/>
    <n v="1"/>
    <n v="0"/>
    <n v="0"/>
    <n v="0"/>
    <s v="Laborers"/>
    <x v="1"/>
  </r>
  <r>
    <n v="5149741"/>
    <x v="0"/>
    <s v="Y"/>
    <s v="Y"/>
    <n v="0"/>
    <x v="80"/>
    <x v="2"/>
    <x v="1"/>
    <x v="1"/>
    <x v="1"/>
    <d v="1982-10-01T00:00:00"/>
    <n v="-15423"/>
    <x v="2209"/>
    <x v="1"/>
    <n v="-4003"/>
    <n v="10.959616700889802"/>
    <x v="1"/>
    <n v="1"/>
    <n v="0"/>
    <n v="0"/>
    <n v="0"/>
    <s v="Laborers"/>
    <x v="1"/>
  </r>
  <r>
    <n v="5149749"/>
    <x v="0"/>
    <s v="N"/>
    <s v="Y"/>
    <n v="1"/>
    <x v="16"/>
    <x v="3"/>
    <x v="1"/>
    <x v="2"/>
    <x v="0"/>
    <d v="1988-02-08T00:00:00"/>
    <n v="-13467"/>
    <x v="2921"/>
    <x v="3"/>
    <n v="-3850"/>
    <n v="10.540725530458589"/>
    <x v="1"/>
    <n v="1"/>
    <n v="0"/>
    <n v="1"/>
    <n v="0"/>
    <s v="Medicine staff"/>
    <x v="1"/>
  </r>
  <r>
    <n v="5149754"/>
    <x v="0"/>
    <s v="N"/>
    <s v="Y"/>
    <n v="1"/>
    <x v="16"/>
    <x v="3"/>
    <x v="1"/>
    <x v="2"/>
    <x v="0"/>
    <d v="1988-02-08T00:00:00"/>
    <n v="-13467"/>
    <x v="2921"/>
    <x v="3"/>
    <n v="-3850"/>
    <n v="10.540725530458589"/>
    <x v="1"/>
    <n v="1"/>
    <n v="0"/>
    <n v="1"/>
    <n v="0"/>
    <s v="Medicine staff"/>
    <x v="1"/>
  </r>
  <r>
    <n v="5149770"/>
    <x v="0"/>
    <s v="Y"/>
    <s v="Y"/>
    <n v="0"/>
    <x v="22"/>
    <x v="2"/>
    <x v="1"/>
    <x v="1"/>
    <x v="0"/>
    <d v="1980-10-17T00:00:00"/>
    <n v="-16137"/>
    <x v="2922"/>
    <x v="1"/>
    <n v="-9391"/>
    <n v="25.711156741957563"/>
    <x v="1"/>
    <n v="1"/>
    <n v="0"/>
    <n v="1"/>
    <n v="0"/>
    <s v="Laborers"/>
    <x v="1"/>
  </r>
  <r>
    <n v="5149773"/>
    <x v="0"/>
    <s v="Y"/>
    <s v="Y"/>
    <n v="0"/>
    <x v="22"/>
    <x v="2"/>
    <x v="1"/>
    <x v="1"/>
    <x v="0"/>
    <d v="1980-10-17T00:00:00"/>
    <n v="-16137"/>
    <x v="2922"/>
    <x v="1"/>
    <n v="-9391"/>
    <n v="25.711156741957563"/>
    <x v="1"/>
    <n v="1"/>
    <n v="0"/>
    <n v="1"/>
    <n v="0"/>
    <s v="Laborers"/>
    <x v="1"/>
  </r>
  <r>
    <n v="5149799"/>
    <x v="0"/>
    <s v="N"/>
    <s v="Y"/>
    <n v="0"/>
    <x v="3"/>
    <x v="1"/>
    <x v="1"/>
    <x v="3"/>
    <x v="4"/>
    <d v="1996-06-14T00:00:00"/>
    <n v="-10418"/>
    <x v="2923"/>
    <x v="4"/>
    <n v="-2024"/>
    <n v="5.5414099931553729"/>
    <x v="1"/>
    <n v="1"/>
    <n v="1"/>
    <n v="1"/>
    <n v="0"/>
    <s v="Laborers"/>
    <x v="1"/>
  </r>
  <r>
    <n v="5149808"/>
    <x v="0"/>
    <s v="N"/>
    <s v="Y"/>
    <n v="0"/>
    <x v="1"/>
    <x v="3"/>
    <x v="2"/>
    <x v="2"/>
    <x v="2"/>
    <d v="1997-12-11T00:00:00"/>
    <n v="-9873"/>
    <x v="2924"/>
    <x v="4"/>
    <n v="-2086"/>
    <n v="5.7111567419575637"/>
    <x v="1"/>
    <n v="1"/>
    <n v="0"/>
    <n v="1"/>
    <n v="1"/>
    <m/>
    <x v="0"/>
  </r>
  <r>
    <n v="5149814"/>
    <x v="0"/>
    <s v="N"/>
    <s v="Y"/>
    <n v="0"/>
    <x v="16"/>
    <x v="2"/>
    <x v="1"/>
    <x v="1"/>
    <x v="0"/>
    <d v="1970-04-17T00:00:00"/>
    <n v="-19973"/>
    <x v="2311"/>
    <x v="2"/>
    <n v="-5311"/>
    <n v="14.540725530458589"/>
    <x v="1"/>
    <n v="1"/>
    <n v="0"/>
    <n v="0"/>
    <n v="0"/>
    <s v="Sales staff"/>
    <x v="1"/>
  </r>
  <r>
    <n v="5149828"/>
    <x v="1"/>
    <s v="Y"/>
    <s v="Y"/>
    <n v="0"/>
    <x v="12"/>
    <x v="2"/>
    <x v="1"/>
    <x v="1"/>
    <x v="0"/>
    <d v="1977-06-24T00:00:00"/>
    <n v="-17348"/>
    <x v="2925"/>
    <x v="1"/>
    <n v="-2420"/>
    <n v="6.6255989048596851"/>
    <x v="1"/>
    <n v="1"/>
    <n v="0"/>
    <n v="0"/>
    <n v="0"/>
    <s v="Managers"/>
    <x v="1"/>
  </r>
  <r>
    <n v="5149834"/>
    <x v="0"/>
    <s v="N"/>
    <s v="Y"/>
    <n v="0"/>
    <x v="5"/>
    <x v="1"/>
    <x v="0"/>
    <x v="1"/>
    <x v="0"/>
    <d v="1991-01-23T00:00:00"/>
    <n v="-12387"/>
    <x v="2926"/>
    <x v="3"/>
    <n v="-1325"/>
    <n v="3.6276522929500343"/>
    <x v="1"/>
    <n v="1"/>
    <n v="0"/>
    <n v="1"/>
    <n v="1"/>
    <s v="Medicine staff"/>
    <x v="1"/>
  </r>
  <r>
    <n v="5149836"/>
    <x v="0"/>
    <s v="N"/>
    <s v="Y"/>
    <n v="0"/>
    <x v="5"/>
    <x v="1"/>
    <x v="0"/>
    <x v="1"/>
    <x v="0"/>
    <d v="1991-01-23T00:00:00"/>
    <n v="-12387"/>
    <x v="2926"/>
    <x v="3"/>
    <n v="-1325"/>
    <n v="3.6276522929500343"/>
    <x v="1"/>
    <n v="1"/>
    <n v="0"/>
    <n v="1"/>
    <n v="1"/>
    <s v="Medicine staff"/>
    <x v="1"/>
  </r>
  <r>
    <n v="5149847"/>
    <x v="1"/>
    <s v="Y"/>
    <s v="Y"/>
    <n v="1"/>
    <x v="14"/>
    <x v="2"/>
    <x v="0"/>
    <x v="1"/>
    <x v="0"/>
    <d v="1980-06-26T00:00:00"/>
    <n v="-16250"/>
    <x v="2927"/>
    <x v="1"/>
    <n v="-747"/>
    <n v="2.0451745379876796"/>
    <x v="1"/>
    <n v="1"/>
    <n v="0"/>
    <n v="0"/>
    <n v="0"/>
    <s v="Managers"/>
    <x v="3"/>
  </r>
  <r>
    <n v="5149852"/>
    <x v="1"/>
    <s v="Y"/>
    <s v="Y"/>
    <n v="2"/>
    <x v="8"/>
    <x v="2"/>
    <x v="1"/>
    <x v="1"/>
    <x v="0"/>
    <d v="1984-02-13T00:00:00"/>
    <n v="-14923"/>
    <x v="2928"/>
    <x v="1"/>
    <n v="-5434"/>
    <n v="14.877481177275838"/>
    <x v="1"/>
    <n v="1"/>
    <n v="1"/>
    <n v="1"/>
    <n v="0"/>
    <m/>
    <x v="2"/>
  </r>
  <r>
    <n v="5149859"/>
    <x v="0"/>
    <s v="N"/>
    <s v="Y"/>
    <n v="2"/>
    <x v="30"/>
    <x v="3"/>
    <x v="1"/>
    <x v="1"/>
    <x v="2"/>
    <d v="1989-05-31T00:00:00"/>
    <n v="-12989"/>
    <x v="1242"/>
    <x v="3"/>
    <n v="-6195"/>
    <n v="16.960985626283367"/>
    <x v="1"/>
    <n v="1"/>
    <n v="0"/>
    <n v="0"/>
    <n v="0"/>
    <s v="Drivers"/>
    <x v="2"/>
  </r>
  <r>
    <n v="5149866"/>
    <x v="0"/>
    <s v="N"/>
    <s v="Y"/>
    <n v="2"/>
    <x v="5"/>
    <x v="2"/>
    <x v="1"/>
    <x v="0"/>
    <x v="0"/>
    <d v="1987-06-04T00:00:00"/>
    <n v="-13716"/>
    <x v="2929"/>
    <x v="3"/>
    <n v="-1325"/>
    <n v="3.6276522929500343"/>
    <x v="1"/>
    <n v="1"/>
    <n v="0"/>
    <n v="0"/>
    <n v="0"/>
    <s v="Laborers"/>
    <x v="3"/>
  </r>
  <r>
    <n v="5149879"/>
    <x v="0"/>
    <s v="Y"/>
    <s v="Y"/>
    <n v="1"/>
    <x v="114"/>
    <x v="1"/>
    <x v="0"/>
    <x v="1"/>
    <x v="0"/>
    <d v="1977-04-10T00:00:00"/>
    <n v="-17423"/>
    <x v="2930"/>
    <x v="1"/>
    <n v="-472"/>
    <n v="1.2922655715263518"/>
    <x v="1"/>
    <n v="1"/>
    <n v="0"/>
    <n v="1"/>
    <n v="0"/>
    <s v="Managers"/>
    <x v="3"/>
  </r>
  <r>
    <n v="5149884"/>
    <x v="0"/>
    <s v="N"/>
    <s v="Y"/>
    <n v="0"/>
    <x v="11"/>
    <x v="1"/>
    <x v="1"/>
    <x v="1"/>
    <x v="0"/>
    <d v="1981-05-01T00:00:00"/>
    <n v="-15941"/>
    <x v="2931"/>
    <x v="1"/>
    <n v="-5830"/>
    <n v="15.961670088980151"/>
    <x v="1"/>
    <n v="1"/>
    <n v="0"/>
    <n v="0"/>
    <n v="0"/>
    <s v="Managers"/>
    <x v="1"/>
  </r>
  <r>
    <n v="5149888"/>
    <x v="0"/>
    <s v="N"/>
    <s v="Y"/>
    <n v="0"/>
    <x v="11"/>
    <x v="1"/>
    <x v="1"/>
    <x v="1"/>
    <x v="0"/>
    <d v="1981-05-01T00:00:00"/>
    <n v="-15941"/>
    <x v="2931"/>
    <x v="1"/>
    <n v="-5830"/>
    <n v="15.961670088980151"/>
    <x v="1"/>
    <n v="1"/>
    <n v="0"/>
    <n v="0"/>
    <n v="0"/>
    <s v="Managers"/>
    <x v="1"/>
  </r>
  <r>
    <n v="5149894"/>
    <x v="0"/>
    <s v="N"/>
    <s v="Y"/>
    <n v="0"/>
    <x v="11"/>
    <x v="1"/>
    <x v="1"/>
    <x v="1"/>
    <x v="0"/>
    <d v="1981-05-01T00:00:00"/>
    <n v="-15941"/>
    <x v="2931"/>
    <x v="1"/>
    <n v="-5830"/>
    <n v="15.961670088980151"/>
    <x v="1"/>
    <n v="1"/>
    <n v="0"/>
    <n v="0"/>
    <n v="0"/>
    <s v="Managers"/>
    <x v="1"/>
  </r>
  <r>
    <n v="5149910"/>
    <x v="0"/>
    <s v="Y"/>
    <s v="Y"/>
    <n v="0"/>
    <x v="2"/>
    <x v="2"/>
    <x v="1"/>
    <x v="1"/>
    <x v="0"/>
    <d v="1982-02-04T00:00:00"/>
    <n v="-15662"/>
    <x v="2932"/>
    <x v="1"/>
    <n v="-2694"/>
    <n v="7.3757700205338805"/>
    <x v="1"/>
    <n v="1"/>
    <n v="0"/>
    <n v="0"/>
    <n v="0"/>
    <s v="Sales staff"/>
    <x v="1"/>
  </r>
  <r>
    <n v="5149915"/>
    <x v="0"/>
    <s v="N"/>
    <s v="Y"/>
    <n v="1"/>
    <x v="26"/>
    <x v="3"/>
    <x v="0"/>
    <x v="2"/>
    <x v="0"/>
    <d v="1981-03-25T00:00:00"/>
    <n v="-15978"/>
    <x v="2364"/>
    <x v="1"/>
    <n v="-2389"/>
    <n v="6.5407255304585901"/>
    <x v="1"/>
    <n v="1"/>
    <n v="0"/>
    <n v="0"/>
    <n v="1"/>
    <s v="Core staff"/>
    <x v="1"/>
  </r>
  <r>
    <n v="5149919"/>
    <x v="0"/>
    <s v="N"/>
    <s v="Y"/>
    <n v="1"/>
    <x v="26"/>
    <x v="3"/>
    <x v="0"/>
    <x v="2"/>
    <x v="0"/>
    <d v="1981-03-25T00:00:00"/>
    <n v="-15978"/>
    <x v="2364"/>
    <x v="1"/>
    <n v="-2389"/>
    <n v="6.5407255304585901"/>
    <x v="1"/>
    <n v="1"/>
    <n v="0"/>
    <n v="0"/>
    <n v="1"/>
    <s v="Core staff"/>
    <x v="1"/>
  </r>
  <r>
    <n v="5149920"/>
    <x v="0"/>
    <s v="N"/>
    <s v="Y"/>
    <n v="1"/>
    <x v="26"/>
    <x v="3"/>
    <x v="0"/>
    <x v="2"/>
    <x v="0"/>
    <d v="1981-03-25T00:00:00"/>
    <n v="-15978"/>
    <x v="2364"/>
    <x v="1"/>
    <n v="-2389"/>
    <n v="6.5407255304585901"/>
    <x v="1"/>
    <n v="1"/>
    <n v="0"/>
    <n v="0"/>
    <n v="1"/>
    <s v="Core staff"/>
    <x v="1"/>
  </r>
  <r>
    <n v="5149945"/>
    <x v="0"/>
    <s v="N"/>
    <s v="Y"/>
    <n v="0"/>
    <x v="16"/>
    <x v="2"/>
    <x v="0"/>
    <x v="1"/>
    <x v="0"/>
    <d v="1964-02-13T00:00:00"/>
    <n v="-22228"/>
    <x v="2933"/>
    <x v="0"/>
    <n v="-686"/>
    <n v="1.8781656399726214"/>
    <x v="1"/>
    <n v="1"/>
    <n v="1"/>
    <n v="1"/>
    <n v="0"/>
    <s v="High skill tech staff"/>
    <x v="1"/>
  </r>
  <r>
    <n v="5149946"/>
    <x v="0"/>
    <s v="N"/>
    <s v="Y"/>
    <n v="0"/>
    <x v="16"/>
    <x v="2"/>
    <x v="0"/>
    <x v="1"/>
    <x v="0"/>
    <d v="1964-02-13T00:00:00"/>
    <n v="-22228"/>
    <x v="2933"/>
    <x v="0"/>
    <n v="-686"/>
    <n v="1.8781656399726214"/>
    <x v="1"/>
    <n v="1"/>
    <n v="1"/>
    <n v="1"/>
    <n v="0"/>
    <s v="High skill tech staff"/>
    <x v="1"/>
  </r>
  <r>
    <n v="5149951"/>
    <x v="0"/>
    <s v="N"/>
    <s v="Y"/>
    <n v="0"/>
    <x v="16"/>
    <x v="2"/>
    <x v="0"/>
    <x v="1"/>
    <x v="0"/>
    <d v="1964-02-13T00:00:00"/>
    <n v="-22228"/>
    <x v="2933"/>
    <x v="0"/>
    <n v="-686"/>
    <n v="1.8781656399726214"/>
    <x v="1"/>
    <n v="1"/>
    <n v="1"/>
    <n v="1"/>
    <n v="0"/>
    <s v="High skill tech staff"/>
    <x v="1"/>
  </r>
  <r>
    <n v="5149952"/>
    <x v="0"/>
    <s v="N"/>
    <s v="Y"/>
    <n v="1"/>
    <x v="37"/>
    <x v="1"/>
    <x v="0"/>
    <x v="1"/>
    <x v="0"/>
    <d v="1995-06-14T00:00:00"/>
    <n v="-10784"/>
    <x v="2934"/>
    <x v="4"/>
    <n v="-2512"/>
    <n v="6.8774811772758389"/>
    <x v="1"/>
    <n v="1"/>
    <n v="0"/>
    <n v="0"/>
    <n v="0"/>
    <s v="Core staff"/>
    <x v="3"/>
  </r>
  <r>
    <n v="5149953"/>
    <x v="0"/>
    <s v="N"/>
    <s v="Y"/>
    <n v="0"/>
    <x v="16"/>
    <x v="2"/>
    <x v="1"/>
    <x v="2"/>
    <x v="0"/>
    <d v="1985-11-18T00:00:00"/>
    <n v="-14279"/>
    <x v="2386"/>
    <x v="3"/>
    <n v="-2939"/>
    <n v="8.046543463381246"/>
    <x v="1"/>
    <n v="1"/>
    <n v="0"/>
    <n v="0"/>
    <n v="0"/>
    <s v="Sales staff"/>
    <x v="0"/>
  </r>
  <r>
    <n v="5149960"/>
    <x v="0"/>
    <s v="N"/>
    <s v="Y"/>
    <n v="0"/>
    <x v="16"/>
    <x v="2"/>
    <x v="1"/>
    <x v="2"/>
    <x v="0"/>
    <d v="1985-11-18T00:00:00"/>
    <n v="-14279"/>
    <x v="2386"/>
    <x v="3"/>
    <n v="-2939"/>
    <n v="8.046543463381246"/>
    <x v="1"/>
    <n v="1"/>
    <n v="0"/>
    <n v="0"/>
    <n v="0"/>
    <s v="Sales staff"/>
    <x v="0"/>
  </r>
  <r>
    <n v="5149965"/>
    <x v="0"/>
    <s v="N"/>
    <s v="Y"/>
    <n v="0"/>
    <x v="16"/>
    <x v="2"/>
    <x v="1"/>
    <x v="2"/>
    <x v="0"/>
    <d v="1985-11-18T00:00:00"/>
    <n v="-14279"/>
    <x v="2386"/>
    <x v="3"/>
    <n v="-2939"/>
    <n v="8.046543463381246"/>
    <x v="1"/>
    <n v="1"/>
    <n v="0"/>
    <n v="0"/>
    <n v="0"/>
    <s v="Sales staff"/>
    <x v="0"/>
  </r>
  <r>
    <n v="5149978"/>
    <x v="0"/>
    <s v="N"/>
    <s v="Y"/>
    <n v="1"/>
    <x v="61"/>
    <x v="3"/>
    <x v="0"/>
    <x v="1"/>
    <x v="0"/>
    <d v="1990-02-12T00:00:00"/>
    <n v="-12732"/>
    <x v="2935"/>
    <x v="3"/>
    <n v="-4520"/>
    <n v="12.375085557837098"/>
    <x v="1"/>
    <n v="1"/>
    <n v="0"/>
    <n v="0"/>
    <n v="0"/>
    <s v="Core staff"/>
    <x v="3"/>
  </r>
  <r>
    <n v="5150000"/>
    <x v="1"/>
    <s v="Y"/>
    <s v="Y"/>
    <n v="1"/>
    <x v="8"/>
    <x v="2"/>
    <x v="0"/>
    <x v="0"/>
    <x v="4"/>
    <d v="1977-11-14T00:00:00"/>
    <n v="-17205"/>
    <x v="1163"/>
    <x v="1"/>
    <n v="-2055"/>
    <n v="5.6262833675564679"/>
    <x v="1"/>
    <n v="1"/>
    <n v="0"/>
    <n v="1"/>
    <n v="0"/>
    <s v="Security staff"/>
    <x v="1"/>
  </r>
  <r>
    <n v="5150009"/>
    <x v="1"/>
    <s v="Y"/>
    <s v="Y"/>
    <n v="1"/>
    <x v="16"/>
    <x v="2"/>
    <x v="1"/>
    <x v="3"/>
    <x v="0"/>
    <d v="1985-05-31T00:00:00"/>
    <n v="-14450"/>
    <x v="11"/>
    <x v="3"/>
    <n v="-3243"/>
    <n v="8.8788501026694053"/>
    <x v="1"/>
    <n v="1"/>
    <n v="0"/>
    <n v="0"/>
    <n v="0"/>
    <m/>
    <x v="3"/>
  </r>
  <r>
    <n v="5150023"/>
    <x v="1"/>
    <s v="Y"/>
    <s v="Y"/>
    <n v="1"/>
    <x v="16"/>
    <x v="2"/>
    <x v="1"/>
    <x v="3"/>
    <x v="0"/>
    <d v="1985-05-31T00:00:00"/>
    <n v="-14450"/>
    <x v="11"/>
    <x v="3"/>
    <n v="-3243"/>
    <n v="8.8788501026694053"/>
    <x v="1"/>
    <n v="1"/>
    <n v="0"/>
    <n v="0"/>
    <n v="0"/>
    <m/>
    <x v="3"/>
  </r>
  <r>
    <n v="5150027"/>
    <x v="1"/>
    <s v="Y"/>
    <s v="Y"/>
    <n v="1"/>
    <x v="16"/>
    <x v="2"/>
    <x v="1"/>
    <x v="3"/>
    <x v="0"/>
    <d v="1985-05-31T00:00:00"/>
    <n v="-14450"/>
    <x v="11"/>
    <x v="3"/>
    <n v="-3243"/>
    <n v="8.8788501026694053"/>
    <x v="1"/>
    <n v="1"/>
    <n v="0"/>
    <n v="0"/>
    <n v="0"/>
    <m/>
    <x v="3"/>
  </r>
  <r>
    <n v="5150029"/>
    <x v="1"/>
    <s v="Y"/>
    <s v="Y"/>
    <n v="1"/>
    <x v="16"/>
    <x v="2"/>
    <x v="1"/>
    <x v="3"/>
    <x v="0"/>
    <d v="1985-05-31T00:00:00"/>
    <n v="-14450"/>
    <x v="11"/>
    <x v="3"/>
    <n v="-3243"/>
    <n v="8.8788501026694053"/>
    <x v="1"/>
    <n v="1"/>
    <n v="0"/>
    <n v="0"/>
    <n v="0"/>
    <m/>
    <x v="3"/>
  </r>
  <r>
    <n v="5150056"/>
    <x v="0"/>
    <s v="N"/>
    <s v="Y"/>
    <n v="0"/>
    <x v="16"/>
    <x v="2"/>
    <x v="2"/>
    <x v="2"/>
    <x v="0"/>
    <d v="2000-09-17T00:00:00"/>
    <n v="-8862"/>
    <x v="2936"/>
    <x v="4"/>
    <n v="-716"/>
    <n v="1.9603011635865846"/>
    <x v="1"/>
    <n v="1"/>
    <n v="0"/>
    <n v="0"/>
    <n v="0"/>
    <s v="Laborers"/>
    <x v="0"/>
  </r>
  <r>
    <n v="5150058"/>
    <x v="0"/>
    <s v="N"/>
    <s v="Y"/>
    <n v="0"/>
    <x v="64"/>
    <x v="2"/>
    <x v="1"/>
    <x v="1"/>
    <x v="0"/>
    <d v="1978-02-12T00:00:00"/>
    <n v="-17115"/>
    <x v="2373"/>
    <x v="1"/>
    <n v="-229"/>
    <n v="0.6269678302532512"/>
    <x v="1"/>
    <n v="1"/>
    <n v="0"/>
    <n v="1"/>
    <n v="0"/>
    <s v="Core staff"/>
    <x v="1"/>
  </r>
  <r>
    <n v="5150061"/>
    <x v="1"/>
    <s v="N"/>
    <s v="Y"/>
    <n v="0"/>
    <x v="8"/>
    <x v="2"/>
    <x v="1"/>
    <x v="2"/>
    <x v="0"/>
    <d v="1996-02-23T00:00:00"/>
    <n v="-10530"/>
    <x v="2937"/>
    <x v="4"/>
    <n v="-2328"/>
    <n v="6.3737166324435321"/>
    <x v="1"/>
    <n v="1"/>
    <n v="0"/>
    <n v="0"/>
    <n v="0"/>
    <s v="Laborers"/>
    <x v="0"/>
  </r>
  <r>
    <n v="5150070"/>
    <x v="0"/>
    <s v="N"/>
    <s v="Y"/>
    <n v="2"/>
    <x v="2"/>
    <x v="3"/>
    <x v="0"/>
    <x v="1"/>
    <x v="0"/>
    <d v="1993-01-31T00:00:00"/>
    <n v="-11648"/>
    <x v="2768"/>
    <x v="3"/>
    <n v="-3243"/>
    <n v="8.8788501026694053"/>
    <x v="1"/>
    <n v="1"/>
    <n v="0"/>
    <n v="0"/>
    <n v="0"/>
    <s v="Core staff"/>
    <x v="2"/>
  </r>
  <r>
    <n v="5150072"/>
    <x v="1"/>
    <s v="Y"/>
    <s v="N"/>
    <n v="0"/>
    <x v="37"/>
    <x v="1"/>
    <x v="1"/>
    <x v="2"/>
    <x v="4"/>
    <d v="2000-03-16T00:00:00"/>
    <n v="-9047"/>
    <x v="2938"/>
    <x v="4"/>
    <n v="-716"/>
    <n v="1.9603011635865846"/>
    <x v="1"/>
    <n v="1"/>
    <n v="0"/>
    <n v="0"/>
    <n v="0"/>
    <s v="Security staff"/>
    <x v="0"/>
  </r>
  <r>
    <n v="5150142"/>
    <x v="0"/>
    <s v="N"/>
    <s v="N"/>
    <n v="0"/>
    <x v="32"/>
    <x v="2"/>
    <x v="1"/>
    <x v="2"/>
    <x v="0"/>
    <d v="1979-12-14T00:00:00"/>
    <n v="-16445"/>
    <x v="2939"/>
    <x v="1"/>
    <n v="-340"/>
    <n v="0.9308692676249144"/>
    <x v="1"/>
    <n v="1"/>
    <n v="0"/>
    <n v="0"/>
    <n v="0"/>
    <s v="Sales staff"/>
    <x v="0"/>
  </r>
  <r>
    <n v="5150148"/>
    <x v="0"/>
    <s v="N"/>
    <s v="Y"/>
    <n v="2"/>
    <x v="2"/>
    <x v="2"/>
    <x v="1"/>
    <x v="2"/>
    <x v="0"/>
    <d v="1991-10-16T00:00:00"/>
    <n v="-12121"/>
    <x v="2940"/>
    <x v="3"/>
    <n v="-3718"/>
    <n v="10.179329226557153"/>
    <x v="1"/>
    <n v="1"/>
    <n v="0"/>
    <n v="0"/>
    <n v="0"/>
    <s v="Core staff"/>
    <x v="3"/>
  </r>
  <r>
    <n v="5150184"/>
    <x v="1"/>
    <s v="N"/>
    <s v="Y"/>
    <n v="0"/>
    <x v="8"/>
    <x v="0"/>
    <x v="1"/>
    <x v="2"/>
    <x v="0"/>
    <d v="1998-08-27T00:00:00"/>
    <n v="-9614"/>
    <x v="2941"/>
    <x v="4"/>
    <n v="365243"/>
    <n v="0"/>
    <x v="0"/>
    <n v="1"/>
    <n v="0"/>
    <n v="0"/>
    <n v="0"/>
    <m/>
    <x v="0"/>
  </r>
  <r>
    <n v="5150217"/>
    <x v="1"/>
    <s v="Y"/>
    <s v="Y"/>
    <n v="0"/>
    <x v="160"/>
    <x v="2"/>
    <x v="1"/>
    <x v="1"/>
    <x v="0"/>
    <d v="1997-03-23T00:00:00"/>
    <n v="-10136"/>
    <x v="295"/>
    <x v="4"/>
    <n v="-2441"/>
    <n v="6.6830937713894594"/>
    <x v="1"/>
    <n v="1"/>
    <n v="0"/>
    <n v="0"/>
    <n v="0"/>
    <s v="Laborers"/>
    <x v="1"/>
  </r>
  <r>
    <n v="5150234"/>
    <x v="0"/>
    <s v="N"/>
    <s v="N"/>
    <n v="1"/>
    <x v="11"/>
    <x v="3"/>
    <x v="0"/>
    <x v="0"/>
    <x v="0"/>
    <d v="1988-11-09T00:00:00"/>
    <n v="-13192"/>
    <x v="2942"/>
    <x v="3"/>
    <n v="-3841"/>
    <n v="10.516084873374401"/>
    <x v="1"/>
    <n v="1"/>
    <n v="0"/>
    <n v="0"/>
    <n v="0"/>
    <s v="Core staff"/>
    <x v="1"/>
  </r>
  <r>
    <n v="5150284"/>
    <x v="0"/>
    <s v="N"/>
    <s v="Y"/>
    <n v="0"/>
    <x v="161"/>
    <x v="0"/>
    <x v="1"/>
    <x v="0"/>
    <x v="0"/>
    <d v="1969-03-11T00:00:00"/>
    <n v="-20375"/>
    <x v="2943"/>
    <x v="2"/>
    <n v="365243"/>
    <n v="0"/>
    <x v="0"/>
    <n v="1"/>
    <n v="0"/>
    <n v="0"/>
    <n v="0"/>
    <m/>
    <x v="0"/>
  </r>
  <r>
    <n v="5150286"/>
    <x v="0"/>
    <s v="N"/>
    <s v="Y"/>
    <n v="0"/>
    <x v="161"/>
    <x v="0"/>
    <x v="1"/>
    <x v="0"/>
    <x v="0"/>
    <d v="1969-03-11T00:00:00"/>
    <n v="-20375"/>
    <x v="2943"/>
    <x v="2"/>
    <n v="365243"/>
    <n v="0"/>
    <x v="0"/>
    <n v="1"/>
    <n v="0"/>
    <n v="0"/>
    <n v="0"/>
    <m/>
    <x v="0"/>
  </r>
  <r>
    <n v="5150305"/>
    <x v="0"/>
    <s v="Y"/>
    <s v="Y"/>
    <n v="0"/>
    <x v="29"/>
    <x v="0"/>
    <x v="1"/>
    <x v="1"/>
    <x v="0"/>
    <d v="1967-02-21T00:00:00"/>
    <n v="-21124"/>
    <x v="2944"/>
    <x v="2"/>
    <n v="365243"/>
    <n v="0"/>
    <x v="0"/>
    <n v="1"/>
    <n v="0"/>
    <n v="0"/>
    <n v="0"/>
    <m/>
    <x v="1"/>
  </r>
  <r>
    <n v="5150331"/>
    <x v="1"/>
    <s v="N"/>
    <s v="Y"/>
    <n v="0"/>
    <x v="33"/>
    <x v="2"/>
    <x v="1"/>
    <x v="1"/>
    <x v="0"/>
    <d v="1991-08-25T00:00:00"/>
    <n v="-12173"/>
    <x v="2945"/>
    <x v="3"/>
    <n v="-309"/>
    <n v="0.8459958932238193"/>
    <x v="1"/>
    <n v="1"/>
    <n v="0"/>
    <n v="0"/>
    <n v="0"/>
    <s v="Laborers"/>
    <x v="1"/>
  </r>
  <r>
    <n v="5150333"/>
    <x v="1"/>
    <s v="N"/>
    <s v="Y"/>
    <n v="0"/>
    <x v="33"/>
    <x v="2"/>
    <x v="1"/>
    <x v="1"/>
    <x v="0"/>
    <d v="1991-08-25T00:00:00"/>
    <n v="-12173"/>
    <x v="2945"/>
    <x v="3"/>
    <n v="-309"/>
    <n v="0.8459958932238193"/>
    <x v="1"/>
    <n v="1"/>
    <n v="0"/>
    <n v="0"/>
    <n v="0"/>
    <s v="Laborers"/>
    <x v="1"/>
  </r>
  <r>
    <n v="5150338"/>
    <x v="0"/>
    <s v="Y"/>
    <s v="N"/>
    <n v="0"/>
    <x v="16"/>
    <x v="1"/>
    <x v="1"/>
    <x v="1"/>
    <x v="0"/>
    <d v="1993-10-18T00:00:00"/>
    <n v="-11388"/>
    <x v="2946"/>
    <x v="3"/>
    <n v="-1315"/>
    <n v="3.6002737850787132"/>
    <x v="1"/>
    <n v="1"/>
    <n v="0"/>
    <n v="0"/>
    <n v="0"/>
    <s v="Core staff"/>
    <x v="1"/>
  </r>
  <r>
    <n v="5150361"/>
    <x v="0"/>
    <s v="N"/>
    <s v="Y"/>
    <n v="0"/>
    <x v="62"/>
    <x v="1"/>
    <x v="0"/>
    <x v="1"/>
    <x v="0"/>
    <d v="1983-03-25T00:00:00"/>
    <n v="-15248"/>
    <x v="2947"/>
    <x v="1"/>
    <n v="-2227"/>
    <n v="6.0971937029431897"/>
    <x v="1"/>
    <n v="1"/>
    <n v="1"/>
    <n v="1"/>
    <n v="0"/>
    <s v="Managers"/>
    <x v="1"/>
  </r>
  <r>
    <n v="5150389"/>
    <x v="0"/>
    <s v="Y"/>
    <s v="Y"/>
    <n v="1"/>
    <x v="12"/>
    <x v="1"/>
    <x v="1"/>
    <x v="1"/>
    <x v="4"/>
    <d v="1980-11-28T00:00:00"/>
    <n v="-16095"/>
    <x v="2948"/>
    <x v="1"/>
    <n v="-7979"/>
    <n v="21.845311430527037"/>
    <x v="1"/>
    <n v="1"/>
    <n v="0"/>
    <n v="0"/>
    <n v="0"/>
    <s v="Medicine staff"/>
    <x v="3"/>
  </r>
  <r>
    <n v="5150395"/>
    <x v="0"/>
    <s v="Y"/>
    <s v="Y"/>
    <n v="1"/>
    <x v="12"/>
    <x v="1"/>
    <x v="1"/>
    <x v="1"/>
    <x v="4"/>
    <d v="1980-11-28T00:00:00"/>
    <n v="-16095"/>
    <x v="2948"/>
    <x v="1"/>
    <n v="-7979"/>
    <n v="21.845311430527037"/>
    <x v="1"/>
    <n v="1"/>
    <n v="0"/>
    <n v="0"/>
    <n v="0"/>
    <s v="Medicine staff"/>
    <x v="3"/>
  </r>
  <r>
    <n v="5150400"/>
    <x v="1"/>
    <s v="Y"/>
    <s v="Y"/>
    <n v="2"/>
    <x v="5"/>
    <x v="2"/>
    <x v="1"/>
    <x v="1"/>
    <x v="0"/>
    <d v="1985-10-16T00:00:00"/>
    <n v="-14312"/>
    <x v="2949"/>
    <x v="3"/>
    <n v="-4480"/>
    <n v="12.265571526351813"/>
    <x v="1"/>
    <n v="1"/>
    <n v="1"/>
    <n v="1"/>
    <n v="0"/>
    <s v="Laborers"/>
    <x v="2"/>
  </r>
  <r>
    <n v="5150401"/>
    <x v="1"/>
    <s v="Y"/>
    <s v="Y"/>
    <n v="2"/>
    <x v="5"/>
    <x v="2"/>
    <x v="1"/>
    <x v="1"/>
    <x v="0"/>
    <d v="1985-10-16T00:00:00"/>
    <n v="-14312"/>
    <x v="2949"/>
    <x v="3"/>
    <n v="-4480"/>
    <n v="12.265571526351813"/>
    <x v="1"/>
    <n v="1"/>
    <n v="1"/>
    <n v="1"/>
    <n v="0"/>
    <s v="Laborers"/>
    <x v="2"/>
  </r>
  <r>
    <n v="5150411"/>
    <x v="0"/>
    <s v="N"/>
    <s v="Y"/>
    <n v="0"/>
    <x v="37"/>
    <x v="0"/>
    <x v="1"/>
    <x v="4"/>
    <x v="0"/>
    <d v="1964-06-04T00:00:00"/>
    <n v="-22116"/>
    <x v="2950"/>
    <x v="0"/>
    <n v="365243"/>
    <n v="0"/>
    <x v="0"/>
    <n v="1"/>
    <n v="0"/>
    <n v="0"/>
    <n v="0"/>
    <m/>
    <x v="0"/>
  </r>
  <r>
    <n v="5150416"/>
    <x v="0"/>
    <s v="N"/>
    <s v="Y"/>
    <n v="0"/>
    <x v="37"/>
    <x v="0"/>
    <x v="1"/>
    <x v="4"/>
    <x v="0"/>
    <d v="1964-06-04T00:00:00"/>
    <n v="-22116"/>
    <x v="2950"/>
    <x v="0"/>
    <n v="365243"/>
    <n v="0"/>
    <x v="0"/>
    <n v="1"/>
    <n v="0"/>
    <n v="0"/>
    <n v="0"/>
    <m/>
    <x v="0"/>
  </r>
  <r>
    <n v="5150478"/>
    <x v="1"/>
    <s v="Y"/>
    <s v="Y"/>
    <n v="0"/>
    <x v="11"/>
    <x v="2"/>
    <x v="1"/>
    <x v="3"/>
    <x v="0"/>
    <d v="1995-03-04T00:00:00"/>
    <n v="-10886"/>
    <x v="2283"/>
    <x v="4"/>
    <n v="-1315"/>
    <n v="3.6002737850787132"/>
    <x v="1"/>
    <n v="1"/>
    <n v="1"/>
    <n v="0"/>
    <n v="0"/>
    <s v="Laborer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79E43-2E27-4A38-9C6F-9BC7894C2F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colHeaderCaption="Gender">
  <location ref="A3:D10" firstHeaderRow="1" firstDataRow="2" firstDataCol="1"/>
  <pivotFields count="23">
    <pivotField showAll="0"/>
    <pivotField axis="axisCol" dataField="1" showAll="0" countASubtotal="1">
      <items count="3">
        <item x="0"/>
        <item x="1"/>
        <item t="countA"/>
      </items>
    </pivotField>
    <pivotField showAll="0"/>
    <pivotField showAll="0"/>
    <pivotField showAll="0"/>
    <pivotField showAll="0"/>
    <pivotField showAll="0"/>
    <pivotField showAll="0"/>
    <pivotField showAll="0"/>
    <pivotField showAll="0"/>
    <pivotField numFmtId="14" showAll="0"/>
    <pivotField showAll="0"/>
    <pivotField numFmtId="164" showAll="0">
      <items count="2952">
        <item x="572"/>
        <item x="862"/>
        <item x="2384"/>
        <item x="507"/>
        <item x="88"/>
        <item x="880"/>
        <item x="2845"/>
        <item x="1182"/>
        <item x="2323"/>
        <item x="2779"/>
        <item x="1178"/>
        <item x="1517"/>
        <item x="1807"/>
        <item x="1284"/>
        <item x="2412"/>
        <item x="1321"/>
        <item x="92"/>
        <item x="741"/>
        <item x="1192"/>
        <item x="1026"/>
        <item x="2858"/>
        <item x="1548"/>
        <item x="2452"/>
        <item x="2300"/>
        <item x="252"/>
        <item x="407"/>
        <item x="2222"/>
        <item x="2250"/>
        <item x="1219"/>
        <item x="400"/>
        <item x="359"/>
        <item x="1957"/>
        <item x="2782"/>
        <item x="1425"/>
        <item x="245"/>
        <item x="2021"/>
        <item x="1090"/>
        <item x="1324"/>
        <item x="1874"/>
        <item x="2741"/>
        <item x="2644"/>
        <item x="2613"/>
        <item x="15"/>
        <item x="2936"/>
        <item x="389"/>
        <item x="2850"/>
        <item x="1945"/>
        <item x="1052"/>
        <item x="1821"/>
        <item x="2727"/>
        <item x="1964"/>
        <item x="2821"/>
        <item x="1285"/>
        <item x="2245"/>
        <item x="2265"/>
        <item x="1338"/>
        <item x="1921"/>
        <item x="1025"/>
        <item x="202"/>
        <item x="791"/>
        <item x="2363"/>
        <item x="2938"/>
        <item x="2775"/>
        <item x="347"/>
        <item x="2724"/>
        <item x="1157"/>
        <item x="957"/>
        <item x="64"/>
        <item x="2809"/>
        <item x="851"/>
        <item x="2149"/>
        <item x="2818"/>
        <item x="1449"/>
        <item x="2695"/>
        <item x="2829"/>
        <item x="1525"/>
        <item x="2547"/>
        <item x="1762"/>
        <item x="1171"/>
        <item x="1276"/>
        <item x="1331"/>
        <item x="1540"/>
        <item x="688"/>
        <item x="1471"/>
        <item x="2465"/>
        <item x="1689"/>
        <item x="975"/>
        <item x="897"/>
        <item x="895"/>
        <item x="2352"/>
        <item x="1858"/>
        <item x="211"/>
        <item x="2212"/>
        <item x="1460"/>
        <item x="2854"/>
        <item x="1988"/>
        <item x="2509"/>
        <item x="2825"/>
        <item x="2836"/>
        <item x="2291"/>
        <item x="530"/>
        <item x="2221"/>
        <item x="1098"/>
        <item x="1860"/>
        <item x="421"/>
        <item x="2522"/>
        <item x="1962"/>
        <item x="1567"/>
        <item x="41"/>
        <item x="2792"/>
        <item x="1258"/>
        <item x="896"/>
        <item x="2824"/>
        <item x="893"/>
        <item x="2688"/>
        <item x="503"/>
        <item x="747"/>
        <item x="1042"/>
        <item x="1638"/>
        <item x="1363"/>
        <item x="2581"/>
        <item x="692"/>
        <item x="997"/>
        <item x="754"/>
        <item x="174"/>
        <item x="1241"/>
        <item x="796"/>
        <item x="1573"/>
        <item x="1030"/>
        <item x="500"/>
        <item x="2218"/>
        <item x="2229"/>
        <item x="2941"/>
        <item x="1393"/>
        <item x="1699"/>
        <item x="235"/>
        <item x="22"/>
        <item x="2232"/>
        <item x="1215"/>
        <item x="2716"/>
        <item x="1045"/>
        <item x="2788"/>
        <item x="1410"/>
        <item x="428"/>
        <item x="527"/>
        <item x="903"/>
        <item x="2731"/>
        <item x="1563"/>
        <item x="901"/>
        <item x="1550"/>
        <item x="587"/>
        <item x="350"/>
        <item x="2477"/>
        <item x="481"/>
        <item x="581"/>
        <item x="185"/>
        <item x="1447"/>
        <item x="105"/>
        <item x="2268"/>
        <item x="2734"/>
        <item x="2393"/>
        <item x="2437"/>
        <item x="343"/>
        <item x="415"/>
        <item x="2079"/>
        <item x="260"/>
        <item x="2737"/>
        <item x="1947"/>
        <item x="2924"/>
        <item x="1651"/>
        <item x="1508"/>
        <item x="594"/>
        <item x="2360"/>
        <item x="60"/>
        <item x="1602"/>
        <item x="1575"/>
        <item x="2117"/>
        <item x="2679"/>
        <item x="1416"/>
        <item x="184"/>
        <item x="2141"/>
        <item x="1764"/>
        <item x="138"/>
        <item x="2339"/>
        <item x="1423"/>
        <item x="449"/>
        <item x="163"/>
        <item x="2147"/>
        <item x="2740"/>
        <item x="1974"/>
        <item x="2406"/>
        <item x="212"/>
        <item x="2124"/>
        <item x="30"/>
        <item x="589"/>
        <item x="2303"/>
        <item x="517"/>
        <item x="2010"/>
        <item x="96"/>
        <item x="2853"/>
        <item x="1096"/>
        <item x="371"/>
        <item x="2045"/>
        <item x="2662"/>
        <item x="2533"/>
        <item x="1224"/>
        <item x="1023"/>
        <item x="2624"/>
        <item x="987"/>
        <item x="1183"/>
        <item x="985"/>
        <item x="2047"/>
        <item x="994"/>
        <item x="1619"/>
        <item x="1216"/>
        <item x="1668"/>
        <item x="2556"/>
        <item x="2606"/>
        <item x="1047"/>
        <item x="2424"/>
        <item x="214"/>
        <item x="116"/>
        <item x="379"/>
        <item x="2127"/>
        <item x="17"/>
        <item x="756"/>
        <item x="2457"/>
        <item x="2485"/>
        <item x="1214"/>
        <item x="2261"/>
        <item x="72"/>
        <item x="963"/>
        <item x="2689"/>
        <item x="2359"/>
        <item x="222"/>
        <item x="2005"/>
        <item x="1359"/>
        <item x="781"/>
        <item x="2078"/>
        <item x="2037"/>
        <item x="418"/>
        <item x="2621"/>
        <item x="2628"/>
        <item x="2392"/>
        <item x="845"/>
        <item x="1979"/>
        <item x="295"/>
        <item x="1061"/>
        <item x="2797"/>
        <item x="255"/>
        <item x="120"/>
        <item x="2526"/>
        <item x="2471"/>
        <item x="2267"/>
        <item x="1168"/>
        <item x="529"/>
        <item x="2076"/>
        <item x="55"/>
        <item x="2841"/>
        <item x="1304"/>
        <item x="1512"/>
        <item x="2835"/>
        <item x="1140"/>
        <item x="2379"/>
        <item x="2211"/>
        <item x="392"/>
        <item x="114"/>
        <item x="2885"/>
        <item x="2429"/>
        <item x="329"/>
        <item x="2579"/>
        <item x="2062"/>
        <item x="2713"/>
        <item x="387"/>
        <item x="333"/>
        <item x="31"/>
        <item x="1079"/>
        <item x="643"/>
        <item x="73"/>
        <item x="2702"/>
        <item x="891"/>
        <item x="1470"/>
        <item x="1936"/>
        <item x="1990"/>
        <item x="89"/>
        <item x="1927"/>
        <item x="818"/>
        <item x="782"/>
        <item x="1822"/>
        <item x="636"/>
        <item x="2524"/>
        <item x="206"/>
        <item x="598"/>
        <item x="1004"/>
        <item x="1160"/>
        <item x="743"/>
        <item x="1179"/>
        <item x="2911"/>
        <item x="436"/>
        <item x="2115"/>
        <item x="2872"/>
        <item x="2246"/>
        <item x="2142"/>
        <item x="822"/>
        <item x="2626"/>
        <item x="2455"/>
        <item x="830"/>
        <item x="2033"/>
        <item x="195"/>
        <item x="382"/>
        <item x="2923"/>
        <item x="2495"/>
        <item x="1803"/>
        <item x="687"/>
        <item x="69"/>
        <item x="2615"/>
        <item x="1128"/>
        <item x="969"/>
        <item x="1774"/>
        <item x="1050"/>
        <item x="16"/>
        <item x="1081"/>
        <item x="2479"/>
        <item x="966"/>
        <item x="1882"/>
        <item x="693"/>
        <item x="2571"/>
        <item x="2145"/>
        <item x="677"/>
        <item x="935"/>
        <item x="425"/>
        <item x="1454"/>
        <item x="497"/>
        <item x="1040"/>
        <item x="1226"/>
        <item x="307"/>
        <item x="2682"/>
        <item x="1350"/>
        <item x="2223"/>
        <item x="159"/>
        <item x="847"/>
        <item x="2851"/>
        <item x="2937"/>
        <item x="1303"/>
        <item x="505"/>
        <item x="556"/>
        <item x="139"/>
        <item x="834"/>
        <item x="1325"/>
        <item x="488"/>
        <item x="2783"/>
        <item x="2684"/>
        <item x="2612"/>
        <item x="1082"/>
        <item x="2919"/>
        <item x="1395"/>
        <item x="2039"/>
        <item x="2404"/>
        <item x="104"/>
        <item x="1282"/>
        <item x="2808"/>
        <item x="164"/>
        <item x="1545"/>
        <item x="947"/>
        <item x="625"/>
        <item x="2282"/>
        <item x="2545"/>
        <item x="1923"/>
        <item x="2370"/>
        <item x="2102"/>
        <item x="592"/>
        <item x="2158"/>
        <item x="2749"/>
        <item x="2781"/>
        <item x="2625"/>
        <item x="178"/>
        <item x="1978"/>
        <item x="2122"/>
        <item x="931"/>
        <item x="2478"/>
        <item x="662"/>
        <item x="496"/>
        <item x="179"/>
        <item x="1877"/>
        <item x="1922"/>
        <item x="666"/>
        <item x="78"/>
        <item x="1340"/>
        <item x="750"/>
        <item x="785"/>
        <item x="1238"/>
        <item x="147"/>
        <item x="38"/>
        <item x="2026"/>
        <item x="2315"/>
        <item x="999"/>
        <item x="2192"/>
        <item x="2309"/>
        <item x="2806"/>
        <item x="2757"/>
        <item x="273"/>
        <item x="1130"/>
        <item x="892"/>
        <item x="2934"/>
        <item x="1833"/>
        <item x="1143"/>
        <item x="2534"/>
        <item x="1749"/>
        <item x="264"/>
        <item x="309"/>
        <item x="2059"/>
        <item x="2368"/>
        <item x="2490"/>
        <item x="1049"/>
        <item x="2224"/>
        <item x="241"/>
        <item x="351"/>
        <item x="2036"/>
        <item x="2726"/>
        <item x="1491"/>
        <item x="2680"/>
        <item x="501"/>
        <item x="2450"/>
        <item x="2388"/>
        <item x="1722"/>
        <item x="2283"/>
        <item x="2008"/>
        <item x="942"/>
        <item x="1804"/>
        <item x="2287"/>
        <item x="2113"/>
        <item x="884"/>
        <item x="1617"/>
        <item x="2691"/>
        <item x="549"/>
        <item x="2890"/>
        <item x="2817"/>
        <item x="1956"/>
        <item x="2163"/>
        <item x="914"/>
        <item x="1723"/>
        <item x="1248"/>
        <item x="356"/>
        <item x="986"/>
        <item x="2585"/>
        <item x="14"/>
        <item x="580"/>
        <item x="2641"/>
        <item x="198"/>
        <item x="2288"/>
        <item x="749"/>
        <item x="1496"/>
        <item x="2176"/>
        <item x="1614"/>
        <item x="767"/>
        <item x="42"/>
        <item x="924"/>
        <item x="2616"/>
        <item x="2394"/>
        <item x="2603"/>
        <item x="1775"/>
        <item x="2055"/>
        <item x="1901"/>
        <item x="2137"/>
        <item x="330"/>
        <item x="2730"/>
        <item x="1841"/>
        <item x="1418"/>
        <item x="2654"/>
        <item x="2591"/>
        <item x="109"/>
        <item x="430"/>
        <item x="146"/>
        <item x="2354"/>
        <item x="1835"/>
        <item x="75"/>
        <item x="2338"/>
        <item x="946"/>
        <item x="1039"/>
        <item x="1367"/>
        <item x="646"/>
        <item x="2034"/>
        <item x="2128"/>
        <item x="2146"/>
        <item x="238"/>
        <item x="1407"/>
        <item x="1959"/>
        <item x="1253"/>
        <item x="257"/>
        <item x="1839"/>
        <item x="1937"/>
        <item x="304"/>
        <item x="1560"/>
        <item x="1958"/>
        <item x="735"/>
        <item x="1191"/>
        <item x="2864"/>
        <item x="250"/>
        <item x="2050"/>
        <item x="569"/>
        <item x="1281"/>
        <item x="1287"/>
        <item x="1502"/>
        <item x="2877"/>
        <item x="289"/>
        <item x="40"/>
        <item x="1963"/>
        <item x="635"/>
        <item x="1738"/>
        <item x="2875"/>
        <item x="121"/>
        <item x="2219"/>
        <item x="2263"/>
        <item x="1769"/>
        <item x="482"/>
        <item x="2063"/>
        <item x="2904"/>
        <item x="1946"/>
        <item x="1697"/>
        <item x="234"/>
        <item x="2631"/>
        <item x="1274"/>
        <item x="1453"/>
        <item x="2029"/>
        <item x="1309"/>
        <item x="584"/>
        <item x="2946"/>
        <item x="1165"/>
        <item x="1149"/>
        <item x="2004"/>
        <item x="297"/>
        <item x="2676"/>
        <item x="1737"/>
        <item x="446"/>
        <item x="2859"/>
        <item x="1465"/>
        <item x="1347"/>
        <item x="864"/>
        <item x="472"/>
        <item x="169"/>
        <item x="2566"/>
        <item x="1703"/>
        <item x="199"/>
        <item x="683"/>
        <item x="875"/>
        <item x="2871"/>
        <item x="315"/>
        <item x="2042"/>
        <item x="2125"/>
        <item x="882"/>
        <item x="1536"/>
        <item x="1663"/>
        <item x="144"/>
        <item x="2593"/>
        <item x="403"/>
        <item x="1373"/>
        <item x="301"/>
        <item x="801"/>
        <item x="1631"/>
        <item x="2857"/>
        <item x="2541"/>
        <item x="680"/>
        <item x="2330"/>
        <item x="532"/>
        <item x="1249"/>
        <item x="1828"/>
        <item x="1154"/>
        <item x="2196"/>
        <item x="2271"/>
        <item x="1890"/>
        <item x="2316"/>
        <item x="2160"/>
        <item x="2540"/>
        <item x="2546"/>
        <item x="1078"/>
        <item x="1996"/>
        <item x="628"/>
        <item x="839"/>
        <item x="2199"/>
        <item x="790"/>
        <item x="1634"/>
        <item x="2819"/>
        <item x="2179"/>
        <item x="2467"/>
        <item x="2511"/>
        <item x="2768"/>
        <item x="1630"/>
        <item x="1739"/>
        <item x="2425"/>
        <item x="537"/>
        <item x="858"/>
        <item x="1568"/>
        <item x="1167"/>
        <item x="2671"/>
        <item x="1057"/>
        <item x="2461"/>
        <item x="292"/>
        <item x="2325"/>
        <item x="835"/>
        <item x="225"/>
        <item x="209"/>
        <item x="1436"/>
        <item x="1401"/>
        <item x="423"/>
        <item x="2099"/>
        <item x="1158"/>
        <item x="2690"/>
        <item x="2719"/>
        <item x="2633"/>
        <item x="1561"/>
        <item x="258"/>
        <item x="885"/>
        <item x="910"/>
        <item x="2785"/>
        <item x="2215"/>
        <item x="2666"/>
        <item x="2374"/>
        <item x="1569"/>
        <item x="68"/>
        <item x="2090"/>
        <item x="1526"/>
        <item x="135"/>
        <item x="2611"/>
        <item x="2150"/>
        <item x="1562"/>
        <item x="130"/>
        <item x="745"/>
        <item x="1994"/>
        <item x="2053"/>
        <item x="123"/>
        <item x="1479"/>
        <item x="2350"/>
        <item x="1007"/>
        <item x="1529"/>
        <item x="1748"/>
        <item x="2298"/>
        <item x="2018"/>
        <item x="2743"/>
        <item x="1595"/>
        <item x="268"/>
        <item x="167"/>
        <item x="177"/>
        <item x="306"/>
        <item x="111"/>
        <item x="1916"/>
        <item x="2420"/>
        <item x="506"/>
        <item x="2915"/>
        <item x="2105"/>
        <item x="2812"/>
        <item x="1876"/>
        <item x="1275"/>
        <item x="1055"/>
        <item x="1943"/>
        <item x="2251"/>
        <item x="498"/>
        <item x="1817"/>
        <item x="1450"/>
        <item x="2643"/>
        <item x="2272"/>
        <item x="2497"/>
        <item x="439"/>
        <item x="2064"/>
        <item x="2813"/>
        <item x="249"/>
        <item x="1437"/>
        <item x="860"/>
        <item x="74"/>
        <item x="1902"/>
        <item x="267"/>
        <item x="1599"/>
        <item x="1861"/>
        <item x="1917"/>
        <item x="2712"/>
        <item x="740"/>
        <item x="148"/>
        <item x="2670"/>
        <item x="2106"/>
        <item x="2185"/>
        <item x="611"/>
        <item x="1509"/>
        <item x="510"/>
        <item x="515"/>
        <item x="1135"/>
        <item x="1394"/>
        <item x="976"/>
        <item x="1951"/>
        <item x="2119"/>
        <item x="1294"/>
        <item x="2704"/>
        <item x="640"/>
        <item x="991"/>
        <item x="256"/>
        <item x="2552"/>
        <item x="2940"/>
        <item x="649"/>
        <item x="967"/>
        <item x="1129"/>
        <item x="1107"/>
        <item x="414"/>
        <item x="2041"/>
        <item x="1009"/>
        <item x="342"/>
        <item x="2945"/>
        <item x="1920"/>
        <item x="525"/>
        <item x="945"/>
        <item x="2892"/>
        <item x="331"/>
        <item x="2903"/>
        <item x="2419"/>
        <item x="275"/>
        <item x="18"/>
        <item x="690"/>
        <item x="803"/>
        <item x="2508"/>
        <item x="2318"/>
        <item x="2780"/>
        <item x="1164"/>
        <item x="1857"/>
        <item x="1335"/>
        <item x="1150"/>
        <item x="320"/>
        <item x="2357"/>
        <item x="2235"/>
        <item x="2169"/>
        <item x="1166"/>
        <item x="327"/>
        <item x="1867"/>
        <item x="53"/>
        <item x="1847"/>
        <item x="2353"/>
        <item x="695"/>
        <item x="2909"/>
        <item x="574"/>
        <item x="2462"/>
        <item x="1029"/>
        <item x="2751"/>
        <item x="2481"/>
        <item x="370"/>
        <item x="1318"/>
        <item x="1938"/>
        <item x="197"/>
        <item x="2918"/>
        <item x="28"/>
        <item x="2101"/>
        <item x="2664"/>
        <item x="388"/>
        <item x="2403"/>
        <item x="2152"/>
        <item x="1516"/>
        <item x="2912"/>
        <item x="2905"/>
        <item x="2135"/>
        <item x="1941"/>
        <item x="1521"/>
        <item x="817"/>
        <item x="460"/>
        <item x="2238"/>
        <item x="1402"/>
        <item x="1664"/>
        <item x="402"/>
        <item x="2926"/>
        <item x="1645"/>
        <item x="4"/>
        <item x="2569"/>
        <item x="2264"/>
        <item x="1360"/>
        <item x="1855"/>
        <item x="2747"/>
        <item x="2488"/>
        <item x="2776"/>
        <item x="733"/>
        <item x="125"/>
        <item x="1875"/>
        <item x="208"/>
        <item x="441"/>
        <item x="504"/>
        <item x="1234"/>
        <item x="2900"/>
        <item x="832"/>
        <item x="269"/>
        <item x="1080"/>
        <item x="43"/>
        <item x="1709"/>
        <item x="1361"/>
        <item x="585"/>
        <item x="696"/>
        <item x="2700"/>
        <item x="670"/>
        <item x="1017"/>
        <item x="2553"/>
        <item x="188"/>
        <item x="372"/>
        <item x="2733"/>
        <item x="509"/>
        <item x="1180"/>
        <item x="1006"/>
        <item x="536"/>
        <item x="1605"/>
        <item x="1352"/>
        <item x="1649"/>
        <item x="1714"/>
        <item x="736"/>
        <item x="641"/>
        <item x="1810"/>
        <item x="622"/>
        <item x="378"/>
        <item x="1878"/>
        <item x="1310"/>
        <item x="276"/>
        <item x="920"/>
        <item x="900"/>
        <item x="2097"/>
        <item x="1949"/>
        <item x="413"/>
        <item x="1799"/>
        <item x="70"/>
        <item x="2402"/>
        <item x="2607"/>
        <item x="1900"/>
        <item x="1020"/>
        <item x="1388"/>
        <item x="417"/>
        <item x="765"/>
        <item x="1438"/>
        <item x="1751"/>
        <item x="2663"/>
        <item x="1654"/>
        <item x="2742"/>
        <item x="2580"/>
        <item x="1301"/>
        <item x="1169"/>
        <item x="889"/>
        <item x="2839"/>
        <item x="2652"/>
        <item x="1060"/>
        <item x="1218"/>
        <item x="2935"/>
        <item x="1085"/>
        <item x="2889"/>
        <item x="1778"/>
        <item x="141"/>
        <item x="1997"/>
        <item x="1761"/>
        <item x="1845"/>
        <item x="2175"/>
        <item x="162"/>
        <item x="1993"/>
        <item x="2460"/>
        <item x="1680"/>
        <item x="2514"/>
        <item x="562"/>
        <item x="2243"/>
        <item x="2503"/>
        <item x="1950"/>
        <item x="682"/>
        <item x="215"/>
        <item x="793"/>
        <item x="2673"/>
        <item x="1037"/>
        <item x="1611"/>
        <item x="2319"/>
        <item x="1299"/>
        <item x="2405"/>
        <item x="836"/>
        <item x="1808"/>
        <item x="2610"/>
        <item x="1138"/>
        <item x="1455"/>
        <item x="675"/>
        <item x="1044"/>
        <item x="1173"/>
        <item x="477"/>
        <item x="82"/>
        <item x="2312"/>
        <item x="354"/>
        <item x="954"/>
        <item x="410"/>
        <item x="2239"/>
        <item x="2157"/>
        <item x="1383"/>
        <item x="1702"/>
        <item x="1674"/>
        <item x="872"/>
        <item x="1341"/>
        <item x="279"/>
        <item x="2432"/>
        <item x="1733"/>
        <item x="1627"/>
        <item x="2167"/>
        <item x="2729"/>
        <item x="2025"/>
        <item x="1409"/>
        <item x="1308"/>
        <item x="797"/>
        <item x="794"/>
        <item x="2790"/>
        <item x="2502"/>
        <item x="1498"/>
        <item x="2413"/>
        <item x="2506"/>
        <item x="726"/>
        <item x="1999"/>
        <item x="1242"/>
        <item x="2795"/>
        <item x="1005"/>
        <item x="1364"/>
        <item x="604"/>
        <item x="59"/>
        <item x="1389"/>
        <item x="355"/>
        <item x="1263"/>
        <item x="2294"/>
        <item x="1176"/>
        <item x="2342"/>
        <item x="1111"/>
        <item x="462"/>
        <item x="2114"/>
        <item x="2343"/>
        <item x="2203"/>
        <item x="2129"/>
        <item x="2426"/>
        <item x="1924"/>
        <item x="1743"/>
        <item x="586"/>
        <item x="980"/>
        <item x="783"/>
        <item x="1024"/>
        <item x="251"/>
        <item x="824"/>
        <item x="1065"/>
        <item x="2604"/>
        <item x="1330"/>
        <item x="210"/>
        <item x="1120"/>
        <item x="1736"/>
        <item x="1334"/>
        <item x="2470"/>
        <item x="2153"/>
        <item x="1745"/>
        <item x="2634"/>
        <item x="1687"/>
        <item x="2409"/>
        <item x="1038"/>
        <item x="786"/>
        <item x="623"/>
        <item x="453"/>
        <item x="200"/>
        <item x="1590"/>
        <item x="577"/>
        <item x="2476"/>
        <item x="2600"/>
        <item x="2942"/>
        <item x="1116"/>
        <item x="928"/>
        <item x="1161"/>
        <item x="191"/>
        <item x="2067"/>
        <item x="2623"/>
        <item x="533"/>
        <item x="1710"/>
        <item x="1620"/>
        <item x="1606"/>
        <item x="110"/>
        <item x="1552"/>
        <item x="2870"/>
        <item x="1356"/>
        <item x="1148"/>
        <item x="1406"/>
        <item x="1317"/>
        <item x="1497"/>
        <item x="1295"/>
        <item x="1247"/>
        <item x="447"/>
        <item x="2306"/>
        <item x="272"/>
        <item x="2051"/>
        <item x="1953"/>
        <item x="1820"/>
        <item x="2554"/>
        <item x="360"/>
        <item x="1084"/>
        <item x="126"/>
        <item x="2380"/>
        <item x="2899"/>
        <item x="1811"/>
        <item x="1504"/>
        <item x="1372"/>
        <item x="1981"/>
        <item x="877"/>
        <item x="1711"/>
        <item x="1829"/>
        <item x="2744"/>
        <item x="2377"/>
        <item x="1265"/>
        <item x="254"/>
        <item x="1892"/>
        <item x="1673"/>
        <item x="1141"/>
        <item x="992"/>
        <item x="2017"/>
        <item x="2253"/>
        <item x="937"/>
        <item x="543"/>
        <item x="550"/>
        <item x="2921"/>
        <item x="795"/>
        <item x="1532"/>
        <item x="1527"/>
        <item x="1594"/>
        <item x="373"/>
        <item x="1342"/>
        <item x="2687"/>
        <item x="445"/>
        <item x="1066"/>
        <item x="806"/>
        <item x="140"/>
        <item x="1106"/>
        <item x="1115"/>
        <item x="2466"/>
        <item x="90"/>
        <item x="1203"/>
        <item x="63"/>
        <item x="2570"/>
        <item x="2459"/>
        <item x="1358"/>
        <item x="2640"/>
        <item x="2708"/>
        <item x="1424"/>
        <item x="48"/>
        <item x="1621"/>
        <item x="2468"/>
        <item x="2123"/>
        <item x="1576"/>
        <item x="2249"/>
        <item x="715"/>
        <item x="412"/>
        <item x="145"/>
        <item x="161"/>
        <item x="644"/>
        <item x="2438"/>
        <item x="2583"/>
        <item x="2087"/>
        <item x="1013"/>
        <item x="919"/>
        <item x="2132"/>
        <item x="1260"/>
        <item x="1806"/>
        <item x="1333"/>
        <item x="298"/>
        <item x="762"/>
        <item x="457"/>
        <item x="1931"/>
        <item x="679"/>
        <item x="723"/>
        <item x="2902"/>
        <item x="1771"/>
        <item x="2685"/>
        <item x="1814"/>
        <item x="2711"/>
        <item x="1103"/>
        <item x="2696"/>
        <item x="2929"/>
        <item x="1695"/>
        <item x="1365"/>
        <item x="1073"/>
        <item x="2297"/>
        <item x="2473"/>
        <item x="759"/>
        <item x="2766"/>
        <item x="2752"/>
        <item x="960"/>
        <item x="1431"/>
        <item x="881"/>
        <item x="97"/>
        <item x="466"/>
        <item x="1597"/>
        <item x="113"/>
        <item x="2242"/>
        <item x="1942"/>
        <item x="619"/>
        <item x="868"/>
        <item x="189"/>
        <item x="1793"/>
        <item x="101"/>
        <item x="290"/>
        <item x="1932"/>
        <item x="1443"/>
        <item x="112"/>
        <item x="2060"/>
        <item x="1417"/>
        <item x="1834"/>
        <item x="115"/>
        <item x="2070"/>
        <item x="133"/>
        <item x="1786"/>
        <item x="2645"/>
        <item x="621"/>
        <item x="265"/>
        <item x="843"/>
        <item x="2491"/>
        <item x="478"/>
        <item x="1184"/>
        <item x="512"/>
        <item x="1608"/>
        <item x="2558"/>
        <item x="2646"/>
        <item x="1827"/>
        <item x="2916"/>
        <item x="1368"/>
        <item x="1233"/>
        <item x="483"/>
        <item x="1162"/>
        <item x="2893"/>
        <item x="2214"/>
        <item x="2913"/>
        <item x="2789"/>
        <item x="2573"/>
        <item x="2504"/>
        <item x="80"/>
        <item x="2917"/>
        <item x="128"/>
        <item x="1434"/>
        <item x="1840"/>
        <item x="2340"/>
        <item x="575"/>
        <item x="2407"/>
        <item x="1740"/>
        <item x="968"/>
        <item x="1230"/>
        <item x="853"/>
        <item x="546"/>
        <item x="2532"/>
        <item x="823"/>
        <item x="262"/>
        <item x="1206"/>
        <item x="2592"/>
        <item x="956"/>
        <item x="2787"/>
        <item x="386"/>
        <item x="1851"/>
        <item x="865"/>
        <item x="1091"/>
        <item x="2772"/>
        <item x="2416"/>
        <item x="2632"/>
        <item x="2681"/>
        <item x="2035"/>
        <item x="277"/>
        <item x="2435"/>
        <item x="270"/>
        <item x="1868"/>
        <item x="65"/>
        <item x="979"/>
        <item x="704"/>
        <item x="166"/>
        <item x="1254"/>
        <item x="952"/>
        <item x="2365"/>
        <item x="829"/>
        <item x="491"/>
        <item x="1636"/>
        <item x="228"/>
        <item x="1270"/>
        <item x="1823"/>
        <item x="1989"/>
        <item x="2131"/>
        <item x="861"/>
        <item x="800"/>
        <item x="758"/>
        <item x="398"/>
        <item x="1089"/>
        <item x="383"/>
        <item x="1980"/>
        <item x="1772"/>
        <item x="1660"/>
        <item x="1669"/>
        <item x="1245"/>
        <item x="916"/>
        <item x="338"/>
        <item x="1311"/>
        <item x="2227"/>
        <item x="1015"/>
        <item x="1146"/>
        <item x="1885"/>
        <item x="2386"/>
        <item x="1601"/>
        <item x="1153"/>
        <item x="1315"/>
        <item x="1935"/>
        <item x="1534"/>
        <item x="610"/>
        <item x="1816"/>
        <item x="2949"/>
        <item x="844"/>
        <item x="1976"/>
        <item x="1578"/>
        <item x="2317"/>
        <item x="2257"/>
        <item x="684"/>
        <item x="1732"/>
        <item x="2108"/>
        <item x="1175"/>
        <item x="1034"/>
        <item x="357"/>
        <item x="887"/>
        <item x="1787"/>
        <item x="2874"/>
        <item x="2116"/>
        <item x="456"/>
        <item x="2564"/>
        <item x="325"/>
        <item x="1954"/>
        <item x="2907"/>
        <item x="938"/>
        <item x="710"/>
        <item x="596"/>
        <item x="842"/>
        <item x="730"/>
        <item x="886"/>
        <item x="2313"/>
        <item x="1379"/>
        <item x="2443"/>
        <item x="2833"/>
        <item x="961"/>
        <item x="792"/>
        <item x="2430"/>
        <item x="2703"/>
        <item x="11"/>
        <item x="2474"/>
        <item x="1842"/>
        <item x="602"/>
        <item x="630"/>
        <item x="336"/>
        <item x="764"/>
        <item x="703"/>
        <item x="1903"/>
        <item x="1759"/>
        <item x="1126"/>
        <item x="1231"/>
        <item x="2520"/>
        <item x="1345"/>
        <item x="2301"/>
        <item x="1046"/>
        <item x="2204"/>
        <item x="1113"/>
        <item x="1579"/>
        <item x="1792"/>
        <item x="2773"/>
        <item x="437"/>
        <item x="2548"/>
        <item x="694"/>
        <item x="593"/>
        <item x="1750"/>
        <item x="487"/>
        <item x="2314"/>
        <item x="348"/>
        <item x="607"/>
        <item x="404"/>
        <item x="563"/>
        <item x="438"/>
        <item x="2863"/>
        <item x="1640"/>
        <item x="2617"/>
        <item x="352"/>
        <item x="2886"/>
        <item x="1838"/>
        <item x="820"/>
        <item x="2324"/>
        <item x="1429"/>
        <item x="1693"/>
        <item x="2709"/>
        <item x="1728"/>
        <item x="62"/>
        <item x="1610"/>
        <item x="2254"/>
        <item x="411"/>
        <item x="1794"/>
        <item x="484"/>
        <item x="2674"/>
        <item x="2329"/>
        <item x="2030"/>
        <item x="948"/>
        <item x="54"/>
        <item x="1895"/>
        <item x="2032"/>
        <item x="2361"/>
        <item x="1869"/>
        <item x="1609"/>
        <item x="534"/>
        <item x="143"/>
        <item x="2707"/>
        <item x="2049"/>
        <item x="1478"/>
        <item x="2849"/>
        <item x="1127"/>
        <item x="2619"/>
        <item x="1746"/>
        <item x="2044"/>
        <item x="2715"/>
        <item x="1629"/>
        <item x="2001"/>
        <item x="328"/>
        <item x="32"/>
        <item x="2038"/>
        <item x="2555"/>
        <item x="606"/>
        <item x="1403"/>
        <item x="2304"/>
        <item x="2296"/>
        <item x="1652"/>
        <item x="2487"/>
        <item x="1139"/>
        <item x="1528"/>
        <item x="1332"/>
        <item x="374"/>
        <item x="2894"/>
        <item x="1580"/>
        <item x="888"/>
        <item x="2550"/>
        <item x="1343"/>
        <item x="213"/>
        <item x="1603"/>
        <item x="346"/>
        <item x="2694"/>
        <item x="597"/>
        <item x="2770"/>
        <item x="2559"/>
        <item x="732"/>
        <item x="2602"/>
        <item x="894"/>
        <item x="1222"/>
        <item x="1028"/>
        <item x="748"/>
        <item x="2629"/>
        <item x="1773"/>
        <item x="2928"/>
        <item x="1463"/>
        <item x="2601"/>
        <item x="1011"/>
        <item x="2516"/>
        <item x="983"/>
        <item x="349"/>
        <item x="807"/>
        <item x="2098"/>
        <item x="1474"/>
        <item x="1531"/>
        <item x="1240"/>
        <item x="1886"/>
        <item x="2642"/>
        <item x="2205"/>
        <item x="2761"/>
        <item x="1194"/>
        <item x="187"/>
        <item x="1971"/>
        <item x="1914"/>
        <item x="2193"/>
        <item x="196"/>
        <item x="2418"/>
        <item x="2855"/>
        <item x="1186"/>
        <item x="907"/>
        <item x="1272"/>
        <item x="2075"/>
        <item x="1256"/>
        <item x="2014"/>
        <item x="2056"/>
        <item x="2068"/>
        <item x="950"/>
        <item x="1323"/>
        <item x="286"/>
        <item x="1048"/>
        <item x="180"/>
        <item x="2217"/>
        <item x="1779"/>
        <item x="232"/>
        <item x="742"/>
        <item x="2148"/>
        <item x="2231"/>
        <item x="394"/>
        <item x="2376"/>
        <item x="2721"/>
        <item x="2823"/>
        <item x="2162"/>
        <item x="1320"/>
        <item x="544"/>
        <item x="784"/>
        <item x="1374"/>
        <item x="33"/>
        <item x="805"/>
        <item x="51"/>
        <item x="294"/>
        <item x="422"/>
        <item x="1459"/>
        <item x="570"/>
        <item x="2791"/>
        <item x="226"/>
        <item x="2072"/>
        <item x="2562"/>
        <item x="426"/>
        <item x="841"/>
        <item x="1541"/>
        <item x="1542"/>
        <item x="1235"/>
        <item x="2143"/>
        <item x="2510"/>
        <item x="2040"/>
        <item x="230"/>
        <item x="1204"/>
        <item x="2337"/>
        <item x="2281"/>
        <item x="2686"/>
        <item x="2661"/>
        <item x="2947"/>
        <item x="913"/>
        <item x="2411"/>
        <item x="2241"/>
        <item x="722"/>
        <item x="1682"/>
        <item x="1866"/>
        <item x="2260"/>
        <item x="19"/>
        <item x="471"/>
        <item x="1650"/>
        <item x="2827"/>
        <item x="922"/>
        <item x="1399"/>
        <item x="2866"/>
        <item x="789"/>
        <item x="1538"/>
        <item x="1555"/>
        <item x="1314"/>
        <item x="1844"/>
        <item x="1881"/>
        <item x="1846"/>
        <item x="524"/>
        <item x="1700"/>
        <item x="2501"/>
        <item x="711"/>
        <item x="1051"/>
        <item x="1188"/>
        <item x="1427"/>
        <item x="595"/>
        <item x="455"/>
        <item x="2498"/>
        <item x="1926"/>
        <item x="2852"/>
        <item x="2206"/>
        <item x="2262"/>
        <item x="2209"/>
        <item x="2758"/>
        <item x="1967"/>
        <item x="67"/>
        <item x="2431"/>
        <item x="2529"/>
        <item x="1826"/>
        <item x="1784"/>
        <item x="2896"/>
        <item x="10"/>
        <item x="661"/>
        <item x="1965"/>
        <item x="132"/>
        <item x="353"/>
        <item x="1800"/>
        <item x="2077"/>
        <item x="1934"/>
        <item x="2551"/>
        <item x="1067"/>
        <item x="590"/>
        <item x="663"/>
        <item x="1354"/>
        <item x="755"/>
        <item x="2327"/>
        <item x="2699"/>
        <item x="364"/>
        <item x="798"/>
        <item x="1464"/>
        <item x="5"/>
        <item x="49"/>
        <item x="1791"/>
        <item x="2840"/>
        <item x="2307"/>
        <item x="1062"/>
        <item x="1747"/>
        <item x="2678"/>
        <item x="1591"/>
        <item x="1604"/>
        <item x="547"/>
        <item x="1706"/>
        <item x="361"/>
        <item x="229"/>
        <item x="1716"/>
        <item x="2161"/>
        <item x="850"/>
        <item x="2527"/>
        <item x="1788"/>
        <item x="2655"/>
        <item x="2385"/>
        <item x="493"/>
        <item x="1348"/>
        <item x="909"/>
        <item x="1618"/>
        <item x="494"/>
        <item x="2932"/>
        <item x="1473"/>
        <item x="2523"/>
        <item x="108"/>
        <item x="2575"/>
        <item x="440"/>
        <item x="1985"/>
        <item x="363"/>
        <item x="1667"/>
        <item x="2876"/>
        <item x="1088"/>
        <item x="612"/>
        <item x="1754"/>
        <item x="20"/>
        <item x="274"/>
        <item x="3"/>
        <item x="1832"/>
        <item x="1574"/>
        <item x="1185"/>
        <item x="1661"/>
        <item x="1200"/>
        <item x="1487"/>
        <item x="56"/>
        <item x="1798"/>
        <item x="219"/>
        <item x="1933"/>
        <item x="757"/>
        <item x="23"/>
        <item x="508"/>
        <item x="814"/>
        <item x="156"/>
        <item x="1768"/>
        <item x="1598"/>
        <item x="701"/>
        <item x="1741"/>
        <item x="1880"/>
        <item x="2635"/>
        <item x="1515"/>
        <item x="1766"/>
        <item x="409"/>
        <item x="728"/>
        <item x="71"/>
        <item x="2180"/>
        <item x="2563"/>
        <item x="1376"/>
        <item x="2082"/>
        <item x="244"/>
        <item x="1385"/>
        <item x="721"/>
        <item x="2822"/>
        <item x="571"/>
        <item x="1355"/>
        <item x="1653"/>
        <item x="1077"/>
        <item x="873"/>
        <item x="2931"/>
        <item x="1387"/>
        <item x="1267"/>
        <item x="1873"/>
        <item x="603"/>
        <item x="435"/>
        <item x="809"/>
        <item x="566"/>
        <item x="2364"/>
        <item x="2138"/>
        <item x="2121"/>
        <item x="2718"/>
        <item x="1208"/>
        <item x="964"/>
        <item x="2066"/>
        <item x="1202"/>
        <item x="2103"/>
        <item x="2326"/>
        <item x="317"/>
        <item x="1557"/>
        <item x="6"/>
        <item x="2786"/>
        <item x="1501"/>
        <item x="2136"/>
        <item x="827"/>
        <item x="746"/>
        <item x="2395"/>
        <item x="2549"/>
        <item x="2448"/>
        <item x="2595"/>
        <item x="2293"/>
        <item x="2847"/>
        <item x="2948"/>
        <item x="1780"/>
        <item x="2706"/>
        <item x="1970"/>
        <item x="859"/>
        <item x="2247"/>
        <item x="2492"/>
        <item x="837"/>
        <item x="2922"/>
        <item x="2484"/>
        <item x="1977"/>
        <item x="1415"/>
        <item x="1108"/>
        <item x="2020"/>
        <item x="1944"/>
        <item x="345"/>
        <item x="2168"/>
        <item x="2561"/>
        <item x="1544"/>
        <item x="1742"/>
        <item x="47"/>
        <item x="1849"/>
        <item x="37"/>
        <item x="2745"/>
        <item x="1391"/>
        <item x="2423"/>
        <item x="1371"/>
        <item x="1264"/>
        <item x="890"/>
        <item x="2469"/>
        <item x="932"/>
        <item x="2927"/>
        <item x="2334"/>
        <item x="554"/>
        <item x="2275"/>
        <item x="1825"/>
        <item x="615"/>
        <item x="451"/>
        <item x="362"/>
        <item x="981"/>
        <item x="2109"/>
        <item x="1734"/>
        <item x="1370"/>
        <item x="821"/>
        <item x="271"/>
        <item x="470"/>
        <item x="490"/>
        <item x="1505"/>
        <item x="557"/>
        <item x="399"/>
        <item x="944"/>
        <item x="629"/>
        <item x="810"/>
        <item x="1522"/>
        <item x="1744"/>
        <item x="1490"/>
        <item x="2071"/>
        <item x="1972"/>
        <item x="1955"/>
        <item x="2535"/>
        <item x="2240"/>
        <item x="665"/>
        <item x="1155"/>
        <item x="452"/>
        <item x="685"/>
        <item x="2299"/>
        <item x="1408"/>
        <item x="2939"/>
        <item x="656"/>
        <item x="627"/>
        <item x="2537"/>
        <item x="1414"/>
        <item x="2590"/>
        <item x="2244"/>
        <item x="2369"/>
        <item x="1426"/>
        <item x="2415"/>
        <item x="1392"/>
        <item x="2582"/>
        <item x="2720"/>
        <item x="2184"/>
        <item x="1753"/>
        <item x="100"/>
        <item x="826"/>
        <item x="397"/>
        <item x="2801"/>
        <item x="1657"/>
        <item x="1097"/>
        <item x="668"/>
        <item x="1446"/>
        <item x="2391"/>
        <item x="2237"/>
        <item x="149"/>
        <item x="136"/>
        <item x="242"/>
        <item x="974"/>
        <item x="1466"/>
        <item x="150"/>
        <item x="2512"/>
        <item x="429"/>
        <item x="799"/>
        <item x="2201"/>
        <item x="461"/>
        <item x="849"/>
        <item x="2107"/>
        <item x="2024"/>
        <item x="2815"/>
        <item x="1351"/>
        <item x="1688"/>
        <item x="535"/>
        <item x="2521"/>
        <item x="1678"/>
        <item x="2092"/>
        <item x="2213"/>
        <item x="902"/>
        <item x="303"/>
        <item x="1570"/>
        <item x="1850"/>
        <item x="1137"/>
        <item x="1565"/>
        <item x="2638"/>
        <item x="2422"/>
        <item x="1896"/>
        <item x="1019"/>
        <item x="2399"/>
        <item x="513"/>
        <item x="2748"/>
        <item x="2597"/>
        <item x="654"/>
        <item x="1897"/>
        <item x="93"/>
        <item x="2009"/>
        <item x="2750"/>
        <item x="142"/>
        <item x="316"/>
        <item x="2574"/>
        <item x="1485"/>
        <item x="1288"/>
        <item x="2190"/>
        <item x="2118"/>
        <item x="1628"/>
        <item x="2489"/>
        <item x="2493"/>
        <item x="605"/>
        <item x="1278"/>
        <item x="2567"/>
        <item x="2505"/>
        <item x="1995"/>
        <item x="2856"/>
        <item x="168"/>
        <item x="2434"/>
        <item x="2599"/>
        <item x="1378"/>
        <item x="2771"/>
        <item x="2860"/>
        <item x="2378"/>
        <item x="1724"/>
        <item x="1481"/>
        <item x="2639"/>
        <item x="2898"/>
        <item x="778"/>
        <item x="1701"/>
        <item x="1289"/>
        <item x="700"/>
        <item x="1251"/>
        <item x="204"/>
        <item x="247"/>
        <item x="1607"/>
        <item x="2908"/>
        <item x="1672"/>
        <item x="1346"/>
        <item x="1123"/>
        <item x="2019"/>
        <item x="393"/>
        <item x="1003"/>
        <item x="905"/>
        <item x="2622"/>
        <item x="1440"/>
        <item x="1056"/>
        <item x="2728"/>
        <item x="2290"/>
        <item x="763"/>
        <item x="1484"/>
        <item x="2084"/>
        <item x="775"/>
        <item x="1632"/>
        <item x="2320"/>
        <item x="2844"/>
        <item x="738"/>
        <item x="2095"/>
        <item x="1577"/>
        <item x="1259"/>
        <item x="1495"/>
        <item x="2269"/>
        <item x="982"/>
        <item x="1948"/>
        <item x="2475"/>
        <item x="1022"/>
        <item x="1558"/>
        <item x="2248"/>
        <item x="1864"/>
        <item x="1445"/>
        <item x="2210"/>
        <item x="2373"/>
        <item x="2280"/>
        <item x="1777"/>
        <item x="341"/>
        <item x="1156"/>
        <item x="1357"/>
        <item x="565"/>
        <item x="127"/>
        <item x="2358"/>
        <item x="614"/>
        <item x="2255"/>
        <item x="1639"/>
        <item x="1592"/>
        <item x="686"/>
        <item x="2200"/>
        <item x="518"/>
        <item x="739"/>
        <item x="1163"/>
        <item x="2362"/>
        <item x="2172"/>
        <item x="2828"/>
        <item x="2692"/>
        <item x="1211"/>
        <item x="912"/>
        <item x="1095"/>
        <item x="2273"/>
        <item x="650"/>
        <item x="1539"/>
        <item x="46"/>
        <item x="2496"/>
        <item x="134"/>
        <item x="631"/>
        <item x="473"/>
        <item x="337"/>
        <item x="246"/>
        <item x="1008"/>
        <item x="1679"/>
        <item x="2088"/>
        <item x="1894"/>
        <item x="1969"/>
        <item x="551"/>
        <item x="1382"/>
        <item x="1390"/>
        <item x="2925"/>
        <item x="2104"/>
        <item x="2417"/>
        <item x="811"/>
        <item x="2880"/>
        <item x="804"/>
        <item x="1809"/>
        <item x="375"/>
        <item x="1543"/>
        <item x="2738"/>
        <item x="369"/>
        <item x="555"/>
        <item x="752"/>
        <item x="2930"/>
        <item x="2586"/>
        <item x="2447"/>
        <item x="1871"/>
        <item x="769"/>
        <item x="1789"/>
        <item x="1647"/>
        <item x="2345"/>
        <item x="1316"/>
        <item x="2794"/>
        <item x="1616"/>
        <item x="2882"/>
        <item x="812"/>
        <item x="1068"/>
        <item x="1707"/>
        <item x="2764"/>
        <item x="2006"/>
        <item x="1419"/>
        <item x="2499"/>
        <item x="2279"/>
        <item x="99"/>
        <item x="2355"/>
        <item x="239"/>
        <item x="2769"/>
        <item x="1396"/>
        <item x="365"/>
        <item x="1421"/>
        <item x="1483"/>
        <item x="1982"/>
        <item x="840"/>
        <item x="1400"/>
        <item x="1692"/>
        <item x="499"/>
        <item x="1210"/>
        <item x="2397"/>
        <item x="26"/>
        <item x="1848"/>
        <item x="406"/>
        <item x="2830"/>
        <item x="1489"/>
        <item x="2421"/>
        <item x="1428"/>
        <item x="1812"/>
        <item x="13"/>
        <item x="2061"/>
        <item x="1721"/>
        <item x="573"/>
        <item x="751"/>
        <item x="1893"/>
        <item x="2096"/>
        <item x="2328"/>
        <item x="1117"/>
        <item x="633"/>
        <item x="1623"/>
        <item x="1530"/>
        <item x="299"/>
        <item x="1785"/>
        <item x="2453"/>
        <item x="432"/>
        <item x="193"/>
        <item x="1549"/>
        <item x="2100"/>
        <item x="1"/>
        <item x="321"/>
        <item x="915"/>
        <item x="253"/>
        <item x="1467"/>
        <item x="720"/>
        <item x="2698"/>
        <item x="2159"/>
        <item x="2065"/>
        <item x="1322"/>
        <item x="220"/>
        <item x="1904"/>
        <item x="1279"/>
        <item x="2732"/>
        <item x="2463"/>
        <item x="1476"/>
        <item x="2398"/>
        <item x="973"/>
        <item x="2910"/>
        <item x="1796"/>
        <item x="1198"/>
        <item x="1718"/>
        <item x="1220"/>
        <item x="2763"/>
        <item x="1136"/>
        <item x="1462"/>
        <item x="1499"/>
        <item x="2736"/>
        <item x="2868"/>
        <item x="243"/>
        <item x="591"/>
        <item x="2256"/>
        <item x="1670"/>
        <item x="866"/>
        <item x="1456"/>
        <item x="1118"/>
        <item x="697"/>
        <item x="431"/>
        <item x="1027"/>
        <item x="1457"/>
        <item x="1000"/>
        <item x="2331"/>
        <item x="2015"/>
        <item x="1033"/>
        <item x="2013"/>
        <item x="1643"/>
        <item x="2627"/>
        <item x="1298"/>
        <item x="2800"/>
        <item x="678"/>
        <item x="468"/>
        <item x="1145"/>
        <item x="2848"/>
        <item x="582"/>
        <item x="2016"/>
        <item x="1398"/>
        <item x="707"/>
        <item x="1032"/>
        <item x="560"/>
        <item x="1213"/>
        <item x="467"/>
        <item x="2531"/>
        <item x="1863"/>
        <item x="1665"/>
        <item x="2028"/>
        <item x="1266"/>
        <item x="951"/>
        <item x="181"/>
        <item x="2111"/>
        <item x="2486"/>
        <item x="1386"/>
        <item x="854"/>
        <item x="396"/>
        <item x="1987"/>
        <item x="2308"/>
        <item x="771"/>
        <item x="2667"/>
        <item x="119"/>
        <item x="2754"/>
        <item x="183"/>
        <item x="671"/>
        <item x="2433"/>
        <item x="1637"/>
        <item x="1888"/>
        <item x="1375"/>
        <item x="1992"/>
        <item x="1366"/>
        <item x="2861"/>
        <item x="698"/>
        <item x="645"/>
        <item x="479"/>
        <item x="203"/>
        <item x="2756"/>
        <item x="2500"/>
        <item x="2194"/>
        <item x="553"/>
        <item x="2187"/>
        <item x="725"/>
        <item x="2335"/>
        <item x="1195"/>
        <item x="278"/>
        <item x="2188"/>
        <item x="2230"/>
        <item x="1514"/>
        <item x="25"/>
        <item x="1021"/>
        <item x="1125"/>
        <item x="2174"/>
        <item x="2539"/>
        <item x="1735"/>
        <item x="1339"/>
        <item x="2390"/>
        <item x="2086"/>
        <item x="972"/>
        <item x="2767"/>
        <item x="1686"/>
        <item x="2513"/>
        <item x="2183"/>
        <item x="576"/>
        <item x="1615"/>
        <item x="2266"/>
        <item x="2598"/>
        <item x="1571"/>
        <item x="153"/>
        <item x="774"/>
        <item x="1074"/>
        <item x="2816"/>
        <item x="617"/>
        <item x="1286"/>
        <item x="2482"/>
        <item x="2089"/>
        <item x="170"/>
        <item x="2202"/>
        <item x="724"/>
        <item x="971"/>
        <item x="1712"/>
        <item x="86"/>
        <item x="117"/>
        <item x="2451"/>
        <item x="511"/>
        <item x="620"/>
        <item x="708"/>
        <item x="1658"/>
        <item x="1124"/>
        <item x="192"/>
        <item x="1174"/>
        <item x="718"/>
        <item x="2683"/>
        <item x="2542"/>
        <item x="2530"/>
        <item x="2614"/>
        <item x="2805"/>
        <item x="1918"/>
        <item x="2842"/>
        <item x="1187"/>
        <item x="779"/>
        <item x="1520"/>
        <item x="1767"/>
        <item x="2672"/>
        <item x="2518"/>
        <item x="815"/>
        <item x="2878"/>
        <item x="1625"/>
        <item x="567"/>
        <item x="1906"/>
        <item x="2697"/>
        <item x="248"/>
        <item x="2144"/>
        <item x="1760"/>
        <item x="1102"/>
        <item x="1229"/>
        <item x="420"/>
        <item x="1859"/>
        <item x="2906"/>
        <item x="2208"/>
        <item x="12"/>
        <item x="1572"/>
        <item x="1071"/>
        <item x="2784"/>
        <item x="1016"/>
        <item x="1482"/>
        <item x="1729"/>
        <item x="1831"/>
        <item x="1691"/>
        <item x="2270"/>
        <item x="1405"/>
        <item x="2528"/>
        <item x="772"/>
        <item x="702"/>
        <item x="190"/>
        <item x="2901"/>
        <item x="1853"/>
        <item x="990"/>
        <item x="1269"/>
        <item x="1196"/>
        <item x="1144"/>
        <item x="514"/>
        <item x="1720"/>
        <item x="160"/>
        <item x="1884"/>
        <item x="1205"/>
        <item x="1064"/>
        <item x="50"/>
        <item x="1458"/>
        <item x="154"/>
        <item x="2428"/>
        <item x="2869"/>
        <item x="2637"/>
        <item x="2897"/>
        <item x="1731"/>
        <item x="2091"/>
        <item x="281"/>
        <item x="2164"/>
        <item x="1043"/>
        <item x="1898"/>
        <item x="955"/>
        <item x="2739"/>
        <item x="485"/>
        <item x="1551"/>
        <item x="539"/>
        <item x="2888"/>
        <item x="727"/>
        <item x="9"/>
        <item x="1413"/>
        <item x="618"/>
        <item x="340"/>
        <item x="600"/>
        <item x="1461"/>
        <item x="158"/>
        <item x="2166"/>
        <item x="98"/>
        <item x="2765"/>
        <item x="2651"/>
        <item x="2289"/>
        <item x="1756"/>
        <item x="717"/>
        <item x="1306"/>
        <item x="1305"/>
        <item x="2346"/>
        <item x="1503"/>
        <item x="852"/>
        <item x="395"/>
        <item x="2544"/>
        <item x="176"/>
        <item x="233"/>
        <item x="879"/>
        <item x="2427"/>
        <item x="1582"/>
        <item x="1908"/>
        <item x="908"/>
        <item x="523"/>
        <item x="2295"/>
        <item x="280"/>
        <item x="1510"/>
        <item x="29"/>
        <item x="1469"/>
        <item x="2155"/>
        <item x="2920"/>
        <item x="1244"/>
        <item x="1802"/>
        <item x="76"/>
        <item x="2382"/>
        <item x="2110"/>
        <item x="2793"/>
        <item x="2519"/>
        <item x="1782"/>
        <item x="469"/>
        <item x="1556"/>
        <item x="2883"/>
        <item x="516"/>
        <item x="1715"/>
        <item x="2226"/>
        <item x="218"/>
        <item x="1086"/>
        <item x="1036"/>
        <item x="1909"/>
        <item x="561"/>
        <item x="2557"/>
        <item x="2807"/>
        <item x="651"/>
        <item x="2236"/>
        <item x="958"/>
        <item x="2058"/>
        <item x="744"/>
        <item x="44"/>
        <item x="1524"/>
        <item x="459"/>
        <item x="1255"/>
        <item x="1593"/>
        <item x="1883"/>
        <item x="61"/>
        <item x="1719"/>
        <item x="1783"/>
        <item x="1432"/>
        <item x="833"/>
        <item x="1973"/>
        <item x="1475"/>
        <item x="2139"/>
        <item x="2233"/>
        <item x="541"/>
        <item x="1326"/>
        <item x="1862"/>
        <item x="1506"/>
        <item x="760"/>
        <item x="1319"/>
        <item x="2837"/>
        <item x="217"/>
        <item x="1635"/>
        <item x="2648"/>
        <item x="2252"/>
        <item x="1142"/>
        <item x="1018"/>
        <item x="828"/>
        <item x="1659"/>
        <item x="2351"/>
        <item x="2798"/>
        <item x="1307"/>
        <item x="1872"/>
        <item x="2366"/>
        <item x="1494"/>
        <item x="458"/>
        <item x="224"/>
        <item x="1633"/>
        <item x="2048"/>
        <item x="659"/>
        <item x="24"/>
        <item x="647"/>
        <item x="2735"/>
        <item x="1613"/>
        <item x="1662"/>
        <item x="2284"/>
        <item x="949"/>
        <item x="2596"/>
        <item x="1221"/>
        <item x="1519"/>
        <item x="831"/>
        <item x="1177"/>
        <item x="1675"/>
        <item x="1818"/>
        <item x="1362"/>
        <item x="1705"/>
        <item x="2389"/>
        <item x="186"/>
        <item x="1273"/>
        <item x="221"/>
        <item x="2472"/>
        <item x="1983"/>
        <item x="2234"/>
        <item x="465"/>
        <item x="1889"/>
        <item x="1713"/>
        <item x="1122"/>
        <item x="2755"/>
        <item x="1813"/>
        <item x="474"/>
        <item x="339"/>
        <item x="2286"/>
        <item x="1644"/>
        <item x="1152"/>
        <item x="1870"/>
        <item x="227"/>
        <item x="978"/>
        <item x="1112"/>
        <item x="2396"/>
        <item x="706"/>
        <item x="2126"/>
        <item x="1518"/>
        <item x="634"/>
        <item x="1929"/>
        <item x="1329"/>
        <item x="2002"/>
        <item x="1411"/>
        <item x="2170"/>
        <item x="520"/>
        <item x="475"/>
        <item x="2873"/>
        <item x="2449"/>
        <item x="2668"/>
        <item x="2867"/>
        <item x="1879"/>
        <item x="672"/>
        <item x="1444"/>
        <item x="480"/>
        <item x="1727"/>
        <item x="1690"/>
        <item x="1001"/>
        <item x="1377"/>
        <item x="448"/>
        <item x="1225"/>
        <item x="124"/>
        <item x="2587"/>
        <item x="1912"/>
        <item x="391"/>
        <item x="1666"/>
        <item x="2442"/>
        <item x="2401"/>
        <item x="502"/>
        <item x="77"/>
        <item x="579"/>
        <item x="1468"/>
        <item x="2207"/>
        <item x="2311"/>
        <item x="1397"/>
        <item x="1442"/>
        <item x="1151"/>
        <item x="1087"/>
        <item x="2665"/>
        <item x="1243"/>
        <item x="2000"/>
        <item x="2725"/>
        <item x="366"/>
        <item x="588"/>
        <item x="2081"/>
        <item x="2181"/>
        <item x="776"/>
        <item x="2568"/>
        <item x="528"/>
        <item x="2536"/>
        <item x="173"/>
        <item x="934"/>
        <item x="2400"/>
        <item x="1975"/>
        <item x="2620"/>
        <item x="1581"/>
        <item x="1119"/>
        <item x="2347"/>
        <item x="1344"/>
        <item x="1537"/>
        <item x="2669"/>
        <item x="216"/>
        <item x="35"/>
        <item x="1492"/>
        <item x="2011"/>
        <item x="601"/>
        <item x="492"/>
        <item x="2073"/>
        <item x="2723"/>
        <item x="1199"/>
        <item x="157"/>
        <item x="1805"/>
        <item x="1940"/>
        <item x="155"/>
        <item x="1559"/>
        <item x="819"/>
        <item x="770"/>
        <item x="658"/>
        <item x="1790"/>
        <item x="1170"/>
        <item x="1624"/>
        <item x="1547"/>
        <item x="486"/>
        <item x="151"/>
        <item x="921"/>
        <item x="380"/>
        <item x="1566"/>
        <item x="2774"/>
        <item x="2441"/>
        <item x="2753"/>
        <item x="2305"/>
        <item x="856"/>
        <item x="1133"/>
        <item x="201"/>
        <item x="2832"/>
        <item x="1239"/>
        <item x="118"/>
        <item x="2943"/>
        <item x="1114"/>
        <item x="102"/>
        <item x="788"/>
        <item x="689"/>
        <item x="667"/>
        <item x="1312"/>
        <item x="2675"/>
        <item x="1493"/>
        <item x="652"/>
        <item x="2333"/>
        <item x="1984"/>
        <item x="318"/>
        <item x="737"/>
        <item x="1856"/>
        <item x="1642"/>
        <item x="2760"/>
        <item x="450"/>
        <item x="416"/>
        <item x="674"/>
        <item x="2480"/>
        <item x="2348"/>
        <item x="2"/>
        <item x="1952"/>
        <item x="1297"/>
        <item x="2578"/>
        <item x="1369"/>
        <item x="2054"/>
        <item x="1451"/>
        <item x="1076"/>
        <item x="1292"/>
        <item x="313"/>
        <item x="2884"/>
        <item x="1101"/>
        <item x="1553"/>
        <item x="2799"/>
        <item x="2653"/>
        <item x="1132"/>
        <item x="1968"/>
        <item x="2802"/>
        <item x="1725"/>
        <item x="1031"/>
        <item x="2259"/>
        <item x="2446"/>
        <item x="2722"/>
        <item x="1535"/>
        <item x="1328"/>
        <item x="1172"/>
        <item x="1698"/>
        <item x="79"/>
        <item x="1966"/>
        <item x="1075"/>
        <item x="673"/>
        <item x="2134"/>
        <item x="223"/>
        <item x="137"/>
        <item x="578"/>
        <item x="236"/>
        <item x="1683"/>
        <item x="2650"/>
        <item x="2630"/>
        <item x="1795"/>
        <item x="2371"/>
        <item x="936"/>
        <item x="613"/>
        <item x="2826"/>
        <item x="2701"/>
        <item x="1099"/>
        <item x="261"/>
        <item x="538"/>
        <item x="2483"/>
        <item x="1072"/>
        <item x="2057"/>
        <item x="83"/>
        <item x="2156"/>
        <item x="2302"/>
        <item x="545"/>
        <item x="2277"/>
        <item x="768"/>
        <item x="1250"/>
        <item x="285"/>
        <item x="2285"/>
        <item x="929"/>
        <item x="552"/>
        <item x="1600"/>
        <item x="2862"/>
        <item x="904"/>
        <item x="519"/>
        <item x="194"/>
        <item x="1441"/>
        <item x="182"/>
        <item x="1257"/>
        <item x="8"/>
        <item x="2258"/>
        <item x="1626"/>
        <item x="2356"/>
        <item x="653"/>
        <item x="2130"/>
        <item x="2515"/>
        <item x="1232"/>
        <item x="377"/>
        <item x="1283"/>
        <item x="87"/>
        <item x="1646"/>
        <item x="205"/>
        <item x="287"/>
        <item x="558"/>
        <item x="27"/>
        <item x="2336"/>
        <item x="2228"/>
        <item x="2577"/>
        <item x="712"/>
        <item x="2594"/>
        <item x="1564"/>
        <item x="36"/>
        <item x="2292"/>
        <item x="314"/>
        <item x="2027"/>
        <item x="917"/>
        <item x="676"/>
        <item x="808"/>
        <item x="34"/>
        <item x="2560"/>
        <item x="1899"/>
        <item x="1511"/>
        <item x="419"/>
        <item x="1261"/>
        <item x="1622"/>
        <item x="933"/>
        <item x="2120"/>
        <item x="1190"/>
        <item x="1380"/>
        <item x="1131"/>
        <item x="1147"/>
        <item x="632"/>
        <item x="2944"/>
        <item x="863"/>
        <item x="367"/>
        <item x="296"/>
        <item x="911"/>
        <item x="175"/>
        <item x="1533"/>
        <item x="2349"/>
        <item x="2778"/>
        <item x="874"/>
        <item x="288"/>
        <item x="1002"/>
        <item x="943"/>
        <item x="1349"/>
        <item x="305"/>
        <item x="583"/>
        <item x="1422"/>
        <item x="1093"/>
        <item x="2565"/>
        <item x="871"/>
        <item x="1656"/>
        <item x="300"/>
        <item x="91"/>
        <item x="263"/>
        <item x="2080"/>
        <item x="52"/>
        <item x="1801"/>
        <item x="2777"/>
        <item x="773"/>
        <item x="1507"/>
        <item x="131"/>
        <item x="846"/>
        <item x="1201"/>
        <item x="953"/>
        <item x="1596"/>
        <item x="1717"/>
        <item x="2171"/>
        <item x="1477"/>
        <item x="2677"/>
        <item x="2154"/>
        <item x="1302"/>
        <item x="129"/>
        <item x="664"/>
        <item x="2031"/>
        <item x="2576"/>
        <item x="2189"/>
        <item x="898"/>
        <item x="1228"/>
        <item x="977"/>
        <item x="939"/>
        <item x="2649"/>
        <item x="2225"/>
        <item x="1246"/>
        <item x="1913"/>
        <item x="1268"/>
        <item x="2436"/>
        <item x="1337"/>
        <item x="1435"/>
        <item x="2458"/>
        <item x="1227"/>
        <item x="993"/>
        <item x="2083"/>
        <item x="1770"/>
        <item x="322"/>
        <item x="1765"/>
        <item x="918"/>
        <item x="802"/>
        <item x="1159"/>
        <item x="1930"/>
        <item x="2023"/>
        <item x="1404"/>
        <item x="1919"/>
        <item x="731"/>
        <item x="1583"/>
        <item x="1012"/>
        <item x="867"/>
        <item x="870"/>
        <item x="1836"/>
        <item x="1887"/>
        <item x="489"/>
        <item x="989"/>
        <item x="2445"/>
        <item x="716"/>
        <item x="1584"/>
        <item x="2094"/>
        <item x="2588"/>
        <item x="443"/>
        <item x="311"/>
        <item x="1755"/>
        <item x="1677"/>
        <item x="1911"/>
        <item x="408"/>
        <item x="1296"/>
        <item x="1513"/>
        <item x="2046"/>
        <item x="21"/>
        <item x="310"/>
        <item x="2093"/>
        <item x="57"/>
        <item x="669"/>
        <item x="319"/>
        <item x="381"/>
        <item x="714"/>
        <item x="2543"/>
        <item x="1092"/>
        <item x="568"/>
        <item x="1585"/>
        <item x="941"/>
        <item x="624"/>
        <item x="995"/>
        <item x="637"/>
        <item x="1676"/>
        <item x="857"/>
        <item x="2052"/>
        <item x="291"/>
        <item x="1035"/>
        <item x="2321"/>
        <item x="709"/>
        <item x="962"/>
        <item x="713"/>
        <item x="2843"/>
        <item x="1915"/>
        <item x="1083"/>
        <item x="1730"/>
        <item x="522"/>
        <item x="172"/>
        <item x="107"/>
        <item x="1189"/>
        <item x="855"/>
        <item x="1546"/>
        <item x="293"/>
        <item x="691"/>
        <item x="970"/>
        <item x="959"/>
        <item x="1252"/>
        <item x="2274"/>
        <item x="1217"/>
        <item x="996"/>
        <item x="85"/>
        <item x="240"/>
        <item x="335"/>
        <item x="1910"/>
        <item x="2043"/>
        <item x="1237"/>
        <item x="1758"/>
        <item x="639"/>
        <item x="1381"/>
        <item x="1986"/>
        <item x="926"/>
        <item x="869"/>
        <item x="657"/>
        <item x="1776"/>
        <item x="1671"/>
        <item x="2659"/>
        <item x="454"/>
        <item x="813"/>
        <item x="66"/>
        <item x="1586"/>
        <item x="2605"/>
        <item x="2618"/>
        <item x="1612"/>
        <item x="358"/>
        <item x="2387"/>
        <item x="1708"/>
        <item x="259"/>
        <item x="495"/>
        <item x="1430"/>
        <item x="2140"/>
        <item x="332"/>
        <item x="2332"/>
        <item x="2589"/>
        <item x="171"/>
        <item x="787"/>
        <item x="1905"/>
        <item x="1486"/>
        <item x="540"/>
        <item x="2950"/>
        <item x="883"/>
        <item x="1121"/>
        <item x="84"/>
        <item x="1843"/>
        <item x="302"/>
        <item x="1960"/>
        <item x="2796"/>
        <item x="2085"/>
        <item x="2831"/>
        <item x="2887"/>
        <item x="998"/>
        <item x="2278"/>
        <item x="599"/>
        <item x="1070"/>
        <item x="207"/>
        <item x="930"/>
        <item x="1648"/>
        <item x="2367"/>
        <item x="2933"/>
        <item x="2879"/>
        <item x="2895"/>
        <item x="1587"/>
        <item x="753"/>
        <item x="2572"/>
        <item x="1100"/>
        <item x="2658"/>
        <item x="463"/>
        <item x="1797"/>
        <item x="521"/>
        <item x="1277"/>
        <item x="626"/>
        <item x="876"/>
        <item x="7"/>
        <item x="2195"/>
        <item x="2507"/>
        <item x="2344"/>
        <item x="899"/>
        <item x="2178"/>
        <item x="1726"/>
        <item x="2762"/>
        <item x="2220"/>
        <item x="2381"/>
        <item x="2414"/>
        <item x="1053"/>
        <item x="2191"/>
        <item x="925"/>
        <item x="2838"/>
        <item x="2216"/>
        <item x="434"/>
        <item x="442"/>
        <item x="464"/>
        <item x="2759"/>
        <item x="0"/>
        <item x="2165"/>
        <item x="2012"/>
        <item x="2375"/>
        <item x="2151"/>
        <item x="323"/>
        <item x="1500"/>
        <item x="2007"/>
        <item x="531"/>
        <item x="2197"/>
        <item x="642"/>
        <item x="2525"/>
        <item x="1641"/>
        <item x="2914"/>
        <item x="548"/>
        <item x="699"/>
        <item x="638"/>
        <item x="1696"/>
        <item x="2186"/>
        <item x="2372"/>
        <item x="2198"/>
        <item x="344"/>
        <item x="2440"/>
        <item x="1209"/>
        <item x="1961"/>
        <item x="1928"/>
        <item x="2022"/>
        <item x="681"/>
        <item x="1181"/>
        <item x="1063"/>
        <item x="1412"/>
        <item x="559"/>
        <item x="1523"/>
        <item x="2811"/>
        <item x="312"/>
        <item x="1854"/>
        <item x="1439"/>
        <item x="237"/>
        <item x="761"/>
        <item x="165"/>
        <item x="648"/>
        <item x="816"/>
        <item x="1041"/>
        <item x="152"/>
        <item x="927"/>
        <item x="2881"/>
        <item x="2803"/>
        <item x="2074"/>
        <item x="433"/>
        <item x="1589"/>
        <item x="1939"/>
        <item x="729"/>
        <item x="103"/>
        <item x="2584"/>
        <item x="1452"/>
        <item x="1925"/>
        <item x="766"/>
        <item x="1681"/>
        <item x="848"/>
        <item x="1290"/>
        <item x="1058"/>
        <item x="122"/>
        <item x="1819"/>
        <item x="2865"/>
        <item x="266"/>
        <item x="2444"/>
        <item x="1752"/>
        <item x="476"/>
        <item x="334"/>
        <item x="1554"/>
        <item x="324"/>
        <item x="284"/>
        <item x="1684"/>
        <item x="2834"/>
        <item x="1865"/>
        <item x="2464"/>
        <item x="777"/>
        <item x="2410"/>
        <item x="326"/>
        <item x="424"/>
        <item x="385"/>
        <item x="1704"/>
        <item x="609"/>
        <item x="1488"/>
        <item x="1300"/>
        <item x="2636"/>
        <item x="1420"/>
        <item x="1193"/>
        <item x="2660"/>
        <item x="542"/>
        <item x="1223"/>
        <item x="1998"/>
        <item x="2846"/>
        <item x="1293"/>
        <item x="39"/>
        <item x="95"/>
        <item x="2177"/>
        <item x="526"/>
        <item x="1480"/>
        <item x="1353"/>
        <item x="780"/>
        <item x="2657"/>
        <item x="2705"/>
        <item x="2814"/>
        <item x="2003"/>
        <item x="390"/>
        <item x="825"/>
        <item x="58"/>
        <item x="2714"/>
        <item x="1010"/>
        <item x="1134"/>
        <item x="2276"/>
        <item x="81"/>
        <item x="1069"/>
        <item x="94"/>
        <item x="2891"/>
        <item x="1472"/>
        <item x="2608"/>
        <item x="2538"/>
        <item x="2517"/>
        <item x="1852"/>
        <item x="2341"/>
        <item x="2494"/>
        <item x="1448"/>
        <item x="1433"/>
        <item x="368"/>
        <item x="384"/>
        <item x="2710"/>
        <item x="1262"/>
        <item x="1212"/>
        <item x="2810"/>
        <item x="2693"/>
        <item x="1837"/>
        <item x="444"/>
        <item x="2173"/>
        <item x="1824"/>
        <item x="45"/>
        <item x="988"/>
        <item x="734"/>
        <item x="2182"/>
        <item x="2454"/>
        <item x="705"/>
        <item x="878"/>
        <item x="1236"/>
        <item x="1588"/>
        <item x="2746"/>
        <item x="984"/>
        <item x="231"/>
        <item x="655"/>
        <item x="2439"/>
        <item x="1655"/>
        <item x="965"/>
        <item x="1991"/>
        <item x="1757"/>
        <item x="2717"/>
        <item x="2112"/>
        <item x="564"/>
        <item x="106"/>
        <item x="1763"/>
        <item x="1109"/>
        <item x="608"/>
        <item x="2647"/>
        <item x="1105"/>
        <item x="401"/>
        <item x="1054"/>
        <item x="376"/>
        <item x="2408"/>
        <item x="1280"/>
        <item x="906"/>
        <item x="283"/>
        <item x="1291"/>
        <item x="2804"/>
        <item x="1815"/>
        <item x="1685"/>
        <item x="2133"/>
        <item x="1094"/>
        <item x="838"/>
        <item x="1014"/>
        <item x="1694"/>
        <item x="2656"/>
        <item x="1059"/>
        <item x="923"/>
        <item x="1327"/>
        <item x="1271"/>
        <item x="2820"/>
        <item x="1384"/>
        <item x="940"/>
        <item x="308"/>
        <item x="2310"/>
        <item x="282"/>
        <item x="1110"/>
        <item x="1313"/>
        <item x="1336"/>
        <item x="2609"/>
        <item x="405"/>
        <item x="2456"/>
        <item x="2322"/>
        <item x="1891"/>
        <item x="1781"/>
        <item x="660"/>
        <item x="1830"/>
        <item x="427"/>
        <item x="1104"/>
        <item x="719"/>
        <item x="2383"/>
        <item x="1207"/>
        <item x="616"/>
        <item x="2069"/>
        <item x="1907"/>
        <item x="1197"/>
        <item t="default"/>
      </items>
    </pivotField>
    <pivotField axis="axisRow" showAll="0">
      <items count="6">
        <item x="4"/>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1"/>
  </colFields>
  <colItems count="3">
    <i>
      <x/>
    </i>
    <i>
      <x v="1"/>
    </i>
    <i t="grand">
      <x/>
    </i>
  </colItems>
  <dataFields count="1">
    <dataField name="Count of CODE_GENDER" fld="1" subtotal="count" baseField="13" baseItem="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991412-B8E3-42B0-A87C-E28AA0F32C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Education type" colHeaderCaption="Gender">
  <location ref="A4:D11" firstHeaderRow="1" firstDataRow="2" firstDataCol="1"/>
  <pivotFields count="23">
    <pivotField showAll="0"/>
    <pivotField axis="axisCol" dataField="1" showAll="0">
      <items count="3">
        <item x="0"/>
        <item x="1"/>
        <item t="default"/>
      </items>
    </pivotField>
    <pivotField showAll="0"/>
    <pivotField showAll="0"/>
    <pivotField showAll="0"/>
    <pivotField showAll="0"/>
    <pivotField showAll="0">
      <items count="6">
        <item x="1"/>
        <item x="0"/>
        <item x="3"/>
        <item x="4"/>
        <item x="2"/>
        <item t="default"/>
      </items>
    </pivotField>
    <pivotField axis="axisRow" showAll="0">
      <items count="6">
        <item x="4"/>
        <item x="0"/>
        <item x="2"/>
        <item x="3"/>
        <item x="1"/>
        <item t="default"/>
      </items>
    </pivotField>
    <pivotField showAll="0">
      <items count="6">
        <item x="3"/>
        <item x="1"/>
        <item x="0"/>
        <item x="2"/>
        <item x="4"/>
        <item t="default"/>
      </items>
    </pivotField>
    <pivotField showAll="0"/>
    <pivotField numFmtId="14" showAll="0"/>
    <pivotField showAll="0"/>
    <pivotField numFmtId="164" showAll="0"/>
    <pivotField showAll="0">
      <items count="6">
        <item x="4"/>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Fields count="1">
    <field x="1"/>
  </colFields>
  <colItems count="3">
    <i>
      <x/>
    </i>
    <i>
      <x v="1"/>
    </i>
    <i t="grand">
      <x/>
    </i>
  </colItems>
  <dataFields count="1">
    <dataField name="Count of CODE_GENDER" fld="1" subtotal="count" baseField="0" baseItem="0"/>
  </dataFields>
  <chartFormats count="25">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2">
          <reference field="4294967294" count="1" selected="0">
            <x v="0"/>
          </reference>
          <reference field="1" count="1" selected="0">
            <x v="1"/>
          </reference>
        </references>
      </pivotArea>
    </chartFormat>
    <chartFormat chart="0" format="17" series="1">
      <pivotArea type="data" outline="0" fieldPosition="0">
        <references count="2">
          <reference field="4294967294" count="1" selected="0">
            <x v="0"/>
          </reference>
          <reference field="1" count="1" selected="0">
            <x v="0"/>
          </reference>
        </references>
      </pivotArea>
    </chartFormat>
    <chartFormat chart="0" format="18">
      <pivotArea type="data" outline="0" fieldPosition="0">
        <references count="3">
          <reference field="4294967294" count="1" selected="0">
            <x v="0"/>
          </reference>
          <reference field="1" count="1" selected="0">
            <x v="0"/>
          </reference>
          <reference field="7" count="1" selected="0">
            <x v="3"/>
          </reference>
        </references>
      </pivotArea>
    </chartFormat>
    <chartFormat chart="0" format="19">
      <pivotArea type="data" outline="0" fieldPosition="0">
        <references count="3">
          <reference field="4294967294" count="1" selected="0">
            <x v="0"/>
          </reference>
          <reference field="1" count="1" selected="0">
            <x v="0"/>
          </reference>
          <reference field="7" count="1" selected="0">
            <x v="0"/>
          </reference>
        </references>
      </pivotArea>
    </chartFormat>
    <chartFormat chart="0" format="20">
      <pivotArea type="data" outline="0" fieldPosition="0">
        <references count="3">
          <reference field="4294967294" count="1" selected="0">
            <x v="0"/>
          </reference>
          <reference field="1" count="1" selected="0">
            <x v="0"/>
          </reference>
          <reference field="7" count="1" selected="0">
            <x v="1"/>
          </reference>
        </references>
      </pivotArea>
    </chartFormat>
    <chartFormat chart="0" format="21">
      <pivotArea type="data" outline="0" fieldPosition="0">
        <references count="3">
          <reference field="4294967294" count="1" selected="0">
            <x v="0"/>
          </reference>
          <reference field="1" count="1" selected="0">
            <x v="0"/>
          </reference>
          <reference field="7" count="1" selected="0">
            <x v="2"/>
          </reference>
        </references>
      </pivotArea>
    </chartFormat>
    <chartFormat chart="0" format="22">
      <pivotArea type="data" outline="0" fieldPosition="0">
        <references count="3">
          <reference field="4294967294" count="1" selected="0">
            <x v="0"/>
          </reference>
          <reference field="1" count="1" selected="0">
            <x v="0"/>
          </reference>
          <reference field="7" count="1" selected="0">
            <x v="4"/>
          </reference>
        </references>
      </pivotArea>
    </chartFormat>
    <chartFormat chart="0" format="23">
      <pivotArea type="data" outline="0" fieldPosition="0">
        <references count="3">
          <reference field="4294967294" count="1" selected="0">
            <x v="0"/>
          </reference>
          <reference field="1" count="1" selected="0">
            <x v="1"/>
          </reference>
          <reference field="7" count="1" selected="0">
            <x v="0"/>
          </reference>
        </references>
      </pivotArea>
    </chartFormat>
    <chartFormat chart="0" format="24">
      <pivotArea type="data" outline="0" fieldPosition="0">
        <references count="3">
          <reference field="4294967294" count="1" selected="0">
            <x v="0"/>
          </reference>
          <reference field="1" count="1" selected="0">
            <x v="1"/>
          </reference>
          <reference field="7" count="1" selected="0">
            <x v="1"/>
          </reference>
        </references>
      </pivotArea>
    </chartFormat>
    <chartFormat chart="0" format="25">
      <pivotArea type="data" outline="0" fieldPosition="0">
        <references count="3">
          <reference field="4294967294" count="1" selected="0">
            <x v="0"/>
          </reference>
          <reference field="1" count="1" selected="0">
            <x v="1"/>
          </reference>
          <reference field="7" count="1" selected="0">
            <x v="2"/>
          </reference>
        </references>
      </pivotArea>
    </chartFormat>
    <chartFormat chart="0" format="26">
      <pivotArea type="data" outline="0" fieldPosition="0">
        <references count="3">
          <reference field="4294967294" count="1" selected="0">
            <x v="0"/>
          </reference>
          <reference field="1" count="1" selected="0">
            <x v="1"/>
          </reference>
          <reference field="7" count="1" selected="0">
            <x v="3"/>
          </reference>
        </references>
      </pivotArea>
    </chartFormat>
    <chartFormat chart="0" format="27">
      <pivotArea type="data" outline="0" fieldPosition="0">
        <references count="3">
          <reference field="4294967294" count="1" selected="0">
            <x v="0"/>
          </reference>
          <reference field="1" count="1" selected="0">
            <x v="1"/>
          </reference>
          <reference field="7" count="1" selected="0">
            <x v="4"/>
          </reference>
        </references>
      </pivotArea>
    </chartFormat>
    <chartFormat chart="8" format="40" series="1">
      <pivotArea type="data" outline="0" fieldPosition="0">
        <references count="2">
          <reference field="4294967294" count="1" selected="0">
            <x v="0"/>
          </reference>
          <reference field="1" count="1" selected="0">
            <x v="0"/>
          </reference>
        </references>
      </pivotArea>
    </chartFormat>
    <chartFormat chart="8" format="41">
      <pivotArea type="data" outline="0" fieldPosition="0">
        <references count="3">
          <reference field="4294967294" count="1" selected="0">
            <x v="0"/>
          </reference>
          <reference field="1" count="1" selected="0">
            <x v="0"/>
          </reference>
          <reference field="7" count="1" selected="0">
            <x v="0"/>
          </reference>
        </references>
      </pivotArea>
    </chartFormat>
    <chartFormat chart="8" format="42">
      <pivotArea type="data" outline="0" fieldPosition="0">
        <references count="3">
          <reference field="4294967294" count="1" selected="0">
            <x v="0"/>
          </reference>
          <reference field="1" count="1" selected="0">
            <x v="0"/>
          </reference>
          <reference field="7" count="1" selected="0">
            <x v="1"/>
          </reference>
        </references>
      </pivotArea>
    </chartFormat>
    <chartFormat chart="8" format="43">
      <pivotArea type="data" outline="0" fieldPosition="0">
        <references count="3">
          <reference field="4294967294" count="1" selected="0">
            <x v="0"/>
          </reference>
          <reference field="1" count="1" selected="0">
            <x v="0"/>
          </reference>
          <reference field="7" count="1" selected="0">
            <x v="2"/>
          </reference>
        </references>
      </pivotArea>
    </chartFormat>
    <chartFormat chart="8" format="44">
      <pivotArea type="data" outline="0" fieldPosition="0">
        <references count="3">
          <reference field="4294967294" count="1" selected="0">
            <x v="0"/>
          </reference>
          <reference field="1" count="1" selected="0">
            <x v="0"/>
          </reference>
          <reference field="7" count="1" selected="0">
            <x v="3"/>
          </reference>
        </references>
      </pivotArea>
    </chartFormat>
    <chartFormat chart="8" format="45">
      <pivotArea type="data" outline="0" fieldPosition="0">
        <references count="3">
          <reference field="4294967294" count="1" selected="0">
            <x v="0"/>
          </reference>
          <reference field="1" count="1" selected="0">
            <x v="0"/>
          </reference>
          <reference field="7" count="1" selected="0">
            <x v="4"/>
          </reference>
        </references>
      </pivotArea>
    </chartFormat>
    <chartFormat chart="8" format="46" series="1">
      <pivotArea type="data" outline="0" fieldPosition="0">
        <references count="2">
          <reference field="4294967294" count="1" selected="0">
            <x v="0"/>
          </reference>
          <reference field="1" count="1" selected="0">
            <x v="1"/>
          </reference>
        </references>
      </pivotArea>
    </chartFormat>
    <chartFormat chart="8" format="47">
      <pivotArea type="data" outline="0" fieldPosition="0">
        <references count="3">
          <reference field="4294967294" count="1" selected="0">
            <x v="0"/>
          </reference>
          <reference field="1" count="1" selected="0">
            <x v="1"/>
          </reference>
          <reference field="7" count="1" selected="0">
            <x v="0"/>
          </reference>
        </references>
      </pivotArea>
    </chartFormat>
    <chartFormat chart="8" format="48">
      <pivotArea type="data" outline="0" fieldPosition="0">
        <references count="3">
          <reference field="4294967294" count="1" selected="0">
            <x v="0"/>
          </reference>
          <reference field="1" count="1" selected="0">
            <x v="1"/>
          </reference>
          <reference field="7" count="1" selected="0">
            <x v="1"/>
          </reference>
        </references>
      </pivotArea>
    </chartFormat>
    <chartFormat chart="8" format="49">
      <pivotArea type="data" outline="0" fieldPosition="0">
        <references count="3">
          <reference field="4294967294" count="1" selected="0">
            <x v="0"/>
          </reference>
          <reference field="1" count="1" selected="0">
            <x v="1"/>
          </reference>
          <reference field="7" count="1" selected="0">
            <x v="2"/>
          </reference>
        </references>
      </pivotArea>
    </chartFormat>
    <chartFormat chart="8" format="50">
      <pivotArea type="data" outline="0" fieldPosition="0">
        <references count="3">
          <reference field="4294967294" count="1" selected="0">
            <x v="0"/>
          </reference>
          <reference field="1" count="1" selected="0">
            <x v="1"/>
          </reference>
          <reference field="7" count="1" selected="0">
            <x v="3"/>
          </reference>
        </references>
      </pivotArea>
    </chartFormat>
    <chartFormat chart="8" format="51">
      <pivotArea type="data" outline="0" fieldPosition="0">
        <references count="3">
          <reference field="4294967294" count="1" selected="0">
            <x v="0"/>
          </reference>
          <reference field="1"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213CEF-62BE-4591-88A6-B66072A001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Employment Status">
  <location ref="A3:B6" firstHeaderRow="1" firstDataRow="1" firstDataCol="1"/>
  <pivotFields count="23">
    <pivotField dataField="1" showAll="0"/>
    <pivotField showAll="0">
      <items count="3">
        <item x="0"/>
        <item x="1"/>
        <item t="default"/>
      </items>
    </pivotField>
    <pivotField showAll="0"/>
    <pivotField showAll="0"/>
    <pivotField showAll="0"/>
    <pivotField showAll="0"/>
    <pivotField showAll="0"/>
    <pivotField showAll="0">
      <items count="6">
        <item x="4"/>
        <item x="0"/>
        <item x="2"/>
        <item x="3"/>
        <item x="1"/>
        <item t="default"/>
      </items>
    </pivotField>
    <pivotField showAll="0">
      <items count="6">
        <item x="3"/>
        <item x="1"/>
        <item x="0"/>
        <item x="2"/>
        <item x="4"/>
        <item t="default"/>
      </items>
    </pivotField>
    <pivotField showAll="0"/>
    <pivotField numFmtId="14" showAll="0"/>
    <pivotField showAll="0"/>
    <pivotField numFmtId="164"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16"/>
  </rowFields>
  <rowItems count="3">
    <i>
      <x/>
    </i>
    <i>
      <x v="1"/>
    </i>
    <i t="grand">
      <x/>
    </i>
  </rowItems>
  <colItems count="1">
    <i/>
  </colItems>
  <dataFields count="1">
    <dataField name="Count of ID" fld="0" subtotal="count" baseField="16" baseItem="0"/>
  </dataFields>
  <chartFormats count="6">
    <chartFormat chart="6"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6" count="1" selected="0">
            <x v="0"/>
          </reference>
        </references>
      </pivotArea>
    </chartFormat>
    <chartFormat chart="6" format="11">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0"/>
          </reference>
          <reference field="16" count="1" selected="0">
            <x v="0"/>
          </reference>
        </references>
      </pivotArea>
    </chartFormat>
    <chartFormat chart="0" format="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12075A-7419-4EE5-8097-5CA7B03C76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Name Income Type" colHeaderCaption="Count of fam members">
  <location ref="A3:I10" firstHeaderRow="1" firstDataRow="2" firstDataCol="1"/>
  <pivotFields count="23">
    <pivotField showAll="0"/>
    <pivotField showAll="0"/>
    <pivotField showAll="0"/>
    <pivotField showAll="0"/>
    <pivotField showAll="0"/>
    <pivotField dataField="1" showAll="0"/>
    <pivotField axis="axisRow" showAll="0">
      <items count="6">
        <item x="1"/>
        <item x="0"/>
        <item x="3"/>
        <item x="4"/>
        <item x="2"/>
        <item t="default"/>
      </items>
    </pivotField>
    <pivotField showAll="0"/>
    <pivotField showAll="0"/>
    <pivotField showAll="0"/>
    <pivotField numFmtId="14" showAll="0"/>
    <pivotField showAll="0"/>
    <pivotField numFmtId="164" showAll="0"/>
    <pivotField showAll="0">
      <items count="6">
        <item x="4"/>
        <item x="3"/>
        <item x="1"/>
        <item x="2"/>
        <item x="0"/>
        <item t="default"/>
      </items>
    </pivotField>
    <pivotField showAll="0"/>
    <pivotField showAll="0"/>
    <pivotField showAll="0">
      <items count="3">
        <item x="1"/>
        <item h="1" x="0"/>
        <item t="default"/>
      </items>
    </pivotField>
    <pivotField showAll="0"/>
    <pivotField showAll="0"/>
    <pivotField showAll="0"/>
    <pivotField showAll="0"/>
    <pivotField showAll="0"/>
    <pivotField axis="axisCol" showAll="0">
      <items count="8">
        <item x="0"/>
        <item x="1"/>
        <item x="3"/>
        <item x="2"/>
        <item x="4"/>
        <item x="5"/>
        <item x="6"/>
        <item t="default"/>
      </items>
    </pivotField>
  </pivotFields>
  <rowFields count="1">
    <field x="6"/>
  </rowFields>
  <rowItems count="6">
    <i>
      <x/>
    </i>
    <i>
      <x v="1"/>
    </i>
    <i>
      <x v="2"/>
    </i>
    <i>
      <x v="3"/>
    </i>
    <i>
      <x v="4"/>
    </i>
    <i t="grand">
      <x/>
    </i>
  </rowItems>
  <colFields count="1">
    <field x="22"/>
  </colFields>
  <colItems count="8">
    <i>
      <x/>
    </i>
    <i>
      <x v="1"/>
    </i>
    <i>
      <x v="2"/>
    </i>
    <i>
      <x v="3"/>
    </i>
    <i>
      <x v="4"/>
    </i>
    <i>
      <x v="5"/>
    </i>
    <i>
      <x v="6"/>
    </i>
    <i t="grand">
      <x/>
    </i>
  </colItems>
  <dataFields count="1">
    <dataField name="Average of AMT_INCOME_TOTAL" fld="5" subtotal="average" baseField="6" baseItem="0"/>
  </dataFields>
  <chartFormats count="39">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3"/>
          </reference>
        </references>
      </pivotArea>
    </chartFormat>
    <chartFormat chart="0" format="4" series="1">
      <pivotArea type="data" outline="0" fieldPosition="0">
        <references count="2">
          <reference field="4294967294" count="1" selected="0">
            <x v="0"/>
          </reference>
          <reference field="22" count="1" selected="0">
            <x v="4"/>
          </reference>
        </references>
      </pivotArea>
    </chartFormat>
    <chartFormat chart="0" format="5" series="1">
      <pivotArea type="data" outline="0" fieldPosition="0">
        <references count="2">
          <reference field="4294967294" count="1" selected="0">
            <x v="0"/>
          </reference>
          <reference field="22" count="1" selected="0">
            <x v="5"/>
          </reference>
        </references>
      </pivotArea>
    </chartFormat>
    <chartFormat chart="0" format="6" series="1">
      <pivotArea type="data" outline="0" fieldPosition="0">
        <references count="2">
          <reference field="4294967294" count="1" selected="0">
            <x v="0"/>
          </reference>
          <reference field="22" count="1" selected="0">
            <x v="6"/>
          </reference>
        </references>
      </pivotArea>
    </chartFormat>
    <chartFormat chart="0" format="7"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6" count="1" selected="0">
            <x v="1"/>
          </reference>
        </references>
      </pivotArea>
    </chartFormat>
    <chartFormat chart="0" format="14" series="1">
      <pivotArea type="data" outline="0" fieldPosition="0">
        <references count="2">
          <reference field="4294967294" count="1" selected="0">
            <x v="0"/>
          </reference>
          <reference field="6" count="1" selected="0">
            <x v="2"/>
          </reference>
        </references>
      </pivotArea>
    </chartFormat>
    <chartFormat chart="0" format="15" series="1">
      <pivotArea type="data" outline="0" fieldPosition="0">
        <references count="2">
          <reference field="4294967294" count="1" selected="0">
            <x v="0"/>
          </reference>
          <reference field="6" count="1" selected="0">
            <x v="3"/>
          </reference>
        </references>
      </pivotArea>
    </chartFormat>
    <chartFormat chart="0" format="16" series="1">
      <pivotArea type="data" outline="0" fieldPosition="0">
        <references count="2">
          <reference field="4294967294" count="1" selected="0">
            <x v="0"/>
          </reference>
          <reference field="6" count="1" selected="0">
            <x v="4"/>
          </reference>
        </references>
      </pivotArea>
    </chartFormat>
    <chartFormat chart="0" format="17" series="1">
      <pivotArea type="data" outline="0" fieldPosition="0">
        <references count="3">
          <reference field="4294967294" count="1" selected="0">
            <x v="0"/>
          </reference>
          <reference field="6" count="1" selected="0">
            <x v="0"/>
          </reference>
          <reference field="22" count="1" selected="0">
            <x v="5"/>
          </reference>
        </references>
      </pivotArea>
    </chartFormat>
    <chartFormat chart="0" format="18" series="1">
      <pivotArea type="data" outline="0" fieldPosition="0">
        <references count="3">
          <reference field="4294967294" count="1" selected="0">
            <x v="0"/>
          </reference>
          <reference field="6" count="1" selected="0">
            <x v="1"/>
          </reference>
          <reference field="22" count="1" selected="0">
            <x v="0"/>
          </reference>
        </references>
      </pivotArea>
    </chartFormat>
    <chartFormat chart="0" format="19" series="1">
      <pivotArea type="data" outline="0" fieldPosition="0">
        <references count="3">
          <reference field="4294967294" count="1" selected="0">
            <x v="0"/>
          </reference>
          <reference field="6" count="1" selected="0">
            <x v="1"/>
          </reference>
          <reference field="22" count="1" selected="0">
            <x v="1"/>
          </reference>
        </references>
      </pivotArea>
    </chartFormat>
    <chartFormat chart="0" format="20" series="1">
      <pivotArea type="data" outline="0" fieldPosition="0">
        <references count="3">
          <reference field="4294967294" count="1" selected="0">
            <x v="0"/>
          </reference>
          <reference field="6" count="1" selected="0">
            <x v="1"/>
          </reference>
          <reference field="22" count="1" selected="0">
            <x v="2"/>
          </reference>
        </references>
      </pivotArea>
    </chartFormat>
    <chartFormat chart="0" format="21" series="1">
      <pivotArea type="data" outline="0" fieldPosition="0">
        <references count="3">
          <reference field="4294967294" count="1" selected="0">
            <x v="0"/>
          </reference>
          <reference field="6" count="1" selected="0">
            <x v="1"/>
          </reference>
          <reference field="22" count="1" selected="0">
            <x v="3"/>
          </reference>
        </references>
      </pivotArea>
    </chartFormat>
    <chartFormat chart="0" format="22" series="1">
      <pivotArea type="data" outline="0" fieldPosition="0">
        <references count="3">
          <reference field="4294967294" count="1" selected="0">
            <x v="0"/>
          </reference>
          <reference field="6" count="1" selected="0">
            <x v="1"/>
          </reference>
          <reference field="22" count="1" selected="0">
            <x v="4"/>
          </reference>
        </references>
      </pivotArea>
    </chartFormat>
    <chartFormat chart="0" format="23" series="1">
      <pivotArea type="data" outline="0" fieldPosition="0">
        <references count="3">
          <reference field="4294967294" count="1" selected="0">
            <x v="0"/>
          </reference>
          <reference field="6" count="1" selected="0">
            <x v="2"/>
          </reference>
          <reference field="22" count="1" selected="0">
            <x v="0"/>
          </reference>
        </references>
      </pivotArea>
    </chartFormat>
    <chartFormat chart="0" format="24" series="1">
      <pivotArea type="data" outline="0" fieldPosition="0">
        <references count="3">
          <reference field="4294967294" count="1" selected="0">
            <x v="0"/>
          </reference>
          <reference field="6" count="1" selected="0">
            <x v="2"/>
          </reference>
          <reference field="22" count="1" selected="0">
            <x v="1"/>
          </reference>
        </references>
      </pivotArea>
    </chartFormat>
    <chartFormat chart="0" format="25" series="1">
      <pivotArea type="data" outline="0" fieldPosition="0">
        <references count="3">
          <reference field="4294967294" count="1" selected="0">
            <x v="0"/>
          </reference>
          <reference field="6" count="1" selected="0">
            <x v="2"/>
          </reference>
          <reference field="22" count="1" selected="0">
            <x v="2"/>
          </reference>
        </references>
      </pivotArea>
    </chartFormat>
    <chartFormat chart="0" format="26" series="1">
      <pivotArea type="data" outline="0" fieldPosition="0">
        <references count="3">
          <reference field="4294967294" count="1" selected="0">
            <x v="0"/>
          </reference>
          <reference field="6" count="1" selected="0">
            <x v="2"/>
          </reference>
          <reference field="22" count="1" selected="0">
            <x v="3"/>
          </reference>
        </references>
      </pivotArea>
    </chartFormat>
    <chartFormat chart="0" format="27" series="1">
      <pivotArea type="data" outline="0" fieldPosition="0">
        <references count="3">
          <reference field="4294967294" count="1" selected="0">
            <x v="0"/>
          </reference>
          <reference field="6" count="1" selected="0">
            <x v="2"/>
          </reference>
          <reference field="22" count="1" selected="0">
            <x v="4"/>
          </reference>
        </references>
      </pivotArea>
    </chartFormat>
    <chartFormat chart="0" format="28" series="1">
      <pivotArea type="data" outline="0" fieldPosition="0">
        <references count="3">
          <reference field="4294967294" count="1" selected="0">
            <x v="0"/>
          </reference>
          <reference field="6" count="1" selected="0">
            <x v="2"/>
          </reference>
          <reference field="22" count="1" selected="0">
            <x v="5"/>
          </reference>
        </references>
      </pivotArea>
    </chartFormat>
    <chartFormat chart="0" format="29" series="1">
      <pivotArea type="data" outline="0" fieldPosition="0">
        <references count="3">
          <reference field="4294967294" count="1" selected="0">
            <x v="0"/>
          </reference>
          <reference field="6" count="1" selected="0">
            <x v="3"/>
          </reference>
          <reference field="22" count="1" selected="0">
            <x v="2"/>
          </reference>
        </references>
      </pivotArea>
    </chartFormat>
    <chartFormat chart="0" format="30" series="1">
      <pivotArea type="data" outline="0" fieldPosition="0">
        <references count="3">
          <reference field="4294967294" count="1" selected="0">
            <x v="0"/>
          </reference>
          <reference field="6" count="1" selected="0">
            <x v="4"/>
          </reference>
          <reference field="22" count="1" selected="0">
            <x v="0"/>
          </reference>
        </references>
      </pivotArea>
    </chartFormat>
    <chartFormat chart="0" format="31" series="1">
      <pivotArea type="data" outline="0" fieldPosition="0">
        <references count="3">
          <reference field="4294967294" count="1" selected="0">
            <x v="0"/>
          </reference>
          <reference field="6" count="1" selected="0">
            <x v="4"/>
          </reference>
          <reference field="22" count="1" selected="0">
            <x v="1"/>
          </reference>
        </references>
      </pivotArea>
    </chartFormat>
    <chartFormat chart="0" format="32" series="1">
      <pivotArea type="data" outline="0" fieldPosition="0">
        <references count="3">
          <reference field="4294967294" count="1" selected="0">
            <x v="0"/>
          </reference>
          <reference field="6" count="1" selected="0">
            <x v="4"/>
          </reference>
          <reference field="22" count="1" selected="0">
            <x v="2"/>
          </reference>
        </references>
      </pivotArea>
    </chartFormat>
    <chartFormat chart="0" format="33" series="1">
      <pivotArea type="data" outline="0" fieldPosition="0">
        <references count="3">
          <reference field="4294967294" count="1" selected="0">
            <x v="0"/>
          </reference>
          <reference field="6" count="1" selected="0">
            <x v="4"/>
          </reference>
          <reference field="22" count="1" selected="0">
            <x v="3"/>
          </reference>
        </references>
      </pivotArea>
    </chartFormat>
    <chartFormat chart="0" format="34" series="1">
      <pivotArea type="data" outline="0" fieldPosition="0">
        <references count="3">
          <reference field="4294967294" count="1" selected="0">
            <x v="0"/>
          </reference>
          <reference field="6" count="1" selected="0">
            <x v="4"/>
          </reference>
          <reference field="22" count="1" selected="0">
            <x v="4"/>
          </reference>
        </references>
      </pivotArea>
    </chartFormat>
    <chartFormat chart="0" format="35" series="1">
      <pivotArea type="data" outline="0" fieldPosition="0">
        <references count="3">
          <reference field="4294967294" count="1" selected="0">
            <x v="0"/>
          </reference>
          <reference field="6" count="1" selected="0">
            <x v="4"/>
          </reference>
          <reference field="22" count="1" selected="0">
            <x v="5"/>
          </reference>
        </references>
      </pivotArea>
    </chartFormat>
    <chartFormat chart="0" format="36" series="1">
      <pivotArea type="data" outline="0" fieldPosition="0">
        <references count="3">
          <reference field="4294967294" count="1" selected="0">
            <x v="0"/>
          </reference>
          <reference field="6" count="1" selected="0">
            <x v="4"/>
          </reference>
          <reference field="22" count="1" selected="0">
            <x v="6"/>
          </reference>
        </references>
      </pivotArea>
    </chartFormat>
    <chartFormat chart="8" format="44" series="1">
      <pivotArea type="data" outline="0" fieldPosition="0">
        <references count="2">
          <reference field="4294967294" count="1" selected="0">
            <x v="0"/>
          </reference>
          <reference field="22" count="1" selected="0">
            <x v="0"/>
          </reference>
        </references>
      </pivotArea>
    </chartFormat>
    <chartFormat chart="8" format="45" series="1">
      <pivotArea type="data" outline="0" fieldPosition="0">
        <references count="2">
          <reference field="4294967294" count="1" selected="0">
            <x v="0"/>
          </reference>
          <reference field="22" count="1" selected="0">
            <x v="1"/>
          </reference>
        </references>
      </pivotArea>
    </chartFormat>
    <chartFormat chart="8" format="46" series="1">
      <pivotArea type="data" outline="0" fieldPosition="0">
        <references count="2">
          <reference field="4294967294" count="1" selected="0">
            <x v="0"/>
          </reference>
          <reference field="22" count="1" selected="0">
            <x v="2"/>
          </reference>
        </references>
      </pivotArea>
    </chartFormat>
    <chartFormat chart="8" format="47" series="1">
      <pivotArea type="data" outline="0" fieldPosition="0">
        <references count="2">
          <reference field="4294967294" count="1" selected="0">
            <x v="0"/>
          </reference>
          <reference field="22" count="1" selected="0">
            <x v="3"/>
          </reference>
        </references>
      </pivotArea>
    </chartFormat>
    <chartFormat chart="8" format="48" series="1">
      <pivotArea type="data" outline="0" fieldPosition="0">
        <references count="2">
          <reference field="4294967294" count="1" selected="0">
            <x v="0"/>
          </reference>
          <reference field="22" count="1" selected="0">
            <x v="4"/>
          </reference>
        </references>
      </pivotArea>
    </chartFormat>
    <chartFormat chart="8" format="49" series="1">
      <pivotArea type="data" outline="0" fieldPosition="0">
        <references count="2">
          <reference field="4294967294" count="1" selected="0">
            <x v="0"/>
          </reference>
          <reference field="22" count="1" selected="0">
            <x v="5"/>
          </reference>
        </references>
      </pivotArea>
    </chartFormat>
    <chartFormat chart="8" format="50" series="1">
      <pivotArea type="data" outline="0" fieldPosition="0">
        <references count="2">
          <reference field="4294967294" count="1" selected="0">
            <x v="0"/>
          </reference>
          <reference field="2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2C7911-86E1-4CD9-84BF-3E3B7E7A56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Housing Type">
  <location ref="A3:B10" firstHeaderRow="1" firstDataRow="1" firstDataCol="1"/>
  <pivotFields count="23">
    <pivotField showAll="0"/>
    <pivotField showAll="0">
      <items count="3">
        <item x="0"/>
        <item x="1"/>
        <item t="default"/>
      </items>
    </pivotField>
    <pivotField showAll="0"/>
    <pivotField showAll="0"/>
    <pivotField showAll="0"/>
    <pivotField showAll="0"/>
    <pivotField showAll="0">
      <items count="6">
        <item x="1"/>
        <item x="0"/>
        <item x="3"/>
        <item x="4"/>
        <item x="2"/>
        <item t="default"/>
      </items>
    </pivotField>
    <pivotField showAll="0"/>
    <pivotField showAll="0"/>
    <pivotField axis="axisRow" showAll="0">
      <items count="7">
        <item x="3"/>
        <item x="0"/>
        <item x="4"/>
        <item x="5"/>
        <item x="1"/>
        <item x="2"/>
        <item t="default"/>
      </items>
    </pivotField>
    <pivotField numFmtId="14" showAll="0"/>
    <pivotField showAll="0"/>
    <pivotField numFmtId="164" showAll="0"/>
    <pivotField showAll="0">
      <items count="6">
        <item x="4"/>
        <item x="3"/>
        <item x="1"/>
        <item x="2"/>
        <item x="0"/>
        <item t="default"/>
      </items>
    </pivotField>
    <pivotField showAll="0"/>
    <pivotField showAll="0"/>
    <pivotField showAll="0"/>
    <pivotField showAll="0"/>
    <pivotField showAll="0"/>
    <pivotField showAll="0"/>
    <pivotField showAll="0"/>
    <pivotField showAll="0"/>
    <pivotField dataField="1" showAll="0"/>
  </pivotFields>
  <rowFields count="1">
    <field x="9"/>
  </rowFields>
  <rowItems count="7">
    <i>
      <x/>
    </i>
    <i>
      <x v="1"/>
    </i>
    <i>
      <x v="2"/>
    </i>
    <i>
      <x v="3"/>
    </i>
    <i>
      <x v="4"/>
    </i>
    <i>
      <x v="5"/>
    </i>
    <i t="grand">
      <x/>
    </i>
  </rowItems>
  <colItems count="1">
    <i/>
  </colItems>
  <dataFields count="1">
    <dataField name="Count of CNT_FAM_MEMBERS" fld="22" subtotal="count" baseField="9" baseItem="0"/>
  </dataFields>
  <chartFormats count="14">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9" count="1" selected="0">
            <x v="1"/>
          </reference>
        </references>
      </pivotArea>
    </chartFormat>
    <chartFormat chart="17" format="4">
      <pivotArea type="data" outline="0" fieldPosition="0">
        <references count="2">
          <reference field="4294967294" count="1" selected="0">
            <x v="0"/>
          </reference>
          <reference field="9" count="1" selected="0">
            <x v="2"/>
          </reference>
        </references>
      </pivotArea>
    </chartFormat>
    <chartFormat chart="17" format="5">
      <pivotArea type="data" outline="0" fieldPosition="0">
        <references count="2">
          <reference field="4294967294" count="1" selected="0">
            <x v="0"/>
          </reference>
          <reference field="9" count="1" selected="0">
            <x v="3"/>
          </reference>
        </references>
      </pivotArea>
    </chartFormat>
    <chartFormat chart="17" format="6">
      <pivotArea type="data" outline="0" fieldPosition="0">
        <references count="2">
          <reference field="4294967294" count="1" selected="0">
            <x v="0"/>
          </reference>
          <reference field="9" count="1" selected="0">
            <x v="4"/>
          </reference>
        </references>
      </pivotArea>
    </chartFormat>
    <chartFormat chart="17" format="7">
      <pivotArea type="data" outline="0" fieldPosition="0">
        <references count="2">
          <reference field="4294967294" count="1" selected="0">
            <x v="0"/>
          </reference>
          <reference field="9" count="1" selected="0">
            <x v="5"/>
          </reference>
        </references>
      </pivotArea>
    </chartFormat>
    <chartFormat chart="17" format="8">
      <pivotArea type="data" outline="0" fieldPosition="0">
        <references count="2">
          <reference field="4294967294" count="1" selected="0">
            <x v="0"/>
          </reference>
          <reference field="9" count="1" selected="0">
            <x v="0"/>
          </reference>
        </references>
      </pivotArea>
    </chartFormat>
    <chartFormat chart="6" format="1">
      <pivotArea type="data" outline="0" fieldPosition="0">
        <references count="2">
          <reference field="4294967294" count="1" selected="0">
            <x v="0"/>
          </reference>
          <reference field="9" count="1" selected="0">
            <x v="1"/>
          </reference>
        </references>
      </pivotArea>
    </chartFormat>
    <chartFormat chart="6" format="2">
      <pivotArea type="data" outline="0" fieldPosition="0">
        <references count="2">
          <reference field="4294967294" count="1" selected="0">
            <x v="0"/>
          </reference>
          <reference field="9" count="1" selected="0">
            <x v="0"/>
          </reference>
        </references>
      </pivotArea>
    </chartFormat>
    <chartFormat chart="6" format="3">
      <pivotArea type="data" outline="0" fieldPosition="0">
        <references count="2">
          <reference field="4294967294" count="1" selected="0">
            <x v="0"/>
          </reference>
          <reference field="9" count="1" selected="0">
            <x v="2"/>
          </reference>
        </references>
      </pivotArea>
    </chartFormat>
    <chartFormat chart="6" format="4">
      <pivotArea type="data" outline="0" fieldPosition="0">
        <references count="2">
          <reference field="4294967294" count="1" selected="0">
            <x v="0"/>
          </reference>
          <reference field="9" count="1" selected="0">
            <x v="3"/>
          </reference>
        </references>
      </pivotArea>
    </chartFormat>
    <chartFormat chart="6" format="5">
      <pivotArea type="data" outline="0" fieldPosition="0">
        <references count="2">
          <reference field="4294967294" count="1" selected="0">
            <x v="0"/>
          </reference>
          <reference field="9" count="1" selected="0">
            <x v="4"/>
          </reference>
        </references>
      </pivotArea>
    </chartFormat>
    <chartFormat chart="6"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838801-F361-40F1-89BC-0EDC97FFC7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Family Status" colHeaderCaption="Emp Status">
  <location ref="A3:D10" firstHeaderRow="1" firstDataRow="2" firstDataCol="1"/>
  <pivotFields count="23">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numFmtId="14" showAll="0"/>
    <pivotField showAll="0"/>
    <pivotField numFmtId="164"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Fields count="1">
    <field x="16"/>
  </colFields>
  <colItems count="3">
    <i>
      <x/>
    </i>
    <i>
      <x v="1"/>
    </i>
    <i t="grand">
      <x/>
    </i>
  </colItems>
  <dataFields count="1">
    <dataField name="Count of EMPLOYMENT_STATUS" fld="16" subtotal="count" baseField="0" baseItem="0"/>
  </dataFields>
  <chartFormats count="1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 chart="12" format="0" series="1">
      <pivotArea type="data" outline="0" fieldPosition="0">
        <references count="2">
          <reference field="4294967294" count="1" selected="0">
            <x v="0"/>
          </reference>
          <reference field="16" count="1" selected="0">
            <x v="0"/>
          </reference>
        </references>
      </pivotArea>
    </chartFormat>
    <chartFormat chart="12" format="1" series="1">
      <pivotArea type="data" outline="0" fieldPosition="0">
        <references count="2">
          <reference field="4294967294" count="1" selected="0">
            <x v="0"/>
          </reference>
          <reference field="16" count="1" selected="0">
            <x v="1"/>
          </reference>
        </references>
      </pivotArea>
    </chartFormat>
    <chartFormat chart="16" format="2" series="1">
      <pivotArea type="data" outline="0" fieldPosition="0">
        <references count="2">
          <reference field="4294967294" count="1" selected="0">
            <x v="0"/>
          </reference>
          <reference field="16" count="1" selected="0">
            <x v="0"/>
          </reference>
        </references>
      </pivotArea>
    </chartFormat>
    <chartFormat chart="16" format="3" series="1">
      <pivotArea type="data" outline="0" fieldPosition="0">
        <references count="2">
          <reference field="4294967294" count="1" selected="0">
            <x v="0"/>
          </reference>
          <reference field="16" count="1" selected="0">
            <x v="1"/>
          </reference>
        </references>
      </pivotArea>
    </chartFormat>
    <chartFormat chart="17" format="4" series="1">
      <pivotArea type="data" outline="0" fieldPosition="0">
        <references count="2">
          <reference field="4294967294" count="1" selected="0">
            <x v="0"/>
          </reference>
          <reference field="16" count="1" selected="0">
            <x v="0"/>
          </reference>
        </references>
      </pivotArea>
    </chartFormat>
    <chartFormat chart="17" format="5" series="1">
      <pivotArea type="data" outline="0" fieldPosition="0">
        <references count="2">
          <reference field="4294967294" count="1" selected="0">
            <x v="0"/>
          </reference>
          <reference field="16" count="1" selected="0">
            <x v="1"/>
          </reference>
        </references>
      </pivotArea>
    </chartFormat>
    <chartFormat chart="18" format="0" series="1">
      <pivotArea type="data" outline="0" fieldPosition="0">
        <references count="2">
          <reference field="4294967294" count="1" selected="0">
            <x v="0"/>
          </reference>
          <reference field="16" count="1" selected="0">
            <x v="0"/>
          </reference>
        </references>
      </pivotArea>
    </chartFormat>
    <chartFormat chart="18" format="1" series="1">
      <pivotArea type="data" outline="0" fieldPosition="0">
        <references count="2">
          <reference field="4294967294" count="1" selected="0">
            <x v="0"/>
          </reference>
          <reference field="16" count="1" selected="0">
            <x v="1"/>
          </reference>
        </references>
      </pivotArea>
    </chartFormat>
    <chartFormat chart="24" format="4" series="1">
      <pivotArea type="data" outline="0" fieldPosition="0">
        <references count="2">
          <reference field="4294967294" count="1" selected="0">
            <x v="0"/>
          </reference>
          <reference field="16" count="1" selected="0">
            <x v="0"/>
          </reference>
        </references>
      </pivotArea>
    </chartFormat>
    <chartFormat chart="24"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E_GENDER" xr10:uid="{8D7B2899-3588-404D-9396-85FED4073602}" sourceName="CODE_GENDER">
  <pivotTables>
    <pivotTable tabId="3" name="PivotTable1"/>
    <pivotTable tabId="4" name="PivotTable1"/>
    <pivotTable tabId="8" name="PivotTable5"/>
  </pivotTables>
  <data>
    <tabular pivotCacheId="1680973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8E39676E-B904-4F3F-BEBB-AD769DF7C56A}" sourceName="AGE_RANGE">
  <pivotTables>
    <pivotTable tabId="3" name="PivotTable1"/>
  </pivotTables>
  <data>
    <tabular pivotCacheId="168097311">
      <items count="5">
        <i x="4" s="1"/>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EDUCATION_TYPE" xr10:uid="{DBD12548-2DC1-4ABC-AACA-73E1BAD618B0}" sourceName="NAME_EDUCATION_TYPE">
  <pivotTables>
    <pivotTable tabId="4" name="PivotTable1"/>
  </pivotTables>
  <data>
    <tabular pivotCacheId="168097311">
      <items count="5">
        <i x="4" s="1"/>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7A59AB84-002D-43B5-AB9F-2D5F741EDFAE}" sourceName="EMPLOYMENT_STATUS">
  <pivotTables>
    <pivotTable tabId="8" name="PivotTable5"/>
    <pivotTable tabId="10" name="PivotTable7"/>
  </pivotTables>
  <data>
    <tabular pivotCacheId="16809731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_FAM_MEMBERS" xr10:uid="{17AF3E54-CB72-4B7C-B37E-946AB39B7CC6}" sourceName="CNT_FAM_MEMBERS">
  <pivotTables>
    <pivotTable tabId="9" name="PivotTable6"/>
  </pivotTables>
  <data>
    <tabular pivotCacheId="168097311">
      <items count="7">
        <i x="0" s="1"/>
        <i x="1" s="1"/>
        <i x="3" s="1"/>
        <i x="2" s="1"/>
        <i x="4" s="1"/>
        <i x="5"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INCOME_TYPE" xr10:uid="{D7CA03BB-E476-4D87-95B6-539798CF91AD}" sourceName="NAME_INCOME_TYPE">
  <pivotTables>
    <pivotTable tabId="9" name="PivotTable6"/>
  </pivotTables>
  <data>
    <tabular pivotCacheId="168097311">
      <items count="5">
        <i x="1" s="1"/>
        <i x="0" s="1"/>
        <i x="3" s="1"/>
        <i x="4"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HOUSING_TYPE" xr10:uid="{2DB8F5D2-A34A-4B4F-AD58-F8C3A82ECB70}" sourceName="NAME_HOUSING_TYPE">
  <pivotTables>
    <pivotTable tabId="5" name="PivotTable2"/>
  </pivotTables>
  <data>
    <tabular pivotCacheId="168097311">
      <items count="6">
        <i x="3" s="1"/>
        <i x="0" s="1"/>
        <i x="4" s="1"/>
        <i x="5"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FAMILY_STATUS" xr10:uid="{60BC7A59-E6FB-4218-9B91-10D96FF88765}" sourceName="NAME_FAMILY_STATUS">
  <pivotTables>
    <pivotTable tabId="10" name="PivotTable7"/>
  </pivotTables>
  <data>
    <tabular pivotCacheId="168097311">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DE_GENDER 1" xr10:uid="{56D11EE4-6156-4C9D-AA3B-39D6B100E006}" cache="Slicer_CODE_GENDER" caption="CODE_GENDER" rowHeight="234950"/>
  <slicer name="AGE_RANGE" xr10:uid="{B8EEFE0A-57B8-447B-997E-C4375E4E6DDF}" cache="Slicer_AGE_RANGE" caption="AGE_RANGE" rowHeight="234950"/>
  <slicer name="NAME_EDUCATION_TYPE" xr10:uid="{FAEB6FD4-E21F-42A5-8DEE-0A912E3FC09A}" cache="Slicer_NAME_EDUCATION_TYPE" caption="NAME_EDUCATION_TYPE" rowHeight="234950"/>
  <slicer name="EMPLOYMENT_STATUS" xr10:uid="{0513759F-083D-464F-936B-126452FC8749}" cache="Slicer_EMPLOYMENT_STATUS" caption="EMPLOYMENT_STATUS" rowHeight="234950"/>
  <slicer name="CNT_FAM_MEMBERS" xr10:uid="{F109F1CA-29A5-41F8-BDE7-7233BFE84574}" cache="Slicer_CNT_FAM_MEMBERS" caption="CNT_FAM_MEMBERS" rowHeight="234950"/>
  <slicer name="NAME_INCOME_TYPE" xr10:uid="{DED03C8D-3E90-4AF6-83EC-1D630EBD2427}" cache="Slicer_NAME_INCOME_TYPE" caption="NAME_INCOME_TYPE" rowHeight="234950"/>
  <slicer name="NAME_HOUSING_TYPE" xr10:uid="{7A4006D0-6013-4DE7-BC5A-680FFBD7270C}" cache="Slicer_NAME_HOUSING_TYPE" caption="NAME_HOUSING_TYPE" rowHeight="234950"/>
  <slicer name="NAME_FAMILY_STATUS" xr10:uid="{AEFFE194-4EAA-44DE-A3CF-704100051843}" cache="Slicer_NAME_FAMILY_STATUS" caption="NAME_FAMILY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8E4087-6CBD-446D-BCE2-363B800AA188}" name="Table" displayName="Table" ref="A1:W4583" totalsRowShown="0">
  <autoFilter ref="A1:W4583" xr:uid="{2C8E4087-6CBD-446D-BCE2-363B800AA188}"/>
  <tableColumns count="23">
    <tableColumn id="1" xr3:uid="{4CB8ACCA-883B-487A-86A5-B347E681590F}" name="ID"/>
    <tableColumn id="2" xr3:uid="{8733B59E-78E8-49BD-A413-FA79D3D77FB1}" name="CODE_GENDER"/>
    <tableColumn id="3" xr3:uid="{30D6B255-B8A1-4328-ABE1-054AA35111B7}" name="FLAG_OWN_CAR"/>
    <tableColumn id="4" xr3:uid="{EB0F2E86-C9CA-4778-99C4-1648357642F9}" name="FLAG_OWN_REALTY"/>
    <tableColumn id="5" xr3:uid="{ACBE3F2D-B1C7-43A6-B993-150EBC1685A1}" name="CNT_CHILDREN"/>
    <tableColumn id="6" xr3:uid="{AF6937F7-34FD-4F2B-A389-AFBFD555C64E}" name="AMT_INCOME_TOTAL"/>
    <tableColumn id="7" xr3:uid="{FE3A7C8F-AFCB-4C7C-9D20-A9D65E6358FE}" name="NAME_INCOME_TYPE"/>
    <tableColumn id="8" xr3:uid="{F8C59768-5D17-4586-A18A-E19723BE42A7}" name="NAME_EDUCATION_TYPE"/>
    <tableColumn id="9" xr3:uid="{2D4E9222-3130-4A82-94F2-A596A5D99E5C}" name="NAME_FAMILY_STATUS"/>
    <tableColumn id="10" xr3:uid="{83F2EC00-600E-4468-8BE7-9FCB7F81093E}" name="NAME_HOUSING_TYPE"/>
    <tableColumn id="11" xr3:uid="{F67331F8-DFEC-449F-8CDA-76E6831C9F7B}" name="DATE_OF_BIRTH" dataDxfId="4">
      <calculatedColumnFormula>TODAY()+($L2)</calculatedColumnFormula>
    </tableColumn>
    <tableColumn id="12" xr3:uid="{F8D69C7B-1170-4048-90FA-09BAEEC6A3E7}" name="DAYS_BIRTH"/>
    <tableColumn id="13" xr3:uid="{3C656AA4-FA26-40AD-847E-1695753B637C}" name="AGE" dataDxfId="3">
      <calculatedColumnFormula>(TODAY()-K2)/365.25</calculatedColumnFormula>
    </tableColumn>
    <tableColumn id="14" xr3:uid="{5E1817C1-4004-4DF8-B753-999D9D447B49}" name="AGE_RANGE" dataDxfId="2">
      <calculatedColumnFormula>VLOOKUP(Data!M2,temp!$B$3:$C$9,2,1)</calculatedColumnFormula>
    </tableColumn>
    <tableColumn id="15" xr3:uid="{C5A1129B-ACD0-4514-8E94-30912E2AB516}" name="DAYS_EMPLOYED"/>
    <tableColumn id="16" xr3:uid="{B8C765D9-6829-4AA3-A482-35474A8344A7}" name="YEARS_EMPLOYED" dataDxfId="1">
      <calculatedColumnFormula>IF(O2&lt;=0,ABS(O2)/365.25,0)</calculatedColumnFormula>
    </tableColumn>
    <tableColumn id="17" xr3:uid="{F187A777-A43F-40A2-B92F-8B82837DBC1D}" name="EMPLOYMENT_STATUS" dataDxfId="0">
      <calculatedColumnFormula>IF($O2&gt;0,"Unemployed","Employed")</calculatedColumnFormula>
    </tableColumn>
    <tableColumn id="18" xr3:uid="{7CB20412-851B-4AF0-B62B-ECF8010157CC}" name="FLAG_MOBIL"/>
    <tableColumn id="19" xr3:uid="{010ACB87-E258-4770-AA7E-6794A4ABB7E8}" name="FLAG_WORK_PHONE"/>
    <tableColumn id="20" xr3:uid="{C8316970-8A07-4E04-B759-AF8A6936CB0D}" name="FLAG_PHONE"/>
    <tableColumn id="21" xr3:uid="{F0C0004B-2E57-48C0-BACC-F2686C5E0109}" name="FLAG_EMAIL"/>
    <tableColumn id="22" xr3:uid="{304D378D-3CAE-44A1-8B18-60EF96F3CC52}" name="OCCUPATION_TYPE"/>
    <tableColumn id="23" xr3:uid="{E5BDC4A0-8AAF-4F21-9A7F-F6EF42A291A0}" name="CNT_FAM_MEMBERS"/>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1.xml"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ivotTable" Target="../pivotTables/pivotTable2.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ivotTable" Target="../pivotTables/pivotTable3.xml"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ivotTable" Target="../pivotTables/pivotTable4.xml"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ivotTable" Target="../pivotTables/pivotTable5.xml" /></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ivotTable" Target="../pivotTables/pivotTable6.xml" /></Relationships>
</file>

<file path=xl/worksheets/_rels/sheet10.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A692-41DB-4BC2-B35B-5468466ECEAC}">
  <dimension ref="A1:W4583"/>
  <sheetViews>
    <sheetView topLeftCell="G1" zoomScale="74" workbookViewId="0">
      <selection activeCell="P2" sqref="P2"/>
    </sheetView>
  </sheetViews>
  <sheetFormatPr defaultRowHeight="15" x14ac:dyDescent="0.2"/>
  <cols>
    <col min="1" max="1" width="7.93359375" bestFit="1" customWidth="1"/>
    <col min="2" max="2" width="15.73828125" customWidth="1"/>
    <col min="3" max="3" width="17.08203125" customWidth="1"/>
    <col min="4" max="4" width="20.04296875" customWidth="1"/>
    <col min="5" max="5" width="16.140625" customWidth="1"/>
    <col min="6" max="7" width="21.38671875" customWidth="1"/>
    <col min="8" max="8" width="25.828125" bestFit="1" customWidth="1"/>
    <col min="9" max="9" width="22.734375" customWidth="1"/>
    <col min="10" max="10" width="22.328125" customWidth="1"/>
    <col min="11" max="11" width="20.17578125" style="5" customWidth="1"/>
    <col min="12" max="12" width="13.31640625" customWidth="1"/>
    <col min="13" max="13" width="11.1640625" style="5" customWidth="1"/>
    <col min="14" max="14" width="13.1796875" style="5" customWidth="1"/>
    <col min="15" max="15" width="17.484375" customWidth="1"/>
    <col min="16" max="16" width="18.4296875" style="5" customWidth="1"/>
    <col min="17" max="17" width="22.46484375" style="5" customWidth="1"/>
    <col min="18" max="18" width="13.71875" customWidth="1"/>
    <col min="19" max="19" width="20.58203125" customWidth="1"/>
    <col min="20" max="20" width="14.2578125" customWidth="1"/>
    <col min="21" max="21" width="13.44921875" customWidth="1"/>
    <col min="22" max="22" width="19.50390625" customWidth="1"/>
    <col min="23" max="23" width="20.84765625" customWidth="1"/>
  </cols>
  <sheetData>
    <row r="1" spans="1:23" x14ac:dyDescent="0.2">
      <c r="A1" t="s">
        <v>0</v>
      </c>
      <c r="B1" t="s">
        <v>1</v>
      </c>
      <c r="C1" t="s">
        <v>2</v>
      </c>
      <c r="D1" t="s">
        <v>3</v>
      </c>
      <c r="E1" t="s">
        <v>4</v>
      </c>
      <c r="F1" t="s">
        <v>5</v>
      </c>
      <c r="G1" t="s">
        <v>6</v>
      </c>
      <c r="H1" t="s">
        <v>7</v>
      </c>
      <c r="I1" t="s">
        <v>8</v>
      </c>
      <c r="J1" t="s">
        <v>9</v>
      </c>
      <c r="K1" s="5" t="s">
        <v>61</v>
      </c>
      <c r="L1" t="s">
        <v>10</v>
      </c>
      <c r="M1" s="5" t="s">
        <v>62</v>
      </c>
      <c r="N1" s="5" t="s">
        <v>63</v>
      </c>
      <c r="O1" t="s">
        <v>11</v>
      </c>
      <c r="P1" s="5" t="s">
        <v>64</v>
      </c>
      <c r="Q1" s="5" t="s">
        <v>65</v>
      </c>
      <c r="R1" t="s">
        <v>12</v>
      </c>
      <c r="S1" t="s">
        <v>13</v>
      </c>
      <c r="T1" t="s">
        <v>14</v>
      </c>
      <c r="U1" t="s">
        <v>15</v>
      </c>
      <c r="V1" t="s">
        <v>16</v>
      </c>
      <c r="W1" t="s">
        <v>17</v>
      </c>
    </row>
    <row r="2" spans="1:23" x14ac:dyDescent="0.2">
      <c r="A2">
        <v>5008814</v>
      </c>
      <c r="B2" t="s">
        <v>18</v>
      </c>
      <c r="C2" t="s">
        <v>19</v>
      </c>
      <c r="D2" t="s">
        <v>20</v>
      </c>
      <c r="E2">
        <v>0</v>
      </c>
      <c r="F2">
        <v>283500</v>
      </c>
      <c r="G2" t="s">
        <v>21</v>
      </c>
      <c r="H2" t="s">
        <v>22</v>
      </c>
      <c r="I2" t="s">
        <v>23</v>
      </c>
      <c r="J2" t="s">
        <v>24</v>
      </c>
      <c r="K2" s="6">
        <f ca="1">TODAY()+($L2)</f>
        <v>23297</v>
      </c>
      <c r="L2">
        <v>-22464</v>
      </c>
      <c r="M2" s="7">
        <f ca="1">(TODAY()-K2)/365.25</f>
        <v>61.503080082135526</v>
      </c>
      <c r="N2" s="5" t="str">
        <f ca="1">VLOOKUP(Data!M2,temp!$B$3:$C$9,2,1)</f>
        <v>60-70</v>
      </c>
      <c r="O2">
        <v>365243</v>
      </c>
      <c r="P2" s="5">
        <f>IF(O2&lt;=0,ABS(O2)/365.25,0)</f>
        <v>0</v>
      </c>
      <c r="Q2" s="5" t="str">
        <f>IF($O2&gt;0,"Unemployed","Employed")</f>
        <v>Unemployed</v>
      </c>
      <c r="R2">
        <v>1</v>
      </c>
      <c r="S2">
        <v>0</v>
      </c>
      <c r="T2">
        <v>0</v>
      </c>
      <c r="U2">
        <v>0</v>
      </c>
      <c r="W2">
        <v>1</v>
      </c>
    </row>
    <row r="3" spans="1:23" x14ac:dyDescent="0.2">
      <c r="A3">
        <v>5008824</v>
      </c>
      <c r="B3" t="s">
        <v>25</v>
      </c>
      <c r="C3" t="s">
        <v>20</v>
      </c>
      <c r="D3" t="s">
        <v>20</v>
      </c>
      <c r="E3">
        <v>0</v>
      </c>
      <c r="F3">
        <v>135000</v>
      </c>
      <c r="G3" t="s">
        <v>26</v>
      </c>
      <c r="H3" t="s">
        <v>27</v>
      </c>
      <c r="I3" t="s">
        <v>28</v>
      </c>
      <c r="J3" t="s">
        <v>24</v>
      </c>
      <c r="K3" s="6">
        <f t="shared" ref="K3:K7" ca="1" si="0">TODAY()+($L3)</f>
        <v>27983</v>
      </c>
      <c r="L3">
        <v>-17778</v>
      </c>
      <c r="M3" s="7">
        <f t="shared" ref="M3:M7" ca="1" si="1">(TODAY()-K3)/365.25</f>
        <v>48.673511293634498</v>
      </c>
      <c r="N3" s="5" t="str">
        <f ca="1">VLOOKUP(Data!M3,temp!$B$3:$C$9,2,1)</f>
        <v>40-50</v>
      </c>
      <c r="O3">
        <v>-1194</v>
      </c>
      <c r="P3" s="8">
        <f t="shared" ref="P3:P7" si="2">IF(O3&lt;=0,ABS(O3)/365.25,0)</f>
        <v>3.268993839835729</v>
      </c>
      <c r="Q3" s="5" t="str">
        <f t="shared" ref="Q3:Q7" si="3">IF($O3&gt;0,"Unemployed","Employed")</f>
        <v>Employed</v>
      </c>
      <c r="R3">
        <v>1</v>
      </c>
      <c r="S3">
        <v>0</v>
      </c>
      <c r="T3">
        <v>0</v>
      </c>
      <c r="U3">
        <v>0</v>
      </c>
      <c r="V3" t="s">
        <v>29</v>
      </c>
      <c r="W3">
        <v>2</v>
      </c>
    </row>
    <row r="4" spans="1:23" x14ac:dyDescent="0.2">
      <c r="A4">
        <v>5008847</v>
      </c>
      <c r="B4" t="s">
        <v>25</v>
      </c>
      <c r="C4" t="s">
        <v>20</v>
      </c>
      <c r="D4" t="s">
        <v>20</v>
      </c>
      <c r="E4">
        <v>0</v>
      </c>
      <c r="F4">
        <v>112500</v>
      </c>
      <c r="G4" t="s">
        <v>26</v>
      </c>
      <c r="H4" t="s">
        <v>27</v>
      </c>
      <c r="I4" t="s">
        <v>28</v>
      </c>
      <c r="J4" t="s">
        <v>24</v>
      </c>
      <c r="K4" s="6">
        <f t="shared" ca="1" si="0"/>
        <v>25259</v>
      </c>
      <c r="L4">
        <v>-20502</v>
      </c>
      <c r="M4" s="7">
        <f t="shared" ca="1" si="1"/>
        <v>56.131416837782339</v>
      </c>
      <c r="N4" s="5" t="str">
        <f ca="1">VLOOKUP(Data!M4,temp!$B$3:$C$9,2,1)</f>
        <v>50-60</v>
      </c>
      <c r="O4">
        <v>-4450</v>
      </c>
      <c r="P4" s="8">
        <f t="shared" si="2"/>
        <v>12.183436002737851</v>
      </c>
      <c r="Q4" s="5" t="str">
        <f t="shared" si="3"/>
        <v>Employed</v>
      </c>
      <c r="R4">
        <v>1</v>
      </c>
      <c r="S4">
        <v>0</v>
      </c>
      <c r="T4">
        <v>1</v>
      </c>
      <c r="U4">
        <v>0</v>
      </c>
      <c r="V4" t="s">
        <v>30</v>
      </c>
      <c r="W4">
        <v>2</v>
      </c>
    </row>
    <row r="5" spans="1:23" x14ac:dyDescent="0.2">
      <c r="A5">
        <v>5008854</v>
      </c>
      <c r="B5" t="s">
        <v>18</v>
      </c>
      <c r="C5" t="s">
        <v>20</v>
      </c>
      <c r="D5" t="s">
        <v>20</v>
      </c>
      <c r="E5">
        <v>2</v>
      </c>
      <c r="F5">
        <v>135000</v>
      </c>
      <c r="G5" t="s">
        <v>31</v>
      </c>
      <c r="H5" t="s">
        <v>27</v>
      </c>
      <c r="I5" t="s">
        <v>28</v>
      </c>
      <c r="J5" t="s">
        <v>24</v>
      </c>
      <c r="K5" s="6">
        <f t="shared" ca="1" si="0"/>
        <v>30000</v>
      </c>
      <c r="L5">
        <v>-15761</v>
      </c>
      <c r="M5" s="7">
        <f t="shared" ca="1" si="1"/>
        <v>43.15126625598905</v>
      </c>
      <c r="N5" s="5" t="str">
        <f ca="1">VLOOKUP(Data!M5,temp!$B$3:$C$9,2,1)</f>
        <v>40-50</v>
      </c>
      <c r="O5">
        <v>-3173</v>
      </c>
      <c r="P5" s="8">
        <f t="shared" si="2"/>
        <v>8.687200547570157</v>
      </c>
      <c r="Q5" s="5" t="str">
        <f t="shared" si="3"/>
        <v>Employed</v>
      </c>
      <c r="R5">
        <v>1</v>
      </c>
      <c r="S5">
        <v>0</v>
      </c>
      <c r="T5">
        <v>0</v>
      </c>
      <c r="U5">
        <v>0</v>
      </c>
      <c r="V5" t="s">
        <v>29</v>
      </c>
      <c r="W5">
        <v>4</v>
      </c>
    </row>
    <row r="6" spans="1:23" x14ac:dyDescent="0.2">
      <c r="A6">
        <v>5008856</v>
      </c>
      <c r="B6" t="s">
        <v>18</v>
      </c>
      <c r="C6" t="s">
        <v>20</v>
      </c>
      <c r="D6" t="s">
        <v>20</v>
      </c>
      <c r="E6">
        <v>2</v>
      </c>
      <c r="F6">
        <v>135000</v>
      </c>
      <c r="G6" t="s">
        <v>31</v>
      </c>
      <c r="H6" t="s">
        <v>27</v>
      </c>
      <c r="I6" t="s">
        <v>28</v>
      </c>
      <c r="J6" t="s">
        <v>24</v>
      </c>
      <c r="K6" s="6">
        <f t="shared" ca="1" si="0"/>
        <v>30000</v>
      </c>
      <c r="L6">
        <v>-15761</v>
      </c>
      <c r="M6" s="7">
        <f t="shared" ca="1" si="1"/>
        <v>43.15126625598905</v>
      </c>
      <c r="N6" s="5" t="str">
        <f ca="1">VLOOKUP(Data!M6,temp!$B$3:$C$9,2,1)</f>
        <v>40-50</v>
      </c>
      <c r="O6">
        <v>-3173</v>
      </c>
      <c r="P6" s="8">
        <f t="shared" si="2"/>
        <v>8.687200547570157</v>
      </c>
      <c r="Q6" s="5" t="str">
        <f t="shared" si="3"/>
        <v>Employed</v>
      </c>
      <c r="R6">
        <v>1</v>
      </c>
      <c r="S6">
        <v>0</v>
      </c>
      <c r="T6">
        <v>0</v>
      </c>
      <c r="U6">
        <v>0</v>
      </c>
      <c r="V6" t="s">
        <v>29</v>
      </c>
      <c r="W6">
        <v>4</v>
      </c>
    </row>
    <row r="7" spans="1:23" x14ac:dyDescent="0.2">
      <c r="A7">
        <v>5008863</v>
      </c>
      <c r="B7" t="s">
        <v>18</v>
      </c>
      <c r="C7" t="s">
        <v>20</v>
      </c>
      <c r="D7" t="s">
        <v>20</v>
      </c>
      <c r="E7">
        <v>2</v>
      </c>
      <c r="F7">
        <v>135000</v>
      </c>
      <c r="G7" t="s">
        <v>31</v>
      </c>
      <c r="H7" t="s">
        <v>27</v>
      </c>
      <c r="I7" t="s">
        <v>28</v>
      </c>
      <c r="J7" t="s">
        <v>24</v>
      </c>
      <c r="K7" s="6">
        <f t="shared" ca="1" si="0"/>
        <v>30000</v>
      </c>
      <c r="L7">
        <v>-15761</v>
      </c>
      <c r="M7" s="7">
        <f t="shared" ca="1" si="1"/>
        <v>43.15126625598905</v>
      </c>
      <c r="N7" s="5" t="str">
        <f ca="1">VLOOKUP(Data!M7,temp!$B$3:$C$9,2,1)</f>
        <v>40-50</v>
      </c>
      <c r="O7">
        <v>-3173</v>
      </c>
      <c r="P7" s="8">
        <f t="shared" si="2"/>
        <v>8.687200547570157</v>
      </c>
      <c r="Q7" s="5" t="str">
        <f t="shared" si="3"/>
        <v>Employed</v>
      </c>
      <c r="R7">
        <v>1</v>
      </c>
      <c r="S7">
        <v>0</v>
      </c>
      <c r="T7">
        <v>0</v>
      </c>
      <c r="U7">
        <v>0</v>
      </c>
      <c r="V7" t="s">
        <v>29</v>
      </c>
      <c r="W7">
        <v>4</v>
      </c>
    </row>
    <row r="8" spans="1:23" x14ac:dyDescent="0.2">
      <c r="A8">
        <v>5008865</v>
      </c>
      <c r="B8" t="s">
        <v>18</v>
      </c>
      <c r="C8" t="s">
        <v>20</v>
      </c>
      <c r="D8" t="s">
        <v>20</v>
      </c>
      <c r="E8">
        <v>2</v>
      </c>
      <c r="F8">
        <v>135000</v>
      </c>
      <c r="G8" t="s">
        <v>31</v>
      </c>
      <c r="H8" t="s">
        <v>27</v>
      </c>
      <c r="I8" t="s">
        <v>28</v>
      </c>
      <c r="J8" t="s">
        <v>24</v>
      </c>
      <c r="K8" s="6">
        <f t="shared" ref="K8:K71" ca="1" si="4">TODAY()+($L8)</f>
        <v>30000</v>
      </c>
      <c r="L8">
        <v>-15761</v>
      </c>
      <c r="M8" s="7">
        <f t="shared" ref="M8:M39" ca="1" si="5">(TODAY()-K8)/365.25</f>
        <v>43.15126625598905</v>
      </c>
      <c r="N8" s="5" t="str">
        <f ca="1">VLOOKUP(Data!M8,temp!$B$3:$C$9,2,1)</f>
        <v>40-50</v>
      </c>
      <c r="O8">
        <v>-3173</v>
      </c>
      <c r="P8" s="8">
        <f t="shared" ref="P8:P39" si="6">IF(O8&lt;=0,ABS(O8)/365.25,0)</f>
        <v>8.687200547570157</v>
      </c>
      <c r="Q8" s="5" t="str">
        <f t="shared" ref="Q8:Q71" si="7">IF($O8&gt;0,"Unemployed","Employed")</f>
        <v>Employed</v>
      </c>
      <c r="R8">
        <v>1</v>
      </c>
      <c r="S8">
        <v>0</v>
      </c>
      <c r="T8">
        <v>0</v>
      </c>
      <c r="U8">
        <v>0</v>
      </c>
      <c r="V8" t="s">
        <v>29</v>
      </c>
      <c r="W8">
        <v>4</v>
      </c>
    </row>
    <row r="9" spans="1:23" x14ac:dyDescent="0.2">
      <c r="A9">
        <v>5008875</v>
      </c>
      <c r="B9" t="s">
        <v>18</v>
      </c>
      <c r="C9" t="s">
        <v>19</v>
      </c>
      <c r="D9" t="s">
        <v>20</v>
      </c>
      <c r="E9">
        <v>2</v>
      </c>
      <c r="F9">
        <v>126000</v>
      </c>
      <c r="G9" t="s">
        <v>26</v>
      </c>
      <c r="H9" t="s">
        <v>22</v>
      </c>
      <c r="I9" t="s">
        <v>28</v>
      </c>
      <c r="J9" t="s">
        <v>24</v>
      </c>
      <c r="K9" s="6">
        <f t="shared" ca="1" si="4"/>
        <v>33350</v>
      </c>
      <c r="L9">
        <v>-12411</v>
      </c>
      <c r="M9" s="7">
        <f t="shared" ca="1" si="5"/>
        <v>33.979466119096507</v>
      </c>
      <c r="N9" s="5" t="str">
        <f ca="1">VLOOKUP(Data!M9,temp!$B$3:$C$9,2,1)</f>
        <v>30-40</v>
      </c>
      <c r="O9">
        <v>-1773</v>
      </c>
      <c r="P9" s="8">
        <f t="shared" si="6"/>
        <v>4.8542094455852158</v>
      </c>
      <c r="Q9" s="5" t="str">
        <f t="shared" si="7"/>
        <v>Employed</v>
      </c>
      <c r="R9">
        <v>1</v>
      </c>
      <c r="S9">
        <v>0</v>
      </c>
      <c r="T9">
        <v>0</v>
      </c>
      <c r="U9">
        <v>1</v>
      </c>
      <c r="V9" t="s">
        <v>32</v>
      </c>
      <c r="W9">
        <v>4</v>
      </c>
    </row>
    <row r="10" spans="1:23" x14ac:dyDescent="0.2">
      <c r="A10">
        <v>5008877</v>
      </c>
      <c r="B10" t="s">
        <v>18</v>
      </c>
      <c r="C10" t="s">
        <v>19</v>
      </c>
      <c r="D10" t="s">
        <v>20</v>
      </c>
      <c r="E10">
        <v>2</v>
      </c>
      <c r="F10">
        <v>126000</v>
      </c>
      <c r="G10" t="s">
        <v>26</v>
      </c>
      <c r="H10" t="s">
        <v>22</v>
      </c>
      <c r="I10" t="s">
        <v>28</v>
      </c>
      <c r="J10" t="s">
        <v>24</v>
      </c>
      <c r="K10" s="6">
        <f t="shared" ca="1" si="4"/>
        <v>33350</v>
      </c>
      <c r="L10">
        <v>-12411</v>
      </c>
      <c r="M10" s="7">
        <f t="shared" ca="1" si="5"/>
        <v>33.979466119096507</v>
      </c>
      <c r="N10" s="5" t="str">
        <f ca="1">VLOOKUP(Data!M10,temp!$B$3:$C$9,2,1)</f>
        <v>30-40</v>
      </c>
      <c r="O10">
        <v>-1773</v>
      </c>
      <c r="P10" s="8">
        <f t="shared" si="6"/>
        <v>4.8542094455852158</v>
      </c>
      <c r="Q10" s="5" t="str">
        <f t="shared" si="7"/>
        <v>Employed</v>
      </c>
      <c r="R10">
        <v>1</v>
      </c>
      <c r="S10">
        <v>0</v>
      </c>
      <c r="T10">
        <v>0</v>
      </c>
      <c r="U10">
        <v>1</v>
      </c>
      <c r="V10" t="s">
        <v>32</v>
      </c>
      <c r="W10">
        <v>4</v>
      </c>
    </row>
    <row r="11" spans="1:23" x14ac:dyDescent="0.2">
      <c r="A11">
        <v>5008892</v>
      </c>
      <c r="B11" t="s">
        <v>18</v>
      </c>
      <c r="C11" t="s">
        <v>19</v>
      </c>
      <c r="D11" t="s">
        <v>20</v>
      </c>
      <c r="E11">
        <v>0</v>
      </c>
      <c r="F11">
        <v>297000</v>
      </c>
      <c r="G11" t="s">
        <v>26</v>
      </c>
      <c r="H11" t="s">
        <v>27</v>
      </c>
      <c r="I11" t="s">
        <v>33</v>
      </c>
      <c r="J11" t="s">
        <v>34</v>
      </c>
      <c r="K11" s="6">
        <f t="shared" ca="1" si="4"/>
        <v>30242</v>
      </c>
      <c r="L11">
        <v>-15519</v>
      </c>
      <c r="M11" s="7">
        <f t="shared" ca="1" si="5"/>
        <v>42.488706365503077</v>
      </c>
      <c r="N11" s="5" t="str">
        <f ca="1">VLOOKUP(Data!M11,temp!$B$3:$C$9,2,1)</f>
        <v>40-50</v>
      </c>
      <c r="O11">
        <v>-3234</v>
      </c>
      <c r="P11" s="8">
        <f t="shared" si="6"/>
        <v>8.8542094455852158</v>
      </c>
      <c r="Q11" s="5" t="str">
        <f t="shared" si="7"/>
        <v>Employed</v>
      </c>
      <c r="R11">
        <v>1</v>
      </c>
      <c r="S11">
        <v>0</v>
      </c>
      <c r="T11">
        <v>0</v>
      </c>
      <c r="U11">
        <v>0</v>
      </c>
      <c r="V11" t="s">
        <v>29</v>
      </c>
      <c r="W11">
        <v>1</v>
      </c>
    </row>
    <row r="12" spans="1:23" x14ac:dyDescent="0.2">
      <c r="A12">
        <v>5008893</v>
      </c>
      <c r="B12" t="s">
        <v>18</v>
      </c>
      <c r="C12" t="s">
        <v>19</v>
      </c>
      <c r="D12" t="s">
        <v>20</v>
      </c>
      <c r="E12">
        <v>0</v>
      </c>
      <c r="F12">
        <v>297000</v>
      </c>
      <c r="G12" t="s">
        <v>26</v>
      </c>
      <c r="H12" t="s">
        <v>27</v>
      </c>
      <c r="I12" t="s">
        <v>33</v>
      </c>
      <c r="J12" t="s">
        <v>34</v>
      </c>
      <c r="K12" s="6">
        <f t="shared" ca="1" si="4"/>
        <v>30242</v>
      </c>
      <c r="L12">
        <v>-15519</v>
      </c>
      <c r="M12" s="7">
        <f t="shared" ca="1" si="5"/>
        <v>42.488706365503077</v>
      </c>
      <c r="N12" s="5" t="str">
        <f ca="1">VLOOKUP(Data!M12,temp!$B$3:$C$9,2,1)</f>
        <v>40-50</v>
      </c>
      <c r="O12">
        <v>-3234</v>
      </c>
      <c r="P12" s="8">
        <f t="shared" si="6"/>
        <v>8.8542094455852158</v>
      </c>
      <c r="Q12" s="5" t="str">
        <f t="shared" si="7"/>
        <v>Employed</v>
      </c>
      <c r="R12">
        <v>1</v>
      </c>
      <c r="S12">
        <v>0</v>
      </c>
      <c r="T12">
        <v>0</v>
      </c>
      <c r="U12">
        <v>0</v>
      </c>
      <c r="V12" t="s">
        <v>29</v>
      </c>
      <c r="W12">
        <v>1</v>
      </c>
    </row>
    <row r="13" spans="1:23" x14ac:dyDescent="0.2">
      <c r="A13">
        <v>5008896</v>
      </c>
      <c r="B13" t="s">
        <v>18</v>
      </c>
      <c r="C13" t="s">
        <v>19</v>
      </c>
      <c r="D13" t="s">
        <v>20</v>
      </c>
      <c r="E13">
        <v>0</v>
      </c>
      <c r="F13">
        <v>297000</v>
      </c>
      <c r="G13" t="s">
        <v>26</v>
      </c>
      <c r="H13" t="s">
        <v>27</v>
      </c>
      <c r="I13" t="s">
        <v>33</v>
      </c>
      <c r="J13" t="s">
        <v>34</v>
      </c>
      <c r="K13" s="6">
        <f t="shared" ca="1" si="4"/>
        <v>30242</v>
      </c>
      <c r="L13">
        <v>-15519</v>
      </c>
      <c r="M13" s="7">
        <f t="shared" ca="1" si="5"/>
        <v>42.488706365503077</v>
      </c>
      <c r="N13" s="5" t="str">
        <f ca="1">VLOOKUP(Data!M13,temp!$B$3:$C$9,2,1)</f>
        <v>40-50</v>
      </c>
      <c r="O13">
        <v>-3234</v>
      </c>
      <c r="P13" s="8">
        <f t="shared" si="6"/>
        <v>8.8542094455852158</v>
      </c>
      <c r="Q13" s="5" t="str">
        <f t="shared" si="7"/>
        <v>Employed</v>
      </c>
      <c r="R13">
        <v>1</v>
      </c>
      <c r="S13">
        <v>0</v>
      </c>
      <c r="T13">
        <v>0</v>
      </c>
      <c r="U13">
        <v>0</v>
      </c>
      <c r="V13" t="s">
        <v>29</v>
      </c>
      <c r="W13">
        <v>1</v>
      </c>
    </row>
    <row r="14" spans="1:23" x14ac:dyDescent="0.2">
      <c r="A14">
        <v>5008900</v>
      </c>
      <c r="B14" t="s">
        <v>18</v>
      </c>
      <c r="C14" t="s">
        <v>19</v>
      </c>
      <c r="D14" t="s">
        <v>20</v>
      </c>
      <c r="E14">
        <v>0</v>
      </c>
      <c r="F14">
        <v>297000</v>
      </c>
      <c r="G14" t="s">
        <v>26</v>
      </c>
      <c r="H14" t="s">
        <v>27</v>
      </c>
      <c r="I14" t="s">
        <v>33</v>
      </c>
      <c r="J14" t="s">
        <v>34</v>
      </c>
      <c r="K14" s="6">
        <f t="shared" ca="1" si="4"/>
        <v>30242</v>
      </c>
      <c r="L14">
        <v>-15519</v>
      </c>
      <c r="M14" s="7">
        <f t="shared" ca="1" si="5"/>
        <v>42.488706365503077</v>
      </c>
      <c r="N14" s="5" t="str">
        <f ca="1">VLOOKUP(Data!M14,temp!$B$3:$C$9,2,1)</f>
        <v>40-50</v>
      </c>
      <c r="O14">
        <v>-3234</v>
      </c>
      <c r="P14" s="8">
        <f t="shared" si="6"/>
        <v>8.8542094455852158</v>
      </c>
      <c r="Q14" s="5" t="str">
        <f t="shared" si="7"/>
        <v>Employed</v>
      </c>
      <c r="R14">
        <v>1</v>
      </c>
      <c r="S14">
        <v>0</v>
      </c>
      <c r="T14">
        <v>0</v>
      </c>
      <c r="U14">
        <v>0</v>
      </c>
      <c r="V14" t="s">
        <v>29</v>
      </c>
      <c r="W14">
        <v>1</v>
      </c>
    </row>
    <row r="15" spans="1:23" x14ac:dyDescent="0.2">
      <c r="A15">
        <v>5008902</v>
      </c>
      <c r="B15" t="s">
        <v>18</v>
      </c>
      <c r="C15" t="s">
        <v>19</v>
      </c>
      <c r="D15" t="s">
        <v>20</v>
      </c>
      <c r="E15">
        <v>0</v>
      </c>
      <c r="F15">
        <v>297000</v>
      </c>
      <c r="G15" t="s">
        <v>26</v>
      </c>
      <c r="H15" t="s">
        <v>27</v>
      </c>
      <c r="I15" t="s">
        <v>33</v>
      </c>
      <c r="J15" t="s">
        <v>34</v>
      </c>
      <c r="K15" s="6">
        <f t="shared" ca="1" si="4"/>
        <v>30242</v>
      </c>
      <c r="L15">
        <v>-15519</v>
      </c>
      <c r="M15" s="7">
        <f t="shared" ca="1" si="5"/>
        <v>42.488706365503077</v>
      </c>
      <c r="N15" s="5" t="str">
        <f ca="1">VLOOKUP(Data!M15,temp!$B$3:$C$9,2,1)</f>
        <v>40-50</v>
      </c>
      <c r="O15">
        <v>-3234</v>
      </c>
      <c r="P15" s="8">
        <f t="shared" si="6"/>
        <v>8.8542094455852158</v>
      </c>
      <c r="Q15" s="5" t="str">
        <f t="shared" si="7"/>
        <v>Employed</v>
      </c>
      <c r="R15">
        <v>1</v>
      </c>
      <c r="S15">
        <v>0</v>
      </c>
      <c r="T15">
        <v>0</v>
      </c>
      <c r="U15">
        <v>0</v>
      </c>
      <c r="V15" t="s">
        <v>29</v>
      </c>
      <c r="W15">
        <v>1</v>
      </c>
    </row>
    <row r="16" spans="1:23" x14ac:dyDescent="0.2">
      <c r="A16">
        <v>5008904</v>
      </c>
      <c r="B16" t="s">
        <v>18</v>
      </c>
      <c r="C16" t="s">
        <v>19</v>
      </c>
      <c r="D16" t="s">
        <v>20</v>
      </c>
      <c r="E16">
        <v>0</v>
      </c>
      <c r="F16">
        <v>297000</v>
      </c>
      <c r="G16" t="s">
        <v>26</v>
      </c>
      <c r="H16" t="s">
        <v>27</v>
      </c>
      <c r="I16" t="s">
        <v>33</v>
      </c>
      <c r="J16" t="s">
        <v>34</v>
      </c>
      <c r="K16" s="6">
        <f t="shared" ca="1" si="4"/>
        <v>30242</v>
      </c>
      <c r="L16">
        <v>-15519</v>
      </c>
      <c r="M16" s="7">
        <f t="shared" ca="1" si="5"/>
        <v>42.488706365503077</v>
      </c>
      <c r="N16" s="5" t="str">
        <f ca="1">VLOOKUP(Data!M16,temp!$B$3:$C$9,2,1)</f>
        <v>40-50</v>
      </c>
      <c r="O16">
        <v>-3234</v>
      </c>
      <c r="P16" s="8">
        <f t="shared" si="6"/>
        <v>8.8542094455852158</v>
      </c>
      <c r="Q16" s="5" t="str">
        <f t="shared" si="7"/>
        <v>Employed</v>
      </c>
      <c r="R16">
        <v>1</v>
      </c>
      <c r="S16">
        <v>0</v>
      </c>
      <c r="T16">
        <v>0</v>
      </c>
      <c r="U16">
        <v>0</v>
      </c>
      <c r="V16" t="s">
        <v>29</v>
      </c>
      <c r="W16">
        <v>1</v>
      </c>
    </row>
    <row r="17" spans="1:23" x14ac:dyDescent="0.2">
      <c r="A17">
        <v>5008929</v>
      </c>
      <c r="B17" t="s">
        <v>18</v>
      </c>
      <c r="C17" t="s">
        <v>19</v>
      </c>
      <c r="D17" t="s">
        <v>20</v>
      </c>
      <c r="E17">
        <v>0</v>
      </c>
      <c r="F17">
        <v>297000</v>
      </c>
      <c r="G17" t="s">
        <v>26</v>
      </c>
      <c r="H17" t="s">
        <v>27</v>
      </c>
      <c r="I17" t="s">
        <v>33</v>
      </c>
      <c r="J17" t="s">
        <v>34</v>
      </c>
      <c r="K17" s="6">
        <f t="shared" ca="1" si="4"/>
        <v>30242</v>
      </c>
      <c r="L17">
        <v>-15519</v>
      </c>
      <c r="M17" s="7">
        <f t="shared" ca="1" si="5"/>
        <v>42.488706365503077</v>
      </c>
      <c r="N17" s="5" t="str">
        <f ca="1">VLOOKUP(Data!M17,temp!$B$3:$C$9,2,1)</f>
        <v>40-50</v>
      </c>
      <c r="O17">
        <v>-3234</v>
      </c>
      <c r="P17" s="8">
        <f t="shared" si="6"/>
        <v>8.8542094455852158</v>
      </c>
      <c r="Q17" s="5" t="str">
        <f t="shared" si="7"/>
        <v>Employed</v>
      </c>
      <c r="R17">
        <v>1</v>
      </c>
      <c r="S17">
        <v>0</v>
      </c>
      <c r="T17">
        <v>0</v>
      </c>
      <c r="U17">
        <v>0</v>
      </c>
      <c r="V17" t="s">
        <v>29</v>
      </c>
      <c r="W17">
        <v>1</v>
      </c>
    </row>
    <row r="18" spans="1:23" x14ac:dyDescent="0.2">
      <c r="A18">
        <v>5008934</v>
      </c>
      <c r="B18" t="s">
        <v>18</v>
      </c>
      <c r="C18" t="s">
        <v>19</v>
      </c>
      <c r="D18" t="s">
        <v>20</v>
      </c>
      <c r="E18">
        <v>0</v>
      </c>
      <c r="F18">
        <v>297000</v>
      </c>
      <c r="G18" t="s">
        <v>26</v>
      </c>
      <c r="H18" t="s">
        <v>27</v>
      </c>
      <c r="I18" t="s">
        <v>33</v>
      </c>
      <c r="J18" t="s">
        <v>34</v>
      </c>
      <c r="K18" s="6">
        <f t="shared" ca="1" si="4"/>
        <v>30242</v>
      </c>
      <c r="L18">
        <v>-15519</v>
      </c>
      <c r="M18" s="7">
        <f t="shared" ca="1" si="5"/>
        <v>42.488706365503077</v>
      </c>
      <c r="N18" s="5" t="str">
        <f ca="1">VLOOKUP(Data!M18,temp!$B$3:$C$9,2,1)</f>
        <v>40-50</v>
      </c>
      <c r="O18">
        <v>-3234</v>
      </c>
      <c r="P18" s="8">
        <f t="shared" si="6"/>
        <v>8.8542094455852158</v>
      </c>
      <c r="Q18" s="5" t="str">
        <f t="shared" si="7"/>
        <v>Employed</v>
      </c>
      <c r="R18">
        <v>1</v>
      </c>
      <c r="S18">
        <v>0</v>
      </c>
      <c r="T18">
        <v>0</v>
      </c>
      <c r="U18">
        <v>0</v>
      </c>
      <c r="V18" t="s">
        <v>29</v>
      </c>
      <c r="W18">
        <v>1</v>
      </c>
    </row>
    <row r="19" spans="1:23" x14ac:dyDescent="0.2">
      <c r="A19">
        <v>5008935</v>
      </c>
      <c r="B19" t="s">
        <v>18</v>
      </c>
      <c r="C19" t="s">
        <v>19</v>
      </c>
      <c r="D19" t="s">
        <v>20</v>
      </c>
      <c r="E19">
        <v>0</v>
      </c>
      <c r="F19">
        <v>297000</v>
      </c>
      <c r="G19" t="s">
        <v>26</v>
      </c>
      <c r="H19" t="s">
        <v>27</v>
      </c>
      <c r="I19" t="s">
        <v>33</v>
      </c>
      <c r="J19" t="s">
        <v>34</v>
      </c>
      <c r="K19" s="6">
        <f t="shared" ca="1" si="4"/>
        <v>30242</v>
      </c>
      <c r="L19">
        <v>-15519</v>
      </c>
      <c r="M19" s="7">
        <f t="shared" ca="1" si="5"/>
        <v>42.488706365503077</v>
      </c>
      <c r="N19" s="5" t="str">
        <f ca="1">VLOOKUP(Data!M19,temp!$B$3:$C$9,2,1)</f>
        <v>40-50</v>
      </c>
      <c r="O19">
        <v>-3234</v>
      </c>
      <c r="P19" s="8">
        <f t="shared" si="6"/>
        <v>8.8542094455852158</v>
      </c>
      <c r="Q19" s="5" t="str">
        <f t="shared" si="7"/>
        <v>Employed</v>
      </c>
      <c r="R19">
        <v>1</v>
      </c>
      <c r="S19">
        <v>0</v>
      </c>
      <c r="T19">
        <v>0</v>
      </c>
      <c r="U19">
        <v>0</v>
      </c>
      <c r="V19" t="s">
        <v>29</v>
      </c>
      <c r="W19">
        <v>1</v>
      </c>
    </row>
    <row r="20" spans="1:23" x14ac:dyDescent="0.2">
      <c r="A20">
        <v>5008937</v>
      </c>
      <c r="B20" t="s">
        <v>18</v>
      </c>
      <c r="C20" t="s">
        <v>19</v>
      </c>
      <c r="D20" t="s">
        <v>20</v>
      </c>
      <c r="E20">
        <v>0</v>
      </c>
      <c r="F20">
        <v>297000</v>
      </c>
      <c r="G20" t="s">
        <v>26</v>
      </c>
      <c r="H20" t="s">
        <v>27</v>
      </c>
      <c r="I20" t="s">
        <v>33</v>
      </c>
      <c r="J20" t="s">
        <v>34</v>
      </c>
      <c r="K20" s="6">
        <f t="shared" ca="1" si="4"/>
        <v>30242</v>
      </c>
      <c r="L20">
        <v>-15519</v>
      </c>
      <c r="M20" s="7">
        <f t="shared" ca="1" si="5"/>
        <v>42.488706365503077</v>
      </c>
      <c r="N20" s="5" t="str">
        <f ca="1">VLOOKUP(Data!M20,temp!$B$3:$C$9,2,1)</f>
        <v>40-50</v>
      </c>
      <c r="O20">
        <v>-3234</v>
      </c>
      <c r="P20" s="8">
        <f t="shared" si="6"/>
        <v>8.8542094455852158</v>
      </c>
      <c r="Q20" s="5" t="str">
        <f t="shared" si="7"/>
        <v>Employed</v>
      </c>
      <c r="R20">
        <v>1</v>
      </c>
      <c r="S20">
        <v>0</v>
      </c>
      <c r="T20">
        <v>0</v>
      </c>
      <c r="U20">
        <v>0</v>
      </c>
      <c r="V20" t="s">
        <v>29</v>
      </c>
      <c r="W20">
        <v>1</v>
      </c>
    </row>
    <row r="21" spans="1:23" x14ac:dyDescent="0.2">
      <c r="A21">
        <v>5008973</v>
      </c>
      <c r="B21" t="s">
        <v>25</v>
      </c>
      <c r="C21" t="s">
        <v>19</v>
      </c>
      <c r="D21" t="s">
        <v>20</v>
      </c>
      <c r="E21">
        <v>0</v>
      </c>
      <c r="F21">
        <v>157500</v>
      </c>
      <c r="G21" t="s">
        <v>31</v>
      </c>
      <c r="H21" t="s">
        <v>27</v>
      </c>
      <c r="I21" t="s">
        <v>28</v>
      </c>
      <c r="J21" t="s">
        <v>24</v>
      </c>
      <c r="K21" s="6">
        <f t="shared" ca="1" si="4"/>
        <v>29734</v>
      </c>
      <c r="L21">
        <v>-16027</v>
      </c>
      <c r="M21" s="7">
        <f t="shared" ca="1" si="5"/>
        <v>43.879534565366185</v>
      </c>
      <c r="N21" s="5" t="str">
        <f ca="1">VLOOKUP(Data!M21,temp!$B$3:$C$9,2,1)</f>
        <v>40-50</v>
      </c>
      <c r="O21">
        <v>-889</v>
      </c>
      <c r="P21" s="8">
        <f t="shared" si="6"/>
        <v>2.4339493497604381</v>
      </c>
      <c r="Q21" s="5" t="str">
        <f t="shared" si="7"/>
        <v>Employed</v>
      </c>
      <c r="R21">
        <v>1</v>
      </c>
      <c r="S21">
        <v>0</v>
      </c>
      <c r="T21">
        <v>1</v>
      </c>
      <c r="U21">
        <v>0</v>
      </c>
      <c r="W21">
        <v>2</v>
      </c>
    </row>
    <row r="22" spans="1:23" x14ac:dyDescent="0.2">
      <c r="A22">
        <v>5008978</v>
      </c>
      <c r="B22" t="s">
        <v>18</v>
      </c>
      <c r="C22" t="s">
        <v>19</v>
      </c>
      <c r="D22" t="s">
        <v>20</v>
      </c>
      <c r="E22">
        <v>0</v>
      </c>
      <c r="F22">
        <v>112500</v>
      </c>
      <c r="G22" t="s">
        <v>21</v>
      </c>
      <c r="H22" t="s">
        <v>27</v>
      </c>
      <c r="I22" t="s">
        <v>28</v>
      </c>
      <c r="J22" t="s">
        <v>24</v>
      </c>
      <c r="K22" s="6">
        <f t="shared" ca="1" si="4"/>
        <v>23442</v>
      </c>
      <c r="L22">
        <v>-22319</v>
      </c>
      <c r="M22" s="7">
        <f t="shared" ca="1" si="5"/>
        <v>61.106091718001366</v>
      </c>
      <c r="N22" s="5" t="str">
        <f ca="1">VLOOKUP(Data!M22,temp!$B$3:$C$9,2,1)</f>
        <v>60-70</v>
      </c>
      <c r="O22">
        <v>365243</v>
      </c>
      <c r="P22" s="8">
        <f t="shared" si="6"/>
        <v>0</v>
      </c>
      <c r="Q22" s="5" t="str">
        <f t="shared" si="7"/>
        <v>Unemployed</v>
      </c>
      <c r="R22">
        <v>1</v>
      </c>
      <c r="S22">
        <v>0</v>
      </c>
      <c r="T22">
        <v>0</v>
      </c>
      <c r="U22">
        <v>0</v>
      </c>
      <c r="W22">
        <v>2</v>
      </c>
    </row>
    <row r="23" spans="1:23" x14ac:dyDescent="0.2">
      <c r="A23">
        <v>5008986</v>
      </c>
      <c r="B23" t="s">
        <v>25</v>
      </c>
      <c r="C23" t="s">
        <v>20</v>
      </c>
      <c r="D23" t="s">
        <v>20</v>
      </c>
      <c r="E23">
        <v>0</v>
      </c>
      <c r="F23">
        <v>112500</v>
      </c>
      <c r="G23" t="s">
        <v>35</v>
      </c>
      <c r="H23" t="s">
        <v>27</v>
      </c>
      <c r="I23" t="s">
        <v>28</v>
      </c>
      <c r="J23" t="s">
        <v>24</v>
      </c>
      <c r="K23" s="6">
        <f t="shared" ca="1" si="4"/>
        <v>24887</v>
      </c>
      <c r="L23">
        <v>-20874</v>
      </c>
      <c r="M23" s="7">
        <f t="shared" ca="1" si="5"/>
        <v>57.149897330595479</v>
      </c>
      <c r="N23" s="5" t="str">
        <f ca="1">VLOOKUP(Data!M23,temp!$B$3:$C$9,2,1)</f>
        <v>50-60</v>
      </c>
      <c r="O23">
        <v>-2381</v>
      </c>
      <c r="P23" s="8">
        <f t="shared" si="6"/>
        <v>6.5188227241615335</v>
      </c>
      <c r="Q23" s="5" t="str">
        <f t="shared" si="7"/>
        <v>Employed</v>
      </c>
      <c r="R23">
        <v>1</v>
      </c>
      <c r="S23">
        <v>0</v>
      </c>
      <c r="T23">
        <v>1</v>
      </c>
      <c r="U23">
        <v>0</v>
      </c>
      <c r="V23" t="s">
        <v>30</v>
      </c>
      <c r="W23">
        <v>2</v>
      </c>
    </row>
    <row r="24" spans="1:23" x14ac:dyDescent="0.2">
      <c r="A24">
        <v>5009005</v>
      </c>
      <c r="B24" t="s">
        <v>25</v>
      </c>
      <c r="C24" t="s">
        <v>19</v>
      </c>
      <c r="D24" t="s">
        <v>20</v>
      </c>
      <c r="E24">
        <v>0</v>
      </c>
      <c r="F24">
        <v>166500</v>
      </c>
      <c r="G24" t="s">
        <v>31</v>
      </c>
      <c r="H24" t="s">
        <v>27</v>
      </c>
      <c r="I24" t="s">
        <v>28</v>
      </c>
      <c r="J24" t="s">
        <v>24</v>
      </c>
      <c r="K24" s="6">
        <f t="shared" ca="1" si="4"/>
        <v>26835</v>
      </c>
      <c r="L24">
        <v>-18926</v>
      </c>
      <c r="M24" s="7">
        <f t="shared" ca="1" si="5"/>
        <v>51.816563997262151</v>
      </c>
      <c r="N24" s="5" t="str">
        <f ca="1">VLOOKUP(Data!M24,temp!$B$3:$C$9,2,1)</f>
        <v>50-60</v>
      </c>
      <c r="O24">
        <v>-6276</v>
      </c>
      <c r="P24" s="8">
        <f t="shared" si="6"/>
        <v>17.182751540041068</v>
      </c>
      <c r="Q24" s="5" t="str">
        <f t="shared" si="7"/>
        <v>Employed</v>
      </c>
      <c r="R24">
        <v>1</v>
      </c>
      <c r="S24">
        <v>1</v>
      </c>
      <c r="T24">
        <v>1</v>
      </c>
      <c r="U24">
        <v>0</v>
      </c>
      <c r="V24" t="s">
        <v>29</v>
      </c>
      <c r="W24">
        <v>2</v>
      </c>
    </row>
    <row r="25" spans="1:23" x14ac:dyDescent="0.2">
      <c r="A25">
        <v>5009006</v>
      </c>
      <c r="B25" t="s">
        <v>25</v>
      </c>
      <c r="C25" t="s">
        <v>19</v>
      </c>
      <c r="D25" t="s">
        <v>20</v>
      </c>
      <c r="E25">
        <v>0</v>
      </c>
      <c r="F25">
        <v>166500</v>
      </c>
      <c r="G25" t="s">
        <v>31</v>
      </c>
      <c r="H25" t="s">
        <v>27</v>
      </c>
      <c r="I25" t="s">
        <v>28</v>
      </c>
      <c r="J25" t="s">
        <v>24</v>
      </c>
      <c r="K25" s="6">
        <f t="shared" ca="1" si="4"/>
        <v>26835</v>
      </c>
      <c r="L25">
        <v>-18926</v>
      </c>
      <c r="M25" s="7">
        <f t="shared" ca="1" si="5"/>
        <v>51.816563997262151</v>
      </c>
      <c r="N25" s="5" t="str">
        <f ca="1">VLOOKUP(Data!M25,temp!$B$3:$C$9,2,1)</f>
        <v>50-60</v>
      </c>
      <c r="O25">
        <v>-6276</v>
      </c>
      <c r="P25" s="8">
        <f t="shared" si="6"/>
        <v>17.182751540041068</v>
      </c>
      <c r="Q25" s="5" t="str">
        <f t="shared" si="7"/>
        <v>Employed</v>
      </c>
      <c r="R25">
        <v>1</v>
      </c>
      <c r="S25">
        <v>1</v>
      </c>
      <c r="T25">
        <v>1</v>
      </c>
      <c r="U25">
        <v>0</v>
      </c>
      <c r="V25" t="s">
        <v>29</v>
      </c>
      <c r="W25">
        <v>2</v>
      </c>
    </row>
    <row r="26" spans="1:23" x14ac:dyDescent="0.2">
      <c r="A26">
        <v>5009009</v>
      </c>
      <c r="B26" t="s">
        <v>25</v>
      </c>
      <c r="C26" t="s">
        <v>19</v>
      </c>
      <c r="D26" t="s">
        <v>20</v>
      </c>
      <c r="E26">
        <v>0</v>
      </c>
      <c r="F26">
        <v>166500</v>
      </c>
      <c r="G26" t="s">
        <v>31</v>
      </c>
      <c r="H26" t="s">
        <v>27</v>
      </c>
      <c r="I26" t="s">
        <v>28</v>
      </c>
      <c r="J26" t="s">
        <v>24</v>
      </c>
      <c r="K26" s="6">
        <f t="shared" ca="1" si="4"/>
        <v>26835</v>
      </c>
      <c r="L26">
        <v>-18926</v>
      </c>
      <c r="M26" s="7">
        <f t="shared" ca="1" si="5"/>
        <v>51.816563997262151</v>
      </c>
      <c r="N26" s="5" t="str">
        <f ca="1">VLOOKUP(Data!M26,temp!$B$3:$C$9,2,1)</f>
        <v>50-60</v>
      </c>
      <c r="O26">
        <v>-6276</v>
      </c>
      <c r="P26" s="8">
        <f t="shared" si="6"/>
        <v>17.182751540041068</v>
      </c>
      <c r="Q26" s="5" t="str">
        <f t="shared" si="7"/>
        <v>Employed</v>
      </c>
      <c r="R26">
        <v>1</v>
      </c>
      <c r="S26">
        <v>1</v>
      </c>
      <c r="T26">
        <v>1</v>
      </c>
      <c r="U26">
        <v>0</v>
      </c>
      <c r="V26" t="s">
        <v>29</v>
      </c>
      <c r="W26">
        <v>2</v>
      </c>
    </row>
    <row r="27" spans="1:23" x14ac:dyDescent="0.2">
      <c r="A27">
        <v>5009014</v>
      </c>
      <c r="B27" t="s">
        <v>25</v>
      </c>
      <c r="C27" t="s">
        <v>19</v>
      </c>
      <c r="D27" t="s">
        <v>20</v>
      </c>
      <c r="E27">
        <v>0</v>
      </c>
      <c r="F27">
        <v>166500</v>
      </c>
      <c r="G27" t="s">
        <v>31</v>
      </c>
      <c r="H27" t="s">
        <v>27</v>
      </c>
      <c r="I27" t="s">
        <v>28</v>
      </c>
      <c r="J27" t="s">
        <v>24</v>
      </c>
      <c r="K27" s="6">
        <f t="shared" ca="1" si="4"/>
        <v>26835</v>
      </c>
      <c r="L27">
        <v>-18926</v>
      </c>
      <c r="M27" s="7">
        <f t="shared" ca="1" si="5"/>
        <v>51.816563997262151</v>
      </c>
      <c r="N27" s="5" t="str">
        <f ca="1">VLOOKUP(Data!M27,temp!$B$3:$C$9,2,1)</f>
        <v>50-60</v>
      </c>
      <c r="O27">
        <v>-6276</v>
      </c>
      <c r="P27" s="8">
        <f t="shared" si="6"/>
        <v>17.182751540041068</v>
      </c>
      <c r="Q27" s="5" t="str">
        <f t="shared" si="7"/>
        <v>Employed</v>
      </c>
      <c r="R27">
        <v>1</v>
      </c>
      <c r="S27">
        <v>1</v>
      </c>
      <c r="T27">
        <v>1</v>
      </c>
      <c r="U27">
        <v>0</v>
      </c>
      <c r="V27" t="s">
        <v>29</v>
      </c>
      <c r="W27">
        <v>2</v>
      </c>
    </row>
    <row r="28" spans="1:23" x14ac:dyDescent="0.2">
      <c r="A28">
        <v>5009025</v>
      </c>
      <c r="B28" t="s">
        <v>18</v>
      </c>
      <c r="C28" t="s">
        <v>19</v>
      </c>
      <c r="D28" t="s">
        <v>20</v>
      </c>
      <c r="E28">
        <v>2</v>
      </c>
      <c r="F28">
        <v>216000</v>
      </c>
      <c r="G28" t="s">
        <v>35</v>
      </c>
      <c r="H28" t="s">
        <v>22</v>
      </c>
      <c r="I28" t="s">
        <v>28</v>
      </c>
      <c r="J28" t="s">
        <v>24</v>
      </c>
      <c r="K28" s="6">
        <f t="shared" ca="1" si="4"/>
        <v>30317</v>
      </c>
      <c r="L28">
        <v>-15444</v>
      </c>
      <c r="M28" s="7">
        <f t="shared" ca="1" si="5"/>
        <v>42.283367556468171</v>
      </c>
      <c r="N28" s="5" t="str">
        <f ca="1">VLOOKUP(Data!M28,temp!$B$3:$C$9,2,1)</f>
        <v>40-50</v>
      </c>
      <c r="O28">
        <v>-3112</v>
      </c>
      <c r="P28" s="8">
        <f t="shared" si="6"/>
        <v>8.5201916495551</v>
      </c>
      <c r="Q28" s="5" t="str">
        <f t="shared" si="7"/>
        <v>Employed</v>
      </c>
      <c r="R28">
        <v>1</v>
      </c>
      <c r="S28">
        <v>0</v>
      </c>
      <c r="T28">
        <v>0</v>
      </c>
      <c r="U28">
        <v>1</v>
      </c>
      <c r="W28">
        <v>4</v>
      </c>
    </row>
    <row r="29" spans="1:23" x14ac:dyDescent="0.2">
      <c r="A29">
        <v>5009029</v>
      </c>
      <c r="B29" t="s">
        <v>18</v>
      </c>
      <c r="C29" t="s">
        <v>20</v>
      </c>
      <c r="D29" t="s">
        <v>20</v>
      </c>
      <c r="E29">
        <v>0</v>
      </c>
      <c r="F29">
        <v>225000</v>
      </c>
      <c r="G29" t="s">
        <v>26</v>
      </c>
      <c r="H29" t="s">
        <v>27</v>
      </c>
      <c r="I29" t="s">
        <v>28</v>
      </c>
      <c r="J29" t="s">
        <v>24</v>
      </c>
      <c r="K29" s="6">
        <f t="shared" ca="1" si="4"/>
        <v>31311</v>
      </c>
      <c r="L29">
        <v>-14450</v>
      </c>
      <c r="M29" s="7">
        <f t="shared" ca="1" si="5"/>
        <v>39.561943874058862</v>
      </c>
      <c r="N29" s="5" t="str">
        <f ca="1">VLOOKUP(Data!M29,temp!$B$3:$C$9,2,1)</f>
        <v>30-40</v>
      </c>
      <c r="O29">
        <v>-2777</v>
      </c>
      <c r="P29" s="8">
        <f t="shared" si="6"/>
        <v>7.6030116358658457</v>
      </c>
      <c r="Q29" s="5" t="str">
        <f t="shared" si="7"/>
        <v>Employed</v>
      </c>
      <c r="R29">
        <v>1</v>
      </c>
      <c r="S29">
        <v>0</v>
      </c>
      <c r="T29">
        <v>0</v>
      </c>
      <c r="U29">
        <v>0</v>
      </c>
      <c r="V29" t="s">
        <v>29</v>
      </c>
      <c r="W29">
        <v>2</v>
      </c>
    </row>
    <row r="30" spans="1:23" x14ac:dyDescent="0.2">
      <c r="A30">
        <v>5009033</v>
      </c>
      <c r="B30" t="s">
        <v>18</v>
      </c>
      <c r="C30" t="s">
        <v>19</v>
      </c>
      <c r="D30" t="s">
        <v>19</v>
      </c>
      <c r="E30">
        <v>0</v>
      </c>
      <c r="F30">
        <v>255150</v>
      </c>
      <c r="G30" t="s">
        <v>21</v>
      </c>
      <c r="H30" t="s">
        <v>36</v>
      </c>
      <c r="I30" t="s">
        <v>37</v>
      </c>
      <c r="J30" t="s">
        <v>34</v>
      </c>
      <c r="K30" s="6">
        <f t="shared" ca="1" si="4"/>
        <v>27079</v>
      </c>
      <c r="L30">
        <v>-18682</v>
      </c>
      <c r="M30" s="7">
        <f t="shared" ca="1" si="5"/>
        <v>51.148528405201915</v>
      </c>
      <c r="N30" s="5" t="str">
        <f ca="1">VLOOKUP(Data!M30,temp!$B$3:$C$9,2,1)</f>
        <v>50-60</v>
      </c>
      <c r="O30">
        <v>365243</v>
      </c>
      <c r="P30" s="8">
        <f t="shared" si="6"/>
        <v>0</v>
      </c>
      <c r="Q30" s="5" t="str">
        <f t="shared" si="7"/>
        <v>Unemployed</v>
      </c>
      <c r="R30">
        <v>1</v>
      </c>
      <c r="S30">
        <v>0</v>
      </c>
      <c r="T30">
        <v>0</v>
      </c>
      <c r="U30">
        <v>0</v>
      </c>
      <c r="W30">
        <v>2</v>
      </c>
    </row>
    <row r="31" spans="1:23" x14ac:dyDescent="0.2">
      <c r="A31">
        <v>5009036</v>
      </c>
      <c r="B31" t="s">
        <v>18</v>
      </c>
      <c r="C31" t="s">
        <v>19</v>
      </c>
      <c r="D31" t="s">
        <v>19</v>
      </c>
      <c r="E31">
        <v>0</v>
      </c>
      <c r="F31">
        <v>255150</v>
      </c>
      <c r="G31" t="s">
        <v>21</v>
      </c>
      <c r="H31" t="s">
        <v>36</v>
      </c>
      <c r="I31" t="s">
        <v>37</v>
      </c>
      <c r="J31" t="s">
        <v>34</v>
      </c>
      <c r="K31" s="6">
        <f t="shared" ca="1" si="4"/>
        <v>27079</v>
      </c>
      <c r="L31">
        <v>-18682</v>
      </c>
      <c r="M31" s="7">
        <f t="shared" ca="1" si="5"/>
        <v>51.148528405201915</v>
      </c>
      <c r="N31" s="5" t="str">
        <f ca="1">VLOOKUP(Data!M31,temp!$B$3:$C$9,2,1)</f>
        <v>50-60</v>
      </c>
      <c r="O31">
        <v>365243</v>
      </c>
      <c r="P31" s="8">
        <f t="shared" si="6"/>
        <v>0</v>
      </c>
      <c r="Q31" s="5" t="str">
        <f t="shared" si="7"/>
        <v>Unemployed</v>
      </c>
      <c r="R31">
        <v>1</v>
      </c>
      <c r="S31">
        <v>0</v>
      </c>
      <c r="T31">
        <v>0</v>
      </c>
      <c r="U31">
        <v>0</v>
      </c>
      <c r="W31">
        <v>2</v>
      </c>
    </row>
    <row r="32" spans="1:23" x14ac:dyDescent="0.2">
      <c r="A32">
        <v>5009038</v>
      </c>
      <c r="B32" t="s">
        <v>18</v>
      </c>
      <c r="C32" t="s">
        <v>19</v>
      </c>
      <c r="D32" t="s">
        <v>19</v>
      </c>
      <c r="E32">
        <v>0</v>
      </c>
      <c r="F32">
        <v>255150</v>
      </c>
      <c r="G32" t="s">
        <v>21</v>
      </c>
      <c r="H32" t="s">
        <v>36</v>
      </c>
      <c r="I32" t="s">
        <v>37</v>
      </c>
      <c r="J32" t="s">
        <v>34</v>
      </c>
      <c r="K32" s="6">
        <f t="shared" ca="1" si="4"/>
        <v>27079</v>
      </c>
      <c r="L32">
        <v>-18682</v>
      </c>
      <c r="M32" s="7">
        <f t="shared" ca="1" si="5"/>
        <v>51.148528405201915</v>
      </c>
      <c r="N32" s="5" t="str">
        <f ca="1">VLOOKUP(Data!M32,temp!$B$3:$C$9,2,1)</f>
        <v>50-60</v>
      </c>
      <c r="O32">
        <v>365243</v>
      </c>
      <c r="P32" s="8">
        <f t="shared" si="6"/>
        <v>0</v>
      </c>
      <c r="Q32" s="5" t="str">
        <f t="shared" si="7"/>
        <v>Unemployed</v>
      </c>
      <c r="R32">
        <v>1</v>
      </c>
      <c r="S32">
        <v>0</v>
      </c>
      <c r="T32">
        <v>0</v>
      </c>
      <c r="U32">
        <v>0</v>
      </c>
      <c r="W32">
        <v>2</v>
      </c>
    </row>
    <row r="33" spans="1:23" x14ac:dyDescent="0.2">
      <c r="A33">
        <v>5009046</v>
      </c>
      <c r="B33" t="s">
        <v>18</v>
      </c>
      <c r="C33" t="s">
        <v>19</v>
      </c>
      <c r="D33" t="s">
        <v>20</v>
      </c>
      <c r="E33">
        <v>0</v>
      </c>
      <c r="F33">
        <v>148500</v>
      </c>
      <c r="G33" t="s">
        <v>31</v>
      </c>
      <c r="H33" t="s">
        <v>22</v>
      </c>
      <c r="I33" t="s">
        <v>28</v>
      </c>
      <c r="J33" t="s">
        <v>24</v>
      </c>
      <c r="K33" s="6">
        <f t="shared" ca="1" si="4"/>
        <v>28120</v>
      </c>
      <c r="L33">
        <v>-17641</v>
      </c>
      <c r="M33" s="7">
        <f t="shared" ca="1" si="5"/>
        <v>48.298425735797402</v>
      </c>
      <c r="N33" s="5" t="str">
        <f ca="1">VLOOKUP(Data!M33,temp!$B$3:$C$9,2,1)</f>
        <v>40-50</v>
      </c>
      <c r="O33">
        <v>-889</v>
      </c>
      <c r="P33" s="8">
        <f t="shared" si="6"/>
        <v>2.4339493497604381</v>
      </c>
      <c r="Q33" s="5" t="str">
        <f t="shared" si="7"/>
        <v>Employed</v>
      </c>
      <c r="R33">
        <v>1</v>
      </c>
      <c r="S33">
        <v>0</v>
      </c>
      <c r="T33">
        <v>0</v>
      </c>
      <c r="U33">
        <v>0</v>
      </c>
      <c r="V33" t="s">
        <v>38</v>
      </c>
      <c r="W33">
        <v>2</v>
      </c>
    </row>
    <row r="34" spans="1:23" x14ac:dyDescent="0.2">
      <c r="A34">
        <v>5009052</v>
      </c>
      <c r="B34" t="s">
        <v>18</v>
      </c>
      <c r="C34" t="s">
        <v>19</v>
      </c>
      <c r="D34" t="s">
        <v>20</v>
      </c>
      <c r="E34">
        <v>2</v>
      </c>
      <c r="F34">
        <v>202500</v>
      </c>
      <c r="G34" t="s">
        <v>31</v>
      </c>
      <c r="H34" t="s">
        <v>22</v>
      </c>
      <c r="I34" t="s">
        <v>28</v>
      </c>
      <c r="J34" t="s">
        <v>24</v>
      </c>
      <c r="K34" s="6">
        <f t="shared" ca="1" si="4"/>
        <v>34764</v>
      </c>
      <c r="L34">
        <v>-10997</v>
      </c>
      <c r="M34" s="7">
        <f t="shared" ca="1" si="5"/>
        <v>30.108145106091719</v>
      </c>
      <c r="N34" s="5" t="str">
        <f ca="1">VLOOKUP(Data!M34,temp!$B$3:$C$9,2,1)</f>
        <v>30-40</v>
      </c>
      <c r="O34">
        <v>-2289</v>
      </c>
      <c r="P34" s="8">
        <f t="shared" si="6"/>
        <v>6.2669404517453797</v>
      </c>
      <c r="Q34" s="5" t="str">
        <f t="shared" si="7"/>
        <v>Employed</v>
      </c>
      <c r="R34">
        <v>1</v>
      </c>
      <c r="S34">
        <v>0</v>
      </c>
      <c r="T34">
        <v>0</v>
      </c>
      <c r="U34">
        <v>1</v>
      </c>
      <c r="V34" t="s">
        <v>38</v>
      </c>
      <c r="W34">
        <v>4</v>
      </c>
    </row>
    <row r="35" spans="1:23" x14ac:dyDescent="0.2">
      <c r="A35">
        <v>5009056</v>
      </c>
      <c r="B35" t="s">
        <v>25</v>
      </c>
      <c r="C35" t="s">
        <v>19</v>
      </c>
      <c r="D35" t="s">
        <v>20</v>
      </c>
      <c r="E35">
        <v>0</v>
      </c>
      <c r="F35">
        <v>202500</v>
      </c>
      <c r="G35" t="s">
        <v>31</v>
      </c>
      <c r="H35" t="s">
        <v>27</v>
      </c>
      <c r="I35" t="s">
        <v>33</v>
      </c>
      <c r="J35" t="s">
        <v>24</v>
      </c>
      <c r="K35" s="6">
        <f t="shared" ca="1" si="4"/>
        <v>36900</v>
      </c>
      <c r="L35">
        <v>-8861</v>
      </c>
      <c r="M35" s="7">
        <f t="shared" ca="1" si="5"/>
        <v>24.260095824777551</v>
      </c>
      <c r="N35" s="5" t="str">
        <f ca="1">VLOOKUP(Data!M35,temp!$B$3:$C$9,2,1)</f>
        <v>20-30</v>
      </c>
      <c r="O35">
        <v>-889</v>
      </c>
      <c r="P35" s="8">
        <f t="shared" si="6"/>
        <v>2.4339493497604381</v>
      </c>
      <c r="Q35" s="5" t="str">
        <f t="shared" si="7"/>
        <v>Employed</v>
      </c>
      <c r="R35">
        <v>1</v>
      </c>
      <c r="S35">
        <v>1</v>
      </c>
      <c r="T35">
        <v>0</v>
      </c>
      <c r="U35">
        <v>0</v>
      </c>
      <c r="V35" t="s">
        <v>30</v>
      </c>
      <c r="W35">
        <v>1</v>
      </c>
    </row>
    <row r="36" spans="1:23" x14ac:dyDescent="0.2">
      <c r="A36">
        <v>5009065</v>
      </c>
      <c r="B36" t="s">
        <v>25</v>
      </c>
      <c r="C36" t="s">
        <v>20</v>
      </c>
      <c r="D36" t="s">
        <v>20</v>
      </c>
      <c r="E36">
        <v>0</v>
      </c>
      <c r="F36">
        <v>315000</v>
      </c>
      <c r="G36" t="s">
        <v>31</v>
      </c>
      <c r="H36" t="s">
        <v>27</v>
      </c>
      <c r="I36" t="s">
        <v>37</v>
      </c>
      <c r="J36" t="s">
        <v>24</v>
      </c>
      <c r="K36" s="6">
        <f t="shared" ca="1" si="4"/>
        <v>35311</v>
      </c>
      <c r="L36">
        <v>-10450</v>
      </c>
      <c r="M36" s="7">
        <f t="shared" ca="1" si="5"/>
        <v>28.610540725530459</v>
      </c>
      <c r="N36" s="5" t="str">
        <f ca="1">VLOOKUP(Data!M36,temp!$B$3:$C$9,2,1)</f>
        <v>20-30</v>
      </c>
      <c r="O36">
        <v>-2077</v>
      </c>
      <c r="P36" s="8">
        <f t="shared" si="6"/>
        <v>5.6865160848733742</v>
      </c>
      <c r="Q36" s="5" t="str">
        <f t="shared" si="7"/>
        <v>Employed</v>
      </c>
      <c r="R36">
        <v>1</v>
      </c>
      <c r="S36">
        <v>0</v>
      </c>
      <c r="T36">
        <v>0</v>
      </c>
      <c r="U36">
        <v>0</v>
      </c>
      <c r="V36" t="s">
        <v>39</v>
      </c>
      <c r="W36">
        <v>2</v>
      </c>
    </row>
    <row r="37" spans="1:23" x14ac:dyDescent="0.2">
      <c r="A37">
        <v>5009066</v>
      </c>
      <c r="B37" t="s">
        <v>25</v>
      </c>
      <c r="C37" t="s">
        <v>20</v>
      </c>
      <c r="D37" t="s">
        <v>20</v>
      </c>
      <c r="E37">
        <v>0</v>
      </c>
      <c r="F37">
        <v>315000</v>
      </c>
      <c r="G37" t="s">
        <v>31</v>
      </c>
      <c r="H37" t="s">
        <v>27</v>
      </c>
      <c r="I37" t="s">
        <v>37</v>
      </c>
      <c r="J37" t="s">
        <v>24</v>
      </c>
      <c r="K37" s="6">
        <f t="shared" ca="1" si="4"/>
        <v>35311</v>
      </c>
      <c r="L37">
        <v>-10450</v>
      </c>
      <c r="M37" s="7">
        <f t="shared" ca="1" si="5"/>
        <v>28.610540725530459</v>
      </c>
      <c r="N37" s="5" t="str">
        <f ca="1">VLOOKUP(Data!M37,temp!$B$3:$C$9,2,1)</f>
        <v>20-30</v>
      </c>
      <c r="O37">
        <v>-2077</v>
      </c>
      <c r="P37" s="8">
        <f t="shared" si="6"/>
        <v>5.6865160848733742</v>
      </c>
      <c r="Q37" s="5" t="str">
        <f t="shared" si="7"/>
        <v>Employed</v>
      </c>
      <c r="R37">
        <v>1</v>
      </c>
      <c r="S37">
        <v>0</v>
      </c>
      <c r="T37">
        <v>0</v>
      </c>
      <c r="U37">
        <v>0</v>
      </c>
      <c r="V37" t="s">
        <v>39</v>
      </c>
      <c r="W37">
        <v>2</v>
      </c>
    </row>
    <row r="38" spans="1:23" x14ac:dyDescent="0.2">
      <c r="A38">
        <v>5009070</v>
      </c>
      <c r="B38" t="s">
        <v>25</v>
      </c>
      <c r="C38" t="s">
        <v>20</v>
      </c>
      <c r="D38" t="s">
        <v>20</v>
      </c>
      <c r="E38">
        <v>0</v>
      </c>
      <c r="F38">
        <v>315000</v>
      </c>
      <c r="G38" t="s">
        <v>31</v>
      </c>
      <c r="H38" t="s">
        <v>27</v>
      </c>
      <c r="I38" t="s">
        <v>37</v>
      </c>
      <c r="J38" t="s">
        <v>24</v>
      </c>
      <c r="K38" s="6">
        <f t="shared" ca="1" si="4"/>
        <v>35311</v>
      </c>
      <c r="L38">
        <v>-10450</v>
      </c>
      <c r="M38" s="7">
        <f t="shared" ca="1" si="5"/>
        <v>28.610540725530459</v>
      </c>
      <c r="N38" s="5" t="str">
        <f ca="1">VLOOKUP(Data!M38,temp!$B$3:$C$9,2,1)</f>
        <v>20-30</v>
      </c>
      <c r="O38">
        <v>-2077</v>
      </c>
      <c r="P38" s="8">
        <f t="shared" si="6"/>
        <v>5.6865160848733742</v>
      </c>
      <c r="Q38" s="5" t="str">
        <f t="shared" si="7"/>
        <v>Employed</v>
      </c>
      <c r="R38">
        <v>1</v>
      </c>
      <c r="S38">
        <v>0</v>
      </c>
      <c r="T38">
        <v>0</v>
      </c>
      <c r="U38">
        <v>0</v>
      </c>
      <c r="V38" t="s">
        <v>39</v>
      </c>
      <c r="W38">
        <v>2</v>
      </c>
    </row>
    <row r="39" spans="1:23" x14ac:dyDescent="0.2">
      <c r="A39">
        <v>5009081</v>
      </c>
      <c r="B39" t="s">
        <v>18</v>
      </c>
      <c r="C39" t="s">
        <v>19</v>
      </c>
      <c r="D39" t="s">
        <v>20</v>
      </c>
      <c r="E39">
        <v>0</v>
      </c>
      <c r="F39">
        <v>112500</v>
      </c>
      <c r="G39" t="s">
        <v>31</v>
      </c>
      <c r="H39" t="s">
        <v>22</v>
      </c>
      <c r="I39" t="s">
        <v>37</v>
      </c>
      <c r="J39" t="s">
        <v>24</v>
      </c>
      <c r="K39" s="6">
        <f t="shared" ca="1" si="4"/>
        <v>35697</v>
      </c>
      <c r="L39">
        <v>-10064</v>
      </c>
      <c r="M39" s="7">
        <f t="shared" ca="1" si="5"/>
        <v>27.553730321697468</v>
      </c>
      <c r="N39" s="5" t="str">
        <f ca="1">VLOOKUP(Data!M39,temp!$B$3:$C$9,2,1)</f>
        <v>20-30</v>
      </c>
      <c r="O39">
        <v>-3173</v>
      </c>
      <c r="P39" s="8">
        <f t="shared" si="6"/>
        <v>8.687200547570157</v>
      </c>
      <c r="Q39" s="5" t="str">
        <f t="shared" si="7"/>
        <v>Employed</v>
      </c>
      <c r="R39">
        <v>1</v>
      </c>
      <c r="S39">
        <v>0</v>
      </c>
      <c r="T39">
        <v>0</v>
      </c>
      <c r="U39">
        <v>1</v>
      </c>
      <c r="V39" t="s">
        <v>29</v>
      </c>
      <c r="W39">
        <v>2</v>
      </c>
    </row>
    <row r="40" spans="1:23" x14ac:dyDescent="0.2">
      <c r="A40">
        <v>5009094</v>
      </c>
      <c r="B40" t="s">
        <v>25</v>
      </c>
      <c r="C40" t="s">
        <v>20</v>
      </c>
      <c r="D40" t="s">
        <v>20</v>
      </c>
      <c r="E40">
        <v>1</v>
      </c>
      <c r="F40">
        <v>765000</v>
      </c>
      <c r="G40" t="s">
        <v>31</v>
      </c>
      <c r="H40" t="s">
        <v>22</v>
      </c>
      <c r="I40" t="s">
        <v>28</v>
      </c>
      <c r="J40" t="s">
        <v>24</v>
      </c>
      <c r="K40" s="6">
        <f t="shared" ca="1" si="4"/>
        <v>33564</v>
      </c>
      <c r="L40">
        <v>-12197</v>
      </c>
      <c r="M40" s="7">
        <f t="shared" ref="M40:M66" ca="1" si="8">(TODAY()-K40)/365.25</f>
        <v>33.393566050650243</v>
      </c>
      <c r="N40" s="5" t="str">
        <f ca="1">VLOOKUP(Data!M40,temp!$B$3:$C$9,2,1)</f>
        <v>30-40</v>
      </c>
      <c r="O40">
        <v>-1194</v>
      </c>
      <c r="P40" s="8">
        <f t="shared" ref="P40:P66" si="9">IF(O40&lt;=0,ABS(O40)/365.25,0)</f>
        <v>3.268993839835729</v>
      </c>
      <c r="Q40" s="5" t="str">
        <f t="shared" si="7"/>
        <v>Employed</v>
      </c>
      <c r="R40">
        <v>1</v>
      </c>
      <c r="S40">
        <v>1</v>
      </c>
      <c r="T40">
        <v>0</v>
      </c>
      <c r="U40">
        <v>0</v>
      </c>
      <c r="V40" t="s">
        <v>32</v>
      </c>
      <c r="W40">
        <v>3</v>
      </c>
    </row>
    <row r="41" spans="1:23" x14ac:dyDescent="0.2">
      <c r="A41">
        <v>5009108</v>
      </c>
      <c r="B41" t="s">
        <v>25</v>
      </c>
      <c r="C41" t="s">
        <v>19</v>
      </c>
      <c r="D41" t="s">
        <v>20</v>
      </c>
      <c r="E41">
        <v>0</v>
      </c>
      <c r="F41">
        <v>360000</v>
      </c>
      <c r="G41" t="s">
        <v>26</v>
      </c>
      <c r="H41" t="s">
        <v>27</v>
      </c>
      <c r="I41" t="s">
        <v>28</v>
      </c>
      <c r="J41" t="s">
        <v>24</v>
      </c>
      <c r="K41" s="6">
        <f t="shared" ca="1" si="4"/>
        <v>30440</v>
      </c>
      <c r="L41">
        <v>-15321</v>
      </c>
      <c r="M41" s="7">
        <f t="shared" ca="1" si="8"/>
        <v>41.946611909650926</v>
      </c>
      <c r="N41" s="5" t="str">
        <f ca="1">VLOOKUP(Data!M41,temp!$B$3:$C$9,2,1)</f>
        <v>40-50</v>
      </c>
      <c r="O41">
        <v>-2747</v>
      </c>
      <c r="P41" s="8">
        <f t="shared" si="9"/>
        <v>7.5208761122518819</v>
      </c>
      <c r="Q41" s="5" t="str">
        <f t="shared" si="7"/>
        <v>Employed</v>
      </c>
      <c r="R41">
        <v>1</v>
      </c>
      <c r="S41">
        <v>0</v>
      </c>
      <c r="T41">
        <v>0</v>
      </c>
      <c r="U41">
        <v>0</v>
      </c>
      <c r="V41" t="s">
        <v>40</v>
      </c>
      <c r="W41">
        <v>2</v>
      </c>
    </row>
    <row r="42" spans="1:23" x14ac:dyDescent="0.2">
      <c r="A42">
        <v>5009125</v>
      </c>
      <c r="B42" t="s">
        <v>18</v>
      </c>
      <c r="C42" t="s">
        <v>19</v>
      </c>
      <c r="D42" t="s">
        <v>19</v>
      </c>
      <c r="E42">
        <v>0</v>
      </c>
      <c r="F42">
        <v>157500</v>
      </c>
      <c r="G42" t="s">
        <v>26</v>
      </c>
      <c r="H42" t="s">
        <v>22</v>
      </c>
      <c r="I42" t="s">
        <v>23</v>
      </c>
      <c r="J42" t="s">
        <v>41</v>
      </c>
      <c r="K42" s="6">
        <f t="shared" ca="1" si="4"/>
        <v>30024</v>
      </c>
      <c r="L42">
        <v>-15737</v>
      </c>
      <c r="M42" s="7">
        <f t="shared" ca="1" si="8"/>
        <v>43.08555783709788</v>
      </c>
      <c r="N42" s="5" t="str">
        <f ca="1">VLOOKUP(Data!M42,temp!$B$3:$C$9,2,1)</f>
        <v>40-50</v>
      </c>
      <c r="O42">
        <v>-432</v>
      </c>
      <c r="P42" s="8">
        <f t="shared" si="9"/>
        <v>1.1827515400410678</v>
      </c>
      <c r="Q42" s="5" t="str">
        <f t="shared" si="7"/>
        <v>Employed</v>
      </c>
      <c r="R42">
        <v>1</v>
      </c>
      <c r="S42">
        <v>0</v>
      </c>
      <c r="T42">
        <v>0</v>
      </c>
      <c r="U42">
        <v>0</v>
      </c>
      <c r="W42">
        <v>1</v>
      </c>
    </row>
    <row r="43" spans="1:23" x14ac:dyDescent="0.2">
      <c r="A43">
        <v>5009133</v>
      </c>
      <c r="B43" t="s">
        <v>25</v>
      </c>
      <c r="C43" t="s">
        <v>19</v>
      </c>
      <c r="D43" t="s">
        <v>20</v>
      </c>
      <c r="E43">
        <v>0</v>
      </c>
      <c r="F43">
        <v>382500</v>
      </c>
      <c r="G43" t="s">
        <v>21</v>
      </c>
      <c r="H43" t="s">
        <v>27</v>
      </c>
      <c r="I43" t="s">
        <v>42</v>
      </c>
      <c r="J43" t="s">
        <v>24</v>
      </c>
      <c r="K43" s="6">
        <f t="shared" ca="1" si="4"/>
        <v>24088</v>
      </c>
      <c r="L43">
        <v>-21673</v>
      </c>
      <c r="M43" s="7">
        <f t="shared" ca="1" si="8"/>
        <v>59.337440109514034</v>
      </c>
      <c r="N43" s="5" t="str">
        <f ca="1">VLOOKUP(Data!M43,temp!$B$3:$C$9,2,1)</f>
        <v>50-60</v>
      </c>
      <c r="O43">
        <v>365243</v>
      </c>
      <c r="P43" s="8">
        <f t="shared" si="9"/>
        <v>0</v>
      </c>
      <c r="Q43" s="5" t="str">
        <f t="shared" si="7"/>
        <v>Unemployed</v>
      </c>
      <c r="R43">
        <v>1</v>
      </c>
      <c r="S43">
        <v>0</v>
      </c>
      <c r="T43">
        <v>0</v>
      </c>
      <c r="U43">
        <v>0</v>
      </c>
      <c r="W43">
        <v>1</v>
      </c>
    </row>
    <row r="44" spans="1:23" x14ac:dyDescent="0.2">
      <c r="A44">
        <v>5009138</v>
      </c>
      <c r="B44" t="s">
        <v>25</v>
      </c>
      <c r="C44" t="s">
        <v>19</v>
      </c>
      <c r="D44" t="s">
        <v>20</v>
      </c>
      <c r="E44">
        <v>0</v>
      </c>
      <c r="F44">
        <v>382500</v>
      </c>
      <c r="G44" t="s">
        <v>21</v>
      </c>
      <c r="H44" t="s">
        <v>27</v>
      </c>
      <c r="I44" t="s">
        <v>42</v>
      </c>
      <c r="J44" t="s">
        <v>24</v>
      </c>
      <c r="K44" s="6">
        <f t="shared" ca="1" si="4"/>
        <v>24088</v>
      </c>
      <c r="L44">
        <v>-21673</v>
      </c>
      <c r="M44" s="7">
        <f t="shared" ca="1" si="8"/>
        <v>59.337440109514034</v>
      </c>
      <c r="N44" s="5" t="str">
        <f ca="1">VLOOKUP(Data!M44,temp!$B$3:$C$9,2,1)</f>
        <v>50-60</v>
      </c>
      <c r="O44">
        <v>365243</v>
      </c>
      <c r="P44" s="8">
        <f t="shared" si="9"/>
        <v>0</v>
      </c>
      <c r="Q44" s="5" t="str">
        <f t="shared" si="7"/>
        <v>Unemployed</v>
      </c>
      <c r="R44">
        <v>1</v>
      </c>
      <c r="S44">
        <v>0</v>
      </c>
      <c r="T44">
        <v>0</v>
      </c>
      <c r="U44">
        <v>0</v>
      </c>
      <c r="W44">
        <v>1</v>
      </c>
    </row>
    <row r="45" spans="1:23" x14ac:dyDescent="0.2">
      <c r="A45">
        <v>5009141</v>
      </c>
      <c r="B45" t="s">
        <v>18</v>
      </c>
      <c r="C45" t="s">
        <v>19</v>
      </c>
      <c r="D45" t="s">
        <v>19</v>
      </c>
      <c r="E45">
        <v>0</v>
      </c>
      <c r="F45">
        <v>135000</v>
      </c>
      <c r="G45" t="s">
        <v>31</v>
      </c>
      <c r="H45" t="s">
        <v>27</v>
      </c>
      <c r="I45" t="s">
        <v>37</v>
      </c>
      <c r="J45" t="s">
        <v>24</v>
      </c>
      <c r="K45" s="6">
        <f t="shared" ca="1" si="4"/>
        <v>36104</v>
      </c>
      <c r="L45">
        <v>-9657</v>
      </c>
      <c r="M45" s="7">
        <f t="shared" ca="1" si="8"/>
        <v>26.439425051334702</v>
      </c>
      <c r="N45" s="5" t="str">
        <f ca="1">VLOOKUP(Data!M45,temp!$B$3:$C$9,2,1)</f>
        <v>20-30</v>
      </c>
      <c r="O45">
        <v>-1560</v>
      </c>
      <c r="P45" s="8">
        <f t="shared" si="9"/>
        <v>4.2710472279260783</v>
      </c>
      <c r="Q45" s="5" t="str">
        <f t="shared" si="7"/>
        <v>Employed</v>
      </c>
      <c r="R45">
        <v>1</v>
      </c>
      <c r="S45">
        <v>1</v>
      </c>
      <c r="T45">
        <v>1</v>
      </c>
      <c r="U45">
        <v>0</v>
      </c>
      <c r="V45" t="s">
        <v>32</v>
      </c>
      <c r="W45">
        <v>2</v>
      </c>
    </row>
    <row r="46" spans="1:23" x14ac:dyDescent="0.2">
      <c r="A46">
        <v>5009149</v>
      </c>
      <c r="B46" t="s">
        <v>25</v>
      </c>
      <c r="C46" t="s">
        <v>20</v>
      </c>
      <c r="D46" t="s">
        <v>19</v>
      </c>
      <c r="E46">
        <v>0</v>
      </c>
      <c r="F46">
        <v>315000</v>
      </c>
      <c r="G46" t="s">
        <v>31</v>
      </c>
      <c r="H46" t="s">
        <v>22</v>
      </c>
      <c r="I46" t="s">
        <v>28</v>
      </c>
      <c r="J46" t="s">
        <v>24</v>
      </c>
      <c r="K46" s="6">
        <f t="shared" ca="1" si="4"/>
        <v>29936</v>
      </c>
      <c r="L46">
        <v>-15825</v>
      </c>
      <c r="M46" s="7">
        <f t="shared" ca="1" si="8"/>
        <v>43.326488706365502</v>
      </c>
      <c r="N46" s="5" t="str">
        <f ca="1">VLOOKUP(Data!M46,temp!$B$3:$C$9,2,1)</f>
        <v>40-50</v>
      </c>
      <c r="O46">
        <v>-3720</v>
      </c>
      <c r="P46" s="8">
        <f t="shared" si="9"/>
        <v>10.184804928131417</v>
      </c>
      <c r="Q46" s="5" t="str">
        <f t="shared" si="7"/>
        <v>Employed</v>
      </c>
      <c r="R46">
        <v>1</v>
      </c>
      <c r="S46">
        <v>1</v>
      </c>
      <c r="T46">
        <v>1</v>
      </c>
      <c r="U46">
        <v>0</v>
      </c>
      <c r="V46" t="s">
        <v>32</v>
      </c>
      <c r="W46">
        <v>2</v>
      </c>
    </row>
    <row r="47" spans="1:23" x14ac:dyDescent="0.2">
      <c r="A47">
        <v>5009159</v>
      </c>
      <c r="B47" t="s">
        <v>18</v>
      </c>
      <c r="C47" t="s">
        <v>19</v>
      </c>
      <c r="D47" t="s">
        <v>19</v>
      </c>
      <c r="E47">
        <v>0</v>
      </c>
      <c r="F47">
        <v>180000</v>
      </c>
      <c r="G47" t="s">
        <v>31</v>
      </c>
      <c r="H47" t="s">
        <v>27</v>
      </c>
      <c r="I47" t="s">
        <v>28</v>
      </c>
      <c r="J47" t="s">
        <v>24</v>
      </c>
      <c r="K47" s="6">
        <f t="shared" ca="1" si="4"/>
        <v>26186</v>
      </c>
      <c r="L47">
        <v>-19575</v>
      </c>
      <c r="M47" s="7">
        <f t="shared" ca="1" si="8"/>
        <v>53.593429158110879</v>
      </c>
      <c r="N47" s="5" t="str">
        <f ca="1">VLOOKUP(Data!M47,temp!$B$3:$C$9,2,1)</f>
        <v>50-60</v>
      </c>
      <c r="O47">
        <v>-2901</v>
      </c>
      <c r="P47" s="8">
        <f t="shared" si="9"/>
        <v>7.9425051334702257</v>
      </c>
      <c r="Q47" s="5" t="str">
        <f t="shared" si="7"/>
        <v>Employed</v>
      </c>
      <c r="R47">
        <v>1</v>
      </c>
      <c r="S47">
        <v>0</v>
      </c>
      <c r="T47">
        <v>0</v>
      </c>
      <c r="U47">
        <v>0</v>
      </c>
      <c r="V47" t="s">
        <v>39</v>
      </c>
      <c r="W47">
        <v>2</v>
      </c>
    </row>
    <row r="48" spans="1:23" x14ac:dyDescent="0.2">
      <c r="A48">
        <v>5009183</v>
      </c>
      <c r="B48" t="s">
        <v>25</v>
      </c>
      <c r="C48" t="s">
        <v>20</v>
      </c>
      <c r="D48" t="s">
        <v>19</v>
      </c>
      <c r="E48">
        <v>0</v>
      </c>
      <c r="F48">
        <v>229500</v>
      </c>
      <c r="G48" t="s">
        <v>31</v>
      </c>
      <c r="H48" t="s">
        <v>36</v>
      </c>
      <c r="I48" t="s">
        <v>28</v>
      </c>
      <c r="J48" t="s">
        <v>43</v>
      </c>
      <c r="K48" s="6">
        <f t="shared" ca="1" si="4"/>
        <v>27436</v>
      </c>
      <c r="L48">
        <v>-18325</v>
      </c>
      <c r="M48" s="7">
        <f t="shared" ca="1" si="8"/>
        <v>50.171115674195754</v>
      </c>
      <c r="N48" s="5" t="str">
        <f ca="1">VLOOKUP(Data!M48,temp!$B$3:$C$9,2,1)</f>
        <v>50-60</v>
      </c>
      <c r="O48">
        <v>-1256</v>
      </c>
      <c r="P48" s="8">
        <f t="shared" si="9"/>
        <v>3.4387405886379194</v>
      </c>
      <c r="Q48" s="5" t="str">
        <f t="shared" si="7"/>
        <v>Employed</v>
      </c>
      <c r="R48">
        <v>1</v>
      </c>
      <c r="S48">
        <v>0</v>
      </c>
      <c r="T48">
        <v>0</v>
      </c>
      <c r="U48">
        <v>0</v>
      </c>
      <c r="V48" t="s">
        <v>29</v>
      </c>
      <c r="W48">
        <v>2</v>
      </c>
    </row>
    <row r="49" spans="1:23" x14ac:dyDescent="0.2">
      <c r="A49">
        <v>5009188</v>
      </c>
      <c r="B49" t="s">
        <v>18</v>
      </c>
      <c r="C49" t="s">
        <v>19</v>
      </c>
      <c r="D49" t="s">
        <v>19</v>
      </c>
      <c r="E49">
        <v>0</v>
      </c>
      <c r="F49">
        <v>270000</v>
      </c>
      <c r="G49" t="s">
        <v>31</v>
      </c>
      <c r="H49" t="s">
        <v>22</v>
      </c>
      <c r="I49" t="s">
        <v>28</v>
      </c>
      <c r="J49" t="s">
        <v>24</v>
      </c>
      <c r="K49" s="6">
        <f t="shared" ca="1" si="4"/>
        <v>28188</v>
      </c>
      <c r="L49">
        <v>-17573</v>
      </c>
      <c r="M49" s="7">
        <f t="shared" ca="1" si="8"/>
        <v>48.112251882272417</v>
      </c>
      <c r="N49" s="5" t="str">
        <f ca="1">VLOOKUP(Data!M49,temp!$B$3:$C$9,2,1)</f>
        <v>40-50</v>
      </c>
      <c r="O49">
        <v>-5792</v>
      </c>
      <c r="P49" s="8">
        <f t="shared" si="9"/>
        <v>15.857631759069131</v>
      </c>
      <c r="Q49" s="5" t="str">
        <f t="shared" si="7"/>
        <v>Employed</v>
      </c>
      <c r="R49">
        <v>1</v>
      </c>
      <c r="S49">
        <v>1</v>
      </c>
      <c r="T49">
        <v>1</v>
      </c>
      <c r="U49">
        <v>0</v>
      </c>
      <c r="V49" t="s">
        <v>32</v>
      </c>
      <c r="W49">
        <v>2</v>
      </c>
    </row>
    <row r="50" spans="1:23" x14ac:dyDescent="0.2">
      <c r="A50">
        <v>5009189</v>
      </c>
      <c r="B50" t="s">
        <v>18</v>
      </c>
      <c r="C50" t="s">
        <v>19</v>
      </c>
      <c r="D50" t="s">
        <v>19</v>
      </c>
      <c r="E50">
        <v>0</v>
      </c>
      <c r="F50">
        <v>270000</v>
      </c>
      <c r="G50" t="s">
        <v>31</v>
      </c>
      <c r="H50" t="s">
        <v>22</v>
      </c>
      <c r="I50" t="s">
        <v>28</v>
      </c>
      <c r="J50" t="s">
        <v>24</v>
      </c>
      <c r="K50" s="6">
        <f t="shared" ca="1" si="4"/>
        <v>28188</v>
      </c>
      <c r="L50">
        <v>-17573</v>
      </c>
      <c r="M50" s="7">
        <f t="shared" ca="1" si="8"/>
        <v>48.112251882272417</v>
      </c>
      <c r="N50" s="5" t="str">
        <f ca="1">VLOOKUP(Data!M50,temp!$B$3:$C$9,2,1)</f>
        <v>40-50</v>
      </c>
      <c r="O50">
        <v>-5792</v>
      </c>
      <c r="P50" s="8">
        <f t="shared" si="9"/>
        <v>15.857631759069131</v>
      </c>
      <c r="Q50" s="5" t="str">
        <f t="shared" si="7"/>
        <v>Employed</v>
      </c>
      <c r="R50">
        <v>1</v>
      </c>
      <c r="S50">
        <v>1</v>
      </c>
      <c r="T50">
        <v>1</v>
      </c>
      <c r="U50">
        <v>0</v>
      </c>
      <c r="V50" t="s">
        <v>32</v>
      </c>
      <c r="W50">
        <v>2</v>
      </c>
    </row>
    <row r="51" spans="1:23" x14ac:dyDescent="0.2">
      <c r="A51">
        <v>5009201</v>
      </c>
      <c r="B51" t="s">
        <v>18</v>
      </c>
      <c r="C51" t="s">
        <v>19</v>
      </c>
      <c r="D51" t="s">
        <v>19</v>
      </c>
      <c r="E51">
        <v>0</v>
      </c>
      <c r="F51">
        <v>292500</v>
      </c>
      <c r="G51" t="s">
        <v>35</v>
      </c>
      <c r="H51" t="s">
        <v>27</v>
      </c>
      <c r="I51" t="s">
        <v>28</v>
      </c>
      <c r="J51" t="s">
        <v>24</v>
      </c>
      <c r="K51" s="6">
        <f t="shared" ca="1" si="4"/>
        <v>24808</v>
      </c>
      <c r="L51">
        <v>-20953</v>
      </c>
      <c r="M51" s="7">
        <f t="shared" ca="1" si="8"/>
        <v>57.366187542778917</v>
      </c>
      <c r="N51" s="5" t="str">
        <f ca="1">VLOOKUP(Data!M51,temp!$B$3:$C$9,2,1)</f>
        <v>50-60</v>
      </c>
      <c r="O51">
        <v>-8684</v>
      </c>
      <c r="P51" s="8">
        <f t="shared" si="9"/>
        <v>23.775496235455169</v>
      </c>
      <c r="Q51" s="5" t="str">
        <f t="shared" si="7"/>
        <v>Employed</v>
      </c>
      <c r="R51">
        <v>1</v>
      </c>
      <c r="S51">
        <v>1</v>
      </c>
      <c r="T51">
        <v>1</v>
      </c>
      <c r="U51">
        <v>0</v>
      </c>
      <c r="V51" t="s">
        <v>44</v>
      </c>
      <c r="W51">
        <v>2</v>
      </c>
    </row>
    <row r="52" spans="1:23" x14ac:dyDescent="0.2">
      <c r="A52">
        <v>5009215</v>
      </c>
      <c r="B52" t="s">
        <v>18</v>
      </c>
      <c r="C52" t="s">
        <v>19</v>
      </c>
      <c r="D52" t="s">
        <v>19</v>
      </c>
      <c r="E52">
        <v>0</v>
      </c>
      <c r="F52">
        <v>270000</v>
      </c>
      <c r="G52" t="s">
        <v>31</v>
      </c>
      <c r="H52" t="s">
        <v>22</v>
      </c>
      <c r="I52" t="s">
        <v>28</v>
      </c>
      <c r="J52" t="s">
        <v>24</v>
      </c>
      <c r="K52" s="6">
        <f t="shared" ca="1" si="4"/>
        <v>33428</v>
      </c>
      <c r="L52">
        <v>-12333</v>
      </c>
      <c r="M52" s="7">
        <f t="shared" ca="1" si="8"/>
        <v>33.765913757700204</v>
      </c>
      <c r="N52" s="5" t="str">
        <f ca="1">VLOOKUP(Data!M52,temp!$B$3:$C$9,2,1)</f>
        <v>30-40</v>
      </c>
      <c r="O52">
        <v>-860</v>
      </c>
      <c r="P52" s="8">
        <f t="shared" si="9"/>
        <v>2.3545516769336072</v>
      </c>
      <c r="Q52" s="5" t="str">
        <f t="shared" si="7"/>
        <v>Employed</v>
      </c>
      <c r="R52">
        <v>1</v>
      </c>
      <c r="S52">
        <v>1</v>
      </c>
      <c r="T52">
        <v>1</v>
      </c>
      <c r="U52">
        <v>0</v>
      </c>
      <c r="V52" t="s">
        <v>44</v>
      </c>
      <c r="W52">
        <v>2</v>
      </c>
    </row>
    <row r="53" spans="1:23" x14ac:dyDescent="0.2">
      <c r="A53">
        <v>5009243</v>
      </c>
      <c r="B53" t="s">
        <v>18</v>
      </c>
      <c r="C53" t="s">
        <v>19</v>
      </c>
      <c r="D53" t="s">
        <v>19</v>
      </c>
      <c r="E53">
        <v>0</v>
      </c>
      <c r="F53">
        <v>74250</v>
      </c>
      <c r="G53" t="s">
        <v>31</v>
      </c>
      <c r="H53" t="s">
        <v>22</v>
      </c>
      <c r="I53" t="s">
        <v>23</v>
      </c>
      <c r="J53" t="s">
        <v>45</v>
      </c>
      <c r="K53" s="6">
        <f t="shared" ca="1" si="4"/>
        <v>26679</v>
      </c>
      <c r="L53">
        <v>-19082</v>
      </c>
      <c r="M53" s="7">
        <f t="shared" ca="1" si="8"/>
        <v>52.243668720054757</v>
      </c>
      <c r="N53" s="5" t="str">
        <f ca="1">VLOOKUP(Data!M53,temp!$B$3:$C$9,2,1)</f>
        <v>50-60</v>
      </c>
      <c r="O53">
        <v>-5243</v>
      </c>
      <c r="P53" s="8">
        <f t="shared" si="9"/>
        <v>14.354551676933607</v>
      </c>
      <c r="Q53" s="5" t="str">
        <f t="shared" si="7"/>
        <v>Employed</v>
      </c>
      <c r="R53">
        <v>1</v>
      </c>
      <c r="S53">
        <v>0</v>
      </c>
      <c r="T53">
        <v>1</v>
      </c>
      <c r="U53">
        <v>0</v>
      </c>
      <c r="V53" t="s">
        <v>38</v>
      </c>
      <c r="W53">
        <v>1</v>
      </c>
    </row>
    <row r="54" spans="1:23" x14ac:dyDescent="0.2">
      <c r="A54">
        <v>5009249</v>
      </c>
      <c r="B54" t="s">
        <v>25</v>
      </c>
      <c r="C54" t="s">
        <v>20</v>
      </c>
      <c r="D54" t="s">
        <v>19</v>
      </c>
      <c r="E54">
        <v>1</v>
      </c>
      <c r="F54">
        <v>135000</v>
      </c>
      <c r="G54" t="s">
        <v>31</v>
      </c>
      <c r="H54" t="s">
        <v>27</v>
      </c>
      <c r="I54" t="s">
        <v>28</v>
      </c>
      <c r="J54" t="s">
        <v>24</v>
      </c>
      <c r="K54" s="6">
        <f t="shared" ca="1" si="4"/>
        <v>35804</v>
      </c>
      <c r="L54">
        <v>-9957</v>
      </c>
      <c r="M54" s="7">
        <f t="shared" ca="1" si="8"/>
        <v>27.260780287474333</v>
      </c>
      <c r="N54" s="5" t="str">
        <f ca="1">VLOOKUP(Data!M54,temp!$B$3:$C$9,2,1)</f>
        <v>20-30</v>
      </c>
      <c r="O54">
        <v>-921</v>
      </c>
      <c r="P54" s="8">
        <f t="shared" si="9"/>
        <v>2.5215605749486651</v>
      </c>
      <c r="Q54" s="5" t="str">
        <f t="shared" si="7"/>
        <v>Employed</v>
      </c>
      <c r="R54">
        <v>1</v>
      </c>
      <c r="S54">
        <v>1</v>
      </c>
      <c r="T54">
        <v>0</v>
      </c>
      <c r="U54">
        <v>0</v>
      </c>
      <c r="V54" t="s">
        <v>30</v>
      </c>
      <c r="W54">
        <v>3</v>
      </c>
    </row>
    <row r="55" spans="1:23" x14ac:dyDescent="0.2">
      <c r="A55">
        <v>5009265</v>
      </c>
      <c r="B55" t="s">
        <v>25</v>
      </c>
      <c r="C55" t="s">
        <v>20</v>
      </c>
      <c r="D55" t="s">
        <v>19</v>
      </c>
      <c r="E55">
        <v>0</v>
      </c>
      <c r="F55">
        <v>337500</v>
      </c>
      <c r="G55" t="s">
        <v>35</v>
      </c>
      <c r="H55" t="s">
        <v>22</v>
      </c>
      <c r="I55" t="s">
        <v>28</v>
      </c>
      <c r="J55" t="s">
        <v>41</v>
      </c>
      <c r="K55" s="6">
        <f t="shared" ca="1" si="4"/>
        <v>35495</v>
      </c>
      <c r="L55">
        <v>-10266</v>
      </c>
      <c r="M55" s="7">
        <f t="shared" ca="1" si="8"/>
        <v>28.106776180698152</v>
      </c>
      <c r="N55" s="5" t="str">
        <f ca="1">VLOOKUP(Data!M55,temp!$B$3:$C$9,2,1)</f>
        <v>20-30</v>
      </c>
      <c r="O55">
        <v>-1652</v>
      </c>
      <c r="P55" s="8">
        <f t="shared" si="9"/>
        <v>4.5229295003422312</v>
      </c>
      <c r="Q55" s="5" t="str">
        <f t="shared" si="7"/>
        <v>Employed</v>
      </c>
      <c r="R55">
        <v>1</v>
      </c>
      <c r="S55">
        <v>1</v>
      </c>
      <c r="T55">
        <v>1</v>
      </c>
      <c r="U55">
        <v>0</v>
      </c>
      <c r="V55" t="s">
        <v>32</v>
      </c>
      <c r="W55">
        <v>2</v>
      </c>
    </row>
    <row r="56" spans="1:23" x14ac:dyDescent="0.2">
      <c r="A56">
        <v>5009266</v>
      </c>
      <c r="B56" t="s">
        <v>25</v>
      </c>
      <c r="C56" t="s">
        <v>20</v>
      </c>
      <c r="D56" t="s">
        <v>19</v>
      </c>
      <c r="E56">
        <v>0</v>
      </c>
      <c r="F56">
        <v>337500</v>
      </c>
      <c r="G56" t="s">
        <v>35</v>
      </c>
      <c r="H56" t="s">
        <v>22</v>
      </c>
      <c r="I56" t="s">
        <v>28</v>
      </c>
      <c r="J56" t="s">
        <v>41</v>
      </c>
      <c r="K56" s="6">
        <f t="shared" ca="1" si="4"/>
        <v>35495</v>
      </c>
      <c r="L56">
        <v>-10266</v>
      </c>
      <c r="M56" s="7">
        <f t="shared" ca="1" si="8"/>
        <v>28.106776180698152</v>
      </c>
      <c r="N56" s="5" t="str">
        <f ca="1">VLOOKUP(Data!M56,temp!$B$3:$C$9,2,1)</f>
        <v>20-30</v>
      </c>
      <c r="O56">
        <v>-1652</v>
      </c>
      <c r="P56" s="8">
        <f t="shared" si="9"/>
        <v>4.5229295003422312</v>
      </c>
      <c r="Q56" s="5" t="str">
        <f t="shared" si="7"/>
        <v>Employed</v>
      </c>
      <c r="R56">
        <v>1</v>
      </c>
      <c r="S56">
        <v>1</v>
      </c>
      <c r="T56">
        <v>1</v>
      </c>
      <c r="U56">
        <v>0</v>
      </c>
      <c r="V56" t="s">
        <v>32</v>
      </c>
      <c r="W56">
        <v>2</v>
      </c>
    </row>
    <row r="57" spans="1:23" x14ac:dyDescent="0.2">
      <c r="A57">
        <v>5009271</v>
      </c>
      <c r="B57" t="s">
        <v>25</v>
      </c>
      <c r="C57" t="s">
        <v>19</v>
      </c>
      <c r="D57" t="s">
        <v>19</v>
      </c>
      <c r="E57">
        <v>0</v>
      </c>
      <c r="F57">
        <v>180000</v>
      </c>
      <c r="G57" t="s">
        <v>26</v>
      </c>
      <c r="H57" t="s">
        <v>27</v>
      </c>
      <c r="I57" t="s">
        <v>28</v>
      </c>
      <c r="J57" t="s">
        <v>45</v>
      </c>
      <c r="K57" s="6">
        <f t="shared" ca="1" si="4"/>
        <v>30980</v>
      </c>
      <c r="L57">
        <v>-14781</v>
      </c>
      <c r="M57" s="7">
        <f t="shared" ca="1" si="8"/>
        <v>40.468172484599592</v>
      </c>
      <c r="N57" s="5" t="str">
        <f ca="1">VLOOKUP(Data!M57,temp!$B$3:$C$9,2,1)</f>
        <v>40-50</v>
      </c>
      <c r="O57">
        <v>-2443</v>
      </c>
      <c r="P57" s="8">
        <f t="shared" si="9"/>
        <v>6.6885694729637235</v>
      </c>
      <c r="Q57" s="5" t="str">
        <f t="shared" si="7"/>
        <v>Employed</v>
      </c>
      <c r="R57">
        <v>1</v>
      </c>
      <c r="S57">
        <v>0</v>
      </c>
      <c r="T57">
        <v>1</v>
      </c>
      <c r="U57">
        <v>0</v>
      </c>
      <c r="V57" t="s">
        <v>29</v>
      </c>
      <c r="W57">
        <v>2</v>
      </c>
    </row>
    <row r="58" spans="1:23" x14ac:dyDescent="0.2">
      <c r="A58">
        <v>5009281</v>
      </c>
      <c r="B58" t="s">
        <v>18</v>
      </c>
      <c r="C58" t="s">
        <v>19</v>
      </c>
      <c r="D58" t="s">
        <v>19</v>
      </c>
      <c r="E58">
        <v>0</v>
      </c>
      <c r="F58">
        <v>130500</v>
      </c>
      <c r="G58" t="s">
        <v>31</v>
      </c>
      <c r="H58" t="s">
        <v>27</v>
      </c>
      <c r="I58" t="s">
        <v>37</v>
      </c>
      <c r="J58" t="s">
        <v>24</v>
      </c>
      <c r="K58" s="6">
        <f t="shared" ca="1" si="4"/>
        <v>30621</v>
      </c>
      <c r="L58">
        <v>-15140</v>
      </c>
      <c r="M58" s="7">
        <f t="shared" ca="1" si="8"/>
        <v>41.451060917180016</v>
      </c>
      <c r="N58" s="5" t="str">
        <f ca="1">VLOOKUP(Data!M58,temp!$B$3:$C$9,2,1)</f>
        <v>40-50</v>
      </c>
      <c r="O58">
        <v>-4816</v>
      </c>
      <c r="P58" s="8">
        <f t="shared" si="9"/>
        <v>13.1854893908282</v>
      </c>
      <c r="Q58" s="5" t="str">
        <f t="shared" si="7"/>
        <v>Employed</v>
      </c>
      <c r="R58">
        <v>1</v>
      </c>
      <c r="S58">
        <v>0</v>
      </c>
      <c r="T58">
        <v>1</v>
      </c>
      <c r="U58">
        <v>0</v>
      </c>
      <c r="V58" t="s">
        <v>46</v>
      </c>
      <c r="W58">
        <v>2</v>
      </c>
    </row>
    <row r="59" spans="1:23" x14ac:dyDescent="0.2">
      <c r="A59">
        <v>5009293</v>
      </c>
      <c r="B59" t="s">
        <v>18</v>
      </c>
      <c r="C59" t="s">
        <v>19</v>
      </c>
      <c r="D59" t="s">
        <v>19</v>
      </c>
      <c r="E59">
        <v>0</v>
      </c>
      <c r="F59">
        <v>130500</v>
      </c>
      <c r="G59" t="s">
        <v>31</v>
      </c>
      <c r="H59" t="s">
        <v>27</v>
      </c>
      <c r="I59" t="s">
        <v>37</v>
      </c>
      <c r="J59" t="s">
        <v>24</v>
      </c>
      <c r="K59" s="6">
        <f t="shared" ca="1" si="4"/>
        <v>30621</v>
      </c>
      <c r="L59">
        <v>-15140</v>
      </c>
      <c r="M59" s="7">
        <f t="shared" ca="1" si="8"/>
        <v>41.451060917180016</v>
      </c>
      <c r="N59" s="5" t="str">
        <f ca="1">VLOOKUP(Data!M59,temp!$B$3:$C$9,2,1)</f>
        <v>40-50</v>
      </c>
      <c r="O59">
        <v>-4816</v>
      </c>
      <c r="P59" s="8">
        <f t="shared" si="9"/>
        <v>13.1854893908282</v>
      </c>
      <c r="Q59" s="5" t="str">
        <f t="shared" si="7"/>
        <v>Employed</v>
      </c>
      <c r="R59">
        <v>1</v>
      </c>
      <c r="S59">
        <v>0</v>
      </c>
      <c r="T59">
        <v>1</v>
      </c>
      <c r="U59">
        <v>0</v>
      </c>
      <c r="V59" t="s">
        <v>46</v>
      </c>
      <c r="W59">
        <v>2</v>
      </c>
    </row>
    <row r="60" spans="1:23" x14ac:dyDescent="0.2">
      <c r="A60">
        <v>5009295</v>
      </c>
      <c r="B60" t="s">
        <v>18</v>
      </c>
      <c r="C60" t="s">
        <v>19</v>
      </c>
      <c r="D60" t="s">
        <v>19</v>
      </c>
      <c r="E60">
        <v>0</v>
      </c>
      <c r="F60">
        <v>144000</v>
      </c>
      <c r="G60" t="s">
        <v>21</v>
      </c>
      <c r="H60" t="s">
        <v>27</v>
      </c>
      <c r="I60" t="s">
        <v>28</v>
      </c>
      <c r="J60" t="s">
        <v>24</v>
      </c>
      <c r="K60" s="6">
        <f t="shared" ca="1" si="4"/>
        <v>24720</v>
      </c>
      <c r="L60">
        <v>-21041</v>
      </c>
      <c r="M60" s="7">
        <f t="shared" ca="1" si="8"/>
        <v>57.607118412046546</v>
      </c>
      <c r="N60" s="5" t="str">
        <f ca="1">VLOOKUP(Data!M60,temp!$B$3:$C$9,2,1)</f>
        <v>50-60</v>
      </c>
      <c r="O60">
        <v>365243</v>
      </c>
      <c r="P60" s="8">
        <f t="shared" si="9"/>
        <v>0</v>
      </c>
      <c r="Q60" s="5" t="str">
        <f t="shared" si="7"/>
        <v>Unemployed</v>
      </c>
      <c r="R60">
        <v>1</v>
      </c>
      <c r="S60">
        <v>0</v>
      </c>
      <c r="T60">
        <v>1</v>
      </c>
      <c r="U60">
        <v>0</v>
      </c>
      <c r="W60">
        <v>2</v>
      </c>
    </row>
    <row r="61" spans="1:23" x14ac:dyDescent="0.2">
      <c r="A61">
        <v>5009296</v>
      </c>
      <c r="B61" t="s">
        <v>18</v>
      </c>
      <c r="C61" t="s">
        <v>19</v>
      </c>
      <c r="D61" t="s">
        <v>19</v>
      </c>
      <c r="E61">
        <v>0</v>
      </c>
      <c r="F61">
        <v>144000</v>
      </c>
      <c r="G61" t="s">
        <v>21</v>
      </c>
      <c r="H61" t="s">
        <v>27</v>
      </c>
      <c r="I61" t="s">
        <v>28</v>
      </c>
      <c r="J61" t="s">
        <v>24</v>
      </c>
      <c r="K61" s="6">
        <f t="shared" ca="1" si="4"/>
        <v>24720</v>
      </c>
      <c r="L61">
        <v>-21041</v>
      </c>
      <c r="M61" s="7">
        <f t="shared" ca="1" si="8"/>
        <v>57.607118412046546</v>
      </c>
      <c r="N61" s="5" t="str">
        <f ca="1">VLOOKUP(Data!M61,temp!$B$3:$C$9,2,1)</f>
        <v>50-60</v>
      </c>
      <c r="O61">
        <v>365243</v>
      </c>
      <c r="P61" s="8">
        <f t="shared" si="9"/>
        <v>0</v>
      </c>
      <c r="Q61" s="5" t="str">
        <f t="shared" si="7"/>
        <v>Unemployed</v>
      </c>
      <c r="R61">
        <v>1</v>
      </c>
      <c r="S61">
        <v>0</v>
      </c>
      <c r="T61">
        <v>1</v>
      </c>
      <c r="U61">
        <v>0</v>
      </c>
      <c r="W61">
        <v>2</v>
      </c>
    </row>
    <row r="62" spans="1:23" x14ac:dyDescent="0.2">
      <c r="A62">
        <v>5009309</v>
      </c>
      <c r="B62" t="s">
        <v>18</v>
      </c>
      <c r="C62" t="s">
        <v>20</v>
      </c>
      <c r="D62" t="s">
        <v>19</v>
      </c>
      <c r="E62">
        <v>0</v>
      </c>
      <c r="F62">
        <v>135000</v>
      </c>
      <c r="G62" t="s">
        <v>21</v>
      </c>
      <c r="H62" t="s">
        <v>27</v>
      </c>
      <c r="I62" t="s">
        <v>28</v>
      </c>
      <c r="J62" t="s">
        <v>24</v>
      </c>
      <c r="K62" s="6">
        <f t="shared" ca="1" si="4"/>
        <v>25621</v>
      </c>
      <c r="L62">
        <v>-20140</v>
      </c>
      <c r="M62" s="7">
        <f t="shared" ca="1" si="8"/>
        <v>55.140314852840518</v>
      </c>
      <c r="N62" s="5" t="str">
        <f ca="1">VLOOKUP(Data!M62,temp!$B$3:$C$9,2,1)</f>
        <v>50-60</v>
      </c>
      <c r="O62">
        <v>365243</v>
      </c>
      <c r="P62" s="8">
        <f t="shared" si="9"/>
        <v>0</v>
      </c>
      <c r="Q62" s="5" t="str">
        <f t="shared" si="7"/>
        <v>Unemployed</v>
      </c>
      <c r="R62">
        <v>1</v>
      </c>
      <c r="S62">
        <v>0</v>
      </c>
      <c r="T62">
        <v>1</v>
      </c>
      <c r="U62">
        <v>1</v>
      </c>
      <c r="W62">
        <v>2</v>
      </c>
    </row>
    <row r="63" spans="1:23" x14ac:dyDescent="0.2">
      <c r="A63">
        <v>5009325</v>
      </c>
      <c r="B63" t="s">
        <v>25</v>
      </c>
      <c r="C63" t="s">
        <v>20</v>
      </c>
      <c r="D63" t="s">
        <v>19</v>
      </c>
      <c r="E63">
        <v>0</v>
      </c>
      <c r="F63">
        <v>267750</v>
      </c>
      <c r="G63" t="s">
        <v>31</v>
      </c>
      <c r="H63" t="s">
        <v>22</v>
      </c>
      <c r="I63" t="s">
        <v>28</v>
      </c>
      <c r="J63" t="s">
        <v>24</v>
      </c>
      <c r="K63" s="6">
        <f t="shared" ca="1" si="4"/>
        <v>24770</v>
      </c>
      <c r="L63">
        <v>-20991</v>
      </c>
      <c r="M63" s="7">
        <f t="shared" ca="1" si="8"/>
        <v>57.470225872689937</v>
      </c>
      <c r="N63" s="5" t="str">
        <f ca="1">VLOOKUP(Data!M63,temp!$B$3:$C$9,2,1)</f>
        <v>50-60</v>
      </c>
      <c r="O63">
        <v>-4727</v>
      </c>
      <c r="P63" s="8">
        <f t="shared" si="9"/>
        <v>12.941820670773442</v>
      </c>
      <c r="Q63" s="5" t="str">
        <f t="shared" si="7"/>
        <v>Employed</v>
      </c>
      <c r="R63">
        <v>1</v>
      </c>
      <c r="S63">
        <v>0</v>
      </c>
      <c r="T63">
        <v>1</v>
      </c>
      <c r="U63">
        <v>0</v>
      </c>
      <c r="V63" t="s">
        <v>29</v>
      </c>
      <c r="W63">
        <v>2</v>
      </c>
    </row>
    <row r="64" spans="1:23" x14ac:dyDescent="0.2">
      <c r="A64">
        <v>5009331</v>
      </c>
      <c r="B64" t="s">
        <v>25</v>
      </c>
      <c r="C64" t="s">
        <v>20</v>
      </c>
      <c r="D64" t="s">
        <v>19</v>
      </c>
      <c r="E64">
        <v>0</v>
      </c>
      <c r="F64">
        <v>267750</v>
      </c>
      <c r="G64" t="s">
        <v>31</v>
      </c>
      <c r="H64" t="s">
        <v>22</v>
      </c>
      <c r="I64" t="s">
        <v>28</v>
      </c>
      <c r="J64" t="s">
        <v>24</v>
      </c>
      <c r="K64" s="6">
        <f t="shared" ca="1" si="4"/>
        <v>24770</v>
      </c>
      <c r="L64">
        <v>-20991</v>
      </c>
      <c r="M64" s="7">
        <f t="shared" ca="1" si="8"/>
        <v>57.470225872689937</v>
      </c>
      <c r="N64" s="5" t="str">
        <f ca="1">VLOOKUP(Data!M64,temp!$B$3:$C$9,2,1)</f>
        <v>50-60</v>
      </c>
      <c r="O64">
        <v>-4727</v>
      </c>
      <c r="P64" s="8">
        <f t="shared" si="9"/>
        <v>12.941820670773442</v>
      </c>
      <c r="Q64" s="5" t="str">
        <f t="shared" si="7"/>
        <v>Employed</v>
      </c>
      <c r="R64">
        <v>1</v>
      </c>
      <c r="S64">
        <v>0</v>
      </c>
      <c r="T64">
        <v>1</v>
      </c>
      <c r="U64">
        <v>0</v>
      </c>
      <c r="V64" t="s">
        <v>29</v>
      </c>
      <c r="W64">
        <v>2</v>
      </c>
    </row>
    <row r="65" spans="1:23" x14ac:dyDescent="0.2">
      <c r="A65">
        <v>5009336</v>
      </c>
      <c r="B65" t="s">
        <v>18</v>
      </c>
      <c r="C65" t="s">
        <v>19</v>
      </c>
      <c r="D65" t="s">
        <v>19</v>
      </c>
      <c r="E65">
        <v>0</v>
      </c>
      <c r="F65">
        <v>139500</v>
      </c>
      <c r="G65" t="s">
        <v>31</v>
      </c>
      <c r="H65" t="s">
        <v>22</v>
      </c>
      <c r="I65" t="s">
        <v>23</v>
      </c>
      <c r="J65" t="s">
        <v>24</v>
      </c>
      <c r="K65" s="6">
        <f t="shared" ca="1" si="4"/>
        <v>29558</v>
      </c>
      <c r="L65">
        <v>-16203</v>
      </c>
      <c r="M65" s="7">
        <f t="shared" ca="1" si="8"/>
        <v>44.361396303901437</v>
      </c>
      <c r="N65" s="5" t="str">
        <f ca="1">VLOOKUP(Data!M65,temp!$B$3:$C$9,2,1)</f>
        <v>40-50</v>
      </c>
      <c r="O65">
        <v>-7100</v>
      </c>
      <c r="P65" s="8">
        <f t="shared" si="9"/>
        <v>19.43874058863792</v>
      </c>
      <c r="Q65" s="5" t="str">
        <f t="shared" si="7"/>
        <v>Employed</v>
      </c>
      <c r="R65">
        <v>1</v>
      </c>
      <c r="S65">
        <v>0</v>
      </c>
      <c r="T65">
        <v>0</v>
      </c>
      <c r="U65">
        <v>0</v>
      </c>
      <c r="V65" t="s">
        <v>32</v>
      </c>
      <c r="W65">
        <v>1</v>
      </c>
    </row>
    <row r="66" spans="1:23" x14ac:dyDescent="0.2">
      <c r="A66">
        <v>5009341</v>
      </c>
      <c r="B66" t="s">
        <v>25</v>
      </c>
      <c r="C66" t="s">
        <v>20</v>
      </c>
      <c r="D66" t="s">
        <v>19</v>
      </c>
      <c r="E66">
        <v>0</v>
      </c>
      <c r="F66">
        <v>252000</v>
      </c>
      <c r="G66" t="s">
        <v>31</v>
      </c>
      <c r="H66" t="s">
        <v>27</v>
      </c>
      <c r="I66" t="s">
        <v>28</v>
      </c>
      <c r="J66" t="s">
        <v>24</v>
      </c>
      <c r="K66" s="6">
        <f t="shared" ca="1" si="4"/>
        <v>35011</v>
      </c>
      <c r="L66">
        <v>-10750</v>
      </c>
      <c r="M66" s="7">
        <f t="shared" ca="1" si="8"/>
        <v>29.43189596167009</v>
      </c>
      <c r="N66" s="5" t="str">
        <f ca="1">VLOOKUP(Data!M66,temp!$B$3:$C$9,2,1)</f>
        <v>20-30</v>
      </c>
      <c r="O66">
        <v>-2443</v>
      </c>
      <c r="P66" s="8">
        <f t="shared" si="9"/>
        <v>6.6885694729637235</v>
      </c>
      <c r="Q66" s="5" t="str">
        <f t="shared" si="7"/>
        <v>Employed</v>
      </c>
      <c r="R66">
        <v>1</v>
      </c>
      <c r="S66">
        <v>0</v>
      </c>
      <c r="T66">
        <v>0</v>
      </c>
      <c r="U66">
        <v>0</v>
      </c>
      <c r="V66" t="s">
        <v>47</v>
      </c>
      <c r="W66">
        <v>2</v>
      </c>
    </row>
    <row r="67" spans="1:23" x14ac:dyDescent="0.2">
      <c r="A67">
        <v>5009346</v>
      </c>
      <c r="B67" t="s">
        <v>25</v>
      </c>
      <c r="C67" t="s">
        <v>20</v>
      </c>
      <c r="D67" t="s">
        <v>19</v>
      </c>
      <c r="E67">
        <v>0</v>
      </c>
      <c r="F67">
        <v>252000</v>
      </c>
      <c r="G67" t="s">
        <v>31</v>
      </c>
      <c r="H67" t="s">
        <v>27</v>
      </c>
      <c r="I67" t="s">
        <v>28</v>
      </c>
      <c r="J67" t="s">
        <v>24</v>
      </c>
      <c r="K67" s="6">
        <f t="shared" ca="1" si="4"/>
        <v>35011</v>
      </c>
      <c r="L67">
        <v>-10750</v>
      </c>
      <c r="M67" s="7">
        <f t="shared" ref="M67:M130" ca="1" si="10">(TODAY()-K67)/365.25</f>
        <v>29.43189596167009</v>
      </c>
      <c r="N67" s="5" t="str">
        <f ca="1">VLOOKUP(Data!M67,temp!$B$3:$C$9,2,1)</f>
        <v>20-30</v>
      </c>
      <c r="O67">
        <v>-2443</v>
      </c>
      <c r="P67" s="8">
        <f t="shared" ref="P67:P130" si="11">IF(O67&lt;=0,ABS(O67)/365.25,0)</f>
        <v>6.6885694729637235</v>
      </c>
      <c r="Q67" s="5" t="str">
        <f t="shared" si="7"/>
        <v>Employed</v>
      </c>
      <c r="R67">
        <v>1</v>
      </c>
      <c r="S67">
        <v>0</v>
      </c>
      <c r="T67">
        <v>0</v>
      </c>
      <c r="U67">
        <v>0</v>
      </c>
      <c r="V67" t="s">
        <v>47</v>
      </c>
      <c r="W67">
        <v>2</v>
      </c>
    </row>
    <row r="68" spans="1:23" x14ac:dyDescent="0.2">
      <c r="A68">
        <v>5009369</v>
      </c>
      <c r="B68" t="s">
        <v>25</v>
      </c>
      <c r="C68" t="s">
        <v>20</v>
      </c>
      <c r="D68" t="s">
        <v>19</v>
      </c>
      <c r="E68">
        <v>0</v>
      </c>
      <c r="F68">
        <v>115290</v>
      </c>
      <c r="G68" t="s">
        <v>21</v>
      </c>
      <c r="H68" t="s">
        <v>27</v>
      </c>
      <c r="I68" t="s">
        <v>28</v>
      </c>
      <c r="J68" t="s">
        <v>24</v>
      </c>
      <c r="K68" s="6">
        <f t="shared" ca="1" si="4"/>
        <v>22574</v>
      </c>
      <c r="L68">
        <v>-23187</v>
      </c>
      <c r="M68" s="7">
        <f t="shared" ca="1" si="10"/>
        <v>63.482546201232033</v>
      </c>
      <c r="N68" s="5" t="str">
        <f ca="1">VLOOKUP(Data!M68,temp!$B$3:$C$9,2,1)</f>
        <v>60-70</v>
      </c>
      <c r="O68">
        <v>365243</v>
      </c>
      <c r="P68" s="8">
        <f t="shared" si="11"/>
        <v>0</v>
      </c>
      <c r="Q68" s="5" t="str">
        <f t="shared" si="7"/>
        <v>Unemployed</v>
      </c>
      <c r="R68">
        <v>1</v>
      </c>
      <c r="S68">
        <v>0</v>
      </c>
      <c r="T68">
        <v>1</v>
      </c>
      <c r="U68">
        <v>1</v>
      </c>
      <c r="W68">
        <v>2</v>
      </c>
    </row>
    <row r="69" spans="1:23" x14ac:dyDescent="0.2">
      <c r="A69">
        <v>5009378</v>
      </c>
      <c r="B69" t="s">
        <v>18</v>
      </c>
      <c r="C69" t="s">
        <v>19</v>
      </c>
      <c r="D69" t="s">
        <v>19</v>
      </c>
      <c r="E69">
        <v>2</v>
      </c>
      <c r="F69">
        <v>225000</v>
      </c>
      <c r="G69" t="s">
        <v>31</v>
      </c>
      <c r="H69" t="s">
        <v>22</v>
      </c>
      <c r="I69" t="s">
        <v>28</v>
      </c>
      <c r="J69" t="s">
        <v>24</v>
      </c>
      <c r="K69" s="6">
        <f t="shared" ca="1" si="4"/>
        <v>34480</v>
      </c>
      <c r="L69">
        <v>-11281</v>
      </c>
      <c r="M69" s="7">
        <f t="shared" ca="1" si="10"/>
        <v>30.885694729637233</v>
      </c>
      <c r="N69" s="5" t="str">
        <f ca="1">VLOOKUP(Data!M69,temp!$B$3:$C$9,2,1)</f>
        <v>30-40</v>
      </c>
      <c r="O69">
        <v>-1744</v>
      </c>
      <c r="P69" s="8">
        <f t="shared" si="11"/>
        <v>4.774811772758385</v>
      </c>
      <c r="Q69" s="5" t="str">
        <f t="shared" si="7"/>
        <v>Employed</v>
      </c>
      <c r="R69">
        <v>1</v>
      </c>
      <c r="S69">
        <v>1</v>
      </c>
      <c r="T69">
        <v>0</v>
      </c>
      <c r="U69">
        <v>1</v>
      </c>
      <c r="V69" t="s">
        <v>38</v>
      </c>
      <c r="W69">
        <v>4</v>
      </c>
    </row>
    <row r="70" spans="1:23" x14ac:dyDescent="0.2">
      <c r="A70">
        <v>5009380</v>
      </c>
      <c r="B70" t="s">
        <v>25</v>
      </c>
      <c r="C70" t="s">
        <v>20</v>
      </c>
      <c r="D70" t="s">
        <v>19</v>
      </c>
      <c r="E70">
        <v>1</v>
      </c>
      <c r="F70">
        <v>135000</v>
      </c>
      <c r="G70" t="s">
        <v>31</v>
      </c>
      <c r="H70" t="s">
        <v>27</v>
      </c>
      <c r="I70" t="s">
        <v>28</v>
      </c>
      <c r="J70" t="s">
        <v>24</v>
      </c>
      <c r="K70" s="6">
        <f t="shared" ca="1" si="4"/>
        <v>36331</v>
      </c>
      <c r="L70">
        <v>-9430</v>
      </c>
      <c r="M70" s="7">
        <f t="shared" ca="1" si="10"/>
        <v>25.817932922655714</v>
      </c>
      <c r="N70" s="5" t="str">
        <f ca="1">VLOOKUP(Data!M70,temp!$B$3:$C$9,2,1)</f>
        <v>20-30</v>
      </c>
      <c r="O70">
        <v>-1195</v>
      </c>
      <c r="P70" s="8">
        <f t="shared" si="11"/>
        <v>3.2717316906228611</v>
      </c>
      <c r="Q70" s="5" t="str">
        <f t="shared" si="7"/>
        <v>Employed</v>
      </c>
      <c r="R70">
        <v>1</v>
      </c>
      <c r="S70">
        <v>1</v>
      </c>
      <c r="T70">
        <v>0</v>
      </c>
      <c r="U70">
        <v>0</v>
      </c>
      <c r="V70" t="s">
        <v>39</v>
      </c>
      <c r="W70">
        <v>3</v>
      </c>
    </row>
    <row r="71" spans="1:23" x14ac:dyDescent="0.2">
      <c r="A71">
        <v>5009395</v>
      </c>
      <c r="B71" t="s">
        <v>25</v>
      </c>
      <c r="C71" t="s">
        <v>19</v>
      </c>
      <c r="D71" t="s">
        <v>19</v>
      </c>
      <c r="E71">
        <v>0</v>
      </c>
      <c r="F71">
        <v>279000</v>
      </c>
      <c r="G71" t="s">
        <v>35</v>
      </c>
      <c r="H71" t="s">
        <v>22</v>
      </c>
      <c r="I71" t="s">
        <v>33</v>
      </c>
      <c r="J71" t="s">
        <v>24</v>
      </c>
      <c r="K71" s="6">
        <f t="shared" ca="1" si="4"/>
        <v>34719</v>
      </c>
      <c r="L71">
        <v>-11042</v>
      </c>
      <c r="M71" s="7">
        <f t="shared" ca="1" si="10"/>
        <v>30.231348391512661</v>
      </c>
      <c r="N71" s="5" t="str">
        <f ca="1">VLOOKUP(Data!M71,temp!$B$3:$C$9,2,1)</f>
        <v>30-40</v>
      </c>
      <c r="O71">
        <v>-3174</v>
      </c>
      <c r="P71" s="8">
        <f t="shared" si="11"/>
        <v>8.68993839835729</v>
      </c>
      <c r="Q71" s="5" t="str">
        <f t="shared" si="7"/>
        <v>Employed</v>
      </c>
      <c r="R71">
        <v>1</v>
      </c>
      <c r="S71">
        <v>0</v>
      </c>
      <c r="T71">
        <v>0</v>
      </c>
      <c r="U71">
        <v>0</v>
      </c>
      <c r="V71" t="s">
        <v>38</v>
      </c>
      <c r="W71">
        <v>1</v>
      </c>
    </row>
    <row r="72" spans="1:23" x14ac:dyDescent="0.2">
      <c r="A72">
        <v>5009396</v>
      </c>
      <c r="B72" t="s">
        <v>18</v>
      </c>
      <c r="C72" t="s">
        <v>19</v>
      </c>
      <c r="D72" t="s">
        <v>19</v>
      </c>
      <c r="E72">
        <v>1</v>
      </c>
      <c r="F72">
        <v>76500</v>
      </c>
      <c r="G72" t="s">
        <v>31</v>
      </c>
      <c r="H72" t="s">
        <v>22</v>
      </c>
      <c r="I72" t="s">
        <v>37</v>
      </c>
      <c r="J72" t="s">
        <v>24</v>
      </c>
      <c r="K72" s="6">
        <f t="shared" ref="K72:K135" ca="1" si="12">TODAY()+($L72)</f>
        <v>33255</v>
      </c>
      <c r="L72">
        <v>-12506</v>
      </c>
      <c r="M72" s="7">
        <f t="shared" ca="1" si="10"/>
        <v>34.239561943874058</v>
      </c>
      <c r="N72" s="5" t="str">
        <f ca="1">VLOOKUP(Data!M72,temp!$B$3:$C$9,2,1)</f>
        <v>30-40</v>
      </c>
      <c r="O72">
        <v>-495</v>
      </c>
      <c r="P72" s="8">
        <f t="shared" si="11"/>
        <v>1.3552361396303902</v>
      </c>
      <c r="Q72" s="5" t="str">
        <f t="shared" ref="Q72:Q135" si="13">IF($O72&gt;0,"Unemployed","Employed")</f>
        <v>Employed</v>
      </c>
      <c r="R72">
        <v>1</v>
      </c>
      <c r="S72">
        <v>1</v>
      </c>
      <c r="T72">
        <v>0</v>
      </c>
      <c r="U72">
        <v>0</v>
      </c>
      <c r="V72" t="s">
        <v>44</v>
      </c>
      <c r="W72">
        <v>3</v>
      </c>
    </row>
    <row r="73" spans="1:23" x14ac:dyDescent="0.2">
      <c r="A73">
        <v>5009419</v>
      </c>
      <c r="B73" t="s">
        <v>18</v>
      </c>
      <c r="C73" t="s">
        <v>19</v>
      </c>
      <c r="D73" t="s">
        <v>19</v>
      </c>
      <c r="E73">
        <v>0</v>
      </c>
      <c r="F73">
        <v>90000</v>
      </c>
      <c r="G73" t="s">
        <v>31</v>
      </c>
      <c r="H73" t="s">
        <v>27</v>
      </c>
      <c r="I73" t="s">
        <v>33</v>
      </c>
      <c r="J73" t="s">
        <v>24</v>
      </c>
      <c r="K73" s="6">
        <f t="shared" ca="1" si="12"/>
        <v>26457</v>
      </c>
      <c r="L73">
        <v>-19304</v>
      </c>
      <c r="M73" s="7">
        <f t="shared" ca="1" si="10"/>
        <v>52.851471594798085</v>
      </c>
      <c r="N73" s="5" t="str">
        <f ca="1">VLOOKUP(Data!M73,temp!$B$3:$C$9,2,1)</f>
        <v>50-60</v>
      </c>
      <c r="O73">
        <v>-464</v>
      </c>
      <c r="P73" s="8">
        <f t="shared" si="11"/>
        <v>1.270362765229295</v>
      </c>
      <c r="Q73" s="5" t="str">
        <f t="shared" si="13"/>
        <v>Employed</v>
      </c>
      <c r="R73">
        <v>1</v>
      </c>
      <c r="S73">
        <v>1</v>
      </c>
      <c r="T73">
        <v>1</v>
      </c>
      <c r="U73">
        <v>0</v>
      </c>
      <c r="V73" t="s">
        <v>38</v>
      </c>
      <c r="W73">
        <v>1</v>
      </c>
    </row>
    <row r="74" spans="1:23" x14ac:dyDescent="0.2">
      <c r="A74">
        <v>5009421</v>
      </c>
      <c r="B74" t="s">
        <v>18</v>
      </c>
      <c r="C74" t="s">
        <v>19</v>
      </c>
      <c r="D74" t="s">
        <v>19</v>
      </c>
      <c r="E74">
        <v>0</v>
      </c>
      <c r="F74">
        <v>90000</v>
      </c>
      <c r="G74" t="s">
        <v>31</v>
      </c>
      <c r="H74" t="s">
        <v>27</v>
      </c>
      <c r="I74" t="s">
        <v>33</v>
      </c>
      <c r="J74" t="s">
        <v>24</v>
      </c>
      <c r="K74" s="6">
        <f t="shared" ca="1" si="12"/>
        <v>26457</v>
      </c>
      <c r="L74">
        <v>-19304</v>
      </c>
      <c r="M74" s="7">
        <f t="shared" ca="1" si="10"/>
        <v>52.851471594798085</v>
      </c>
      <c r="N74" s="5" t="str">
        <f ca="1">VLOOKUP(Data!M74,temp!$B$3:$C$9,2,1)</f>
        <v>50-60</v>
      </c>
      <c r="O74">
        <v>-464</v>
      </c>
      <c r="P74" s="8">
        <f t="shared" si="11"/>
        <v>1.270362765229295</v>
      </c>
      <c r="Q74" s="5" t="str">
        <f t="shared" si="13"/>
        <v>Employed</v>
      </c>
      <c r="R74">
        <v>1</v>
      </c>
      <c r="S74">
        <v>1</v>
      </c>
      <c r="T74">
        <v>1</v>
      </c>
      <c r="U74">
        <v>0</v>
      </c>
      <c r="V74" t="s">
        <v>38</v>
      </c>
      <c r="W74">
        <v>1</v>
      </c>
    </row>
    <row r="75" spans="1:23" x14ac:dyDescent="0.2">
      <c r="A75">
        <v>5009437</v>
      </c>
      <c r="B75" t="s">
        <v>18</v>
      </c>
      <c r="C75" t="s">
        <v>19</v>
      </c>
      <c r="D75" t="s">
        <v>19</v>
      </c>
      <c r="E75">
        <v>0</v>
      </c>
      <c r="F75">
        <v>76500</v>
      </c>
      <c r="G75" t="s">
        <v>21</v>
      </c>
      <c r="H75" t="s">
        <v>27</v>
      </c>
      <c r="I75" t="s">
        <v>28</v>
      </c>
      <c r="J75" t="s">
        <v>24</v>
      </c>
      <c r="K75" s="6">
        <f t="shared" ca="1" si="12"/>
        <v>22281</v>
      </c>
      <c r="L75">
        <v>-23480</v>
      </c>
      <c r="M75" s="7">
        <f t="shared" ca="1" si="10"/>
        <v>64.284736481861742</v>
      </c>
      <c r="N75" s="5" t="str">
        <f ca="1">VLOOKUP(Data!M75,temp!$B$3:$C$9,2,1)</f>
        <v>60-70</v>
      </c>
      <c r="O75">
        <v>365243</v>
      </c>
      <c r="P75" s="8">
        <f t="shared" si="11"/>
        <v>0</v>
      </c>
      <c r="Q75" s="5" t="str">
        <f t="shared" si="13"/>
        <v>Unemployed</v>
      </c>
      <c r="R75">
        <v>1</v>
      </c>
      <c r="S75">
        <v>0</v>
      </c>
      <c r="T75">
        <v>0</v>
      </c>
      <c r="U75">
        <v>0</v>
      </c>
      <c r="W75">
        <v>2</v>
      </c>
    </row>
    <row r="76" spans="1:23" x14ac:dyDescent="0.2">
      <c r="A76">
        <v>5009439</v>
      </c>
      <c r="B76" t="s">
        <v>18</v>
      </c>
      <c r="C76" t="s">
        <v>19</v>
      </c>
      <c r="D76" t="s">
        <v>19</v>
      </c>
      <c r="E76">
        <v>0</v>
      </c>
      <c r="F76">
        <v>76500</v>
      </c>
      <c r="G76" t="s">
        <v>21</v>
      </c>
      <c r="H76" t="s">
        <v>27</v>
      </c>
      <c r="I76" t="s">
        <v>28</v>
      </c>
      <c r="J76" t="s">
        <v>24</v>
      </c>
      <c r="K76" s="6">
        <f t="shared" ca="1" si="12"/>
        <v>22281</v>
      </c>
      <c r="L76">
        <v>-23480</v>
      </c>
      <c r="M76" s="7">
        <f t="shared" ca="1" si="10"/>
        <v>64.284736481861742</v>
      </c>
      <c r="N76" s="5" t="str">
        <f ca="1">VLOOKUP(Data!M76,temp!$B$3:$C$9,2,1)</f>
        <v>60-70</v>
      </c>
      <c r="O76">
        <v>365243</v>
      </c>
      <c r="P76" s="8">
        <f t="shared" si="11"/>
        <v>0</v>
      </c>
      <c r="Q76" s="5" t="str">
        <f t="shared" si="13"/>
        <v>Unemployed</v>
      </c>
      <c r="R76">
        <v>1</v>
      </c>
      <c r="S76">
        <v>0</v>
      </c>
      <c r="T76">
        <v>0</v>
      </c>
      <c r="U76">
        <v>0</v>
      </c>
      <c r="W76">
        <v>2</v>
      </c>
    </row>
    <row r="77" spans="1:23" x14ac:dyDescent="0.2">
      <c r="A77">
        <v>5009452</v>
      </c>
      <c r="B77" t="s">
        <v>18</v>
      </c>
      <c r="C77" t="s">
        <v>19</v>
      </c>
      <c r="D77" t="s">
        <v>19</v>
      </c>
      <c r="E77">
        <v>0</v>
      </c>
      <c r="F77">
        <v>202500</v>
      </c>
      <c r="G77" t="s">
        <v>35</v>
      </c>
      <c r="H77" t="s">
        <v>22</v>
      </c>
      <c r="I77" t="s">
        <v>28</v>
      </c>
      <c r="J77" t="s">
        <v>24</v>
      </c>
      <c r="K77" s="6">
        <f t="shared" ca="1" si="12"/>
        <v>28487</v>
      </c>
      <c r="L77">
        <v>-17274</v>
      </c>
      <c r="M77" s="7">
        <f t="shared" ca="1" si="10"/>
        <v>47.293634496919921</v>
      </c>
      <c r="N77" s="5" t="str">
        <f ca="1">VLOOKUP(Data!M77,temp!$B$3:$C$9,2,1)</f>
        <v>40-50</v>
      </c>
      <c r="O77">
        <v>-1348</v>
      </c>
      <c r="P77" s="8">
        <f t="shared" si="11"/>
        <v>3.6906228610540723</v>
      </c>
      <c r="Q77" s="5" t="str">
        <f t="shared" si="13"/>
        <v>Employed</v>
      </c>
      <c r="R77">
        <v>1</v>
      </c>
      <c r="S77">
        <v>0</v>
      </c>
      <c r="T77">
        <v>1</v>
      </c>
      <c r="U77">
        <v>0</v>
      </c>
      <c r="V77" t="s">
        <v>29</v>
      </c>
      <c r="W77">
        <v>2</v>
      </c>
    </row>
    <row r="78" spans="1:23" x14ac:dyDescent="0.2">
      <c r="A78">
        <v>5009455</v>
      </c>
      <c r="B78" t="s">
        <v>18</v>
      </c>
      <c r="C78" t="s">
        <v>19</v>
      </c>
      <c r="D78" t="s">
        <v>19</v>
      </c>
      <c r="E78">
        <v>0</v>
      </c>
      <c r="F78">
        <v>202500</v>
      </c>
      <c r="G78" t="s">
        <v>35</v>
      </c>
      <c r="H78" t="s">
        <v>22</v>
      </c>
      <c r="I78" t="s">
        <v>28</v>
      </c>
      <c r="J78" t="s">
        <v>24</v>
      </c>
      <c r="K78" s="6">
        <f t="shared" ca="1" si="12"/>
        <v>28487</v>
      </c>
      <c r="L78">
        <v>-17274</v>
      </c>
      <c r="M78" s="7">
        <f t="shared" ca="1" si="10"/>
        <v>47.293634496919921</v>
      </c>
      <c r="N78" s="5" t="str">
        <f ca="1">VLOOKUP(Data!M78,temp!$B$3:$C$9,2,1)</f>
        <v>40-50</v>
      </c>
      <c r="O78">
        <v>-1348</v>
      </c>
      <c r="P78" s="8">
        <f t="shared" si="11"/>
        <v>3.6906228610540723</v>
      </c>
      <c r="Q78" s="5" t="str">
        <f t="shared" si="13"/>
        <v>Employed</v>
      </c>
      <c r="R78">
        <v>1</v>
      </c>
      <c r="S78">
        <v>0</v>
      </c>
      <c r="T78">
        <v>1</v>
      </c>
      <c r="U78">
        <v>0</v>
      </c>
      <c r="V78" t="s">
        <v>29</v>
      </c>
      <c r="W78">
        <v>2</v>
      </c>
    </row>
    <row r="79" spans="1:23" x14ac:dyDescent="0.2">
      <c r="A79">
        <v>5009457</v>
      </c>
      <c r="B79" t="s">
        <v>18</v>
      </c>
      <c r="C79" t="s">
        <v>19</v>
      </c>
      <c r="D79" t="s">
        <v>19</v>
      </c>
      <c r="E79">
        <v>0</v>
      </c>
      <c r="F79">
        <v>202500</v>
      </c>
      <c r="G79" t="s">
        <v>35</v>
      </c>
      <c r="H79" t="s">
        <v>22</v>
      </c>
      <c r="I79" t="s">
        <v>28</v>
      </c>
      <c r="J79" t="s">
        <v>24</v>
      </c>
      <c r="K79" s="6">
        <f t="shared" ca="1" si="12"/>
        <v>28487</v>
      </c>
      <c r="L79">
        <v>-17274</v>
      </c>
      <c r="M79" s="7">
        <f t="shared" ca="1" si="10"/>
        <v>47.293634496919921</v>
      </c>
      <c r="N79" s="5" t="str">
        <f ca="1">VLOOKUP(Data!M79,temp!$B$3:$C$9,2,1)</f>
        <v>40-50</v>
      </c>
      <c r="O79">
        <v>-1348</v>
      </c>
      <c r="P79" s="8">
        <f t="shared" si="11"/>
        <v>3.6906228610540723</v>
      </c>
      <c r="Q79" s="5" t="str">
        <f t="shared" si="13"/>
        <v>Employed</v>
      </c>
      <c r="R79">
        <v>1</v>
      </c>
      <c r="S79">
        <v>0</v>
      </c>
      <c r="T79">
        <v>1</v>
      </c>
      <c r="U79">
        <v>0</v>
      </c>
      <c r="V79" t="s">
        <v>29</v>
      </c>
      <c r="W79">
        <v>2</v>
      </c>
    </row>
    <row r="80" spans="1:23" x14ac:dyDescent="0.2">
      <c r="A80">
        <v>5009492</v>
      </c>
      <c r="B80" t="s">
        <v>25</v>
      </c>
      <c r="C80" t="s">
        <v>20</v>
      </c>
      <c r="D80" t="s">
        <v>19</v>
      </c>
      <c r="E80">
        <v>0</v>
      </c>
      <c r="F80">
        <v>135000</v>
      </c>
      <c r="G80" t="s">
        <v>26</v>
      </c>
      <c r="H80" t="s">
        <v>27</v>
      </c>
      <c r="I80" t="s">
        <v>28</v>
      </c>
      <c r="J80" t="s">
        <v>24</v>
      </c>
      <c r="K80" s="6">
        <f t="shared" ca="1" si="12"/>
        <v>29565</v>
      </c>
      <c r="L80">
        <v>-16196</v>
      </c>
      <c r="M80" s="7">
        <f t="shared" ca="1" si="10"/>
        <v>44.342231348391515</v>
      </c>
      <c r="N80" s="5" t="str">
        <f ca="1">VLOOKUP(Data!M80,temp!$B$3:$C$9,2,1)</f>
        <v>40-50</v>
      </c>
      <c r="O80">
        <v>-6218</v>
      </c>
      <c r="P80" s="8">
        <f t="shared" si="11"/>
        <v>17.023956194387406</v>
      </c>
      <c r="Q80" s="5" t="str">
        <f t="shared" si="13"/>
        <v>Employed</v>
      </c>
      <c r="R80">
        <v>1</v>
      </c>
      <c r="S80">
        <v>1</v>
      </c>
      <c r="T80">
        <v>1</v>
      </c>
      <c r="U80">
        <v>0</v>
      </c>
      <c r="V80" t="s">
        <v>29</v>
      </c>
      <c r="W80">
        <v>2</v>
      </c>
    </row>
    <row r="81" spans="1:23" x14ac:dyDescent="0.2">
      <c r="A81">
        <v>5009529</v>
      </c>
      <c r="B81" t="s">
        <v>18</v>
      </c>
      <c r="C81" t="s">
        <v>20</v>
      </c>
      <c r="D81" t="s">
        <v>19</v>
      </c>
      <c r="E81">
        <v>0</v>
      </c>
      <c r="F81">
        <v>157500</v>
      </c>
      <c r="G81" t="s">
        <v>26</v>
      </c>
      <c r="H81" t="s">
        <v>27</v>
      </c>
      <c r="I81" t="s">
        <v>28</v>
      </c>
      <c r="J81" t="s">
        <v>24</v>
      </c>
      <c r="K81" s="6">
        <f t="shared" ca="1" si="12"/>
        <v>32171</v>
      </c>
      <c r="L81">
        <v>-13590</v>
      </c>
      <c r="M81" s="7">
        <f t="shared" ca="1" si="10"/>
        <v>37.207392197125259</v>
      </c>
      <c r="N81" s="5" t="str">
        <f ca="1">VLOOKUP(Data!M81,temp!$B$3:$C$9,2,1)</f>
        <v>30-40</v>
      </c>
      <c r="O81">
        <v>-982</v>
      </c>
      <c r="P81" s="8">
        <f t="shared" si="11"/>
        <v>2.6885694729637235</v>
      </c>
      <c r="Q81" s="5" t="str">
        <f t="shared" si="13"/>
        <v>Employed</v>
      </c>
      <c r="R81">
        <v>1</v>
      </c>
      <c r="S81">
        <v>0</v>
      </c>
      <c r="T81">
        <v>1</v>
      </c>
      <c r="U81">
        <v>0</v>
      </c>
      <c r="W81">
        <v>2</v>
      </c>
    </row>
    <row r="82" spans="1:23" x14ac:dyDescent="0.2">
      <c r="A82">
        <v>5009531</v>
      </c>
      <c r="B82" t="s">
        <v>18</v>
      </c>
      <c r="C82" t="s">
        <v>20</v>
      </c>
      <c r="D82" t="s">
        <v>19</v>
      </c>
      <c r="E82">
        <v>0</v>
      </c>
      <c r="F82">
        <v>157500</v>
      </c>
      <c r="G82" t="s">
        <v>26</v>
      </c>
      <c r="H82" t="s">
        <v>27</v>
      </c>
      <c r="I82" t="s">
        <v>28</v>
      </c>
      <c r="J82" t="s">
        <v>24</v>
      </c>
      <c r="K82" s="6">
        <f t="shared" ca="1" si="12"/>
        <v>32171</v>
      </c>
      <c r="L82">
        <v>-13590</v>
      </c>
      <c r="M82" s="7">
        <f t="shared" ca="1" si="10"/>
        <v>37.207392197125259</v>
      </c>
      <c r="N82" s="5" t="str">
        <f ca="1">VLOOKUP(Data!M82,temp!$B$3:$C$9,2,1)</f>
        <v>30-40</v>
      </c>
      <c r="O82">
        <v>-982</v>
      </c>
      <c r="P82" s="8">
        <f t="shared" si="11"/>
        <v>2.6885694729637235</v>
      </c>
      <c r="Q82" s="5" t="str">
        <f t="shared" si="13"/>
        <v>Employed</v>
      </c>
      <c r="R82">
        <v>1</v>
      </c>
      <c r="S82">
        <v>0</v>
      </c>
      <c r="T82">
        <v>1</v>
      </c>
      <c r="U82">
        <v>0</v>
      </c>
      <c r="W82">
        <v>2</v>
      </c>
    </row>
    <row r="83" spans="1:23" x14ac:dyDescent="0.2">
      <c r="A83">
        <v>5009534</v>
      </c>
      <c r="B83" t="s">
        <v>18</v>
      </c>
      <c r="C83" t="s">
        <v>20</v>
      </c>
      <c r="D83" t="s">
        <v>19</v>
      </c>
      <c r="E83">
        <v>0</v>
      </c>
      <c r="F83">
        <v>157500</v>
      </c>
      <c r="G83" t="s">
        <v>26</v>
      </c>
      <c r="H83" t="s">
        <v>27</v>
      </c>
      <c r="I83" t="s">
        <v>28</v>
      </c>
      <c r="J83" t="s">
        <v>24</v>
      </c>
      <c r="K83" s="6">
        <f t="shared" ca="1" si="12"/>
        <v>32171</v>
      </c>
      <c r="L83">
        <v>-13590</v>
      </c>
      <c r="M83" s="7">
        <f t="shared" ca="1" si="10"/>
        <v>37.207392197125259</v>
      </c>
      <c r="N83" s="5" t="str">
        <f ca="1">VLOOKUP(Data!M83,temp!$B$3:$C$9,2,1)</f>
        <v>30-40</v>
      </c>
      <c r="O83">
        <v>-982</v>
      </c>
      <c r="P83" s="8">
        <f t="shared" si="11"/>
        <v>2.6885694729637235</v>
      </c>
      <c r="Q83" s="5" t="str">
        <f t="shared" si="13"/>
        <v>Employed</v>
      </c>
      <c r="R83">
        <v>1</v>
      </c>
      <c r="S83">
        <v>0</v>
      </c>
      <c r="T83">
        <v>1</v>
      </c>
      <c r="U83">
        <v>0</v>
      </c>
      <c r="W83">
        <v>2</v>
      </c>
    </row>
    <row r="84" spans="1:23" x14ac:dyDescent="0.2">
      <c r="A84">
        <v>5009537</v>
      </c>
      <c r="B84" t="s">
        <v>18</v>
      </c>
      <c r="C84" t="s">
        <v>20</v>
      </c>
      <c r="D84" t="s">
        <v>19</v>
      </c>
      <c r="E84">
        <v>0</v>
      </c>
      <c r="F84">
        <v>202500</v>
      </c>
      <c r="G84" t="s">
        <v>26</v>
      </c>
      <c r="H84" t="s">
        <v>27</v>
      </c>
      <c r="I84" t="s">
        <v>28</v>
      </c>
      <c r="J84" t="s">
        <v>24</v>
      </c>
      <c r="K84" s="6">
        <f t="shared" ca="1" si="12"/>
        <v>30234</v>
      </c>
      <c r="L84">
        <v>-15527</v>
      </c>
      <c r="M84" s="7">
        <f t="shared" ca="1" si="10"/>
        <v>42.510609171800134</v>
      </c>
      <c r="N84" s="5" t="str">
        <f ca="1">VLOOKUP(Data!M84,temp!$B$3:$C$9,2,1)</f>
        <v>40-50</v>
      </c>
      <c r="O84">
        <v>-1744</v>
      </c>
      <c r="P84" s="8">
        <f t="shared" si="11"/>
        <v>4.774811772758385</v>
      </c>
      <c r="Q84" s="5" t="str">
        <f t="shared" si="13"/>
        <v>Employed</v>
      </c>
      <c r="R84">
        <v>1</v>
      </c>
      <c r="S84">
        <v>1</v>
      </c>
      <c r="T84">
        <v>1</v>
      </c>
      <c r="U84">
        <v>0</v>
      </c>
      <c r="V84" t="s">
        <v>39</v>
      </c>
      <c r="W84">
        <v>2</v>
      </c>
    </row>
    <row r="85" spans="1:23" x14ac:dyDescent="0.2">
      <c r="A85">
        <v>5009554</v>
      </c>
      <c r="B85" t="s">
        <v>18</v>
      </c>
      <c r="C85" t="s">
        <v>19</v>
      </c>
      <c r="D85" t="s">
        <v>19</v>
      </c>
      <c r="E85">
        <v>0</v>
      </c>
      <c r="F85">
        <v>198000</v>
      </c>
      <c r="G85" t="s">
        <v>26</v>
      </c>
      <c r="H85" t="s">
        <v>27</v>
      </c>
      <c r="I85" t="s">
        <v>37</v>
      </c>
      <c r="J85" t="s">
        <v>24</v>
      </c>
      <c r="K85" s="6">
        <f t="shared" ca="1" si="12"/>
        <v>26948</v>
      </c>
      <c r="L85">
        <v>-18813</v>
      </c>
      <c r="M85" s="7">
        <f t="shared" ca="1" si="10"/>
        <v>51.507186858316224</v>
      </c>
      <c r="N85" s="5" t="str">
        <f ca="1">VLOOKUP(Data!M85,temp!$B$3:$C$9,2,1)</f>
        <v>50-60</v>
      </c>
      <c r="O85">
        <v>-9748</v>
      </c>
      <c r="P85" s="8">
        <f t="shared" si="11"/>
        <v>26.688569472963724</v>
      </c>
      <c r="Q85" s="5" t="str">
        <f t="shared" si="13"/>
        <v>Employed</v>
      </c>
      <c r="R85">
        <v>1</v>
      </c>
      <c r="S85">
        <v>0</v>
      </c>
      <c r="T85">
        <v>0</v>
      </c>
      <c r="U85">
        <v>0</v>
      </c>
      <c r="V85" t="s">
        <v>29</v>
      </c>
      <c r="W85">
        <v>2</v>
      </c>
    </row>
    <row r="86" spans="1:23" x14ac:dyDescent="0.2">
      <c r="A86">
        <v>5009557</v>
      </c>
      <c r="B86" t="s">
        <v>18</v>
      </c>
      <c r="C86" t="s">
        <v>19</v>
      </c>
      <c r="D86" t="s">
        <v>19</v>
      </c>
      <c r="E86">
        <v>0</v>
      </c>
      <c r="F86">
        <v>198000</v>
      </c>
      <c r="G86" t="s">
        <v>26</v>
      </c>
      <c r="H86" t="s">
        <v>27</v>
      </c>
      <c r="I86" t="s">
        <v>37</v>
      </c>
      <c r="J86" t="s">
        <v>24</v>
      </c>
      <c r="K86" s="6">
        <f t="shared" ca="1" si="12"/>
        <v>26948</v>
      </c>
      <c r="L86">
        <v>-18813</v>
      </c>
      <c r="M86" s="7">
        <f t="shared" ca="1" si="10"/>
        <v>51.507186858316224</v>
      </c>
      <c r="N86" s="5" t="str">
        <f ca="1">VLOOKUP(Data!M86,temp!$B$3:$C$9,2,1)</f>
        <v>50-60</v>
      </c>
      <c r="O86">
        <v>-9748</v>
      </c>
      <c r="P86" s="8">
        <f t="shared" si="11"/>
        <v>26.688569472963724</v>
      </c>
      <c r="Q86" s="5" t="str">
        <f t="shared" si="13"/>
        <v>Employed</v>
      </c>
      <c r="R86">
        <v>1</v>
      </c>
      <c r="S86">
        <v>0</v>
      </c>
      <c r="T86">
        <v>0</v>
      </c>
      <c r="U86">
        <v>0</v>
      </c>
      <c r="V86" t="s">
        <v>29</v>
      </c>
      <c r="W86">
        <v>2</v>
      </c>
    </row>
    <row r="87" spans="1:23" x14ac:dyDescent="0.2">
      <c r="A87">
        <v>5009559</v>
      </c>
      <c r="B87" t="s">
        <v>18</v>
      </c>
      <c r="C87" t="s">
        <v>19</v>
      </c>
      <c r="D87" t="s">
        <v>19</v>
      </c>
      <c r="E87">
        <v>0</v>
      </c>
      <c r="F87">
        <v>198000</v>
      </c>
      <c r="G87" t="s">
        <v>26</v>
      </c>
      <c r="H87" t="s">
        <v>27</v>
      </c>
      <c r="I87" t="s">
        <v>37</v>
      </c>
      <c r="J87" t="s">
        <v>24</v>
      </c>
      <c r="K87" s="6">
        <f t="shared" ca="1" si="12"/>
        <v>26948</v>
      </c>
      <c r="L87">
        <v>-18813</v>
      </c>
      <c r="M87" s="7">
        <f t="shared" ca="1" si="10"/>
        <v>51.507186858316224</v>
      </c>
      <c r="N87" s="5" t="str">
        <f ca="1">VLOOKUP(Data!M87,temp!$B$3:$C$9,2,1)</f>
        <v>50-60</v>
      </c>
      <c r="O87">
        <v>-9748</v>
      </c>
      <c r="P87" s="8">
        <f t="shared" si="11"/>
        <v>26.688569472963724</v>
      </c>
      <c r="Q87" s="5" t="str">
        <f t="shared" si="13"/>
        <v>Employed</v>
      </c>
      <c r="R87">
        <v>1</v>
      </c>
      <c r="S87">
        <v>0</v>
      </c>
      <c r="T87">
        <v>0</v>
      </c>
      <c r="U87">
        <v>0</v>
      </c>
      <c r="V87" t="s">
        <v>29</v>
      </c>
      <c r="W87">
        <v>2</v>
      </c>
    </row>
    <row r="88" spans="1:23" x14ac:dyDescent="0.2">
      <c r="A88">
        <v>5009565</v>
      </c>
      <c r="B88" t="s">
        <v>25</v>
      </c>
      <c r="C88" t="s">
        <v>20</v>
      </c>
      <c r="D88" t="s">
        <v>19</v>
      </c>
      <c r="E88">
        <v>0</v>
      </c>
      <c r="F88">
        <v>180000</v>
      </c>
      <c r="G88" t="s">
        <v>31</v>
      </c>
      <c r="H88" t="s">
        <v>27</v>
      </c>
      <c r="I88" t="s">
        <v>28</v>
      </c>
      <c r="J88" t="s">
        <v>24</v>
      </c>
      <c r="K88" s="6">
        <f t="shared" ca="1" si="12"/>
        <v>30608</v>
      </c>
      <c r="L88">
        <v>-15153</v>
      </c>
      <c r="M88" s="7">
        <f t="shared" ca="1" si="10"/>
        <v>41.486652977412732</v>
      </c>
      <c r="N88" s="5" t="str">
        <f ca="1">VLOOKUP(Data!M88,temp!$B$3:$C$9,2,1)</f>
        <v>40-50</v>
      </c>
      <c r="O88">
        <v>-3143</v>
      </c>
      <c r="P88" s="8">
        <f t="shared" si="11"/>
        <v>8.605065023956195</v>
      </c>
      <c r="Q88" s="5" t="str">
        <f t="shared" si="13"/>
        <v>Employed</v>
      </c>
      <c r="R88">
        <v>1</v>
      </c>
      <c r="S88">
        <v>1</v>
      </c>
      <c r="T88">
        <v>1</v>
      </c>
      <c r="U88">
        <v>0</v>
      </c>
      <c r="V88" t="s">
        <v>29</v>
      </c>
      <c r="W88">
        <v>2</v>
      </c>
    </row>
    <row r="89" spans="1:23" x14ac:dyDescent="0.2">
      <c r="A89">
        <v>5009574</v>
      </c>
      <c r="B89" t="s">
        <v>25</v>
      </c>
      <c r="C89" t="s">
        <v>20</v>
      </c>
      <c r="D89" t="s">
        <v>19</v>
      </c>
      <c r="E89">
        <v>0</v>
      </c>
      <c r="F89">
        <v>180000</v>
      </c>
      <c r="G89" t="s">
        <v>31</v>
      </c>
      <c r="H89" t="s">
        <v>27</v>
      </c>
      <c r="I89" t="s">
        <v>28</v>
      </c>
      <c r="J89" t="s">
        <v>24</v>
      </c>
      <c r="K89" s="6">
        <f t="shared" ca="1" si="12"/>
        <v>30608</v>
      </c>
      <c r="L89">
        <v>-15153</v>
      </c>
      <c r="M89" s="7">
        <f t="shared" ca="1" si="10"/>
        <v>41.486652977412732</v>
      </c>
      <c r="N89" s="5" t="str">
        <f ca="1">VLOOKUP(Data!M89,temp!$B$3:$C$9,2,1)</f>
        <v>40-50</v>
      </c>
      <c r="O89">
        <v>-3143</v>
      </c>
      <c r="P89" s="8">
        <f t="shared" si="11"/>
        <v>8.605065023956195</v>
      </c>
      <c r="Q89" s="5" t="str">
        <f t="shared" si="13"/>
        <v>Employed</v>
      </c>
      <c r="R89">
        <v>1</v>
      </c>
      <c r="S89">
        <v>1</v>
      </c>
      <c r="T89">
        <v>1</v>
      </c>
      <c r="U89">
        <v>0</v>
      </c>
      <c r="V89" t="s">
        <v>29</v>
      </c>
      <c r="W89">
        <v>2</v>
      </c>
    </row>
    <row r="90" spans="1:23" x14ac:dyDescent="0.2">
      <c r="A90">
        <v>5009578</v>
      </c>
      <c r="B90" t="s">
        <v>18</v>
      </c>
      <c r="C90" t="s">
        <v>19</v>
      </c>
      <c r="D90" t="s">
        <v>19</v>
      </c>
      <c r="E90">
        <v>0</v>
      </c>
      <c r="F90">
        <v>112500</v>
      </c>
      <c r="G90" t="s">
        <v>21</v>
      </c>
      <c r="H90" t="s">
        <v>27</v>
      </c>
      <c r="I90" t="s">
        <v>28</v>
      </c>
      <c r="J90" t="s">
        <v>24</v>
      </c>
      <c r="K90" s="6">
        <f t="shared" ca="1" si="12"/>
        <v>24445</v>
      </c>
      <c r="L90">
        <v>-21316</v>
      </c>
      <c r="M90" s="7">
        <f t="shared" ca="1" si="10"/>
        <v>58.360027378507873</v>
      </c>
      <c r="N90" s="5" t="str">
        <f ca="1">VLOOKUP(Data!M90,temp!$B$3:$C$9,2,1)</f>
        <v>50-60</v>
      </c>
      <c r="O90">
        <v>365243</v>
      </c>
      <c r="P90" s="8">
        <f t="shared" si="11"/>
        <v>0</v>
      </c>
      <c r="Q90" s="5" t="str">
        <f t="shared" si="13"/>
        <v>Unemployed</v>
      </c>
      <c r="R90">
        <v>1</v>
      </c>
      <c r="S90">
        <v>0</v>
      </c>
      <c r="T90">
        <v>0</v>
      </c>
      <c r="U90">
        <v>0</v>
      </c>
      <c r="W90">
        <v>2</v>
      </c>
    </row>
    <row r="91" spans="1:23" x14ac:dyDescent="0.2">
      <c r="A91">
        <v>5009580</v>
      </c>
      <c r="B91" t="s">
        <v>18</v>
      </c>
      <c r="C91" t="s">
        <v>19</v>
      </c>
      <c r="D91" t="s">
        <v>19</v>
      </c>
      <c r="E91">
        <v>0</v>
      </c>
      <c r="F91">
        <v>112500</v>
      </c>
      <c r="G91" t="s">
        <v>21</v>
      </c>
      <c r="H91" t="s">
        <v>27</v>
      </c>
      <c r="I91" t="s">
        <v>28</v>
      </c>
      <c r="J91" t="s">
        <v>24</v>
      </c>
      <c r="K91" s="6">
        <f t="shared" ca="1" si="12"/>
        <v>24445</v>
      </c>
      <c r="L91">
        <v>-21316</v>
      </c>
      <c r="M91" s="7">
        <f t="shared" ca="1" si="10"/>
        <v>58.360027378507873</v>
      </c>
      <c r="N91" s="5" t="str">
        <f ca="1">VLOOKUP(Data!M91,temp!$B$3:$C$9,2,1)</f>
        <v>50-60</v>
      </c>
      <c r="O91">
        <v>365243</v>
      </c>
      <c r="P91" s="8">
        <f t="shared" si="11"/>
        <v>0</v>
      </c>
      <c r="Q91" s="5" t="str">
        <f t="shared" si="13"/>
        <v>Unemployed</v>
      </c>
      <c r="R91">
        <v>1</v>
      </c>
      <c r="S91">
        <v>0</v>
      </c>
      <c r="T91">
        <v>0</v>
      </c>
      <c r="U91">
        <v>0</v>
      </c>
      <c r="W91">
        <v>2</v>
      </c>
    </row>
    <row r="92" spans="1:23" x14ac:dyDescent="0.2">
      <c r="A92">
        <v>5009611</v>
      </c>
      <c r="B92" t="s">
        <v>18</v>
      </c>
      <c r="C92" t="s">
        <v>19</v>
      </c>
      <c r="D92" t="s">
        <v>19</v>
      </c>
      <c r="E92">
        <v>2</v>
      </c>
      <c r="F92">
        <v>144000</v>
      </c>
      <c r="G92" t="s">
        <v>31</v>
      </c>
      <c r="H92" t="s">
        <v>27</v>
      </c>
      <c r="I92" t="s">
        <v>28</v>
      </c>
      <c r="J92" t="s">
        <v>24</v>
      </c>
      <c r="K92" s="6">
        <f t="shared" ca="1" si="12"/>
        <v>33484</v>
      </c>
      <c r="L92">
        <v>-12277</v>
      </c>
      <c r="M92" s="7">
        <f t="shared" ca="1" si="10"/>
        <v>33.612594113620808</v>
      </c>
      <c r="N92" s="5" t="str">
        <f ca="1">VLOOKUP(Data!M92,temp!$B$3:$C$9,2,1)</f>
        <v>30-40</v>
      </c>
      <c r="O92">
        <v>-982</v>
      </c>
      <c r="P92" s="8">
        <f t="shared" si="11"/>
        <v>2.6885694729637235</v>
      </c>
      <c r="Q92" s="5" t="str">
        <f t="shared" si="13"/>
        <v>Employed</v>
      </c>
      <c r="R92">
        <v>1</v>
      </c>
      <c r="S92">
        <v>1</v>
      </c>
      <c r="T92">
        <v>1</v>
      </c>
      <c r="U92">
        <v>0</v>
      </c>
      <c r="V92" t="s">
        <v>47</v>
      </c>
      <c r="W92">
        <v>4</v>
      </c>
    </row>
    <row r="93" spans="1:23" x14ac:dyDescent="0.2">
      <c r="A93">
        <v>5009613</v>
      </c>
      <c r="B93" t="s">
        <v>18</v>
      </c>
      <c r="C93" t="s">
        <v>19</v>
      </c>
      <c r="D93" t="s">
        <v>19</v>
      </c>
      <c r="E93">
        <v>2</v>
      </c>
      <c r="F93">
        <v>144000</v>
      </c>
      <c r="G93" t="s">
        <v>31</v>
      </c>
      <c r="H93" t="s">
        <v>27</v>
      </c>
      <c r="I93" t="s">
        <v>28</v>
      </c>
      <c r="J93" t="s">
        <v>24</v>
      </c>
      <c r="K93" s="6">
        <f t="shared" ca="1" si="12"/>
        <v>33484</v>
      </c>
      <c r="L93">
        <v>-12277</v>
      </c>
      <c r="M93" s="7">
        <f t="shared" ca="1" si="10"/>
        <v>33.612594113620808</v>
      </c>
      <c r="N93" s="5" t="str">
        <f ca="1">VLOOKUP(Data!M93,temp!$B$3:$C$9,2,1)</f>
        <v>30-40</v>
      </c>
      <c r="O93">
        <v>-982</v>
      </c>
      <c r="P93" s="8">
        <f t="shared" si="11"/>
        <v>2.6885694729637235</v>
      </c>
      <c r="Q93" s="5" t="str">
        <f t="shared" si="13"/>
        <v>Employed</v>
      </c>
      <c r="R93">
        <v>1</v>
      </c>
      <c r="S93">
        <v>1</v>
      </c>
      <c r="T93">
        <v>1</v>
      </c>
      <c r="U93">
        <v>0</v>
      </c>
      <c r="V93" t="s">
        <v>47</v>
      </c>
      <c r="W93">
        <v>4</v>
      </c>
    </row>
    <row r="94" spans="1:23" x14ac:dyDescent="0.2">
      <c r="A94">
        <v>5009648</v>
      </c>
      <c r="B94" t="s">
        <v>25</v>
      </c>
      <c r="C94" t="s">
        <v>19</v>
      </c>
      <c r="D94" t="s">
        <v>19</v>
      </c>
      <c r="E94">
        <v>0</v>
      </c>
      <c r="F94">
        <v>117000</v>
      </c>
      <c r="G94" t="s">
        <v>31</v>
      </c>
      <c r="H94" t="s">
        <v>27</v>
      </c>
      <c r="I94" t="s">
        <v>33</v>
      </c>
      <c r="J94" t="s">
        <v>24</v>
      </c>
      <c r="K94" s="6">
        <f t="shared" ca="1" si="12"/>
        <v>31072</v>
      </c>
      <c r="L94">
        <v>-14689</v>
      </c>
      <c r="M94" s="7">
        <f t="shared" ca="1" si="10"/>
        <v>40.216290212183438</v>
      </c>
      <c r="N94" s="5" t="str">
        <f ca="1">VLOOKUP(Data!M94,temp!$B$3:$C$9,2,1)</f>
        <v>40-50</v>
      </c>
      <c r="O94">
        <v>-3661</v>
      </c>
      <c r="P94" s="8">
        <f t="shared" si="11"/>
        <v>10.023271731690622</v>
      </c>
      <c r="Q94" s="5" t="str">
        <f t="shared" si="13"/>
        <v>Employed</v>
      </c>
      <c r="R94">
        <v>1</v>
      </c>
      <c r="S94">
        <v>1</v>
      </c>
      <c r="T94">
        <v>0</v>
      </c>
      <c r="U94">
        <v>0</v>
      </c>
      <c r="V94" t="s">
        <v>48</v>
      </c>
      <c r="W94">
        <v>1</v>
      </c>
    </row>
    <row r="95" spans="1:23" x14ac:dyDescent="0.2">
      <c r="A95">
        <v>5009661</v>
      </c>
      <c r="B95" t="s">
        <v>25</v>
      </c>
      <c r="C95" t="s">
        <v>19</v>
      </c>
      <c r="D95" t="s">
        <v>19</v>
      </c>
      <c r="E95">
        <v>0</v>
      </c>
      <c r="F95">
        <v>225000</v>
      </c>
      <c r="G95" t="s">
        <v>31</v>
      </c>
      <c r="H95" t="s">
        <v>22</v>
      </c>
      <c r="I95" t="s">
        <v>33</v>
      </c>
      <c r="J95" t="s">
        <v>24</v>
      </c>
      <c r="K95" s="6">
        <f t="shared" ca="1" si="12"/>
        <v>35595</v>
      </c>
      <c r="L95">
        <v>-10166</v>
      </c>
      <c r="M95" s="7">
        <f t="shared" ca="1" si="10"/>
        <v>27.832991101984941</v>
      </c>
      <c r="N95" s="5" t="str">
        <f ca="1">VLOOKUP(Data!M95,temp!$B$3:$C$9,2,1)</f>
        <v>20-30</v>
      </c>
      <c r="O95">
        <v>-1774</v>
      </c>
      <c r="P95" s="8">
        <f t="shared" si="11"/>
        <v>4.8569472963723479</v>
      </c>
      <c r="Q95" s="5" t="str">
        <f t="shared" si="13"/>
        <v>Employed</v>
      </c>
      <c r="R95">
        <v>1</v>
      </c>
      <c r="S95">
        <v>1</v>
      </c>
      <c r="T95">
        <v>0</v>
      </c>
      <c r="U95">
        <v>0</v>
      </c>
      <c r="W95">
        <v>1</v>
      </c>
    </row>
    <row r="96" spans="1:23" x14ac:dyDescent="0.2">
      <c r="A96">
        <v>5009671</v>
      </c>
      <c r="B96" t="s">
        <v>18</v>
      </c>
      <c r="C96" t="s">
        <v>19</v>
      </c>
      <c r="D96" t="s">
        <v>19</v>
      </c>
      <c r="E96">
        <v>0</v>
      </c>
      <c r="F96">
        <v>135000</v>
      </c>
      <c r="G96" t="s">
        <v>26</v>
      </c>
      <c r="H96" t="s">
        <v>27</v>
      </c>
      <c r="I96" t="s">
        <v>37</v>
      </c>
      <c r="J96" t="s">
        <v>24</v>
      </c>
      <c r="K96" s="6">
        <f t="shared" ca="1" si="12"/>
        <v>29956</v>
      </c>
      <c r="L96">
        <v>-15805</v>
      </c>
      <c r="M96" s="7">
        <f t="shared" ca="1" si="10"/>
        <v>43.271731690622858</v>
      </c>
      <c r="N96" s="5" t="str">
        <f ca="1">VLOOKUP(Data!M96,temp!$B$3:$C$9,2,1)</f>
        <v>40-50</v>
      </c>
      <c r="O96">
        <v>-433</v>
      </c>
      <c r="P96" s="8">
        <f t="shared" si="11"/>
        <v>1.1854893908281998</v>
      </c>
      <c r="Q96" s="5" t="str">
        <f t="shared" si="13"/>
        <v>Employed</v>
      </c>
      <c r="R96">
        <v>1</v>
      </c>
      <c r="S96">
        <v>1</v>
      </c>
      <c r="T96">
        <v>0</v>
      </c>
      <c r="U96">
        <v>0</v>
      </c>
      <c r="V96" t="s">
        <v>38</v>
      </c>
      <c r="W96">
        <v>2</v>
      </c>
    </row>
    <row r="97" spans="1:23" x14ac:dyDescent="0.2">
      <c r="A97">
        <v>5009673</v>
      </c>
      <c r="B97" t="s">
        <v>18</v>
      </c>
      <c r="C97" t="s">
        <v>19</v>
      </c>
      <c r="D97" t="s">
        <v>19</v>
      </c>
      <c r="E97">
        <v>0</v>
      </c>
      <c r="F97">
        <v>90000</v>
      </c>
      <c r="G97" t="s">
        <v>21</v>
      </c>
      <c r="H97" t="s">
        <v>27</v>
      </c>
      <c r="I97" t="s">
        <v>42</v>
      </c>
      <c r="J97" t="s">
        <v>24</v>
      </c>
      <c r="K97" s="6">
        <f t="shared" ca="1" si="12"/>
        <v>24073</v>
      </c>
      <c r="L97">
        <v>-21688</v>
      </c>
      <c r="M97" s="7">
        <f t="shared" ca="1" si="10"/>
        <v>59.378507871321013</v>
      </c>
      <c r="N97" s="5" t="str">
        <f ca="1">VLOOKUP(Data!M97,temp!$B$3:$C$9,2,1)</f>
        <v>50-60</v>
      </c>
      <c r="O97">
        <v>365243</v>
      </c>
      <c r="P97" s="8">
        <f t="shared" si="11"/>
        <v>0</v>
      </c>
      <c r="Q97" s="5" t="str">
        <f t="shared" si="13"/>
        <v>Unemployed</v>
      </c>
      <c r="R97">
        <v>1</v>
      </c>
      <c r="S97">
        <v>0</v>
      </c>
      <c r="T97">
        <v>1</v>
      </c>
      <c r="U97">
        <v>0</v>
      </c>
      <c r="W97">
        <v>1</v>
      </c>
    </row>
    <row r="98" spans="1:23" x14ac:dyDescent="0.2">
      <c r="A98">
        <v>5009678</v>
      </c>
      <c r="B98" t="s">
        <v>18</v>
      </c>
      <c r="C98" t="s">
        <v>19</v>
      </c>
      <c r="D98" t="s">
        <v>19</v>
      </c>
      <c r="E98">
        <v>0</v>
      </c>
      <c r="F98">
        <v>90000</v>
      </c>
      <c r="G98" t="s">
        <v>21</v>
      </c>
      <c r="H98" t="s">
        <v>27</v>
      </c>
      <c r="I98" t="s">
        <v>42</v>
      </c>
      <c r="J98" t="s">
        <v>24</v>
      </c>
      <c r="K98" s="6">
        <f t="shared" ca="1" si="12"/>
        <v>24073</v>
      </c>
      <c r="L98">
        <v>-21688</v>
      </c>
      <c r="M98" s="7">
        <f t="shared" ca="1" si="10"/>
        <v>59.378507871321013</v>
      </c>
      <c r="N98" s="5" t="str">
        <f ca="1">VLOOKUP(Data!M98,temp!$B$3:$C$9,2,1)</f>
        <v>50-60</v>
      </c>
      <c r="O98">
        <v>365243</v>
      </c>
      <c r="P98" s="8">
        <f t="shared" si="11"/>
        <v>0</v>
      </c>
      <c r="Q98" s="5" t="str">
        <f t="shared" si="13"/>
        <v>Unemployed</v>
      </c>
      <c r="R98">
        <v>1</v>
      </c>
      <c r="S98">
        <v>0</v>
      </c>
      <c r="T98">
        <v>1</v>
      </c>
      <c r="U98">
        <v>0</v>
      </c>
      <c r="W98">
        <v>1</v>
      </c>
    </row>
    <row r="99" spans="1:23" x14ac:dyDescent="0.2">
      <c r="A99">
        <v>5009685</v>
      </c>
      <c r="B99" t="s">
        <v>18</v>
      </c>
      <c r="C99" t="s">
        <v>19</v>
      </c>
      <c r="D99" t="s">
        <v>19</v>
      </c>
      <c r="E99">
        <v>0</v>
      </c>
      <c r="F99">
        <v>90000</v>
      </c>
      <c r="G99" t="s">
        <v>21</v>
      </c>
      <c r="H99" t="s">
        <v>27</v>
      </c>
      <c r="I99" t="s">
        <v>42</v>
      </c>
      <c r="J99" t="s">
        <v>24</v>
      </c>
      <c r="K99" s="6">
        <f t="shared" ca="1" si="12"/>
        <v>24073</v>
      </c>
      <c r="L99">
        <v>-21688</v>
      </c>
      <c r="M99" s="7">
        <f t="shared" ca="1" si="10"/>
        <v>59.378507871321013</v>
      </c>
      <c r="N99" s="5" t="str">
        <f ca="1">VLOOKUP(Data!M99,temp!$B$3:$C$9,2,1)</f>
        <v>50-60</v>
      </c>
      <c r="O99">
        <v>365243</v>
      </c>
      <c r="P99" s="8">
        <f t="shared" si="11"/>
        <v>0</v>
      </c>
      <c r="Q99" s="5" t="str">
        <f t="shared" si="13"/>
        <v>Unemployed</v>
      </c>
      <c r="R99">
        <v>1</v>
      </c>
      <c r="S99">
        <v>0</v>
      </c>
      <c r="T99">
        <v>1</v>
      </c>
      <c r="U99">
        <v>0</v>
      </c>
      <c r="W99">
        <v>1</v>
      </c>
    </row>
    <row r="100" spans="1:23" x14ac:dyDescent="0.2">
      <c r="A100">
        <v>5009689</v>
      </c>
      <c r="B100" t="s">
        <v>18</v>
      </c>
      <c r="C100" t="s">
        <v>19</v>
      </c>
      <c r="D100" t="s">
        <v>19</v>
      </c>
      <c r="E100">
        <v>0</v>
      </c>
      <c r="F100">
        <v>153000</v>
      </c>
      <c r="G100" t="s">
        <v>21</v>
      </c>
      <c r="H100" t="s">
        <v>27</v>
      </c>
      <c r="I100" t="s">
        <v>23</v>
      </c>
      <c r="J100" t="s">
        <v>24</v>
      </c>
      <c r="K100" s="6">
        <f t="shared" ca="1" si="12"/>
        <v>22462</v>
      </c>
      <c r="L100">
        <v>-23299</v>
      </c>
      <c r="M100" s="7">
        <f t="shared" ca="1" si="10"/>
        <v>63.789185489390832</v>
      </c>
      <c r="N100" s="5" t="str">
        <f ca="1">VLOOKUP(Data!M100,temp!$B$3:$C$9,2,1)</f>
        <v>60-70</v>
      </c>
      <c r="O100">
        <v>365243</v>
      </c>
      <c r="P100" s="8">
        <f t="shared" si="11"/>
        <v>0</v>
      </c>
      <c r="Q100" s="5" t="str">
        <f t="shared" si="13"/>
        <v>Unemployed</v>
      </c>
      <c r="R100">
        <v>1</v>
      </c>
      <c r="S100">
        <v>0</v>
      </c>
      <c r="T100">
        <v>1</v>
      </c>
      <c r="U100">
        <v>0</v>
      </c>
      <c r="W100">
        <v>1</v>
      </c>
    </row>
    <row r="101" spans="1:23" x14ac:dyDescent="0.2">
      <c r="A101">
        <v>5009695</v>
      </c>
      <c r="B101" t="s">
        <v>25</v>
      </c>
      <c r="C101" t="s">
        <v>20</v>
      </c>
      <c r="D101" t="s">
        <v>19</v>
      </c>
      <c r="E101">
        <v>0</v>
      </c>
      <c r="F101">
        <v>1350000</v>
      </c>
      <c r="G101" t="s">
        <v>26</v>
      </c>
      <c r="H101" t="s">
        <v>22</v>
      </c>
      <c r="I101" t="s">
        <v>28</v>
      </c>
      <c r="J101" t="s">
        <v>45</v>
      </c>
      <c r="K101" s="6">
        <f t="shared" ca="1" si="12"/>
        <v>32762</v>
      </c>
      <c r="L101">
        <v>-12999</v>
      </c>
      <c r="M101" s="7">
        <f t="shared" ca="1" si="10"/>
        <v>35.589322381930188</v>
      </c>
      <c r="N101" s="5" t="str">
        <f ca="1">VLOOKUP(Data!M101,temp!$B$3:$C$9,2,1)</f>
        <v>30-40</v>
      </c>
      <c r="O101">
        <v>-1560</v>
      </c>
      <c r="P101" s="8">
        <f t="shared" si="11"/>
        <v>4.2710472279260783</v>
      </c>
      <c r="Q101" s="5" t="str">
        <f t="shared" si="13"/>
        <v>Employed</v>
      </c>
      <c r="R101">
        <v>1</v>
      </c>
      <c r="S101">
        <v>0</v>
      </c>
      <c r="T101">
        <v>1</v>
      </c>
      <c r="U101">
        <v>1</v>
      </c>
      <c r="V101" t="s">
        <v>32</v>
      </c>
      <c r="W101">
        <v>2</v>
      </c>
    </row>
    <row r="102" spans="1:23" x14ac:dyDescent="0.2">
      <c r="A102">
        <v>5009725</v>
      </c>
      <c r="B102" t="s">
        <v>18</v>
      </c>
      <c r="C102" t="s">
        <v>19</v>
      </c>
      <c r="D102" t="s">
        <v>19</v>
      </c>
      <c r="E102">
        <v>0</v>
      </c>
      <c r="F102">
        <v>135000</v>
      </c>
      <c r="G102" t="s">
        <v>31</v>
      </c>
      <c r="H102" t="s">
        <v>22</v>
      </c>
      <c r="I102" t="s">
        <v>28</v>
      </c>
      <c r="J102" t="s">
        <v>24</v>
      </c>
      <c r="K102" s="6">
        <f t="shared" ca="1" si="12"/>
        <v>35874</v>
      </c>
      <c r="L102">
        <v>-9887</v>
      </c>
      <c r="M102" s="7">
        <f t="shared" ca="1" si="10"/>
        <v>27.069130732375086</v>
      </c>
      <c r="N102" s="5" t="str">
        <f ca="1">VLOOKUP(Data!M102,temp!$B$3:$C$9,2,1)</f>
        <v>20-30</v>
      </c>
      <c r="O102">
        <v>-2474</v>
      </c>
      <c r="P102" s="8">
        <f t="shared" si="11"/>
        <v>6.7734428473648185</v>
      </c>
      <c r="Q102" s="5" t="str">
        <f t="shared" si="13"/>
        <v>Employed</v>
      </c>
      <c r="R102">
        <v>1</v>
      </c>
      <c r="S102">
        <v>0</v>
      </c>
      <c r="T102">
        <v>1</v>
      </c>
      <c r="U102">
        <v>0</v>
      </c>
      <c r="V102" t="s">
        <v>39</v>
      </c>
      <c r="W102">
        <v>2</v>
      </c>
    </row>
    <row r="103" spans="1:23" x14ac:dyDescent="0.2">
      <c r="A103">
        <v>5009733</v>
      </c>
      <c r="B103" t="s">
        <v>18</v>
      </c>
      <c r="C103" t="s">
        <v>20</v>
      </c>
      <c r="D103" t="s">
        <v>19</v>
      </c>
      <c r="E103">
        <v>0</v>
      </c>
      <c r="F103">
        <v>270000</v>
      </c>
      <c r="G103" t="s">
        <v>26</v>
      </c>
      <c r="H103" t="s">
        <v>22</v>
      </c>
      <c r="I103" t="s">
        <v>28</v>
      </c>
      <c r="J103" t="s">
        <v>24</v>
      </c>
      <c r="K103" s="6">
        <f t="shared" ca="1" si="12"/>
        <v>26420</v>
      </c>
      <c r="L103">
        <v>-19341</v>
      </c>
      <c r="M103" s="7">
        <f t="shared" ca="1" si="10"/>
        <v>52.95277207392197</v>
      </c>
      <c r="N103" s="5" t="str">
        <f ca="1">VLOOKUP(Data!M103,temp!$B$3:$C$9,2,1)</f>
        <v>50-60</v>
      </c>
      <c r="O103">
        <v>-7314</v>
      </c>
      <c r="P103" s="8">
        <f t="shared" si="11"/>
        <v>20.024640657084188</v>
      </c>
      <c r="Q103" s="5" t="str">
        <f t="shared" si="13"/>
        <v>Employed</v>
      </c>
      <c r="R103">
        <v>1</v>
      </c>
      <c r="S103">
        <v>1</v>
      </c>
      <c r="T103">
        <v>1</v>
      </c>
      <c r="U103">
        <v>0</v>
      </c>
      <c r="V103" t="s">
        <v>32</v>
      </c>
      <c r="W103">
        <v>2</v>
      </c>
    </row>
    <row r="104" spans="1:23" x14ac:dyDescent="0.2">
      <c r="A104">
        <v>5009739</v>
      </c>
      <c r="B104" t="s">
        <v>18</v>
      </c>
      <c r="C104" t="s">
        <v>20</v>
      </c>
      <c r="D104" t="s">
        <v>19</v>
      </c>
      <c r="E104">
        <v>0</v>
      </c>
      <c r="F104">
        <v>99000</v>
      </c>
      <c r="G104" t="s">
        <v>31</v>
      </c>
      <c r="H104" t="s">
        <v>27</v>
      </c>
      <c r="I104" t="s">
        <v>28</v>
      </c>
      <c r="J104" t="s">
        <v>24</v>
      </c>
      <c r="K104" s="6">
        <f t="shared" ca="1" si="12"/>
        <v>31104</v>
      </c>
      <c r="L104">
        <v>-14657</v>
      </c>
      <c r="M104" s="7">
        <f t="shared" ca="1" si="10"/>
        <v>40.128678986995212</v>
      </c>
      <c r="N104" s="5" t="str">
        <f ca="1">VLOOKUP(Data!M104,temp!$B$3:$C$9,2,1)</f>
        <v>40-50</v>
      </c>
      <c r="O104">
        <v>-4392</v>
      </c>
      <c r="P104" s="8">
        <f t="shared" si="11"/>
        <v>12.024640657084189</v>
      </c>
      <c r="Q104" s="5" t="str">
        <f t="shared" si="13"/>
        <v>Employed</v>
      </c>
      <c r="R104">
        <v>1</v>
      </c>
      <c r="S104">
        <v>1</v>
      </c>
      <c r="T104">
        <v>1</v>
      </c>
      <c r="U104">
        <v>0</v>
      </c>
      <c r="V104" t="s">
        <v>38</v>
      </c>
      <c r="W104">
        <v>2</v>
      </c>
    </row>
    <row r="105" spans="1:23" x14ac:dyDescent="0.2">
      <c r="A105">
        <v>5009751</v>
      </c>
      <c r="B105" t="s">
        <v>18</v>
      </c>
      <c r="C105" t="s">
        <v>20</v>
      </c>
      <c r="D105" t="s">
        <v>19</v>
      </c>
      <c r="E105">
        <v>0</v>
      </c>
      <c r="F105">
        <v>315000</v>
      </c>
      <c r="G105" t="s">
        <v>26</v>
      </c>
      <c r="H105" t="s">
        <v>22</v>
      </c>
      <c r="I105" t="s">
        <v>28</v>
      </c>
      <c r="J105" t="s">
        <v>24</v>
      </c>
      <c r="K105" s="6">
        <f t="shared" ca="1" si="12"/>
        <v>32204</v>
      </c>
      <c r="L105">
        <v>-13557</v>
      </c>
      <c r="M105" s="7">
        <f t="shared" ca="1" si="10"/>
        <v>37.117043121149898</v>
      </c>
      <c r="N105" s="5" t="str">
        <f ca="1">VLOOKUP(Data!M105,temp!$B$3:$C$9,2,1)</f>
        <v>30-40</v>
      </c>
      <c r="O105">
        <v>-586</v>
      </c>
      <c r="P105" s="8">
        <f t="shared" si="11"/>
        <v>1.6043805612594113</v>
      </c>
      <c r="Q105" s="5" t="str">
        <f t="shared" si="13"/>
        <v>Employed</v>
      </c>
      <c r="R105">
        <v>1</v>
      </c>
      <c r="S105">
        <v>1</v>
      </c>
      <c r="T105">
        <v>1</v>
      </c>
      <c r="U105">
        <v>0</v>
      </c>
      <c r="W105">
        <v>2</v>
      </c>
    </row>
    <row r="106" spans="1:23" x14ac:dyDescent="0.2">
      <c r="A106">
        <v>5009758</v>
      </c>
      <c r="B106" t="s">
        <v>25</v>
      </c>
      <c r="C106" t="s">
        <v>20</v>
      </c>
      <c r="D106" t="s">
        <v>19</v>
      </c>
      <c r="E106">
        <v>0</v>
      </c>
      <c r="F106">
        <v>270000</v>
      </c>
      <c r="G106" t="s">
        <v>31</v>
      </c>
      <c r="H106" t="s">
        <v>22</v>
      </c>
      <c r="I106" t="s">
        <v>33</v>
      </c>
      <c r="J106" t="s">
        <v>24</v>
      </c>
      <c r="K106" s="6">
        <f t="shared" ca="1" si="12"/>
        <v>36674</v>
      </c>
      <c r="L106">
        <v>-9087</v>
      </c>
      <c r="M106" s="7">
        <f t="shared" ca="1" si="10"/>
        <v>24.878850102669404</v>
      </c>
      <c r="N106" s="5" t="str">
        <f ca="1">VLOOKUP(Data!M106,temp!$B$3:$C$9,2,1)</f>
        <v>20-30</v>
      </c>
      <c r="O106">
        <v>-1682</v>
      </c>
      <c r="P106" s="8">
        <f t="shared" si="11"/>
        <v>4.6050650239561941</v>
      </c>
      <c r="Q106" s="5" t="str">
        <f t="shared" si="13"/>
        <v>Employed</v>
      </c>
      <c r="R106">
        <v>1</v>
      </c>
      <c r="S106">
        <v>0</v>
      </c>
      <c r="T106">
        <v>0</v>
      </c>
      <c r="U106">
        <v>0</v>
      </c>
      <c r="V106" t="s">
        <v>29</v>
      </c>
      <c r="W106">
        <v>1</v>
      </c>
    </row>
    <row r="107" spans="1:23" x14ac:dyDescent="0.2">
      <c r="A107">
        <v>5009762</v>
      </c>
      <c r="B107" t="s">
        <v>25</v>
      </c>
      <c r="C107" t="s">
        <v>19</v>
      </c>
      <c r="D107" t="s">
        <v>19</v>
      </c>
      <c r="E107">
        <v>0</v>
      </c>
      <c r="F107">
        <v>135000</v>
      </c>
      <c r="G107" t="s">
        <v>31</v>
      </c>
      <c r="H107" t="s">
        <v>27</v>
      </c>
      <c r="I107" t="s">
        <v>23</v>
      </c>
      <c r="J107" t="s">
        <v>24</v>
      </c>
      <c r="K107" s="6">
        <f t="shared" ca="1" si="12"/>
        <v>31643</v>
      </c>
      <c r="L107">
        <v>-14118</v>
      </c>
      <c r="M107" s="7">
        <f t="shared" ca="1" si="10"/>
        <v>38.652977412731005</v>
      </c>
      <c r="N107" s="5" t="str">
        <f ca="1">VLOOKUP(Data!M107,temp!$B$3:$C$9,2,1)</f>
        <v>30-40</v>
      </c>
      <c r="O107">
        <v>-3174</v>
      </c>
      <c r="P107" s="8">
        <f t="shared" si="11"/>
        <v>8.68993839835729</v>
      </c>
      <c r="Q107" s="5" t="str">
        <f t="shared" si="13"/>
        <v>Employed</v>
      </c>
      <c r="R107">
        <v>1</v>
      </c>
      <c r="S107">
        <v>0</v>
      </c>
      <c r="T107">
        <v>0</v>
      </c>
      <c r="U107">
        <v>0</v>
      </c>
      <c r="V107" t="s">
        <v>29</v>
      </c>
      <c r="W107">
        <v>1</v>
      </c>
    </row>
    <row r="108" spans="1:23" x14ac:dyDescent="0.2">
      <c r="A108">
        <v>5009785</v>
      </c>
      <c r="B108" t="s">
        <v>18</v>
      </c>
      <c r="C108" t="s">
        <v>19</v>
      </c>
      <c r="D108" t="s">
        <v>19</v>
      </c>
      <c r="E108">
        <v>0</v>
      </c>
      <c r="F108">
        <v>198000</v>
      </c>
      <c r="G108" t="s">
        <v>21</v>
      </c>
      <c r="H108" t="s">
        <v>27</v>
      </c>
      <c r="I108" t="s">
        <v>42</v>
      </c>
      <c r="J108" t="s">
        <v>24</v>
      </c>
      <c r="K108" s="6">
        <f t="shared" ca="1" si="12"/>
        <v>23759</v>
      </c>
      <c r="L108">
        <v>-22002</v>
      </c>
      <c r="M108" s="7">
        <f t="shared" ca="1" si="10"/>
        <v>60.238193018480494</v>
      </c>
      <c r="N108" s="5" t="str">
        <f ca="1">VLOOKUP(Data!M108,temp!$B$3:$C$9,2,1)</f>
        <v>60-70</v>
      </c>
      <c r="O108">
        <v>365243</v>
      </c>
      <c r="P108" s="8">
        <f t="shared" si="11"/>
        <v>0</v>
      </c>
      <c r="Q108" s="5" t="str">
        <f t="shared" si="13"/>
        <v>Unemployed</v>
      </c>
      <c r="R108">
        <v>1</v>
      </c>
      <c r="S108">
        <v>0</v>
      </c>
      <c r="T108">
        <v>1</v>
      </c>
      <c r="U108">
        <v>0</v>
      </c>
      <c r="W108">
        <v>1</v>
      </c>
    </row>
    <row r="109" spans="1:23" x14ac:dyDescent="0.2">
      <c r="A109">
        <v>5009800</v>
      </c>
      <c r="B109" t="s">
        <v>18</v>
      </c>
      <c r="C109" t="s">
        <v>20</v>
      </c>
      <c r="D109" t="s">
        <v>19</v>
      </c>
      <c r="E109">
        <v>0</v>
      </c>
      <c r="F109">
        <v>382500</v>
      </c>
      <c r="G109" t="s">
        <v>31</v>
      </c>
      <c r="H109" t="s">
        <v>22</v>
      </c>
      <c r="I109" t="s">
        <v>28</v>
      </c>
      <c r="J109" t="s">
        <v>24</v>
      </c>
      <c r="K109" s="6">
        <f t="shared" ca="1" si="12"/>
        <v>30326</v>
      </c>
      <c r="L109">
        <v>-15435</v>
      </c>
      <c r="M109" s="7">
        <f t="shared" ca="1" si="10"/>
        <v>42.258726899383987</v>
      </c>
      <c r="N109" s="5" t="str">
        <f ca="1">VLOOKUP(Data!M109,temp!$B$3:$C$9,2,1)</f>
        <v>40-50</v>
      </c>
      <c r="O109">
        <v>-3965</v>
      </c>
      <c r="P109" s="8">
        <f t="shared" si="11"/>
        <v>10.855578370978781</v>
      </c>
      <c r="Q109" s="5" t="str">
        <f t="shared" si="13"/>
        <v>Employed</v>
      </c>
      <c r="R109">
        <v>1</v>
      </c>
      <c r="S109">
        <v>1</v>
      </c>
      <c r="T109">
        <v>1</v>
      </c>
      <c r="U109">
        <v>0</v>
      </c>
      <c r="W109">
        <v>2</v>
      </c>
    </row>
    <row r="110" spans="1:23" x14ac:dyDescent="0.2">
      <c r="A110">
        <v>5009801</v>
      </c>
      <c r="B110" t="s">
        <v>18</v>
      </c>
      <c r="C110" t="s">
        <v>20</v>
      </c>
      <c r="D110" t="s">
        <v>19</v>
      </c>
      <c r="E110">
        <v>0</v>
      </c>
      <c r="F110">
        <v>382500</v>
      </c>
      <c r="G110" t="s">
        <v>31</v>
      </c>
      <c r="H110" t="s">
        <v>22</v>
      </c>
      <c r="I110" t="s">
        <v>28</v>
      </c>
      <c r="J110" t="s">
        <v>24</v>
      </c>
      <c r="K110" s="6">
        <f t="shared" ca="1" si="12"/>
        <v>30326</v>
      </c>
      <c r="L110">
        <v>-15435</v>
      </c>
      <c r="M110" s="7">
        <f t="shared" ca="1" si="10"/>
        <v>42.258726899383987</v>
      </c>
      <c r="N110" s="5" t="str">
        <f ca="1">VLOOKUP(Data!M110,temp!$B$3:$C$9,2,1)</f>
        <v>40-50</v>
      </c>
      <c r="O110">
        <v>-3965</v>
      </c>
      <c r="P110" s="8">
        <f t="shared" si="11"/>
        <v>10.855578370978781</v>
      </c>
      <c r="Q110" s="5" t="str">
        <f t="shared" si="13"/>
        <v>Employed</v>
      </c>
      <c r="R110">
        <v>1</v>
      </c>
      <c r="S110">
        <v>1</v>
      </c>
      <c r="T110">
        <v>1</v>
      </c>
      <c r="U110">
        <v>0</v>
      </c>
      <c r="W110">
        <v>2</v>
      </c>
    </row>
    <row r="111" spans="1:23" x14ac:dyDescent="0.2">
      <c r="A111">
        <v>5009809</v>
      </c>
      <c r="B111" t="s">
        <v>18</v>
      </c>
      <c r="C111" t="s">
        <v>19</v>
      </c>
      <c r="D111" t="s">
        <v>19</v>
      </c>
      <c r="E111">
        <v>1</v>
      </c>
      <c r="F111">
        <v>202500</v>
      </c>
      <c r="G111" t="s">
        <v>31</v>
      </c>
      <c r="H111" t="s">
        <v>27</v>
      </c>
      <c r="I111" t="s">
        <v>28</v>
      </c>
      <c r="J111" t="s">
        <v>24</v>
      </c>
      <c r="K111" s="6">
        <f t="shared" ca="1" si="12"/>
        <v>33948</v>
      </c>
      <c r="L111">
        <v>-11813</v>
      </c>
      <c r="M111" s="7">
        <f t="shared" ca="1" si="10"/>
        <v>32.342231348391515</v>
      </c>
      <c r="N111" s="5" t="str">
        <f ca="1">VLOOKUP(Data!M111,temp!$B$3:$C$9,2,1)</f>
        <v>30-40</v>
      </c>
      <c r="O111">
        <v>-3266</v>
      </c>
      <c r="P111" s="8">
        <f t="shared" si="11"/>
        <v>8.941820670773442</v>
      </c>
      <c r="Q111" s="5" t="str">
        <f t="shared" si="13"/>
        <v>Employed</v>
      </c>
      <c r="R111">
        <v>1</v>
      </c>
      <c r="S111">
        <v>1</v>
      </c>
      <c r="T111">
        <v>1</v>
      </c>
      <c r="U111">
        <v>0</v>
      </c>
      <c r="V111" t="s">
        <v>39</v>
      </c>
      <c r="W111">
        <v>3</v>
      </c>
    </row>
    <row r="112" spans="1:23" x14ac:dyDescent="0.2">
      <c r="A112">
        <v>5009811</v>
      </c>
      <c r="B112" t="s">
        <v>18</v>
      </c>
      <c r="C112" t="s">
        <v>19</v>
      </c>
      <c r="D112" t="s">
        <v>19</v>
      </c>
      <c r="E112">
        <v>1</v>
      </c>
      <c r="F112">
        <v>202500</v>
      </c>
      <c r="G112" t="s">
        <v>31</v>
      </c>
      <c r="H112" t="s">
        <v>27</v>
      </c>
      <c r="I112" t="s">
        <v>28</v>
      </c>
      <c r="J112" t="s">
        <v>24</v>
      </c>
      <c r="K112" s="6">
        <f t="shared" ca="1" si="12"/>
        <v>33948</v>
      </c>
      <c r="L112">
        <v>-11813</v>
      </c>
      <c r="M112" s="7">
        <f t="shared" ca="1" si="10"/>
        <v>32.342231348391515</v>
      </c>
      <c r="N112" s="5" t="str">
        <f ca="1">VLOOKUP(Data!M112,temp!$B$3:$C$9,2,1)</f>
        <v>30-40</v>
      </c>
      <c r="O112">
        <v>-3266</v>
      </c>
      <c r="P112" s="8">
        <f t="shared" si="11"/>
        <v>8.941820670773442</v>
      </c>
      <c r="Q112" s="5" t="str">
        <f t="shared" si="13"/>
        <v>Employed</v>
      </c>
      <c r="R112">
        <v>1</v>
      </c>
      <c r="S112">
        <v>1</v>
      </c>
      <c r="T112">
        <v>1</v>
      </c>
      <c r="U112">
        <v>0</v>
      </c>
      <c r="V112" t="s">
        <v>39</v>
      </c>
      <c r="W112">
        <v>3</v>
      </c>
    </row>
    <row r="113" spans="1:23" x14ac:dyDescent="0.2">
      <c r="A113">
        <v>5009831</v>
      </c>
      <c r="B113" t="s">
        <v>25</v>
      </c>
      <c r="C113" t="s">
        <v>20</v>
      </c>
      <c r="D113" t="s">
        <v>19</v>
      </c>
      <c r="E113">
        <v>0</v>
      </c>
      <c r="F113">
        <v>166500</v>
      </c>
      <c r="G113" t="s">
        <v>31</v>
      </c>
      <c r="H113" t="s">
        <v>22</v>
      </c>
      <c r="I113" t="s">
        <v>28</v>
      </c>
      <c r="J113" t="s">
        <v>41</v>
      </c>
      <c r="K113" s="6">
        <f t="shared" ca="1" si="12"/>
        <v>35326</v>
      </c>
      <c r="L113">
        <v>-10435</v>
      </c>
      <c r="M113" s="7">
        <f t="shared" ca="1" si="10"/>
        <v>28.569472963723477</v>
      </c>
      <c r="N113" s="5" t="str">
        <f ca="1">VLOOKUP(Data!M113,temp!$B$3:$C$9,2,1)</f>
        <v>20-30</v>
      </c>
      <c r="O113">
        <v>-1713</v>
      </c>
      <c r="P113" s="8">
        <f t="shared" si="11"/>
        <v>4.6899383983572891</v>
      </c>
      <c r="Q113" s="5" t="str">
        <f t="shared" si="13"/>
        <v>Employed</v>
      </c>
      <c r="R113">
        <v>1</v>
      </c>
      <c r="S113">
        <v>1</v>
      </c>
      <c r="T113">
        <v>0</v>
      </c>
      <c r="U113">
        <v>0</v>
      </c>
      <c r="V113" t="s">
        <v>38</v>
      </c>
      <c r="W113">
        <v>2</v>
      </c>
    </row>
    <row r="114" spans="1:23" x14ac:dyDescent="0.2">
      <c r="A114">
        <v>5009841</v>
      </c>
      <c r="B114" t="s">
        <v>25</v>
      </c>
      <c r="C114" t="s">
        <v>20</v>
      </c>
      <c r="D114" t="s">
        <v>19</v>
      </c>
      <c r="E114">
        <v>0</v>
      </c>
      <c r="F114">
        <v>202500</v>
      </c>
      <c r="G114" t="s">
        <v>31</v>
      </c>
      <c r="H114" t="s">
        <v>27</v>
      </c>
      <c r="I114" t="s">
        <v>37</v>
      </c>
      <c r="J114" t="s">
        <v>24</v>
      </c>
      <c r="K114" s="6">
        <f t="shared" ca="1" si="12"/>
        <v>33125</v>
      </c>
      <c r="L114">
        <v>-12636</v>
      </c>
      <c r="M114" s="7">
        <f t="shared" ca="1" si="10"/>
        <v>34.595482546201232</v>
      </c>
      <c r="N114" s="5" t="str">
        <f ca="1">VLOOKUP(Data!M114,temp!$B$3:$C$9,2,1)</f>
        <v>30-40</v>
      </c>
      <c r="O114">
        <v>-405</v>
      </c>
      <c r="P114" s="8">
        <f t="shared" si="11"/>
        <v>1.108829568788501</v>
      </c>
      <c r="Q114" s="5" t="str">
        <f t="shared" si="13"/>
        <v>Employed</v>
      </c>
      <c r="R114">
        <v>1</v>
      </c>
      <c r="S114">
        <v>0</v>
      </c>
      <c r="T114">
        <v>0</v>
      </c>
      <c r="U114">
        <v>0</v>
      </c>
      <c r="V114" t="s">
        <v>29</v>
      </c>
      <c r="W114">
        <v>2</v>
      </c>
    </row>
    <row r="115" spans="1:23" x14ac:dyDescent="0.2">
      <c r="A115">
        <v>5009844</v>
      </c>
      <c r="B115" t="s">
        <v>25</v>
      </c>
      <c r="C115" t="s">
        <v>20</v>
      </c>
      <c r="D115" t="s">
        <v>19</v>
      </c>
      <c r="E115">
        <v>0</v>
      </c>
      <c r="F115">
        <v>180000</v>
      </c>
      <c r="G115" t="s">
        <v>31</v>
      </c>
      <c r="H115" t="s">
        <v>27</v>
      </c>
      <c r="I115" t="s">
        <v>28</v>
      </c>
      <c r="J115" t="s">
        <v>24</v>
      </c>
      <c r="K115" s="6">
        <f t="shared" ca="1" si="12"/>
        <v>29860</v>
      </c>
      <c r="L115">
        <v>-15901</v>
      </c>
      <c r="M115" s="7">
        <f t="shared" ca="1" si="10"/>
        <v>43.534565366187543</v>
      </c>
      <c r="N115" s="5" t="str">
        <f ca="1">VLOOKUP(Data!M115,temp!$B$3:$C$9,2,1)</f>
        <v>40-50</v>
      </c>
      <c r="O115">
        <v>-130</v>
      </c>
      <c r="P115" s="8">
        <f t="shared" si="11"/>
        <v>0.35592060232717315</v>
      </c>
      <c r="Q115" s="5" t="str">
        <f t="shared" si="13"/>
        <v>Employed</v>
      </c>
      <c r="R115">
        <v>1</v>
      </c>
      <c r="S115">
        <v>1</v>
      </c>
      <c r="T115">
        <v>0</v>
      </c>
      <c r="U115">
        <v>0</v>
      </c>
      <c r="V115" t="s">
        <v>40</v>
      </c>
      <c r="W115">
        <v>2</v>
      </c>
    </row>
    <row r="116" spans="1:23" x14ac:dyDescent="0.2">
      <c r="A116">
        <v>5009848</v>
      </c>
      <c r="B116" t="s">
        <v>18</v>
      </c>
      <c r="C116" t="s">
        <v>19</v>
      </c>
      <c r="D116" t="s">
        <v>19</v>
      </c>
      <c r="E116">
        <v>0</v>
      </c>
      <c r="F116">
        <v>99000</v>
      </c>
      <c r="G116" t="s">
        <v>26</v>
      </c>
      <c r="H116" t="s">
        <v>22</v>
      </c>
      <c r="I116" t="s">
        <v>28</v>
      </c>
      <c r="J116" t="s">
        <v>24</v>
      </c>
      <c r="K116" s="6">
        <f t="shared" ca="1" si="12"/>
        <v>35677</v>
      </c>
      <c r="L116">
        <v>-10084</v>
      </c>
      <c r="M116" s="7">
        <f t="shared" ca="1" si="10"/>
        <v>27.60848733744011</v>
      </c>
      <c r="N116" s="5" t="str">
        <f ca="1">VLOOKUP(Data!M116,temp!$B$3:$C$9,2,1)</f>
        <v>20-30</v>
      </c>
      <c r="O116">
        <v>-678</v>
      </c>
      <c r="P116" s="8">
        <f t="shared" si="11"/>
        <v>1.8562628336755647</v>
      </c>
      <c r="Q116" s="5" t="str">
        <f t="shared" si="13"/>
        <v>Employed</v>
      </c>
      <c r="R116">
        <v>1</v>
      </c>
      <c r="S116">
        <v>0</v>
      </c>
      <c r="T116">
        <v>0</v>
      </c>
      <c r="U116">
        <v>0</v>
      </c>
      <c r="V116" t="s">
        <v>39</v>
      </c>
      <c r="W116">
        <v>2</v>
      </c>
    </row>
    <row r="117" spans="1:23" x14ac:dyDescent="0.2">
      <c r="A117">
        <v>5009853</v>
      </c>
      <c r="B117" t="s">
        <v>25</v>
      </c>
      <c r="C117" t="s">
        <v>20</v>
      </c>
      <c r="D117" t="s">
        <v>19</v>
      </c>
      <c r="E117">
        <v>0</v>
      </c>
      <c r="F117">
        <v>360000</v>
      </c>
      <c r="G117" t="s">
        <v>26</v>
      </c>
      <c r="H117" t="s">
        <v>27</v>
      </c>
      <c r="I117" t="s">
        <v>23</v>
      </c>
      <c r="J117" t="s">
        <v>41</v>
      </c>
      <c r="K117" s="6">
        <f t="shared" ca="1" si="12"/>
        <v>35485</v>
      </c>
      <c r="L117">
        <v>-10276</v>
      </c>
      <c r="M117" s="7">
        <f t="shared" ca="1" si="10"/>
        <v>28.134154688569474</v>
      </c>
      <c r="N117" s="5" t="str">
        <f ca="1">VLOOKUP(Data!M117,temp!$B$3:$C$9,2,1)</f>
        <v>20-30</v>
      </c>
      <c r="O117">
        <v>-556</v>
      </c>
      <c r="P117" s="8">
        <f t="shared" si="11"/>
        <v>1.5222450376454484</v>
      </c>
      <c r="Q117" s="5" t="str">
        <f t="shared" si="13"/>
        <v>Employed</v>
      </c>
      <c r="R117">
        <v>1</v>
      </c>
      <c r="S117">
        <v>1</v>
      </c>
      <c r="T117">
        <v>1</v>
      </c>
      <c r="U117">
        <v>0</v>
      </c>
      <c r="V117" t="s">
        <v>30</v>
      </c>
      <c r="W117">
        <v>1</v>
      </c>
    </row>
    <row r="118" spans="1:23" x14ac:dyDescent="0.2">
      <c r="A118">
        <v>5009854</v>
      </c>
      <c r="B118" t="s">
        <v>25</v>
      </c>
      <c r="C118" t="s">
        <v>20</v>
      </c>
      <c r="D118" t="s">
        <v>19</v>
      </c>
      <c r="E118">
        <v>0</v>
      </c>
      <c r="F118">
        <v>360000</v>
      </c>
      <c r="G118" t="s">
        <v>26</v>
      </c>
      <c r="H118" t="s">
        <v>27</v>
      </c>
      <c r="I118" t="s">
        <v>23</v>
      </c>
      <c r="J118" t="s">
        <v>41</v>
      </c>
      <c r="K118" s="6">
        <f t="shared" ca="1" si="12"/>
        <v>35485</v>
      </c>
      <c r="L118">
        <v>-10276</v>
      </c>
      <c r="M118" s="7">
        <f t="shared" ca="1" si="10"/>
        <v>28.134154688569474</v>
      </c>
      <c r="N118" s="5" t="str">
        <f ca="1">VLOOKUP(Data!M118,temp!$B$3:$C$9,2,1)</f>
        <v>20-30</v>
      </c>
      <c r="O118">
        <v>-556</v>
      </c>
      <c r="P118" s="8">
        <f t="shared" si="11"/>
        <v>1.5222450376454484</v>
      </c>
      <c r="Q118" s="5" t="str">
        <f t="shared" si="13"/>
        <v>Employed</v>
      </c>
      <c r="R118">
        <v>1</v>
      </c>
      <c r="S118">
        <v>1</v>
      </c>
      <c r="T118">
        <v>1</v>
      </c>
      <c r="U118">
        <v>0</v>
      </c>
      <c r="V118" t="s">
        <v>30</v>
      </c>
      <c r="W118">
        <v>1</v>
      </c>
    </row>
    <row r="119" spans="1:23" x14ac:dyDescent="0.2">
      <c r="A119">
        <v>5009857</v>
      </c>
      <c r="B119" t="s">
        <v>25</v>
      </c>
      <c r="C119" t="s">
        <v>20</v>
      </c>
      <c r="D119" t="s">
        <v>19</v>
      </c>
      <c r="E119">
        <v>0</v>
      </c>
      <c r="F119">
        <v>360000</v>
      </c>
      <c r="G119" t="s">
        <v>26</v>
      </c>
      <c r="H119" t="s">
        <v>27</v>
      </c>
      <c r="I119" t="s">
        <v>23</v>
      </c>
      <c r="J119" t="s">
        <v>41</v>
      </c>
      <c r="K119" s="6">
        <f t="shared" ca="1" si="12"/>
        <v>35485</v>
      </c>
      <c r="L119">
        <v>-10276</v>
      </c>
      <c r="M119" s="7">
        <f t="shared" ca="1" si="10"/>
        <v>28.134154688569474</v>
      </c>
      <c r="N119" s="5" t="str">
        <f ca="1">VLOOKUP(Data!M119,temp!$B$3:$C$9,2,1)</f>
        <v>20-30</v>
      </c>
      <c r="O119">
        <v>-556</v>
      </c>
      <c r="P119" s="8">
        <f t="shared" si="11"/>
        <v>1.5222450376454484</v>
      </c>
      <c r="Q119" s="5" t="str">
        <f t="shared" si="13"/>
        <v>Employed</v>
      </c>
      <c r="R119">
        <v>1</v>
      </c>
      <c r="S119">
        <v>1</v>
      </c>
      <c r="T119">
        <v>1</v>
      </c>
      <c r="U119">
        <v>0</v>
      </c>
      <c r="V119" t="s">
        <v>30</v>
      </c>
      <c r="W119">
        <v>1</v>
      </c>
    </row>
    <row r="120" spans="1:23" x14ac:dyDescent="0.2">
      <c r="A120">
        <v>5009893</v>
      </c>
      <c r="B120" t="s">
        <v>18</v>
      </c>
      <c r="C120" t="s">
        <v>20</v>
      </c>
      <c r="D120" t="s">
        <v>19</v>
      </c>
      <c r="E120">
        <v>1</v>
      </c>
      <c r="F120">
        <v>157500</v>
      </c>
      <c r="G120" t="s">
        <v>31</v>
      </c>
      <c r="H120" t="s">
        <v>22</v>
      </c>
      <c r="I120" t="s">
        <v>28</v>
      </c>
      <c r="J120" t="s">
        <v>24</v>
      </c>
      <c r="K120" s="6">
        <f t="shared" ca="1" si="12"/>
        <v>33769</v>
      </c>
      <c r="L120">
        <v>-11992</v>
      </c>
      <c r="M120" s="7">
        <f t="shared" ca="1" si="10"/>
        <v>32.832306639288156</v>
      </c>
      <c r="N120" s="5" t="str">
        <f ca="1">VLOOKUP(Data!M120,temp!$B$3:$C$9,2,1)</f>
        <v>30-40</v>
      </c>
      <c r="O120">
        <v>-2351</v>
      </c>
      <c r="P120" s="8">
        <f t="shared" si="11"/>
        <v>6.4366872005475706</v>
      </c>
      <c r="Q120" s="5" t="str">
        <f t="shared" si="13"/>
        <v>Employed</v>
      </c>
      <c r="R120">
        <v>1</v>
      </c>
      <c r="S120">
        <v>0</v>
      </c>
      <c r="T120">
        <v>0</v>
      </c>
      <c r="U120">
        <v>0</v>
      </c>
      <c r="V120" t="s">
        <v>49</v>
      </c>
      <c r="W120">
        <v>3</v>
      </c>
    </row>
    <row r="121" spans="1:23" x14ac:dyDescent="0.2">
      <c r="A121">
        <v>5009898</v>
      </c>
      <c r="B121" t="s">
        <v>18</v>
      </c>
      <c r="C121" t="s">
        <v>20</v>
      </c>
      <c r="D121" t="s">
        <v>20</v>
      </c>
      <c r="E121">
        <v>2</v>
      </c>
      <c r="F121">
        <v>90000</v>
      </c>
      <c r="G121" t="s">
        <v>35</v>
      </c>
      <c r="H121" t="s">
        <v>22</v>
      </c>
      <c r="I121" t="s">
        <v>28</v>
      </c>
      <c r="J121" t="s">
        <v>24</v>
      </c>
      <c r="K121" s="6">
        <f t="shared" ca="1" si="12"/>
        <v>34630</v>
      </c>
      <c r="L121">
        <v>-11131</v>
      </c>
      <c r="M121" s="7">
        <f t="shared" ca="1" si="10"/>
        <v>30.475017111567421</v>
      </c>
      <c r="N121" s="5" t="str">
        <f ca="1">VLOOKUP(Data!M121,temp!$B$3:$C$9,2,1)</f>
        <v>30-40</v>
      </c>
      <c r="O121">
        <v>-405</v>
      </c>
      <c r="P121" s="8">
        <f t="shared" si="11"/>
        <v>1.108829568788501</v>
      </c>
      <c r="Q121" s="5" t="str">
        <f t="shared" si="13"/>
        <v>Employed</v>
      </c>
      <c r="R121">
        <v>1</v>
      </c>
      <c r="S121">
        <v>0</v>
      </c>
      <c r="T121">
        <v>0</v>
      </c>
      <c r="U121">
        <v>0</v>
      </c>
      <c r="V121" t="s">
        <v>38</v>
      </c>
      <c r="W121">
        <v>4</v>
      </c>
    </row>
    <row r="122" spans="1:23" x14ac:dyDescent="0.2">
      <c r="A122">
        <v>5009900</v>
      </c>
      <c r="B122" t="s">
        <v>25</v>
      </c>
      <c r="C122" t="s">
        <v>20</v>
      </c>
      <c r="D122" t="s">
        <v>19</v>
      </c>
      <c r="E122">
        <v>0</v>
      </c>
      <c r="F122">
        <v>202500</v>
      </c>
      <c r="G122" t="s">
        <v>31</v>
      </c>
      <c r="H122" t="s">
        <v>27</v>
      </c>
      <c r="I122" t="s">
        <v>28</v>
      </c>
      <c r="J122" t="s">
        <v>24</v>
      </c>
      <c r="K122" s="6">
        <f t="shared" ca="1" si="12"/>
        <v>26641</v>
      </c>
      <c r="L122">
        <v>-19120</v>
      </c>
      <c r="M122" s="7">
        <f t="shared" ca="1" si="10"/>
        <v>52.347707049965777</v>
      </c>
      <c r="N122" s="5" t="str">
        <f ca="1">VLOOKUP(Data!M122,temp!$B$3:$C$9,2,1)</f>
        <v>50-60</v>
      </c>
      <c r="O122">
        <v>-3661</v>
      </c>
      <c r="P122" s="8">
        <f t="shared" si="11"/>
        <v>10.023271731690622</v>
      </c>
      <c r="Q122" s="5" t="str">
        <f t="shared" si="13"/>
        <v>Employed</v>
      </c>
      <c r="R122">
        <v>1</v>
      </c>
      <c r="S122">
        <v>0</v>
      </c>
      <c r="T122">
        <v>0</v>
      </c>
      <c r="U122">
        <v>0</v>
      </c>
      <c r="V122" t="s">
        <v>30</v>
      </c>
      <c r="W122">
        <v>2</v>
      </c>
    </row>
    <row r="123" spans="1:23" x14ac:dyDescent="0.2">
      <c r="A123">
        <v>5009909</v>
      </c>
      <c r="B123" t="s">
        <v>25</v>
      </c>
      <c r="C123" t="s">
        <v>20</v>
      </c>
      <c r="D123" t="s">
        <v>19</v>
      </c>
      <c r="E123">
        <v>0</v>
      </c>
      <c r="F123">
        <v>202500</v>
      </c>
      <c r="G123" t="s">
        <v>31</v>
      </c>
      <c r="H123" t="s">
        <v>27</v>
      </c>
      <c r="I123" t="s">
        <v>28</v>
      </c>
      <c r="J123" t="s">
        <v>24</v>
      </c>
      <c r="K123" s="6">
        <f t="shared" ca="1" si="12"/>
        <v>26641</v>
      </c>
      <c r="L123">
        <v>-19120</v>
      </c>
      <c r="M123" s="7">
        <f t="shared" ca="1" si="10"/>
        <v>52.347707049965777</v>
      </c>
      <c r="N123" s="5" t="str">
        <f ca="1">VLOOKUP(Data!M123,temp!$B$3:$C$9,2,1)</f>
        <v>50-60</v>
      </c>
      <c r="O123">
        <v>-3661</v>
      </c>
      <c r="P123" s="8">
        <f t="shared" si="11"/>
        <v>10.023271731690622</v>
      </c>
      <c r="Q123" s="5" t="str">
        <f t="shared" si="13"/>
        <v>Employed</v>
      </c>
      <c r="R123">
        <v>1</v>
      </c>
      <c r="S123">
        <v>0</v>
      </c>
      <c r="T123">
        <v>0</v>
      </c>
      <c r="U123">
        <v>0</v>
      </c>
      <c r="V123" t="s">
        <v>30</v>
      </c>
      <c r="W123">
        <v>2</v>
      </c>
    </row>
    <row r="124" spans="1:23" x14ac:dyDescent="0.2">
      <c r="A124">
        <v>5009910</v>
      </c>
      <c r="B124" t="s">
        <v>25</v>
      </c>
      <c r="C124" t="s">
        <v>20</v>
      </c>
      <c r="D124" t="s">
        <v>19</v>
      </c>
      <c r="E124">
        <v>0</v>
      </c>
      <c r="F124">
        <v>202500</v>
      </c>
      <c r="G124" t="s">
        <v>31</v>
      </c>
      <c r="H124" t="s">
        <v>27</v>
      </c>
      <c r="I124" t="s">
        <v>28</v>
      </c>
      <c r="J124" t="s">
        <v>24</v>
      </c>
      <c r="K124" s="6">
        <f t="shared" ca="1" si="12"/>
        <v>26641</v>
      </c>
      <c r="L124">
        <v>-19120</v>
      </c>
      <c r="M124" s="7">
        <f t="shared" ca="1" si="10"/>
        <v>52.347707049965777</v>
      </c>
      <c r="N124" s="5" t="str">
        <f ca="1">VLOOKUP(Data!M124,temp!$B$3:$C$9,2,1)</f>
        <v>50-60</v>
      </c>
      <c r="O124">
        <v>-3661</v>
      </c>
      <c r="P124" s="8">
        <f t="shared" si="11"/>
        <v>10.023271731690622</v>
      </c>
      <c r="Q124" s="5" t="str">
        <f t="shared" si="13"/>
        <v>Employed</v>
      </c>
      <c r="R124">
        <v>1</v>
      </c>
      <c r="S124">
        <v>0</v>
      </c>
      <c r="T124">
        <v>0</v>
      </c>
      <c r="U124">
        <v>0</v>
      </c>
      <c r="V124" t="s">
        <v>30</v>
      </c>
      <c r="W124">
        <v>2</v>
      </c>
    </row>
    <row r="125" spans="1:23" x14ac:dyDescent="0.2">
      <c r="A125">
        <v>5009911</v>
      </c>
      <c r="B125" t="s">
        <v>25</v>
      </c>
      <c r="C125" t="s">
        <v>20</v>
      </c>
      <c r="D125" t="s">
        <v>19</v>
      </c>
      <c r="E125">
        <v>0</v>
      </c>
      <c r="F125">
        <v>202500</v>
      </c>
      <c r="G125" t="s">
        <v>31</v>
      </c>
      <c r="H125" t="s">
        <v>27</v>
      </c>
      <c r="I125" t="s">
        <v>28</v>
      </c>
      <c r="J125" t="s">
        <v>24</v>
      </c>
      <c r="K125" s="6">
        <f t="shared" ca="1" si="12"/>
        <v>26641</v>
      </c>
      <c r="L125">
        <v>-19120</v>
      </c>
      <c r="M125" s="7">
        <f t="shared" ca="1" si="10"/>
        <v>52.347707049965777</v>
      </c>
      <c r="N125" s="5" t="str">
        <f ca="1">VLOOKUP(Data!M125,temp!$B$3:$C$9,2,1)</f>
        <v>50-60</v>
      </c>
      <c r="O125">
        <v>-3661</v>
      </c>
      <c r="P125" s="8">
        <f t="shared" si="11"/>
        <v>10.023271731690622</v>
      </c>
      <c r="Q125" s="5" t="str">
        <f t="shared" si="13"/>
        <v>Employed</v>
      </c>
      <c r="R125">
        <v>1</v>
      </c>
      <c r="S125">
        <v>0</v>
      </c>
      <c r="T125">
        <v>0</v>
      </c>
      <c r="U125">
        <v>0</v>
      </c>
      <c r="V125" t="s">
        <v>30</v>
      </c>
      <c r="W125">
        <v>2</v>
      </c>
    </row>
    <row r="126" spans="1:23" x14ac:dyDescent="0.2">
      <c r="A126">
        <v>5009924</v>
      </c>
      <c r="B126" t="s">
        <v>25</v>
      </c>
      <c r="C126" t="s">
        <v>20</v>
      </c>
      <c r="D126" t="s">
        <v>20</v>
      </c>
      <c r="E126">
        <v>0</v>
      </c>
      <c r="F126">
        <v>360000</v>
      </c>
      <c r="G126" t="s">
        <v>31</v>
      </c>
      <c r="H126" t="s">
        <v>22</v>
      </c>
      <c r="I126" t="s">
        <v>28</v>
      </c>
      <c r="J126" t="s">
        <v>24</v>
      </c>
      <c r="K126" s="6">
        <f t="shared" ca="1" si="12"/>
        <v>25803</v>
      </c>
      <c r="L126">
        <v>-19958</v>
      </c>
      <c r="M126" s="7">
        <f t="shared" ca="1" si="10"/>
        <v>54.64202600958248</v>
      </c>
      <c r="N126" s="5" t="str">
        <f ca="1">VLOOKUP(Data!M126,temp!$B$3:$C$9,2,1)</f>
        <v>50-60</v>
      </c>
      <c r="O126">
        <v>-7465</v>
      </c>
      <c r="P126" s="8">
        <f t="shared" si="11"/>
        <v>20.438056125941138</v>
      </c>
      <c r="Q126" s="5" t="str">
        <f t="shared" si="13"/>
        <v>Employed</v>
      </c>
      <c r="R126">
        <v>1</v>
      </c>
      <c r="S126">
        <v>0</v>
      </c>
      <c r="T126">
        <v>0</v>
      </c>
      <c r="U126">
        <v>0</v>
      </c>
      <c r="V126" t="s">
        <v>29</v>
      </c>
      <c r="W126">
        <v>2</v>
      </c>
    </row>
    <row r="127" spans="1:23" x14ac:dyDescent="0.2">
      <c r="A127">
        <v>5009934</v>
      </c>
      <c r="B127" t="s">
        <v>18</v>
      </c>
      <c r="C127" t="s">
        <v>19</v>
      </c>
      <c r="D127" t="s">
        <v>20</v>
      </c>
      <c r="E127">
        <v>2</v>
      </c>
      <c r="F127">
        <v>157500</v>
      </c>
      <c r="G127" t="s">
        <v>31</v>
      </c>
      <c r="H127" t="s">
        <v>27</v>
      </c>
      <c r="I127" t="s">
        <v>28</v>
      </c>
      <c r="J127" t="s">
        <v>24</v>
      </c>
      <c r="K127" s="6">
        <f t="shared" ca="1" si="12"/>
        <v>35051</v>
      </c>
      <c r="L127">
        <v>-10710</v>
      </c>
      <c r="M127" s="7">
        <f t="shared" ca="1" si="10"/>
        <v>29.322381930184804</v>
      </c>
      <c r="N127" s="5" t="str">
        <f ca="1">VLOOKUP(Data!M127,temp!$B$3:$C$9,2,1)</f>
        <v>20-30</v>
      </c>
      <c r="O127">
        <v>-2351</v>
      </c>
      <c r="P127" s="8">
        <f t="shared" si="11"/>
        <v>6.4366872005475706</v>
      </c>
      <c r="Q127" s="5" t="str">
        <f t="shared" si="13"/>
        <v>Employed</v>
      </c>
      <c r="R127">
        <v>1</v>
      </c>
      <c r="S127">
        <v>0</v>
      </c>
      <c r="T127">
        <v>0</v>
      </c>
      <c r="U127">
        <v>0</v>
      </c>
      <c r="V127" t="s">
        <v>39</v>
      </c>
      <c r="W127">
        <v>4</v>
      </c>
    </row>
    <row r="128" spans="1:23" x14ac:dyDescent="0.2">
      <c r="A128">
        <v>5009942</v>
      </c>
      <c r="B128" t="s">
        <v>18</v>
      </c>
      <c r="C128" t="s">
        <v>19</v>
      </c>
      <c r="D128" t="s">
        <v>20</v>
      </c>
      <c r="E128">
        <v>2</v>
      </c>
      <c r="F128">
        <v>157500</v>
      </c>
      <c r="G128" t="s">
        <v>31</v>
      </c>
      <c r="H128" t="s">
        <v>27</v>
      </c>
      <c r="I128" t="s">
        <v>28</v>
      </c>
      <c r="J128" t="s">
        <v>24</v>
      </c>
      <c r="K128" s="6">
        <f t="shared" ca="1" si="12"/>
        <v>35051</v>
      </c>
      <c r="L128">
        <v>-10710</v>
      </c>
      <c r="M128" s="7">
        <f t="shared" ca="1" si="10"/>
        <v>29.322381930184804</v>
      </c>
      <c r="N128" s="5" t="str">
        <f ca="1">VLOOKUP(Data!M128,temp!$B$3:$C$9,2,1)</f>
        <v>20-30</v>
      </c>
      <c r="O128">
        <v>-2351</v>
      </c>
      <c r="P128" s="8">
        <f t="shared" si="11"/>
        <v>6.4366872005475706</v>
      </c>
      <c r="Q128" s="5" t="str">
        <f t="shared" si="13"/>
        <v>Employed</v>
      </c>
      <c r="R128">
        <v>1</v>
      </c>
      <c r="S128">
        <v>0</v>
      </c>
      <c r="T128">
        <v>0</v>
      </c>
      <c r="U128">
        <v>0</v>
      </c>
      <c r="V128" t="s">
        <v>39</v>
      </c>
      <c r="W128">
        <v>4</v>
      </c>
    </row>
    <row r="129" spans="1:23" x14ac:dyDescent="0.2">
      <c r="A129">
        <v>5009968</v>
      </c>
      <c r="B129" t="s">
        <v>18</v>
      </c>
      <c r="C129" t="s">
        <v>20</v>
      </c>
      <c r="D129" t="s">
        <v>20</v>
      </c>
      <c r="E129">
        <v>0</v>
      </c>
      <c r="F129">
        <v>180000</v>
      </c>
      <c r="G129" t="s">
        <v>35</v>
      </c>
      <c r="H129" t="s">
        <v>27</v>
      </c>
      <c r="I129" t="s">
        <v>28</v>
      </c>
      <c r="J129" t="s">
        <v>24</v>
      </c>
      <c r="K129" s="6">
        <f t="shared" ca="1" si="12"/>
        <v>25117</v>
      </c>
      <c r="L129">
        <v>-20644</v>
      </c>
      <c r="M129" s="7">
        <f t="shared" ca="1" si="10"/>
        <v>56.520191649555102</v>
      </c>
      <c r="N129" s="5" t="str">
        <f ca="1">VLOOKUP(Data!M129,temp!$B$3:$C$9,2,1)</f>
        <v>50-60</v>
      </c>
      <c r="O129">
        <v>-3873</v>
      </c>
      <c r="P129" s="8">
        <f t="shared" si="11"/>
        <v>10.603696098562628</v>
      </c>
      <c r="Q129" s="5" t="str">
        <f t="shared" si="13"/>
        <v>Employed</v>
      </c>
      <c r="R129">
        <v>1</v>
      </c>
      <c r="S129">
        <v>0</v>
      </c>
      <c r="T129">
        <v>0</v>
      </c>
      <c r="U129">
        <v>0</v>
      </c>
      <c r="V129" t="s">
        <v>50</v>
      </c>
      <c r="W129">
        <v>2</v>
      </c>
    </row>
    <row r="130" spans="1:23" x14ac:dyDescent="0.2">
      <c r="A130">
        <v>5009980</v>
      </c>
      <c r="B130" t="s">
        <v>18</v>
      </c>
      <c r="C130" t="s">
        <v>20</v>
      </c>
      <c r="D130" t="s">
        <v>20</v>
      </c>
      <c r="E130">
        <v>0</v>
      </c>
      <c r="F130">
        <v>180000</v>
      </c>
      <c r="G130" t="s">
        <v>35</v>
      </c>
      <c r="H130" t="s">
        <v>27</v>
      </c>
      <c r="I130" t="s">
        <v>28</v>
      </c>
      <c r="J130" t="s">
        <v>24</v>
      </c>
      <c r="K130" s="6">
        <f t="shared" ca="1" si="12"/>
        <v>25117</v>
      </c>
      <c r="L130">
        <v>-20644</v>
      </c>
      <c r="M130" s="7">
        <f t="shared" ca="1" si="10"/>
        <v>56.520191649555102</v>
      </c>
      <c r="N130" s="5" t="str">
        <f ca="1">VLOOKUP(Data!M130,temp!$B$3:$C$9,2,1)</f>
        <v>50-60</v>
      </c>
      <c r="O130">
        <v>-3873</v>
      </c>
      <c r="P130" s="8">
        <f t="shared" si="11"/>
        <v>10.603696098562628</v>
      </c>
      <c r="Q130" s="5" t="str">
        <f t="shared" si="13"/>
        <v>Employed</v>
      </c>
      <c r="R130">
        <v>1</v>
      </c>
      <c r="S130">
        <v>0</v>
      </c>
      <c r="T130">
        <v>0</v>
      </c>
      <c r="U130">
        <v>0</v>
      </c>
      <c r="V130" t="s">
        <v>50</v>
      </c>
      <c r="W130">
        <v>2</v>
      </c>
    </row>
    <row r="131" spans="1:23" x14ac:dyDescent="0.2">
      <c r="A131">
        <v>5009994</v>
      </c>
      <c r="B131" t="s">
        <v>25</v>
      </c>
      <c r="C131" t="s">
        <v>20</v>
      </c>
      <c r="D131" t="s">
        <v>20</v>
      </c>
      <c r="E131">
        <v>1</v>
      </c>
      <c r="F131">
        <v>360000</v>
      </c>
      <c r="G131" t="s">
        <v>26</v>
      </c>
      <c r="H131" t="s">
        <v>27</v>
      </c>
      <c r="I131" t="s">
        <v>28</v>
      </c>
      <c r="J131" t="s">
        <v>24</v>
      </c>
      <c r="K131" s="6">
        <f t="shared" ca="1" si="12"/>
        <v>31821</v>
      </c>
      <c r="L131">
        <v>-13940</v>
      </c>
      <c r="M131" s="7">
        <f t="shared" ref="M131:M194" ca="1" si="14">(TODAY()-K131)/365.25</f>
        <v>38.165639972621491</v>
      </c>
      <c r="N131" s="5" t="str">
        <f ca="1">VLOOKUP(Data!M131,temp!$B$3:$C$9,2,1)</f>
        <v>30-40</v>
      </c>
      <c r="O131">
        <v>-617</v>
      </c>
      <c r="P131" s="8">
        <f t="shared" ref="P131:P194" si="15">IF(O131&lt;=0,ABS(O131)/365.25,0)</f>
        <v>1.6892539356605065</v>
      </c>
      <c r="Q131" s="5" t="str">
        <f t="shared" si="13"/>
        <v>Employed</v>
      </c>
      <c r="R131">
        <v>1</v>
      </c>
      <c r="S131">
        <v>0</v>
      </c>
      <c r="T131">
        <v>0</v>
      </c>
      <c r="U131">
        <v>0</v>
      </c>
      <c r="V131" t="s">
        <v>32</v>
      </c>
      <c r="W131">
        <v>3</v>
      </c>
    </row>
    <row r="132" spans="1:23" x14ac:dyDescent="0.2">
      <c r="A132">
        <v>5010005</v>
      </c>
      <c r="B132" t="s">
        <v>25</v>
      </c>
      <c r="C132" t="s">
        <v>20</v>
      </c>
      <c r="D132" t="s">
        <v>20</v>
      </c>
      <c r="E132">
        <v>0</v>
      </c>
      <c r="F132">
        <v>157500</v>
      </c>
      <c r="G132" t="s">
        <v>21</v>
      </c>
      <c r="H132" t="s">
        <v>27</v>
      </c>
      <c r="I132" t="s">
        <v>28</v>
      </c>
      <c r="J132" t="s">
        <v>24</v>
      </c>
      <c r="K132" s="6">
        <f t="shared" ca="1" si="12"/>
        <v>22439</v>
      </c>
      <c r="L132">
        <v>-23322</v>
      </c>
      <c r="M132" s="7">
        <f t="shared" ca="1" si="14"/>
        <v>63.852156057494867</v>
      </c>
      <c r="N132" s="5" t="str">
        <f ca="1">VLOOKUP(Data!M132,temp!$B$3:$C$9,2,1)</f>
        <v>60-70</v>
      </c>
      <c r="O132">
        <v>365243</v>
      </c>
      <c r="P132" s="8">
        <f t="shared" si="15"/>
        <v>0</v>
      </c>
      <c r="Q132" s="5" t="str">
        <f t="shared" si="13"/>
        <v>Unemployed</v>
      </c>
      <c r="R132">
        <v>1</v>
      </c>
      <c r="S132">
        <v>0</v>
      </c>
      <c r="T132">
        <v>0</v>
      </c>
      <c r="U132">
        <v>0</v>
      </c>
      <c r="W132">
        <v>2</v>
      </c>
    </row>
    <row r="133" spans="1:23" x14ac:dyDescent="0.2">
      <c r="A133">
        <v>5010015</v>
      </c>
      <c r="B133" t="s">
        <v>18</v>
      </c>
      <c r="C133" t="s">
        <v>20</v>
      </c>
      <c r="D133" t="s">
        <v>20</v>
      </c>
      <c r="E133">
        <v>1</v>
      </c>
      <c r="F133">
        <v>112500</v>
      </c>
      <c r="G133" t="s">
        <v>26</v>
      </c>
      <c r="H133" t="s">
        <v>27</v>
      </c>
      <c r="I133" t="s">
        <v>23</v>
      </c>
      <c r="J133" t="s">
        <v>24</v>
      </c>
      <c r="K133" s="6">
        <f t="shared" ca="1" si="12"/>
        <v>32865</v>
      </c>
      <c r="L133">
        <v>-12896</v>
      </c>
      <c r="M133" s="7">
        <f t="shared" ca="1" si="14"/>
        <v>35.307323750855581</v>
      </c>
      <c r="N133" s="5" t="str">
        <f ca="1">VLOOKUP(Data!M133,temp!$B$3:$C$9,2,1)</f>
        <v>30-40</v>
      </c>
      <c r="O133">
        <v>-709</v>
      </c>
      <c r="P133" s="8">
        <f t="shared" si="15"/>
        <v>1.9411362080766599</v>
      </c>
      <c r="Q133" s="5" t="str">
        <f t="shared" si="13"/>
        <v>Employed</v>
      </c>
      <c r="R133">
        <v>1</v>
      </c>
      <c r="S133">
        <v>0</v>
      </c>
      <c r="T133">
        <v>0</v>
      </c>
      <c r="U133">
        <v>0</v>
      </c>
      <c r="W133">
        <v>2</v>
      </c>
    </row>
    <row r="134" spans="1:23" x14ac:dyDescent="0.2">
      <c r="A134">
        <v>5010018</v>
      </c>
      <c r="B134" t="s">
        <v>18</v>
      </c>
      <c r="C134" t="s">
        <v>20</v>
      </c>
      <c r="D134" t="s">
        <v>20</v>
      </c>
      <c r="E134">
        <v>1</v>
      </c>
      <c r="F134">
        <v>112500</v>
      </c>
      <c r="G134" t="s">
        <v>26</v>
      </c>
      <c r="H134" t="s">
        <v>27</v>
      </c>
      <c r="I134" t="s">
        <v>23</v>
      </c>
      <c r="J134" t="s">
        <v>24</v>
      </c>
      <c r="K134" s="6">
        <f t="shared" ca="1" si="12"/>
        <v>32865</v>
      </c>
      <c r="L134">
        <v>-12896</v>
      </c>
      <c r="M134" s="7">
        <f t="shared" ca="1" si="14"/>
        <v>35.307323750855581</v>
      </c>
      <c r="N134" s="5" t="str">
        <f ca="1">VLOOKUP(Data!M134,temp!$B$3:$C$9,2,1)</f>
        <v>30-40</v>
      </c>
      <c r="O134">
        <v>-709</v>
      </c>
      <c r="P134" s="8">
        <f t="shared" si="15"/>
        <v>1.9411362080766599</v>
      </c>
      <c r="Q134" s="5" t="str">
        <f t="shared" si="13"/>
        <v>Employed</v>
      </c>
      <c r="R134">
        <v>1</v>
      </c>
      <c r="S134">
        <v>0</v>
      </c>
      <c r="T134">
        <v>0</v>
      </c>
      <c r="U134">
        <v>0</v>
      </c>
      <c r="W134">
        <v>2</v>
      </c>
    </row>
    <row r="135" spans="1:23" x14ac:dyDescent="0.2">
      <c r="A135">
        <v>5010025</v>
      </c>
      <c r="B135" t="s">
        <v>18</v>
      </c>
      <c r="C135" t="s">
        <v>19</v>
      </c>
      <c r="D135" t="s">
        <v>20</v>
      </c>
      <c r="E135">
        <v>0</v>
      </c>
      <c r="F135">
        <v>135000</v>
      </c>
      <c r="G135" t="s">
        <v>31</v>
      </c>
      <c r="H135" t="s">
        <v>27</v>
      </c>
      <c r="I135" t="s">
        <v>28</v>
      </c>
      <c r="J135" t="s">
        <v>24</v>
      </c>
      <c r="K135" s="6">
        <f t="shared" ca="1" si="12"/>
        <v>24979</v>
      </c>
      <c r="L135">
        <v>-20782</v>
      </c>
      <c r="M135" s="7">
        <f t="shared" ca="1" si="14"/>
        <v>56.898015058179332</v>
      </c>
      <c r="N135" s="5" t="str">
        <f ca="1">VLOOKUP(Data!M135,temp!$B$3:$C$9,2,1)</f>
        <v>50-60</v>
      </c>
      <c r="O135">
        <v>-2321</v>
      </c>
      <c r="P135" s="8">
        <f t="shared" si="15"/>
        <v>6.3545516769336068</v>
      </c>
      <c r="Q135" s="5" t="str">
        <f t="shared" si="13"/>
        <v>Employed</v>
      </c>
      <c r="R135">
        <v>1</v>
      </c>
      <c r="S135">
        <v>0</v>
      </c>
      <c r="T135">
        <v>0</v>
      </c>
      <c r="U135">
        <v>0</v>
      </c>
      <c r="V135" t="s">
        <v>29</v>
      </c>
      <c r="W135">
        <v>2</v>
      </c>
    </row>
    <row r="136" spans="1:23" x14ac:dyDescent="0.2">
      <c r="A136">
        <v>5010028</v>
      </c>
      <c r="B136" t="s">
        <v>18</v>
      </c>
      <c r="C136" t="s">
        <v>19</v>
      </c>
      <c r="D136" t="s">
        <v>20</v>
      </c>
      <c r="E136">
        <v>0</v>
      </c>
      <c r="F136">
        <v>135000</v>
      </c>
      <c r="G136" t="s">
        <v>31</v>
      </c>
      <c r="H136" t="s">
        <v>27</v>
      </c>
      <c r="I136" t="s">
        <v>28</v>
      </c>
      <c r="J136" t="s">
        <v>24</v>
      </c>
      <c r="K136" s="6">
        <f t="shared" ref="K136:K199" ca="1" si="16">TODAY()+($L136)</f>
        <v>24979</v>
      </c>
      <c r="L136">
        <v>-20782</v>
      </c>
      <c r="M136" s="7">
        <f t="shared" ca="1" si="14"/>
        <v>56.898015058179332</v>
      </c>
      <c r="N136" s="5" t="str">
        <f ca="1">VLOOKUP(Data!M136,temp!$B$3:$C$9,2,1)</f>
        <v>50-60</v>
      </c>
      <c r="O136">
        <v>-2321</v>
      </c>
      <c r="P136" s="8">
        <f t="shared" si="15"/>
        <v>6.3545516769336068</v>
      </c>
      <c r="Q136" s="5" t="str">
        <f t="shared" ref="Q136:Q199" si="17">IF($O136&gt;0,"Unemployed","Employed")</f>
        <v>Employed</v>
      </c>
      <c r="R136">
        <v>1</v>
      </c>
      <c r="S136">
        <v>0</v>
      </c>
      <c r="T136">
        <v>0</v>
      </c>
      <c r="U136">
        <v>0</v>
      </c>
      <c r="V136" t="s">
        <v>29</v>
      </c>
      <c r="W136">
        <v>2</v>
      </c>
    </row>
    <row r="137" spans="1:23" x14ac:dyDescent="0.2">
      <c r="A137">
        <v>5010032</v>
      </c>
      <c r="B137" t="s">
        <v>25</v>
      </c>
      <c r="C137" t="s">
        <v>20</v>
      </c>
      <c r="D137" t="s">
        <v>20</v>
      </c>
      <c r="E137">
        <v>0</v>
      </c>
      <c r="F137">
        <v>85500</v>
      </c>
      <c r="G137" t="s">
        <v>21</v>
      </c>
      <c r="H137" t="s">
        <v>27</v>
      </c>
      <c r="I137" t="s">
        <v>28</v>
      </c>
      <c r="J137" t="s">
        <v>24</v>
      </c>
      <c r="K137" s="6">
        <f t="shared" ca="1" si="16"/>
        <v>23640</v>
      </c>
      <c r="L137">
        <v>-22121</v>
      </c>
      <c r="M137" s="7">
        <f t="shared" ca="1" si="14"/>
        <v>60.563997262149215</v>
      </c>
      <c r="N137" s="5" t="str">
        <f ca="1">VLOOKUP(Data!M137,temp!$B$3:$C$9,2,1)</f>
        <v>60-70</v>
      </c>
      <c r="O137">
        <v>365243</v>
      </c>
      <c r="P137" s="8">
        <f t="shared" si="15"/>
        <v>0</v>
      </c>
      <c r="Q137" s="5" t="str">
        <f t="shared" si="17"/>
        <v>Unemployed</v>
      </c>
      <c r="R137">
        <v>1</v>
      </c>
      <c r="S137">
        <v>0</v>
      </c>
      <c r="T137">
        <v>1</v>
      </c>
      <c r="U137">
        <v>0</v>
      </c>
      <c r="W137">
        <v>2</v>
      </c>
    </row>
    <row r="138" spans="1:23" x14ac:dyDescent="0.2">
      <c r="A138">
        <v>5010041</v>
      </c>
      <c r="B138" t="s">
        <v>18</v>
      </c>
      <c r="C138" t="s">
        <v>19</v>
      </c>
      <c r="D138" t="s">
        <v>20</v>
      </c>
      <c r="E138">
        <v>0</v>
      </c>
      <c r="F138">
        <v>67500</v>
      </c>
      <c r="G138" t="s">
        <v>31</v>
      </c>
      <c r="H138" t="s">
        <v>27</v>
      </c>
      <c r="I138" t="s">
        <v>28</v>
      </c>
      <c r="J138" t="s">
        <v>24</v>
      </c>
      <c r="K138" s="6">
        <f t="shared" ca="1" si="16"/>
        <v>23872</v>
      </c>
      <c r="L138">
        <v>-21889</v>
      </c>
      <c r="M138" s="7">
        <f t="shared" ca="1" si="14"/>
        <v>59.928815879534568</v>
      </c>
      <c r="N138" s="5" t="str">
        <f ca="1">VLOOKUP(Data!M138,temp!$B$3:$C$9,2,1)</f>
        <v>50-60</v>
      </c>
      <c r="O138">
        <v>-8469</v>
      </c>
      <c r="P138" s="8">
        <f t="shared" si="15"/>
        <v>23.186858316221766</v>
      </c>
      <c r="Q138" s="5" t="str">
        <f t="shared" si="17"/>
        <v>Employed</v>
      </c>
      <c r="R138">
        <v>1</v>
      </c>
      <c r="S138">
        <v>1</v>
      </c>
      <c r="T138">
        <v>0</v>
      </c>
      <c r="U138">
        <v>0</v>
      </c>
      <c r="V138" t="s">
        <v>38</v>
      </c>
      <c r="W138">
        <v>2</v>
      </c>
    </row>
    <row r="139" spans="1:23" x14ac:dyDescent="0.2">
      <c r="A139">
        <v>5010053</v>
      </c>
      <c r="B139" t="s">
        <v>18</v>
      </c>
      <c r="C139" t="s">
        <v>19</v>
      </c>
      <c r="D139" t="s">
        <v>20</v>
      </c>
      <c r="E139">
        <v>0</v>
      </c>
      <c r="F139">
        <v>90000</v>
      </c>
      <c r="G139" t="s">
        <v>31</v>
      </c>
      <c r="H139" t="s">
        <v>27</v>
      </c>
      <c r="I139" t="s">
        <v>28</v>
      </c>
      <c r="J139" t="s">
        <v>24</v>
      </c>
      <c r="K139" s="6">
        <f t="shared" ca="1" si="16"/>
        <v>27287</v>
      </c>
      <c r="L139">
        <v>-18474</v>
      </c>
      <c r="M139" s="7">
        <f t="shared" ca="1" si="14"/>
        <v>50.579055441478438</v>
      </c>
      <c r="N139" s="5" t="str">
        <f ca="1">VLOOKUP(Data!M139,temp!$B$3:$C$9,2,1)</f>
        <v>50-60</v>
      </c>
      <c r="O139">
        <v>-3021</v>
      </c>
      <c r="P139" s="8">
        <f t="shared" si="15"/>
        <v>8.2710472279260774</v>
      </c>
      <c r="Q139" s="5" t="str">
        <f t="shared" si="17"/>
        <v>Employed</v>
      </c>
      <c r="R139">
        <v>1</v>
      </c>
      <c r="S139">
        <v>0</v>
      </c>
      <c r="T139">
        <v>0</v>
      </c>
      <c r="U139">
        <v>1</v>
      </c>
      <c r="V139" t="s">
        <v>46</v>
      </c>
      <c r="W139">
        <v>2</v>
      </c>
    </row>
    <row r="140" spans="1:23" x14ac:dyDescent="0.2">
      <c r="A140">
        <v>5010085</v>
      </c>
      <c r="B140" t="s">
        <v>25</v>
      </c>
      <c r="C140" t="s">
        <v>19</v>
      </c>
      <c r="D140" t="s">
        <v>20</v>
      </c>
      <c r="E140">
        <v>0</v>
      </c>
      <c r="F140">
        <v>135000</v>
      </c>
      <c r="G140" t="s">
        <v>31</v>
      </c>
      <c r="H140" t="s">
        <v>27</v>
      </c>
      <c r="I140" t="s">
        <v>28</v>
      </c>
      <c r="J140" t="s">
        <v>24</v>
      </c>
      <c r="K140" s="6">
        <f t="shared" ca="1" si="16"/>
        <v>24830</v>
      </c>
      <c r="L140">
        <v>-20931</v>
      </c>
      <c r="M140" s="7">
        <f t="shared" ca="1" si="14"/>
        <v>57.30595482546201</v>
      </c>
      <c r="N140" s="5" t="str">
        <f ca="1">VLOOKUP(Data!M140,temp!$B$3:$C$9,2,1)</f>
        <v>50-60</v>
      </c>
      <c r="O140">
        <v>-191</v>
      </c>
      <c r="P140" s="8">
        <f t="shared" si="15"/>
        <v>0.5229295003422314</v>
      </c>
      <c r="Q140" s="5" t="str">
        <f t="shared" si="17"/>
        <v>Employed</v>
      </c>
      <c r="R140">
        <v>1</v>
      </c>
      <c r="S140">
        <v>0</v>
      </c>
      <c r="T140">
        <v>1</v>
      </c>
      <c r="U140">
        <v>1</v>
      </c>
      <c r="V140" t="s">
        <v>40</v>
      </c>
      <c r="W140">
        <v>2</v>
      </c>
    </row>
    <row r="141" spans="1:23" x14ac:dyDescent="0.2">
      <c r="A141">
        <v>5010088</v>
      </c>
      <c r="B141" t="s">
        <v>18</v>
      </c>
      <c r="C141" t="s">
        <v>20</v>
      </c>
      <c r="D141" t="s">
        <v>20</v>
      </c>
      <c r="E141">
        <v>0</v>
      </c>
      <c r="F141">
        <v>112500</v>
      </c>
      <c r="G141" t="s">
        <v>31</v>
      </c>
      <c r="H141" t="s">
        <v>36</v>
      </c>
      <c r="I141" t="s">
        <v>33</v>
      </c>
      <c r="J141" t="s">
        <v>41</v>
      </c>
      <c r="K141" s="6">
        <f t="shared" ca="1" si="16"/>
        <v>37633</v>
      </c>
      <c r="L141">
        <v>-8128</v>
      </c>
      <c r="M141" s="7">
        <f t="shared" ca="1" si="14"/>
        <v>22.253251197809718</v>
      </c>
      <c r="N141" s="5" t="str">
        <f ca="1">VLOOKUP(Data!M141,temp!$B$3:$C$9,2,1)</f>
        <v>20-30</v>
      </c>
      <c r="O141">
        <v>-951</v>
      </c>
      <c r="P141" s="8">
        <f t="shared" si="15"/>
        <v>2.6036960985626285</v>
      </c>
      <c r="Q141" s="5" t="str">
        <f t="shared" si="17"/>
        <v>Employed</v>
      </c>
      <c r="R141">
        <v>1</v>
      </c>
      <c r="S141">
        <v>0</v>
      </c>
      <c r="T141">
        <v>0</v>
      </c>
      <c r="U141">
        <v>1</v>
      </c>
      <c r="V141" t="s">
        <v>39</v>
      </c>
      <c r="W141">
        <v>1</v>
      </c>
    </row>
    <row r="142" spans="1:23" x14ac:dyDescent="0.2">
      <c r="A142">
        <v>5010090</v>
      </c>
      <c r="B142" t="s">
        <v>18</v>
      </c>
      <c r="C142" t="s">
        <v>19</v>
      </c>
      <c r="D142" t="s">
        <v>19</v>
      </c>
      <c r="E142">
        <v>0</v>
      </c>
      <c r="F142">
        <v>225000</v>
      </c>
      <c r="G142" t="s">
        <v>26</v>
      </c>
      <c r="H142" t="s">
        <v>27</v>
      </c>
      <c r="I142" t="s">
        <v>28</v>
      </c>
      <c r="J142" t="s">
        <v>24</v>
      </c>
      <c r="K142" s="6">
        <f t="shared" ca="1" si="16"/>
        <v>35457</v>
      </c>
      <c r="L142">
        <v>-10304</v>
      </c>
      <c r="M142" s="7">
        <f t="shared" ca="1" si="14"/>
        <v>28.210814510609172</v>
      </c>
      <c r="N142" s="5" t="str">
        <f ca="1">VLOOKUP(Data!M142,temp!$B$3:$C$9,2,1)</f>
        <v>20-30</v>
      </c>
      <c r="O142">
        <v>-1682</v>
      </c>
      <c r="P142" s="8">
        <f t="shared" si="15"/>
        <v>4.6050650239561941</v>
      </c>
      <c r="Q142" s="5" t="str">
        <f t="shared" si="17"/>
        <v>Employed</v>
      </c>
      <c r="R142">
        <v>1</v>
      </c>
      <c r="S142">
        <v>0</v>
      </c>
      <c r="T142">
        <v>0</v>
      </c>
      <c r="U142">
        <v>0</v>
      </c>
      <c r="V142" t="s">
        <v>29</v>
      </c>
      <c r="W142">
        <v>2</v>
      </c>
    </row>
    <row r="143" spans="1:23" x14ac:dyDescent="0.2">
      <c r="A143">
        <v>5010091</v>
      </c>
      <c r="B143" t="s">
        <v>18</v>
      </c>
      <c r="C143" t="s">
        <v>19</v>
      </c>
      <c r="D143" t="s">
        <v>19</v>
      </c>
      <c r="E143">
        <v>0</v>
      </c>
      <c r="F143">
        <v>225000</v>
      </c>
      <c r="G143" t="s">
        <v>26</v>
      </c>
      <c r="H143" t="s">
        <v>27</v>
      </c>
      <c r="I143" t="s">
        <v>28</v>
      </c>
      <c r="J143" t="s">
        <v>24</v>
      </c>
      <c r="K143" s="6">
        <f t="shared" ca="1" si="16"/>
        <v>35457</v>
      </c>
      <c r="L143">
        <v>-10304</v>
      </c>
      <c r="M143" s="7">
        <f t="shared" ca="1" si="14"/>
        <v>28.210814510609172</v>
      </c>
      <c r="N143" s="5" t="str">
        <f ca="1">VLOOKUP(Data!M143,temp!$B$3:$C$9,2,1)</f>
        <v>20-30</v>
      </c>
      <c r="O143">
        <v>-1682</v>
      </c>
      <c r="P143" s="8">
        <f t="shared" si="15"/>
        <v>4.6050650239561941</v>
      </c>
      <c r="Q143" s="5" t="str">
        <f t="shared" si="17"/>
        <v>Employed</v>
      </c>
      <c r="R143">
        <v>1</v>
      </c>
      <c r="S143">
        <v>0</v>
      </c>
      <c r="T143">
        <v>0</v>
      </c>
      <c r="U143">
        <v>0</v>
      </c>
      <c r="V143" t="s">
        <v>29</v>
      </c>
      <c r="W143">
        <v>2</v>
      </c>
    </row>
    <row r="144" spans="1:23" x14ac:dyDescent="0.2">
      <c r="A144">
        <v>5010099</v>
      </c>
      <c r="B144" t="s">
        <v>18</v>
      </c>
      <c r="C144" t="s">
        <v>20</v>
      </c>
      <c r="D144" t="s">
        <v>20</v>
      </c>
      <c r="E144">
        <v>2</v>
      </c>
      <c r="F144">
        <v>306000</v>
      </c>
      <c r="G144" t="s">
        <v>35</v>
      </c>
      <c r="H144" t="s">
        <v>22</v>
      </c>
      <c r="I144" t="s">
        <v>28</v>
      </c>
      <c r="J144" t="s">
        <v>24</v>
      </c>
      <c r="K144" s="6">
        <f t="shared" ca="1" si="16"/>
        <v>32220</v>
      </c>
      <c r="L144">
        <v>-13541</v>
      </c>
      <c r="M144" s="7">
        <f t="shared" ca="1" si="14"/>
        <v>37.073237508555785</v>
      </c>
      <c r="N144" s="5" t="str">
        <f ca="1">VLOOKUP(Data!M144,temp!$B$3:$C$9,2,1)</f>
        <v>30-40</v>
      </c>
      <c r="O144">
        <v>-3965</v>
      </c>
      <c r="P144" s="8">
        <f t="shared" si="15"/>
        <v>10.855578370978781</v>
      </c>
      <c r="Q144" s="5" t="str">
        <f t="shared" si="17"/>
        <v>Employed</v>
      </c>
      <c r="R144">
        <v>1</v>
      </c>
      <c r="S144">
        <v>0</v>
      </c>
      <c r="T144">
        <v>0</v>
      </c>
      <c r="U144">
        <v>0</v>
      </c>
      <c r="V144" t="s">
        <v>38</v>
      </c>
      <c r="W144">
        <v>4</v>
      </c>
    </row>
    <row r="145" spans="1:23" x14ac:dyDescent="0.2">
      <c r="A145">
        <v>5010116</v>
      </c>
      <c r="B145" t="s">
        <v>18</v>
      </c>
      <c r="C145" t="s">
        <v>20</v>
      </c>
      <c r="D145" t="s">
        <v>20</v>
      </c>
      <c r="E145">
        <v>0</v>
      </c>
      <c r="F145">
        <v>202500</v>
      </c>
      <c r="G145" t="s">
        <v>21</v>
      </c>
      <c r="H145" t="s">
        <v>22</v>
      </c>
      <c r="I145" t="s">
        <v>42</v>
      </c>
      <c r="J145" t="s">
        <v>24</v>
      </c>
      <c r="K145" s="6">
        <f t="shared" ca="1" si="16"/>
        <v>24492</v>
      </c>
      <c r="L145">
        <v>-21269</v>
      </c>
      <c r="M145" s="7">
        <f t="shared" ca="1" si="14"/>
        <v>58.231348391512661</v>
      </c>
      <c r="N145" s="5" t="str">
        <f ca="1">VLOOKUP(Data!M145,temp!$B$3:$C$9,2,1)</f>
        <v>50-60</v>
      </c>
      <c r="O145">
        <v>365243</v>
      </c>
      <c r="P145" s="8">
        <f t="shared" si="15"/>
        <v>0</v>
      </c>
      <c r="Q145" s="5" t="str">
        <f t="shared" si="17"/>
        <v>Unemployed</v>
      </c>
      <c r="R145">
        <v>1</v>
      </c>
      <c r="S145">
        <v>0</v>
      </c>
      <c r="T145">
        <v>0</v>
      </c>
      <c r="U145">
        <v>1</v>
      </c>
      <c r="W145">
        <v>1</v>
      </c>
    </row>
    <row r="146" spans="1:23" x14ac:dyDescent="0.2">
      <c r="A146">
        <v>5010118</v>
      </c>
      <c r="B146" t="s">
        <v>25</v>
      </c>
      <c r="C146" t="s">
        <v>19</v>
      </c>
      <c r="D146" t="s">
        <v>20</v>
      </c>
      <c r="E146">
        <v>0</v>
      </c>
      <c r="F146">
        <v>180000</v>
      </c>
      <c r="G146" t="s">
        <v>31</v>
      </c>
      <c r="H146" t="s">
        <v>27</v>
      </c>
      <c r="I146" t="s">
        <v>33</v>
      </c>
      <c r="J146" t="s">
        <v>24</v>
      </c>
      <c r="K146" s="6">
        <f t="shared" ca="1" si="16"/>
        <v>37398</v>
      </c>
      <c r="L146">
        <v>-8363</v>
      </c>
      <c r="M146" s="7">
        <f t="shared" ca="1" si="14"/>
        <v>22.896646132785762</v>
      </c>
      <c r="N146" s="5" t="str">
        <f ca="1">VLOOKUP(Data!M146,temp!$B$3:$C$9,2,1)</f>
        <v>20-30</v>
      </c>
      <c r="O146">
        <v>-525</v>
      </c>
      <c r="P146" s="8">
        <f t="shared" si="15"/>
        <v>1.4373716632443532</v>
      </c>
      <c r="Q146" s="5" t="str">
        <f t="shared" si="17"/>
        <v>Employed</v>
      </c>
      <c r="R146">
        <v>1</v>
      </c>
      <c r="S146">
        <v>0</v>
      </c>
      <c r="T146">
        <v>0</v>
      </c>
      <c r="U146">
        <v>0</v>
      </c>
      <c r="W146">
        <v>1</v>
      </c>
    </row>
    <row r="147" spans="1:23" x14ac:dyDescent="0.2">
      <c r="A147">
        <v>5010183</v>
      </c>
      <c r="B147" t="s">
        <v>25</v>
      </c>
      <c r="C147" t="s">
        <v>19</v>
      </c>
      <c r="D147" t="s">
        <v>19</v>
      </c>
      <c r="E147">
        <v>1</v>
      </c>
      <c r="F147">
        <v>247500</v>
      </c>
      <c r="G147" t="s">
        <v>31</v>
      </c>
      <c r="H147" t="s">
        <v>27</v>
      </c>
      <c r="I147" t="s">
        <v>33</v>
      </c>
      <c r="J147" t="s">
        <v>24</v>
      </c>
      <c r="K147" s="6">
        <f t="shared" ca="1" si="16"/>
        <v>28964</v>
      </c>
      <c r="L147">
        <v>-16797</v>
      </c>
      <c r="M147" s="7">
        <f t="shared" ca="1" si="14"/>
        <v>45.987679671457904</v>
      </c>
      <c r="N147" s="5" t="str">
        <f ca="1">VLOOKUP(Data!M147,temp!$B$3:$C$9,2,1)</f>
        <v>40-50</v>
      </c>
      <c r="O147">
        <v>-6583</v>
      </c>
      <c r="P147" s="8">
        <f t="shared" si="15"/>
        <v>18.023271731690624</v>
      </c>
      <c r="Q147" s="5" t="str">
        <f t="shared" si="17"/>
        <v>Employed</v>
      </c>
      <c r="R147">
        <v>1</v>
      </c>
      <c r="S147">
        <v>0</v>
      </c>
      <c r="T147">
        <v>1</v>
      </c>
      <c r="U147">
        <v>0</v>
      </c>
      <c r="V147" t="s">
        <v>29</v>
      </c>
      <c r="W147">
        <v>2</v>
      </c>
    </row>
    <row r="148" spans="1:23" x14ac:dyDescent="0.2">
      <c r="A148">
        <v>5010184</v>
      </c>
      <c r="B148" t="s">
        <v>25</v>
      </c>
      <c r="C148" t="s">
        <v>19</v>
      </c>
      <c r="D148" t="s">
        <v>19</v>
      </c>
      <c r="E148">
        <v>1</v>
      </c>
      <c r="F148">
        <v>247500</v>
      </c>
      <c r="G148" t="s">
        <v>31</v>
      </c>
      <c r="H148" t="s">
        <v>27</v>
      </c>
      <c r="I148" t="s">
        <v>33</v>
      </c>
      <c r="J148" t="s">
        <v>24</v>
      </c>
      <c r="K148" s="6">
        <f t="shared" ca="1" si="16"/>
        <v>28964</v>
      </c>
      <c r="L148">
        <v>-16797</v>
      </c>
      <c r="M148" s="7">
        <f t="shared" ca="1" si="14"/>
        <v>45.987679671457904</v>
      </c>
      <c r="N148" s="5" t="str">
        <f ca="1">VLOOKUP(Data!M148,temp!$B$3:$C$9,2,1)</f>
        <v>40-50</v>
      </c>
      <c r="O148">
        <v>-6583</v>
      </c>
      <c r="P148" s="8">
        <f t="shared" si="15"/>
        <v>18.023271731690624</v>
      </c>
      <c r="Q148" s="5" t="str">
        <f t="shared" si="17"/>
        <v>Employed</v>
      </c>
      <c r="R148">
        <v>1</v>
      </c>
      <c r="S148">
        <v>0</v>
      </c>
      <c r="T148">
        <v>1</v>
      </c>
      <c r="U148">
        <v>0</v>
      </c>
      <c r="V148" t="s">
        <v>29</v>
      </c>
      <c r="W148">
        <v>2</v>
      </c>
    </row>
    <row r="149" spans="1:23" x14ac:dyDescent="0.2">
      <c r="A149">
        <v>5010192</v>
      </c>
      <c r="B149" t="s">
        <v>18</v>
      </c>
      <c r="C149" t="s">
        <v>20</v>
      </c>
      <c r="D149" t="s">
        <v>20</v>
      </c>
      <c r="E149">
        <v>0</v>
      </c>
      <c r="F149">
        <v>126000</v>
      </c>
      <c r="G149" t="s">
        <v>21</v>
      </c>
      <c r="H149" t="s">
        <v>27</v>
      </c>
      <c r="I149" t="s">
        <v>28</v>
      </c>
      <c r="J149" t="s">
        <v>24</v>
      </c>
      <c r="K149" s="6">
        <f t="shared" ca="1" si="16"/>
        <v>22425</v>
      </c>
      <c r="L149">
        <v>-23336</v>
      </c>
      <c r="M149" s="7">
        <f t="shared" ca="1" si="14"/>
        <v>63.890485968514717</v>
      </c>
      <c r="N149" s="5" t="str">
        <f ca="1">VLOOKUP(Data!M149,temp!$B$3:$C$9,2,1)</f>
        <v>60-70</v>
      </c>
      <c r="O149">
        <v>365243</v>
      </c>
      <c r="P149" s="8">
        <f t="shared" si="15"/>
        <v>0</v>
      </c>
      <c r="Q149" s="5" t="str">
        <f t="shared" si="17"/>
        <v>Unemployed</v>
      </c>
      <c r="R149">
        <v>1</v>
      </c>
      <c r="S149">
        <v>0</v>
      </c>
      <c r="T149">
        <v>0</v>
      </c>
      <c r="U149">
        <v>0</v>
      </c>
      <c r="W149">
        <v>2</v>
      </c>
    </row>
    <row r="150" spans="1:23" x14ac:dyDescent="0.2">
      <c r="A150">
        <v>5010197</v>
      </c>
      <c r="B150" t="s">
        <v>18</v>
      </c>
      <c r="C150" t="s">
        <v>19</v>
      </c>
      <c r="D150" t="s">
        <v>20</v>
      </c>
      <c r="E150">
        <v>0</v>
      </c>
      <c r="F150">
        <v>135000</v>
      </c>
      <c r="G150" t="s">
        <v>21</v>
      </c>
      <c r="H150" t="s">
        <v>22</v>
      </c>
      <c r="I150" t="s">
        <v>33</v>
      </c>
      <c r="J150" t="s">
        <v>24</v>
      </c>
      <c r="K150" s="6">
        <f t="shared" ca="1" si="16"/>
        <v>22561</v>
      </c>
      <c r="L150">
        <v>-23200</v>
      </c>
      <c r="M150" s="7">
        <f t="shared" ca="1" si="14"/>
        <v>63.518138261464749</v>
      </c>
      <c r="N150" s="5" t="str">
        <f ca="1">VLOOKUP(Data!M150,temp!$B$3:$C$9,2,1)</f>
        <v>60-70</v>
      </c>
      <c r="O150">
        <v>365243</v>
      </c>
      <c r="P150" s="8">
        <f t="shared" si="15"/>
        <v>0</v>
      </c>
      <c r="Q150" s="5" t="str">
        <f t="shared" si="17"/>
        <v>Unemployed</v>
      </c>
      <c r="R150">
        <v>1</v>
      </c>
      <c r="S150">
        <v>0</v>
      </c>
      <c r="T150">
        <v>1</v>
      </c>
      <c r="U150">
        <v>0</v>
      </c>
      <c r="W150">
        <v>1</v>
      </c>
    </row>
    <row r="151" spans="1:23" x14ac:dyDescent="0.2">
      <c r="A151">
        <v>5010198</v>
      </c>
      <c r="B151" t="s">
        <v>25</v>
      </c>
      <c r="C151" t="s">
        <v>20</v>
      </c>
      <c r="D151" t="s">
        <v>20</v>
      </c>
      <c r="E151">
        <v>0</v>
      </c>
      <c r="F151">
        <v>135000</v>
      </c>
      <c r="G151" t="s">
        <v>31</v>
      </c>
      <c r="H151" t="s">
        <v>51</v>
      </c>
      <c r="I151" t="s">
        <v>28</v>
      </c>
      <c r="J151" t="s">
        <v>41</v>
      </c>
      <c r="K151" s="6">
        <f t="shared" ca="1" si="16"/>
        <v>35780</v>
      </c>
      <c r="L151">
        <v>-9981</v>
      </c>
      <c r="M151" s="7">
        <f t="shared" ca="1" si="14"/>
        <v>27.326488706365502</v>
      </c>
      <c r="N151" s="5" t="str">
        <f ca="1">VLOOKUP(Data!M151,temp!$B$3:$C$9,2,1)</f>
        <v>20-30</v>
      </c>
      <c r="O151">
        <v>-1866</v>
      </c>
      <c r="P151" s="8">
        <f t="shared" si="15"/>
        <v>5.1088295687885008</v>
      </c>
      <c r="Q151" s="5" t="str">
        <f t="shared" si="17"/>
        <v>Employed</v>
      </c>
      <c r="R151">
        <v>1</v>
      </c>
      <c r="S151">
        <v>0</v>
      </c>
      <c r="T151">
        <v>0</v>
      </c>
      <c r="U151">
        <v>1</v>
      </c>
      <c r="V151" t="s">
        <v>29</v>
      </c>
      <c r="W151">
        <v>2</v>
      </c>
    </row>
    <row r="152" spans="1:23" x14ac:dyDescent="0.2">
      <c r="A152">
        <v>5010208</v>
      </c>
      <c r="B152" t="s">
        <v>18</v>
      </c>
      <c r="C152" t="s">
        <v>19</v>
      </c>
      <c r="D152" t="s">
        <v>20</v>
      </c>
      <c r="E152">
        <v>0</v>
      </c>
      <c r="F152">
        <v>135000</v>
      </c>
      <c r="G152" t="s">
        <v>26</v>
      </c>
      <c r="H152" t="s">
        <v>22</v>
      </c>
      <c r="I152" t="s">
        <v>28</v>
      </c>
      <c r="J152" t="s">
        <v>24</v>
      </c>
      <c r="K152" s="6">
        <f t="shared" ca="1" si="16"/>
        <v>31997</v>
      </c>
      <c r="L152">
        <v>-13764</v>
      </c>
      <c r="M152" s="7">
        <f t="shared" ca="1" si="14"/>
        <v>37.68377823408624</v>
      </c>
      <c r="N152" s="5" t="str">
        <f ca="1">VLOOKUP(Data!M152,temp!$B$3:$C$9,2,1)</f>
        <v>30-40</v>
      </c>
      <c r="O152">
        <v>-3996</v>
      </c>
      <c r="P152" s="8">
        <f t="shared" si="15"/>
        <v>10.940451745379876</v>
      </c>
      <c r="Q152" s="5" t="str">
        <f t="shared" si="17"/>
        <v>Employed</v>
      </c>
      <c r="R152">
        <v>1</v>
      </c>
      <c r="S152">
        <v>0</v>
      </c>
      <c r="T152">
        <v>0</v>
      </c>
      <c r="U152">
        <v>1</v>
      </c>
      <c r="V152" t="s">
        <v>38</v>
      </c>
      <c r="W152">
        <v>2</v>
      </c>
    </row>
    <row r="153" spans="1:23" x14ac:dyDescent="0.2">
      <c r="A153">
        <v>5010209</v>
      </c>
      <c r="B153" t="s">
        <v>18</v>
      </c>
      <c r="C153" t="s">
        <v>19</v>
      </c>
      <c r="D153" t="s">
        <v>20</v>
      </c>
      <c r="E153">
        <v>0</v>
      </c>
      <c r="F153">
        <v>135000</v>
      </c>
      <c r="G153" t="s">
        <v>26</v>
      </c>
      <c r="H153" t="s">
        <v>22</v>
      </c>
      <c r="I153" t="s">
        <v>28</v>
      </c>
      <c r="J153" t="s">
        <v>24</v>
      </c>
      <c r="K153" s="6">
        <f t="shared" ca="1" si="16"/>
        <v>31997</v>
      </c>
      <c r="L153">
        <v>-13764</v>
      </c>
      <c r="M153" s="7">
        <f t="shared" ca="1" si="14"/>
        <v>37.68377823408624</v>
      </c>
      <c r="N153" s="5" t="str">
        <f ca="1">VLOOKUP(Data!M153,temp!$B$3:$C$9,2,1)</f>
        <v>30-40</v>
      </c>
      <c r="O153">
        <v>-3996</v>
      </c>
      <c r="P153" s="8">
        <f t="shared" si="15"/>
        <v>10.940451745379876</v>
      </c>
      <c r="Q153" s="5" t="str">
        <f t="shared" si="17"/>
        <v>Employed</v>
      </c>
      <c r="R153">
        <v>1</v>
      </c>
      <c r="S153">
        <v>0</v>
      </c>
      <c r="T153">
        <v>0</v>
      </c>
      <c r="U153">
        <v>1</v>
      </c>
      <c r="V153" t="s">
        <v>38</v>
      </c>
      <c r="W153">
        <v>2</v>
      </c>
    </row>
    <row r="154" spans="1:23" x14ac:dyDescent="0.2">
      <c r="A154">
        <v>5010211</v>
      </c>
      <c r="B154" t="s">
        <v>25</v>
      </c>
      <c r="C154" t="s">
        <v>20</v>
      </c>
      <c r="D154" t="s">
        <v>20</v>
      </c>
      <c r="E154">
        <v>0</v>
      </c>
      <c r="F154">
        <v>202500</v>
      </c>
      <c r="G154" t="s">
        <v>26</v>
      </c>
      <c r="H154" t="s">
        <v>22</v>
      </c>
      <c r="I154" t="s">
        <v>28</v>
      </c>
      <c r="J154" t="s">
        <v>24</v>
      </c>
      <c r="K154" s="6">
        <f t="shared" ca="1" si="16"/>
        <v>26788</v>
      </c>
      <c r="L154">
        <v>-18973</v>
      </c>
      <c r="M154" s="7">
        <f t="shared" ca="1" si="14"/>
        <v>51.945242984257355</v>
      </c>
      <c r="N154" s="5" t="str">
        <f ca="1">VLOOKUP(Data!M154,temp!$B$3:$C$9,2,1)</f>
        <v>50-60</v>
      </c>
      <c r="O154">
        <v>-1074</v>
      </c>
      <c r="P154" s="8">
        <f t="shared" si="15"/>
        <v>2.9404517453798769</v>
      </c>
      <c r="Q154" s="5" t="str">
        <f t="shared" si="17"/>
        <v>Employed</v>
      </c>
      <c r="R154">
        <v>1</v>
      </c>
      <c r="S154">
        <v>1</v>
      </c>
      <c r="T154">
        <v>0</v>
      </c>
      <c r="U154">
        <v>0</v>
      </c>
      <c r="W154">
        <v>2</v>
      </c>
    </row>
    <row r="155" spans="1:23" x14ac:dyDescent="0.2">
      <c r="A155">
        <v>5010212</v>
      </c>
      <c r="B155" t="s">
        <v>25</v>
      </c>
      <c r="C155" t="s">
        <v>20</v>
      </c>
      <c r="D155" t="s">
        <v>20</v>
      </c>
      <c r="E155">
        <v>0</v>
      </c>
      <c r="F155">
        <v>202500</v>
      </c>
      <c r="G155" t="s">
        <v>26</v>
      </c>
      <c r="H155" t="s">
        <v>22</v>
      </c>
      <c r="I155" t="s">
        <v>28</v>
      </c>
      <c r="J155" t="s">
        <v>24</v>
      </c>
      <c r="K155" s="6">
        <f t="shared" ca="1" si="16"/>
        <v>26788</v>
      </c>
      <c r="L155">
        <v>-18973</v>
      </c>
      <c r="M155" s="7">
        <f t="shared" ca="1" si="14"/>
        <v>51.945242984257355</v>
      </c>
      <c r="N155" s="5" t="str">
        <f ca="1">VLOOKUP(Data!M155,temp!$B$3:$C$9,2,1)</f>
        <v>50-60</v>
      </c>
      <c r="O155">
        <v>-1074</v>
      </c>
      <c r="P155" s="8">
        <f t="shared" si="15"/>
        <v>2.9404517453798769</v>
      </c>
      <c r="Q155" s="5" t="str">
        <f t="shared" si="17"/>
        <v>Employed</v>
      </c>
      <c r="R155">
        <v>1</v>
      </c>
      <c r="S155">
        <v>1</v>
      </c>
      <c r="T155">
        <v>0</v>
      </c>
      <c r="U155">
        <v>0</v>
      </c>
      <c r="W155">
        <v>2</v>
      </c>
    </row>
    <row r="156" spans="1:23" x14ac:dyDescent="0.2">
      <c r="A156">
        <v>5010213</v>
      </c>
      <c r="B156" t="s">
        <v>25</v>
      </c>
      <c r="C156" t="s">
        <v>20</v>
      </c>
      <c r="D156" t="s">
        <v>20</v>
      </c>
      <c r="E156">
        <v>0</v>
      </c>
      <c r="F156">
        <v>202500</v>
      </c>
      <c r="G156" t="s">
        <v>26</v>
      </c>
      <c r="H156" t="s">
        <v>22</v>
      </c>
      <c r="I156" t="s">
        <v>28</v>
      </c>
      <c r="J156" t="s">
        <v>24</v>
      </c>
      <c r="K156" s="6">
        <f t="shared" ca="1" si="16"/>
        <v>26788</v>
      </c>
      <c r="L156">
        <v>-18973</v>
      </c>
      <c r="M156" s="7">
        <f t="shared" ca="1" si="14"/>
        <v>51.945242984257355</v>
      </c>
      <c r="N156" s="5" t="str">
        <f ca="1">VLOOKUP(Data!M156,temp!$B$3:$C$9,2,1)</f>
        <v>50-60</v>
      </c>
      <c r="O156">
        <v>-1074</v>
      </c>
      <c r="P156" s="8">
        <f t="shared" si="15"/>
        <v>2.9404517453798769</v>
      </c>
      <c r="Q156" s="5" t="str">
        <f t="shared" si="17"/>
        <v>Employed</v>
      </c>
      <c r="R156">
        <v>1</v>
      </c>
      <c r="S156">
        <v>1</v>
      </c>
      <c r="T156">
        <v>0</v>
      </c>
      <c r="U156">
        <v>0</v>
      </c>
      <c r="W156">
        <v>2</v>
      </c>
    </row>
    <row r="157" spans="1:23" x14ac:dyDescent="0.2">
      <c r="A157">
        <v>5010225</v>
      </c>
      <c r="B157" t="s">
        <v>18</v>
      </c>
      <c r="C157" t="s">
        <v>20</v>
      </c>
      <c r="D157" t="s">
        <v>20</v>
      </c>
      <c r="E157">
        <v>1</v>
      </c>
      <c r="F157">
        <v>90000</v>
      </c>
      <c r="G157" t="s">
        <v>35</v>
      </c>
      <c r="H157" t="s">
        <v>27</v>
      </c>
      <c r="I157" t="s">
        <v>28</v>
      </c>
      <c r="J157" t="s">
        <v>24</v>
      </c>
      <c r="K157" s="6">
        <f t="shared" ca="1" si="16"/>
        <v>28229</v>
      </c>
      <c r="L157">
        <v>-17532</v>
      </c>
      <c r="M157" s="7">
        <f t="shared" ca="1" si="14"/>
        <v>48</v>
      </c>
      <c r="N157" s="5" t="str">
        <f ca="1">VLOOKUP(Data!M157,temp!$B$3:$C$9,2,1)</f>
        <v>40-50</v>
      </c>
      <c r="O157">
        <v>-8044</v>
      </c>
      <c r="P157" s="8">
        <f t="shared" si="15"/>
        <v>22.023271731690624</v>
      </c>
      <c r="Q157" s="5" t="str">
        <f t="shared" si="17"/>
        <v>Employed</v>
      </c>
      <c r="R157">
        <v>1</v>
      </c>
      <c r="S157">
        <v>0</v>
      </c>
      <c r="T157">
        <v>0</v>
      </c>
      <c r="U157">
        <v>0</v>
      </c>
      <c r="V157" t="s">
        <v>50</v>
      </c>
      <c r="W157">
        <v>3</v>
      </c>
    </row>
    <row r="158" spans="1:23" x14ac:dyDescent="0.2">
      <c r="A158">
        <v>5010234</v>
      </c>
      <c r="B158" t="s">
        <v>25</v>
      </c>
      <c r="C158" t="s">
        <v>20</v>
      </c>
      <c r="D158" t="s">
        <v>20</v>
      </c>
      <c r="E158">
        <v>0</v>
      </c>
      <c r="F158">
        <v>225000</v>
      </c>
      <c r="G158" t="s">
        <v>31</v>
      </c>
      <c r="H158" t="s">
        <v>27</v>
      </c>
      <c r="I158" t="s">
        <v>28</v>
      </c>
      <c r="J158" t="s">
        <v>24</v>
      </c>
      <c r="K158" s="6">
        <f t="shared" ca="1" si="16"/>
        <v>29254</v>
      </c>
      <c r="L158">
        <v>-16507</v>
      </c>
      <c r="M158" s="7">
        <f t="shared" ca="1" si="14"/>
        <v>45.193702943189599</v>
      </c>
      <c r="N158" s="5" t="str">
        <f ca="1">VLOOKUP(Data!M158,temp!$B$3:$C$9,2,1)</f>
        <v>40-50</v>
      </c>
      <c r="O158">
        <v>-4331</v>
      </c>
      <c r="P158" s="8">
        <f t="shared" si="15"/>
        <v>11.857631759069131</v>
      </c>
      <c r="Q158" s="5" t="str">
        <f t="shared" si="17"/>
        <v>Employed</v>
      </c>
      <c r="R158">
        <v>1</v>
      </c>
      <c r="S158">
        <v>0</v>
      </c>
      <c r="T158">
        <v>0</v>
      </c>
      <c r="U158">
        <v>0</v>
      </c>
      <c r="V158" t="s">
        <v>30</v>
      </c>
      <c r="W158">
        <v>2</v>
      </c>
    </row>
    <row r="159" spans="1:23" x14ac:dyDescent="0.2">
      <c r="A159">
        <v>5010261</v>
      </c>
      <c r="B159" t="s">
        <v>25</v>
      </c>
      <c r="C159" t="s">
        <v>19</v>
      </c>
      <c r="D159" t="s">
        <v>20</v>
      </c>
      <c r="E159">
        <v>1</v>
      </c>
      <c r="F159">
        <v>562500</v>
      </c>
      <c r="G159" t="s">
        <v>31</v>
      </c>
      <c r="H159" t="s">
        <v>36</v>
      </c>
      <c r="I159" t="s">
        <v>28</v>
      </c>
      <c r="J159" t="s">
        <v>24</v>
      </c>
      <c r="K159" s="6">
        <f t="shared" ca="1" si="16"/>
        <v>31971</v>
      </c>
      <c r="L159">
        <v>-13790</v>
      </c>
      <c r="M159" s="7">
        <f t="shared" ca="1" si="14"/>
        <v>37.754962354551679</v>
      </c>
      <c r="N159" s="5" t="str">
        <f ca="1">VLOOKUP(Data!M159,temp!$B$3:$C$9,2,1)</f>
        <v>30-40</v>
      </c>
      <c r="O159">
        <v>-5639</v>
      </c>
      <c r="P159" s="8">
        <f t="shared" si="15"/>
        <v>15.43874058863792</v>
      </c>
      <c r="Q159" s="5" t="str">
        <f t="shared" si="17"/>
        <v>Employed</v>
      </c>
      <c r="R159">
        <v>1</v>
      </c>
      <c r="S159">
        <v>1</v>
      </c>
      <c r="T159">
        <v>1</v>
      </c>
      <c r="U159">
        <v>0</v>
      </c>
      <c r="W159">
        <v>3</v>
      </c>
    </row>
    <row r="160" spans="1:23" x14ac:dyDescent="0.2">
      <c r="A160">
        <v>5010290</v>
      </c>
      <c r="B160" t="s">
        <v>18</v>
      </c>
      <c r="C160" t="s">
        <v>19</v>
      </c>
      <c r="D160" t="s">
        <v>20</v>
      </c>
      <c r="E160">
        <v>0</v>
      </c>
      <c r="F160">
        <v>126000</v>
      </c>
      <c r="G160" t="s">
        <v>21</v>
      </c>
      <c r="H160" t="s">
        <v>27</v>
      </c>
      <c r="I160" t="s">
        <v>28</v>
      </c>
      <c r="J160" t="s">
        <v>24</v>
      </c>
      <c r="K160" s="6">
        <f t="shared" ca="1" si="16"/>
        <v>25374</v>
      </c>
      <c r="L160">
        <v>-20387</v>
      </c>
      <c r="M160" s="7">
        <f t="shared" ca="1" si="14"/>
        <v>55.816563997262151</v>
      </c>
      <c r="N160" s="5" t="str">
        <f ca="1">VLOOKUP(Data!M160,temp!$B$3:$C$9,2,1)</f>
        <v>50-60</v>
      </c>
      <c r="O160">
        <v>365243</v>
      </c>
      <c r="P160" s="8">
        <f t="shared" si="15"/>
        <v>0</v>
      </c>
      <c r="Q160" s="5" t="str">
        <f t="shared" si="17"/>
        <v>Unemployed</v>
      </c>
      <c r="R160">
        <v>1</v>
      </c>
      <c r="S160">
        <v>0</v>
      </c>
      <c r="T160">
        <v>0</v>
      </c>
      <c r="U160">
        <v>1</v>
      </c>
      <c r="W160">
        <v>2</v>
      </c>
    </row>
    <row r="161" spans="1:23" x14ac:dyDescent="0.2">
      <c r="A161">
        <v>5010324</v>
      </c>
      <c r="B161" t="s">
        <v>18</v>
      </c>
      <c r="C161" t="s">
        <v>19</v>
      </c>
      <c r="D161" t="s">
        <v>19</v>
      </c>
      <c r="E161">
        <v>0</v>
      </c>
      <c r="F161">
        <v>216000</v>
      </c>
      <c r="G161" t="s">
        <v>21</v>
      </c>
      <c r="H161" t="s">
        <v>27</v>
      </c>
      <c r="I161" t="s">
        <v>28</v>
      </c>
      <c r="J161" t="s">
        <v>24</v>
      </c>
      <c r="K161" s="6">
        <f t="shared" ca="1" si="16"/>
        <v>22894</v>
      </c>
      <c r="L161">
        <v>-22867</v>
      </c>
      <c r="M161" s="7">
        <f t="shared" ca="1" si="14"/>
        <v>62.606433949349757</v>
      </c>
      <c r="N161" s="5" t="str">
        <f ca="1">VLOOKUP(Data!M161,temp!$B$3:$C$9,2,1)</f>
        <v>60-70</v>
      </c>
      <c r="O161">
        <v>365243</v>
      </c>
      <c r="P161" s="8">
        <f t="shared" si="15"/>
        <v>0</v>
      </c>
      <c r="Q161" s="5" t="str">
        <f t="shared" si="17"/>
        <v>Unemployed</v>
      </c>
      <c r="R161">
        <v>1</v>
      </c>
      <c r="S161">
        <v>0</v>
      </c>
      <c r="T161">
        <v>0</v>
      </c>
      <c r="U161">
        <v>0</v>
      </c>
      <c r="W161">
        <v>2</v>
      </c>
    </row>
    <row r="162" spans="1:23" x14ac:dyDescent="0.2">
      <c r="A162">
        <v>5010325</v>
      </c>
      <c r="B162" t="s">
        <v>18</v>
      </c>
      <c r="C162" t="s">
        <v>19</v>
      </c>
      <c r="D162" t="s">
        <v>19</v>
      </c>
      <c r="E162">
        <v>0</v>
      </c>
      <c r="F162">
        <v>216000</v>
      </c>
      <c r="G162" t="s">
        <v>21</v>
      </c>
      <c r="H162" t="s">
        <v>27</v>
      </c>
      <c r="I162" t="s">
        <v>28</v>
      </c>
      <c r="J162" t="s">
        <v>24</v>
      </c>
      <c r="K162" s="6">
        <f t="shared" ca="1" si="16"/>
        <v>22894</v>
      </c>
      <c r="L162">
        <v>-22867</v>
      </c>
      <c r="M162" s="7">
        <f t="shared" ca="1" si="14"/>
        <v>62.606433949349757</v>
      </c>
      <c r="N162" s="5" t="str">
        <f ca="1">VLOOKUP(Data!M162,temp!$B$3:$C$9,2,1)</f>
        <v>60-70</v>
      </c>
      <c r="O162">
        <v>365243</v>
      </c>
      <c r="P162" s="8">
        <f t="shared" si="15"/>
        <v>0</v>
      </c>
      <c r="Q162" s="5" t="str">
        <f t="shared" si="17"/>
        <v>Unemployed</v>
      </c>
      <c r="R162">
        <v>1</v>
      </c>
      <c r="S162">
        <v>0</v>
      </c>
      <c r="T162">
        <v>0</v>
      </c>
      <c r="U162">
        <v>0</v>
      </c>
      <c r="W162">
        <v>2</v>
      </c>
    </row>
    <row r="163" spans="1:23" x14ac:dyDescent="0.2">
      <c r="A163">
        <v>5010351</v>
      </c>
      <c r="B163" t="s">
        <v>25</v>
      </c>
      <c r="C163" t="s">
        <v>20</v>
      </c>
      <c r="D163" t="s">
        <v>19</v>
      </c>
      <c r="E163">
        <v>1</v>
      </c>
      <c r="F163">
        <v>180000</v>
      </c>
      <c r="G163" t="s">
        <v>35</v>
      </c>
      <c r="H163" t="s">
        <v>36</v>
      </c>
      <c r="I163" t="s">
        <v>28</v>
      </c>
      <c r="J163" t="s">
        <v>41</v>
      </c>
      <c r="K163" s="6">
        <f t="shared" ca="1" si="16"/>
        <v>35170</v>
      </c>
      <c r="L163">
        <v>-10591</v>
      </c>
      <c r="M163" s="7">
        <f t="shared" ca="1" si="14"/>
        <v>28.996577686516083</v>
      </c>
      <c r="N163" s="5" t="str">
        <f ca="1">VLOOKUP(Data!M163,temp!$B$3:$C$9,2,1)</f>
        <v>20-30</v>
      </c>
      <c r="O163">
        <v>-1195</v>
      </c>
      <c r="P163" s="8">
        <f t="shared" si="15"/>
        <v>3.2717316906228611</v>
      </c>
      <c r="Q163" s="5" t="str">
        <f t="shared" si="17"/>
        <v>Employed</v>
      </c>
      <c r="R163">
        <v>1</v>
      </c>
      <c r="S163">
        <v>0</v>
      </c>
      <c r="T163">
        <v>0</v>
      </c>
      <c r="U163">
        <v>0</v>
      </c>
      <c r="V163" t="s">
        <v>30</v>
      </c>
      <c r="W163">
        <v>3</v>
      </c>
    </row>
    <row r="164" spans="1:23" x14ac:dyDescent="0.2">
      <c r="A164">
        <v>5010367</v>
      </c>
      <c r="B164" t="s">
        <v>18</v>
      </c>
      <c r="C164" t="s">
        <v>20</v>
      </c>
      <c r="D164" t="s">
        <v>20</v>
      </c>
      <c r="E164">
        <v>1</v>
      </c>
      <c r="F164">
        <v>157500</v>
      </c>
      <c r="G164" t="s">
        <v>31</v>
      </c>
      <c r="H164" t="s">
        <v>22</v>
      </c>
      <c r="I164" t="s">
        <v>23</v>
      </c>
      <c r="J164" t="s">
        <v>24</v>
      </c>
      <c r="K164" s="6">
        <f t="shared" ca="1" si="16"/>
        <v>35961</v>
      </c>
      <c r="L164">
        <v>-9800</v>
      </c>
      <c r="M164" s="7">
        <f t="shared" ca="1" si="14"/>
        <v>26.830937713894592</v>
      </c>
      <c r="N164" s="5" t="str">
        <f ca="1">VLOOKUP(Data!M164,temp!$B$3:$C$9,2,1)</f>
        <v>20-30</v>
      </c>
      <c r="O164">
        <v>-2109</v>
      </c>
      <c r="P164" s="8">
        <f t="shared" si="15"/>
        <v>5.7741273100616013</v>
      </c>
      <c r="Q164" s="5" t="str">
        <f t="shared" si="17"/>
        <v>Employed</v>
      </c>
      <c r="R164">
        <v>1</v>
      </c>
      <c r="S164">
        <v>0</v>
      </c>
      <c r="T164">
        <v>0</v>
      </c>
      <c r="U164">
        <v>1</v>
      </c>
      <c r="V164" t="s">
        <v>50</v>
      </c>
      <c r="W164">
        <v>2</v>
      </c>
    </row>
    <row r="165" spans="1:23" x14ac:dyDescent="0.2">
      <c r="A165">
        <v>5010374</v>
      </c>
      <c r="B165" t="s">
        <v>18</v>
      </c>
      <c r="C165" t="s">
        <v>20</v>
      </c>
      <c r="D165" t="s">
        <v>20</v>
      </c>
      <c r="E165">
        <v>0</v>
      </c>
      <c r="F165">
        <v>270000</v>
      </c>
      <c r="G165" t="s">
        <v>21</v>
      </c>
      <c r="H165" t="s">
        <v>27</v>
      </c>
      <c r="I165" t="s">
        <v>28</v>
      </c>
      <c r="J165" t="s">
        <v>24</v>
      </c>
      <c r="K165" s="6">
        <f t="shared" ca="1" si="16"/>
        <v>21993</v>
      </c>
      <c r="L165">
        <v>-23768</v>
      </c>
      <c r="M165" s="7">
        <f t="shared" ca="1" si="14"/>
        <v>65.073237508555778</v>
      </c>
      <c r="N165" s="5" t="str">
        <f ca="1">VLOOKUP(Data!M165,temp!$B$3:$C$9,2,1)</f>
        <v>60-70</v>
      </c>
      <c r="O165">
        <v>365243</v>
      </c>
      <c r="P165" s="8">
        <f t="shared" si="15"/>
        <v>0</v>
      </c>
      <c r="Q165" s="5" t="str">
        <f t="shared" si="17"/>
        <v>Unemployed</v>
      </c>
      <c r="R165">
        <v>1</v>
      </c>
      <c r="S165">
        <v>0</v>
      </c>
      <c r="T165">
        <v>0</v>
      </c>
      <c r="U165">
        <v>0</v>
      </c>
      <c r="W165">
        <v>2</v>
      </c>
    </row>
    <row r="166" spans="1:23" x14ac:dyDescent="0.2">
      <c r="A166">
        <v>5010408</v>
      </c>
      <c r="B166" t="s">
        <v>18</v>
      </c>
      <c r="C166" t="s">
        <v>19</v>
      </c>
      <c r="D166" t="s">
        <v>20</v>
      </c>
      <c r="E166">
        <v>0</v>
      </c>
      <c r="F166">
        <v>202500</v>
      </c>
      <c r="G166" t="s">
        <v>21</v>
      </c>
      <c r="H166" t="s">
        <v>27</v>
      </c>
      <c r="I166" t="s">
        <v>28</v>
      </c>
      <c r="J166" t="s">
        <v>24</v>
      </c>
      <c r="K166" s="6">
        <f t="shared" ca="1" si="16"/>
        <v>23907</v>
      </c>
      <c r="L166">
        <v>-21854</v>
      </c>
      <c r="M166" s="7">
        <f t="shared" ca="1" si="14"/>
        <v>59.832991101984945</v>
      </c>
      <c r="N166" s="5" t="str">
        <f ca="1">VLOOKUP(Data!M166,temp!$B$3:$C$9,2,1)</f>
        <v>50-60</v>
      </c>
      <c r="O166">
        <v>365243</v>
      </c>
      <c r="P166" s="8">
        <f t="shared" si="15"/>
        <v>0</v>
      </c>
      <c r="Q166" s="5" t="str">
        <f t="shared" si="17"/>
        <v>Unemployed</v>
      </c>
      <c r="R166">
        <v>1</v>
      </c>
      <c r="S166">
        <v>0</v>
      </c>
      <c r="T166">
        <v>0</v>
      </c>
      <c r="U166">
        <v>0</v>
      </c>
      <c r="W166">
        <v>2</v>
      </c>
    </row>
    <row r="167" spans="1:23" x14ac:dyDescent="0.2">
      <c r="A167">
        <v>5010410</v>
      </c>
      <c r="B167" t="s">
        <v>18</v>
      </c>
      <c r="C167" t="s">
        <v>19</v>
      </c>
      <c r="D167" t="s">
        <v>20</v>
      </c>
      <c r="E167">
        <v>0</v>
      </c>
      <c r="F167">
        <v>202500</v>
      </c>
      <c r="G167" t="s">
        <v>21</v>
      </c>
      <c r="H167" t="s">
        <v>27</v>
      </c>
      <c r="I167" t="s">
        <v>28</v>
      </c>
      <c r="J167" t="s">
        <v>24</v>
      </c>
      <c r="K167" s="6">
        <f t="shared" ca="1" si="16"/>
        <v>23907</v>
      </c>
      <c r="L167">
        <v>-21854</v>
      </c>
      <c r="M167" s="7">
        <f t="shared" ca="1" si="14"/>
        <v>59.832991101984945</v>
      </c>
      <c r="N167" s="5" t="str">
        <f ca="1">VLOOKUP(Data!M167,temp!$B$3:$C$9,2,1)</f>
        <v>50-60</v>
      </c>
      <c r="O167">
        <v>365243</v>
      </c>
      <c r="P167" s="8">
        <f t="shared" si="15"/>
        <v>0</v>
      </c>
      <c r="Q167" s="5" t="str">
        <f t="shared" si="17"/>
        <v>Unemployed</v>
      </c>
      <c r="R167">
        <v>1</v>
      </c>
      <c r="S167">
        <v>0</v>
      </c>
      <c r="T167">
        <v>0</v>
      </c>
      <c r="U167">
        <v>0</v>
      </c>
      <c r="W167">
        <v>2</v>
      </c>
    </row>
    <row r="168" spans="1:23" x14ac:dyDescent="0.2">
      <c r="A168">
        <v>5010411</v>
      </c>
      <c r="B168" t="s">
        <v>18</v>
      </c>
      <c r="C168" t="s">
        <v>19</v>
      </c>
      <c r="D168" t="s">
        <v>20</v>
      </c>
      <c r="E168">
        <v>0</v>
      </c>
      <c r="F168">
        <v>202500</v>
      </c>
      <c r="G168" t="s">
        <v>21</v>
      </c>
      <c r="H168" t="s">
        <v>27</v>
      </c>
      <c r="I168" t="s">
        <v>28</v>
      </c>
      <c r="J168" t="s">
        <v>24</v>
      </c>
      <c r="K168" s="6">
        <f t="shared" ca="1" si="16"/>
        <v>23907</v>
      </c>
      <c r="L168">
        <v>-21854</v>
      </c>
      <c r="M168" s="7">
        <f t="shared" ca="1" si="14"/>
        <v>59.832991101984945</v>
      </c>
      <c r="N168" s="5" t="str">
        <f ca="1">VLOOKUP(Data!M168,temp!$B$3:$C$9,2,1)</f>
        <v>50-60</v>
      </c>
      <c r="O168">
        <v>365243</v>
      </c>
      <c r="P168" s="8">
        <f t="shared" si="15"/>
        <v>0</v>
      </c>
      <c r="Q168" s="5" t="str">
        <f t="shared" si="17"/>
        <v>Unemployed</v>
      </c>
      <c r="R168">
        <v>1</v>
      </c>
      <c r="S168">
        <v>0</v>
      </c>
      <c r="T168">
        <v>0</v>
      </c>
      <c r="U168">
        <v>0</v>
      </c>
      <c r="W168">
        <v>2</v>
      </c>
    </row>
    <row r="169" spans="1:23" x14ac:dyDescent="0.2">
      <c r="A169">
        <v>5010413</v>
      </c>
      <c r="B169" t="s">
        <v>18</v>
      </c>
      <c r="C169" t="s">
        <v>19</v>
      </c>
      <c r="D169" t="s">
        <v>20</v>
      </c>
      <c r="E169">
        <v>0</v>
      </c>
      <c r="F169">
        <v>202500</v>
      </c>
      <c r="G169" t="s">
        <v>21</v>
      </c>
      <c r="H169" t="s">
        <v>27</v>
      </c>
      <c r="I169" t="s">
        <v>28</v>
      </c>
      <c r="J169" t="s">
        <v>24</v>
      </c>
      <c r="K169" s="6">
        <f t="shared" ca="1" si="16"/>
        <v>23907</v>
      </c>
      <c r="L169">
        <v>-21854</v>
      </c>
      <c r="M169" s="7">
        <f t="shared" ca="1" si="14"/>
        <v>59.832991101984945</v>
      </c>
      <c r="N169" s="5" t="str">
        <f ca="1">VLOOKUP(Data!M169,temp!$B$3:$C$9,2,1)</f>
        <v>50-60</v>
      </c>
      <c r="O169">
        <v>365243</v>
      </c>
      <c r="P169" s="8">
        <f t="shared" si="15"/>
        <v>0</v>
      </c>
      <c r="Q169" s="5" t="str">
        <f t="shared" si="17"/>
        <v>Unemployed</v>
      </c>
      <c r="R169">
        <v>1</v>
      </c>
      <c r="S169">
        <v>0</v>
      </c>
      <c r="T169">
        <v>0</v>
      </c>
      <c r="U169">
        <v>0</v>
      </c>
      <c r="W169">
        <v>2</v>
      </c>
    </row>
    <row r="170" spans="1:23" x14ac:dyDescent="0.2">
      <c r="A170">
        <v>5010427</v>
      </c>
      <c r="B170" t="s">
        <v>18</v>
      </c>
      <c r="C170" t="s">
        <v>19</v>
      </c>
      <c r="D170" t="s">
        <v>20</v>
      </c>
      <c r="E170">
        <v>0</v>
      </c>
      <c r="F170">
        <v>67500</v>
      </c>
      <c r="G170" t="s">
        <v>31</v>
      </c>
      <c r="H170" t="s">
        <v>27</v>
      </c>
      <c r="I170" t="s">
        <v>28</v>
      </c>
      <c r="J170" t="s">
        <v>24</v>
      </c>
      <c r="K170" s="6">
        <f t="shared" ca="1" si="16"/>
        <v>30086</v>
      </c>
      <c r="L170">
        <v>-15675</v>
      </c>
      <c r="M170" s="7">
        <f t="shared" ca="1" si="14"/>
        <v>42.91581108829569</v>
      </c>
      <c r="N170" s="5" t="str">
        <f ca="1">VLOOKUP(Data!M170,temp!$B$3:$C$9,2,1)</f>
        <v>40-50</v>
      </c>
      <c r="O170">
        <v>-283</v>
      </c>
      <c r="P170" s="8">
        <f t="shared" si="15"/>
        <v>0.77481177275838464</v>
      </c>
      <c r="Q170" s="5" t="str">
        <f t="shared" si="17"/>
        <v>Employed</v>
      </c>
      <c r="R170">
        <v>1</v>
      </c>
      <c r="S170">
        <v>0</v>
      </c>
      <c r="T170">
        <v>0</v>
      </c>
      <c r="U170">
        <v>1</v>
      </c>
      <c r="V170" t="s">
        <v>50</v>
      </c>
      <c r="W170">
        <v>2</v>
      </c>
    </row>
    <row r="171" spans="1:23" x14ac:dyDescent="0.2">
      <c r="A171">
        <v>5010428</v>
      </c>
      <c r="B171" t="s">
        <v>18</v>
      </c>
      <c r="C171" t="s">
        <v>19</v>
      </c>
      <c r="D171" t="s">
        <v>20</v>
      </c>
      <c r="E171">
        <v>0</v>
      </c>
      <c r="F171">
        <v>67500</v>
      </c>
      <c r="G171" t="s">
        <v>31</v>
      </c>
      <c r="H171" t="s">
        <v>27</v>
      </c>
      <c r="I171" t="s">
        <v>28</v>
      </c>
      <c r="J171" t="s">
        <v>24</v>
      </c>
      <c r="K171" s="6">
        <f t="shared" ca="1" si="16"/>
        <v>30086</v>
      </c>
      <c r="L171">
        <v>-15675</v>
      </c>
      <c r="M171" s="7">
        <f t="shared" ca="1" si="14"/>
        <v>42.91581108829569</v>
      </c>
      <c r="N171" s="5" t="str">
        <f ca="1">VLOOKUP(Data!M171,temp!$B$3:$C$9,2,1)</f>
        <v>40-50</v>
      </c>
      <c r="O171">
        <v>-283</v>
      </c>
      <c r="P171" s="8">
        <f t="shared" si="15"/>
        <v>0.77481177275838464</v>
      </c>
      <c r="Q171" s="5" t="str">
        <f t="shared" si="17"/>
        <v>Employed</v>
      </c>
      <c r="R171">
        <v>1</v>
      </c>
      <c r="S171">
        <v>0</v>
      </c>
      <c r="T171">
        <v>0</v>
      </c>
      <c r="U171">
        <v>1</v>
      </c>
      <c r="V171" t="s">
        <v>50</v>
      </c>
      <c r="W171">
        <v>2</v>
      </c>
    </row>
    <row r="172" spans="1:23" x14ac:dyDescent="0.2">
      <c r="A172">
        <v>5010431</v>
      </c>
      <c r="B172" t="s">
        <v>18</v>
      </c>
      <c r="C172" t="s">
        <v>20</v>
      </c>
      <c r="D172" t="s">
        <v>19</v>
      </c>
      <c r="E172">
        <v>1</v>
      </c>
      <c r="F172">
        <v>180000</v>
      </c>
      <c r="G172" t="s">
        <v>31</v>
      </c>
      <c r="H172" t="s">
        <v>27</v>
      </c>
      <c r="I172" t="s">
        <v>28</v>
      </c>
      <c r="J172" t="s">
        <v>24</v>
      </c>
      <c r="K172" s="6">
        <f t="shared" ca="1" si="16"/>
        <v>34654</v>
      </c>
      <c r="L172">
        <v>-11107</v>
      </c>
      <c r="M172" s="7">
        <f t="shared" ca="1" si="14"/>
        <v>30.409308692676248</v>
      </c>
      <c r="N172" s="5" t="str">
        <f ca="1">VLOOKUP(Data!M172,temp!$B$3:$C$9,2,1)</f>
        <v>30-40</v>
      </c>
      <c r="O172">
        <v>-130</v>
      </c>
      <c r="P172" s="8">
        <f t="shared" si="15"/>
        <v>0.35592060232717315</v>
      </c>
      <c r="Q172" s="5" t="str">
        <f t="shared" si="17"/>
        <v>Employed</v>
      </c>
      <c r="R172">
        <v>1</v>
      </c>
      <c r="S172">
        <v>0</v>
      </c>
      <c r="T172">
        <v>0</v>
      </c>
      <c r="U172">
        <v>0</v>
      </c>
      <c r="V172" t="s">
        <v>39</v>
      </c>
      <c r="W172">
        <v>3</v>
      </c>
    </row>
    <row r="173" spans="1:23" x14ac:dyDescent="0.2">
      <c r="A173">
        <v>5010432</v>
      </c>
      <c r="B173" t="s">
        <v>18</v>
      </c>
      <c r="C173" t="s">
        <v>20</v>
      </c>
      <c r="D173" t="s">
        <v>19</v>
      </c>
      <c r="E173">
        <v>1</v>
      </c>
      <c r="F173">
        <v>180000</v>
      </c>
      <c r="G173" t="s">
        <v>31</v>
      </c>
      <c r="H173" t="s">
        <v>27</v>
      </c>
      <c r="I173" t="s">
        <v>28</v>
      </c>
      <c r="J173" t="s">
        <v>24</v>
      </c>
      <c r="K173" s="6">
        <f t="shared" ca="1" si="16"/>
        <v>34654</v>
      </c>
      <c r="L173">
        <v>-11107</v>
      </c>
      <c r="M173" s="7">
        <f t="shared" ca="1" si="14"/>
        <v>30.409308692676248</v>
      </c>
      <c r="N173" s="5" t="str">
        <f ca="1">VLOOKUP(Data!M173,temp!$B$3:$C$9,2,1)</f>
        <v>30-40</v>
      </c>
      <c r="O173">
        <v>-130</v>
      </c>
      <c r="P173" s="8">
        <f t="shared" si="15"/>
        <v>0.35592060232717315</v>
      </c>
      <c r="Q173" s="5" t="str">
        <f t="shared" si="17"/>
        <v>Employed</v>
      </c>
      <c r="R173">
        <v>1</v>
      </c>
      <c r="S173">
        <v>0</v>
      </c>
      <c r="T173">
        <v>0</v>
      </c>
      <c r="U173">
        <v>0</v>
      </c>
      <c r="V173" t="s">
        <v>39</v>
      </c>
      <c r="W173">
        <v>3</v>
      </c>
    </row>
    <row r="174" spans="1:23" x14ac:dyDescent="0.2">
      <c r="A174">
        <v>5010453</v>
      </c>
      <c r="B174" t="s">
        <v>18</v>
      </c>
      <c r="C174" t="s">
        <v>20</v>
      </c>
      <c r="D174" t="s">
        <v>20</v>
      </c>
      <c r="E174">
        <v>0</v>
      </c>
      <c r="F174">
        <v>157500</v>
      </c>
      <c r="G174" t="s">
        <v>31</v>
      </c>
      <c r="H174" t="s">
        <v>27</v>
      </c>
      <c r="I174" t="s">
        <v>28</v>
      </c>
      <c r="J174" t="s">
        <v>24</v>
      </c>
      <c r="K174" s="6">
        <f t="shared" ca="1" si="16"/>
        <v>32514</v>
      </c>
      <c r="L174">
        <v>-13247</v>
      </c>
      <c r="M174" s="7">
        <f t="shared" ca="1" si="14"/>
        <v>36.268309377138948</v>
      </c>
      <c r="N174" s="5" t="str">
        <f ca="1">VLOOKUP(Data!M174,temp!$B$3:$C$9,2,1)</f>
        <v>30-40</v>
      </c>
      <c r="O174">
        <v>-5823</v>
      </c>
      <c r="P174" s="8">
        <f t="shared" si="15"/>
        <v>15.942505133470226</v>
      </c>
      <c r="Q174" s="5" t="str">
        <f t="shared" si="17"/>
        <v>Employed</v>
      </c>
      <c r="R174">
        <v>1</v>
      </c>
      <c r="S174">
        <v>1</v>
      </c>
      <c r="T174">
        <v>0</v>
      </c>
      <c r="U174">
        <v>0</v>
      </c>
      <c r="V174" t="s">
        <v>38</v>
      </c>
      <c r="W174">
        <v>2</v>
      </c>
    </row>
    <row r="175" spans="1:23" x14ac:dyDescent="0.2">
      <c r="A175">
        <v>5010470</v>
      </c>
      <c r="B175" t="s">
        <v>25</v>
      </c>
      <c r="C175" t="s">
        <v>20</v>
      </c>
      <c r="D175" t="s">
        <v>20</v>
      </c>
      <c r="E175">
        <v>0</v>
      </c>
      <c r="F175">
        <v>675000</v>
      </c>
      <c r="G175" t="s">
        <v>35</v>
      </c>
      <c r="H175" t="s">
        <v>22</v>
      </c>
      <c r="I175" t="s">
        <v>28</v>
      </c>
      <c r="J175" t="s">
        <v>24</v>
      </c>
      <c r="K175" s="6">
        <f t="shared" ca="1" si="16"/>
        <v>33849</v>
      </c>
      <c r="L175">
        <v>-11912</v>
      </c>
      <c r="M175" s="7">
        <f t="shared" ca="1" si="14"/>
        <v>32.61327857631759</v>
      </c>
      <c r="N175" s="5" t="str">
        <f ca="1">VLOOKUP(Data!M175,temp!$B$3:$C$9,2,1)</f>
        <v>30-40</v>
      </c>
      <c r="O175">
        <v>-2200</v>
      </c>
      <c r="P175" s="8">
        <f t="shared" si="15"/>
        <v>6.023271731690623</v>
      </c>
      <c r="Q175" s="5" t="str">
        <f t="shared" si="17"/>
        <v>Employed</v>
      </c>
      <c r="R175">
        <v>1</v>
      </c>
      <c r="S175">
        <v>0</v>
      </c>
      <c r="T175">
        <v>0</v>
      </c>
      <c r="U175">
        <v>0</v>
      </c>
      <c r="V175" t="s">
        <v>47</v>
      </c>
      <c r="W175">
        <v>2</v>
      </c>
    </row>
    <row r="176" spans="1:23" x14ac:dyDescent="0.2">
      <c r="A176">
        <v>5010471</v>
      </c>
      <c r="B176" t="s">
        <v>25</v>
      </c>
      <c r="C176" t="s">
        <v>20</v>
      </c>
      <c r="D176" t="s">
        <v>20</v>
      </c>
      <c r="E176">
        <v>0</v>
      </c>
      <c r="F176">
        <v>675000</v>
      </c>
      <c r="G176" t="s">
        <v>35</v>
      </c>
      <c r="H176" t="s">
        <v>22</v>
      </c>
      <c r="I176" t="s">
        <v>28</v>
      </c>
      <c r="J176" t="s">
        <v>24</v>
      </c>
      <c r="K176" s="6">
        <f t="shared" ca="1" si="16"/>
        <v>33849</v>
      </c>
      <c r="L176">
        <v>-11912</v>
      </c>
      <c r="M176" s="7">
        <f t="shared" ca="1" si="14"/>
        <v>32.61327857631759</v>
      </c>
      <c r="N176" s="5" t="str">
        <f ca="1">VLOOKUP(Data!M176,temp!$B$3:$C$9,2,1)</f>
        <v>30-40</v>
      </c>
      <c r="O176">
        <v>-2200</v>
      </c>
      <c r="P176" s="8">
        <f t="shared" si="15"/>
        <v>6.023271731690623</v>
      </c>
      <c r="Q176" s="5" t="str">
        <f t="shared" si="17"/>
        <v>Employed</v>
      </c>
      <c r="R176">
        <v>1</v>
      </c>
      <c r="S176">
        <v>0</v>
      </c>
      <c r="T176">
        <v>0</v>
      </c>
      <c r="U176">
        <v>0</v>
      </c>
      <c r="V176" t="s">
        <v>47</v>
      </c>
      <c r="W176">
        <v>2</v>
      </c>
    </row>
    <row r="177" spans="1:23" x14ac:dyDescent="0.2">
      <c r="A177">
        <v>5010483</v>
      </c>
      <c r="B177" t="s">
        <v>25</v>
      </c>
      <c r="C177" t="s">
        <v>20</v>
      </c>
      <c r="D177" t="s">
        <v>20</v>
      </c>
      <c r="E177">
        <v>2</v>
      </c>
      <c r="F177">
        <v>315000</v>
      </c>
      <c r="G177" t="s">
        <v>31</v>
      </c>
      <c r="H177" t="s">
        <v>22</v>
      </c>
      <c r="I177" t="s">
        <v>28</v>
      </c>
      <c r="J177" t="s">
        <v>24</v>
      </c>
      <c r="K177" s="6">
        <f t="shared" ca="1" si="16"/>
        <v>31958</v>
      </c>
      <c r="L177">
        <v>-13803</v>
      </c>
      <c r="M177" s="7">
        <f t="shared" ca="1" si="14"/>
        <v>37.790554414784395</v>
      </c>
      <c r="N177" s="5" t="str">
        <f ca="1">VLOOKUP(Data!M177,temp!$B$3:$C$9,2,1)</f>
        <v>30-40</v>
      </c>
      <c r="O177">
        <v>-160</v>
      </c>
      <c r="P177" s="8">
        <f t="shared" si="15"/>
        <v>0.43805612594113619</v>
      </c>
      <c r="Q177" s="5" t="str">
        <f t="shared" si="17"/>
        <v>Employed</v>
      </c>
      <c r="R177">
        <v>1</v>
      </c>
      <c r="S177">
        <v>1</v>
      </c>
      <c r="T177">
        <v>1</v>
      </c>
      <c r="U177">
        <v>0</v>
      </c>
      <c r="W177">
        <v>4</v>
      </c>
    </row>
    <row r="178" spans="1:23" x14ac:dyDescent="0.2">
      <c r="A178">
        <v>5010491</v>
      </c>
      <c r="B178" t="s">
        <v>18</v>
      </c>
      <c r="C178" t="s">
        <v>20</v>
      </c>
      <c r="D178" t="s">
        <v>19</v>
      </c>
      <c r="E178">
        <v>2</v>
      </c>
      <c r="F178">
        <v>270000</v>
      </c>
      <c r="G178" t="s">
        <v>35</v>
      </c>
      <c r="H178" t="s">
        <v>22</v>
      </c>
      <c r="I178" t="s">
        <v>28</v>
      </c>
      <c r="J178" t="s">
        <v>24</v>
      </c>
      <c r="K178" s="6">
        <f t="shared" ca="1" si="16"/>
        <v>31993</v>
      </c>
      <c r="L178">
        <v>-13768</v>
      </c>
      <c r="M178" s="7">
        <f t="shared" ca="1" si="14"/>
        <v>37.694729637234772</v>
      </c>
      <c r="N178" s="5" t="str">
        <f ca="1">VLOOKUP(Data!M178,temp!$B$3:$C$9,2,1)</f>
        <v>30-40</v>
      </c>
      <c r="O178">
        <v>-4666</v>
      </c>
      <c r="P178" s="8">
        <f t="shared" si="15"/>
        <v>12.774811772758385</v>
      </c>
      <c r="Q178" s="5" t="str">
        <f t="shared" si="17"/>
        <v>Employed</v>
      </c>
      <c r="R178">
        <v>1</v>
      </c>
      <c r="S178">
        <v>0</v>
      </c>
      <c r="T178">
        <v>0</v>
      </c>
      <c r="U178">
        <v>0</v>
      </c>
      <c r="V178" t="s">
        <v>52</v>
      </c>
      <c r="W178">
        <v>4</v>
      </c>
    </row>
    <row r="179" spans="1:23" x14ac:dyDescent="0.2">
      <c r="A179">
        <v>5010496</v>
      </c>
      <c r="B179" t="s">
        <v>25</v>
      </c>
      <c r="C179" t="s">
        <v>20</v>
      </c>
      <c r="D179" t="s">
        <v>20</v>
      </c>
      <c r="E179">
        <v>1</v>
      </c>
      <c r="F179">
        <v>202500</v>
      </c>
      <c r="G179" t="s">
        <v>31</v>
      </c>
      <c r="H179" t="s">
        <v>27</v>
      </c>
      <c r="I179" t="s">
        <v>28</v>
      </c>
      <c r="J179" t="s">
        <v>24</v>
      </c>
      <c r="K179" s="6">
        <f t="shared" ca="1" si="16"/>
        <v>35543</v>
      </c>
      <c r="L179">
        <v>-10218</v>
      </c>
      <c r="M179" s="7">
        <f t="shared" ca="1" si="14"/>
        <v>27.975359342915812</v>
      </c>
      <c r="N179" s="5" t="str">
        <f ca="1">VLOOKUP(Data!M179,temp!$B$3:$C$9,2,1)</f>
        <v>20-30</v>
      </c>
      <c r="O179">
        <v>-313</v>
      </c>
      <c r="P179" s="8">
        <f t="shared" si="15"/>
        <v>0.85694729637234768</v>
      </c>
      <c r="Q179" s="5" t="str">
        <f t="shared" si="17"/>
        <v>Employed</v>
      </c>
      <c r="R179">
        <v>1</v>
      </c>
      <c r="S179">
        <v>1</v>
      </c>
      <c r="T179">
        <v>0</v>
      </c>
      <c r="U179">
        <v>0</v>
      </c>
      <c r="W179">
        <v>3</v>
      </c>
    </row>
    <row r="180" spans="1:23" x14ac:dyDescent="0.2">
      <c r="A180">
        <v>5010507</v>
      </c>
      <c r="B180" t="s">
        <v>18</v>
      </c>
      <c r="C180" t="s">
        <v>20</v>
      </c>
      <c r="D180" t="s">
        <v>20</v>
      </c>
      <c r="E180">
        <v>1</v>
      </c>
      <c r="F180">
        <v>157500</v>
      </c>
      <c r="G180" t="s">
        <v>26</v>
      </c>
      <c r="H180" t="s">
        <v>27</v>
      </c>
      <c r="I180" t="s">
        <v>28</v>
      </c>
      <c r="J180" t="s">
        <v>24</v>
      </c>
      <c r="K180" s="6">
        <f t="shared" ca="1" si="16"/>
        <v>31931</v>
      </c>
      <c r="L180">
        <v>-13830</v>
      </c>
      <c r="M180" s="7">
        <f t="shared" ca="1" si="14"/>
        <v>37.864476386036962</v>
      </c>
      <c r="N180" s="5" t="str">
        <f ca="1">VLOOKUP(Data!M180,temp!$B$3:$C$9,2,1)</f>
        <v>30-40</v>
      </c>
      <c r="O180">
        <v>-4239</v>
      </c>
      <c r="P180" s="8">
        <f t="shared" si="15"/>
        <v>11.605749486652977</v>
      </c>
      <c r="Q180" s="5" t="str">
        <f t="shared" si="17"/>
        <v>Employed</v>
      </c>
      <c r="R180">
        <v>1</v>
      </c>
      <c r="S180">
        <v>0</v>
      </c>
      <c r="T180">
        <v>0</v>
      </c>
      <c r="U180">
        <v>0</v>
      </c>
      <c r="V180" t="s">
        <v>29</v>
      </c>
      <c r="W180">
        <v>3</v>
      </c>
    </row>
    <row r="181" spans="1:23" x14ac:dyDescent="0.2">
      <c r="A181">
        <v>5010517</v>
      </c>
      <c r="B181" t="s">
        <v>25</v>
      </c>
      <c r="C181" t="s">
        <v>20</v>
      </c>
      <c r="D181" t="s">
        <v>20</v>
      </c>
      <c r="E181">
        <v>0</v>
      </c>
      <c r="F181">
        <v>112500</v>
      </c>
      <c r="G181" t="s">
        <v>31</v>
      </c>
      <c r="H181" t="s">
        <v>27</v>
      </c>
      <c r="I181" t="s">
        <v>28</v>
      </c>
      <c r="J181" t="s">
        <v>24</v>
      </c>
      <c r="K181" s="6">
        <f t="shared" ca="1" si="16"/>
        <v>35708</v>
      </c>
      <c r="L181">
        <v>-10053</v>
      </c>
      <c r="M181" s="7">
        <f t="shared" ca="1" si="14"/>
        <v>27.523613963039015</v>
      </c>
      <c r="N181" s="5" t="str">
        <f ca="1">VLOOKUP(Data!M181,temp!$B$3:$C$9,2,1)</f>
        <v>20-30</v>
      </c>
      <c r="O181">
        <v>-1652</v>
      </c>
      <c r="P181" s="8">
        <f t="shared" si="15"/>
        <v>4.5229295003422312</v>
      </c>
      <c r="Q181" s="5" t="str">
        <f t="shared" si="17"/>
        <v>Employed</v>
      </c>
      <c r="R181">
        <v>1</v>
      </c>
      <c r="S181">
        <v>0</v>
      </c>
      <c r="T181">
        <v>0</v>
      </c>
      <c r="U181">
        <v>1</v>
      </c>
      <c r="V181" t="s">
        <v>39</v>
      </c>
      <c r="W181">
        <v>2</v>
      </c>
    </row>
    <row r="182" spans="1:23" x14ac:dyDescent="0.2">
      <c r="A182">
        <v>5010519</v>
      </c>
      <c r="B182" t="s">
        <v>25</v>
      </c>
      <c r="C182" t="s">
        <v>20</v>
      </c>
      <c r="D182" t="s">
        <v>20</v>
      </c>
      <c r="E182">
        <v>1</v>
      </c>
      <c r="F182">
        <v>450000</v>
      </c>
      <c r="G182" t="s">
        <v>31</v>
      </c>
      <c r="H182" t="s">
        <v>22</v>
      </c>
      <c r="I182" t="s">
        <v>28</v>
      </c>
      <c r="J182" t="s">
        <v>53</v>
      </c>
      <c r="K182" s="6">
        <f t="shared" ca="1" si="16"/>
        <v>27285</v>
      </c>
      <c r="L182">
        <v>-18476</v>
      </c>
      <c r="M182" s="7">
        <f t="shared" ca="1" si="14"/>
        <v>50.5845311430527</v>
      </c>
      <c r="N182" s="5" t="str">
        <f ca="1">VLOOKUP(Data!M182,temp!$B$3:$C$9,2,1)</f>
        <v>50-60</v>
      </c>
      <c r="O182">
        <v>-2625</v>
      </c>
      <c r="P182" s="8">
        <f t="shared" si="15"/>
        <v>7.1868583162217661</v>
      </c>
      <c r="Q182" s="5" t="str">
        <f t="shared" si="17"/>
        <v>Employed</v>
      </c>
      <c r="R182">
        <v>1</v>
      </c>
      <c r="S182">
        <v>0</v>
      </c>
      <c r="T182">
        <v>0</v>
      </c>
      <c r="U182">
        <v>0</v>
      </c>
      <c r="V182" t="s">
        <v>32</v>
      </c>
      <c r="W182">
        <v>3</v>
      </c>
    </row>
    <row r="183" spans="1:23" x14ac:dyDescent="0.2">
      <c r="A183">
        <v>5010533</v>
      </c>
      <c r="B183" t="s">
        <v>18</v>
      </c>
      <c r="C183" t="s">
        <v>19</v>
      </c>
      <c r="D183" t="s">
        <v>20</v>
      </c>
      <c r="E183">
        <v>0</v>
      </c>
      <c r="F183">
        <v>76500</v>
      </c>
      <c r="G183" t="s">
        <v>21</v>
      </c>
      <c r="H183" t="s">
        <v>27</v>
      </c>
      <c r="I183" t="s">
        <v>37</v>
      </c>
      <c r="J183" t="s">
        <v>24</v>
      </c>
      <c r="K183" s="6">
        <f t="shared" ca="1" si="16"/>
        <v>25396</v>
      </c>
      <c r="L183">
        <v>-20365</v>
      </c>
      <c r="M183" s="7">
        <f t="shared" ca="1" si="14"/>
        <v>55.756331279945243</v>
      </c>
      <c r="N183" s="5" t="str">
        <f ca="1">VLOOKUP(Data!M183,temp!$B$3:$C$9,2,1)</f>
        <v>50-60</v>
      </c>
      <c r="O183">
        <v>365243</v>
      </c>
      <c r="P183" s="8">
        <f t="shared" si="15"/>
        <v>0</v>
      </c>
      <c r="Q183" s="5" t="str">
        <f t="shared" si="17"/>
        <v>Unemployed</v>
      </c>
      <c r="R183">
        <v>1</v>
      </c>
      <c r="S183">
        <v>0</v>
      </c>
      <c r="T183">
        <v>0</v>
      </c>
      <c r="U183">
        <v>0</v>
      </c>
      <c r="W183">
        <v>2</v>
      </c>
    </row>
    <row r="184" spans="1:23" x14ac:dyDescent="0.2">
      <c r="A184">
        <v>5010545</v>
      </c>
      <c r="B184" t="s">
        <v>18</v>
      </c>
      <c r="C184" t="s">
        <v>20</v>
      </c>
      <c r="D184" t="s">
        <v>20</v>
      </c>
      <c r="E184">
        <v>0</v>
      </c>
      <c r="F184">
        <v>315000</v>
      </c>
      <c r="G184" t="s">
        <v>26</v>
      </c>
      <c r="H184" t="s">
        <v>27</v>
      </c>
      <c r="I184" t="s">
        <v>23</v>
      </c>
      <c r="J184" t="s">
        <v>24</v>
      </c>
      <c r="K184" s="6">
        <f t="shared" ca="1" si="16"/>
        <v>27577</v>
      </c>
      <c r="L184">
        <v>-18184</v>
      </c>
      <c r="M184" s="7">
        <f t="shared" ca="1" si="14"/>
        <v>49.785078713210133</v>
      </c>
      <c r="N184" s="5" t="str">
        <f ca="1">VLOOKUP(Data!M184,temp!$B$3:$C$9,2,1)</f>
        <v>40-50</v>
      </c>
      <c r="O184">
        <v>-3021</v>
      </c>
      <c r="P184" s="8">
        <f t="shared" si="15"/>
        <v>8.2710472279260774</v>
      </c>
      <c r="Q184" s="5" t="str">
        <f t="shared" si="17"/>
        <v>Employed</v>
      </c>
      <c r="R184">
        <v>1</v>
      </c>
      <c r="S184">
        <v>0</v>
      </c>
      <c r="T184">
        <v>1</v>
      </c>
      <c r="U184">
        <v>1</v>
      </c>
      <c r="V184" t="s">
        <v>29</v>
      </c>
      <c r="W184">
        <v>1</v>
      </c>
    </row>
    <row r="185" spans="1:23" x14ac:dyDescent="0.2">
      <c r="A185">
        <v>5010564</v>
      </c>
      <c r="B185" t="s">
        <v>18</v>
      </c>
      <c r="C185" t="s">
        <v>20</v>
      </c>
      <c r="D185" t="s">
        <v>20</v>
      </c>
      <c r="E185">
        <v>0</v>
      </c>
      <c r="F185">
        <v>121500</v>
      </c>
      <c r="G185" t="s">
        <v>31</v>
      </c>
      <c r="H185" t="s">
        <v>22</v>
      </c>
      <c r="I185" t="s">
        <v>28</v>
      </c>
      <c r="J185" t="s">
        <v>24</v>
      </c>
      <c r="K185" s="6">
        <f t="shared" ca="1" si="16"/>
        <v>35616</v>
      </c>
      <c r="L185">
        <v>-10145</v>
      </c>
      <c r="M185" s="7">
        <f t="shared" ca="1" si="14"/>
        <v>27.775496235455169</v>
      </c>
      <c r="N185" s="5" t="str">
        <f ca="1">VLOOKUP(Data!M185,temp!$B$3:$C$9,2,1)</f>
        <v>20-30</v>
      </c>
      <c r="O185">
        <v>-1682</v>
      </c>
      <c r="P185" s="8">
        <f t="shared" si="15"/>
        <v>4.6050650239561941</v>
      </c>
      <c r="Q185" s="5" t="str">
        <f t="shared" si="17"/>
        <v>Employed</v>
      </c>
      <c r="R185">
        <v>1</v>
      </c>
      <c r="S185">
        <v>0</v>
      </c>
      <c r="T185">
        <v>0</v>
      </c>
      <c r="U185">
        <v>1</v>
      </c>
      <c r="V185" t="s">
        <v>39</v>
      </c>
      <c r="W185">
        <v>2</v>
      </c>
    </row>
    <row r="186" spans="1:23" x14ac:dyDescent="0.2">
      <c r="A186">
        <v>5010572</v>
      </c>
      <c r="B186" t="s">
        <v>18</v>
      </c>
      <c r="C186" t="s">
        <v>20</v>
      </c>
      <c r="D186" t="s">
        <v>20</v>
      </c>
      <c r="E186">
        <v>0</v>
      </c>
      <c r="F186">
        <v>121500</v>
      </c>
      <c r="G186" t="s">
        <v>31</v>
      </c>
      <c r="H186" t="s">
        <v>22</v>
      </c>
      <c r="I186" t="s">
        <v>28</v>
      </c>
      <c r="J186" t="s">
        <v>24</v>
      </c>
      <c r="K186" s="6">
        <f t="shared" ca="1" si="16"/>
        <v>35616</v>
      </c>
      <c r="L186">
        <v>-10145</v>
      </c>
      <c r="M186" s="7">
        <f t="shared" ca="1" si="14"/>
        <v>27.775496235455169</v>
      </c>
      <c r="N186" s="5" t="str">
        <f ca="1">VLOOKUP(Data!M186,temp!$B$3:$C$9,2,1)</f>
        <v>20-30</v>
      </c>
      <c r="O186">
        <v>-1682</v>
      </c>
      <c r="P186" s="8">
        <f t="shared" si="15"/>
        <v>4.6050650239561941</v>
      </c>
      <c r="Q186" s="5" t="str">
        <f t="shared" si="17"/>
        <v>Employed</v>
      </c>
      <c r="R186">
        <v>1</v>
      </c>
      <c r="S186">
        <v>0</v>
      </c>
      <c r="T186">
        <v>0</v>
      </c>
      <c r="U186">
        <v>1</v>
      </c>
      <c r="V186" t="s">
        <v>39</v>
      </c>
      <c r="W186">
        <v>2</v>
      </c>
    </row>
    <row r="187" spans="1:23" x14ac:dyDescent="0.2">
      <c r="A187">
        <v>5010574</v>
      </c>
      <c r="B187" t="s">
        <v>25</v>
      </c>
      <c r="C187" t="s">
        <v>20</v>
      </c>
      <c r="D187" t="s">
        <v>20</v>
      </c>
      <c r="E187">
        <v>1</v>
      </c>
      <c r="F187">
        <v>247500</v>
      </c>
      <c r="G187" t="s">
        <v>31</v>
      </c>
      <c r="H187" t="s">
        <v>27</v>
      </c>
      <c r="I187" t="s">
        <v>28</v>
      </c>
      <c r="J187" t="s">
        <v>24</v>
      </c>
      <c r="K187" s="6">
        <f t="shared" ca="1" si="16"/>
        <v>34441</v>
      </c>
      <c r="L187">
        <v>-11320</v>
      </c>
      <c r="M187" s="7">
        <f t="shared" ca="1" si="14"/>
        <v>30.992470910335388</v>
      </c>
      <c r="N187" s="5" t="str">
        <f ca="1">VLOOKUP(Data!M187,temp!$B$3:$C$9,2,1)</f>
        <v>30-40</v>
      </c>
      <c r="O187">
        <v>-1591</v>
      </c>
      <c r="P187" s="8">
        <f t="shared" si="15"/>
        <v>4.3559206023271733</v>
      </c>
      <c r="Q187" s="5" t="str">
        <f t="shared" si="17"/>
        <v>Employed</v>
      </c>
      <c r="R187">
        <v>1</v>
      </c>
      <c r="S187">
        <v>0</v>
      </c>
      <c r="T187">
        <v>0</v>
      </c>
      <c r="U187">
        <v>1</v>
      </c>
      <c r="V187" t="s">
        <v>30</v>
      </c>
      <c r="W187">
        <v>3</v>
      </c>
    </row>
    <row r="188" spans="1:23" x14ac:dyDescent="0.2">
      <c r="A188">
        <v>5010594</v>
      </c>
      <c r="B188" t="s">
        <v>18</v>
      </c>
      <c r="C188" t="s">
        <v>19</v>
      </c>
      <c r="D188" t="s">
        <v>20</v>
      </c>
      <c r="E188">
        <v>0</v>
      </c>
      <c r="F188">
        <v>112500</v>
      </c>
      <c r="G188" t="s">
        <v>21</v>
      </c>
      <c r="H188" t="s">
        <v>27</v>
      </c>
      <c r="I188" t="s">
        <v>28</v>
      </c>
      <c r="J188" t="s">
        <v>24</v>
      </c>
      <c r="K188" s="6">
        <f t="shared" ca="1" si="16"/>
        <v>22834</v>
      </c>
      <c r="L188">
        <v>-22927</v>
      </c>
      <c r="M188" s="7">
        <f t="shared" ca="1" si="14"/>
        <v>62.770704996577685</v>
      </c>
      <c r="N188" s="5" t="str">
        <f ca="1">VLOOKUP(Data!M188,temp!$B$3:$C$9,2,1)</f>
        <v>60-70</v>
      </c>
      <c r="O188">
        <v>365243</v>
      </c>
      <c r="P188" s="8">
        <f t="shared" si="15"/>
        <v>0</v>
      </c>
      <c r="Q188" s="5" t="str">
        <f t="shared" si="17"/>
        <v>Unemployed</v>
      </c>
      <c r="R188">
        <v>1</v>
      </c>
      <c r="S188">
        <v>0</v>
      </c>
      <c r="T188">
        <v>0</v>
      </c>
      <c r="U188">
        <v>0</v>
      </c>
      <c r="W188">
        <v>2</v>
      </c>
    </row>
    <row r="189" spans="1:23" x14ac:dyDescent="0.2">
      <c r="A189">
        <v>5010599</v>
      </c>
      <c r="B189" t="s">
        <v>18</v>
      </c>
      <c r="C189" t="s">
        <v>19</v>
      </c>
      <c r="D189" t="s">
        <v>20</v>
      </c>
      <c r="E189">
        <v>2</v>
      </c>
      <c r="F189">
        <v>90000</v>
      </c>
      <c r="G189" t="s">
        <v>31</v>
      </c>
      <c r="H189" t="s">
        <v>22</v>
      </c>
      <c r="I189" t="s">
        <v>28</v>
      </c>
      <c r="J189" t="s">
        <v>24</v>
      </c>
      <c r="K189" s="6">
        <f t="shared" ca="1" si="16"/>
        <v>33897</v>
      </c>
      <c r="L189">
        <v>-11864</v>
      </c>
      <c r="M189" s="7">
        <f t="shared" ca="1" si="14"/>
        <v>32.481861738535251</v>
      </c>
      <c r="N189" s="5" t="str">
        <f ca="1">VLOOKUP(Data!M189,temp!$B$3:$C$9,2,1)</f>
        <v>30-40</v>
      </c>
      <c r="O189">
        <v>-4513</v>
      </c>
      <c r="P189" s="8">
        <f t="shared" si="15"/>
        <v>12.355920602327172</v>
      </c>
      <c r="Q189" s="5" t="str">
        <f t="shared" si="17"/>
        <v>Employed</v>
      </c>
      <c r="R189">
        <v>1</v>
      </c>
      <c r="S189">
        <v>0</v>
      </c>
      <c r="T189">
        <v>0</v>
      </c>
      <c r="U189">
        <v>0</v>
      </c>
      <c r="V189" t="s">
        <v>30</v>
      </c>
      <c r="W189">
        <v>4</v>
      </c>
    </row>
    <row r="190" spans="1:23" x14ac:dyDescent="0.2">
      <c r="A190">
        <v>5010605</v>
      </c>
      <c r="B190" t="s">
        <v>18</v>
      </c>
      <c r="C190" t="s">
        <v>19</v>
      </c>
      <c r="D190" t="s">
        <v>20</v>
      </c>
      <c r="E190">
        <v>2</v>
      </c>
      <c r="F190">
        <v>90000</v>
      </c>
      <c r="G190" t="s">
        <v>31</v>
      </c>
      <c r="H190" t="s">
        <v>22</v>
      </c>
      <c r="I190" t="s">
        <v>28</v>
      </c>
      <c r="J190" t="s">
        <v>24</v>
      </c>
      <c r="K190" s="6">
        <f t="shared" ca="1" si="16"/>
        <v>33897</v>
      </c>
      <c r="L190">
        <v>-11864</v>
      </c>
      <c r="M190" s="7">
        <f t="shared" ca="1" si="14"/>
        <v>32.481861738535251</v>
      </c>
      <c r="N190" s="5" t="str">
        <f ca="1">VLOOKUP(Data!M190,temp!$B$3:$C$9,2,1)</f>
        <v>30-40</v>
      </c>
      <c r="O190">
        <v>-4513</v>
      </c>
      <c r="P190" s="8">
        <f t="shared" si="15"/>
        <v>12.355920602327172</v>
      </c>
      <c r="Q190" s="5" t="str">
        <f t="shared" si="17"/>
        <v>Employed</v>
      </c>
      <c r="R190">
        <v>1</v>
      </c>
      <c r="S190">
        <v>0</v>
      </c>
      <c r="T190">
        <v>0</v>
      </c>
      <c r="U190">
        <v>0</v>
      </c>
      <c r="V190" t="s">
        <v>30</v>
      </c>
      <c r="W190">
        <v>4</v>
      </c>
    </row>
    <row r="191" spans="1:23" x14ac:dyDescent="0.2">
      <c r="A191">
        <v>5010606</v>
      </c>
      <c r="B191" t="s">
        <v>18</v>
      </c>
      <c r="C191" t="s">
        <v>19</v>
      </c>
      <c r="D191" t="s">
        <v>20</v>
      </c>
      <c r="E191">
        <v>0</v>
      </c>
      <c r="F191">
        <v>65250</v>
      </c>
      <c r="G191" t="s">
        <v>21</v>
      </c>
      <c r="H191" t="s">
        <v>27</v>
      </c>
      <c r="I191" t="s">
        <v>42</v>
      </c>
      <c r="J191" t="s">
        <v>24</v>
      </c>
      <c r="K191" s="6">
        <f t="shared" ca="1" si="16"/>
        <v>25864</v>
      </c>
      <c r="L191">
        <v>-19897</v>
      </c>
      <c r="M191" s="7">
        <f t="shared" ca="1" si="14"/>
        <v>54.475017111567418</v>
      </c>
      <c r="N191" s="5" t="str">
        <f ca="1">VLOOKUP(Data!M191,temp!$B$3:$C$9,2,1)</f>
        <v>50-60</v>
      </c>
      <c r="O191">
        <v>365243</v>
      </c>
      <c r="P191" s="8">
        <f t="shared" si="15"/>
        <v>0</v>
      </c>
      <c r="Q191" s="5" t="str">
        <f t="shared" si="17"/>
        <v>Unemployed</v>
      </c>
      <c r="R191">
        <v>1</v>
      </c>
      <c r="S191">
        <v>0</v>
      </c>
      <c r="T191">
        <v>1</v>
      </c>
      <c r="U191">
        <v>0</v>
      </c>
      <c r="W191">
        <v>1</v>
      </c>
    </row>
    <row r="192" spans="1:23" x14ac:dyDescent="0.2">
      <c r="A192">
        <v>5010610</v>
      </c>
      <c r="B192" t="s">
        <v>18</v>
      </c>
      <c r="C192" t="s">
        <v>19</v>
      </c>
      <c r="D192" t="s">
        <v>20</v>
      </c>
      <c r="E192">
        <v>0</v>
      </c>
      <c r="F192">
        <v>65250</v>
      </c>
      <c r="G192" t="s">
        <v>21</v>
      </c>
      <c r="H192" t="s">
        <v>27</v>
      </c>
      <c r="I192" t="s">
        <v>42</v>
      </c>
      <c r="J192" t="s">
        <v>24</v>
      </c>
      <c r="K192" s="6">
        <f t="shared" ca="1" si="16"/>
        <v>25864</v>
      </c>
      <c r="L192">
        <v>-19897</v>
      </c>
      <c r="M192" s="7">
        <f t="shared" ca="1" si="14"/>
        <v>54.475017111567418</v>
      </c>
      <c r="N192" s="5" t="str">
        <f ca="1">VLOOKUP(Data!M192,temp!$B$3:$C$9,2,1)</f>
        <v>50-60</v>
      </c>
      <c r="O192">
        <v>365243</v>
      </c>
      <c r="P192" s="8">
        <f t="shared" si="15"/>
        <v>0</v>
      </c>
      <c r="Q192" s="5" t="str">
        <f t="shared" si="17"/>
        <v>Unemployed</v>
      </c>
      <c r="R192">
        <v>1</v>
      </c>
      <c r="S192">
        <v>0</v>
      </c>
      <c r="T192">
        <v>1</v>
      </c>
      <c r="U192">
        <v>0</v>
      </c>
      <c r="W192">
        <v>1</v>
      </c>
    </row>
    <row r="193" spans="1:23" x14ac:dyDescent="0.2">
      <c r="A193">
        <v>5010633</v>
      </c>
      <c r="B193" t="s">
        <v>18</v>
      </c>
      <c r="C193" t="s">
        <v>20</v>
      </c>
      <c r="D193" t="s">
        <v>20</v>
      </c>
      <c r="E193">
        <v>0</v>
      </c>
      <c r="F193">
        <v>180000</v>
      </c>
      <c r="G193" t="s">
        <v>31</v>
      </c>
      <c r="H193" t="s">
        <v>27</v>
      </c>
      <c r="I193" t="s">
        <v>37</v>
      </c>
      <c r="J193" t="s">
        <v>24</v>
      </c>
      <c r="K193" s="6">
        <f t="shared" ca="1" si="16"/>
        <v>33300</v>
      </c>
      <c r="L193">
        <v>-12461</v>
      </c>
      <c r="M193" s="7">
        <f t="shared" ca="1" si="14"/>
        <v>34.116358658453116</v>
      </c>
      <c r="N193" s="5" t="str">
        <f ca="1">VLOOKUP(Data!M193,temp!$B$3:$C$9,2,1)</f>
        <v>30-40</v>
      </c>
      <c r="O193">
        <v>-678</v>
      </c>
      <c r="P193" s="8">
        <f t="shared" si="15"/>
        <v>1.8562628336755647</v>
      </c>
      <c r="Q193" s="5" t="str">
        <f t="shared" si="17"/>
        <v>Employed</v>
      </c>
      <c r="R193">
        <v>1</v>
      </c>
      <c r="S193">
        <v>0</v>
      </c>
      <c r="T193">
        <v>0</v>
      </c>
      <c r="U193">
        <v>0</v>
      </c>
      <c r="V193" t="s">
        <v>39</v>
      </c>
      <c r="W193">
        <v>2</v>
      </c>
    </row>
    <row r="194" spans="1:23" x14ac:dyDescent="0.2">
      <c r="A194">
        <v>5010663</v>
      </c>
      <c r="B194" t="s">
        <v>25</v>
      </c>
      <c r="C194" t="s">
        <v>20</v>
      </c>
      <c r="D194" t="s">
        <v>20</v>
      </c>
      <c r="E194">
        <v>2</v>
      </c>
      <c r="F194">
        <v>270000</v>
      </c>
      <c r="G194" t="s">
        <v>31</v>
      </c>
      <c r="H194" t="s">
        <v>27</v>
      </c>
      <c r="I194" t="s">
        <v>28</v>
      </c>
      <c r="J194" t="s">
        <v>24</v>
      </c>
      <c r="K194" s="6">
        <f t="shared" ca="1" si="16"/>
        <v>32401</v>
      </c>
      <c r="L194">
        <v>-13360</v>
      </c>
      <c r="M194" s="7">
        <f t="shared" ca="1" si="14"/>
        <v>36.577686516084874</v>
      </c>
      <c r="N194" s="5" t="str">
        <f ca="1">VLOOKUP(Data!M194,temp!$B$3:$C$9,2,1)</f>
        <v>30-40</v>
      </c>
      <c r="O194">
        <v>-4086</v>
      </c>
      <c r="P194" s="8">
        <f t="shared" si="15"/>
        <v>11.186858316221766</v>
      </c>
      <c r="Q194" s="5" t="str">
        <f t="shared" si="17"/>
        <v>Employed</v>
      </c>
      <c r="R194">
        <v>1</v>
      </c>
      <c r="S194">
        <v>0</v>
      </c>
      <c r="T194">
        <v>0</v>
      </c>
      <c r="U194">
        <v>0</v>
      </c>
      <c r="V194" t="s">
        <v>29</v>
      </c>
      <c r="W194">
        <v>4</v>
      </c>
    </row>
    <row r="195" spans="1:23" x14ac:dyDescent="0.2">
      <c r="A195">
        <v>5010670</v>
      </c>
      <c r="B195" t="s">
        <v>25</v>
      </c>
      <c r="C195" t="s">
        <v>20</v>
      </c>
      <c r="D195" t="s">
        <v>20</v>
      </c>
      <c r="E195">
        <v>0</v>
      </c>
      <c r="F195">
        <v>180000</v>
      </c>
      <c r="G195" t="s">
        <v>31</v>
      </c>
      <c r="H195" t="s">
        <v>27</v>
      </c>
      <c r="I195" t="s">
        <v>28</v>
      </c>
      <c r="J195" t="s">
        <v>24</v>
      </c>
      <c r="K195" s="6">
        <f t="shared" ca="1" si="16"/>
        <v>28603</v>
      </c>
      <c r="L195">
        <v>-17158</v>
      </c>
      <c r="M195" s="7">
        <f t="shared" ref="M195:M258" ca="1" si="18">(TODAY()-K195)/365.25</f>
        <v>46.976043805612591</v>
      </c>
      <c r="N195" s="5" t="str">
        <f ca="1">VLOOKUP(Data!M195,temp!$B$3:$C$9,2,1)</f>
        <v>40-50</v>
      </c>
      <c r="O195">
        <v>-2990</v>
      </c>
      <c r="P195" s="8">
        <f t="shared" ref="P195:P258" si="19">IF(O195&lt;=0,ABS(O195)/365.25,0)</f>
        <v>8.1861738535249824</v>
      </c>
      <c r="Q195" s="5" t="str">
        <f t="shared" si="17"/>
        <v>Employed</v>
      </c>
      <c r="R195">
        <v>1</v>
      </c>
      <c r="S195">
        <v>0</v>
      </c>
      <c r="T195">
        <v>0</v>
      </c>
      <c r="U195">
        <v>0</v>
      </c>
      <c r="V195" t="s">
        <v>39</v>
      </c>
      <c r="W195">
        <v>2</v>
      </c>
    </row>
    <row r="196" spans="1:23" x14ac:dyDescent="0.2">
      <c r="A196">
        <v>5010699</v>
      </c>
      <c r="B196" t="s">
        <v>18</v>
      </c>
      <c r="C196" t="s">
        <v>20</v>
      </c>
      <c r="D196" t="s">
        <v>20</v>
      </c>
      <c r="E196">
        <v>2</v>
      </c>
      <c r="F196">
        <v>292500</v>
      </c>
      <c r="G196" t="s">
        <v>26</v>
      </c>
      <c r="H196" t="s">
        <v>22</v>
      </c>
      <c r="I196" t="s">
        <v>28</v>
      </c>
      <c r="J196" t="s">
        <v>24</v>
      </c>
      <c r="K196" s="6">
        <f t="shared" ca="1" si="16"/>
        <v>31803</v>
      </c>
      <c r="L196">
        <v>-13958</v>
      </c>
      <c r="M196" s="7">
        <f t="shared" ca="1" si="18"/>
        <v>38.214921286789867</v>
      </c>
      <c r="N196" s="5" t="str">
        <f ca="1">VLOOKUP(Data!M196,temp!$B$3:$C$9,2,1)</f>
        <v>30-40</v>
      </c>
      <c r="O196">
        <v>-3021</v>
      </c>
      <c r="P196" s="8">
        <f t="shared" si="19"/>
        <v>8.2710472279260774</v>
      </c>
      <c r="Q196" s="5" t="str">
        <f t="shared" si="17"/>
        <v>Employed</v>
      </c>
      <c r="R196">
        <v>1</v>
      </c>
      <c r="S196">
        <v>0</v>
      </c>
      <c r="T196">
        <v>0</v>
      </c>
      <c r="U196">
        <v>0</v>
      </c>
      <c r="V196" t="s">
        <v>39</v>
      </c>
      <c r="W196">
        <v>4</v>
      </c>
    </row>
    <row r="197" spans="1:23" x14ac:dyDescent="0.2">
      <c r="A197">
        <v>5010702</v>
      </c>
      <c r="B197" t="s">
        <v>18</v>
      </c>
      <c r="C197" t="s">
        <v>20</v>
      </c>
      <c r="D197" t="s">
        <v>20</v>
      </c>
      <c r="E197">
        <v>2</v>
      </c>
      <c r="F197">
        <v>292500</v>
      </c>
      <c r="G197" t="s">
        <v>26</v>
      </c>
      <c r="H197" t="s">
        <v>22</v>
      </c>
      <c r="I197" t="s">
        <v>28</v>
      </c>
      <c r="J197" t="s">
        <v>24</v>
      </c>
      <c r="K197" s="6">
        <f t="shared" ca="1" si="16"/>
        <v>31803</v>
      </c>
      <c r="L197">
        <v>-13958</v>
      </c>
      <c r="M197" s="7">
        <f t="shared" ca="1" si="18"/>
        <v>38.214921286789867</v>
      </c>
      <c r="N197" s="5" t="str">
        <f ca="1">VLOOKUP(Data!M197,temp!$B$3:$C$9,2,1)</f>
        <v>30-40</v>
      </c>
      <c r="O197">
        <v>-3021</v>
      </c>
      <c r="P197" s="8">
        <f t="shared" si="19"/>
        <v>8.2710472279260774</v>
      </c>
      <c r="Q197" s="5" t="str">
        <f t="shared" si="17"/>
        <v>Employed</v>
      </c>
      <c r="R197">
        <v>1</v>
      </c>
      <c r="S197">
        <v>0</v>
      </c>
      <c r="T197">
        <v>0</v>
      </c>
      <c r="U197">
        <v>0</v>
      </c>
      <c r="V197" t="s">
        <v>39</v>
      </c>
      <c r="W197">
        <v>4</v>
      </c>
    </row>
    <row r="198" spans="1:23" x14ac:dyDescent="0.2">
      <c r="A198">
        <v>5010731</v>
      </c>
      <c r="B198" t="s">
        <v>18</v>
      </c>
      <c r="C198" t="s">
        <v>19</v>
      </c>
      <c r="D198" t="s">
        <v>20</v>
      </c>
      <c r="E198">
        <v>0</v>
      </c>
      <c r="F198">
        <v>135000</v>
      </c>
      <c r="G198" t="s">
        <v>31</v>
      </c>
      <c r="H198" t="s">
        <v>27</v>
      </c>
      <c r="I198" t="s">
        <v>28</v>
      </c>
      <c r="J198" t="s">
        <v>24</v>
      </c>
      <c r="K198" s="6">
        <f t="shared" ca="1" si="16"/>
        <v>24365</v>
      </c>
      <c r="L198">
        <v>-21396</v>
      </c>
      <c r="M198" s="7">
        <f t="shared" ca="1" si="18"/>
        <v>58.579055441478438</v>
      </c>
      <c r="N198" s="5" t="str">
        <f ca="1">VLOOKUP(Data!M198,temp!$B$3:$C$9,2,1)</f>
        <v>50-60</v>
      </c>
      <c r="O198">
        <v>-1013</v>
      </c>
      <c r="P198" s="8">
        <f t="shared" si="19"/>
        <v>2.7734428473648185</v>
      </c>
      <c r="Q198" s="5" t="str">
        <f t="shared" si="17"/>
        <v>Employed</v>
      </c>
      <c r="R198">
        <v>1</v>
      </c>
      <c r="S198">
        <v>0</v>
      </c>
      <c r="T198">
        <v>0</v>
      </c>
      <c r="U198">
        <v>1</v>
      </c>
      <c r="V198" t="s">
        <v>47</v>
      </c>
      <c r="W198">
        <v>2</v>
      </c>
    </row>
    <row r="199" spans="1:23" x14ac:dyDescent="0.2">
      <c r="A199">
        <v>5010734</v>
      </c>
      <c r="B199" t="s">
        <v>18</v>
      </c>
      <c r="C199" t="s">
        <v>19</v>
      </c>
      <c r="D199" t="s">
        <v>20</v>
      </c>
      <c r="E199">
        <v>0</v>
      </c>
      <c r="F199">
        <v>157500</v>
      </c>
      <c r="G199" t="s">
        <v>31</v>
      </c>
      <c r="H199" t="s">
        <v>27</v>
      </c>
      <c r="I199" t="s">
        <v>37</v>
      </c>
      <c r="J199" t="s">
        <v>24</v>
      </c>
      <c r="K199" s="6">
        <f t="shared" ca="1" si="16"/>
        <v>33908</v>
      </c>
      <c r="L199">
        <v>-11853</v>
      </c>
      <c r="M199" s="7">
        <f t="shared" ca="1" si="18"/>
        <v>32.451745379876797</v>
      </c>
      <c r="N199" s="5" t="str">
        <f ca="1">VLOOKUP(Data!M199,temp!$B$3:$C$9,2,1)</f>
        <v>30-40</v>
      </c>
      <c r="O199">
        <v>-5061</v>
      </c>
      <c r="P199" s="8">
        <f t="shared" si="19"/>
        <v>13.856262833675565</v>
      </c>
      <c r="Q199" s="5" t="str">
        <f t="shared" si="17"/>
        <v>Employed</v>
      </c>
      <c r="R199">
        <v>1</v>
      </c>
      <c r="S199">
        <v>1</v>
      </c>
      <c r="T199">
        <v>0</v>
      </c>
      <c r="U199">
        <v>0</v>
      </c>
      <c r="V199" t="s">
        <v>54</v>
      </c>
      <c r="W199">
        <v>2</v>
      </c>
    </row>
    <row r="200" spans="1:23" x14ac:dyDescent="0.2">
      <c r="A200">
        <v>5010741</v>
      </c>
      <c r="B200" t="s">
        <v>18</v>
      </c>
      <c r="C200" t="s">
        <v>19</v>
      </c>
      <c r="D200" t="s">
        <v>20</v>
      </c>
      <c r="E200">
        <v>0</v>
      </c>
      <c r="F200">
        <v>157500</v>
      </c>
      <c r="G200" t="s">
        <v>31</v>
      </c>
      <c r="H200" t="s">
        <v>27</v>
      </c>
      <c r="I200" t="s">
        <v>37</v>
      </c>
      <c r="J200" t="s">
        <v>24</v>
      </c>
      <c r="K200" s="6">
        <f t="shared" ref="K200:K263" ca="1" si="20">TODAY()+($L200)</f>
        <v>33908</v>
      </c>
      <c r="L200">
        <v>-11853</v>
      </c>
      <c r="M200" s="7">
        <f t="shared" ca="1" si="18"/>
        <v>32.451745379876797</v>
      </c>
      <c r="N200" s="5" t="str">
        <f ca="1">VLOOKUP(Data!M200,temp!$B$3:$C$9,2,1)</f>
        <v>30-40</v>
      </c>
      <c r="O200">
        <v>-5061</v>
      </c>
      <c r="P200" s="8">
        <f t="shared" si="19"/>
        <v>13.856262833675565</v>
      </c>
      <c r="Q200" s="5" t="str">
        <f t="shared" ref="Q200:Q263" si="21">IF($O200&gt;0,"Unemployed","Employed")</f>
        <v>Employed</v>
      </c>
      <c r="R200">
        <v>1</v>
      </c>
      <c r="S200">
        <v>1</v>
      </c>
      <c r="T200">
        <v>0</v>
      </c>
      <c r="U200">
        <v>0</v>
      </c>
      <c r="V200" t="s">
        <v>54</v>
      </c>
      <c r="W200">
        <v>2</v>
      </c>
    </row>
    <row r="201" spans="1:23" x14ac:dyDescent="0.2">
      <c r="A201">
        <v>5010751</v>
      </c>
      <c r="B201" t="s">
        <v>18</v>
      </c>
      <c r="C201" t="s">
        <v>20</v>
      </c>
      <c r="D201" t="s">
        <v>20</v>
      </c>
      <c r="E201">
        <v>0</v>
      </c>
      <c r="F201">
        <v>67500</v>
      </c>
      <c r="G201" t="s">
        <v>21</v>
      </c>
      <c r="H201" t="s">
        <v>36</v>
      </c>
      <c r="I201" t="s">
        <v>28</v>
      </c>
      <c r="J201" t="s">
        <v>24</v>
      </c>
      <c r="K201" s="6">
        <f t="shared" ca="1" si="20"/>
        <v>24411</v>
      </c>
      <c r="L201">
        <v>-21350</v>
      </c>
      <c r="M201" s="7">
        <f t="shared" ca="1" si="18"/>
        <v>58.453114305270361</v>
      </c>
      <c r="N201" s="5" t="str">
        <f ca="1">VLOOKUP(Data!M201,temp!$B$3:$C$9,2,1)</f>
        <v>50-60</v>
      </c>
      <c r="O201">
        <v>365243</v>
      </c>
      <c r="P201" s="8">
        <f t="shared" si="19"/>
        <v>0</v>
      </c>
      <c r="Q201" s="5" t="str">
        <f t="shared" si="21"/>
        <v>Unemployed</v>
      </c>
      <c r="R201">
        <v>1</v>
      </c>
      <c r="S201">
        <v>0</v>
      </c>
      <c r="T201">
        <v>1</v>
      </c>
      <c r="U201">
        <v>0</v>
      </c>
      <c r="W201">
        <v>2</v>
      </c>
    </row>
    <row r="202" spans="1:23" x14ac:dyDescent="0.2">
      <c r="A202">
        <v>5010754</v>
      </c>
      <c r="B202" t="s">
        <v>18</v>
      </c>
      <c r="C202" t="s">
        <v>20</v>
      </c>
      <c r="D202" t="s">
        <v>20</v>
      </c>
      <c r="E202">
        <v>0</v>
      </c>
      <c r="F202">
        <v>67500</v>
      </c>
      <c r="G202" t="s">
        <v>21</v>
      </c>
      <c r="H202" t="s">
        <v>36</v>
      </c>
      <c r="I202" t="s">
        <v>28</v>
      </c>
      <c r="J202" t="s">
        <v>24</v>
      </c>
      <c r="K202" s="6">
        <f t="shared" ca="1" si="20"/>
        <v>24411</v>
      </c>
      <c r="L202">
        <v>-21350</v>
      </c>
      <c r="M202" s="7">
        <f t="shared" ca="1" si="18"/>
        <v>58.453114305270361</v>
      </c>
      <c r="N202" s="5" t="str">
        <f ca="1">VLOOKUP(Data!M202,temp!$B$3:$C$9,2,1)</f>
        <v>50-60</v>
      </c>
      <c r="O202">
        <v>365243</v>
      </c>
      <c r="P202" s="8">
        <f t="shared" si="19"/>
        <v>0</v>
      </c>
      <c r="Q202" s="5" t="str">
        <f t="shared" si="21"/>
        <v>Unemployed</v>
      </c>
      <c r="R202">
        <v>1</v>
      </c>
      <c r="S202">
        <v>0</v>
      </c>
      <c r="T202">
        <v>1</v>
      </c>
      <c r="U202">
        <v>0</v>
      </c>
      <c r="W202">
        <v>2</v>
      </c>
    </row>
    <row r="203" spans="1:23" x14ac:dyDescent="0.2">
      <c r="A203">
        <v>5010755</v>
      </c>
      <c r="B203" t="s">
        <v>18</v>
      </c>
      <c r="C203" t="s">
        <v>20</v>
      </c>
      <c r="D203" t="s">
        <v>20</v>
      </c>
      <c r="E203">
        <v>0</v>
      </c>
      <c r="F203">
        <v>67500</v>
      </c>
      <c r="G203" t="s">
        <v>21</v>
      </c>
      <c r="H203" t="s">
        <v>36</v>
      </c>
      <c r="I203" t="s">
        <v>28</v>
      </c>
      <c r="J203" t="s">
        <v>24</v>
      </c>
      <c r="K203" s="6">
        <f t="shared" ca="1" si="20"/>
        <v>24411</v>
      </c>
      <c r="L203">
        <v>-21350</v>
      </c>
      <c r="M203" s="7">
        <f t="shared" ca="1" si="18"/>
        <v>58.453114305270361</v>
      </c>
      <c r="N203" s="5" t="str">
        <f ca="1">VLOOKUP(Data!M203,temp!$B$3:$C$9,2,1)</f>
        <v>50-60</v>
      </c>
      <c r="O203">
        <v>365243</v>
      </c>
      <c r="P203" s="8">
        <f t="shared" si="19"/>
        <v>0</v>
      </c>
      <c r="Q203" s="5" t="str">
        <f t="shared" si="21"/>
        <v>Unemployed</v>
      </c>
      <c r="R203">
        <v>1</v>
      </c>
      <c r="S203">
        <v>0</v>
      </c>
      <c r="T203">
        <v>1</v>
      </c>
      <c r="U203">
        <v>0</v>
      </c>
      <c r="W203">
        <v>2</v>
      </c>
    </row>
    <row r="204" spans="1:23" x14ac:dyDescent="0.2">
      <c r="A204">
        <v>5010797</v>
      </c>
      <c r="B204" t="s">
        <v>18</v>
      </c>
      <c r="C204" t="s">
        <v>19</v>
      </c>
      <c r="D204" t="s">
        <v>20</v>
      </c>
      <c r="E204">
        <v>0</v>
      </c>
      <c r="F204">
        <v>270000</v>
      </c>
      <c r="G204" t="s">
        <v>31</v>
      </c>
      <c r="H204" t="s">
        <v>27</v>
      </c>
      <c r="I204" t="s">
        <v>28</v>
      </c>
      <c r="J204" t="s">
        <v>45</v>
      </c>
      <c r="K204" s="6">
        <f t="shared" ca="1" si="20"/>
        <v>30311</v>
      </c>
      <c r="L204">
        <v>-15450</v>
      </c>
      <c r="M204" s="7">
        <f t="shared" ca="1" si="18"/>
        <v>42.299794661190965</v>
      </c>
      <c r="N204" s="5" t="str">
        <f ca="1">VLOOKUP(Data!M204,temp!$B$3:$C$9,2,1)</f>
        <v>40-50</v>
      </c>
      <c r="O204">
        <v>-770</v>
      </c>
      <c r="P204" s="8">
        <f t="shared" si="19"/>
        <v>2.108145106091718</v>
      </c>
      <c r="Q204" s="5" t="str">
        <f t="shared" si="21"/>
        <v>Employed</v>
      </c>
      <c r="R204">
        <v>1</v>
      </c>
      <c r="S204">
        <v>0</v>
      </c>
      <c r="T204">
        <v>0</v>
      </c>
      <c r="U204">
        <v>1</v>
      </c>
      <c r="V204" t="s">
        <v>40</v>
      </c>
      <c r="W204">
        <v>2</v>
      </c>
    </row>
    <row r="205" spans="1:23" x14ac:dyDescent="0.2">
      <c r="A205">
        <v>5010802</v>
      </c>
      <c r="B205" t="s">
        <v>18</v>
      </c>
      <c r="C205" t="s">
        <v>19</v>
      </c>
      <c r="D205" t="s">
        <v>20</v>
      </c>
      <c r="E205">
        <v>0</v>
      </c>
      <c r="F205">
        <v>270000</v>
      </c>
      <c r="G205" t="s">
        <v>31</v>
      </c>
      <c r="H205" t="s">
        <v>27</v>
      </c>
      <c r="I205" t="s">
        <v>28</v>
      </c>
      <c r="J205" t="s">
        <v>45</v>
      </c>
      <c r="K205" s="6">
        <f t="shared" ca="1" si="20"/>
        <v>30311</v>
      </c>
      <c r="L205">
        <v>-15450</v>
      </c>
      <c r="M205" s="7">
        <f t="shared" ca="1" si="18"/>
        <v>42.299794661190965</v>
      </c>
      <c r="N205" s="5" t="str">
        <f ca="1">VLOOKUP(Data!M205,temp!$B$3:$C$9,2,1)</f>
        <v>40-50</v>
      </c>
      <c r="O205">
        <v>-770</v>
      </c>
      <c r="P205" s="8">
        <f t="shared" si="19"/>
        <v>2.108145106091718</v>
      </c>
      <c r="Q205" s="5" t="str">
        <f t="shared" si="21"/>
        <v>Employed</v>
      </c>
      <c r="R205">
        <v>1</v>
      </c>
      <c r="S205">
        <v>0</v>
      </c>
      <c r="T205">
        <v>0</v>
      </c>
      <c r="U205">
        <v>1</v>
      </c>
      <c r="V205" t="s">
        <v>40</v>
      </c>
      <c r="W205">
        <v>2</v>
      </c>
    </row>
    <row r="206" spans="1:23" x14ac:dyDescent="0.2">
      <c r="A206">
        <v>5010805</v>
      </c>
      <c r="B206" t="s">
        <v>18</v>
      </c>
      <c r="C206" t="s">
        <v>19</v>
      </c>
      <c r="D206" t="s">
        <v>20</v>
      </c>
      <c r="E206">
        <v>1</v>
      </c>
      <c r="F206">
        <v>135000</v>
      </c>
      <c r="G206" t="s">
        <v>31</v>
      </c>
      <c r="H206" t="s">
        <v>22</v>
      </c>
      <c r="I206" t="s">
        <v>28</v>
      </c>
      <c r="J206" t="s">
        <v>24</v>
      </c>
      <c r="K206" s="6">
        <f t="shared" ca="1" si="20"/>
        <v>31928</v>
      </c>
      <c r="L206">
        <v>-13833</v>
      </c>
      <c r="M206" s="7">
        <f t="shared" ca="1" si="18"/>
        <v>37.872689938398359</v>
      </c>
      <c r="N206" s="5" t="str">
        <f ca="1">VLOOKUP(Data!M206,temp!$B$3:$C$9,2,1)</f>
        <v>30-40</v>
      </c>
      <c r="O206">
        <v>-617</v>
      </c>
      <c r="P206" s="8">
        <f t="shared" si="19"/>
        <v>1.6892539356605065</v>
      </c>
      <c r="Q206" s="5" t="str">
        <f t="shared" si="21"/>
        <v>Employed</v>
      </c>
      <c r="R206">
        <v>1</v>
      </c>
      <c r="S206">
        <v>0</v>
      </c>
      <c r="T206">
        <v>0</v>
      </c>
      <c r="U206">
        <v>0</v>
      </c>
      <c r="V206" t="s">
        <v>44</v>
      </c>
      <c r="W206">
        <v>3</v>
      </c>
    </row>
    <row r="207" spans="1:23" x14ac:dyDescent="0.2">
      <c r="A207">
        <v>5010835</v>
      </c>
      <c r="B207" t="s">
        <v>25</v>
      </c>
      <c r="C207" t="s">
        <v>20</v>
      </c>
      <c r="D207" t="s">
        <v>20</v>
      </c>
      <c r="E207">
        <v>2</v>
      </c>
      <c r="F207">
        <v>139500</v>
      </c>
      <c r="G207" t="s">
        <v>31</v>
      </c>
      <c r="H207" t="s">
        <v>27</v>
      </c>
      <c r="I207" t="s">
        <v>28</v>
      </c>
      <c r="J207" t="s">
        <v>24</v>
      </c>
      <c r="K207" s="6">
        <f t="shared" ca="1" si="20"/>
        <v>28480</v>
      </c>
      <c r="L207">
        <v>-17281</v>
      </c>
      <c r="M207" s="7">
        <f t="shared" ca="1" si="18"/>
        <v>47.312799452429843</v>
      </c>
      <c r="N207" s="5" t="str">
        <f ca="1">VLOOKUP(Data!M207,temp!$B$3:$C$9,2,1)</f>
        <v>40-50</v>
      </c>
      <c r="O207">
        <v>-5578</v>
      </c>
      <c r="P207" s="8">
        <f t="shared" si="19"/>
        <v>15.271731690622861</v>
      </c>
      <c r="Q207" s="5" t="str">
        <f t="shared" si="21"/>
        <v>Employed</v>
      </c>
      <c r="R207">
        <v>1</v>
      </c>
      <c r="S207">
        <v>1</v>
      </c>
      <c r="T207">
        <v>0</v>
      </c>
      <c r="U207">
        <v>0</v>
      </c>
      <c r="V207" t="s">
        <v>30</v>
      </c>
      <c r="W207">
        <v>4</v>
      </c>
    </row>
    <row r="208" spans="1:23" x14ac:dyDescent="0.2">
      <c r="A208">
        <v>5010843</v>
      </c>
      <c r="B208" t="s">
        <v>18</v>
      </c>
      <c r="C208" t="s">
        <v>20</v>
      </c>
      <c r="D208" t="s">
        <v>20</v>
      </c>
      <c r="E208">
        <v>0</v>
      </c>
      <c r="F208">
        <v>157500</v>
      </c>
      <c r="G208" t="s">
        <v>31</v>
      </c>
      <c r="H208" t="s">
        <v>22</v>
      </c>
      <c r="I208" t="s">
        <v>28</v>
      </c>
      <c r="J208" t="s">
        <v>24</v>
      </c>
      <c r="K208" s="6">
        <f t="shared" ca="1" si="20"/>
        <v>33939</v>
      </c>
      <c r="L208">
        <v>-11822</v>
      </c>
      <c r="M208" s="7">
        <f t="shared" ca="1" si="18"/>
        <v>32.366872005475699</v>
      </c>
      <c r="N208" s="5" t="str">
        <f ca="1">VLOOKUP(Data!M208,temp!$B$3:$C$9,2,1)</f>
        <v>30-40</v>
      </c>
      <c r="O208">
        <v>-739</v>
      </c>
      <c r="P208" s="8">
        <f t="shared" si="19"/>
        <v>2.023271731690623</v>
      </c>
      <c r="Q208" s="5" t="str">
        <f t="shared" si="21"/>
        <v>Employed</v>
      </c>
      <c r="R208">
        <v>1</v>
      </c>
      <c r="S208">
        <v>0</v>
      </c>
      <c r="T208">
        <v>0</v>
      </c>
      <c r="U208">
        <v>1</v>
      </c>
      <c r="V208" t="s">
        <v>39</v>
      </c>
      <c r="W208">
        <v>2</v>
      </c>
    </row>
    <row r="209" spans="1:23" x14ac:dyDescent="0.2">
      <c r="A209">
        <v>5010858</v>
      </c>
      <c r="B209" t="s">
        <v>18</v>
      </c>
      <c r="C209" t="s">
        <v>19</v>
      </c>
      <c r="D209" t="s">
        <v>20</v>
      </c>
      <c r="E209">
        <v>0</v>
      </c>
      <c r="F209">
        <v>157500</v>
      </c>
      <c r="G209" t="s">
        <v>26</v>
      </c>
      <c r="H209" t="s">
        <v>27</v>
      </c>
      <c r="I209" t="s">
        <v>28</v>
      </c>
      <c r="J209" t="s">
        <v>24</v>
      </c>
      <c r="K209" s="6">
        <f t="shared" ca="1" si="20"/>
        <v>29199</v>
      </c>
      <c r="L209">
        <v>-16562</v>
      </c>
      <c r="M209" s="7">
        <f t="shared" ca="1" si="18"/>
        <v>45.34428473648186</v>
      </c>
      <c r="N209" s="5" t="str">
        <f ca="1">VLOOKUP(Data!M209,temp!$B$3:$C$9,2,1)</f>
        <v>40-50</v>
      </c>
      <c r="O209">
        <v>-1043</v>
      </c>
      <c r="P209" s="8">
        <f t="shared" si="19"/>
        <v>2.8555783709787819</v>
      </c>
      <c r="Q209" s="5" t="str">
        <f t="shared" si="21"/>
        <v>Employed</v>
      </c>
      <c r="R209">
        <v>1</v>
      </c>
      <c r="S209">
        <v>0</v>
      </c>
      <c r="T209">
        <v>0</v>
      </c>
      <c r="U209">
        <v>0</v>
      </c>
      <c r="V209" t="s">
        <v>40</v>
      </c>
      <c r="W209">
        <v>2</v>
      </c>
    </row>
    <row r="210" spans="1:23" x14ac:dyDescent="0.2">
      <c r="A210">
        <v>5010877</v>
      </c>
      <c r="B210" t="s">
        <v>18</v>
      </c>
      <c r="C210" t="s">
        <v>19</v>
      </c>
      <c r="D210" t="s">
        <v>20</v>
      </c>
      <c r="E210">
        <v>0</v>
      </c>
      <c r="F210">
        <v>45000</v>
      </c>
      <c r="G210" t="s">
        <v>21</v>
      </c>
      <c r="H210" t="s">
        <v>27</v>
      </c>
      <c r="I210" t="s">
        <v>28</v>
      </c>
      <c r="J210" t="s">
        <v>24</v>
      </c>
      <c r="K210" s="6">
        <f t="shared" ca="1" si="20"/>
        <v>25073</v>
      </c>
      <c r="L210">
        <v>-20688</v>
      </c>
      <c r="M210" s="7">
        <f t="shared" ca="1" si="18"/>
        <v>56.640657084188909</v>
      </c>
      <c r="N210" s="5" t="str">
        <f ca="1">VLOOKUP(Data!M210,temp!$B$3:$C$9,2,1)</f>
        <v>50-60</v>
      </c>
      <c r="O210">
        <v>365243</v>
      </c>
      <c r="P210" s="8">
        <f t="shared" si="19"/>
        <v>0</v>
      </c>
      <c r="Q210" s="5" t="str">
        <f t="shared" si="21"/>
        <v>Unemployed</v>
      </c>
      <c r="R210">
        <v>1</v>
      </c>
      <c r="S210">
        <v>0</v>
      </c>
      <c r="T210">
        <v>1</v>
      </c>
      <c r="U210">
        <v>0</v>
      </c>
      <c r="W210">
        <v>2</v>
      </c>
    </row>
    <row r="211" spans="1:23" x14ac:dyDescent="0.2">
      <c r="A211">
        <v>5010881</v>
      </c>
      <c r="B211" t="s">
        <v>18</v>
      </c>
      <c r="C211" t="s">
        <v>19</v>
      </c>
      <c r="D211" t="s">
        <v>20</v>
      </c>
      <c r="E211">
        <v>0</v>
      </c>
      <c r="F211">
        <v>45000</v>
      </c>
      <c r="G211" t="s">
        <v>21</v>
      </c>
      <c r="H211" t="s">
        <v>27</v>
      </c>
      <c r="I211" t="s">
        <v>28</v>
      </c>
      <c r="J211" t="s">
        <v>24</v>
      </c>
      <c r="K211" s="6">
        <f t="shared" ca="1" si="20"/>
        <v>25073</v>
      </c>
      <c r="L211">
        <v>-20688</v>
      </c>
      <c r="M211" s="7">
        <f t="shared" ca="1" si="18"/>
        <v>56.640657084188909</v>
      </c>
      <c r="N211" s="5" t="str">
        <f ca="1">VLOOKUP(Data!M211,temp!$B$3:$C$9,2,1)</f>
        <v>50-60</v>
      </c>
      <c r="O211">
        <v>365243</v>
      </c>
      <c r="P211" s="8">
        <f t="shared" si="19"/>
        <v>0</v>
      </c>
      <c r="Q211" s="5" t="str">
        <f t="shared" si="21"/>
        <v>Unemployed</v>
      </c>
      <c r="R211">
        <v>1</v>
      </c>
      <c r="S211">
        <v>0</v>
      </c>
      <c r="T211">
        <v>1</v>
      </c>
      <c r="U211">
        <v>0</v>
      </c>
      <c r="W211">
        <v>2</v>
      </c>
    </row>
    <row r="212" spans="1:23" x14ac:dyDescent="0.2">
      <c r="A212">
        <v>5010883</v>
      </c>
      <c r="B212" t="s">
        <v>18</v>
      </c>
      <c r="C212" t="s">
        <v>19</v>
      </c>
      <c r="D212" t="s">
        <v>20</v>
      </c>
      <c r="E212">
        <v>1</v>
      </c>
      <c r="F212">
        <v>270000</v>
      </c>
      <c r="G212" t="s">
        <v>31</v>
      </c>
      <c r="H212" t="s">
        <v>27</v>
      </c>
      <c r="I212" t="s">
        <v>28</v>
      </c>
      <c r="J212" t="s">
        <v>24</v>
      </c>
      <c r="K212" s="6">
        <f t="shared" ca="1" si="20"/>
        <v>35851</v>
      </c>
      <c r="L212">
        <v>-9910</v>
      </c>
      <c r="M212" s="7">
        <f t="shared" ca="1" si="18"/>
        <v>27.132101300479125</v>
      </c>
      <c r="N212" s="5" t="str">
        <f ca="1">VLOOKUP(Data!M212,temp!$B$3:$C$9,2,1)</f>
        <v>20-30</v>
      </c>
      <c r="O212">
        <v>-678</v>
      </c>
      <c r="P212" s="8">
        <f t="shared" si="19"/>
        <v>1.8562628336755647</v>
      </c>
      <c r="Q212" s="5" t="str">
        <f t="shared" si="21"/>
        <v>Employed</v>
      </c>
      <c r="R212">
        <v>1</v>
      </c>
      <c r="S212">
        <v>0</v>
      </c>
      <c r="T212">
        <v>0</v>
      </c>
      <c r="U212">
        <v>0</v>
      </c>
      <c r="V212" t="s">
        <v>32</v>
      </c>
      <c r="W212">
        <v>3</v>
      </c>
    </row>
    <row r="213" spans="1:23" x14ac:dyDescent="0.2">
      <c r="A213">
        <v>5010904</v>
      </c>
      <c r="B213" t="s">
        <v>18</v>
      </c>
      <c r="C213" t="s">
        <v>19</v>
      </c>
      <c r="D213" t="s">
        <v>20</v>
      </c>
      <c r="E213">
        <v>1</v>
      </c>
      <c r="F213">
        <v>360000</v>
      </c>
      <c r="G213" t="s">
        <v>31</v>
      </c>
      <c r="H213" t="s">
        <v>27</v>
      </c>
      <c r="I213" t="s">
        <v>28</v>
      </c>
      <c r="J213" t="s">
        <v>24</v>
      </c>
      <c r="K213" s="6">
        <f t="shared" ca="1" si="20"/>
        <v>35205</v>
      </c>
      <c r="L213">
        <v>-10556</v>
      </c>
      <c r="M213" s="7">
        <f t="shared" ca="1" si="18"/>
        <v>28.90075290896646</v>
      </c>
      <c r="N213" s="5" t="str">
        <f ca="1">VLOOKUP(Data!M213,temp!$B$3:$C$9,2,1)</f>
        <v>20-30</v>
      </c>
      <c r="O213">
        <v>-1379</v>
      </c>
      <c r="P213" s="8">
        <f t="shared" si="19"/>
        <v>3.7754962354551678</v>
      </c>
      <c r="Q213" s="5" t="str">
        <f t="shared" si="21"/>
        <v>Employed</v>
      </c>
      <c r="R213">
        <v>1</v>
      </c>
      <c r="S213">
        <v>0</v>
      </c>
      <c r="T213">
        <v>0</v>
      </c>
      <c r="U213">
        <v>0</v>
      </c>
      <c r="V213" t="s">
        <v>32</v>
      </c>
      <c r="W213">
        <v>3</v>
      </c>
    </row>
    <row r="214" spans="1:23" x14ac:dyDescent="0.2">
      <c r="A214">
        <v>5010917</v>
      </c>
      <c r="B214" t="s">
        <v>25</v>
      </c>
      <c r="C214" t="s">
        <v>20</v>
      </c>
      <c r="D214" t="s">
        <v>20</v>
      </c>
      <c r="E214">
        <v>0</v>
      </c>
      <c r="F214">
        <v>243000</v>
      </c>
      <c r="G214" t="s">
        <v>26</v>
      </c>
      <c r="H214" t="s">
        <v>27</v>
      </c>
      <c r="I214" t="s">
        <v>28</v>
      </c>
      <c r="J214" t="s">
        <v>24</v>
      </c>
      <c r="K214" s="6">
        <f t="shared" ca="1" si="20"/>
        <v>32228</v>
      </c>
      <c r="L214">
        <v>-13533</v>
      </c>
      <c r="M214" s="7">
        <f t="shared" ca="1" si="18"/>
        <v>37.051334702258728</v>
      </c>
      <c r="N214" s="5" t="str">
        <f ca="1">VLOOKUP(Data!M214,temp!$B$3:$C$9,2,1)</f>
        <v>30-40</v>
      </c>
      <c r="O214">
        <v>-2535</v>
      </c>
      <c r="P214" s="8">
        <f t="shared" si="19"/>
        <v>6.9404517453798764</v>
      </c>
      <c r="Q214" s="5" t="str">
        <f t="shared" si="21"/>
        <v>Employed</v>
      </c>
      <c r="R214">
        <v>1</v>
      </c>
      <c r="S214">
        <v>0</v>
      </c>
      <c r="T214">
        <v>1</v>
      </c>
      <c r="U214">
        <v>0</v>
      </c>
      <c r="V214" t="s">
        <v>29</v>
      </c>
      <c r="W214">
        <v>2</v>
      </c>
    </row>
    <row r="215" spans="1:23" x14ac:dyDescent="0.2">
      <c r="A215">
        <v>5010918</v>
      </c>
      <c r="B215" t="s">
        <v>25</v>
      </c>
      <c r="C215" t="s">
        <v>20</v>
      </c>
      <c r="D215" t="s">
        <v>20</v>
      </c>
      <c r="E215">
        <v>0</v>
      </c>
      <c r="F215">
        <v>243000</v>
      </c>
      <c r="G215" t="s">
        <v>26</v>
      </c>
      <c r="H215" t="s">
        <v>27</v>
      </c>
      <c r="I215" t="s">
        <v>28</v>
      </c>
      <c r="J215" t="s">
        <v>24</v>
      </c>
      <c r="K215" s="6">
        <f t="shared" ca="1" si="20"/>
        <v>32228</v>
      </c>
      <c r="L215">
        <v>-13533</v>
      </c>
      <c r="M215" s="7">
        <f t="shared" ca="1" si="18"/>
        <v>37.051334702258728</v>
      </c>
      <c r="N215" s="5" t="str">
        <f ca="1">VLOOKUP(Data!M215,temp!$B$3:$C$9,2,1)</f>
        <v>30-40</v>
      </c>
      <c r="O215">
        <v>-2535</v>
      </c>
      <c r="P215" s="8">
        <f t="shared" si="19"/>
        <v>6.9404517453798764</v>
      </c>
      <c r="Q215" s="5" t="str">
        <f t="shared" si="21"/>
        <v>Employed</v>
      </c>
      <c r="R215">
        <v>1</v>
      </c>
      <c r="S215">
        <v>0</v>
      </c>
      <c r="T215">
        <v>1</v>
      </c>
      <c r="U215">
        <v>0</v>
      </c>
      <c r="V215" t="s">
        <v>29</v>
      </c>
      <c r="W215">
        <v>2</v>
      </c>
    </row>
    <row r="216" spans="1:23" x14ac:dyDescent="0.2">
      <c r="A216">
        <v>5010926</v>
      </c>
      <c r="B216" t="s">
        <v>18</v>
      </c>
      <c r="C216" t="s">
        <v>20</v>
      </c>
      <c r="D216" t="s">
        <v>20</v>
      </c>
      <c r="E216">
        <v>2</v>
      </c>
      <c r="F216">
        <v>270000</v>
      </c>
      <c r="G216" t="s">
        <v>31</v>
      </c>
      <c r="H216" t="s">
        <v>27</v>
      </c>
      <c r="I216" t="s">
        <v>37</v>
      </c>
      <c r="J216" t="s">
        <v>24</v>
      </c>
      <c r="K216" s="6">
        <f t="shared" ca="1" si="20"/>
        <v>33016</v>
      </c>
      <c r="L216">
        <v>-12745</v>
      </c>
      <c r="M216" s="7">
        <f t="shared" ca="1" si="18"/>
        <v>34.893908281998634</v>
      </c>
      <c r="N216" s="5" t="str">
        <f ca="1">VLOOKUP(Data!M216,temp!$B$3:$C$9,2,1)</f>
        <v>30-40</v>
      </c>
      <c r="O216">
        <v>-525</v>
      </c>
      <c r="P216" s="8">
        <f t="shared" si="19"/>
        <v>1.4373716632443532</v>
      </c>
      <c r="Q216" s="5" t="str">
        <f t="shared" si="21"/>
        <v>Employed</v>
      </c>
      <c r="R216">
        <v>1</v>
      </c>
      <c r="S216">
        <v>0</v>
      </c>
      <c r="T216">
        <v>0</v>
      </c>
      <c r="U216">
        <v>1</v>
      </c>
      <c r="V216" t="s">
        <v>38</v>
      </c>
      <c r="W216">
        <v>4</v>
      </c>
    </row>
    <row r="217" spans="1:23" x14ac:dyDescent="0.2">
      <c r="A217">
        <v>5010929</v>
      </c>
      <c r="B217" t="s">
        <v>18</v>
      </c>
      <c r="C217" t="s">
        <v>20</v>
      </c>
      <c r="D217" t="s">
        <v>20</v>
      </c>
      <c r="E217">
        <v>2</v>
      </c>
      <c r="F217">
        <v>270000</v>
      </c>
      <c r="G217" t="s">
        <v>31</v>
      </c>
      <c r="H217" t="s">
        <v>27</v>
      </c>
      <c r="I217" t="s">
        <v>37</v>
      </c>
      <c r="J217" t="s">
        <v>24</v>
      </c>
      <c r="K217" s="6">
        <f t="shared" ca="1" si="20"/>
        <v>33016</v>
      </c>
      <c r="L217">
        <v>-12745</v>
      </c>
      <c r="M217" s="7">
        <f t="shared" ca="1" si="18"/>
        <v>34.893908281998634</v>
      </c>
      <c r="N217" s="5" t="str">
        <f ca="1">VLOOKUP(Data!M217,temp!$B$3:$C$9,2,1)</f>
        <v>30-40</v>
      </c>
      <c r="O217">
        <v>-525</v>
      </c>
      <c r="P217" s="8">
        <f t="shared" si="19"/>
        <v>1.4373716632443532</v>
      </c>
      <c r="Q217" s="5" t="str">
        <f t="shared" si="21"/>
        <v>Employed</v>
      </c>
      <c r="R217">
        <v>1</v>
      </c>
      <c r="S217">
        <v>0</v>
      </c>
      <c r="T217">
        <v>0</v>
      </c>
      <c r="U217">
        <v>1</v>
      </c>
      <c r="V217" t="s">
        <v>38</v>
      </c>
      <c r="W217">
        <v>4</v>
      </c>
    </row>
    <row r="218" spans="1:23" x14ac:dyDescent="0.2">
      <c r="A218">
        <v>5010935</v>
      </c>
      <c r="B218" t="s">
        <v>18</v>
      </c>
      <c r="C218" t="s">
        <v>19</v>
      </c>
      <c r="D218" t="s">
        <v>19</v>
      </c>
      <c r="E218">
        <v>0</v>
      </c>
      <c r="F218">
        <v>135000</v>
      </c>
      <c r="G218" t="s">
        <v>31</v>
      </c>
      <c r="H218" t="s">
        <v>27</v>
      </c>
      <c r="I218" t="s">
        <v>33</v>
      </c>
      <c r="J218" t="s">
        <v>24</v>
      </c>
      <c r="K218" s="6">
        <f t="shared" ca="1" si="20"/>
        <v>28947</v>
      </c>
      <c r="L218">
        <v>-16814</v>
      </c>
      <c r="M218" s="7">
        <f t="shared" ca="1" si="18"/>
        <v>46.034223134839152</v>
      </c>
      <c r="N218" s="5" t="str">
        <f ca="1">VLOOKUP(Data!M218,temp!$B$3:$C$9,2,1)</f>
        <v>40-50</v>
      </c>
      <c r="O218">
        <v>-6614</v>
      </c>
      <c r="P218" s="8">
        <f t="shared" si="19"/>
        <v>18.108145106091719</v>
      </c>
      <c r="Q218" s="5" t="str">
        <f t="shared" si="21"/>
        <v>Employed</v>
      </c>
      <c r="R218">
        <v>1</v>
      </c>
      <c r="S218">
        <v>0</v>
      </c>
      <c r="T218">
        <v>0</v>
      </c>
      <c r="U218">
        <v>0</v>
      </c>
      <c r="W218">
        <v>1</v>
      </c>
    </row>
    <row r="219" spans="1:23" x14ac:dyDescent="0.2">
      <c r="A219">
        <v>5010954</v>
      </c>
      <c r="B219" t="s">
        <v>25</v>
      </c>
      <c r="C219" t="s">
        <v>20</v>
      </c>
      <c r="D219" t="s">
        <v>20</v>
      </c>
      <c r="E219">
        <v>0</v>
      </c>
      <c r="F219">
        <v>337500</v>
      </c>
      <c r="G219" t="s">
        <v>26</v>
      </c>
      <c r="H219" t="s">
        <v>27</v>
      </c>
      <c r="I219" t="s">
        <v>28</v>
      </c>
      <c r="J219" t="s">
        <v>24</v>
      </c>
      <c r="K219" s="6">
        <f t="shared" ca="1" si="20"/>
        <v>31028</v>
      </c>
      <c r="L219">
        <v>-14733</v>
      </c>
      <c r="M219" s="7">
        <f t="shared" ca="1" si="18"/>
        <v>40.336755646817245</v>
      </c>
      <c r="N219" s="5" t="str">
        <f ca="1">VLOOKUP(Data!M219,temp!$B$3:$C$9,2,1)</f>
        <v>40-50</v>
      </c>
      <c r="O219">
        <v>-1379</v>
      </c>
      <c r="P219" s="8">
        <f t="shared" si="19"/>
        <v>3.7754962354551678</v>
      </c>
      <c r="Q219" s="5" t="str">
        <f t="shared" si="21"/>
        <v>Employed</v>
      </c>
      <c r="R219">
        <v>1</v>
      </c>
      <c r="S219">
        <v>0</v>
      </c>
      <c r="T219">
        <v>0</v>
      </c>
      <c r="U219">
        <v>0</v>
      </c>
      <c r="V219" t="s">
        <v>39</v>
      </c>
      <c r="W219">
        <v>2</v>
      </c>
    </row>
    <row r="220" spans="1:23" x14ac:dyDescent="0.2">
      <c r="A220">
        <v>5010958</v>
      </c>
      <c r="B220" t="s">
        <v>25</v>
      </c>
      <c r="C220" t="s">
        <v>20</v>
      </c>
      <c r="D220" t="s">
        <v>20</v>
      </c>
      <c r="E220">
        <v>0</v>
      </c>
      <c r="F220">
        <v>337500</v>
      </c>
      <c r="G220" t="s">
        <v>26</v>
      </c>
      <c r="H220" t="s">
        <v>27</v>
      </c>
      <c r="I220" t="s">
        <v>28</v>
      </c>
      <c r="J220" t="s">
        <v>24</v>
      </c>
      <c r="K220" s="6">
        <f t="shared" ca="1" si="20"/>
        <v>31028</v>
      </c>
      <c r="L220">
        <v>-14733</v>
      </c>
      <c r="M220" s="7">
        <f t="shared" ca="1" si="18"/>
        <v>40.336755646817245</v>
      </c>
      <c r="N220" s="5" t="str">
        <f ca="1">VLOOKUP(Data!M220,temp!$B$3:$C$9,2,1)</f>
        <v>40-50</v>
      </c>
      <c r="O220">
        <v>-1379</v>
      </c>
      <c r="P220" s="8">
        <f t="shared" si="19"/>
        <v>3.7754962354551678</v>
      </c>
      <c r="Q220" s="5" t="str">
        <f t="shared" si="21"/>
        <v>Employed</v>
      </c>
      <c r="R220">
        <v>1</v>
      </c>
      <c r="S220">
        <v>0</v>
      </c>
      <c r="T220">
        <v>0</v>
      </c>
      <c r="U220">
        <v>0</v>
      </c>
      <c r="V220" t="s">
        <v>39</v>
      </c>
      <c r="W220">
        <v>2</v>
      </c>
    </row>
    <row r="221" spans="1:23" x14ac:dyDescent="0.2">
      <c r="A221">
        <v>5010960</v>
      </c>
      <c r="B221" t="s">
        <v>25</v>
      </c>
      <c r="C221" t="s">
        <v>20</v>
      </c>
      <c r="D221" t="s">
        <v>20</v>
      </c>
      <c r="E221">
        <v>0</v>
      </c>
      <c r="F221">
        <v>202500</v>
      </c>
      <c r="G221" t="s">
        <v>31</v>
      </c>
      <c r="H221" t="s">
        <v>27</v>
      </c>
      <c r="I221" t="s">
        <v>28</v>
      </c>
      <c r="J221" t="s">
        <v>24</v>
      </c>
      <c r="K221" s="6">
        <f t="shared" ca="1" si="20"/>
        <v>34256</v>
      </c>
      <c r="L221">
        <v>-11505</v>
      </c>
      <c r="M221" s="7">
        <f t="shared" ca="1" si="18"/>
        <v>31.498973305954827</v>
      </c>
      <c r="N221" s="5" t="str">
        <f ca="1">VLOOKUP(Data!M221,temp!$B$3:$C$9,2,1)</f>
        <v>30-40</v>
      </c>
      <c r="O221">
        <v>-1043</v>
      </c>
      <c r="P221" s="8">
        <f t="shared" si="19"/>
        <v>2.8555783709787819</v>
      </c>
      <c r="Q221" s="5" t="str">
        <f t="shared" si="21"/>
        <v>Employed</v>
      </c>
      <c r="R221">
        <v>1</v>
      </c>
      <c r="S221">
        <v>0</v>
      </c>
      <c r="T221">
        <v>0</v>
      </c>
      <c r="U221">
        <v>1</v>
      </c>
      <c r="V221" t="s">
        <v>29</v>
      </c>
      <c r="W221">
        <v>2</v>
      </c>
    </row>
    <row r="222" spans="1:23" x14ac:dyDescent="0.2">
      <c r="A222">
        <v>5010972</v>
      </c>
      <c r="B222" t="s">
        <v>18</v>
      </c>
      <c r="C222" t="s">
        <v>19</v>
      </c>
      <c r="D222" t="s">
        <v>20</v>
      </c>
      <c r="E222">
        <v>1</v>
      </c>
      <c r="F222">
        <v>135000</v>
      </c>
      <c r="G222" t="s">
        <v>26</v>
      </c>
      <c r="H222" t="s">
        <v>27</v>
      </c>
      <c r="I222" t="s">
        <v>28</v>
      </c>
      <c r="J222" t="s">
        <v>24</v>
      </c>
      <c r="K222" s="6">
        <f t="shared" ca="1" si="20"/>
        <v>32144</v>
      </c>
      <c r="L222">
        <v>-13617</v>
      </c>
      <c r="M222" s="7">
        <f t="shared" ca="1" si="18"/>
        <v>37.281314168377826</v>
      </c>
      <c r="N222" s="5" t="str">
        <f ca="1">VLOOKUP(Data!M222,temp!$B$3:$C$9,2,1)</f>
        <v>30-40</v>
      </c>
      <c r="O222">
        <v>-2748</v>
      </c>
      <c r="P222" s="8">
        <f t="shared" si="19"/>
        <v>7.523613963039014</v>
      </c>
      <c r="Q222" s="5" t="str">
        <f t="shared" si="21"/>
        <v>Employed</v>
      </c>
      <c r="R222">
        <v>1</v>
      </c>
      <c r="S222">
        <v>0</v>
      </c>
      <c r="T222">
        <v>0</v>
      </c>
      <c r="U222">
        <v>0</v>
      </c>
      <c r="V222" t="s">
        <v>54</v>
      </c>
      <c r="W222">
        <v>3</v>
      </c>
    </row>
    <row r="223" spans="1:23" x14ac:dyDescent="0.2">
      <c r="A223">
        <v>5010989</v>
      </c>
      <c r="B223" t="s">
        <v>18</v>
      </c>
      <c r="C223" t="s">
        <v>19</v>
      </c>
      <c r="D223" t="s">
        <v>20</v>
      </c>
      <c r="E223">
        <v>0</v>
      </c>
      <c r="F223">
        <v>121500</v>
      </c>
      <c r="G223" t="s">
        <v>26</v>
      </c>
      <c r="H223" t="s">
        <v>22</v>
      </c>
      <c r="I223" t="s">
        <v>33</v>
      </c>
      <c r="J223" t="s">
        <v>34</v>
      </c>
      <c r="K223" s="6">
        <f t="shared" ca="1" si="20"/>
        <v>34643</v>
      </c>
      <c r="L223">
        <v>-11118</v>
      </c>
      <c r="M223" s="7">
        <f t="shared" ca="1" si="18"/>
        <v>30.439425051334702</v>
      </c>
      <c r="N223" s="5" t="str">
        <f ca="1">VLOOKUP(Data!M223,temp!$B$3:$C$9,2,1)</f>
        <v>30-40</v>
      </c>
      <c r="O223">
        <v>-3873</v>
      </c>
      <c r="P223" s="8">
        <f t="shared" si="19"/>
        <v>10.603696098562628</v>
      </c>
      <c r="Q223" s="5" t="str">
        <f t="shared" si="21"/>
        <v>Employed</v>
      </c>
      <c r="R223">
        <v>1</v>
      </c>
      <c r="S223">
        <v>1</v>
      </c>
      <c r="T223">
        <v>0</v>
      </c>
      <c r="U223">
        <v>0</v>
      </c>
      <c r="V223" t="s">
        <v>39</v>
      </c>
      <c r="W223">
        <v>1</v>
      </c>
    </row>
    <row r="224" spans="1:23" x14ac:dyDescent="0.2">
      <c r="A224">
        <v>5011002</v>
      </c>
      <c r="B224" t="s">
        <v>18</v>
      </c>
      <c r="C224" t="s">
        <v>20</v>
      </c>
      <c r="D224" t="s">
        <v>20</v>
      </c>
      <c r="E224">
        <v>0</v>
      </c>
      <c r="F224">
        <v>157500</v>
      </c>
      <c r="G224" t="s">
        <v>31</v>
      </c>
      <c r="H224" t="s">
        <v>27</v>
      </c>
      <c r="I224" t="s">
        <v>28</v>
      </c>
      <c r="J224" t="s">
        <v>24</v>
      </c>
      <c r="K224" s="6">
        <f t="shared" ca="1" si="20"/>
        <v>35024</v>
      </c>
      <c r="L224">
        <v>-10737</v>
      </c>
      <c r="M224" s="7">
        <f t="shared" ca="1" si="18"/>
        <v>29.396303901437371</v>
      </c>
      <c r="N224" s="5" t="str">
        <f ca="1">VLOOKUP(Data!M224,temp!$B$3:$C$9,2,1)</f>
        <v>20-30</v>
      </c>
      <c r="O224">
        <v>-2078</v>
      </c>
      <c r="P224" s="8">
        <f t="shared" si="19"/>
        <v>5.6892539356605063</v>
      </c>
      <c r="Q224" s="5" t="str">
        <f t="shared" si="21"/>
        <v>Employed</v>
      </c>
      <c r="R224">
        <v>1</v>
      </c>
      <c r="S224">
        <v>0</v>
      </c>
      <c r="T224">
        <v>0</v>
      </c>
      <c r="U224">
        <v>1</v>
      </c>
      <c r="V224" t="s">
        <v>39</v>
      </c>
      <c r="W224">
        <v>2</v>
      </c>
    </row>
    <row r="225" spans="1:23" x14ac:dyDescent="0.2">
      <c r="A225">
        <v>5011010</v>
      </c>
      <c r="B225" t="s">
        <v>18</v>
      </c>
      <c r="C225" t="s">
        <v>20</v>
      </c>
      <c r="D225" t="s">
        <v>20</v>
      </c>
      <c r="E225">
        <v>0</v>
      </c>
      <c r="F225">
        <v>157500</v>
      </c>
      <c r="G225" t="s">
        <v>31</v>
      </c>
      <c r="H225" t="s">
        <v>27</v>
      </c>
      <c r="I225" t="s">
        <v>28</v>
      </c>
      <c r="J225" t="s">
        <v>24</v>
      </c>
      <c r="K225" s="6">
        <f t="shared" ca="1" si="20"/>
        <v>35024</v>
      </c>
      <c r="L225">
        <v>-10737</v>
      </c>
      <c r="M225" s="7">
        <f t="shared" ca="1" si="18"/>
        <v>29.396303901437371</v>
      </c>
      <c r="N225" s="5" t="str">
        <f ca="1">VLOOKUP(Data!M225,temp!$B$3:$C$9,2,1)</f>
        <v>20-30</v>
      </c>
      <c r="O225">
        <v>-2078</v>
      </c>
      <c r="P225" s="8">
        <f t="shared" si="19"/>
        <v>5.6892539356605063</v>
      </c>
      <c r="Q225" s="5" t="str">
        <f t="shared" si="21"/>
        <v>Employed</v>
      </c>
      <c r="R225">
        <v>1</v>
      </c>
      <c r="S225">
        <v>0</v>
      </c>
      <c r="T225">
        <v>0</v>
      </c>
      <c r="U225">
        <v>1</v>
      </c>
      <c r="V225" t="s">
        <v>39</v>
      </c>
      <c r="W225">
        <v>2</v>
      </c>
    </row>
    <row r="226" spans="1:23" x14ac:dyDescent="0.2">
      <c r="A226">
        <v>5011012</v>
      </c>
      <c r="B226" t="s">
        <v>18</v>
      </c>
      <c r="C226" t="s">
        <v>20</v>
      </c>
      <c r="D226" t="s">
        <v>20</v>
      </c>
      <c r="E226">
        <v>0</v>
      </c>
      <c r="F226">
        <v>135000</v>
      </c>
      <c r="G226" t="s">
        <v>31</v>
      </c>
      <c r="H226" t="s">
        <v>27</v>
      </c>
      <c r="I226" t="s">
        <v>28</v>
      </c>
      <c r="J226" t="s">
        <v>24</v>
      </c>
      <c r="K226" s="6">
        <f t="shared" ca="1" si="20"/>
        <v>33740</v>
      </c>
      <c r="L226">
        <v>-12021</v>
      </c>
      <c r="M226" s="7">
        <f t="shared" ca="1" si="18"/>
        <v>32.911704312114992</v>
      </c>
      <c r="N226" s="5" t="str">
        <f ca="1">VLOOKUP(Data!M226,temp!$B$3:$C$9,2,1)</f>
        <v>30-40</v>
      </c>
      <c r="O226">
        <v>-130</v>
      </c>
      <c r="P226" s="8">
        <f t="shared" si="19"/>
        <v>0.35592060232717315</v>
      </c>
      <c r="Q226" s="5" t="str">
        <f t="shared" si="21"/>
        <v>Employed</v>
      </c>
      <c r="R226">
        <v>1</v>
      </c>
      <c r="S226">
        <v>0</v>
      </c>
      <c r="T226">
        <v>1</v>
      </c>
      <c r="U226">
        <v>1</v>
      </c>
      <c r="V226" t="s">
        <v>39</v>
      </c>
      <c r="W226">
        <v>2</v>
      </c>
    </row>
    <row r="227" spans="1:23" x14ac:dyDescent="0.2">
      <c r="A227">
        <v>5011024</v>
      </c>
      <c r="B227" t="s">
        <v>25</v>
      </c>
      <c r="C227" t="s">
        <v>20</v>
      </c>
      <c r="D227" t="s">
        <v>20</v>
      </c>
      <c r="E227">
        <v>2</v>
      </c>
      <c r="F227">
        <v>99000</v>
      </c>
      <c r="G227" t="s">
        <v>35</v>
      </c>
      <c r="H227" t="s">
        <v>27</v>
      </c>
      <c r="I227" t="s">
        <v>28</v>
      </c>
      <c r="J227" t="s">
        <v>41</v>
      </c>
      <c r="K227" s="6">
        <f t="shared" ca="1" si="20"/>
        <v>29203</v>
      </c>
      <c r="L227">
        <v>-16558</v>
      </c>
      <c r="M227" s="7">
        <f t="shared" ca="1" si="18"/>
        <v>45.333333333333336</v>
      </c>
      <c r="N227" s="5" t="str">
        <f ca="1">VLOOKUP(Data!M227,temp!$B$3:$C$9,2,1)</f>
        <v>40-50</v>
      </c>
      <c r="O227">
        <v>-3235</v>
      </c>
      <c r="P227" s="8">
        <f t="shared" si="19"/>
        <v>8.856947296372347</v>
      </c>
      <c r="Q227" s="5" t="str">
        <f t="shared" si="21"/>
        <v>Employed</v>
      </c>
      <c r="R227">
        <v>1</v>
      </c>
      <c r="S227">
        <v>0</v>
      </c>
      <c r="T227">
        <v>0</v>
      </c>
      <c r="U227">
        <v>0</v>
      </c>
      <c r="V227" t="s">
        <v>30</v>
      </c>
      <c r="W227">
        <v>4</v>
      </c>
    </row>
    <row r="228" spans="1:23" x14ac:dyDescent="0.2">
      <c r="A228">
        <v>5011029</v>
      </c>
      <c r="B228" t="s">
        <v>18</v>
      </c>
      <c r="C228" t="s">
        <v>19</v>
      </c>
      <c r="D228" t="s">
        <v>20</v>
      </c>
      <c r="E228">
        <v>0</v>
      </c>
      <c r="F228">
        <v>292500</v>
      </c>
      <c r="G228" t="s">
        <v>31</v>
      </c>
      <c r="H228" t="s">
        <v>27</v>
      </c>
      <c r="I228" t="s">
        <v>37</v>
      </c>
      <c r="J228" t="s">
        <v>24</v>
      </c>
      <c r="K228" s="6">
        <f t="shared" ca="1" si="20"/>
        <v>29173</v>
      </c>
      <c r="L228">
        <v>-16588</v>
      </c>
      <c r="M228" s="7">
        <f t="shared" ca="1" si="18"/>
        <v>45.4154688569473</v>
      </c>
      <c r="N228" s="5" t="str">
        <f ca="1">VLOOKUP(Data!M228,temp!$B$3:$C$9,2,1)</f>
        <v>40-50</v>
      </c>
      <c r="O228">
        <v>-1013</v>
      </c>
      <c r="P228" s="8">
        <f t="shared" si="19"/>
        <v>2.7734428473648185</v>
      </c>
      <c r="Q228" s="5" t="str">
        <f t="shared" si="21"/>
        <v>Employed</v>
      </c>
      <c r="R228">
        <v>1</v>
      </c>
      <c r="S228">
        <v>0</v>
      </c>
      <c r="T228">
        <v>0</v>
      </c>
      <c r="U228">
        <v>1</v>
      </c>
      <c r="V228" t="s">
        <v>39</v>
      </c>
      <c r="W228">
        <v>2</v>
      </c>
    </row>
    <row r="229" spans="1:23" x14ac:dyDescent="0.2">
      <c r="A229">
        <v>5011036</v>
      </c>
      <c r="B229" t="s">
        <v>18</v>
      </c>
      <c r="C229" t="s">
        <v>19</v>
      </c>
      <c r="D229" t="s">
        <v>20</v>
      </c>
      <c r="E229">
        <v>0</v>
      </c>
      <c r="F229">
        <v>315000</v>
      </c>
      <c r="G229" t="s">
        <v>21</v>
      </c>
      <c r="H229" t="s">
        <v>27</v>
      </c>
      <c r="I229" t="s">
        <v>28</v>
      </c>
      <c r="J229" t="s">
        <v>45</v>
      </c>
      <c r="K229" s="6">
        <f t="shared" ca="1" si="20"/>
        <v>25463</v>
      </c>
      <c r="L229">
        <v>-20298</v>
      </c>
      <c r="M229" s="7">
        <f t="shared" ca="1" si="18"/>
        <v>55.572895277207394</v>
      </c>
      <c r="N229" s="5" t="str">
        <f ca="1">VLOOKUP(Data!M229,temp!$B$3:$C$9,2,1)</f>
        <v>50-60</v>
      </c>
      <c r="O229">
        <v>365243</v>
      </c>
      <c r="P229" s="8">
        <f t="shared" si="19"/>
        <v>0</v>
      </c>
      <c r="Q229" s="5" t="str">
        <f t="shared" si="21"/>
        <v>Unemployed</v>
      </c>
      <c r="R229">
        <v>1</v>
      </c>
      <c r="S229">
        <v>0</v>
      </c>
      <c r="T229">
        <v>0</v>
      </c>
      <c r="U229">
        <v>0</v>
      </c>
      <c r="W229">
        <v>2</v>
      </c>
    </row>
    <row r="230" spans="1:23" x14ac:dyDescent="0.2">
      <c r="A230">
        <v>5011043</v>
      </c>
      <c r="B230" t="s">
        <v>18</v>
      </c>
      <c r="C230" t="s">
        <v>19</v>
      </c>
      <c r="D230" t="s">
        <v>20</v>
      </c>
      <c r="E230">
        <v>0</v>
      </c>
      <c r="F230">
        <v>315000</v>
      </c>
      <c r="G230" t="s">
        <v>21</v>
      </c>
      <c r="H230" t="s">
        <v>27</v>
      </c>
      <c r="I230" t="s">
        <v>28</v>
      </c>
      <c r="J230" t="s">
        <v>45</v>
      </c>
      <c r="K230" s="6">
        <f t="shared" ca="1" si="20"/>
        <v>25463</v>
      </c>
      <c r="L230">
        <v>-20298</v>
      </c>
      <c r="M230" s="7">
        <f t="shared" ca="1" si="18"/>
        <v>55.572895277207394</v>
      </c>
      <c r="N230" s="5" t="str">
        <f ca="1">VLOOKUP(Data!M230,temp!$B$3:$C$9,2,1)</f>
        <v>50-60</v>
      </c>
      <c r="O230">
        <v>365243</v>
      </c>
      <c r="P230" s="8">
        <f t="shared" si="19"/>
        <v>0</v>
      </c>
      <c r="Q230" s="5" t="str">
        <f t="shared" si="21"/>
        <v>Unemployed</v>
      </c>
      <c r="R230">
        <v>1</v>
      </c>
      <c r="S230">
        <v>0</v>
      </c>
      <c r="T230">
        <v>0</v>
      </c>
      <c r="U230">
        <v>0</v>
      </c>
      <c r="W230">
        <v>2</v>
      </c>
    </row>
    <row r="231" spans="1:23" x14ac:dyDescent="0.2">
      <c r="A231">
        <v>5018414</v>
      </c>
      <c r="B231" t="s">
        <v>18</v>
      </c>
      <c r="C231" t="s">
        <v>19</v>
      </c>
      <c r="D231" t="s">
        <v>20</v>
      </c>
      <c r="E231">
        <v>1</v>
      </c>
      <c r="F231">
        <v>33300</v>
      </c>
      <c r="G231" t="s">
        <v>21</v>
      </c>
      <c r="H231" t="s">
        <v>27</v>
      </c>
      <c r="I231" t="s">
        <v>28</v>
      </c>
      <c r="J231" t="s">
        <v>24</v>
      </c>
      <c r="K231" s="6">
        <f t="shared" ca="1" si="20"/>
        <v>22977</v>
      </c>
      <c r="L231">
        <v>-22784</v>
      </c>
      <c r="M231" s="7">
        <f t="shared" ca="1" si="18"/>
        <v>62.379192334017795</v>
      </c>
      <c r="N231" s="5" t="str">
        <f ca="1">VLOOKUP(Data!M231,temp!$B$3:$C$9,2,1)</f>
        <v>60-70</v>
      </c>
      <c r="O231">
        <v>365243</v>
      </c>
      <c r="P231" s="8">
        <f t="shared" si="19"/>
        <v>0</v>
      </c>
      <c r="Q231" s="5" t="str">
        <f t="shared" si="21"/>
        <v>Unemployed</v>
      </c>
      <c r="R231">
        <v>1</v>
      </c>
      <c r="S231">
        <v>0</v>
      </c>
      <c r="T231">
        <v>0</v>
      </c>
      <c r="U231">
        <v>0</v>
      </c>
      <c r="W231">
        <v>3</v>
      </c>
    </row>
    <row r="232" spans="1:23" x14ac:dyDescent="0.2">
      <c r="A232">
        <v>5018419</v>
      </c>
      <c r="B232" t="s">
        <v>18</v>
      </c>
      <c r="C232" t="s">
        <v>19</v>
      </c>
      <c r="D232" t="s">
        <v>20</v>
      </c>
      <c r="E232">
        <v>0</v>
      </c>
      <c r="F232">
        <v>135000</v>
      </c>
      <c r="G232" t="s">
        <v>26</v>
      </c>
      <c r="H232" t="s">
        <v>27</v>
      </c>
      <c r="I232" t="s">
        <v>28</v>
      </c>
      <c r="J232" t="s">
        <v>24</v>
      </c>
      <c r="K232" s="6">
        <f t="shared" ca="1" si="20"/>
        <v>27347</v>
      </c>
      <c r="L232">
        <v>-18414</v>
      </c>
      <c r="M232" s="7">
        <f t="shared" ca="1" si="18"/>
        <v>50.414784394250511</v>
      </c>
      <c r="N232" s="5" t="str">
        <f ca="1">VLOOKUP(Data!M232,temp!$B$3:$C$9,2,1)</f>
        <v>50-60</v>
      </c>
      <c r="O232">
        <v>-5203</v>
      </c>
      <c r="P232" s="8">
        <f t="shared" si="19"/>
        <v>14.245037645448322</v>
      </c>
      <c r="Q232" s="5" t="str">
        <f t="shared" si="21"/>
        <v>Employed</v>
      </c>
      <c r="R232">
        <v>1</v>
      </c>
      <c r="S232">
        <v>0</v>
      </c>
      <c r="T232">
        <v>0</v>
      </c>
      <c r="U232">
        <v>0</v>
      </c>
      <c r="V232" t="s">
        <v>39</v>
      </c>
      <c r="W232">
        <v>2</v>
      </c>
    </row>
    <row r="233" spans="1:23" x14ac:dyDescent="0.2">
      <c r="A233">
        <v>5018423</v>
      </c>
      <c r="B233" t="s">
        <v>18</v>
      </c>
      <c r="C233" t="s">
        <v>19</v>
      </c>
      <c r="D233" t="s">
        <v>20</v>
      </c>
      <c r="E233">
        <v>0</v>
      </c>
      <c r="F233">
        <v>202500</v>
      </c>
      <c r="G233" t="s">
        <v>26</v>
      </c>
      <c r="H233" t="s">
        <v>27</v>
      </c>
      <c r="I233" t="s">
        <v>28</v>
      </c>
      <c r="J233" t="s">
        <v>45</v>
      </c>
      <c r="K233" s="6">
        <f t="shared" ca="1" si="20"/>
        <v>26944</v>
      </c>
      <c r="L233">
        <v>-18817</v>
      </c>
      <c r="M233" s="7">
        <f t="shared" ca="1" si="18"/>
        <v>51.518138261464749</v>
      </c>
      <c r="N233" s="5" t="str">
        <f ca="1">VLOOKUP(Data!M233,temp!$B$3:$C$9,2,1)</f>
        <v>50-60</v>
      </c>
      <c r="O233">
        <v>-1094</v>
      </c>
      <c r="P233" s="8">
        <f t="shared" si="19"/>
        <v>2.9952087611225187</v>
      </c>
      <c r="Q233" s="5" t="str">
        <f t="shared" si="21"/>
        <v>Employed</v>
      </c>
      <c r="R233">
        <v>1</v>
      </c>
      <c r="S233">
        <v>0</v>
      </c>
      <c r="T233">
        <v>0</v>
      </c>
      <c r="U233">
        <v>0</v>
      </c>
      <c r="V233" t="s">
        <v>29</v>
      </c>
      <c r="W233">
        <v>2</v>
      </c>
    </row>
    <row r="234" spans="1:23" x14ac:dyDescent="0.2">
      <c r="A234">
        <v>5018425</v>
      </c>
      <c r="B234" t="s">
        <v>18</v>
      </c>
      <c r="C234" t="s">
        <v>19</v>
      </c>
      <c r="D234" t="s">
        <v>20</v>
      </c>
      <c r="E234">
        <v>0</v>
      </c>
      <c r="F234">
        <v>202500</v>
      </c>
      <c r="G234" t="s">
        <v>26</v>
      </c>
      <c r="H234" t="s">
        <v>27</v>
      </c>
      <c r="I234" t="s">
        <v>28</v>
      </c>
      <c r="J234" t="s">
        <v>45</v>
      </c>
      <c r="K234" s="6">
        <f t="shared" ca="1" si="20"/>
        <v>26944</v>
      </c>
      <c r="L234">
        <v>-18817</v>
      </c>
      <c r="M234" s="7">
        <f t="shared" ca="1" si="18"/>
        <v>51.518138261464749</v>
      </c>
      <c r="N234" s="5" t="str">
        <f ca="1">VLOOKUP(Data!M234,temp!$B$3:$C$9,2,1)</f>
        <v>50-60</v>
      </c>
      <c r="O234">
        <v>-1094</v>
      </c>
      <c r="P234" s="8">
        <f t="shared" si="19"/>
        <v>2.9952087611225187</v>
      </c>
      <c r="Q234" s="5" t="str">
        <f t="shared" si="21"/>
        <v>Employed</v>
      </c>
      <c r="R234">
        <v>1</v>
      </c>
      <c r="S234">
        <v>0</v>
      </c>
      <c r="T234">
        <v>0</v>
      </c>
      <c r="U234">
        <v>0</v>
      </c>
      <c r="V234" t="s">
        <v>29</v>
      </c>
      <c r="W234">
        <v>2</v>
      </c>
    </row>
    <row r="235" spans="1:23" x14ac:dyDescent="0.2">
      <c r="A235">
        <v>5018439</v>
      </c>
      <c r="B235" t="s">
        <v>18</v>
      </c>
      <c r="C235" t="s">
        <v>19</v>
      </c>
      <c r="D235" t="s">
        <v>20</v>
      </c>
      <c r="E235">
        <v>0</v>
      </c>
      <c r="F235">
        <v>202500</v>
      </c>
      <c r="G235" t="s">
        <v>31</v>
      </c>
      <c r="H235" t="s">
        <v>27</v>
      </c>
      <c r="I235" t="s">
        <v>42</v>
      </c>
      <c r="J235" t="s">
        <v>24</v>
      </c>
      <c r="K235" s="6">
        <f t="shared" ca="1" si="20"/>
        <v>25534</v>
      </c>
      <c r="L235">
        <v>-20227</v>
      </c>
      <c r="M235" s="7">
        <f t="shared" ca="1" si="18"/>
        <v>55.378507871321013</v>
      </c>
      <c r="N235" s="5" t="str">
        <f ca="1">VLOOKUP(Data!M235,temp!$B$3:$C$9,2,1)</f>
        <v>50-60</v>
      </c>
      <c r="O235">
        <v>-5416</v>
      </c>
      <c r="P235" s="8">
        <f t="shared" si="19"/>
        <v>14.828199863107461</v>
      </c>
      <c r="Q235" s="5" t="str">
        <f t="shared" si="21"/>
        <v>Employed</v>
      </c>
      <c r="R235">
        <v>1</v>
      </c>
      <c r="S235">
        <v>0</v>
      </c>
      <c r="T235">
        <v>0</v>
      </c>
      <c r="U235">
        <v>0</v>
      </c>
      <c r="V235" t="s">
        <v>38</v>
      </c>
      <c r="W235">
        <v>1</v>
      </c>
    </row>
    <row r="236" spans="1:23" x14ac:dyDescent="0.2">
      <c r="A236">
        <v>5018450</v>
      </c>
      <c r="B236" t="s">
        <v>18</v>
      </c>
      <c r="C236" t="s">
        <v>19</v>
      </c>
      <c r="D236" t="s">
        <v>20</v>
      </c>
      <c r="E236">
        <v>1</v>
      </c>
      <c r="F236">
        <v>675000</v>
      </c>
      <c r="G236" t="s">
        <v>26</v>
      </c>
      <c r="H236" t="s">
        <v>22</v>
      </c>
      <c r="I236" t="s">
        <v>28</v>
      </c>
      <c r="J236" t="s">
        <v>24</v>
      </c>
      <c r="K236" s="6">
        <f t="shared" ca="1" si="20"/>
        <v>29918</v>
      </c>
      <c r="L236">
        <v>-15843</v>
      </c>
      <c r="M236" s="7">
        <f t="shared" ca="1" si="18"/>
        <v>43.375770020533878</v>
      </c>
      <c r="N236" s="5" t="str">
        <f ca="1">VLOOKUP(Data!M236,temp!$B$3:$C$9,2,1)</f>
        <v>40-50</v>
      </c>
      <c r="O236">
        <v>-1398</v>
      </c>
      <c r="P236" s="8">
        <f t="shared" si="19"/>
        <v>3.8275154004106775</v>
      </c>
      <c r="Q236" s="5" t="str">
        <f t="shared" si="21"/>
        <v>Employed</v>
      </c>
      <c r="R236">
        <v>1</v>
      </c>
      <c r="S236">
        <v>0</v>
      </c>
      <c r="T236">
        <v>1</v>
      </c>
      <c r="U236">
        <v>0</v>
      </c>
      <c r="V236" t="s">
        <v>39</v>
      </c>
      <c r="W236">
        <v>3</v>
      </c>
    </row>
    <row r="237" spans="1:23" x14ac:dyDescent="0.2">
      <c r="A237">
        <v>5018466</v>
      </c>
      <c r="B237" t="s">
        <v>18</v>
      </c>
      <c r="C237" t="s">
        <v>19</v>
      </c>
      <c r="D237" t="s">
        <v>20</v>
      </c>
      <c r="E237">
        <v>1</v>
      </c>
      <c r="F237">
        <v>166500</v>
      </c>
      <c r="G237" t="s">
        <v>31</v>
      </c>
      <c r="H237" t="s">
        <v>27</v>
      </c>
      <c r="I237" t="s">
        <v>28</v>
      </c>
      <c r="J237" t="s">
        <v>24</v>
      </c>
      <c r="K237" s="6">
        <f t="shared" ca="1" si="20"/>
        <v>25553</v>
      </c>
      <c r="L237">
        <v>-20208</v>
      </c>
      <c r="M237" s="7">
        <f t="shared" ca="1" si="18"/>
        <v>55.326488706365502</v>
      </c>
      <c r="N237" s="5" t="str">
        <f ca="1">VLOOKUP(Data!M237,temp!$B$3:$C$9,2,1)</f>
        <v>50-60</v>
      </c>
      <c r="O237">
        <v>-8033</v>
      </c>
      <c r="P237" s="8">
        <f t="shared" si="19"/>
        <v>21.99315537303217</v>
      </c>
      <c r="Q237" s="5" t="str">
        <f t="shared" si="21"/>
        <v>Employed</v>
      </c>
      <c r="R237">
        <v>1</v>
      </c>
      <c r="S237">
        <v>0</v>
      </c>
      <c r="T237">
        <v>1</v>
      </c>
      <c r="U237">
        <v>0</v>
      </c>
      <c r="W237">
        <v>3</v>
      </c>
    </row>
    <row r="238" spans="1:23" x14ac:dyDescent="0.2">
      <c r="A238">
        <v>5018481</v>
      </c>
      <c r="B238" t="s">
        <v>18</v>
      </c>
      <c r="C238" t="s">
        <v>19</v>
      </c>
      <c r="D238" t="s">
        <v>20</v>
      </c>
      <c r="E238">
        <v>0</v>
      </c>
      <c r="F238">
        <v>90000</v>
      </c>
      <c r="G238" t="s">
        <v>21</v>
      </c>
      <c r="H238" t="s">
        <v>51</v>
      </c>
      <c r="I238" t="s">
        <v>28</v>
      </c>
      <c r="J238" t="s">
        <v>24</v>
      </c>
      <c r="K238" s="6">
        <f t="shared" ca="1" si="20"/>
        <v>23442</v>
      </c>
      <c r="L238">
        <v>-22319</v>
      </c>
      <c r="M238" s="7">
        <f t="shared" ca="1" si="18"/>
        <v>61.106091718001366</v>
      </c>
      <c r="N238" s="5" t="str">
        <f ca="1">VLOOKUP(Data!M238,temp!$B$3:$C$9,2,1)</f>
        <v>60-70</v>
      </c>
      <c r="O238">
        <v>365243</v>
      </c>
      <c r="P238" s="8">
        <f t="shared" si="19"/>
        <v>0</v>
      </c>
      <c r="Q238" s="5" t="str">
        <f t="shared" si="21"/>
        <v>Unemployed</v>
      </c>
      <c r="R238">
        <v>1</v>
      </c>
      <c r="S238">
        <v>0</v>
      </c>
      <c r="T238">
        <v>1</v>
      </c>
      <c r="U238">
        <v>0</v>
      </c>
      <c r="W238">
        <v>2</v>
      </c>
    </row>
    <row r="239" spans="1:23" x14ac:dyDescent="0.2">
      <c r="A239">
        <v>5018482</v>
      </c>
      <c r="B239" t="s">
        <v>18</v>
      </c>
      <c r="C239" t="s">
        <v>19</v>
      </c>
      <c r="D239" t="s">
        <v>20</v>
      </c>
      <c r="E239">
        <v>0</v>
      </c>
      <c r="F239">
        <v>90000</v>
      </c>
      <c r="G239" t="s">
        <v>21</v>
      </c>
      <c r="H239" t="s">
        <v>51</v>
      </c>
      <c r="I239" t="s">
        <v>28</v>
      </c>
      <c r="J239" t="s">
        <v>24</v>
      </c>
      <c r="K239" s="6">
        <f t="shared" ca="1" si="20"/>
        <v>23442</v>
      </c>
      <c r="L239">
        <v>-22319</v>
      </c>
      <c r="M239" s="7">
        <f t="shared" ca="1" si="18"/>
        <v>61.106091718001366</v>
      </c>
      <c r="N239" s="5" t="str">
        <f ca="1">VLOOKUP(Data!M239,temp!$B$3:$C$9,2,1)</f>
        <v>60-70</v>
      </c>
      <c r="O239">
        <v>365243</v>
      </c>
      <c r="P239" s="8">
        <f t="shared" si="19"/>
        <v>0</v>
      </c>
      <c r="Q239" s="5" t="str">
        <f t="shared" si="21"/>
        <v>Unemployed</v>
      </c>
      <c r="R239">
        <v>1</v>
      </c>
      <c r="S239">
        <v>0</v>
      </c>
      <c r="T239">
        <v>1</v>
      </c>
      <c r="U239">
        <v>0</v>
      </c>
      <c r="W239">
        <v>2</v>
      </c>
    </row>
    <row r="240" spans="1:23" x14ac:dyDescent="0.2">
      <c r="A240">
        <v>5018501</v>
      </c>
      <c r="B240" t="s">
        <v>18</v>
      </c>
      <c r="C240" t="s">
        <v>20</v>
      </c>
      <c r="D240" t="s">
        <v>20</v>
      </c>
      <c r="E240">
        <v>0</v>
      </c>
      <c r="F240">
        <v>90000</v>
      </c>
      <c r="G240" t="s">
        <v>31</v>
      </c>
      <c r="H240" t="s">
        <v>27</v>
      </c>
      <c r="I240" t="s">
        <v>28</v>
      </c>
      <c r="J240" t="s">
        <v>24</v>
      </c>
      <c r="K240" s="6">
        <f t="shared" ca="1" si="20"/>
        <v>26811</v>
      </c>
      <c r="L240">
        <v>-18950</v>
      </c>
      <c r="M240" s="7">
        <f t="shared" ca="1" si="18"/>
        <v>51.88227241615332</v>
      </c>
      <c r="N240" s="5" t="str">
        <f ca="1">VLOOKUP(Data!M240,temp!$B$3:$C$9,2,1)</f>
        <v>50-60</v>
      </c>
      <c r="O240">
        <v>-1002</v>
      </c>
      <c r="P240" s="8">
        <f t="shared" si="19"/>
        <v>2.7433264887063653</v>
      </c>
      <c r="Q240" s="5" t="str">
        <f t="shared" si="21"/>
        <v>Employed</v>
      </c>
      <c r="R240">
        <v>1</v>
      </c>
      <c r="S240">
        <v>1</v>
      </c>
      <c r="T240">
        <v>1</v>
      </c>
      <c r="U240">
        <v>0</v>
      </c>
      <c r="V240" t="s">
        <v>55</v>
      </c>
      <c r="W240">
        <v>2</v>
      </c>
    </row>
    <row r="241" spans="1:23" x14ac:dyDescent="0.2">
      <c r="A241">
        <v>5018502</v>
      </c>
      <c r="B241" t="s">
        <v>18</v>
      </c>
      <c r="C241" t="s">
        <v>20</v>
      </c>
      <c r="D241" t="s">
        <v>20</v>
      </c>
      <c r="E241">
        <v>0</v>
      </c>
      <c r="F241">
        <v>90000</v>
      </c>
      <c r="G241" t="s">
        <v>31</v>
      </c>
      <c r="H241" t="s">
        <v>27</v>
      </c>
      <c r="I241" t="s">
        <v>28</v>
      </c>
      <c r="J241" t="s">
        <v>24</v>
      </c>
      <c r="K241" s="6">
        <f t="shared" ca="1" si="20"/>
        <v>26811</v>
      </c>
      <c r="L241">
        <v>-18950</v>
      </c>
      <c r="M241" s="7">
        <f t="shared" ca="1" si="18"/>
        <v>51.88227241615332</v>
      </c>
      <c r="N241" s="5" t="str">
        <f ca="1">VLOOKUP(Data!M241,temp!$B$3:$C$9,2,1)</f>
        <v>50-60</v>
      </c>
      <c r="O241">
        <v>-1002</v>
      </c>
      <c r="P241" s="8">
        <f t="shared" si="19"/>
        <v>2.7433264887063653</v>
      </c>
      <c r="Q241" s="5" t="str">
        <f t="shared" si="21"/>
        <v>Employed</v>
      </c>
      <c r="R241">
        <v>1</v>
      </c>
      <c r="S241">
        <v>1</v>
      </c>
      <c r="T241">
        <v>1</v>
      </c>
      <c r="U241">
        <v>0</v>
      </c>
      <c r="V241" t="s">
        <v>55</v>
      </c>
      <c r="W241">
        <v>2</v>
      </c>
    </row>
    <row r="242" spans="1:23" x14ac:dyDescent="0.2">
      <c r="A242">
        <v>5021192</v>
      </c>
      <c r="B242" t="s">
        <v>18</v>
      </c>
      <c r="C242" t="s">
        <v>19</v>
      </c>
      <c r="D242" t="s">
        <v>19</v>
      </c>
      <c r="E242">
        <v>0</v>
      </c>
      <c r="F242">
        <v>225000</v>
      </c>
      <c r="G242" t="s">
        <v>35</v>
      </c>
      <c r="H242" t="s">
        <v>22</v>
      </c>
      <c r="I242" t="s">
        <v>33</v>
      </c>
      <c r="J242" t="s">
        <v>41</v>
      </c>
      <c r="K242" s="6">
        <f t="shared" ca="1" si="20"/>
        <v>35244</v>
      </c>
      <c r="L242">
        <v>-10517</v>
      </c>
      <c r="M242" s="7">
        <f t="shared" ca="1" si="18"/>
        <v>28.793976728268309</v>
      </c>
      <c r="N242" s="5" t="str">
        <f ca="1">VLOOKUP(Data!M242,temp!$B$3:$C$9,2,1)</f>
        <v>20-30</v>
      </c>
      <c r="O242">
        <v>-1801</v>
      </c>
      <c r="P242" s="8">
        <f t="shared" si="19"/>
        <v>4.9308692676249146</v>
      </c>
      <c r="Q242" s="5" t="str">
        <f t="shared" si="21"/>
        <v>Employed</v>
      </c>
      <c r="R242">
        <v>1</v>
      </c>
      <c r="S242">
        <v>0</v>
      </c>
      <c r="T242">
        <v>0</v>
      </c>
      <c r="U242">
        <v>0</v>
      </c>
      <c r="V242" t="s">
        <v>38</v>
      </c>
      <c r="W242">
        <v>1</v>
      </c>
    </row>
    <row r="243" spans="1:23" x14ac:dyDescent="0.2">
      <c r="A243">
        <v>5021196</v>
      </c>
      <c r="B243" t="s">
        <v>18</v>
      </c>
      <c r="C243" t="s">
        <v>20</v>
      </c>
      <c r="D243" t="s">
        <v>20</v>
      </c>
      <c r="E243">
        <v>0</v>
      </c>
      <c r="F243">
        <v>675000</v>
      </c>
      <c r="G243" t="s">
        <v>26</v>
      </c>
      <c r="H243" t="s">
        <v>27</v>
      </c>
      <c r="I243" t="s">
        <v>37</v>
      </c>
      <c r="J243" t="s">
        <v>24</v>
      </c>
      <c r="K243" s="6">
        <f t="shared" ca="1" si="20"/>
        <v>26959</v>
      </c>
      <c r="L243">
        <v>-18802</v>
      </c>
      <c r="M243" s="7">
        <f t="shared" ca="1" si="18"/>
        <v>51.477070499657771</v>
      </c>
      <c r="N243" s="5" t="str">
        <f ca="1">VLOOKUP(Data!M243,temp!$B$3:$C$9,2,1)</f>
        <v>50-60</v>
      </c>
      <c r="O243">
        <v>-913</v>
      </c>
      <c r="P243" s="8">
        <f t="shared" si="19"/>
        <v>2.4996577686516086</v>
      </c>
      <c r="Q243" s="5" t="str">
        <f t="shared" si="21"/>
        <v>Employed</v>
      </c>
      <c r="R243">
        <v>1</v>
      </c>
      <c r="S243">
        <v>0</v>
      </c>
      <c r="T243">
        <v>0</v>
      </c>
      <c r="U243">
        <v>0</v>
      </c>
      <c r="W243">
        <v>2</v>
      </c>
    </row>
    <row r="244" spans="1:23" x14ac:dyDescent="0.2">
      <c r="A244">
        <v>5021197</v>
      </c>
      <c r="B244" t="s">
        <v>18</v>
      </c>
      <c r="C244" t="s">
        <v>20</v>
      </c>
      <c r="D244" t="s">
        <v>20</v>
      </c>
      <c r="E244">
        <v>0</v>
      </c>
      <c r="F244">
        <v>675000</v>
      </c>
      <c r="G244" t="s">
        <v>26</v>
      </c>
      <c r="H244" t="s">
        <v>27</v>
      </c>
      <c r="I244" t="s">
        <v>37</v>
      </c>
      <c r="J244" t="s">
        <v>24</v>
      </c>
      <c r="K244" s="6">
        <f t="shared" ca="1" si="20"/>
        <v>26959</v>
      </c>
      <c r="L244">
        <v>-18802</v>
      </c>
      <c r="M244" s="7">
        <f t="shared" ca="1" si="18"/>
        <v>51.477070499657771</v>
      </c>
      <c r="N244" s="5" t="str">
        <f ca="1">VLOOKUP(Data!M244,temp!$B$3:$C$9,2,1)</f>
        <v>50-60</v>
      </c>
      <c r="O244">
        <v>-913</v>
      </c>
      <c r="P244" s="8">
        <f t="shared" si="19"/>
        <v>2.4996577686516086</v>
      </c>
      <c r="Q244" s="5" t="str">
        <f t="shared" si="21"/>
        <v>Employed</v>
      </c>
      <c r="R244">
        <v>1</v>
      </c>
      <c r="S244">
        <v>0</v>
      </c>
      <c r="T244">
        <v>0</v>
      </c>
      <c r="U244">
        <v>0</v>
      </c>
      <c r="W244">
        <v>2</v>
      </c>
    </row>
    <row r="245" spans="1:23" x14ac:dyDescent="0.2">
      <c r="A245">
        <v>5021204</v>
      </c>
      <c r="B245" t="s">
        <v>18</v>
      </c>
      <c r="C245" t="s">
        <v>20</v>
      </c>
      <c r="D245" t="s">
        <v>20</v>
      </c>
      <c r="E245">
        <v>0</v>
      </c>
      <c r="F245">
        <v>675000</v>
      </c>
      <c r="G245" t="s">
        <v>26</v>
      </c>
      <c r="H245" t="s">
        <v>27</v>
      </c>
      <c r="I245" t="s">
        <v>37</v>
      </c>
      <c r="J245" t="s">
        <v>24</v>
      </c>
      <c r="K245" s="6">
        <f t="shared" ca="1" si="20"/>
        <v>26959</v>
      </c>
      <c r="L245">
        <v>-18802</v>
      </c>
      <c r="M245" s="7">
        <f t="shared" ca="1" si="18"/>
        <v>51.477070499657771</v>
      </c>
      <c r="N245" s="5" t="str">
        <f ca="1">VLOOKUP(Data!M245,temp!$B$3:$C$9,2,1)</f>
        <v>50-60</v>
      </c>
      <c r="O245">
        <v>-913</v>
      </c>
      <c r="P245" s="8">
        <f t="shared" si="19"/>
        <v>2.4996577686516086</v>
      </c>
      <c r="Q245" s="5" t="str">
        <f t="shared" si="21"/>
        <v>Employed</v>
      </c>
      <c r="R245">
        <v>1</v>
      </c>
      <c r="S245">
        <v>0</v>
      </c>
      <c r="T245">
        <v>0</v>
      </c>
      <c r="U245">
        <v>0</v>
      </c>
      <c r="W245">
        <v>2</v>
      </c>
    </row>
    <row r="246" spans="1:23" x14ac:dyDescent="0.2">
      <c r="A246">
        <v>5021210</v>
      </c>
      <c r="B246" t="s">
        <v>25</v>
      </c>
      <c r="C246" t="s">
        <v>20</v>
      </c>
      <c r="D246" t="s">
        <v>20</v>
      </c>
      <c r="E246">
        <v>1</v>
      </c>
      <c r="F246">
        <v>225000</v>
      </c>
      <c r="G246" t="s">
        <v>31</v>
      </c>
      <c r="H246" t="s">
        <v>27</v>
      </c>
      <c r="I246" t="s">
        <v>28</v>
      </c>
      <c r="J246" t="s">
        <v>24</v>
      </c>
      <c r="K246" s="6">
        <f t="shared" ca="1" si="20"/>
        <v>32140</v>
      </c>
      <c r="L246">
        <v>-13621</v>
      </c>
      <c r="M246" s="7">
        <f t="shared" ca="1" si="18"/>
        <v>37.29226557152635</v>
      </c>
      <c r="N246" s="5" t="str">
        <f ca="1">VLOOKUP(Data!M246,temp!$B$3:$C$9,2,1)</f>
        <v>30-40</v>
      </c>
      <c r="O246">
        <v>-1127</v>
      </c>
      <c r="P246" s="8">
        <f t="shared" si="19"/>
        <v>3.0855578370978782</v>
      </c>
      <c r="Q246" s="5" t="str">
        <f t="shared" si="21"/>
        <v>Employed</v>
      </c>
      <c r="R246">
        <v>1</v>
      </c>
      <c r="S246">
        <v>0</v>
      </c>
      <c r="T246">
        <v>0</v>
      </c>
      <c r="U246">
        <v>0</v>
      </c>
      <c r="V246" t="s">
        <v>30</v>
      </c>
      <c r="W246">
        <v>3</v>
      </c>
    </row>
    <row r="247" spans="1:23" x14ac:dyDescent="0.2">
      <c r="A247">
        <v>5021214</v>
      </c>
      <c r="B247" t="s">
        <v>25</v>
      </c>
      <c r="C247" t="s">
        <v>20</v>
      </c>
      <c r="D247" t="s">
        <v>20</v>
      </c>
      <c r="E247">
        <v>1</v>
      </c>
      <c r="F247">
        <v>225000</v>
      </c>
      <c r="G247" t="s">
        <v>35</v>
      </c>
      <c r="H247" t="s">
        <v>22</v>
      </c>
      <c r="I247" t="s">
        <v>28</v>
      </c>
      <c r="J247" t="s">
        <v>24</v>
      </c>
      <c r="K247" s="6">
        <f t="shared" ca="1" si="20"/>
        <v>32998</v>
      </c>
      <c r="L247">
        <v>-12763</v>
      </c>
      <c r="M247" s="7">
        <f t="shared" ca="1" si="18"/>
        <v>34.943189596167009</v>
      </c>
      <c r="N247" s="5" t="str">
        <f ca="1">VLOOKUP(Data!M247,temp!$B$3:$C$9,2,1)</f>
        <v>30-40</v>
      </c>
      <c r="O247">
        <v>-2255</v>
      </c>
      <c r="P247" s="8">
        <f t="shared" si="19"/>
        <v>6.1738535249828885</v>
      </c>
      <c r="Q247" s="5" t="str">
        <f t="shared" si="21"/>
        <v>Employed</v>
      </c>
      <c r="R247">
        <v>1</v>
      </c>
      <c r="S247">
        <v>0</v>
      </c>
      <c r="T247">
        <v>1</v>
      </c>
      <c r="U247">
        <v>0</v>
      </c>
      <c r="V247" t="s">
        <v>38</v>
      </c>
      <c r="W247">
        <v>3</v>
      </c>
    </row>
    <row r="248" spans="1:23" x14ac:dyDescent="0.2">
      <c r="A248">
        <v>5021222</v>
      </c>
      <c r="B248" t="s">
        <v>25</v>
      </c>
      <c r="C248" t="s">
        <v>20</v>
      </c>
      <c r="D248" t="s">
        <v>19</v>
      </c>
      <c r="E248">
        <v>0</v>
      </c>
      <c r="F248">
        <v>310500</v>
      </c>
      <c r="G248" t="s">
        <v>31</v>
      </c>
      <c r="H248" t="s">
        <v>22</v>
      </c>
      <c r="I248" t="s">
        <v>33</v>
      </c>
      <c r="J248" t="s">
        <v>24</v>
      </c>
      <c r="K248" s="6">
        <f t="shared" ca="1" si="20"/>
        <v>35831</v>
      </c>
      <c r="L248">
        <v>-9930</v>
      </c>
      <c r="M248" s="7">
        <f t="shared" ca="1" si="18"/>
        <v>27.186858316221766</v>
      </c>
      <c r="N248" s="5" t="str">
        <f ca="1">VLOOKUP(Data!M248,temp!$B$3:$C$9,2,1)</f>
        <v>20-30</v>
      </c>
      <c r="O248">
        <v>-674</v>
      </c>
      <c r="P248" s="8">
        <f t="shared" si="19"/>
        <v>1.8453114305270362</v>
      </c>
      <c r="Q248" s="5" t="str">
        <f t="shared" si="21"/>
        <v>Employed</v>
      </c>
      <c r="R248">
        <v>1</v>
      </c>
      <c r="S248">
        <v>0</v>
      </c>
      <c r="T248">
        <v>0</v>
      </c>
      <c r="U248">
        <v>0</v>
      </c>
      <c r="V248" t="s">
        <v>29</v>
      </c>
      <c r="W248">
        <v>1</v>
      </c>
    </row>
    <row r="249" spans="1:23" x14ac:dyDescent="0.2">
      <c r="A249">
        <v>5021231</v>
      </c>
      <c r="B249" t="s">
        <v>18</v>
      </c>
      <c r="C249" t="s">
        <v>19</v>
      </c>
      <c r="D249" t="s">
        <v>20</v>
      </c>
      <c r="E249">
        <v>1</v>
      </c>
      <c r="F249">
        <v>225000</v>
      </c>
      <c r="G249" t="s">
        <v>31</v>
      </c>
      <c r="H249" t="s">
        <v>22</v>
      </c>
      <c r="I249" t="s">
        <v>37</v>
      </c>
      <c r="J249" t="s">
        <v>24</v>
      </c>
      <c r="K249" s="6">
        <f t="shared" ca="1" si="20"/>
        <v>35157</v>
      </c>
      <c r="L249">
        <v>-10604</v>
      </c>
      <c r="M249" s="7">
        <f t="shared" ca="1" si="18"/>
        <v>29.032169746748803</v>
      </c>
      <c r="N249" s="5" t="str">
        <f ca="1">VLOOKUP(Data!M249,temp!$B$3:$C$9,2,1)</f>
        <v>20-30</v>
      </c>
      <c r="O249">
        <v>-2374</v>
      </c>
      <c r="P249" s="8">
        <f t="shared" si="19"/>
        <v>6.4996577686516082</v>
      </c>
      <c r="Q249" s="5" t="str">
        <f t="shared" si="21"/>
        <v>Employed</v>
      </c>
      <c r="R249">
        <v>1</v>
      </c>
      <c r="S249">
        <v>0</v>
      </c>
      <c r="T249">
        <v>0</v>
      </c>
      <c r="U249">
        <v>0</v>
      </c>
      <c r="V249" t="s">
        <v>39</v>
      </c>
      <c r="W249">
        <v>3</v>
      </c>
    </row>
    <row r="250" spans="1:23" x14ac:dyDescent="0.2">
      <c r="A250">
        <v>5021242</v>
      </c>
      <c r="B250" t="s">
        <v>18</v>
      </c>
      <c r="C250" t="s">
        <v>19</v>
      </c>
      <c r="D250" t="s">
        <v>20</v>
      </c>
      <c r="E250">
        <v>0</v>
      </c>
      <c r="F250">
        <v>135000</v>
      </c>
      <c r="G250" t="s">
        <v>21</v>
      </c>
      <c r="H250" t="s">
        <v>22</v>
      </c>
      <c r="I250" t="s">
        <v>28</v>
      </c>
      <c r="J250" t="s">
        <v>24</v>
      </c>
      <c r="K250" s="6">
        <f t="shared" ca="1" si="20"/>
        <v>23014</v>
      </c>
      <c r="L250">
        <v>-22747</v>
      </c>
      <c r="M250" s="7">
        <f t="shared" ca="1" si="18"/>
        <v>62.277891854893909</v>
      </c>
      <c r="N250" s="5" t="str">
        <f ca="1">VLOOKUP(Data!M250,temp!$B$3:$C$9,2,1)</f>
        <v>60-70</v>
      </c>
      <c r="O250">
        <v>365243</v>
      </c>
      <c r="P250" s="8">
        <f t="shared" si="19"/>
        <v>0</v>
      </c>
      <c r="Q250" s="5" t="str">
        <f t="shared" si="21"/>
        <v>Unemployed</v>
      </c>
      <c r="R250">
        <v>1</v>
      </c>
      <c r="S250">
        <v>0</v>
      </c>
      <c r="T250">
        <v>0</v>
      </c>
      <c r="U250">
        <v>0</v>
      </c>
      <c r="W250">
        <v>2</v>
      </c>
    </row>
    <row r="251" spans="1:23" x14ac:dyDescent="0.2">
      <c r="A251">
        <v>5021260</v>
      </c>
      <c r="B251" t="s">
        <v>18</v>
      </c>
      <c r="C251" t="s">
        <v>19</v>
      </c>
      <c r="D251" t="s">
        <v>20</v>
      </c>
      <c r="E251">
        <v>0</v>
      </c>
      <c r="F251">
        <v>135000</v>
      </c>
      <c r="G251" t="s">
        <v>21</v>
      </c>
      <c r="H251" t="s">
        <v>22</v>
      </c>
      <c r="I251" t="s">
        <v>28</v>
      </c>
      <c r="J251" t="s">
        <v>24</v>
      </c>
      <c r="K251" s="6">
        <f t="shared" ca="1" si="20"/>
        <v>23014</v>
      </c>
      <c r="L251">
        <v>-22747</v>
      </c>
      <c r="M251" s="7">
        <f t="shared" ca="1" si="18"/>
        <v>62.277891854893909</v>
      </c>
      <c r="N251" s="5" t="str">
        <f ca="1">VLOOKUP(Data!M251,temp!$B$3:$C$9,2,1)</f>
        <v>60-70</v>
      </c>
      <c r="O251">
        <v>365243</v>
      </c>
      <c r="P251" s="8">
        <f t="shared" si="19"/>
        <v>0</v>
      </c>
      <c r="Q251" s="5" t="str">
        <f t="shared" si="21"/>
        <v>Unemployed</v>
      </c>
      <c r="R251">
        <v>1</v>
      </c>
      <c r="S251">
        <v>0</v>
      </c>
      <c r="T251">
        <v>0</v>
      </c>
      <c r="U251">
        <v>0</v>
      </c>
      <c r="W251">
        <v>2</v>
      </c>
    </row>
    <row r="252" spans="1:23" x14ac:dyDescent="0.2">
      <c r="A252">
        <v>5021273</v>
      </c>
      <c r="B252" t="s">
        <v>25</v>
      </c>
      <c r="C252" t="s">
        <v>20</v>
      </c>
      <c r="D252" t="s">
        <v>20</v>
      </c>
      <c r="E252">
        <v>0</v>
      </c>
      <c r="F252">
        <v>110250</v>
      </c>
      <c r="G252" t="s">
        <v>31</v>
      </c>
      <c r="H252" t="s">
        <v>22</v>
      </c>
      <c r="I252" t="s">
        <v>33</v>
      </c>
      <c r="J252" t="s">
        <v>24</v>
      </c>
      <c r="K252" s="6">
        <f t="shared" ca="1" si="20"/>
        <v>31632</v>
      </c>
      <c r="L252">
        <v>-14129</v>
      </c>
      <c r="M252" s="7">
        <f t="shared" ca="1" si="18"/>
        <v>38.683093771389458</v>
      </c>
      <c r="N252" s="5" t="str">
        <f ca="1">VLOOKUP(Data!M252,temp!$B$3:$C$9,2,1)</f>
        <v>30-40</v>
      </c>
      <c r="O252">
        <v>-5758</v>
      </c>
      <c r="P252" s="8">
        <f t="shared" si="19"/>
        <v>15.764544832306639</v>
      </c>
      <c r="Q252" s="5" t="str">
        <f t="shared" si="21"/>
        <v>Employed</v>
      </c>
      <c r="R252">
        <v>1</v>
      </c>
      <c r="S252">
        <v>0</v>
      </c>
      <c r="T252">
        <v>0</v>
      </c>
      <c r="U252">
        <v>0</v>
      </c>
      <c r="W252">
        <v>1</v>
      </c>
    </row>
    <row r="253" spans="1:23" x14ac:dyDescent="0.2">
      <c r="A253">
        <v>5021276</v>
      </c>
      <c r="B253" t="s">
        <v>25</v>
      </c>
      <c r="C253" t="s">
        <v>20</v>
      </c>
      <c r="D253" t="s">
        <v>20</v>
      </c>
      <c r="E253">
        <v>0</v>
      </c>
      <c r="F253">
        <v>110250</v>
      </c>
      <c r="G253" t="s">
        <v>31</v>
      </c>
      <c r="H253" t="s">
        <v>22</v>
      </c>
      <c r="I253" t="s">
        <v>33</v>
      </c>
      <c r="J253" t="s">
        <v>24</v>
      </c>
      <c r="K253" s="6">
        <f t="shared" ca="1" si="20"/>
        <v>31632</v>
      </c>
      <c r="L253">
        <v>-14129</v>
      </c>
      <c r="M253" s="7">
        <f t="shared" ca="1" si="18"/>
        <v>38.683093771389458</v>
      </c>
      <c r="N253" s="5" t="str">
        <f ca="1">VLOOKUP(Data!M253,temp!$B$3:$C$9,2,1)</f>
        <v>30-40</v>
      </c>
      <c r="O253">
        <v>-5758</v>
      </c>
      <c r="P253" s="8">
        <f t="shared" si="19"/>
        <v>15.764544832306639</v>
      </c>
      <c r="Q253" s="5" t="str">
        <f t="shared" si="21"/>
        <v>Employed</v>
      </c>
      <c r="R253">
        <v>1</v>
      </c>
      <c r="S253">
        <v>0</v>
      </c>
      <c r="T253">
        <v>0</v>
      </c>
      <c r="U253">
        <v>0</v>
      </c>
      <c r="W253">
        <v>1</v>
      </c>
    </row>
    <row r="254" spans="1:23" x14ac:dyDescent="0.2">
      <c r="A254">
        <v>5021292</v>
      </c>
      <c r="B254" t="s">
        <v>18</v>
      </c>
      <c r="C254" t="s">
        <v>20</v>
      </c>
      <c r="D254" t="s">
        <v>20</v>
      </c>
      <c r="E254">
        <v>1</v>
      </c>
      <c r="F254">
        <v>180000</v>
      </c>
      <c r="G254" t="s">
        <v>26</v>
      </c>
      <c r="H254" t="s">
        <v>22</v>
      </c>
      <c r="I254" t="s">
        <v>28</v>
      </c>
      <c r="J254" t="s">
        <v>24</v>
      </c>
      <c r="K254" s="6">
        <f t="shared" ca="1" si="20"/>
        <v>33860</v>
      </c>
      <c r="L254">
        <v>-11901</v>
      </c>
      <c r="M254" s="7">
        <f t="shared" ca="1" si="18"/>
        <v>32.583162217659137</v>
      </c>
      <c r="N254" s="5" t="str">
        <f ca="1">VLOOKUP(Data!M254,temp!$B$3:$C$9,2,1)</f>
        <v>30-40</v>
      </c>
      <c r="O254">
        <v>-183</v>
      </c>
      <c r="P254" s="8">
        <f t="shared" si="19"/>
        <v>0.50102669404517453</v>
      </c>
      <c r="Q254" s="5" t="str">
        <f t="shared" si="21"/>
        <v>Employed</v>
      </c>
      <c r="R254">
        <v>1</v>
      </c>
      <c r="S254">
        <v>0</v>
      </c>
      <c r="T254">
        <v>0</v>
      </c>
      <c r="U254">
        <v>1</v>
      </c>
      <c r="V254" t="s">
        <v>38</v>
      </c>
      <c r="W254">
        <v>3</v>
      </c>
    </row>
    <row r="255" spans="1:23" x14ac:dyDescent="0.2">
      <c r="A255">
        <v>5021308</v>
      </c>
      <c r="B255" t="s">
        <v>25</v>
      </c>
      <c r="C255" t="s">
        <v>19</v>
      </c>
      <c r="D255" t="s">
        <v>20</v>
      </c>
      <c r="E255">
        <v>0</v>
      </c>
      <c r="F255">
        <v>270000</v>
      </c>
      <c r="G255" t="s">
        <v>31</v>
      </c>
      <c r="H255" t="s">
        <v>27</v>
      </c>
      <c r="I255" t="s">
        <v>28</v>
      </c>
      <c r="J255" t="s">
        <v>24</v>
      </c>
      <c r="K255" s="6">
        <f t="shared" ca="1" si="20"/>
        <v>28865</v>
      </c>
      <c r="L255">
        <v>-16896</v>
      </c>
      <c r="M255" s="7">
        <f t="shared" ca="1" si="18"/>
        <v>46.258726899383987</v>
      </c>
      <c r="N255" s="5" t="str">
        <f ca="1">VLOOKUP(Data!M255,temp!$B$3:$C$9,2,1)</f>
        <v>40-50</v>
      </c>
      <c r="O255">
        <v>-248</v>
      </c>
      <c r="P255" s="8">
        <f t="shared" si="19"/>
        <v>0.67898699520876116</v>
      </c>
      <c r="Q255" s="5" t="str">
        <f t="shared" si="21"/>
        <v>Employed</v>
      </c>
      <c r="R255">
        <v>1</v>
      </c>
      <c r="S255">
        <v>0</v>
      </c>
      <c r="T255">
        <v>0</v>
      </c>
      <c r="U255">
        <v>0</v>
      </c>
      <c r="V255" t="s">
        <v>29</v>
      </c>
      <c r="W255">
        <v>2</v>
      </c>
    </row>
    <row r="256" spans="1:23" x14ac:dyDescent="0.2">
      <c r="A256">
        <v>5021347</v>
      </c>
      <c r="B256" t="s">
        <v>18</v>
      </c>
      <c r="C256" t="s">
        <v>19</v>
      </c>
      <c r="D256" t="s">
        <v>19</v>
      </c>
      <c r="E256">
        <v>0</v>
      </c>
      <c r="F256">
        <v>67500</v>
      </c>
      <c r="G256" t="s">
        <v>31</v>
      </c>
      <c r="H256" t="s">
        <v>27</v>
      </c>
      <c r="I256" t="s">
        <v>28</v>
      </c>
      <c r="J256" t="s">
        <v>45</v>
      </c>
      <c r="K256" s="6">
        <f t="shared" ca="1" si="20"/>
        <v>34313</v>
      </c>
      <c r="L256">
        <v>-11448</v>
      </c>
      <c r="M256" s="7">
        <f t="shared" ca="1" si="18"/>
        <v>31.342915811088297</v>
      </c>
      <c r="N256" s="5" t="str">
        <f ca="1">VLOOKUP(Data!M256,temp!$B$3:$C$9,2,1)</f>
        <v>30-40</v>
      </c>
      <c r="O256">
        <v>-1066</v>
      </c>
      <c r="P256" s="8">
        <f t="shared" si="19"/>
        <v>2.9185489390828199</v>
      </c>
      <c r="Q256" s="5" t="str">
        <f t="shared" si="21"/>
        <v>Employed</v>
      </c>
      <c r="R256">
        <v>1</v>
      </c>
      <c r="S256">
        <v>1</v>
      </c>
      <c r="T256">
        <v>1</v>
      </c>
      <c r="U256">
        <v>0</v>
      </c>
      <c r="W256">
        <v>2</v>
      </c>
    </row>
    <row r="257" spans="1:23" x14ac:dyDescent="0.2">
      <c r="A257">
        <v>5021349</v>
      </c>
      <c r="B257" t="s">
        <v>18</v>
      </c>
      <c r="C257" t="s">
        <v>19</v>
      </c>
      <c r="D257" t="s">
        <v>19</v>
      </c>
      <c r="E257">
        <v>0</v>
      </c>
      <c r="F257">
        <v>67500</v>
      </c>
      <c r="G257" t="s">
        <v>31</v>
      </c>
      <c r="H257" t="s">
        <v>27</v>
      </c>
      <c r="I257" t="s">
        <v>28</v>
      </c>
      <c r="J257" t="s">
        <v>45</v>
      </c>
      <c r="K257" s="6">
        <f t="shared" ca="1" si="20"/>
        <v>34313</v>
      </c>
      <c r="L257">
        <v>-11448</v>
      </c>
      <c r="M257" s="7">
        <f t="shared" ca="1" si="18"/>
        <v>31.342915811088297</v>
      </c>
      <c r="N257" s="5" t="str">
        <f ca="1">VLOOKUP(Data!M257,temp!$B$3:$C$9,2,1)</f>
        <v>30-40</v>
      </c>
      <c r="O257">
        <v>-1066</v>
      </c>
      <c r="P257" s="8">
        <f t="shared" si="19"/>
        <v>2.9185489390828199</v>
      </c>
      <c r="Q257" s="5" t="str">
        <f t="shared" si="21"/>
        <v>Employed</v>
      </c>
      <c r="R257">
        <v>1</v>
      </c>
      <c r="S257">
        <v>1</v>
      </c>
      <c r="T257">
        <v>1</v>
      </c>
      <c r="U257">
        <v>0</v>
      </c>
      <c r="W257">
        <v>2</v>
      </c>
    </row>
    <row r="258" spans="1:23" x14ac:dyDescent="0.2">
      <c r="A258">
        <v>5021365</v>
      </c>
      <c r="B258" t="s">
        <v>25</v>
      </c>
      <c r="C258" t="s">
        <v>19</v>
      </c>
      <c r="D258" t="s">
        <v>20</v>
      </c>
      <c r="E258">
        <v>0</v>
      </c>
      <c r="F258">
        <v>270000</v>
      </c>
      <c r="G258" t="s">
        <v>26</v>
      </c>
      <c r="H258" t="s">
        <v>27</v>
      </c>
      <c r="I258" t="s">
        <v>28</v>
      </c>
      <c r="J258" t="s">
        <v>24</v>
      </c>
      <c r="K258" s="6">
        <f t="shared" ca="1" si="20"/>
        <v>27307</v>
      </c>
      <c r="L258">
        <v>-18454</v>
      </c>
      <c r="M258" s="7">
        <f t="shared" ca="1" si="18"/>
        <v>50.5242984257358</v>
      </c>
      <c r="N258" s="5" t="str">
        <f ca="1">VLOOKUP(Data!M258,temp!$B$3:$C$9,2,1)</f>
        <v>50-60</v>
      </c>
      <c r="O258">
        <v>-7518</v>
      </c>
      <c r="P258" s="8">
        <f t="shared" si="19"/>
        <v>20.583162217659137</v>
      </c>
      <c r="Q258" s="5" t="str">
        <f t="shared" si="21"/>
        <v>Employed</v>
      </c>
      <c r="R258">
        <v>1</v>
      </c>
      <c r="S258">
        <v>0</v>
      </c>
      <c r="T258">
        <v>0</v>
      </c>
      <c r="U258">
        <v>0</v>
      </c>
      <c r="V258" t="s">
        <v>30</v>
      </c>
      <c r="W258">
        <v>2</v>
      </c>
    </row>
    <row r="259" spans="1:23" x14ac:dyDescent="0.2">
      <c r="A259">
        <v>5021375</v>
      </c>
      <c r="B259" t="s">
        <v>18</v>
      </c>
      <c r="C259" t="s">
        <v>19</v>
      </c>
      <c r="D259" t="s">
        <v>20</v>
      </c>
      <c r="E259">
        <v>0</v>
      </c>
      <c r="F259">
        <v>247500</v>
      </c>
      <c r="G259" t="s">
        <v>31</v>
      </c>
      <c r="H259" t="s">
        <v>22</v>
      </c>
      <c r="I259" t="s">
        <v>28</v>
      </c>
      <c r="J259" t="s">
        <v>24</v>
      </c>
      <c r="K259" s="6">
        <f t="shared" ca="1" si="20"/>
        <v>23661</v>
      </c>
      <c r="L259">
        <v>-22100</v>
      </c>
      <c r="M259" s="7">
        <f t="shared" ref="M259:M322" ca="1" si="22">(TODAY()-K259)/365.25</f>
        <v>60.506502395619435</v>
      </c>
      <c r="N259" s="5" t="str">
        <f ca="1">VLOOKUP(Data!M259,temp!$B$3:$C$9,2,1)</f>
        <v>60-70</v>
      </c>
      <c r="O259">
        <v>-578</v>
      </c>
      <c r="P259" s="8">
        <f t="shared" ref="P259:P322" si="23">IF(O259&lt;=0,ABS(O259)/365.25,0)</f>
        <v>1.5824777549623545</v>
      </c>
      <c r="Q259" s="5" t="str">
        <f t="shared" si="21"/>
        <v>Employed</v>
      </c>
      <c r="R259">
        <v>1</v>
      </c>
      <c r="S259">
        <v>0</v>
      </c>
      <c r="T259">
        <v>0</v>
      </c>
      <c r="U259">
        <v>1</v>
      </c>
      <c r="V259" t="s">
        <v>32</v>
      </c>
      <c r="W259">
        <v>2</v>
      </c>
    </row>
    <row r="260" spans="1:23" x14ac:dyDescent="0.2">
      <c r="A260">
        <v>5021398</v>
      </c>
      <c r="B260" t="s">
        <v>18</v>
      </c>
      <c r="C260" t="s">
        <v>19</v>
      </c>
      <c r="D260" t="s">
        <v>20</v>
      </c>
      <c r="E260">
        <v>0</v>
      </c>
      <c r="F260">
        <v>189000</v>
      </c>
      <c r="G260" t="s">
        <v>21</v>
      </c>
      <c r="H260" t="s">
        <v>36</v>
      </c>
      <c r="I260" t="s">
        <v>42</v>
      </c>
      <c r="J260" t="s">
        <v>24</v>
      </c>
      <c r="K260" s="6">
        <f t="shared" ca="1" si="20"/>
        <v>23916</v>
      </c>
      <c r="L260">
        <v>-21845</v>
      </c>
      <c r="M260" s="7">
        <f t="shared" ca="1" si="22"/>
        <v>59.808350444900753</v>
      </c>
      <c r="N260" s="5" t="str">
        <f ca="1">VLOOKUP(Data!M260,temp!$B$3:$C$9,2,1)</f>
        <v>50-60</v>
      </c>
      <c r="O260">
        <v>365243</v>
      </c>
      <c r="P260" s="8">
        <f t="shared" si="23"/>
        <v>0</v>
      </c>
      <c r="Q260" s="5" t="str">
        <f t="shared" si="21"/>
        <v>Unemployed</v>
      </c>
      <c r="R260">
        <v>1</v>
      </c>
      <c r="S260">
        <v>0</v>
      </c>
      <c r="T260">
        <v>0</v>
      </c>
      <c r="U260">
        <v>0</v>
      </c>
      <c r="W260">
        <v>1</v>
      </c>
    </row>
    <row r="261" spans="1:23" x14ac:dyDescent="0.2">
      <c r="A261">
        <v>5021415</v>
      </c>
      <c r="B261" t="s">
        <v>18</v>
      </c>
      <c r="C261" t="s">
        <v>19</v>
      </c>
      <c r="D261" t="s">
        <v>20</v>
      </c>
      <c r="E261">
        <v>0</v>
      </c>
      <c r="F261">
        <v>270000</v>
      </c>
      <c r="G261" t="s">
        <v>31</v>
      </c>
      <c r="H261" t="s">
        <v>27</v>
      </c>
      <c r="I261" t="s">
        <v>28</v>
      </c>
      <c r="J261" t="s">
        <v>24</v>
      </c>
      <c r="K261" s="6">
        <f t="shared" ca="1" si="20"/>
        <v>25695</v>
      </c>
      <c r="L261">
        <v>-20066</v>
      </c>
      <c r="M261" s="7">
        <f t="shared" ca="1" si="22"/>
        <v>54.937713894592747</v>
      </c>
      <c r="N261" s="5" t="str">
        <f ca="1">VLOOKUP(Data!M261,temp!$B$3:$C$9,2,1)</f>
        <v>50-60</v>
      </c>
      <c r="O261">
        <v>-3988</v>
      </c>
      <c r="P261" s="8">
        <f t="shared" si="23"/>
        <v>10.91854893908282</v>
      </c>
      <c r="Q261" s="5" t="str">
        <f t="shared" si="21"/>
        <v>Employed</v>
      </c>
      <c r="R261">
        <v>1</v>
      </c>
      <c r="S261">
        <v>1</v>
      </c>
      <c r="T261">
        <v>1</v>
      </c>
      <c r="U261">
        <v>0</v>
      </c>
      <c r="V261" t="s">
        <v>49</v>
      </c>
      <c r="W261">
        <v>2</v>
      </c>
    </row>
    <row r="262" spans="1:23" x14ac:dyDescent="0.2">
      <c r="A262">
        <v>5021442</v>
      </c>
      <c r="B262" t="s">
        <v>25</v>
      </c>
      <c r="C262" t="s">
        <v>19</v>
      </c>
      <c r="D262" t="s">
        <v>20</v>
      </c>
      <c r="E262">
        <v>1</v>
      </c>
      <c r="F262">
        <v>135000</v>
      </c>
      <c r="G262" t="s">
        <v>31</v>
      </c>
      <c r="H262" t="s">
        <v>27</v>
      </c>
      <c r="I262" t="s">
        <v>28</v>
      </c>
      <c r="J262" t="s">
        <v>24</v>
      </c>
      <c r="K262" s="6">
        <f t="shared" ca="1" si="20"/>
        <v>36214</v>
      </c>
      <c r="L262">
        <v>-9547</v>
      </c>
      <c r="M262" s="7">
        <f t="shared" ca="1" si="22"/>
        <v>26.138261464750173</v>
      </c>
      <c r="N262" s="5" t="str">
        <f ca="1">VLOOKUP(Data!M262,temp!$B$3:$C$9,2,1)</f>
        <v>20-30</v>
      </c>
      <c r="O262">
        <v>-1340</v>
      </c>
      <c r="P262" s="8">
        <f t="shared" si="23"/>
        <v>3.6687200547570158</v>
      </c>
      <c r="Q262" s="5" t="str">
        <f t="shared" si="21"/>
        <v>Employed</v>
      </c>
      <c r="R262">
        <v>1</v>
      </c>
      <c r="S262">
        <v>0</v>
      </c>
      <c r="T262">
        <v>0</v>
      </c>
      <c r="U262">
        <v>0</v>
      </c>
      <c r="V262" t="s">
        <v>30</v>
      </c>
      <c r="W262">
        <v>3</v>
      </c>
    </row>
    <row r="263" spans="1:23" x14ac:dyDescent="0.2">
      <c r="A263">
        <v>5021443</v>
      </c>
      <c r="B263" t="s">
        <v>25</v>
      </c>
      <c r="C263" t="s">
        <v>19</v>
      </c>
      <c r="D263" t="s">
        <v>20</v>
      </c>
      <c r="E263">
        <v>1</v>
      </c>
      <c r="F263">
        <v>135000</v>
      </c>
      <c r="G263" t="s">
        <v>31</v>
      </c>
      <c r="H263" t="s">
        <v>27</v>
      </c>
      <c r="I263" t="s">
        <v>28</v>
      </c>
      <c r="J263" t="s">
        <v>24</v>
      </c>
      <c r="K263" s="6">
        <f t="shared" ca="1" si="20"/>
        <v>36214</v>
      </c>
      <c r="L263">
        <v>-9547</v>
      </c>
      <c r="M263" s="7">
        <f t="shared" ca="1" si="22"/>
        <v>26.138261464750173</v>
      </c>
      <c r="N263" s="5" t="str">
        <f ca="1">VLOOKUP(Data!M263,temp!$B$3:$C$9,2,1)</f>
        <v>20-30</v>
      </c>
      <c r="O263">
        <v>-1340</v>
      </c>
      <c r="P263" s="8">
        <f t="shared" si="23"/>
        <v>3.6687200547570158</v>
      </c>
      <c r="Q263" s="5" t="str">
        <f t="shared" si="21"/>
        <v>Employed</v>
      </c>
      <c r="R263">
        <v>1</v>
      </c>
      <c r="S263">
        <v>0</v>
      </c>
      <c r="T263">
        <v>0</v>
      </c>
      <c r="U263">
        <v>0</v>
      </c>
      <c r="V263" t="s">
        <v>30</v>
      </c>
      <c r="W263">
        <v>3</v>
      </c>
    </row>
    <row r="264" spans="1:23" x14ac:dyDescent="0.2">
      <c r="A264">
        <v>5021452</v>
      </c>
      <c r="B264" t="s">
        <v>18</v>
      </c>
      <c r="C264" t="s">
        <v>19</v>
      </c>
      <c r="D264" t="s">
        <v>20</v>
      </c>
      <c r="E264">
        <v>0</v>
      </c>
      <c r="F264">
        <v>202500</v>
      </c>
      <c r="G264" t="s">
        <v>21</v>
      </c>
      <c r="H264" t="s">
        <v>22</v>
      </c>
      <c r="I264" t="s">
        <v>28</v>
      </c>
      <c r="J264" t="s">
        <v>24</v>
      </c>
      <c r="K264" s="6">
        <f t="shared" ref="K264:K327" ca="1" si="24">TODAY()+($L264)</f>
        <v>24613</v>
      </c>
      <c r="L264">
        <v>-21148</v>
      </c>
      <c r="M264" s="7">
        <f t="shared" ca="1" si="22"/>
        <v>57.900068446269678</v>
      </c>
      <c r="N264" s="5" t="str">
        <f ca="1">VLOOKUP(Data!M264,temp!$B$3:$C$9,2,1)</f>
        <v>50-60</v>
      </c>
      <c r="O264">
        <v>365243</v>
      </c>
      <c r="P264" s="8">
        <f t="shared" si="23"/>
        <v>0</v>
      </c>
      <c r="Q264" s="5" t="str">
        <f t="shared" ref="Q264:Q327" si="25">IF($O264&gt;0,"Unemployed","Employed")</f>
        <v>Unemployed</v>
      </c>
      <c r="R264">
        <v>1</v>
      </c>
      <c r="S264">
        <v>0</v>
      </c>
      <c r="T264">
        <v>1</v>
      </c>
      <c r="U264">
        <v>0</v>
      </c>
      <c r="W264">
        <v>2</v>
      </c>
    </row>
    <row r="265" spans="1:23" x14ac:dyDescent="0.2">
      <c r="A265">
        <v>5021457</v>
      </c>
      <c r="B265" t="s">
        <v>18</v>
      </c>
      <c r="C265" t="s">
        <v>19</v>
      </c>
      <c r="D265" t="s">
        <v>20</v>
      </c>
      <c r="E265">
        <v>0</v>
      </c>
      <c r="F265">
        <v>81000</v>
      </c>
      <c r="G265" t="s">
        <v>31</v>
      </c>
      <c r="H265" t="s">
        <v>27</v>
      </c>
      <c r="I265" t="s">
        <v>28</v>
      </c>
      <c r="J265" t="s">
        <v>24</v>
      </c>
      <c r="K265" s="6">
        <f t="shared" ca="1" si="24"/>
        <v>26721</v>
      </c>
      <c r="L265">
        <v>-19040</v>
      </c>
      <c r="M265" s="7">
        <f t="shared" ca="1" si="22"/>
        <v>52.128678986995212</v>
      </c>
      <c r="N265" s="5" t="str">
        <f ca="1">VLOOKUP(Data!M265,temp!$B$3:$C$9,2,1)</f>
        <v>50-60</v>
      </c>
      <c r="O265">
        <v>-1070</v>
      </c>
      <c r="P265" s="8">
        <f t="shared" si="23"/>
        <v>2.9295003422313486</v>
      </c>
      <c r="Q265" s="5" t="str">
        <f t="shared" si="25"/>
        <v>Employed</v>
      </c>
      <c r="R265">
        <v>1</v>
      </c>
      <c r="S265">
        <v>1</v>
      </c>
      <c r="T265">
        <v>1</v>
      </c>
      <c r="U265">
        <v>0</v>
      </c>
      <c r="V265" t="s">
        <v>39</v>
      </c>
      <c r="W265">
        <v>2</v>
      </c>
    </row>
    <row r="266" spans="1:23" x14ac:dyDescent="0.2">
      <c r="A266">
        <v>5021481</v>
      </c>
      <c r="B266" t="s">
        <v>18</v>
      </c>
      <c r="C266" t="s">
        <v>19</v>
      </c>
      <c r="D266" t="s">
        <v>20</v>
      </c>
      <c r="E266">
        <v>0</v>
      </c>
      <c r="F266">
        <v>135000</v>
      </c>
      <c r="G266" t="s">
        <v>31</v>
      </c>
      <c r="H266" t="s">
        <v>27</v>
      </c>
      <c r="I266" t="s">
        <v>28</v>
      </c>
      <c r="J266" t="s">
        <v>24</v>
      </c>
      <c r="K266" s="6">
        <f t="shared" ca="1" si="24"/>
        <v>33856</v>
      </c>
      <c r="L266">
        <v>-11905</v>
      </c>
      <c r="M266" s="7">
        <f t="shared" ca="1" si="22"/>
        <v>32.594113620807668</v>
      </c>
      <c r="N266" s="5" t="str">
        <f ca="1">VLOOKUP(Data!M266,temp!$B$3:$C$9,2,1)</f>
        <v>30-40</v>
      </c>
      <c r="O266">
        <v>-2470</v>
      </c>
      <c r="P266" s="8">
        <f t="shared" si="23"/>
        <v>6.7624914442162902</v>
      </c>
      <c r="Q266" s="5" t="str">
        <f t="shared" si="25"/>
        <v>Employed</v>
      </c>
      <c r="R266">
        <v>1</v>
      </c>
      <c r="S266">
        <v>0</v>
      </c>
      <c r="T266">
        <v>1</v>
      </c>
      <c r="U266">
        <v>1</v>
      </c>
      <c r="V266" t="s">
        <v>55</v>
      </c>
      <c r="W266">
        <v>2</v>
      </c>
    </row>
    <row r="267" spans="1:23" x14ac:dyDescent="0.2">
      <c r="A267">
        <v>5021487</v>
      </c>
      <c r="B267" t="s">
        <v>25</v>
      </c>
      <c r="C267" t="s">
        <v>20</v>
      </c>
      <c r="D267" t="s">
        <v>20</v>
      </c>
      <c r="E267">
        <v>0</v>
      </c>
      <c r="F267">
        <v>135000</v>
      </c>
      <c r="G267" t="s">
        <v>26</v>
      </c>
      <c r="H267" t="s">
        <v>27</v>
      </c>
      <c r="I267" t="s">
        <v>37</v>
      </c>
      <c r="J267" t="s">
        <v>41</v>
      </c>
      <c r="K267" s="6">
        <f t="shared" ca="1" si="24"/>
        <v>35096</v>
      </c>
      <c r="L267">
        <v>-10665</v>
      </c>
      <c r="M267" s="7">
        <f t="shared" ca="1" si="22"/>
        <v>29.199178644763862</v>
      </c>
      <c r="N267" s="5" t="str">
        <f ca="1">VLOOKUP(Data!M267,temp!$B$3:$C$9,2,1)</f>
        <v>20-30</v>
      </c>
      <c r="O267">
        <v>-1493</v>
      </c>
      <c r="P267" s="8">
        <f t="shared" si="23"/>
        <v>4.0876112251882271</v>
      </c>
      <c r="Q267" s="5" t="str">
        <f t="shared" si="25"/>
        <v>Employed</v>
      </c>
      <c r="R267">
        <v>1</v>
      </c>
      <c r="S267">
        <v>0</v>
      </c>
      <c r="T267">
        <v>0</v>
      </c>
      <c r="U267">
        <v>0</v>
      </c>
      <c r="V267" t="s">
        <v>29</v>
      </c>
      <c r="W267">
        <v>2</v>
      </c>
    </row>
    <row r="268" spans="1:23" x14ac:dyDescent="0.2">
      <c r="A268">
        <v>5021491</v>
      </c>
      <c r="B268" t="s">
        <v>25</v>
      </c>
      <c r="C268" t="s">
        <v>19</v>
      </c>
      <c r="D268" t="s">
        <v>20</v>
      </c>
      <c r="E268">
        <v>0</v>
      </c>
      <c r="F268">
        <v>135000</v>
      </c>
      <c r="G268" t="s">
        <v>31</v>
      </c>
      <c r="H268" t="s">
        <v>27</v>
      </c>
      <c r="I268" t="s">
        <v>33</v>
      </c>
      <c r="J268" t="s">
        <v>24</v>
      </c>
      <c r="K268" s="6">
        <f t="shared" ca="1" si="24"/>
        <v>35079</v>
      </c>
      <c r="L268">
        <v>-10682</v>
      </c>
      <c r="M268" s="7">
        <f t="shared" ca="1" si="22"/>
        <v>29.245722108145106</v>
      </c>
      <c r="N268" s="5" t="str">
        <f ca="1">VLOOKUP(Data!M268,temp!$B$3:$C$9,2,1)</f>
        <v>20-30</v>
      </c>
      <c r="O268">
        <v>-609</v>
      </c>
      <c r="P268" s="8">
        <f t="shared" si="23"/>
        <v>1.6673511293634498</v>
      </c>
      <c r="Q268" s="5" t="str">
        <f t="shared" si="25"/>
        <v>Employed</v>
      </c>
      <c r="R268">
        <v>1</v>
      </c>
      <c r="S268">
        <v>0</v>
      </c>
      <c r="T268">
        <v>1</v>
      </c>
      <c r="U268">
        <v>0</v>
      </c>
      <c r="V268" t="s">
        <v>39</v>
      </c>
      <c r="W268">
        <v>1</v>
      </c>
    </row>
    <row r="269" spans="1:23" x14ac:dyDescent="0.2">
      <c r="A269">
        <v>5021498</v>
      </c>
      <c r="B269" t="s">
        <v>18</v>
      </c>
      <c r="C269" t="s">
        <v>19</v>
      </c>
      <c r="D269" t="s">
        <v>20</v>
      </c>
      <c r="E269">
        <v>1</v>
      </c>
      <c r="F269">
        <v>157500</v>
      </c>
      <c r="G269" t="s">
        <v>31</v>
      </c>
      <c r="H269" t="s">
        <v>27</v>
      </c>
      <c r="I269" t="s">
        <v>28</v>
      </c>
      <c r="J269" t="s">
        <v>24</v>
      </c>
      <c r="K269" s="6">
        <f t="shared" ca="1" si="24"/>
        <v>30665</v>
      </c>
      <c r="L269">
        <v>-15096</v>
      </c>
      <c r="M269" s="7">
        <f t="shared" ca="1" si="22"/>
        <v>41.330595482546201</v>
      </c>
      <c r="N269" s="5" t="str">
        <f ca="1">VLOOKUP(Data!M269,temp!$B$3:$C$9,2,1)</f>
        <v>40-50</v>
      </c>
      <c r="O269">
        <v>-2862</v>
      </c>
      <c r="P269" s="8">
        <f t="shared" si="23"/>
        <v>7.8357289527720742</v>
      </c>
      <c r="Q269" s="5" t="str">
        <f t="shared" si="25"/>
        <v>Employed</v>
      </c>
      <c r="R269">
        <v>1</v>
      </c>
      <c r="S269">
        <v>0</v>
      </c>
      <c r="T269">
        <v>0</v>
      </c>
      <c r="U269">
        <v>0</v>
      </c>
      <c r="W269">
        <v>3</v>
      </c>
    </row>
    <row r="270" spans="1:23" x14ac:dyDescent="0.2">
      <c r="A270">
        <v>5021508</v>
      </c>
      <c r="B270" t="s">
        <v>18</v>
      </c>
      <c r="C270" t="s">
        <v>19</v>
      </c>
      <c r="D270" t="s">
        <v>20</v>
      </c>
      <c r="E270">
        <v>0</v>
      </c>
      <c r="F270">
        <v>144000</v>
      </c>
      <c r="G270" t="s">
        <v>35</v>
      </c>
      <c r="H270" t="s">
        <v>27</v>
      </c>
      <c r="I270" t="s">
        <v>28</v>
      </c>
      <c r="J270" t="s">
        <v>24</v>
      </c>
      <c r="K270" s="6">
        <f t="shared" ca="1" si="24"/>
        <v>27625</v>
      </c>
      <c r="L270">
        <v>-18136</v>
      </c>
      <c r="M270" s="7">
        <f t="shared" ca="1" si="22"/>
        <v>49.653661875427787</v>
      </c>
      <c r="N270" s="5" t="str">
        <f ca="1">VLOOKUP(Data!M270,temp!$B$3:$C$9,2,1)</f>
        <v>40-50</v>
      </c>
      <c r="O270">
        <v>-10110</v>
      </c>
      <c r="P270" s="8">
        <f t="shared" si="23"/>
        <v>27.679671457905545</v>
      </c>
      <c r="Q270" s="5" t="str">
        <f t="shared" si="25"/>
        <v>Employed</v>
      </c>
      <c r="R270">
        <v>1</v>
      </c>
      <c r="S270">
        <v>0</v>
      </c>
      <c r="T270">
        <v>1</v>
      </c>
      <c r="U270">
        <v>0</v>
      </c>
      <c r="V270" t="s">
        <v>47</v>
      </c>
      <c r="W270">
        <v>2</v>
      </c>
    </row>
    <row r="271" spans="1:23" x14ac:dyDescent="0.2">
      <c r="A271">
        <v>5021515</v>
      </c>
      <c r="B271" t="s">
        <v>18</v>
      </c>
      <c r="C271" t="s">
        <v>19</v>
      </c>
      <c r="D271" t="s">
        <v>20</v>
      </c>
      <c r="E271">
        <v>0</v>
      </c>
      <c r="F271">
        <v>144000</v>
      </c>
      <c r="G271" t="s">
        <v>35</v>
      </c>
      <c r="H271" t="s">
        <v>27</v>
      </c>
      <c r="I271" t="s">
        <v>28</v>
      </c>
      <c r="J271" t="s">
        <v>24</v>
      </c>
      <c r="K271" s="6">
        <f t="shared" ca="1" si="24"/>
        <v>27625</v>
      </c>
      <c r="L271">
        <v>-18136</v>
      </c>
      <c r="M271" s="7">
        <f t="shared" ca="1" si="22"/>
        <v>49.653661875427787</v>
      </c>
      <c r="N271" s="5" t="str">
        <f ca="1">VLOOKUP(Data!M271,temp!$B$3:$C$9,2,1)</f>
        <v>40-50</v>
      </c>
      <c r="O271">
        <v>-10110</v>
      </c>
      <c r="P271" s="8">
        <f t="shared" si="23"/>
        <v>27.679671457905545</v>
      </c>
      <c r="Q271" s="5" t="str">
        <f t="shared" si="25"/>
        <v>Employed</v>
      </c>
      <c r="R271">
        <v>1</v>
      </c>
      <c r="S271">
        <v>0</v>
      </c>
      <c r="T271">
        <v>1</v>
      </c>
      <c r="U271">
        <v>0</v>
      </c>
      <c r="V271" t="s">
        <v>47</v>
      </c>
      <c r="W271">
        <v>2</v>
      </c>
    </row>
    <row r="272" spans="1:23" x14ac:dyDescent="0.2">
      <c r="A272">
        <v>5021544</v>
      </c>
      <c r="B272" t="s">
        <v>18</v>
      </c>
      <c r="C272" t="s">
        <v>19</v>
      </c>
      <c r="D272" t="s">
        <v>20</v>
      </c>
      <c r="E272">
        <v>0</v>
      </c>
      <c r="F272">
        <v>202500</v>
      </c>
      <c r="G272" t="s">
        <v>26</v>
      </c>
      <c r="H272" t="s">
        <v>27</v>
      </c>
      <c r="I272" t="s">
        <v>28</v>
      </c>
      <c r="J272" t="s">
        <v>24</v>
      </c>
      <c r="K272" s="6">
        <f t="shared" ca="1" si="24"/>
        <v>24891</v>
      </c>
      <c r="L272">
        <v>-20870</v>
      </c>
      <c r="M272" s="7">
        <f t="shared" ca="1" si="22"/>
        <v>57.138945927446954</v>
      </c>
      <c r="N272" s="5" t="str">
        <f ca="1">VLOOKUP(Data!M272,temp!$B$3:$C$9,2,1)</f>
        <v>50-60</v>
      </c>
      <c r="O272">
        <v>-1583</v>
      </c>
      <c r="P272" s="8">
        <f t="shared" si="23"/>
        <v>4.3340177960301167</v>
      </c>
      <c r="Q272" s="5" t="str">
        <f t="shared" si="25"/>
        <v>Employed</v>
      </c>
      <c r="R272">
        <v>1</v>
      </c>
      <c r="S272">
        <v>0</v>
      </c>
      <c r="T272">
        <v>0</v>
      </c>
      <c r="U272">
        <v>0</v>
      </c>
      <c r="V272" t="s">
        <v>50</v>
      </c>
      <c r="W272">
        <v>2</v>
      </c>
    </row>
    <row r="273" spans="1:23" x14ac:dyDescent="0.2">
      <c r="A273">
        <v>5021552</v>
      </c>
      <c r="B273" t="s">
        <v>18</v>
      </c>
      <c r="C273" t="s">
        <v>19</v>
      </c>
      <c r="D273" t="s">
        <v>20</v>
      </c>
      <c r="E273">
        <v>0</v>
      </c>
      <c r="F273">
        <v>202500</v>
      </c>
      <c r="G273" t="s">
        <v>26</v>
      </c>
      <c r="H273" t="s">
        <v>27</v>
      </c>
      <c r="I273" t="s">
        <v>28</v>
      </c>
      <c r="J273" t="s">
        <v>24</v>
      </c>
      <c r="K273" s="6">
        <f t="shared" ca="1" si="24"/>
        <v>24891</v>
      </c>
      <c r="L273">
        <v>-20870</v>
      </c>
      <c r="M273" s="7">
        <f t="shared" ca="1" si="22"/>
        <v>57.138945927446954</v>
      </c>
      <c r="N273" s="5" t="str">
        <f ca="1">VLOOKUP(Data!M273,temp!$B$3:$C$9,2,1)</f>
        <v>50-60</v>
      </c>
      <c r="O273">
        <v>-1583</v>
      </c>
      <c r="P273" s="8">
        <f t="shared" si="23"/>
        <v>4.3340177960301167</v>
      </c>
      <c r="Q273" s="5" t="str">
        <f t="shared" si="25"/>
        <v>Employed</v>
      </c>
      <c r="R273">
        <v>1</v>
      </c>
      <c r="S273">
        <v>0</v>
      </c>
      <c r="T273">
        <v>0</v>
      </c>
      <c r="U273">
        <v>0</v>
      </c>
      <c r="V273" t="s">
        <v>50</v>
      </c>
      <c r="W273">
        <v>2</v>
      </c>
    </row>
    <row r="274" spans="1:23" x14ac:dyDescent="0.2">
      <c r="A274">
        <v>5021558</v>
      </c>
      <c r="B274" t="s">
        <v>25</v>
      </c>
      <c r="C274" t="s">
        <v>19</v>
      </c>
      <c r="D274" t="s">
        <v>20</v>
      </c>
      <c r="E274">
        <v>0</v>
      </c>
      <c r="F274">
        <v>135000</v>
      </c>
      <c r="G274" t="s">
        <v>31</v>
      </c>
      <c r="H274" t="s">
        <v>27</v>
      </c>
      <c r="I274" t="s">
        <v>28</v>
      </c>
      <c r="J274" t="s">
        <v>24</v>
      </c>
      <c r="K274" s="6">
        <f t="shared" ca="1" si="24"/>
        <v>27573</v>
      </c>
      <c r="L274">
        <v>-18188</v>
      </c>
      <c r="M274" s="7">
        <f t="shared" ca="1" si="22"/>
        <v>49.796030116358658</v>
      </c>
      <c r="N274" s="5" t="str">
        <f ca="1">VLOOKUP(Data!M274,temp!$B$3:$C$9,2,1)</f>
        <v>40-50</v>
      </c>
      <c r="O274">
        <v>-578</v>
      </c>
      <c r="P274" s="8">
        <f t="shared" si="23"/>
        <v>1.5824777549623545</v>
      </c>
      <c r="Q274" s="5" t="str">
        <f t="shared" si="25"/>
        <v>Employed</v>
      </c>
      <c r="R274">
        <v>1</v>
      </c>
      <c r="S274">
        <v>0</v>
      </c>
      <c r="T274">
        <v>0</v>
      </c>
      <c r="U274">
        <v>0</v>
      </c>
      <c r="V274" t="s">
        <v>30</v>
      </c>
      <c r="W274">
        <v>2</v>
      </c>
    </row>
    <row r="275" spans="1:23" x14ac:dyDescent="0.2">
      <c r="A275">
        <v>5021559</v>
      </c>
      <c r="B275" t="s">
        <v>25</v>
      </c>
      <c r="C275" t="s">
        <v>20</v>
      </c>
      <c r="D275" t="s">
        <v>20</v>
      </c>
      <c r="E275">
        <v>0</v>
      </c>
      <c r="F275">
        <v>360000</v>
      </c>
      <c r="G275" t="s">
        <v>31</v>
      </c>
      <c r="H275" t="s">
        <v>36</v>
      </c>
      <c r="I275" t="s">
        <v>28</v>
      </c>
      <c r="J275" t="s">
        <v>24</v>
      </c>
      <c r="K275" s="6">
        <f t="shared" ca="1" si="24"/>
        <v>35855</v>
      </c>
      <c r="L275">
        <v>-9906</v>
      </c>
      <c r="M275" s="7">
        <f t="shared" ca="1" si="22"/>
        <v>27.121149897330596</v>
      </c>
      <c r="N275" s="5" t="str">
        <f ca="1">VLOOKUP(Data!M275,temp!$B$3:$C$9,2,1)</f>
        <v>20-30</v>
      </c>
      <c r="O275">
        <v>-122</v>
      </c>
      <c r="P275" s="8">
        <f t="shared" si="23"/>
        <v>0.33401779603011633</v>
      </c>
      <c r="Q275" s="5" t="str">
        <f t="shared" si="25"/>
        <v>Employed</v>
      </c>
      <c r="R275">
        <v>1</v>
      </c>
      <c r="S275">
        <v>1</v>
      </c>
      <c r="T275">
        <v>1</v>
      </c>
      <c r="U275">
        <v>0</v>
      </c>
      <c r="V275" t="s">
        <v>39</v>
      </c>
      <c r="W275">
        <v>2</v>
      </c>
    </row>
    <row r="276" spans="1:23" x14ac:dyDescent="0.2">
      <c r="A276">
        <v>5021573</v>
      </c>
      <c r="B276" t="s">
        <v>25</v>
      </c>
      <c r="C276" t="s">
        <v>19</v>
      </c>
      <c r="D276" t="s">
        <v>19</v>
      </c>
      <c r="E276">
        <v>0</v>
      </c>
      <c r="F276">
        <v>270000</v>
      </c>
      <c r="G276" t="s">
        <v>35</v>
      </c>
      <c r="H276" t="s">
        <v>36</v>
      </c>
      <c r="I276" t="s">
        <v>28</v>
      </c>
      <c r="J276" t="s">
        <v>24</v>
      </c>
      <c r="K276" s="6">
        <f t="shared" ca="1" si="24"/>
        <v>35974</v>
      </c>
      <c r="L276">
        <v>-9787</v>
      </c>
      <c r="M276" s="7">
        <f t="shared" ca="1" si="22"/>
        <v>26.795345653661876</v>
      </c>
      <c r="N276" s="5" t="str">
        <f ca="1">VLOOKUP(Data!M276,temp!$B$3:$C$9,2,1)</f>
        <v>20-30</v>
      </c>
      <c r="O276">
        <v>-1674</v>
      </c>
      <c r="P276" s="8">
        <f t="shared" si="23"/>
        <v>4.5831622176591376</v>
      </c>
      <c r="Q276" s="5" t="str">
        <f t="shared" si="25"/>
        <v>Employed</v>
      </c>
      <c r="R276">
        <v>1</v>
      </c>
      <c r="S276">
        <v>0</v>
      </c>
      <c r="T276">
        <v>0</v>
      </c>
      <c r="U276">
        <v>0</v>
      </c>
      <c r="W276">
        <v>2</v>
      </c>
    </row>
    <row r="277" spans="1:23" x14ac:dyDescent="0.2">
      <c r="A277">
        <v>5021589</v>
      </c>
      <c r="B277" t="s">
        <v>18</v>
      </c>
      <c r="C277" t="s">
        <v>20</v>
      </c>
      <c r="D277" t="s">
        <v>20</v>
      </c>
      <c r="E277">
        <v>0</v>
      </c>
      <c r="F277">
        <v>247500</v>
      </c>
      <c r="G277" t="s">
        <v>31</v>
      </c>
      <c r="H277" t="s">
        <v>36</v>
      </c>
      <c r="I277" t="s">
        <v>23</v>
      </c>
      <c r="J277" t="s">
        <v>24</v>
      </c>
      <c r="K277" s="6">
        <f t="shared" ca="1" si="24"/>
        <v>26089</v>
      </c>
      <c r="L277">
        <v>-19672</v>
      </c>
      <c r="M277" s="7">
        <f t="shared" ca="1" si="22"/>
        <v>53.8590006844627</v>
      </c>
      <c r="N277" s="5" t="str">
        <f ca="1">VLOOKUP(Data!M277,temp!$B$3:$C$9,2,1)</f>
        <v>50-60</v>
      </c>
      <c r="O277">
        <v>-1375</v>
      </c>
      <c r="P277" s="8">
        <f t="shared" si="23"/>
        <v>3.7645448323066395</v>
      </c>
      <c r="Q277" s="5" t="str">
        <f t="shared" si="25"/>
        <v>Employed</v>
      </c>
      <c r="R277">
        <v>1</v>
      </c>
      <c r="S277">
        <v>1</v>
      </c>
      <c r="T277">
        <v>0</v>
      </c>
      <c r="U277">
        <v>0</v>
      </c>
      <c r="V277" t="s">
        <v>44</v>
      </c>
      <c r="W277">
        <v>1</v>
      </c>
    </row>
    <row r="278" spans="1:23" x14ac:dyDescent="0.2">
      <c r="A278">
        <v>5021612</v>
      </c>
      <c r="B278" t="s">
        <v>18</v>
      </c>
      <c r="C278" t="s">
        <v>20</v>
      </c>
      <c r="D278" t="s">
        <v>20</v>
      </c>
      <c r="E278">
        <v>0</v>
      </c>
      <c r="F278">
        <v>360000</v>
      </c>
      <c r="G278" t="s">
        <v>21</v>
      </c>
      <c r="H278" t="s">
        <v>22</v>
      </c>
      <c r="I278" t="s">
        <v>28</v>
      </c>
      <c r="J278" t="s">
        <v>24</v>
      </c>
      <c r="K278" s="6">
        <f t="shared" ca="1" si="24"/>
        <v>24492</v>
      </c>
      <c r="L278">
        <v>-21269</v>
      </c>
      <c r="M278" s="7">
        <f t="shared" ca="1" si="22"/>
        <v>58.231348391512661</v>
      </c>
      <c r="N278" s="5" t="str">
        <f ca="1">VLOOKUP(Data!M278,temp!$B$3:$C$9,2,1)</f>
        <v>50-60</v>
      </c>
      <c r="O278">
        <v>365243</v>
      </c>
      <c r="P278" s="8">
        <f t="shared" si="23"/>
        <v>0</v>
      </c>
      <c r="Q278" s="5" t="str">
        <f t="shared" si="25"/>
        <v>Unemployed</v>
      </c>
      <c r="R278">
        <v>1</v>
      </c>
      <c r="S278">
        <v>0</v>
      </c>
      <c r="T278">
        <v>1</v>
      </c>
      <c r="U278">
        <v>0</v>
      </c>
      <c r="W278">
        <v>2</v>
      </c>
    </row>
    <row r="279" spans="1:23" x14ac:dyDescent="0.2">
      <c r="A279">
        <v>5021620</v>
      </c>
      <c r="B279" t="s">
        <v>18</v>
      </c>
      <c r="C279" t="s">
        <v>20</v>
      </c>
      <c r="D279" t="s">
        <v>20</v>
      </c>
      <c r="E279">
        <v>3</v>
      </c>
      <c r="F279">
        <v>126000</v>
      </c>
      <c r="G279" t="s">
        <v>31</v>
      </c>
      <c r="H279" t="s">
        <v>22</v>
      </c>
      <c r="I279" t="s">
        <v>28</v>
      </c>
      <c r="J279" t="s">
        <v>24</v>
      </c>
      <c r="K279" s="6">
        <f t="shared" ca="1" si="24"/>
        <v>30758</v>
      </c>
      <c r="L279">
        <v>-15003</v>
      </c>
      <c r="M279" s="7">
        <f t="shared" ca="1" si="22"/>
        <v>41.075975359342912</v>
      </c>
      <c r="N279" s="5" t="str">
        <f ca="1">VLOOKUP(Data!M279,temp!$B$3:$C$9,2,1)</f>
        <v>40-50</v>
      </c>
      <c r="O279">
        <v>-122</v>
      </c>
      <c r="P279" s="8">
        <f t="shared" si="23"/>
        <v>0.33401779603011633</v>
      </c>
      <c r="Q279" s="5" t="str">
        <f t="shared" si="25"/>
        <v>Employed</v>
      </c>
      <c r="R279">
        <v>1</v>
      </c>
      <c r="S279">
        <v>0</v>
      </c>
      <c r="T279">
        <v>0</v>
      </c>
      <c r="U279">
        <v>0</v>
      </c>
      <c r="V279" t="s">
        <v>32</v>
      </c>
      <c r="W279">
        <v>5</v>
      </c>
    </row>
    <row r="280" spans="1:23" x14ac:dyDescent="0.2">
      <c r="A280">
        <v>5021646</v>
      </c>
      <c r="B280" t="s">
        <v>18</v>
      </c>
      <c r="C280" t="s">
        <v>19</v>
      </c>
      <c r="D280" t="s">
        <v>20</v>
      </c>
      <c r="E280">
        <v>0</v>
      </c>
      <c r="F280">
        <v>292500</v>
      </c>
      <c r="G280" t="s">
        <v>31</v>
      </c>
      <c r="H280" t="s">
        <v>22</v>
      </c>
      <c r="I280" t="s">
        <v>37</v>
      </c>
      <c r="J280" t="s">
        <v>24</v>
      </c>
      <c r="K280" s="6">
        <f t="shared" ca="1" si="24"/>
        <v>33207</v>
      </c>
      <c r="L280">
        <v>-12554</v>
      </c>
      <c r="M280" s="7">
        <f t="shared" ca="1" si="22"/>
        <v>34.370978781656397</v>
      </c>
      <c r="N280" s="5" t="str">
        <f ca="1">VLOOKUP(Data!M280,temp!$B$3:$C$9,2,1)</f>
        <v>30-40</v>
      </c>
      <c r="O280">
        <v>-5326</v>
      </c>
      <c r="P280" s="8">
        <f t="shared" si="23"/>
        <v>14.581793292265571</v>
      </c>
      <c r="Q280" s="5" t="str">
        <f t="shared" si="25"/>
        <v>Employed</v>
      </c>
      <c r="R280">
        <v>1</v>
      </c>
      <c r="S280">
        <v>0</v>
      </c>
      <c r="T280">
        <v>0</v>
      </c>
      <c r="U280">
        <v>1</v>
      </c>
      <c r="V280" t="s">
        <v>32</v>
      </c>
      <c r="W280">
        <v>2</v>
      </c>
    </row>
    <row r="281" spans="1:23" x14ac:dyDescent="0.2">
      <c r="A281">
        <v>5021662</v>
      </c>
      <c r="B281" t="s">
        <v>25</v>
      </c>
      <c r="C281" t="s">
        <v>19</v>
      </c>
      <c r="D281" t="s">
        <v>20</v>
      </c>
      <c r="E281">
        <v>1</v>
      </c>
      <c r="F281">
        <v>225000</v>
      </c>
      <c r="G281" t="s">
        <v>31</v>
      </c>
      <c r="H281" t="s">
        <v>27</v>
      </c>
      <c r="I281" t="s">
        <v>28</v>
      </c>
      <c r="J281" t="s">
        <v>24</v>
      </c>
      <c r="K281" s="6">
        <f t="shared" ca="1" si="24"/>
        <v>31973</v>
      </c>
      <c r="L281">
        <v>-13788</v>
      </c>
      <c r="M281" s="7">
        <f t="shared" ca="1" si="22"/>
        <v>37.74948665297741</v>
      </c>
      <c r="N281" s="5" t="str">
        <f ca="1">VLOOKUP(Data!M281,temp!$B$3:$C$9,2,1)</f>
        <v>30-40</v>
      </c>
      <c r="O281">
        <v>-640</v>
      </c>
      <c r="P281" s="8">
        <f t="shared" si="23"/>
        <v>1.7522245037645447</v>
      </c>
      <c r="Q281" s="5" t="str">
        <f t="shared" si="25"/>
        <v>Employed</v>
      </c>
      <c r="R281">
        <v>1</v>
      </c>
      <c r="S281">
        <v>1</v>
      </c>
      <c r="T281">
        <v>0</v>
      </c>
      <c r="U281">
        <v>0</v>
      </c>
      <c r="V281" t="s">
        <v>29</v>
      </c>
      <c r="W281">
        <v>3</v>
      </c>
    </row>
    <row r="282" spans="1:23" x14ac:dyDescent="0.2">
      <c r="A282">
        <v>5021673</v>
      </c>
      <c r="B282" t="s">
        <v>25</v>
      </c>
      <c r="C282" t="s">
        <v>19</v>
      </c>
      <c r="D282" t="s">
        <v>20</v>
      </c>
      <c r="E282">
        <v>1</v>
      </c>
      <c r="F282">
        <v>225000</v>
      </c>
      <c r="G282" t="s">
        <v>31</v>
      </c>
      <c r="H282" t="s">
        <v>27</v>
      </c>
      <c r="I282" t="s">
        <v>28</v>
      </c>
      <c r="J282" t="s">
        <v>24</v>
      </c>
      <c r="K282" s="6">
        <f t="shared" ca="1" si="24"/>
        <v>31973</v>
      </c>
      <c r="L282">
        <v>-13788</v>
      </c>
      <c r="M282" s="7">
        <f t="shared" ca="1" si="22"/>
        <v>37.74948665297741</v>
      </c>
      <c r="N282" s="5" t="str">
        <f ca="1">VLOOKUP(Data!M282,temp!$B$3:$C$9,2,1)</f>
        <v>30-40</v>
      </c>
      <c r="O282">
        <v>-640</v>
      </c>
      <c r="P282" s="8">
        <f t="shared" si="23"/>
        <v>1.7522245037645447</v>
      </c>
      <c r="Q282" s="5" t="str">
        <f t="shared" si="25"/>
        <v>Employed</v>
      </c>
      <c r="R282">
        <v>1</v>
      </c>
      <c r="S282">
        <v>1</v>
      </c>
      <c r="T282">
        <v>0</v>
      </c>
      <c r="U282">
        <v>0</v>
      </c>
      <c r="V282" t="s">
        <v>29</v>
      </c>
      <c r="W282">
        <v>3</v>
      </c>
    </row>
    <row r="283" spans="1:23" x14ac:dyDescent="0.2">
      <c r="A283">
        <v>5021674</v>
      </c>
      <c r="B283" t="s">
        <v>25</v>
      </c>
      <c r="C283" t="s">
        <v>19</v>
      </c>
      <c r="D283" t="s">
        <v>20</v>
      </c>
      <c r="E283">
        <v>1</v>
      </c>
      <c r="F283">
        <v>225000</v>
      </c>
      <c r="G283" t="s">
        <v>31</v>
      </c>
      <c r="H283" t="s">
        <v>27</v>
      </c>
      <c r="I283" t="s">
        <v>28</v>
      </c>
      <c r="J283" t="s">
        <v>24</v>
      </c>
      <c r="K283" s="6">
        <f t="shared" ca="1" si="24"/>
        <v>31973</v>
      </c>
      <c r="L283">
        <v>-13788</v>
      </c>
      <c r="M283" s="7">
        <f t="shared" ca="1" si="22"/>
        <v>37.74948665297741</v>
      </c>
      <c r="N283" s="5" t="str">
        <f ca="1">VLOOKUP(Data!M283,temp!$B$3:$C$9,2,1)</f>
        <v>30-40</v>
      </c>
      <c r="O283">
        <v>-640</v>
      </c>
      <c r="P283" s="8">
        <f t="shared" si="23"/>
        <v>1.7522245037645447</v>
      </c>
      <c r="Q283" s="5" t="str">
        <f t="shared" si="25"/>
        <v>Employed</v>
      </c>
      <c r="R283">
        <v>1</v>
      </c>
      <c r="S283">
        <v>1</v>
      </c>
      <c r="T283">
        <v>0</v>
      </c>
      <c r="U283">
        <v>0</v>
      </c>
      <c r="V283" t="s">
        <v>29</v>
      </c>
      <c r="W283">
        <v>3</v>
      </c>
    </row>
    <row r="284" spans="1:23" x14ac:dyDescent="0.2">
      <c r="A284">
        <v>5021684</v>
      </c>
      <c r="B284" t="s">
        <v>25</v>
      </c>
      <c r="C284" t="s">
        <v>19</v>
      </c>
      <c r="D284" t="s">
        <v>20</v>
      </c>
      <c r="E284">
        <v>0</v>
      </c>
      <c r="F284">
        <v>202500</v>
      </c>
      <c r="G284" t="s">
        <v>26</v>
      </c>
      <c r="H284" t="s">
        <v>27</v>
      </c>
      <c r="I284" t="s">
        <v>23</v>
      </c>
      <c r="J284" t="s">
        <v>24</v>
      </c>
      <c r="K284" s="6">
        <f t="shared" ca="1" si="24"/>
        <v>27016</v>
      </c>
      <c r="L284">
        <v>-18745</v>
      </c>
      <c r="M284" s="7">
        <f t="shared" ca="1" si="22"/>
        <v>51.32101300479124</v>
      </c>
      <c r="N284" s="5" t="str">
        <f ca="1">VLOOKUP(Data!M284,temp!$B$3:$C$9,2,1)</f>
        <v>50-60</v>
      </c>
      <c r="O284">
        <v>-3653</v>
      </c>
      <c r="P284" s="8">
        <f t="shared" si="23"/>
        <v>10.001368925393566</v>
      </c>
      <c r="Q284" s="5" t="str">
        <f t="shared" si="25"/>
        <v>Employed</v>
      </c>
      <c r="R284">
        <v>1</v>
      </c>
      <c r="S284">
        <v>0</v>
      </c>
      <c r="T284">
        <v>0</v>
      </c>
      <c r="U284">
        <v>0</v>
      </c>
      <c r="V284" t="s">
        <v>46</v>
      </c>
      <c r="W284">
        <v>1</v>
      </c>
    </row>
    <row r="285" spans="1:23" x14ac:dyDescent="0.2">
      <c r="A285">
        <v>5021691</v>
      </c>
      <c r="B285" t="s">
        <v>25</v>
      </c>
      <c r="C285" t="s">
        <v>20</v>
      </c>
      <c r="D285" t="s">
        <v>20</v>
      </c>
      <c r="E285">
        <v>1</v>
      </c>
      <c r="F285">
        <v>225000</v>
      </c>
      <c r="G285" t="s">
        <v>31</v>
      </c>
      <c r="H285" t="s">
        <v>36</v>
      </c>
      <c r="I285" t="s">
        <v>28</v>
      </c>
      <c r="J285" t="s">
        <v>24</v>
      </c>
      <c r="K285" s="6">
        <f t="shared" ca="1" si="24"/>
        <v>32556</v>
      </c>
      <c r="L285">
        <v>-13205</v>
      </c>
      <c r="M285" s="7">
        <f t="shared" ca="1" si="22"/>
        <v>36.153319644079396</v>
      </c>
      <c r="N285" s="5" t="str">
        <f ca="1">VLOOKUP(Data!M285,temp!$B$3:$C$9,2,1)</f>
        <v>30-40</v>
      </c>
      <c r="O285">
        <v>-248</v>
      </c>
      <c r="P285" s="8">
        <f t="shared" si="23"/>
        <v>0.67898699520876116</v>
      </c>
      <c r="Q285" s="5" t="str">
        <f t="shared" si="25"/>
        <v>Employed</v>
      </c>
      <c r="R285">
        <v>1</v>
      </c>
      <c r="S285">
        <v>0</v>
      </c>
      <c r="T285">
        <v>0</v>
      </c>
      <c r="U285">
        <v>0</v>
      </c>
      <c r="V285" t="s">
        <v>32</v>
      </c>
      <c r="W285">
        <v>3</v>
      </c>
    </row>
    <row r="286" spans="1:23" x14ac:dyDescent="0.2">
      <c r="A286">
        <v>5021699</v>
      </c>
      <c r="B286" t="s">
        <v>18</v>
      </c>
      <c r="C286" t="s">
        <v>19</v>
      </c>
      <c r="D286" t="s">
        <v>20</v>
      </c>
      <c r="E286">
        <v>1</v>
      </c>
      <c r="F286">
        <v>180000</v>
      </c>
      <c r="G286" t="s">
        <v>26</v>
      </c>
      <c r="H286" t="s">
        <v>27</v>
      </c>
      <c r="I286" t="s">
        <v>23</v>
      </c>
      <c r="J286" t="s">
        <v>24</v>
      </c>
      <c r="K286" s="6">
        <f t="shared" ca="1" si="24"/>
        <v>27241</v>
      </c>
      <c r="L286">
        <v>-18520</v>
      </c>
      <c r="M286" s="7">
        <f t="shared" ca="1" si="22"/>
        <v>50.704996577686515</v>
      </c>
      <c r="N286" s="5" t="str">
        <f ca="1">VLOOKUP(Data!M286,temp!$B$3:$C$9,2,1)</f>
        <v>50-60</v>
      </c>
      <c r="O286">
        <v>-2101</v>
      </c>
      <c r="P286" s="8">
        <f t="shared" si="23"/>
        <v>5.7522245037645447</v>
      </c>
      <c r="Q286" s="5" t="str">
        <f t="shared" si="25"/>
        <v>Employed</v>
      </c>
      <c r="R286">
        <v>1</v>
      </c>
      <c r="S286">
        <v>0</v>
      </c>
      <c r="T286">
        <v>1</v>
      </c>
      <c r="U286">
        <v>1</v>
      </c>
      <c r="V286" t="s">
        <v>38</v>
      </c>
      <c r="W286">
        <v>2</v>
      </c>
    </row>
    <row r="287" spans="1:23" x14ac:dyDescent="0.2">
      <c r="A287">
        <v>5021725</v>
      </c>
      <c r="B287" t="s">
        <v>18</v>
      </c>
      <c r="C287" t="s">
        <v>20</v>
      </c>
      <c r="D287" t="s">
        <v>20</v>
      </c>
      <c r="E287">
        <v>1</v>
      </c>
      <c r="F287">
        <v>630000</v>
      </c>
      <c r="G287" t="s">
        <v>31</v>
      </c>
      <c r="H287" t="s">
        <v>27</v>
      </c>
      <c r="I287" t="s">
        <v>28</v>
      </c>
      <c r="J287" t="s">
        <v>24</v>
      </c>
      <c r="K287" s="6">
        <f t="shared" ca="1" si="24"/>
        <v>28006</v>
      </c>
      <c r="L287">
        <v>-17755</v>
      </c>
      <c r="M287" s="7">
        <f t="shared" ca="1" si="22"/>
        <v>48.610540725530456</v>
      </c>
      <c r="N287" s="5" t="str">
        <f ca="1">VLOOKUP(Data!M287,temp!$B$3:$C$9,2,1)</f>
        <v>40-50</v>
      </c>
      <c r="O287">
        <v>-401</v>
      </c>
      <c r="P287" s="8">
        <f t="shared" si="23"/>
        <v>1.0978781656399725</v>
      </c>
      <c r="Q287" s="5" t="str">
        <f t="shared" si="25"/>
        <v>Employed</v>
      </c>
      <c r="R287">
        <v>1</v>
      </c>
      <c r="S287">
        <v>0</v>
      </c>
      <c r="T287">
        <v>0</v>
      </c>
      <c r="U287">
        <v>0</v>
      </c>
      <c r="W287">
        <v>3</v>
      </c>
    </row>
    <row r="288" spans="1:23" x14ac:dyDescent="0.2">
      <c r="A288">
        <v>5021738</v>
      </c>
      <c r="B288" t="s">
        <v>18</v>
      </c>
      <c r="C288" t="s">
        <v>19</v>
      </c>
      <c r="D288" t="s">
        <v>20</v>
      </c>
      <c r="E288">
        <v>0</v>
      </c>
      <c r="F288">
        <v>189000</v>
      </c>
      <c r="G288" t="s">
        <v>21</v>
      </c>
      <c r="H288" t="s">
        <v>27</v>
      </c>
      <c r="I288" t="s">
        <v>42</v>
      </c>
      <c r="J288" t="s">
        <v>24</v>
      </c>
      <c r="K288" s="6">
        <f t="shared" ca="1" si="24"/>
        <v>24903</v>
      </c>
      <c r="L288">
        <v>-20858</v>
      </c>
      <c r="M288" s="7">
        <f t="shared" ca="1" si="22"/>
        <v>57.106091718001366</v>
      </c>
      <c r="N288" s="5" t="str">
        <f ca="1">VLOOKUP(Data!M288,temp!$B$3:$C$9,2,1)</f>
        <v>50-60</v>
      </c>
      <c r="O288">
        <v>365243</v>
      </c>
      <c r="P288" s="8">
        <f t="shared" si="23"/>
        <v>0</v>
      </c>
      <c r="Q288" s="5" t="str">
        <f t="shared" si="25"/>
        <v>Unemployed</v>
      </c>
      <c r="R288">
        <v>1</v>
      </c>
      <c r="S288">
        <v>0</v>
      </c>
      <c r="T288">
        <v>0</v>
      </c>
      <c r="U288">
        <v>0</v>
      </c>
      <c r="W288">
        <v>1</v>
      </c>
    </row>
    <row r="289" spans="1:23" x14ac:dyDescent="0.2">
      <c r="A289">
        <v>5021744</v>
      </c>
      <c r="B289" t="s">
        <v>18</v>
      </c>
      <c r="C289" t="s">
        <v>19</v>
      </c>
      <c r="D289" t="s">
        <v>20</v>
      </c>
      <c r="E289">
        <v>1</v>
      </c>
      <c r="F289">
        <v>112500</v>
      </c>
      <c r="G289" t="s">
        <v>31</v>
      </c>
      <c r="H289" t="s">
        <v>27</v>
      </c>
      <c r="I289" t="s">
        <v>28</v>
      </c>
      <c r="J289" t="s">
        <v>24</v>
      </c>
      <c r="K289" s="6">
        <f t="shared" ca="1" si="24"/>
        <v>35355</v>
      </c>
      <c r="L289">
        <v>-10406</v>
      </c>
      <c r="M289" s="7">
        <f t="shared" ca="1" si="22"/>
        <v>28.490075290896645</v>
      </c>
      <c r="N289" s="5" t="str">
        <f ca="1">VLOOKUP(Data!M289,temp!$B$3:$C$9,2,1)</f>
        <v>20-30</v>
      </c>
      <c r="O289">
        <v>-2774</v>
      </c>
      <c r="P289" s="8">
        <f t="shared" si="23"/>
        <v>7.5947980835044486</v>
      </c>
      <c r="Q289" s="5" t="str">
        <f t="shared" si="25"/>
        <v>Employed</v>
      </c>
      <c r="R289">
        <v>1</v>
      </c>
      <c r="S289">
        <v>0</v>
      </c>
      <c r="T289">
        <v>0</v>
      </c>
      <c r="U289">
        <v>1</v>
      </c>
      <c r="V289" t="s">
        <v>38</v>
      </c>
      <c r="W289">
        <v>3</v>
      </c>
    </row>
    <row r="290" spans="1:23" x14ac:dyDescent="0.2">
      <c r="A290">
        <v>5021746</v>
      </c>
      <c r="B290" t="s">
        <v>18</v>
      </c>
      <c r="C290" t="s">
        <v>19</v>
      </c>
      <c r="D290" t="s">
        <v>20</v>
      </c>
      <c r="E290">
        <v>1</v>
      </c>
      <c r="F290">
        <v>112500</v>
      </c>
      <c r="G290" t="s">
        <v>31</v>
      </c>
      <c r="H290" t="s">
        <v>27</v>
      </c>
      <c r="I290" t="s">
        <v>28</v>
      </c>
      <c r="J290" t="s">
        <v>24</v>
      </c>
      <c r="K290" s="6">
        <f t="shared" ca="1" si="24"/>
        <v>35355</v>
      </c>
      <c r="L290">
        <v>-10406</v>
      </c>
      <c r="M290" s="7">
        <f t="shared" ca="1" si="22"/>
        <v>28.490075290896645</v>
      </c>
      <c r="N290" s="5" t="str">
        <f ca="1">VLOOKUP(Data!M290,temp!$B$3:$C$9,2,1)</f>
        <v>20-30</v>
      </c>
      <c r="O290">
        <v>-2774</v>
      </c>
      <c r="P290" s="8">
        <f t="shared" si="23"/>
        <v>7.5947980835044486</v>
      </c>
      <c r="Q290" s="5" t="str">
        <f t="shared" si="25"/>
        <v>Employed</v>
      </c>
      <c r="R290">
        <v>1</v>
      </c>
      <c r="S290">
        <v>0</v>
      </c>
      <c r="T290">
        <v>0</v>
      </c>
      <c r="U290">
        <v>1</v>
      </c>
      <c r="V290" t="s">
        <v>38</v>
      </c>
      <c r="W290">
        <v>3</v>
      </c>
    </row>
    <row r="291" spans="1:23" x14ac:dyDescent="0.2">
      <c r="A291">
        <v>5021749</v>
      </c>
      <c r="B291" t="s">
        <v>18</v>
      </c>
      <c r="C291" t="s">
        <v>19</v>
      </c>
      <c r="D291" t="s">
        <v>20</v>
      </c>
      <c r="E291">
        <v>1</v>
      </c>
      <c r="F291">
        <v>112500</v>
      </c>
      <c r="G291" t="s">
        <v>31</v>
      </c>
      <c r="H291" t="s">
        <v>27</v>
      </c>
      <c r="I291" t="s">
        <v>28</v>
      </c>
      <c r="J291" t="s">
        <v>24</v>
      </c>
      <c r="K291" s="6">
        <f t="shared" ca="1" si="24"/>
        <v>35355</v>
      </c>
      <c r="L291">
        <v>-10406</v>
      </c>
      <c r="M291" s="7">
        <f t="shared" ca="1" si="22"/>
        <v>28.490075290896645</v>
      </c>
      <c r="N291" s="5" t="str">
        <f ca="1">VLOOKUP(Data!M291,temp!$B$3:$C$9,2,1)</f>
        <v>20-30</v>
      </c>
      <c r="O291">
        <v>-2774</v>
      </c>
      <c r="P291" s="8">
        <f t="shared" si="23"/>
        <v>7.5947980835044486</v>
      </c>
      <c r="Q291" s="5" t="str">
        <f t="shared" si="25"/>
        <v>Employed</v>
      </c>
      <c r="R291">
        <v>1</v>
      </c>
      <c r="S291">
        <v>0</v>
      </c>
      <c r="T291">
        <v>0</v>
      </c>
      <c r="U291">
        <v>1</v>
      </c>
      <c r="V291" t="s">
        <v>38</v>
      </c>
      <c r="W291">
        <v>3</v>
      </c>
    </row>
    <row r="292" spans="1:23" x14ac:dyDescent="0.2">
      <c r="A292">
        <v>5021792</v>
      </c>
      <c r="B292" t="s">
        <v>18</v>
      </c>
      <c r="C292" t="s">
        <v>20</v>
      </c>
      <c r="D292" t="s">
        <v>20</v>
      </c>
      <c r="E292">
        <v>2</v>
      </c>
      <c r="F292">
        <v>157500</v>
      </c>
      <c r="G292" t="s">
        <v>31</v>
      </c>
      <c r="H292" t="s">
        <v>27</v>
      </c>
      <c r="I292" t="s">
        <v>28</v>
      </c>
      <c r="J292" t="s">
        <v>24</v>
      </c>
      <c r="K292" s="6">
        <f t="shared" ca="1" si="24"/>
        <v>30740</v>
      </c>
      <c r="L292">
        <v>-15021</v>
      </c>
      <c r="M292" s="7">
        <f t="shared" ca="1" si="22"/>
        <v>41.125256673511295</v>
      </c>
      <c r="N292" s="5" t="str">
        <f ca="1">VLOOKUP(Data!M292,temp!$B$3:$C$9,2,1)</f>
        <v>40-50</v>
      </c>
      <c r="O292">
        <v>-6879</v>
      </c>
      <c r="P292" s="8">
        <f t="shared" si="23"/>
        <v>18.833675564681723</v>
      </c>
      <c r="Q292" s="5" t="str">
        <f t="shared" si="25"/>
        <v>Employed</v>
      </c>
      <c r="R292">
        <v>1</v>
      </c>
      <c r="S292">
        <v>0</v>
      </c>
      <c r="T292">
        <v>0</v>
      </c>
      <c r="U292">
        <v>0</v>
      </c>
      <c r="V292" t="s">
        <v>47</v>
      </c>
      <c r="W292">
        <v>4</v>
      </c>
    </row>
    <row r="293" spans="1:23" x14ac:dyDescent="0.2">
      <c r="A293">
        <v>5021794</v>
      </c>
      <c r="B293" t="s">
        <v>18</v>
      </c>
      <c r="C293" t="s">
        <v>19</v>
      </c>
      <c r="D293" t="s">
        <v>20</v>
      </c>
      <c r="E293">
        <v>0</v>
      </c>
      <c r="F293">
        <v>225000</v>
      </c>
      <c r="G293" t="s">
        <v>26</v>
      </c>
      <c r="H293" t="s">
        <v>27</v>
      </c>
      <c r="I293" t="s">
        <v>28</v>
      </c>
      <c r="J293" t="s">
        <v>24</v>
      </c>
      <c r="K293" s="6">
        <f t="shared" ca="1" si="24"/>
        <v>33436</v>
      </c>
      <c r="L293">
        <v>-12325</v>
      </c>
      <c r="M293" s="7">
        <f t="shared" ca="1" si="22"/>
        <v>33.744010951403148</v>
      </c>
      <c r="N293" s="5" t="str">
        <f ca="1">VLOOKUP(Data!M293,temp!$B$3:$C$9,2,1)</f>
        <v>30-40</v>
      </c>
      <c r="O293">
        <v>-187</v>
      </c>
      <c r="P293" s="8">
        <f t="shared" si="23"/>
        <v>0.51197809719370291</v>
      </c>
      <c r="Q293" s="5" t="str">
        <f t="shared" si="25"/>
        <v>Employed</v>
      </c>
      <c r="R293">
        <v>1</v>
      </c>
      <c r="S293">
        <v>0</v>
      </c>
      <c r="T293">
        <v>0</v>
      </c>
      <c r="U293">
        <v>0</v>
      </c>
      <c r="V293" t="s">
        <v>38</v>
      </c>
      <c r="W293">
        <v>2</v>
      </c>
    </row>
    <row r="294" spans="1:23" x14ac:dyDescent="0.2">
      <c r="A294">
        <v>5021797</v>
      </c>
      <c r="B294" t="s">
        <v>18</v>
      </c>
      <c r="C294" t="s">
        <v>19</v>
      </c>
      <c r="D294" t="s">
        <v>20</v>
      </c>
      <c r="E294">
        <v>0</v>
      </c>
      <c r="F294">
        <v>225000</v>
      </c>
      <c r="G294" t="s">
        <v>26</v>
      </c>
      <c r="H294" t="s">
        <v>27</v>
      </c>
      <c r="I294" t="s">
        <v>28</v>
      </c>
      <c r="J294" t="s">
        <v>24</v>
      </c>
      <c r="K294" s="6">
        <f t="shared" ca="1" si="24"/>
        <v>33436</v>
      </c>
      <c r="L294">
        <v>-12325</v>
      </c>
      <c r="M294" s="7">
        <f t="shared" ca="1" si="22"/>
        <v>33.744010951403148</v>
      </c>
      <c r="N294" s="5" t="str">
        <f ca="1">VLOOKUP(Data!M294,temp!$B$3:$C$9,2,1)</f>
        <v>30-40</v>
      </c>
      <c r="O294">
        <v>-187</v>
      </c>
      <c r="P294" s="8">
        <f t="shared" si="23"/>
        <v>0.51197809719370291</v>
      </c>
      <c r="Q294" s="5" t="str">
        <f t="shared" si="25"/>
        <v>Employed</v>
      </c>
      <c r="R294">
        <v>1</v>
      </c>
      <c r="S294">
        <v>0</v>
      </c>
      <c r="T294">
        <v>0</v>
      </c>
      <c r="U294">
        <v>0</v>
      </c>
      <c r="V294" t="s">
        <v>38</v>
      </c>
      <c r="W294">
        <v>2</v>
      </c>
    </row>
    <row r="295" spans="1:23" x14ac:dyDescent="0.2">
      <c r="A295">
        <v>5021798</v>
      </c>
      <c r="B295" t="s">
        <v>18</v>
      </c>
      <c r="C295" t="s">
        <v>19</v>
      </c>
      <c r="D295" t="s">
        <v>20</v>
      </c>
      <c r="E295">
        <v>0</v>
      </c>
      <c r="F295">
        <v>225000</v>
      </c>
      <c r="G295" t="s">
        <v>26</v>
      </c>
      <c r="H295" t="s">
        <v>27</v>
      </c>
      <c r="I295" t="s">
        <v>28</v>
      </c>
      <c r="J295" t="s">
        <v>24</v>
      </c>
      <c r="K295" s="6">
        <f t="shared" ca="1" si="24"/>
        <v>33436</v>
      </c>
      <c r="L295">
        <v>-12325</v>
      </c>
      <c r="M295" s="7">
        <f t="shared" ca="1" si="22"/>
        <v>33.744010951403148</v>
      </c>
      <c r="N295" s="5" t="str">
        <f ca="1">VLOOKUP(Data!M295,temp!$B$3:$C$9,2,1)</f>
        <v>30-40</v>
      </c>
      <c r="O295">
        <v>-187</v>
      </c>
      <c r="P295" s="8">
        <f t="shared" si="23"/>
        <v>0.51197809719370291</v>
      </c>
      <c r="Q295" s="5" t="str">
        <f t="shared" si="25"/>
        <v>Employed</v>
      </c>
      <c r="R295">
        <v>1</v>
      </c>
      <c r="S295">
        <v>0</v>
      </c>
      <c r="T295">
        <v>0</v>
      </c>
      <c r="U295">
        <v>0</v>
      </c>
      <c r="V295" t="s">
        <v>38</v>
      </c>
      <c r="W295">
        <v>2</v>
      </c>
    </row>
    <row r="296" spans="1:23" x14ac:dyDescent="0.2">
      <c r="A296">
        <v>5021799</v>
      </c>
      <c r="B296" t="s">
        <v>18</v>
      </c>
      <c r="C296" t="s">
        <v>19</v>
      </c>
      <c r="D296" t="s">
        <v>20</v>
      </c>
      <c r="E296">
        <v>0</v>
      </c>
      <c r="F296">
        <v>225000</v>
      </c>
      <c r="G296" t="s">
        <v>26</v>
      </c>
      <c r="H296" t="s">
        <v>27</v>
      </c>
      <c r="I296" t="s">
        <v>28</v>
      </c>
      <c r="J296" t="s">
        <v>24</v>
      </c>
      <c r="K296" s="6">
        <f t="shared" ca="1" si="24"/>
        <v>33436</v>
      </c>
      <c r="L296">
        <v>-12325</v>
      </c>
      <c r="M296" s="7">
        <f t="shared" ca="1" si="22"/>
        <v>33.744010951403148</v>
      </c>
      <c r="N296" s="5" t="str">
        <f ca="1">VLOOKUP(Data!M296,temp!$B$3:$C$9,2,1)</f>
        <v>30-40</v>
      </c>
      <c r="O296">
        <v>-187</v>
      </c>
      <c r="P296" s="8">
        <f t="shared" si="23"/>
        <v>0.51197809719370291</v>
      </c>
      <c r="Q296" s="5" t="str">
        <f t="shared" si="25"/>
        <v>Employed</v>
      </c>
      <c r="R296">
        <v>1</v>
      </c>
      <c r="S296">
        <v>0</v>
      </c>
      <c r="T296">
        <v>0</v>
      </c>
      <c r="U296">
        <v>0</v>
      </c>
      <c r="V296" t="s">
        <v>38</v>
      </c>
      <c r="W296">
        <v>2</v>
      </c>
    </row>
    <row r="297" spans="1:23" x14ac:dyDescent="0.2">
      <c r="A297">
        <v>5021802</v>
      </c>
      <c r="B297" t="s">
        <v>18</v>
      </c>
      <c r="C297" t="s">
        <v>19</v>
      </c>
      <c r="D297" t="s">
        <v>20</v>
      </c>
      <c r="E297">
        <v>0</v>
      </c>
      <c r="F297">
        <v>225000</v>
      </c>
      <c r="G297" t="s">
        <v>26</v>
      </c>
      <c r="H297" t="s">
        <v>27</v>
      </c>
      <c r="I297" t="s">
        <v>28</v>
      </c>
      <c r="J297" t="s">
        <v>24</v>
      </c>
      <c r="K297" s="6">
        <f t="shared" ca="1" si="24"/>
        <v>33436</v>
      </c>
      <c r="L297">
        <v>-12325</v>
      </c>
      <c r="M297" s="7">
        <f t="shared" ca="1" si="22"/>
        <v>33.744010951403148</v>
      </c>
      <c r="N297" s="5" t="str">
        <f ca="1">VLOOKUP(Data!M297,temp!$B$3:$C$9,2,1)</f>
        <v>30-40</v>
      </c>
      <c r="O297">
        <v>-187</v>
      </c>
      <c r="P297" s="8">
        <f t="shared" si="23"/>
        <v>0.51197809719370291</v>
      </c>
      <c r="Q297" s="5" t="str">
        <f t="shared" si="25"/>
        <v>Employed</v>
      </c>
      <c r="R297">
        <v>1</v>
      </c>
      <c r="S297">
        <v>0</v>
      </c>
      <c r="T297">
        <v>0</v>
      </c>
      <c r="U297">
        <v>0</v>
      </c>
      <c r="V297" t="s">
        <v>38</v>
      </c>
      <c r="W297">
        <v>2</v>
      </c>
    </row>
    <row r="298" spans="1:23" x14ac:dyDescent="0.2">
      <c r="A298">
        <v>5021808</v>
      </c>
      <c r="B298" t="s">
        <v>25</v>
      </c>
      <c r="C298" t="s">
        <v>19</v>
      </c>
      <c r="D298" t="s">
        <v>20</v>
      </c>
      <c r="E298">
        <v>0</v>
      </c>
      <c r="F298">
        <v>157500</v>
      </c>
      <c r="G298" t="s">
        <v>31</v>
      </c>
      <c r="H298" t="s">
        <v>27</v>
      </c>
      <c r="I298" t="s">
        <v>33</v>
      </c>
      <c r="J298" t="s">
        <v>24</v>
      </c>
      <c r="K298" s="6">
        <f t="shared" ca="1" si="24"/>
        <v>34752</v>
      </c>
      <c r="L298">
        <v>-11009</v>
      </c>
      <c r="M298" s="7">
        <f t="shared" ca="1" si="22"/>
        <v>30.140999315537304</v>
      </c>
      <c r="N298" s="5" t="str">
        <f ca="1">VLOOKUP(Data!M298,temp!$B$3:$C$9,2,1)</f>
        <v>30-40</v>
      </c>
      <c r="O298">
        <v>-366</v>
      </c>
      <c r="P298" s="8">
        <f t="shared" si="23"/>
        <v>1.0020533880903491</v>
      </c>
      <c r="Q298" s="5" t="str">
        <f t="shared" si="25"/>
        <v>Employed</v>
      </c>
      <c r="R298">
        <v>1</v>
      </c>
      <c r="S298">
        <v>0</v>
      </c>
      <c r="T298">
        <v>0</v>
      </c>
      <c r="U298">
        <v>0</v>
      </c>
      <c r="V298" t="s">
        <v>29</v>
      </c>
      <c r="W298">
        <v>1</v>
      </c>
    </row>
    <row r="299" spans="1:23" x14ac:dyDescent="0.2">
      <c r="A299">
        <v>5021815</v>
      </c>
      <c r="B299" t="s">
        <v>18</v>
      </c>
      <c r="C299" t="s">
        <v>20</v>
      </c>
      <c r="D299" t="s">
        <v>20</v>
      </c>
      <c r="E299">
        <v>1</v>
      </c>
      <c r="F299">
        <v>67500</v>
      </c>
      <c r="G299" t="s">
        <v>31</v>
      </c>
      <c r="H299" t="s">
        <v>27</v>
      </c>
      <c r="I299" t="s">
        <v>28</v>
      </c>
      <c r="J299" t="s">
        <v>24</v>
      </c>
      <c r="K299" s="6">
        <f t="shared" ca="1" si="24"/>
        <v>34307</v>
      </c>
      <c r="L299">
        <v>-11454</v>
      </c>
      <c r="M299" s="7">
        <f t="shared" ca="1" si="22"/>
        <v>31.359342915811087</v>
      </c>
      <c r="N299" s="5" t="str">
        <f ca="1">VLOOKUP(Data!M299,temp!$B$3:$C$9,2,1)</f>
        <v>30-40</v>
      </c>
      <c r="O299">
        <v>-1678</v>
      </c>
      <c r="P299" s="8">
        <f t="shared" si="23"/>
        <v>4.5941136208076658</v>
      </c>
      <c r="Q299" s="5" t="str">
        <f t="shared" si="25"/>
        <v>Employed</v>
      </c>
      <c r="R299">
        <v>1</v>
      </c>
      <c r="S299">
        <v>0</v>
      </c>
      <c r="T299">
        <v>1</v>
      </c>
      <c r="U299">
        <v>1</v>
      </c>
      <c r="V299" t="s">
        <v>55</v>
      </c>
      <c r="W299">
        <v>3</v>
      </c>
    </row>
    <row r="300" spans="1:23" x14ac:dyDescent="0.2">
      <c r="A300">
        <v>5021818</v>
      </c>
      <c r="B300" t="s">
        <v>18</v>
      </c>
      <c r="C300" t="s">
        <v>20</v>
      </c>
      <c r="D300" t="s">
        <v>20</v>
      </c>
      <c r="E300">
        <v>1</v>
      </c>
      <c r="F300">
        <v>67500</v>
      </c>
      <c r="G300" t="s">
        <v>31</v>
      </c>
      <c r="H300" t="s">
        <v>27</v>
      </c>
      <c r="I300" t="s">
        <v>28</v>
      </c>
      <c r="J300" t="s">
        <v>24</v>
      </c>
      <c r="K300" s="6">
        <f t="shared" ca="1" si="24"/>
        <v>34307</v>
      </c>
      <c r="L300">
        <v>-11454</v>
      </c>
      <c r="M300" s="7">
        <f t="shared" ca="1" si="22"/>
        <v>31.359342915811087</v>
      </c>
      <c r="N300" s="5" t="str">
        <f ca="1">VLOOKUP(Data!M300,temp!$B$3:$C$9,2,1)</f>
        <v>30-40</v>
      </c>
      <c r="O300">
        <v>-1678</v>
      </c>
      <c r="P300" s="8">
        <f t="shared" si="23"/>
        <v>4.5941136208076658</v>
      </c>
      <c r="Q300" s="5" t="str">
        <f t="shared" si="25"/>
        <v>Employed</v>
      </c>
      <c r="R300">
        <v>1</v>
      </c>
      <c r="S300">
        <v>0</v>
      </c>
      <c r="T300">
        <v>1</v>
      </c>
      <c r="U300">
        <v>1</v>
      </c>
      <c r="V300" t="s">
        <v>55</v>
      </c>
      <c r="W300">
        <v>3</v>
      </c>
    </row>
    <row r="301" spans="1:23" x14ac:dyDescent="0.2">
      <c r="A301">
        <v>5021829</v>
      </c>
      <c r="B301" t="s">
        <v>18</v>
      </c>
      <c r="C301" t="s">
        <v>19</v>
      </c>
      <c r="D301" t="s">
        <v>20</v>
      </c>
      <c r="E301">
        <v>0</v>
      </c>
      <c r="F301">
        <v>166500</v>
      </c>
      <c r="G301" t="s">
        <v>31</v>
      </c>
      <c r="H301" t="s">
        <v>36</v>
      </c>
      <c r="I301" t="s">
        <v>28</v>
      </c>
      <c r="J301" t="s">
        <v>24</v>
      </c>
      <c r="K301" s="6">
        <f t="shared" ca="1" si="24"/>
        <v>32605</v>
      </c>
      <c r="L301">
        <v>-13156</v>
      </c>
      <c r="M301" s="7">
        <f t="shared" ca="1" si="22"/>
        <v>36.019164955509922</v>
      </c>
      <c r="N301" s="5" t="str">
        <f ca="1">VLOOKUP(Data!M301,temp!$B$3:$C$9,2,1)</f>
        <v>30-40</v>
      </c>
      <c r="O301">
        <v>-1917</v>
      </c>
      <c r="P301" s="8">
        <f t="shared" si="23"/>
        <v>5.248459958932238</v>
      </c>
      <c r="Q301" s="5" t="str">
        <f t="shared" si="25"/>
        <v>Employed</v>
      </c>
      <c r="R301">
        <v>1</v>
      </c>
      <c r="S301">
        <v>0</v>
      </c>
      <c r="T301">
        <v>0</v>
      </c>
      <c r="U301">
        <v>0</v>
      </c>
      <c r="V301" t="s">
        <v>29</v>
      </c>
      <c r="W301">
        <v>2</v>
      </c>
    </row>
    <row r="302" spans="1:23" x14ac:dyDescent="0.2">
      <c r="A302">
        <v>5021841</v>
      </c>
      <c r="B302" t="s">
        <v>18</v>
      </c>
      <c r="C302" t="s">
        <v>19</v>
      </c>
      <c r="D302" t="s">
        <v>20</v>
      </c>
      <c r="E302">
        <v>0</v>
      </c>
      <c r="F302">
        <v>157500</v>
      </c>
      <c r="G302" t="s">
        <v>21</v>
      </c>
      <c r="H302" t="s">
        <v>27</v>
      </c>
      <c r="I302" t="s">
        <v>28</v>
      </c>
      <c r="J302" t="s">
        <v>24</v>
      </c>
      <c r="K302" s="6">
        <f t="shared" ca="1" si="24"/>
        <v>25402</v>
      </c>
      <c r="L302">
        <v>-20359</v>
      </c>
      <c r="M302" s="7">
        <f t="shared" ca="1" si="22"/>
        <v>55.739904175222449</v>
      </c>
      <c r="N302" s="5" t="str">
        <f ca="1">VLOOKUP(Data!M302,temp!$B$3:$C$9,2,1)</f>
        <v>50-60</v>
      </c>
      <c r="O302">
        <v>365243</v>
      </c>
      <c r="P302" s="8">
        <f t="shared" si="23"/>
        <v>0</v>
      </c>
      <c r="Q302" s="5" t="str">
        <f t="shared" si="25"/>
        <v>Unemployed</v>
      </c>
      <c r="R302">
        <v>1</v>
      </c>
      <c r="S302">
        <v>0</v>
      </c>
      <c r="T302">
        <v>0</v>
      </c>
      <c r="U302">
        <v>1</v>
      </c>
      <c r="W302">
        <v>2</v>
      </c>
    </row>
    <row r="303" spans="1:23" x14ac:dyDescent="0.2">
      <c r="A303">
        <v>5021844</v>
      </c>
      <c r="B303" t="s">
        <v>18</v>
      </c>
      <c r="C303" t="s">
        <v>19</v>
      </c>
      <c r="D303" t="s">
        <v>20</v>
      </c>
      <c r="E303">
        <v>1</v>
      </c>
      <c r="F303">
        <v>90000</v>
      </c>
      <c r="G303" t="s">
        <v>31</v>
      </c>
      <c r="H303" t="s">
        <v>27</v>
      </c>
      <c r="I303" t="s">
        <v>37</v>
      </c>
      <c r="J303" t="s">
        <v>24</v>
      </c>
      <c r="K303" s="6">
        <f t="shared" ca="1" si="24"/>
        <v>36768</v>
      </c>
      <c r="L303">
        <v>-8993</v>
      </c>
      <c r="M303" s="7">
        <f t="shared" ca="1" si="22"/>
        <v>24.621492128678987</v>
      </c>
      <c r="N303" s="5" t="str">
        <f ca="1">VLOOKUP(Data!M303,temp!$B$3:$C$9,2,1)</f>
        <v>20-30</v>
      </c>
      <c r="O303">
        <v>-152</v>
      </c>
      <c r="P303" s="8">
        <f t="shared" si="23"/>
        <v>0.41615331964407942</v>
      </c>
      <c r="Q303" s="5" t="str">
        <f t="shared" si="25"/>
        <v>Employed</v>
      </c>
      <c r="R303">
        <v>1</v>
      </c>
      <c r="S303">
        <v>1</v>
      </c>
      <c r="T303">
        <v>0</v>
      </c>
      <c r="U303">
        <v>0</v>
      </c>
      <c r="V303" t="s">
        <v>50</v>
      </c>
      <c r="W303">
        <v>3</v>
      </c>
    </row>
    <row r="304" spans="1:23" x14ac:dyDescent="0.2">
      <c r="A304">
        <v>5021872</v>
      </c>
      <c r="B304" t="s">
        <v>18</v>
      </c>
      <c r="C304" t="s">
        <v>20</v>
      </c>
      <c r="D304" t="s">
        <v>20</v>
      </c>
      <c r="E304">
        <v>1</v>
      </c>
      <c r="F304">
        <v>315000</v>
      </c>
      <c r="G304" t="s">
        <v>35</v>
      </c>
      <c r="H304" t="s">
        <v>22</v>
      </c>
      <c r="I304" t="s">
        <v>42</v>
      </c>
      <c r="J304" t="s">
        <v>24</v>
      </c>
      <c r="K304" s="6">
        <f t="shared" ca="1" si="24"/>
        <v>27528</v>
      </c>
      <c r="L304">
        <v>-18233</v>
      </c>
      <c r="M304" s="7">
        <f t="shared" ca="1" si="22"/>
        <v>49.9192334017796</v>
      </c>
      <c r="N304" s="5" t="str">
        <f ca="1">VLOOKUP(Data!M304,temp!$B$3:$C$9,2,1)</f>
        <v>40-50</v>
      </c>
      <c r="O304">
        <v>-425</v>
      </c>
      <c r="P304" s="8">
        <f t="shared" si="23"/>
        <v>1.1635865845311431</v>
      </c>
      <c r="Q304" s="5" t="str">
        <f t="shared" si="25"/>
        <v>Employed</v>
      </c>
      <c r="R304">
        <v>1</v>
      </c>
      <c r="S304">
        <v>0</v>
      </c>
      <c r="T304">
        <v>1</v>
      </c>
      <c r="U304">
        <v>1</v>
      </c>
      <c r="W304">
        <v>2</v>
      </c>
    </row>
    <row r="305" spans="1:23" x14ac:dyDescent="0.2">
      <c r="A305">
        <v>5021887</v>
      </c>
      <c r="B305" t="s">
        <v>18</v>
      </c>
      <c r="C305" t="s">
        <v>20</v>
      </c>
      <c r="D305" t="s">
        <v>20</v>
      </c>
      <c r="E305">
        <v>0</v>
      </c>
      <c r="F305">
        <v>135000</v>
      </c>
      <c r="G305" t="s">
        <v>26</v>
      </c>
      <c r="H305" t="s">
        <v>22</v>
      </c>
      <c r="I305" t="s">
        <v>28</v>
      </c>
      <c r="J305" t="s">
        <v>24</v>
      </c>
      <c r="K305" s="6">
        <f t="shared" ca="1" si="24"/>
        <v>28812</v>
      </c>
      <c r="L305">
        <v>-16949</v>
      </c>
      <c r="M305" s="7">
        <f t="shared" ca="1" si="22"/>
        <v>46.403832991101986</v>
      </c>
      <c r="N305" s="5" t="str">
        <f ca="1">VLOOKUP(Data!M305,temp!$B$3:$C$9,2,1)</f>
        <v>40-50</v>
      </c>
      <c r="O305">
        <v>-1371</v>
      </c>
      <c r="P305" s="8">
        <f t="shared" si="23"/>
        <v>3.7535934291581108</v>
      </c>
      <c r="Q305" s="5" t="str">
        <f t="shared" si="25"/>
        <v>Employed</v>
      </c>
      <c r="R305">
        <v>1</v>
      </c>
      <c r="S305">
        <v>0</v>
      </c>
      <c r="T305">
        <v>0</v>
      </c>
      <c r="U305">
        <v>0</v>
      </c>
      <c r="V305" t="s">
        <v>32</v>
      </c>
      <c r="W305">
        <v>2</v>
      </c>
    </row>
    <row r="306" spans="1:23" x14ac:dyDescent="0.2">
      <c r="A306">
        <v>5021895</v>
      </c>
      <c r="B306" t="s">
        <v>18</v>
      </c>
      <c r="C306" t="s">
        <v>19</v>
      </c>
      <c r="D306" t="s">
        <v>20</v>
      </c>
      <c r="E306">
        <v>0</v>
      </c>
      <c r="F306">
        <v>328500</v>
      </c>
      <c r="G306" t="s">
        <v>21</v>
      </c>
      <c r="H306" t="s">
        <v>27</v>
      </c>
      <c r="I306" t="s">
        <v>37</v>
      </c>
      <c r="J306" t="s">
        <v>24</v>
      </c>
      <c r="K306" s="6">
        <f t="shared" ca="1" si="24"/>
        <v>24821</v>
      </c>
      <c r="L306">
        <v>-20940</v>
      </c>
      <c r="M306" s="7">
        <f t="shared" ca="1" si="22"/>
        <v>57.330595482546201</v>
      </c>
      <c r="N306" s="5" t="str">
        <f ca="1">VLOOKUP(Data!M306,temp!$B$3:$C$9,2,1)</f>
        <v>50-60</v>
      </c>
      <c r="O306">
        <v>365243</v>
      </c>
      <c r="P306" s="8">
        <f t="shared" si="23"/>
        <v>0</v>
      </c>
      <c r="Q306" s="5" t="str">
        <f t="shared" si="25"/>
        <v>Unemployed</v>
      </c>
      <c r="R306">
        <v>1</v>
      </c>
      <c r="S306">
        <v>0</v>
      </c>
      <c r="T306">
        <v>0</v>
      </c>
      <c r="U306">
        <v>0</v>
      </c>
      <c r="W306">
        <v>2</v>
      </c>
    </row>
    <row r="307" spans="1:23" x14ac:dyDescent="0.2">
      <c r="A307">
        <v>5021906</v>
      </c>
      <c r="B307" t="s">
        <v>25</v>
      </c>
      <c r="C307" t="s">
        <v>20</v>
      </c>
      <c r="D307" t="s">
        <v>20</v>
      </c>
      <c r="E307">
        <v>0</v>
      </c>
      <c r="F307">
        <v>225000</v>
      </c>
      <c r="G307" t="s">
        <v>31</v>
      </c>
      <c r="H307" t="s">
        <v>27</v>
      </c>
      <c r="I307" t="s">
        <v>28</v>
      </c>
      <c r="J307" t="s">
        <v>24</v>
      </c>
      <c r="K307" s="6">
        <f t="shared" ca="1" si="24"/>
        <v>35433</v>
      </c>
      <c r="L307">
        <v>-10328</v>
      </c>
      <c r="M307" s="7">
        <f t="shared" ca="1" si="22"/>
        <v>28.276522929500342</v>
      </c>
      <c r="N307" s="5" t="str">
        <f ca="1">VLOOKUP(Data!M307,temp!$B$3:$C$9,2,1)</f>
        <v>20-30</v>
      </c>
      <c r="O307">
        <v>-1156</v>
      </c>
      <c r="P307" s="8">
        <f t="shared" si="23"/>
        <v>3.1649555099247091</v>
      </c>
      <c r="Q307" s="5" t="str">
        <f t="shared" si="25"/>
        <v>Employed</v>
      </c>
      <c r="R307">
        <v>1</v>
      </c>
      <c r="S307">
        <v>0</v>
      </c>
      <c r="T307">
        <v>0</v>
      </c>
      <c r="U307">
        <v>0</v>
      </c>
      <c r="V307" t="s">
        <v>29</v>
      </c>
      <c r="W307">
        <v>2</v>
      </c>
    </row>
    <row r="308" spans="1:23" x14ac:dyDescent="0.2">
      <c r="A308">
        <v>5021937</v>
      </c>
      <c r="B308" t="s">
        <v>18</v>
      </c>
      <c r="C308" t="s">
        <v>19</v>
      </c>
      <c r="D308" t="s">
        <v>20</v>
      </c>
      <c r="E308">
        <v>0</v>
      </c>
      <c r="F308">
        <v>67500</v>
      </c>
      <c r="G308" t="s">
        <v>21</v>
      </c>
      <c r="H308" t="s">
        <v>22</v>
      </c>
      <c r="I308" t="s">
        <v>28</v>
      </c>
      <c r="J308" t="s">
        <v>24</v>
      </c>
      <c r="K308" s="6">
        <f t="shared" ca="1" si="24"/>
        <v>23549</v>
      </c>
      <c r="L308">
        <v>-22212</v>
      </c>
      <c r="M308" s="7">
        <f t="shared" ca="1" si="22"/>
        <v>60.813141683778234</v>
      </c>
      <c r="N308" s="5" t="str">
        <f ca="1">VLOOKUP(Data!M308,temp!$B$3:$C$9,2,1)</f>
        <v>60-70</v>
      </c>
      <c r="O308">
        <v>365243</v>
      </c>
      <c r="P308" s="8">
        <f t="shared" si="23"/>
        <v>0</v>
      </c>
      <c r="Q308" s="5" t="str">
        <f t="shared" si="25"/>
        <v>Unemployed</v>
      </c>
      <c r="R308">
        <v>1</v>
      </c>
      <c r="S308">
        <v>0</v>
      </c>
      <c r="T308">
        <v>0</v>
      </c>
      <c r="U308">
        <v>0</v>
      </c>
      <c r="W308">
        <v>2</v>
      </c>
    </row>
    <row r="309" spans="1:23" x14ac:dyDescent="0.2">
      <c r="A309">
        <v>5021948</v>
      </c>
      <c r="B309" t="s">
        <v>18</v>
      </c>
      <c r="C309" t="s">
        <v>20</v>
      </c>
      <c r="D309" t="s">
        <v>20</v>
      </c>
      <c r="E309">
        <v>0</v>
      </c>
      <c r="F309">
        <v>445500</v>
      </c>
      <c r="G309" t="s">
        <v>26</v>
      </c>
      <c r="H309" t="s">
        <v>22</v>
      </c>
      <c r="I309" t="s">
        <v>28</v>
      </c>
      <c r="J309" t="s">
        <v>24</v>
      </c>
      <c r="K309" s="6">
        <f t="shared" ca="1" si="24"/>
        <v>33284</v>
      </c>
      <c r="L309">
        <v>-12477</v>
      </c>
      <c r="M309" s="7">
        <f t="shared" ca="1" si="22"/>
        <v>34.160164271047229</v>
      </c>
      <c r="N309" s="5" t="str">
        <f ca="1">VLOOKUP(Data!M309,temp!$B$3:$C$9,2,1)</f>
        <v>30-40</v>
      </c>
      <c r="O309">
        <v>-456</v>
      </c>
      <c r="P309" s="8">
        <f t="shared" si="23"/>
        <v>1.2484599589322383</v>
      </c>
      <c r="Q309" s="5" t="str">
        <f t="shared" si="25"/>
        <v>Employed</v>
      </c>
      <c r="R309">
        <v>1</v>
      </c>
      <c r="S309">
        <v>0</v>
      </c>
      <c r="T309">
        <v>0</v>
      </c>
      <c r="U309">
        <v>0</v>
      </c>
      <c r="V309" t="s">
        <v>32</v>
      </c>
      <c r="W309">
        <v>2</v>
      </c>
    </row>
    <row r="310" spans="1:23" x14ac:dyDescent="0.2">
      <c r="A310">
        <v>5021964</v>
      </c>
      <c r="B310" t="s">
        <v>18</v>
      </c>
      <c r="C310" t="s">
        <v>19</v>
      </c>
      <c r="D310" t="s">
        <v>19</v>
      </c>
      <c r="E310">
        <v>1</v>
      </c>
      <c r="F310">
        <v>103500</v>
      </c>
      <c r="G310" t="s">
        <v>31</v>
      </c>
      <c r="H310" t="s">
        <v>27</v>
      </c>
      <c r="I310" t="s">
        <v>28</v>
      </c>
      <c r="J310" t="s">
        <v>24</v>
      </c>
      <c r="K310" s="6">
        <f t="shared" ca="1" si="24"/>
        <v>34041</v>
      </c>
      <c r="L310">
        <v>-11720</v>
      </c>
      <c r="M310" s="7">
        <f t="shared" ca="1" si="22"/>
        <v>32.087611225188226</v>
      </c>
      <c r="N310" s="5" t="str">
        <f ca="1">VLOOKUP(Data!M310,temp!$B$3:$C$9,2,1)</f>
        <v>30-40</v>
      </c>
      <c r="O310">
        <v>-1191</v>
      </c>
      <c r="P310" s="8">
        <f t="shared" si="23"/>
        <v>3.2607802874743328</v>
      </c>
      <c r="Q310" s="5" t="str">
        <f t="shared" si="25"/>
        <v>Employed</v>
      </c>
      <c r="R310">
        <v>1</v>
      </c>
      <c r="S310">
        <v>0</v>
      </c>
      <c r="T310">
        <v>0</v>
      </c>
      <c r="U310">
        <v>0</v>
      </c>
      <c r="V310" t="s">
        <v>39</v>
      </c>
      <c r="W310">
        <v>3</v>
      </c>
    </row>
    <row r="311" spans="1:23" x14ac:dyDescent="0.2">
      <c r="A311">
        <v>5021980</v>
      </c>
      <c r="B311" t="s">
        <v>18</v>
      </c>
      <c r="C311" t="s">
        <v>19</v>
      </c>
      <c r="D311" t="s">
        <v>19</v>
      </c>
      <c r="E311">
        <v>1</v>
      </c>
      <c r="F311">
        <v>180000</v>
      </c>
      <c r="G311" t="s">
        <v>31</v>
      </c>
      <c r="H311" t="s">
        <v>27</v>
      </c>
      <c r="I311" t="s">
        <v>33</v>
      </c>
      <c r="J311" t="s">
        <v>34</v>
      </c>
      <c r="K311" s="6">
        <f t="shared" ca="1" si="24"/>
        <v>32661</v>
      </c>
      <c r="L311">
        <v>-13100</v>
      </c>
      <c r="M311" s="7">
        <f t="shared" ca="1" si="22"/>
        <v>35.865845311430526</v>
      </c>
      <c r="N311" s="5" t="str">
        <f ca="1">VLOOKUP(Data!M311,temp!$B$3:$C$9,2,1)</f>
        <v>30-40</v>
      </c>
      <c r="O311">
        <v>-2013</v>
      </c>
      <c r="P311" s="8">
        <f t="shared" si="23"/>
        <v>5.5112936344969201</v>
      </c>
      <c r="Q311" s="5" t="str">
        <f t="shared" si="25"/>
        <v>Employed</v>
      </c>
      <c r="R311">
        <v>1</v>
      </c>
      <c r="S311">
        <v>0</v>
      </c>
      <c r="T311">
        <v>0</v>
      </c>
      <c r="U311">
        <v>1</v>
      </c>
      <c r="W311">
        <v>2</v>
      </c>
    </row>
    <row r="312" spans="1:23" x14ac:dyDescent="0.2">
      <c r="A312">
        <v>5021995</v>
      </c>
      <c r="B312" t="s">
        <v>25</v>
      </c>
      <c r="C312" t="s">
        <v>20</v>
      </c>
      <c r="D312" t="s">
        <v>20</v>
      </c>
      <c r="E312">
        <v>0</v>
      </c>
      <c r="F312">
        <v>135000</v>
      </c>
      <c r="G312" t="s">
        <v>31</v>
      </c>
      <c r="H312" t="s">
        <v>22</v>
      </c>
      <c r="I312" t="s">
        <v>28</v>
      </c>
      <c r="J312" t="s">
        <v>24</v>
      </c>
      <c r="K312" s="6">
        <f t="shared" ca="1" si="24"/>
        <v>36458</v>
      </c>
      <c r="L312">
        <v>-9303</v>
      </c>
      <c r="M312" s="7">
        <f t="shared" ca="1" si="22"/>
        <v>25.470225872689937</v>
      </c>
      <c r="N312" s="5" t="str">
        <f ca="1">VLOOKUP(Data!M312,temp!$B$3:$C$9,2,1)</f>
        <v>20-30</v>
      </c>
      <c r="O312">
        <v>-852</v>
      </c>
      <c r="P312" s="8">
        <f t="shared" si="23"/>
        <v>2.3326488706365502</v>
      </c>
      <c r="Q312" s="5" t="str">
        <f t="shared" si="25"/>
        <v>Employed</v>
      </c>
      <c r="R312">
        <v>1</v>
      </c>
      <c r="S312">
        <v>0</v>
      </c>
      <c r="T312">
        <v>0</v>
      </c>
      <c r="U312">
        <v>0</v>
      </c>
      <c r="V312" t="s">
        <v>39</v>
      </c>
      <c r="W312">
        <v>2</v>
      </c>
    </row>
    <row r="313" spans="1:23" x14ac:dyDescent="0.2">
      <c r="A313">
        <v>5022010</v>
      </c>
      <c r="B313" t="s">
        <v>25</v>
      </c>
      <c r="C313" t="s">
        <v>20</v>
      </c>
      <c r="D313" t="s">
        <v>20</v>
      </c>
      <c r="E313">
        <v>0</v>
      </c>
      <c r="F313">
        <v>112500</v>
      </c>
      <c r="G313" t="s">
        <v>31</v>
      </c>
      <c r="H313" t="s">
        <v>27</v>
      </c>
      <c r="I313" t="s">
        <v>33</v>
      </c>
      <c r="J313" t="s">
        <v>24</v>
      </c>
      <c r="K313" s="6">
        <f t="shared" ca="1" si="24"/>
        <v>35809</v>
      </c>
      <c r="L313">
        <v>-9952</v>
      </c>
      <c r="M313" s="7">
        <f t="shared" ca="1" si="22"/>
        <v>27.247091033538673</v>
      </c>
      <c r="N313" s="5" t="str">
        <f ca="1">VLOOKUP(Data!M313,temp!$B$3:$C$9,2,1)</f>
        <v>20-30</v>
      </c>
      <c r="O313">
        <v>-1613</v>
      </c>
      <c r="P313" s="8">
        <f t="shared" si="23"/>
        <v>4.4161533196440796</v>
      </c>
      <c r="Q313" s="5" t="str">
        <f t="shared" si="25"/>
        <v>Employed</v>
      </c>
      <c r="R313">
        <v>1</v>
      </c>
      <c r="S313">
        <v>0</v>
      </c>
      <c r="T313">
        <v>0</v>
      </c>
      <c r="U313">
        <v>0</v>
      </c>
      <c r="W313">
        <v>1</v>
      </c>
    </row>
    <row r="314" spans="1:23" x14ac:dyDescent="0.2">
      <c r="A314">
        <v>5022014</v>
      </c>
      <c r="B314" t="s">
        <v>25</v>
      </c>
      <c r="C314" t="s">
        <v>20</v>
      </c>
      <c r="D314" t="s">
        <v>20</v>
      </c>
      <c r="E314">
        <v>0</v>
      </c>
      <c r="F314">
        <v>112500</v>
      </c>
      <c r="G314" t="s">
        <v>31</v>
      </c>
      <c r="H314" t="s">
        <v>27</v>
      </c>
      <c r="I314" t="s">
        <v>33</v>
      </c>
      <c r="J314" t="s">
        <v>24</v>
      </c>
      <c r="K314" s="6">
        <f t="shared" ca="1" si="24"/>
        <v>35809</v>
      </c>
      <c r="L314">
        <v>-9952</v>
      </c>
      <c r="M314" s="7">
        <f t="shared" ca="1" si="22"/>
        <v>27.247091033538673</v>
      </c>
      <c r="N314" s="5" t="str">
        <f ca="1">VLOOKUP(Data!M314,temp!$B$3:$C$9,2,1)</f>
        <v>20-30</v>
      </c>
      <c r="O314">
        <v>-1613</v>
      </c>
      <c r="P314" s="8">
        <f t="shared" si="23"/>
        <v>4.4161533196440796</v>
      </c>
      <c r="Q314" s="5" t="str">
        <f t="shared" si="25"/>
        <v>Employed</v>
      </c>
      <c r="R314">
        <v>1</v>
      </c>
      <c r="S314">
        <v>0</v>
      </c>
      <c r="T314">
        <v>0</v>
      </c>
      <c r="U314">
        <v>0</v>
      </c>
      <c r="W314">
        <v>1</v>
      </c>
    </row>
    <row r="315" spans="1:23" x14ac:dyDescent="0.2">
      <c r="A315">
        <v>5022020</v>
      </c>
      <c r="B315" t="s">
        <v>25</v>
      </c>
      <c r="C315" t="s">
        <v>20</v>
      </c>
      <c r="D315" t="s">
        <v>20</v>
      </c>
      <c r="E315">
        <v>0</v>
      </c>
      <c r="F315">
        <v>112500</v>
      </c>
      <c r="G315" t="s">
        <v>31</v>
      </c>
      <c r="H315" t="s">
        <v>27</v>
      </c>
      <c r="I315" t="s">
        <v>33</v>
      </c>
      <c r="J315" t="s">
        <v>24</v>
      </c>
      <c r="K315" s="6">
        <f t="shared" ca="1" si="24"/>
        <v>35809</v>
      </c>
      <c r="L315">
        <v>-9952</v>
      </c>
      <c r="M315" s="7">
        <f t="shared" ca="1" si="22"/>
        <v>27.247091033538673</v>
      </c>
      <c r="N315" s="5" t="str">
        <f ca="1">VLOOKUP(Data!M315,temp!$B$3:$C$9,2,1)</f>
        <v>20-30</v>
      </c>
      <c r="O315">
        <v>-1613</v>
      </c>
      <c r="P315" s="8">
        <f t="shared" si="23"/>
        <v>4.4161533196440796</v>
      </c>
      <c r="Q315" s="5" t="str">
        <f t="shared" si="25"/>
        <v>Employed</v>
      </c>
      <c r="R315">
        <v>1</v>
      </c>
      <c r="S315">
        <v>0</v>
      </c>
      <c r="T315">
        <v>0</v>
      </c>
      <c r="U315">
        <v>0</v>
      </c>
      <c r="W315">
        <v>1</v>
      </c>
    </row>
    <row r="316" spans="1:23" x14ac:dyDescent="0.2">
      <c r="A316">
        <v>5022031</v>
      </c>
      <c r="B316" t="s">
        <v>25</v>
      </c>
      <c r="C316" t="s">
        <v>20</v>
      </c>
      <c r="D316" t="s">
        <v>20</v>
      </c>
      <c r="E316">
        <v>1</v>
      </c>
      <c r="F316">
        <v>315000</v>
      </c>
      <c r="G316" t="s">
        <v>26</v>
      </c>
      <c r="H316" t="s">
        <v>27</v>
      </c>
      <c r="I316" t="s">
        <v>28</v>
      </c>
      <c r="J316" t="s">
        <v>24</v>
      </c>
      <c r="K316" s="6">
        <f t="shared" ca="1" si="24"/>
        <v>30893</v>
      </c>
      <c r="L316">
        <v>-14868</v>
      </c>
      <c r="M316" s="7">
        <f t="shared" ca="1" si="22"/>
        <v>40.706365503080079</v>
      </c>
      <c r="N316" s="5" t="str">
        <f ca="1">VLOOKUP(Data!M316,temp!$B$3:$C$9,2,1)</f>
        <v>40-50</v>
      </c>
      <c r="O316">
        <v>-3013</v>
      </c>
      <c r="P316" s="8">
        <f t="shared" si="23"/>
        <v>8.2491444216290208</v>
      </c>
      <c r="Q316" s="5" t="str">
        <f t="shared" si="25"/>
        <v>Employed</v>
      </c>
      <c r="R316">
        <v>1</v>
      </c>
      <c r="S316">
        <v>1</v>
      </c>
      <c r="T316">
        <v>0</v>
      </c>
      <c r="U316">
        <v>1</v>
      </c>
      <c r="V316" t="s">
        <v>40</v>
      </c>
      <c r="W316">
        <v>3</v>
      </c>
    </row>
    <row r="317" spans="1:23" x14ac:dyDescent="0.2">
      <c r="A317">
        <v>5022038</v>
      </c>
      <c r="B317" t="s">
        <v>25</v>
      </c>
      <c r="C317" t="s">
        <v>19</v>
      </c>
      <c r="D317" t="s">
        <v>20</v>
      </c>
      <c r="E317">
        <v>0</v>
      </c>
      <c r="F317">
        <v>180000</v>
      </c>
      <c r="G317" t="s">
        <v>31</v>
      </c>
      <c r="H317" t="s">
        <v>27</v>
      </c>
      <c r="I317" t="s">
        <v>28</v>
      </c>
      <c r="J317" t="s">
        <v>24</v>
      </c>
      <c r="K317" s="6">
        <f t="shared" ca="1" si="24"/>
        <v>35712</v>
      </c>
      <c r="L317">
        <v>-10049</v>
      </c>
      <c r="M317" s="7">
        <f t="shared" ca="1" si="22"/>
        <v>27.512662559890487</v>
      </c>
      <c r="N317" s="5" t="str">
        <f ca="1">VLOOKUP(Data!M317,temp!$B$3:$C$9,2,1)</f>
        <v>20-30</v>
      </c>
      <c r="O317">
        <v>-1405</v>
      </c>
      <c r="P317" s="8">
        <f t="shared" si="23"/>
        <v>3.8466803559206024</v>
      </c>
      <c r="Q317" s="5" t="str">
        <f t="shared" si="25"/>
        <v>Employed</v>
      </c>
      <c r="R317">
        <v>1</v>
      </c>
      <c r="S317">
        <v>0</v>
      </c>
      <c r="T317">
        <v>0</v>
      </c>
      <c r="U317">
        <v>1</v>
      </c>
      <c r="V317" t="s">
        <v>39</v>
      </c>
      <c r="W317">
        <v>2</v>
      </c>
    </row>
    <row r="318" spans="1:23" x14ac:dyDescent="0.2">
      <c r="A318">
        <v>5022040</v>
      </c>
      <c r="B318" t="s">
        <v>25</v>
      </c>
      <c r="C318" t="s">
        <v>19</v>
      </c>
      <c r="D318" t="s">
        <v>20</v>
      </c>
      <c r="E318">
        <v>0</v>
      </c>
      <c r="F318">
        <v>180000</v>
      </c>
      <c r="G318" t="s">
        <v>31</v>
      </c>
      <c r="H318" t="s">
        <v>27</v>
      </c>
      <c r="I318" t="s">
        <v>28</v>
      </c>
      <c r="J318" t="s">
        <v>24</v>
      </c>
      <c r="K318" s="6">
        <f t="shared" ca="1" si="24"/>
        <v>35712</v>
      </c>
      <c r="L318">
        <v>-10049</v>
      </c>
      <c r="M318" s="7">
        <f t="shared" ca="1" si="22"/>
        <v>27.512662559890487</v>
      </c>
      <c r="N318" s="5" t="str">
        <f ca="1">VLOOKUP(Data!M318,temp!$B$3:$C$9,2,1)</f>
        <v>20-30</v>
      </c>
      <c r="O318">
        <v>-1405</v>
      </c>
      <c r="P318" s="8">
        <f t="shared" si="23"/>
        <v>3.8466803559206024</v>
      </c>
      <c r="Q318" s="5" t="str">
        <f t="shared" si="25"/>
        <v>Employed</v>
      </c>
      <c r="R318">
        <v>1</v>
      </c>
      <c r="S318">
        <v>0</v>
      </c>
      <c r="T318">
        <v>0</v>
      </c>
      <c r="U318">
        <v>1</v>
      </c>
      <c r="V318" t="s">
        <v>39</v>
      </c>
      <c r="W318">
        <v>2</v>
      </c>
    </row>
    <row r="319" spans="1:23" x14ac:dyDescent="0.2">
      <c r="A319">
        <v>5022049</v>
      </c>
      <c r="B319" t="s">
        <v>25</v>
      </c>
      <c r="C319" t="s">
        <v>19</v>
      </c>
      <c r="D319" t="s">
        <v>20</v>
      </c>
      <c r="E319">
        <v>0</v>
      </c>
      <c r="F319">
        <v>202500</v>
      </c>
      <c r="G319" t="s">
        <v>31</v>
      </c>
      <c r="H319" t="s">
        <v>22</v>
      </c>
      <c r="I319" t="s">
        <v>33</v>
      </c>
      <c r="J319" t="s">
        <v>24</v>
      </c>
      <c r="K319" s="6">
        <f t="shared" ca="1" si="24"/>
        <v>32950</v>
      </c>
      <c r="L319">
        <v>-12811</v>
      </c>
      <c r="M319" s="7">
        <f t="shared" ca="1" si="22"/>
        <v>35.074606433949349</v>
      </c>
      <c r="N319" s="5" t="str">
        <f ca="1">VLOOKUP(Data!M319,temp!$B$3:$C$9,2,1)</f>
        <v>30-40</v>
      </c>
      <c r="O319">
        <v>-4327</v>
      </c>
      <c r="P319" s="8">
        <f t="shared" si="23"/>
        <v>11.846680355920602</v>
      </c>
      <c r="Q319" s="5" t="str">
        <f t="shared" si="25"/>
        <v>Employed</v>
      </c>
      <c r="R319">
        <v>1</v>
      </c>
      <c r="S319">
        <v>0</v>
      </c>
      <c r="T319">
        <v>0</v>
      </c>
      <c r="U319">
        <v>0</v>
      </c>
      <c r="W319">
        <v>1</v>
      </c>
    </row>
    <row r="320" spans="1:23" x14ac:dyDescent="0.2">
      <c r="A320">
        <v>5022062</v>
      </c>
      <c r="B320" t="s">
        <v>18</v>
      </c>
      <c r="C320" t="s">
        <v>19</v>
      </c>
      <c r="D320" t="s">
        <v>20</v>
      </c>
      <c r="E320">
        <v>0</v>
      </c>
      <c r="F320">
        <v>180000</v>
      </c>
      <c r="G320" t="s">
        <v>21</v>
      </c>
      <c r="H320" t="s">
        <v>22</v>
      </c>
      <c r="I320" t="s">
        <v>28</v>
      </c>
      <c r="J320" t="s">
        <v>24</v>
      </c>
      <c r="K320" s="6">
        <f t="shared" ca="1" si="24"/>
        <v>25626</v>
      </c>
      <c r="L320">
        <v>-20135</v>
      </c>
      <c r="M320" s="7">
        <f t="shared" ca="1" si="22"/>
        <v>55.126625598904859</v>
      </c>
      <c r="N320" s="5" t="str">
        <f ca="1">VLOOKUP(Data!M320,temp!$B$3:$C$9,2,1)</f>
        <v>50-60</v>
      </c>
      <c r="O320">
        <v>365243</v>
      </c>
      <c r="P320" s="8">
        <f t="shared" si="23"/>
        <v>0</v>
      </c>
      <c r="Q320" s="5" t="str">
        <f t="shared" si="25"/>
        <v>Unemployed</v>
      </c>
      <c r="R320">
        <v>1</v>
      </c>
      <c r="S320">
        <v>0</v>
      </c>
      <c r="T320">
        <v>1</v>
      </c>
      <c r="U320">
        <v>0</v>
      </c>
      <c r="W320">
        <v>2</v>
      </c>
    </row>
    <row r="321" spans="1:23" x14ac:dyDescent="0.2">
      <c r="A321">
        <v>5022068</v>
      </c>
      <c r="B321" t="s">
        <v>18</v>
      </c>
      <c r="C321" t="s">
        <v>19</v>
      </c>
      <c r="D321" t="s">
        <v>20</v>
      </c>
      <c r="E321">
        <v>0</v>
      </c>
      <c r="F321">
        <v>90000</v>
      </c>
      <c r="G321" t="s">
        <v>31</v>
      </c>
      <c r="H321" t="s">
        <v>27</v>
      </c>
      <c r="I321" t="s">
        <v>28</v>
      </c>
      <c r="J321" t="s">
        <v>24</v>
      </c>
      <c r="K321" s="6">
        <f t="shared" ca="1" si="24"/>
        <v>26309</v>
      </c>
      <c r="L321">
        <v>-19452</v>
      </c>
      <c r="M321" s="7">
        <f t="shared" ca="1" si="22"/>
        <v>53.256673511293634</v>
      </c>
      <c r="N321" s="5" t="str">
        <f ca="1">VLOOKUP(Data!M321,temp!$B$3:$C$9,2,1)</f>
        <v>50-60</v>
      </c>
      <c r="O321">
        <v>-1218</v>
      </c>
      <c r="P321" s="8">
        <f t="shared" si="23"/>
        <v>3.3347022587268995</v>
      </c>
      <c r="Q321" s="5" t="str">
        <f t="shared" si="25"/>
        <v>Employed</v>
      </c>
      <c r="R321">
        <v>1</v>
      </c>
      <c r="S321">
        <v>1</v>
      </c>
      <c r="T321">
        <v>0</v>
      </c>
      <c r="U321">
        <v>0</v>
      </c>
      <c r="V321" t="s">
        <v>39</v>
      </c>
      <c r="W321">
        <v>2</v>
      </c>
    </row>
    <row r="322" spans="1:23" x14ac:dyDescent="0.2">
      <c r="A322">
        <v>5022077</v>
      </c>
      <c r="B322" t="s">
        <v>18</v>
      </c>
      <c r="C322" t="s">
        <v>19</v>
      </c>
      <c r="D322" t="s">
        <v>20</v>
      </c>
      <c r="E322">
        <v>0</v>
      </c>
      <c r="F322">
        <v>90000</v>
      </c>
      <c r="G322" t="s">
        <v>31</v>
      </c>
      <c r="H322" t="s">
        <v>27</v>
      </c>
      <c r="I322" t="s">
        <v>28</v>
      </c>
      <c r="J322" t="s">
        <v>24</v>
      </c>
      <c r="K322" s="6">
        <f t="shared" ca="1" si="24"/>
        <v>26556</v>
      </c>
      <c r="L322">
        <v>-19205</v>
      </c>
      <c r="M322" s="7">
        <f t="shared" ca="1" si="22"/>
        <v>52.580424366872002</v>
      </c>
      <c r="N322" s="5" t="str">
        <f ca="1">VLOOKUP(Data!M322,temp!$B$3:$C$9,2,1)</f>
        <v>50-60</v>
      </c>
      <c r="O322">
        <v>-1552</v>
      </c>
      <c r="P322" s="8">
        <f t="shared" si="23"/>
        <v>4.2491444216290208</v>
      </c>
      <c r="Q322" s="5" t="str">
        <f t="shared" si="25"/>
        <v>Employed</v>
      </c>
      <c r="R322">
        <v>1</v>
      </c>
      <c r="S322">
        <v>1</v>
      </c>
      <c r="T322">
        <v>1</v>
      </c>
      <c r="U322">
        <v>0</v>
      </c>
      <c r="W322">
        <v>2</v>
      </c>
    </row>
    <row r="323" spans="1:23" x14ac:dyDescent="0.2">
      <c r="A323">
        <v>5022086</v>
      </c>
      <c r="B323" t="s">
        <v>18</v>
      </c>
      <c r="C323" t="s">
        <v>20</v>
      </c>
      <c r="D323" t="s">
        <v>20</v>
      </c>
      <c r="E323">
        <v>0</v>
      </c>
      <c r="F323">
        <v>202500</v>
      </c>
      <c r="G323" t="s">
        <v>26</v>
      </c>
      <c r="H323" t="s">
        <v>36</v>
      </c>
      <c r="I323" t="s">
        <v>28</v>
      </c>
      <c r="J323" t="s">
        <v>24</v>
      </c>
      <c r="K323" s="6">
        <f t="shared" ca="1" si="24"/>
        <v>29949</v>
      </c>
      <c r="L323">
        <v>-15812</v>
      </c>
      <c r="M323" s="7">
        <f t="shared" ref="M323:M386" ca="1" si="26">(TODAY()-K323)/365.25</f>
        <v>43.290896646132786</v>
      </c>
      <c r="N323" s="5" t="str">
        <f ca="1">VLOOKUP(Data!M323,temp!$B$3:$C$9,2,1)</f>
        <v>40-50</v>
      </c>
      <c r="O323">
        <v>-4231</v>
      </c>
      <c r="P323" s="8">
        <f t="shared" ref="P323:P386" si="27">IF(O323&lt;=0,ABS(O323)/365.25,0)</f>
        <v>11.58384668035592</v>
      </c>
      <c r="Q323" s="5" t="str">
        <f t="shared" si="25"/>
        <v>Employed</v>
      </c>
      <c r="R323">
        <v>1</v>
      </c>
      <c r="S323">
        <v>1</v>
      </c>
      <c r="T323">
        <v>1</v>
      </c>
      <c r="U323">
        <v>1</v>
      </c>
      <c r="V323" t="s">
        <v>44</v>
      </c>
      <c r="W323">
        <v>2</v>
      </c>
    </row>
    <row r="324" spans="1:23" x14ac:dyDescent="0.2">
      <c r="A324">
        <v>5022102</v>
      </c>
      <c r="B324" t="s">
        <v>18</v>
      </c>
      <c r="C324" t="s">
        <v>19</v>
      </c>
      <c r="D324" t="s">
        <v>19</v>
      </c>
      <c r="E324">
        <v>0</v>
      </c>
      <c r="F324">
        <v>94500</v>
      </c>
      <c r="G324" t="s">
        <v>31</v>
      </c>
      <c r="H324" t="s">
        <v>27</v>
      </c>
      <c r="I324" t="s">
        <v>33</v>
      </c>
      <c r="J324" t="s">
        <v>34</v>
      </c>
      <c r="K324" s="6">
        <f t="shared" ca="1" si="24"/>
        <v>27925</v>
      </c>
      <c r="L324">
        <v>-17836</v>
      </c>
      <c r="M324" s="7">
        <f t="shared" ca="1" si="26"/>
        <v>48.832306639288156</v>
      </c>
      <c r="N324" s="5" t="str">
        <f ca="1">VLOOKUP(Data!M324,temp!$B$3:$C$9,2,1)</f>
        <v>40-50</v>
      </c>
      <c r="O324">
        <v>-2561</v>
      </c>
      <c r="P324" s="8">
        <f t="shared" si="27"/>
        <v>7.0116358658453111</v>
      </c>
      <c r="Q324" s="5" t="str">
        <f t="shared" si="25"/>
        <v>Employed</v>
      </c>
      <c r="R324">
        <v>1</v>
      </c>
      <c r="S324">
        <v>0</v>
      </c>
      <c r="T324">
        <v>0</v>
      </c>
      <c r="U324">
        <v>0</v>
      </c>
      <c r="V324" t="s">
        <v>40</v>
      </c>
      <c r="W324">
        <v>1</v>
      </c>
    </row>
    <row r="325" spans="1:23" x14ac:dyDescent="0.2">
      <c r="A325">
        <v>5022117</v>
      </c>
      <c r="B325" t="s">
        <v>25</v>
      </c>
      <c r="C325" t="s">
        <v>19</v>
      </c>
      <c r="D325" t="s">
        <v>20</v>
      </c>
      <c r="E325">
        <v>0</v>
      </c>
      <c r="F325">
        <v>315000</v>
      </c>
      <c r="G325" t="s">
        <v>31</v>
      </c>
      <c r="H325" t="s">
        <v>27</v>
      </c>
      <c r="I325" t="s">
        <v>28</v>
      </c>
      <c r="J325" t="s">
        <v>24</v>
      </c>
      <c r="K325" s="6">
        <f t="shared" ca="1" si="24"/>
        <v>26075</v>
      </c>
      <c r="L325">
        <v>-19686</v>
      </c>
      <c r="M325" s="7">
        <f t="shared" ca="1" si="26"/>
        <v>53.897330595482543</v>
      </c>
      <c r="N325" s="5" t="str">
        <f ca="1">VLOOKUP(Data!M325,temp!$B$3:$C$9,2,1)</f>
        <v>50-60</v>
      </c>
      <c r="O325">
        <v>-1131</v>
      </c>
      <c r="P325" s="8">
        <f t="shared" si="27"/>
        <v>3.0965092402464065</v>
      </c>
      <c r="Q325" s="5" t="str">
        <f t="shared" si="25"/>
        <v>Employed</v>
      </c>
      <c r="R325">
        <v>1</v>
      </c>
      <c r="S325">
        <v>0</v>
      </c>
      <c r="T325">
        <v>0</v>
      </c>
      <c r="U325">
        <v>0</v>
      </c>
      <c r="V325" t="s">
        <v>29</v>
      </c>
      <c r="W325">
        <v>2</v>
      </c>
    </row>
    <row r="326" spans="1:23" x14ac:dyDescent="0.2">
      <c r="A326">
        <v>5022126</v>
      </c>
      <c r="B326" t="s">
        <v>18</v>
      </c>
      <c r="C326" t="s">
        <v>19</v>
      </c>
      <c r="D326" t="s">
        <v>20</v>
      </c>
      <c r="E326">
        <v>0</v>
      </c>
      <c r="F326">
        <v>135000</v>
      </c>
      <c r="G326" t="s">
        <v>26</v>
      </c>
      <c r="H326" t="s">
        <v>22</v>
      </c>
      <c r="I326" t="s">
        <v>37</v>
      </c>
      <c r="J326" t="s">
        <v>24</v>
      </c>
      <c r="K326" s="6">
        <f t="shared" ca="1" si="24"/>
        <v>35670</v>
      </c>
      <c r="L326">
        <v>-10091</v>
      </c>
      <c r="M326" s="7">
        <f t="shared" ca="1" si="26"/>
        <v>27.627652292950035</v>
      </c>
      <c r="N326" s="5" t="str">
        <f ca="1">VLOOKUP(Data!M326,temp!$B$3:$C$9,2,1)</f>
        <v>20-30</v>
      </c>
      <c r="O326">
        <v>-1525</v>
      </c>
      <c r="P326" s="8">
        <f t="shared" si="27"/>
        <v>4.1752224503764541</v>
      </c>
      <c r="Q326" s="5" t="str">
        <f t="shared" si="25"/>
        <v>Employed</v>
      </c>
      <c r="R326">
        <v>1</v>
      </c>
      <c r="S326">
        <v>0</v>
      </c>
      <c r="T326">
        <v>0</v>
      </c>
      <c r="U326">
        <v>1</v>
      </c>
      <c r="W326">
        <v>2</v>
      </c>
    </row>
    <row r="327" spans="1:23" x14ac:dyDescent="0.2">
      <c r="A327">
        <v>5022137</v>
      </c>
      <c r="B327" t="s">
        <v>18</v>
      </c>
      <c r="C327" t="s">
        <v>19</v>
      </c>
      <c r="D327" t="s">
        <v>20</v>
      </c>
      <c r="E327">
        <v>0</v>
      </c>
      <c r="F327">
        <v>126000</v>
      </c>
      <c r="G327" t="s">
        <v>21</v>
      </c>
      <c r="H327" t="s">
        <v>27</v>
      </c>
      <c r="I327" t="s">
        <v>28</v>
      </c>
      <c r="J327" t="s">
        <v>24</v>
      </c>
      <c r="K327" s="6">
        <f t="shared" ca="1" si="24"/>
        <v>25080</v>
      </c>
      <c r="L327">
        <v>-20681</v>
      </c>
      <c r="M327" s="7">
        <f t="shared" ca="1" si="26"/>
        <v>56.621492128678987</v>
      </c>
      <c r="N327" s="5" t="str">
        <f ca="1">VLOOKUP(Data!M327,temp!$B$3:$C$9,2,1)</f>
        <v>50-60</v>
      </c>
      <c r="O327">
        <v>365243</v>
      </c>
      <c r="P327" s="8">
        <f t="shared" si="27"/>
        <v>0</v>
      </c>
      <c r="Q327" s="5" t="str">
        <f t="shared" si="25"/>
        <v>Unemployed</v>
      </c>
      <c r="R327">
        <v>1</v>
      </c>
      <c r="S327">
        <v>0</v>
      </c>
      <c r="T327">
        <v>0</v>
      </c>
      <c r="U327">
        <v>0</v>
      </c>
      <c r="W327">
        <v>2</v>
      </c>
    </row>
    <row r="328" spans="1:23" x14ac:dyDescent="0.2">
      <c r="A328">
        <v>5022142</v>
      </c>
      <c r="B328" t="s">
        <v>18</v>
      </c>
      <c r="C328" t="s">
        <v>19</v>
      </c>
      <c r="D328" t="s">
        <v>20</v>
      </c>
      <c r="E328">
        <v>0</v>
      </c>
      <c r="F328">
        <v>207000</v>
      </c>
      <c r="G328" t="s">
        <v>26</v>
      </c>
      <c r="H328" t="s">
        <v>27</v>
      </c>
      <c r="I328" t="s">
        <v>33</v>
      </c>
      <c r="J328" t="s">
        <v>24</v>
      </c>
      <c r="K328" s="6">
        <f t="shared" ref="K328:K391" ca="1" si="28">TODAY()+($L328)</f>
        <v>26192</v>
      </c>
      <c r="L328">
        <v>-19569</v>
      </c>
      <c r="M328" s="7">
        <f t="shared" ca="1" si="26"/>
        <v>53.577002053388092</v>
      </c>
      <c r="N328" s="5" t="str">
        <f ca="1">VLOOKUP(Data!M328,temp!$B$3:$C$9,2,1)</f>
        <v>50-60</v>
      </c>
      <c r="O328">
        <v>-2013</v>
      </c>
      <c r="P328" s="8">
        <f t="shared" si="27"/>
        <v>5.5112936344969201</v>
      </c>
      <c r="Q328" s="5" t="str">
        <f t="shared" ref="Q328:Q391" si="29">IF($O328&gt;0,"Unemployed","Employed")</f>
        <v>Employed</v>
      </c>
      <c r="R328">
        <v>1</v>
      </c>
      <c r="S328">
        <v>0</v>
      </c>
      <c r="T328">
        <v>0</v>
      </c>
      <c r="U328">
        <v>0</v>
      </c>
      <c r="V328" t="s">
        <v>39</v>
      </c>
      <c r="W328">
        <v>1</v>
      </c>
    </row>
    <row r="329" spans="1:23" x14ac:dyDescent="0.2">
      <c r="A329">
        <v>5022147</v>
      </c>
      <c r="B329" t="s">
        <v>18</v>
      </c>
      <c r="C329" t="s">
        <v>20</v>
      </c>
      <c r="D329" t="s">
        <v>20</v>
      </c>
      <c r="E329">
        <v>2</v>
      </c>
      <c r="F329">
        <v>180000</v>
      </c>
      <c r="G329" t="s">
        <v>26</v>
      </c>
      <c r="H329" t="s">
        <v>22</v>
      </c>
      <c r="I329" t="s">
        <v>28</v>
      </c>
      <c r="J329" t="s">
        <v>24</v>
      </c>
      <c r="K329" s="6">
        <f t="shared" ca="1" si="28"/>
        <v>34042</v>
      </c>
      <c r="L329">
        <v>-11719</v>
      </c>
      <c r="M329" s="7">
        <f t="shared" ca="1" si="26"/>
        <v>32.084873374401099</v>
      </c>
      <c r="N329" s="5" t="str">
        <f ca="1">VLOOKUP(Data!M329,temp!$B$3:$C$9,2,1)</f>
        <v>30-40</v>
      </c>
      <c r="O329">
        <v>-2866</v>
      </c>
      <c r="P329" s="8">
        <f t="shared" si="27"/>
        <v>7.8466803559206024</v>
      </c>
      <c r="Q329" s="5" t="str">
        <f t="shared" si="29"/>
        <v>Employed</v>
      </c>
      <c r="R329">
        <v>1</v>
      </c>
      <c r="S329">
        <v>0</v>
      </c>
      <c r="T329">
        <v>1</v>
      </c>
      <c r="U329">
        <v>1</v>
      </c>
      <c r="W329">
        <v>4</v>
      </c>
    </row>
    <row r="330" spans="1:23" x14ac:dyDescent="0.2">
      <c r="A330">
        <v>5022158</v>
      </c>
      <c r="B330" t="s">
        <v>18</v>
      </c>
      <c r="C330" t="s">
        <v>20</v>
      </c>
      <c r="D330" t="s">
        <v>20</v>
      </c>
      <c r="E330">
        <v>2</v>
      </c>
      <c r="F330">
        <v>180000</v>
      </c>
      <c r="G330" t="s">
        <v>26</v>
      </c>
      <c r="H330" t="s">
        <v>22</v>
      </c>
      <c r="I330" t="s">
        <v>28</v>
      </c>
      <c r="J330" t="s">
        <v>24</v>
      </c>
      <c r="K330" s="6">
        <f t="shared" ca="1" si="28"/>
        <v>34042</v>
      </c>
      <c r="L330">
        <v>-11719</v>
      </c>
      <c r="M330" s="7">
        <f t="shared" ca="1" si="26"/>
        <v>32.084873374401099</v>
      </c>
      <c r="N330" s="5" t="str">
        <f ca="1">VLOOKUP(Data!M330,temp!$B$3:$C$9,2,1)</f>
        <v>30-40</v>
      </c>
      <c r="O330">
        <v>-2866</v>
      </c>
      <c r="P330" s="8">
        <f t="shared" si="27"/>
        <v>7.8466803559206024</v>
      </c>
      <c r="Q330" s="5" t="str">
        <f t="shared" si="29"/>
        <v>Employed</v>
      </c>
      <c r="R330">
        <v>1</v>
      </c>
      <c r="S330">
        <v>0</v>
      </c>
      <c r="T330">
        <v>1</v>
      </c>
      <c r="U330">
        <v>1</v>
      </c>
      <c r="W330">
        <v>4</v>
      </c>
    </row>
    <row r="331" spans="1:23" x14ac:dyDescent="0.2">
      <c r="A331">
        <v>5022186</v>
      </c>
      <c r="B331" t="s">
        <v>18</v>
      </c>
      <c r="C331" t="s">
        <v>19</v>
      </c>
      <c r="D331" t="s">
        <v>19</v>
      </c>
      <c r="E331">
        <v>1</v>
      </c>
      <c r="F331">
        <v>135000</v>
      </c>
      <c r="G331" t="s">
        <v>26</v>
      </c>
      <c r="H331" t="s">
        <v>27</v>
      </c>
      <c r="I331" t="s">
        <v>23</v>
      </c>
      <c r="J331" t="s">
        <v>24</v>
      </c>
      <c r="K331" s="6">
        <f t="shared" ca="1" si="28"/>
        <v>30591</v>
      </c>
      <c r="L331">
        <v>-15170</v>
      </c>
      <c r="M331" s="7">
        <f t="shared" ca="1" si="26"/>
        <v>41.533196440793979</v>
      </c>
      <c r="N331" s="5" t="str">
        <f ca="1">VLOOKUP(Data!M331,temp!$B$3:$C$9,2,1)</f>
        <v>40-50</v>
      </c>
      <c r="O331">
        <v>-7979</v>
      </c>
      <c r="P331" s="8">
        <f t="shared" si="27"/>
        <v>21.845311430527037</v>
      </c>
      <c r="Q331" s="5" t="str">
        <f t="shared" si="29"/>
        <v>Employed</v>
      </c>
      <c r="R331">
        <v>1</v>
      </c>
      <c r="S331">
        <v>0</v>
      </c>
      <c r="T331">
        <v>0</v>
      </c>
      <c r="U331">
        <v>0</v>
      </c>
      <c r="V331" t="s">
        <v>47</v>
      </c>
      <c r="W331">
        <v>2</v>
      </c>
    </row>
    <row r="332" spans="1:23" x14ac:dyDescent="0.2">
      <c r="A332">
        <v>5022188</v>
      </c>
      <c r="B332" t="s">
        <v>18</v>
      </c>
      <c r="C332" t="s">
        <v>19</v>
      </c>
      <c r="D332" t="s">
        <v>19</v>
      </c>
      <c r="E332">
        <v>1</v>
      </c>
      <c r="F332">
        <v>135000</v>
      </c>
      <c r="G332" t="s">
        <v>26</v>
      </c>
      <c r="H332" t="s">
        <v>27</v>
      </c>
      <c r="I332" t="s">
        <v>23</v>
      </c>
      <c r="J332" t="s">
        <v>24</v>
      </c>
      <c r="K332" s="6">
        <f t="shared" ca="1" si="28"/>
        <v>30591</v>
      </c>
      <c r="L332">
        <v>-15170</v>
      </c>
      <c r="M332" s="7">
        <f t="shared" ca="1" si="26"/>
        <v>41.533196440793979</v>
      </c>
      <c r="N332" s="5" t="str">
        <f ca="1">VLOOKUP(Data!M332,temp!$B$3:$C$9,2,1)</f>
        <v>40-50</v>
      </c>
      <c r="O332">
        <v>-7979</v>
      </c>
      <c r="P332" s="8">
        <f t="shared" si="27"/>
        <v>21.845311430527037</v>
      </c>
      <c r="Q332" s="5" t="str">
        <f t="shared" si="29"/>
        <v>Employed</v>
      </c>
      <c r="R332">
        <v>1</v>
      </c>
      <c r="S332">
        <v>0</v>
      </c>
      <c r="T332">
        <v>0</v>
      </c>
      <c r="U332">
        <v>0</v>
      </c>
      <c r="V332" t="s">
        <v>47</v>
      </c>
      <c r="W332">
        <v>2</v>
      </c>
    </row>
    <row r="333" spans="1:23" x14ac:dyDescent="0.2">
      <c r="A333">
        <v>5022190</v>
      </c>
      <c r="B333" t="s">
        <v>18</v>
      </c>
      <c r="C333" t="s">
        <v>20</v>
      </c>
      <c r="D333" t="s">
        <v>20</v>
      </c>
      <c r="E333">
        <v>1</v>
      </c>
      <c r="F333">
        <v>94500</v>
      </c>
      <c r="G333" t="s">
        <v>31</v>
      </c>
      <c r="H333" t="s">
        <v>27</v>
      </c>
      <c r="I333" t="s">
        <v>28</v>
      </c>
      <c r="J333" t="s">
        <v>24</v>
      </c>
      <c r="K333" s="6">
        <f t="shared" ca="1" si="28"/>
        <v>25981</v>
      </c>
      <c r="L333">
        <v>-19780</v>
      </c>
      <c r="M333" s="7">
        <f t="shared" ca="1" si="26"/>
        <v>54.154688569472967</v>
      </c>
      <c r="N333" s="5" t="str">
        <f ca="1">VLOOKUP(Data!M333,temp!$B$3:$C$9,2,1)</f>
        <v>50-60</v>
      </c>
      <c r="O333">
        <v>-6849</v>
      </c>
      <c r="P333" s="8">
        <f t="shared" si="27"/>
        <v>18.751540041067763</v>
      </c>
      <c r="Q333" s="5" t="str">
        <f t="shared" si="29"/>
        <v>Employed</v>
      </c>
      <c r="R333">
        <v>1</v>
      </c>
      <c r="S333">
        <v>0</v>
      </c>
      <c r="T333">
        <v>0</v>
      </c>
      <c r="U333">
        <v>0</v>
      </c>
      <c r="V333" t="s">
        <v>32</v>
      </c>
      <c r="W333">
        <v>3</v>
      </c>
    </row>
    <row r="334" spans="1:23" x14ac:dyDescent="0.2">
      <c r="A334">
        <v>5022203</v>
      </c>
      <c r="B334" t="s">
        <v>25</v>
      </c>
      <c r="C334" t="s">
        <v>19</v>
      </c>
      <c r="D334" t="s">
        <v>20</v>
      </c>
      <c r="E334">
        <v>1</v>
      </c>
      <c r="F334">
        <v>202500</v>
      </c>
      <c r="G334" t="s">
        <v>26</v>
      </c>
      <c r="H334" t="s">
        <v>27</v>
      </c>
      <c r="I334" t="s">
        <v>28</v>
      </c>
      <c r="J334" t="s">
        <v>24</v>
      </c>
      <c r="K334" s="6">
        <f t="shared" ca="1" si="28"/>
        <v>31618</v>
      </c>
      <c r="L334">
        <v>-14143</v>
      </c>
      <c r="M334" s="7">
        <f t="shared" ca="1" si="26"/>
        <v>38.721423682409309</v>
      </c>
      <c r="N334" s="5" t="str">
        <f ca="1">VLOOKUP(Data!M334,temp!$B$3:$C$9,2,1)</f>
        <v>30-40</v>
      </c>
      <c r="O334">
        <v>-275</v>
      </c>
      <c r="P334" s="8">
        <f t="shared" si="27"/>
        <v>0.75290896646132788</v>
      </c>
      <c r="Q334" s="5" t="str">
        <f t="shared" si="29"/>
        <v>Employed</v>
      </c>
      <c r="R334">
        <v>1</v>
      </c>
      <c r="S334">
        <v>0</v>
      </c>
      <c r="T334">
        <v>1</v>
      </c>
      <c r="U334">
        <v>0</v>
      </c>
      <c r="V334" t="s">
        <v>30</v>
      </c>
      <c r="W334">
        <v>3</v>
      </c>
    </row>
    <row r="335" spans="1:23" x14ac:dyDescent="0.2">
      <c r="A335">
        <v>5022231</v>
      </c>
      <c r="B335" t="s">
        <v>18</v>
      </c>
      <c r="C335" t="s">
        <v>19</v>
      </c>
      <c r="D335" t="s">
        <v>20</v>
      </c>
      <c r="E335">
        <v>1</v>
      </c>
      <c r="F335">
        <v>54000</v>
      </c>
      <c r="G335" t="s">
        <v>31</v>
      </c>
      <c r="H335" t="s">
        <v>27</v>
      </c>
      <c r="I335" t="s">
        <v>28</v>
      </c>
      <c r="J335" t="s">
        <v>24</v>
      </c>
      <c r="K335" s="6">
        <f t="shared" ca="1" si="28"/>
        <v>30180</v>
      </c>
      <c r="L335">
        <v>-15581</v>
      </c>
      <c r="M335" s="7">
        <f t="shared" ca="1" si="26"/>
        <v>42.658453114305267</v>
      </c>
      <c r="N335" s="5" t="str">
        <f ca="1">VLOOKUP(Data!M335,temp!$B$3:$C$9,2,1)</f>
        <v>40-50</v>
      </c>
      <c r="O335">
        <v>-187</v>
      </c>
      <c r="P335" s="8">
        <f t="shared" si="27"/>
        <v>0.51197809719370291</v>
      </c>
      <c r="Q335" s="5" t="str">
        <f t="shared" si="29"/>
        <v>Employed</v>
      </c>
      <c r="R335">
        <v>1</v>
      </c>
      <c r="S335">
        <v>0</v>
      </c>
      <c r="T335">
        <v>0</v>
      </c>
      <c r="U335">
        <v>0</v>
      </c>
      <c r="W335">
        <v>3</v>
      </c>
    </row>
    <row r="336" spans="1:23" x14ac:dyDescent="0.2">
      <c r="A336">
        <v>5022253</v>
      </c>
      <c r="B336" t="s">
        <v>18</v>
      </c>
      <c r="C336" t="s">
        <v>19</v>
      </c>
      <c r="D336" t="s">
        <v>20</v>
      </c>
      <c r="E336">
        <v>0</v>
      </c>
      <c r="F336">
        <v>202500</v>
      </c>
      <c r="G336" t="s">
        <v>31</v>
      </c>
      <c r="H336" t="s">
        <v>27</v>
      </c>
      <c r="I336" t="s">
        <v>28</v>
      </c>
      <c r="J336" t="s">
        <v>24</v>
      </c>
      <c r="K336" s="6">
        <f t="shared" ca="1" si="28"/>
        <v>30530</v>
      </c>
      <c r="L336">
        <v>-15231</v>
      </c>
      <c r="M336" s="7">
        <f t="shared" ca="1" si="26"/>
        <v>41.700205338809035</v>
      </c>
      <c r="N336" s="5" t="str">
        <f ca="1">VLOOKUP(Data!M336,temp!$B$3:$C$9,2,1)</f>
        <v>40-50</v>
      </c>
      <c r="O336">
        <v>-8375</v>
      </c>
      <c r="P336" s="8">
        <f t="shared" si="27"/>
        <v>22.92950034223135</v>
      </c>
      <c r="Q336" s="5" t="str">
        <f t="shared" si="29"/>
        <v>Employed</v>
      </c>
      <c r="R336">
        <v>1</v>
      </c>
      <c r="S336">
        <v>0</v>
      </c>
      <c r="T336">
        <v>0</v>
      </c>
      <c r="U336">
        <v>1</v>
      </c>
      <c r="V336" t="s">
        <v>47</v>
      </c>
      <c r="W336">
        <v>2</v>
      </c>
    </row>
    <row r="337" spans="1:23" x14ac:dyDescent="0.2">
      <c r="A337">
        <v>5022268</v>
      </c>
      <c r="B337" t="s">
        <v>25</v>
      </c>
      <c r="C337" t="s">
        <v>20</v>
      </c>
      <c r="D337" t="s">
        <v>20</v>
      </c>
      <c r="E337">
        <v>0</v>
      </c>
      <c r="F337">
        <v>131400</v>
      </c>
      <c r="G337" t="s">
        <v>21</v>
      </c>
      <c r="H337" t="s">
        <v>27</v>
      </c>
      <c r="I337" t="s">
        <v>28</v>
      </c>
      <c r="J337" t="s">
        <v>24</v>
      </c>
      <c r="K337" s="6">
        <f t="shared" ca="1" si="28"/>
        <v>22115</v>
      </c>
      <c r="L337">
        <v>-23646</v>
      </c>
      <c r="M337" s="7">
        <f t="shared" ca="1" si="26"/>
        <v>64.739219712525667</v>
      </c>
      <c r="N337" s="5" t="str">
        <f ca="1">VLOOKUP(Data!M337,temp!$B$3:$C$9,2,1)</f>
        <v>60-70</v>
      </c>
      <c r="O337">
        <v>365243</v>
      </c>
      <c r="P337" s="8">
        <f t="shared" si="27"/>
        <v>0</v>
      </c>
      <c r="Q337" s="5" t="str">
        <f t="shared" si="29"/>
        <v>Unemployed</v>
      </c>
      <c r="R337">
        <v>1</v>
      </c>
      <c r="S337">
        <v>0</v>
      </c>
      <c r="T337">
        <v>0</v>
      </c>
      <c r="U337">
        <v>0</v>
      </c>
      <c r="W337">
        <v>2</v>
      </c>
    </row>
    <row r="338" spans="1:23" x14ac:dyDescent="0.2">
      <c r="A338">
        <v>5022273</v>
      </c>
      <c r="B338" t="s">
        <v>25</v>
      </c>
      <c r="C338" t="s">
        <v>20</v>
      </c>
      <c r="D338" t="s">
        <v>20</v>
      </c>
      <c r="E338">
        <v>0</v>
      </c>
      <c r="F338">
        <v>131400</v>
      </c>
      <c r="G338" t="s">
        <v>21</v>
      </c>
      <c r="H338" t="s">
        <v>27</v>
      </c>
      <c r="I338" t="s">
        <v>28</v>
      </c>
      <c r="J338" t="s">
        <v>24</v>
      </c>
      <c r="K338" s="6">
        <f t="shared" ca="1" si="28"/>
        <v>22115</v>
      </c>
      <c r="L338">
        <v>-23646</v>
      </c>
      <c r="M338" s="7">
        <f t="shared" ca="1" si="26"/>
        <v>64.739219712525667</v>
      </c>
      <c r="N338" s="5" t="str">
        <f ca="1">VLOOKUP(Data!M338,temp!$B$3:$C$9,2,1)</f>
        <v>60-70</v>
      </c>
      <c r="O338">
        <v>365243</v>
      </c>
      <c r="P338" s="8">
        <f t="shared" si="27"/>
        <v>0</v>
      </c>
      <c r="Q338" s="5" t="str">
        <f t="shared" si="29"/>
        <v>Unemployed</v>
      </c>
      <c r="R338">
        <v>1</v>
      </c>
      <c r="S338">
        <v>0</v>
      </c>
      <c r="T338">
        <v>0</v>
      </c>
      <c r="U338">
        <v>0</v>
      </c>
      <c r="W338">
        <v>2</v>
      </c>
    </row>
    <row r="339" spans="1:23" x14ac:dyDescent="0.2">
      <c r="A339">
        <v>5022283</v>
      </c>
      <c r="B339" t="s">
        <v>18</v>
      </c>
      <c r="C339" t="s">
        <v>19</v>
      </c>
      <c r="D339" t="s">
        <v>19</v>
      </c>
      <c r="E339">
        <v>1</v>
      </c>
      <c r="F339">
        <v>157500</v>
      </c>
      <c r="G339" t="s">
        <v>31</v>
      </c>
      <c r="H339" t="s">
        <v>27</v>
      </c>
      <c r="I339" t="s">
        <v>37</v>
      </c>
      <c r="J339" t="s">
        <v>24</v>
      </c>
      <c r="K339" s="6">
        <f t="shared" ca="1" si="28"/>
        <v>30661</v>
      </c>
      <c r="L339">
        <v>-15100</v>
      </c>
      <c r="M339" s="7">
        <f t="shared" ca="1" si="26"/>
        <v>41.341546885694733</v>
      </c>
      <c r="N339" s="5" t="str">
        <f ca="1">VLOOKUP(Data!M339,temp!$B$3:$C$9,2,1)</f>
        <v>40-50</v>
      </c>
      <c r="O339">
        <v>-3500</v>
      </c>
      <c r="P339" s="8">
        <f t="shared" si="27"/>
        <v>9.5824777549623548</v>
      </c>
      <c r="Q339" s="5" t="str">
        <f t="shared" si="29"/>
        <v>Employed</v>
      </c>
      <c r="R339">
        <v>1</v>
      </c>
      <c r="S339">
        <v>0</v>
      </c>
      <c r="T339">
        <v>0</v>
      </c>
      <c r="U339">
        <v>0</v>
      </c>
      <c r="V339" t="s">
        <v>55</v>
      </c>
      <c r="W339">
        <v>3</v>
      </c>
    </row>
    <row r="340" spans="1:23" x14ac:dyDescent="0.2">
      <c r="A340">
        <v>5022291</v>
      </c>
      <c r="B340" t="s">
        <v>18</v>
      </c>
      <c r="C340" t="s">
        <v>19</v>
      </c>
      <c r="D340" t="s">
        <v>19</v>
      </c>
      <c r="E340">
        <v>1</v>
      </c>
      <c r="F340">
        <v>157500</v>
      </c>
      <c r="G340" t="s">
        <v>31</v>
      </c>
      <c r="H340" t="s">
        <v>27</v>
      </c>
      <c r="I340" t="s">
        <v>37</v>
      </c>
      <c r="J340" t="s">
        <v>24</v>
      </c>
      <c r="K340" s="6">
        <f t="shared" ca="1" si="28"/>
        <v>30661</v>
      </c>
      <c r="L340">
        <v>-15100</v>
      </c>
      <c r="M340" s="7">
        <f t="shared" ca="1" si="26"/>
        <v>41.341546885694733</v>
      </c>
      <c r="N340" s="5" t="str">
        <f ca="1">VLOOKUP(Data!M340,temp!$B$3:$C$9,2,1)</f>
        <v>40-50</v>
      </c>
      <c r="O340">
        <v>-3500</v>
      </c>
      <c r="P340" s="8">
        <f t="shared" si="27"/>
        <v>9.5824777549623548</v>
      </c>
      <c r="Q340" s="5" t="str">
        <f t="shared" si="29"/>
        <v>Employed</v>
      </c>
      <c r="R340">
        <v>1</v>
      </c>
      <c r="S340">
        <v>0</v>
      </c>
      <c r="T340">
        <v>0</v>
      </c>
      <c r="U340">
        <v>0</v>
      </c>
      <c r="V340" t="s">
        <v>55</v>
      </c>
      <c r="W340">
        <v>3</v>
      </c>
    </row>
    <row r="341" spans="1:23" x14ac:dyDescent="0.2">
      <c r="A341">
        <v>5022295</v>
      </c>
      <c r="B341" t="s">
        <v>18</v>
      </c>
      <c r="C341" t="s">
        <v>19</v>
      </c>
      <c r="D341" t="s">
        <v>19</v>
      </c>
      <c r="E341">
        <v>1</v>
      </c>
      <c r="F341">
        <v>157500</v>
      </c>
      <c r="G341" t="s">
        <v>31</v>
      </c>
      <c r="H341" t="s">
        <v>27</v>
      </c>
      <c r="I341" t="s">
        <v>37</v>
      </c>
      <c r="J341" t="s">
        <v>24</v>
      </c>
      <c r="K341" s="6">
        <f t="shared" ca="1" si="28"/>
        <v>30661</v>
      </c>
      <c r="L341">
        <v>-15100</v>
      </c>
      <c r="M341" s="7">
        <f t="shared" ca="1" si="26"/>
        <v>41.341546885694733</v>
      </c>
      <c r="N341" s="5" t="str">
        <f ca="1">VLOOKUP(Data!M341,temp!$B$3:$C$9,2,1)</f>
        <v>40-50</v>
      </c>
      <c r="O341">
        <v>-3500</v>
      </c>
      <c r="P341" s="8">
        <f t="shared" si="27"/>
        <v>9.5824777549623548</v>
      </c>
      <c r="Q341" s="5" t="str">
        <f t="shared" si="29"/>
        <v>Employed</v>
      </c>
      <c r="R341">
        <v>1</v>
      </c>
      <c r="S341">
        <v>0</v>
      </c>
      <c r="T341">
        <v>0</v>
      </c>
      <c r="U341">
        <v>0</v>
      </c>
      <c r="V341" t="s">
        <v>55</v>
      </c>
      <c r="W341">
        <v>3</v>
      </c>
    </row>
    <row r="342" spans="1:23" x14ac:dyDescent="0.2">
      <c r="A342">
        <v>5022297</v>
      </c>
      <c r="B342" t="s">
        <v>18</v>
      </c>
      <c r="C342" t="s">
        <v>19</v>
      </c>
      <c r="D342" t="s">
        <v>19</v>
      </c>
      <c r="E342">
        <v>1</v>
      </c>
      <c r="F342">
        <v>157500</v>
      </c>
      <c r="G342" t="s">
        <v>31</v>
      </c>
      <c r="H342" t="s">
        <v>27</v>
      </c>
      <c r="I342" t="s">
        <v>37</v>
      </c>
      <c r="J342" t="s">
        <v>24</v>
      </c>
      <c r="K342" s="6">
        <f t="shared" ca="1" si="28"/>
        <v>30661</v>
      </c>
      <c r="L342">
        <v>-15100</v>
      </c>
      <c r="M342" s="7">
        <f t="shared" ca="1" si="26"/>
        <v>41.341546885694733</v>
      </c>
      <c r="N342" s="5" t="str">
        <f ca="1">VLOOKUP(Data!M342,temp!$B$3:$C$9,2,1)</f>
        <v>40-50</v>
      </c>
      <c r="O342">
        <v>-3500</v>
      </c>
      <c r="P342" s="8">
        <f t="shared" si="27"/>
        <v>9.5824777549623548</v>
      </c>
      <c r="Q342" s="5" t="str">
        <f t="shared" si="29"/>
        <v>Employed</v>
      </c>
      <c r="R342">
        <v>1</v>
      </c>
      <c r="S342">
        <v>0</v>
      </c>
      <c r="T342">
        <v>0</v>
      </c>
      <c r="U342">
        <v>0</v>
      </c>
      <c r="V342" t="s">
        <v>55</v>
      </c>
      <c r="W342">
        <v>3</v>
      </c>
    </row>
    <row r="343" spans="1:23" x14ac:dyDescent="0.2">
      <c r="A343">
        <v>5022303</v>
      </c>
      <c r="B343" t="s">
        <v>18</v>
      </c>
      <c r="C343" t="s">
        <v>19</v>
      </c>
      <c r="D343" t="s">
        <v>20</v>
      </c>
      <c r="E343">
        <v>0</v>
      </c>
      <c r="F343">
        <v>90000</v>
      </c>
      <c r="G343" t="s">
        <v>31</v>
      </c>
      <c r="H343" t="s">
        <v>27</v>
      </c>
      <c r="I343" t="s">
        <v>23</v>
      </c>
      <c r="J343" t="s">
        <v>24</v>
      </c>
      <c r="K343" s="6">
        <f t="shared" ca="1" si="28"/>
        <v>26719</v>
      </c>
      <c r="L343">
        <v>-19042</v>
      </c>
      <c r="M343" s="7">
        <f t="shared" ca="1" si="26"/>
        <v>52.134154688569474</v>
      </c>
      <c r="N343" s="5" t="str">
        <f ca="1">VLOOKUP(Data!M343,temp!$B$3:$C$9,2,1)</f>
        <v>50-60</v>
      </c>
      <c r="O343">
        <v>-3319</v>
      </c>
      <c r="P343" s="8">
        <f t="shared" si="27"/>
        <v>9.0869267624914443</v>
      </c>
      <c r="Q343" s="5" t="str">
        <f t="shared" si="29"/>
        <v>Employed</v>
      </c>
      <c r="R343">
        <v>1</v>
      </c>
      <c r="S343">
        <v>0</v>
      </c>
      <c r="T343">
        <v>0</v>
      </c>
      <c r="U343">
        <v>0</v>
      </c>
      <c r="W343">
        <v>1</v>
      </c>
    </row>
    <row r="344" spans="1:23" x14ac:dyDescent="0.2">
      <c r="A344">
        <v>5022305</v>
      </c>
      <c r="B344" t="s">
        <v>18</v>
      </c>
      <c r="C344" t="s">
        <v>19</v>
      </c>
      <c r="D344" t="s">
        <v>20</v>
      </c>
      <c r="E344">
        <v>0</v>
      </c>
      <c r="F344">
        <v>90000</v>
      </c>
      <c r="G344" t="s">
        <v>31</v>
      </c>
      <c r="H344" t="s">
        <v>27</v>
      </c>
      <c r="I344" t="s">
        <v>23</v>
      </c>
      <c r="J344" t="s">
        <v>24</v>
      </c>
      <c r="K344" s="6">
        <f t="shared" ca="1" si="28"/>
        <v>26719</v>
      </c>
      <c r="L344">
        <v>-19042</v>
      </c>
      <c r="M344" s="7">
        <f t="shared" ca="1" si="26"/>
        <v>52.134154688569474</v>
      </c>
      <c r="N344" s="5" t="str">
        <f ca="1">VLOOKUP(Data!M344,temp!$B$3:$C$9,2,1)</f>
        <v>50-60</v>
      </c>
      <c r="O344">
        <v>-3319</v>
      </c>
      <c r="P344" s="8">
        <f t="shared" si="27"/>
        <v>9.0869267624914443</v>
      </c>
      <c r="Q344" s="5" t="str">
        <f t="shared" si="29"/>
        <v>Employed</v>
      </c>
      <c r="R344">
        <v>1</v>
      </c>
      <c r="S344">
        <v>0</v>
      </c>
      <c r="T344">
        <v>0</v>
      </c>
      <c r="U344">
        <v>0</v>
      </c>
      <c r="W344">
        <v>1</v>
      </c>
    </row>
    <row r="345" spans="1:23" x14ac:dyDescent="0.2">
      <c r="A345">
        <v>5022308</v>
      </c>
      <c r="B345" t="s">
        <v>18</v>
      </c>
      <c r="C345" t="s">
        <v>19</v>
      </c>
      <c r="D345" t="s">
        <v>20</v>
      </c>
      <c r="E345">
        <v>0</v>
      </c>
      <c r="F345">
        <v>90000</v>
      </c>
      <c r="G345" t="s">
        <v>31</v>
      </c>
      <c r="H345" t="s">
        <v>27</v>
      </c>
      <c r="I345" t="s">
        <v>23</v>
      </c>
      <c r="J345" t="s">
        <v>24</v>
      </c>
      <c r="K345" s="6">
        <f t="shared" ca="1" si="28"/>
        <v>26719</v>
      </c>
      <c r="L345">
        <v>-19042</v>
      </c>
      <c r="M345" s="7">
        <f t="shared" ca="1" si="26"/>
        <v>52.134154688569474</v>
      </c>
      <c r="N345" s="5" t="str">
        <f ca="1">VLOOKUP(Data!M345,temp!$B$3:$C$9,2,1)</f>
        <v>50-60</v>
      </c>
      <c r="O345">
        <v>-3319</v>
      </c>
      <c r="P345" s="8">
        <f t="shared" si="27"/>
        <v>9.0869267624914443</v>
      </c>
      <c r="Q345" s="5" t="str">
        <f t="shared" si="29"/>
        <v>Employed</v>
      </c>
      <c r="R345">
        <v>1</v>
      </c>
      <c r="S345">
        <v>0</v>
      </c>
      <c r="T345">
        <v>0</v>
      </c>
      <c r="U345">
        <v>0</v>
      </c>
      <c r="W345">
        <v>1</v>
      </c>
    </row>
    <row r="346" spans="1:23" x14ac:dyDescent="0.2">
      <c r="A346">
        <v>5022320</v>
      </c>
      <c r="B346" t="s">
        <v>25</v>
      </c>
      <c r="C346" t="s">
        <v>20</v>
      </c>
      <c r="D346" t="s">
        <v>19</v>
      </c>
      <c r="E346">
        <v>1</v>
      </c>
      <c r="F346">
        <v>270000</v>
      </c>
      <c r="G346" t="s">
        <v>26</v>
      </c>
      <c r="H346" t="s">
        <v>22</v>
      </c>
      <c r="I346" t="s">
        <v>28</v>
      </c>
      <c r="J346" t="s">
        <v>24</v>
      </c>
      <c r="K346" s="6">
        <f t="shared" ca="1" si="28"/>
        <v>34388</v>
      </c>
      <c r="L346">
        <v>-11373</v>
      </c>
      <c r="M346" s="7">
        <f t="shared" ca="1" si="26"/>
        <v>31.137577002053387</v>
      </c>
      <c r="N346" s="5" t="str">
        <f ca="1">VLOOKUP(Data!M346,temp!$B$3:$C$9,2,1)</f>
        <v>30-40</v>
      </c>
      <c r="O346">
        <v>-1371</v>
      </c>
      <c r="P346" s="8">
        <f t="shared" si="27"/>
        <v>3.7535934291581108</v>
      </c>
      <c r="Q346" s="5" t="str">
        <f t="shared" si="29"/>
        <v>Employed</v>
      </c>
      <c r="R346">
        <v>1</v>
      </c>
      <c r="S346">
        <v>0</v>
      </c>
      <c r="T346">
        <v>0</v>
      </c>
      <c r="U346">
        <v>0</v>
      </c>
      <c r="V346" t="s">
        <v>32</v>
      </c>
      <c r="W346">
        <v>3</v>
      </c>
    </row>
    <row r="347" spans="1:23" x14ac:dyDescent="0.2">
      <c r="A347">
        <v>5022340</v>
      </c>
      <c r="B347" t="s">
        <v>25</v>
      </c>
      <c r="C347" t="s">
        <v>19</v>
      </c>
      <c r="D347" t="s">
        <v>20</v>
      </c>
      <c r="E347">
        <v>0</v>
      </c>
      <c r="F347">
        <v>135000</v>
      </c>
      <c r="G347" t="s">
        <v>31</v>
      </c>
      <c r="H347" t="s">
        <v>27</v>
      </c>
      <c r="I347" t="s">
        <v>33</v>
      </c>
      <c r="J347" t="s">
        <v>24</v>
      </c>
      <c r="K347" s="6">
        <f t="shared" ca="1" si="28"/>
        <v>36106</v>
      </c>
      <c r="L347">
        <v>-9655</v>
      </c>
      <c r="M347" s="7">
        <f t="shared" ca="1" si="26"/>
        <v>26.433949349760439</v>
      </c>
      <c r="N347" s="5" t="str">
        <f ca="1">VLOOKUP(Data!M347,temp!$B$3:$C$9,2,1)</f>
        <v>20-30</v>
      </c>
      <c r="O347">
        <v>-156</v>
      </c>
      <c r="P347" s="8">
        <f t="shared" si="27"/>
        <v>0.4271047227926078</v>
      </c>
      <c r="Q347" s="5" t="str">
        <f t="shared" si="29"/>
        <v>Employed</v>
      </c>
      <c r="R347">
        <v>1</v>
      </c>
      <c r="S347">
        <v>0</v>
      </c>
      <c r="T347">
        <v>0</v>
      </c>
      <c r="U347">
        <v>0</v>
      </c>
      <c r="W347">
        <v>1</v>
      </c>
    </row>
    <row r="348" spans="1:23" x14ac:dyDescent="0.2">
      <c r="A348">
        <v>5022349</v>
      </c>
      <c r="B348" t="s">
        <v>18</v>
      </c>
      <c r="C348" t="s">
        <v>19</v>
      </c>
      <c r="D348" t="s">
        <v>20</v>
      </c>
      <c r="E348">
        <v>1</v>
      </c>
      <c r="F348">
        <v>234000</v>
      </c>
      <c r="G348" t="s">
        <v>31</v>
      </c>
      <c r="H348" t="s">
        <v>27</v>
      </c>
      <c r="I348" t="s">
        <v>33</v>
      </c>
      <c r="J348" t="s">
        <v>24</v>
      </c>
      <c r="K348" s="6">
        <f t="shared" ca="1" si="28"/>
        <v>25068</v>
      </c>
      <c r="L348">
        <v>-20693</v>
      </c>
      <c r="M348" s="7">
        <f t="shared" ca="1" si="26"/>
        <v>56.654346338124569</v>
      </c>
      <c r="N348" s="5" t="str">
        <f ca="1">VLOOKUP(Data!M348,temp!$B$3:$C$9,2,1)</f>
        <v>50-60</v>
      </c>
      <c r="O348">
        <v>-8036</v>
      </c>
      <c r="P348" s="8">
        <f t="shared" si="27"/>
        <v>22.001368925393567</v>
      </c>
      <c r="Q348" s="5" t="str">
        <f t="shared" si="29"/>
        <v>Employed</v>
      </c>
      <c r="R348">
        <v>1</v>
      </c>
      <c r="S348">
        <v>0</v>
      </c>
      <c r="T348">
        <v>0</v>
      </c>
      <c r="U348">
        <v>0</v>
      </c>
      <c r="V348" t="s">
        <v>38</v>
      </c>
      <c r="W348">
        <v>2</v>
      </c>
    </row>
    <row r="349" spans="1:23" x14ac:dyDescent="0.2">
      <c r="A349">
        <v>5022352</v>
      </c>
      <c r="B349" t="s">
        <v>18</v>
      </c>
      <c r="C349" t="s">
        <v>19</v>
      </c>
      <c r="D349" t="s">
        <v>20</v>
      </c>
      <c r="E349">
        <v>1</v>
      </c>
      <c r="F349">
        <v>234000</v>
      </c>
      <c r="G349" t="s">
        <v>31</v>
      </c>
      <c r="H349" t="s">
        <v>27</v>
      </c>
      <c r="I349" t="s">
        <v>33</v>
      </c>
      <c r="J349" t="s">
        <v>24</v>
      </c>
      <c r="K349" s="6">
        <f t="shared" ca="1" si="28"/>
        <v>25068</v>
      </c>
      <c r="L349">
        <v>-20693</v>
      </c>
      <c r="M349" s="7">
        <f t="shared" ca="1" si="26"/>
        <v>56.654346338124569</v>
      </c>
      <c r="N349" s="5" t="str">
        <f ca="1">VLOOKUP(Data!M349,temp!$B$3:$C$9,2,1)</f>
        <v>50-60</v>
      </c>
      <c r="O349">
        <v>-8036</v>
      </c>
      <c r="P349" s="8">
        <f t="shared" si="27"/>
        <v>22.001368925393567</v>
      </c>
      <c r="Q349" s="5" t="str">
        <f t="shared" si="29"/>
        <v>Employed</v>
      </c>
      <c r="R349">
        <v>1</v>
      </c>
      <c r="S349">
        <v>0</v>
      </c>
      <c r="T349">
        <v>0</v>
      </c>
      <c r="U349">
        <v>0</v>
      </c>
      <c r="V349" t="s">
        <v>38</v>
      </c>
      <c r="W349">
        <v>2</v>
      </c>
    </row>
    <row r="350" spans="1:23" x14ac:dyDescent="0.2">
      <c r="A350">
        <v>5022365</v>
      </c>
      <c r="B350" t="s">
        <v>18</v>
      </c>
      <c r="C350" t="s">
        <v>19</v>
      </c>
      <c r="D350" t="s">
        <v>20</v>
      </c>
      <c r="E350">
        <v>0</v>
      </c>
      <c r="F350">
        <v>54000</v>
      </c>
      <c r="G350" t="s">
        <v>21</v>
      </c>
      <c r="H350" t="s">
        <v>27</v>
      </c>
      <c r="I350" t="s">
        <v>42</v>
      </c>
      <c r="J350" t="s">
        <v>24</v>
      </c>
      <c r="K350" s="6">
        <f t="shared" ca="1" si="28"/>
        <v>23022</v>
      </c>
      <c r="L350">
        <v>-22739</v>
      </c>
      <c r="M350" s="7">
        <f t="shared" ca="1" si="26"/>
        <v>62.255989048596852</v>
      </c>
      <c r="N350" s="5" t="str">
        <f ca="1">VLOOKUP(Data!M350,temp!$B$3:$C$9,2,1)</f>
        <v>60-70</v>
      </c>
      <c r="O350">
        <v>365243</v>
      </c>
      <c r="P350" s="8">
        <f t="shared" si="27"/>
        <v>0</v>
      </c>
      <c r="Q350" s="5" t="str">
        <f t="shared" si="29"/>
        <v>Unemployed</v>
      </c>
      <c r="R350">
        <v>1</v>
      </c>
      <c r="S350">
        <v>0</v>
      </c>
      <c r="T350">
        <v>1</v>
      </c>
      <c r="U350">
        <v>0</v>
      </c>
      <c r="W350">
        <v>1</v>
      </c>
    </row>
    <row r="351" spans="1:23" x14ac:dyDescent="0.2">
      <c r="A351">
        <v>5022366</v>
      </c>
      <c r="B351" t="s">
        <v>25</v>
      </c>
      <c r="C351" t="s">
        <v>20</v>
      </c>
      <c r="D351" t="s">
        <v>19</v>
      </c>
      <c r="E351">
        <v>0</v>
      </c>
      <c r="F351">
        <v>270000</v>
      </c>
      <c r="G351" t="s">
        <v>31</v>
      </c>
      <c r="H351" t="s">
        <v>36</v>
      </c>
      <c r="I351" t="s">
        <v>28</v>
      </c>
      <c r="J351" t="s">
        <v>24</v>
      </c>
      <c r="K351" s="6">
        <f t="shared" ca="1" si="28"/>
        <v>34589</v>
      </c>
      <c r="L351">
        <v>-11172</v>
      </c>
      <c r="M351" s="7">
        <f t="shared" ca="1" si="26"/>
        <v>30.587268993839835</v>
      </c>
      <c r="N351" s="5" t="str">
        <f ca="1">VLOOKUP(Data!M351,temp!$B$3:$C$9,2,1)</f>
        <v>30-40</v>
      </c>
      <c r="O351">
        <v>-3504</v>
      </c>
      <c r="P351" s="8">
        <f t="shared" si="27"/>
        <v>9.593429158110883</v>
      </c>
      <c r="Q351" s="5" t="str">
        <f t="shared" si="29"/>
        <v>Employed</v>
      </c>
      <c r="R351">
        <v>1</v>
      </c>
      <c r="S351">
        <v>0</v>
      </c>
      <c r="T351">
        <v>0</v>
      </c>
      <c r="U351">
        <v>0</v>
      </c>
      <c r="V351" t="s">
        <v>29</v>
      </c>
      <c r="W351">
        <v>2</v>
      </c>
    </row>
    <row r="352" spans="1:23" x14ac:dyDescent="0.2">
      <c r="A352">
        <v>5022376</v>
      </c>
      <c r="B352" t="s">
        <v>18</v>
      </c>
      <c r="C352" t="s">
        <v>20</v>
      </c>
      <c r="D352" t="s">
        <v>20</v>
      </c>
      <c r="E352">
        <v>0</v>
      </c>
      <c r="F352">
        <v>117000</v>
      </c>
      <c r="G352" t="s">
        <v>31</v>
      </c>
      <c r="H352" t="s">
        <v>27</v>
      </c>
      <c r="I352" t="s">
        <v>28</v>
      </c>
      <c r="J352" t="s">
        <v>45</v>
      </c>
      <c r="K352" s="6">
        <f t="shared" ca="1" si="28"/>
        <v>28225</v>
      </c>
      <c r="L352">
        <v>-17536</v>
      </c>
      <c r="M352" s="7">
        <f t="shared" ca="1" si="26"/>
        <v>48.010951403148532</v>
      </c>
      <c r="N352" s="5" t="str">
        <f ca="1">VLOOKUP(Data!M352,temp!$B$3:$C$9,2,1)</f>
        <v>40-50</v>
      </c>
      <c r="O352">
        <v>-4113</v>
      </c>
      <c r="P352" s="8">
        <f t="shared" si="27"/>
        <v>11.260780287474333</v>
      </c>
      <c r="Q352" s="5" t="str">
        <f t="shared" si="29"/>
        <v>Employed</v>
      </c>
      <c r="R352">
        <v>1</v>
      </c>
      <c r="S352">
        <v>0</v>
      </c>
      <c r="T352">
        <v>1</v>
      </c>
      <c r="U352">
        <v>0</v>
      </c>
      <c r="V352" t="s">
        <v>39</v>
      </c>
      <c r="W352">
        <v>2</v>
      </c>
    </row>
    <row r="353" spans="1:23" x14ac:dyDescent="0.2">
      <c r="A353">
        <v>5022387</v>
      </c>
      <c r="B353" t="s">
        <v>18</v>
      </c>
      <c r="C353" t="s">
        <v>19</v>
      </c>
      <c r="D353" t="s">
        <v>20</v>
      </c>
      <c r="E353">
        <v>0</v>
      </c>
      <c r="F353">
        <v>153000</v>
      </c>
      <c r="G353" t="s">
        <v>21</v>
      </c>
      <c r="H353" t="s">
        <v>22</v>
      </c>
      <c r="I353" t="s">
        <v>28</v>
      </c>
      <c r="J353" t="s">
        <v>24</v>
      </c>
      <c r="K353" s="6">
        <f t="shared" ca="1" si="28"/>
        <v>23862</v>
      </c>
      <c r="L353">
        <v>-21899</v>
      </c>
      <c r="M353" s="7">
        <f t="shared" ca="1" si="26"/>
        <v>59.956194387405887</v>
      </c>
      <c r="N353" s="5" t="str">
        <f ca="1">VLOOKUP(Data!M353,temp!$B$3:$C$9,2,1)</f>
        <v>50-60</v>
      </c>
      <c r="O353">
        <v>365243</v>
      </c>
      <c r="P353" s="8">
        <f t="shared" si="27"/>
        <v>0</v>
      </c>
      <c r="Q353" s="5" t="str">
        <f t="shared" si="29"/>
        <v>Unemployed</v>
      </c>
      <c r="R353">
        <v>1</v>
      </c>
      <c r="S353">
        <v>0</v>
      </c>
      <c r="T353">
        <v>1</v>
      </c>
      <c r="U353">
        <v>0</v>
      </c>
      <c r="W353">
        <v>2</v>
      </c>
    </row>
    <row r="354" spans="1:23" x14ac:dyDescent="0.2">
      <c r="A354">
        <v>5022397</v>
      </c>
      <c r="B354" t="s">
        <v>18</v>
      </c>
      <c r="C354" t="s">
        <v>19</v>
      </c>
      <c r="D354" t="s">
        <v>20</v>
      </c>
      <c r="E354">
        <v>0</v>
      </c>
      <c r="F354">
        <v>153000</v>
      </c>
      <c r="G354" t="s">
        <v>21</v>
      </c>
      <c r="H354" t="s">
        <v>22</v>
      </c>
      <c r="I354" t="s">
        <v>28</v>
      </c>
      <c r="J354" t="s">
        <v>24</v>
      </c>
      <c r="K354" s="6">
        <f t="shared" ca="1" si="28"/>
        <v>23862</v>
      </c>
      <c r="L354">
        <v>-21899</v>
      </c>
      <c r="M354" s="7">
        <f t="shared" ca="1" si="26"/>
        <v>59.956194387405887</v>
      </c>
      <c r="N354" s="5" t="str">
        <f ca="1">VLOOKUP(Data!M354,temp!$B$3:$C$9,2,1)</f>
        <v>50-60</v>
      </c>
      <c r="O354">
        <v>365243</v>
      </c>
      <c r="P354" s="8">
        <f t="shared" si="27"/>
        <v>0</v>
      </c>
      <c r="Q354" s="5" t="str">
        <f t="shared" si="29"/>
        <v>Unemployed</v>
      </c>
      <c r="R354">
        <v>1</v>
      </c>
      <c r="S354">
        <v>0</v>
      </c>
      <c r="T354">
        <v>1</v>
      </c>
      <c r="U354">
        <v>0</v>
      </c>
      <c r="W354">
        <v>2</v>
      </c>
    </row>
    <row r="355" spans="1:23" x14ac:dyDescent="0.2">
      <c r="A355">
        <v>5022417</v>
      </c>
      <c r="B355" t="s">
        <v>18</v>
      </c>
      <c r="C355" t="s">
        <v>20</v>
      </c>
      <c r="D355" t="s">
        <v>20</v>
      </c>
      <c r="E355">
        <v>1</v>
      </c>
      <c r="F355">
        <v>157500</v>
      </c>
      <c r="G355" t="s">
        <v>31</v>
      </c>
      <c r="H355" t="s">
        <v>22</v>
      </c>
      <c r="I355" t="s">
        <v>28</v>
      </c>
      <c r="J355" t="s">
        <v>41</v>
      </c>
      <c r="K355" s="6">
        <f t="shared" ca="1" si="28"/>
        <v>34916</v>
      </c>
      <c r="L355">
        <v>-10845</v>
      </c>
      <c r="M355" s="7">
        <f t="shared" ca="1" si="26"/>
        <v>29.691991786447637</v>
      </c>
      <c r="N355" s="5" t="str">
        <f ca="1">VLOOKUP(Data!M355,temp!$B$3:$C$9,2,1)</f>
        <v>20-30</v>
      </c>
      <c r="O355">
        <v>-521</v>
      </c>
      <c r="P355" s="8">
        <f t="shared" si="27"/>
        <v>1.4264202600958247</v>
      </c>
      <c r="Q355" s="5" t="str">
        <f t="shared" si="29"/>
        <v>Employed</v>
      </c>
      <c r="R355">
        <v>1</v>
      </c>
      <c r="S355">
        <v>0</v>
      </c>
      <c r="T355">
        <v>0</v>
      </c>
      <c r="U355">
        <v>1</v>
      </c>
      <c r="V355" t="s">
        <v>47</v>
      </c>
      <c r="W355">
        <v>3</v>
      </c>
    </row>
    <row r="356" spans="1:23" x14ac:dyDescent="0.2">
      <c r="A356">
        <v>5022427</v>
      </c>
      <c r="B356" t="s">
        <v>18</v>
      </c>
      <c r="C356" t="s">
        <v>19</v>
      </c>
      <c r="D356" t="s">
        <v>20</v>
      </c>
      <c r="E356">
        <v>0</v>
      </c>
      <c r="F356">
        <v>90000</v>
      </c>
      <c r="G356" t="s">
        <v>31</v>
      </c>
      <c r="H356" t="s">
        <v>27</v>
      </c>
      <c r="I356" t="s">
        <v>37</v>
      </c>
      <c r="J356" t="s">
        <v>24</v>
      </c>
      <c r="K356" s="6">
        <f t="shared" ca="1" si="28"/>
        <v>29192</v>
      </c>
      <c r="L356">
        <v>-16569</v>
      </c>
      <c r="M356" s="7">
        <f t="shared" ca="1" si="26"/>
        <v>45.363449691991789</v>
      </c>
      <c r="N356" s="5" t="str">
        <f ca="1">VLOOKUP(Data!M356,temp!$B$3:$C$9,2,1)</f>
        <v>40-50</v>
      </c>
      <c r="O356">
        <v>-517</v>
      </c>
      <c r="P356" s="8">
        <f t="shared" si="27"/>
        <v>1.4154688569472964</v>
      </c>
      <c r="Q356" s="5" t="str">
        <f t="shared" si="29"/>
        <v>Employed</v>
      </c>
      <c r="R356">
        <v>1</v>
      </c>
      <c r="S356">
        <v>0</v>
      </c>
      <c r="T356">
        <v>0</v>
      </c>
      <c r="U356">
        <v>0</v>
      </c>
      <c r="V356" t="s">
        <v>29</v>
      </c>
      <c r="W356">
        <v>2</v>
      </c>
    </row>
    <row r="357" spans="1:23" x14ac:dyDescent="0.2">
      <c r="A357">
        <v>5022439</v>
      </c>
      <c r="B357" t="s">
        <v>18</v>
      </c>
      <c r="C357" t="s">
        <v>20</v>
      </c>
      <c r="D357" t="s">
        <v>20</v>
      </c>
      <c r="E357">
        <v>0</v>
      </c>
      <c r="F357">
        <v>270000</v>
      </c>
      <c r="G357" t="s">
        <v>26</v>
      </c>
      <c r="H357" t="s">
        <v>27</v>
      </c>
      <c r="I357" t="s">
        <v>28</v>
      </c>
      <c r="J357" t="s">
        <v>24</v>
      </c>
      <c r="K357" s="6">
        <f t="shared" ca="1" si="28"/>
        <v>27834</v>
      </c>
      <c r="L357">
        <v>-17927</v>
      </c>
      <c r="M357" s="7">
        <f t="shared" ca="1" si="26"/>
        <v>49.081451060917182</v>
      </c>
      <c r="N357" s="5" t="str">
        <f ca="1">VLOOKUP(Data!M357,temp!$B$3:$C$9,2,1)</f>
        <v>40-50</v>
      </c>
      <c r="O357">
        <v>-8553</v>
      </c>
      <c r="P357" s="8">
        <f t="shared" si="27"/>
        <v>23.416837782340863</v>
      </c>
      <c r="Q357" s="5" t="str">
        <f t="shared" si="29"/>
        <v>Employed</v>
      </c>
      <c r="R357">
        <v>1</v>
      </c>
      <c r="S357">
        <v>0</v>
      </c>
      <c r="T357">
        <v>0</v>
      </c>
      <c r="U357">
        <v>0</v>
      </c>
      <c r="V357" t="s">
        <v>29</v>
      </c>
      <c r="W357">
        <v>2</v>
      </c>
    </row>
    <row r="358" spans="1:23" x14ac:dyDescent="0.2">
      <c r="A358">
        <v>5022444</v>
      </c>
      <c r="B358" t="s">
        <v>18</v>
      </c>
      <c r="C358" t="s">
        <v>19</v>
      </c>
      <c r="D358" t="s">
        <v>20</v>
      </c>
      <c r="E358">
        <v>0</v>
      </c>
      <c r="F358">
        <v>180000</v>
      </c>
      <c r="G358" t="s">
        <v>26</v>
      </c>
      <c r="H358" t="s">
        <v>27</v>
      </c>
      <c r="I358" t="s">
        <v>28</v>
      </c>
      <c r="J358" t="s">
        <v>24</v>
      </c>
      <c r="K358" s="6">
        <f t="shared" ca="1" si="28"/>
        <v>29847</v>
      </c>
      <c r="L358">
        <v>-15914</v>
      </c>
      <c r="M358" s="7">
        <f t="shared" ca="1" si="26"/>
        <v>43.570157426420259</v>
      </c>
      <c r="N358" s="5" t="str">
        <f ca="1">VLOOKUP(Data!M358,temp!$B$3:$C$9,2,1)</f>
        <v>40-50</v>
      </c>
      <c r="O358">
        <v>-4354</v>
      </c>
      <c r="P358" s="8">
        <f t="shared" si="27"/>
        <v>11.920602327173169</v>
      </c>
      <c r="Q358" s="5" t="str">
        <f t="shared" si="29"/>
        <v>Employed</v>
      </c>
      <c r="R358">
        <v>1</v>
      </c>
      <c r="S358">
        <v>0</v>
      </c>
      <c r="T358">
        <v>1</v>
      </c>
      <c r="U358">
        <v>0</v>
      </c>
      <c r="V358" t="s">
        <v>39</v>
      </c>
      <c r="W358">
        <v>2</v>
      </c>
    </row>
    <row r="359" spans="1:23" x14ac:dyDescent="0.2">
      <c r="A359">
        <v>5022455</v>
      </c>
      <c r="B359" t="s">
        <v>25</v>
      </c>
      <c r="C359" t="s">
        <v>20</v>
      </c>
      <c r="D359" t="s">
        <v>20</v>
      </c>
      <c r="E359">
        <v>1</v>
      </c>
      <c r="F359">
        <v>144000</v>
      </c>
      <c r="G359" t="s">
        <v>31</v>
      </c>
      <c r="H359" t="s">
        <v>27</v>
      </c>
      <c r="I359" t="s">
        <v>28</v>
      </c>
      <c r="J359" t="s">
        <v>24</v>
      </c>
      <c r="K359" s="6">
        <f t="shared" ca="1" si="28"/>
        <v>37065</v>
      </c>
      <c r="L359">
        <v>-8696</v>
      </c>
      <c r="M359" s="7">
        <f t="shared" ca="1" si="26"/>
        <v>23.808350444900753</v>
      </c>
      <c r="N359" s="5" t="str">
        <f ca="1">VLOOKUP(Data!M359,temp!$B$3:$C$9,2,1)</f>
        <v>20-30</v>
      </c>
      <c r="O359">
        <v>-1070</v>
      </c>
      <c r="P359" s="8">
        <f t="shared" si="27"/>
        <v>2.9295003422313486</v>
      </c>
      <c r="Q359" s="5" t="str">
        <f t="shared" si="29"/>
        <v>Employed</v>
      </c>
      <c r="R359">
        <v>1</v>
      </c>
      <c r="S359">
        <v>0</v>
      </c>
      <c r="T359">
        <v>0</v>
      </c>
      <c r="U359">
        <v>1</v>
      </c>
      <c r="V359" t="s">
        <v>30</v>
      </c>
      <c r="W359">
        <v>3</v>
      </c>
    </row>
    <row r="360" spans="1:23" x14ac:dyDescent="0.2">
      <c r="A360">
        <v>5022466</v>
      </c>
      <c r="B360" t="s">
        <v>25</v>
      </c>
      <c r="C360" t="s">
        <v>20</v>
      </c>
      <c r="D360" t="s">
        <v>20</v>
      </c>
      <c r="E360">
        <v>0</v>
      </c>
      <c r="F360">
        <v>405000</v>
      </c>
      <c r="G360" t="s">
        <v>35</v>
      </c>
      <c r="H360" t="s">
        <v>27</v>
      </c>
      <c r="I360" t="s">
        <v>28</v>
      </c>
      <c r="J360" t="s">
        <v>24</v>
      </c>
      <c r="K360" s="6">
        <f t="shared" ca="1" si="28"/>
        <v>28452</v>
      </c>
      <c r="L360">
        <v>-17309</v>
      </c>
      <c r="M360" s="7">
        <f t="shared" ca="1" si="26"/>
        <v>47.389459274469544</v>
      </c>
      <c r="N360" s="5" t="str">
        <f ca="1">VLOOKUP(Data!M360,temp!$B$3:$C$9,2,1)</f>
        <v>40-50</v>
      </c>
      <c r="O360">
        <v>-3500</v>
      </c>
      <c r="P360" s="8">
        <f t="shared" si="27"/>
        <v>9.5824777549623548</v>
      </c>
      <c r="Q360" s="5" t="str">
        <f t="shared" si="29"/>
        <v>Employed</v>
      </c>
      <c r="R360">
        <v>1</v>
      </c>
      <c r="S360">
        <v>0</v>
      </c>
      <c r="T360">
        <v>0</v>
      </c>
      <c r="U360">
        <v>0</v>
      </c>
      <c r="W360">
        <v>2</v>
      </c>
    </row>
    <row r="361" spans="1:23" x14ac:dyDescent="0.2">
      <c r="A361">
        <v>5022472</v>
      </c>
      <c r="B361" t="s">
        <v>25</v>
      </c>
      <c r="C361" t="s">
        <v>20</v>
      </c>
      <c r="D361" t="s">
        <v>20</v>
      </c>
      <c r="E361">
        <v>0</v>
      </c>
      <c r="F361">
        <v>405000</v>
      </c>
      <c r="G361" t="s">
        <v>35</v>
      </c>
      <c r="H361" t="s">
        <v>27</v>
      </c>
      <c r="I361" t="s">
        <v>28</v>
      </c>
      <c r="J361" t="s">
        <v>24</v>
      </c>
      <c r="K361" s="6">
        <f t="shared" ca="1" si="28"/>
        <v>28452</v>
      </c>
      <c r="L361">
        <v>-17309</v>
      </c>
      <c r="M361" s="7">
        <f t="shared" ca="1" si="26"/>
        <v>47.389459274469544</v>
      </c>
      <c r="N361" s="5" t="str">
        <f ca="1">VLOOKUP(Data!M361,temp!$B$3:$C$9,2,1)</f>
        <v>40-50</v>
      </c>
      <c r="O361">
        <v>-3500</v>
      </c>
      <c r="P361" s="8">
        <f t="shared" si="27"/>
        <v>9.5824777549623548</v>
      </c>
      <c r="Q361" s="5" t="str">
        <f t="shared" si="29"/>
        <v>Employed</v>
      </c>
      <c r="R361">
        <v>1</v>
      </c>
      <c r="S361">
        <v>0</v>
      </c>
      <c r="T361">
        <v>0</v>
      </c>
      <c r="U361">
        <v>0</v>
      </c>
      <c r="W361">
        <v>2</v>
      </c>
    </row>
    <row r="362" spans="1:23" x14ac:dyDescent="0.2">
      <c r="A362">
        <v>5022473</v>
      </c>
      <c r="B362" t="s">
        <v>25</v>
      </c>
      <c r="C362" t="s">
        <v>20</v>
      </c>
      <c r="D362" t="s">
        <v>20</v>
      </c>
      <c r="E362">
        <v>0</v>
      </c>
      <c r="F362">
        <v>405000</v>
      </c>
      <c r="G362" t="s">
        <v>35</v>
      </c>
      <c r="H362" t="s">
        <v>27</v>
      </c>
      <c r="I362" t="s">
        <v>28</v>
      </c>
      <c r="J362" t="s">
        <v>24</v>
      </c>
      <c r="K362" s="6">
        <f t="shared" ca="1" si="28"/>
        <v>28452</v>
      </c>
      <c r="L362">
        <v>-17309</v>
      </c>
      <c r="M362" s="7">
        <f t="shared" ca="1" si="26"/>
        <v>47.389459274469544</v>
      </c>
      <c r="N362" s="5" t="str">
        <f ca="1">VLOOKUP(Data!M362,temp!$B$3:$C$9,2,1)</f>
        <v>40-50</v>
      </c>
      <c r="O362">
        <v>-3500</v>
      </c>
      <c r="P362" s="8">
        <f t="shared" si="27"/>
        <v>9.5824777549623548</v>
      </c>
      <c r="Q362" s="5" t="str">
        <f t="shared" si="29"/>
        <v>Employed</v>
      </c>
      <c r="R362">
        <v>1</v>
      </c>
      <c r="S362">
        <v>0</v>
      </c>
      <c r="T362">
        <v>0</v>
      </c>
      <c r="U362">
        <v>0</v>
      </c>
      <c r="W362">
        <v>2</v>
      </c>
    </row>
    <row r="363" spans="1:23" x14ac:dyDescent="0.2">
      <c r="A363">
        <v>5022484</v>
      </c>
      <c r="B363" t="s">
        <v>18</v>
      </c>
      <c r="C363" t="s">
        <v>19</v>
      </c>
      <c r="D363" t="s">
        <v>20</v>
      </c>
      <c r="E363">
        <v>0</v>
      </c>
      <c r="F363">
        <v>157500</v>
      </c>
      <c r="G363" t="s">
        <v>31</v>
      </c>
      <c r="H363" t="s">
        <v>27</v>
      </c>
      <c r="I363" t="s">
        <v>28</v>
      </c>
      <c r="J363" t="s">
        <v>24</v>
      </c>
      <c r="K363" s="6">
        <f t="shared" ca="1" si="28"/>
        <v>28810</v>
      </c>
      <c r="L363">
        <v>-16951</v>
      </c>
      <c r="M363" s="7">
        <f t="shared" ca="1" si="26"/>
        <v>46.409308692676248</v>
      </c>
      <c r="N363" s="5" t="str">
        <f ca="1">VLOOKUP(Data!M363,temp!$B$3:$C$9,2,1)</f>
        <v>40-50</v>
      </c>
      <c r="O363">
        <v>-3017</v>
      </c>
      <c r="P363" s="8">
        <f t="shared" si="27"/>
        <v>8.2600958247775491</v>
      </c>
      <c r="Q363" s="5" t="str">
        <f t="shared" si="29"/>
        <v>Employed</v>
      </c>
      <c r="R363">
        <v>1</v>
      </c>
      <c r="S363">
        <v>1</v>
      </c>
      <c r="T363">
        <v>1</v>
      </c>
      <c r="U363">
        <v>0</v>
      </c>
      <c r="W363">
        <v>2</v>
      </c>
    </row>
    <row r="364" spans="1:23" x14ac:dyDescent="0.2">
      <c r="A364">
        <v>5022486</v>
      </c>
      <c r="B364" t="s">
        <v>18</v>
      </c>
      <c r="C364" t="s">
        <v>19</v>
      </c>
      <c r="D364" t="s">
        <v>20</v>
      </c>
      <c r="E364">
        <v>0</v>
      </c>
      <c r="F364">
        <v>157500</v>
      </c>
      <c r="G364" t="s">
        <v>31</v>
      </c>
      <c r="H364" t="s">
        <v>27</v>
      </c>
      <c r="I364" t="s">
        <v>28</v>
      </c>
      <c r="J364" t="s">
        <v>24</v>
      </c>
      <c r="K364" s="6">
        <f t="shared" ca="1" si="28"/>
        <v>28810</v>
      </c>
      <c r="L364">
        <v>-16951</v>
      </c>
      <c r="M364" s="7">
        <f t="shared" ca="1" si="26"/>
        <v>46.409308692676248</v>
      </c>
      <c r="N364" s="5" t="str">
        <f ca="1">VLOOKUP(Data!M364,temp!$B$3:$C$9,2,1)</f>
        <v>40-50</v>
      </c>
      <c r="O364">
        <v>-3017</v>
      </c>
      <c r="P364" s="8">
        <f t="shared" si="27"/>
        <v>8.2600958247775491</v>
      </c>
      <c r="Q364" s="5" t="str">
        <f t="shared" si="29"/>
        <v>Employed</v>
      </c>
      <c r="R364">
        <v>1</v>
      </c>
      <c r="S364">
        <v>1</v>
      </c>
      <c r="T364">
        <v>1</v>
      </c>
      <c r="U364">
        <v>0</v>
      </c>
      <c r="W364">
        <v>2</v>
      </c>
    </row>
    <row r="365" spans="1:23" x14ac:dyDescent="0.2">
      <c r="A365">
        <v>5022532</v>
      </c>
      <c r="B365" t="s">
        <v>25</v>
      </c>
      <c r="C365" t="s">
        <v>19</v>
      </c>
      <c r="D365" t="s">
        <v>20</v>
      </c>
      <c r="E365">
        <v>0</v>
      </c>
      <c r="F365">
        <v>225000</v>
      </c>
      <c r="G365" t="s">
        <v>31</v>
      </c>
      <c r="H365" t="s">
        <v>27</v>
      </c>
      <c r="I365" t="s">
        <v>28</v>
      </c>
      <c r="J365" t="s">
        <v>41</v>
      </c>
      <c r="K365" s="6">
        <f t="shared" ca="1" si="28"/>
        <v>27131</v>
      </c>
      <c r="L365">
        <v>-18630</v>
      </c>
      <c r="M365" s="7">
        <f t="shared" ca="1" si="26"/>
        <v>51.006160164271044</v>
      </c>
      <c r="N365" s="5" t="str">
        <f ca="1">VLOOKUP(Data!M365,temp!$B$3:$C$9,2,1)</f>
        <v>50-60</v>
      </c>
      <c r="O365">
        <v>-1462</v>
      </c>
      <c r="P365" s="8">
        <f t="shared" si="27"/>
        <v>4.0027378507871321</v>
      </c>
      <c r="Q365" s="5" t="str">
        <f t="shared" si="29"/>
        <v>Employed</v>
      </c>
      <c r="R365">
        <v>1</v>
      </c>
      <c r="S365">
        <v>0</v>
      </c>
      <c r="T365">
        <v>0</v>
      </c>
      <c r="U365">
        <v>0</v>
      </c>
      <c r="V365" t="s">
        <v>29</v>
      </c>
      <c r="W365">
        <v>2</v>
      </c>
    </row>
    <row r="366" spans="1:23" x14ac:dyDescent="0.2">
      <c r="A366">
        <v>5022541</v>
      </c>
      <c r="B366" t="s">
        <v>18</v>
      </c>
      <c r="C366" t="s">
        <v>19</v>
      </c>
      <c r="D366" t="s">
        <v>20</v>
      </c>
      <c r="E366">
        <v>0</v>
      </c>
      <c r="F366">
        <v>247500</v>
      </c>
      <c r="G366" t="s">
        <v>26</v>
      </c>
      <c r="H366" t="s">
        <v>22</v>
      </c>
      <c r="I366" t="s">
        <v>33</v>
      </c>
      <c r="J366" t="s">
        <v>24</v>
      </c>
      <c r="K366" s="6">
        <f t="shared" ca="1" si="28"/>
        <v>33777</v>
      </c>
      <c r="L366">
        <v>-11984</v>
      </c>
      <c r="M366" s="7">
        <f t="shared" ca="1" si="26"/>
        <v>32.810403832991099</v>
      </c>
      <c r="N366" s="5" t="str">
        <f ca="1">VLOOKUP(Data!M366,temp!$B$3:$C$9,2,1)</f>
        <v>30-40</v>
      </c>
      <c r="O366">
        <v>-2043</v>
      </c>
      <c r="P366" s="8">
        <f t="shared" si="27"/>
        <v>5.593429158110883</v>
      </c>
      <c r="Q366" s="5" t="str">
        <f t="shared" si="29"/>
        <v>Employed</v>
      </c>
      <c r="R366">
        <v>1</v>
      </c>
      <c r="S366">
        <v>0</v>
      </c>
      <c r="T366">
        <v>0</v>
      </c>
      <c r="U366">
        <v>1</v>
      </c>
      <c r="V366" t="s">
        <v>38</v>
      </c>
      <c r="W366">
        <v>1</v>
      </c>
    </row>
    <row r="367" spans="1:23" x14ac:dyDescent="0.2">
      <c r="A367">
        <v>5022549</v>
      </c>
      <c r="B367" t="s">
        <v>18</v>
      </c>
      <c r="C367" t="s">
        <v>19</v>
      </c>
      <c r="D367" t="s">
        <v>20</v>
      </c>
      <c r="E367">
        <v>0</v>
      </c>
      <c r="F367">
        <v>247500</v>
      </c>
      <c r="G367" t="s">
        <v>26</v>
      </c>
      <c r="H367" t="s">
        <v>22</v>
      </c>
      <c r="I367" t="s">
        <v>33</v>
      </c>
      <c r="J367" t="s">
        <v>24</v>
      </c>
      <c r="K367" s="6">
        <f t="shared" ca="1" si="28"/>
        <v>33777</v>
      </c>
      <c r="L367">
        <v>-11984</v>
      </c>
      <c r="M367" s="7">
        <f t="shared" ca="1" si="26"/>
        <v>32.810403832991099</v>
      </c>
      <c r="N367" s="5" t="str">
        <f ca="1">VLOOKUP(Data!M367,temp!$B$3:$C$9,2,1)</f>
        <v>30-40</v>
      </c>
      <c r="O367">
        <v>-2043</v>
      </c>
      <c r="P367" s="8">
        <f t="shared" si="27"/>
        <v>5.593429158110883</v>
      </c>
      <c r="Q367" s="5" t="str">
        <f t="shared" si="29"/>
        <v>Employed</v>
      </c>
      <c r="R367">
        <v>1</v>
      </c>
      <c r="S367">
        <v>0</v>
      </c>
      <c r="T367">
        <v>0</v>
      </c>
      <c r="U367">
        <v>1</v>
      </c>
      <c r="V367" t="s">
        <v>38</v>
      </c>
      <c r="W367">
        <v>1</v>
      </c>
    </row>
    <row r="368" spans="1:23" x14ac:dyDescent="0.2">
      <c r="A368">
        <v>5022553</v>
      </c>
      <c r="B368" t="s">
        <v>18</v>
      </c>
      <c r="C368" t="s">
        <v>19</v>
      </c>
      <c r="D368" t="s">
        <v>20</v>
      </c>
      <c r="E368">
        <v>0</v>
      </c>
      <c r="F368">
        <v>112500</v>
      </c>
      <c r="G368" t="s">
        <v>31</v>
      </c>
      <c r="H368" t="s">
        <v>22</v>
      </c>
      <c r="I368" t="s">
        <v>37</v>
      </c>
      <c r="J368" t="s">
        <v>24</v>
      </c>
      <c r="K368" s="6">
        <f t="shared" ca="1" si="28"/>
        <v>34527</v>
      </c>
      <c r="L368">
        <v>-11234</v>
      </c>
      <c r="M368" s="7">
        <f t="shared" ca="1" si="26"/>
        <v>30.757015742642025</v>
      </c>
      <c r="N368" s="5" t="str">
        <f ca="1">VLOOKUP(Data!M368,temp!$B$3:$C$9,2,1)</f>
        <v>30-40</v>
      </c>
      <c r="O368">
        <v>-2531</v>
      </c>
      <c r="P368" s="8">
        <f t="shared" si="27"/>
        <v>6.9295003422313481</v>
      </c>
      <c r="Q368" s="5" t="str">
        <f t="shared" si="29"/>
        <v>Employed</v>
      </c>
      <c r="R368">
        <v>1</v>
      </c>
      <c r="S368">
        <v>0</v>
      </c>
      <c r="T368">
        <v>1</v>
      </c>
      <c r="U368">
        <v>1</v>
      </c>
      <c r="V368" t="s">
        <v>39</v>
      </c>
      <c r="W368">
        <v>2</v>
      </c>
    </row>
    <row r="369" spans="1:23" x14ac:dyDescent="0.2">
      <c r="A369">
        <v>5022557</v>
      </c>
      <c r="B369" t="s">
        <v>18</v>
      </c>
      <c r="C369" t="s">
        <v>19</v>
      </c>
      <c r="D369" t="s">
        <v>20</v>
      </c>
      <c r="E369">
        <v>0</v>
      </c>
      <c r="F369">
        <v>112500</v>
      </c>
      <c r="G369" t="s">
        <v>31</v>
      </c>
      <c r="H369" t="s">
        <v>22</v>
      </c>
      <c r="I369" t="s">
        <v>37</v>
      </c>
      <c r="J369" t="s">
        <v>24</v>
      </c>
      <c r="K369" s="6">
        <f t="shared" ca="1" si="28"/>
        <v>34527</v>
      </c>
      <c r="L369">
        <v>-11234</v>
      </c>
      <c r="M369" s="7">
        <f t="shared" ca="1" si="26"/>
        <v>30.757015742642025</v>
      </c>
      <c r="N369" s="5" t="str">
        <f ca="1">VLOOKUP(Data!M369,temp!$B$3:$C$9,2,1)</f>
        <v>30-40</v>
      </c>
      <c r="O369">
        <v>-2531</v>
      </c>
      <c r="P369" s="8">
        <f t="shared" si="27"/>
        <v>6.9295003422313481</v>
      </c>
      <c r="Q369" s="5" t="str">
        <f t="shared" si="29"/>
        <v>Employed</v>
      </c>
      <c r="R369">
        <v>1</v>
      </c>
      <c r="S369">
        <v>0</v>
      </c>
      <c r="T369">
        <v>1</v>
      </c>
      <c r="U369">
        <v>1</v>
      </c>
      <c r="V369" t="s">
        <v>39</v>
      </c>
      <c r="W369">
        <v>2</v>
      </c>
    </row>
    <row r="370" spans="1:23" x14ac:dyDescent="0.2">
      <c r="A370">
        <v>5022559</v>
      </c>
      <c r="B370" t="s">
        <v>18</v>
      </c>
      <c r="C370" t="s">
        <v>19</v>
      </c>
      <c r="D370" t="s">
        <v>20</v>
      </c>
      <c r="E370">
        <v>1</v>
      </c>
      <c r="F370">
        <v>225000</v>
      </c>
      <c r="G370" t="s">
        <v>31</v>
      </c>
      <c r="H370" t="s">
        <v>22</v>
      </c>
      <c r="I370" t="s">
        <v>28</v>
      </c>
      <c r="J370" t="s">
        <v>24</v>
      </c>
      <c r="K370" s="6">
        <f t="shared" ca="1" si="28"/>
        <v>32690</v>
      </c>
      <c r="L370">
        <v>-13071</v>
      </c>
      <c r="M370" s="7">
        <f t="shared" ca="1" si="26"/>
        <v>35.786447638603697</v>
      </c>
      <c r="N370" s="5" t="str">
        <f ca="1">VLOOKUP(Data!M370,temp!$B$3:$C$9,2,1)</f>
        <v>30-40</v>
      </c>
      <c r="O370">
        <v>-1344</v>
      </c>
      <c r="P370" s="8">
        <f t="shared" si="27"/>
        <v>3.6796714579055441</v>
      </c>
      <c r="Q370" s="5" t="str">
        <f t="shared" si="29"/>
        <v>Employed</v>
      </c>
      <c r="R370">
        <v>1</v>
      </c>
      <c r="S370">
        <v>0</v>
      </c>
      <c r="T370">
        <v>0</v>
      </c>
      <c r="U370">
        <v>0</v>
      </c>
      <c r="V370" t="s">
        <v>39</v>
      </c>
      <c r="W370">
        <v>3</v>
      </c>
    </row>
    <row r="371" spans="1:23" x14ac:dyDescent="0.2">
      <c r="A371">
        <v>5022579</v>
      </c>
      <c r="B371" t="s">
        <v>25</v>
      </c>
      <c r="C371" t="s">
        <v>19</v>
      </c>
      <c r="D371" t="s">
        <v>20</v>
      </c>
      <c r="E371">
        <v>0</v>
      </c>
      <c r="F371">
        <v>202500</v>
      </c>
      <c r="G371" t="s">
        <v>31</v>
      </c>
      <c r="H371" t="s">
        <v>27</v>
      </c>
      <c r="I371" t="s">
        <v>33</v>
      </c>
      <c r="J371" t="s">
        <v>24</v>
      </c>
      <c r="K371" s="6">
        <f t="shared" ca="1" si="28"/>
        <v>37228</v>
      </c>
      <c r="L371">
        <v>-8533</v>
      </c>
      <c r="M371" s="7">
        <f t="shared" ca="1" si="26"/>
        <v>23.362080766598222</v>
      </c>
      <c r="N371" s="5" t="str">
        <f ca="1">VLOOKUP(Data!M371,temp!$B$3:$C$9,2,1)</f>
        <v>20-30</v>
      </c>
      <c r="O371">
        <v>-582</v>
      </c>
      <c r="P371" s="8">
        <f t="shared" si="27"/>
        <v>1.593429158110883</v>
      </c>
      <c r="Q371" s="5" t="str">
        <f t="shared" si="29"/>
        <v>Employed</v>
      </c>
      <c r="R371">
        <v>1</v>
      </c>
      <c r="S371">
        <v>0</v>
      </c>
      <c r="T371">
        <v>0</v>
      </c>
      <c r="U371">
        <v>0</v>
      </c>
      <c r="V371" t="s">
        <v>29</v>
      </c>
      <c r="W371">
        <v>1</v>
      </c>
    </row>
    <row r="372" spans="1:23" x14ac:dyDescent="0.2">
      <c r="A372">
        <v>5022587</v>
      </c>
      <c r="B372" t="s">
        <v>18</v>
      </c>
      <c r="C372" t="s">
        <v>19</v>
      </c>
      <c r="D372" t="s">
        <v>20</v>
      </c>
      <c r="E372">
        <v>0</v>
      </c>
      <c r="F372">
        <v>202500</v>
      </c>
      <c r="G372" t="s">
        <v>31</v>
      </c>
      <c r="H372" t="s">
        <v>27</v>
      </c>
      <c r="I372" t="s">
        <v>33</v>
      </c>
      <c r="J372" t="s">
        <v>24</v>
      </c>
      <c r="K372" s="6">
        <f t="shared" ca="1" si="28"/>
        <v>27958</v>
      </c>
      <c r="L372">
        <v>-17803</v>
      </c>
      <c r="M372" s="7">
        <f t="shared" ca="1" si="26"/>
        <v>48.741957563312802</v>
      </c>
      <c r="N372" s="5" t="str">
        <f ca="1">VLOOKUP(Data!M372,temp!$B$3:$C$9,2,1)</f>
        <v>40-50</v>
      </c>
      <c r="O372">
        <v>-10079</v>
      </c>
      <c r="P372" s="8">
        <f t="shared" si="27"/>
        <v>27.59479808350445</v>
      </c>
      <c r="Q372" s="5" t="str">
        <f t="shared" si="29"/>
        <v>Employed</v>
      </c>
      <c r="R372">
        <v>1</v>
      </c>
      <c r="S372">
        <v>0</v>
      </c>
      <c r="T372">
        <v>1</v>
      </c>
      <c r="U372">
        <v>0</v>
      </c>
      <c r="V372" t="s">
        <v>38</v>
      </c>
      <c r="W372">
        <v>1</v>
      </c>
    </row>
    <row r="373" spans="1:23" x14ac:dyDescent="0.2">
      <c r="A373">
        <v>5022592</v>
      </c>
      <c r="B373" t="s">
        <v>18</v>
      </c>
      <c r="C373" t="s">
        <v>19</v>
      </c>
      <c r="D373" t="s">
        <v>20</v>
      </c>
      <c r="E373">
        <v>1</v>
      </c>
      <c r="F373">
        <v>144000</v>
      </c>
      <c r="G373" t="s">
        <v>31</v>
      </c>
      <c r="H373" t="s">
        <v>22</v>
      </c>
      <c r="I373" t="s">
        <v>37</v>
      </c>
      <c r="J373" t="s">
        <v>24</v>
      </c>
      <c r="K373" s="6">
        <f t="shared" ca="1" si="28"/>
        <v>32326</v>
      </c>
      <c r="L373">
        <v>-13435</v>
      </c>
      <c r="M373" s="7">
        <f t="shared" ca="1" si="26"/>
        <v>36.78302532511978</v>
      </c>
      <c r="N373" s="5" t="str">
        <f ca="1">VLOOKUP(Data!M373,temp!$B$3:$C$9,2,1)</f>
        <v>30-40</v>
      </c>
      <c r="O373">
        <v>-122</v>
      </c>
      <c r="P373" s="8">
        <f t="shared" si="27"/>
        <v>0.33401779603011633</v>
      </c>
      <c r="Q373" s="5" t="str">
        <f t="shared" si="29"/>
        <v>Employed</v>
      </c>
      <c r="R373">
        <v>1</v>
      </c>
      <c r="S373">
        <v>1</v>
      </c>
      <c r="T373">
        <v>1</v>
      </c>
      <c r="U373">
        <v>1</v>
      </c>
      <c r="V373" t="s">
        <v>52</v>
      </c>
      <c r="W373">
        <v>3</v>
      </c>
    </row>
    <row r="374" spans="1:23" x14ac:dyDescent="0.2">
      <c r="A374">
        <v>5022593</v>
      </c>
      <c r="B374" t="s">
        <v>18</v>
      </c>
      <c r="C374" t="s">
        <v>19</v>
      </c>
      <c r="D374" t="s">
        <v>20</v>
      </c>
      <c r="E374">
        <v>1</v>
      </c>
      <c r="F374">
        <v>144000</v>
      </c>
      <c r="G374" t="s">
        <v>31</v>
      </c>
      <c r="H374" t="s">
        <v>22</v>
      </c>
      <c r="I374" t="s">
        <v>37</v>
      </c>
      <c r="J374" t="s">
        <v>24</v>
      </c>
      <c r="K374" s="6">
        <f t="shared" ca="1" si="28"/>
        <v>32326</v>
      </c>
      <c r="L374">
        <v>-13435</v>
      </c>
      <c r="M374" s="7">
        <f t="shared" ca="1" si="26"/>
        <v>36.78302532511978</v>
      </c>
      <c r="N374" s="5" t="str">
        <f ca="1">VLOOKUP(Data!M374,temp!$B$3:$C$9,2,1)</f>
        <v>30-40</v>
      </c>
      <c r="O374">
        <v>-122</v>
      </c>
      <c r="P374" s="8">
        <f t="shared" si="27"/>
        <v>0.33401779603011633</v>
      </c>
      <c r="Q374" s="5" t="str">
        <f t="shared" si="29"/>
        <v>Employed</v>
      </c>
      <c r="R374">
        <v>1</v>
      </c>
      <c r="S374">
        <v>1</v>
      </c>
      <c r="T374">
        <v>1</v>
      </c>
      <c r="U374">
        <v>1</v>
      </c>
      <c r="V374" t="s">
        <v>52</v>
      </c>
      <c r="W374">
        <v>3</v>
      </c>
    </row>
    <row r="375" spans="1:23" x14ac:dyDescent="0.2">
      <c r="A375">
        <v>5022596</v>
      </c>
      <c r="B375" t="s">
        <v>18</v>
      </c>
      <c r="C375" t="s">
        <v>19</v>
      </c>
      <c r="D375" t="s">
        <v>20</v>
      </c>
      <c r="E375">
        <v>1</v>
      </c>
      <c r="F375">
        <v>144000</v>
      </c>
      <c r="G375" t="s">
        <v>31</v>
      </c>
      <c r="H375" t="s">
        <v>22</v>
      </c>
      <c r="I375" t="s">
        <v>37</v>
      </c>
      <c r="J375" t="s">
        <v>24</v>
      </c>
      <c r="K375" s="6">
        <f t="shared" ca="1" si="28"/>
        <v>32326</v>
      </c>
      <c r="L375">
        <v>-13435</v>
      </c>
      <c r="M375" s="7">
        <f t="shared" ca="1" si="26"/>
        <v>36.78302532511978</v>
      </c>
      <c r="N375" s="5" t="str">
        <f ca="1">VLOOKUP(Data!M375,temp!$B$3:$C$9,2,1)</f>
        <v>30-40</v>
      </c>
      <c r="O375">
        <v>-122</v>
      </c>
      <c r="P375" s="8">
        <f t="shared" si="27"/>
        <v>0.33401779603011633</v>
      </c>
      <c r="Q375" s="5" t="str">
        <f t="shared" si="29"/>
        <v>Employed</v>
      </c>
      <c r="R375">
        <v>1</v>
      </c>
      <c r="S375">
        <v>1</v>
      </c>
      <c r="T375">
        <v>1</v>
      </c>
      <c r="U375">
        <v>1</v>
      </c>
      <c r="V375" t="s">
        <v>52</v>
      </c>
      <c r="W375">
        <v>3</v>
      </c>
    </row>
    <row r="376" spans="1:23" x14ac:dyDescent="0.2">
      <c r="A376">
        <v>5022610</v>
      </c>
      <c r="B376" t="s">
        <v>25</v>
      </c>
      <c r="C376" t="s">
        <v>20</v>
      </c>
      <c r="D376" t="s">
        <v>20</v>
      </c>
      <c r="E376">
        <v>1</v>
      </c>
      <c r="F376">
        <v>202500</v>
      </c>
      <c r="G376" t="s">
        <v>31</v>
      </c>
      <c r="H376" t="s">
        <v>27</v>
      </c>
      <c r="I376" t="s">
        <v>28</v>
      </c>
      <c r="J376" t="s">
        <v>24</v>
      </c>
      <c r="K376" s="6">
        <f t="shared" ca="1" si="28"/>
        <v>35617</v>
      </c>
      <c r="L376">
        <v>-10144</v>
      </c>
      <c r="M376" s="7">
        <f t="shared" ca="1" si="26"/>
        <v>27.772758384668034</v>
      </c>
      <c r="N376" s="5" t="str">
        <f ca="1">VLOOKUP(Data!M376,temp!$B$3:$C$9,2,1)</f>
        <v>20-30</v>
      </c>
      <c r="O376">
        <v>-825</v>
      </c>
      <c r="P376" s="8">
        <f t="shared" si="27"/>
        <v>2.2587268993839835</v>
      </c>
      <c r="Q376" s="5" t="str">
        <f t="shared" si="29"/>
        <v>Employed</v>
      </c>
      <c r="R376">
        <v>1</v>
      </c>
      <c r="S376">
        <v>0</v>
      </c>
      <c r="T376">
        <v>0</v>
      </c>
      <c r="U376">
        <v>0</v>
      </c>
      <c r="V376" t="s">
        <v>29</v>
      </c>
      <c r="W376">
        <v>3</v>
      </c>
    </row>
    <row r="377" spans="1:23" x14ac:dyDescent="0.2">
      <c r="A377">
        <v>5022621</v>
      </c>
      <c r="B377" t="s">
        <v>25</v>
      </c>
      <c r="C377" t="s">
        <v>20</v>
      </c>
      <c r="D377" t="s">
        <v>19</v>
      </c>
      <c r="E377">
        <v>0</v>
      </c>
      <c r="F377">
        <v>247500</v>
      </c>
      <c r="G377" t="s">
        <v>35</v>
      </c>
      <c r="H377" t="s">
        <v>22</v>
      </c>
      <c r="I377" t="s">
        <v>28</v>
      </c>
      <c r="J377" t="s">
        <v>41</v>
      </c>
      <c r="K377" s="6">
        <f t="shared" ca="1" si="28"/>
        <v>33643</v>
      </c>
      <c r="L377">
        <v>-12118</v>
      </c>
      <c r="M377" s="7">
        <f t="shared" ca="1" si="26"/>
        <v>33.177275838466805</v>
      </c>
      <c r="N377" s="5" t="str">
        <f ca="1">VLOOKUP(Data!M377,temp!$B$3:$C$9,2,1)</f>
        <v>30-40</v>
      </c>
      <c r="O377">
        <v>-2313</v>
      </c>
      <c r="P377" s="8">
        <f t="shared" si="27"/>
        <v>6.3326488706365502</v>
      </c>
      <c r="Q377" s="5" t="str">
        <f t="shared" si="29"/>
        <v>Employed</v>
      </c>
      <c r="R377">
        <v>1</v>
      </c>
      <c r="S377">
        <v>1</v>
      </c>
      <c r="T377">
        <v>1</v>
      </c>
      <c r="U377">
        <v>1</v>
      </c>
      <c r="V377" t="s">
        <v>38</v>
      </c>
      <c r="W377">
        <v>2</v>
      </c>
    </row>
    <row r="378" spans="1:23" x14ac:dyDescent="0.2">
      <c r="A378">
        <v>5022640</v>
      </c>
      <c r="B378" t="s">
        <v>18</v>
      </c>
      <c r="C378" t="s">
        <v>19</v>
      </c>
      <c r="D378" t="s">
        <v>20</v>
      </c>
      <c r="E378">
        <v>1</v>
      </c>
      <c r="F378">
        <v>76500</v>
      </c>
      <c r="G378" t="s">
        <v>31</v>
      </c>
      <c r="H378" t="s">
        <v>27</v>
      </c>
      <c r="I378" t="s">
        <v>28</v>
      </c>
      <c r="J378" t="s">
        <v>24</v>
      </c>
      <c r="K378" s="6">
        <f t="shared" ca="1" si="28"/>
        <v>34576</v>
      </c>
      <c r="L378">
        <v>-11185</v>
      </c>
      <c r="M378" s="7">
        <f t="shared" ca="1" si="26"/>
        <v>30.622861054072555</v>
      </c>
      <c r="N378" s="5" t="str">
        <f ca="1">VLOOKUP(Data!M378,temp!$B$3:$C$9,2,1)</f>
        <v>30-40</v>
      </c>
      <c r="O378">
        <v>-1405</v>
      </c>
      <c r="P378" s="8">
        <f t="shared" si="27"/>
        <v>3.8466803559206024</v>
      </c>
      <c r="Q378" s="5" t="str">
        <f t="shared" si="29"/>
        <v>Employed</v>
      </c>
      <c r="R378">
        <v>1</v>
      </c>
      <c r="S378">
        <v>0</v>
      </c>
      <c r="T378">
        <v>0</v>
      </c>
      <c r="U378">
        <v>1</v>
      </c>
      <c r="V378" t="s">
        <v>50</v>
      </c>
      <c r="W378">
        <v>3</v>
      </c>
    </row>
    <row r="379" spans="1:23" x14ac:dyDescent="0.2">
      <c r="A379">
        <v>5022641</v>
      </c>
      <c r="B379" t="s">
        <v>18</v>
      </c>
      <c r="C379" t="s">
        <v>19</v>
      </c>
      <c r="D379" t="s">
        <v>20</v>
      </c>
      <c r="E379">
        <v>1</v>
      </c>
      <c r="F379">
        <v>76500</v>
      </c>
      <c r="G379" t="s">
        <v>31</v>
      </c>
      <c r="H379" t="s">
        <v>27</v>
      </c>
      <c r="I379" t="s">
        <v>28</v>
      </c>
      <c r="J379" t="s">
        <v>24</v>
      </c>
      <c r="K379" s="6">
        <f t="shared" ca="1" si="28"/>
        <v>34576</v>
      </c>
      <c r="L379">
        <v>-11185</v>
      </c>
      <c r="M379" s="7">
        <f t="shared" ca="1" si="26"/>
        <v>30.622861054072555</v>
      </c>
      <c r="N379" s="5" t="str">
        <f ca="1">VLOOKUP(Data!M379,temp!$B$3:$C$9,2,1)</f>
        <v>30-40</v>
      </c>
      <c r="O379">
        <v>-1405</v>
      </c>
      <c r="P379" s="8">
        <f t="shared" si="27"/>
        <v>3.8466803559206024</v>
      </c>
      <c r="Q379" s="5" t="str">
        <f t="shared" si="29"/>
        <v>Employed</v>
      </c>
      <c r="R379">
        <v>1</v>
      </c>
      <c r="S379">
        <v>0</v>
      </c>
      <c r="T379">
        <v>0</v>
      </c>
      <c r="U379">
        <v>1</v>
      </c>
      <c r="V379" t="s">
        <v>50</v>
      </c>
      <c r="W379">
        <v>3</v>
      </c>
    </row>
    <row r="380" spans="1:23" x14ac:dyDescent="0.2">
      <c r="A380">
        <v>5022644</v>
      </c>
      <c r="B380" t="s">
        <v>25</v>
      </c>
      <c r="C380" t="s">
        <v>20</v>
      </c>
      <c r="D380" t="s">
        <v>20</v>
      </c>
      <c r="E380">
        <v>1</v>
      </c>
      <c r="F380">
        <v>135000</v>
      </c>
      <c r="G380" t="s">
        <v>26</v>
      </c>
      <c r="H380" t="s">
        <v>22</v>
      </c>
      <c r="I380" t="s">
        <v>28</v>
      </c>
      <c r="J380" t="s">
        <v>24</v>
      </c>
      <c r="K380" s="6">
        <f t="shared" ca="1" si="28"/>
        <v>34002</v>
      </c>
      <c r="L380">
        <v>-11759</v>
      </c>
      <c r="M380" s="7">
        <f t="shared" ca="1" si="26"/>
        <v>32.194387405886381</v>
      </c>
      <c r="N380" s="5" t="str">
        <f ca="1">VLOOKUP(Data!M380,temp!$B$3:$C$9,2,1)</f>
        <v>30-40</v>
      </c>
      <c r="O380">
        <v>-91</v>
      </c>
      <c r="P380" s="8">
        <f t="shared" si="27"/>
        <v>0.24914442162902123</v>
      </c>
      <c r="Q380" s="5" t="str">
        <f t="shared" si="29"/>
        <v>Employed</v>
      </c>
      <c r="R380">
        <v>1</v>
      </c>
      <c r="S380">
        <v>0</v>
      </c>
      <c r="T380">
        <v>0</v>
      </c>
      <c r="U380">
        <v>0</v>
      </c>
      <c r="V380" t="s">
        <v>32</v>
      </c>
      <c r="W380">
        <v>3</v>
      </c>
    </row>
    <row r="381" spans="1:23" x14ac:dyDescent="0.2">
      <c r="A381">
        <v>5022652</v>
      </c>
      <c r="B381" t="s">
        <v>25</v>
      </c>
      <c r="C381" t="s">
        <v>20</v>
      </c>
      <c r="D381" t="s">
        <v>20</v>
      </c>
      <c r="E381">
        <v>1</v>
      </c>
      <c r="F381">
        <v>135000</v>
      </c>
      <c r="G381" t="s">
        <v>26</v>
      </c>
      <c r="H381" t="s">
        <v>22</v>
      </c>
      <c r="I381" t="s">
        <v>28</v>
      </c>
      <c r="J381" t="s">
        <v>24</v>
      </c>
      <c r="K381" s="6">
        <f t="shared" ca="1" si="28"/>
        <v>34002</v>
      </c>
      <c r="L381">
        <v>-11759</v>
      </c>
      <c r="M381" s="7">
        <f t="shared" ca="1" si="26"/>
        <v>32.194387405886381</v>
      </c>
      <c r="N381" s="5" t="str">
        <f ca="1">VLOOKUP(Data!M381,temp!$B$3:$C$9,2,1)</f>
        <v>30-40</v>
      </c>
      <c r="O381">
        <v>-91</v>
      </c>
      <c r="P381" s="8">
        <f t="shared" si="27"/>
        <v>0.24914442162902123</v>
      </c>
      <c r="Q381" s="5" t="str">
        <f t="shared" si="29"/>
        <v>Employed</v>
      </c>
      <c r="R381">
        <v>1</v>
      </c>
      <c r="S381">
        <v>0</v>
      </c>
      <c r="T381">
        <v>0</v>
      </c>
      <c r="U381">
        <v>0</v>
      </c>
      <c r="V381" t="s">
        <v>32</v>
      </c>
      <c r="W381">
        <v>3</v>
      </c>
    </row>
    <row r="382" spans="1:23" x14ac:dyDescent="0.2">
      <c r="A382">
        <v>5022656</v>
      </c>
      <c r="B382" t="s">
        <v>18</v>
      </c>
      <c r="C382" t="s">
        <v>19</v>
      </c>
      <c r="D382" t="s">
        <v>20</v>
      </c>
      <c r="E382">
        <v>0</v>
      </c>
      <c r="F382">
        <v>202500</v>
      </c>
      <c r="G382" t="s">
        <v>21</v>
      </c>
      <c r="H382" t="s">
        <v>27</v>
      </c>
      <c r="I382" t="s">
        <v>42</v>
      </c>
      <c r="J382" t="s">
        <v>24</v>
      </c>
      <c r="K382" s="6">
        <f t="shared" ca="1" si="28"/>
        <v>23701</v>
      </c>
      <c r="L382">
        <v>-22060</v>
      </c>
      <c r="M382" s="7">
        <f t="shared" ca="1" si="26"/>
        <v>60.396988364134153</v>
      </c>
      <c r="N382" s="5" t="str">
        <f ca="1">VLOOKUP(Data!M382,temp!$B$3:$C$9,2,1)</f>
        <v>60-70</v>
      </c>
      <c r="O382">
        <v>365243</v>
      </c>
      <c r="P382" s="8">
        <f t="shared" si="27"/>
        <v>0</v>
      </c>
      <c r="Q382" s="5" t="str">
        <f t="shared" si="29"/>
        <v>Unemployed</v>
      </c>
      <c r="R382">
        <v>1</v>
      </c>
      <c r="S382">
        <v>0</v>
      </c>
      <c r="T382">
        <v>1</v>
      </c>
      <c r="U382">
        <v>0</v>
      </c>
      <c r="W382">
        <v>1</v>
      </c>
    </row>
    <row r="383" spans="1:23" x14ac:dyDescent="0.2">
      <c r="A383">
        <v>5022665</v>
      </c>
      <c r="B383" t="s">
        <v>25</v>
      </c>
      <c r="C383" t="s">
        <v>20</v>
      </c>
      <c r="D383" t="s">
        <v>20</v>
      </c>
      <c r="E383">
        <v>0</v>
      </c>
      <c r="F383">
        <v>157500</v>
      </c>
      <c r="G383" t="s">
        <v>26</v>
      </c>
      <c r="H383" t="s">
        <v>27</v>
      </c>
      <c r="I383" t="s">
        <v>33</v>
      </c>
      <c r="J383" t="s">
        <v>45</v>
      </c>
      <c r="K383" s="6">
        <f t="shared" ca="1" si="28"/>
        <v>35899</v>
      </c>
      <c r="L383">
        <v>-9862</v>
      </c>
      <c r="M383" s="7">
        <f t="shared" ca="1" si="26"/>
        <v>27.000684462696782</v>
      </c>
      <c r="N383" s="5" t="str">
        <f ca="1">VLOOKUP(Data!M383,temp!$B$3:$C$9,2,1)</f>
        <v>20-30</v>
      </c>
      <c r="O383">
        <v>-2135</v>
      </c>
      <c r="P383" s="8">
        <f t="shared" si="27"/>
        <v>5.8453114305270359</v>
      </c>
      <c r="Q383" s="5" t="str">
        <f t="shared" si="29"/>
        <v>Employed</v>
      </c>
      <c r="R383">
        <v>1</v>
      </c>
      <c r="S383">
        <v>1</v>
      </c>
      <c r="T383">
        <v>0</v>
      </c>
      <c r="U383">
        <v>0</v>
      </c>
      <c r="V383" t="s">
        <v>29</v>
      </c>
      <c r="W383">
        <v>1</v>
      </c>
    </row>
    <row r="384" spans="1:23" x14ac:dyDescent="0.2">
      <c r="A384">
        <v>5022696</v>
      </c>
      <c r="B384" t="s">
        <v>18</v>
      </c>
      <c r="C384" t="s">
        <v>19</v>
      </c>
      <c r="D384" t="s">
        <v>20</v>
      </c>
      <c r="E384">
        <v>0</v>
      </c>
      <c r="F384">
        <v>112500</v>
      </c>
      <c r="G384" t="s">
        <v>21</v>
      </c>
      <c r="H384" t="s">
        <v>27</v>
      </c>
      <c r="I384" t="s">
        <v>28</v>
      </c>
      <c r="J384" t="s">
        <v>24</v>
      </c>
      <c r="K384" s="6">
        <f t="shared" ca="1" si="28"/>
        <v>24998</v>
      </c>
      <c r="L384">
        <v>-20763</v>
      </c>
      <c r="M384" s="7">
        <f t="shared" ca="1" si="26"/>
        <v>56.845995893223822</v>
      </c>
      <c r="N384" s="5" t="str">
        <f ca="1">VLOOKUP(Data!M384,temp!$B$3:$C$9,2,1)</f>
        <v>50-60</v>
      </c>
      <c r="O384">
        <v>365243</v>
      </c>
      <c r="P384" s="8">
        <f t="shared" si="27"/>
        <v>0</v>
      </c>
      <c r="Q384" s="5" t="str">
        <f t="shared" si="29"/>
        <v>Unemployed</v>
      </c>
      <c r="R384">
        <v>1</v>
      </c>
      <c r="S384">
        <v>0</v>
      </c>
      <c r="T384">
        <v>1</v>
      </c>
      <c r="U384">
        <v>0</v>
      </c>
      <c r="W384">
        <v>2</v>
      </c>
    </row>
    <row r="385" spans="1:23" x14ac:dyDescent="0.2">
      <c r="A385">
        <v>5022698</v>
      </c>
      <c r="B385" t="s">
        <v>25</v>
      </c>
      <c r="C385" t="s">
        <v>20</v>
      </c>
      <c r="D385" t="s">
        <v>20</v>
      </c>
      <c r="E385">
        <v>0</v>
      </c>
      <c r="F385">
        <v>315000</v>
      </c>
      <c r="G385" t="s">
        <v>31</v>
      </c>
      <c r="H385" t="s">
        <v>27</v>
      </c>
      <c r="I385" t="s">
        <v>33</v>
      </c>
      <c r="J385" t="s">
        <v>24</v>
      </c>
      <c r="K385" s="6">
        <f t="shared" ca="1" si="28"/>
        <v>31697</v>
      </c>
      <c r="L385">
        <v>-14064</v>
      </c>
      <c r="M385" s="7">
        <f t="shared" ca="1" si="26"/>
        <v>38.505133470225871</v>
      </c>
      <c r="N385" s="5" t="str">
        <f ca="1">VLOOKUP(Data!M385,temp!$B$3:$C$9,2,1)</f>
        <v>30-40</v>
      </c>
      <c r="O385">
        <v>-5326</v>
      </c>
      <c r="P385" s="8">
        <f t="shared" si="27"/>
        <v>14.581793292265571</v>
      </c>
      <c r="Q385" s="5" t="str">
        <f t="shared" si="29"/>
        <v>Employed</v>
      </c>
      <c r="R385">
        <v>1</v>
      </c>
      <c r="S385">
        <v>0</v>
      </c>
      <c r="T385">
        <v>0</v>
      </c>
      <c r="U385">
        <v>0</v>
      </c>
      <c r="V385" t="s">
        <v>30</v>
      </c>
      <c r="W385">
        <v>1</v>
      </c>
    </row>
    <row r="386" spans="1:23" x14ac:dyDescent="0.2">
      <c r="A386">
        <v>5022732</v>
      </c>
      <c r="B386" t="s">
        <v>18</v>
      </c>
      <c r="C386" t="s">
        <v>19</v>
      </c>
      <c r="D386" t="s">
        <v>20</v>
      </c>
      <c r="E386">
        <v>0</v>
      </c>
      <c r="F386">
        <v>90000</v>
      </c>
      <c r="G386" t="s">
        <v>21</v>
      </c>
      <c r="H386" t="s">
        <v>27</v>
      </c>
      <c r="I386" t="s">
        <v>28</v>
      </c>
      <c r="J386" t="s">
        <v>24</v>
      </c>
      <c r="K386" s="6">
        <f t="shared" ca="1" si="28"/>
        <v>24472</v>
      </c>
      <c r="L386">
        <v>-21289</v>
      </c>
      <c r="M386" s="7">
        <f t="shared" ca="1" si="26"/>
        <v>58.286105407255306</v>
      </c>
      <c r="N386" s="5" t="str">
        <f ca="1">VLOOKUP(Data!M386,temp!$B$3:$C$9,2,1)</f>
        <v>50-60</v>
      </c>
      <c r="O386">
        <v>365243</v>
      </c>
      <c r="P386" s="8">
        <f t="shared" si="27"/>
        <v>0</v>
      </c>
      <c r="Q386" s="5" t="str">
        <f t="shared" si="29"/>
        <v>Unemployed</v>
      </c>
      <c r="R386">
        <v>1</v>
      </c>
      <c r="S386">
        <v>0</v>
      </c>
      <c r="T386">
        <v>0</v>
      </c>
      <c r="U386">
        <v>0</v>
      </c>
      <c r="W386">
        <v>2</v>
      </c>
    </row>
    <row r="387" spans="1:23" x14ac:dyDescent="0.2">
      <c r="A387">
        <v>5022738</v>
      </c>
      <c r="B387" t="s">
        <v>18</v>
      </c>
      <c r="C387" t="s">
        <v>19</v>
      </c>
      <c r="D387" t="s">
        <v>20</v>
      </c>
      <c r="E387">
        <v>0</v>
      </c>
      <c r="F387">
        <v>90000</v>
      </c>
      <c r="G387" t="s">
        <v>21</v>
      </c>
      <c r="H387" t="s">
        <v>27</v>
      </c>
      <c r="I387" t="s">
        <v>28</v>
      </c>
      <c r="J387" t="s">
        <v>24</v>
      </c>
      <c r="K387" s="6">
        <f t="shared" ca="1" si="28"/>
        <v>24472</v>
      </c>
      <c r="L387">
        <v>-21289</v>
      </c>
      <c r="M387" s="7">
        <f t="shared" ref="M387:M450" ca="1" si="30">(TODAY()-K387)/365.25</f>
        <v>58.286105407255306</v>
      </c>
      <c r="N387" s="5" t="str">
        <f ca="1">VLOOKUP(Data!M387,temp!$B$3:$C$9,2,1)</f>
        <v>50-60</v>
      </c>
      <c r="O387">
        <v>365243</v>
      </c>
      <c r="P387" s="8">
        <f t="shared" ref="P387:P450" si="31">IF(O387&lt;=0,ABS(O387)/365.25,0)</f>
        <v>0</v>
      </c>
      <c r="Q387" s="5" t="str">
        <f t="shared" si="29"/>
        <v>Unemployed</v>
      </c>
      <c r="R387">
        <v>1</v>
      </c>
      <c r="S387">
        <v>0</v>
      </c>
      <c r="T387">
        <v>0</v>
      </c>
      <c r="U387">
        <v>0</v>
      </c>
      <c r="W387">
        <v>2</v>
      </c>
    </row>
    <row r="388" spans="1:23" x14ac:dyDescent="0.2">
      <c r="A388">
        <v>5022752</v>
      </c>
      <c r="B388" t="s">
        <v>18</v>
      </c>
      <c r="C388" t="s">
        <v>19</v>
      </c>
      <c r="D388" t="s">
        <v>19</v>
      </c>
      <c r="E388">
        <v>1</v>
      </c>
      <c r="F388">
        <v>202500</v>
      </c>
      <c r="G388" t="s">
        <v>26</v>
      </c>
      <c r="H388" t="s">
        <v>27</v>
      </c>
      <c r="I388" t="s">
        <v>23</v>
      </c>
      <c r="J388" t="s">
        <v>24</v>
      </c>
      <c r="K388" s="6">
        <f t="shared" ca="1" si="28"/>
        <v>34961</v>
      </c>
      <c r="L388">
        <v>-10800</v>
      </c>
      <c r="M388" s="7">
        <f t="shared" ca="1" si="30"/>
        <v>29.568788501026695</v>
      </c>
      <c r="N388" s="5" t="str">
        <f ca="1">VLOOKUP(Data!M388,temp!$B$3:$C$9,2,1)</f>
        <v>20-30</v>
      </c>
      <c r="O388">
        <v>-3166</v>
      </c>
      <c r="P388" s="8">
        <f t="shared" si="31"/>
        <v>8.6680355920602334</v>
      </c>
      <c r="Q388" s="5" t="str">
        <f t="shared" si="29"/>
        <v>Employed</v>
      </c>
      <c r="R388">
        <v>1</v>
      </c>
      <c r="S388">
        <v>0</v>
      </c>
      <c r="T388">
        <v>0</v>
      </c>
      <c r="U388">
        <v>0</v>
      </c>
      <c r="V388" t="s">
        <v>39</v>
      </c>
      <c r="W388">
        <v>2</v>
      </c>
    </row>
    <row r="389" spans="1:23" x14ac:dyDescent="0.2">
      <c r="A389">
        <v>5022771</v>
      </c>
      <c r="B389" t="s">
        <v>18</v>
      </c>
      <c r="C389" t="s">
        <v>19</v>
      </c>
      <c r="D389" t="s">
        <v>20</v>
      </c>
      <c r="E389">
        <v>2</v>
      </c>
      <c r="F389">
        <v>90000</v>
      </c>
      <c r="G389" t="s">
        <v>31</v>
      </c>
      <c r="H389" t="s">
        <v>27</v>
      </c>
      <c r="I389" t="s">
        <v>28</v>
      </c>
      <c r="J389" t="s">
        <v>41</v>
      </c>
      <c r="K389" s="6">
        <f t="shared" ca="1" si="28"/>
        <v>31914</v>
      </c>
      <c r="L389">
        <v>-13847</v>
      </c>
      <c r="M389" s="7">
        <f t="shared" ca="1" si="30"/>
        <v>37.91101984941821</v>
      </c>
      <c r="N389" s="5" t="str">
        <f ca="1">VLOOKUP(Data!M389,temp!$B$3:$C$9,2,1)</f>
        <v>30-40</v>
      </c>
      <c r="O389">
        <v>-366</v>
      </c>
      <c r="P389" s="8">
        <f t="shared" si="31"/>
        <v>1.0020533880903491</v>
      </c>
      <c r="Q389" s="5" t="str">
        <f t="shared" si="29"/>
        <v>Employed</v>
      </c>
      <c r="R389">
        <v>1</v>
      </c>
      <c r="S389">
        <v>0</v>
      </c>
      <c r="T389">
        <v>1</v>
      </c>
      <c r="U389">
        <v>0</v>
      </c>
      <c r="V389" t="s">
        <v>50</v>
      </c>
      <c r="W389">
        <v>4</v>
      </c>
    </row>
    <row r="390" spans="1:23" x14ac:dyDescent="0.2">
      <c r="A390">
        <v>5022772</v>
      </c>
      <c r="B390" t="s">
        <v>18</v>
      </c>
      <c r="C390" t="s">
        <v>19</v>
      </c>
      <c r="D390" t="s">
        <v>20</v>
      </c>
      <c r="E390">
        <v>2</v>
      </c>
      <c r="F390">
        <v>90000</v>
      </c>
      <c r="G390" t="s">
        <v>31</v>
      </c>
      <c r="H390" t="s">
        <v>27</v>
      </c>
      <c r="I390" t="s">
        <v>28</v>
      </c>
      <c r="J390" t="s">
        <v>41</v>
      </c>
      <c r="K390" s="6">
        <f t="shared" ca="1" si="28"/>
        <v>31914</v>
      </c>
      <c r="L390">
        <v>-13847</v>
      </c>
      <c r="M390" s="7">
        <f t="shared" ca="1" si="30"/>
        <v>37.91101984941821</v>
      </c>
      <c r="N390" s="5" t="str">
        <f ca="1">VLOOKUP(Data!M390,temp!$B$3:$C$9,2,1)</f>
        <v>30-40</v>
      </c>
      <c r="O390">
        <v>-366</v>
      </c>
      <c r="P390" s="8">
        <f t="shared" si="31"/>
        <v>1.0020533880903491</v>
      </c>
      <c r="Q390" s="5" t="str">
        <f t="shared" si="29"/>
        <v>Employed</v>
      </c>
      <c r="R390">
        <v>1</v>
      </c>
      <c r="S390">
        <v>0</v>
      </c>
      <c r="T390">
        <v>1</v>
      </c>
      <c r="U390">
        <v>0</v>
      </c>
      <c r="V390" t="s">
        <v>50</v>
      </c>
      <c r="W390">
        <v>4</v>
      </c>
    </row>
    <row r="391" spans="1:23" x14ac:dyDescent="0.2">
      <c r="A391">
        <v>5022776</v>
      </c>
      <c r="B391" t="s">
        <v>18</v>
      </c>
      <c r="C391" t="s">
        <v>20</v>
      </c>
      <c r="D391" t="s">
        <v>20</v>
      </c>
      <c r="E391">
        <v>0</v>
      </c>
      <c r="F391">
        <v>225000</v>
      </c>
      <c r="G391" t="s">
        <v>21</v>
      </c>
      <c r="H391" t="s">
        <v>22</v>
      </c>
      <c r="I391" t="s">
        <v>28</v>
      </c>
      <c r="J391" t="s">
        <v>24</v>
      </c>
      <c r="K391" s="6">
        <f t="shared" ca="1" si="28"/>
        <v>22797</v>
      </c>
      <c r="L391">
        <v>-22964</v>
      </c>
      <c r="M391" s="7">
        <f t="shared" ca="1" si="30"/>
        <v>62.872005475701577</v>
      </c>
      <c r="N391" s="5" t="str">
        <f ca="1">VLOOKUP(Data!M391,temp!$B$3:$C$9,2,1)</f>
        <v>60-70</v>
      </c>
      <c r="O391">
        <v>365243</v>
      </c>
      <c r="P391" s="8">
        <f t="shared" si="31"/>
        <v>0</v>
      </c>
      <c r="Q391" s="5" t="str">
        <f t="shared" si="29"/>
        <v>Unemployed</v>
      </c>
      <c r="R391">
        <v>1</v>
      </c>
      <c r="S391">
        <v>0</v>
      </c>
      <c r="T391">
        <v>0</v>
      </c>
      <c r="U391">
        <v>0</v>
      </c>
      <c r="W391">
        <v>2</v>
      </c>
    </row>
    <row r="392" spans="1:23" x14ac:dyDescent="0.2">
      <c r="A392">
        <v>5022795</v>
      </c>
      <c r="B392" t="s">
        <v>18</v>
      </c>
      <c r="C392" t="s">
        <v>20</v>
      </c>
      <c r="D392" t="s">
        <v>20</v>
      </c>
      <c r="E392">
        <v>0</v>
      </c>
      <c r="F392">
        <v>202500</v>
      </c>
      <c r="G392" t="s">
        <v>31</v>
      </c>
      <c r="H392" t="s">
        <v>22</v>
      </c>
      <c r="I392" t="s">
        <v>42</v>
      </c>
      <c r="J392" t="s">
        <v>24</v>
      </c>
      <c r="K392" s="6">
        <f t="shared" ref="K392:K455" ca="1" si="32">TODAY()+($L392)</f>
        <v>33763</v>
      </c>
      <c r="L392">
        <v>-11998</v>
      </c>
      <c r="M392" s="7">
        <f t="shared" ca="1" si="30"/>
        <v>32.84873374401095</v>
      </c>
      <c r="N392" s="5" t="str">
        <f ca="1">VLOOKUP(Data!M392,temp!$B$3:$C$9,2,1)</f>
        <v>30-40</v>
      </c>
      <c r="O392">
        <v>-1497</v>
      </c>
      <c r="P392" s="8">
        <f t="shared" si="31"/>
        <v>4.0985626283367553</v>
      </c>
      <c r="Q392" s="5" t="str">
        <f t="shared" ref="Q392:Q455" si="33">IF($O392&gt;0,"Unemployed","Employed")</f>
        <v>Employed</v>
      </c>
      <c r="R392">
        <v>1</v>
      </c>
      <c r="S392">
        <v>0</v>
      </c>
      <c r="T392">
        <v>0</v>
      </c>
      <c r="U392">
        <v>0</v>
      </c>
      <c r="V392" t="s">
        <v>32</v>
      </c>
      <c r="W392">
        <v>1</v>
      </c>
    </row>
    <row r="393" spans="1:23" x14ac:dyDescent="0.2">
      <c r="A393">
        <v>5022796</v>
      </c>
      <c r="B393" t="s">
        <v>18</v>
      </c>
      <c r="C393" t="s">
        <v>20</v>
      </c>
      <c r="D393" t="s">
        <v>20</v>
      </c>
      <c r="E393">
        <v>0</v>
      </c>
      <c r="F393">
        <v>202500</v>
      </c>
      <c r="G393" t="s">
        <v>31</v>
      </c>
      <c r="H393" t="s">
        <v>22</v>
      </c>
      <c r="I393" t="s">
        <v>42</v>
      </c>
      <c r="J393" t="s">
        <v>24</v>
      </c>
      <c r="K393" s="6">
        <f t="shared" ca="1" si="32"/>
        <v>33763</v>
      </c>
      <c r="L393">
        <v>-11998</v>
      </c>
      <c r="M393" s="7">
        <f t="shared" ca="1" si="30"/>
        <v>32.84873374401095</v>
      </c>
      <c r="N393" s="5" t="str">
        <f ca="1">VLOOKUP(Data!M393,temp!$B$3:$C$9,2,1)</f>
        <v>30-40</v>
      </c>
      <c r="O393">
        <v>-1497</v>
      </c>
      <c r="P393" s="8">
        <f t="shared" si="31"/>
        <v>4.0985626283367553</v>
      </c>
      <c r="Q393" s="5" t="str">
        <f t="shared" si="33"/>
        <v>Employed</v>
      </c>
      <c r="R393">
        <v>1</v>
      </c>
      <c r="S393">
        <v>0</v>
      </c>
      <c r="T393">
        <v>0</v>
      </c>
      <c r="U393">
        <v>0</v>
      </c>
      <c r="V393" t="s">
        <v>32</v>
      </c>
      <c r="W393">
        <v>1</v>
      </c>
    </row>
    <row r="394" spans="1:23" x14ac:dyDescent="0.2">
      <c r="A394">
        <v>5022808</v>
      </c>
      <c r="B394" t="s">
        <v>18</v>
      </c>
      <c r="C394" t="s">
        <v>19</v>
      </c>
      <c r="D394" t="s">
        <v>20</v>
      </c>
      <c r="E394">
        <v>1</v>
      </c>
      <c r="F394">
        <v>180000</v>
      </c>
      <c r="G394" t="s">
        <v>31</v>
      </c>
      <c r="H394" t="s">
        <v>22</v>
      </c>
      <c r="I394" t="s">
        <v>28</v>
      </c>
      <c r="J394" t="s">
        <v>24</v>
      </c>
      <c r="K394" s="6">
        <f t="shared" ca="1" si="32"/>
        <v>33861</v>
      </c>
      <c r="L394">
        <v>-11900</v>
      </c>
      <c r="M394" s="7">
        <f t="shared" ca="1" si="30"/>
        <v>32.580424366872002</v>
      </c>
      <c r="N394" s="5" t="str">
        <f ca="1">VLOOKUP(Data!M394,temp!$B$3:$C$9,2,1)</f>
        <v>30-40</v>
      </c>
      <c r="O394">
        <v>-731</v>
      </c>
      <c r="P394" s="8">
        <f t="shared" si="31"/>
        <v>2.001368925393566</v>
      </c>
      <c r="Q394" s="5" t="str">
        <f t="shared" si="33"/>
        <v>Employed</v>
      </c>
      <c r="R394">
        <v>1</v>
      </c>
      <c r="S394">
        <v>0</v>
      </c>
      <c r="T394">
        <v>0</v>
      </c>
      <c r="U394">
        <v>1</v>
      </c>
      <c r="V394" t="s">
        <v>39</v>
      </c>
      <c r="W394">
        <v>3</v>
      </c>
    </row>
    <row r="395" spans="1:23" x14ac:dyDescent="0.2">
      <c r="A395">
        <v>5022842</v>
      </c>
      <c r="B395" t="s">
        <v>25</v>
      </c>
      <c r="C395" t="s">
        <v>19</v>
      </c>
      <c r="D395" t="s">
        <v>20</v>
      </c>
      <c r="E395">
        <v>0</v>
      </c>
      <c r="F395">
        <v>180000</v>
      </c>
      <c r="G395" t="s">
        <v>26</v>
      </c>
      <c r="H395" t="s">
        <v>27</v>
      </c>
      <c r="I395" t="s">
        <v>23</v>
      </c>
      <c r="J395" t="s">
        <v>24</v>
      </c>
      <c r="K395" s="6">
        <f t="shared" ca="1" si="32"/>
        <v>33267</v>
      </c>
      <c r="L395">
        <v>-12494</v>
      </c>
      <c r="M395" s="7">
        <f t="shared" ca="1" si="30"/>
        <v>34.206707734428477</v>
      </c>
      <c r="N395" s="5" t="str">
        <f ca="1">VLOOKUP(Data!M395,temp!$B$3:$C$9,2,1)</f>
        <v>30-40</v>
      </c>
      <c r="O395">
        <v>-978</v>
      </c>
      <c r="P395" s="8">
        <f t="shared" si="31"/>
        <v>2.6776180698151952</v>
      </c>
      <c r="Q395" s="5" t="str">
        <f t="shared" si="33"/>
        <v>Employed</v>
      </c>
      <c r="R395">
        <v>1</v>
      </c>
      <c r="S395">
        <v>0</v>
      </c>
      <c r="T395">
        <v>0</v>
      </c>
      <c r="U395">
        <v>0</v>
      </c>
      <c r="V395" t="s">
        <v>29</v>
      </c>
      <c r="W395">
        <v>1</v>
      </c>
    </row>
    <row r="396" spans="1:23" x14ac:dyDescent="0.2">
      <c r="A396">
        <v>5022846</v>
      </c>
      <c r="B396" t="s">
        <v>25</v>
      </c>
      <c r="C396" t="s">
        <v>19</v>
      </c>
      <c r="D396" t="s">
        <v>20</v>
      </c>
      <c r="E396">
        <v>0</v>
      </c>
      <c r="F396">
        <v>180000</v>
      </c>
      <c r="G396" t="s">
        <v>26</v>
      </c>
      <c r="H396" t="s">
        <v>27</v>
      </c>
      <c r="I396" t="s">
        <v>23</v>
      </c>
      <c r="J396" t="s">
        <v>24</v>
      </c>
      <c r="K396" s="6">
        <f t="shared" ca="1" si="32"/>
        <v>33267</v>
      </c>
      <c r="L396">
        <v>-12494</v>
      </c>
      <c r="M396" s="7">
        <f t="shared" ca="1" si="30"/>
        <v>34.206707734428477</v>
      </c>
      <c r="N396" s="5" t="str">
        <f ca="1">VLOOKUP(Data!M396,temp!$B$3:$C$9,2,1)</f>
        <v>30-40</v>
      </c>
      <c r="O396">
        <v>-978</v>
      </c>
      <c r="P396" s="8">
        <f t="shared" si="31"/>
        <v>2.6776180698151952</v>
      </c>
      <c r="Q396" s="5" t="str">
        <f t="shared" si="33"/>
        <v>Employed</v>
      </c>
      <c r="R396">
        <v>1</v>
      </c>
      <c r="S396">
        <v>0</v>
      </c>
      <c r="T396">
        <v>0</v>
      </c>
      <c r="U396">
        <v>0</v>
      </c>
      <c r="V396" t="s">
        <v>29</v>
      </c>
      <c r="W396">
        <v>1</v>
      </c>
    </row>
    <row r="397" spans="1:23" x14ac:dyDescent="0.2">
      <c r="A397">
        <v>5022867</v>
      </c>
      <c r="B397" t="s">
        <v>18</v>
      </c>
      <c r="C397" t="s">
        <v>20</v>
      </c>
      <c r="D397" t="s">
        <v>20</v>
      </c>
      <c r="E397">
        <v>2</v>
      </c>
      <c r="F397">
        <v>225000</v>
      </c>
      <c r="G397" t="s">
        <v>26</v>
      </c>
      <c r="H397" t="s">
        <v>22</v>
      </c>
      <c r="I397" t="s">
        <v>28</v>
      </c>
      <c r="J397" t="s">
        <v>24</v>
      </c>
      <c r="K397" s="6">
        <f t="shared" ca="1" si="32"/>
        <v>31661</v>
      </c>
      <c r="L397">
        <v>-14100</v>
      </c>
      <c r="M397" s="7">
        <f t="shared" ca="1" si="30"/>
        <v>38.603696098562629</v>
      </c>
      <c r="N397" s="5" t="str">
        <f ca="1">VLOOKUP(Data!M397,temp!$B$3:$C$9,2,1)</f>
        <v>30-40</v>
      </c>
      <c r="O397">
        <v>-3623</v>
      </c>
      <c r="P397" s="8">
        <f t="shared" si="31"/>
        <v>9.9192334017796036</v>
      </c>
      <c r="Q397" s="5" t="str">
        <f t="shared" si="33"/>
        <v>Employed</v>
      </c>
      <c r="R397">
        <v>1</v>
      </c>
      <c r="S397">
        <v>0</v>
      </c>
      <c r="T397">
        <v>0</v>
      </c>
      <c r="U397">
        <v>0</v>
      </c>
      <c r="V397" t="s">
        <v>49</v>
      </c>
      <c r="W397">
        <v>4</v>
      </c>
    </row>
    <row r="398" spans="1:23" x14ac:dyDescent="0.2">
      <c r="A398">
        <v>5022880</v>
      </c>
      <c r="B398" t="s">
        <v>25</v>
      </c>
      <c r="C398" t="s">
        <v>20</v>
      </c>
      <c r="D398" t="s">
        <v>20</v>
      </c>
      <c r="E398">
        <v>1</v>
      </c>
      <c r="F398">
        <v>315000</v>
      </c>
      <c r="G398" t="s">
        <v>31</v>
      </c>
      <c r="H398" t="s">
        <v>27</v>
      </c>
      <c r="I398" t="s">
        <v>23</v>
      </c>
      <c r="J398" t="s">
        <v>24</v>
      </c>
      <c r="K398" s="6">
        <f t="shared" ca="1" si="32"/>
        <v>29447</v>
      </c>
      <c r="L398">
        <v>-16314</v>
      </c>
      <c r="M398" s="7">
        <f t="shared" ca="1" si="30"/>
        <v>44.6652977412731</v>
      </c>
      <c r="N398" s="5" t="str">
        <f ca="1">VLOOKUP(Data!M398,temp!$B$3:$C$9,2,1)</f>
        <v>40-50</v>
      </c>
      <c r="O398">
        <v>-882</v>
      </c>
      <c r="P398" s="8">
        <f t="shared" si="31"/>
        <v>2.4147843942505132</v>
      </c>
      <c r="Q398" s="5" t="str">
        <f t="shared" si="33"/>
        <v>Employed</v>
      </c>
      <c r="R398">
        <v>1</v>
      </c>
      <c r="S398">
        <v>0</v>
      </c>
      <c r="T398">
        <v>0</v>
      </c>
      <c r="U398">
        <v>0</v>
      </c>
      <c r="V398" t="s">
        <v>32</v>
      </c>
      <c r="W398">
        <v>2</v>
      </c>
    </row>
    <row r="399" spans="1:23" x14ac:dyDescent="0.2">
      <c r="A399">
        <v>5022887</v>
      </c>
      <c r="B399" t="s">
        <v>25</v>
      </c>
      <c r="C399" t="s">
        <v>20</v>
      </c>
      <c r="D399" t="s">
        <v>20</v>
      </c>
      <c r="E399">
        <v>1</v>
      </c>
      <c r="F399">
        <v>315000</v>
      </c>
      <c r="G399" t="s">
        <v>31</v>
      </c>
      <c r="H399" t="s">
        <v>27</v>
      </c>
      <c r="I399" t="s">
        <v>23</v>
      </c>
      <c r="J399" t="s">
        <v>24</v>
      </c>
      <c r="K399" s="6">
        <f t="shared" ca="1" si="32"/>
        <v>29447</v>
      </c>
      <c r="L399">
        <v>-16314</v>
      </c>
      <c r="M399" s="7">
        <f t="shared" ca="1" si="30"/>
        <v>44.6652977412731</v>
      </c>
      <c r="N399" s="5" t="str">
        <f ca="1">VLOOKUP(Data!M399,temp!$B$3:$C$9,2,1)</f>
        <v>40-50</v>
      </c>
      <c r="O399">
        <v>-882</v>
      </c>
      <c r="P399" s="8">
        <f t="shared" si="31"/>
        <v>2.4147843942505132</v>
      </c>
      <c r="Q399" s="5" t="str">
        <f t="shared" si="33"/>
        <v>Employed</v>
      </c>
      <c r="R399">
        <v>1</v>
      </c>
      <c r="S399">
        <v>0</v>
      </c>
      <c r="T399">
        <v>0</v>
      </c>
      <c r="U399">
        <v>0</v>
      </c>
      <c r="V399" t="s">
        <v>32</v>
      </c>
      <c r="W399">
        <v>2</v>
      </c>
    </row>
    <row r="400" spans="1:23" x14ac:dyDescent="0.2">
      <c r="A400">
        <v>5022892</v>
      </c>
      <c r="B400" t="s">
        <v>25</v>
      </c>
      <c r="C400" t="s">
        <v>20</v>
      </c>
      <c r="D400" t="s">
        <v>20</v>
      </c>
      <c r="E400">
        <v>1</v>
      </c>
      <c r="F400">
        <v>315000</v>
      </c>
      <c r="G400" t="s">
        <v>31</v>
      </c>
      <c r="H400" t="s">
        <v>27</v>
      </c>
      <c r="I400" t="s">
        <v>23</v>
      </c>
      <c r="J400" t="s">
        <v>24</v>
      </c>
      <c r="K400" s="6">
        <f t="shared" ca="1" si="32"/>
        <v>29447</v>
      </c>
      <c r="L400">
        <v>-16314</v>
      </c>
      <c r="M400" s="7">
        <f t="shared" ca="1" si="30"/>
        <v>44.6652977412731</v>
      </c>
      <c r="N400" s="5" t="str">
        <f ca="1">VLOOKUP(Data!M400,temp!$B$3:$C$9,2,1)</f>
        <v>40-50</v>
      </c>
      <c r="O400">
        <v>-882</v>
      </c>
      <c r="P400" s="8">
        <f t="shared" si="31"/>
        <v>2.4147843942505132</v>
      </c>
      <c r="Q400" s="5" t="str">
        <f t="shared" si="33"/>
        <v>Employed</v>
      </c>
      <c r="R400">
        <v>1</v>
      </c>
      <c r="S400">
        <v>0</v>
      </c>
      <c r="T400">
        <v>0</v>
      </c>
      <c r="U400">
        <v>0</v>
      </c>
      <c r="V400" t="s">
        <v>32</v>
      </c>
      <c r="W400">
        <v>2</v>
      </c>
    </row>
    <row r="401" spans="1:23" x14ac:dyDescent="0.2">
      <c r="A401">
        <v>5022896</v>
      </c>
      <c r="B401" t="s">
        <v>25</v>
      </c>
      <c r="C401" t="s">
        <v>19</v>
      </c>
      <c r="D401" t="s">
        <v>20</v>
      </c>
      <c r="E401">
        <v>0</v>
      </c>
      <c r="F401">
        <v>315000</v>
      </c>
      <c r="G401" t="s">
        <v>31</v>
      </c>
      <c r="H401" t="s">
        <v>36</v>
      </c>
      <c r="I401" t="s">
        <v>28</v>
      </c>
      <c r="J401" t="s">
        <v>24</v>
      </c>
      <c r="K401" s="6">
        <f t="shared" ca="1" si="32"/>
        <v>32435</v>
      </c>
      <c r="L401">
        <v>-13326</v>
      </c>
      <c r="M401" s="7">
        <f t="shared" ca="1" si="30"/>
        <v>36.484599589322379</v>
      </c>
      <c r="N401" s="5" t="str">
        <f ca="1">VLOOKUP(Data!M401,temp!$B$3:$C$9,2,1)</f>
        <v>30-40</v>
      </c>
      <c r="O401">
        <v>-2588</v>
      </c>
      <c r="P401" s="8">
        <f t="shared" si="31"/>
        <v>7.0855578370978778</v>
      </c>
      <c r="Q401" s="5" t="str">
        <f t="shared" si="33"/>
        <v>Employed</v>
      </c>
      <c r="R401">
        <v>1</v>
      </c>
      <c r="S401">
        <v>1</v>
      </c>
      <c r="T401">
        <v>0</v>
      </c>
      <c r="U401">
        <v>0</v>
      </c>
      <c r="V401" t="s">
        <v>29</v>
      </c>
      <c r="W401">
        <v>2</v>
      </c>
    </row>
    <row r="402" spans="1:23" x14ac:dyDescent="0.2">
      <c r="A402">
        <v>5022898</v>
      </c>
      <c r="B402" t="s">
        <v>18</v>
      </c>
      <c r="C402" t="s">
        <v>19</v>
      </c>
      <c r="D402" t="s">
        <v>20</v>
      </c>
      <c r="E402">
        <v>1</v>
      </c>
      <c r="F402">
        <v>135000</v>
      </c>
      <c r="G402" t="s">
        <v>26</v>
      </c>
      <c r="H402" t="s">
        <v>27</v>
      </c>
      <c r="I402" t="s">
        <v>37</v>
      </c>
      <c r="J402" t="s">
        <v>24</v>
      </c>
      <c r="K402" s="6">
        <f t="shared" ca="1" si="32"/>
        <v>34996</v>
      </c>
      <c r="L402">
        <v>-10765</v>
      </c>
      <c r="M402" s="7">
        <f t="shared" ca="1" si="30"/>
        <v>29.472963723477072</v>
      </c>
      <c r="N402" s="5" t="str">
        <f ca="1">VLOOKUP(Data!M402,temp!$B$3:$C$9,2,1)</f>
        <v>20-30</v>
      </c>
      <c r="O402">
        <v>-2196</v>
      </c>
      <c r="P402" s="8">
        <f t="shared" si="31"/>
        <v>6.0123203285420947</v>
      </c>
      <c r="Q402" s="5" t="str">
        <f t="shared" si="33"/>
        <v>Employed</v>
      </c>
      <c r="R402">
        <v>1</v>
      </c>
      <c r="S402">
        <v>0</v>
      </c>
      <c r="T402">
        <v>0</v>
      </c>
      <c r="U402">
        <v>1</v>
      </c>
      <c r="W402">
        <v>3</v>
      </c>
    </row>
    <row r="403" spans="1:23" x14ac:dyDescent="0.2">
      <c r="A403">
        <v>5022908</v>
      </c>
      <c r="B403" t="s">
        <v>25</v>
      </c>
      <c r="C403" t="s">
        <v>19</v>
      </c>
      <c r="D403" t="s">
        <v>19</v>
      </c>
      <c r="E403">
        <v>0</v>
      </c>
      <c r="F403">
        <v>189000</v>
      </c>
      <c r="G403" t="s">
        <v>35</v>
      </c>
      <c r="H403" t="s">
        <v>27</v>
      </c>
      <c r="I403" t="s">
        <v>28</v>
      </c>
      <c r="J403" t="s">
        <v>24</v>
      </c>
      <c r="K403" s="6">
        <f t="shared" ca="1" si="32"/>
        <v>30009</v>
      </c>
      <c r="L403">
        <v>-15752</v>
      </c>
      <c r="M403" s="7">
        <f t="shared" ca="1" si="30"/>
        <v>43.126625598904859</v>
      </c>
      <c r="N403" s="5" t="str">
        <f ca="1">VLOOKUP(Data!M403,temp!$B$3:$C$9,2,1)</f>
        <v>40-50</v>
      </c>
      <c r="O403">
        <v>-2770</v>
      </c>
      <c r="P403" s="8">
        <f t="shared" si="31"/>
        <v>7.5838466803559204</v>
      </c>
      <c r="Q403" s="5" t="str">
        <f t="shared" si="33"/>
        <v>Employed</v>
      </c>
      <c r="R403">
        <v>1</v>
      </c>
      <c r="S403">
        <v>0</v>
      </c>
      <c r="T403">
        <v>0</v>
      </c>
      <c r="U403">
        <v>0</v>
      </c>
      <c r="V403" t="s">
        <v>38</v>
      </c>
      <c r="W403">
        <v>2</v>
      </c>
    </row>
    <row r="404" spans="1:23" x14ac:dyDescent="0.2">
      <c r="A404">
        <v>5022914</v>
      </c>
      <c r="B404" t="s">
        <v>18</v>
      </c>
      <c r="C404" t="s">
        <v>19</v>
      </c>
      <c r="D404" t="s">
        <v>20</v>
      </c>
      <c r="E404">
        <v>0</v>
      </c>
      <c r="F404">
        <v>225000</v>
      </c>
      <c r="G404" t="s">
        <v>31</v>
      </c>
      <c r="H404" t="s">
        <v>22</v>
      </c>
      <c r="I404" t="s">
        <v>33</v>
      </c>
      <c r="J404" t="s">
        <v>24</v>
      </c>
      <c r="K404" s="6">
        <f t="shared" ca="1" si="32"/>
        <v>33566</v>
      </c>
      <c r="L404">
        <v>-12195</v>
      </c>
      <c r="M404" s="7">
        <f t="shared" ca="1" si="30"/>
        <v>33.388090349075974</v>
      </c>
      <c r="N404" s="5" t="str">
        <f ca="1">VLOOKUP(Data!M404,temp!$B$3:$C$9,2,1)</f>
        <v>30-40</v>
      </c>
      <c r="O404">
        <v>-2592</v>
      </c>
      <c r="P404" s="8">
        <f t="shared" si="31"/>
        <v>7.0965092402464069</v>
      </c>
      <c r="Q404" s="5" t="str">
        <f t="shared" si="33"/>
        <v>Employed</v>
      </c>
      <c r="R404">
        <v>1</v>
      </c>
      <c r="S404">
        <v>0</v>
      </c>
      <c r="T404">
        <v>1</v>
      </c>
      <c r="U404">
        <v>0</v>
      </c>
      <c r="V404" t="s">
        <v>32</v>
      </c>
      <c r="W404">
        <v>1</v>
      </c>
    </row>
    <row r="405" spans="1:23" x14ac:dyDescent="0.2">
      <c r="A405">
        <v>5022932</v>
      </c>
      <c r="B405" t="s">
        <v>25</v>
      </c>
      <c r="C405" t="s">
        <v>20</v>
      </c>
      <c r="D405" t="s">
        <v>20</v>
      </c>
      <c r="E405">
        <v>2</v>
      </c>
      <c r="F405">
        <v>315000</v>
      </c>
      <c r="G405" t="s">
        <v>31</v>
      </c>
      <c r="H405" t="s">
        <v>22</v>
      </c>
      <c r="I405" t="s">
        <v>28</v>
      </c>
      <c r="J405" t="s">
        <v>24</v>
      </c>
      <c r="K405" s="6">
        <f t="shared" ca="1" si="32"/>
        <v>33146</v>
      </c>
      <c r="L405">
        <v>-12615</v>
      </c>
      <c r="M405" s="7">
        <f t="shared" ca="1" si="30"/>
        <v>34.53798767967146</v>
      </c>
      <c r="N405" s="5" t="str">
        <f ca="1">VLOOKUP(Data!M405,temp!$B$3:$C$9,2,1)</f>
        <v>30-40</v>
      </c>
      <c r="O405">
        <v>-1156</v>
      </c>
      <c r="P405" s="8">
        <f t="shared" si="31"/>
        <v>3.1649555099247091</v>
      </c>
      <c r="Q405" s="5" t="str">
        <f t="shared" si="33"/>
        <v>Employed</v>
      </c>
      <c r="R405">
        <v>1</v>
      </c>
      <c r="S405">
        <v>0</v>
      </c>
      <c r="T405">
        <v>0</v>
      </c>
      <c r="U405">
        <v>0</v>
      </c>
      <c r="V405" t="s">
        <v>29</v>
      </c>
      <c r="W405">
        <v>4</v>
      </c>
    </row>
    <row r="406" spans="1:23" x14ac:dyDescent="0.2">
      <c r="A406">
        <v>5022933</v>
      </c>
      <c r="B406" t="s">
        <v>25</v>
      </c>
      <c r="C406" t="s">
        <v>20</v>
      </c>
      <c r="D406" t="s">
        <v>20</v>
      </c>
      <c r="E406">
        <v>2</v>
      </c>
      <c r="F406">
        <v>315000</v>
      </c>
      <c r="G406" t="s">
        <v>31</v>
      </c>
      <c r="H406" t="s">
        <v>22</v>
      </c>
      <c r="I406" t="s">
        <v>28</v>
      </c>
      <c r="J406" t="s">
        <v>24</v>
      </c>
      <c r="K406" s="6">
        <f t="shared" ca="1" si="32"/>
        <v>33146</v>
      </c>
      <c r="L406">
        <v>-12615</v>
      </c>
      <c r="M406" s="7">
        <f t="shared" ca="1" si="30"/>
        <v>34.53798767967146</v>
      </c>
      <c r="N406" s="5" t="str">
        <f ca="1">VLOOKUP(Data!M406,temp!$B$3:$C$9,2,1)</f>
        <v>30-40</v>
      </c>
      <c r="O406">
        <v>-1156</v>
      </c>
      <c r="P406" s="8">
        <f t="shared" si="31"/>
        <v>3.1649555099247091</v>
      </c>
      <c r="Q406" s="5" t="str">
        <f t="shared" si="33"/>
        <v>Employed</v>
      </c>
      <c r="R406">
        <v>1</v>
      </c>
      <c r="S406">
        <v>0</v>
      </c>
      <c r="T406">
        <v>0</v>
      </c>
      <c r="U406">
        <v>0</v>
      </c>
      <c r="V406" t="s">
        <v>29</v>
      </c>
      <c r="W406">
        <v>4</v>
      </c>
    </row>
    <row r="407" spans="1:23" x14ac:dyDescent="0.2">
      <c r="A407">
        <v>5022939</v>
      </c>
      <c r="B407" t="s">
        <v>18</v>
      </c>
      <c r="C407" t="s">
        <v>20</v>
      </c>
      <c r="D407" t="s">
        <v>19</v>
      </c>
      <c r="E407">
        <v>0</v>
      </c>
      <c r="F407">
        <v>202500</v>
      </c>
      <c r="G407" t="s">
        <v>26</v>
      </c>
      <c r="H407" t="s">
        <v>36</v>
      </c>
      <c r="I407" t="s">
        <v>23</v>
      </c>
      <c r="J407" t="s">
        <v>24</v>
      </c>
      <c r="K407" s="6">
        <f t="shared" ca="1" si="32"/>
        <v>31665</v>
      </c>
      <c r="L407">
        <v>-14096</v>
      </c>
      <c r="M407" s="7">
        <f t="shared" ca="1" si="30"/>
        <v>38.592744695414098</v>
      </c>
      <c r="N407" s="5" t="str">
        <f ca="1">VLOOKUP(Data!M407,temp!$B$3:$C$9,2,1)</f>
        <v>30-40</v>
      </c>
      <c r="O407">
        <v>-1344</v>
      </c>
      <c r="P407" s="8">
        <f t="shared" si="31"/>
        <v>3.6796714579055441</v>
      </c>
      <c r="Q407" s="5" t="str">
        <f t="shared" si="33"/>
        <v>Employed</v>
      </c>
      <c r="R407">
        <v>1</v>
      </c>
      <c r="S407">
        <v>0</v>
      </c>
      <c r="T407">
        <v>1</v>
      </c>
      <c r="U407">
        <v>1</v>
      </c>
      <c r="V407" t="s">
        <v>44</v>
      </c>
      <c r="W407">
        <v>1</v>
      </c>
    </row>
    <row r="408" spans="1:23" x14ac:dyDescent="0.2">
      <c r="A408">
        <v>5022942</v>
      </c>
      <c r="B408" t="s">
        <v>18</v>
      </c>
      <c r="C408" t="s">
        <v>20</v>
      </c>
      <c r="D408" t="s">
        <v>19</v>
      </c>
      <c r="E408">
        <v>0</v>
      </c>
      <c r="F408">
        <v>202500</v>
      </c>
      <c r="G408" t="s">
        <v>26</v>
      </c>
      <c r="H408" t="s">
        <v>36</v>
      </c>
      <c r="I408" t="s">
        <v>23</v>
      </c>
      <c r="J408" t="s">
        <v>24</v>
      </c>
      <c r="K408" s="6">
        <f t="shared" ca="1" si="32"/>
        <v>31665</v>
      </c>
      <c r="L408">
        <v>-14096</v>
      </c>
      <c r="M408" s="7">
        <f t="shared" ca="1" si="30"/>
        <v>38.592744695414098</v>
      </c>
      <c r="N408" s="5" t="str">
        <f ca="1">VLOOKUP(Data!M408,temp!$B$3:$C$9,2,1)</f>
        <v>30-40</v>
      </c>
      <c r="O408">
        <v>-1344</v>
      </c>
      <c r="P408" s="8">
        <f t="shared" si="31"/>
        <v>3.6796714579055441</v>
      </c>
      <c r="Q408" s="5" t="str">
        <f t="shared" si="33"/>
        <v>Employed</v>
      </c>
      <c r="R408">
        <v>1</v>
      </c>
      <c r="S408">
        <v>0</v>
      </c>
      <c r="T408">
        <v>1</v>
      </c>
      <c r="U408">
        <v>1</v>
      </c>
      <c r="V408" t="s">
        <v>44</v>
      </c>
      <c r="W408">
        <v>1</v>
      </c>
    </row>
    <row r="409" spans="1:23" x14ac:dyDescent="0.2">
      <c r="A409">
        <v>5022943</v>
      </c>
      <c r="B409" t="s">
        <v>18</v>
      </c>
      <c r="C409" t="s">
        <v>20</v>
      </c>
      <c r="D409" t="s">
        <v>19</v>
      </c>
      <c r="E409">
        <v>0</v>
      </c>
      <c r="F409">
        <v>202500</v>
      </c>
      <c r="G409" t="s">
        <v>26</v>
      </c>
      <c r="H409" t="s">
        <v>36</v>
      </c>
      <c r="I409" t="s">
        <v>23</v>
      </c>
      <c r="J409" t="s">
        <v>24</v>
      </c>
      <c r="K409" s="6">
        <f t="shared" ca="1" si="32"/>
        <v>31665</v>
      </c>
      <c r="L409">
        <v>-14096</v>
      </c>
      <c r="M409" s="7">
        <f t="shared" ca="1" si="30"/>
        <v>38.592744695414098</v>
      </c>
      <c r="N409" s="5" t="str">
        <f ca="1">VLOOKUP(Data!M409,temp!$B$3:$C$9,2,1)</f>
        <v>30-40</v>
      </c>
      <c r="O409">
        <v>-1344</v>
      </c>
      <c r="P409" s="8">
        <f t="shared" si="31"/>
        <v>3.6796714579055441</v>
      </c>
      <c r="Q409" s="5" t="str">
        <f t="shared" si="33"/>
        <v>Employed</v>
      </c>
      <c r="R409">
        <v>1</v>
      </c>
      <c r="S409">
        <v>0</v>
      </c>
      <c r="T409">
        <v>1</v>
      </c>
      <c r="U409">
        <v>1</v>
      </c>
      <c r="V409" t="s">
        <v>44</v>
      </c>
      <c r="W409">
        <v>1</v>
      </c>
    </row>
    <row r="410" spans="1:23" x14ac:dyDescent="0.2">
      <c r="A410">
        <v>5022953</v>
      </c>
      <c r="B410" t="s">
        <v>25</v>
      </c>
      <c r="C410" t="s">
        <v>20</v>
      </c>
      <c r="D410" t="s">
        <v>20</v>
      </c>
      <c r="E410">
        <v>0</v>
      </c>
      <c r="F410">
        <v>112500</v>
      </c>
      <c r="G410" t="s">
        <v>31</v>
      </c>
      <c r="H410" t="s">
        <v>27</v>
      </c>
      <c r="I410" t="s">
        <v>28</v>
      </c>
      <c r="J410" t="s">
        <v>24</v>
      </c>
      <c r="K410" s="6">
        <f t="shared" ca="1" si="32"/>
        <v>27468</v>
      </c>
      <c r="L410">
        <v>-18293</v>
      </c>
      <c r="M410" s="7">
        <f t="shared" ca="1" si="30"/>
        <v>50.083504449007528</v>
      </c>
      <c r="N410" s="5" t="str">
        <f ca="1">VLOOKUP(Data!M410,temp!$B$3:$C$9,2,1)</f>
        <v>50-60</v>
      </c>
      <c r="O410">
        <v>-521</v>
      </c>
      <c r="P410" s="8">
        <f t="shared" si="31"/>
        <v>1.4264202600958247</v>
      </c>
      <c r="Q410" s="5" t="str">
        <f t="shared" si="33"/>
        <v>Employed</v>
      </c>
      <c r="R410">
        <v>1</v>
      </c>
      <c r="S410">
        <v>1</v>
      </c>
      <c r="T410">
        <v>0</v>
      </c>
      <c r="U410">
        <v>0</v>
      </c>
      <c r="W410">
        <v>2</v>
      </c>
    </row>
    <row r="411" spans="1:23" x14ac:dyDescent="0.2">
      <c r="A411">
        <v>5022963</v>
      </c>
      <c r="B411" t="s">
        <v>18</v>
      </c>
      <c r="C411" t="s">
        <v>20</v>
      </c>
      <c r="D411" t="s">
        <v>20</v>
      </c>
      <c r="E411">
        <v>3</v>
      </c>
      <c r="F411">
        <v>135000</v>
      </c>
      <c r="G411" t="s">
        <v>31</v>
      </c>
      <c r="H411" t="s">
        <v>27</v>
      </c>
      <c r="I411" t="s">
        <v>28</v>
      </c>
      <c r="J411" t="s">
        <v>24</v>
      </c>
      <c r="K411" s="6">
        <f t="shared" ca="1" si="32"/>
        <v>32833</v>
      </c>
      <c r="L411">
        <v>-12928</v>
      </c>
      <c r="M411" s="7">
        <f t="shared" ca="1" si="30"/>
        <v>35.394934976043807</v>
      </c>
      <c r="N411" s="5" t="str">
        <f ca="1">VLOOKUP(Data!M411,temp!$B$3:$C$9,2,1)</f>
        <v>30-40</v>
      </c>
      <c r="O411">
        <v>-1313</v>
      </c>
      <c r="P411" s="8">
        <f t="shared" si="31"/>
        <v>3.5947980835044491</v>
      </c>
      <c r="Q411" s="5" t="str">
        <f t="shared" si="33"/>
        <v>Employed</v>
      </c>
      <c r="R411">
        <v>1</v>
      </c>
      <c r="S411">
        <v>0</v>
      </c>
      <c r="T411">
        <v>0</v>
      </c>
      <c r="U411">
        <v>0</v>
      </c>
      <c r="V411" t="s">
        <v>44</v>
      </c>
      <c r="W411">
        <v>5</v>
      </c>
    </row>
    <row r="412" spans="1:23" x14ac:dyDescent="0.2">
      <c r="A412">
        <v>5022967</v>
      </c>
      <c r="B412" t="s">
        <v>25</v>
      </c>
      <c r="C412" t="s">
        <v>19</v>
      </c>
      <c r="D412" t="s">
        <v>20</v>
      </c>
      <c r="E412">
        <v>0</v>
      </c>
      <c r="F412">
        <v>135000</v>
      </c>
      <c r="G412" t="s">
        <v>21</v>
      </c>
      <c r="H412" t="s">
        <v>27</v>
      </c>
      <c r="I412" t="s">
        <v>28</v>
      </c>
      <c r="J412" t="s">
        <v>24</v>
      </c>
      <c r="K412" s="6">
        <f t="shared" ca="1" si="32"/>
        <v>26696</v>
      </c>
      <c r="L412">
        <v>-19065</v>
      </c>
      <c r="M412" s="7">
        <f t="shared" ca="1" si="30"/>
        <v>52.197125256673509</v>
      </c>
      <c r="N412" s="5" t="str">
        <f ca="1">VLOOKUP(Data!M412,temp!$B$3:$C$9,2,1)</f>
        <v>50-60</v>
      </c>
      <c r="O412">
        <v>365243</v>
      </c>
      <c r="P412" s="8">
        <f t="shared" si="31"/>
        <v>0</v>
      </c>
      <c r="Q412" s="5" t="str">
        <f t="shared" si="33"/>
        <v>Unemployed</v>
      </c>
      <c r="R412">
        <v>1</v>
      </c>
      <c r="S412">
        <v>0</v>
      </c>
      <c r="T412">
        <v>0</v>
      </c>
      <c r="U412">
        <v>0</v>
      </c>
      <c r="W412">
        <v>2</v>
      </c>
    </row>
    <row r="413" spans="1:23" x14ac:dyDescent="0.2">
      <c r="A413">
        <v>5022981</v>
      </c>
      <c r="B413" t="s">
        <v>18</v>
      </c>
      <c r="C413" t="s">
        <v>20</v>
      </c>
      <c r="D413" t="s">
        <v>20</v>
      </c>
      <c r="E413">
        <v>0</v>
      </c>
      <c r="F413">
        <v>225000</v>
      </c>
      <c r="G413" t="s">
        <v>31</v>
      </c>
      <c r="H413" t="s">
        <v>36</v>
      </c>
      <c r="I413" t="s">
        <v>28</v>
      </c>
      <c r="J413" t="s">
        <v>24</v>
      </c>
      <c r="K413" s="6">
        <f t="shared" ca="1" si="32"/>
        <v>26893</v>
      </c>
      <c r="L413">
        <v>-18868</v>
      </c>
      <c r="M413" s="7">
        <f t="shared" ca="1" si="30"/>
        <v>51.657768651608485</v>
      </c>
      <c r="N413" s="5" t="str">
        <f ca="1">VLOOKUP(Data!M413,temp!$B$3:$C$9,2,1)</f>
        <v>50-60</v>
      </c>
      <c r="O413">
        <v>-11954</v>
      </c>
      <c r="P413" s="8">
        <f t="shared" si="31"/>
        <v>32.728268309377142</v>
      </c>
      <c r="Q413" s="5" t="str">
        <f t="shared" si="33"/>
        <v>Employed</v>
      </c>
      <c r="R413">
        <v>1</v>
      </c>
      <c r="S413">
        <v>0</v>
      </c>
      <c r="T413">
        <v>1</v>
      </c>
      <c r="U413">
        <v>0</v>
      </c>
      <c r="V413" t="s">
        <v>32</v>
      </c>
      <c r="W413">
        <v>2</v>
      </c>
    </row>
    <row r="414" spans="1:23" x14ac:dyDescent="0.2">
      <c r="A414">
        <v>5022987</v>
      </c>
      <c r="B414" t="s">
        <v>18</v>
      </c>
      <c r="C414" t="s">
        <v>19</v>
      </c>
      <c r="D414" t="s">
        <v>20</v>
      </c>
      <c r="E414">
        <v>0</v>
      </c>
      <c r="F414">
        <v>76500</v>
      </c>
      <c r="G414" t="s">
        <v>21</v>
      </c>
      <c r="H414" t="s">
        <v>27</v>
      </c>
      <c r="I414" t="s">
        <v>28</v>
      </c>
      <c r="J414" t="s">
        <v>24</v>
      </c>
      <c r="K414" s="6">
        <f t="shared" ca="1" si="32"/>
        <v>21450</v>
      </c>
      <c r="L414">
        <v>-24311</v>
      </c>
      <c r="M414" s="7">
        <f t="shared" ca="1" si="30"/>
        <v>66.559890485968509</v>
      </c>
      <c r="N414" s="5" t="str">
        <f ca="1">VLOOKUP(Data!M414,temp!$B$3:$C$9,2,1)</f>
        <v>60-70</v>
      </c>
      <c r="O414">
        <v>365243</v>
      </c>
      <c r="P414" s="8">
        <f t="shared" si="31"/>
        <v>0</v>
      </c>
      <c r="Q414" s="5" t="str">
        <f t="shared" si="33"/>
        <v>Unemployed</v>
      </c>
      <c r="R414">
        <v>1</v>
      </c>
      <c r="S414">
        <v>0</v>
      </c>
      <c r="T414">
        <v>1</v>
      </c>
      <c r="U414">
        <v>0</v>
      </c>
      <c r="W414">
        <v>2</v>
      </c>
    </row>
    <row r="415" spans="1:23" x14ac:dyDescent="0.2">
      <c r="A415">
        <v>5022994</v>
      </c>
      <c r="B415" t="s">
        <v>18</v>
      </c>
      <c r="C415" t="s">
        <v>19</v>
      </c>
      <c r="D415" t="s">
        <v>20</v>
      </c>
      <c r="E415">
        <v>0</v>
      </c>
      <c r="F415">
        <v>76500</v>
      </c>
      <c r="G415" t="s">
        <v>21</v>
      </c>
      <c r="H415" t="s">
        <v>22</v>
      </c>
      <c r="I415" t="s">
        <v>28</v>
      </c>
      <c r="J415" t="s">
        <v>24</v>
      </c>
      <c r="K415" s="6">
        <f t="shared" ca="1" si="32"/>
        <v>21805</v>
      </c>
      <c r="L415">
        <v>-23956</v>
      </c>
      <c r="M415" s="7">
        <f t="shared" ca="1" si="30"/>
        <v>65.587953456536624</v>
      </c>
      <c r="N415" s="5" t="str">
        <f ca="1">VLOOKUP(Data!M415,temp!$B$3:$C$9,2,1)</f>
        <v>60-70</v>
      </c>
      <c r="O415">
        <v>365243</v>
      </c>
      <c r="P415" s="8">
        <f t="shared" si="31"/>
        <v>0</v>
      </c>
      <c r="Q415" s="5" t="str">
        <f t="shared" si="33"/>
        <v>Unemployed</v>
      </c>
      <c r="R415">
        <v>1</v>
      </c>
      <c r="S415">
        <v>0</v>
      </c>
      <c r="T415">
        <v>0</v>
      </c>
      <c r="U415">
        <v>0</v>
      </c>
      <c r="W415">
        <v>2</v>
      </c>
    </row>
    <row r="416" spans="1:23" x14ac:dyDescent="0.2">
      <c r="A416">
        <v>5023001</v>
      </c>
      <c r="B416" t="s">
        <v>18</v>
      </c>
      <c r="C416" t="s">
        <v>19</v>
      </c>
      <c r="D416" t="s">
        <v>20</v>
      </c>
      <c r="E416">
        <v>0</v>
      </c>
      <c r="F416">
        <v>180000</v>
      </c>
      <c r="G416" t="s">
        <v>31</v>
      </c>
      <c r="H416" t="s">
        <v>27</v>
      </c>
      <c r="I416" t="s">
        <v>33</v>
      </c>
      <c r="J416" t="s">
        <v>24</v>
      </c>
      <c r="K416" s="6">
        <f t="shared" ca="1" si="32"/>
        <v>22754</v>
      </c>
      <c r="L416">
        <v>-23007</v>
      </c>
      <c r="M416" s="7">
        <f t="shared" ca="1" si="30"/>
        <v>62.989733059548257</v>
      </c>
      <c r="N416" s="5" t="str">
        <f ca="1">VLOOKUP(Data!M416,temp!$B$3:$C$9,2,1)</f>
        <v>60-70</v>
      </c>
      <c r="O416">
        <v>-11589</v>
      </c>
      <c r="P416" s="8">
        <f t="shared" si="31"/>
        <v>31.728952772073921</v>
      </c>
      <c r="Q416" s="5" t="str">
        <f t="shared" si="33"/>
        <v>Employed</v>
      </c>
      <c r="R416">
        <v>1</v>
      </c>
      <c r="S416">
        <v>1</v>
      </c>
      <c r="T416">
        <v>1</v>
      </c>
      <c r="U416">
        <v>0</v>
      </c>
      <c r="V416" t="s">
        <v>46</v>
      </c>
      <c r="W416">
        <v>1</v>
      </c>
    </row>
    <row r="417" spans="1:23" x14ac:dyDescent="0.2">
      <c r="A417">
        <v>5023020</v>
      </c>
      <c r="B417" t="s">
        <v>18</v>
      </c>
      <c r="C417" t="s">
        <v>19</v>
      </c>
      <c r="D417" t="s">
        <v>19</v>
      </c>
      <c r="E417">
        <v>0</v>
      </c>
      <c r="F417">
        <v>76500</v>
      </c>
      <c r="G417" t="s">
        <v>21</v>
      </c>
      <c r="H417" t="s">
        <v>22</v>
      </c>
      <c r="I417" t="s">
        <v>28</v>
      </c>
      <c r="J417" t="s">
        <v>24</v>
      </c>
      <c r="K417" s="6">
        <f t="shared" ca="1" si="32"/>
        <v>24928</v>
      </c>
      <c r="L417">
        <v>-20833</v>
      </c>
      <c r="M417" s="7">
        <f t="shared" ca="1" si="30"/>
        <v>57.037645448323069</v>
      </c>
      <c r="N417" s="5" t="str">
        <f ca="1">VLOOKUP(Data!M417,temp!$B$3:$C$9,2,1)</f>
        <v>50-60</v>
      </c>
      <c r="O417">
        <v>365243</v>
      </c>
      <c r="P417" s="8">
        <f t="shared" si="31"/>
        <v>0</v>
      </c>
      <c r="Q417" s="5" t="str">
        <f t="shared" si="33"/>
        <v>Unemployed</v>
      </c>
      <c r="R417">
        <v>1</v>
      </c>
      <c r="S417">
        <v>0</v>
      </c>
      <c r="T417">
        <v>0</v>
      </c>
      <c r="U417">
        <v>0</v>
      </c>
      <c r="W417">
        <v>2</v>
      </c>
    </row>
    <row r="418" spans="1:23" x14ac:dyDescent="0.2">
      <c r="A418">
        <v>5023031</v>
      </c>
      <c r="B418" t="s">
        <v>18</v>
      </c>
      <c r="C418" t="s">
        <v>19</v>
      </c>
      <c r="D418" t="s">
        <v>20</v>
      </c>
      <c r="E418">
        <v>0</v>
      </c>
      <c r="F418">
        <v>202500</v>
      </c>
      <c r="G418" t="s">
        <v>26</v>
      </c>
      <c r="H418" t="s">
        <v>27</v>
      </c>
      <c r="I418" t="s">
        <v>28</v>
      </c>
      <c r="J418" t="s">
        <v>24</v>
      </c>
      <c r="K418" s="6">
        <f t="shared" ca="1" si="32"/>
        <v>30673</v>
      </c>
      <c r="L418">
        <v>-15088</v>
      </c>
      <c r="M418" s="7">
        <f t="shared" ca="1" si="30"/>
        <v>41.308692676249144</v>
      </c>
      <c r="N418" s="5" t="str">
        <f ca="1">VLOOKUP(Data!M418,temp!$B$3:$C$9,2,1)</f>
        <v>40-50</v>
      </c>
      <c r="O418">
        <v>-2092</v>
      </c>
      <c r="P418" s="8">
        <f t="shared" si="31"/>
        <v>5.7275838466803561</v>
      </c>
      <c r="Q418" s="5" t="str">
        <f t="shared" si="33"/>
        <v>Employed</v>
      </c>
      <c r="R418">
        <v>1</v>
      </c>
      <c r="S418">
        <v>0</v>
      </c>
      <c r="T418">
        <v>1</v>
      </c>
      <c r="U418">
        <v>0</v>
      </c>
      <c r="V418" t="s">
        <v>39</v>
      </c>
      <c r="W418">
        <v>2</v>
      </c>
    </row>
    <row r="419" spans="1:23" x14ac:dyDescent="0.2">
      <c r="A419">
        <v>5023033</v>
      </c>
      <c r="B419" t="s">
        <v>18</v>
      </c>
      <c r="C419" t="s">
        <v>19</v>
      </c>
      <c r="D419" t="s">
        <v>20</v>
      </c>
      <c r="E419">
        <v>0</v>
      </c>
      <c r="F419">
        <v>202500</v>
      </c>
      <c r="G419" t="s">
        <v>26</v>
      </c>
      <c r="H419" t="s">
        <v>27</v>
      </c>
      <c r="I419" t="s">
        <v>28</v>
      </c>
      <c r="J419" t="s">
        <v>24</v>
      </c>
      <c r="K419" s="6">
        <f t="shared" ca="1" si="32"/>
        <v>30673</v>
      </c>
      <c r="L419">
        <v>-15088</v>
      </c>
      <c r="M419" s="7">
        <f t="shared" ca="1" si="30"/>
        <v>41.308692676249144</v>
      </c>
      <c r="N419" s="5" t="str">
        <f ca="1">VLOOKUP(Data!M419,temp!$B$3:$C$9,2,1)</f>
        <v>40-50</v>
      </c>
      <c r="O419">
        <v>-2092</v>
      </c>
      <c r="P419" s="8">
        <f t="shared" si="31"/>
        <v>5.7275838466803561</v>
      </c>
      <c r="Q419" s="5" t="str">
        <f t="shared" si="33"/>
        <v>Employed</v>
      </c>
      <c r="R419">
        <v>1</v>
      </c>
      <c r="S419">
        <v>0</v>
      </c>
      <c r="T419">
        <v>1</v>
      </c>
      <c r="U419">
        <v>0</v>
      </c>
      <c r="V419" t="s">
        <v>39</v>
      </c>
      <c r="W419">
        <v>2</v>
      </c>
    </row>
    <row r="420" spans="1:23" x14ac:dyDescent="0.2">
      <c r="A420">
        <v>5023041</v>
      </c>
      <c r="B420" t="s">
        <v>18</v>
      </c>
      <c r="C420" t="s">
        <v>19</v>
      </c>
      <c r="D420" t="s">
        <v>19</v>
      </c>
      <c r="E420">
        <v>0</v>
      </c>
      <c r="F420">
        <v>90000</v>
      </c>
      <c r="G420" t="s">
        <v>21</v>
      </c>
      <c r="H420" t="s">
        <v>27</v>
      </c>
      <c r="I420" t="s">
        <v>42</v>
      </c>
      <c r="J420" t="s">
        <v>24</v>
      </c>
      <c r="K420" s="6">
        <f t="shared" ca="1" si="32"/>
        <v>24811</v>
      </c>
      <c r="L420">
        <v>-20950</v>
      </c>
      <c r="M420" s="7">
        <f t="shared" ca="1" si="30"/>
        <v>57.35797399041752</v>
      </c>
      <c r="N420" s="5" t="str">
        <f ca="1">VLOOKUP(Data!M420,temp!$B$3:$C$9,2,1)</f>
        <v>50-60</v>
      </c>
      <c r="O420">
        <v>365243</v>
      </c>
      <c r="P420" s="8">
        <f t="shared" si="31"/>
        <v>0</v>
      </c>
      <c r="Q420" s="5" t="str">
        <f t="shared" si="33"/>
        <v>Unemployed</v>
      </c>
      <c r="R420">
        <v>1</v>
      </c>
      <c r="S420">
        <v>0</v>
      </c>
      <c r="T420">
        <v>0</v>
      </c>
      <c r="U420">
        <v>0</v>
      </c>
      <c r="W420">
        <v>1</v>
      </c>
    </row>
    <row r="421" spans="1:23" x14ac:dyDescent="0.2">
      <c r="A421">
        <v>5023053</v>
      </c>
      <c r="B421" t="s">
        <v>18</v>
      </c>
      <c r="C421" t="s">
        <v>19</v>
      </c>
      <c r="D421" t="s">
        <v>20</v>
      </c>
      <c r="E421">
        <v>0</v>
      </c>
      <c r="F421">
        <v>247500</v>
      </c>
      <c r="G421" t="s">
        <v>21</v>
      </c>
      <c r="H421" t="s">
        <v>27</v>
      </c>
      <c r="I421" t="s">
        <v>28</v>
      </c>
      <c r="J421" t="s">
        <v>24</v>
      </c>
      <c r="K421" s="6">
        <f t="shared" ca="1" si="32"/>
        <v>24584</v>
      </c>
      <c r="L421">
        <v>-21177</v>
      </c>
      <c r="M421" s="7">
        <f t="shared" ca="1" si="30"/>
        <v>57.979466119096507</v>
      </c>
      <c r="N421" s="5" t="str">
        <f ca="1">VLOOKUP(Data!M421,temp!$B$3:$C$9,2,1)</f>
        <v>50-60</v>
      </c>
      <c r="O421">
        <v>365243</v>
      </c>
      <c r="P421" s="8">
        <f t="shared" si="31"/>
        <v>0</v>
      </c>
      <c r="Q421" s="5" t="str">
        <f t="shared" si="33"/>
        <v>Unemployed</v>
      </c>
      <c r="R421">
        <v>1</v>
      </c>
      <c r="S421">
        <v>0</v>
      </c>
      <c r="T421">
        <v>0</v>
      </c>
      <c r="U421">
        <v>0</v>
      </c>
      <c r="W421">
        <v>2</v>
      </c>
    </row>
    <row r="422" spans="1:23" x14ac:dyDescent="0.2">
      <c r="A422">
        <v>5023055</v>
      </c>
      <c r="B422" t="s">
        <v>18</v>
      </c>
      <c r="C422" t="s">
        <v>19</v>
      </c>
      <c r="D422" t="s">
        <v>20</v>
      </c>
      <c r="E422">
        <v>0</v>
      </c>
      <c r="F422">
        <v>247500</v>
      </c>
      <c r="G422" t="s">
        <v>21</v>
      </c>
      <c r="H422" t="s">
        <v>27</v>
      </c>
      <c r="I422" t="s">
        <v>28</v>
      </c>
      <c r="J422" t="s">
        <v>24</v>
      </c>
      <c r="K422" s="6">
        <f t="shared" ca="1" si="32"/>
        <v>24584</v>
      </c>
      <c r="L422">
        <v>-21177</v>
      </c>
      <c r="M422" s="7">
        <f t="shared" ca="1" si="30"/>
        <v>57.979466119096507</v>
      </c>
      <c r="N422" s="5" t="str">
        <f ca="1">VLOOKUP(Data!M422,temp!$B$3:$C$9,2,1)</f>
        <v>50-60</v>
      </c>
      <c r="O422">
        <v>365243</v>
      </c>
      <c r="P422" s="8">
        <f t="shared" si="31"/>
        <v>0</v>
      </c>
      <c r="Q422" s="5" t="str">
        <f t="shared" si="33"/>
        <v>Unemployed</v>
      </c>
      <c r="R422">
        <v>1</v>
      </c>
      <c r="S422">
        <v>0</v>
      </c>
      <c r="T422">
        <v>0</v>
      </c>
      <c r="U422">
        <v>0</v>
      </c>
      <c r="W422">
        <v>2</v>
      </c>
    </row>
    <row r="423" spans="1:23" x14ac:dyDescent="0.2">
      <c r="A423">
        <v>5023056</v>
      </c>
      <c r="B423" t="s">
        <v>18</v>
      </c>
      <c r="C423" t="s">
        <v>19</v>
      </c>
      <c r="D423" t="s">
        <v>20</v>
      </c>
      <c r="E423">
        <v>0</v>
      </c>
      <c r="F423">
        <v>247500</v>
      </c>
      <c r="G423" t="s">
        <v>21</v>
      </c>
      <c r="H423" t="s">
        <v>27</v>
      </c>
      <c r="I423" t="s">
        <v>28</v>
      </c>
      <c r="J423" t="s">
        <v>24</v>
      </c>
      <c r="K423" s="6">
        <f t="shared" ca="1" si="32"/>
        <v>24584</v>
      </c>
      <c r="L423">
        <v>-21177</v>
      </c>
      <c r="M423" s="7">
        <f t="shared" ca="1" si="30"/>
        <v>57.979466119096507</v>
      </c>
      <c r="N423" s="5" t="str">
        <f ca="1">VLOOKUP(Data!M423,temp!$B$3:$C$9,2,1)</f>
        <v>50-60</v>
      </c>
      <c r="O423">
        <v>365243</v>
      </c>
      <c r="P423" s="8">
        <f t="shared" si="31"/>
        <v>0</v>
      </c>
      <c r="Q423" s="5" t="str">
        <f t="shared" si="33"/>
        <v>Unemployed</v>
      </c>
      <c r="R423">
        <v>1</v>
      </c>
      <c r="S423">
        <v>0</v>
      </c>
      <c r="T423">
        <v>0</v>
      </c>
      <c r="U423">
        <v>0</v>
      </c>
      <c r="W423">
        <v>2</v>
      </c>
    </row>
    <row r="424" spans="1:23" x14ac:dyDescent="0.2">
      <c r="A424">
        <v>5023058</v>
      </c>
      <c r="B424" t="s">
        <v>25</v>
      </c>
      <c r="C424" t="s">
        <v>20</v>
      </c>
      <c r="D424" t="s">
        <v>20</v>
      </c>
      <c r="E424">
        <v>1</v>
      </c>
      <c r="F424">
        <v>112500</v>
      </c>
      <c r="G424" t="s">
        <v>31</v>
      </c>
      <c r="H424" t="s">
        <v>27</v>
      </c>
      <c r="I424" t="s">
        <v>28</v>
      </c>
      <c r="J424" t="s">
        <v>24</v>
      </c>
      <c r="K424" s="6">
        <f t="shared" ca="1" si="32"/>
        <v>34482</v>
      </c>
      <c r="L424">
        <v>-11279</v>
      </c>
      <c r="M424" s="7">
        <f t="shared" ca="1" si="30"/>
        <v>30.880219028062971</v>
      </c>
      <c r="N424" s="5" t="str">
        <f ca="1">VLOOKUP(Data!M424,temp!$B$3:$C$9,2,1)</f>
        <v>30-40</v>
      </c>
      <c r="O424">
        <v>-508</v>
      </c>
      <c r="P424" s="8">
        <f t="shared" si="31"/>
        <v>1.3908281998631074</v>
      </c>
      <c r="Q424" s="5" t="str">
        <f t="shared" si="33"/>
        <v>Employed</v>
      </c>
      <c r="R424">
        <v>1</v>
      </c>
      <c r="S424">
        <v>0</v>
      </c>
      <c r="T424">
        <v>0</v>
      </c>
      <c r="U424">
        <v>0</v>
      </c>
      <c r="V424" t="s">
        <v>29</v>
      </c>
      <c r="W424">
        <v>3</v>
      </c>
    </row>
    <row r="425" spans="1:23" x14ac:dyDescent="0.2">
      <c r="A425">
        <v>5023059</v>
      </c>
      <c r="B425" t="s">
        <v>25</v>
      </c>
      <c r="C425" t="s">
        <v>20</v>
      </c>
      <c r="D425" t="s">
        <v>20</v>
      </c>
      <c r="E425">
        <v>1</v>
      </c>
      <c r="F425">
        <v>112500</v>
      </c>
      <c r="G425" t="s">
        <v>31</v>
      </c>
      <c r="H425" t="s">
        <v>27</v>
      </c>
      <c r="I425" t="s">
        <v>28</v>
      </c>
      <c r="J425" t="s">
        <v>24</v>
      </c>
      <c r="K425" s="6">
        <f t="shared" ca="1" si="32"/>
        <v>34482</v>
      </c>
      <c r="L425">
        <v>-11279</v>
      </c>
      <c r="M425" s="7">
        <f t="shared" ca="1" si="30"/>
        <v>30.880219028062971</v>
      </c>
      <c r="N425" s="5" t="str">
        <f ca="1">VLOOKUP(Data!M425,temp!$B$3:$C$9,2,1)</f>
        <v>30-40</v>
      </c>
      <c r="O425">
        <v>-508</v>
      </c>
      <c r="P425" s="8">
        <f t="shared" si="31"/>
        <v>1.3908281998631074</v>
      </c>
      <c r="Q425" s="5" t="str">
        <f t="shared" si="33"/>
        <v>Employed</v>
      </c>
      <c r="R425">
        <v>1</v>
      </c>
      <c r="S425">
        <v>0</v>
      </c>
      <c r="T425">
        <v>0</v>
      </c>
      <c r="U425">
        <v>0</v>
      </c>
      <c r="V425" t="s">
        <v>29</v>
      </c>
      <c r="W425">
        <v>3</v>
      </c>
    </row>
    <row r="426" spans="1:23" x14ac:dyDescent="0.2">
      <c r="A426">
        <v>5023064</v>
      </c>
      <c r="B426" t="s">
        <v>18</v>
      </c>
      <c r="C426" t="s">
        <v>19</v>
      </c>
      <c r="D426" t="s">
        <v>20</v>
      </c>
      <c r="E426">
        <v>2</v>
      </c>
      <c r="F426">
        <v>202500</v>
      </c>
      <c r="G426" t="s">
        <v>26</v>
      </c>
      <c r="H426" t="s">
        <v>27</v>
      </c>
      <c r="I426" t="s">
        <v>37</v>
      </c>
      <c r="J426" t="s">
        <v>43</v>
      </c>
      <c r="K426" s="6">
        <f t="shared" ca="1" si="32"/>
        <v>31969</v>
      </c>
      <c r="L426">
        <v>-13792</v>
      </c>
      <c r="M426" s="7">
        <f t="shared" ca="1" si="30"/>
        <v>37.760438056125942</v>
      </c>
      <c r="N426" s="5" t="str">
        <f ca="1">VLOOKUP(Data!M426,temp!$B$3:$C$9,2,1)</f>
        <v>30-40</v>
      </c>
      <c r="O426">
        <v>-417</v>
      </c>
      <c r="P426" s="8">
        <f t="shared" si="31"/>
        <v>1.1416837782340863</v>
      </c>
      <c r="Q426" s="5" t="str">
        <f t="shared" si="33"/>
        <v>Employed</v>
      </c>
      <c r="R426">
        <v>1</v>
      </c>
      <c r="S426">
        <v>0</v>
      </c>
      <c r="T426">
        <v>0</v>
      </c>
      <c r="U426">
        <v>0</v>
      </c>
      <c r="W426">
        <v>4</v>
      </c>
    </row>
    <row r="427" spans="1:23" x14ac:dyDescent="0.2">
      <c r="A427">
        <v>5023079</v>
      </c>
      <c r="B427" t="s">
        <v>18</v>
      </c>
      <c r="C427" t="s">
        <v>19</v>
      </c>
      <c r="D427" t="s">
        <v>20</v>
      </c>
      <c r="E427">
        <v>0</v>
      </c>
      <c r="F427">
        <v>81000</v>
      </c>
      <c r="G427" t="s">
        <v>21</v>
      </c>
      <c r="H427" t="s">
        <v>51</v>
      </c>
      <c r="I427" t="s">
        <v>28</v>
      </c>
      <c r="J427" t="s">
        <v>24</v>
      </c>
      <c r="K427" s="6">
        <f t="shared" ca="1" si="32"/>
        <v>23960</v>
      </c>
      <c r="L427">
        <v>-21801</v>
      </c>
      <c r="M427" s="7">
        <f t="shared" ca="1" si="30"/>
        <v>59.687885010266939</v>
      </c>
      <c r="N427" s="5" t="str">
        <f ca="1">VLOOKUP(Data!M427,temp!$B$3:$C$9,2,1)</f>
        <v>50-60</v>
      </c>
      <c r="O427">
        <v>365243</v>
      </c>
      <c r="P427" s="8">
        <f t="shared" si="31"/>
        <v>0</v>
      </c>
      <c r="Q427" s="5" t="str">
        <f t="shared" si="33"/>
        <v>Unemployed</v>
      </c>
      <c r="R427">
        <v>1</v>
      </c>
      <c r="S427">
        <v>0</v>
      </c>
      <c r="T427">
        <v>0</v>
      </c>
      <c r="U427">
        <v>0</v>
      </c>
      <c r="W427">
        <v>2</v>
      </c>
    </row>
    <row r="428" spans="1:23" x14ac:dyDescent="0.2">
      <c r="A428">
        <v>5023083</v>
      </c>
      <c r="B428" t="s">
        <v>18</v>
      </c>
      <c r="C428" t="s">
        <v>20</v>
      </c>
      <c r="D428" t="s">
        <v>19</v>
      </c>
      <c r="E428">
        <v>1</v>
      </c>
      <c r="F428">
        <v>175500</v>
      </c>
      <c r="G428" t="s">
        <v>26</v>
      </c>
      <c r="H428" t="s">
        <v>27</v>
      </c>
      <c r="I428" t="s">
        <v>33</v>
      </c>
      <c r="J428" t="s">
        <v>45</v>
      </c>
      <c r="K428" s="6">
        <f t="shared" ca="1" si="32"/>
        <v>34052</v>
      </c>
      <c r="L428">
        <v>-11709</v>
      </c>
      <c r="M428" s="7">
        <f t="shared" ca="1" si="30"/>
        <v>32.057494866529773</v>
      </c>
      <c r="N428" s="5" t="str">
        <f ca="1">VLOOKUP(Data!M428,temp!$B$3:$C$9,2,1)</f>
        <v>30-40</v>
      </c>
      <c r="O428">
        <v>-4983</v>
      </c>
      <c r="P428" s="8">
        <f t="shared" si="31"/>
        <v>13.64271047227926</v>
      </c>
      <c r="Q428" s="5" t="str">
        <f t="shared" si="33"/>
        <v>Employed</v>
      </c>
      <c r="R428">
        <v>1</v>
      </c>
      <c r="S428">
        <v>0</v>
      </c>
      <c r="T428">
        <v>0</v>
      </c>
      <c r="U428">
        <v>0</v>
      </c>
      <c r="V428" t="s">
        <v>29</v>
      </c>
      <c r="W428">
        <v>2</v>
      </c>
    </row>
    <row r="429" spans="1:23" x14ac:dyDescent="0.2">
      <c r="A429">
        <v>5023088</v>
      </c>
      <c r="B429" t="s">
        <v>18</v>
      </c>
      <c r="C429" t="s">
        <v>20</v>
      </c>
      <c r="D429" t="s">
        <v>19</v>
      </c>
      <c r="E429">
        <v>1</v>
      </c>
      <c r="F429">
        <v>175500</v>
      </c>
      <c r="G429" t="s">
        <v>26</v>
      </c>
      <c r="H429" t="s">
        <v>27</v>
      </c>
      <c r="I429" t="s">
        <v>33</v>
      </c>
      <c r="J429" t="s">
        <v>45</v>
      </c>
      <c r="K429" s="6">
        <f t="shared" ca="1" si="32"/>
        <v>34052</v>
      </c>
      <c r="L429">
        <v>-11709</v>
      </c>
      <c r="M429" s="7">
        <f t="shared" ca="1" si="30"/>
        <v>32.057494866529773</v>
      </c>
      <c r="N429" s="5" t="str">
        <f ca="1">VLOOKUP(Data!M429,temp!$B$3:$C$9,2,1)</f>
        <v>30-40</v>
      </c>
      <c r="O429">
        <v>-4983</v>
      </c>
      <c r="P429" s="8">
        <f t="shared" si="31"/>
        <v>13.64271047227926</v>
      </c>
      <c r="Q429" s="5" t="str">
        <f t="shared" si="33"/>
        <v>Employed</v>
      </c>
      <c r="R429">
        <v>1</v>
      </c>
      <c r="S429">
        <v>0</v>
      </c>
      <c r="T429">
        <v>0</v>
      </c>
      <c r="U429">
        <v>0</v>
      </c>
      <c r="V429" t="s">
        <v>29</v>
      </c>
      <c r="W429">
        <v>2</v>
      </c>
    </row>
    <row r="430" spans="1:23" x14ac:dyDescent="0.2">
      <c r="A430">
        <v>5023101</v>
      </c>
      <c r="B430" t="s">
        <v>18</v>
      </c>
      <c r="C430" t="s">
        <v>19</v>
      </c>
      <c r="D430" t="s">
        <v>20</v>
      </c>
      <c r="E430">
        <v>0</v>
      </c>
      <c r="F430">
        <v>94500</v>
      </c>
      <c r="G430" t="s">
        <v>21</v>
      </c>
      <c r="H430" t="s">
        <v>51</v>
      </c>
      <c r="I430" t="s">
        <v>28</v>
      </c>
      <c r="J430" t="s">
        <v>24</v>
      </c>
      <c r="K430" s="6">
        <f t="shared" ca="1" si="32"/>
        <v>23893</v>
      </c>
      <c r="L430">
        <v>-21868</v>
      </c>
      <c r="M430" s="7">
        <f t="shared" ca="1" si="30"/>
        <v>59.871321013004788</v>
      </c>
      <c r="N430" s="5" t="str">
        <f ca="1">VLOOKUP(Data!M430,temp!$B$3:$C$9,2,1)</f>
        <v>50-60</v>
      </c>
      <c r="O430">
        <v>365243</v>
      </c>
      <c r="P430" s="8">
        <f t="shared" si="31"/>
        <v>0</v>
      </c>
      <c r="Q430" s="5" t="str">
        <f t="shared" si="33"/>
        <v>Unemployed</v>
      </c>
      <c r="R430">
        <v>1</v>
      </c>
      <c r="S430">
        <v>0</v>
      </c>
      <c r="T430">
        <v>0</v>
      </c>
      <c r="U430">
        <v>0</v>
      </c>
      <c r="W430">
        <v>2</v>
      </c>
    </row>
    <row r="431" spans="1:23" x14ac:dyDescent="0.2">
      <c r="A431">
        <v>5023107</v>
      </c>
      <c r="B431" t="s">
        <v>25</v>
      </c>
      <c r="C431" t="s">
        <v>20</v>
      </c>
      <c r="D431" t="s">
        <v>20</v>
      </c>
      <c r="E431">
        <v>1</v>
      </c>
      <c r="F431">
        <v>67500</v>
      </c>
      <c r="G431" t="s">
        <v>31</v>
      </c>
      <c r="H431" t="s">
        <v>27</v>
      </c>
      <c r="I431" t="s">
        <v>28</v>
      </c>
      <c r="J431" t="s">
        <v>24</v>
      </c>
      <c r="K431" s="6">
        <f t="shared" ca="1" si="32"/>
        <v>30605</v>
      </c>
      <c r="L431">
        <v>-15156</v>
      </c>
      <c r="M431" s="7">
        <f t="shared" ca="1" si="30"/>
        <v>41.494866529774129</v>
      </c>
      <c r="N431" s="5" t="str">
        <f ca="1">VLOOKUP(Data!M431,temp!$B$3:$C$9,2,1)</f>
        <v>40-50</v>
      </c>
      <c r="O431">
        <v>-1696</v>
      </c>
      <c r="P431" s="8">
        <f t="shared" si="31"/>
        <v>4.6433949349760439</v>
      </c>
      <c r="Q431" s="5" t="str">
        <f t="shared" si="33"/>
        <v>Employed</v>
      </c>
      <c r="R431">
        <v>1</v>
      </c>
      <c r="S431">
        <v>1</v>
      </c>
      <c r="T431">
        <v>0</v>
      </c>
      <c r="U431">
        <v>0</v>
      </c>
      <c r="V431" t="s">
        <v>38</v>
      </c>
      <c r="W431">
        <v>3</v>
      </c>
    </row>
    <row r="432" spans="1:23" x14ac:dyDescent="0.2">
      <c r="A432">
        <v>5023112</v>
      </c>
      <c r="B432" t="s">
        <v>25</v>
      </c>
      <c r="C432" t="s">
        <v>19</v>
      </c>
      <c r="D432" t="s">
        <v>20</v>
      </c>
      <c r="E432">
        <v>0</v>
      </c>
      <c r="F432">
        <v>382500</v>
      </c>
      <c r="G432" t="s">
        <v>31</v>
      </c>
      <c r="H432" t="s">
        <v>22</v>
      </c>
      <c r="I432" t="s">
        <v>28</v>
      </c>
      <c r="J432" t="s">
        <v>24</v>
      </c>
      <c r="K432" s="6">
        <f t="shared" ca="1" si="32"/>
        <v>35625</v>
      </c>
      <c r="L432">
        <v>-10136</v>
      </c>
      <c r="M432" s="7">
        <f t="shared" ca="1" si="30"/>
        <v>27.750855578370977</v>
      </c>
      <c r="N432" s="5" t="str">
        <f ca="1">VLOOKUP(Data!M432,temp!$B$3:$C$9,2,1)</f>
        <v>20-30</v>
      </c>
      <c r="O432">
        <v>-539</v>
      </c>
      <c r="P432" s="8">
        <f t="shared" si="31"/>
        <v>1.4757015742642026</v>
      </c>
      <c r="Q432" s="5" t="str">
        <f t="shared" si="33"/>
        <v>Employed</v>
      </c>
      <c r="R432">
        <v>1</v>
      </c>
      <c r="S432">
        <v>1</v>
      </c>
      <c r="T432">
        <v>1</v>
      </c>
      <c r="U432">
        <v>0</v>
      </c>
      <c r="V432" t="s">
        <v>29</v>
      </c>
      <c r="W432">
        <v>2</v>
      </c>
    </row>
    <row r="433" spans="1:23" x14ac:dyDescent="0.2">
      <c r="A433">
        <v>5023113</v>
      </c>
      <c r="B433" t="s">
        <v>25</v>
      </c>
      <c r="C433" t="s">
        <v>19</v>
      </c>
      <c r="D433" t="s">
        <v>20</v>
      </c>
      <c r="E433">
        <v>0</v>
      </c>
      <c r="F433">
        <v>382500</v>
      </c>
      <c r="G433" t="s">
        <v>31</v>
      </c>
      <c r="H433" t="s">
        <v>22</v>
      </c>
      <c r="I433" t="s">
        <v>28</v>
      </c>
      <c r="J433" t="s">
        <v>24</v>
      </c>
      <c r="K433" s="6">
        <f t="shared" ca="1" si="32"/>
        <v>35625</v>
      </c>
      <c r="L433">
        <v>-10136</v>
      </c>
      <c r="M433" s="7">
        <f t="shared" ca="1" si="30"/>
        <v>27.750855578370977</v>
      </c>
      <c r="N433" s="5" t="str">
        <f ca="1">VLOOKUP(Data!M433,temp!$B$3:$C$9,2,1)</f>
        <v>20-30</v>
      </c>
      <c r="O433">
        <v>-539</v>
      </c>
      <c r="P433" s="8">
        <f t="shared" si="31"/>
        <v>1.4757015742642026</v>
      </c>
      <c r="Q433" s="5" t="str">
        <f t="shared" si="33"/>
        <v>Employed</v>
      </c>
      <c r="R433">
        <v>1</v>
      </c>
      <c r="S433">
        <v>1</v>
      </c>
      <c r="T433">
        <v>1</v>
      </c>
      <c r="U433">
        <v>0</v>
      </c>
      <c r="V433" t="s">
        <v>29</v>
      </c>
      <c r="W433">
        <v>2</v>
      </c>
    </row>
    <row r="434" spans="1:23" x14ac:dyDescent="0.2">
      <c r="A434">
        <v>5023145</v>
      </c>
      <c r="B434" t="s">
        <v>18</v>
      </c>
      <c r="C434" t="s">
        <v>19</v>
      </c>
      <c r="D434" t="s">
        <v>19</v>
      </c>
      <c r="E434">
        <v>0</v>
      </c>
      <c r="F434">
        <v>112500</v>
      </c>
      <c r="G434" t="s">
        <v>21</v>
      </c>
      <c r="H434" t="s">
        <v>27</v>
      </c>
      <c r="I434" t="s">
        <v>33</v>
      </c>
      <c r="J434" t="s">
        <v>24</v>
      </c>
      <c r="K434" s="6">
        <f t="shared" ca="1" si="32"/>
        <v>24626</v>
      </c>
      <c r="L434">
        <v>-21135</v>
      </c>
      <c r="M434" s="7">
        <f t="shared" ca="1" si="30"/>
        <v>57.864476386036962</v>
      </c>
      <c r="N434" s="5" t="str">
        <f ca="1">VLOOKUP(Data!M434,temp!$B$3:$C$9,2,1)</f>
        <v>50-60</v>
      </c>
      <c r="O434">
        <v>365243</v>
      </c>
      <c r="P434" s="8">
        <f t="shared" si="31"/>
        <v>0</v>
      </c>
      <c r="Q434" s="5" t="str">
        <f t="shared" si="33"/>
        <v>Unemployed</v>
      </c>
      <c r="R434">
        <v>1</v>
      </c>
      <c r="S434">
        <v>0</v>
      </c>
      <c r="T434">
        <v>0</v>
      </c>
      <c r="U434">
        <v>0</v>
      </c>
      <c r="W434">
        <v>1</v>
      </c>
    </row>
    <row r="435" spans="1:23" x14ac:dyDescent="0.2">
      <c r="A435">
        <v>5023150</v>
      </c>
      <c r="B435" t="s">
        <v>25</v>
      </c>
      <c r="C435" t="s">
        <v>19</v>
      </c>
      <c r="D435" t="s">
        <v>20</v>
      </c>
      <c r="E435">
        <v>1</v>
      </c>
      <c r="F435">
        <v>315000</v>
      </c>
      <c r="G435" t="s">
        <v>31</v>
      </c>
      <c r="H435" t="s">
        <v>22</v>
      </c>
      <c r="I435" t="s">
        <v>28</v>
      </c>
      <c r="J435" t="s">
        <v>24</v>
      </c>
      <c r="K435" s="6">
        <f t="shared" ca="1" si="32"/>
        <v>34361</v>
      </c>
      <c r="L435">
        <v>-11400</v>
      </c>
      <c r="M435" s="7">
        <f t="shared" ca="1" si="30"/>
        <v>31.211498973305954</v>
      </c>
      <c r="N435" s="5" t="str">
        <f ca="1">VLOOKUP(Data!M435,temp!$B$3:$C$9,2,1)</f>
        <v>30-40</v>
      </c>
      <c r="O435">
        <v>-1513</v>
      </c>
      <c r="P435" s="8">
        <f t="shared" si="31"/>
        <v>4.1423682409308693</v>
      </c>
      <c r="Q435" s="5" t="str">
        <f t="shared" si="33"/>
        <v>Employed</v>
      </c>
      <c r="R435">
        <v>1</v>
      </c>
      <c r="S435">
        <v>0</v>
      </c>
      <c r="T435">
        <v>0</v>
      </c>
      <c r="U435">
        <v>0</v>
      </c>
      <c r="V435" t="s">
        <v>32</v>
      </c>
      <c r="W435">
        <v>3</v>
      </c>
    </row>
    <row r="436" spans="1:23" x14ac:dyDescent="0.2">
      <c r="A436">
        <v>5023153</v>
      </c>
      <c r="B436" t="s">
        <v>18</v>
      </c>
      <c r="C436" t="s">
        <v>19</v>
      </c>
      <c r="D436" t="s">
        <v>19</v>
      </c>
      <c r="E436">
        <v>0</v>
      </c>
      <c r="F436">
        <v>126000</v>
      </c>
      <c r="G436" t="s">
        <v>26</v>
      </c>
      <c r="H436" t="s">
        <v>27</v>
      </c>
      <c r="I436" t="s">
        <v>28</v>
      </c>
      <c r="J436" t="s">
        <v>45</v>
      </c>
      <c r="K436" s="6">
        <f t="shared" ca="1" si="32"/>
        <v>32103</v>
      </c>
      <c r="L436">
        <v>-13658</v>
      </c>
      <c r="M436" s="7">
        <f t="shared" ca="1" si="30"/>
        <v>37.393566050650243</v>
      </c>
      <c r="N436" s="5" t="str">
        <f ca="1">VLOOKUP(Data!M436,temp!$B$3:$C$9,2,1)</f>
        <v>30-40</v>
      </c>
      <c r="O436">
        <v>-6383</v>
      </c>
      <c r="P436" s="8">
        <f t="shared" si="31"/>
        <v>17.475701574264203</v>
      </c>
      <c r="Q436" s="5" t="str">
        <f t="shared" si="33"/>
        <v>Employed</v>
      </c>
      <c r="R436">
        <v>1</v>
      </c>
      <c r="S436">
        <v>1</v>
      </c>
      <c r="T436">
        <v>1</v>
      </c>
      <c r="U436">
        <v>0</v>
      </c>
      <c r="V436" t="s">
        <v>39</v>
      </c>
      <c r="W436">
        <v>2</v>
      </c>
    </row>
    <row r="437" spans="1:23" x14ac:dyDescent="0.2">
      <c r="A437">
        <v>5023159</v>
      </c>
      <c r="B437" t="s">
        <v>18</v>
      </c>
      <c r="C437" t="s">
        <v>19</v>
      </c>
      <c r="D437" t="s">
        <v>19</v>
      </c>
      <c r="E437">
        <v>0</v>
      </c>
      <c r="F437">
        <v>126000</v>
      </c>
      <c r="G437" t="s">
        <v>26</v>
      </c>
      <c r="H437" t="s">
        <v>27</v>
      </c>
      <c r="I437" t="s">
        <v>28</v>
      </c>
      <c r="J437" t="s">
        <v>45</v>
      </c>
      <c r="K437" s="6">
        <f t="shared" ca="1" si="32"/>
        <v>32103</v>
      </c>
      <c r="L437">
        <v>-13658</v>
      </c>
      <c r="M437" s="7">
        <f t="shared" ca="1" si="30"/>
        <v>37.393566050650243</v>
      </c>
      <c r="N437" s="5" t="str">
        <f ca="1">VLOOKUP(Data!M437,temp!$B$3:$C$9,2,1)</f>
        <v>30-40</v>
      </c>
      <c r="O437">
        <v>-6383</v>
      </c>
      <c r="P437" s="8">
        <f t="shared" si="31"/>
        <v>17.475701574264203</v>
      </c>
      <c r="Q437" s="5" t="str">
        <f t="shared" si="33"/>
        <v>Employed</v>
      </c>
      <c r="R437">
        <v>1</v>
      </c>
      <c r="S437">
        <v>1</v>
      </c>
      <c r="T437">
        <v>1</v>
      </c>
      <c r="U437">
        <v>0</v>
      </c>
      <c r="V437" t="s">
        <v>39</v>
      </c>
      <c r="W437">
        <v>2</v>
      </c>
    </row>
    <row r="438" spans="1:23" x14ac:dyDescent="0.2">
      <c r="A438">
        <v>5023177</v>
      </c>
      <c r="B438" t="s">
        <v>18</v>
      </c>
      <c r="C438" t="s">
        <v>19</v>
      </c>
      <c r="D438" t="s">
        <v>20</v>
      </c>
      <c r="E438">
        <v>1</v>
      </c>
      <c r="F438">
        <v>337500</v>
      </c>
      <c r="G438" t="s">
        <v>31</v>
      </c>
      <c r="H438" t="s">
        <v>27</v>
      </c>
      <c r="I438" t="s">
        <v>37</v>
      </c>
      <c r="J438" t="s">
        <v>24</v>
      </c>
      <c r="K438" s="6">
        <f t="shared" ca="1" si="32"/>
        <v>28023</v>
      </c>
      <c r="L438">
        <v>-17738</v>
      </c>
      <c r="M438" s="7">
        <f t="shared" ca="1" si="30"/>
        <v>48.563997262149215</v>
      </c>
      <c r="N438" s="5" t="str">
        <f ca="1">VLOOKUP(Data!M438,temp!$B$3:$C$9,2,1)</f>
        <v>40-50</v>
      </c>
      <c r="O438">
        <v>-4710</v>
      </c>
      <c r="P438" s="8">
        <f t="shared" si="31"/>
        <v>12.895277207392198</v>
      </c>
      <c r="Q438" s="5" t="str">
        <f t="shared" si="33"/>
        <v>Employed</v>
      </c>
      <c r="R438">
        <v>1</v>
      </c>
      <c r="S438">
        <v>1</v>
      </c>
      <c r="T438">
        <v>1</v>
      </c>
      <c r="U438">
        <v>0</v>
      </c>
      <c r="V438" t="s">
        <v>29</v>
      </c>
      <c r="W438">
        <v>3</v>
      </c>
    </row>
    <row r="439" spans="1:23" x14ac:dyDescent="0.2">
      <c r="A439">
        <v>5023182</v>
      </c>
      <c r="B439" t="s">
        <v>18</v>
      </c>
      <c r="C439" t="s">
        <v>19</v>
      </c>
      <c r="D439" t="s">
        <v>19</v>
      </c>
      <c r="E439">
        <v>0</v>
      </c>
      <c r="F439">
        <v>67500</v>
      </c>
      <c r="G439" t="s">
        <v>21</v>
      </c>
      <c r="H439" t="s">
        <v>27</v>
      </c>
      <c r="I439" t="s">
        <v>28</v>
      </c>
      <c r="J439" t="s">
        <v>24</v>
      </c>
      <c r="K439" s="6">
        <f t="shared" ca="1" si="32"/>
        <v>24493</v>
      </c>
      <c r="L439">
        <v>-21268</v>
      </c>
      <c r="M439" s="7">
        <f t="shared" ca="1" si="30"/>
        <v>58.228610540725533</v>
      </c>
      <c r="N439" s="5" t="str">
        <f ca="1">VLOOKUP(Data!M439,temp!$B$3:$C$9,2,1)</f>
        <v>50-60</v>
      </c>
      <c r="O439">
        <v>365243</v>
      </c>
      <c r="P439" s="8">
        <f t="shared" si="31"/>
        <v>0</v>
      </c>
      <c r="Q439" s="5" t="str">
        <f t="shared" si="33"/>
        <v>Unemployed</v>
      </c>
      <c r="R439">
        <v>1</v>
      </c>
      <c r="S439">
        <v>0</v>
      </c>
      <c r="T439">
        <v>0</v>
      </c>
      <c r="U439">
        <v>0</v>
      </c>
      <c r="W439">
        <v>2</v>
      </c>
    </row>
    <row r="440" spans="1:23" x14ac:dyDescent="0.2">
      <c r="A440">
        <v>5023190</v>
      </c>
      <c r="B440" t="s">
        <v>18</v>
      </c>
      <c r="C440" t="s">
        <v>20</v>
      </c>
      <c r="D440" t="s">
        <v>20</v>
      </c>
      <c r="E440">
        <v>1</v>
      </c>
      <c r="F440">
        <v>315000</v>
      </c>
      <c r="G440" t="s">
        <v>26</v>
      </c>
      <c r="H440" t="s">
        <v>22</v>
      </c>
      <c r="I440" t="s">
        <v>28</v>
      </c>
      <c r="J440" t="s">
        <v>24</v>
      </c>
      <c r="K440" s="6">
        <f t="shared" ca="1" si="32"/>
        <v>34237</v>
      </c>
      <c r="L440">
        <v>-11524</v>
      </c>
      <c r="M440" s="7">
        <f t="shared" ca="1" si="30"/>
        <v>31.550992470910334</v>
      </c>
      <c r="N440" s="5" t="str">
        <f ca="1">VLOOKUP(Data!M440,temp!$B$3:$C$9,2,1)</f>
        <v>30-40</v>
      </c>
      <c r="O440">
        <v>-1635</v>
      </c>
      <c r="P440" s="8">
        <f t="shared" si="31"/>
        <v>4.476386036960986</v>
      </c>
      <c r="Q440" s="5" t="str">
        <f t="shared" si="33"/>
        <v>Employed</v>
      </c>
      <c r="R440">
        <v>1</v>
      </c>
      <c r="S440">
        <v>0</v>
      </c>
      <c r="T440">
        <v>1</v>
      </c>
      <c r="U440">
        <v>1</v>
      </c>
      <c r="V440" t="s">
        <v>39</v>
      </c>
      <c r="W440">
        <v>3</v>
      </c>
    </row>
    <row r="441" spans="1:23" x14ac:dyDescent="0.2">
      <c r="A441">
        <v>5023195</v>
      </c>
      <c r="B441" t="s">
        <v>25</v>
      </c>
      <c r="C441" t="s">
        <v>19</v>
      </c>
      <c r="D441" t="s">
        <v>20</v>
      </c>
      <c r="E441">
        <v>0</v>
      </c>
      <c r="F441">
        <v>49500</v>
      </c>
      <c r="G441" t="s">
        <v>21</v>
      </c>
      <c r="H441" t="s">
        <v>27</v>
      </c>
      <c r="I441" t="s">
        <v>37</v>
      </c>
      <c r="J441" t="s">
        <v>24</v>
      </c>
      <c r="K441" s="6">
        <f t="shared" ca="1" si="32"/>
        <v>23632</v>
      </c>
      <c r="L441">
        <v>-22129</v>
      </c>
      <c r="M441" s="7">
        <f t="shared" ca="1" si="30"/>
        <v>60.585900068446271</v>
      </c>
      <c r="N441" s="5" t="str">
        <f ca="1">VLOOKUP(Data!M441,temp!$B$3:$C$9,2,1)</f>
        <v>60-70</v>
      </c>
      <c r="O441">
        <v>365243</v>
      </c>
      <c r="P441" s="8">
        <f t="shared" si="31"/>
        <v>0</v>
      </c>
      <c r="Q441" s="5" t="str">
        <f t="shared" si="33"/>
        <v>Unemployed</v>
      </c>
      <c r="R441">
        <v>1</v>
      </c>
      <c r="S441">
        <v>0</v>
      </c>
      <c r="T441">
        <v>0</v>
      </c>
      <c r="U441">
        <v>0</v>
      </c>
      <c r="W441">
        <v>2</v>
      </c>
    </row>
    <row r="442" spans="1:23" x14ac:dyDescent="0.2">
      <c r="A442">
        <v>5023215</v>
      </c>
      <c r="B442" t="s">
        <v>25</v>
      </c>
      <c r="C442" t="s">
        <v>20</v>
      </c>
      <c r="D442" t="s">
        <v>20</v>
      </c>
      <c r="E442">
        <v>0</v>
      </c>
      <c r="F442">
        <v>225000</v>
      </c>
      <c r="G442" t="s">
        <v>31</v>
      </c>
      <c r="H442" t="s">
        <v>27</v>
      </c>
      <c r="I442" t="s">
        <v>28</v>
      </c>
      <c r="J442" t="s">
        <v>24</v>
      </c>
      <c r="K442" s="6">
        <f t="shared" ca="1" si="32"/>
        <v>29049</v>
      </c>
      <c r="L442">
        <v>-16712</v>
      </c>
      <c r="M442" s="7">
        <f t="shared" ca="1" si="30"/>
        <v>45.754962354551679</v>
      </c>
      <c r="N442" s="5" t="str">
        <f ca="1">VLOOKUP(Data!M442,temp!$B$3:$C$9,2,1)</f>
        <v>40-50</v>
      </c>
      <c r="O442">
        <v>-2243</v>
      </c>
      <c r="P442" s="8">
        <f t="shared" si="31"/>
        <v>6.1409993155373028</v>
      </c>
      <c r="Q442" s="5" t="str">
        <f t="shared" si="33"/>
        <v>Employed</v>
      </c>
      <c r="R442">
        <v>1</v>
      </c>
      <c r="S442">
        <v>0</v>
      </c>
      <c r="T442">
        <v>0</v>
      </c>
      <c r="U442">
        <v>0</v>
      </c>
      <c r="V442" t="s">
        <v>30</v>
      </c>
      <c r="W442">
        <v>2</v>
      </c>
    </row>
    <row r="443" spans="1:23" x14ac:dyDescent="0.2">
      <c r="A443">
        <v>5023233</v>
      </c>
      <c r="B443" t="s">
        <v>18</v>
      </c>
      <c r="C443" t="s">
        <v>20</v>
      </c>
      <c r="D443" t="s">
        <v>20</v>
      </c>
      <c r="E443">
        <v>0</v>
      </c>
      <c r="F443">
        <v>225000</v>
      </c>
      <c r="G443" t="s">
        <v>26</v>
      </c>
      <c r="H443" t="s">
        <v>22</v>
      </c>
      <c r="I443" t="s">
        <v>33</v>
      </c>
      <c r="J443" t="s">
        <v>24</v>
      </c>
      <c r="K443" s="6">
        <f t="shared" ca="1" si="32"/>
        <v>34559</v>
      </c>
      <c r="L443">
        <v>-11202</v>
      </c>
      <c r="M443" s="7">
        <f t="shared" ca="1" si="30"/>
        <v>30.669404517453799</v>
      </c>
      <c r="N443" s="5" t="str">
        <f ca="1">VLOOKUP(Data!M443,temp!$B$3:$C$9,2,1)</f>
        <v>30-40</v>
      </c>
      <c r="O443">
        <v>-1270</v>
      </c>
      <c r="P443" s="8">
        <f t="shared" si="31"/>
        <v>3.4770704996577688</v>
      </c>
      <c r="Q443" s="5" t="str">
        <f t="shared" si="33"/>
        <v>Employed</v>
      </c>
      <c r="R443">
        <v>1</v>
      </c>
      <c r="S443">
        <v>1</v>
      </c>
      <c r="T443">
        <v>0</v>
      </c>
      <c r="U443">
        <v>0</v>
      </c>
      <c r="V443" t="s">
        <v>38</v>
      </c>
      <c r="W443">
        <v>1</v>
      </c>
    </row>
    <row r="444" spans="1:23" x14ac:dyDescent="0.2">
      <c r="A444">
        <v>5023257</v>
      </c>
      <c r="B444" t="s">
        <v>25</v>
      </c>
      <c r="C444" t="s">
        <v>20</v>
      </c>
      <c r="D444" t="s">
        <v>20</v>
      </c>
      <c r="E444">
        <v>0</v>
      </c>
      <c r="F444">
        <v>180000</v>
      </c>
      <c r="G444" t="s">
        <v>26</v>
      </c>
      <c r="H444" t="s">
        <v>27</v>
      </c>
      <c r="I444" t="s">
        <v>28</v>
      </c>
      <c r="J444" t="s">
        <v>24</v>
      </c>
      <c r="K444" s="6">
        <f t="shared" ca="1" si="32"/>
        <v>24559</v>
      </c>
      <c r="L444">
        <v>-21202</v>
      </c>
      <c r="M444" s="7">
        <f t="shared" ca="1" si="30"/>
        <v>58.047912388774812</v>
      </c>
      <c r="N444" s="5" t="str">
        <f ca="1">VLOOKUP(Data!M444,temp!$B$3:$C$9,2,1)</f>
        <v>50-60</v>
      </c>
      <c r="O444">
        <v>-1696</v>
      </c>
      <c r="P444" s="8">
        <f t="shared" si="31"/>
        <v>4.6433949349760439</v>
      </c>
      <c r="Q444" s="5" t="str">
        <f t="shared" si="33"/>
        <v>Employed</v>
      </c>
      <c r="R444">
        <v>1</v>
      </c>
      <c r="S444">
        <v>0</v>
      </c>
      <c r="T444">
        <v>0</v>
      </c>
      <c r="U444">
        <v>0</v>
      </c>
      <c r="V444" t="s">
        <v>30</v>
      </c>
      <c r="W444">
        <v>2</v>
      </c>
    </row>
    <row r="445" spans="1:23" x14ac:dyDescent="0.2">
      <c r="A445">
        <v>5023277</v>
      </c>
      <c r="B445" t="s">
        <v>18</v>
      </c>
      <c r="C445" t="s">
        <v>19</v>
      </c>
      <c r="D445" t="s">
        <v>20</v>
      </c>
      <c r="E445">
        <v>0</v>
      </c>
      <c r="F445">
        <v>81000</v>
      </c>
      <c r="G445" t="s">
        <v>21</v>
      </c>
      <c r="H445" t="s">
        <v>27</v>
      </c>
      <c r="I445" t="s">
        <v>28</v>
      </c>
      <c r="J445" t="s">
        <v>24</v>
      </c>
      <c r="K445" s="6">
        <f t="shared" ca="1" si="32"/>
        <v>22894</v>
      </c>
      <c r="L445">
        <v>-22867</v>
      </c>
      <c r="M445" s="7">
        <f t="shared" ca="1" si="30"/>
        <v>62.606433949349757</v>
      </c>
      <c r="N445" s="5" t="str">
        <f ca="1">VLOOKUP(Data!M445,temp!$B$3:$C$9,2,1)</f>
        <v>60-70</v>
      </c>
      <c r="O445">
        <v>365243</v>
      </c>
      <c r="P445" s="8">
        <f t="shared" si="31"/>
        <v>0</v>
      </c>
      <c r="Q445" s="5" t="str">
        <f t="shared" si="33"/>
        <v>Unemployed</v>
      </c>
      <c r="R445">
        <v>1</v>
      </c>
      <c r="S445">
        <v>0</v>
      </c>
      <c r="T445">
        <v>0</v>
      </c>
      <c r="U445">
        <v>0</v>
      </c>
      <c r="W445">
        <v>2</v>
      </c>
    </row>
    <row r="446" spans="1:23" x14ac:dyDescent="0.2">
      <c r="A446">
        <v>5023298</v>
      </c>
      <c r="B446" t="s">
        <v>18</v>
      </c>
      <c r="C446" t="s">
        <v>20</v>
      </c>
      <c r="D446" t="s">
        <v>20</v>
      </c>
      <c r="E446">
        <v>1</v>
      </c>
      <c r="F446">
        <v>67500</v>
      </c>
      <c r="G446" t="s">
        <v>26</v>
      </c>
      <c r="H446" t="s">
        <v>27</v>
      </c>
      <c r="I446" t="s">
        <v>28</v>
      </c>
      <c r="J446" t="s">
        <v>24</v>
      </c>
      <c r="K446" s="6">
        <f t="shared" ca="1" si="32"/>
        <v>33852</v>
      </c>
      <c r="L446">
        <v>-11909</v>
      </c>
      <c r="M446" s="7">
        <f t="shared" ca="1" si="30"/>
        <v>32.605065023956193</v>
      </c>
      <c r="N446" s="5" t="str">
        <f ca="1">VLOOKUP(Data!M446,temp!$B$3:$C$9,2,1)</f>
        <v>30-40</v>
      </c>
      <c r="O446">
        <v>-3553</v>
      </c>
      <c r="P446" s="8">
        <f t="shared" si="31"/>
        <v>9.7275838466803553</v>
      </c>
      <c r="Q446" s="5" t="str">
        <f t="shared" si="33"/>
        <v>Employed</v>
      </c>
      <c r="R446">
        <v>1</v>
      </c>
      <c r="S446">
        <v>0</v>
      </c>
      <c r="T446">
        <v>0</v>
      </c>
      <c r="U446">
        <v>1</v>
      </c>
      <c r="W446">
        <v>3</v>
      </c>
    </row>
    <row r="447" spans="1:23" x14ac:dyDescent="0.2">
      <c r="A447">
        <v>5023303</v>
      </c>
      <c r="B447" t="s">
        <v>25</v>
      </c>
      <c r="C447" t="s">
        <v>20</v>
      </c>
      <c r="D447" t="s">
        <v>19</v>
      </c>
      <c r="E447">
        <v>1</v>
      </c>
      <c r="F447">
        <v>225000</v>
      </c>
      <c r="G447" t="s">
        <v>31</v>
      </c>
      <c r="H447" t="s">
        <v>27</v>
      </c>
      <c r="I447" t="s">
        <v>28</v>
      </c>
      <c r="J447" t="s">
        <v>24</v>
      </c>
      <c r="K447" s="6">
        <f t="shared" ca="1" si="32"/>
        <v>35259</v>
      </c>
      <c r="L447">
        <v>-10502</v>
      </c>
      <c r="M447" s="7">
        <f t="shared" ca="1" si="30"/>
        <v>28.752908966461327</v>
      </c>
      <c r="N447" s="5" t="str">
        <f ca="1">VLOOKUP(Data!M447,temp!$B$3:$C$9,2,1)</f>
        <v>20-30</v>
      </c>
      <c r="O447">
        <v>-1878</v>
      </c>
      <c r="P447" s="8">
        <f t="shared" si="31"/>
        <v>5.1416837782340865</v>
      </c>
      <c r="Q447" s="5" t="str">
        <f t="shared" si="33"/>
        <v>Employed</v>
      </c>
      <c r="R447">
        <v>1</v>
      </c>
      <c r="S447">
        <v>0</v>
      </c>
      <c r="T447">
        <v>0</v>
      </c>
      <c r="U447">
        <v>0</v>
      </c>
      <c r="V447" t="s">
        <v>29</v>
      </c>
      <c r="W447">
        <v>3</v>
      </c>
    </row>
    <row r="448" spans="1:23" x14ac:dyDescent="0.2">
      <c r="A448">
        <v>5023304</v>
      </c>
      <c r="B448" t="s">
        <v>25</v>
      </c>
      <c r="C448" t="s">
        <v>20</v>
      </c>
      <c r="D448" t="s">
        <v>19</v>
      </c>
      <c r="E448">
        <v>1</v>
      </c>
      <c r="F448">
        <v>225000</v>
      </c>
      <c r="G448" t="s">
        <v>31</v>
      </c>
      <c r="H448" t="s">
        <v>27</v>
      </c>
      <c r="I448" t="s">
        <v>28</v>
      </c>
      <c r="J448" t="s">
        <v>24</v>
      </c>
      <c r="K448" s="6">
        <f t="shared" ca="1" si="32"/>
        <v>35259</v>
      </c>
      <c r="L448">
        <v>-10502</v>
      </c>
      <c r="M448" s="7">
        <f t="shared" ca="1" si="30"/>
        <v>28.752908966461327</v>
      </c>
      <c r="N448" s="5" t="str">
        <f ca="1">VLOOKUP(Data!M448,temp!$B$3:$C$9,2,1)</f>
        <v>20-30</v>
      </c>
      <c r="O448">
        <v>-1878</v>
      </c>
      <c r="P448" s="8">
        <f t="shared" si="31"/>
        <v>5.1416837782340865</v>
      </c>
      <c r="Q448" s="5" t="str">
        <f t="shared" si="33"/>
        <v>Employed</v>
      </c>
      <c r="R448">
        <v>1</v>
      </c>
      <c r="S448">
        <v>0</v>
      </c>
      <c r="T448">
        <v>0</v>
      </c>
      <c r="U448">
        <v>0</v>
      </c>
      <c r="V448" t="s">
        <v>29</v>
      </c>
      <c r="W448">
        <v>3</v>
      </c>
    </row>
    <row r="449" spans="1:23" x14ac:dyDescent="0.2">
      <c r="A449">
        <v>5023312</v>
      </c>
      <c r="B449" t="s">
        <v>25</v>
      </c>
      <c r="C449" t="s">
        <v>20</v>
      </c>
      <c r="D449" t="s">
        <v>19</v>
      </c>
      <c r="E449">
        <v>1</v>
      </c>
      <c r="F449">
        <v>225000</v>
      </c>
      <c r="G449" t="s">
        <v>31</v>
      </c>
      <c r="H449" t="s">
        <v>27</v>
      </c>
      <c r="I449" t="s">
        <v>28</v>
      </c>
      <c r="J449" t="s">
        <v>24</v>
      </c>
      <c r="K449" s="6">
        <f t="shared" ca="1" si="32"/>
        <v>35259</v>
      </c>
      <c r="L449">
        <v>-10502</v>
      </c>
      <c r="M449" s="7">
        <f t="shared" ca="1" si="30"/>
        <v>28.752908966461327</v>
      </c>
      <c r="N449" s="5" t="str">
        <f ca="1">VLOOKUP(Data!M449,temp!$B$3:$C$9,2,1)</f>
        <v>20-30</v>
      </c>
      <c r="O449">
        <v>-1878</v>
      </c>
      <c r="P449" s="8">
        <f t="shared" si="31"/>
        <v>5.1416837782340865</v>
      </c>
      <c r="Q449" s="5" t="str">
        <f t="shared" si="33"/>
        <v>Employed</v>
      </c>
      <c r="R449">
        <v>1</v>
      </c>
      <c r="S449">
        <v>0</v>
      </c>
      <c r="T449">
        <v>0</v>
      </c>
      <c r="U449">
        <v>0</v>
      </c>
      <c r="V449" t="s">
        <v>29</v>
      </c>
      <c r="W449">
        <v>3</v>
      </c>
    </row>
    <row r="450" spans="1:23" x14ac:dyDescent="0.2">
      <c r="A450">
        <v>5023327</v>
      </c>
      <c r="B450" t="s">
        <v>25</v>
      </c>
      <c r="C450" t="s">
        <v>19</v>
      </c>
      <c r="D450" t="s">
        <v>20</v>
      </c>
      <c r="E450">
        <v>2</v>
      </c>
      <c r="F450">
        <v>81000</v>
      </c>
      <c r="G450" t="s">
        <v>21</v>
      </c>
      <c r="H450" t="s">
        <v>27</v>
      </c>
      <c r="I450" t="s">
        <v>28</v>
      </c>
      <c r="J450" t="s">
        <v>24</v>
      </c>
      <c r="K450" s="6">
        <f t="shared" ca="1" si="32"/>
        <v>21483</v>
      </c>
      <c r="L450">
        <v>-24278</v>
      </c>
      <c r="M450" s="7">
        <f t="shared" ca="1" si="30"/>
        <v>66.469541409993155</v>
      </c>
      <c r="N450" s="5" t="str">
        <f ca="1">VLOOKUP(Data!M450,temp!$B$3:$C$9,2,1)</f>
        <v>60-70</v>
      </c>
      <c r="O450">
        <v>365243</v>
      </c>
      <c r="P450" s="8">
        <f t="shared" si="31"/>
        <v>0</v>
      </c>
      <c r="Q450" s="5" t="str">
        <f t="shared" si="33"/>
        <v>Unemployed</v>
      </c>
      <c r="R450">
        <v>1</v>
      </c>
      <c r="S450">
        <v>0</v>
      </c>
      <c r="T450">
        <v>0</v>
      </c>
      <c r="U450">
        <v>0</v>
      </c>
      <c r="W450">
        <v>4</v>
      </c>
    </row>
    <row r="451" spans="1:23" x14ac:dyDescent="0.2">
      <c r="A451">
        <v>5023330</v>
      </c>
      <c r="B451" t="s">
        <v>25</v>
      </c>
      <c r="C451" t="s">
        <v>19</v>
      </c>
      <c r="D451" t="s">
        <v>20</v>
      </c>
      <c r="E451">
        <v>2</v>
      </c>
      <c r="F451">
        <v>81000</v>
      </c>
      <c r="G451" t="s">
        <v>21</v>
      </c>
      <c r="H451" t="s">
        <v>27</v>
      </c>
      <c r="I451" t="s">
        <v>28</v>
      </c>
      <c r="J451" t="s">
        <v>24</v>
      </c>
      <c r="K451" s="6">
        <f t="shared" ca="1" si="32"/>
        <v>21483</v>
      </c>
      <c r="L451">
        <v>-24278</v>
      </c>
      <c r="M451" s="7">
        <f t="shared" ref="M451:M514" ca="1" si="34">(TODAY()-K451)/365.25</f>
        <v>66.469541409993155</v>
      </c>
      <c r="N451" s="5" t="str">
        <f ca="1">VLOOKUP(Data!M451,temp!$B$3:$C$9,2,1)</f>
        <v>60-70</v>
      </c>
      <c r="O451">
        <v>365243</v>
      </c>
      <c r="P451" s="8">
        <f t="shared" ref="P451:P514" si="35">IF(O451&lt;=0,ABS(O451)/365.25,0)</f>
        <v>0</v>
      </c>
      <c r="Q451" s="5" t="str">
        <f t="shared" si="33"/>
        <v>Unemployed</v>
      </c>
      <c r="R451">
        <v>1</v>
      </c>
      <c r="S451">
        <v>0</v>
      </c>
      <c r="T451">
        <v>0</v>
      </c>
      <c r="U451">
        <v>0</v>
      </c>
      <c r="W451">
        <v>4</v>
      </c>
    </row>
    <row r="452" spans="1:23" x14ac:dyDescent="0.2">
      <c r="A452">
        <v>5023333</v>
      </c>
      <c r="B452" t="s">
        <v>25</v>
      </c>
      <c r="C452" t="s">
        <v>19</v>
      </c>
      <c r="D452" t="s">
        <v>20</v>
      </c>
      <c r="E452">
        <v>2</v>
      </c>
      <c r="F452">
        <v>81000</v>
      </c>
      <c r="G452" t="s">
        <v>21</v>
      </c>
      <c r="H452" t="s">
        <v>27</v>
      </c>
      <c r="I452" t="s">
        <v>28</v>
      </c>
      <c r="J452" t="s">
        <v>24</v>
      </c>
      <c r="K452" s="6">
        <f t="shared" ca="1" si="32"/>
        <v>21483</v>
      </c>
      <c r="L452">
        <v>-24278</v>
      </c>
      <c r="M452" s="7">
        <f t="shared" ca="1" si="34"/>
        <v>66.469541409993155</v>
      </c>
      <c r="N452" s="5" t="str">
        <f ca="1">VLOOKUP(Data!M452,temp!$B$3:$C$9,2,1)</f>
        <v>60-70</v>
      </c>
      <c r="O452">
        <v>365243</v>
      </c>
      <c r="P452" s="8">
        <f t="shared" si="35"/>
        <v>0</v>
      </c>
      <c r="Q452" s="5" t="str">
        <f t="shared" si="33"/>
        <v>Unemployed</v>
      </c>
      <c r="R452">
        <v>1</v>
      </c>
      <c r="S452">
        <v>0</v>
      </c>
      <c r="T452">
        <v>0</v>
      </c>
      <c r="U452">
        <v>0</v>
      </c>
      <c r="W452">
        <v>4</v>
      </c>
    </row>
    <row r="453" spans="1:23" x14ac:dyDescent="0.2">
      <c r="A453">
        <v>5023334</v>
      </c>
      <c r="B453" t="s">
        <v>25</v>
      </c>
      <c r="C453" t="s">
        <v>19</v>
      </c>
      <c r="D453" t="s">
        <v>20</v>
      </c>
      <c r="E453">
        <v>2</v>
      </c>
      <c r="F453">
        <v>81000</v>
      </c>
      <c r="G453" t="s">
        <v>21</v>
      </c>
      <c r="H453" t="s">
        <v>27</v>
      </c>
      <c r="I453" t="s">
        <v>28</v>
      </c>
      <c r="J453" t="s">
        <v>24</v>
      </c>
      <c r="K453" s="6">
        <f t="shared" ca="1" si="32"/>
        <v>21483</v>
      </c>
      <c r="L453">
        <v>-24278</v>
      </c>
      <c r="M453" s="7">
        <f t="shared" ca="1" si="34"/>
        <v>66.469541409993155</v>
      </c>
      <c r="N453" s="5" t="str">
        <f ca="1">VLOOKUP(Data!M453,temp!$B$3:$C$9,2,1)</f>
        <v>60-70</v>
      </c>
      <c r="O453">
        <v>365243</v>
      </c>
      <c r="P453" s="8">
        <f t="shared" si="35"/>
        <v>0</v>
      </c>
      <c r="Q453" s="5" t="str">
        <f t="shared" si="33"/>
        <v>Unemployed</v>
      </c>
      <c r="R453">
        <v>1</v>
      </c>
      <c r="S453">
        <v>0</v>
      </c>
      <c r="T453">
        <v>0</v>
      </c>
      <c r="U453">
        <v>0</v>
      </c>
      <c r="W453">
        <v>4</v>
      </c>
    </row>
    <row r="454" spans="1:23" x14ac:dyDescent="0.2">
      <c r="A454">
        <v>5023358</v>
      </c>
      <c r="B454" t="s">
        <v>25</v>
      </c>
      <c r="C454" t="s">
        <v>19</v>
      </c>
      <c r="D454" t="s">
        <v>20</v>
      </c>
      <c r="E454">
        <v>0</v>
      </c>
      <c r="F454">
        <v>180000</v>
      </c>
      <c r="G454" t="s">
        <v>31</v>
      </c>
      <c r="H454" t="s">
        <v>27</v>
      </c>
      <c r="I454" t="s">
        <v>33</v>
      </c>
      <c r="J454" t="s">
        <v>24</v>
      </c>
      <c r="K454" s="6">
        <f t="shared" ca="1" si="32"/>
        <v>34952</v>
      </c>
      <c r="L454">
        <v>-10809</v>
      </c>
      <c r="M454" s="7">
        <f t="shared" ca="1" si="34"/>
        <v>29.593429158110883</v>
      </c>
      <c r="N454" s="5" t="str">
        <f ca="1">VLOOKUP(Data!M454,temp!$B$3:$C$9,2,1)</f>
        <v>20-30</v>
      </c>
      <c r="O454">
        <v>-2334</v>
      </c>
      <c r="P454" s="8">
        <f t="shared" si="35"/>
        <v>6.3901437371663246</v>
      </c>
      <c r="Q454" s="5" t="str">
        <f t="shared" si="33"/>
        <v>Employed</v>
      </c>
      <c r="R454">
        <v>1</v>
      </c>
      <c r="S454">
        <v>1</v>
      </c>
      <c r="T454">
        <v>0</v>
      </c>
      <c r="U454">
        <v>0</v>
      </c>
      <c r="W454">
        <v>1</v>
      </c>
    </row>
    <row r="455" spans="1:23" x14ac:dyDescent="0.2">
      <c r="A455">
        <v>5023397</v>
      </c>
      <c r="B455" t="s">
        <v>18</v>
      </c>
      <c r="C455" t="s">
        <v>19</v>
      </c>
      <c r="D455" t="s">
        <v>20</v>
      </c>
      <c r="E455">
        <v>0</v>
      </c>
      <c r="F455">
        <v>99000</v>
      </c>
      <c r="G455" t="s">
        <v>26</v>
      </c>
      <c r="H455" t="s">
        <v>27</v>
      </c>
      <c r="I455" t="s">
        <v>42</v>
      </c>
      <c r="J455" t="s">
        <v>24</v>
      </c>
      <c r="K455" s="6">
        <f t="shared" ca="1" si="32"/>
        <v>24083</v>
      </c>
      <c r="L455">
        <v>-21678</v>
      </c>
      <c r="M455" s="7">
        <f t="shared" ca="1" si="34"/>
        <v>59.351129363449694</v>
      </c>
      <c r="N455" s="5" t="str">
        <f ca="1">VLOOKUP(Data!M455,temp!$B$3:$C$9,2,1)</f>
        <v>50-60</v>
      </c>
      <c r="O455">
        <v>-1239</v>
      </c>
      <c r="P455" s="8">
        <f t="shared" si="35"/>
        <v>3.3921971252566734</v>
      </c>
      <c r="Q455" s="5" t="str">
        <f t="shared" si="33"/>
        <v>Employed</v>
      </c>
      <c r="R455">
        <v>1</v>
      </c>
      <c r="S455">
        <v>0</v>
      </c>
      <c r="T455">
        <v>0</v>
      </c>
      <c r="U455">
        <v>0</v>
      </c>
      <c r="V455" t="s">
        <v>40</v>
      </c>
      <c r="W455">
        <v>1</v>
      </c>
    </row>
    <row r="456" spans="1:23" x14ac:dyDescent="0.2">
      <c r="A456">
        <v>5023409</v>
      </c>
      <c r="B456" t="s">
        <v>18</v>
      </c>
      <c r="C456" t="s">
        <v>19</v>
      </c>
      <c r="D456" t="s">
        <v>20</v>
      </c>
      <c r="E456">
        <v>0</v>
      </c>
      <c r="F456">
        <v>112500</v>
      </c>
      <c r="G456" t="s">
        <v>21</v>
      </c>
      <c r="H456" t="s">
        <v>27</v>
      </c>
      <c r="I456" t="s">
        <v>28</v>
      </c>
      <c r="J456" t="s">
        <v>24</v>
      </c>
      <c r="K456" s="6">
        <f t="shared" ref="K456:K519" ca="1" si="36">TODAY()+($L456)</f>
        <v>24119</v>
      </c>
      <c r="L456">
        <v>-21642</v>
      </c>
      <c r="M456" s="7">
        <f t="shared" ca="1" si="34"/>
        <v>59.252566735112936</v>
      </c>
      <c r="N456" s="5" t="str">
        <f ca="1">VLOOKUP(Data!M456,temp!$B$3:$C$9,2,1)</f>
        <v>50-60</v>
      </c>
      <c r="O456">
        <v>365243</v>
      </c>
      <c r="P456" s="8">
        <f t="shared" si="35"/>
        <v>0</v>
      </c>
      <c r="Q456" s="5" t="str">
        <f t="shared" ref="Q456:Q519" si="37">IF($O456&gt;0,"Unemployed","Employed")</f>
        <v>Unemployed</v>
      </c>
      <c r="R456">
        <v>1</v>
      </c>
      <c r="S456">
        <v>0</v>
      </c>
      <c r="T456">
        <v>0</v>
      </c>
      <c r="U456">
        <v>0</v>
      </c>
      <c r="W456">
        <v>2</v>
      </c>
    </row>
    <row r="457" spans="1:23" x14ac:dyDescent="0.2">
      <c r="A457">
        <v>5023439</v>
      </c>
      <c r="B457" t="s">
        <v>18</v>
      </c>
      <c r="C457" t="s">
        <v>19</v>
      </c>
      <c r="D457" t="s">
        <v>20</v>
      </c>
      <c r="E457">
        <v>0</v>
      </c>
      <c r="F457">
        <v>180000</v>
      </c>
      <c r="G457" t="s">
        <v>31</v>
      </c>
      <c r="H457" t="s">
        <v>22</v>
      </c>
      <c r="I457" t="s">
        <v>33</v>
      </c>
      <c r="J457" t="s">
        <v>24</v>
      </c>
      <c r="K457" s="6">
        <f t="shared" ca="1" si="36"/>
        <v>23031</v>
      </c>
      <c r="L457">
        <v>-22730</v>
      </c>
      <c r="M457" s="7">
        <f t="shared" ca="1" si="34"/>
        <v>62.231348391512661</v>
      </c>
      <c r="N457" s="5" t="str">
        <f ca="1">VLOOKUP(Data!M457,temp!$B$3:$C$9,2,1)</f>
        <v>60-70</v>
      </c>
      <c r="O457">
        <v>-13415</v>
      </c>
      <c r="P457" s="8">
        <f t="shared" si="35"/>
        <v>36.728268309377142</v>
      </c>
      <c r="Q457" s="5" t="str">
        <f t="shared" si="37"/>
        <v>Employed</v>
      </c>
      <c r="R457">
        <v>1</v>
      </c>
      <c r="S457">
        <v>1</v>
      </c>
      <c r="T457">
        <v>1</v>
      </c>
      <c r="U457">
        <v>0</v>
      </c>
      <c r="V457" t="s">
        <v>39</v>
      </c>
      <c r="W457">
        <v>1</v>
      </c>
    </row>
    <row r="458" spans="1:23" x14ac:dyDescent="0.2">
      <c r="A458">
        <v>5023440</v>
      </c>
      <c r="B458" t="s">
        <v>18</v>
      </c>
      <c r="C458" t="s">
        <v>19</v>
      </c>
      <c r="D458" t="s">
        <v>20</v>
      </c>
      <c r="E458">
        <v>0</v>
      </c>
      <c r="F458">
        <v>180000</v>
      </c>
      <c r="G458" t="s">
        <v>31</v>
      </c>
      <c r="H458" t="s">
        <v>22</v>
      </c>
      <c r="I458" t="s">
        <v>33</v>
      </c>
      <c r="J458" t="s">
        <v>24</v>
      </c>
      <c r="K458" s="6">
        <f t="shared" ca="1" si="36"/>
        <v>23031</v>
      </c>
      <c r="L458">
        <v>-22730</v>
      </c>
      <c r="M458" s="7">
        <f t="shared" ca="1" si="34"/>
        <v>62.231348391512661</v>
      </c>
      <c r="N458" s="5" t="str">
        <f ca="1">VLOOKUP(Data!M458,temp!$B$3:$C$9,2,1)</f>
        <v>60-70</v>
      </c>
      <c r="O458">
        <v>-13415</v>
      </c>
      <c r="P458" s="8">
        <f t="shared" si="35"/>
        <v>36.728268309377142</v>
      </c>
      <c r="Q458" s="5" t="str">
        <f t="shared" si="37"/>
        <v>Employed</v>
      </c>
      <c r="R458">
        <v>1</v>
      </c>
      <c r="S458">
        <v>1</v>
      </c>
      <c r="T458">
        <v>1</v>
      </c>
      <c r="U458">
        <v>0</v>
      </c>
      <c r="V458" t="s">
        <v>39</v>
      </c>
      <c r="W458">
        <v>1</v>
      </c>
    </row>
    <row r="459" spans="1:23" x14ac:dyDescent="0.2">
      <c r="A459">
        <v>5023442</v>
      </c>
      <c r="B459" t="s">
        <v>18</v>
      </c>
      <c r="C459" t="s">
        <v>19</v>
      </c>
      <c r="D459" t="s">
        <v>20</v>
      </c>
      <c r="E459">
        <v>0</v>
      </c>
      <c r="F459">
        <v>180000</v>
      </c>
      <c r="G459" t="s">
        <v>31</v>
      </c>
      <c r="H459" t="s">
        <v>22</v>
      </c>
      <c r="I459" t="s">
        <v>33</v>
      </c>
      <c r="J459" t="s">
        <v>24</v>
      </c>
      <c r="K459" s="6">
        <f t="shared" ca="1" si="36"/>
        <v>23031</v>
      </c>
      <c r="L459">
        <v>-22730</v>
      </c>
      <c r="M459" s="7">
        <f t="shared" ca="1" si="34"/>
        <v>62.231348391512661</v>
      </c>
      <c r="N459" s="5" t="str">
        <f ca="1">VLOOKUP(Data!M459,temp!$B$3:$C$9,2,1)</f>
        <v>60-70</v>
      </c>
      <c r="O459">
        <v>-13415</v>
      </c>
      <c r="P459" s="8">
        <f t="shared" si="35"/>
        <v>36.728268309377142</v>
      </c>
      <c r="Q459" s="5" t="str">
        <f t="shared" si="37"/>
        <v>Employed</v>
      </c>
      <c r="R459">
        <v>1</v>
      </c>
      <c r="S459">
        <v>1</v>
      </c>
      <c r="T459">
        <v>1</v>
      </c>
      <c r="U459">
        <v>0</v>
      </c>
      <c r="V459" t="s">
        <v>39</v>
      </c>
      <c r="W459">
        <v>1</v>
      </c>
    </row>
    <row r="460" spans="1:23" x14ac:dyDescent="0.2">
      <c r="A460">
        <v>5023444</v>
      </c>
      <c r="B460" t="s">
        <v>18</v>
      </c>
      <c r="C460" t="s">
        <v>19</v>
      </c>
      <c r="D460" t="s">
        <v>20</v>
      </c>
      <c r="E460">
        <v>0</v>
      </c>
      <c r="F460">
        <v>180000</v>
      </c>
      <c r="G460" t="s">
        <v>31</v>
      </c>
      <c r="H460" t="s">
        <v>22</v>
      </c>
      <c r="I460" t="s">
        <v>33</v>
      </c>
      <c r="J460" t="s">
        <v>24</v>
      </c>
      <c r="K460" s="6">
        <f t="shared" ca="1" si="36"/>
        <v>23031</v>
      </c>
      <c r="L460">
        <v>-22730</v>
      </c>
      <c r="M460" s="7">
        <f t="shared" ca="1" si="34"/>
        <v>62.231348391512661</v>
      </c>
      <c r="N460" s="5" t="str">
        <f ca="1">VLOOKUP(Data!M460,temp!$B$3:$C$9,2,1)</f>
        <v>60-70</v>
      </c>
      <c r="O460">
        <v>-13415</v>
      </c>
      <c r="P460" s="8">
        <f t="shared" si="35"/>
        <v>36.728268309377142</v>
      </c>
      <c r="Q460" s="5" t="str">
        <f t="shared" si="37"/>
        <v>Employed</v>
      </c>
      <c r="R460">
        <v>1</v>
      </c>
      <c r="S460">
        <v>1</v>
      </c>
      <c r="T460">
        <v>1</v>
      </c>
      <c r="U460">
        <v>0</v>
      </c>
      <c r="V460" t="s">
        <v>39</v>
      </c>
      <c r="W460">
        <v>1</v>
      </c>
    </row>
    <row r="461" spans="1:23" x14ac:dyDescent="0.2">
      <c r="A461">
        <v>5023453</v>
      </c>
      <c r="B461" t="s">
        <v>18</v>
      </c>
      <c r="C461" t="s">
        <v>19</v>
      </c>
      <c r="D461" t="s">
        <v>20</v>
      </c>
      <c r="E461">
        <v>0</v>
      </c>
      <c r="F461">
        <v>180000</v>
      </c>
      <c r="G461" t="s">
        <v>26</v>
      </c>
      <c r="H461" t="s">
        <v>27</v>
      </c>
      <c r="I461" t="s">
        <v>28</v>
      </c>
      <c r="J461" t="s">
        <v>24</v>
      </c>
      <c r="K461" s="6">
        <f t="shared" ca="1" si="36"/>
        <v>25201</v>
      </c>
      <c r="L461">
        <v>-20560</v>
      </c>
      <c r="M461" s="7">
        <f t="shared" ca="1" si="34"/>
        <v>56.290212183436005</v>
      </c>
      <c r="N461" s="5" t="str">
        <f ca="1">VLOOKUP(Data!M461,temp!$B$3:$C$9,2,1)</f>
        <v>50-60</v>
      </c>
      <c r="O461">
        <v>-661</v>
      </c>
      <c r="P461" s="8">
        <f t="shared" si="35"/>
        <v>1.8097193702943191</v>
      </c>
      <c r="Q461" s="5" t="str">
        <f t="shared" si="37"/>
        <v>Employed</v>
      </c>
      <c r="R461">
        <v>1</v>
      </c>
      <c r="S461">
        <v>0</v>
      </c>
      <c r="T461">
        <v>0</v>
      </c>
      <c r="U461">
        <v>0</v>
      </c>
      <c r="V461" t="s">
        <v>39</v>
      </c>
      <c r="W461">
        <v>2</v>
      </c>
    </row>
    <row r="462" spans="1:23" x14ac:dyDescent="0.2">
      <c r="A462">
        <v>5023461</v>
      </c>
      <c r="B462" t="s">
        <v>18</v>
      </c>
      <c r="C462" t="s">
        <v>20</v>
      </c>
      <c r="D462" t="s">
        <v>20</v>
      </c>
      <c r="E462">
        <v>0</v>
      </c>
      <c r="F462">
        <v>315000</v>
      </c>
      <c r="G462" t="s">
        <v>21</v>
      </c>
      <c r="H462" t="s">
        <v>27</v>
      </c>
      <c r="I462" t="s">
        <v>33</v>
      </c>
      <c r="J462" t="s">
        <v>24</v>
      </c>
      <c r="K462" s="6">
        <f t="shared" ca="1" si="36"/>
        <v>24749</v>
      </c>
      <c r="L462">
        <v>-21012</v>
      </c>
      <c r="M462" s="7">
        <f t="shared" ca="1" si="34"/>
        <v>57.52772073921971</v>
      </c>
      <c r="N462" s="5" t="str">
        <f ca="1">VLOOKUP(Data!M462,temp!$B$3:$C$9,2,1)</f>
        <v>50-60</v>
      </c>
      <c r="O462">
        <v>365243</v>
      </c>
      <c r="P462" s="8">
        <f t="shared" si="35"/>
        <v>0</v>
      </c>
      <c r="Q462" s="5" t="str">
        <f t="shared" si="37"/>
        <v>Unemployed</v>
      </c>
      <c r="R462">
        <v>1</v>
      </c>
      <c r="S462">
        <v>0</v>
      </c>
      <c r="T462">
        <v>0</v>
      </c>
      <c r="U462">
        <v>0</v>
      </c>
      <c r="W462">
        <v>1</v>
      </c>
    </row>
    <row r="463" spans="1:23" x14ac:dyDescent="0.2">
      <c r="A463">
        <v>5023473</v>
      </c>
      <c r="B463" t="s">
        <v>18</v>
      </c>
      <c r="C463" t="s">
        <v>20</v>
      </c>
      <c r="D463" t="s">
        <v>20</v>
      </c>
      <c r="E463">
        <v>0</v>
      </c>
      <c r="F463">
        <v>315000</v>
      </c>
      <c r="G463" t="s">
        <v>21</v>
      </c>
      <c r="H463" t="s">
        <v>27</v>
      </c>
      <c r="I463" t="s">
        <v>33</v>
      </c>
      <c r="J463" t="s">
        <v>24</v>
      </c>
      <c r="K463" s="6">
        <f t="shared" ca="1" si="36"/>
        <v>24749</v>
      </c>
      <c r="L463">
        <v>-21012</v>
      </c>
      <c r="M463" s="7">
        <f t="shared" ca="1" si="34"/>
        <v>57.52772073921971</v>
      </c>
      <c r="N463" s="5" t="str">
        <f ca="1">VLOOKUP(Data!M463,temp!$B$3:$C$9,2,1)</f>
        <v>50-60</v>
      </c>
      <c r="O463">
        <v>365243</v>
      </c>
      <c r="P463" s="8">
        <f t="shared" si="35"/>
        <v>0</v>
      </c>
      <c r="Q463" s="5" t="str">
        <f t="shared" si="37"/>
        <v>Unemployed</v>
      </c>
      <c r="R463">
        <v>1</v>
      </c>
      <c r="S463">
        <v>0</v>
      </c>
      <c r="T463">
        <v>0</v>
      </c>
      <c r="U463">
        <v>0</v>
      </c>
      <c r="W463">
        <v>1</v>
      </c>
    </row>
    <row r="464" spans="1:23" x14ac:dyDescent="0.2">
      <c r="A464">
        <v>5023474</v>
      </c>
      <c r="B464" t="s">
        <v>18</v>
      </c>
      <c r="C464" t="s">
        <v>20</v>
      </c>
      <c r="D464" t="s">
        <v>20</v>
      </c>
      <c r="E464">
        <v>0</v>
      </c>
      <c r="F464">
        <v>315000</v>
      </c>
      <c r="G464" t="s">
        <v>21</v>
      </c>
      <c r="H464" t="s">
        <v>27</v>
      </c>
      <c r="I464" t="s">
        <v>33</v>
      </c>
      <c r="J464" t="s">
        <v>24</v>
      </c>
      <c r="K464" s="6">
        <f t="shared" ca="1" si="36"/>
        <v>24749</v>
      </c>
      <c r="L464">
        <v>-21012</v>
      </c>
      <c r="M464" s="7">
        <f t="shared" ca="1" si="34"/>
        <v>57.52772073921971</v>
      </c>
      <c r="N464" s="5" t="str">
        <f ca="1">VLOOKUP(Data!M464,temp!$B$3:$C$9,2,1)</f>
        <v>50-60</v>
      </c>
      <c r="O464">
        <v>365243</v>
      </c>
      <c r="P464" s="8">
        <f t="shared" si="35"/>
        <v>0</v>
      </c>
      <c r="Q464" s="5" t="str">
        <f t="shared" si="37"/>
        <v>Unemployed</v>
      </c>
      <c r="R464">
        <v>1</v>
      </c>
      <c r="S464">
        <v>0</v>
      </c>
      <c r="T464">
        <v>0</v>
      </c>
      <c r="U464">
        <v>0</v>
      </c>
      <c r="W464">
        <v>1</v>
      </c>
    </row>
    <row r="465" spans="1:23" x14ac:dyDescent="0.2">
      <c r="A465">
        <v>5023496</v>
      </c>
      <c r="B465" t="s">
        <v>18</v>
      </c>
      <c r="C465" t="s">
        <v>19</v>
      </c>
      <c r="D465" t="s">
        <v>20</v>
      </c>
      <c r="E465">
        <v>1</v>
      </c>
      <c r="F465">
        <v>112500</v>
      </c>
      <c r="G465" t="s">
        <v>31</v>
      </c>
      <c r="H465" t="s">
        <v>27</v>
      </c>
      <c r="I465" t="s">
        <v>28</v>
      </c>
      <c r="J465" t="s">
        <v>24</v>
      </c>
      <c r="K465" s="6">
        <f t="shared" ca="1" si="36"/>
        <v>34289</v>
      </c>
      <c r="L465">
        <v>-11472</v>
      </c>
      <c r="M465" s="7">
        <f t="shared" ca="1" si="34"/>
        <v>31.408624229979466</v>
      </c>
      <c r="N465" s="5" t="str">
        <f ca="1">VLOOKUP(Data!M465,temp!$B$3:$C$9,2,1)</f>
        <v>30-40</v>
      </c>
      <c r="O465">
        <v>-1026</v>
      </c>
      <c r="P465" s="8">
        <f t="shared" si="35"/>
        <v>2.8090349075975358</v>
      </c>
      <c r="Q465" s="5" t="str">
        <f t="shared" si="37"/>
        <v>Employed</v>
      </c>
      <c r="R465">
        <v>1</v>
      </c>
      <c r="S465">
        <v>0</v>
      </c>
      <c r="T465">
        <v>0</v>
      </c>
      <c r="U465">
        <v>0</v>
      </c>
      <c r="V465" t="s">
        <v>38</v>
      </c>
      <c r="W465">
        <v>3</v>
      </c>
    </row>
    <row r="466" spans="1:23" x14ac:dyDescent="0.2">
      <c r="A466">
        <v>5023499</v>
      </c>
      <c r="B466" t="s">
        <v>18</v>
      </c>
      <c r="C466" t="s">
        <v>19</v>
      </c>
      <c r="D466" t="s">
        <v>19</v>
      </c>
      <c r="E466">
        <v>1</v>
      </c>
      <c r="F466">
        <v>63000</v>
      </c>
      <c r="G466" t="s">
        <v>31</v>
      </c>
      <c r="H466" t="s">
        <v>27</v>
      </c>
      <c r="I466" t="s">
        <v>33</v>
      </c>
      <c r="J466" t="s">
        <v>45</v>
      </c>
      <c r="K466" s="6">
        <f t="shared" ca="1" si="36"/>
        <v>28944</v>
      </c>
      <c r="L466">
        <v>-16817</v>
      </c>
      <c r="M466" s="7">
        <f t="shared" ca="1" si="34"/>
        <v>46.042436687200549</v>
      </c>
      <c r="N466" s="5" t="str">
        <f ca="1">VLOOKUP(Data!M466,temp!$B$3:$C$9,2,1)</f>
        <v>40-50</v>
      </c>
      <c r="O466">
        <v>-4618</v>
      </c>
      <c r="P466" s="8">
        <f t="shared" si="35"/>
        <v>12.643394934976044</v>
      </c>
      <c r="Q466" s="5" t="str">
        <f t="shared" si="37"/>
        <v>Employed</v>
      </c>
      <c r="R466">
        <v>1</v>
      </c>
      <c r="S466">
        <v>0</v>
      </c>
      <c r="T466">
        <v>0</v>
      </c>
      <c r="U466">
        <v>0</v>
      </c>
      <c r="V466" t="s">
        <v>46</v>
      </c>
      <c r="W466">
        <v>2</v>
      </c>
    </row>
    <row r="467" spans="1:23" x14ac:dyDescent="0.2">
      <c r="A467">
        <v>5023517</v>
      </c>
      <c r="B467" t="s">
        <v>25</v>
      </c>
      <c r="C467" t="s">
        <v>20</v>
      </c>
      <c r="D467" t="s">
        <v>20</v>
      </c>
      <c r="E467">
        <v>1</v>
      </c>
      <c r="F467">
        <v>112500</v>
      </c>
      <c r="G467" t="s">
        <v>31</v>
      </c>
      <c r="H467" t="s">
        <v>22</v>
      </c>
      <c r="I467" t="s">
        <v>28</v>
      </c>
      <c r="J467" t="s">
        <v>24</v>
      </c>
      <c r="K467" s="6">
        <f t="shared" ca="1" si="36"/>
        <v>29738</v>
      </c>
      <c r="L467">
        <v>-16023</v>
      </c>
      <c r="M467" s="7">
        <f t="shared" ca="1" si="34"/>
        <v>43.868583162217661</v>
      </c>
      <c r="N467" s="5" t="str">
        <f ca="1">VLOOKUP(Data!M467,temp!$B$3:$C$9,2,1)</f>
        <v>40-50</v>
      </c>
      <c r="O467">
        <v>-965</v>
      </c>
      <c r="P467" s="8">
        <f t="shared" si="35"/>
        <v>2.6420260095824779</v>
      </c>
      <c r="Q467" s="5" t="str">
        <f t="shared" si="37"/>
        <v>Employed</v>
      </c>
      <c r="R467">
        <v>1</v>
      </c>
      <c r="S467">
        <v>0</v>
      </c>
      <c r="T467">
        <v>1</v>
      </c>
      <c r="U467">
        <v>0</v>
      </c>
      <c r="V467" t="s">
        <v>30</v>
      </c>
      <c r="W467">
        <v>3</v>
      </c>
    </row>
    <row r="468" spans="1:23" x14ac:dyDescent="0.2">
      <c r="A468">
        <v>5023521</v>
      </c>
      <c r="B468" t="s">
        <v>25</v>
      </c>
      <c r="C468" t="s">
        <v>20</v>
      </c>
      <c r="D468" t="s">
        <v>20</v>
      </c>
      <c r="E468">
        <v>1</v>
      </c>
      <c r="F468">
        <v>112500</v>
      </c>
      <c r="G468" t="s">
        <v>31</v>
      </c>
      <c r="H468" t="s">
        <v>22</v>
      </c>
      <c r="I468" t="s">
        <v>28</v>
      </c>
      <c r="J468" t="s">
        <v>24</v>
      </c>
      <c r="K468" s="6">
        <f t="shared" ca="1" si="36"/>
        <v>29738</v>
      </c>
      <c r="L468">
        <v>-16023</v>
      </c>
      <c r="M468" s="7">
        <f t="shared" ca="1" si="34"/>
        <v>43.868583162217661</v>
      </c>
      <c r="N468" s="5" t="str">
        <f ca="1">VLOOKUP(Data!M468,temp!$B$3:$C$9,2,1)</f>
        <v>40-50</v>
      </c>
      <c r="O468">
        <v>-965</v>
      </c>
      <c r="P468" s="8">
        <f t="shared" si="35"/>
        <v>2.6420260095824779</v>
      </c>
      <c r="Q468" s="5" t="str">
        <f t="shared" si="37"/>
        <v>Employed</v>
      </c>
      <c r="R468">
        <v>1</v>
      </c>
      <c r="S468">
        <v>0</v>
      </c>
      <c r="T468">
        <v>1</v>
      </c>
      <c r="U468">
        <v>0</v>
      </c>
      <c r="V468" t="s">
        <v>30</v>
      </c>
      <c r="W468">
        <v>3</v>
      </c>
    </row>
    <row r="469" spans="1:23" x14ac:dyDescent="0.2">
      <c r="A469">
        <v>5023531</v>
      </c>
      <c r="B469" t="s">
        <v>18</v>
      </c>
      <c r="C469" t="s">
        <v>19</v>
      </c>
      <c r="D469" t="s">
        <v>20</v>
      </c>
      <c r="E469">
        <v>0</v>
      </c>
      <c r="F469">
        <v>274500</v>
      </c>
      <c r="G469" t="s">
        <v>26</v>
      </c>
      <c r="H469" t="s">
        <v>27</v>
      </c>
      <c r="I469" t="s">
        <v>28</v>
      </c>
      <c r="J469" t="s">
        <v>24</v>
      </c>
      <c r="K469" s="6">
        <f t="shared" ca="1" si="36"/>
        <v>25302</v>
      </c>
      <c r="L469">
        <v>-20459</v>
      </c>
      <c r="M469" s="7">
        <f t="shared" ca="1" si="34"/>
        <v>56.013689253935659</v>
      </c>
      <c r="N469" s="5" t="str">
        <f ca="1">VLOOKUP(Data!M469,temp!$B$3:$C$9,2,1)</f>
        <v>50-60</v>
      </c>
      <c r="O469">
        <v>-6930</v>
      </c>
      <c r="P469" s="8">
        <f t="shared" si="35"/>
        <v>18.973305954825463</v>
      </c>
      <c r="Q469" s="5" t="str">
        <f t="shared" si="37"/>
        <v>Employed</v>
      </c>
      <c r="R469">
        <v>1</v>
      </c>
      <c r="S469">
        <v>0</v>
      </c>
      <c r="T469">
        <v>0</v>
      </c>
      <c r="U469">
        <v>0</v>
      </c>
      <c r="V469" t="s">
        <v>47</v>
      </c>
      <c r="W469">
        <v>2</v>
      </c>
    </row>
    <row r="470" spans="1:23" x14ac:dyDescent="0.2">
      <c r="A470">
        <v>5023548</v>
      </c>
      <c r="B470" t="s">
        <v>25</v>
      </c>
      <c r="C470" t="s">
        <v>20</v>
      </c>
      <c r="D470" t="s">
        <v>20</v>
      </c>
      <c r="E470">
        <v>0</v>
      </c>
      <c r="F470">
        <v>90900</v>
      </c>
      <c r="G470" t="s">
        <v>31</v>
      </c>
      <c r="H470" t="s">
        <v>27</v>
      </c>
      <c r="I470" t="s">
        <v>28</v>
      </c>
      <c r="J470" t="s">
        <v>24</v>
      </c>
      <c r="K470" s="6">
        <f t="shared" ca="1" si="36"/>
        <v>24061</v>
      </c>
      <c r="L470">
        <v>-21700</v>
      </c>
      <c r="M470" s="7">
        <f t="shared" ca="1" si="34"/>
        <v>59.411362080766601</v>
      </c>
      <c r="N470" s="5" t="str">
        <f ca="1">VLOOKUP(Data!M470,temp!$B$3:$C$9,2,1)</f>
        <v>50-60</v>
      </c>
      <c r="O470">
        <v>-2426</v>
      </c>
      <c r="P470" s="8">
        <f t="shared" si="35"/>
        <v>6.6420260095824775</v>
      </c>
      <c r="Q470" s="5" t="str">
        <f t="shared" si="37"/>
        <v>Employed</v>
      </c>
      <c r="R470">
        <v>1</v>
      </c>
      <c r="S470">
        <v>0</v>
      </c>
      <c r="T470">
        <v>0</v>
      </c>
      <c r="U470">
        <v>0</v>
      </c>
      <c r="V470" t="s">
        <v>29</v>
      </c>
      <c r="W470">
        <v>2</v>
      </c>
    </row>
    <row r="471" spans="1:23" x14ac:dyDescent="0.2">
      <c r="A471">
        <v>5023552</v>
      </c>
      <c r="B471" t="s">
        <v>18</v>
      </c>
      <c r="C471" t="s">
        <v>19</v>
      </c>
      <c r="D471" t="s">
        <v>19</v>
      </c>
      <c r="E471">
        <v>0</v>
      </c>
      <c r="F471">
        <v>202500</v>
      </c>
      <c r="G471" t="s">
        <v>26</v>
      </c>
      <c r="H471" t="s">
        <v>22</v>
      </c>
      <c r="I471" t="s">
        <v>33</v>
      </c>
      <c r="J471" t="s">
        <v>24</v>
      </c>
      <c r="K471" s="6">
        <f t="shared" ca="1" si="36"/>
        <v>33504</v>
      </c>
      <c r="L471">
        <v>-12257</v>
      </c>
      <c r="M471" s="7">
        <f t="shared" ca="1" si="34"/>
        <v>33.557837097878163</v>
      </c>
      <c r="N471" s="5" t="str">
        <f ca="1">VLOOKUP(Data!M471,temp!$B$3:$C$9,2,1)</f>
        <v>30-40</v>
      </c>
      <c r="O471">
        <v>-1969</v>
      </c>
      <c r="P471" s="8">
        <f t="shared" si="35"/>
        <v>5.3908281998631074</v>
      </c>
      <c r="Q471" s="5" t="str">
        <f t="shared" si="37"/>
        <v>Employed</v>
      </c>
      <c r="R471">
        <v>1</v>
      </c>
      <c r="S471">
        <v>0</v>
      </c>
      <c r="T471">
        <v>0</v>
      </c>
      <c r="U471">
        <v>0</v>
      </c>
      <c r="V471" t="s">
        <v>32</v>
      </c>
      <c r="W471">
        <v>1</v>
      </c>
    </row>
    <row r="472" spans="1:23" x14ac:dyDescent="0.2">
      <c r="A472">
        <v>5023563</v>
      </c>
      <c r="B472" t="s">
        <v>18</v>
      </c>
      <c r="C472" t="s">
        <v>19</v>
      </c>
      <c r="D472" t="s">
        <v>20</v>
      </c>
      <c r="E472">
        <v>0</v>
      </c>
      <c r="F472">
        <v>202500</v>
      </c>
      <c r="G472" t="s">
        <v>31</v>
      </c>
      <c r="H472" t="s">
        <v>27</v>
      </c>
      <c r="I472" t="s">
        <v>42</v>
      </c>
      <c r="J472" t="s">
        <v>24</v>
      </c>
      <c r="K472" s="6">
        <f t="shared" ca="1" si="36"/>
        <v>27979</v>
      </c>
      <c r="L472">
        <v>-17782</v>
      </c>
      <c r="M472" s="7">
        <f t="shared" ca="1" si="34"/>
        <v>48.684462696783022</v>
      </c>
      <c r="N472" s="5" t="str">
        <f ca="1">VLOOKUP(Data!M472,temp!$B$3:$C$9,2,1)</f>
        <v>40-50</v>
      </c>
      <c r="O472">
        <v>-9975</v>
      </c>
      <c r="P472" s="8">
        <f t="shared" si="35"/>
        <v>27.310061601642712</v>
      </c>
      <c r="Q472" s="5" t="str">
        <f t="shared" si="37"/>
        <v>Employed</v>
      </c>
      <c r="R472">
        <v>1</v>
      </c>
      <c r="S472">
        <v>0</v>
      </c>
      <c r="T472">
        <v>0</v>
      </c>
      <c r="U472">
        <v>0</v>
      </c>
      <c r="V472" t="s">
        <v>38</v>
      </c>
      <c r="W472">
        <v>1</v>
      </c>
    </row>
    <row r="473" spans="1:23" x14ac:dyDescent="0.2">
      <c r="A473">
        <v>5023564</v>
      </c>
      <c r="B473" t="s">
        <v>18</v>
      </c>
      <c r="C473" t="s">
        <v>19</v>
      </c>
      <c r="D473" t="s">
        <v>20</v>
      </c>
      <c r="E473">
        <v>0</v>
      </c>
      <c r="F473">
        <v>202500</v>
      </c>
      <c r="G473" t="s">
        <v>31</v>
      </c>
      <c r="H473" t="s">
        <v>27</v>
      </c>
      <c r="I473" t="s">
        <v>42</v>
      </c>
      <c r="J473" t="s">
        <v>24</v>
      </c>
      <c r="K473" s="6">
        <f t="shared" ca="1" si="36"/>
        <v>27979</v>
      </c>
      <c r="L473">
        <v>-17782</v>
      </c>
      <c r="M473" s="7">
        <f t="shared" ca="1" si="34"/>
        <v>48.684462696783022</v>
      </c>
      <c r="N473" s="5" t="str">
        <f ca="1">VLOOKUP(Data!M473,temp!$B$3:$C$9,2,1)</f>
        <v>40-50</v>
      </c>
      <c r="O473">
        <v>-9975</v>
      </c>
      <c r="P473" s="8">
        <f t="shared" si="35"/>
        <v>27.310061601642712</v>
      </c>
      <c r="Q473" s="5" t="str">
        <f t="shared" si="37"/>
        <v>Employed</v>
      </c>
      <c r="R473">
        <v>1</v>
      </c>
      <c r="S473">
        <v>0</v>
      </c>
      <c r="T473">
        <v>0</v>
      </c>
      <c r="U473">
        <v>0</v>
      </c>
      <c r="V473" t="s">
        <v>38</v>
      </c>
      <c r="W473">
        <v>1</v>
      </c>
    </row>
    <row r="474" spans="1:23" x14ac:dyDescent="0.2">
      <c r="A474">
        <v>5023569</v>
      </c>
      <c r="B474" t="s">
        <v>18</v>
      </c>
      <c r="C474" t="s">
        <v>20</v>
      </c>
      <c r="D474" t="s">
        <v>20</v>
      </c>
      <c r="E474">
        <v>0</v>
      </c>
      <c r="F474">
        <v>180000</v>
      </c>
      <c r="G474" t="s">
        <v>21</v>
      </c>
      <c r="H474" t="s">
        <v>27</v>
      </c>
      <c r="I474" t="s">
        <v>23</v>
      </c>
      <c r="J474" t="s">
        <v>24</v>
      </c>
      <c r="K474" s="6">
        <f t="shared" ca="1" si="36"/>
        <v>24276</v>
      </c>
      <c r="L474">
        <v>-21485</v>
      </c>
      <c r="M474" s="7">
        <f t="shared" ca="1" si="34"/>
        <v>58.822724161533195</v>
      </c>
      <c r="N474" s="5" t="str">
        <f ca="1">VLOOKUP(Data!M474,temp!$B$3:$C$9,2,1)</f>
        <v>50-60</v>
      </c>
      <c r="O474">
        <v>365243</v>
      </c>
      <c r="P474" s="8">
        <f t="shared" si="35"/>
        <v>0</v>
      </c>
      <c r="Q474" s="5" t="str">
        <f t="shared" si="37"/>
        <v>Unemployed</v>
      </c>
      <c r="R474">
        <v>1</v>
      </c>
      <c r="S474">
        <v>0</v>
      </c>
      <c r="T474">
        <v>0</v>
      </c>
      <c r="U474">
        <v>0</v>
      </c>
      <c r="W474">
        <v>1</v>
      </c>
    </row>
    <row r="475" spans="1:23" x14ac:dyDescent="0.2">
      <c r="A475">
        <v>5023576</v>
      </c>
      <c r="B475" t="s">
        <v>18</v>
      </c>
      <c r="C475" t="s">
        <v>19</v>
      </c>
      <c r="D475" t="s">
        <v>20</v>
      </c>
      <c r="E475">
        <v>0</v>
      </c>
      <c r="F475">
        <v>202500</v>
      </c>
      <c r="G475" t="s">
        <v>21</v>
      </c>
      <c r="H475" t="s">
        <v>27</v>
      </c>
      <c r="I475" t="s">
        <v>28</v>
      </c>
      <c r="J475" t="s">
        <v>24</v>
      </c>
      <c r="K475" s="6">
        <f t="shared" ca="1" si="36"/>
        <v>23234</v>
      </c>
      <c r="L475">
        <v>-22527</v>
      </c>
      <c r="M475" s="7">
        <f t="shared" ca="1" si="34"/>
        <v>61.675564681724843</v>
      </c>
      <c r="N475" s="5" t="str">
        <f ca="1">VLOOKUP(Data!M475,temp!$B$3:$C$9,2,1)</f>
        <v>60-70</v>
      </c>
      <c r="O475">
        <v>365243</v>
      </c>
      <c r="P475" s="8">
        <f t="shared" si="35"/>
        <v>0</v>
      </c>
      <c r="Q475" s="5" t="str">
        <f t="shared" si="37"/>
        <v>Unemployed</v>
      </c>
      <c r="R475">
        <v>1</v>
      </c>
      <c r="S475">
        <v>0</v>
      </c>
      <c r="T475">
        <v>0</v>
      </c>
      <c r="U475">
        <v>0</v>
      </c>
      <c r="W475">
        <v>2</v>
      </c>
    </row>
    <row r="476" spans="1:23" x14ac:dyDescent="0.2">
      <c r="A476">
        <v>5023581</v>
      </c>
      <c r="B476" t="s">
        <v>18</v>
      </c>
      <c r="C476" t="s">
        <v>19</v>
      </c>
      <c r="D476" t="s">
        <v>20</v>
      </c>
      <c r="E476">
        <v>0</v>
      </c>
      <c r="F476">
        <v>180000</v>
      </c>
      <c r="G476" t="s">
        <v>21</v>
      </c>
      <c r="H476" t="s">
        <v>27</v>
      </c>
      <c r="I476" t="s">
        <v>42</v>
      </c>
      <c r="J476" t="s">
        <v>24</v>
      </c>
      <c r="K476" s="6">
        <f t="shared" ca="1" si="36"/>
        <v>22755</v>
      </c>
      <c r="L476">
        <v>-23006</v>
      </c>
      <c r="M476" s="7">
        <f t="shared" ca="1" si="34"/>
        <v>62.986995208761122</v>
      </c>
      <c r="N476" s="5" t="str">
        <f ca="1">VLOOKUP(Data!M476,temp!$B$3:$C$9,2,1)</f>
        <v>60-70</v>
      </c>
      <c r="O476">
        <v>365243</v>
      </c>
      <c r="P476" s="8">
        <f t="shared" si="35"/>
        <v>0</v>
      </c>
      <c r="Q476" s="5" t="str">
        <f t="shared" si="37"/>
        <v>Unemployed</v>
      </c>
      <c r="R476">
        <v>1</v>
      </c>
      <c r="S476">
        <v>0</v>
      </c>
      <c r="T476">
        <v>1</v>
      </c>
      <c r="U476">
        <v>0</v>
      </c>
      <c r="W476">
        <v>1</v>
      </c>
    </row>
    <row r="477" spans="1:23" x14ac:dyDescent="0.2">
      <c r="A477">
        <v>5023591</v>
      </c>
      <c r="B477" t="s">
        <v>25</v>
      </c>
      <c r="C477" t="s">
        <v>19</v>
      </c>
      <c r="D477" t="s">
        <v>19</v>
      </c>
      <c r="E477">
        <v>0</v>
      </c>
      <c r="F477">
        <v>202500</v>
      </c>
      <c r="G477" t="s">
        <v>31</v>
      </c>
      <c r="H477" t="s">
        <v>27</v>
      </c>
      <c r="I477" t="s">
        <v>23</v>
      </c>
      <c r="J477" t="s">
        <v>24</v>
      </c>
      <c r="K477" s="6">
        <f t="shared" ca="1" si="36"/>
        <v>31397</v>
      </c>
      <c r="L477">
        <v>-14364</v>
      </c>
      <c r="M477" s="7">
        <f t="shared" ca="1" si="34"/>
        <v>39.326488706365502</v>
      </c>
      <c r="N477" s="5" t="str">
        <f ca="1">VLOOKUP(Data!M477,temp!$B$3:$C$9,2,1)</f>
        <v>30-40</v>
      </c>
      <c r="O477">
        <v>-6352</v>
      </c>
      <c r="P477" s="8">
        <f t="shared" si="35"/>
        <v>17.390828199863108</v>
      </c>
      <c r="Q477" s="5" t="str">
        <f t="shared" si="37"/>
        <v>Employed</v>
      </c>
      <c r="R477">
        <v>1</v>
      </c>
      <c r="S477">
        <v>0</v>
      </c>
      <c r="T477">
        <v>0</v>
      </c>
      <c r="U477">
        <v>0</v>
      </c>
      <c r="V477" t="s">
        <v>29</v>
      </c>
      <c r="W477">
        <v>1</v>
      </c>
    </row>
    <row r="478" spans="1:23" x14ac:dyDescent="0.2">
      <c r="A478">
        <v>5023596</v>
      </c>
      <c r="B478" t="s">
        <v>25</v>
      </c>
      <c r="C478" t="s">
        <v>19</v>
      </c>
      <c r="D478" t="s">
        <v>20</v>
      </c>
      <c r="E478">
        <v>0</v>
      </c>
      <c r="F478">
        <v>135000</v>
      </c>
      <c r="G478" t="s">
        <v>21</v>
      </c>
      <c r="H478" t="s">
        <v>27</v>
      </c>
      <c r="I478" t="s">
        <v>28</v>
      </c>
      <c r="J478" t="s">
        <v>24</v>
      </c>
      <c r="K478" s="6">
        <f t="shared" ca="1" si="36"/>
        <v>22706</v>
      </c>
      <c r="L478">
        <v>-23055</v>
      </c>
      <c r="M478" s="7">
        <f t="shared" ca="1" si="34"/>
        <v>63.121149897330596</v>
      </c>
      <c r="N478" s="5" t="str">
        <f ca="1">VLOOKUP(Data!M478,temp!$B$3:$C$9,2,1)</f>
        <v>60-70</v>
      </c>
      <c r="O478">
        <v>365243</v>
      </c>
      <c r="P478" s="8">
        <f t="shared" si="35"/>
        <v>0</v>
      </c>
      <c r="Q478" s="5" t="str">
        <f t="shared" si="37"/>
        <v>Unemployed</v>
      </c>
      <c r="R478">
        <v>1</v>
      </c>
      <c r="S478">
        <v>0</v>
      </c>
      <c r="T478">
        <v>0</v>
      </c>
      <c r="U478">
        <v>0</v>
      </c>
      <c r="W478">
        <v>2</v>
      </c>
    </row>
    <row r="479" spans="1:23" x14ac:dyDescent="0.2">
      <c r="A479">
        <v>5023626</v>
      </c>
      <c r="B479" t="s">
        <v>18</v>
      </c>
      <c r="C479" t="s">
        <v>19</v>
      </c>
      <c r="D479" t="s">
        <v>19</v>
      </c>
      <c r="E479">
        <v>2</v>
      </c>
      <c r="F479">
        <v>180000</v>
      </c>
      <c r="G479" t="s">
        <v>26</v>
      </c>
      <c r="H479" t="s">
        <v>36</v>
      </c>
      <c r="I479" t="s">
        <v>28</v>
      </c>
      <c r="J479" t="s">
        <v>24</v>
      </c>
      <c r="K479" s="6">
        <f t="shared" ca="1" si="36"/>
        <v>31958</v>
      </c>
      <c r="L479">
        <v>-13803</v>
      </c>
      <c r="M479" s="7">
        <f t="shared" ca="1" si="34"/>
        <v>37.790554414784395</v>
      </c>
      <c r="N479" s="5" t="str">
        <f ca="1">VLOOKUP(Data!M479,temp!$B$3:$C$9,2,1)</f>
        <v>30-40</v>
      </c>
      <c r="O479">
        <v>-3249</v>
      </c>
      <c r="P479" s="8">
        <f t="shared" si="35"/>
        <v>8.8952772073921977</v>
      </c>
      <c r="Q479" s="5" t="str">
        <f t="shared" si="37"/>
        <v>Employed</v>
      </c>
      <c r="R479">
        <v>1</v>
      </c>
      <c r="S479">
        <v>0</v>
      </c>
      <c r="T479">
        <v>1</v>
      </c>
      <c r="U479">
        <v>0</v>
      </c>
      <c r="V479" t="s">
        <v>39</v>
      </c>
      <c r="W479">
        <v>4</v>
      </c>
    </row>
    <row r="480" spans="1:23" x14ac:dyDescent="0.2">
      <c r="A480">
        <v>5023638</v>
      </c>
      <c r="B480" t="s">
        <v>25</v>
      </c>
      <c r="C480" t="s">
        <v>19</v>
      </c>
      <c r="D480" t="s">
        <v>20</v>
      </c>
      <c r="E480">
        <v>1</v>
      </c>
      <c r="F480">
        <v>157500</v>
      </c>
      <c r="G480" t="s">
        <v>31</v>
      </c>
      <c r="H480" t="s">
        <v>27</v>
      </c>
      <c r="I480" t="s">
        <v>28</v>
      </c>
      <c r="J480" t="s">
        <v>24</v>
      </c>
      <c r="K480" s="6">
        <f t="shared" ca="1" si="36"/>
        <v>33489</v>
      </c>
      <c r="L480">
        <v>-12272</v>
      </c>
      <c r="M480" s="7">
        <f t="shared" ca="1" si="34"/>
        <v>33.598904859685149</v>
      </c>
      <c r="N480" s="5" t="str">
        <f ca="1">VLOOKUP(Data!M480,temp!$B$3:$C$9,2,1)</f>
        <v>30-40</v>
      </c>
      <c r="O480">
        <v>-2212</v>
      </c>
      <c r="P480" s="8">
        <f t="shared" si="35"/>
        <v>6.0561259411362078</v>
      </c>
      <c r="Q480" s="5" t="str">
        <f t="shared" si="37"/>
        <v>Employed</v>
      </c>
      <c r="R480">
        <v>1</v>
      </c>
      <c r="S480">
        <v>1</v>
      </c>
      <c r="T480">
        <v>0</v>
      </c>
      <c r="U480">
        <v>0</v>
      </c>
      <c r="V480" t="s">
        <v>29</v>
      </c>
      <c r="W480">
        <v>3</v>
      </c>
    </row>
    <row r="481" spans="1:23" x14ac:dyDescent="0.2">
      <c r="A481">
        <v>5023639</v>
      </c>
      <c r="B481" t="s">
        <v>25</v>
      </c>
      <c r="C481" t="s">
        <v>20</v>
      </c>
      <c r="D481" t="s">
        <v>19</v>
      </c>
      <c r="E481">
        <v>2</v>
      </c>
      <c r="F481">
        <v>225000</v>
      </c>
      <c r="G481" t="s">
        <v>31</v>
      </c>
      <c r="H481" t="s">
        <v>27</v>
      </c>
      <c r="I481" t="s">
        <v>28</v>
      </c>
      <c r="J481" t="s">
        <v>24</v>
      </c>
      <c r="K481" s="6">
        <f t="shared" ca="1" si="36"/>
        <v>30985</v>
      </c>
      <c r="L481">
        <v>-14776</v>
      </c>
      <c r="M481" s="7">
        <f t="shared" ca="1" si="34"/>
        <v>40.454483230663932</v>
      </c>
      <c r="N481" s="5" t="str">
        <f ca="1">VLOOKUP(Data!M481,temp!$B$3:$C$9,2,1)</f>
        <v>40-50</v>
      </c>
      <c r="O481">
        <v>-2212</v>
      </c>
      <c r="P481" s="8">
        <f t="shared" si="35"/>
        <v>6.0561259411362078</v>
      </c>
      <c r="Q481" s="5" t="str">
        <f t="shared" si="37"/>
        <v>Employed</v>
      </c>
      <c r="R481">
        <v>1</v>
      </c>
      <c r="S481">
        <v>0</v>
      </c>
      <c r="T481">
        <v>0</v>
      </c>
      <c r="U481">
        <v>0</v>
      </c>
      <c r="V481" t="s">
        <v>30</v>
      </c>
      <c r="W481">
        <v>4</v>
      </c>
    </row>
    <row r="482" spans="1:23" x14ac:dyDescent="0.2">
      <c r="A482">
        <v>5023652</v>
      </c>
      <c r="B482" t="s">
        <v>18</v>
      </c>
      <c r="C482" t="s">
        <v>19</v>
      </c>
      <c r="D482" t="s">
        <v>19</v>
      </c>
      <c r="E482">
        <v>0</v>
      </c>
      <c r="F482">
        <v>225000</v>
      </c>
      <c r="G482" t="s">
        <v>26</v>
      </c>
      <c r="H482" t="s">
        <v>36</v>
      </c>
      <c r="I482" t="s">
        <v>33</v>
      </c>
      <c r="J482" t="s">
        <v>24</v>
      </c>
      <c r="K482" s="6">
        <f t="shared" ca="1" si="36"/>
        <v>35532</v>
      </c>
      <c r="L482">
        <v>-10229</v>
      </c>
      <c r="M482" s="7">
        <f t="shared" ca="1" si="34"/>
        <v>28.005475701574266</v>
      </c>
      <c r="N482" s="5" t="str">
        <f ca="1">VLOOKUP(Data!M482,temp!$B$3:$C$9,2,1)</f>
        <v>20-30</v>
      </c>
      <c r="O482">
        <v>-1209</v>
      </c>
      <c r="P482" s="8">
        <f t="shared" si="35"/>
        <v>3.3100616016427105</v>
      </c>
      <c r="Q482" s="5" t="str">
        <f t="shared" si="37"/>
        <v>Employed</v>
      </c>
      <c r="R482">
        <v>1</v>
      </c>
      <c r="S482">
        <v>0</v>
      </c>
      <c r="T482">
        <v>0</v>
      </c>
      <c r="U482">
        <v>0</v>
      </c>
      <c r="V482" t="s">
        <v>44</v>
      </c>
      <c r="W482">
        <v>1</v>
      </c>
    </row>
    <row r="483" spans="1:23" x14ac:dyDescent="0.2">
      <c r="A483">
        <v>5023681</v>
      </c>
      <c r="B483" t="s">
        <v>18</v>
      </c>
      <c r="C483" t="s">
        <v>19</v>
      </c>
      <c r="D483" t="s">
        <v>20</v>
      </c>
      <c r="E483">
        <v>1</v>
      </c>
      <c r="F483">
        <v>67500</v>
      </c>
      <c r="G483" t="s">
        <v>26</v>
      </c>
      <c r="H483" t="s">
        <v>27</v>
      </c>
      <c r="I483" t="s">
        <v>37</v>
      </c>
      <c r="J483" t="s">
        <v>24</v>
      </c>
      <c r="K483" s="6">
        <f t="shared" ca="1" si="36"/>
        <v>34677</v>
      </c>
      <c r="L483">
        <v>-11084</v>
      </c>
      <c r="M483" s="7">
        <f t="shared" ca="1" si="34"/>
        <v>30.34633812457221</v>
      </c>
      <c r="N483" s="5" t="str">
        <f ca="1">VLOOKUP(Data!M483,temp!$B$3:$C$9,2,1)</f>
        <v>30-40</v>
      </c>
      <c r="O483">
        <v>-1086</v>
      </c>
      <c r="P483" s="8">
        <f t="shared" si="35"/>
        <v>2.9733059548254621</v>
      </c>
      <c r="Q483" s="5" t="str">
        <f t="shared" si="37"/>
        <v>Employed</v>
      </c>
      <c r="R483">
        <v>1</v>
      </c>
      <c r="S483">
        <v>1</v>
      </c>
      <c r="T483">
        <v>1</v>
      </c>
      <c r="U483">
        <v>0</v>
      </c>
      <c r="V483" t="s">
        <v>39</v>
      </c>
      <c r="W483">
        <v>3</v>
      </c>
    </row>
    <row r="484" spans="1:23" x14ac:dyDescent="0.2">
      <c r="A484">
        <v>5023697</v>
      </c>
      <c r="B484" t="s">
        <v>18</v>
      </c>
      <c r="C484" t="s">
        <v>19</v>
      </c>
      <c r="D484" t="s">
        <v>20</v>
      </c>
      <c r="E484">
        <v>0</v>
      </c>
      <c r="F484">
        <v>117000</v>
      </c>
      <c r="G484" t="s">
        <v>26</v>
      </c>
      <c r="H484" t="s">
        <v>27</v>
      </c>
      <c r="I484" t="s">
        <v>37</v>
      </c>
      <c r="J484" t="s">
        <v>24</v>
      </c>
      <c r="K484" s="6">
        <f t="shared" ca="1" si="36"/>
        <v>33576</v>
      </c>
      <c r="L484">
        <v>-12185</v>
      </c>
      <c r="M484" s="7">
        <f t="shared" ca="1" si="34"/>
        <v>33.360711841204655</v>
      </c>
      <c r="N484" s="5" t="str">
        <f ca="1">VLOOKUP(Data!M484,temp!$B$3:$C$9,2,1)</f>
        <v>30-40</v>
      </c>
      <c r="O484">
        <v>-4710</v>
      </c>
      <c r="P484" s="8">
        <f t="shared" si="35"/>
        <v>12.895277207392198</v>
      </c>
      <c r="Q484" s="5" t="str">
        <f t="shared" si="37"/>
        <v>Employed</v>
      </c>
      <c r="R484">
        <v>1</v>
      </c>
      <c r="S484">
        <v>1</v>
      </c>
      <c r="T484">
        <v>1</v>
      </c>
      <c r="U484">
        <v>0</v>
      </c>
      <c r="V484" t="s">
        <v>49</v>
      </c>
      <c r="W484">
        <v>2</v>
      </c>
    </row>
    <row r="485" spans="1:23" x14ac:dyDescent="0.2">
      <c r="A485">
        <v>5023716</v>
      </c>
      <c r="B485" t="s">
        <v>18</v>
      </c>
      <c r="C485" t="s">
        <v>20</v>
      </c>
      <c r="D485" t="s">
        <v>20</v>
      </c>
      <c r="E485">
        <v>0</v>
      </c>
      <c r="F485">
        <v>175500</v>
      </c>
      <c r="G485" t="s">
        <v>21</v>
      </c>
      <c r="H485" t="s">
        <v>22</v>
      </c>
      <c r="I485" t="s">
        <v>28</v>
      </c>
      <c r="J485" t="s">
        <v>24</v>
      </c>
      <c r="K485" s="6">
        <f t="shared" ca="1" si="36"/>
        <v>23684</v>
      </c>
      <c r="L485">
        <v>-22077</v>
      </c>
      <c r="M485" s="7">
        <f t="shared" ca="1" si="34"/>
        <v>60.4435318275154</v>
      </c>
      <c r="N485" s="5" t="str">
        <f ca="1">VLOOKUP(Data!M485,temp!$B$3:$C$9,2,1)</f>
        <v>60-70</v>
      </c>
      <c r="O485">
        <v>365243</v>
      </c>
      <c r="P485" s="8">
        <f t="shared" si="35"/>
        <v>0</v>
      </c>
      <c r="Q485" s="5" t="str">
        <f t="shared" si="37"/>
        <v>Unemployed</v>
      </c>
      <c r="R485">
        <v>1</v>
      </c>
      <c r="S485">
        <v>0</v>
      </c>
      <c r="T485">
        <v>1</v>
      </c>
      <c r="U485">
        <v>0</v>
      </c>
      <c r="W485">
        <v>2</v>
      </c>
    </row>
    <row r="486" spans="1:23" x14ac:dyDescent="0.2">
      <c r="A486">
        <v>5023729</v>
      </c>
      <c r="B486" t="s">
        <v>25</v>
      </c>
      <c r="C486" t="s">
        <v>20</v>
      </c>
      <c r="D486" t="s">
        <v>19</v>
      </c>
      <c r="E486">
        <v>1</v>
      </c>
      <c r="F486">
        <v>495000</v>
      </c>
      <c r="G486" t="s">
        <v>31</v>
      </c>
      <c r="H486" t="s">
        <v>27</v>
      </c>
      <c r="I486" t="s">
        <v>28</v>
      </c>
      <c r="J486" t="s">
        <v>24</v>
      </c>
      <c r="K486" s="6">
        <f t="shared" ca="1" si="36"/>
        <v>35500</v>
      </c>
      <c r="L486">
        <v>-10261</v>
      </c>
      <c r="M486" s="7">
        <f t="shared" ca="1" si="34"/>
        <v>28.093086926762492</v>
      </c>
      <c r="N486" s="5" t="str">
        <f ca="1">VLOOKUP(Data!M486,temp!$B$3:$C$9,2,1)</f>
        <v>20-30</v>
      </c>
      <c r="O486">
        <v>-235</v>
      </c>
      <c r="P486" s="8">
        <f t="shared" si="35"/>
        <v>0.64339493497604383</v>
      </c>
      <c r="Q486" s="5" t="str">
        <f t="shared" si="37"/>
        <v>Employed</v>
      </c>
      <c r="R486">
        <v>1</v>
      </c>
      <c r="S486">
        <v>0</v>
      </c>
      <c r="T486">
        <v>1</v>
      </c>
      <c r="U486">
        <v>0</v>
      </c>
      <c r="V486" t="s">
        <v>29</v>
      </c>
      <c r="W486">
        <v>3</v>
      </c>
    </row>
    <row r="487" spans="1:23" x14ac:dyDescent="0.2">
      <c r="A487">
        <v>5023749</v>
      </c>
      <c r="B487" t="s">
        <v>25</v>
      </c>
      <c r="C487" t="s">
        <v>20</v>
      </c>
      <c r="D487" t="s">
        <v>19</v>
      </c>
      <c r="E487">
        <v>0</v>
      </c>
      <c r="F487">
        <v>157500</v>
      </c>
      <c r="G487" t="s">
        <v>26</v>
      </c>
      <c r="H487" t="s">
        <v>27</v>
      </c>
      <c r="I487" t="s">
        <v>28</v>
      </c>
      <c r="J487" t="s">
        <v>24</v>
      </c>
      <c r="K487" s="6">
        <f t="shared" ca="1" si="36"/>
        <v>34307</v>
      </c>
      <c r="L487">
        <v>-11454</v>
      </c>
      <c r="M487" s="7">
        <f t="shared" ca="1" si="34"/>
        <v>31.359342915811087</v>
      </c>
      <c r="N487" s="5" t="str">
        <f ca="1">VLOOKUP(Data!M487,temp!$B$3:$C$9,2,1)</f>
        <v>30-40</v>
      </c>
      <c r="O487">
        <v>-1604</v>
      </c>
      <c r="P487" s="8">
        <f t="shared" si="35"/>
        <v>4.3915126625598901</v>
      </c>
      <c r="Q487" s="5" t="str">
        <f t="shared" si="37"/>
        <v>Employed</v>
      </c>
      <c r="R487">
        <v>1</v>
      </c>
      <c r="S487">
        <v>0</v>
      </c>
      <c r="T487">
        <v>0</v>
      </c>
      <c r="U487">
        <v>0</v>
      </c>
      <c r="V487" t="s">
        <v>30</v>
      </c>
      <c r="W487">
        <v>2</v>
      </c>
    </row>
    <row r="488" spans="1:23" x14ac:dyDescent="0.2">
      <c r="A488">
        <v>5023759</v>
      </c>
      <c r="B488" t="s">
        <v>18</v>
      </c>
      <c r="C488" t="s">
        <v>20</v>
      </c>
      <c r="D488" t="s">
        <v>20</v>
      </c>
      <c r="E488">
        <v>0</v>
      </c>
      <c r="F488">
        <v>135000</v>
      </c>
      <c r="G488" t="s">
        <v>21</v>
      </c>
      <c r="H488" t="s">
        <v>27</v>
      </c>
      <c r="I488" t="s">
        <v>42</v>
      </c>
      <c r="J488" t="s">
        <v>24</v>
      </c>
      <c r="K488" s="6">
        <f t="shared" ca="1" si="36"/>
        <v>22770</v>
      </c>
      <c r="L488">
        <v>-22991</v>
      </c>
      <c r="M488" s="7">
        <f t="shared" ca="1" si="34"/>
        <v>62.945927446954144</v>
      </c>
      <c r="N488" s="5" t="str">
        <f ca="1">VLOOKUP(Data!M488,temp!$B$3:$C$9,2,1)</f>
        <v>60-70</v>
      </c>
      <c r="O488">
        <v>365243</v>
      </c>
      <c r="P488" s="8">
        <f t="shared" si="35"/>
        <v>0</v>
      </c>
      <c r="Q488" s="5" t="str">
        <f t="shared" si="37"/>
        <v>Unemployed</v>
      </c>
      <c r="R488">
        <v>1</v>
      </c>
      <c r="S488">
        <v>0</v>
      </c>
      <c r="T488">
        <v>0</v>
      </c>
      <c r="U488">
        <v>0</v>
      </c>
      <c r="W488">
        <v>1</v>
      </c>
    </row>
    <row r="489" spans="1:23" x14ac:dyDescent="0.2">
      <c r="A489">
        <v>5023764</v>
      </c>
      <c r="B489" t="s">
        <v>18</v>
      </c>
      <c r="C489" t="s">
        <v>19</v>
      </c>
      <c r="D489" t="s">
        <v>20</v>
      </c>
      <c r="E489">
        <v>0</v>
      </c>
      <c r="F489">
        <v>90000</v>
      </c>
      <c r="G489" t="s">
        <v>21</v>
      </c>
      <c r="H489" t="s">
        <v>27</v>
      </c>
      <c r="I489" t="s">
        <v>28</v>
      </c>
      <c r="J489" t="s">
        <v>24</v>
      </c>
      <c r="K489" s="6">
        <f t="shared" ca="1" si="36"/>
        <v>23857</v>
      </c>
      <c r="L489">
        <v>-21904</v>
      </c>
      <c r="M489" s="7">
        <f t="shared" ca="1" si="34"/>
        <v>59.969883641341546</v>
      </c>
      <c r="N489" s="5" t="str">
        <f ca="1">VLOOKUP(Data!M489,temp!$B$3:$C$9,2,1)</f>
        <v>50-60</v>
      </c>
      <c r="O489">
        <v>365243</v>
      </c>
      <c r="P489" s="8">
        <f t="shared" si="35"/>
        <v>0</v>
      </c>
      <c r="Q489" s="5" t="str">
        <f t="shared" si="37"/>
        <v>Unemployed</v>
      </c>
      <c r="R489">
        <v>1</v>
      </c>
      <c r="S489">
        <v>0</v>
      </c>
      <c r="T489">
        <v>1</v>
      </c>
      <c r="U489">
        <v>0</v>
      </c>
      <c r="W489">
        <v>2</v>
      </c>
    </row>
    <row r="490" spans="1:23" x14ac:dyDescent="0.2">
      <c r="A490">
        <v>5023811</v>
      </c>
      <c r="B490" t="s">
        <v>25</v>
      </c>
      <c r="C490" t="s">
        <v>19</v>
      </c>
      <c r="D490" t="s">
        <v>20</v>
      </c>
      <c r="E490">
        <v>0</v>
      </c>
      <c r="F490">
        <v>202500</v>
      </c>
      <c r="G490" t="s">
        <v>26</v>
      </c>
      <c r="H490" t="s">
        <v>22</v>
      </c>
      <c r="I490" t="s">
        <v>28</v>
      </c>
      <c r="J490" t="s">
        <v>41</v>
      </c>
      <c r="K490" s="6">
        <f t="shared" ca="1" si="36"/>
        <v>26679</v>
      </c>
      <c r="L490">
        <v>-19082</v>
      </c>
      <c r="M490" s="7">
        <f t="shared" ca="1" si="34"/>
        <v>52.243668720054757</v>
      </c>
      <c r="N490" s="5" t="str">
        <f ca="1">VLOOKUP(Data!M490,temp!$B$3:$C$9,2,1)</f>
        <v>50-60</v>
      </c>
      <c r="O490">
        <v>-377</v>
      </c>
      <c r="P490" s="8">
        <f t="shared" si="35"/>
        <v>1.0321697467488022</v>
      </c>
      <c r="Q490" s="5" t="str">
        <f t="shared" si="37"/>
        <v>Employed</v>
      </c>
      <c r="R490">
        <v>1</v>
      </c>
      <c r="S490">
        <v>0</v>
      </c>
      <c r="T490">
        <v>0</v>
      </c>
      <c r="U490">
        <v>0</v>
      </c>
      <c r="V490" t="s">
        <v>56</v>
      </c>
      <c r="W490">
        <v>2</v>
      </c>
    </row>
    <row r="491" spans="1:23" x14ac:dyDescent="0.2">
      <c r="A491">
        <v>5023827</v>
      </c>
      <c r="B491" t="s">
        <v>18</v>
      </c>
      <c r="C491" t="s">
        <v>20</v>
      </c>
      <c r="D491" t="s">
        <v>20</v>
      </c>
      <c r="E491">
        <v>0</v>
      </c>
      <c r="F491">
        <v>292500</v>
      </c>
      <c r="G491" t="s">
        <v>31</v>
      </c>
      <c r="H491" t="s">
        <v>36</v>
      </c>
      <c r="I491" t="s">
        <v>28</v>
      </c>
      <c r="J491" t="s">
        <v>24</v>
      </c>
      <c r="K491" s="6">
        <f t="shared" ca="1" si="36"/>
        <v>31274</v>
      </c>
      <c r="L491">
        <v>-14487</v>
      </c>
      <c r="M491" s="7">
        <f t="shared" ca="1" si="34"/>
        <v>39.663244353182755</v>
      </c>
      <c r="N491" s="5" t="str">
        <f ca="1">VLOOKUP(Data!M491,temp!$B$3:$C$9,2,1)</f>
        <v>30-40</v>
      </c>
      <c r="O491">
        <v>-2538</v>
      </c>
      <c r="P491" s="8">
        <f t="shared" si="35"/>
        <v>6.9486652977412735</v>
      </c>
      <c r="Q491" s="5" t="str">
        <f t="shared" si="37"/>
        <v>Employed</v>
      </c>
      <c r="R491">
        <v>1</v>
      </c>
      <c r="S491">
        <v>0</v>
      </c>
      <c r="T491">
        <v>0</v>
      </c>
      <c r="U491">
        <v>0</v>
      </c>
      <c r="V491" t="s">
        <v>38</v>
      </c>
      <c r="W491">
        <v>2</v>
      </c>
    </row>
    <row r="492" spans="1:23" x14ac:dyDescent="0.2">
      <c r="A492">
        <v>5023844</v>
      </c>
      <c r="B492" t="s">
        <v>18</v>
      </c>
      <c r="C492" t="s">
        <v>19</v>
      </c>
      <c r="D492" t="s">
        <v>20</v>
      </c>
      <c r="E492">
        <v>1</v>
      </c>
      <c r="F492">
        <v>121500</v>
      </c>
      <c r="G492" t="s">
        <v>31</v>
      </c>
      <c r="H492" t="s">
        <v>27</v>
      </c>
      <c r="I492" t="s">
        <v>28</v>
      </c>
      <c r="J492" t="s">
        <v>24</v>
      </c>
      <c r="K492" s="6">
        <f t="shared" ca="1" si="36"/>
        <v>28464</v>
      </c>
      <c r="L492">
        <v>-17297</v>
      </c>
      <c r="M492" s="7">
        <f t="shared" ca="1" si="34"/>
        <v>47.356605065023956</v>
      </c>
      <c r="N492" s="5" t="str">
        <f ca="1">VLOOKUP(Data!M492,temp!$B$3:$C$9,2,1)</f>
        <v>40-50</v>
      </c>
      <c r="O492">
        <v>-3482</v>
      </c>
      <c r="P492" s="8">
        <f t="shared" si="35"/>
        <v>9.5331964407939775</v>
      </c>
      <c r="Q492" s="5" t="str">
        <f t="shared" si="37"/>
        <v>Employed</v>
      </c>
      <c r="R492">
        <v>1</v>
      </c>
      <c r="S492">
        <v>0</v>
      </c>
      <c r="T492">
        <v>1</v>
      </c>
      <c r="U492">
        <v>0</v>
      </c>
      <c r="V492" t="s">
        <v>29</v>
      </c>
      <c r="W492">
        <v>3</v>
      </c>
    </row>
    <row r="493" spans="1:23" x14ac:dyDescent="0.2">
      <c r="A493">
        <v>5023851</v>
      </c>
      <c r="B493" t="s">
        <v>18</v>
      </c>
      <c r="C493" t="s">
        <v>19</v>
      </c>
      <c r="D493" t="s">
        <v>19</v>
      </c>
      <c r="E493">
        <v>1</v>
      </c>
      <c r="F493">
        <v>135000</v>
      </c>
      <c r="G493" t="s">
        <v>31</v>
      </c>
      <c r="H493" t="s">
        <v>27</v>
      </c>
      <c r="I493" t="s">
        <v>33</v>
      </c>
      <c r="J493" t="s">
        <v>24</v>
      </c>
      <c r="K493" s="6">
        <f t="shared" ca="1" si="36"/>
        <v>31526</v>
      </c>
      <c r="L493">
        <v>-14235</v>
      </c>
      <c r="M493" s="7">
        <f t="shared" ca="1" si="34"/>
        <v>38.973305954825463</v>
      </c>
      <c r="N493" s="5" t="str">
        <f ca="1">VLOOKUP(Data!M493,temp!$B$3:$C$9,2,1)</f>
        <v>30-40</v>
      </c>
      <c r="O493">
        <v>-1189</v>
      </c>
      <c r="P493" s="8">
        <f t="shared" si="35"/>
        <v>3.2553045859000687</v>
      </c>
      <c r="Q493" s="5" t="str">
        <f t="shared" si="37"/>
        <v>Employed</v>
      </c>
      <c r="R493">
        <v>1</v>
      </c>
      <c r="S493">
        <v>0</v>
      </c>
      <c r="T493">
        <v>0</v>
      </c>
      <c r="U493">
        <v>0</v>
      </c>
      <c r="V493" t="s">
        <v>39</v>
      </c>
      <c r="W493">
        <v>2</v>
      </c>
    </row>
    <row r="494" spans="1:23" x14ac:dyDescent="0.2">
      <c r="A494">
        <v>5023858</v>
      </c>
      <c r="B494" t="s">
        <v>18</v>
      </c>
      <c r="C494" t="s">
        <v>20</v>
      </c>
      <c r="D494" t="s">
        <v>20</v>
      </c>
      <c r="E494">
        <v>0</v>
      </c>
      <c r="F494">
        <v>450000</v>
      </c>
      <c r="G494" t="s">
        <v>35</v>
      </c>
      <c r="H494" t="s">
        <v>22</v>
      </c>
      <c r="I494" t="s">
        <v>28</v>
      </c>
      <c r="J494" t="s">
        <v>24</v>
      </c>
      <c r="K494" s="6">
        <f t="shared" ca="1" si="36"/>
        <v>26024</v>
      </c>
      <c r="L494">
        <v>-19737</v>
      </c>
      <c r="M494" s="7">
        <f t="shared" ca="1" si="34"/>
        <v>54.036960985626287</v>
      </c>
      <c r="N494" s="5" t="str">
        <f ca="1">VLOOKUP(Data!M494,temp!$B$3:$C$9,2,1)</f>
        <v>50-60</v>
      </c>
      <c r="O494">
        <v>-5359</v>
      </c>
      <c r="P494" s="8">
        <f t="shared" si="35"/>
        <v>14.67214236824093</v>
      </c>
      <c r="Q494" s="5" t="str">
        <f t="shared" si="37"/>
        <v>Employed</v>
      </c>
      <c r="R494">
        <v>1</v>
      </c>
      <c r="S494">
        <v>0</v>
      </c>
      <c r="T494">
        <v>0</v>
      </c>
      <c r="U494">
        <v>0</v>
      </c>
      <c r="W494">
        <v>2</v>
      </c>
    </row>
    <row r="495" spans="1:23" x14ac:dyDescent="0.2">
      <c r="A495">
        <v>5023874</v>
      </c>
      <c r="B495" t="s">
        <v>18</v>
      </c>
      <c r="C495" t="s">
        <v>19</v>
      </c>
      <c r="D495" t="s">
        <v>20</v>
      </c>
      <c r="E495">
        <v>0</v>
      </c>
      <c r="F495">
        <v>180000</v>
      </c>
      <c r="G495" t="s">
        <v>26</v>
      </c>
      <c r="H495" t="s">
        <v>27</v>
      </c>
      <c r="I495" t="s">
        <v>33</v>
      </c>
      <c r="J495" t="s">
        <v>24</v>
      </c>
      <c r="K495" s="6">
        <f t="shared" ca="1" si="36"/>
        <v>26816</v>
      </c>
      <c r="L495">
        <v>-18945</v>
      </c>
      <c r="M495" s="7">
        <f t="shared" ca="1" si="34"/>
        <v>51.868583162217661</v>
      </c>
      <c r="N495" s="5" t="str">
        <f ca="1">VLOOKUP(Data!M495,temp!$B$3:$C$9,2,1)</f>
        <v>50-60</v>
      </c>
      <c r="O495">
        <v>-1677</v>
      </c>
      <c r="P495" s="8">
        <f t="shared" si="35"/>
        <v>4.5913757700205338</v>
      </c>
      <c r="Q495" s="5" t="str">
        <f t="shared" si="37"/>
        <v>Employed</v>
      </c>
      <c r="R495">
        <v>1</v>
      </c>
      <c r="S495">
        <v>1</v>
      </c>
      <c r="T495">
        <v>0</v>
      </c>
      <c r="U495">
        <v>0</v>
      </c>
      <c r="V495" t="s">
        <v>32</v>
      </c>
      <c r="W495">
        <v>1</v>
      </c>
    </row>
    <row r="496" spans="1:23" x14ac:dyDescent="0.2">
      <c r="A496">
        <v>5023890</v>
      </c>
      <c r="B496" t="s">
        <v>18</v>
      </c>
      <c r="C496" t="s">
        <v>19</v>
      </c>
      <c r="D496" t="s">
        <v>20</v>
      </c>
      <c r="E496">
        <v>0</v>
      </c>
      <c r="F496">
        <v>189000</v>
      </c>
      <c r="G496" t="s">
        <v>31</v>
      </c>
      <c r="H496" t="s">
        <v>27</v>
      </c>
      <c r="I496" t="s">
        <v>23</v>
      </c>
      <c r="J496" t="s">
        <v>24</v>
      </c>
      <c r="K496" s="6">
        <f t="shared" ca="1" si="36"/>
        <v>28626</v>
      </c>
      <c r="L496">
        <v>-17135</v>
      </c>
      <c r="M496" s="7">
        <f t="shared" ca="1" si="34"/>
        <v>46.913073237508556</v>
      </c>
      <c r="N496" s="5" t="str">
        <f ca="1">VLOOKUP(Data!M496,temp!$B$3:$C$9,2,1)</f>
        <v>40-50</v>
      </c>
      <c r="O496">
        <v>-93</v>
      </c>
      <c r="P496" s="8">
        <f t="shared" si="35"/>
        <v>0.25462012320328542</v>
      </c>
      <c r="Q496" s="5" t="str">
        <f t="shared" si="37"/>
        <v>Employed</v>
      </c>
      <c r="R496">
        <v>1</v>
      </c>
      <c r="S496">
        <v>1</v>
      </c>
      <c r="T496">
        <v>1</v>
      </c>
      <c r="U496">
        <v>0</v>
      </c>
      <c r="W496">
        <v>1</v>
      </c>
    </row>
    <row r="497" spans="1:23" x14ac:dyDescent="0.2">
      <c r="A497">
        <v>5023892</v>
      </c>
      <c r="B497" t="s">
        <v>18</v>
      </c>
      <c r="C497" t="s">
        <v>19</v>
      </c>
      <c r="D497" t="s">
        <v>20</v>
      </c>
      <c r="E497">
        <v>2</v>
      </c>
      <c r="F497">
        <v>85500</v>
      </c>
      <c r="G497" t="s">
        <v>31</v>
      </c>
      <c r="H497" t="s">
        <v>22</v>
      </c>
      <c r="I497" t="s">
        <v>28</v>
      </c>
      <c r="J497" t="s">
        <v>24</v>
      </c>
      <c r="K497" s="6">
        <f t="shared" ca="1" si="36"/>
        <v>33601</v>
      </c>
      <c r="L497">
        <v>-12160</v>
      </c>
      <c r="M497" s="7">
        <f t="shared" ca="1" si="34"/>
        <v>33.29226557152635</v>
      </c>
      <c r="N497" s="5" t="str">
        <f ca="1">VLOOKUP(Data!M497,temp!$B$3:$C$9,2,1)</f>
        <v>30-40</v>
      </c>
      <c r="O497">
        <v>-458</v>
      </c>
      <c r="P497" s="8">
        <f t="shared" si="35"/>
        <v>1.2539356605065024</v>
      </c>
      <c r="Q497" s="5" t="str">
        <f t="shared" si="37"/>
        <v>Employed</v>
      </c>
      <c r="R497">
        <v>1</v>
      </c>
      <c r="S497">
        <v>0</v>
      </c>
      <c r="T497">
        <v>0</v>
      </c>
      <c r="U497">
        <v>0</v>
      </c>
      <c r="W497">
        <v>4</v>
      </c>
    </row>
    <row r="498" spans="1:23" x14ac:dyDescent="0.2">
      <c r="A498">
        <v>5023900</v>
      </c>
      <c r="B498" t="s">
        <v>18</v>
      </c>
      <c r="C498" t="s">
        <v>19</v>
      </c>
      <c r="D498" t="s">
        <v>20</v>
      </c>
      <c r="E498">
        <v>0</v>
      </c>
      <c r="F498">
        <v>225000</v>
      </c>
      <c r="G498" t="s">
        <v>26</v>
      </c>
      <c r="H498" t="s">
        <v>22</v>
      </c>
      <c r="I498" t="s">
        <v>28</v>
      </c>
      <c r="J498" t="s">
        <v>24</v>
      </c>
      <c r="K498" s="6">
        <f t="shared" ca="1" si="36"/>
        <v>35911</v>
      </c>
      <c r="L498">
        <v>-9850</v>
      </c>
      <c r="M498" s="7">
        <f t="shared" ca="1" si="34"/>
        <v>26.967830253251197</v>
      </c>
      <c r="N498" s="5" t="str">
        <f ca="1">VLOOKUP(Data!M498,temp!$B$3:$C$9,2,1)</f>
        <v>20-30</v>
      </c>
      <c r="O498">
        <v>-246</v>
      </c>
      <c r="P498" s="8">
        <f t="shared" si="35"/>
        <v>0.67351129363449691</v>
      </c>
      <c r="Q498" s="5" t="str">
        <f t="shared" si="37"/>
        <v>Employed</v>
      </c>
      <c r="R498">
        <v>1</v>
      </c>
      <c r="S498">
        <v>0</v>
      </c>
      <c r="T498">
        <v>0</v>
      </c>
      <c r="U498">
        <v>0</v>
      </c>
      <c r="W498">
        <v>2</v>
      </c>
    </row>
    <row r="499" spans="1:23" x14ac:dyDescent="0.2">
      <c r="A499">
        <v>5023906</v>
      </c>
      <c r="B499" t="s">
        <v>18</v>
      </c>
      <c r="C499" t="s">
        <v>19</v>
      </c>
      <c r="D499" t="s">
        <v>20</v>
      </c>
      <c r="E499">
        <v>0</v>
      </c>
      <c r="F499">
        <v>99000</v>
      </c>
      <c r="G499" t="s">
        <v>21</v>
      </c>
      <c r="H499" t="s">
        <v>27</v>
      </c>
      <c r="I499" t="s">
        <v>28</v>
      </c>
      <c r="J499" t="s">
        <v>24</v>
      </c>
      <c r="K499" s="6">
        <f t="shared" ca="1" si="36"/>
        <v>23104</v>
      </c>
      <c r="L499">
        <v>-22657</v>
      </c>
      <c r="M499" s="7">
        <f t="shared" ca="1" si="34"/>
        <v>62.031485284052017</v>
      </c>
      <c r="N499" s="5" t="str">
        <f ca="1">VLOOKUP(Data!M499,temp!$B$3:$C$9,2,1)</f>
        <v>60-70</v>
      </c>
      <c r="O499">
        <v>365243</v>
      </c>
      <c r="P499" s="8">
        <f t="shared" si="35"/>
        <v>0</v>
      </c>
      <c r="Q499" s="5" t="str">
        <f t="shared" si="37"/>
        <v>Unemployed</v>
      </c>
      <c r="R499">
        <v>1</v>
      </c>
      <c r="S499">
        <v>0</v>
      </c>
      <c r="T499">
        <v>1</v>
      </c>
      <c r="U499">
        <v>0</v>
      </c>
      <c r="W499">
        <v>2</v>
      </c>
    </row>
    <row r="500" spans="1:23" x14ac:dyDescent="0.2">
      <c r="A500">
        <v>5023917</v>
      </c>
      <c r="B500" t="s">
        <v>25</v>
      </c>
      <c r="C500" t="s">
        <v>20</v>
      </c>
      <c r="D500" t="s">
        <v>19</v>
      </c>
      <c r="E500">
        <v>1</v>
      </c>
      <c r="F500">
        <v>225000</v>
      </c>
      <c r="G500" t="s">
        <v>31</v>
      </c>
      <c r="H500" t="s">
        <v>27</v>
      </c>
      <c r="I500" t="s">
        <v>37</v>
      </c>
      <c r="J500" t="s">
        <v>24</v>
      </c>
      <c r="K500" s="6">
        <f t="shared" ca="1" si="36"/>
        <v>29588</v>
      </c>
      <c r="L500">
        <v>-16173</v>
      </c>
      <c r="M500" s="7">
        <f t="shared" ca="1" si="34"/>
        <v>44.279260780287473</v>
      </c>
      <c r="N500" s="5" t="str">
        <f ca="1">VLOOKUP(Data!M500,temp!$B$3:$C$9,2,1)</f>
        <v>40-50</v>
      </c>
      <c r="O500">
        <v>-2862</v>
      </c>
      <c r="P500" s="8">
        <f t="shared" si="35"/>
        <v>7.8357289527720742</v>
      </c>
      <c r="Q500" s="5" t="str">
        <f t="shared" si="37"/>
        <v>Employed</v>
      </c>
      <c r="R500">
        <v>1</v>
      </c>
      <c r="S500">
        <v>0</v>
      </c>
      <c r="T500">
        <v>0</v>
      </c>
      <c r="U500">
        <v>0</v>
      </c>
      <c r="V500" t="s">
        <v>32</v>
      </c>
      <c r="W500">
        <v>3</v>
      </c>
    </row>
    <row r="501" spans="1:23" x14ac:dyDescent="0.2">
      <c r="A501">
        <v>5023920</v>
      </c>
      <c r="B501" t="s">
        <v>25</v>
      </c>
      <c r="C501" t="s">
        <v>20</v>
      </c>
      <c r="D501" t="s">
        <v>19</v>
      </c>
      <c r="E501">
        <v>1</v>
      </c>
      <c r="F501">
        <v>225000</v>
      </c>
      <c r="G501" t="s">
        <v>31</v>
      </c>
      <c r="H501" t="s">
        <v>27</v>
      </c>
      <c r="I501" t="s">
        <v>37</v>
      </c>
      <c r="J501" t="s">
        <v>24</v>
      </c>
      <c r="K501" s="6">
        <f t="shared" ca="1" si="36"/>
        <v>29588</v>
      </c>
      <c r="L501">
        <v>-16173</v>
      </c>
      <c r="M501" s="7">
        <f t="shared" ca="1" si="34"/>
        <v>44.279260780287473</v>
      </c>
      <c r="N501" s="5" t="str">
        <f ca="1">VLOOKUP(Data!M501,temp!$B$3:$C$9,2,1)</f>
        <v>40-50</v>
      </c>
      <c r="O501">
        <v>-2862</v>
      </c>
      <c r="P501" s="8">
        <f t="shared" si="35"/>
        <v>7.8357289527720742</v>
      </c>
      <c r="Q501" s="5" t="str">
        <f t="shared" si="37"/>
        <v>Employed</v>
      </c>
      <c r="R501">
        <v>1</v>
      </c>
      <c r="S501">
        <v>0</v>
      </c>
      <c r="T501">
        <v>0</v>
      </c>
      <c r="U501">
        <v>0</v>
      </c>
      <c r="V501" t="s">
        <v>32</v>
      </c>
      <c r="W501">
        <v>3</v>
      </c>
    </row>
    <row r="502" spans="1:23" x14ac:dyDescent="0.2">
      <c r="A502">
        <v>5023932</v>
      </c>
      <c r="B502" t="s">
        <v>18</v>
      </c>
      <c r="C502" t="s">
        <v>19</v>
      </c>
      <c r="D502" t="s">
        <v>20</v>
      </c>
      <c r="E502">
        <v>2</v>
      </c>
      <c r="F502">
        <v>135000</v>
      </c>
      <c r="G502" t="s">
        <v>31</v>
      </c>
      <c r="H502" t="s">
        <v>27</v>
      </c>
      <c r="I502" t="s">
        <v>23</v>
      </c>
      <c r="J502" t="s">
        <v>24</v>
      </c>
      <c r="K502" s="6">
        <f t="shared" ca="1" si="36"/>
        <v>30887</v>
      </c>
      <c r="L502">
        <v>-14874</v>
      </c>
      <c r="M502" s="7">
        <f t="shared" ca="1" si="34"/>
        <v>40.722792607802873</v>
      </c>
      <c r="N502" s="5" t="str">
        <f ca="1">VLOOKUP(Data!M502,temp!$B$3:$C$9,2,1)</f>
        <v>40-50</v>
      </c>
      <c r="O502">
        <v>-2407</v>
      </c>
      <c r="P502" s="8">
        <f t="shared" si="35"/>
        <v>6.5900068446269682</v>
      </c>
      <c r="Q502" s="5" t="str">
        <f t="shared" si="37"/>
        <v>Employed</v>
      </c>
      <c r="R502">
        <v>1</v>
      </c>
      <c r="S502">
        <v>0</v>
      </c>
      <c r="T502">
        <v>0</v>
      </c>
      <c r="U502">
        <v>0</v>
      </c>
      <c r="V502" t="s">
        <v>38</v>
      </c>
      <c r="W502">
        <v>3</v>
      </c>
    </row>
    <row r="503" spans="1:23" x14ac:dyDescent="0.2">
      <c r="A503">
        <v>5023940</v>
      </c>
      <c r="B503" t="s">
        <v>25</v>
      </c>
      <c r="C503" t="s">
        <v>20</v>
      </c>
      <c r="D503" t="s">
        <v>20</v>
      </c>
      <c r="E503">
        <v>1</v>
      </c>
      <c r="F503">
        <v>157500</v>
      </c>
      <c r="G503" t="s">
        <v>26</v>
      </c>
      <c r="H503" t="s">
        <v>27</v>
      </c>
      <c r="I503" t="s">
        <v>28</v>
      </c>
      <c r="J503" t="s">
        <v>24</v>
      </c>
      <c r="K503" s="6">
        <f t="shared" ca="1" si="36"/>
        <v>36695</v>
      </c>
      <c r="L503">
        <v>-9066</v>
      </c>
      <c r="M503" s="7">
        <f t="shared" ca="1" si="34"/>
        <v>24.821355236139631</v>
      </c>
      <c r="N503" s="5" t="str">
        <f ca="1">VLOOKUP(Data!M503,temp!$B$3:$C$9,2,1)</f>
        <v>20-30</v>
      </c>
      <c r="O503">
        <v>-2407</v>
      </c>
      <c r="P503" s="8">
        <f t="shared" si="35"/>
        <v>6.5900068446269682</v>
      </c>
      <c r="Q503" s="5" t="str">
        <f t="shared" si="37"/>
        <v>Employed</v>
      </c>
      <c r="R503">
        <v>1</v>
      </c>
      <c r="S503">
        <v>0</v>
      </c>
      <c r="T503">
        <v>0</v>
      </c>
      <c r="U503">
        <v>0</v>
      </c>
      <c r="V503" t="s">
        <v>55</v>
      </c>
      <c r="W503">
        <v>3</v>
      </c>
    </row>
    <row r="504" spans="1:23" x14ac:dyDescent="0.2">
      <c r="A504">
        <v>5023941</v>
      </c>
      <c r="B504" t="s">
        <v>25</v>
      </c>
      <c r="C504" t="s">
        <v>20</v>
      </c>
      <c r="D504" t="s">
        <v>20</v>
      </c>
      <c r="E504">
        <v>1</v>
      </c>
      <c r="F504">
        <v>157500</v>
      </c>
      <c r="G504" t="s">
        <v>26</v>
      </c>
      <c r="H504" t="s">
        <v>27</v>
      </c>
      <c r="I504" t="s">
        <v>28</v>
      </c>
      <c r="J504" t="s">
        <v>24</v>
      </c>
      <c r="K504" s="6">
        <f t="shared" ca="1" si="36"/>
        <v>36695</v>
      </c>
      <c r="L504">
        <v>-9066</v>
      </c>
      <c r="M504" s="7">
        <f t="shared" ca="1" si="34"/>
        <v>24.821355236139631</v>
      </c>
      <c r="N504" s="5" t="str">
        <f ca="1">VLOOKUP(Data!M504,temp!$B$3:$C$9,2,1)</f>
        <v>20-30</v>
      </c>
      <c r="O504">
        <v>-2407</v>
      </c>
      <c r="P504" s="8">
        <f t="shared" si="35"/>
        <v>6.5900068446269682</v>
      </c>
      <c r="Q504" s="5" t="str">
        <f t="shared" si="37"/>
        <v>Employed</v>
      </c>
      <c r="R504">
        <v>1</v>
      </c>
      <c r="S504">
        <v>0</v>
      </c>
      <c r="T504">
        <v>0</v>
      </c>
      <c r="U504">
        <v>0</v>
      </c>
      <c r="V504" t="s">
        <v>55</v>
      </c>
      <c r="W504">
        <v>3</v>
      </c>
    </row>
    <row r="505" spans="1:23" x14ac:dyDescent="0.2">
      <c r="A505">
        <v>5023942</v>
      </c>
      <c r="B505" t="s">
        <v>25</v>
      </c>
      <c r="C505" t="s">
        <v>20</v>
      </c>
      <c r="D505" t="s">
        <v>20</v>
      </c>
      <c r="E505">
        <v>1</v>
      </c>
      <c r="F505">
        <v>157500</v>
      </c>
      <c r="G505" t="s">
        <v>26</v>
      </c>
      <c r="H505" t="s">
        <v>27</v>
      </c>
      <c r="I505" t="s">
        <v>28</v>
      </c>
      <c r="J505" t="s">
        <v>24</v>
      </c>
      <c r="K505" s="6">
        <f t="shared" ca="1" si="36"/>
        <v>36695</v>
      </c>
      <c r="L505">
        <v>-9066</v>
      </c>
      <c r="M505" s="7">
        <f t="shared" ca="1" si="34"/>
        <v>24.821355236139631</v>
      </c>
      <c r="N505" s="5" t="str">
        <f ca="1">VLOOKUP(Data!M505,temp!$B$3:$C$9,2,1)</f>
        <v>20-30</v>
      </c>
      <c r="O505">
        <v>-2407</v>
      </c>
      <c r="P505" s="8">
        <f t="shared" si="35"/>
        <v>6.5900068446269682</v>
      </c>
      <c r="Q505" s="5" t="str">
        <f t="shared" si="37"/>
        <v>Employed</v>
      </c>
      <c r="R505">
        <v>1</v>
      </c>
      <c r="S505">
        <v>0</v>
      </c>
      <c r="T505">
        <v>0</v>
      </c>
      <c r="U505">
        <v>0</v>
      </c>
      <c r="V505" t="s">
        <v>55</v>
      </c>
      <c r="W505">
        <v>3</v>
      </c>
    </row>
    <row r="506" spans="1:23" x14ac:dyDescent="0.2">
      <c r="A506">
        <v>5023943</v>
      </c>
      <c r="B506" t="s">
        <v>18</v>
      </c>
      <c r="C506" t="s">
        <v>19</v>
      </c>
      <c r="D506" t="s">
        <v>20</v>
      </c>
      <c r="E506">
        <v>0</v>
      </c>
      <c r="F506">
        <v>90000</v>
      </c>
      <c r="G506" t="s">
        <v>31</v>
      </c>
      <c r="H506" t="s">
        <v>27</v>
      </c>
      <c r="I506" t="s">
        <v>28</v>
      </c>
      <c r="J506" t="s">
        <v>24</v>
      </c>
      <c r="K506" s="6">
        <f t="shared" ca="1" si="36"/>
        <v>31182</v>
      </c>
      <c r="L506">
        <v>-14579</v>
      </c>
      <c r="M506" s="7">
        <f t="shared" ca="1" si="34"/>
        <v>39.915126625598901</v>
      </c>
      <c r="N506" s="5" t="str">
        <f ca="1">VLOOKUP(Data!M506,temp!$B$3:$C$9,2,1)</f>
        <v>30-40</v>
      </c>
      <c r="O506">
        <v>-185</v>
      </c>
      <c r="P506" s="8">
        <f t="shared" si="35"/>
        <v>0.50650239561943877</v>
      </c>
      <c r="Q506" s="5" t="str">
        <f t="shared" si="37"/>
        <v>Employed</v>
      </c>
      <c r="R506">
        <v>1</v>
      </c>
      <c r="S506">
        <v>0</v>
      </c>
      <c r="T506">
        <v>1</v>
      </c>
      <c r="U506">
        <v>0</v>
      </c>
      <c r="V506" t="s">
        <v>29</v>
      </c>
      <c r="W506">
        <v>2</v>
      </c>
    </row>
    <row r="507" spans="1:23" x14ac:dyDescent="0.2">
      <c r="A507">
        <v>5023944</v>
      </c>
      <c r="B507" t="s">
        <v>25</v>
      </c>
      <c r="C507" t="s">
        <v>20</v>
      </c>
      <c r="D507" t="s">
        <v>20</v>
      </c>
      <c r="E507">
        <v>1</v>
      </c>
      <c r="F507">
        <v>148500</v>
      </c>
      <c r="G507" t="s">
        <v>31</v>
      </c>
      <c r="H507" t="s">
        <v>27</v>
      </c>
      <c r="I507" t="s">
        <v>28</v>
      </c>
      <c r="J507" t="s">
        <v>24</v>
      </c>
      <c r="K507" s="6">
        <f t="shared" ca="1" si="36"/>
        <v>30799</v>
      </c>
      <c r="L507">
        <v>-14962</v>
      </c>
      <c r="M507" s="7">
        <f t="shared" ca="1" si="34"/>
        <v>40.963723477070502</v>
      </c>
      <c r="N507" s="5" t="str">
        <f ca="1">VLOOKUP(Data!M507,temp!$B$3:$C$9,2,1)</f>
        <v>40-50</v>
      </c>
      <c r="O507">
        <v>-5176</v>
      </c>
      <c r="P507" s="8">
        <f t="shared" si="35"/>
        <v>14.171115674195756</v>
      </c>
      <c r="Q507" s="5" t="str">
        <f t="shared" si="37"/>
        <v>Employed</v>
      </c>
      <c r="R507">
        <v>1</v>
      </c>
      <c r="S507">
        <v>0</v>
      </c>
      <c r="T507">
        <v>0</v>
      </c>
      <c r="U507">
        <v>0</v>
      </c>
      <c r="V507" t="s">
        <v>29</v>
      </c>
      <c r="W507">
        <v>3</v>
      </c>
    </row>
    <row r="508" spans="1:23" x14ac:dyDescent="0.2">
      <c r="A508">
        <v>5023953</v>
      </c>
      <c r="B508" t="s">
        <v>25</v>
      </c>
      <c r="C508" t="s">
        <v>20</v>
      </c>
      <c r="D508" t="s">
        <v>20</v>
      </c>
      <c r="E508">
        <v>1</v>
      </c>
      <c r="F508">
        <v>148500</v>
      </c>
      <c r="G508" t="s">
        <v>31</v>
      </c>
      <c r="H508" t="s">
        <v>27</v>
      </c>
      <c r="I508" t="s">
        <v>28</v>
      </c>
      <c r="J508" t="s">
        <v>24</v>
      </c>
      <c r="K508" s="6">
        <f t="shared" ca="1" si="36"/>
        <v>30799</v>
      </c>
      <c r="L508">
        <v>-14962</v>
      </c>
      <c r="M508" s="7">
        <f t="shared" ca="1" si="34"/>
        <v>40.963723477070502</v>
      </c>
      <c r="N508" s="5" t="str">
        <f ca="1">VLOOKUP(Data!M508,temp!$B$3:$C$9,2,1)</f>
        <v>40-50</v>
      </c>
      <c r="O508">
        <v>-5176</v>
      </c>
      <c r="P508" s="8">
        <f t="shared" si="35"/>
        <v>14.171115674195756</v>
      </c>
      <c r="Q508" s="5" t="str">
        <f t="shared" si="37"/>
        <v>Employed</v>
      </c>
      <c r="R508">
        <v>1</v>
      </c>
      <c r="S508">
        <v>0</v>
      </c>
      <c r="T508">
        <v>0</v>
      </c>
      <c r="U508">
        <v>0</v>
      </c>
      <c r="V508" t="s">
        <v>29</v>
      </c>
      <c r="W508">
        <v>3</v>
      </c>
    </row>
    <row r="509" spans="1:23" x14ac:dyDescent="0.2">
      <c r="A509">
        <v>5023984</v>
      </c>
      <c r="B509" t="s">
        <v>25</v>
      </c>
      <c r="C509" t="s">
        <v>20</v>
      </c>
      <c r="D509" t="s">
        <v>20</v>
      </c>
      <c r="E509">
        <v>2</v>
      </c>
      <c r="F509">
        <v>225000</v>
      </c>
      <c r="G509" t="s">
        <v>31</v>
      </c>
      <c r="H509" t="s">
        <v>27</v>
      </c>
      <c r="I509" t="s">
        <v>28</v>
      </c>
      <c r="J509" t="s">
        <v>24</v>
      </c>
      <c r="K509" s="6">
        <f t="shared" ca="1" si="36"/>
        <v>36000</v>
      </c>
      <c r="L509">
        <v>-9761</v>
      </c>
      <c r="M509" s="7">
        <f t="shared" ca="1" si="34"/>
        <v>26.72416153319644</v>
      </c>
      <c r="N509" s="5" t="str">
        <f ca="1">VLOOKUP(Data!M509,temp!$B$3:$C$9,2,1)</f>
        <v>20-30</v>
      </c>
      <c r="O509">
        <v>-854</v>
      </c>
      <c r="P509" s="8">
        <f t="shared" si="35"/>
        <v>2.3381245722108144</v>
      </c>
      <c r="Q509" s="5" t="str">
        <f t="shared" si="37"/>
        <v>Employed</v>
      </c>
      <c r="R509">
        <v>1</v>
      </c>
      <c r="S509">
        <v>1</v>
      </c>
      <c r="T509">
        <v>1</v>
      </c>
      <c r="U509">
        <v>0</v>
      </c>
      <c r="V509" t="s">
        <v>29</v>
      </c>
      <c r="W509">
        <v>4</v>
      </c>
    </row>
    <row r="510" spans="1:23" x14ac:dyDescent="0.2">
      <c r="A510">
        <v>5023987</v>
      </c>
      <c r="B510" t="s">
        <v>25</v>
      </c>
      <c r="C510" t="s">
        <v>20</v>
      </c>
      <c r="D510" t="s">
        <v>20</v>
      </c>
      <c r="E510">
        <v>2</v>
      </c>
      <c r="F510">
        <v>225000</v>
      </c>
      <c r="G510" t="s">
        <v>31</v>
      </c>
      <c r="H510" t="s">
        <v>27</v>
      </c>
      <c r="I510" t="s">
        <v>28</v>
      </c>
      <c r="J510" t="s">
        <v>24</v>
      </c>
      <c r="K510" s="6">
        <f t="shared" ca="1" si="36"/>
        <v>36000</v>
      </c>
      <c r="L510">
        <v>-9761</v>
      </c>
      <c r="M510" s="7">
        <f t="shared" ca="1" si="34"/>
        <v>26.72416153319644</v>
      </c>
      <c r="N510" s="5" t="str">
        <f ca="1">VLOOKUP(Data!M510,temp!$B$3:$C$9,2,1)</f>
        <v>20-30</v>
      </c>
      <c r="O510">
        <v>-854</v>
      </c>
      <c r="P510" s="8">
        <f t="shared" si="35"/>
        <v>2.3381245722108144</v>
      </c>
      <c r="Q510" s="5" t="str">
        <f t="shared" si="37"/>
        <v>Employed</v>
      </c>
      <c r="R510">
        <v>1</v>
      </c>
      <c r="S510">
        <v>1</v>
      </c>
      <c r="T510">
        <v>1</v>
      </c>
      <c r="U510">
        <v>0</v>
      </c>
      <c r="V510" t="s">
        <v>29</v>
      </c>
      <c r="W510">
        <v>4</v>
      </c>
    </row>
    <row r="511" spans="1:23" x14ac:dyDescent="0.2">
      <c r="A511">
        <v>5024002</v>
      </c>
      <c r="B511" t="s">
        <v>25</v>
      </c>
      <c r="C511" t="s">
        <v>20</v>
      </c>
      <c r="D511" t="s">
        <v>20</v>
      </c>
      <c r="E511">
        <v>0</v>
      </c>
      <c r="F511">
        <v>315000</v>
      </c>
      <c r="G511" t="s">
        <v>31</v>
      </c>
      <c r="H511" t="s">
        <v>22</v>
      </c>
      <c r="I511" t="s">
        <v>28</v>
      </c>
      <c r="J511" t="s">
        <v>24</v>
      </c>
      <c r="K511" s="6">
        <f t="shared" ca="1" si="36"/>
        <v>34914</v>
      </c>
      <c r="L511">
        <v>-10847</v>
      </c>
      <c r="M511" s="7">
        <f t="shared" ca="1" si="34"/>
        <v>29.697467488021903</v>
      </c>
      <c r="N511" s="5" t="str">
        <f ca="1">VLOOKUP(Data!M511,temp!$B$3:$C$9,2,1)</f>
        <v>20-30</v>
      </c>
      <c r="O511">
        <v>-2712</v>
      </c>
      <c r="P511" s="8">
        <f t="shared" si="35"/>
        <v>7.4250513347022586</v>
      </c>
      <c r="Q511" s="5" t="str">
        <f t="shared" si="37"/>
        <v>Employed</v>
      </c>
      <c r="R511">
        <v>1</v>
      </c>
      <c r="S511">
        <v>0</v>
      </c>
      <c r="T511">
        <v>0</v>
      </c>
      <c r="U511">
        <v>0</v>
      </c>
      <c r="V511" t="s">
        <v>29</v>
      </c>
      <c r="W511">
        <v>2</v>
      </c>
    </row>
    <row r="512" spans="1:23" x14ac:dyDescent="0.2">
      <c r="A512">
        <v>5024005</v>
      </c>
      <c r="B512" t="s">
        <v>25</v>
      </c>
      <c r="C512" t="s">
        <v>20</v>
      </c>
      <c r="D512" t="s">
        <v>20</v>
      </c>
      <c r="E512">
        <v>0</v>
      </c>
      <c r="F512">
        <v>315000</v>
      </c>
      <c r="G512" t="s">
        <v>31</v>
      </c>
      <c r="H512" t="s">
        <v>22</v>
      </c>
      <c r="I512" t="s">
        <v>28</v>
      </c>
      <c r="J512" t="s">
        <v>24</v>
      </c>
      <c r="K512" s="6">
        <f t="shared" ca="1" si="36"/>
        <v>34914</v>
      </c>
      <c r="L512">
        <v>-10847</v>
      </c>
      <c r="M512" s="7">
        <f t="shared" ca="1" si="34"/>
        <v>29.697467488021903</v>
      </c>
      <c r="N512" s="5" t="str">
        <f ca="1">VLOOKUP(Data!M512,temp!$B$3:$C$9,2,1)</f>
        <v>20-30</v>
      </c>
      <c r="O512">
        <v>-2712</v>
      </c>
      <c r="P512" s="8">
        <f t="shared" si="35"/>
        <v>7.4250513347022586</v>
      </c>
      <c r="Q512" s="5" t="str">
        <f t="shared" si="37"/>
        <v>Employed</v>
      </c>
      <c r="R512">
        <v>1</v>
      </c>
      <c r="S512">
        <v>0</v>
      </c>
      <c r="T512">
        <v>0</v>
      </c>
      <c r="U512">
        <v>0</v>
      </c>
      <c r="V512" t="s">
        <v>29</v>
      </c>
      <c r="W512">
        <v>2</v>
      </c>
    </row>
    <row r="513" spans="1:23" x14ac:dyDescent="0.2">
      <c r="A513">
        <v>5024028</v>
      </c>
      <c r="B513" t="s">
        <v>18</v>
      </c>
      <c r="C513" t="s">
        <v>19</v>
      </c>
      <c r="D513" t="s">
        <v>20</v>
      </c>
      <c r="E513">
        <v>2</v>
      </c>
      <c r="F513">
        <v>112500</v>
      </c>
      <c r="G513" t="s">
        <v>31</v>
      </c>
      <c r="H513" t="s">
        <v>27</v>
      </c>
      <c r="I513" t="s">
        <v>28</v>
      </c>
      <c r="J513" t="s">
        <v>41</v>
      </c>
      <c r="K513" s="6">
        <f t="shared" ca="1" si="36"/>
        <v>31149</v>
      </c>
      <c r="L513">
        <v>-14612</v>
      </c>
      <c r="M513" s="7">
        <f t="shared" ca="1" si="34"/>
        <v>40.005475701574262</v>
      </c>
      <c r="N513" s="5" t="str">
        <f ca="1">VLOOKUP(Data!M513,temp!$B$3:$C$9,2,1)</f>
        <v>40-50</v>
      </c>
      <c r="O513">
        <v>-397</v>
      </c>
      <c r="P513" s="8">
        <f t="shared" si="35"/>
        <v>1.0869267624914443</v>
      </c>
      <c r="Q513" s="5" t="str">
        <f t="shared" si="37"/>
        <v>Employed</v>
      </c>
      <c r="R513">
        <v>1</v>
      </c>
      <c r="S513">
        <v>0</v>
      </c>
      <c r="T513">
        <v>0</v>
      </c>
      <c r="U513">
        <v>0</v>
      </c>
      <c r="V513" t="s">
        <v>38</v>
      </c>
      <c r="W513">
        <v>4</v>
      </c>
    </row>
    <row r="514" spans="1:23" x14ac:dyDescent="0.2">
      <c r="A514">
        <v>5024035</v>
      </c>
      <c r="B514" t="s">
        <v>18</v>
      </c>
      <c r="C514" t="s">
        <v>19</v>
      </c>
      <c r="D514" t="s">
        <v>20</v>
      </c>
      <c r="E514">
        <v>2</v>
      </c>
      <c r="F514">
        <v>112500</v>
      </c>
      <c r="G514" t="s">
        <v>31</v>
      </c>
      <c r="H514" t="s">
        <v>27</v>
      </c>
      <c r="I514" t="s">
        <v>28</v>
      </c>
      <c r="J514" t="s">
        <v>41</v>
      </c>
      <c r="K514" s="6">
        <f t="shared" ca="1" si="36"/>
        <v>31149</v>
      </c>
      <c r="L514">
        <v>-14612</v>
      </c>
      <c r="M514" s="7">
        <f t="shared" ca="1" si="34"/>
        <v>40.005475701574262</v>
      </c>
      <c r="N514" s="5" t="str">
        <f ca="1">VLOOKUP(Data!M514,temp!$B$3:$C$9,2,1)</f>
        <v>40-50</v>
      </c>
      <c r="O514">
        <v>-397</v>
      </c>
      <c r="P514" s="8">
        <f t="shared" si="35"/>
        <v>1.0869267624914443</v>
      </c>
      <c r="Q514" s="5" t="str">
        <f t="shared" si="37"/>
        <v>Employed</v>
      </c>
      <c r="R514">
        <v>1</v>
      </c>
      <c r="S514">
        <v>0</v>
      </c>
      <c r="T514">
        <v>0</v>
      </c>
      <c r="U514">
        <v>0</v>
      </c>
      <c r="V514" t="s">
        <v>38</v>
      </c>
      <c r="W514">
        <v>4</v>
      </c>
    </row>
    <row r="515" spans="1:23" x14ac:dyDescent="0.2">
      <c r="A515">
        <v>5024036</v>
      </c>
      <c r="B515" t="s">
        <v>18</v>
      </c>
      <c r="C515" t="s">
        <v>19</v>
      </c>
      <c r="D515" t="s">
        <v>20</v>
      </c>
      <c r="E515">
        <v>2</v>
      </c>
      <c r="F515">
        <v>112500</v>
      </c>
      <c r="G515" t="s">
        <v>31</v>
      </c>
      <c r="H515" t="s">
        <v>27</v>
      </c>
      <c r="I515" t="s">
        <v>28</v>
      </c>
      <c r="J515" t="s">
        <v>41</v>
      </c>
      <c r="K515" s="6">
        <f t="shared" ca="1" si="36"/>
        <v>31149</v>
      </c>
      <c r="L515">
        <v>-14612</v>
      </c>
      <c r="M515" s="7">
        <f t="shared" ref="M515:M578" ca="1" si="38">(TODAY()-K515)/365.25</f>
        <v>40.005475701574262</v>
      </c>
      <c r="N515" s="5" t="str">
        <f ca="1">VLOOKUP(Data!M515,temp!$B$3:$C$9,2,1)</f>
        <v>40-50</v>
      </c>
      <c r="O515">
        <v>-397</v>
      </c>
      <c r="P515" s="8">
        <f t="shared" ref="P515:P578" si="39">IF(O515&lt;=0,ABS(O515)/365.25,0)</f>
        <v>1.0869267624914443</v>
      </c>
      <c r="Q515" s="5" t="str">
        <f t="shared" si="37"/>
        <v>Employed</v>
      </c>
      <c r="R515">
        <v>1</v>
      </c>
      <c r="S515">
        <v>0</v>
      </c>
      <c r="T515">
        <v>0</v>
      </c>
      <c r="U515">
        <v>0</v>
      </c>
      <c r="V515" t="s">
        <v>38</v>
      </c>
      <c r="W515">
        <v>4</v>
      </c>
    </row>
    <row r="516" spans="1:23" x14ac:dyDescent="0.2">
      <c r="A516">
        <v>5024039</v>
      </c>
      <c r="B516" t="s">
        <v>18</v>
      </c>
      <c r="C516" t="s">
        <v>19</v>
      </c>
      <c r="D516" t="s">
        <v>19</v>
      </c>
      <c r="E516">
        <v>0</v>
      </c>
      <c r="F516">
        <v>135000</v>
      </c>
      <c r="G516" t="s">
        <v>31</v>
      </c>
      <c r="H516" t="s">
        <v>27</v>
      </c>
      <c r="I516" t="s">
        <v>28</v>
      </c>
      <c r="J516" t="s">
        <v>24</v>
      </c>
      <c r="K516" s="6">
        <f t="shared" ca="1" si="36"/>
        <v>30302</v>
      </c>
      <c r="L516">
        <v>-15459</v>
      </c>
      <c r="M516" s="7">
        <f t="shared" ca="1" si="38"/>
        <v>42.324435318275157</v>
      </c>
      <c r="N516" s="5" t="str">
        <f ca="1">VLOOKUP(Data!M516,temp!$B$3:$C$9,2,1)</f>
        <v>40-50</v>
      </c>
      <c r="O516">
        <v>-642</v>
      </c>
      <c r="P516" s="8">
        <f t="shared" si="39"/>
        <v>1.7577002053388091</v>
      </c>
      <c r="Q516" s="5" t="str">
        <f t="shared" si="37"/>
        <v>Employed</v>
      </c>
      <c r="R516">
        <v>1</v>
      </c>
      <c r="S516">
        <v>0</v>
      </c>
      <c r="T516">
        <v>0</v>
      </c>
      <c r="U516">
        <v>0</v>
      </c>
      <c r="V516" t="s">
        <v>39</v>
      </c>
      <c r="W516">
        <v>2</v>
      </c>
    </row>
    <row r="517" spans="1:23" x14ac:dyDescent="0.2">
      <c r="A517">
        <v>5024049</v>
      </c>
      <c r="B517" t="s">
        <v>18</v>
      </c>
      <c r="C517" t="s">
        <v>20</v>
      </c>
      <c r="D517" t="s">
        <v>20</v>
      </c>
      <c r="E517">
        <v>1</v>
      </c>
      <c r="F517">
        <v>144000</v>
      </c>
      <c r="G517" t="s">
        <v>31</v>
      </c>
      <c r="H517" t="s">
        <v>22</v>
      </c>
      <c r="I517" t="s">
        <v>28</v>
      </c>
      <c r="J517" t="s">
        <v>24</v>
      </c>
      <c r="K517" s="6">
        <f t="shared" ca="1" si="36"/>
        <v>32858</v>
      </c>
      <c r="L517">
        <v>-12903</v>
      </c>
      <c r="M517" s="7">
        <f t="shared" ca="1" si="38"/>
        <v>35.326488706365502</v>
      </c>
      <c r="N517" s="5" t="str">
        <f ca="1">VLOOKUP(Data!M517,temp!$B$3:$C$9,2,1)</f>
        <v>30-40</v>
      </c>
      <c r="O517">
        <v>-2924</v>
      </c>
      <c r="P517" s="8">
        <f t="shared" si="39"/>
        <v>8.0054757015742641</v>
      </c>
      <c r="Q517" s="5" t="str">
        <f t="shared" si="37"/>
        <v>Employed</v>
      </c>
      <c r="R517">
        <v>1</v>
      </c>
      <c r="S517">
        <v>0</v>
      </c>
      <c r="T517">
        <v>0</v>
      </c>
      <c r="U517">
        <v>0</v>
      </c>
      <c r="V517" t="s">
        <v>44</v>
      </c>
      <c r="W517">
        <v>3</v>
      </c>
    </row>
    <row r="518" spans="1:23" x14ac:dyDescent="0.2">
      <c r="A518">
        <v>5024054</v>
      </c>
      <c r="B518" t="s">
        <v>18</v>
      </c>
      <c r="C518" t="s">
        <v>19</v>
      </c>
      <c r="D518" t="s">
        <v>20</v>
      </c>
      <c r="E518">
        <v>1</v>
      </c>
      <c r="F518">
        <v>108000</v>
      </c>
      <c r="G518" t="s">
        <v>31</v>
      </c>
      <c r="H518" t="s">
        <v>27</v>
      </c>
      <c r="I518" t="s">
        <v>28</v>
      </c>
      <c r="J518" t="s">
        <v>24</v>
      </c>
      <c r="K518" s="6">
        <f t="shared" ca="1" si="36"/>
        <v>32749</v>
      </c>
      <c r="L518">
        <v>-13012</v>
      </c>
      <c r="M518" s="7">
        <f t="shared" ca="1" si="38"/>
        <v>35.624914442162904</v>
      </c>
      <c r="N518" s="5" t="str">
        <f ca="1">VLOOKUP(Data!M518,temp!$B$3:$C$9,2,1)</f>
        <v>30-40</v>
      </c>
      <c r="O518">
        <v>-1342</v>
      </c>
      <c r="P518" s="8">
        <f t="shared" si="39"/>
        <v>3.6741957563312799</v>
      </c>
      <c r="Q518" s="5" t="str">
        <f t="shared" si="37"/>
        <v>Employed</v>
      </c>
      <c r="R518">
        <v>1</v>
      </c>
      <c r="S518">
        <v>0</v>
      </c>
      <c r="T518">
        <v>1</v>
      </c>
      <c r="U518">
        <v>0</v>
      </c>
      <c r="V518" t="s">
        <v>39</v>
      </c>
      <c r="W518">
        <v>3</v>
      </c>
    </row>
    <row r="519" spans="1:23" x14ac:dyDescent="0.2">
      <c r="A519">
        <v>5024061</v>
      </c>
      <c r="B519" t="s">
        <v>18</v>
      </c>
      <c r="C519" t="s">
        <v>19</v>
      </c>
      <c r="D519" t="s">
        <v>19</v>
      </c>
      <c r="E519">
        <v>3</v>
      </c>
      <c r="F519">
        <v>135000</v>
      </c>
      <c r="G519" t="s">
        <v>26</v>
      </c>
      <c r="H519" t="s">
        <v>27</v>
      </c>
      <c r="I519" t="s">
        <v>28</v>
      </c>
      <c r="J519" t="s">
        <v>24</v>
      </c>
      <c r="K519" s="6">
        <f t="shared" ca="1" si="36"/>
        <v>34781</v>
      </c>
      <c r="L519">
        <v>-10980</v>
      </c>
      <c r="M519" s="7">
        <f t="shared" ca="1" si="38"/>
        <v>30.061601642710471</v>
      </c>
      <c r="N519" s="5" t="str">
        <f ca="1">VLOOKUP(Data!M519,temp!$B$3:$C$9,2,1)</f>
        <v>30-40</v>
      </c>
      <c r="O519">
        <v>-2893</v>
      </c>
      <c r="P519" s="8">
        <f t="shared" si="39"/>
        <v>7.9206023271731691</v>
      </c>
      <c r="Q519" s="5" t="str">
        <f t="shared" si="37"/>
        <v>Employed</v>
      </c>
      <c r="R519">
        <v>1</v>
      </c>
      <c r="S519">
        <v>0</v>
      </c>
      <c r="T519">
        <v>0</v>
      </c>
      <c r="U519">
        <v>0</v>
      </c>
      <c r="V519" t="s">
        <v>38</v>
      </c>
      <c r="W519">
        <v>5</v>
      </c>
    </row>
    <row r="520" spans="1:23" x14ac:dyDescent="0.2">
      <c r="A520">
        <v>5024063</v>
      </c>
      <c r="B520" t="s">
        <v>25</v>
      </c>
      <c r="C520" t="s">
        <v>19</v>
      </c>
      <c r="D520" t="s">
        <v>19</v>
      </c>
      <c r="E520">
        <v>3</v>
      </c>
      <c r="F520">
        <v>135000</v>
      </c>
      <c r="G520" t="s">
        <v>26</v>
      </c>
      <c r="H520" t="s">
        <v>27</v>
      </c>
      <c r="I520" t="s">
        <v>28</v>
      </c>
      <c r="J520" t="s">
        <v>24</v>
      </c>
      <c r="K520" s="6">
        <f t="shared" ref="K520:K583" ca="1" si="40">TODAY()+($L520)</f>
        <v>34781</v>
      </c>
      <c r="L520">
        <v>-10980</v>
      </c>
      <c r="M520" s="7">
        <f t="shared" ca="1" si="38"/>
        <v>30.061601642710471</v>
      </c>
      <c r="N520" s="5" t="str">
        <f ca="1">VLOOKUP(Data!M520,temp!$B$3:$C$9,2,1)</f>
        <v>30-40</v>
      </c>
      <c r="O520">
        <v>-2893</v>
      </c>
      <c r="P520" s="8">
        <f t="shared" si="39"/>
        <v>7.9206023271731691</v>
      </c>
      <c r="Q520" s="5" t="str">
        <f t="shared" ref="Q520:Q583" si="41">IF($O520&gt;0,"Unemployed","Employed")</f>
        <v>Employed</v>
      </c>
      <c r="R520">
        <v>1</v>
      </c>
      <c r="S520">
        <v>0</v>
      </c>
      <c r="T520">
        <v>0</v>
      </c>
      <c r="U520">
        <v>0</v>
      </c>
      <c r="V520" t="s">
        <v>38</v>
      </c>
      <c r="W520">
        <v>5</v>
      </c>
    </row>
    <row r="521" spans="1:23" x14ac:dyDescent="0.2">
      <c r="A521">
        <v>5024082</v>
      </c>
      <c r="B521" t="s">
        <v>18</v>
      </c>
      <c r="C521" t="s">
        <v>19</v>
      </c>
      <c r="D521" t="s">
        <v>20</v>
      </c>
      <c r="E521">
        <v>2</v>
      </c>
      <c r="F521">
        <v>112500</v>
      </c>
      <c r="G521" t="s">
        <v>31</v>
      </c>
      <c r="H521" t="s">
        <v>27</v>
      </c>
      <c r="I521" t="s">
        <v>23</v>
      </c>
      <c r="J521" t="s">
        <v>24</v>
      </c>
      <c r="K521" s="6">
        <f t="shared" ca="1" si="40"/>
        <v>31410</v>
      </c>
      <c r="L521">
        <v>-14351</v>
      </c>
      <c r="M521" s="7">
        <f t="shared" ca="1" si="38"/>
        <v>39.290896646132786</v>
      </c>
      <c r="N521" s="5" t="str">
        <f ca="1">VLOOKUP(Data!M521,temp!$B$3:$C$9,2,1)</f>
        <v>30-40</v>
      </c>
      <c r="O521">
        <v>-3592</v>
      </c>
      <c r="P521" s="8">
        <f t="shared" si="39"/>
        <v>9.8343600273785086</v>
      </c>
      <c r="Q521" s="5" t="str">
        <f t="shared" si="41"/>
        <v>Employed</v>
      </c>
      <c r="R521">
        <v>1</v>
      </c>
      <c r="S521">
        <v>0</v>
      </c>
      <c r="T521">
        <v>0</v>
      </c>
      <c r="U521">
        <v>0</v>
      </c>
      <c r="V521" t="s">
        <v>39</v>
      </c>
      <c r="W521">
        <v>3</v>
      </c>
    </row>
    <row r="522" spans="1:23" x14ac:dyDescent="0.2">
      <c r="A522">
        <v>5024115</v>
      </c>
      <c r="B522" t="s">
        <v>18</v>
      </c>
      <c r="C522" t="s">
        <v>19</v>
      </c>
      <c r="D522" t="s">
        <v>20</v>
      </c>
      <c r="E522">
        <v>0</v>
      </c>
      <c r="F522">
        <v>180000</v>
      </c>
      <c r="G522" t="s">
        <v>31</v>
      </c>
      <c r="H522" t="s">
        <v>27</v>
      </c>
      <c r="I522" t="s">
        <v>28</v>
      </c>
      <c r="J522" t="s">
        <v>24</v>
      </c>
      <c r="K522" s="6">
        <f t="shared" ca="1" si="40"/>
        <v>23720</v>
      </c>
      <c r="L522">
        <v>-22041</v>
      </c>
      <c r="M522" s="7">
        <f t="shared" ca="1" si="38"/>
        <v>60.344969199178642</v>
      </c>
      <c r="N522" s="5" t="str">
        <f ca="1">VLOOKUP(Data!M522,temp!$B$3:$C$9,2,1)</f>
        <v>60-70</v>
      </c>
      <c r="O522">
        <v>-1524</v>
      </c>
      <c r="P522" s="8">
        <f t="shared" si="39"/>
        <v>4.1724845995893221</v>
      </c>
      <c r="Q522" s="5" t="str">
        <f t="shared" si="41"/>
        <v>Employed</v>
      </c>
      <c r="R522">
        <v>1</v>
      </c>
      <c r="S522">
        <v>1</v>
      </c>
      <c r="T522">
        <v>1</v>
      </c>
      <c r="U522">
        <v>0</v>
      </c>
      <c r="V522" t="s">
        <v>44</v>
      </c>
      <c r="W522">
        <v>2</v>
      </c>
    </row>
    <row r="523" spans="1:23" x14ac:dyDescent="0.2">
      <c r="A523">
        <v>5024121</v>
      </c>
      <c r="B523" t="s">
        <v>18</v>
      </c>
      <c r="C523" t="s">
        <v>19</v>
      </c>
      <c r="D523" t="s">
        <v>20</v>
      </c>
      <c r="E523">
        <v>1</v>
      </c>
      <c r="F523">
        <v>135000</v>
      </c>
      <c r="G523" t="s">
        <v>31</v>
      </c>
      <c r="H523" t="s">
        <v>27</v>
      </c>
      <c r="I523" t="s">
        <v>42</v>
      </c>
      <c r="J523" t="s">
        <v>24</v>
      </c>
      <c r="K523" s="6">
        <f t="shared" ca="1" si="40"/>
        <v>30086</v>
      </c>
      <c r="L523">
        <v>-15675</v>
      </c>
      <c r="M523" s="7">
        <f t="shared" ca="1" si="38"/>
        <v>42.91581108829569</v>
      </c>
      <c r="N523" s="5" t="str">
        <f ca="1">VLOOKUP(Data!M523,temp!$B$3:$C$9,2,1)</f>
        <v>40-50</v>
      </c>
      <c r="O523">
        <v>-305</v>
      </c>
      <c r="P523" s="8">
        <f t="shared" si="39"/>
        <v>0.83504449007529091</v>
      </c>
      <c r="Q523" s="5" t="str">
        <f t="shared" si="41"/>
        <v>Employed</v>
      </c>
      <c r="R523">
        <v>1</v>
      </c>
      <c r="S523">
        <v>0</v>
      </c>
      <c r="T523">
        <v>0</v>
      </c>
      <c r="U523">
        <v>0</v>
      </c>
      <c r="V523" t="s">
        <v>39</v>
      </c>
      <c r="W523">
        <v>2</v>
      </c>
    </row>
    <row r="524" spans="1:23" x14ac:dyDescent="0.2">
      <c r="A524">
        <v>5024132</v>
      </c>
      <c r="B524" t="s">
        <v>25</v>
      </c>
      <c r="C524" t="s">
        <v>20</v>
      </c>
      <c r="D524" t="s">
        <v>19</v>
      </c>
      <c r="E524">
        <v>0</v>
      </c>
      <c r="F524">
        <v>202500</v>
      </c>
      <c r="G524" t="s">
        <v>31</v>
      </c>
      <c r="H524" t="s">
        <v>27</v>
      </c>
      <c r="I524" t="s">
        <v>28</v>
      </c>
      <c r="J524" t="s">
        <v>24</v>
      </c>
      <c r="K524" s="6">
        <f t="shared" ca="1" si="40"/>
        <v>37106</v>
      </c>
      <c r="L524">
        <v>-8655</v>
      </c>
      <c r="M524" s="7">
        <f t="shared" ca="1" si="38"/>
        <v>23.696098562628336</v>
      </c>
      <c r="N524" s="5" t="str">
        <f ca="1">VLOOKUP(Data!M524,temp!$B$3:$C$9,2,1)</f>
        <v>20-30</v>
      </c>
      <c r="O524">
        <v>-1067</v>
      </c>
      <c r="P524" s="8">
        <f t="shared" si="39"/>
        <v>2.9212867898699519</v>
      </c>
      <c r="Q524" s="5" t="str">
        <f t="shared" si="41"/>
        <v>Employed</v>
      </c>
      <c r="R524">
        <v>1</v>
      </c>
      <c r="S524">
        <v>0</v>
      </c>
      <c r="T524">
        <v>1</v>
      </c>
      <c r="U524">
        <v>1</v>
      </c>
      <c r="V524" t="s">
        <v>38</v>
      </c>
      <c r="W524">
        <v>2</v>
      </c>
    </row>
    <row r="525" spans="1:23" x14ac:dyDescent="0.2">
      <c r="A525">
        <v>5024135</v>
      </c>
      <c r="B525" t="s">
        <v>25</v>
      </c>
      <c r="C525" t="s">
        <v>20</v>
      </c>
      <c r="D525" t="s">
        <v>19</v>
      </c>
      <c r="E525">
        <v>0</v>
      </c>
      <c r="F525">
        <v>202500</v>
      </c>
      <c r="G525" t="s">
        <v>31</v>
      </c>
      <c r="H525" t="s">
        <v>27</v>
      </c>
      <c r="I525" t="s">
        <v>28</v>
      </c>
      <c r="J525" t="s">
        <v>24</v>
      </c>
      <c r="K525" s="6">
        <f t="shared" ca="1" si="40"/>
        <v>37106</v>
      </c>
      <c r="L525">
        <v>-8655</v>
      </c>
      <c r="M525" s="7">
        <f t="shared" ca="1" si="38"/>
        <v>23.696098562628336</v>
      </c>
      <c r="N525" s="5" t="str">
        <f ca="1">VLOOKUP(Data!M525,temp!$B$3:$C$9,2,1)</f>
        <v>20-30</v>
      </c>
      <c r="O525">
        <v>-1067</v>
      </c>
      <c r="P525" s="8">
        <f t="shared" si="39"/>
        <v>2.9212867898699519</v>
      </c>
      <c r="Q525" s="5" t="str">
        <f t="shared" si="41"/>
        <v>Employed</v>
      </c>
      <c r="R525">
        <v>1</v>
      </c>
      <c r="S525">
        <v>0</v>
      </c>
      <c r="T525">
        <v>1</v>
      </c>
      <c r="U525">
        <v>1</v>
      </c>
      <c r="V525" t="s">
        <v>38</v>
      </c>
      <c r="W525">
        <v>2</v>
      </c>
    </row>
    <row r="526" spans="1:23" x14ac:dyDescent="0.2">
      <c r="A526">
        <v>5024163</v>
      </c>
      <c r="B526" t="s">
        <v>25</v>
      </c>
      <c r="C526" t="s">
        <v>20</v>
      </c>
      <c r="D526" t="s">
        <v>20</v>
      </c>
      <c r="E526">
        <v>3</v>
      </c>
      <c r="F526">
        <v>202500</v>
      </c>
      <c r="G526" t="s">
        <v>31</v>
      </c>
      <c r="H526" t="s">
        <v>27</v>
      </c>
      <c r="I526" t="s">
        <v>28</v>
      </c>
      <c r="J526" t="s">
        <v>24</v>
      </c>
      <c r="K526" s="6">
        <f t="shared" ca="1" si="40"/>
        <v>32411</v>
      </c>
      <c r="L526">
        <v>-13350</v>
      </c>
      <c r="M526" s="7">
        <f t="shared" ca="1" si="38"/>
        <v>36.550308008213555</v>
      </c>
      <c r="N526" s="5" t="str">
        <f ca="1">VLOOKUP(Data!M526,temp!$B$3:$C$9,2,1)</f>
        <v>30-40</v>
      </c>
      <c r="O526">
        <v>-1981</v>
      </c>
      <c r="P526" s="8">
        <f t="shared" si="39"/>
        <v>5.4236824093086931</v>
      </c>
      <c r="Q526" s="5" t="str">
        <f t="shared" si="41"/>
        <v>Employed</v>
      </c>
      <c r="R526">
        <v>1</v>
      </c>
      <c r="S526">
        <v>0</v>
      </c>
      <c r="T526">
        <v>0</v>
      </c>
      <c r="U526">
        <v>0</v>
      </c>
      <c r="V526" t="s">
        <v>29</v>
      </c>
      <c r="W526">
        <v>5</v>
      </c>
    </row>
    <row r="527" spans="1:23" x14ac:dyDescent="0.2">
      <c r="A527">
        <v>5024182</v>
      </c>
      <c r="B527" t="s">
        <v>18</v>
      </c>
      <c r="C527" t="s">
        <v>19</v>
      </c>
      <c r="D527" t="s">
        <v>20</v>
      </c>
      <c r="E527">
        <v>0</v>
      </c>
      <c r="F527">
        <v>81000</v>
      </c>
      <c r="G527" t="s">
        <v>26</v>
      </c>
      <c r="H527" t="s">
        <v>27</v>
      </c>
      <c r="I527" t="s">
        <v>28</v>
      </c>
      <c r="J527" t="s">
        <v>24</v>
      </c>
      <c r="K527" s="6">
        <f t="shared" ca="1" si="40"/>
        <v>30181</v>
      </c>
      <c r="L527">
        <v>-15580</v>
      </c>
      <c r="M527" s="7">
        <f t="shared" ca="1" si="38"/>
        <v>42.65571526351814</v>
      </c>
      <c r="N527" s="5" t="str">
        <f ca="1">VLOOKUP(Data!M527,temp!$B$3:$C$9,2,1)</f>
        <v>40-50</v>
      </c>
      <c r="O527">
        <v>-3503</v>
      </c>
      <c r="P527" s="8">
        <f t="shared" si="39"/>
        <v>9.5906913073237501</v>
      </c>
      <c r="Q527" s="5" t="str">
        <f t="shared" si="41"/>
        <v>Employed</v>
      </c>
      <c r="R527">
        <v>1</v>
      </c>
      <c r="S527">
        <v>0</v>
      </c>
      <c r="T527">
        <v>0</v>
      </c>
      <c r="U527">
        <v>0</v>
      </c>
      <c r="V527" t="s">
        <v>39</v>
      </c>
      <c r="W527">
        <v>2</v>
      </c>
    </row>
    <row r="528" spans="1:23" x14ac:dyDescent="0.2">
      <c r="A528">
        <v>5024203</v>
      </c>
      <c r="B528" t="s">
        <v>18</v>
      </c>
      <c r="C528" t="s">
        <v>19</v>
      </c>
      <c r="D528" t="s">
        <v>20</v>
      </c>
      <c r="E528">
        <v>0</v>
      </c>
      <c r="F528">
        <v>202500</v>
      </c>
      <c r="G528" t="s">
        <v>31</v>
      </c>
      <c r="H528" t="s">
        <v>27</v>
      </c>
      <c r="I528" t="s">
        <v>33</v>
      </c>
      <c r="J528" t="s">
        <v>24</v>
      </c>
      <c r="K528" s="6">
        <f t="shared" ca="1" si="40"/>
        <v>29483</v>
      </c>
      <c r="L528">
        <v>-16278</v>
      </c>
      <c r="M528" s="7">
        <f t="shared" ca="1" si="38"/>
        <v>44.566735112936342</v>
      </c>
      <c r="N528" s="5" t="str">
        <f ca="1">VLOOKUP(Data!M528,temp!$B$3:$C$9,2,1)</f>
        <v>40-50</v>
      </c>
      <c r="O528">
        <v>-2712</v>
      </c>
      <c r="P528" s="8">
        <f t="shared" si="39"/>
        <v>7.4250513347022586</v>
      </c>
      <c r="Q528" s="5" t="str">
        <f t="shared" si="41"/>
        <v>Employed</v>
      </c>
      <c r="R528">
        <v>1</v>
      </c>
      <c r="S528">
        <v>1</v>
      </c>
      <c r="T528">
        <v>1</v>
      </c>
      <c r="U528">
        <v>0</v>
      </c>
      <c r="W528">
        <v>1</v>
      </c>
    </row>
    <row r="529" spans="1:23" x14ac:dyDescent="0.2">
      <c r="A529">
        <v>5024208</v>
      </c>
      <c r="B529" t="s">
        <v>18</v>
      </c>
      <c r="C529" t="s">
        <v>19</v>
      </c>
      <c r="D529" t="s">
        <v>20</v>
      </c>
      <c r="E529">
        <v>0</v>
      </c>
      <c r="F529">
        <v>202500</v>
      </c>
      <c r="G529" t="s">
        <v>31</v>
      </c>
      <c r="H529" t="s">
        <v>27</v>
      </c>
      <c r="I529" t="s">
        <v>33</v>
      </c>
      <c r="J529" t="s">
        <v>24</v>
      </c>
      <c r="K529" s="6">
        <f t="shared" ca="1" si="40"/>
        <v>29483</v>
      </c>
      <c r="L529">
        <v>-16278</v>
      </c>
      <c r="M529" s="7">
        <f t="shared" ca="1" si="38"/>
        <v>44.566735112936342</v>
      </c>
      <c r="N529" s="5" t="str">
        <f ca="1">VLOOKUP(Data!M529,temp!$B$3:$C$9,2,1)</f>
        <v>40-50</v>
      </c>
      <c r="O529">
        <v>-2712</v>
      </c>
      <c r="P529" s="8">
        <f t="shared" si="39"/>
        <v>7.4250513347022586</v>
      </c>
      <c r="Q529" s="5" t="str">
        <f t="shared" si="41"/>
        <v>Employed</v>
      </c>
      <c r="R529">
        <v>1</v>
      </c>
      <c r="S529">
        <v>1</v>
      </c>
      <c r="T529">
        <v>1</v>
      </c>
      <c r="U529">
        <v>0</v>
      </c>
      <c r="W529">
        <v>1</v>
      </c>
    </row>
    <row r="530" spans="1:23" x14ac:dyDescent="0.2">
      <c r="A530">
        <v>5024261</v>
      </c>
      <c r="B530" t="s">
        <v>25</v>
      </c>
      <c r="C530" t="s">
        <v>19</v>
      </c>
      <c r="D530" t="s">
        <v>20</v>
      </c>
      <c r="E530">
        <v>0</v>
      </c>
      <c r="F530">
        <v>202500</v>
      </c>
      <c r="G530" t="s">
        <v>26</v>
      </c>
      <c r="H530" t="s">
        <v>27</v>
      </c>
      <c r="I530" t="s">
        <v>28</v>
      </c>
      <c r="J530" t="s">
        <v>24</v>
      </c>
      <c r="K530" s="6">
        <f t="shared" ca="1" si="40"/>
        <v>30061</v>
      </c>
      <c r="L530">
        <v>-15700</v>
      </c>
      <c r="M530" s="7">
        <f t="shared" ca="1" si="38"/>
        <v>42.984257357973988</v>
      </c>
      <c r="N530" s="5" t="str">
        <f ca="1">VLOOKUP(Data!M530,temp!$B$3:$C$9,2,1)</f>
        <v>40-50</v>
      </c>
      <c r="O530">
        <v>-1677</v>
      </c>
      <c r="P530" s="8">
        <f t="shared" si="39"/>
        <v>4.5913757700205338</v>
      </c>
      <c r="Q530" s="5" t="str">
        <f t="shared" si="41"/>
        <v>Employed</v>
      </c>
      <c r="R530">
        <v>1</v>
      </c>
      <c r="S530">
        <v>0</v>
      </c>
      <c r="T530">
        <v>0</v>
      </c>
      <c r="U530">
        <v>0</v>
      </c>
      <c r="W530">
        <v>2</v>
      </c>
    </row>
    <row r="531" spans="1:23" x14ac:dyDescent="0.2">
      <c r="A531">
        <v>5024286</v>
      </c>
      <c r="B531" t="s">
        <v>25</v>
      </c>
      <c r="C531" t="s">
        <v>20</v>
      </c>
      <c r="D531" t="s">
        <v>20</v>
      </c>
      <c r="E531">
        <v>0</v>
      </c>
      <c r="F531">
        <v>315000</v>
      </c>
      <c r="G531" t="s">
        <v>26</v>
      </c>
      <c r="H531" t="s">
        <v>27</v>
      </c>
      <c r="I531" t="s">
        <v>28</v>
      </c>
      <c r="J531" t="s">
        <v>24</v>
      </c>
      <c r="K531" s="6">
        <f t="shared" ca="1" si="40"/>
        <v>30252</v>
      </c>
      <c r="L531">
        <v>-15509</v>
      </c>
      <c r="M531" s="7">
        <f t="shared" ca="1" si="38"/>
        <v>42.461327857631758</v>
      </c>
      <c r="N531" s="5" t="str">
        <f ca="1">VLOOKUP(Data!M531,temp!$B$3:$C$9,2,1)</f>
        <v>40-50</v>
      </c>
      <c r="O531">
        <v>-1189</v>
      </c>
      <c r="P531" s="8">
        <f t="shared" si="39"/>
        <v>3.2553045859000687</v>
      </c>
      <c r="Q531" s="5" t="str">
        <f t="shared" si="41"/>
        <v>Employed</v>
      </c>
      <c r="R531">
        <v>1</v>
      </c>
      <c r="S531">
        <v>1</v>
      </c>
      <c r="T531">
        <v>1</v>
      </c>
      <c r="U531">
        <v>0</v>
      </c>
      <c r="V531" t="s">
        <v>30</v>
      </c>
      <c r="W531">
        <v>2</v>
      </c>
    </row>
    <row r="532" spans="1:23" x14ac:dyDescent="0.2">
      <c r="A532">
        <v>5024302</v>
      </c>
      <c r="B532" t="s">
        <v>18</v>
      </c>
      <c r="C532" t="s">
        <v>19</v>
      </c>
      <c r="D532" t="s">
        <v>20</v>
      </c>
      <c r="E532">
        <v>0</v>
      </c>
      <c r="F532">
        <v>99000</v>
      </c>
      <c r="G532" t="s">
        <v>31</v>
      </c>
      <c r="H532" t="s">
        <v>27</v>
      </c>
      <c r="I532" t="s">
        <v>28</v>
      </c>
      <c r="J532" t="s">
        <v>24</v>
      </c>
      <c r="K532" s="6">
        <f t="shared" ca="1" si="40"/>
        <v>28220</v>
      </c>
      <c r="L532">
        <v>-17541</v>
      </c>
      <c r="M532" s="7">
        <f t="shared" ca="1" si="38"/>
        <v>48.024640657084191</v>
      </c>
      <c r="N532" s="5" t="str">
        <f ca="1">VLOOKUP(Data!M532,temp!$B$3:$C$9,2,1)</f>
        <v>40-50</v>
      </c>
      <c r="O532">
        <v>-7276</v>
      </c>
      <c r="P532" s="8">
        <f t="shared" si="39"/>
        <v>19.920602327173167</v>
      </c>
      <c r="Q532" s="5" t="str">
        <f t="shared" si="41"/>
        <v>Employed</v>
      </c>
      <c r="R532">
        <v>1</v>
      </c>
      <c r="S532">
        <v>1</v>
      </c>
      <c r="T532">
        <v>1</v>
      </c>
      <c r="U532">
        <v>1</v>
      </c>
      <c r="V532" t="s">
        <v>29</v>
      </c>
      <c r="W532">
        <v>2</v>
      </c>
    </row>
    <row r="533" spans="1:23" x14ac:dyDescent="0.2">
      <c r="A533">
        <v>5024311</v>
      </c>
      <c r="B533" t="s">
        <v>18</v>
      </c>
      <c r="C533" t="s">
        <v>19</v>
      </c>
      <c r="D533" t="s">
        <v>20</v>
      </c>
      <c r="E533">
        <v>0</v>
      </c>
      <c r="F533">
        <v>216000</v>
      </c>
      <c r="G533" t="s">
        <v>21</v>
      </c>
      <c r="H533" t="s">
        <v>27</v>
      </c>
      <c r="I533" t="s">
        <v>42</v>
      </c>
      <c r="J533" t="s">
        <v>24</v>
      </c>
      <c r="K533" s="6">
        <f t="shared" ca="1" si="40"/>
        <v>25737</v>
      </c>
      <c r="L533">
        <v>-20024</v>
      </c>
      <c r="M533" s="7">
        <f t="shared" ca="1" si="38"/>
        <v>54.822724161533195</v>
      </c>
      <c r="N533" s="5" t="str">
        <f ca="1">VLOOKUP(Data!M533,temp!$B$3:$C$9,2,1)</f>
        <v>50-60</v>
      </c>
      <c r="O533">
        <v>365243</v>
      </c>
      <c r="P533" s="8">
        <f t="shared" si="39"/>
        <v>0</v>
      </c>
      <c r="Q533" s="5" t="str">
        <f t="shared" si="41"/>
        <v>Unemployed</v>
      </c>
      <c r="R533">
        <v>1</v>
      </c>
      <c r="S533">
        <v>0</v>
      </c>
      <c r="T533">
        <v>0</v>
      </c>
      <c r="U533">
        <v>0</v>
      </c>
      <c r="W533">
        <v>1</v>
      </c>
    </row>
    <row r="534" spans="1:23" x14ac:dyDescent="0.2">
      <c r="A534">
        <v>5024316</v>
      </c>
      <c r="B534" t="s">
        <v>18</v>
      </c>
      <c r="C534" t="s">
        <v>19</v>
      </c>
      <c r="D534" t="s">
        <v>20</v>
      </c>
      <c r="E534">
        <v>0</v>
      </c>
      <c r="F534">
        <v>216000</v>
      </c>
      <c r="G534" t="s">
        <v>21</v>
      </c>
      <c r="H534" t="s">
        <v>27</v>
      </c>
      <c r="I534" t="s">
        <v>42</v>
      </c>
      <c r="J534" t="s">
        <v>24</v>
      </c>
      <c r="K534" s="6">
        <f t="shared" ca="1" si="40"/>
        <v>25737</v>
      </c>
      <c r="L534">
        <v>-20024</v>
      </c>
      <c r="M534" s="7">
        <f t="shared" ca="1" si="38"/>
        <v>54.822724161533195</v>
      </c>
      <c r="N534" s="5" t="str">
        <f ca="1">VLOOKUP(Data!M534,temp!$B$3:$C$9,2,1)</f>
        <v>50-60</v>
      </c>
      <c r="O534">
        <v>365243</v>
      </c>
      <c r="P534" s="8">
        <f t="shared" si="39"/>
        <v>0</v>
      </c>
      <c r="Q534" s="5" t="str">
        <f t="shared" si="41"/>
        <v>Unemployed</v>
      </c>
      <c r="R534">
        <v>1</v>
      </c>
      <c r="S534">
        <v>0</v>
      </c>
      <c r="T534">
        <v>0</v>
      </c>
      <c r="U534">
        <v>0</v>
      </c>
      <c r="W534">
        <v>1</v>
      </c>
    </row>
    <row r="535" spans="1:23" x14ac:dyDescent="0.2">
      <c r="A535">
        <v>5024318</v>
      </c>
      <c r="B535" t="s">
        <v>18</v>
      </c>
      <c r="C535" t="s">
        <v>19</v>
      </c>
      <c r="D535" t="s">
        <v>20</v>
      </c>
      <c r="E535">
        <v>0</v>
      </c>
      <c r="F535">
        <v>135000</v>
      </c>
      <c r="G535" t="s">
        <v>21</v>
      </c>
      <c r="H535" t="s">
        <v>27</v>
      </c>
      <c r="I535" t="s">
        <v>37</v>
      </c>
      <c r="J535" t="s">
        <v>24</v>
      </c>
      <c r="K535" s="6">
        <f t="shared" ca="1" si="40"/>
        <v>24630</v>
      </c>
      <c r="L535">
        <v>-21131</v>
      </c>
      <c r="M535" s="7">
        <f t="shared" ca="1" si="38"/>
        <v>57.85352498288843</v>
      </c>
      <c r="N535" s="5" t="str">
        <f ca="1">VLOOKUP(Data!M535,temp!$B$3:$C$9,2,1)</f>
        <v>50-60</v>
      </c>
      <c r="O535">
        <v>365243</v>
      </c>
      <c r="P535" s="8">
        <f t="shared" si="39"/>
        <v>0</v>
      </c>
      <c r="Q535" s="5" t="str">
        <f t="shared" si="41"/>
        <v>Unemployed</v>
      </c>
      <c r="R535">
        <v>1</v>
      </c>
      <c r="S535">
        <v>0</v>
      </c>
      <c r="T535">
        <v>0</v>
      </c>
      <c r="U535">
        <v>0</v>
      </c>
      <c r="W535">
        <v>2</v>
      </c>
    </row>
    <row r="536" spans="1:23" x14ac:dyDescent="0.2">
      <c r="A536">
        <v>5024322</v>
      </c>
      <c r="B536" t="s">
        <v>18</v>
      </c>
      <c r="C536" t="s">
        <v>19</v>
      </c>
      <c r="D536" t="s">
        <v>20</v>
      </c>
      <c r="E536">
        <v>0</v>
      </c>
      <c r="F536">
        <v>121500</v>
      </c>
      <c r="G536" t="s">
        <v>21</v>
      </c>
      <c r="H536" t="s">
        <v>27</v>
      </c>
      <c r="I536" t="s">
        <v>28</v>
      </c>
      <c r="J536" t="s">
        <v>24</v>
      </c>
      <c r="K536" s="6">
        <f t="shared" ca="1" si="40"/>
        <v>22354</v>
      </c>
      <c r="L536">
        <v>-23407</v>
      </c>
      <c r="M536" s="7">
        <f t="shared" ca="1" si="38"/>
        <v>64.084873374401099</v>
      </c>
      <c r="N536" s="5" t="str">
        <f ca="1">VLOOKUP(Data!M536,temp!$B$3:$C$9,2,1)</f>
        <v>60-70</v>
      </c>
      <c r="O536">
        <v>365243</v>
      </c>
      <c r="P536" s="8">
        <f t="shared" si="39"/>
        <v>0</v>
      </c>
      <c r="Q536" s="5" t="str">
        <f t="shared" si="41"/>
        <v>Unemployed</v>
      </c>
      <c r="R536">
        <v>1</v>
      </c>
      <c r="S536">
        <v>0</v>
      </c>
      <c r="T536">
        <v>0</v>
      </c>
      <c r="U536">
        <v>0</v>
      </c>
      <c r="W536">
        <v>2</v>
      </c>
    </row>
    <row r="537" spans="1:23" x14ac:dyDescent="0.2">
      <c r="A537">
        <v>5024330</v>
      </c>
      <c r="B537" t="s">
        <v>18</v>
      </c>
      <c r="C537" t="s">
        <v>19</v>
      </c>
      <c r="D537" t="s">
        <v>20</v>
      </c>
      <c r="E537">
        <v>0</v>
      </c>
      <c r="F537">
        <v>225000</v>
      </c>
      <c r="G537" t="s">
        <v>26</v>
      </c>
      <c r="H537" t="s">
        <v>27</v>
      </c>
      <c r="I537" t="s">
        <v>28</v>
      </c>
      <c r="J537" t="s">
        <v>24</v>
      </c>
      <c r="K537" s="6">
        <f t="shared" ca="1" si="40"/>
        <v>28360</v>
      </c>
      <c r="L537">
        <v>-17401</v>
      </c>
      <c r="M537" s="7">
        <f t="shared" ca="1" si="38"/>
        <v>47.641341546885698</v>
      </c>
      <c r="N537" s="5" t="str">
        <f ca="1">VLOOKUP(Data!M537,temp!$B$3:$C$9,2,1)</f>
        <v>40-50</v>
      </c>
      <c r="O537">
        <v>-9559</v>
      </c>
      <c r="P537" s="8">
        <f t="shared" si="39"/>
        <v>26.171115674195757</v>
      </c>
      <c r="Q537" s="5" t="str">
        <f t="shared" si="41"/>
        <v>Employed</v>
      </c>
      <c r="R537">
        <v>1</v>
      </c>
      <c r="S537">
        <v>0</v>
      </c>
      <c r="T537">
        <v>0</v>
      </c>
      <c r="U537">
        <v>0</v>
      </c>
      <c r="V537" t="s">
        <v>57</v>
      </c>
      <c r="W537">
        <v>2</v>
      </c>
    </row>
    <row r="538" spans="1:23" x14ac:dyDescent="0.2">
      <c r="A538">
        <v>5024365</v>
      </c>
      <c r="B538" t="s">
        <v>25</v>
      </c>
      <c r="C538" t="s">
        <v>19</v>
      </c>
      <c r="D538" t="s">
        <v>20</v>
      </c>
      <c r="E538">
        <v>1</v>
      </c>
      <c r="F538">
        <v>81000</v>
      </c>
      <c r="G538" t="s">
        <v>31</v>
      </c>
      <c r="H538" t="s">
        <v>27</v>
      </c>
      <c r="I538" t="s">
        <v>28</v>
      </c>
      <c r="J538" t="s">
        <v>24</v>
      </c>
      <c r="K538" s="6">
        <f t="shared" ca="1" si="40"/>
        <v>33448</v>
      </c>
      <c r="L538">
        <v>-12313</v>
      </c>
      <c r="M538" s="7">
        <f t="shared" ca="1" si="38"/>
        <v>33.711156741957566</v>
      </c>
      <c r="N538" s="5" t="str">
        <f ca="1">VLOOKUP(Data!M538,temp!$B$3:$C$9,2,1)</f>
        <v>30-40</v>
      </c>
      <c r="O538">
        <v>-1098</v>
      </c>
      <c r="P538" s="8">
        <f t="shared" si="39"/>
        <v>3.0061601642710474</v>
      </c>
      <c r="Q538" s="5" t="str">
        <f t="shared" si="41"/>
        <v>Employed</v>
      </c>
      <c r="R538">
        <v>1</v>
      </c>
      <c r="S538">
        <v>0</v>
      </c>
      <c r="T538">
        <v>0</v>
      </c>
      <c r="U538">
        <v>0</v>
      </c>
      <c r="V538" t="s">
        <v>29</v>
      </c>
      <c r="W538">
        <v>3</v>
      </c>
    </row>
    <row r="539" spans="1:23" x14ac:dyDescent="0.2">
      <c r="A539">
        <v>5024374</v>
      </c>
      <c r="B539" t="s">
        <v>18</v>
      </c>
      <c r="C539" t="s">
        <v>19</v>
      </c>
      <c r="D539" t="s">
        <v>20</v>
      </c>
      <c r="E539">
        <v>2</v>
      </c>
      <c r="F539">
        <v>112500</v>
      </c>
      <c r="G539" t="s">
        <v>31</v>
      </c>
      <c r="H539" t="s">
        <v>22</v>
      </c>
      <c r="I539" t="s">
        <v>28</v>
      </c>
      <c r="J539" t="s">
        <v>24</v>
      </c>
      <c r="K539" s="6">
        <f t="shared" ca="1" si="40"/>
        <v>35776</v>
      </c>
      <c r="L539">
        <v>-9985</v>
      </c>
      <c r="M539" s="7">
        <f t="shared" ca="1" si="38"/>
        <v>27.337440109514031</v>
      </c>
      <c r="N539" s="5" t="str">
        <f ca="1">VLOOKUP(Data!M539,temp!$B$3:$C$9,2,1)</f>
        <v>20-30</v>
      </c>
      <c r="O539">
        <v>-1738</v>
      </c>
      <c r="P539" s="8">
        <f t="shared" si="39"/>
        <v>4.7583846680355917</v>
      </c>
      <c r="Q539" s="5" t="str">
        <f t="shared" si="41"/>
        <v>Employed</v>
      </c>
      <c r="R539">
        <v>1</v>
      </c>
      <c r="S539">
        <v>0</v>
      </c>
      <c r="T539">
        <v>0</v>
      </c>
      <c r="U539">
        <v>0</v>
      </c>
      <c r="V539" t="s">
        <v>39</v>
      </c>
      <c r="W539">
        <v>4</v>
      </c>
    </row>
    <row r="540" spans="1:23" x14ac:dyDescent="0.2">
      <c r="A540">
        <v>5024378</v>
      </c>
      <c r="B540" t="s">
        <v>25</v>
      </c>
      <c r="C540" t="s">
        <v>19</v>
      </c>
      <c r="D540" t="s">
        <v>20</v>
      </c>
      <c r="E540">
        <v>0</v>
      </c>
      <c r="F540">
        <v>270000</v>
      </c>
      <c r="G540" t="s">
        <v>31</v>
      </c>
      <c r="H540" t="s">
        <v>27</v>
      </c>
      <c r="I540" t="s">
        <v>28</v>
      </c>
      <c r="J540" t="s">
        <v>24</v>
      </c>
      <c r="K540" s="6">
        <f t="shared" ca="1" si="40"/>
        <v>33206</v>
      </c>
      <c r="L540">
        <v>-12555</v>
      </c>
      <c r="M540" s="7">
        <f t="shared" ca="1" si="38"/>
        <v>34.373716632443532</v>
      </c>
      <c r="N540" s="5" t="str">
        <f ca="1">VLOOKUP(Data!M540,temp!$B$3:$C$9,2,1)</f>
        <v>30-40</v>
      </c>
      <c r="O540">
        <v>-1858</v>
      </c>
      <c r="P540" s="8">
        <f t="shared" si="39"/>
        <v>5.0869267624914443</v>
      </c>
      <c r="Q540" s="5" t="str">
        <f t="shared" si="41"/>
        <v>Employed</v>
      </c>
      <c r="R540">
        <v>1</v>
      </c>
      <c r="S540">
        <v>0</v>
      </c>
      <c r="T540">
        <v>0</v>
      </c>
      <c r="U540">
        <v>0</v>
      </c>
      <c r="V540" t="s">
        <v>38</v>
      </c>
      <c r="W540">
        <v>2</v>
      </c>
    </row>
    <row r="541" spans="1:23" x14ac:dyDescent="0.2">
      <c r="A541">
        <v>5024386</v>
      </c>
      <c r="B541" t="s">
        <v>18</v>
      </c>
      <c r="C541" t="s">
        <v>19</v>
      </c>
      <c r="D541" t="s">
        <v>19</v>
      </c>
      <c r="E541">
        <v>0</v>
      </c>
      <c r="F541">
        <v>117000</v>
      </c>
      <c r="G541" t="s">
        <v>31</v>
      </c>
      <c r="H541" t="s">
        <v>27</v>
      </c>
      <c r="I541" t="s">
        <v>28</v>
      </c>
      <c r="J541" t="s">
        <v>45</v>
      </c>
      <c r="K541" s="6">
        <f t="shared" ca="1" si="40"/>
        <v>32267</v>
      </c>
      <c r="L541">
        <v>-13494</v>
      </c>
      <c r="M541" s="7">
        <f t="shared" ca="1" si="38"/>
        <v>36.944558521560573</v>
      </c>
      <c r="N541" s="5" t="str">
        <f ca="1">VLOOKUP(Data!M541,temp!$B$3:$C$9,2,1)</f>
        <v>30-40</v>
      </c>
      <c r="O541">
        <v>-1281</v>
      </c>
      <c r="P541" s="8">
        <f t="shared" si="39"/>
        <v>3.5071868583162216</v>
      </c>
      <c r="Q541" s="5" t="str">
        <f t="shared" si="41"/>
        <v>Employed</v>
      </c>
      <c r="R541">
        <v>1</v>
      </c>
      <c r="S541">
        <v>0</v>
      </c>
      <c r="T541">
        <v>0</v>
      </c>
      <c r="U541">
        <v>0</v>
      </c>
      <c r="V541" t="s">
        <v>39</v>
      </c>
      <c r="W541">
        <v>2</v>
      </c>
    </row>
    <row r="542" spans="1:23" x14ac:dyDescent="0.2">
      <c r="A542">
        <v>5024396</v>
      </c>
      <c r="B542" t="s">
        <v>18</v>
      </c>
      <c r="C542" t="s">
        <v>19</v>
      </c>
      <c r="D542" t="s">
        <v>19</v>
      </c>
      <c r="E542">
        <v>0</v>
      </c>
      <c r="F542">
        <v>117000</v>
      </c>
      <c r="G542" t="s">
        <v>31</v>
      </c>
      <c r="H542" t="s">
        <v>27</v>
      </c>
      <c r="I542" t="s">
        <v>28</v>
      </c>
      <c r="J542" t="s">
        <v>45</v>
      </c>
      <c r="K542" s="6">
        <f t="shared" ca="1" si="40"/>
        <v>32267</v>
      </c>
      <c r="L542">
        <v>-13494</v>
      </c>
      <c r="M542" s="7">
        <f t="shared" ca="1" si="38"/>
        <v>36.944558521560573</v>
      </c>
      <c r="N542" s="5" t="str">
        <f ca="1">VLOOKUP(Data!M542,temp!$B$3:$C$9,2,1)</f>
        <v>30-40</v>
      </c>
      <c r="O542">
        <v>-1281</v>
      </c>
      <c r="P542" s="8">
        <f t="shared" si="39"/>
        <v>3.5071868583162216</v>
      </c>
      <c r="Q542" s="5" t="str">
        <f t="shared" si="41"/>
        <v>Employed</v>
      </c>
      <c r="R542">
        <v>1</v>
      </c>
      <c r="S542">
        <v>0</v>
      </c>
      <c r="T542">
        <v>0</v>
      </c>
      <c r="U542">
        <v>0</v>
      </c>
      <c r="V542" t="s">
        <v>39</v>
      </c>
      <c r="W542">
        <v>2</v>
      </c>
    </row>
    <row r="543" spans="1:23" x14ac:dyDescent="0.2">
      <c r="A543">
        <v>5024416</v>
      </c>
      <c r="B543" t="s">
        <v>25</v>
      </c>
      <c r="C543" t="s">
        <v>20</v>
      </c>
      <c r="D543" t="s">
        <v>20</v>
      </c>
      <c r="E543">
        <v>0</v>
      </c>
      <c r="F543">
        <v>360000</v>
      </c>
      <c r="G543" t="s">
        <v>31</v>
      </c>
      <c r="H543" t="s">
        <v>22</v>
      </c>
      <c r="I543" t="s">
        <v>33</v>
      </c>
      <c r="J543" t="s">
        <v>24</v>
      </c>
      <c r="K543" s="6">
        <f t="shared" ca="1" si="40"/>
        <v>30925</v>
      </c>
      <c r="L543">
        <v>-14836</v>
      </c>
      <c r="M543" s="7">
        <f t="shared" ca="1" si="38"/>
        <v>40.618754277891853</v>
      </c>
      <c r="N543" s="5" t="str">
        <f ca="1">VLOOKUP(Data!M543,temp!$B$3:$C$9,2,1)</f>
        <v>40-50</v>
      </c>
      <c r="O543">
        <v>-2072</v>
      </c>
      <c r="P543" s="8">
        <f t="shared" si="39"/>
        <v>5.6728268309377139</v>
      </c>
      <c r="Q543" s="5" t="str">
        <f t="shared" si="41"/>
        <v>Employed</v>
      </c>
      <c r="R543">
        <v>1</v>
      </c>
      <c r="S543">
        <v>0</v>
      </c>
      <c r="T543">
        <v>0</v>
      </c>
      <c r="U543">
        <v>0</v>
      </c>
      <c r="W543">
        <v>1</v>
      </c>
    </row>
    <row r="544" spans="1:23" x14ac:dyDescent="0.2">
      <c r="A544">
        <v>5024420</v>
      </c>
      <c r="B544" t="s">
        <v>25</v>
      </c>
      <c r="C544" t="s">
        <v>19</v>
      </c>
      <c r="D544" t="s">
        <v>19</v>
      </c>
      <c r="E544">
        <v>0</v>
      </c>
      <c r="F544">
        <v>180000</v>
      </c>
      <c r="G544" t="s">
        <v>31</v>
      </c>
      <c r="H544" t="s">
        <v>27</v>
      </c>
      <c r="I544" t="s">
        <v>37</v>
      </c>
      <c r="J544" t="s">
        <v>24</v>
      </c>
      <c r="K544" s="6">
        <f t="shared" ca="1" si="40"/>
        <v>28375</v>
      </c>
      <c r="L544">
        <v>-17386</v>
      </c>
      <c r="M544" s="7">
        <f t="shared" ca="1" si="38"/>
        <v>47.600273785078713</v>
      </c>
      <c r="N544" s="5" t="str">
        <f ca="1">VLOOKUP(Data!M544,temp!$B$3:$C$9,2,1)</f>
        <v>40-50</v>
      </c>
      <c r="O544">
        <v>-3503</v>
      </c>
      <c r="P544" s="8">
        <f t="shared" si="39"/>
        <v>9.5906913073237501</v>
      </c>
      <c r="Q544" s="5" t="str">
        <f t="shared" si="41"/>
        <v>Employed</v>
      </c>
      <c r="R544">
        <v>1</v>
      </c>
      <c r="S544">
        <v>0</v>
      </c>
      <c r="T544">
        <v>0</v>
      </c>
      <c r="U544">
        <v>0</v>
      </c>
      <c r="V544" t="s">
        <v>29</v>
      </c>
      <c r="W544">
        <v>2</v>
      </c>
    </row>
    <row r="545" spans="1:23" x14ac:dyDescent="0.2">
      <c r="A545">
        <v>5024424</v>
      </c>
      <c r="B545" t="s">
        <v>25</v>
      </c>
      <c r="C545" t="s">
        <v>19</v>
      </c>
      <c r="D545" t="s">
        <v>19</v>
      </c>
      <c r="E545">
        <v>0</v>
      </c>
      <c r="F545">
        <v>180000</v>
      </c>
      <c r="G545" t="s">
        <v>31</v>
      </c>
      <c r="H545" t="s">
        <v>27</v>
      </c>
      <c r="I545" t="s">
        <v>37</v>
      </c>
      <c r="J545" t="s">
        <v>24</v>
      </c>
      <c r="K545" s="6">
        <f t="shared" ca="1" si="40"/>
        <v>28375</v>
      </c>
      <c r="L545">
        <v>-17386</v>
      </c>
      <c r="M545" s="7">
        <f t="shared" ca="1" si="38"/>
        <v>47.600273785078713</v>
      </c>
      <c r="N545" s="5" t="str">
        <f ca="1">VLOOKUP(Data!M545,temp!$B$3:$C$9,2,1)</f>
        <v>40-50</v>
      </c>
      <c r="O545">
        <v>-3503</v>
      </c>
      <c r="P545" s="8">
        <f t="shared" si="39"/>
        <v>9.5906913073237501</v>
      </c>
      <c r="Q545" s="5" t="str">
        <f t="shared" si="41"/>
        <v>Employed</v>
      </c>
      <c r="R545">
        <v>1</v>
      </c>
      <c r="S545">
        <v>0</v>
      </c>
      <c r="T545">
        <v>0</v>
      </c>
      <c r="U545">
        <v>0</v>
      </c>
      <c r="V545" t="s">
        <v>29</v>
      </c>
      <c r="W545">
        <v>2</v>
      </c>
    </row>
    <row r="546" spans="1:23" x14ac:dyDescent="0.2">
      <c r="A546">
        <v>5024427</v>
      </c>
      <c r="B546" t="s">
        <v>18</v>
      </c>
      <c r="C546" t="s">
        <v>20</v>
      </c>
      <c r="D546" t="s">
        <v>20</v>
      </c>
      <c r="E546">
        <v>0</v>
      </c>
      <c r="F546">
        <v>162000</v>
      </c>
      <c r="G546" t="s">
        <v>21</v>
      </c>
      <c r="H546" t="s">
        <v>22</v>
      </c>
      <c r="I546" t="s">
        <v>28</v>
      </c>
      <c r="J546" t="s">
        <v>24</v>
      </c>
      <c r="K546" s="6">
        <f t="shared" ca="1" si="40"/>
        <v>21875</v>
      </c>
      <c r="L546">
        <v>-23886</v>
      </c>
      <c r="M546" s="7">
        <f t="shared" ca="1" si="38"/>
        <v>65.396303901437378</v>
      </c>
      <c r="N546" s="5" t="str">
        <f ca="1">VLOOKUP(Data!M546,temp!$B$3:$C$9,2,1)</f>
        <v>60-70</v>
      </c>
      <c r="O546">
        <v>365243</v>
      </c>
      <c r="P546" s="8">
        <f t="shared" si="39"/>
        <v>0</v>
      </c>
      <c r="Q546" s="5" t="str">
        <f t="shared" si="41"/>
        <v>Unemployed</v>
      </c>
      <c r="R546">
        <v>1</v>
      </c>
      <c r="S546">
        <v>0</v>
      </c>
      <c r="T546">
        <v>1</v>
      </c>
      <c r="U546">
        <v>0</v>
      </c>
      <c r="W546">
        <v>2</v>
      </c>
    </row>
    <row r="547" spans="1:23" x14ac:dyDescent="0.2">
      <c r="A547">
        <v>5024430</v>
      </c>
      <c r="B547" t="s">
        <v>18</v>
      </c>
      <c r="C547" t="s">
        <v>20</v>
      </c>
      <c r="D547" t="s">
        <v>20</v>
      </c>
      <c r="E547">
        <v>0</v>
      </c>
      <c r="F547">
        <v>162000</v>
      </c>
      <c r="G547" t="s">
        <v>21</v>
      </c>
      <c r="H547" t="s">
        <v>22</v>
      </c>
      <c r="I547" t="s">
        <v>28</v>
      </c>
      <c r="J547" t="s">
        <v>24</v>
      </c>
      <c r="K547" s="6">
        <f t="shared" ca="1" si="40"/>
        <v>21875</v>
      </c>
      <c r="L547">
        <v>-23886</v>
      </c>
      <c r="M547" s="7">
        <f t="shared" ca="1" si="38"/>
        <v>65.396303901437378</v>
      </c>
      <c r="N547" s="5" t="str">
        <f ca="1">VLOOKUP(Data!M547,temp!$B$3:$C$9,2,1)</f>
        <v>60-70</v>
      </c>
      <c r="O547">
        <v>365243</v>
      </c>
      <c r="P547" s="8">
        <f t="shared" si="39"/>
        <v>0</v>
      </c>
      <c r="Q547" s="5" t="str">
        <f t="shared" si="41"/>
        <v>Unemployed</v>
      </c>
      <c r="R547">
        <v>1</v>
      </c>
      <c r="S547">
        <v>0</v>
      </c>
      <c r="T547">
        <v>1</v>
      </c>
      <c r="U547">
        <v>0</v>
      </c>
      <c r="W547">
        <v>2</v>
      </c>
    </row>
    <row r="548" spans="1:23" x14ac:dyDescent="0.2">
      <c r="A548">
        <v>5024436</v>
      </c>
      <c r="B548" t="s">
        <v>25</v>
      </c>
      <c r="C548" t="s">
        <v>20</v>
      </c>
      <c r="D548" t="s">
        <v>20</v>
      </c>
      <c r="E548">
        <v>0</v>
      </c>
      <c r="F548">
        <v>157500</v>
      </c>
      <c r="G548" t="s">
        <v>26</v>
      </c>
      <c r="H548" t="s">
        <v>22</v>
      </c>
      <c r="I548" t="s">
        <v>28</v>
      </c>
      <c r="J548" t="s">
        <v>24</v>
      </c>
      <c r="K548" s="6">
        <f t="shared" ca="1" si="40"/>
        <v>24838</v>
      </c>
      <c r="L548">
        <v>-20923</v>
      </c>
      <c r="M548" s="7">
        <f t="shared" ca="1" si="38"/>
        <v>57.284052019164953</v>
      </c>
      <c r="N548" s="5" t="str">
        <f ca="1">VLOOKUP(Data!M548,temp!$B$3:$C$9,2,1)</f>
        <v>50-60</v>
      </c>
      <c r="O548">
        <v>-1189</v>
      </c>
      <c r="P548" s="8">
        <f t="shared" si="39"/>
        <v>3.2553045859000687</v>
      </c>
      <c r="Q548" s="5" t="str">
        <f t="shared" si="41"/>
        <v>Employed</v>
      </c>
      <c r="R548">
        <v>1</v>
      </c>
      <c r="S548">
        <v>0</v>
      </c>
      <c r="T548">
        <v>0</v>
      </c>
      <c r="U548">
        <v>0</v>
      </c>
      <c r="V548" t="s">
        <v>29</v>
      </c>
      <c r="W548">
        <v>2</v>
      </c>
    </row>
    <row r="549" spans="1:23" x14ac:dyDescent="0.2">
      <c r="A549">
        <v>5024448</v>
      </c>
      <c r="B549" t="s">
        <v>25</v>
      </c>
      <c r="C549" t="s">
        <v>20</v>
      </c>
      <c r="D549" t="s">
        <v>20</v>
      </c>
      <c r="E549">
        <v>0</v>
      </c>
      <c r="F549">
        <v>180000</v>
      </c>
      <c r="G549" t="s">
        <v>31</v>
      </c>
      <c r="H549" t="s">
        <v>27</v>
      </c>
      <c r="I549" t="s">
        <v>28</v>
      </c>
      <c r="J549" t="s">
        <v>24</v>
      </c>
      <c r="K549" s="6">
        <f t="shared" ca="1" si="40"/>
        <v>33157</v>
      </c>
      <c r="L549">
        <v>-12604</v>
      </c>
      <c r="M549" s="7">
        <f t="shared" ca="1" si="38"/>
        <v>34.507871321013006</v>
      </c>
      <c r="N549" s="5" t="str">
        <f ca="1">VLOOKUP(Data!M549,temp!$B$3:$C$9,2,1)</f>
        <v>30-40</v>
      </c>
      <c r="O549">
        <v>-2620</v>
      </c>
      <c r="P549" s="8">
        <f t="shared" si="39"/>
        <v>7.1731690622861057</v>
      </c>
      <c r="Q549" s="5" t="str">
        <f t="shared" si="41"/>
        <v>Employed</v>
      </c>
      <c r="R549">
        <v>1</v>
      </c>
      <c r="S549">
        <v>1</v>
      </c>
      <c r="T549">
        <v>1</v>
      </c>
      <c r="U549">
        <v>0</v>
      </c>
      <c r="V549" t="s">
        <v>32</v>
      </c>
      <c r="W549">
        <v>2</v>
      </c>
    </row>
    <row r="550" spans="1:23" x14ac:dyDescent="0.2">
      <c r="A550">
        <v>5024452</v>
      </c>
      <c r="B550" t="s">
        <v>25</v>
      </c>
      <c r="C550" t="s">
        <v>20</v>
      </c>
      <c r="D550" t="s">
        <v>20</v>
      </c>
      <c r="E550">
        <v>0</v>
      </c>
      <c r="F550">
        <v>180000</v>
      </c>
      <c r="G550" t="s">
        <v>31</v>
      </c>
      <c r="H550" t="s">
        <v>27</v>
      </c>
      <c r="I550" t="s">
        <v>28</v>
      </c>
      <c r="J550" t="s">
        <v>24</v>
      </c>
      <c r="K550" s="6">
        <f t="shared" ca="1" si="40"/>
        <v>33157</v>
      </c>
      <c r="L550">
        <v>-12604</v>
      </c>
      <c r="M550" s="7">
        <f t="shared" ca="1" si="38"/>
        <v>34.507871321013006</v>
      </c>
      <c r="N550" s="5" t="str">
        <f ca="1">VLOOKUP(Data!M550,temp!$B$3:$C$9,2,1)</f>
        <v>30-40</v>
      </c>
      <c r="O550">
        <v>-2620</v>
      </c>
      <c r="P550" s="8">
        <f t="shared" si="39"/>
        <v>7.1731690622861057</v>
      </c>
      <c r="Q550" s="5" t="str">
        <f t="shared" si="41"/>
        <v>Employed</v>
      </c>
      <c r="R550">
        <v>1</v>
      </c>
      <c r="S550">
        <v>1</v>
      </c>
      <c r="T550">
        <v>1</v>
      </c>
      <c r="U550">
        <v>0</v>
      </c>
      <c r="V550" t="s">
        <v>32</v>
      </c>
      <c r="W550">
        <v>2</v>
      </c>
    </row>
    <row r="551" spans="1:23" x14ac:dyDescent="0.2">
      <c r="A551">
        <v>5024473</v>
      </c>
      <c r="B551" t="s">
        <v>18</v>
      </c>
      <c r="C551" t="s">
        <v>19</v>
      </c>
      <c r="D551" t="s">
        <v>19</v>
      </c>
      <c r="E551">
        <v>0</v>
      </c>
      <c r="F551">
        <v>90000</v>
      </c>
      <c r="G551" t="s">
        <v>31</v>
      </c>
      <c r="H551" t="s">
        <v>27</v>
      </c>
      <c r="I551" t="s">
        <v>28</v>
      </c>
      <c r="J551" t="s">
        <v>24</v>
      </c>
      <c r="K551" s="6">
        <f t="shared" ca="1" si="40"/>
        <v>35700</v>
      </c>
      <c r="L551">
        <v>-10061</v>
      </c>
      <c r="M551" s="7">
        <f t="shared" ca="1" si="38"/>
        <v>27.545516769336071</v>
      </c>
      <c r="N551" s="5" t="str">
        <f ca="1">VLOOKUP(Data!M551,temp!$B$3:$C$9,2,1)</f>
        <v>20-30</v>
      </c>
      <c r="O551">
        <v>-520</v>
      </c>
      <c r="P551" s="8">
        <f t="shared" si="39"/>
        <v>1.4236824093086926</v>
      </c>
      <c r="Q551" s="5" t="str">
        <f t="shared" si="41"/>
        <v>Employed</v>
      </c>
      <c r="R551">
        <v>1</v>
      </c>
      <c r="S551">
        <v>0</v>
      </c>
      <c r="T551">
        <v>0</v>
      </c>
      <c r="U551">
        <v>1</v>
      </c>
      <c r="V551" t="s">
        <v>47</v>
      </c>
      <c r="W551">
        <v>2</v>
      </c>
    </row>
    <row r="552" spans="1:23" x14ac:dyDescent="0.2">
      <c r="A552">
        <v>5024486</v>
      </c>
      <c r="B552" t="s">
        <v>18</v>
      </c>
      <c r="C552" t="s">
        <v>19</v>
      </c>
      <c r="D552" t="s">
        <v>20</v>
      </c>
      <c r="E552">
        <v>0</v>
      </c>
      <c r="F552">
        <v>225000</v>
      </c>
      <c r="G552" t="s">
        <v>31</v>
      </c>
      <c r="H552" t="s">
        <v>27</v>
      </c>
      <c r="I552" t="s">
        <v>33</v>
      </c>
      <c r="J552" t="s">
        <v>24</v>
      </c>
      <c r="K552" s="6">
        <f t="shared" ca="1" si="40"/>
        <v>25459</v>
      </c>
      <c r="L552">
        <v>-20302</v>
      </c>
      <c r="M552" s="7">
        <f t="shared" ca="1" si="38"/>
        <v>55.583846680355919</v>
      </c>
      <c r="N552" s="5" t="str">
        <f ca="1">VLOOKUP(Data!M552,temp!$B$3:$C$9,2,1)</f>
        <v>50-60</v>
      </c>
      <c r="O552">
        <v>-10259</v>
      </c>
      <c r="P552" s="8">
        <f t="shared" si="39"/>
        <v>28.087611225188226</v>
      </c>
      <c r="Q552" s="5" t="str">
        <f t="shared" si="41"/>
        <v>Employed</v>
      </c>
      <c r="R552">
        <v>1</v>
      </c>
      <c r="S552">
        <v>0</v>
      </c>
      <c r="T552">
        <v>0</v>
      </c>
      <c r="U552">
        <v>0</v>
      </c>
      <c r="V552" t="s">
        <v>50</v>
      </c>
      <c r="W552">
        <v>1</v>
      </c>
    </row>
    <row r="553" spans="1:23" x14ac:dyDescent="0.2">
      <c r="A553">
        <v>5024487</v>
      </c>
      <c r="B553" t="s">
        <v>18</v>
      </c>
      <c r="C553" t="s">
        <v>19</v>
      </c>
      <c r="D553" t="s">
        <v>20</v>
      </c>
      <c r="E553">
        <v>0</v>
      </c>
      <c r="F553">
        <v>225000</v>
      </c>
      <c r="G553" t="s">
        <v>31</v>
      </c>
      <c r="H553" t="s">
        <v>27</v>
      </c>
      <c r="I553" t="s">
        <v>33</v>
      </c>
      <c r="J553" t="s">
        <v>24</v>
      </c>
      <c r="K553" s="6">
        <f t="shared" ca="1" si="40"/>
        <v>25459</v>
      </c>
      <c r="L553">
        <v>-20302</v>
      </c>
      <c r="M553" s="7">
        <f t="shared" ca="1" si="38"/>
        <v>55.583846680355919</v>
      </c>
      <c r="N553" s="5" t="str">
        <f ca="1">VLOOKUP(Data!M553,temp!$B$3:$C$9,2,1)</f>
        <v>50-60</v>
      </c>
      <c r="O553">
        <v>-10259</v>
      </c>
      <c r="P553" s="8">
        <f t="shared" si="39"/>
        <v>28.087611225188226</v>
      </c>
      <c r="Q553" s="5" t="str">
        <f t="shared" si="41"/>
        <v>Employed</v>
      </c>
      <c r="R553">
        <v>1</v>
      </c>
      <c r="S553">
        <v>0</v>
      </c>
      <c r="T553">
        <v>0</v>
      </c>
      <c r="U553">
        <v>0</v>
      </c>
      <c r="V553" t="s">
        <v>50</v>
      </c>
      <c r="W553">
        <v>1</v>
      </c>
    </row>
    <row r="554" spans="1:23" x14ac:dyDescent="0.2">
      <c r="A554">
        <v>5024489</v>
      </c>
      <c r="B554" t="s">
        <v>25</v>
      </c>
      <c r="C554" t="s">
        <v>19</v>
      </c>
      <c r="D554" t="s">
        <v>20</v>
      </c>
      <c r="E554">
        <v>0</v>
      </c>
      <c r="F554">
        <v>171000</v>
      </c>
      <c r="G554" t="s">
        <v>31</v>
      </c>
      <c r="H554" t="s">
        <v>27</v>
      </c>
      <c r="I554" t="s">
        <v>28</v>
      </c>
      <c r="J554" t="s">
        <v>24</v>
      </c>
      <c r="K554" s="6">
        <f t="shared" ca="1" si="40"/>
        <v>24044</v>
      </c>
      <c r="L554">
        <v>-21717</v>
      </c>
      <c r="M554" s="7">
        <f t="shared" ca="1" si="38"/>
        <v>59.457905544147842</v>
      </c>
      <c r="N554" s="5" t="str">
        <f ca="1">VLOOKUP(Data!M554,temp!$B$3:$C$9,2,1)</f>
        <v>50-60</v>
      </c>
      <c r="O554">
        <v>-2042</v>
      </c>
      <c r="P554" s="8">
        <f t="shared" si="39"/>
        <v>5.590691307323751</v>
      </c>
      <c r="Q554" s="5" t="str">
        <f t="shared" si="41"/>
        <v>Employed</v>
      </c>
      <c r="R554">
        <v>1</v>
      </c>
      <c r="S554">
        <v>0</v>
      </c>
      <c r="T554">
        <v>0</v>
      </c>
      <c r="U554">
        <v>0</v>
      </c>
      <c r="V554" t="s">
        <v>30</v>
      </c>
      <c r="W554">
        <v>2</v>
      </c>
    </row>
    <row r="555" spans="1:23" x14ac:dyDescent="0.2">
      <c r="A555">
        <v>5024490</v>
      </c>
      <c r="B555" t="s">
        <v>25</v>
      </c>
      <c r="C555" t="s">
        <v>19</v>
      </c>
      <c r="D555" t="s">
        <v>20</v>
      </c>
      <c r="E555">
        <v>1</v>
      </c>
      <c r="F555">
        <v>135000</v>
      </c>
      <c r="G555" t="s">
        <v>31</v>
      </c>
      <c r="H555" t="s">
        <v>27</v>
      </c>
      <c r="I555" t="s">
        <v>28</v>
      </c>
      <c r="J555" t="s">
        <v>34</v>
      </c>
      <c r="K555" s="6">
        <f t="shared" ca="1" si="40"/>
        <v>35347</v>
      </c>
      <c r="L555">
        <v>-10414</v>
      </c>
      <c r="M555" s="7">
        <f t="shared" ca="1" si="38"/>
        <v>28.511978097193705</v>
      </c>
      <c r="N555" s="5" t="str">
        <f ca="1">VLOOKUP(Data!M555,temp!$B$3:$C$9,2,1)</f>
        <v>20-30</v>
      </c>
      <c r="O555">
        <v>-2742</v>
      </c>
      <c r="P555" s="8">
        <f t="shared" si="39"/>
        <v>7.5071868583162216</v>
      </c>
      <c r="Q555" s="5" t="str">
        <f t="shared" si="41"/>
        <v>Employed</v>
      </c>
      <c r="R555">
        <v>1</v>
      </c>
      <c r="S555">
        <v>1</v>
      </c>
      <c r="T555">
        <v>1</v>
      </c>
      <c r="U555">
        <v>0</v>
      </c>
      <c r="V555" t="s">
        <v>29</v>
      </c>
      <c r="W555">
        <v>3</v>
      </c>
    </row>
    <row r="556" spans="1:23" x14ac:dyDescent="0.2">
      <c r="A556">
        <v>5024496</v>
      </c>
      <c r="B556" t="s">
        <v>25</v>
      </c>
      <c r="C556" t="s">
        <v>19</v>
      </c>
      <c r="D556" t="s">
        <v>20</v>
      </c>
      <c r="E556">
        <v>1</v>
      </c>
      <c r="F556">
        <v>135000</v>
      </c>
      <c r="G556" t="s">
        <v>31</v>
      </c>
      <c r="H556" t="s">
        <v>27</v>
      </c>
      <c r="I556" t="s">
        <v>28</v>
      </c>
      <c r="J556" t="s">
        <v>34</v>
      </c>
      <c r="K556" s="6">
        <f t="shared" ca="1" si="40"/>
        <v>35347</v>
      </c>
      <c r="L556">
        <v>-10414</v>
      </c>
      <c r="M556" s="7">
        <f t="shared" ca="1" si="38"/>
        <v>28.511978097193705</v>
      </c>
      <c r="N556" s="5" t="str">
        <f ca="1">VLOOKUP(Data!M556,temp!$B$3:$C$9,2,1)</f>
        <v>20-30</v>
      </c>
      <c r="O556">
        <v>-2742</v>
      </c>
      <c r="P556" s="8">
        <f t="shared" si="39"/>
        <v>7.5071868583162216</v>
      </c>
      <c r="Q556" s="5" t="str">
        <f t="shared" si="41"/>
        <v>Employed</v>
      </c>
      <c r="R556">
        <v>1</v>
      </c>
      <c r="S556">
        <v>1</v>
      </c>
      <c r="T556">
        <v>1</v>
      </c>
      <c r="U556">
        <v>0</v>
      </c>
      <c r="V556" t="s">
        <v>29</v>
      </c>
      <c r="W556">
        <v>3</v>
      </c>
    </row>
    <row r="557" spans="1:23" x14ac:dyDescent="0.2">
      <c r="A557">
        <v>5024504</v>
      </c>
      <c r="B557" t="s">
        <v>18</v>
      </c>
      <c r="C557" t="s">
        <v>20</v>
      </c>
      <c r="D557" t="s">
        <v>20</v>
      </c>
      <c r="E557">
        <v>0</v>
      </c>
      <c r="F557">
        <v>135000</v>
      </c>
      <c r="G557" t="s">
        <v>26</v>
      </c>
      <c r="H557" t="s">
        <v>22</v>
      </c>
      <c r="I557" t="s">
        <v>28</v>
      </c>
      <c r="J557" t="s">
        <v>24</v>
      </c>
      <c r="K557" s="6">
        <f t="shared" ca="1" si="40"/>
        <v>31551</v>
      </c>
      <c r="L557">
        <v>-14210</v>
      </c>
      <c r="M557" s="7">
        <f t="shared" ca="1" si="38"/>
        <v>38.904859685147159</v>
      </c>
      <c r="N557" s="5" t="str">
        <f ca="1">VLOOKUP(Data!M557,temp!$B$3:$C$9,2,1)</f>
        <v>30-40</v>
      </c>
      <c r="O557">
        <v>-1128</v>
      </c>
      <c r="P557" s="8">
        <f t="shared" si="39"/>
        <v>3.0882956878850103</v>
      </c>
      <c r="Q557" s="5" t="str">
        <f t="shared" si="41"/>
        <v>Employed</v>
      </c>
      <c r="R557">
        <v>1</v>
      </c>
      <c r="S557">
        <v>0</v>
      </c>
      <c r="T557">
        <v>0</v>
      </c>
      <c r="U557">
        <v>0</v>
      </c>
      <c r="V557" t="s">
        <v>49</v>
      </c>
      <c r="W557">
        <v>2</v>
      </c>
    </row>
    <row r="558" spans="1:23" x14ac:dyDescent="0.2">
      <c r="A558">
        <v>5024510</v>
      </c>
      <c r="B558" t="s">
        <v>18</v>
      </c>
      <c r="C558" t="s">
        <v>19</v>
      </c>
      <c r="D558" t="s">
        <v>20</v>
      </c>
      <c r="E558">
        <v>0</v>
      </c>
      <c r="F558">
        <v>94500</v>
      </c>
      <c r="G558" t="s">
        <v>21</v>
      </c>
      <c r="H558" t="s">
        <v>27</v>
      </c>
      <c r="I558" t="s">
        <v>28</v>
      </c>
      <c r="J558" t="s">
        <v>24</v>
      </c>
      <c r="K558" s="6">
        <f t="shared" ca="1" si="40"/>
        <v>22353</v>
      </c>
      <c r="L558">
        <v>-23408</v>
      </c>
      <c r="M558" s="7">
        <f t="shared" ca="1" si="38"/>
        <v>64.087611225188226</v>
      </c>
      <c r="N558" s="5" t="str">
        <f ca="1">VLOOKUP(Data!M558,temp!$B$3:$C$9,2,1)</f>
        <v>60-70</v>
      </c>
      <c r="O558">
        <v>365243</v>
      </c>
      <c r="P558" s="8">
        <f t="shared" si="39"/>
        <v>0</v>
      </c>
      <c r="Q558" s="5" t="str">
        <f t="shared" si="41"/>
        <v>Unemployed</v>
      </c>
      <c r="R558">
        <v>1</v>
      </c>
      <c r="S558">
        <v>0</v>
      </c>
      <c r="T558">
        <v>0</v>
      </c>
      <c r="U558">
        <v>0</v>
      </c>
      <c r="W558">
        <v>2</v>
      </c>
    </row>
    <row r="559" spans="1:23" x14ac:dyDescent="0.2">
      <c r="A559">
        <v>5024512</v>
      </c>
      <c r="B559" t="s">
        <v>18</v>
      </c>
      <c r="C559" t="s">
        <v>19</v>
      </c>
      <c r="D559" t="s">
        <v>20</v>
      </c>
      <c r="E559">
        <v>0</v>
      </c>
      <c r="F559">
        <v>94500</v>
      </c>
      <c r="G559" t="s">
        <v>21</v>
      </c>
      <c r="H559" t="s">
        <v>27</v>
      </c>
      <c r="I559" t="s">
        <v>28</v>
      </c>
      <c r="J559" t="s">
        <v>24</v>
      </c>
      <c r="K559" s="6">
        <f t="shared" ca="1" si="40"/>
        <v>22353</v>
      </c>
      <c r="L559">
        <v>-23408</v>
      </c>
      <c r="M559" s="7">
        <f t="shared" ca="1" si="38"/>
        <v>64.087611225188226</v>
      </c>
      <c r="N559" s="5" t="str">
        <f ca="1">VLOOKUP(Data!M559,temp!$B$3:$C$9,2,1)</f>
        <v>60-70</v>
      </c>
      <c r="O559">
        <v>365243</v>
      </c>
      <c r="P559" s="8">
        <f t="shared" si="39"/>
        <v>0</v>
      </c>
      <c r="Q559" s="5" t="str">
        <f t="shared" si="41"/>
        <v>Unemployed</v>
      </c>
      <c r="R559">
        <v>1</v>
      </c>
      <c r="S559">
        <v>0</v>
      </c>
      <c r="T559">
        <v>0</v>
      </c>
      <c r="U559">
        <v>0</v>
      </c>
      <c r="W559">
        <v>2</v>
      </c>
    </row>
    <row r="560" spans="1:23" x14ac:dyDescent="0.2">
      <c r="A560">
        <v>5024515</v>
      </c>
      <c r="B560" t="s">
        <v>18</v>
      </c>
      <c r="C560" t="s">
        <v>19</v>
      </c>
      <c r="D560" t="s">
        <v>20</v>
      </c>
      <c r="E560">
        <v>0</v>
      </c>
      <c r="F560">
        <v>94500</v>
      </c>
      <c r="G560" t="s">
        <v>21</v>
      </c>
      <c r="H560" t="s">
        <v>27</v>
      </c>
      <c r="I560" t="s">
        <v>28</v>
      </c>
      <c r="J560" t="s">
        <v>24</v>
      </c>
      <c r="K560" s="6">
        <f t="shared" ca="1" si="40"/>
        <v>22353</v>
      </c>
      <c r="L560">
        <v>-23408</v>
      </c>
      <c r="M560" s="7">
        <f t="shared" ca="1" si="38"/>
        <v>64.087611225188226</v>
      </c>
      <c r="N560" s="5" t="str">
        <f ca="1">VLOOKUP(Data!M560,temp!$B$3:$C$9,2,1)</f>
        <v>60-70</v>
      </c>
      <c r="O560">
        <v>365243</v>
      </c>
      <c r="P560" s="8">
        <f t="shared" si="39"/>
        <v>0</v>
      </c>
      <c r="Q560" s="5" t="str">
        <f t="shared" si="41"/>
        <v>Unemployed</v>
      </c>
      <c r="R560">
        <v>1</v>
      </c>
      <c r="S560">
        <v>0</v>
      </c>
      <c r="T560">
        <v>0</v>
      </c>
      <c r="U560">
        <v>0</v>
      </c>
      <c r="W560">
        <v>2</v>
      </c>
    </row>
    <row r="561" spans="1:23" x14ac:dyDescent="0.2">
      <c r="A561">
        <v>5024516</v>
      </c>
      <c r="B561" t="s">
        <v>18</v>
      </c>
      <c r="C561" t="s">
        <v>19</v>
      </c>
      <c r="D561" t="s">
        <v>20</v>
      </c>
      <c r="E561">
        <v>0</v>
      </c>
      <c r="F561">
        <v>94500</v>
      </c>
      <c r="G561" t="s">
        <v>21</v>
      </c>
      <c r="H561" t="s">
        <v>27</v>
      </c>
      <c r="I561" t="s">
        <v>28</v>
      </c>
      <c r="J561" t="s">
        <v>24</v>
      </c>
      <c r="K561" s="6">
        <f t="shared" ca="1" si="40"/>
        <v>22353</v>
      </c>
      <c r="L561">
        <v>-23408</v>
      </c>
      <c r="M561" s="7">
        <f t="shared" ca="1" si="38"/>
        <v>64.087611225188226</v>
      </c>
      <c r="N561" s="5" t="str">
        <f ca="1">VLOOKUP(Data!M561,temp!$B$3:$C$9,2,1)</f>
        <v>60-70</v>
      </c>
      <c r="O561">
        <v>365243</v>
      </c>
      <c r="P561" s="8">
        <f t="shared" si="39"/>
        <v>0</v>
      </c>
      <c r="Q561" s="5" t="str">
        <f t="shared" si="41"/>
        <v>Unemployed</v>
      </c>
      <c r="R561">
        <v>1</v>
      </c>
      <c r="S561">
        <v>0</v>
      </c>
      <c r="T561">
        <v>0</v>
      </c>
      <c r="U561">
        <v>0</v>
      </c>
      <c r="W561">
        <v>2</v>
      </c>
    </row>
    <row r="562" spans="1:23" x14ac:dyDescent="0.2">
      <c r="A562">
        <v>5024535</v>
      </c>
      <c r="B562" t="s">
        <v>18</v>
      </c>
      <c r="C562" t="s">
        <v>19</v>
      </c>
      <c r="D562" t="s">
        <v>20</v>
      </c>
      <c r="E562">
        <v>0</v>
      </c>
      <c r="F562">
        <v>180000</v>
      </c>
      <c r="G562" t="s">
        <v>21</v>
      </c>
      <c r="H562" t="s">
        <v>27</v>
      </c>
      <c r="I562" t="s">
        <v>42</v>
      </c>
      <c r="J562" t="s">
        <v>24</v>
      </c>
      <c r="K562" s="6">
        <f t="shared" ca="1" si="40"/>
        <v>22702</v>
      </c>
      <c r="L562">
        <v>-23059</v>
      </c>
      <c r="M562" s="7">
        <f t="shared" ca="1" si="38"/>
        <v>63.132101300479121</v>
      </c>
      <c r="N562" s="5" t="str">
        <f ca="1">VLOOKUP(Data!M562,temp!$B$3:$C$9,2,1)</f>
        <v>60-70</v>
      </c>
      <c r="O562">
        <v>365243</v>
      </c>
      <c r="P562" s="8">
        <f t="shared" si="39"/>
        <v>0</v>
      </c>
      <c r="Q562" s="5" t="str">
        <f t="shared" si="41"/>
        <v>Unemployed</v>
      </c>
      <c r="R562">
        <v>1</v>
      </c>
      <c r="S562">
        <v>0</v>
      </c>
      <c r="T562">
        <v>0</v>
      </c>
      <c r="U562">
        <v>0</v>
      </c>
      <c r="W562">
        <v>1</v>
      </c>
    </row>
    <row r="563" spans="1:23" x14ac:dyDescent="0.2">
      <c r="A563">
        <v>5024541</v>
      </c>
      <c r="B563" t="s">
        <v>25</v>
      </c>
      <c r="C563" t="s">
        <v>19</v>
      </c>
      <c r="D563" t="s">
        <v>20</v>
      </c>
      <c r="E563">
        <v>0</v>
      </c>
      <c r="F563">
        <v>112500</v>
      </c>
      <c r="G563" t="s">
        <v>31</v>
      </c>
      <c r="H563" t="s">
        <v>27</v>
      </c>
      <c r="I563" t="s">
        <v>28</v>
      </c>
      <c r="J563" t="s">
        <v>24</v>
      </c>
      <c r="K563" s="6">
        <f t="shared" ca="1" si="40"/>
        <v>31690</v>
      </c>
      <c r="L563">
        <v>-14071</v>
      </c>
      <c r="M563" s="7">
        <f t="shared" ca="1" si="38"/>
        <v>38.5242984257358</v>
      </c>
      <c r="N563" s="5" t="str">
        <f ca="1">VLOOKUP(Data!M563,temp!$B$3:$C$9,2,1)</f>
        <v>30-40</v>
      </c>
      <c r="O563">
        <v>-3806</v>
      </c>
      <c r="P563" s="8">
        <f t="shared" si="39"/>
        <v>10.420260095824778</v>
      </c>
      <c r="Q563" s="5" t="str">
        <f t="shared" si="41"/>
        <v>Employed</v>
      </c>
      <c r="R563">
        <v>1</v>
      </c>
      <c r="S563">
        <v>1</v>
      </c>
      <c r="T563">
        <v>0</v>
      </c>
      <c r="U563">
        <v>0</v>
      </c>
      <c r="V563" t="s">
        <v>29</v>
      </c>
      <c r="W563">
        <v>2</v>
      </c>
    </row>
    <row r="564" spans="1:23" x14ac:dyDescent="0.2">
      <c r="A564">
        <v>5024581</v>
      </c>
      <c r="B564" t="s">
        <v>18</v>
      </c>
      <c r="C564" t="s">
        <v>19</v>
      </c>
      <c r="D564" t="s">
        <v>19</v>
      </c>
      <c r="E564">
        <v>1</v>
      </c>
      <c r="F564">
        <v>90000</v>
      </c>
      <c r="G564" t="s">
        <v>31</v>
      </c>
      <c r="H564" t="s">
        <v>27</v>
      </c>
      <c r="I564" t="s">
        <v>28</v>
      </c>
      <c r="J564" t="s">
        <v>41</v>
      </c>
      <c r="K564" s="6">
        <f t="shared" ca="1" si="40"/>
        <v>35508</v>
      </c>
      <c r="L564">
        <v>-10253</v>
      </c>
      <c r="M564" s="7">
        <f t="shared" ca="1" si="38"/>
        <v>28.071184120465436</v>
      </c>
      <c r="N564" s="5" t="str">
        <f ca="1">VLOOKUP(Data!M564,temp!$B$3:$C$9,2,1)</f>
        <v>20-30</v>
      </c>
      <c r="O564">
        <v>-1462</v>
      </c>
      <c r="P564" s="8">
        <f t="shared" si="39"/>
        <v>4.0027378507871321</v>
      </c>
      <c r="Q564" s="5" t="str">
        <f t="shared" si="41"/>
        <v>Employed</v>
      </c>
      <c r="R564">
        <v>1</v>
      </c>
      <c r="S564">
        <v>0</v>
      </c>
      <c r="T564">
        <v>0</v>
      </c>
      <c r="U564">
        <v>0</v>
      </c>
      <c r="V564" t="s">
        <v>29</v>
      </c>
      <c r="W564">
        <v>3</v>
      </c>
    </row>
    <row r="565" spans="1:23" x14ac:dyDescent="0.2">
      <c r="A565">
        <v>5024584</v>
      </c>
      <c r="B565" t="s">
        <v>18</v>
      </c>
      <c r="C565" t="s">
        <v>20</v>
      </c>
      <c r="D565" t="s">
        <v>20</v>
      </c>
      <c r="E565">
        <v>2</v>
      </c>
      <c r="F565">
        <v>315000</v>
      </c>
      <c r="G565" t="s">
        <v>35</v>
      </c>
      <c r="H565" t="s">
        <v>27</v>
      </c>
      <c r="I565" t="s">
        <v>28</v>
      </c>
      <c r="J565" t="s">
        <v>24</v>
      </c>
      <c r="K565" s="6">
        <f t="shared" ca="1" si="40"/>
        <v>33413</v>
      </c>
      <c r="L565">
        <v>-12348</v>
      </c>
      <c r="M565" s="7">
        <f t="shared" ca="1" si="38"/>
        <v>33.80698151950719</v>
      </c>
      <c r="N565" s="5" t="str">
        <f ca="1">VLOOKUP(Data!M565,temp!$B$3:$C$9,2,1)</f>
        <v>30-40</v>
      </c>
      <c r="O565">
        <v>-1220</v>
      </c>
      <c r="P565" s="8">
        <f t="shared" si="39"/>
        <v>3.3401779603011637</v>
      </c>
      <c r="Q565" s="5" t="str">
        <f t="shared" si="41"/>
        <v>Employed</v>
      </c>
      <c r="R565">
        <v>1</v>
      </c>
      <c r="S565">
        <v>0</v>
      </c>
      <c r="T565">
        <v>0</v>
      </c>
      <c r="U565">
        <v>0</v>
      </c>
      <c r="V565" t="s">
        <v>32</v>
      </c>
      <c r="W565">
        <v>4</v>
      </c>
    </row>
    <row r="566" spans="1:23" x14ac:dyDescent="0.2">
      <c r="A566">
        <v>5024589</v>
      </c>
      <c r="B566" t="s">
        <v>25</v>
      </c>
      <c r="C566" t="s">
        <v>20</v>
      </c>
      <c r="D566" t="s">
        <v>20</v>
      </c>
      <c r="E566">
        <v>0</v>
      </c>
      <c r="F566">
        <v>157500</v>
      </c>
      <c r="G566" t="s">
        <v>31</v>
      </c>
      <c r="H566" t="s">
        <v>27</v>
      </c>
      <c r="I566" t="s">
        <v>28</v>
      </c>
      <c r="J566" t="s">
        <v>41</v>
      </c>
      <c r="K566" s="6">
        <f t="shared" ca="1" si="40"/>
        <v>36868</v>
      </c>
      <c r="L566">
        <v>-8893</v>
      </c>
      <c r="M566" s="7">
        <f t="shared" ca="1" si="38"/>
        <v>24.347707049965777</v>
      </c>
      <c r="N566" s="5" t="str">
        <f ca="1">VLOOKUP(Data!M566,temp!$B$3:$C$9,2,1)</f>
        <v>20-30</v>
      </c>
      <c r="O566">
        <v>-1615</v>
      </c>
      <c r="P566" s="8">
        <f t="shared" si="39"/>
        <v>4.4216290212183438</v>
      </c>
      <c r="Q566" s="5" t="str">
        <f t="shared" si="41"/>
        <v>Employed</v>
      </c>
      <c r="R566">
        <v>1</v>
      </c>
      <c r="S566">
        <v>1</v>
      </c>
      <c r="T566">
        <v>0</v>
      </c>
      <c r="U566">
        <v>0</v>
      </c>
      <c r="V566" t="s">
        <v>30</v>
      </c>
      <c r="W566">
        <v>2</v>
      </c>
    </row>
    <row r="567" spans="1:23" x14ac:dyDescent="0.2">
      <c r="A567">
        <v>5024592</v>
      </c>
      <c r="B567" t="s">
        <v>25</v>
      </c>
      <c r="C567" t="s">
        <v>20</v>
      </c>
      <c r="D567" t="s">
        <v>20</v>
      </c>
      <c r="E567">
        <v>0</v>
      </c>
      <c r="F567">
        <v>157500</v>
      </c>
      <c r="G567" t="s">
        <v>31</v>
      </c>
      <c r="H567" t="s">
        <v>27</v>
      </c>
      <c r="I567" t="s">
        <v>28</v>
      </c>
      <c r="J567" t="s">
        <v>41</v>
      </c>
      <c r="K567" s="6">
        <f t="shared" ca="1" si="40"/>
        <v>36868</v>
      </c>
      <c r="L567">
        <v>-8893</v>
      </c>
      <c r="M567" s="7">
        <f t="shared" ca="1" si="38"/>
        <v>24.347707049965777</v>
      </c>
      <c r="N567" s="5" t="str">
        <f ca="1">VLOOKUP(Data!M567,temp!$B$3:$C$9,2,1)</f>
        <v>20-30</v>
      </c>
      <c r="O567">
        <v>-1615</v>
      </c>
      <c r="P567" s="8">
        <f t="shared" si="39"/>
        <v>4.4216290212183438</v>
      </c>
      <c r="Q567" s="5" t="str">
        <f t="shared" si="41"/>
        <v>Employed</v>
      </c>
      <c r="R567">
        <v>1</v>
      </c>
      <c r="S567">
        <v>1</v>
      </c>
      <c r="T567">
        <v>0</v>
      </c>
      <c r="U567">
        <v>0</v>
      </c>
      <c r="V567" t="s">
        <v>30</v>
      </c>
      <c r="W567">
        <v>2</v>
      </c>
    </row>
    <row r="568" spans="1:23" x14ac:dyDescent="0.2">
      <c r="A568">
        <v>5024614</v>
      </c>
      <c r="B568" t="s">
        <v>25</v>
      </c>
      <c r="C568" t="s">
        <v>20</v>
      </c>
      <c r="D568" t="s">
        <v>20</v>
      </c>
      <c r="E568">
        <v>0</v>
      </c>
      <c r="F568">
        <v>180000</v>
      </c>
      <c r="G568" t="s">
        <v>21</v>
      </c>
      <c r="H568" t="s">
        <v>27</v>
      </c>
      <c r="I568" t="s">
        <v>37</v>
      </c>
      <c r="J568" t="s">
        <v>24</v>
      </c>
      <c r="K568" s="6">
        <f t="shared" ca="1" si="40"/>
        <v>22472</v>
      </c>
      <c r="L568">
        <v>-23289</v>
      </c>
      <c r="M568" s="7">
        <f t="shared" ca="1" si="38"/>
        <v>63.761806981519506</v>
      </c>
      <c r="N568" s="5" t="str">
        <f ca="1">VLOOKUP(Data!M568,temp!$B$3:$C$9,2,1)</f>
        <v>60-70</v>
      </c>
      <c r="O568">
        <v>365243</v>
      </c>
      <c r="P568" s="8">
        <f t="shared" si="39"/>
        <v>0</v>
      </c>
      <c r="Q568" s="5" t="str">
        <f t="shared" si="41"/>
        <v>Unemployed</v>
      </c>
      <c r="R568">
        <v>1</v>
      </c>
      <c r="S568">
        <v>0</v>
      </c>
      <c r="T568">
        <v>1</v>
      </c>
      <c r="U568">
        <v>0</v>
      </c>
      <c r="W568">
        <v>2</v>
      </c>
    </row>
    <row r="569" spans="1:23" x14ac:dyDescent="0.2">
      <c r="A569">
        <v>5024622</v>
      </c>
      <c r="B569" t="s">
        <v>25</v>
      </c>
      <c r="C569" t="s">
        <v>19</v>
      </c>
      <c r="D569" t="s">
        <v>20</v>
      </c>
      <c r="E569">
        <v>2</v>
      </c>
      <c r="F569">
        <v>270000</v>
      </c>
      <c r="G569" t="s">
        <v>31</v>
      </c>
      <c r="H569" t="s">
        <v>27</v>
      </c>
      <c r="I569" t="s">
        <v>33</v>
      </c>
      <c r="J569" t="s">
        <v>24</v>
      </c>
      <c r="K569" s="6">
        <f t="shared" ca="1" si="40"/>
        <v>34256</v>
      </c>
      <c r="L569">
        <v>-11505</v>
      </c>
      <c r="M569" s="7">
        <f t="shared" ca="1" si="38"/>
        <v>31.498973305954827</v>
      </c>
      <c r="N569" s="5" t="str">
        <f ca="1">VLOOKUP(Data!M569,temp!$B$3:$C$9,2,1)</f>
        <v>30-40</v>
      </c>
      <c r="O569">
        <v>-4019</v>
      </c>
      <c r="P569" s="8">
        <f t="shared" si="39"/>
        <v>11.003422313483915</v>
      </c>
      <c r="Q569" s="5" t="str">
        <f t="shared" si="41"/>
        <v>Employed</v>
      </c>
      <c r="R569">
        <v>1</v>
      </c>
      <c r="S569">
        <v>0</v>
      </c>
      <c r="T569">
        <v>0</v>
      </c>
      <c r="U569">
        <v>0</v>
      </c>
      <c r="V569" t="s">
        <v>29</v>
      </c>
      <c r="W569">
        <v>3</v>
      </c>
    </row>
    <row r="570" spans="1:23" x14ac:dyDescent="0.2">
      <c r="A570">
        <v>5024634</v>
      </c>
      <c r="B570" t="s">
        <v>18</v>
      </c>
      <c r="C570" t="s">
        <v>19</v>
      </c>
      <c r="D570" t="s">
        <v>20</v>
      </c>
      <c r="E570">
        <v>0</v>
      </c>
      <c r="F570">
        <v>157500</v>
      </c>
      <c r="G570" t="s">
        <v>31</v>
      </c>
      <c r="H570" t="s">
        <v>27</v>
      </c>
      <c r="I570" t="s">
        <v>28</v>
      </c>
      <c r="J570" t="s">
        <v>24</v>
      </c>
      <c r="K570" s="6">
        <f t="shared" ca="1" si="40"/>
        <v>25839</v>
      </c>
      <c r="L570">
        <v>-19922</v>
      </c>
      <c r="M570" s="7">
        <f t="shared" ca="1" si="38"/>
        <v>54.543463381245722</v>
      </c>
      <c r="N570" s="5" t="str">
        <f ca="1">VLOOKUP(Data!M570,temp!$B$3:$C$9,2,1)</f>
        <v>50-60</v>
      </c>
      <c r="O570">
        <v>-1128</v>
      </c>
      <c r="P570" s="8">
        <f t="shared" si="39"/>
        <v>3.0882956878850103</v>
      </c>
      <c r="Q570" s="5" t="str">
        <f t="shared" si="41"/>
        <v>Employed</v>
      </c>
      <c r="R570">
        <v>1</v>
      </c>
      <c r="S570">
        <v>0</v>
      </c>
      <c r="T570">
        <v>0</v>
      </c>
      <c r="U570">
        <v>0</v>
      </c>
      <c r="W570">
        <v>2</v>
      </c>
    </row>
    <row r="571" spans="1:23" x14ac:dyDescent="0.2">
      <c r="A571">
        <v>5024639</v>
      </c>
      <c r="B571" t="s">
        <v>18</v>
      </c>
      <c r="C571" t="s">
        <v>20</v>
      </c>
      <c r="D571" t="s">
        <v>20</v>
      </c>
      <c r="E571">
        <v>0</v>
      </c>
      <c r="F571">
        <v>180000</v>
      </c>
      <c r="G571" t="s">
        <v>26</v>
      </c>
      <c r="H571" t="s">
        <v>22</v>
      </c>
      <c r="I571" t="s">
        <v>28</v>
      </c>
      <c r="J571" t="s">
        <v>24</v>
      </c>
      <c r="K571" s="6">
        <f t="shared" ca="1" si="40"/>
        <v>35548</v>
      </c>
      <c r="L571">
        <v>-10213</v>
      </c>
      <c r="M571" s="7">
        <f t="shared" ca="1" si="38"/>
        <v>27.961670088980149</v>
      </c>
      <c r="N571" s="5" t="str">
        <f ca="1">VLOOKUP(Data!M571,temp!$B$3:$C$9,2,1)</f>
        <v>20-30</v>
      </c>
      <c r="O571">
        <v>-1707</v>
      </c>
      <c r="P571" s="8">
        <f t="shared" si="39"/>
        <v>4.6735112936344967</v>
      </c>
      <c r="Q571" s="5" t="str">
        <f t="shared" si="41"/>
        <v>Employed</v>
      </c>
      <c r="R571">
        <v>1</v>
      </c>
      <c r="S571">
        <v>0</v>
      </c>
      <c r="T571">
        <v>0</v>
      </c>
      <c r="U571">
        <v>0</v>
      </c>
      <c r="V571" t="s">
        <v>32</v>
      </c>
      <c r="W571">
        <v>2</v>
      </c>
    </row>
    <row r="572" spans="1:23" x14ac:dyDescent="0.2">
      <c r="A572">
        <v>5024642</v>
      </c>
      <c r="B572" t="s">
        <v>18</v>
      </c>
      <c r="C572" t="s">
        <v>20</v>
      </c>
      <c r="D572" t="s">
        <v>20</v>
      </c>
      <c r="E572">
        <v>0</v>
      </c>
      <c r="F572">
        <v>180000</v>
      </c>
      <c r="G572" t="s">
        <v>26</v>
      </c>
      <c r="H572" t="s">
        <v>22</v>
      </c>
      <c r="I572" t="s">
        <v>28</v>
      </c>
      <c r="J572" t="s">
        <v>24</v>
      </c>
      <c r="K572" s="6">
        <f t="shared" ca="1" si="40"/>
        <v>35548</v>
      </c>
      <c r="L572">
        <v>-10213</v>
      </c>
      <c r="M572" s="7">
        <f t="shared" ca="1" si="38"/>
        <v>27.961670088980149</v>
      </c>
      <c r="N572" s="5" t="str">
        <f ca="1">VLOOKUP(Data!M572,temp!$B$3:$C$9,2,1)</f>
        <v>20-30</v>
      </c>
      <c r="O572">
        <v>-1707</v>
      </c>
      <c r="P572" s="8">
        <f t="shared" si="39"/>
        <v>4.6735112936344967</v>
      </c>
      <c r="Q572" s="5" t="str">
        <f t="shared" si="41"/>
        <v>Employed</v>
      </c>
      <c r="R572">
        <v>1</v>
      </c>
      <c r="S572">
        <v>0</v>
      </c>
      <c r="T572">
        <v>0</v>
      </c>
      <c r="U572">
        <v>0</v>
      </c>
      <c r="V572" t="s">
        <v>32</v>
      </c>
      <c r="W572">
        <v>2</v>
      </c>
    </row>
    <row r="573" spans="1:23" x14ac:dyDescent="0.2">
      <c r="A573">
        <v>5024657</v>
      </c>
      <c r="B573" t="s">
        <v>18</v>
      </c>
      <c r="C573" t="s">
        <v>19</v>
      </c>
      <c r="D573" t="s">
        <v>20</v>
      </c>
      <c r="E573">
        <v>0</v>
      </c>
      <c r="F573">
        <v>135000</v>
      </c>
      <c r="G573" t="s">
        <v>31</v>
      </c>
      <c r="H573" t="s">
        <v>22</v>
      </c>
      <c r="I573" t="s">
        <v>33</v>
      </c>
      <c r="J573" t="s">
        <v>24</v>
      </c>
      <c r="K573" s="6">
        <f t="shared" ca="1" si="40"/>
        <v>28773</v>
      </c>
      <c r="L573">
        <v>-16988</v>
      </c>
      <c r="M573" s="7">
        <f t="shared" ca="1" si="38"/>
        <v>46.510609171800134</v>
      </c>
      <c r="N573" s="5" t="str">
        <f ca="1">VLOOKUP(Data!M573,temp!$B$3:$C$9,2,1)</f>
        <v>40-50</v>
      </c>
      <c r="O573">
        <v>-1434</v>
      </c>
      <c r="P573" s="8">
        <f t="shared" si="39"/>
        <v>3.9260780287474333</v>
      </c>
      <c r="Q573" s="5" t="str">
        <f t="shared" si="41"/>
        <v>Employed</v>
      </c>
      <c r="R573">
        <v>1</v>
      </c>
      <c r="S573">
        <v>1</v>
      </c>
      <c r="T573">
        <v>1</v>
      </c>
      <c r="U573">
        <v>0</v>
      </c>
      <c r="W573">
        <v>1</v>
      </c>
    </row>
    <row r="574" spans="1:23" x14ac:dyDescent="0.2">
      <c r="A574">
        <v>5024676</v>
      </c>
      <c r="B574" t="s">
        <v>18</v>
      </c>
      <c r="C574" t="s">
        <v>19</v>
      </c>
      <c r="D574" t="s">
        <v>20</v>
      </c>
      <c r="E574">
        <v>1</v>
      </c>
      <c r="F574">
        <v>180000</v>
      </c>
      <c r="G574" t="s">
        <v>31</v>
      </c>
      <c r="H574" t="s">
        <v>22</v>
      </c>
      <c r="I574" t="s">
        <v>23</v>
      </c>
      <c r="J574" t="s">
        <v>24</v>
      </c>
      <c r="K574" s="6">
        <f t="shared" ca="1" si="40"/>
        <v>30648</v>
      </c>
      <c r="L574">
        <v>-15113</v>
      </c>
      <c r="M574" s="7">
        <f t="shared" ca="1" si="38"/>
        <v>41.377138945927449</v>
      </c>
      <c r="N574" s="5" t="str">
        <f ca="1">VLOOKUP(Data!M574,temp!$B$3:$C$9,2,1)</f>
        <v>40-50</v>
      </c>
      <c r="O574">
        <v>-1585</v>
      </c>
      <c r="P574" s="8">
        <f t="shared" si="39"/>
        <v>4.3394934976043809</v>
      </c>
      <c r="Q574" s="5" t="str">
        <f t="shared" si="41"/>
        <v>Employed</v>
      </c>
      <c r="R574">
        <v>1</v>
      </c>
      <c r="S574">
        <v>0</v>
      </c>
      <c r="T574">
        <v>0</v>
      </c>
      <c r="U574">
        <v>0</v>
      </c>
      <c r="V574" t="s">
        <v>58</v>
      </c>
      <c r="W574">
        <v>2</v>
      </c>
    </row>
    <row r="575" spans="1:23" x14ac:dyDescent="0.2">
      <c r="A575">
        <v>5024677</v>
      </c>
      <c r="B575" t="s">
        <v>18</v>
      </c>
      <c r="C575" t="s">
        <v>19</v>
      </c>
      <c r="D575" t="s">
        <v>20</v>
      </c>
      <c r="E575">
        <v>1</v>
      </c>
      <c r="F575">
        <v>180000</v>
      </c>
      <c r="G575" t="s">
        <v>31</v>
      </c>
      <c r="H575" t="s">
        <v>22</v>
      </c>
      <c r="I575" t="s">
        <v>23</v>
      </c>
      <c r="J575" t="s">
        <v>24</v>
      </c>
      <c r="K575" s="6">
        <f t="shared" ca="1" si="40"/>
        <v>30648</v>
      </c>
      <c r="L575">
        <v>-15113</v>
      </c>
      <c r="M575" s="7">
        <f t="shared" ca="1" si="38"/>
        <v>41.377138945927449</v>
      </c>
      <c r="N575" s="5" t="str">
        <f ca="1">VLOOKUP(Data!M575,temp!$B$3:$C$9,2,1)</f>
        <v>40-50</v>
      </c>
      <c r="O575">
        <v>-1585</v>
      </c>
      <c r="P575" s="8">
        <f t="shared" si="39"/>
        <v>4.3394934976043809</v>
      </c>
      <c r="Q575" s="5" t="str">
        <f t="shared" si="41"/>
        <v>Employed</v>
      </c>
      <c r="R575">
        <v>1</v>
      </c>
      <c r="S575">
        <v>0</v>
      </c>
      <c r="T575">
        <v>0</v>
      </c>
      <c r="U575">
        <v>0</v>
      </c>
      <c r="V575" t="s">
        <v>58</v>
      </c>
      <c r="W575">
        <v>2</v>
      </c>
    </row>
    <row r="576" spans="1:23" x14ac:dyDescent="0.2">
      <c r="A576">
        <v>5024698</v>
      </c>
      <c r="B576" t="s">
        <v>18</v>
      </c>
      <c r="C576" t="s">
        <v>19</v>
      </c>
      <c r="D576" t="s">
        <v>20</v>
      </c>
      <c r="E576">
        <v>0</v>
      </c>
      <c r="F576">
        <v>202500</v>
      </c>
      <c r="G576" t="s">
        <v>31</v>
      </c>
      <c r="H576" t="s">
        <v>27</v>
      </c>
      <c r="I576" t="s">
        <v>23</v>
      </c>
      <c r="J576" t="s">
        <v>24</v>
      </c>
      <c r="K576" s="6">
        <f t="shared" ca="1" si="40"/>
        <v>26729</v>
      </c>
      <c r="L576">
        <v>-19032</v>
      </c>
      <c r="M576" s="7">
        <f t="shared" ca="1" si="38"/>
        <v>52.106776180698155</v>
      </c>
      <c r="N576" s="5" t="str">
        <f ca="1">VLOOKUP(Data!M576,temp!$B$3:$C$9,2,1)</f>
        <v>50-60</v>
      </c>
      <c r="O576">
        <v>-3776</v>
      </c>
      <c r="P576" s="8">
        <f t="shared" si="39"/>
        <v>10.338124572210814</v>
      </c>
      <c r="Q576" s="5" t="str">
        <f t="shared" si="41"/>
        <v>Employed</v>
      </c>
      <c r="R576">
        <v>1</v>
      </c>
      <c r="S576">
        <v>0</v>
      </c>
      <c r="T576">
        <v>0</v>
      </c>
      <c r="U576">
        <v>0</v>
      </c>
      <c r="V576" t="s">
        <v>29</v>
      </c>
      <c r="W576">
        <v>1</v>
      </c>
    </row>
    <row r="577" spans="1:23" x14ac:dyDescent="0.2">
      <c r="A577">
        <v>5024728</v>
      </c>
      <c r="B577" t="s">
        <v>18</v>
      </c>
      <c r="C577" t="s">
        <v>19</v>
      </c>
      <c r="D577" t="s">
        <v>20</v>
      </c>
      <c r="E577">
        <v>0</v>
      </c>
      <c r="F577">
        <v>202500</v>
      </c>
      <c r="G577" t="s">
        <v>31</v>
      </c>
      <c r="H577" t="s">
        <v>22</v>
      </c>
      <c r="I577" t="s">
        <v>28</v>
      </c>
      <c r="J577" t="s">
        <v>24</v>
      </c>
      <c r="K577" s="6">
        <f t="shared" ca="1" si="40"/>
        <v>27605</v>
      </c>
      <c r="L577">
        <v>-18156</v>
      </c>
      <c r="M577" s="7">
        <f t="shared" ca="1" si="38"/>
        <v>49.708418891170432</v>
      </c>
      <c r="N577" s="5" t="str">
        <f ca="1">VLOOKUP(Data!M577,temp!$B$3:$C$9,2,1)</f>
        <v>40-50</v>
      </c>
      <c r="O577">
        <v>-1250</v>
      </c>
      <c r="P577" s="8">
        <f t="shared" si="39"/>
        <v>3.4223134839151266</v>
      </c>
      <c r="Q577" s="5" t="str">
        <f t="shared" si="41"/>
        <v>Employed</v>
      </c>
      <c r="R577">
        <v>1</v>
      </c>
      <c r="S577">
        <v>0</v>
      </c>
      <c r="T577">
        <v>0</v>
      </c>
      <c r="U577">
        <v>0</v>
      </c>
      <c r="V577" t="s">
        <v>32</v>
      </c>
      <c r="W577">
        <v>2</v>
      </c>
    </row>
    <row r="578" spans="1:23" x14ac:dyDescent="0.2">
      <c r="A578">
        <v>5024734</v>
      </c>
      <c r="B578" t="s">
        <v>25</v>
      </c>
      <c r="C578" t="s">
        <v>20</v>
      </c>
      <c r="D578" t="s">
        <v>20</v>
      </c>
      <c r="E578">
        <v>1</v>
      </c>
      <c r="F578">
        <v>405000</v>
      </c>
      <c r="G578" t="s">
        <v>26</v>
      </c>
      <c r="H578" t="s">
        <v>27</v>
      </c>
      <c r="I578" t="s">
        <v>28</v>
      </c>
      <c r="J578" t="s">
        <v>24</v>
      </c>
      <c r="K578" s="6">
        <f t="shared" ca="1" si="40"/>
        <v>29251</v>
      </c>
      <c r="L578">
        <v>-16510</v>
      </c>
      <c r="M578" s="7">
        <f t="shared" ca="1" si="38"/>
        <v>45.201916495550989</v>
      </c>
      <c r="N578" s="5" t="str">
        <f ca="1">VLOOKUP(Data!M578,temp!$B$3:$C$9,2,1)</f>
        <v>40-50</v>
      </c>
      <c r="O578">
        <v>-731</v>
      </c>
      <c r="P578" s="8">
        <f t="shared" si="39"/>
        <v>2.001368925393566</v>
      </c>
      <c r="Q578" s="5" t="str">
        <f t="shared" si="41"/>
        <v>Employed</v>
      </c>
      <c r="R578">
        <v>1</v>
      </c>
      <c r="S578">
        <v>0</v>
      </c>
      <c r="T578">
        <v>0</v>
      </c>
      <c r="U578">
        <v>0</v>
      </c>
      <c r="W578">
        <v>3</v>
      </c>
    </row>
    <row r="579" spans="1:23" x14ac:dyDescent="0.2">
      <c r="A579">
        <v>5024744</v>
      </c>
      <c r="B579" t="s">
        <v>25</v>
      </c>
      <c r="C579" t="s">
        <v>19</v>
      </c>
      <c r="D579" t="s">
        <v>20</v>
      </c>
      <c r="E579">
        <v>0</v>
      </c>
      <c r="F579">
        <v>225000</v>
      </c>
      <c r="G579" t="s">
        <v>26</v>
      </c>
      <c r="H579" t="s">
        <v>22</v>
      </c>
      <c r="I579" t="s">
        <v>33</v>
      </c>
      <c r="J579" t="s">
        <v>24</v>
      </c>
      <c r="K579" s="6">
        <f t="shared" ca="1" si="40"/>
        <v>31566</v>
      </c>
      <c r="L579">
        <v>-14195</v>
      </c>
      <c r="M579" s="7">
        <f t="shared" ref="M579:M642" ca="1" si="42">(TODAY()-K579)/365.25</f>
        <v>38.86379192334018</v>
      </c>
      <c r="N579" s="5" t="str">
        <f ca="1">VLOOKUP(Data!M579,temp!$B$3:$C$9,2,1)</f>
        <v>30-40</v>
      </c>
      <c r="O579">
        <v>-6881</v>
      </c>
      <c r="P579" s="8">
        <f t="shared" ref="P579:P642" si="43">IF(O579&lt;=0,ABS(O579)/365.25,0)</f>
        <v>18.839151266255989</v>
      </c>
      <c r="Q579" s="5" t="str">
        <f t="shared" si="41"/>
        <v>Employed</v>
      </c>
      <c r="R579">
        <v>1</v>
      </c>
      <c r="S579">
        <v>0</v>
      </c>
      <c r="T579">
        <v>0</v>
      </c>
      <c r="U579">
        <v>0</v>
      </c>
      <c r="V579" t="s">
        <v>29</v>
      </c>
      <c r="W579">
        <v>1</v>
      </c>
    </row>
    <row r="580" spans="1:23" x14ac:dyDescent="0.2">
      <c r="A580">
        <v>5024753</v>
      </c>
      <c r="B580" t="s">
        <v>18</v>
      </c>
      <c r="C580" t="s">
        <v>19</v>
      </c>
      <c r="D580" t="s">
        <v>20</v>
      </c>
      <c r="E580">
        <v>0</v>
      </c>
      <c r="F580">
        <v>247500</v>
      </c>
      <c r="G580" t="s">
        <v>26</v>
      </c>
      <c r="H580" t="s">
        <v>27</v>
      </c>
      <c r="I580" t="s">
        <v>28</v>
      </c>
      <c r="J580" t="s">
        <v>24</v>
      </c>
      <c r="K580" s="6">
        <f t="shared" ca="1" si="40"/>
        <v>29421</v>
      </c>
      <c r="L580">
        <v>-16340</v>
      </c>
      <c r="M580" s="7">
        <f t="shared" ca="1" si="42"/>
        <v>44.736481861738532</v>
      </c>
      <c r="N580" s="5" t="str">
        <f ca="1">VLOOKUP(Data!M580,temp!$B$3:$C$9,2,1)</f>
        <v>40-50</v>
      </c>
      <c r="O580">
        <v>-8647</v>
      </c>
      <c r="P580" s="8">
        <f t="shared" si="43"/>
        <v>23.674195756331279</v>
      </c>
      <c r="Q580" s="5" t="str">
        <f t="shared" si="41"/>
        <v>Employed</v>
      </c>
      <c r="R580">
        <v>1</v>
      </c>
      <c r="S580">
        <v>0</v>
      </c>
      <c r="T580">
        <v>0</v>
      </c>
      <c r="U580">
        <v>0</v>
      </c>
      <c r="V580" t="s">
        <v>50</v>
      </c>
      <c r="W580">
        <v>2</v>
      </c>
    </row>
    <row r="581" spans="1:23" x14ac:dyDescent="0.2">
      <c r="A581">
        <v>5024771</v>
      </c>
      <c r="B581" t="s">
        <v>18</v>
      </c>
      <c r="C581" t="s">
        <v>20</v>
      </c>
      <c r="D581" t="s">
        <v>20</v>
      </c>
      <c r="E581">
        <v>0</v>
      </c>
      <c r="F581">
        <v>202500</v>
      </c>
      <c r="G581" t="s">
        <v>31</v>
      </c>
      <c r="H581" t="s">
        <v>27</v>
      </c>
      <c r="I581" t="s">
        <v>33</v>
      </c>
      <c r="J581" t="s">
        <v>24</v>
      </c>
      <c r="K581" s="6">
        <f t="shared" ca="1" si="40"/>
        <v>37193</v>
      </c>
      <c r="L581">
        <v>-8568</v>
      </c>
      <c r="M581" s="7">
        <f t="shared" ca="1" si="42"/>
        <v>23.457905544147845</v>
      </c>
      <c r="N581" s="5" t="str">
        <f ca="1">VLOOKUP(Data!M581,temp!$B$3:$C$9,2,1)</f>
        <v>20-30</v>
      </c>
      <c r="O581">
        <v>-1068</v>
      </c>
      <c r="P581" s="8">
        <f t="shared" si="43"/>
        <v>2.924024640657084</v>
      </c>
      <c r="Q581" s="5" t="str">
        <f t="shared" si="41"/>
        <v>Employed</v>
      </c>
      <c r="R581">
        <v>1</v>
      </c>
      <c r="S581">
        <v>0</v>
      </c>
      <c r="T581">
        <v>0</v>
      </c>
      <c r="U581">
        <v>0</v>
      </c>
      <c r="V581" t="s">
        <v>39</v>
      </c>
      <c r="W581">
        <v>1</v>
      </c>
    </row>
    <row r="582" spans="1:23" x14ac:dyDescent="0.2">
      <c r="A582">
        <v>5024791</v>
      </c>
      <c r="B582" t="s">
        <v>18</v>
      </c>
      <c r="C582" t="s">
        <v>19</v>
      </c>
      <c r="D582" t="s">
        <v>20</v>
      </c>
      <c r="E582">
        <v>0</v>
      </c>
      <c r="F582">
        <v>225000</v>
      </c>
      <c r="G582" t="s">
        <v>21</v>
      </c>
      <c r="H582" t="s">
        <v>22</v>
      </c>
      <c r="I582" t="s">
        <v>28</v>
      </c>
      <c r="J582" t="s">
        <v>24</v>
      </c>
      <c r="K582" s="6">
        <f t="shared" ca="1" si="40"/>
        <v>21893</v>
      </c>
      <c r="L582">
        <v>-23868</v>
      </c>
      <c r="M582" s="7">
        <f t="shared" ca="1" si="42"/>
        <v>65.347022587268995</v>
      </c>
      <c r="N582" s="5" t="str">
        <f ca="1">VLOOKUP(Data!M582,temp!$B$3:$C$9,2,1)</f>
        <v>60-70</v>
      </c>
      <c r="O582">
        <v>365243</v>
      </c>
      <c r="P582" s="8">
        <f t="shared" si="43"/>
        <v>0</v>
      </c>
      <c r="Q582" s="5" t="str">
        <f t="shared" si="41"/>
        <v>Unemployed</v>
      </c>
      <c r="R582">
        <v>1</v>
      </c>
      <c r="S582">
        <v>0</v>
      </c>
      <c r="T582">
        <v>0</v>
      </c>
      <c r="U582">
        <v>0</v>
      </c>
      <c r="W582">
        <v>2</v>
      </c>
    </row>
    <row r="583" spans="1:23" x14ac:dyDescent="0.2">
      <c r="A583">
        <v>5024824</v>
      </c>
      <c r="B583" t="s">
        <v>18</v>
      </c>
      <c r="C583" t="s">
        <v>19</v>
      </c>
      <c r="D583" t="s">
        <v>19</v>
      </c>
      <c r="E583">
        <v>1</v>
      </c>
      <c r="F583">
        <v>90000</v>
      </c>
      <c r="G583" t="s">
        <v>31</v>
      </c>
      <c r="H583" t="s">
        <v>27</v>
      </c>
      <c r="I583" t="s">
        <v>28</v>
      </c>
      <c r="J583" t="s">
        <v>24</v>
      </c>
      <c r="K583" s="6">
        <f t="shared" ca="1" si="40"/>
        <v>33377</v>
      </c>
      <c r="L583">
        <v>-12384</v>
      </c>
      <c r="M583" s="7">
        <f t="shared" ca="1" si="42"/>
        <v>33.905544147843941</v>
      </c>
      <c r="N583" s="5" t="str">
        <f ca="1">VLOOKUP(Data!M583,temp!$B$3:$C$9,2,1)</f>
        <v>30-40</v>
      </c>
      <c r="O583">
        <v>-2223</v>
      </c>
      <c r="P583" s="8">
        <f t="shared" si="43"/>
        <v>6.0862422997946615</v>
      </c>
      <c r="Q583" s="5" t="str">
        <f t="shared" si="41"/>
        <v>Employed</v>
      </c>
      <c r="R583">
        <v>1</v>
      </c>
      <c r="S583">
        <v>1</v>
      </c>
      <c r="T583">
        <v>1</v>
      </c>
      <c r="U583">
        <v>0</v>
      </c>
      <c r="V583" t="s">
        <v>39</v>
      </c>
      <c r="W583">
        <v>3</v>
      </c>
    </row>
    <row r="584" spans="1:23" x14ac:dyDescent="0.2">
      <c r="A584">
        <v>5024841</v>
      </c>
      <c r="B584" t="s">
        <v>18</v>
      </c>
      <c r="C584" t="s">
        <v>19</v>
      </c>
      <c r="D584" t="s">
        <v>20</v>
      </c>
      <c r="E584">
        <v>0</v>
      </c>
      <c r="F584">
        <v>202500</v>
      </c>
      <c r="G584" t="s">
        <v>26</v>
      </c>
      <c r="H584" t="s">
        <v>22</v>
      </c>
      <c r="I584" t="s">
        <v>33</v>
      </c>
      <c r="J584" t="s">
        <v>24</v>
      </c>
      <c r="K584" s="6">
        <f t="shared" ref="K584:K647" ca="1" si="44">TODAY()+($L584)</f>
        <v>31618</v>
      </c>
      <c r="L584">
        <v>-14143</v>
      </c>
      <c r="M584" s="7">
        <f t="shared" ca="1" si="42"/>
        <v>38.721423682409309</v>
      </c>
      <c r="N584" s="5" t="str">
        <f ca="1">VLOOKUP(Data!M584,temp!$B$3:$C$9,2,1)</f>
        <v>30-40</v>
      </c>
      <c r="O584">
        <v>-2072</v>
      </c>
      <c r="P584" s="8">
        <f t="shared" si="43"/>
        <v>5.6728268309377139</v>
      </c>
      <c r="Q584" s="5" t="str">
        <f t="shared" ref="Q584:Q647" si="45">IF($O584&gt;0,"Unemployed","Employed")</f>
        <v>Employed</v>
      </c>
      <c r="R584">
        <v>1</v>
      </c>
      <c r="S584">
        <v>0</v>
      </c>
      <c r="T584">
        <v>0</v>
      </c>
      <c r="U584">
        <v>0</v>
      </c>
      <c r="W584">
        <v>1</v>
      </c>
    </row>
    <row r="585" spans="1:23" x14ac:dyDescent="0.2">
      <c r="A585">
        <v>5024845</v>
      </c>
      <c r="B585" t="s">
        <v>18</v>
      </c>
      <c r="C585" t="s">
        <v>19</v>
      </c>
      <c r="D585" t="s">
        <v>20</v>
      </c>
      <c r="E585">
        <v>0</v>
      </c>
      <c r="F585">
        <v>157500</v>
      </c>
      <c r="G585" t="s">
        <v>31</v>
      </c>
      <c r="H585" t="s">
        <v>22</v>
      </c>
      <c r="I585" t="s">
        <v>33</v>
      </c>
      <c r="J585" t="s">
        <v>24</v>
      </c>
      <c r="K585" s="6">
        <f t="shared" ca="1" si="44"/>
        <v>34250</v>
      </c>
      <c r="L585">
        <v>-11511</v>
      </c>
      <c r="M585" s="7">
        <f t="shared" ca="1" si="42"/>
        <v>31.515400410677618</v>
      </c>
      <c r="N585" s="5" t="str">
        <f ca="1">VLOOKUP(Data!M585,temp!$B$3:$C$9,2,1)</f>
        <v>30-40</v>
      </c>
      <c r="O585">
        <v>-519</v>
      </c>
      <c r="P585" s="8">
        <f t="shared" si="43"/>
        <v>1.4209445585215605</v>
      </c>
      <c r="Q585" s="5" t="str">
        <f t="shared" si="45"/>
        <v>Employed</v>
      </c>
      <c r="R585">
        <v>1</v>
      </c>
      <c r="S585">
        <v>0</v>
      </c>
      <c r="T585">
        <v>0</v>
      </c>
      <c r="U585">
        <v>0</v>
      </c>
      <c r="V585" t="s">
        <v>47</v>
      </c>
      <c r="W585">
        <v>1</v>
      </c>
    </row>
    <row r="586" spans="1:23" x14ac:dyDescent="0.2">
      <c r="A586">
        <v>5024853</v>
      </c>
      <c r="B586" t="s">
        <v>18</v>
      </c>
      <c r="C586" t="s">
        <v>20</v>
      </c>
      <c r="D586" t="s">
        <v>20</v>
      </c>
      <c r="E586">
        <v>3</v>
      </c>
      <c r="F586">
        <v>81000</v>
      </c>
      <c r="G586" t="s">
        <v>31</v>
      </c>
      <c r="H586" t="s">
        <v>27</v>
      </c>
      <c r="I586" t="s">
        <v>28</v>
      </c>
      <c r="J586" t="s">
        <v>24</v>
      </c>
      <c r="K586" s="6">
        <f t="shared" ca="1" si="44"/>
        <v>31166</v>
      </c>
      <c r="L586">
        <v>-14595</v>
      </c>
      <c r="M586" s="7">
        <f t="shared" ca="1" si="42"/>
        <v>39.958932238193022</v>
      </c>
      <c r="N586" s="5" t="str">
        <f ca="1">VLOOKUP(Data!M586,temp!$B$3:$C$9,2,1)</f>
        <v>30-40</v>
      </c>
      <c r="O586">
        <v>-884</v>
      </c>
      <c r="P586" s="8">
        <f t="shared" si="43"/>
        <v>2.4202600958247777</v>
      </c>
      <c r="Q586" s="5" t="str">
        <f t="shared" si="45"/>
        <v>Employed</v>
      </c>
      <c r="R586">
        <v>1</v>
      </c>
      <c r="S586">
        <v>0</v>
      </c>
      <c r="T586">
        <v>0</v>
      </c>
      <c r="U586">
        <v>0</v>
      </c>
      <c r="V586" t="s">
        <v>38</v>
      </c>
      <c r="W586">
        <v>5</v>
      </c>
    </row>
    <row r="587" spans="1:23" x14ac:dyDescent="0.2">
      <c r="A587">
        <v>5024860</v>
      </c>
      <c r="B587" t="s">
        <v>18</v>
      </c>
      <c r="C587" t="s">
        <v>20</v>
      </c>
      <c r="D587" t="s">
        <v>20</v>
      </c>
      <c r="E587">
        <v>0</v>
      </c>
      <c r="F587">
        <v>112500</v>
      </c>
      <c r="G587" t="s">
        <v>21</v>
      </c>
      <c r="H587" t="s">
        <v>51</v>
      </c>
      <c r="I587" t="s">
        <v>37</v>
      </c>
      <c r="J587" t="s">
        <v>24</v>
      </c>
      <c r="K587" s="6">
        <f t="shared" ca="1" si="44"/>
        <v>21279</v>
      </c>
      <c r="L587">
        <v>-24482</v>
      </c>
      <c r="M587" s="7">
        <f t="shared" ca="1" si="42"/>
        <v>67.028062970568101</v>
      </c>
      <c r="N587" s="5" t="str">
        <f ca="1">VLOOKUP(Data!M587,temp!$B$3:$C$9,2,1)</f>
        <v>60-70</v>
      </c>
      <c r="O587">
        <v>365243</v>
      </c>
      <c r="P587" s="8">
        <f t="shared" si="43"/>
        <v>0</v>
      </c>
      <c r="Q587" s="5" t="str">
        <f t="shared" si="45"/>
        <v>Unemployed</v>
      </c>
      <c r="R587">
        <v>1</v>
      </c>
      <c r="S587">
        <v>0</v>
      </c>
      <c r="T587">
        <v>1</v>
      </c>
      <c r="U587">
        <v>0</v>
      </c>
      <c r="W587">
        <v>2</v>
      </c>
    </row>
    <row r="588" spans="1:23" x14ac:dyDescent="0.2">
      <c r="A588">
        <v>5024874</v>
      </c>
      <c r="B588" t="s">
        <v>18</v>
      </c>
      <c r="C588" t="s">
        <v>20</v>
      </c>
      <c r="D588" t="s">
        <v>20</v>
      </c>
      <c r="E588">
        <v>1</v>
      </c>
      <c r="F588">
        <v>225000</v>
      </c>
      <c r="G588" t="s">
        <v>26</v>
      </c>
      <c r="H588" t="s">
        <v>27</v>
      </c>
      <c r="I588" t="s">
        <v>28</v>
      </c>
      <c r="J588" t="s">
        <v>24</v>
      </c>
      <c r="K588" s="6">
        <f t="shared" ca="1" si="44"/>
        <v>28169</v>
      </c>
      <c r="L588">
        <v>-17592</v>
      </c>
      <c r="M588" s="7">
        <f t="shared" ca="1" si="42"/>
        <v>48.164271047227928</v>
      </c>
      <c r="N588" s="5" t="str">
        <f ca="1">VLOOKUP(Data!M588,temp!$B$3:$C$9,2,1)</f>
        <v>40-50</v>
      </c>
      <c r="O588">
        <v>-2923</v>
      </c>
      <c r="P588" s="8">
        <f t="shared" si="43"/>
        <v>8.002737850787133</v>
      </c>
      <c r="Q588" s="5" t="str">
        <f t="shared" si="45"/>
        <v>Employed</v>
      </c>
      <c r="R588">
        <v>1</v>
      </c>
      <c r="S588">
        <v>0</v>
      </c>
      <c r="T588">
        <v>0</v>
      </c>
      <c r="U588">
        <v>0</v>
      </c>
      <c r="V588" t="s">
        <v>38</v>
      </c>
      <c r="W588">
        <v>3</v>
      </c>
    </row>
    <row r="589" spans="1:23" x14ac:dyDescent="0.2">
      <c r="A589">
        <v>5024883</v>
      </c>
      <c r="B589" t="s">
        <v>25</v>
      </c>
      <c r="C589" t="s">
        <v>19</v>
      </c>
      <c r="D589" t="s">
        <v>19</v>
      </c>
      <c r="E589">
        <v>0</v>
      </c>
      <c r="F589">
        <v>180000</v>
      </c>
      <c r="G589" t="s">
        <v>31</v>
      </c>
      <c r="H589" t="s">
        <v>27</v>
      </c>
      <c r="I589" t="s">
        <v>33</v>
      </c>
      <c r="J589" t="s">
        <v>34</v>
      </c>
      <c r="K589" s="6">
        <f t="shared" ca="1" si="44"/>
        <v>37210</v>
      </c>
      <c r="L589">
        <v>-8551</v>
      </c>
      <c r="M589" s="7">
        <f t="shared" ca="1" si="42"/>
        <v>23.411362080766597</v>
      </c>
      <c r="N589" s="5" t="str">
        <f ca="1">VLOOKUP(Data!M589,temp!$B$3:$C$9,2,1)</f>
        <v>20-30</v>
      </c>
      <c r="O589">
        <v>-1250</v>
      </c>
      <c r="P589" s="8">
        <f t="shared" si="43"/>
        <v>3.4223134839151266</v>
      </c>
      <c r="Q589" s="5" t="str">
        <f t="shared" si="45"/>
        <v>Employed</v>
      </c>
      <c r="R589">
        <v>1</v>
      </c>
      <c r="S589">
        <v>0</v>
      </c>
      <c r="T589">
        <v>0</v>
      </c>
      <c r="U589">
        <v>0</v>
      </c>
      <c r="V589" t="s">
        <v>39</v>
      </c>
      <c r="W589">
        <v>1</v>
      </c>
    </row>
    <row r="590" spans="1:23" x14ac:dyDescent="0.2">
      <c r="A590">
        <v>5024891</v>
      </c>
      <c r="B590" t="s">
        <v>25</v>
      </c>
      <c r="C590" t="s">
        <v>20</v>
      </c>
      <c r="D590" t="s">
        <v>19</v>
      </c>
      <c r="E590">
        <v>0</v>
      </c>
      <c r="F590">
        <v>99000</v>
      </c>
      <c r="G590" t="s">
        <v>31</v>
      </c>
      <c r="H590" t="s">
        <v>27</v>
      </c>
      <c r="I590" t="s">
        <v>37</v>
      </c>
      <c r="J590" t="s">
        <v>24</v>
      </c>
      <c r="K590" s="6">
        <f t="shared" ca="1" si="44"/>
        <v>24103</v>
      </c>
      <c r="L590">
        <v>-21658</v>
      </c>
      <c r="M590" s="7">
        <f t="shared" ca="1" si="42"/>
        <v>59.296372347707049</v>
      </c>
      <c r="N590" s="5" t="str">
        <f ca="1">VLOOKUP(Data!M590,temp!$B$3:$C$9,2,1)</f>
        <v>50-60</v>
      </c>
      <c r="O590">
        <v>-3471</v>
      </c>
      <c r="P590" s="8">
        <f t="shared" si="43"/>
        <v>9.5030800821355239</v>
      </c>
      <c r="Q590" s="5" t="str">
        <f t="shared" si="45"/>
        <v>Employed</v>
      </c>
      <c r="R590">
        <v>1</v>
      </c>
      <c r="S590">
        <v>0</v>
      </c>
      <c r="T590">
        <v>1</v>
      </c>
      <c r="U590">
        <v>0</v>
      </c>
      <c r="V590" t="s">
        <v>29</v>
      </c>
      <c r="W590">
        <v>2</v>
      </c>
    </row>
    <row r="591" spans="1:23" x14ac:dyDescent="0.2">
      <c r="A591">
        <v>5024898</v>
      </c>
      <c r="B591" t="s">
        <v>18</v>
      </c>
      <c r="C591" t="s">
        <v>19</v>
      </c>
      <c r="D591" t="s">
        <v>20</v>
      </c>
      <c r="E591">
        <v>1</v>
      </c>
      <c r="F591">
        <v>103500</v>
      </c>
      <c r="G591" t="s">
        <v>35</v>
      </c>
      <c r="H591" t="s">
        <v>27</v>
      </c>
      <c r="I591" t="s">
        <v>28</v>
      </c>
      <c r="J591" t="s">
        <v>24</v>
      </c>
      <c r="K591" s="6">
        <f t="shared" ca="1" si="44"/>
        <v>29873</v>
      </c>
      <c r="L591">
        <v>-15888</v>
      </c>
      <c r="M591" s="7">
        <f t="shared" ca="1" si="42"/>
        <v>43.498973305954827</v>
      </c>
      <c r="N591" s="5" t="str">
        <f ca="1">VLOOKUP(Data!M591,temp!$B$3:$C$9,2,1)</f>
        <v>40-50</v>
      </c>
      <c r="O591">
        <v>-8707</v>
      </c>
      <c r="P591" s="8">
        <f t="shared" si="43"/>
        <v>23.838466803559207</v>
      </c>
      <c r="Q591" s="5" t="str">
        <f t="shared" si="45"/>
        <v>Employed</v>
      </c>
      <c r="R591">
        <v>1</v>
      </c>
      <c r="S591">
        <v>0</v>
      </c>
      <c r="T591">
        <v>0</v>
      </c>
      <c r="U591">
        <v>0</v>
      </c>
      <c r="V591" t="s">
        <v>50</v>
      </c>
      <c r="W591">
        <v>3</v>
      </c>
    </row>
    <row r="592" spans="1:23" x14ac:dyDescent="0.2">
      <c r="A592">
        <v>5024910</v>
      </c>
      <c r="B592" t="s">
        <v>25</v>
      </c>
      <c r="C592" t="s">
        <v>19</v>
      </c>
      <c r="D592" t="s">
        <v>19</v>
      </c>
      <c r="E592">
        <v>3</v>
      </c>
      <c r="F592">
        <v>90000</v>
      </c>
      <c r="G592" t="s">
        <v>26</v>
      </c>
      <c r="H592" t="s">
        <v>27</v>
      </c>
      <c r="I592" t="s">
        <v>28</v>
      </c>
      <c r="J592" t="s">
        <v>24</v>
      </c>
      <c r="K592" s="6">
        <f t="shared" ca="1" si="44"/>
        <v>32855</v>
      </c>
      <c r="L592">
        <v>-12906</v>
      </c>
      <c r="M592" s="7">
        <f t="shared" ca="1" si="42"/>
        <v>35.3347022587269</v>
      </c>
      <c r="N592" s="5" t="str">
        <f ca="1">VLOOKUP(Data!M592,temp!$B$3:$C$9,2,1)</f>
        <v>30-40</v>
      </c>
      <c r="O592">
        <v>-2467</v>
      </c>
      <c r="P592" s="8">
        <f t="shared" si="43"/>
        <v>6.754277891854894</v>
      </c>
      <c r="Q592" s="5" t="str">
        <f t="shared" si="45"/>
        <v>Employed</v>
      </c>
      <c r="R592">
        <v>1</v>
      </c>
      <c r="S592">
        <v>1</v>
      </c>
      <c r="T592">
        <v>0</v>
      </c>
      <c r="U592">
        <v>0</v>
      </c>
      <c r="V592" t="s">
        <v>29</v>
      </c>
      <c r="W592">
        <v>5</v>
      </c>
    </row>
    <row r="593" spans="1:23" x14ac:dyDescent="0.2">
      <c r="A593">
        <v>5024922</v>
      </c>
      <c r="B593" t="s">
        <v>25</v>
      </c>
      <c r="C593" t="s">
        <v>19</v>
      </c>
      <c r="D593" t="s">
        <v>20</v>
      </c>
      <c r="E593">
        <v>0</v>
      </c>
      <c r="F593">
        <v>180000</v>
      </c>
      <c r="G593" t="s">
        <v>31</v>
      </c>
      <c r="H593" t="s">
        <v>51</v>
      </c>
      <c r="I593" t="s">
        <v>33</v>
      </c>
      <c r="J593" t="s">
        <v>24</v>
      </c>
      <c r="K593" s="6">
        <f t="shared" ca="1" si="44"/>
        <v>31098</v>
      </c>
      <c r="L593">
        <v>-14663</v>
      </c>
      <c r="M593" s="7">
        <f t="shared" ca="1" si="42"/>
        <v>40.145106091717999</v>
      </c>
      <c r="N593" s="5" t="str">
        <f ca="1">VLOOKUP(Data!M593,temp!$B$3:$C$9,2,1)</f>
        <v>40-50</v>
      </c>
      <c r="O593">
        <v>-1188</v>
      </c>
      <c r="P593" s="8">
        <f t="shared" si="43"/>
        <v>3.2525667351129361</v>
      </c>
      <c r="Q593" s="5" t="str">
        <f t="shared" si="45"/>
        <v>Employed</v>
      </c>
      <c r="R593">
        <v>1</v>
      </c>
      <c r="S593">
        <v>0</v>
      </c>
      <c r="T593">
        <v>0</v>
      </c>
      <c r="U593">
        <v>0</v>
      </c>
      <c r="V593" t="s">
        <v>30</v>
      </c>
      <c r="W593">
        <v>1</v>
      </c>
    </row>
    <row r="594" spans="1:23" x14ac:dyDescent="0.2">
      <c r="A594">
        <v>5024923</v>
      </c>
      <c r="B594" t="s">
        <v>18</v>
      </c>
      <c r="C594" t="s">
        <v>19</v>
      </c>
      <c r="D594" t="s">
        <v>20</v>
      </c>
      <c r="E594">
        <v>2</v>
      </c>
      <c r="F594">
        <v>247500</v>
      </c>
      <c r="G594" t="s">
        <v>31</v>
      </c>
      <c r="H594" t="s">
        <v>27</v>
      </c>
      <c r="I594" t="s">
        <v>28</v>
      </c>
      <c r="J594" t="s">
        <v>24</v>
      </c>
      <c r="K594" s="6">
        <f t="shared" ca="1" si="44"/>
        <v>32151</v>
      </c>
      <c r="L594">
        <v>-13610</v>
      </c>
      <c r="M594" s="7">
        <f t="shared" ca="1" si="42"/>
        <v>37.262149212867897</v>
      </c>
      <c r="N594" s="5" t="str">
        <f ca="1">VLOOKUP(Data!M594,temp!$B$3:$C$9,2,1)</f>
        <v>30-40</v>
      </c>
      <c r="O594">
        <v>-184</v>
      </c>
      <c r="P594" s="8">
        <f t="shared" si="43"/>
        <v>0.50376454483230659</v>
      </c>
      <c r="Q594" s="5" t="str">
        <f t="shared" si="45"/>
        <v>Employed</v>
      </c>
      <c r="R594">
        <v>1</v>
      </c>
      <c r="S594">
        <v>0</v>
      </c>
      <c r="T594">
        <v>0</v>
      </c>
      <c r="U594">
        <v>0</v>
      </c>
      <c r="W594">
        <v>4</v>
      </c>
    </row>
    <row r="595" spans="1:23" x14ac:dyDescent="0.2">
      <c r="A595">
        <v>5024927</v>
      </c>
      <c r="B595" t="s">
        <v>25</v>
      </c>
      <c r="C595" t="s">
        <v>19</v>
      </c>
      <c r="D595" t="s">
        <v>19</v>
      </c>
      <c r="E595">
        <v>0</v>
      </c>
      <c r="F595">
        <v>382500</v>
      </c>
      <c r="G595" t="s">
        <v>26</v>
      </c>
      <c r="H595" t="s">
        <v>27</v>
      </c>
      <c r="I595" t="s">
        <v>33</v>
      </c>
      <c r="J595" t="s">
        <v>24</v>
      </c>
      <c r="K595" s="6">
        <f t="shared" ca="1" si="44"/>
        <v>33128</v>
      </c>
      <c r="L595">
        <v>-12633</v>
      </c>
      <c r="M595" s="7">
        <f t="shared" ca="1" si="42"/>
        <v>34.587268993839835</v>
      </c>
      <c r="N595" s="5" t="str">
        <f ca="1">VLOOKUP(Data!M595,temp!$B$3:$C$9,2,1)</f>
        <v>30-40</v>
      </c>
      <c r="O595">
        <v>-854</v>
      </c>
      <c r="P595" s="8">
        <f t="shared" si="43"/>
        <v>2.3381245722108144</v>
      </c>
      <c r="Q595" s="5" t="str">
        <f t="shared" si="45"/>
        <v>Employed</v>
      </c>
      <c r="R595">
        <v>1</v>
      </c>
      <c r="S595">
        <v>0</v>
      </c>
      <c r="T595">
        <v>0</v>
      </c>
      <c r="U595">
        <v>0</v>
      </c>
      <c r="V595" t="s">
        <v>29</v>
      </c>
      <c r="W595">
        <v>1</v>
      </c>
    </row>
    <row r="596" spans="1:23" x14ac:dyDescent="0.2">
      <c r="A596">
        <v>5024953</v>
      </c>
      <c r="B596" t="s">
        <v>25</v>
      </c>
      <c r="C596" t="s">
        <v>20</v>
      </c>
      <c r="D596" t="s">
        <v>20</v>
      </c>
      <c r="E596">
        <v>1</v>
      </c>
      <c r="F596">
        <v>180000</v>
      </c>
      <c r="G596" t="s">
        <v>31</v>
      </c>
      <c r="H596" t="s">
        <v>22</v>
      </c>
      <c r="I596" t="s">
        <v>28</v>
      </c>
      <c r="J596" t="s">
        <v>24</v>
      </c>
      <c r="K596" s="6">
        <f t="shared" ca="1" si="44"/>
        <v>33618</v>
      </c>
      <c r="L596">
        <v>-12143</v>
      </c>
      <c r="M596" s="7">
        <f t="shared" ca="1" si="42"/>
        <v>33.24572210814511</v>
      </c>
      <c r="N596" s="5" t="str">
        <f ca="1">VLOOKUP(Data!M596,temp!$B$3:$C$9,2,1)</f>
        <v>30-40</v>
      </c>
      <c r="O596">
        <v>-428</v>
      </c>
      <c r="P596" s="8">
        <f t="shared" si="43"/>
        <v>1.1718001368925393</v>
      </c>
      <c r="Q596" s="5" t="str">
        <f t="shared" si="45"/>
        <v>Employed</v>
      </c>
      <c r="R596">
        <v>1</v>
      </c>
      <c r="S596">
        <v>1</v>
      </c>
      <c r="T596">
        <v>1</v>
      </c>
      <c r="U596">
        <v>0</v>
      </c>
      <c r="V596" t="s">
        <v>40</v>
      </c>
      <c r="W596">
        <v>3</v>
      </c>
    </row>
    <row r="597" spans="1:23" x14ac:dyDescent="0.2">
      <c r="A597">
        <v>5024979</v>
      </c>
      <c r="B597" t="s">
        <v>25</v>
      </c>
      <c r="C597" t="s">
        <v>19</v>
      </c>
      <c r="D597" t="s">
        <v>19</v>
      </c>
      <c r="E597">
        <v>0</v>
      </c>
      <c r="F597">
        <v>135000</v>
      </c>
      <c r="G597" t="s">
        <v>31</v>
      </c>
      <c r="H597" t="s">
        <v>36</v>
      </c>
      <c r="I597" t="s">
        <v>33</v>
      </c>
      <c r="J597" t="s">
        <v>24</v>
      </c>
      <c r="K597" s="6">
        <f t="shared" ca="1" si="44"/>
        <v>35910</v>
      </c>
      <c r="L597">
        <v>-9851</v>
      </c>
      <c r="M597" s="7">
        <f t="shared" ca="1" si="42"/>
        <v>26.970568104038328</v>
      </c>
      <c r="N597" s="5" t="str">
        <f ca="1">VLOOKUP(Data!M597,temp!$B$3:$C$9,2,1)</f>
        <v>20-30</v>
      </c>
      <c r="O597">
        <v>-793</v>
      </c>
      <c r="P597" s="8">
        <f t="shared" si="43"/>
        <v>2.1711156741957565</v>
      </c>
      <c r="Q597" s="5" t="str">
        <f t="shared" si="45"/>
        <v>Employed</v>
      </c>
      <c r="R597">
        <v>1</v>
      </c>
      <c r="S597">
        <v>0</v>
      </c>
      <c r="T597">
        <v>0</v>
      </c>
      <c r="U597">
        <v>0</v>
      </c>
      <c r="V597" t="s">
        <v>29</v>
      </c>
      <c r="W597">
        <v>1</v>
      </c>
    </row>
    <row r="598" spans="1:23" x14ac:dyDescent="0.2">
      <c r="A598">
        <v>5025000</v>
      </c>
      <c r="B598" t="s">
        <v>25</v>
      </c>
      <c r="C598" t="s">
        <v>20</v>
      </c>
      <c r="D598" t="s">
        <v>19</v>
      </c>
      <c r="E598">
        <v>0</v>
      </c>
      <c r="F598">
        <v>315000</v>
      </c>
      <c r="G598" t="s">
        <v>31</v>
      </c>
      <c r="H598" t="s">
        <v>27</v>
      </c>
      <c r="I598" t="s">
        <v>28</v>
      </c>
      <c r="J598" t="s">
        <v>24</v>
      </c>
      <c r="K598" s="6">
        <f t="shared" ca="1" si="44"/>
        <v>25278</v>
      </c>
      <c r="L598">
        <v>-20483</v>
      </c>
      <c r="M598" s="7">
        <f t="shared" ca="1" si="42"/>
        <v>56.079397672826829</v>
      </c>
      <c r="N598" s="5" t="str">
        <f ca="1">VLOOKUP(Data!M598,temp!$B$3:$C$9,2,1)</f>
        <v>50-60</v>
      </c>
      <c r="O598">
        <v>-792</v>
      </c>
      <c r="P598" s="8">
        <f t="shared" si="43"/>
        <v>2.1683778234086244</v>
      </c>
      <c r="Q598" s="5" t="str">
        <f t="shared" si="45"/>
        <v>Employed</v>
      </c>
      <c r="R598">
        <v>1</v>
      </c>
      <c r="S598">
        <v>0</v>
      </c>
      <c r="T598">
        <v>0</v>
      </c>
      <c r="U598">
        <v>0</v>
      </c>
      <c r="V598" t="s">
        <v>30</v>
      </c>
      <c r="W598">
        <v>2</v>
      </c>
    </row>
    <row r="599" spans="1:23" x14ac:dyDescent="0.2">
      <c r="A599">
        <v>5025012</v>
      </c>
      <c r="B599" t="s">
        <v>18</v>
      </c>
      <c r="C599" t="s">
        <v>20</v>
      </c>
      <c r="D599" t="s">
        <v>19</v>
      </c>
      <c r="E599">
        <v>0</v>
      </c>
      <c r="F599">
        <v>112500</v>
      </c>
      <c r="G599" t="s">
        <v>26</v>
      </c>
      <c r="H599" t="s">
        <v>22</v>
      </c>
      <c r="I599" t="s">
        <v>28</v>
      </c>
      <c r="J599" t="s">
        <v>24</v>
      </c>
      <c r="K599" s="6">
        <f t="shared" ca="1" si="44"/>
        <v>33093</v>
      </c>
      <c r="L599">
        <v>-12668</v>
      </c>
      <c r="M599" s="7">
        <f t="shared" ca="1" si="42"/>
        <v>34.683093771389458</v>
      </c>
      <c r="N599" s="5" t="str">
        <f ca="1">VLOOKUP(Data!M599,temp!$B$3:$C$9,2,1)</f>
        <v>30-40</v>
      </c>
      <c r="O599">
        <v>-2498</v>
      </c>
      <c r="P599" s="8">
        <f t="shared" si="43"/>
        <v>6.839151266255989</v>
      </c>
      <c r="Q599" s="5" t="str">
        <f t="shared" si="45"/>
        <v>Employed</v>
      </c>
      <c r="R599">
        <v>1</v>
      </c>
      <c r="S599">
        <v>0</v>
      </c>
      <c r="T599">
        <v>0</v>
      </c>
      <c r="U599">
        <v>1</v>
      </c>
      <c r="V599" t="s">
        <v>29</v>
      </c>
      <c r="W599">
        <v>2</v>
      </c>
    </row>
    <row r="600" spans="1:23" x14ac:dyDescent="0.2">
      <c r="A600">
        <v>5025018</v>
      </c>
      <c r="B600" t="s">
        <v>18</v>
      </c>
      <c r="C600" t="s">
        <v>20</v>
      </c>
      <c r="D600" t="s">
        <v>20</v>
      </c>
      <c r="E600">
        <v>1</v>
      </c>
      <c r="F600">
        <v>135000</v>
      </c>
      <c r="G600" t="s">
        <v>26</v>
      </c>
      <c r="H600" t="s">
        <v>22</v>
      </c>
      <c r="I600" t="s">
        <v>28</v>
      </c>
      <c r="J600" t="s">
        <v>24</v>
      </c>
      <c r="K600" s="6">
        <f t="shared" ca="1" si="44"/>
        <v>35644</v>
      </c>
      <c r="L600">
        <v>-10117</v>
      </c>
      <c r="M600" s="7">
        <f t="shared" ca="1" si="42"/>
        <v>27.698836413415467</v>
      </c>
      <c r="N600" s="5" t="str">
        <f ca="1">VLOOKUP(Data!M600,temp!$B$3:$C$9,2,1)</f>
        <v>20-30</v>
      </c>
      <c r="O600">
        <v>-1158</v>
      </c>
      <c r="P600" s="8">
        <f t="shared" si="43"/>
        <v>3.1704312114989732</v>
      </c>
      <c r="Q600" s="5" t="str">
        <f t="shared" si="45"/>
        <v>Employed</v>
      </c>
      <c r="R600">
        <v>1</v>
      </c>
      <c r="S600">
        <v>0</v>
      </c>
      <c r="T600">
        <v>0</v>
      </c>
      <c r="U600">
        <v>0</v>
      </c>
      <c r="V600" t="s">
        <v>38</v>
      </c>
      <c r="W600">
        <v>3</v>
      </c>
    </row>
    <row r="601" spans="1:23" x14ac:dyDescent="0.2">
      <c r="A601">
        <v>5025023</v>
      </c>
      <c r="B601" t="s">
        <v>18</v>
      </c>
      <c r="C601" t="s">
        <v>19</v>
      </c>
      <c r="D601" t="s">
        <v>20</v>
      </c>
      <c r="E601">
        <v>0</v>
      </c>
      <c r="F601">
        <v>90000</v>
      </c>
      <c r="G601" t="s">
        <v>21</v>
      </c>
      <c r="H601" t="s">
        <v>27</v>
      </c>
      <c r="I601" t="s">
        <v>23</v>
      </c>
      <c r="J601" t="s">
        <v>24</v>
      </c>
      <c r="K601" s="6">
        <f t="shared" ca="1" si="44"/>
        <v>24709</v>
      </c>
      <c r="L601">
        <v>-21052</v>
      </c>
      <c r="M601" s="7">
        <f t="shared" ca="1" si="42"/>
        <v>57.637234770705</v>
      </c>
      <c r="N601" s="5" t="str">
        <f ca="1">VLOOKUP(Data!M601,temp!$B$3:$C$9,2,1)</f>
        <v>50-60</v>
      </c>
      <c r="O601">
        <v>365243</v>
      </c>
      <c r="P601" s="8">
        <f t="shared" si="43"/>
        <v>0</v>
      </c>
      <c r="Q601" s="5" t="str">
        <f t="shared" si="45"/>
        <v>Unemployed</v>
      </c>
      <c r="R601">
        <v>1</v>
      </c>
      <c r="S601">
        <v>0</v>
      </c>
      <c r="T601">
        <v>0</v>
      </c>
      <c r="U601">
        <v>0</v>
      </c>
      <c r="W601">
        <v>1</v>
      </c>
    </row>
    <row r="602" spans="1:23" x14ac:dyDescent="0.2">
      <c r="A602">
        <v>5025032</v>
      </c>
      <c r="B602" t="s">
        <v>18</v>
      </c>
      <c r="C602" t="s">
        <v>20</v>
      </c>
      <c r="D602" t="s">
        <v>19</v>
      </c>
      <c r="E602">
        <v>0</v>
      </c>
      <c r="F602">
        <v>90000</v>
      </c>
      <c r="G602" t="s">
        <v>26</v>
      </c>
      <c r="H602" t="s">
        <v>27</v>
      </c>
      <c r="I602" t="s">
        <v>28</v>
      </c>
      <c r="J602" t="s">
        <v>24</v>
      </c>
      <c r="K602" s="6">
        <f t="shared" ca="1" si="44"/>
        <v>27109</v>
      </c>
      <c r="L602">
        <v>-18652</v>
      </c>
      <c r="M602" s="7">
        <f t="shared" ca="1" si="42"/>
        <v>51.066392881587952</v>
      </c>
      <c r="N602" s="5" t="str">
        <f ca="1">VLOOKUP(Data!M602,temp!$B$3:$C$9,2,1)</f>
        <v>50-60</v>
      </c>
      <c r="O602">
        <v>-5633</v>
      </c>
      <c r="P602" s="8">
        <f t="shared" si="43"/>
        <v>15.422313483915127</v>
      </c>
      <c r="Q602" s="5" t="str">
        <f t="shared" si="45"/>
        <v>Employed</v>
      </c>
      <c r="R602">
        <v>1</v>
      </c>
      <c r="S602">
        <v>0</v>
      </c>
      <c r="T602">
        <v>1</v>
      </c>
      <c r="U602">
        <v>0</v>
      </c>
      <c r="V602" t="s">
        <v>29</v>
      </c>
      <c r="W602">
        <v>2</v>
      </c>
    </row>
    <row r="603" spans="1:23" x14ac:dyDescent="0.2">
      <c r="A603">
        <v>5025040</v>
      </c>
      <c r="B603" t="s">
        <v>18</v>
      </c>
      <c r="C603" t="s">
        <v>19</v>
      </c>
      <c r="D603" t="s">
        <v>19</v>
      </c>
      <c r="E603">
        <v>0</v>
      </c>
      <c r="F603">
        <v>112500</v>
      </c>
      <c r="G603" t="s">
        <v>31</v>
      </c>
      <c r="H603" t="s">
        <v>27</v>
      </c>
      <c r="I603" t="s">
        <v>28</v>
      </c>
      <c r="J603" t="s">
        <v>24</v>
      </c>
      <c r="K603" s="6">
        <f t="shared" ca="1" si="44"/>
        <v>36348</v>
      </c>
      <c r="L603">
        <v>-9413</v>
      </c>
      <c r="M603" s="7">
        <f t="shared" ca="1" si="42"/>
        <v>25.77138945927447</v>
      </c>
      <c r="N603" s="5" t="str">
        <f ca="1">VLOOKUP(Data!M603,temp!$B$3:$C$9,2,1)</f>
        <v>20-30</v>
      </c>
      <c r="O603">
        <v>-2223</v>
      </c>
      <c r="P603" s="8">
        <f t="shared" si="43"/>
        <v>6.0862422997946615</v>
      </c>
      <c r="Q603" s="5" t="str">
        <f t="shared" si="45"/>
        <v>Employed</v>
      </c>
      <c r="R603">
        <v>1</v>
      </c>
      <c r="S603">
        <v>0</v>
      </c>
      <c r="T603">
        <v>1</v>
      </c>
      <c r="U603">
        <v>0</v>
      </c>
      <c r="W603">
        <v>2</v>
      </c>
    </row>
    <row r="604" spans="1:23" x14ac:dyDescent="0.2">
      <c r="A604">
        <v>5025051</v>
      </c>
      <c r="B604" t="s">
        <v>25</v>
      </c>
      <c r="C604" t="s">
        <v>20</v>
      </c>
      <c r="D604" t="s">
        <v>20</v>
      </c>
      <c r="E604">
        <v>1</v>
      </c>
      <c r="F604">
        <v>135000</v>
      </c>
      <c r="G604" t="s">
        <v>31</v>
      </c>
      <c r="H604" t="s">
        <v>27</v>
      </c>
      <c r="I604" t="s">
        <v>28</v>
      </c>
      <c r="J604" t="s">
        <v>24</v>
      </c>
      <c r="K604" s="6">
        <f t="shared" ca="1" si="44"/>
        <v>30604</v>
      </c>
      <c r="L604">
        <v>-15157</v>
      </c>
      <c r="M604" s="7">
        <f t="shared" ca="1" si="42"/>
        <v>41.497604380561256</v>
      </c>
      <c r="N604" s="5" t="str">
        <f ca="1">VLOOKUP(Data!M604,temp!$B$3:$C$9,2,1)</f>
        <v>40-50</v>
      </c>
      <c r="O604">
        <v>-8189</v>
      </c>
      <c r="P604" s="8">
        <f t="shared" si="43"/>
        <v>22.420260095824776</v>
      </c>
      <c r="Q604" s="5" t="str">
        <f t="shared" si="45"/>
        <v>Employed</v>
      </c>
      <c r="R604">
        <v>1</v>
      </c>
      <c r="S604">
        <v>0</v>
      </c>
      <c r="T604">
        <v>0</v>
      </c>
      <c r="U604">
        <v>0</v>
      </c>
      <c r="V604" t="s">
        <v>29</v>
      </c>
      <c r="W604">
        <v>3</v>
      </c>
    </row>
    <row r="605" spans="1:23" x14ac:dyDescent="0.2">
      <c r="A605">
        <v>5025060</v>
      </c>
      <c r="B605" t="s">
        <v>25</v>
      </c>
      <c r="C605" t="s">
        <v>20</v>
      </c>
      <c r="D605" t="s">
        <v>20</v>
      </c>
      <c r="E605">
        <v>0</v>
      </c>
      <c r="F605">
        <v>166500</v>
      </c>
      <c r="G605" t="s">
        <v>31</v>
      </c>
      <c r="H605" t="s">
        <v>27</v>
      </c>
      <c r="I605" t="s">
        <v>28</v>
      </c>
      <c r="J605" t="s">
        <v>24</v>
      </c>
      <c r="K605" s="6">
        <f t="shared" ca="1" si="44"/>
        <v>34033</v>
      </c>
      <c r="L605">
        <v>-11728</v>
      </c>
      <c r="M605" s="7">
        <f t="shared" ca="1" si="42"/>
        <v>32.109514031485283</v>
      </c>
      <c r="N605" s="5" t="str">
        <f ca="1">VLOOKUP(Data!M605,temp!$B$3:$C$9,2,1)</f>
        <v>30-40</v>
      </c>
      <c r="O605">
        <v>-3199</v>
      </c>
      <c r="P605" s="8">
        <f t="shared" si="43"/>
        <v>8.7583846680355926</v>
      </c>
      <c r="Q605" s="5" t="str">
        <f t="shared" si="45"/>
        <v>Employed</v>
      </c>
      <c r="R605">
        <v>1</v>
      </c>
      <c r="S605">
        <v>0</v>
      </c>
      <c r="T605">
        <v>0</v>
      </c>
      <c r="U605">
        <v>0</v>
      </c>
      <c r="V605" t="s">
        <v>47</v>
      </c>
      <c r="W605">
        <v>2</v>
      </c>
    </row>
    <row r="606" spans="1:23" x14ac:dyDescent="0.2">
      <c r="A606">
        <v>5025073</v>
      </c>
      <c r="B606" t="s">
        <v>18</v>
      </c>
      <c r="C606" t="s">
        <v>19</v>
      </c>
      <c r="D606" t="s">
        <v>20</v>
      </c>
      <c r="E606">
        <v>0</v>
      </c>
      <c r="F606">
        <v>157500</v>
      </c>
      <c r="G606" t="s">
        <v>21</v>
      </c>
      <c r="H606" t="s">
        <v>51</v>
      </c>
      <c r="I606" t="s">
        <v>28</v>
      </c>
      <c r="J606" t="s">
        <v>24</v>
      </c>
      <c r="K606" s="6">
        <f t="shared" ca="1" si="44"/>
        <v>22705</v>
      </c>
      <c r="L606">
        <v>-23056</v>
      </c>
      <c r="M606" s="7">
        <f t="shared" ca="1" si="42"/>
        <v>63.123887748117724</v>
      </c>
      <c r="N606" s="5" t="str">
        <f ca="1">VLOOKUP(Data!M606,temp!$B$3:$C$9,2,1)</f>
        <v>60-70</v>
      </c>
      <c r="O606">
        <v>365243</v>
      </c>
      <c r="P606" s="8">
        <f t="shared" si="43"/>
        <v>0</v>
      </c>
      <c r="Q606" s="5" t="str">
        <f t="shared" si="45"/>
        <v>Unemployed</v>
      </c>
      <c r="R606">
        <v>1</v>
      </c>
      <c r="S606">
        <v>0</v>
      </c>
      <c r="T606">
        <v>0</v>
      </c>
      <c r="U606">
        <v>0</v>
      </c>
      <c r="W606">
        <v>2</v>
      </c>
    </row>
    <row r="607" spans="1:23" x14ac:dyDescent="0.2">
      <c r="A607">
        <v>5025077</v>
      </c>
      <c r="B607" t="s">
        <v>18</v>
      </c>
      <c r="C607" t="s">
        <v>19</v>
      </c>
      <c r="D607" t="s">
        <v>20</v>
      </c>
      <c r="E607">
        <v>1</v>
      </c>
      <c r="F607">
        <v>94500</v>
      </c>
      <c r="G607" t="s">
        <v>31</v>
      </c>
      <c r="H607" t="s">
        <v>22</v>
      </c>
      <c r="I607" t="s">
        <v>33</v>
      </c>
      <c r="J607" t="s">
        <v>24</v>
      </c>
      <c r="K607" s="6">
        <f t="shared" ca="1" si="44"/>
        <v>35274</v>
      </c>
      <c r="L607">
        <v>-10487</v>
      </c>
      <c r="M607" s="7">
        <f t="shared" ca="1" si="42"/>
        <v>28.711841204654345</v>
      </c>
      <c r="N607" s="5" t="str">
        <f ca="1">VLOOKUP(Data!M607,temp!$B$3:$C$9,2,1)</f>
        <v>20-30</v>
      </c>
      <c r="O607">
        <v>-3472</v>
      </c>
      <c r="P607" s="8">
        <f t="shared" si="43"/>
        <v>9.5058179329226551</v>
      </c>
      <c r="Q607" s="5" t="str">
        <f t="shared" si="45"/>
        <v>Employed</v>
      </c>
      <c r="R607">
        <v>1</v>
      </c>
      <c r="S607">
        <v>0</v>
      </c>
      <c r="T607">
        <v>1</v>
      </c>
      <c r="U607">
        <v>0</v>
      </c>
      <c r="W607">
        <v>2</v>
      </c>
    </row>
    <row r="608" spans="1:23" x14ac:dyDescent="0.2">
      <c r="A608">
        <v>5025078</v>
      </c>
      <c r="B608" t="s">
        <v>25</v>
      </c>
      <c r="C608" t="s">
        <v>19</v>
      </c>
      <c r="D608" t="s">
        <v>20</v>
      </c>
      <c r="E608">
        <v>0</v>
      </c>
      <c r="F608">
        <v>225000</v>
      </c>
      <c r="G608" t="s">
        <v>26</v>
      </c>
      <c r="H608" t="s">
        <v>27</v>
      </c>
      <c r="I608" t="s">
        <v>33</v>
      </c>
      <c r="J608" t="s">
        <v>24</v>
      </c>
      <c r="K608" s="6">
        <f t="shared" ca="1" si="44"/>
        <v>30555</v>
      </c>
      <c r="L608">
        <v>-15206</v>
      </c>
      <c r="M608" s="7">
        <f t="shared" ca="1" si="42"/>
        <v>41.63175906913073</v>
      </c>
      <c r="N608" s="5" t="str">
        <f ca="1">VLOOKUP(Data!M608,temp!$B$3:$C$9,2,1)</f>
        <v>40-50</v>
      </c>
      <c r="O608">
        <v>-3563</v>
      </c>
      <c r="P608" s="8">
        <f t="shared" si="43"/>
        <v>9.7549623545516777</v>
      </c>
      <c r="Q608" s="5" t="str">
        <f t="shared" si="45"/>
        <v>Employed</v>
      </c>
      <c r="R608">
        <v>1</v>
      </c>
      <c r="S608">
        <v>0</v>
      </c>
      <c r="T608">
        <v>0</v>
      </c>
      <c r="U608">
        <v>0</v>
      </c>
      <c r="V608" t="s">
        <v>29</v>
      </c>
      <c r="W608">
        <v>1</v>
      </c>
    </row>
    <row r="609" spans="1:23" x14ac:dyDescent="0.2">
      <c r="A609">
        <v>5025084</v>
      </c>
      <c r="B609" t="s">
        <v>18</v>
      </c>
      <c r="C609" t="s">
        <v>19</v>
      </c>
      <c r="D609" t="s">
        <v>20</v>
      </c>
      <c r="E609">
        <v>0</v>
      </c>
      <c r="F609">
        <v>85500</v>
      </c>
      <c r="G609" t="s">
        <v>21</v>
      </c>
      <c r="H609" t="s">
        <v>27</v>
      </c>
      <c r="I609" t="s">
        <v>28</v>
      </c>
      <c r="J609" t="s">
        <v>24</v>
      </c>
      <c r="K609" s="6">
        <f t="shared" ca="1" si="44"/>
        <v>21070</v>
      </c>
      <c r="L609">
        <v>-24691</v>
      </c>
      <c r="M609" s="7">
        <f t="shared" ca="1" si="42"/>
        <v>67.600273785078713</v>
      </c>
      <c r="N609" s="5" t="str">
        <f ca="1">VLOOKUP(Data!M609,temp!$B$3:$C$9,2,1)</f>
        <v>60-70</v>
      </c>
      <c r="O609">
        <v>365243</v>
      </c>
      <c r="P609" s="8">
        <f t="shared" si="43"/>
        <v>0</v>
      </c>
      <c r="Q609" s="5" t="str">
        <f t="shared" si="45"/>
        <v>Unemployed</v>
      </c>
      <c r="R609">
        <v>1</v>
      </c>
      <c r="S609">
        <v>0</v>
      </c>
      <c r="T609">
        <v>0</v>
      </c>
      <c r="U609">
        <v>1</v>
      </c>
      <c r="W609">
        <v>2</v>
      </c>
    </row>
    <row r="610" spans="1:23" x14ac:dyDescent="0.2">
      <c r="A610">
        <v>5025087</v>
      </c>
      <c r="B610" t="s">
        <v>18</v>
      </c>
      <c r="C610" t="s">
        <v>19</v>
      </c>
      <c r="D610" t="s">
        <v>20</v>
      </c>
      <c r="E610">
        <v>0</v>
      </c>
      <c r="F610">
        <v>94500</v>
      </c>
      <c r="G610" t="s">
        <v>31</v>
      </c>
      <c r="H610" t="s">
        <v>27</v>
      </c>
      <c r="I610" t="s">
        <v>37</v>
      </c>
      <c r="J610" t="s">
        <v>24</v>
      </c>
      <c r="K610" s="6">
        <f t="shared" ca="1" si="44"/>
        <v>36050</v>
      </c>
      <c r="L610">
        <v>-9711</v>
      </c>
      <c r="M610" s="7">
        <f t="shared" ca="1" si="42"/>
        <v>26.587268993839835</v>
      </c>
      <c r="N610" s="5" t="str">
        <f ca="1">VLOOKUP(Data!M610,temp!$B$3:$C$9,2,1)</f>
        <v>20-30</v>
      </c>
      <c r="O610">
        <v>-1403</v>
      </c>
      <c r="P610" s="8">
        <f t="shared" si="43"/>
        <v>3.8412046543463383</v>
      </c>
      <c r="Q610" s="5" t="str">
        <f t="shared" si="45"/>
        <v>Employed</v>
      </c>
      <c r="R610">
        <v>1</v>
      </c>
      <c r="S610">
        <v>0</v>
      </c>
      <c r="T610">
        <v>0</v>
      </c>
      <c r="U610">
        <v>0</v>
      </c>
      <c r="V610" t="s">
        <v>39</v>
      </c>
      <c r="W610">
        <v>2</v>
      </c>
    </row>
    <row r="611" spans="1:23" x14ac:dyDescent="0.2">
      <c r="A611">
        <v>5025100</v>
      </c>
      <c r="B611" t="s">
        <v>18</v>
      </c>
      <c r="C611" t="s">
        <v>19</v>
      </c>
      <c r="D611" t="s">
        <v>19</v>
      </c>
      <c r="E611">
        <v>0</v>
      </c>
      <c r="F611">
        <v>180000</v>
      </c>
      <c r="G611" t="s">
        <v>26</v>
      </c>
      <c r="H611" t="s">
        <v>27</v>
      </c>
      <c r="I611" t="s">
        <v>37</v>
      </c>
      <c r="J611" t="s">
        <v>24</v>
      </c>
      <c r="K611" s="6">
        <f t="shared" ca="1" si="44"/>
        <v>29165</v>
      </c>
      <c r="L611">
        <v>-16596</v>
      </c>
      <c r="M611" s="7">
        <f t="shared" ca="1" si="42"/>
        <v>45.437371663244356</v>
      </c>
      <c r="N611" s="5" t="str">
        <f ca="1">VLOOKUP(Data!M611,temp!$B$3:$C$9,2,1)</f>
        <v>40-50</v>
      </c>
      <c r="O611">
        <v>-427</v>
      </c>
      <c r="P611" s="8">
        <f t="shared" si="43"/>
        <v>1.1690622861054072</v>
      </c>
      <c r="Q611" s="5" t="str">
        <f t="shared" si="45"/>
        <v>Employed</v>
      </c>
      <c r="R611">
        <v>1</v>
      </c>
      <c r="S611">
        <v>0</v>
      </c>
      <c r="T611">
        <v>0</v>
      </c>
      <c r="U611">
        <v>0</v>
      </c>
      <c r="V611" t="s">
        <v>39</v>
      </c>
      <c r="W611">
        <v>2</v>
      </c>
    </row>
    <row r="612" spans="1:23" x14ac:dyDescent="0.2">
      <c r="A612">
        <v>5025103</v>
      </c>
      <c r="B612" t="s">
        <v>18</v>
      </c>
      <c r="C612" t="s">
        <v>19</v>
      </c>
      <c r="D612" t="s">
        <v>20</v>
      </c>
      <c r="E612">
        <v>0</v>
      </c>
      <c r="F612">
        <v>157500</v>
      </c>
      <c r="G612" t="s">
        <v>21</v>
      </c>
      <c r="H612" t="s">
        <v>27</v>
      </c>
      <c r="I612" t="s">
        <v>28</v>
      </c>
      <c r="J612" t="s">
        <v>24</v>
      </c>
      <c r="K612" s="6">
        <f t="shared" ca="1" si="44"/>
        <v>22894</v>
      </c>
      <c r="L612">
        <v>-22867</v>
      </c>
      <c r="M612" s="7">
        <f t="shared" ca="1" si="42"/>
        <v>62.606433949349757</v>
      </c>
      <c r="N612" s="5" t="str">
        <f ca="1">VLOOKUP(Data!M612,temp!$B$3:$C$9,2,1)</f>
        <v>60-70</v>
      </c>
      <c r="O612">
        <v>365243</v>
      </c>
      <c r="P612" s="8">
        <f t="shared" si="43"/>
        <v>0</v>
      </c>
      <c r="Q612" s="5" t="str">
        <f t="shared" si="45"/>
        <v>Unemployed</v>
      </c>
      <c r="R612">
        <v>1</v>
      </c>
      <c r="S612">
        <v>0</v>
      </c>
      <c r="T612">
        <v>0</v>
      </c>
      <c r="U612">
        <v>0</v>
      </c>
      <c r="W612">
        <v>2</v>
      </c>
    </row>
    <row r="613" spans="1:23" x14ac:dyDescent="0.2">
      <c r="A613">
        <v>5025127</v>
      </c>
      <c r="B613" t="s">
        <v>25</v>
      </c>
      <c r="C613" t="s">
        <v>19</v>
      </c>
      <c r="D613" t="s">
        <v>20</v>
      </c>
      <c r="E613">
        <v>0</v>
      </c>
      <c r="F613">
        <v>292500</v>
      </c>
      <c r="G613" t="s">
        <v>31</v>
      </c>
      <c r="H613" t="s">
        <v>27</v>
      </c>
      <c r="I613" t="s">
        <v>28</v>
      </c>
      <c r="J613" t="s">
        <v>24</v>
      </c>
      <c r="K613" s="6">
        <f t="shared" ca="1" si="44"/>
        <v>34650</v>
      </c>
      <c r="L613">
        <v>-11111</v>
      </c>
      <c r="M613" s="7">
        <f t="shared" ca="1" si="42"/>
        <v>30.420260095824776</v>
      </c>
      <c r="N613" s="5" t="str">
        <f ca="1">VLOOKUP(Data!M613,temp!$B$3:$C$9,2,1)</f>
        <v>30-40</v>
      </c>
      <c r="O613">
        <v>-3350</v>
      </c>
      <c r="P613" s="8">
        <f t="shared" si="43"/>
        <v>9.1718001368925393</v>
      </c>
      <c r="Q613" s="5" t="str">
        <f t="shared" si="45"/>
        <v>Employed</v>
      </c>
      <c r="R613">
        <v>1</v>
      </c>
      <c r="S613">
        <v>0</v>
      </c>
      <c r="T613">
        <v>0</v>
      </c>
      <c r="U613">
        <v>0</v>
      </c>
      <c r="V613" t="s">
        <v>47</v>
      </c>
      <c r="W613">
        <v>2</v>
      </c>
    </row>
    <row r="614" spans="1:23" x14ac:dyDescent="0.2">
      <c r="A614">
        <v>5025130</v>
      </c>
      <c r="B614" t="s">
        <v>18</v>
      </c>
      <c r="C614" t="s">
        <v>19</v>
      </c>
      <c r="D614" t="s">
        <v>20</v>
      </c>
      <c r="E614">
        <v>0</v>
      </c>
      <c r="F614">
        <v>270000</v>
      </c>
      <c r="G614" t="s">
        <v>31</v>
      </c>
      <c r="H614" t="s">
        <v>27</v>
      </c>
      <c r="I614" t="s">
        <v>28</v>
      </c>
      <c r="J614" t="s">
        <v>24</v>
      </c>
      <c r="K614" s="6">
        <f t="shared" ca="1" si="44"/>
        <v>27799</v>
      </c>
      <c r="L614">
        <v>-17962</v>
      </c>
      <c r="M614" s="7">
        <f t="shared" ca="1" si="42"/>
        <v>49.177275838466805</v>
      </c>
      <c r="N614" s="5" t="str">
        <f ca="1">VLOOKUP(Data!M614,temp!$B$3:$C$9,2,1)</f>
        <v>40-50</v>
      </c>
      <c r="O614">
        <v>-9316</v>
      </c>
      <c r="P614" s="8">
        <f t="shared" si="43"/>
        <v>25.505817932922657</v>
      </c>
      <c r="Q614" s="5" t="str">
        <f t="shared" si="45"/>
        <v>Employed</v>
      </c>
      <c r="R614">
        <v>1</v>
      </c>
      <c r="S614">
        <v>0</v>
      </c>
      <c r="T614">
        <v>0</v>
      </c>
      <c r="U614">
        <v>0</v>
      </c>
      <c r="W614">
        <v>2</v>
      </c>
    </row>
    <row r="615" spans="1:23" x14ac:dyDescent="0.2">
      <c r="A615">
        <v>5025177</v>
      </c>
      <c r="B615" t="s">
        <v>18</v>
      </c>
      <c r="C615" t="s">
        <v>19</v>
      </c>
      <c r="D615" t="s">
        <v>20</v>
      </c>
      <c r="E615">
        <v>0</v>
      </c>
      <c r="F615">
        <v>157500</v>
      </c>
      <c r="G615" t="s">
        <v>35</v>
      </c>
      <c r="H615" t="s">
        <v>27</v>
      </c>
      <c r="I615" t="s">
        <v>28</v>
      </c>
      <c r="J615" t="s">
        <v>24</v>
      </c>
      <c r="K615" s="6">
        <f t="shared" ca="1" si="44"/>
        <v>28011</v>
      </c>
      <c r="L615">
        <v>-17750</v>
      </c>
      <c r="M615" s="7">
        <f t="shared" ca="1" si="42"/>
        <v>48.596851471594796</v>
      </c>
      <c r="N615" s="5" t="str">
        <f ca="1">VLOOKUP(Data!M615,temp!$B$3:$C$9,2,1)</f>
        <v>40-50</v>
      </c>
      <c r="O615">
        <v>-10746</v>
      </c>
      <c r="P615" s="8">
        <f t="shared" si="43"/>
        <v>29.420944558521562</v>
      </c>
      <c r="Q615" s="5" t="str">
        <f t="shared" si="45"/>
        <v>Employed</v>
      </c>
      <c r="R615">
        <v>1</v>
      </c>
      <c r="S615">
        <v>0</v>
      </c>
      <c r="T615">
        <v>0</v>
      </c>
      <c r="U615">
        <v>0</v>
      </c>
      <c r="W615">
        <v>2</v>
      </c>
    </row>
    <row r="616" spans="1:23" x14ac:dyDescent="0.2">
      <c r="A616">
        <v>5025181</v>
      </c>
      <c r="B616" t="s">
        <v>18</v>
      </c>
      <c r="C616" t="s">
        <v>19</v>
      </c>
      <c r="D616" t="s">
        <v>19</v>
      </c>
      <c r="E616">
        <v>0</v>
      </c>
      <c r="F616">
        <v>270000</v>
      </c>
      <c r="G616" t="s">
        <v>26</v>
      </c>
      <c r="H616" t="s">
        <v>27</v>
      </c>
      <c r="I616" t="s">
        <v>33</v>
      </c>
      <c r="J616" t="s">
        <v>24</v>
      </c>
      <c r="K616" s="6">
        <f t="shared" ca="1" si="44"/>
        <v>22932</v>
      </c>
      <c r="L616">
        <v>-22829</v>
      </c>
      <c r="M616" s="7">
        <f t="shared" ca="1" si="42"/>
        <v>62.502395619438744</v>
      </c>
      <c r="N616" s="5" t="str">
        <f ca="1">VLOOKUP(Data!M616,temp!$B$3:$C$9,2,1)</f>
        <v>60-70</v>
      </c>
      <c r="O616">
        <v>-2558</v>
      </c>
      <c r="P616" s="8">
        <f t="shared" si="43"/>
        <v>7.0034223134839149</v>
      </c>
      <c r="Q616" s="5" t="str">
        <f t="shared" si="45"/>
        <v>Employed</v>
      </c>
      <c r="R616">
        <v>1</v>
      </c>
      <c r="S616">
        <v>0</v>
      </c>
      <c r="T616">
        <v>0</v>
      </c>
      <c r="U616">
        <v>0</v>
      </c>
      <c r="V616" t="s">
        <v>47</v>
      </c>
      <c r="W616">
        <v>1</v>
      </c>
    </row>
    <row r="617" spans="1:23" x14ac:dyDescent="0.2">
      <c r="A617">
        <v>5025184</v>
      </c>
      <c r="B617" t="s">
        <v>18</v>
      </c>
      <c r="C617" t="s">
        <v>19</v>
      </c>
      <c r="D617" t="s">
        <v>20</v>
      </c>
      <c r="E617">
        <v>0</v>
      </c>
      <c r="F617">
        <v>90000</v>
      </c>
      <c r="G617" t="s">
        <v>21</v>
      </c>
      <c r="H617" t="s">
        <v>27</v>
      </c>
      <c r="I617" t="s">
        <v>28</v>
      </c>
      <c r="J617" t="s">
        <v>24</v>
      </c>
      <c r="K617" s="6">
        <f t="shared" ca="1" si="44"/>
        <v>23321</v>
      </c>
      <c r="L617">
        <v>-22440</v>
      </c>
      <c r="M617" s="7">
        <f t="shared" ca="1" si="42"/>
        <v>61.437371663244356</v>
      </c>
      <c r="N617" s="5" t="str">
        <f ca="1">VLOOKUP(Data!M617,temp!$B$3:$C$9,2,1)</f>
        <v>60-70</v>
      </c>
      <c r="O617">
        <v>365243</v>
      </c>
      <c r="P617" s="8">
        <f t="shared" si="43"/>
        <v>0</v>
      </c>
      <c r="Q617" s="5" t="str">
        <f t="shared" si="45"/>
        <v>Unemployed</v>
      </c>
      <c r="R617">
        <v>1</v>
      </c>
      <c r="S617">
        <v>0</v>
      </c>
      <c r="T617">
        <v>0</v>
      </c>
      <c r="U617">
        <v>0</v>
      </c>
      <c r="W617">
        <v>2</v>
      </c>
    </row>
    <row r="618" spans="1:23" x14ac:dyDescent="0.2">
      <c r="A618">
        <v>5025201</v>
      </c>
      <c r="B618" t="s">
        <v>25</v>
      </c>
      <c r="C618" t="s">
        <v>20</v>
      </c>
      <c r="D618" t="s">
        <v>19</v>
      </c>
      <c r="E618">
        <v>0</v>
      </c>
      <c r="F618">
        <v>1125000</v>
      </c>
      <c r="G618" t="s">
        <v>26</v>
      </c>
      <c r="H618" t="s">
        <v>27</v>
      </c>
      <c r="I618" t="s">
        <v>28</v>
      </c>
      <c r="J618" t="s">
        <v>34</v>
      </c>
      <c r="K618" s="6">
        <f t="shared" ca="1" si="44"/>
        <v>29801</v>
      </c>
      <c r="L618">
        <v>-15960</v>
      </c>
      <c r="M618" s="7">
        <f t="shared" ca="1" si="42"/>
        <v>43.696098562628336</v>
      </c>
      <c r="N618" s="5" t="str">
        <f ca="1">VLOOKUP(Data!M618,temp!$B$3:$C$9,2,1)</f>
        <v>40-50</v>
      </c>
      <c r="O618">
        <v>-1646</v>
      </c>
      <c r="P618" s="8">
        <f t="shared" si="43"/>
        <v>4.5065023956194388</v>
      </c>
      <c r="Q618" s="5" t="str">
        <f t="shared" si="45"/>
        <v>Employed</v>
      </c>
      <c r="R618">
        <v>1</v>
      </c>
      <c r="S618">
        <v>0</v>
      </c>
      <c r="T618">
        <v>0</v>
      </c>
      <c r="U618">
        <v>0</v>
      </c>
      <c r="V618" t="s">
        <v>32</v>
      </c>
      <c r="W618">
        <v>2</v>
      </c>
    </row>
    <row r="619" spans="1:23" x14ac:dyDescent="0.2">
      <c r="A619">
        <v>5025228</v>
      </c>
      <c r="B619" t="s">
        <v>25</v>
      </c>
      <c r="C619" t="s">
        <v>20</v>
      </c>
      <c r="D619" t="s">
        <v>20</v>
      </c>
      <c r="E619">
        <v>1</v>
      </c>
      <c r="F619">
        <v>202500</v>
      </c>
      <c r="G619" t="s">
        <v>31</v>
      </c>
      <c r="H619" t="s">
        <v>27</v>
      </c>
      <c r="I619" t="s">
        <v>28</v>
      </c>
      <c r="J619" t="s">
        <v>24</v>
      </c>
      <c r="K619" s="6">
        <f t="shared" ca="1" si="44"/>
        <v>35406</v>
      </c>
      <c r="L619">
        <v>-10355</v>
      </c>
      <c r="M619" s="7">
        <f t="shared" ca="1" si="42"/>
        <v>28.350444900752908</v>
      </c>
      <c r="N619" s="5" t="str">
        <f ca="1">VLOOKUP(Data!M619,temp!$B$3:$C$9,2,1)</f>
        <v>20-30</v>
      </c>
      <c r="O619">
        <v>-642</v>
      </c>
      <c r="P619" s="8">
        <f t="shared" si="43"/>
        <v>1.7577002053388091</v>
      </c>
      <c r="Q619" s="5" t="str">
        <f t="shared" si="45"/>
        <v>Employed</v>
      </c>
      <c r="R619">
        <v>1</v>
      </c>
      <c r="S619">
        <v>0</v>
      </c>
      <c r="T619">
        <v>1</v>
      </c>
      <c r="U619">
        <v>0</v>
      </c>
      <c r="V619" t="s">
        <v>30</v>
      </c>
      <c r="W619">
        <v>3</v>
      </c>
    </row>
    <row r="620" spans="1:23" x14ac:dyDescent="0.2">
      <c r="A620">
        <v>5025251</v>
      </c>
      <c r="B620" t="s">
        <v>18</v>
      </c>
      <c r="C620" t="s">
        <v>20</v>
      </c>
      <c r="D620" t="s">
        <v>20</v>
      </c>
      <c r="E620">
        <v>1</v>
      </c>
      <c r="F620">
        <v>337500</v>
      </c>
      <c r="G620" t="s">
        <v>26</v>
      </c>
      <c r="H620" t="s">
        <v>22</v>
      </c>
      <c r="I620" t="s">
        <v>28</v>
      </c>
      <c r="J620" t="s">
        <v>24</v>
      </c>
      <c r="K620" s="6">
        <f t="shared" ca="1" si="44"/>
        <v>31203</v>
      </c>
      <c r="L620">
        <v>-14558</v>
      </c>
      <c r="M620" s="7">
        <f t="shared" ca="1" si="42"/>
        <v>39.857631759069129</v>
      </c>
      <c r="N620" s="5" t="str">
        <f ca="1">VLOOKUP(Data!M620,temp!$B$3:$C$9,2,1)</f>
        <v>30-40</v>
      </c>
      <c r="O620">
        <v>-1250</v>
      </c>
      <c r="P620" s="8">
        <f t="shared" si="43"/>
        <v>3.4223134839151266</v>
      </c>
      <c r="Q620" s="5" t="str">
        <f t="shared" si="45"/>
        <v>Employed</v>
      </c>
      <c r="R620">
        <v>1</v>
      </c>
      <c r="S620">
        <v>0</v>
      </c>
      <c r="T620">
        <v>0</v>
      </c>
      <c r="U620">
        <v>0</v>
      </c>
      <c r="V620" t="s">
        <v>47</v>
      </c>
      <c r="W620">
        <v>3</v>
      </c>
    </row>
    <row r="621" spans="1:23" x14ac:dyDescent="0.2">
      <c r="A621">
        <v>5025681</v>
      </c>
      <c r="B621" t="s">
        <v>18</v>
      </c>
      <c r="C621" t="s">
        <v>20</v>
      </c>
      <c r="D621" t="s">
        <v>19</v>
      </c>
      <c r="E621">
        <v>1</v>
      </c>
      <c r="F621">
        <v>135000</v>
      </c>
      <c r="G621" t="s">
        <v>35</v>
      </c>
      <c r="H621" t="s">
        <v>27</v>
      </c>
      <c r="I621" t="s">
        <v>28</v>
      </c>
      <c r="J621" t="s">
        <v>24</v>
      </c>
      <c r="K621" s="6">
        <f t="shared" ca="1" si="44"/>
        <v>31162</v>
      </c>
      <c r="L621">
        <v>-14599</v>
      </c>
      <c r="M621" s="7">
        <f t="shared" ca="1" si="42"/>
        <v>39.969883641341546</v>
      </c>
      <c r="N621" s="5" t="str">
        <f ca="1">VLOOKUP(Data!M621,temp!$B$3:$C$9,2,1)</f>
        <v>30-40</v>
      </c>
      <c r="O621">
        <v>-2108</v>
      </c>
      <c r="P621" s="8">
        <f t="shared" si="43"/>
        <v>5.7713894592744692</v>
      </c>
      <c r="Q621" s="5" t="str">
        <f t="shared" si="45"/>
        <v>Employed</v>
      </c>
      <c r="R621">
        <v>1</v>
      </c>
      <c r="S621">
        <v>1</v>
      </c>
      <c r="T621">
        <v>1</v>
      </c>
      <c r="U621">
        <v>0</v>
      </c>
      <c r="V621" t="s">
        <v>50</v>
      </c>
      <c r="W621">
        <v>3</v>
      </c>
    </row>
    <row r="622" spans="1:23" x14ac:dyDescent="0.2">
      <c r="A622">
        <v>5025737</v>
      </c>
      <c r="B622" t="s">
        <v>18</v>
      </c>
      <c r="C622" t="s">
        <v>20</v>
      </c>
      <c r="D622" t="s">
        <v>19</v>
      </c>
      <c r="E622">
        <v>0</v>
      </c>
      <c r="F622">
        <v>216000</v>
      </c>
      <c r="G622" t="s">
        <v>31</v>
      </c>
      <c r="H622" t="s">
        <v>22</v>
      </c>
      <c r="I622" t="s">
        <v>28</v>
      </c>
      <c r="J622" t="s">
        <v>45</v>
      </c>
      <c r="K622" s="6">
        <f t="shared" ca="1" si="44"/>
        <v>33787</v>
      </c>
      <c r="L622">
        <v>-11974</v>
      </c>
      <c r="M622" s="7">
        <f t="shared" ca="1" si="42"/>
        <v>32.78302532511978</v>
      </c>
      <c r="N622" s="5" t="str">
        <f ca="1">VLOOKUP(Data!M622,temp!$B$3:$C$9,2,1)</f>
        <v>30-40</v>
      </c>
      <c r="O622">
        <v>-282</v>
      </c>
      <c r="P622" s="8">
        <f t="shared" si="43"/>
        <v>0.77207392197125257</v>
      </c>
      <c r="Q622" s="5" t="str">
        <f t="shared" si="45"/>
        <v>Employed</v>
      </c>
      <c r="R622">
        <v>1</v>
      </c>
      <c r="S622">
        <v>0</v>
      </c>
      <c r="T622">
        <v>1</v>
      </c>
      <c r="U622">
        <v>0</v>
      </c>
      <c r="V622" t="s">
        <v>39</v>
      </c>
      <c r="W622">
        <v>2</v>
      </c>
    </row>
    <row r="623" spans="1:23" x14ac:dyDescent="0.2">
      <c r="A623">
        <v>5025738</v>
      </c>
      <c r="B623" t="s">
        <v>18</v>
      </c>
      <c r="C623" t="s">
        <v>20</v>
      </c>
      <c r="D623" t="s">
        <v>19</v>
      </c>
      <c r="E623">
        <v>0</v>
      </c>
      <c r="F623">
        <v>216000</v>
      </c>
      <c r="G623" t="s">
        <v>31</v>
      </c>
      <c r="H623" t="s">
        <v>22</v>
      </c>
      <c r="I623" t="s">
        <v>28</v>
      </c>
      <c r="J623" t="s">
        <v>45</v>
      </c>
      <c r="K623" s="6">
        <f t="shared" ca="1" si="44"/>
        <v>33787</v>
      </c>
      <c r="L623">
        <v>-11974</v>
      </c>
      <c r="M623" s="7">
        <f t="shared" ca="1" si="42"/>
        <v>32.78302532511978</v>
      </c>
      <c r="N623" s="5" t="str">
        <f ca="1">VLOOKUP(Data!M623,temp!$B$3:$C$9,2,1)</f>
        <v>30-40</v>
      </c>
      <c r="O623">
        <v>-282</v>
      </c>
      <c r="P623" s="8">
        <f t="shared" si="43"/>
        <v>0.77207392197125257</v>
      </c>
      <c r="Q623" s="5" t="str">
        <f t="shared" si="45"/>
        <v>Employed</v>
      </c>
      <c r="R623">
        <v>1</v>
      </c>
      <c r="S623">
        <v>0</v>
      </c>
      <c r="T623">
        <v>1</v>
      </c>
      <c r="U623">
        <v>0</v>
      </c>
      <c r="V623" t="s">
        <v>39</v>
      </c>
      <c r="W623">
        <v>2</v>
      </c>
    </row>
    <row r="624" spans="1:23" x14ac:dyDescent="0.2">
      <c r="A624">
        <v>5025749</v>
      </c>
      <c r="B624" t="s">
        <v>18</v>
      </c>
      <c r="C624" t="s">
        <v>19</v>
      </c>
      <c r="D624" t="s">
        <v>19</v>
      </c>
      <c r="E624">
        <v>0</v>
      </c>
      <c r="F624">
        <v>112500</v>
      </c>
      <c r="G624" t="s">
        <v>26</v>
      </c>
      <c r="H624" t="s">
        <v>27</v>
      </c>
      <c r="I624" t="s">
        <v>33</v>
      </c>
      <c r="J624" t="s">
        <v>24</v>
      </c>
      <c r="K624" s="6">
        <f t="shared" ca="1" si="44"/>
        <v>30075</v>
      </c>
      <c r="L624">
        <v>-15686</v>
      </c>
      <c r="M624" s="7">
        <f t="shared" ca="1" si="42"/>
        <v>42.945927446954144</v>
      </c>
      <c r="N624" s="5" t="str">
        <f ca="1">VLOOKUP(Data!M624,temp!$B$3:$C$9,2,1)</f>
        <v>40-50</v>
      </c>
      <c r="O624">
        <v>-223</v>
      </c>
      <c r="P624" s="8">
        <f t="shared" si="43"/>
        <v>0.61054072553045857</v>
      </c>
      <c r="Q624" s="5" t="str">
        <f t="shared" si="45"/>
        <v>Employed</v>
      </c>
      <c r="R624">
        <v>1</v>
      </c>
      <c r="S624">
        <v>0</v>
      </c>
      <c r="T624">
        <v>0</v>
      </c>
      <c r="U624">
        <v>1</v>
      </c>
      <c r="V624" t="s">
        <v>38</v>
      </c>
      <c r="W624">
        <v>1</v>
      </c>
    </row>
    <row r="625" spans="1:23" x14ac:dyDescent="0.2">
      <c r="A625">
        <v>5025783</v>
      </c>
      <c r="B625" t="s">
        <v>18</v>
      </c>
      <c r="C625" t="s">
        <v>19</v>
      </c>
      <c r="D625" t="s">
        <v>20</v>
      </c>
      <c r="E625">
        <v>1</v>
      </c>
      <c r="F625">
        <v>225000</v>
      </c>
      <c r="G625" t="s">
        <v>26</v>
      </c>
      <c r="H625" t="s">
        <v>27</v>
      </c>
      <c r="I625" t="s">
        <v>28</v>
      </c>
      <c r="J625" t="s">
        <v>24</v>
      </c>
      <c r="K625" s="6">
        <f t="shared" ca="1" si="44"/>
        <v>33283</v>
      </c>
      <c r="L625">
        <v>-12478</v>
      </c>
      <c r="M625" s="7">
        <f t="shared" ca="1" si="42"/>
        <v>34.162902121834357</v>
      </c>
      <c r="N625" s="5" t="str">
        <f ca="1">VLOOKUP(Data!M625,temp!$B$3:$C$9,2,1)</f>
        <v>30-40</v>
      </c>
      <c r="O625">
        <v>-3569</v>
      </c>
      <c r="P625" s="8">
        <f t="shared" si="43"/>
        <v>9.7713894592744701</v>
      </c>
      <c r="Q625" s="5" t="str">
        <f t="shared" si="45"/>
        <v>Employed</v>
      </c>
      <c r="R625">
        <v>1</v>
      </c>
      <c r="S625">
        <v>0</v>
      </c>
      <c r="T625">
        <v>0</v>
      </c>
      <c r="U625">
        <v>0</v>
      </c>
      <c r="V625" t="s">
        <v>32</v>
      </c>
      <c r="W625">
        <v>3</v>
      </c>
    </row>
    <row r="626" spans="1:23" x14ac:dyDescent="0.2">
      <c r="A626">
        <v>5025787</v>
      </c>
      <c r="B626" t="s">
        <v>18</v>
      </c>
      <c r="C626" t="s">
        <v>19</v>
      </c>
      <c r="D626" t="s">
        <v>20</v>
      </c>
      <c r="E626">
        <v>1</v>
      </c>
      <c r="F626">
        <v>225000</v>
      </c>
      <c r="G626" t="s">
        <v>26</v>
      </c>
      <c r="H626" t="s">
        <v>27</v>
      </c>
      <c r="I626" t="s">
        <v>28</v>
      </c>
      <c r="J626" t="s">
        <v>24</v>
      </c>
      <c r="K626" s="6">
        <f t="shared" ca="1" si="44"/>
        <v>33283</v>
      </c>
      <c r="L626">
        <v>-12478</v>
      </c>
      <c r="M626" s="7">
        <f t="shared" ca="1" si="42"/>
        <v>34.162902121834357</v>
      </c>
      <c r="N626" s="5" t="str">
        <f ca="1">VLOOKUP(Data!M626,temp!$B$3:$C$9,2,1)</f>
        <v>30-40</v>
      </c>
      <c r="O626">
        <v>-3569</v>
      </c>
      <c r="P626" s="8">
        <f t="shared" si="43"/>
        <v>9.7713894592744701</v>
      </c>
      <c r="Q626" s="5" t="str">
        <f t="shared" si="45"/>
        <v>Employed</v>
      </c>
      <c r="R626">
        <v>1</v>
      </c>
      <c r="S626">
        <v>0</v>
      </c>
      <c r="T626">
        <v>0</v>
      </c>
      <c r="U626">
        <v>0</v>
      </c>
      <c r="V626" t="s">
        <v>32</v>
      </c>
      <c r="W626">
        <v>3</v>
      </c>
    </row>
    <row r="627" spans="1:23" x14ac:dyDescent="0.2">
      <c r="A627">
        <v>5025812</v>
      </c>
      <c r="B627" t="s">
        <v>18</v>
      </c>
      <c r="C627" t="s">
        <v>20</v>
      </c>
      <c r="D627" t="s">
        <v>20</v>
      </c>
      <c r="E627">
        <v>0</v>
      </c>
      <c r="F627">
        <v>157500</v>
      </c>
      <c r="G627" t="s">
        <v>26</v>
      </c>
      <c r="H627" t="s">
        <v>27</v>
      </c>
      <c r="I627" t="s">
        <v>28</v>
      </c>
      <c r="J627" t="s">
        <v>24</v>
      </c>
      <c r="K627" s="6">
        <f t="shared" ca="1" si="44"/>
        <v>28464</v>
      </c>
      <c r="L627">
        <v>-17297</v>
      </c>
      <c r="M627" s="7">
        <f t="shared" ca="1" si="42"/>
        <v>47.356605065023956</v>
      </c>
      <c r="N627" s="5" t="str">
        <f ca="1">VLOOKUP(Data!M627,temp!$B$3:$C$9,2,1)</f>
        <v>40-50</v>
      </c>
      <c r="O627">
        <v>-2018</v>
      </c>
      <c r="P627" s="8">
        <f t="shared" si="43"/>
        <v>5.5249828884325805</v>
      </c>
      <c r="Q627" s="5" t="str">
        <f t="shared" si="45"/>
        <v>Employed</v>
      </c>
      <c r="R627">
        <v>1</v>
      </c>
      <c r="S627">
        <v>0</v>
      </c>
      <c r="T627">
        <v>0</v>
      </c>
      <c r="U627">
        <v>0</v>
      </c>
      <c r="V627" t="s">
        <v>39</v>
      </c>
      <c r="W627">
        <v>2</v>
      </c>
    </row>
    <row r="628" spans="1:23" x14ac:dyDescent="0.2">
      <c r="A628">
        <v>5025848</v>
      </c>
      <c r="B628" t="s">
        <v>18</v>
      </c>
      <c r="C628" t="s">
        <v>19</v>
      </c>
      <c r="D628" t="s">
        <v>20</v>
      </c>
      <c r="E628">
        <v>0</v>
      </c>
      <c r="F628">
        <v>49500</v>
      </c>
      <c r="G628" t="s">
        <v>21</v>
      </c>
      <c r="H628" t="s">
        <v>27</v>
      </c>
      <c r="I628" t="s">
        <v>28</v>
      </c>
      <c r="J628" t="s">
        <v>24</v>
      </c>
      <c r="K628" s="6">
        <f t="shared" ca="1" si="44"/>
        <v>23315</v>
      </c>
      <c r="L628">
        <v>-22446</v>
      </c>
      <c r="M628" s="7">
        <f t="shared" ca="1" si="42"/>
        <v>61.453798767967143</v>
      </c>
      <c r="N628" s="5" t="str">
        <f ca="1">VLOOKUP(Data!M628,temp!$B$3:$C$9,2,1)</f>
        <v>60-70</v>
      </c>
      <c r="O628">
        <v>365243</v>
      </c>
      <c r="P628" s="8">
        <f t="shared" si="43"/>
        <v>0</v>
      </c>
      <c r="Q628" s="5" t="str">
        <f t="shared" si="45"/>
        <v>Unemployed</v>
      </c>
      <c r="R628">
        <v>1</v>
      </c>
      <c r="S628">
        <v>0</v>
      </c>
      <c r="T628">
        <v>0</v>
      </c>
      <c r="U628">
        <v>0</v>
      </c>
      <c r="W628">
        <v>2</v>
      </c>
    </row>
    <row r="629" spans="1:23" x14ac:dyDescent="0.2">
      <c r="A629">
        <v>5025879</v>
      </c>
      <c r="B629" t="s">
        <v>25</v>
      </c>
      <c r="C629" t="s">
        <v>20</v>
      </c>
      <c r="D629" t="s">
        <v>19</v>
      </c>
      <c r="E629">
        <v>0</v>
      </c>
      <c r="F629">
        <v>81000</v>
      </c>
      <c r="G629" t="s">
        <v>21</v>
      </c>
      <c r="H629" t="s">
        <v>27</v>
      </c>
      <c r="I629" t="s">
        <v>37</v>
      </c>
      <c r="J629" t="s">
        <v>24</v>
      </c>
      <c r="K629" s="6">
        <f t="shared" ca="1" si="44"/>
        <v>24128</v>
      </c>
      <c r="L629">
        <v>-21633</v>
      </c>
      <c r="M629" s="7">
        <f t="shared" ca="1" si="42"/>
        <v>59.227926078028744</v>
      </c>
      <c r="N629" s="5" t="str">
        <f ca="1">VLOOKUP(Data!M629,temp!$B$3:$C$9,2,1)</f>
        <v>50-60</v>
      </c>
      <c r="O629">
        <v>365243</v>
      </c>
      <c r="P629" s="8">
        <f t="shared" si="43"/>
        <v>0</v>
      </c>
      <c r="Q629" s="5" t="str">
        <f t="shared" si="45"/>
        <v>Unemployed</v>
      </c>
      <c r="R629">
        <v>1</v>
      </c>
      <c r="S629">
        <v>0</v>
      </c>
      <c r="T629">
        <v>0</v>
      </c>
      <c r="U629">
        <v>0</v>
      </c>
      <c r="W629">
        <v>2</v>
      </c>
    </row>
    <row r="630" spans="1:23" x14ac:dyDescent="0.2">
      <c r="A630">
        <v>5025880</v>
      </c>
      <c r="B630" t="s">
        <v>25</v>
      </c>
      <c r="C630" t="s">
        <v>20</v>
      </c>
      <c r="D630" t="s">
        <v>19</v>
      </c>
      <c r="E630">
        <v>0</v>
      </c>
      <c r="F630">
        <v>81000</v>
      </c>
      <c r="G630" t="s">
        <v>21</v>
      </c>
      <c r="H630" t="s">
        <v>27</v>
      </c>
      <c r="I630" t="s">
        <v>37</v>
      </c>
      <c r="J630" t="s">
        <v>24</v>
      </c>
      <c r="K630" s="6">
        <f t="shared" ca="1" si="44"/>
        <v>24128</v>
      </c>
      <c r="L630">
        <v>-21633</v>
      </c>
      <c r="M630" s="7">
        <f t="shared" ca="1" si="42"/>
        <v>59.227926078028744</v>
      </c>
      <c r="N630" s="5" t="str">
        <f ca="1">VLOOKUP(Data!M630,temp!$B$3:$C$9,2,1)</f>
        <v>50-60</v>
      </c>
      <c r="O630">
        <v>365243</v>
      </c>
      <c r="P630" s="8">
        <f t="shared" si="43"/>
        <v>0</v>
      </c>
      <c r="Q630" s="5" t="str">
        <f t="shared" si="45"/>
        <v>Unemployed</v>
      </c>
      <c r="R630">
        <v>1</v>
      </c>
      <c r="S630">
        <v>0</v>
      </c>
      <c r="T630">
        <v>0</v>
      </c>
      <c r="U630">
        <v>0</v>
      </c>
      <c r="W630">
        <v>2</v>
      </c>
    </row>
    <row r="631" spans="1:23" x14ac:dyDescent="0.2">
      <c r="A631">
        <v>5025890</v>
      </c>
      <c r="B631" t="s">
        <v>18</v>
      </c>
      <c r="C631" t="s">
        <v>19</v>
      </c>
      <c r="D631" t="s">
        <v>20</v>
      </c>
      <c r="E631">
        <v>0</v>
      </c>
      <c r="F631">
        <v>135000</v>
      </c>
      <c r="G631" t="s">
        <v>21</v>
      </c>
      <c r="H631" t="s">
        <v>27</v>
      </c>
      <c r="I631" t="s">
        <v>28</v>
      </c>
      <c r="J631" t="s">
        <v>24</v>
      </c>
      <c r="K631" s="6">
        <f t="shared" ca="1" si="44"/>
        <v>22319</v>
      </c>
      <c r="L631">
        <v>-23442</v>
      </c>
      <c r="M631" s="7">
        <f t="shared" ca="1" si="42"/>
        <v>64.180698151950722</v>
      </c>
      <c r="N631" s="5" t="str">
        <f ca="1">VLOOKUP(Data!M631,temp!$B$3:$C$9,2,1)</f>
        <v>60-70</v>
      </c>
      <c r="O631">
        <v>365243</v>
      </c>
      <c r="P631" s="8">
        <f t="shared" si="43"/>
        <v>0</v>
      </c>
      <c r="Q631" s="5" t="str">
        <f t="shared" si="45"/>
        <v>Unemployed</v>
      </c>
      <c r="R631">
        <v>1</v>
      </c>
      <c r="S631">
        <v>0</v>
      </c>
      <c r="T631">
        <v>1</v>
      </c>
      <c r="U631">
        <v>0</v>
      </c>
      <c r="W631">
        <v>2</v>
      </c>
    </row>
    <row r="632" spans="1:23" x14ac:dyDescent="0.2">
      <c r="A632">
        <v>5025949</v>
      </c>
      <c r="B632" t="s">
        <v>18</v>
      </c>
      <c r="C632" t="s">
        <v>19</v>
      </c>
      <c r="D632" t="s">
        <v>20</v>
      </c>
      <c r="E632">
        <v>0</v>
      </c>
      <c r="F632">
        <v>130500</v>
      </c>
      <c r="G632" t="s">
        <v>31</v>
      </c>
      <c r="H632" t="s">
        <v>27</v>
      </c>
      <c r="I632" t="s">
        <v>28</v>
      </c>
      <c r="J632" t="s">
        <v>24</v>
      </c>
      <c r="K632" s="6">
        <f t="shared" ca="1" si="44"/>
        <v>32241</v>
      </c>
      <c r="L632">
        <v>-13520</v>
      </c>
      <c r="M632" s="7">
        <f t="shared" ca="1" si="42"/>
        <v>37.015742642026012</v>
      </c>
      <c r="N632" s="5" t="str">
        <f ca="1">VLOOKUP(Data!M632,temp!$B$3:$C$9,2,1)</f>
        <v>30-40</v>
      </c>
      <c r="O632">
        <v>-5488</v>
      </c>
      <c r="P632" s="8">
        <f t="shared" si="43"/>
        <v>15.025325119780971</v>
      </c>
      <c r="Q632" s="5" t="str">
        <f t="shared" si="45"/>
        <v>Employed</v>
      </c>
      <c r="R632">
        <v>1</v>
      </c>
      <c r="S632">
        <v>0</v>
      </c>
      <c r="T632">
        <v>0</v>
      </c>
      <c r="U632">
        <v>0</v>
      </c>
      <c r="V632" t="s">
        <v>38</v>
      </c>
      <c r="W632">
        <v>2</v>
      </c>
    </row>
    <row r="633" spans="1:23" x14ac:dyDescent="0.2">
      <c r="A633">
        <v>5025962</v>
      </c>
      <c r="B633" t="s">
        <v>18</v>
      </c>
      <c r="C633" t="s">
        <v>19</v>
      </c>
      <c r="D633" t="s">
        <v>20</v>
      </c>
      <c r="E633">
        <v>0</v>
      </c>
      <c r="F633">
        <v>130500</v>
      </c>
      <c r="G633" t="s">
        <v>31</v>
      </c>
      <c r="H633" t="s">
        <v>27</v>
      </c>
      <c r="I633" t="s">
        <v>28</v>
      </c>
      <c r="J633" t="s">
        <v>24</v>
      </c>
      <c r="K633" s="6">
        <f t="shared" ca="1" si="44"/>
        <v>32241</v>
      </c>
      <c r="L633">
        <v>-13520</v>
      </c>
      <c r="M633" s="7">
        <f t="shared" ca="1" si="42"/>
        <v>37.015742642026012</v>
      </c>
      <c r="N633" s="5" t="str">
        <f ca="1">VLOOKUP(Data!M633,temp!$B$3:$C$9,2,1)</f>
        <v>30-40</v>
      </c>
      <c r="O633">
        <v>-5488</v>
      </c>
      <c r="P633" s="8">
        <f t="shared" si="43"/>
        <v>15.025325119780971</v>
      </c>
      <c r="Q633" s="5" t="str">
        <f t="shared" si="45"/>
        <v>Employed</v>
      </c>
      <c r="R633">
        <v>1</v>
      </c>
      <c r="S633">
        <v>0</v>
      </c>
      <c r="T633">
        <v>0</v>
      </c>
      <c r="U633">
        <v>0</v>
      </c>
      <c r="V633" t="s">
        <v>38</v>
      </c>
      <c r="W633">
        <v>2</v>
      </c>
    </row>
    <row r="634" spans="1:23" x14ac:dyDescent="0.2">
      <c r="A634">
        <v>5025963</v>
      </c>
      <c r="B634" t="s">
        <v>18</v>
      </c>
      <c r="C634" t="s">
        <v>19</v>
      </c>
      <c r="D634" t="s">
        <v>20</v>
      </c>
      <c r="E634">
        <v>0</v>
      </c>
      <c r="F634">
        <v>130500</v>
      </c>
      <c r="G634" t="s">
        <v>31</v>
      </c>
      <c r="H634" t="s">
        <v>27</v>
      </c>
      <c r="I634" t="s">
        <v>28</v>
      </c>
      <c r="J634" t="s">
        <v>24</v>
      </c>
      <c r="K634" s="6">
        <f t="shared" ca="1" si="44"/>
        <v>32241</v>
      </c>
      <c r="L634">
        <v>-13520</v>
      </c>
      <c r="M634" s="7">
        <f t="shared" ca="1" si="42"/>
        <v>37.015742642026012</v>
      </c>
      <c r="N634" s="5" t="str">
        <f ca="1">VLOOKUP(Data!M634,temp!$B$3:$C$9,2,1)</f>
        <v>30-40</v>
      </c>
      <c r="O634">
        <v>-5488</v>
      </c>
      <c r="P634" s="8">
        <f t="shared" si="43"/>
        <v>15.025325119780971</v>
      </c>
      <c r="Q634" s="5" t="str">
        <f t="shared" si="45"/>
        <v>Employed</v>
      </c>
      <c r="R634">
        <v>1</v>
      </c>
      <c r="S634">
        <v>0</v>
      </c>
      <c r="T634">
        <v>0</v>
      </c>
      <c r="U634">
        <v>0</v>
      </c>
      <c r="V634" t="s">
        <v>38</v>
      </c>
      <c r="W634">
        <v>2</v>
      </c>
    </row>
    <row r="635" spans="1:23" x14ac:dyDescent="0.2">
      <c r="A635">
        <v>5025977</v>
      </c>
      <c r="B635" t="s">
        <v>18</v>
      </c>
      <c r="C635" t="s">
        <v>19</v>
      </c>
      <c r="D635" t="s">
        <v>19</v>
      </c>
      <c r="E635">
        <v>1</v>
      </c>
      <c r="F635">
        <v>135000</v>
      </c>
      <c r="G635" t="s">
        <v>31</v>
      </c>
      <c r="H635" t="s">
        <v>27</v>
      </c>
      <c r="I635" t="s">
        <v>33</v>
      </c>
      <c r="J635" t="s">
        <v>45</v>
      </c>
      <c r="K635" s="6">
        <f t="shared" ca="1" si="44"/>
        <v>34345</v>
      </c>
      <c r="L635">
        <v>-11416</v>
      </c>
      <c r="M635" s="7">
        <f t="shared" ca="1" si="42"/>
        <v>31.255304585900067</v>
      </c>
      <c r="N635" s="5" t="str">
        <f ca="1">VLOOKUP(Data!M635,temp!$B$3:$C$9,2,1)</f>
        <v>30-40</v>
      </c>
      <c r="O635">
        <v>-2992</v>
      </c>
      <c r="P635" s="8">
        <f t="shared" si="43"/>
        <v>8.1916495550992465</v>
      </c>
      <c r="Q635" s="5" t="str">
        <f t="shared" si="45"/>
        <v>Employed</v>
      </c>
      <c r="R635">
        <v>1</v>
      </c>
      <c r="S635">
        <v>0</v>
      </c>
      <c r="T635">
        <v>0</v>
      </c>
      <c r="U635">
        <v>0</v>
      </c>
      <c r="V635" t="s">
        <v>29</v>
      </c>
      <c r="W635">
        <v>2</v>
      </c>
    </row>
    <row r="636" spans="1:23" x14ac:dyDescent="0.2">
      <c r="A636">
        <v>5025995</v>
      </c>
      <c r="B636" t="s">
        <v>25</v>
      </c>
      <c r="C636" t="s">
        <v>20</v>
      </c>
      <c r="D636" t="s">
        <v>20</v>
      </c>
      <c r="E636">
        <v>1</v>
      </c>
      <c r="F636">
        <v>315000</v>
      </c>
      <c r="G636" t="s">
        <v>31</v>
      </c>
      <c r="H636" t="s">
        <v>22</v>
      </c>
      <c r="I636" t="s">
        <v>28</v>
      </c>
      <c r="J636" t="s">
        <v>43</v>
      </c>
      <c r="K636" s="6">
        <f t="shared" ca="1" si="44"/>
        <v>32454</v>
      </c>
      <c r="L636">
        <v>-13307</v>
      </c>
      <c r="M636" s="7">
        <f t="shared" ca="1" si="42"/>
        <v>36.432580424366868</v>
      </c>
      <c r="N636" s="5" t="str">
        <f ca="1">VLOOKUP(Data!M636,temp!$B$3:$C$9,2,1)</f>
        <v>30-40</v>
      </c>
      <c r="O636">
        <v>-1227</v>
      </c>
      <c r="P636" s="8">
        <f t="shared" si="43"/>
        <v>3.3593429158110881</v>
      </c>
      <c r="Q636" s="5" t="str">
        <f t="shared" si="45"/>
        <v>Employed</v>
      </c>
      <c r="R636">
        <v>1</v>
      </c>
      <c r="S636">
        <v>0</v>
      </c>
      <c r="T636">
        <v>1</v>
      </c>
      <c r="U636">
        <v>0</v>
      </c>
      <c r="V636" t="s">
        <v>29</v>
      </c>
      <c r="W636">
        <v>3</v>
      </c>
    </row>
    <row r="637" spans="1:23" x14ac:dyDescent="0.2">
      <c r="A637">
        <v>5026013</v>
      </c>
      <c r="B637" t="s">
        <v>18</v>
      </c>
      <c r="C637" t="s">
        <v>19</v>
      </c>
      <c r="D637" t="s">
        <v>20</v>
      </c>
      <c r="E637">
        <v>0</v>
      </c>
      <c r="F637">
        <v>81000</v>
      </c>
      <c r="G637" t="s">
        <v>31</v>
      </c>
      <c r="H637" t="s">
        <v>27</v>
      </c>
      <c r="I637" t="s">
        <v>28</v>
      </c>
      <c r="J637" t="s">
        <v>24</v>
      </c>
      <c r="K637" s="6">
        <f t="shared" ca="1" si="44"/>
        <v>25868</v>
      </c>
      <c r="L637">
        <v>-19893</v>
      </c>
      <c r="M637" s="7">
        <f t="shared" ca="1" si="42"/>
        <v>54.464065708418893</v>
      </c>
      <c r="N637" s="5" t="str">
        <f ca="1">VLOOKUP(Data!M637,temp!$B$3:$C$9,2,1)</f>
        <v>50-60</v>
      </c>
      <c r="O637">
        <v>-5365</v>
      </c>
      <c r="P637" s="8">
        <f t="shared" si="43"/>
        <v>14.688569472963723</v>
      </c>
      <c r="Q637" s="5" t="str">
        <f t="shared" si="45"/>
        <v>Employed</v>
      </c>
      <c r="R637">
        <v>1</v>
      </c>
      <c r="S637">
        <v>1</v>
      </c>
      <c r="T637">
        <v>1</v>
      </c>
      <c r="U637">
        <v>0</v>
      </c>
      <c r="W637">
        <v>2</v>
      </c>
    </row>
    <row r="638" spans="1:23" x14ac:dyDescent="0.2">
      <c r="A638">
        <v>5026020</v>
      </c>
      <c r="B638" t="s">
        <v>18</v>
      </c>
      <c r="C638" t="s">
        <v>19</v>
      </c>
      <c r="D638" t="s">
        <v>20</v>
      </c>
      <c r="E638">
        <v>0</v>
      </c>
      <c r="F638">
        <v>81000</v>
      </c>
      <c r="G638" t="s">
        <v>31</v>
      </c>
      <c r="H638" t="s">
        <v>27</v>
      </c>
      <c r="I638" t="s">
        <v>28</v>
      </c>
      <c r="J638" t="s">
        <v>24</v>
      </c>
      <c r="K638" s="6">
        <f t="shared" ca="1" si="44"/>
        <v>25868</v>
      </c>
      <c r="L638">
        <v>-19893</v>
      </c>
      <c r="M638" s="7">
        <f t="shared" ca="1" si="42"/>
        <v>54.464065708418893</v>
      </c>
      <c r="N638" s="5" t="str">
        <f ca="1">VLOOKUP(Data!M638,temp!$B$3:$C$9,2,1)</f>
        <v>50-60</v>
      </c>
      <c r="O638">
        <v>-5365</v>
      </c>
      <c r="P638" s="8">
        <f t="shared" si="43"/>
        <v>14.688569472963723</v>
      </c>
      <c r="Q638" s="5" t="str">
        <f t="shared" si="45"/>
        <v>Employed</v>
      </c>
      <c r="R638">
        <v>1</v>
      </c>
      <c r="S638">
        <v>1</v>
      </c>
      <c r="T638">
        <v>1</v>
      </c>
      <c r="U638">
        <v>0</v>
      </c>
      <c r="W638">
        <v>2</v>
      </c>
    </row>
    <row r="639" spans="1:23" x14ac:dyDescent="0.2">
      <c r="A639">
        <v>5026034</v>
      </c>
      <c r="B639" t="s">
        <v>25</v>
      </c>
      <c r="C639" t="s">
        <v>20</v>
      </c>
      <c r="D639" t="s">
        <v>20</v>
      </c>
      <c r="E639">
        <v>0</v>
      </c>
      <c r="F639">
        <v>99000</v>
      </c>
      <c r="G639" t="s">
        <v>31</v>
      </c>
      <c r="H639" t="s">
        <v>27</v>
      </c>
      <c r="I639" t="s">
        <v>28</v>
      </c>
      <c r="J639" t="s">
        <v>34</v>
      </c>
      <c r="K639" s="6">
        <f t="shared" ca="1" si="44"/>
        <v>35833</v>
      </c>
      <c r="L639">
        <v>-9928</v>
      </c>
      <c r="M639" s="7">
        <f t="shared" ca="1" si="42"/>
        <v>27.1813826146475</v>
      </c>
      <c r="N639" s="5" t="str">
        <f ca="1">VLOOKUP(Data!M639,temp!$B$3:$C$9,2,1)</f>
        <v>20-30</v>
      </c>
      <c r="O639">
        <v>-1531</v>
      </c>
      <c r="P639" s="8">
        <f t="shared" si="43"/>
        <v>4.1916495550992474</v>
      </c>
      <c r="Q639" s="5" t="str">
        <f t="shared" si="45"/>
        <v>Employed</v>
      </c>
      <c r="R639">
        <v>1</v>
      </c>
      <c r="S639">
        <v>0</v>
      </c>
      <c r="T639">
        <v>0</v>
      </c>
      <c r="U639">
        <v>0</v>
      </c>
      <c r="V639" t="s">
        <v>32</v>
      </c>
      <c r="W639">
        <v>2</v>
      </c>
    </row>
    <row r="640" spans="1:23" x14ac:dyDescent="0.2">
      <c r="A640">
        <v>5026088</v>
      </c>
      <c r="B640" t="s">
        <v>18</v>
      </c>
      <c r="C640" t="s">
        <v>19</v>
      </c>
      <c r="D640" t="s">
        <v>20</v>
      </c>
      <c r="E640">
        <v>0</v>
      </c>
      <c r="F640">
        <v>67500</v>
      </c>
      <c r="G640" t="s">
        <v>31</v>
      </c>
      <c r="H640" t="s">
        <v>27</v>
      </c>
      <c r="I640" t="s">
        <v>42</v>
      </c>
      <c r="J640" t="s">
        <v>24</v>
      </c>
      <c r="K640" s="6">
        <f t="shared" ca="1" si="44"/>
        <v>25279</v>
      </c>
      <c r="L640">
        <v>-20482</v>
      </c>
      <c r="M640" s="7">
        <f t="shared" ca="1" si="42"/>
        <v>56.076659822039701</v>
      </c>
      <c r="N640" s="5" t="str">
        <f ca="1">VLOOKUP(Data!M640,temp!$B$3:$C$9,2,1)</f>
        <v>50-60</v>
      </c>
      <c r="O640">
        <v>-5030</v>
      </c>
      <c r="P640" s="8">
        <f t="shared" si="43"/>
        <v>13.77138945927447</v>
      </c>
      <c r="Q640" s="5" t="str">
        <f t="shared" si="45"/>
        <v>Employed</v>
      </c>
      <c r="R640">
        <v>1</v>
      </c>
      <c r="S640">
        <v>1</v>
      </c>
      <c r="T640">
        <v>1</v>
      </c>
      <c r="U640">
        <v>0</v>
      </c>
      <c r="W640">
        <v>1</v>
      </c>
    </row>
    <row r="641" spans="1:23" x14ac:dyDescent="0.2">
      <c r="A641">
        <v>5026091</v>
      </c>
      <c r="B641" t="s">
        <v>18</v>
      </c>
      <c r="C641" t="s">
        <v>19</v>
      </c>
      <c r="D641" t="s">
        <v>20</v>
      </c>
      <c r="E641">
        <v>0</v>
      </c>
      <c r="F641">
        <v>67500</v>
      </c>
      <c r="G641" t="s">
        <v>31</v>
      </c>
      <c r="H641" t="s">
        <v>27</v>
      </c>
      <c r="I641" t="s">
        <v>42</v>
      </c>
      <c r="J641" t="s">
        <v>24</v>
      </c>
      <c r="K641" s="6">
        <f t="shared" ca="1" si="44"/>
        <v>25279</v>
      </c>
      <c r="L641">
        <v>-20482</v>
      </c>
      <c r="M641" s="7">
        <f t="shared" ca="1" si="42"/>
        <v>56.076659822039701</v>
      </c>
      <c r="N641" s="5" t="str">
        <f ca="1">VLOOKUP(Data!M641,temp!$B$3:$C$9,2,1)</f>
        <v>50-60</v>
      </c>
      <c r="O641">
        <v>-5030</v>
      </c>
      <c r="P641" s="8">
        <f t="shared" si="43"/>
        <v>13.77138945927447</v>
      </c>
      <c r="Q641" s="5" t="str">
        <f t="shared" si="45"/>
        <v>Employed</v>
      </c>
      <c r="R641">
        <v>1</v>
      </c>
      <c r="S641">
        <v>1</v>
      </c>
      <c r="T641">
        <v>1</v>
      </c>
      <c r="U641">
        <v>0</v>
      </c>
      <c r="W641">
        <v>1</v>
      </c>
    </row>
    <row r="642" spans="1:23" x14ac:dyDescent="0.2">
      <c r="A642">
        <v>5026124</v>
      </c>
      <c r="B642" t="s">
        <v>25</v>
      </c>
      <c r="C642" t="s">
        <v>20</v>
      </c>
      <c r="D642" t="s">
        <v>20</v>
      </c>
      <c r="E642">
        <v>0</v>
      </c>
      <c r="F642">
        <v>225000</v>
      </c>
      <c r="G642" t="s">
        <v>31</v>
      </c>
      <c r="H642" t="s">
        <v>27</v>
      </c>
      <c r="I642" t="s">
        <v>28</v>
      </c>
      <c r="J642" t="s">
        <v>24</v>
      </c>
      <c r="K642" s="6">
        <f t="shared" ca="1" si="44"/>
        <v>29484</v>
      </c>
      <c r="L642">
        <v>-16277</v>
      </c>
      <c r="M642" s="7">
        <f t="shared" ca="1" si="42"/>
        <v>44.563997262149215</v>
      </c>
      <c r="N642" s="5" t="str">
        <f ca="1">VLOOKUP(Data!M642,temp!$B$3:$C$9,2,1)</f>
        <v>40-50</v>
      </c>
      <c r="O642">
        <v>-6979</v>
      </c>
      <c r="P642" s="8">
        <f t="shared" si="43"/>
        <v>19.107460643394933</v>
      </c>
      <c r="Q642" s="5" t="str">
        <f t="shared" si="45"/>
        <v>Employed</v>
      </c>
      <c r="R642">
        <v>1</v>
      </c>
      <c r="S642">
        <v>0</v>
      </c>
      <c r="T642">
        <v>0</v>
      </c>
      <c r="U642">
        <v>0</v>
      </c>
      <c r="V642" t="s">
        <v>47</v>
      </c>
      <c r="W642">
        <v>2</v>
      </c>
    </row>
    <row r="643" spans="1:23" x14ac:dyDescent="0.2">
      <c r="A643">
        <v>5026152</v>
      </c>
      <c r="B643" t="s">
        <v>18</v>
      </c>
      <c r="C643" t="s">
        <v>19</v>
      </c>
      <c r="D643" t="s">
        <v>20</v>
      </c>
      <c r="E643">
        <v>1</v>
      </c>
      <c r="F643">
        <v>157500</v>
      </c>
      <c r="G643" t="s">
        <v>35</v>
      </c>
      <c r="H643" t="s">
        <v>27</v>
      </c>
      <c r="I643" t="s">
        <v>28</v>
      </c>
      <c r="J643" t="s">
        <v>24</v>
      </c>
      <c r="K643" s="6">
        <f t="shared" ca="1" si="44"/>
        <v>29336</v>
      </c>
      <c r="L643">
        <v>-16425</v>
      </c>
      <c r="M643" s="7">
        <f t="shared" ref="M643:M706" ca="1" si="46">(TODAY()-K643)/365.25</f>
        <v>44.969199178644764</v>
      </c>
      <c r="N643" s="5" t="str">
        <f ca="1">VLOOKUP(Data!M643,temp!$B$3:$C$9,2,1)</f>
        <v>40-50</v>
      </c>
      <c r="O643">
        <v>-2842</v>
      </c>
      <c r="P643" s="8">
        <f t="shared" ref="P643:P706" si="47">IF(O643&lt;=0,ABS(O643)/365.25,0)</f>
        <v>7.7809719370294319</v>
      </c>
      <c r="Q643" s="5" t="str">
        <f t="shared" si="45"/>
        <v>Employed</v>
      </c>
      <c r="R643">
        <v>1</v>
      </c>
      <c r="S643">
        <v>0</v>
      </c>
      <c r="T643">
        <v>0</v>
      </c>
      <c r="U643">
        <v>0</v>
      </c>
      <c r="V643" t="s">
        <v>32</v>
      </c>
      <c r="W643">
        <v>3</v>
      </c>
    </row>
    <row r="644" spans="1:23" x14ac:dyDescent="0.2">
      <c r="A644">
        <v>5026155</v>
      </c>
      <c r="B644" t="s">
        <v>18</v>
      </c>
      <c r="C644" t="s">
        <v>19</v>
      </c>
      <c r="D644" t="s">
        <v>20</v>
      </c>
      <c r="E644">
        <v>1</v>
      </c>
      <c r="F644">
        <v>67500</v>
      </c>
      <c r="G644" t="s">
        <v>26</v>
      </c>
      <c r="H644" t="s">
        <v>27</v>
      </c>
      <c r="I644" t="s">
        <v>28</v>
      </c>
      <c r="J644" t="s">
        <v>24</v>
      </c>
      <c r="K644" s="6">
        <f t="shared" ca="1" si="44"/>
        <v>33861</v>
      </c>
      <c r="L644">
        <v>-11900</v>
      </c>
      <c r="M644" s="7">
        <f t="shared" ca="1" si="46"/>
        <v>32.580424366872002</v>
      </c>
      <c r="N644" s="5" t="str">
        <f ca="1">VLOOKUP(Data!M644,temp!$B$3:$C$9,2,1)</f>
        <v>30-40</v>
      </c>
      <c r="O644">
        <v>-3360</v>
      </c>
      <c r="P644" s="8">
        <f t="shared" si="47"/>
        <v>9.1991786447638599</v>
      </c>
      <c r="Q644" s="5" t="str">
        <f t="shared" si="45"/>
        <v>Employed</v>
      </c>
      <c r="R644">
        <v>1</v>
      </c>
      <c r="S644">
        <v>0</v>
      </c>
      <c r="T644">
        <v>0</v>
      </c>
      <c r="U644">
        <v>0</v>
      </c>
      <c r="V644" t="s">
        <v>44</v>
      </c>
      <c r="W644">
        <v>3</v>
      </c>
    </row>
    <row r="645" spans="1:23" x14ac:dyDescent="0.2">
      <c r="A645">
        <v>5026161</v>
      </c>
      <c r="B645" t="s">
        <v>18</v>
      </c>
      <c r="C645" t="s">
        <v>20</v>
      </c>
      <c r="D645" t="s">
        <v>20</v>
      </c>
      <c r="E645">
        <v>0</v>
      </c>
      <c r="F645">
        <v>540000</v>
      </c>
      <c r="G645" t="s">
        <v>31</v>
      </c>
      <c r="H645" t="s">
        <v>22</v>
      </c>
      <c r="I645" t="s">
        <v>23</v>
      </c>
      <c r="J645" t="s">
        <v>24</v>
      </c>
      <c r="K645" s="6">
        <f t="shared" ca="1" si="44"/>
        <v>32610</v>
      </c>
      <c r="L645">
        <v>-13151</v>
      </c>
      <c r="M645" s="7">
        <f t="shared" ca="1" si="46"/>
        <v>36.005475701574262</v>
      </c>
      <c r="N645" s="5" t="str">
        <f ca="1">VLOOKUP(Data!M645,temp!$B$3:$C$9,2,1)</f>
        <v>30-40</v>
      </c>
      <c r="O645">
        <v>-3725</v>
      </c>
      <c r="P645" s="8">
        <f t="shared" si="47"/>
        <v>10.198494182067078</v>
      </c>
      <c r="Q645" s="5" t="str">
        <f t="shared" si="45"/>
        <v>Employed</v>
      </c>
      <c r="R645">
        <v>1</v>
      </c>
      <c r="S645">
        <v>0</v>
      </c>
      <c r="T645">
        <v>0</v>
      </c>
      <c r="U645">
        <v>0</v>
      </c>
      <c r="V645" t="s">
        <v>44</v>
      </c>
      <c r="W645">
        <v>1</v>
      </c>
    </row>
    <row r="646" spans="1:23" x14ac:dyDescent="0.2">
      <c r="A646">
        <v>5026193</v>
      </c>
      <c r="B646" t="s">
        <v>18</v>
      </c>
      <c r="C646" t="s">
        <v>19</v>
      </c>
      <c r="D646" t="s">
        <v>20</v>
      </c>
      <c r="E646">
        <v>0</v>
      </c>
      <c r="F646">
        <v>90000</v>
      </c>
      <c r="G646" t="s">
        <v>21</v>
      </c>
      <c r="H646" t="s">
        <v>22</v>
      </c>
      <c r="I646" t="s">
        <v>33</v>
      </c>
      <c r="J646" t="s">
        <v>24</v>
      </c>
      <c r="K646" s="6">
        <f t="shared" ca="1" si="44"/>
        <v>23778</v>
      </c>
      <c r="L646">
        <v>-21983</v>
      </c>
      <c r="M646" s="7">
        <f t="shared" ca="1" si="46"/>
        <v>60.186173853524984</v>
      </c>
      <c r="N646" s="5" t="str">
        <f ca="1">VLOOKUP(Data!M646,temp!$B$3:$C$9,2,1)</f>
        <v>60-70</v>
      </c>
      <c r="O646">
        <v>365243</v>
      </c>
      <c r="P646" s="8">
        <f t="shared" si="47"/>
        <v>0</v>
      </c>
      <c r="Q646" s="5" t="str">
        <f t="shared" si="45"/>
        <v>Unemployed</v>
      </c>
      <c r="R646">
        <v>1</v>
      </c>
      <c r="S646">
        <v>0</v>
      </c>
      <c r="T646">
        <v>0</v>
      </c>
      <c r="U646">
        <v>0</v>
      </c>
      <c r="W646">
        <v>1</v>
      </c>
    </row>
    <row r="647" spans="1:23" x14ac:dyDescent="0.2">
      <c r="A647">
        <v>5026194</v>
      </c>
      <c r="B647" t="s">
        <v>18</v>
      </c>
      <c r="C647" t="s">
        <v>19</v>
      </c>
      <c r="D647" t="s">
        <v>20</v>
      </c>
      <c r="E647">
        <v>0</v>
      </c>
      <c r="F647">
        <v>90000</v>
      </c>
      <c r="G647" t="s">
        <v>21</v>
      </c>
      <c r="H647" t="s">
        <v>22</v>
      </c>
      <c r="I647" t="s">
        <v>33</v>
      </c>
      <c r="J647" t="s">
        <v>24</v>
      </c>
      <c r="K647" s="6">
        <f t="shared" ca="1" si="44"/>
        <v>23778</v>
      </c>
      <c r="L647">
        <v>-21983</v>
      </c>
      <c r="M647" s="7">
        <f t="shared" ca="1" si="46"/>
        <v>60.186173853524984</v>
      </c>
      <c r="N647" s="5" t="str">
        <f ca="1">VLOOKUP(Data!M647,temp!$B$3:$C$9,2,1)</f>
        <v>60-70</v>
      </c>
      <c r="O647">
        <v>365243</v>
      </c>
      <c r="P647" s="8">
        <f t="shared" si="47"/>
        <v>0</v>
      </c>
      <c r="Q647" s="5" t="str">
        <f t="shared" si="45"/>
        <v>Unemployed</v>
      </c>
      <c r="R647">
        <v>1</v>
      </c>
      <c r="S647">
        <v>0</v>
      </c>
      <c r="T647">
        <v>0</v>
      </c>
      <c r="U647">
        <v>0</v>
      </c>
      <c r="W647">
        <v>1</v>
      </c>
    </row>
    <row r="648" spans="1:23" x14ac:dyDescent="0.2">
      <c r="A648">
        <v>5026199</v>
      </c>
      <c r="B648" t="s">
        <v>18</v>
      </c>
      <c r="C648" t="s">
        <v>19</v>
      </c>
      <c r="D648" t="s">
        <v>20</v>
      </c>
      <c r="E648">
        <v>0</v>
      </c>
      <c r="F648">
        <v>90000</v>
      </c>
      <c r="G648" t="s">
        <v>21</v>
      </c>
      <c r="H648" t="s">
        <v>22</v>
      </c>
      <c r="I648" t="s">
        <v>33</v>
      </c>
      <c r="J648" t="s">
        <v>24</v>
      </c>
      <c r="K648" s="6">
        <f t="shared" ref="K648:K711" ca="1" si="48">TODAY()+($L648)</f>
        <v>23778</v>
      </c>
      <c r="L648">
        <v>-21983</v>
      </c>
      <c r="M648" s="7">
        <f t="shared" ca="1" si="46"/>
        <v>60.186173853524984</v>
      </c>
      <c r="N648" s="5" t="str">
        <f ca="1">VLOOKUP(Data!M648,temp!$B$3:$C$9,2,1)</f>
        <v>60-70</v>
      </c>
      <c r="O648">
        <v>365243</v>
      </c>
      <c r="P648" s="8">
        <f t="shared" si="47"/>
        <v>0</v>
      </c>
      <c r="Q648" s="5" t="str">
        <f t="shared" ref="Q648:Q711" si="49">IF($O648&gt;0,"Unemployed","Employed")</f>
        <v>Unemployed</v>
      </c>
      <c r="R648">
        <v>1</v>
      </c>
      <c r="S648">
        <v>0</v>
      </c>
      <c r="T648">
        <v>0</v>
      </c>
      <c r="U648">
        <v>0</v>
      </c>
      <c r="W648">
        <v>1</v>
      </c>
    </row>
    <row r="649" spans="1:23" x14ac:dyDescent="0.2">
      <c r="A649">
        <v>5026209</v>
      </c>
      <c r="B649" t="s">
        <v>25</v>
      </c>
      <c r="C649" t="s">
        <v>20</v>
      </c>
      <c r="D649" t="s">
        <v>19</v>
      </c>
      <c r="E649">
        <v>1</v>
      </c>
      <c r="F649">
        <v>315000</v>
      </c>
      <c r="G649" t="s">
        <v>35</v>
      </c>
      <c r="H649" t="s">
        <v>27</v>
      </c>
      <c r="I649" t="s">
        <v>28</v>
      </c>
      <c r="J649" t="s">
        <v>34</v>
      </c>
      <c r="K649" s="6">
        <f t="shared" ca="1" si="48"/>
        <v>30362</v>
      </c>
      <c r="L649">
        <v>-15399</v>
      </c>
      <c r="M649" s="7">
        <f t="shared" ca="1" si="46"/>
        <v>42.160164271047229</v>
      </c>
      <c r="N649" s="5" t="str">
        <f ca="1">VLOOKUP(Data!M649,temp!$B$3:$C$9,2,1)</f>
        <v>40-50</v>
      </c>
      <c r="O649">
        <v>-6555</v>
      </c>
      <c r="P649" s="8">
        <f t="shared" si="47"/>
        <v>17.946611909650922</v>
      </c>
      <c r="Q649" s="5" t="str">
        <f t="shared" si="49"/>
        <v>Employed</v>
      </c>
      <c r="R649">
        <v>1</v>
      </c>
      <c r="S649">
        <v>0</v>
      </c>
      <c r="T649">
        <v>0</v>
      </c>
      <c r="U649">
        <v>0</v>
      </c>
      <c r="V649" t="s">
        <v>32</v>
      </c>
      <c r="W649">
        <v>3</v>
      </c>
    </row>
    <row r="650" spans="1:23" x14ac:dyDescent="0.2">
      <c r="A650">
        <v>5026244</v>
      </c>
      <c r="B650" t="s">
        <v>18</v>
      </c>
      <c r="C650" t="s">
        <v>19</v>
      </c>
      <c r="D650" t="s">
        <v>20</v>
      </c>
      <c r="E650">
        <v>2</v>
      </c>
      <c r="F650">
        <v>135000</v>
      </c>
      <c r="G650" t="s">
        <v>31</v>
      </c>
      <c r="H650" t="s">
        <v>27</v>
      </c>
      <c r="I650" t="s">
        <v>28</v>
      </c>
      <c r="J650" t="s">
        <v>24</v>
      </c>
      <c r="K650" s="6">
        <f t="shared" ca="1" si="48"/>
        <v>31401</v>
      </c>
      <c r="L650">
        <v>-14360</v>
      </c>
      <c r="M650" s="7">
        <f t="shared" ca="1" si="46"/>
        <v>39.315537303216978</v>
      </c>
      <c r="N650" s="5" t="str">
        <f ca="1">VLOOKUP(Data!M650,temp!$B$3:$C$9,2,1)</f>
        <v>30-40</v>
      </c>
      <c r="O650">
        <v>-1565</v>
      </c>
      <c r="P650" s="8">
        <f t="shared" si="47"/>
        <v>4.2847364818617386</v>
      </c>
      <c r="Q650" s="5" t="str">
        <f t="shared" si="49"/>
        <v>Employed</v>
      </c>
      <c r="R650">
        <v>1</v>
      </c>
      <c r="S650">
        <v>0</v>
      </c>
      <c r="T650">
        <v>0</v>
      </c>
      <c r="U650">
        <v>0</v>
      </c>
      <c r="V650" t="s">
        <v>46</v>
      </c>
      <c r="W650">
        <v>4</v>
      </c>
    </row>
    <row r="651" spans="1:23" x14ac:dyDescent="0.2">
      <c r="A651">
        <v>5026368</v>
      </c>
      <c r="B651" t="s">
        <v>25</v>
      </c>
      <c r="C651" t="s">
        <v>19</v>
      </c>
      <c r="D651" t="s">
        <v>20</v>
      </c>
      <c r="E651">
        <v>1</v>
      </c>
      <c r="F651">
        <v>112500</v>
      </c>
      <c r="G651" t="s">
        <v>31</v>
      </c>
      <c r="H651" t="s">
        <v>22</v>
      </c>
      <c r="I651" t="s">
        <v>28</v>
      </c>
      <c r="J651" t="s">
        <v>24</v>
      </c>
      <c r="K651" s="6">
        <f t="shared" ca="1" si="48"/>
        <v>32079</v>
      </c>
      <c r="L651">
        <v>-13682</v>
      </c>
      <c r="M651" s="7">
        <f t="shared" ca="1" si="46"/>
        <v>37.459274469541413</v>
      </c>
      <c r="N651" s="5" t="str">
        <f ca="1">VLOOKUP(Data!M651,temp!$B$3:$C$9,2,1)</f>
        <v>30-40</v>
      </c>
      <c r="O651">
        <v>-5460</v>
      </c>
      <c r="P651" s="8">
        <f t="shared" si="47"/>
        <v>14.948665297741274</v>
      </c>
      <c r="Q651" s="5" t="str">
        <f t="shared" si="49"/>
        <v>Employed</v>
      </c>
      <c r="R651">
        <v>1</v>
      </c>
      <c r="S651">
        <v>1</v>
      </c>
      <c r="T651">
        <v>1</v>
      </c>
      <c r="U651">
        <v>0</v>
      </c>
      <c r="W651">
        <v>3</v>
      </c>
    </row>
    <row r="652" spans="1:23" x14ac:dyDescent="0.2">
      <c r="A652">
        <v>5026373</v>
      </c>
      <c r="B652" t="s">
        <v>25</v>
      </c>
      <c r="C652" t="s">
        <v>19</v>
      </c>
      <c r="D652" t="s">
        <v>20</v>
      </c>
      <c r="E652">
        <v>1</v>
      </c>
      <c r="F652">
        <v>112500</v>
      </c>
      <c r="G652" t="s">
        <v>31</v>
      </c>
      <c r="H652" t="s">
        <v>22</v>
      </c>
      <c r="I652" t="s">
        <v>28</v>
      </c>
      <c r="J652" t="s">
        <v>24</v>
      </c>
      <c r="K652" s="6">
        <f t="shared" ca="1" si="48"/>
        <v>32079</v>
      </c>
      <c r="L652">
        <v>-13682</v>
      </c>
      <c r="M652" s="7">
        <f t="shared" ca="1" si="46"/>
        <v>37.459274469541413</v>
      </c>
      <c r="N652" s="5" t="str">
        <f ca="1">VLOOKUP(Data!M652,temp!$B$3:$C$9,2,1)</f>
        <v>30-40</v>
      </c>
      <c r="O652">
        <v>-5460</v>
      </c>
      <c r="P652" s="8">
        <f t="shared" si="47"/>
        <v>14.948665297741274</v>
      </c>
      <c r="Q652" s="5" t="str">
        <f t="shared" si="49"/>
        <v>Employed</v>
      </c>
      <c r="R652">
        <v>1</v>
      </c>
      <c r="S652">
        <v>1</v>
      </c>
      <c r="T652">
        <v>1</v>
      </c>
      <c r="U652">
        <v>0</v>
      </c>
      <c r="W652">
        <v>3</v>
      </c>
    </row>
    <row r="653" spans="1:23" x14ac:dyDescent="0.2">
      <c r="A653">
        <v>5026379</v>
      </c>
      <c r="B653" t="s">
        <v>25</v>
      </c>
      <c r="C653" t="s">
        <v>19</v>
      </c>
      <c r="D653" t="s">
        <v>20</v>
      </c>
      <c r="E653">
        <v>1</v>
      </c>
      <c r="F653">
        <v>112500</v>
      </c>
      <c r="G653" t="s">
        <v>31</v>
      </c>
      <c r="H653" t="s">
        <v>22</v>
      </c>
      <c r="I653" t="s">
        <v>28</v>
      </c>
      <c r="J653" t="s">
        <v>24</v>
      </c>
      <c r="K653" s="6">
        <f t="shared" ca="1" si="48"/>
        <v>32079</v>
      </c>
      <c r="L653">
        <v>-13682</v>
      </c>
      <c r="M653" s="7">
        <f t="shared" ca="1" si="46"/>
        <v>37.459274469541413</v>
      </c>
      <c r="N653" s="5" t="str">
        <f ca="1">VLOOKUP(Data!M653,temp!$B$3:$C$9,2,1)</f>
        <v>30-40</v>
      </c>
      <c r="O653">
        <v>-5460</v>
      </c>
      <c r="P653" s="8">
        <f t="shared" si="47"/>
        <v>14.948665297741274</v>
      </c>
      <c r="Q653" s="5" t="str">
        <f t="shared" si="49"/>
        <v>Employed</v>
      </c>
      <c r="R653">
        <v>1</v>
      </c>
      <c r="S653">
        <v>1</v>
      </c>
      <c r="T653">
        <v>1</v>
      </c>
      <c r="U653">
        <v>0</v>
      </c>
      <c r="W653">
        <v>3</v>
      </c>
    </row>
    <row r="654" spans="1:23" x14ac:dyDescent="0.2">
      <c r="A654">
        <v>5026390</v>
      </c>
      <c r="B654" t="s">
        <v>18</v>
      </c>
      <c r="C654" t="s">
        <v>19</v>
      </c>
      <c r="D654" t="s">
        <v>20</v>
      </c>
      <c r="E654">
        <v>0</v>
      </c>
      <c r="F654">
        <v>58500</v>
      </c>
      <c r="G654" t="s">
        <v>35</v>
      </c>
      <c r="H654" t="s">
        <v>27</v>
      </c>
      <c r="I654" t="s">
        <v>33</v>
      </c>
      <c r="J654" t="s">
        <v>24</v>
      </c>
      <c r="K654" s="6">
        <f t="shared" ca="1" si="48"/>
        <v>26195</v>
      </c>
      <c r="L654">
        <v>-19566</v>
      </c>
      <c r="M654" s="7">
        <f t="shared" ca="1" si="46"/>
        <v>53.568788501026695</v>
      </c>
      <c r="N654" s="5" t="str">
        <f ca="1">VLOOKUP(Data!M654,temp!$B$3:$C$9,2,1)</f>
        <v>50-60</v>
      </c>
      <c r="O654">
        <v>-6129</v>
      </c>
      <c r="P654" s="8">
        <f t="shared" si="47"/>
        <v>16.780287474332649</v>
      </c>
      <c r="Q654" s="5" t="str">
        <f t="shared" si="49"/>
        <v>Employed</v>
      </c>
      <c r="R654">
        <v>1</v>
      </c>
      <c r="S654">
        <v>1</v>
      </c>
      <c r="T654">
        <v>0</v>
      </c>
      <c r="U654">
        <v>0</v>
      </c>
      <c r="V654" t="s">
        <v>38</v>
      </c>
      <c r="W654">
        <v>1</v>
      </c>
    </row>
    <row r="655" spans="1:23" x14ac:dyDescent="0.2">
      <c r="A655">
        <v>5026430</v>
      </c>
      <c r="B655" t="s">
        <v>18</v>
      </c>
      <c r="C655" t="s">
        <v>20</v>
      </c>
      <c r="D655" t="s">
        <v>20</v>
      </c>
      <c r="E655">
        <v>0</v>
      </c>
      <c r="F655">
        <v>108000</v>
      </c>
      <c r="G655" t="s">
        <v>31</v>
      </c>
      <c r="H655" t="s">
        <v>27</v>
      </c>
      <c r="I655" t="s">
        <v>28</v>
      </c>
      <c r="J655" t="s">
        <v>45</v>
      </c>
      <c r="K655" s="6">
        <f t="shared" ca="1" si="48"/>
        <v>26445</v>
      </c>
      <c r="L655">
        <v>-19316</v>
      </c>
      <c r="M655" s="7">
        <f t="shared" ca="1" si="46"/>
        <v>52.884325804243666</v>
      </c>
      <c r="N655" s="5" t="str">
        <f ca="1">VLOOKUP(Data!M655,temp!$B$3:$C$9,2,1)</f>
        <v>50-60</v>
      </c>
      <c r="O655">
        <v>-6039</v>
      </c>
      <c r="P655" s="8">
        <f t="shared" si="47"/>
        <v>16.533880903490761</v>
      </c>
      <c r="Q655" s="5" t="str">
        <f t="shared" si="49"/>
        <v>Employed</v>
      </c>
      <c r="R655">
        <v>1</v>
      </c>
      <c r="S655">
        <v>0</v>
      </c>
      <c r="T655">
        <v>0</v>
      </c>
      <c r="U655">
        <v>0</v>
      </c>
      <c r="V655" t="s">
        <v>38</v>
      </c>
      <c r="W655">
        <v>2</v>
      </c>
    </row>
    <row r="656" spans="1:23" x14ac:dyDescent="0.2">
      <c r="A656">
        <v>5026453</v>
      </c>
      <c r="B656" t="s">
        <v>25</v>
      </c>
      <c r="C656" t="s">
        <v>19</v>
      </c>
      <c r="D656" t="s">
        <v>20</v>
      </c>
      <c r="E656">
        <v>0</v>
      </c>
      <c r="F656">
        <v>90000</v>
      </c>
      <c r="G656" t="s">
        <v>26</v>
      </c>
      <c r="H656" t="s">
        <v>27</v>
      </c>
      <c r="I656" t="s">
        <v>33</v>
      </c>
      <c r="J656" t="s">
        <v>24</v>
      </c>
      <c r="K656" s="6">
        <f t="shared" ca="1" si="48"/>
        <v>33384</v>
      </c>
      <c r="L656">
        <v>-12377</v>
      </c>
      <c r="M656" s="7">
        <f t="shared" ca="1" si="46"/>
        <v>33.886379192334019</v>
      </c>
      <c r="N656" s="5" t="str">
        <f ca="1">VLOOKUP(Data!M656,temp!$B$3:$C$9,2,1)</f>
        <v>30-40</v>
      </c>
      <c r="O656">
        <v>-3207</v>
      </c>
      <c r="P656" s="8">
        <f t="shared" si="47"/>
        <v>8.7802874743326491</v>
      </c>
      <c r="Q656" s="5" t="str">
        <f t="shared" si="49"/>
        <v>Employed</v>
      </c>
      <c r="R656">
        <v>1</v>
      </c>
      <c r="S656">
        <v>1</v>
      </c>
      <c r="T656">
        <v>1</v>
      </c>
      <c r="U656">
        <v>0</v>
      </c>
      <c r="V656" t="s">
        <v>38</v>
      </c>
      <c r="W656">
        <v>1</v>
      </c>
    </row>
    <row r="657" spans="1:23" x14ac:dyDescent="0.2">
      <c r="A657">
        <v>5026466</v>
      </c>
      <c r="B657" t="s">
        <v>18</v>
      </c>
      <c r="C657" t="s">
        <v>19</v>
      </c>
      <c r="D657" t="s">
        <v>20</v>
      </c>
      <c r="E657">
        <v>1</v>
      </c>
      <c r="F657">
        <v>270000</v>
      </c>
      <c r="G657" t="s">
        <v>31</v>
      </c>
      <c r="H657" t="s">
        <v>27</v>
      </c>
      <c r="I657" t="s">
        <v>28</v>
      </c>
      <c r="J657" t="s">
        <v>24</v>
      </c>
      <c r="K657" s="6">
        <f t="shared" ca="1" si="48"/>
        <v>29145</v>
      </c>
      <c r="L657">
        <v>-16616</v>
      </c>
      <c r="M657" s="7">
        <f t="shared" ca="1" si="46"/>
        <v>45.492128678986994</v>
      </c>
      <c r="N657" s="5" t="str">
        <f ca="1">VLOOKUP(Data!M657,temp!$B$3:$C$9,2,1)</f>
        <v>40-50</v>
      </c>
      <c r="O657">
        <v>-2722</v>
      </c>
      <c r="P657" s="8">
        <f t="shared" si="47"/>
        <v>7.4524298425735793</v>
      </c>
      <c r="Q657" s="5" t="str">
        <f t="shared" si="49"/>
        <v>Employed</v>
      </c>
      <c r="R657">
        <v>1</v>
      </c>
      <c r="S657">
        <v>1</v>
      </c>
      <c r="T657">
        <v>1</v>
      </c>
      <c r="U657">
        <v>0</v>
      </c>
      <c r="V657" t="s">
        <v>57</v>
      </c>
      <c r="W657">
        <v>3</v>
      </c>
    </row>
    <row r="658" spans="1:23" x14ac:dyDescent="0.2">
      <c r="A658">
        <v>5026507</v>
      </c>
      <c r="B658" t="s">
        <v>18</v>
      </c>
      <c r="C658" t="s">
        <v>20</v>
      </c>
      <c r="D658" t="s">
        <v>20</v>
      </c>
      <c r="E658">
        <v>2</v>
      </c>
      <c r="F658">
        <v>112500</v>
      </c>
      <c r="G658" t="s">
        <v>31</v>
      </c>
      <c r="H658" t="s">
        <v>27</v>
      </c>
      <c r="I658" t="s">
        <v>28</v>
      </c>
      <c r="J658" t="s">
        <v>24</v>
      </c>
      <c r="K658" s="6">
        <f t="shared" ca="1" si="48"/>
        <v>32733</v>
      </c>
      <c r="L658">
        <v>-13028</v>
      </c>
      <c r="M658" s="7">
        <f t="shared" ca="1" si="46"/>
        <v>35.668720054757017</v>
      </c>
      <c r="N658" s="5" t="str">
        <f ca="1">VLOOKUP(Data!M658,temp!$B$3:$C$9,2,1)</f>
        <v>30-40</v>
      </c>
      <c r="O658">
        <v>-104</v>
      </c>
      <c r="P658" s="8">
        <f t="shared" si="47"/>
        <v>0.28473648186173856</v>
      </c>
      <c r="Q658" s="5" t="str">
        <f t="shared" si="49"/>
        <v>Employed</v>
      </c>
      <c r="R658">
        <v>1</v>
      </c>
      <c r="S658">
        <v>0</v>
      </c>
      <c r="T658">
        <v>1</v>
      </c>
      <c r="U658">
        <v>0</v>
      </c>
      <c r="V658" t="s">
        <v>39</v>
      </c>
      <c r="W658">
        <v>4</v>
      </c>
    </row>
    <row r="659" spans="1:23" x14ac:dyDescent="0.2">
      <c r="A659">
        <v>5026512</v>
      </c>
      <c r="B659" t="s">
        <v>18</v>
      </c>
      <c r="C659" t="s">
        <v>20</v>
      </c>
      <c r="D659" t="s">
        <v>20</v>
      </c>
      <c r="E659">
        <v>2</v>
      </c>
      <c r="F659">
        <v>112500</v>
      </c>
      <c r="G659" t="s">
        <v>31</v>
      </c>
      <c r="H659" t="s">
        <v>27</v>
      </c>
      <c r="I659" t="s">
        <v>28</v>
      </c>
      <c r="J659" t="s">
        <v>24</v>
      </c>
      <c r="K659" s="6">
        <f t="shared" ca="1" si="48"/>
        <v>32733</v>
      </c>
      <c r="L659">
        <v>-13028</v>
      </c>
      <c r="M659" s="7">
        <f t="shared" ca="1" si="46"/>
        <v>35.668720054757017</v>
      </c>
      <c r="N659" s="5" t="str">
        <f ca="1">VLOOKUP(Data!M659,temp!$B$3:$C$9,2,1)</f>
        <v>30-40</v>
      </c>
      <c r="O659">
        <v>-104</v>
      </c>
      <c r="P659" s="8">
        <f t="shared" si="47"/>
        <v>0.28473648186173856</v>
      </c>
      <c r="Q659" s="5" t="str">
        <f t="shared" si="49"/>
        <v>Employed</v>
      </c>
      <c r="R659">
        <v>1</v>
      </c>
      <c r="S659">
        <v>0</v>
      </c>
      <c r="T659">
        <v>1</v>
      </c>
      <c r="U659">
        <v>0</v>
      </c>
      <c r="V659" t="s">
        <v>39</v>
      </c>
      <c r="W659">
        <v>4</v>
      </c>
    </row>
    <row r="660" spans="1:23" x14ac:dyDescent="0.2">
      <c r="A660">
        <v>5026513</v>
      </c>
      <c r="B660" t="s">
        <v>18</v>
      </c>
      <c r="C660" t="s">
        <v>20</v>
      </c>
      <c r="D660" t="s">
        <v>20</v>
      </c>
      <c r="E660">
        <v>2</v>
      </c>
      <c r="F660">
        <v>112500</v>
      </c>
      <c r="G660" t="s">
        <v>31</v>
      </c>
      <c r="H660" t="s">
        <v>27</v>
      </c>
      <c r="I660" t="s">
        <v>28</v>
      </c>
      <c r="J660" t="s">
        <v>24</v>
      </c>
      <c r="K660" s="6">
        <f t="shared" ca="1" si="48"/>
        <v>32733</v>
      </c>
      <c r="L660">
        <v>-13028</v>
      </c>
      <c r="M660" s="7">
        <f t="shared" ca="1" si="46"/>
        <v>35.668720054757017</v>
      </c>
      <c r="N660" s="5" t="str">
        <f ca="1">VLOOKUP(Data!M660,temp!$B$3:$C$9,2,1)</f>
        <v>30-40</v>
      </c>
      <c r="O660">
        <v>-104</v>
      </c>
      <c r="P660" s="8">
        <f t="shared" si="47"/>
        <v>0.28473648186173856</v>
      </c>
      <c r="Q660" s="5" t="str">
        <f t="shared" si="49"/>
        <v>Employed</v>
      </c>
      <c r="R660">
        <v>1</v>
      </c>
      <c r="S660">
        <v>0</v>
      </c>
      <c r="T660">
        <v>1</v>
      </c>
      <c r="U660">
        <v>0</v>
      </c>
      <c r="V660" t="s">
        <v>39</v>
      </c>
      <c r="W660">
        <v>4</v>
      </c>
    </row>
    <row r="661" spans="1:23" x14ac:dyDescent="0.2">
      <c r="A661">
        <v>5026528</v>
      </c>
      <c r="B661" t="s">
        <v>18</v>
      </c>
      <c r="C661" t="s">
        <v>20</v>
      </c>
      <c r="D661" t="s">
        <v>20</v>
      </c>
      <c r="E661">
        <v>0</v>
      </c>
      <c r="F661">
        <v>99000</v>
      </c>
      <c r="G661" t="s">
        <v>21</v>
      </c>
      <c r="H661" t="s">
        <v>27</v>
      </c>
      <c r="I661" t="s">
        <v>28</v>
      </c>
      <c r="J661" t="s">
        <v>24</v>
      </c>
      <c r="K661" s="6">
        <f t="shared" ca="1" si="48"/>
        <v>23505</v>
      </c>
      <c r="L661">
        <v>-22256</v>
      </c>
      <c r="M661" s="7">
        <f t="shared" ca="1" si="46"/>
        <v>60.933607118412048</v>
      </c>
      <c r="N661" s="5" t="str">
        <f ca="1">VLOOKUP(Data!M661,temp!$B$3:$C$9,2,1)</f>
        <v>60-70</v>
      </c>
      <c r="O661">
        <v>365243</v>
      </c>
      <c r="P661" s="8">
        <f t="shared" si="47"/>
        <v>0</v>
      </c>
      <c r="Q661" s="5" t="str">
        <f t="shared" si="49"/>
        <v>Unemployed</v>
      </c>
      <c r="R661">
        <v>1</v>
      </c>
      <c r="S661">
        <v>0</v>
      </c>
      <c r="T661">
        <v>0</v>
      </c>
      <c r="U661">
        <v>0</v>
      </c>
      <c r="W661">
        <v>2</v>
      </c>
    </row>
    <row r="662" spans="1:23" x14ac:dyDescent="0.2">
      <c r="A662">
        <v>5026578</v>
      </c>
      <c r="B662" t="s">
        <v>18</v>
      </c>
      <c r="C662" t="s">
        <v>19</v>
      </c>
      <c r="D662" t="s">
        <v>20</v>
      </c>
      <c r="E662">
        <v>0</v>
      </c>
      <c r="F662">
        <v>81000</v>
      </c>
      <c r="G662" t="s">
        <v>21</v>
      </c>
      <c r="H662" t="s">
        <v>27</v>
      </c>
      <c r="I662" t="s">
        <v>23</v>
      </c>
      <c r="J662" t="s">
        <v>24</v>
      </c>
      <c r="K662" s="6">
        <f t="shared" ca="1" si="48"/>
        <v>23314</v>
      </c>
      <c r="L662">
        <v>-22447</v>
      </c>
      <c r="M662" s="7">
        <f t="shared" ca="1" si="46"/>
        <v>61.456536618754278</v>
      </c>
      <c r="N662" s="5" t="str">
        <f ca="1">VLOOKUP(Data!M662,temp!$B$3:$C$9,2,1)</f>
        <v>60-70</v>
      </c>
      <c r="O662">
        <v>365243</v>
      </c>
      <c r="P662" s="8">
        <f t="shared" si="47"/>
        <v>0</v>
      </c>
      <c r="Q662" s="5" t="str">
        <f t="shared" si="49"/>
        <v>Unemployed</v>
      </c>
      <c r="R662">
        <v>1</v>
      </c>
      <c r="S662">
        <v>0</v>
      </c>
      <c r="T662">
        <v>1</v>
      </c>
      <c r="U662">
        <v>0</v>
      </c>
      <c r="W662">
        <v>1</v>
      </c>
    </row>
    <row r="663" spans="1:23" x14ac:dyDescent="0.2">
      <c r="A663">
        <v>5026579</v>
      </c>
      <c r="B663" t="s">
        <v>18</v>
      </c>
      <c r="C663" t="s">
        <v>19</v>
      </c>
      <c r="D663" t="s">
        <v>20</v>
      </c>
      <c r="E663">
        <v>0</v>
      </c>
      <c r="F663">
        <v>81000</v>
      </c>
      <c r="G663" t="s">
        <v>21</v>
      </c>
      <c r="H663" t="s">
        <v>27</v>
      </c>
      <c r="I663" t="s">
        <v>23</v>
      </c>
      <c r="J663" t="s">
        <v>24</v>
      </c>
      <c r="K663" s="6">
        <f t="shared" ca="1" si="48"/>
        <v>23314</v>
      </c>
      <c r="L663">
        <v>-22447</v>
      </c>
      <c r="M663" s="7">
        <f t="shared" ca="1" si="46"/>
        <v>61.456536618754278</v>
      </c>
      <c r="N663" s="5" t="str">
        <f ca="1">VLOOKUP(Data!M663,temp!$B$3:$C$9,2,1)</f>
        <v>60-70</v>
      </c>
      <c r="O663">
        <v>365243</v>
      </c>
      <c r="P663" s="8">
        <f t="shared" si="47"/>
        <v>0</v>
      </c>
      <c r="Q663" s="5" t="str">
        <f t="shared" si="49"/>
        <v>Unemployed</v>
      </c>
      <c r="R663">
        <v>1</v>
      </c>
      <c r="S663">
        <v>0</v>
      </c>
      <c r="T663">
        <v>1</v>
      </c>
      <c r="U663">
        <v>0</v>
      </c>
      <c r="W663">
        <v>1</v>
      </c>
    </row>
    <row r="664" spans="1:23" x14ac:dyDescent="0.2">
      <c r="A664">
        <v>5026581</v>
      </c>
      <c r="B664" t="s">
        <v>25</v>
      </c>
      <c r="C664" t="s">
        <v>19</v>
      </c>
      <c r="D664" t="s">
        <v>20</v>
      </c>
      <c r="E664">
        <v>0</v>
      </c>
      <c r="F664">
        <v>67500</v>
      </c>
      <c r="G664" t="s">
        <v>31</v>
      </c>
      <c r="H664" t="s">
        <v>22</v>
      </c>
      <c r="I664" t="s">
        <v>33</v>
      </c>
      <c r="J664" t="s">
        <v>24</v>
      </c>
      <c r="K664" s="6">
        <f t="shared" ca="1" si="48"/>
        <v>26043</v>
      </c>
      <c r="L664">
        <v>-19718</v>
      </c>
      <c r="M664" s="7">
        <f t="shared" ca="1" si="46"/>
        <v>53.984941820670777</v>
      </c>
      <c r="N664" s="5" t="str">
        <f ca="1">VLOOKUP(Data!M664,temp!$B$3:$C$9,2,1)</f>
        <v>50-60</v>
      </c>
      <c r="O664">
        <v>-2052</v>
      </c>
      <c r="P664" s="8">
        <f t="shared" si="47"/>
        <v>5.6180698151950716</v>
      </c>
      <c r="Q664" s="5" t="str">
        <f t="shared" si="49"/>
        <v>Employed</v>
      </c>
      <c r="R664">
        <v>1</v>
      </c>
      <c r="S664">
        <v>0</v>
      </c>
      <c r="T664">
        <v>1</v>
      </c>
      <c r="U664">
        <v>0</v>
      </c>
      <c r="V664" t="s">
        <v>29</v>
      </c>
      <c r="W664">
        <v>1</v>
      </c>
    </row>
    <row r="665" spans="1:23" x14ac:dyDescent="0.2">
      <c r="A665">
        <v>5026582</v>
      </c>
      <c r="B665" t="s">
        <v>25</v>
      </c>
      <c r="C665" t="s">
        <v>19</v>
      </c>
      <c r="D665" t="s">
        <v>20</v>
      </c>
      <c r="E665">
        <v>0</v>
      </c>
      <c r="F665">
        <v>67500</v>
      </c>
      <c r="G665" t="s">
        <v>31</v>
      </c>
      <c r="H665" t="s">
        <v>22</v>
      </c>
      <c r="I665" t="s">
        <v>33</v>
      </c>
      <c r="J665" t="s">
        <v>24</v>
      </c>
      <c r="K665" s="6">
        <f t="shared" ca="1" si="48"/>
        <v>26043</v>
      </c>
      <c r="L665">
        <v>-19718</v>
      </c>
      <c r="M665" s="7">
        <f t="shared" ca="1" si="46"/>
        <v>53.984941820670777</v>
      </c>
      <c r="N665" s="5" t="str">
        <f ca="1">VLOOKUP(Data!M665,temp!$B$3:$C$9,2,1)</f>
        <v>50-60</v>
      </c>
      <c r="O665">
        <v>-2052</v>
      </c>
      <c r="P665" s="8">
        <f t="shared" si="47"/>
        <v>5.6180698151950716</v>
      </c>
      <c r="Q665" s="5" t="str">
        <f t="shared" si="49"/>
        <v>Employed</v>
      </c>
      <c r="R665">
        <v>1</v>
      </c>
      <c r="S665">
        <v>0</v>
      </c>
      <c r="T665">
        <v>1</v>
      </c>
      <c r="U665">
        <v>0</v>
      </c>
      <c r="V665" t="s">
        <v>29</v>
      </c>
      <c r="W665">
        <v>1</v>
      </c>
    </row>
    <row r="666" spans="1:23" x14ac:dyDescent="0.2">
      <c r="A666">
        <v>5026620</v>
      </c>
      <c r="B666" t="s">
        <v>18</v>
      </c>
      <c r="C666" t="s">
        <v>19</v>
      </c>
      <c r="D666" t="s">
        <v>19</v>
      </c>
      <c r="E666">
        <v>1</v>
      </c>
      <c r="F666">
        <v>67500</v>
      </c>
      <c r="G666" t="s">
        <v>31</v>
      </c>
      <c r="H666" t="s">
        <v>27</v>
      </c>
      <c r="I666" t="s">
        <v>37</v>
      </c>
      <c r="J666" t="s">
        <v>24</v>
      </c>
      <c r="K666" s="6">
        <f t="shared" ca="1" si="48"/>
        <v>31995</v>
      </c>
      <c r="L666">
        <v>-13766</v>
      </c>
      <c r="M666" s="7">
        <f t="shared" ca="1" si="46"/>
        <v>37.68925393566051</v>
      </c>
      <c r="N666" s="5" t="str">
        <f ca="1">VLOOKUP(Data!M666,temp!$B$3:$C$9,2,1)</f>
        <v>30-40</v>
      </c>
      <c r="O666">
        <v>-3817</v>
      </c>
      <c r="P666" s="8">
        <f t="shared" si="47"/>
        <v>10.45037645448323</v>
      </c>
      <c r="Q666" s="5" t="str">
        <f t="shared" si="49"/>
        <v>Employed</v>
      </c>
      <c r="R666">
        <v>1</v>
      </c>
      <c r="S666">
        <v>1</v>
      </c>
      <c r="T666">
        <v>0</v>
      </c>
      <c r="U666">
        <v>0</v>
      </c>
      <c r="W666">
        <v>3</v>
      </c>
    </row>
    <row r="667" spans="1:23" x14ac:dyDescent="0.2">
      <c r="A667">
        <v>5026632</v>
      </c>
      <c r="B667" t="s">
        <v>18</v>
      </c>
      <c r="C667" t="s">
        <v>19</v>
      </c>
      <c r="D667" t="s">
        <v>20</v>
      </c>
      <c r="E667">
        <v>0</v>
      </c>
      <c r="F667">
        <v>99000</v>
      </c>
      <c r="G667" t="s">
        <v>31</v>
      </c>
      <c r="H667" t="s">
        <v>27</v>
      </c>
      <c r="I667" t="s">
        <v>23</v>
      </c>
      <c r="J667" t="s">
        <v>24</v>
      </c>
      <c r="K667" s="6">
        <f t="shared" ca="1" si="48"/>
        <v>27693</v>
      </c>
      <c r="L667">
        <v>-18068</v>
      </c>
      <c r="M667" s="7">
        <f t="shared" ca="1" si="46"/>
        <v>49.46748802190281</v>
      </c>
      <c r="N667" s="5" t="str">
        <f ca="1">VLOOKUP(Data!M667,temp!$B$3:$C$9,2,1)</f>
        <v>40-50</v>
      </c>
      <c r="O667">
        <v>-8870</v>
      </c>
      <c r="P667" s="8">
        <f t="shared" si="47"/>
        <v>24.284736481861739</v>
      </c>
      <c r="Q667" s="5" t="str">
        <f t="shared" si="49"/>
        <v>Employed</v>
      </c>
      <c r="R667">
        <v>1</v>
      </c>
      <c r="S667">
        <v>0</v>
      </c>
      <c r="T667">
        <v>0</v>
      </c>
      <c r="U667">
        <v>0</v>
      </c>
      <c r="V667" t="s">
        <v>50</v>
      </c>
      <c r="W667">
        <v>1</v>
      </c>
    </row>
    <row r="668" spans="1:23" x14ac:dyDescent="0.2">
      <c r="A668">
        <v>5026643</v>
      </c>
      <c r="B668" t="s">
        <v>25</v>
      </c>
      <c r="C668" t="s">
        <v>20</v>
      </c>
      <c r="D668" t="s">
        <v>19</v>
      </c>
      <c r="E668">
        <v>0</v>
      </c>
      <c r="F668">
        <v>135000</v>
      </c>
      <c r="G668" t="s">
        <v>31</v>
      </c>
      <c r="H668" t="s">
        <v>27</v>
      </c>
      <c r="I668" t="s">
        <v>33</v>
      </c>
      <c r="J668" t="s">
        <v>24</v>
      </c>
      <c r="K668" s="6">
        <f t="shared" ca="1" si="48"/>
        <v>27751</v>
      </c>
      <c r="L668">
        <v>-18010</v>
      </c>
      <c r="M668" s="7">
        <f t="shared" ca="1" si="46"/>
        <v>49.308692676249144</v>
      </c>
      <c r="N668" s="5" t="str">
        <f ca="1">VLOOKUP(Data!M668,temp!$B$3:$C$9,2,1)</f>
        <v>40-50</v>
      </c>
      <c r="O668">
        <v>-2811</v>
      </c>
      <c r="P668" s="8">
        <f t="shared" si="47"/>
        <v>7.6960985626283369</v>
      </c>
      <c r="Q668" s="5" t="str">
        <f t="shared" si="49"/>
        <v>Employed</v>
      </c>
      <c r="R668">
        <v>1</v>
      </c>
      <c r="S668">
        <v>1</v>
      </c>
      <c r="T668">
        <v>0</v>
      </c>
      <c r="U668">
        <v>0</v>
      </c>
      <c r="V668" t="s">
        <v>29</v>
      </c>
      <c r="W668">
        <v>1</v>
      </c>
    </row>
    <row r="669" spans="1:23" x14ac:dyDescent="0.2">
      <c r="A669">
        <v>5026742</v>
      </c>
      <c r="B669" t="s">
        <v>25</v>
      </c>
      <c r="C669" t="s">
        <v>20</v>
      </c>
      <c r="D669" t="s">
        <v>20</v>
      </c>
      <c r="E669">
        <v>0</v>
      </c>
      <c r="F669">
        <v>216000</v>
      </c>
      <c r="G669" t="s">
        <v>26</v>
      </c>
      <c r="H669" t="s">
        <v>22</v>
      </c>
      <c r="I669" t="s">
        <v>28</v>
      </c>
      <c r="J669" t="s">
        <v>24</v>
      </c>
      <c r="K669" s="6">
        <f t="shared" ca="1" si="48"/>
        <v>26614</v>
      </c>
      <c r="L669">
        <v>-19147</v>
      </c>
      <c r="M669" s="7">
        <f t="shared" ca="1" si="46"/>
        <v>52.421629021218344</v>
      </c>
      <c r="N669" s="5" t="str">
        <f ca="1">VLOOKUP(Data!M669,temp!$B$3:$C$9,2,1)</f>
        <v>50-60</v>
      </c>
      <c r="O669">
        <v>-1868</v>
      </c>
      <c r="P669" s="8">
        <f t="shared" si="47"/>
        <v>5.1143052703627649</v>
      </c>
      <c r="Q669" s="5" t="str">
        <f t="shared" si="49"/>
        <v>Employed</v>
      </c>
      <c r="R669">
        <v>1</v>
      </c>
      <c r="S669">
        <v>0</v>
      </c>
      <c r="T669">
        <v>1</v>
      </c>
      <c r="U669">
        <v>0</v>
      </c>
      <c r="V669" t="s">
        <v>29</v>
      </c>
      <c r="W669">
        <v>2</v>
      </c>
    </row>
    <row r="670" spans="1:23" x14ac:dyDescent="0.2">
      <c r="A670">
        <v>5028238</v>
      </c>
      <c r="B670" t="s">
        <v>18</v>
      </c>
      <c r="C670" t="s">
        <v>20</v>
      </c>
      <c r="D670" t="s">
        <v>20</v>
      </c>
      <c r="E670">
        <v>0</v>
      </c>
      <c r="F670">
        <v>292500</v>
      </c>
      <c r="G670" t="s">
        <v>35</v>
      </c>
      <c r="H670" t="s">
        <v>22</v>
      </c>
      <c r="I670" t="s">
        <v>28</v>
      </c>
      <c r="J670" t="s">
        <v>24</v>
      </c>
      <c r="K670" s="6">
        <f t="shared" ca="1" si="48"/>
        <v>29444</v>
      </c>
      <c r="L670">
        <v>-16317</v>
      </c>
      <c r="M670" s="7">
        <f t="shared" ca="1" si="46"/>
        <v>44.673511293634498</v>
      </c>
      <c r="N670" s="5" t="str">
        <f ca="1">VLOOKUP(Data!M670,temp!$B$3:$C$9,2,1)</f>
        <v>40-50</v>
      </c>
      <c r="O670">
        <v>-2241</v>
      </c>
      <c r="P670" s="8">
        <f t="shared" si="47"/>
        <v>6.1355236139630387</v>
      </c>
      <c r="Q670" s="5" t="str">
        <f t="shared" si="49"/>
        <v>Employed</v>
      </c>
      <c r="R670">
        <v>1</v>
      </c>
      <c r="S670">
        <v>0</v>
      </c>
      <c r="T670">
        <v>0</v>
      </c>
      <c r="U670">
        <v>0</v>
      </c>
      <c r="W670">
        <v>2</v>
      </c>
    </row>
    <row r="671" spans="1:23" x14ac:dyDescent="0.2">
      <c r="A671">
        <v>5028252</v>
      </c>
      <c r="B671" t="s">
        <v>25</v>
      </c>
      <c r="C671" t="s">
        <v>20</v>
      </c>
      <c r="D671" t="s">
        <v>19</v>
      </c>
      <c r="E671">
        <v>4</v>
      </c>
      <c r="F671">
        <v>202500</v>
      </c>
      <c r="G671" t="s">
        <v>26</v>
      </c>
      <c r="H671" t="s">
        <v>27</v>
      </c>
      <c r="I671" t="s">
        <v>28</v>
      </c>
      <c r="J671" t="s">
        <v>24</v>
      </c>
      <c r="K671" s="6">
        <f t="shared" ca="1" si="48"/>
        <v>30433</v>
      </c>
      <c r="L671">
        <v>-15328</v>
      </c>
      <c r="M671" s="7">
        <f t="shared" ca="1" si="46"/>
        <v>41.965776865160848</v>
      </c>
      <c r="N671" s="5" t="str">
        <f ca="1">VLOOKUP(Data!M671,temp!$B$3:$C$9,2,1)</f>
        <v>40-50</v>
      </c>
      <c r="O671">
        <v>-2578</v>
      </c>
      <c r="P671" s="8">
        <f t="shared" si="47"/>
        <v>7.0581793292265571</v>
      </c>
      <c r="Q671" s="5" t="str">
        <f t="shared" si="49"/>
        <v>Employed</v>
      </c>
      <c r="R671">
        <v>1</v>
      </c>
      <c r="S671">
        <v>0</v>
      </c>
      <c r="T671">
        <v>0</v>
      </c>
      <c r="U671">
        <v>0</v>
      </c>
      <c r="V671" t="s">
        <v>40</v>
      </c>
      <c r="W671">
        <v>6</v>
      </c>
    </row>
    <row r="672" spans="1:23" x14ac:dyDescent="0.2">
      <c r="A672">
        <v>5028263</v>
      </c>
      <c r="B672" t="s">
        <v>18</v>
      </c>
      <c r="C672" t="s">
        <v>19</v>
      </c>
      <c r="D672" t="s">
        <v>19</v>
      </c>
      <c r="E672">
        <v>0</v>
      </c>
      <c r="F672">
        <v>180000</v>
      </c>
      <c r="G672" t="s">
        <v>31</v>
      </c>
      <c r="H672" t="s">
        <v>27</v>
      </c>
      <c r="I672" t="s">
        <v>28</v>
      </c>
      <c r="J672" t="s">
        <v>45</v>
      </c>
      <c r="K672" s="6">
        <f t="shared" ca="1" si="48"/>
        <v>34317</v>
      </c>
      <c r="L672">
        <v>-11444</v>
      </c>
      <c r="M672" s="7">
        <f t="shared" ca="1" si="46"/>
        <v>31.331964407939768</v>
      </c>
      <c r="N672" s="5" t="str">
        <f ca="1">VLOOKUP(Data!M672,temp!$B$3:$C$9,2,1)</f>
        <v>30-40</v>
      </c>
      <c r="O672">
        <v>-630</v>
      </c>
      <c r="P672" s="8">
        <f t="shared" si="47"/>
        <v>1.7248459958932238</v>
      </c>
      <c r="Q672" s="5" t="str">
        <f t="shared" si="49"/>
        <v>Employed</v>
      </c>
      <c r="R672">
        <v>1</v>
      </c>
      <c r="S672">
        <v>0</v>
      </c>
      <c r="T672">
        <v>0</v>
      </c>
      <c r="U672">
        <v>0</v>
      </c>
      <c r="V672" t="s">
        <v>38</v>
      </c>
      <c r="W672">
        <v>2</v>
      </c>
    </row>
    <row r="673" spans="1:23" x14ac:dyDescent="0.2">
      <c r="A673">
        <v>5028270</v>
      </c>
      <c r="B673" t="s">
        <v>25</v>
      </c>
      <c r="C673" t="s">
        <v>20</v>
      </c>
      <c r="D673" t="s">
        <v>20</v>
      </c>
      <c r="E673">
        <v>1</v>
      </c>
      <c r="F673">
        <v>270000</v>
      </c>
      <c r="G673" t="s">
        <v>31</v>
      </c>
      <c r="H673" t="s">
        <v>27</v>
      </c>
      <c r="I673" t="s">
        <v>28</v>
      </c>
      <c r="J673" t="s">
        <v>24</v>
      </c>
      <c r="K673" s="6">
        <f t="shared" ca="1" si="48"/>
        <v>28468</v>
      </c>
      <c r="L673">
        <v>-17293</v>
      </c>
      <c r="M673" s="7">
        <f t="shared" ca="1" si="46"/>
        <v>47.345653661875431</v>
      </c>
      <c r="N673" s="5" t="str">
        <f ca="1">VLOOKUP(Data!M673,temp!$B$3:$C$9,2,1)</f>
        <v>40-50</v>
      </c>
      <c r="O673">
        <v>-203</v>
      </c>
      <c r="P673" s="8">
        <f t="shared" si="47"/>
        <v>0.55578370978781655</v>
      </c>
      <c r="Q673" s="5" t="str">
        <f t="shared" si="49"/>
        <v>Employed</v>
      </c>
      <c r="R673">
        <v>1</v>
      </c>
      <c r="S673">
        <v>0</v>
      </c>
      <c r="T673">
        <v>1</v>
      </c>
      <c r="U673">
        <v>1</v>
      </c>
      <c r="V673" t="s">
        <v>29</v>
      </c>
      <c r="W673">
        <v>3</v>
      </c>
    </row>
    <row r="674" spans="1:23" x14ac:dyDescent="0.2">
      <c r="A674">
        <v>5028294</v>
      </c>
      <c r="B674" t="s">
        <v>18</v>
      </c>
      <c r="C674" t="s">
        <v>19</v>
      </c>
      <c r="D674" t="s">
        <v>20</v>
      </c>
      <c r="E674">
        <v>0</v>
      </c>
      <c r="F674">
        <v>292500</v>
      </c>
      <c r="G674" t="s">
        <v>31</v>
      </c>
      <c r="H674" t="s">
        <v>22</v>
      </c>
      <c r="I674" t="s">
        <v>23</v>
      </c>
      <c r="J674" t="s">
        <v>24</v>
      </c>
      <c r="K674" s="6">
        <f t="shared" ca="1" si="48"/>
        <v>26025</v>
      </c>
      <c r="L674">
        <v>-19736</v>
      </c>
      <c r="M674" s="7">
        <f t="shared" ca="1" si="46"/>
        <v>54.034223134839152</v>
      </c>
      <c r="N674" s="5" t="str">
        <f ca="1">VLOOKUP(Data!M674,temp!$B$3:$C$9,2,1)</f>
        <v>50-60</v>
      </c>
      <c r="O674">
        <v>-12621</v>
      </c>
      <c r="P674" s="8">
        <f t="shared" si="47"/>
        <v>34.554414784394254</v>
      </c>
      <c r="Q674" s="5" t="str">
        <f t="shared" si="49"/>
        <v>Employed</v>
      </c>
      <c r="R674">
        <v>1</v>
      </c>
      <c r="S674">
        <v>0</v>
      </c>
      <c r="T674">
        <v>1</v>
      </c>
      <c r="U674">
        <v>0</v>
      </c>
      <c r="V674" t="s">
        <v>38</v>
      </c>
      <c r="W674">
        <v>1</v>
      </c>
    </row>
    <row r="675" spans="1:23" x14ac:dyDescent="0.2">
      <c r="A675">
        <v>5028303</v>
      </c>
      <c r="B675" t="s">
        <v>25</v>
      </c>
      <c r="C675" t="s">
        <v>20</v>
      </c>
      <c r="D675" t="s">
        <v>20</v>
      </c>
      <c r="E675">
        <v>0</v>
      </c>
      <c r="F675">
        <v>360000</v>
      </c>
      <c r="G675" t="s">
        <v>26</v>
      </c>
      <c r="H675" t="s">
        <v>36</v>
      </c>
      <c r="I675" t="s">
        <v>28</v>
      </c>
      <c r="J675" t="s">
        <v>24</v>
      </c>
      <c r="K675" s="6">
        <f t="shared" ca="1" si="48"/>
        <v>25927</v>
      </c>
      <c r="L675">
        <v>-19834</v>
      </c>
      <c r="M675" s="7">
        <f t="shared" ca="1" si="46"/>
        <v>54.3025325119781</v>
      </c>
      <c r="N675" s="5" t="str">
        <f ca="1">VLOOKUP(Data!M675,temp!$B$3:$C$9,2,1)</f>
        <v>50-60</v>
      </c>
      <c r="O675">
        <v>-477</v>
      </c>
      <c r="P675" s="8">
        <f t="shared" si="47"/>
        <v>1.3059548254620124</v>
      </c>
      <c r="Q675" s="5" t="str">
        <f t="shared" si="49"/>
        <v>Employed</v>
      </c>
      <c r="R675">
        <v>1</v>
      </c>
      <c r="S675">
        <v>0</v>
      </c>
      <c r="T675">
        <v>0</v>
      </c>
      <c r="U675">
        <v>0</v>
      </c>
      <c r="V675" t="s">
        <v>32</v>
      </c>
      <c r="W675">
        <v>2</v>
      </c>
    </row>
    <row r="676" spans="1:23" x14ac:dyDescent="0.2">
      <c r="A676">
        <v>5028321</v>
      </c>
      <c r="B676" t="s">
        <v>25</v>
      </c>
      <c r="C676" t="s">
        <v>20</v>
      </c>
      <c r="D676" t="s">
        <v>19</v>
      </c>
      <c r="E676">
        <v>0</v>
      </c>
      <c r="F676">
        <v>270000</v>
      </c>
      <c r="G676" t="s">
        <v>21</v>
      </c>
      <c r="H676" t="s">
        <v>22</v>
      </c>
      <c r="I676" t="s">
        <v>28</v>
      </c>
      <c r="J676" t="s">
        <v>24</v>
      </c>
      <c r="K676" s="6">
        <f t="shared" ca="1" si="48"/>
        <v>22779</v>
      </c>
      <c r="L676">
        <v>-22982</v>
      </c>
      <c r="M676" s="7">
        <f t="shared" ca="1" si="46"/>
        <v>62.921286789869953</v>
      </c>
      <c r="N676" s="5" t="str">
        <f ca="1">VLOOKUP(Data!M676,temp!$B$3:$C$9,2,1)</f>
        <v>60-70</v>
      </c>
      <c r="O676">
        <v>365243</v>
      </c>
      <c r="P676" s="8">
        <f t="shared" si="47"/>
        <v>0</v>
      </c>
      <c r="Q676" s="5" t="str">
        <f t="shared" si="49"/>
        <v>Unemployed</v>
      </c>
      <c r="R676">
        <v>1</v>
      </c>
      <c r="S676">
        <v>0</v>
      </c>
      <c r="T676">
        <v>0</v>
      </c>
      <c r="U676">
        <v>0</v>
      </c>
      <c r="W676">
        <v>2</v>
      </c>
    </row>
    <row r="677" spans="1:23" x14ac:dyDescent="0.2">
      <c r="A677">
        <v>5028325</v>
      </c>
      <c r="B677" t="s">
        <v>25</v>
      </c>
      <c r="C677" t="s">
        <v>20</v>
      </c>
      <c r="D677" t="s">
        <v>19</v>
      </c>
      <c r="E677">
        <v>0</v>
      </c>
      <c r="F677">
        <v>270000</v>
      </c>
      <c r="G677" t="s">
        <v>21</v>
      </c>
      <c r="H677" t="s">
        <v>22</v>
      </c>
      <c r="I677" t="s">
        <v>28</v>
      </c>
      <c r="J677" t="s">
        <v>24</v>
      </c>
      <c r="K677" s="6">
        <f t="shared" ca="1" si="48"/>
        <v>22779</v>
      </c>
      <c r="L677">
        <v>-22982</v>
      </c>
      <c r="M677" s="7">
        <f t="shared" ca="1" si="46"/>
        <v>62.921286789869953</v>
      </c>
      <c r="N677" s="5" t="str">
        <f ca="1">VLOOKUP(Data!M677,temp!$B$3:$C$9,2,1)</f>
        <v>60-70</v>
      </c>
      <c r="O677">
        <v>365243</v>
      </c>
      <c r="P677" s="8">
        <f t="shared" si="47"/>
        <v>0</v>
      </c>
      <c r="Q677" s="5" t="str">
        <f t="shared" si="49"/>
        <v>Unemployed</v>
      </c>
      <c r="R677">
        <v>1</v>
      </c>
      <c r="S677">
        <v>0</v>
      </c>
      <c r="T677">
        <v>0</v>
      </c>
      <c r="U677">
        <v>0</v>
      </c>
      <c r="W677">
        <v>2</v>
      </c>
    </row>
    <row r="678" spans="1:23" x14ac:dyDescent="0.2">
      <c r="A678">
        <v>5028333</v>
      </c>
      <c r="B678" t="s">
        <v>18</v>
      </c>
      <c r="C678" t="s">
        <v>20</v>
      </c>
      <c r="D678" t="s">
        <v>20</v>
      </c>
      <c r="E678">
        <v>0</v>
      </c>
      <c r="F678">
        <v>189000</v>
      </c>
      <c r="G678" t="s">
        <v>26</v>
      </c>
      <c r="H678" t="s">
        <v>22</v>
      </c>
      <c r="I678" t="s">
        <v>33</v>
      </c>
      <c r="J678" t="s">
        <v>24</v>
      </c>
      <c r="K678" s="6">
        <f t="shared" ca="1" si="48"/>
        <v>32887</v>
      </c>
      <c r="L678">
        <v>-12874</v>
      </c>
      <c r="M678" s="7">
        <f t="shared" ca="1" si="46"/>
        <v>35.247091033538673</v>
      </c>
      <c r="N678" s="5" t="str">
        <f ca="1">VLOOKUP(Data!M678,temp!$B$3:$C$9,2,1)</f>
        <v>30-40</v>
      </c>
      <c r="O678">
        <v>-173</v>
      </c>
      <c r="P678" s="8">
        <f t="shared" si="47"/>
        <v>0.47364818617385351</v>
      </c>
      <c r="Q678" s="5" t="str">
        <f t="shared" si="49"/>
        <v>Employed</v>
      </c>
      <c r="R678">
        <v>1</v>
      </c>
      <c r="S678">
        <v>0</v>
      </c>
      <c r="T678">
        <v>0</v>
      </c>
      <c r="U678">
        <v>1</v>
      </c>
      <c r="W678">
        <v>1</v>
      </c>
    </row>
    <row r="679" spans="1:23" x14ac:dyDescent="0.2">
      <c r="A679">
        <v>5028337</v>
      </c>
      <c r="B679" t="s">
        <v>18</v>
      </c>
      <c r="C679" t="s">
        <v>20</v>
      </c>
      <c r="D679" t="s">
        <v>19</v>
      </c>
      <c r="E679">
        <v>1</v>
      </c>
      <c r="F679">
        <v>225000</v>
      </c>
      <c r="G679" t="s">
        <v>31</v>
      </c>
      <c r="H679" t="s">
        <v>22</v>
      </c>
      <c r="I679" t="s">
        <v>33</v>
      </c>
      <c r="J679" t="s">
        <v>41</v>
      </c>
      <c r="K679" s="6">
        <f t="shared" ca="1" si="48"/>
        <v>31900</v>
      </c>
      <c r="L679">
        <v>-13861</v>
      </c>
      <c r="M679" s="7">
        <f t="shared" ca="1" si="46"/>
        <v>37.949349760438054</v>
      </c>
      <c r="N679" s="5" t="str">
        <f ca="1">VLOOKUP(Data!M679,temp!$B$3:$C$9,2,1)</f>
        <v>30-40</v>
      </c>
      <c r="O679">
        <v>-5408</v>
      </c>
      <c r="P679" s="8">
        <f t="shared" si="47"/>
        <v>14.806297056810404</v>
      </c>
      <c r="Q679" s="5" t="str">
        <f t="shared" si="49"/>
        <v>Employed</v>
      </c>
      <c r="R679">
        <v>1</v>
      </c>
      <c r="S679">
        <v>0</v>
      </c>
      <c r="T679">
        <v>0</v>
      </c>
      <c r="U679">
        <v>0</v>
      </c>
      <c r="V679" t="s">
        <v>29</v>
      </c>
      <c r="W679">
        <v>2</v>
      </c>
    </row>
    <row r="680" spans="1:23" x14ac:dyDescent="0.2">
      <c r="A680">
        <v>5028363</v>
      </c>
      <c r="B680" t="s">
        <v>18</v>
      </c>
      <c r="C680" t="s">
        <v>19</v>
      </c>
      <c r="D680" t="s">
        <v>20</v>
      </c>
      <c r="E680">
        <v>0</v>
      </c>
      <c r="F680">
        <v>135000</v>
      </c>
      <c r="G680" t="s">
        <v>31</v>
      </c>
      <c r="H680" t="s">
        <v>27</v>
      </c>
      <c r="I680" t="s">
        <v>33</v>
      </c>
      <c r="J680" t="s">
        <v>24</v>
      </c>
      <c r="K680" s="6">
        <f t="shared" ca="1" si="48"/>
        <v>27531</v>
      </c>
      <c r="L680">
        <v>-18230</v>
      </c>
      <c r="M680" s="7">
        <f t="shared" ca="1" si="46"/>
        <v>49.91101984941821</v>
      </c>
      <c r="N680" s="5" t="str">
        <f ca="1">VLOOKUP(Data!M680,temp!$B$3:$C$9,2,1)</f>
        <v>40-50</v>
      </c>
      <c r="O680">
        <v>-173</v>
      </c>
      <c r="P680" s="8">
        <f t="shared" si="47"/>
        <v>0.47364818617385351</v>
      </c>
      <c r="Q680" s="5" t="str">
        <f t="shared" si="49"/>
        <v>Employed</v>
      </c>
      <c r="R680">
        <v>1</v>
      </c>
      <c r="S680">
        <v>0</v>
      </c>
      <c r="T680">
        <v>0</v>
      </c>
      <c r="U680">
        <v>0</v>
      </c>
      <c r="V680" t="s">
        <v>50</v>
      </c>
      <c r="W680">
        <v>1</v>
      </c>
    </row>
    <row r="681" spans="1:23" x14ac:dyDescent="0.2">
      <c r="A681">
        <v>5028371</v>
      </c>
      <c r="B681" t="s">
        <v>18</v>
      </c>
      <c r="C681" t="s">
        <v>19</v>
      </c>
      <c r="D681" t="s">
        <v>19</v>
      </c>
      <c r="E681">
        <v>0</v>
      </c>
      <c r="F681">
        <v>180000</v>
      </c>
      <c r="G681" t="s">
        <v>31</v>
      </c>
      <c r="H681" t="s">
        <v>27</v>
      </c>
      <c r="I681" t="s">
        <v>42</v>
      </c>
      <c r="J681" t="s">
        <v>45</v>
      </c>
      <c r="K681" s="6">
        <f t="shared" ca="1" si="48"/>
        <v>25893</v>
      </c>
      <c r="L681">
        <v>-19868</v>
      </c>
      <c r="M681" s="7">
        <f t="shared" ca="1" si="46"/>
        <v>54.395619438740589</v>
      </c>
      <c r="N681" s="5" t="str">
        <f ca="1">VLOOKUP(Data!M681,temp!$B$3:$C$9,2,1)</f>
        <v>50-60</v>
      </c>
      <c r="O681">
        <v>-3278</v>
      </c>
      <c r="P681" s="8">
        <f t="shared" si="47"/>
        <v>8.9746748802190286</v>
      </c>
      <c r="Q681" s="5" t="str">
        <f t="shared" si="49"/>
        <v>Employed</v>
      </c>
      <c r="R681">
        <v>1</v>
      </c>
      <c r="S681">
        <v>0</v>
      </c>
      <c r="T681">
        <v>0</v>
      </c>
      <c r="U681">
        <v>0</v>
      </c>
      <c r="V681" t="s">
        <v>38</v>
      </c>
      <c r="W681">
        <v>1</v>
      </c>
    </row>
    <row r="682" spans="1:23" x14ac:dyDescent="0.2">
      <c r="A682">
        <v>5028380</v>
      </c>
      <c r="B682" t="s">
        <v>25</v>
      </c>
      <c r="C682" t="s">
        <v>20</v>
      </c>
      <c r="D682" t="s">
        <v>20</v>
      </c>
      <c r="E682">
        <v>1</v>
      </c>
      <c r="F682">
        <v>135000</v>
      </c>
      <c r="G682" t="s">
        <v>31</v>
      </c>
      <c r="H682" t="s">
        <v>27</v>
      </c>
      <c r="I682" t="s">
        <v>28</v>
      </c>
      <c r="J682" t="s">
        <v>24</v>
      </c>
      <c r="K682" s="6">
        <f t="shared" ca="1" si="48"/>
        <v>35993</v>
      </c>
      <c r="L682">
        <v>-9768</v>
      </c>
      <c r="M682" s="7">
        <f t="shared" ca="1" si="46"/>
        <v>26.743326488706366</v>
      </c>
      <c r="N682" s="5" t="str">
        <f ca="1">VLOOKUP(Data!M682,temp!$B$3:$C$9,2,1)</f>
        <v>20-30</v>
      </c>
      <c r="O682">
        <v>-1483</v>
      </c>
      <c r="P682" s="8">
        <f t="shared" si="47"/>
        <v>4.0602327173169064</v>
      </c>
      <c r="Q682" s="5" t="str">
        <f t="shared" si="49"/>
        <v>Employed</v>
      </c>
      <c r="R682">
        <v>1</v>
      </c>
      <c r="S682">
        <v>1</v>
      </c>
      <c r="T682">
        <v>0</v>
      </c>
      <c r="U682">
        <v>1</v>
      </c>
      <c r="V682" t="s">
        <v>39</v>
      </c>
      <c r="W682">
        <v>3</v>
      </c>
    </row>
    <row r="683" spans="1:23" x14ac:dyDescent="0.2">
      <c r="A683">
        <v>5028385</v>
      </c>
      <c r="B683" t="s">
        <v>25</v>
      </c>
      <c r="C683" t="s">
        <v>20</v>
      </c>
      <c r="D683" t="s">
        <v>19</v>
      </c>
      <c r="E683">
        <v>0</v>
      </c>
      <c r="F683">
        <v>337500</v>
      </c>
      <c r="G683" t="s">
        <v>31</v>
      </c>
      <c r="H683" t="s">
        <v>27</v>
      </c>
      <c r="I683" t="s">
        <v>33</v>
      </c>
      <c r="J683" t="s">
        <v>41</v>
      </c>
      <c r="K683" s="6">
        <f t="shared" ca="1" si="48"/>
        <v>34417</v>
      </c>
      <c r="L683">
        <v>-11344</v>
      </c>
      <c r="M683" s="7">
        <f t="shared" ca="1" si="46"/>
        <v>31.058179329226558</v>
      </c>
      <c r="N683" s="5" t="str">
        <f ca="1">VLOOKUP(Data!M683,temp!$B$3:$C$9,2,1)</f>
        <v>30-40</v>
      </c>
      <c r="O683">
        <v>-3309</v>
      </c>
      <c r="P683" s="8">
        <f t="shared" si="47"/>
        <v>9.0595482546201236</v>
      </c>
      <c r="Q683" s="5" t="str">
        <f t="shared" si="49"/>
        <v>Employed</v>
      </c>
      <c r="R683">
        <v>1</v>
      </c>
      <c r="S683">
        <v>0</v>
      </c>
      <c r="T683">
        <v>0</v>
      </c>
      <c r="U683">
        <v>0</v>
      </c>
      <c r="V683" t="s">
        <v>38</v>
      </c>
      <c r="W683">
        <v>1</v>
      </c>
    </row>
    <row r="684" spans="1:23" x14ac:dyDescent="0.2">
      <c r="A684">
        <v>5028389</v>
      </c>
      <c r="B684" t="s">
        <v>25</v>
      </c>
      <c r="C684" t="s">
        <v>20</v>
      </c>
      <c r="D684" t="s">
        <v>19</v>
      </c>
      <c r="E684">
        <v>0</v>
      </c>
      <c r="F684">
        <v>337500</v>
      </c>
      <c r="G684" t="s">
        <v>31</v>
      </c>
      <c r="H684" t="s">
        <v>27</v>
      </c>
      <c r="I684" t="s">
        <v>33</v>
      </c>
      <c r="J684" t="s">
        <v>41</v>
      </c>
      <c r="K684" s="6">
        <f t="shared" ca="1" si="48"/>
        <v>34417</v>
      </c>
      <c r="L684">
        <v>-11344</v>
      </c>
      <c r="M684" s="7">
        <f t="shared" ca="1" si="46"/>
        <v>31.058179329226558</v>
      </c>
      <c r="N684" s="5" t="str">
        <f ca="1">VLOOKUP(Data!M684,temp!$B$3:$C$9,2,1)</f>
        <v>30-40</v>
      </c>
      <c r="O684">
        <v>-3309</v>
      </c>
      <c r="P684" s="8">
        <f t="shared" si="47"/>
        <v>9.0595482546201236</v>
      </c>
      <c r="Q684" s="5" t="str">
        <f t="shared" si="49"/>
        <v>Employed</v>
      </c>
      <c r="R684">
        <v>1</v>
      </c>
      <c r="S684">
        <v>0</v>
      </c>
      <c r="T684">
        <v>0</v>
      </c>
      <c r="U684">
        <v>0</v>
      </c>
      <c r="V684" t="s">
        <v>38</v>
      </c>
      <c r="W684">
        <v>1</v>
      </c>
    </row>
    <row r="685" spans="1:23" x14ac:dyDescent="0.2">
      <c r="A685">
        <v>5028392</v>
      </c>
      <c r="B685" t="s">
        <v>18</v>
      </c>
      <c r="C685" t="s">
        <v>19</v>
      </c>
      <c r="D685" t="s">
        <v>19</v>
      </c>
      <c r="E685">
        <v>0</v>
      </c>
      <c r="F685">
        <v>202500</v>
      </c>
      <c r="G685" t="s">
        <v>26</v>
      </c>
      <c r="H685" t="s">
        <v>22</v>
      </c>
      <c r="I685" t="s">
        <v>28</v>
      </c>
      <c r="J685" t="s">
        <v>45</v>
      </c>
      <c r="K685" s="6">
        <f t="shared" ca="1" si="48"/>
        <v>31862</v>
      </c>
      <c r="L685">
        <v>-13899</v>
      </c>
      <c r="M685" s="7">
        <f t="shared" ca="1" si="46"/>
        <v>38.053388090349074</v>
      </c>
      <c r="N685" s="5" t="str">
        <f ca="1">VLOOKUP(Data!M685,temp!$B$3:$C$9,2,1)</f>
        <v>30-40</v>
      </c>
      <c r="O685">
        <v>-4709</v>
      </c>
      <c r="P685" s="8">
        <f t="shared" si="47"/>
        <v>12.892539356605065</v>
      </c>
      <c r="Q685" s="5" t="str">
        <f t="shared" si="49"/>
        <v>Employed</v>
      </c>
      <c r="R685">
        <v>1</v>
      </c>
      <c r="S685">
        <v>0</v>
      </c>
      <c r="T685">
        <v>0</v>
      </c>
      <c r="U685">
        <v>0</v>
      </c>
      <c r="W685">
        <v>2</v>
      </c>
    </row>
    <row r="686" spans="1:23" x14ac:dyDescent="0.2">
      <c r="A686">
        <v>5028394</v>
      </c>
      <c r="B686" t="s">
        <v>18</v>
      </c>
      <c r="C686" t="s">
        <v>19</v>
      </c>
      <c r="D686" t="s">
        <v>19</v>
      </c>
      <c r="E686">
        <v>0</v>
      </c>
      <c r="F686">
        <v>202500</v>
      </c>
      <c r="G686" t="s">
        <v>26</v>
      </c>
      <c r="H686" t="s">
        <v>22</v>
      </c>
      <c r="I686" t="s">
        <v>28</v>
      </c>
      <c r="J686" t="s">
        <v>45</v>
      </c>
      <c r="K686" s="6">
        <f t="shared" ca="1" si="48"/>
        <v>31862</v>
      </c>
      <c r="L686">
        <v>-13899</v>
      </c>
      <c r="M686" s="7">
        <f t="shared" ca="1" si="46"/>
        <v>38.053388090349074</v>
      </c>
      <c r="N686" s="5" t="str">
        <f ca="1">VLOOKUP(Data!M686,temp!$B$3:$C$9,2,1)</f>
        <v>30-40</v>
      </c>
      <c r="O686">
        <v>-4709</v>
      </c>
      <c r="P686" s="8">
        <f t="shared" si="47"/>
        <v>12.892539356605065</v>
      </c>
      <c r="Q686" s="5" t="str">
        <f t="shared" si="49"/>
        <v>Employed</v>
      </c>
      <c r="R686">
        <v>1</v>
      </c>
      <c r="S686">
        <v>0</v>
      </c>
      <c r="T686">
        <v>0</v>
      </c>
      <c r="U686">
        <v>0</v>
      </c>
      <c r="W686">
        <v>2</v>
      </c>
    </row>
    <row r="687" spans="1:23" x14ac:dyDescent="0.2">
      <c r="A687">
        <v>5028408</v>
      </c>
      <c r="B687" t="s">
        <v>18</v>
      </c>
      <c r="C687" t="s">
        <v>20</v>
      </c>
      <c r="D687" t="s">
        <v>20</v>
      </c>
      <c r="E687">
        <v>0</v>
      </c>
      <c r="F687">
        <v>247500</v>
      </c>
      <c r="G687" t="s">
        <v>26</v>
      </c>
      <c r="H687" t="s">
        <v>27</v>
      </c>
      <c r="I687" t="s">
        <v>28</v>
      </c>
      <c r="J687" t="s">
        <v>24</v>
      </c>
      <c r="K687" s="6">
        <f t="shared" ca="1" si="48"/>
        <v>31094</v>
      </c>
      <c r="L687">
        <v>-14667</v>
      </c>
      <c r="M687" s="7">
        <f t="shared" ca="1" si="46"/>
        <v>40.156057494866531</v>
      </c>
      <c r="N687" s="5" t="str">
        <f ca="1">VLOOKUP(Data!M687,temp!$B$3:$C$9,2,1)</f>
        <v>40-50</v>
      </c>
      <c r="O687">
        <v>-1422</v>
      </c>
      <c r="P687" s="8">
        <f t="shared" si="47"/>
        <v>3.893223819301848</v>
      </c>
      <c r="Q687" s="5" t="str">
        <f t="shared" si="49"/>
        <v>Employed</v>
      </c>
      <c r="R687">
        <v>1</v>
      </c>
      <c r="S687">
        <v>0</v>
      </c>
      <c r="T687">
        <v>0</v>
      </c>
      <c r="U687">
        <v>0</v>
      </c>
      <c r="V687" t="s">
        <v>39</v>
      </c>
      <c r="W687">
        <v>2</v>
      </c>
    </row>
    <row r="688" spans="1:23" x14ac:dyDescent="0.2">
      <c r="A688">
        <v>5028414</v>
      </c>
      <c r="B688" t="s">
        <v>18</v>
      </c>
      <c r="C688" t="s">
        <v>20</v>
      </c>
      <c r="D688" t="s">
        <v>20</v>
      </c>
      <c r="E688">
        <v>0</v>
      </c>
      <c r="F688">
        <v>247500</v>
      </c>
      <c r="G688" t="s">
        <v>26</v>
      </c>
      <c r="H688" t="s">
        <v>27</v>
      </c>
      <c r="I688" t="s">
        <v>28</v>
      </c>
      <c r="J688" t="s">
        <v>24</v>
      </c>
      <c r="K688" s="6">
        <f t="shared" ca="1" si="48"/>
        <v>31094</v>
      </c>
      <c r="L688">
        <v>-14667</v>
      </c>
      <c r="M688" s="7">
        <f t="shared" ca="1" si="46"/>
        <v>40.156057494866531</v>
      </c>
      <c r="N688" s="5" t="str">
        <f ca="1">VLOOKUP(Data!M688,temp!$B$3:$C$9,2,1)</f>
        <v>40-50</v>
      </c>
      <c r="O688">
        <v>-1422</v>
      </c>
      <c r="P688" s="8">
        <f t="shared" si="47"/>
        <v>3.893223819301848</v>
      </c>
      <c r="Q688" s="5" t="str">
        <f t="shared" si="49"/>
        <v>Employed</v>
      </c>
      <c r="R688">
        <v>1</v>
      </c>
      <c r="S688">
        <v>0</v>
      </c>
      <c r="T688">
        <v>0</v>
      </c>
      <c r="U688">
        <v>0</v>
      </c>
      <c r="V688" t="s">
        <v>39</v>
      </c>
      <c r="W688">
        <v>2</v>
      </c>
    </row>
    <row r="689" spans="1:23" x14ac:dyDescent="0.2">
      <c r="A689">
        <v>5028417</v>
      </c>
      <c r="B689" t="s">
        <v>18</v>
      </c>
      <c r="C689" t="s">
        <v>20</v>
      </c>
      <c r="D689" t="s">
        <v>20</v>
      </c>
      <c r="E689">
        <v>0</v>
      </c>
      <c r="F689">
        <v>189000</v>
      </c>
      <c r="G689" t="s">
        <v>31</v>
      </c>
      <c r="H689" t="s">
        <v>27</v>
      </c>
      <c r="I689" t="s">
        <v>28</v>
      </c>
      <c r="J689" t="s">
        <v>24</v>
      </c>
      <c r="K689" s="6">
        <f t="shared" ca="1" si="48"/>
        <v>26870</v>
      </c>
      <c r="L689">
        <v>-18891</v>
      </c>
      <c r="M689" s="7">
        <f t="shared" ca="1" si="46"/>
        <v>51.720739219712527</v>
      </c>
      <c r="N689" s="5" t="str">
        <f ca="1">VLOOKUP(Data!M689,temp!$B$3:$C$9,2,1)</f>
        <v>50-60</v>
      </c>
      <c r="O689">
        <v>-477</v>
      </c>
      <c r="P689" s="8">
        <f t="shared" si="47"/>
        <v>1.3059548254620124</v>
      </c>
      <c r="Q689" s="5" t="str">
        <f t="shared" si="49"/>
        <v>Employed</v>
      </c>
      <c r="R689">
        <v>1</v>
      </c>
      <c r="S689">
        <v>0</v>
      </c>
      <c r="T689">
        <v>1</v>
      </c>
      <c r="U689">
        <v>1</v>
      </c>
      <c r="V689" t="s">
        <v>47</v>
      </c>
      <c r="W689">
        <v>2</v>
      </c>
    </row>
    <row r="690" spans="1:23" x14ac:dyDescent="0.2">
      <c r="A690">
        <v>5028452</v>
      </c>
      <c r="B690" t="s">
        <v>18</v>
      </c>
      <c r="C690" t="s">
        <v>20</v>
      </c>
      <c r="D690" t="s">
        <v>20</v>
      </c>
      <c r="E690">
        <v>0</v>
      </c>
      <c r="F690">
        <v>206100</v>
      </c>
      <c r="G690" t="s">
        <v>21</v>
      </c>
      <c r="H690" t="s">
        <v>27</v>
      </c>
      <c r="I690" t="s">
        <v>28</v>
      </c>
      <c r="J690" t="s">
        <v>24</v>
      </c>
      <c r="K690" s="6">
        <f t="shared" ca="1" si="48"/>
        <v>25465</v>
      </c>
      <c r="L690">
        <v>-20296</v>
      </c>
      <c r="M690" s="7">
        <f t="shared" ca="1" si="46"/>
        <v>55.567419575633132</v>
      </c>
      <c r="N690" s="5" t="str">
        <f ca="1">VLOOKUP(Data!M690,temp!$B$3:$C$9,2,1)</f>
        <v>50-60</v>
      </c>
      <c r="O690">
        <v>365243</v>
      </c>
      <c r="P690" s="8">
        <f t="shared" si="47"/>
        <v>0</v>
      </c>
      <c r="Q690" s="5" t="str">
        <f t="shared" si="49"/>
        <v>Unemployed</v>
      </c>
      <c r="R690">
        <v>1</v>
      </c>
      <c r="S690">
        <v>0</v>
      </c>
      <c r="T690">
        <v>1</v>
      </c>
      <c r="U690">
        <v>0</v>
      </c>
      <c r="W690">
        <v>2</v>
      </c>
    </row>
    <row r="691" spans="1:23" x14ac:dyDescent="0.2">
      <c r="A691">
        <v>5028459</v>
      </c>
      <c r="B691" t="s">
        <v>18</v>
      </c>
      <c r="C691" t="s">
        <v>19</v>
      </c>
      <c r="D691" t="s">
        <v>20</v>
      </c>
      <c r="E691">
        <v>1</v>
      </c>
      <c r="F691">
        <v>180000</v>
      </c>
      <c r="G691" t="s">
        <v>35</v>
      </c>
      <c r="H691" t="s">
        <v>27</v>
      </c>
      <c r="I691" t="s">
        <v>28</v>
      </c>
      <c r="J691" t="s">
        <v>24</v>
      </c>
      <c r="K691" s="6">
        <f t="shared" ca="1" si="48"/>
        <v>31187</v>
      </c>
      <c r="L691">
        <v>-14574</v>
      </c>
      <c r="M691" s="7">
        <f t="shared" ca="1" si="46"/>
        <v>39.901437371663242</v>
      </c>
      <c r="N691" s="5" t="str">
        <f ca="1">VLOOKUP(Data!M691,temp!$B$3:$C$9,2,1)</f>
        <v>30-40</v>
      </c>
      <c r="O691">
        <v>-964</v>
      </c>
      <c r="P691" s="8">
        <f t="shared" si="47"/>
        <v>2.6392881587953458</v>
      </c>
      <c r="Q691" s="5" t="str">
        <f t="shared" si="49"/>
        <v>Employed</v>
      </c>
      <c r="R691">
        <v>1</v>
      </c>
      <c r="S691">
        <v>0</v>
      </c>
      <c r="T691">
        <v>1</v>
      </c>
      <c r="U691">
        <v>1</v>
      </c>
      <c r="V691" t="s">
        <v>50</v>
      </c>
      <c r="W691">
        <v>3</v>
      </c>
    </row>
    <row r="692" spans="1:23" x14ac:dyDescent="0.2">
      <c r="A692">
        <v>5028467</v>
      </c>
      <c r="B692" t="s">
        <v>25</v>
      </c>
      <c r="C692" t="s">
        <v>19</v>
      </c>
      <c r="D692" t="s">
        <v>20</v>
      </c>
      <c r="E692">
        <v>0</v>
      </c>
      <c r="F692">
        <v>225000</v>
      </c>
      <c r="G692" t="s">
        <v>31</v>
      </c>
      <c r="H692" t="s">
        <v>51</v>
      </c>
      <c r="I692" t="s">
        <v>28</v>
      </c>
      <c r="J692" t="s">
        <v>45</v>
      </c>
      <c r="K692" s="6">
        <f t="shared" ca="1" si="48"/>
        <v>35196</v>
      </c>
      <c r="L692">
        <v>-10565</v>
      </c>
      <c r="M692" s="7">
        <f t="shared" ca="1" si="46"/>
        <v>28.925393566050651</v>
      </c>
      <c r="N692" s="5" t="str">
        <f ca="1">VLOOKUP(Data!M692,temp!$B$3:$C$9,2,1)</f>
        <v>20-30</v>
      </c>
      <c r="O692">
        <v>-811</v>
      </c>
      <c r="P692" s="8">
        <f t="shared" si="47"/>
        <v>2.2203969883641341</v>
      </c>
      <c r="Q692" s="5" t="str">
        <f t="shared" si="49"/>
        <v>Employed</v>
      </c>
      <c r="R692">
        <v>1</v>
      </c>
      <c r="S692">
        <v>1</v>
      </c>
      <c r="T692">
        <v>1</v>
      </c>
      <c r="U692">
        <v>0</v>
      </c>
      <c r="W692">
        <v>2</v>
      </c>
    </row>
    <row r="693" spans="1:23" x14ac:dyDescent="0.2">
      <c r="A693">
        <v>5028475</v>
      </c>
      <c r="B693" t="s">
        <v>18</v>
      </c>
      <c r="C693" t="s">
        <v>19</v>
      </c>
      <c r="D693" t="s">
        <v>20</v>
      </c>
      <c r="E693">
        <v>0</v>
      </c>
      <c r="F693">
        <v>220500</v>
      </c>
      <c r="G693" t="s">
        <v>21</v>
      </c>
      <c r="H693" t="s">
        <v>51</v>
      </c>
      <c r="I693" t="s">
        <v>28</v>
      </c>
      <c r="J693" t="s">
        <v>24</v>
      </c>
      <c r="K693" s="6">
        <f t="shared" ca="1" si="48"/>
        <v>24159</v>
      </c>
      <c r="L693">
        <v>-21602</v>
      </c>
      <c r="M693" s="7">
        <f t="shared" ca="1" si="46"/>
        <v>59.143052703627653</v>
      </c>
      <c r="N693" s="5" t="str">
        <f ca="1">VLOOKUP(Data!M693,temp!$B$3:$C$9,2,1)</f>
        <v>50-60</v>
      </c>
      <c r="O693">
        <v>365243</v>
      </c>
      <c r="P693" s="8">
        <f t="shared" si="47"/>
        <v>0</v>
      </c>
      <c r="Q693" s="5" t="str">
        <f t="shared" si="49"/>
        <v>Unemployed</v>
      </c>
      <c r="R693">
        <v>1</v>
      </c>
      <c r="S693">
        <v>0</v>
      </c>
      <c r="T693">
        <v>0</v>
      </c>
      <c r="U693">
        <v>0</v>
      </c>
      <c r="W693">
        <v>2</v>
      </c>
    </row>
    <row r="694" spans="1:23" x14ac:dyDescent="0.2">
      <c r="A694">
        <v>5028477</v>
      </c>
      <c r="B694" t="s">
        <v>18</v>
      </c>
      <c r="C694" t="s">
        <v>19</v>
      </c>
      <c r="D694" t="s">
        <v>20</v>
      </c>
      <c r="E694">
        <v>0</v>
      </c>
      <c r="F694">
        <v>220500</v>
      </c>
      <c r="G694" t="s">
        <v>21</v>
      </c>
      <c r="H694" t="s">
        <v>51</v>
      </c>
      <c r="I694" t="s">
        <v>28</v>
      </c>
      <c r="J694" t="s">
        <v>24</v>
      </c>
      <c r="K694" s="6">
        <f t="shared" ca="1" si="48"/>
        <v>24159</v>
      </c>
      <c r="L694">
        <v>-21602</v>
      </c>
      <c r="M694" s="7">
        <f t="shared" ca="1" si="46"/>
        <v>59.143052703627653</v>
      </c>
      <c r="N694" s="5" t="str">
        <f ca="1">VLOOKUP(Data!M694,temp!$B$3:$C$9,2,1)</f>
        <v>50-60</v>
      </c>
      <c r="O694">
        <v>365243</v>
      </c>
      <c r="P694" s="8">
        <f t="shared" si="47"/>
        <v>0</v>
      </c>
      <c r="Q694" s="5" t="str">
        <f t="shared" si="49"/>
        <v>Unemployed</v>
      </c>
      <c r="R694">
        <v>1</v>
      </c>
      <c r="S694">
        <v>0</v>
      </c>
      <c r="T694">
        <v>0</v>
      </c>
      <c r="U694">
        <v>0</v>
      </c>
      <c r="W694">
        <v>2</v>
      </c>
    </row>
    <row r="695" spans="1:23" x14ac:dyDescent="0.2">
      <c r="A695">
        <v>5028484</v>
      </c>
      <c r="B695" t="s">
        <v>25</v>
      </c>
      <c r="C695" t="s">
        <v>20</v>
      </c>
      <c r="D695" t="s">
        <v>20</v>
      </c>
      <c r="E695">
        <v>0</v>
      </c>
      <c r="F695">
        <v>405000</v>
      </c>
      <c r="G695" t="s">
        <v>31</v>
      </c>
      <c r="H695" t="s">
        <v>27</v>
      </c>
      <c r="I695" t="s">
        <v>28</v>
      </c>
      <c r="J695" t="s">
        <v>24</v>
      </c>
      <c r="K695" s="6">
        <f t="shared" ca="1" si="48"/>
        <v>29442</v>
      </c>
      <c r="L695">
        <v>-16319</v>
      </c>
      <c r="M695" s="7">
        <f t="shared" ca="1" si="46"/>
        <v>44.67898699520876</v>
      </c>
      <c r="N695" s="5" t="str">
        <f ca="1">VLOOKUP(Data!M695,temp!$B$3:$C$9,2,1)</f>
        <v>40-50</v>
      </c>
      <c r="O695">
        <v>-1086</v>
      </c>
      <c r="P695" s="8">
        <f t="shared" si="47"/>
        <v>2.9733059548254621</v>
      </c>
      <c r="Q695" s="5" t="str">
        <f t="shared" si="49"/>
        <v>Employed</v>
      </c>
      <c r="R695">
        <v>1</v>
      </c>
      <c r="S695">
        <v>1</v>
      </c>
      <c r="T695">
        <v>0</v>
      </c>
      <c r="U695">
        <v>0</v>
      </c>
      <c r="V695" t="s">
        <v>32</v>
      </c>
      <c r="W695">
        <v>2</v>
      </c>
    </row>
    <row r="696" spans="1:23" x14ac:dyDescent="0.2">
      <c r="A696">
        <v>5028487</v>
      </c>
      <c r="B696" t="s">
        <v>25</v>
      </c>
      <c r="C696" t="s">
        <v>20</v>
      </c>
      <c r="D696" t="s">
        <v>20</v>
      </c>
      <c r="E696">
        <v>0</v>
      </c>
      <c r="F696">
        <v>405000</v>
      </c>
      <c r="G696" t="s">
        <v>31</v>
      </c>
      <c r="H696" t="s">
        <v>27</v>
      </c>
      <c r="I696" t="s">
        <v>28</v>
      </c>
      <c r="J696" t="s">
        <v>24</v>
      </c>
      <c r="K696" s="6">
        <f t="shared" ca="1" si="48"/>
        <v>29442</v>
      </c>
      <c r="L696">
        <v>-16319</v>
      </c>
      <c r="M696" s="7">
        <f t="shared" ca="1" si="46"/>
        <v>44.67898699520876</v>
      </c>
      <c r="N696" s="5" t="str">
        <f ca="1">VLOOKUP(Data!M696,temp!$B$3:$C$9,2,1)</f>
        <v>40-50</v>
      </c>
      <c r="O696">
        <v>-1086</v>
      </c>
      <c r="P696" s="8">
        <f t="shared" si="47"/>
        <v>2.9733059548254621</v>
      </c>
      <c r="Q696" s="5" t="str">
        <f t="shared" si="49"/>
        <v>Employed</v>
      </c>
      <c r="R696">
        <v>1</v>
      </c>
      <c r="S696">
        <v>1</v>
      </c>
      <c r="T696">
        <v>0</v>
      </c>
      <c r="U696">
        <v>0</v>
      </c>
      <c r="V696" t="s">
        <v>32</v>
      </c>
      <c r="W696">
        <v>2</v>
      </c>
    </row>
    <row r="697" spans="1:23" x14ac:dyDescent="0.2">
      <c r="A697">
        <v>5028488</v>
      </c>
      <c r="B697" t="s">
        <v>25</v>
      </c>
      <c r="C697" t="s">
        <v>20</v>
      </c>
      <c r="D697" t="s">
        <v>20</v>
      </c>
      <c r="E697">
        <v>0</v>
      </c>
      <c r="F697">
        <v>405000</v>
      </c>
      <c r="G697" t="s">
        <v>31</v>
      </c>
      <c r="H697" t="s">
        <v>27</v>
      </c>
      <c r="I697" t="s">
        <v>28</v>
      </c>
      <c r="J697" t="s">
        <v>24</v>
      </c>
      <c r="K697" s="6">
        <f t="shared" ca="1" si="48"/>
        <v>29442</v>
      </c>
      <c r="L697">
        <v>-16319</v>
      </c>
      <c r="M697" s="7">
        <f t="shared" ca="1" si="46"/>
        <v>44.67898699520876</v>
      </c>
      <c r="N697" s="5" t="str">
        <f ca="1">VLOOKUP(Data!M697,temp!$B$3:$C$9,2,1)</f>
        <v>40-50</v>
      </c>
      <c r="O697">
        <v>-1086</v>
      </c>
      <c r="P697" s="8">
        <f t="shared" si="47"/>
        <v>2.9733059548254621</v>
      </c>
      <c r="Q697" s="5" t="str">
        <f t="shared" si="49"/>
        <v>Employed</v>
      </c>
      <c r="R697">
        <v>1</v>
      </c>
      <c r="S697">
        <v>1</v>
      </c>
      <c r="T697">
        <v>0</v>
      </c>
      <c r="U697">
        <v>0</v>
      </c>
      <c r="V697" t="s">
        <v>32</v>
      </c>
      <c r="W697">
        <v>2</v>
      </c>
    </row>
    <row r="698" spans="1:23" x14ac:dyDescent="0.2">
      <c r="A698">
        <v>5028506</v>
      </c>
      <c r="B698" t="s">
        <v>18</v>
      </c>
      <c r="C698" t="s">
        <v>19</v>
      </c>
      <c r="D698" t="s">
        <v>20</v>
      </c>
      <c r="E698">
        <v>1</v>
      </c>
      <c r="F698">
        <v>157500</v>
      </c>
      <c r="G698" t="s">
        <v>26</v>
      </c>
      <c r="H698" t="s">
        <v>22</v>
      </c>
      <c r="I698" t="s">
        <v>28</v>
      </c>
      <c r="J698" t="s">
        <v>24</v>
      </c>
      <c r="K698" s="6">
        <f t="shared" ca="1" si="48"/>
        <v>31624</v>
      </c>
      <c r="L698">
        <v>-14137</v>
      </c>
      <c r="M698" s="7">
        <f t="shared" ca="1" si="46"/>
        <v>38.704996577686515</v>
      </c>
      <c r="N698" s="5" t="str">
        <f ca="1">VLOOKUP(Data!M698,temp!$B$3:$C$9,2,1)</f>
        <v>30-40</v>
      </c>
      <c r="O698">
        <v>-3552</v>
      </c>
      <c r="P698" s="8">
        <f t="shared" si="47"/>
        <v>9.7248459958932241</v>
      </c>
      <c r="Q698" s="5" t="str">
        <f t="shared" si="49"/>
        <v>Employed</v>
      </c>
      <c r="R698">
        <v>1</v>
      </c>
      <c r="S698">
        <v>0</v>
      </c>
      <c r="T698">
        <v>0</v>
      </c>
      <c r="U698">
        <v>1</v>
      </c>
      <c r="V698" t="s">
        <v>44</v>
      </c>
      <c r="W698">
        <v>3</v>
      </c>
    </row>
    <row r="699" spans="1:23" x14ac:dyDescent="0.2">
      <c r="A699">
        <v>5028522</v>
      </c>
      <c r="B699" t="s">
        <v>18</v>
      </c>
      <c r="C699" t="s">
        <v>20</v>
      </c>
      <c r="D699" t="s">
        <v>20</v>
      </c>
      <c r="E699">
        <v>0</v>
      </c>
      <c r="F699">
        <v>180000</v>
      </c>
      <c r="G699" t="s">
        <v>26</v>
      </c>
      <c r="H699" t="s">
        <v>22</v>
      </c>
      <c r="I699" t="s">
        <v>28</v>
      </c>
      <c r="J699" t="s">
        <v>24</v>
      </c>
      <c r="K699" s="6">
        <f t="shared" ca="1" si="48"/>
        <v>25596</v>
      </c>
      <c r="L699">
        <v>-20165</v>
      </c>
      <c r="M699" s="7">
        <f t="shared" ca="1" si="46"/>
        <v>55.208761122518823</v>
      </c>
      <c r="N699" s="5" t="str">
        <f ca="1">VLOOKUP(Data!M699,temp!$B$3:$C$9,2,1)</f>
        <v>50-60</v>
      </c>
      <c r="O699">
        <v>-6565</v>
      </c>
      <c r="P699" s="8">
        <f t="shared" si="47"/>
        <v>17.973990417522245</v>
      </c>
      <c r="Q699" s="5" t="str">
        <f t="shared" si="49"/>
        <v>Employed</v>
      </c>
      <c r="R699">
        <v>1</v>
      </c>
      <c r="S699">
        <v>0</v>
      </c>
      <c r="T699">
        <v>0</v>
      </c>
      <c r="U699">
        <v>0</v>
      </c>
      <c r="V699" t="s">
        <v>38</v>
      </c>
      <c r="W699">
        <v>2</v>
      </c>
    </row>
    <row r="700" spans="1:23" x14ac:dyDescent="0.2">
      <c r="A700">
        <v>5028526</v>
      </c>
      <c r="B700" t="s">
        <v>18</v>
      </c>
      <c r="C700" t="s">
        <v>20</v>
      </c>
      <c r="D700" t="s">
        <v>20</v>
      </c>
      <c r="E700">
        <v>0</v>
      </c>
      <c r="F700">
        <v>180000</v>
      </c>
      <c r="G700" t="s">
        <v>26</v>
      </c>
      <c r="H700" t="s">
        <v>22</v>
      </c>
      <c r="I700" t="s">
        <v>28</v>
      </c>
      <c r="J700" t="s">
        <v>24</v>
      </c>
      <c r="K700" s="6">
        <f t="shared" ca="1" si="48"/>
        <v>25596</v>
      </c>
      <c r="L700">
        <v>-20165</v>
      </c>
      <c r="M700" s="7">
        <f t="shared" ca="1" si="46"/>
        <v>55.208761122518823</v>
      </c>
      <c r="N700" s="5" t="str">
        <f ca="1">VLOOKUP(Data!M700,temp!$B$3:$C$9,2,1)</f>
        <v>50-60</v>
      </c>
      <c r="O700">
        <v>-6565</v>
      </c>
      <c r="P700" s="8">
        <f t="shared" si="47"/>
        <v>17.973990417522245</v>
      </c>
      <c r="Q700" s="5" t="str">
        <f t="shared" si="49"/>
        <v>Employed</v>
      </c>
      <c r="R700">
        <v>1</v>
      </c>
      <c r="S700">
        <v>0</v>
      </c>
      <c r="T700">
        <v>0</v>
      </c>
      <c r="U700">
        <v>0</v>
      </c>
      <c r="V700" t="s">
        <v>38</v>
      </c>
      <c r="W700">
        <v>2</v>
      </c>
    </row>
    <row r="701" spans="1:23" x14ac:dyDescent="0.2">
      <c r="A701">
        <v>5028534</v>
      </c>
      <c r="B701" t="s">
        <v>18</v>
      </c>
      <c r="C701" t="s">
        <v>19</v>
      </c>
      <c r="D701" t="s">
        <v>20</v>
      </c>
      <c r="E701">
        <v>0</v>
      </c>
      <c r="F701">
        <v>171000</v>
      </c>
      <c r="G701" t="s">
        <v>31</v>
      </c>
      <c r="H701" t="s">
        <v>27</v>
      </c>
      <c r="I701" t="s">
        <v>28</v>
      </c>
      <c r="J701" t="s">
        <v>24</v>
      </c>
      <c r="K701" s="6">
        <f t="shared" ca="1" si="48"/>
        <v>30132</v>
      </c>
      <c r="L701">
        <v>-15629</v>
      </c>
      <c r="M701" s="7">
        <f t="shared" ca="1" si="46"/>
        <v>42.789869952087614</v>
      </c>
      <c r="N701" s="5" t="str">
        <f ca="1">VLOOKUP(Data!M701,temp!$B$3:$C$9,2,1)</f>
        <v>40-50</v>
      </c>
      <c r="O701">
        <v>-356</v>
      </c>
      <c r="P701" s="8">
        <f t="shared" si="47"/>
        <v>0.97467488021902804</v>
      </c>
      <c r="Q701" s="5" t="str">
        <f t="shared" si="49"/>
        <v>Employed</v>
      </c>
      <c r="R701">
        <v>1</v>
      </c>
      <c r="S701">
        <v>0</v>
      </c>
      <c r="T701">
        <v>0</v>
      </c>
      <c r="U701">
        <v>0</v>
      </c>
      <c r="V701" t="s">
        <v>39</v>
      </c>
      <c r="W701">
        <v>2</v>
      </c>
    </row>
    <row r="702" spans="1:23" x14ac:dyDescent="0.2">
      <c r="A702">
        <v>5028554</v>
      </c>
      <c r="B702" t="s">
        <v>18</v>
      </c>
      <c r="C702" t="s">
        <v>20</v>
      </c>
      <c r="D702" t="s">
        <v>20</v>
      </c>
      <c r="E702">
        <v>0</v>
      </c>
      <c r="F702">
        <v>315000</v>
      </c>
      <c r="G702" t="s">
        <v>26</v>
      </c>
      <c r="H702" t="s">
        <v>27</v>
      </c>
      <c r="I702" t="s">
        <v>28</v>
      </c>
      <c r="J702" t="s">
        <v>24</v>
      </c>
      <c r="K702" s="6">
        <f t="shared" ca="1" si="48"/>
        <v>30108</v>
      </c>
      <c r="L702">
        <v>-15653</v>
      </c>
      <c r="M702" s="7">
        <f t="shared" ca="1" si="46"/>
        <v>42.855578370978783</v>
      </c>
      <c r="N702" s="5" t="str">
        <f ca="1">VLOOKUP(Data!M702,temp!$B$3:$C$9,2,1)</f>
        <v>40-50</v>
      </c>
      <c r="O702">
        <v>-5500</v>
      </c>
      <c r="P702" s="8">
        <f t="shared" si="47"/>
        <v>15.058179329226558</v>
      </c>
      <c r="Q702" s="5" t="str">
        <f t="shared" si="49"/>
        <v>Employed</v>
      </c>
      <c r="R702">
        <v>1</v>
      </c>
      <c r="S702">
        <v>0</v>
      </c>
      <c r="T702">
        <v>0</v>
      </c>
      <c r="U702">
        <v>1</v>
      </c>
      <c r="V702" t="s">
        <v>38</v>
      </c>
      <c r="W702">
        <v>2</v>
      </c>
    </row>
    <row r="703" spans="1:23" x14ac:dyDescent="0.2">
      <c r="A703">
        <v>5028562</v>
      </c>
      <c r="B703" t="s">
        <v>18</v>
      </c>
      <c r="C703" t="s">
        <v>20</v>
      </c>
      <c r="D703" t="s">
        <v>20</v>
      </c>
      <c r="E703">
        <v>0</v>
      </c>
      <c r="F703">
        <v>315000</v>
      </c>
      <c r="G703" t="s">
        <v>26</v>
      </c>
      <c r="H703" t="s">
        <v>27</v>
      </c>
      <c r="I703" t="s">
        <v>28</v>
      </c>
      <c r="J703" t="s">
        <v>24</v>
      </c>
      <c r="K703" s="6">
        <f t="shared" ca="1" si="48"/>
        <v>30108</v>
      </c>
      <c r="L703">
        <v>-15653</v>
      </c>
      <c r="M703" s="7">
        <f t="shared" ca="1" si="46"/>
        <v>42.855578370978783</v>
      </c>
      <c r="N703" s="5" t="str">
        <f ca="1">VLOOKUP(Data!M703,temp!$B$3:$C$9,2,1)</f>
        <v>40-50</v>
      </c>
      <c r="O703">
        <v>-5500</v>
      </c>
      <c r="P703" s="8">
        <f t="shared" si="47"/>
        <v>15.058179329226558</v>
      </c>
      <c r="Q703" s="5" t="str">
        <f t="shared" si="49"/>
        <v>Employed</v>
      </c>
      <c r="R703">
        <v>1</v>
      </c>
      <c r="S703">
        <v>0</v>
      </c>
      <c r="T703">
        <v>0</v>
      </c>
      <c r="U703">
        <v>1</v>
      </c>
      <c r="V703" t="s">
        <v>38</v>
      </c>
      <c r="W703">
        <v>2</v>
      </c>
    </row>
    <row r="704" spans="1:23" x14ac:dyDescent="0.2">
      <c r="A704">
        <v>5028568</v>
      </c>
      <c r="B704" t="s">
        <v>18</v>
      </c>
      <c r="C704" t="s">
        <v>20</v>
      </c>
      <c r="D704" t="s">
        <v>20</v>
      </c>
      <c r="E704">
        <v>0</v>
      </c>
      <c r="F704">
        <v>315000</v>
      </c>
      <c r="G704" t="s">
        <v>26</v>
      </c>
      <c r="H704" t="s">
        <v>27</v>
      </c>
      <c r="I704" t="s">
        <v>28</v>
      </c>
      <c r="J704" t="s">
        <v>24</v>
      </c>
      <c r="K704" s="6">
        <f t="shared" ca="1" si="48"/>
        <v>30108</v>
      </c>
      <c r="L704">
        <v>-15653</v>
      </c>
      <c r="M704" s="7">
        <f t="shared" ca="1" si="46"/>
        <v>42.855578370978783</v>
      </c>
      <c r="N704" s="5" t="str">
        <f ca="1">VLOOKUP(Data!M704,temp!$B$3:$C$9,2,1)</f>
        <v>40-50</v>
      </c>
      <c r="O704">
        <v>-5500</v>
      </c>
      <c r="P704" s="8">
        <f t="shared" si="47"/>
        <v>15.058179329226558</v>
      </c>
      <c r="Q704" s="5" t="str">
        <f t="shared" si="49"/>
        <v>Employed</v>
      </c>
      <c r="R704">
        <v>1</v>
      </c>
      <c r="S704">
        <v>0</v>
      </c>
      <c r="T704">
        <v>0</v>
      </c>
      <c r="U704">
        <v>1</v>
      </c>
      <c r="V704" t="s">
        <v>38</v>
      </c>
      <c r="W704">
        <v>2</v>
      </c>
    </row>
    <row r="705" spans="1:23" x14ac:dyDescent="0.2">
      <c r="A705">
        <v>5028572</v>
      </c>
      <c r="B705" t="s">
        <v>18</v>
      </c>
      <c r="C705" t="s">
        <v>19</v>
      </c>
      <c r="D705" t="s">
        <v>20</v>
      </c>
      <c r="E705">
        <v>0</v>
      </c>
      <c r="F705">
        <v>112500</v>
      </c>
      <c r="G705" t="s">
        <v>21</v>
      </c>
      <c r="H705" t="s">
        <v>22</v>
      </c>
      <c r="I705" t="s">
        <v>28</v>
      </c>
      <c r="J705" t="s">
        <v>24</v>
      </c>
      <c r="K705" s="6">
        <f t="shared" ca="1" si="48"/>
        <v>23699</v>
      </c>
      <c r="L705">
        <v>-22062</v>
      </c>
      <c r="M705" s="7">
        <f t="shared" ca="1" si="46"/>
        <v>60.402464065708422</v>
      </c>
      <c r="N705" s="5" t="str">
        <f ca="1">VLOOKUP(Data!M705,temp!$B$3:$C$9,2,1)</f>
        <v>60-70</v>
      </c>
      <c r="O705">
        <v>365243</v>
      </c>
      <c r="P705" s="8">
        <f t="shared" si="47"/>
        <v>0</v>
      </c>
      <c r="Q705" s="5" t="str">
        <f t="shared" si="49"/>
        <v>Unemployed</v>
      </c>
      <c r="R705">
        <v>1</v>
      </c>
      <c r="S705">
        <v>0</v>
      </c>
      <c r="T705">
        <v>0</v>
      </c>
      <c r="U705">
        <v>0</v>
      </c>
      <c r="W705">
        <v>2</v>
      </c>
    </row>
    <row r="706" spans="1:23" x14ac:dyDescent="0.2">
      <c r="A706">
        <v>5028578</v>
      </c>
      <c r="B706" t="s">
        <v>18</v>
      </c>
      <c r="C706" t="s">
        <v>19</v>
      </c>
      <c r="D706" t="s">
        <v>20</v>
      </c>
      <c r="E706">
        <v>0</v>
      </c>
      <c r="F706">
        <v>112500</v>
      </c>
      <c r="G706" t="s">
        <v>21</v>
      </c>
      <c r="H706" t="s">
        <v>22</v>
      </c>
      <c r="I706" t="s">
        <v>28</v>
      </c>
      <c r="J706" t="s">
        <v>24</v>
      </c>
      <c r="K706" s="6">
        <f t="shared" ca="1" si="48"/>
        <v>23699</v>
      </c>
      <c r="L706">
        <v>-22062</v>
      </c>
      <c r="M706" s="7">
        <f t="shared" ca="1" si="46"/>
        <v>60.402464065708422</v>
      </c>
      <c r="N706" s="5" t="str">
        <f ca="1">VLOOKUP(Data!M706,temp!$B$3:$C$9,2,1)</f>
        <v>60-70</v>
      </c>
      <c r="O706">
        <v>365243</v>
      </c>
      <c r="P706" s="8">
        <f t="shared" si="47"/>
        <v>0</v>
      </c>
      <c r="Q706" s="5" t="str">
        <f t="shared" si="49"/>
        <v>Unemployed</v>
      </c>
      <c r="R706">
        <v>1</v>
      </c>
      <c r="S706">
        <v>0</v>
      </c>
      <c r="T706">
        <v>0</v>
      </c>
      <c r="U706">
        <v>0</v>
      </c>
      <c r="W706">
        <v>2</v>
      </c>
    </row>
    <row r="707" spans="1:23" x14ac:dyDescent="0.2">
      <c r="A707">
        <v>5028612</v>
      </c>
      <c r="B707" t="s">
        <v>25</v>
      </c>
      <c r="C707" t="s">
        <v>20</v>
      </c>
      <c r="D707" t="s">
        <v>20</v>
      </c>
      <c r="E707">
        <v>0</v>
      </c>
      <c r="F707">
        <v>225000</v>
      </c>
      <c r="G707" t="s">
        <v>26</v>
      </c>
      <c r="H707" t="s">
        <v>22</v>
      </c>
      <c r="I707" t="s">
        <v>33</v>
      </c>
      <c r="J707" t="s">
        <v>41</v>
      </c>
      <c r="K707" s="6">
        <f t="shared" ca="1" si="48"/>
        <v>35080</v>
      </c>
      <c r="L707">
        <v>-10681</v>
      </c>
      <c r="M707" s="7">
        <f t="shared" ref="M707:M770" ca="1" si="50">(TODAY()-K707)/365.25</f>
        <v>29.242984257357975</v>
      </c>
      <c r="N707" s="5" t="str">
        <f ca="1">VLOOKUP(Data!M707,temp!$B$3:$C$9,2,1)</f>
        <v>20-30</v>
      </c>
      <c r="O707">
        <v>-2152</v>
      </c>
      <c r="P707" s="8">
        <f t="shared" ref="P707:P770" si="51">IF(O707&lt;=0,ABS(O707)/365.25,0)</f>
        <v>5.891854893908282</v>
      </c>
      <c r="Q707" s="5" t="str">
        <f t="shared" si="49"/>
        <v>Employed</v>
      </c>
      <c r="R707">
        <v>1</v>
      </c>
      <c r="S707">
        <v>0</v>
      </c>
      <c r="T707">
        <v>1</v>
      </c>
      <c r="U707">
        <v>0</v>
      </c>
      <c r="V707" t="s">
        <v>39</v>
      </c>
      <c r="W707">
        <v>1</v>
      </c>
    </row>
    <row r="708" spans="1:23" x14ac:dyDescent="0.2">
      <c r="A708">
        <v>5028634</v>
      </c>
      <c r="B708" t="s">
        <v>25</v>
      </c>
      <c r="C708" t="s">
        <v>20</v>
      </c>
      <c r="D708" t="s">
        <v>20</v>
      </c>
      <c r="E708">
        <v>0</v>
      </c>
      <c r="F708">
        <v>270000</v>
      </c>
      <c r="G708" t="s">
        <v>31</v>
      </c>
      <c r="H708" t="s">
        <v>27</v>
      </c>
      <c r="I708" t="s">
        <v>28</v>
      </c>
      <c r="J708" t="s">
        <v>24</v>
      </c>
      <c r="K708" s="6">
        <f t="shared" ca="1" si="48"/>
        <v>35269</v>
      </c>
      <c r="L708">
        <v>-10492</v>
      </c>
      <c r="M708" s="7">
        <f t="shared" ca="1" si="50"/>
        <v>28.725530458590008</v>
      </c>
      <c r="N708" s="5" t="str">
        <f ca="1">VLOOKUP(Data!M708,temp!$B$3:$C$9,2,1)</f>
        <v>20-30</v>
      </c>
      <c r="O708">
        <v>-2822</v>
      </c>
      <c r="P708" s="8">
        <f t="shared" si="51"/>
        <v>7.7262149212867897</v>
      </c>
      <c r="Q708" s="5" t="str">
        <f t="shared" si="49"/>
        <v>Employed</v>
      </c>
      <c r="R708">
        <v>1</v>
      </c>
      <c r="S708">
        <v>0</v>
      </c>
      <c r="T708">
        <v>0</v>
      </c>
      <c r="U708">
        <v>0</v>
      </c>
      <c r="V708" t="s">
        <v>30</v>
      </c>
      <c r="W708">
        <v>2</v>
      </c>
    </row>
    <row r="709" spans="1:23" x14ac:dyDescent="0.2">
      <c r="A709">
        <v>5028635</v>
      </c>
      <c r="B709" t="s">
        <v>25</v>
      </c>
      <c r="C709" t="s">
        <v>20</v>
      </c>
      <c r="D709" t="s">
        <v>20</v>
      </c>
      <c r="E709">
        <v>0</v>
      </c>
      <c r="F709">
        <v>270000</v>
      </c>
      <c r="G709" t="s">
        <v>31</v>
      </c>
      <c r="H709" t="s">
        <v>27</v>
      </c>
      <c r="I709" t="s">
        <v>28</v>
      </c>
      <c r="J709" t="s">
        <v>24</v>
      </c>
      <c r="K709" s="6">
        <f t="shared" ca="1" si="48"/>
        <v>35269</v>
      </c>
      <c r="L709">
        <v>-10492</v>
      </c>
      <c r="M709" s="7">
        <f t="shared" ca="1" si="50"/>
        <v>28.725530458590008</v>
      </c>
      <c r="N709" s="5" t="str">
        <f ca="1">VLOOKUP(Data!M709,temp!$B$3:$C$9,2,1)</f>
        <v>20-30</v>
      </c>
      <c r="O709">
        <v>-2822</v>
      </c>
      <c r="P709" s="8">
        <f t="shared" si="51"/>
        <v>7.7262149212867897</v>
      </c>
      <c r="Q709" s="5" t="str">
        <f t="shared" si="49"/>
        <v>Employed</v>
      </c>
      <c r="R709">
        <v>1</v>
      </c>
      <c r="S709">
        <v>0</v>
      </c>
      <c r="T709">
        <v>0</v>
      </c>
      <c r="U709">
        <v>0</v>
      </c>
      <c r="V709" t="s">
        <v>30</v>
      </c>
      <c r="W709">
        <v>2</v>
      </c>
    </row>
    <row r="710" spans="1:23" x14ac:dyDescent="0.2">
      <c r="A710">
        <v>5028636</v>
      </c>
      <c r="B710" t="s">
        <v>25</v>
      </c>
      <c r="C710" t="s">
        <v>20</v>
      </c>
      <c r="D710" t="s">
        <v>20</v>
      </c>
      <c r="E710">
        <v>0</v>
      </c>
      <c r="F710">
        <v>270000</v>
      </c>
      <c r="G710" t="s">
        <v>31</v>
      </c>
      <c r="H710" t="s">
        <v>27</v>
      </c>
      <c r="I710" t="s">
        <v>28</v>
      </c>
      <c r="J710" t="s">
        <v>24</v>
      </c>
      <c r="K710" s="6">
        <f t="shared" ca="1" si="48"/>
        <v>35269</v>
      </c>
      <c r="L710">
        <v>-10492</v>
      </c>
      <c r="M710" s="7">
        <f t="shared" ca="1" si="50"/>
        <v>28.725530458590008</v>
      </c>
      <c r="N710" s="5" t="str">
        <f ca="1">VLOOKUP(Data!M710,temp!$B$3:$C$9,2,1)</f>
        <v>20-30</v>
      </c>
      <c r="O710">
        <v>-2822</v>
      </c>
      <c r="P710" s="8">
        <f t="shared" si="51"/>
        <v>7.7262149212867897</v>
      </c>
      <c r="Q710" s="5" t="str">
        <f t="shared" si="49"/>
        <v>Employed</v>
      </c>
      <c r="R710">
        <v>1</v>
      </c>
      <c r="S710">
        <v>0</v>
      </c>
      <c r="T710">
        <v>0</v>
      </c>
      <c r="U710">
        <v>0</v>
      </c>
      <c r="V710" t="s">
        <v>30</v>
      </c>
      <c r="W710">
        <v>2</v>
      </c>
    </row>
    <row r="711" spans="1:23" x14ac:dyDescent="0.2">
      <c r="A711">
        <v>5028642</v>
      </c>
      <c r="B711" t="s">
        <v>18</v>
      </c>
      <c r="C711" t="s">
        <v>19</v>
      </c>
      <c r="D711" t="s">
        <v>20</v>
      </c>
      <c r="E711">
        <v>0</v>
      </c>
      <c r="F711">
        <v>405000</v>
      </c>
      <c r="G711" t="s">
        <v>26</v>
      </c>
      <c r="H711" t="s">
        <v>22</v>
      </c>
      <c r="I711" t="s">
        <v>28</v>
      </c>
      <c r="J711" t="s">
        <v>24</v>
      </c>
      <c r="K711" s="6">
        <f t="shared" ca="1" si="48"/>
        <v>33804</v>
      </c>
      <c r="L711">
        <v>-11957</v>
      </c>
      <c r="M711" s="7">
        <f t="shared" ca="1" si="50"/>
        <v>32.736481861738532</v>
      </c>
      <c r="N711" s="5" t="str">
        <f ca="1">VLOOKUP(Data!M711,temp!$B$3:$C$9,2,1)</f>
        <v>30-40</v>
      </c>
      <c r="O711">
        <v>-2182</v>
      </c>
      <c r="P711" s="8">
        <f t="shared" si="51"/>
        <v>5.9739904175222449</v>
      </c>
      <c r="Q711" s="5" t="str">
        <f t="shared" si="49"/>
        <v>Employed</v>
      </c>
      <c r="R711">
        <v>1</v>
      </c>
      <c r="S711">
        <v>0</v>
      </c>
      <c r="T711">
        <v>0</v>
      </c>
      <c r="U711">
        <v>0</v>
      </c>
      <c r="V711" t="s">
        <v>32</v>
      </c>
      <c r="W711">
        <v>2</v>
      </c>
    </row>
    <row r="712" spans="1:23" x14ac:dyDescent="0.2">
      <c r="A712">
        <v>5028652</v>
      </c>
      <c r="B712" t="s">
        <v>18</v>
      </c>
      <c r="C712" t="s">
        <v>19</v>
      </c>
      <c r="D712" t="s">
        <v>20</v>
      </c>
      <c r="E712">
        <v>0</v>
      </c>
      <c r="F712">
        <v>157500</v>
      </c>
      <c r="G712" t="s">
        <v>31</v>
      </c>
      <c r="H712" t="s">
        <v>27</v>
      </c>
      <c r="I712" t="s">
        <v>28</v>
      </c>
      <c r="J712" t="s">
        <v>24</v>
      </c>
      <c r="K712" s="6">
        <f t="shared" ref="K712:K775" ca="1" si="52">TODAY()+($L712)</f>
        <v>28194</v>
      </c>
      <c r="L712">
        <v>-17567</v>
      </c>
      <c r="M712" s="7">
        <f t="shared" ca="1" si="50"/>
        <v>48.095824777549623</v>
      </c>
      <c r="N712" s="5" t="str">
        <f ca="1">VLOOKUP(Data!M712,temp!$B$3:$C$9,2,1)</f>
        <v>40-50</v>
      </c>
      <c r="O712">
        <v>-3917</v>
      </c>
      <c r="P712" s="8">
        <f t="shared" si="51"/>
        <v>10.72416153319644</v>
      </c>
      <c r="Q712" s="5" t="str">
        <f t="shared" ref="Q712:Q775" si="53">IF($O712&gt;0,"Unemployed","Employed")</f>
        <v>Employed</v>
      </c>
      <c r="R712">
        <v>1</v>
      </c>
      <c r="S712">
        <v>0</v>
      </c>
      <c r="T712">
        <v>0</v>
      </c>
      <c r="U712">
        <v>0</v>
      </c>
      <c r="W712">
        <v>2</v>
      </c>
    </row>
    <row r="713" spans="1:23" x14ac:dyDescent="0.2">
      <c r="A713">
        <v>5028654</v>
      </c>
      <c r="B713" t="s">
        <v>18</v>
      </c>
      <c r="C713" t="s">
        <v>19</v>
      </c>
      <c r="D713" t="s">
        <v>20</v>
      </c>
      <c r="E713">
        <v>0</v>
      </c>
      <c r="F713">
        <v>157500</v>
      </c>
      <c r="G713" t="s">
        <v>31</v>
      </c>
      <c r="H713" t="s">
        <v>27</v>
      </c>
      <c r="I713" t="s">
        <v>28</v>
      </c>
      <c r="J713" t="s">
        <v>24</v>
      </c>
      <c r="K713" s="6">
        <f t="shared" ca="1" si="52"/>
        <v>28194</v>
      </c>
      <c r="L713">
        <v>-17567</v>
      </c>
      <c r="M713" s="7">
        <f t="shared" ca="1" si="50"/>
        <v>48.095824777549623</v>
      </c>
      <c r="N713" s="5" t="str">
        <f ca="1">VLOOKUP(Data!M713,temp!$B$3:$C$9,2,1)</f>
        <v>40-50</v>
      </c>
      <c r="O713">
        <v>-3917</v>
      </c>
      <c r="P713" s="8">
        <f t="shared" si="51"/>
        <v>10.72416153319644</v>
      </c>
      <c r="Q713" s="5" t="str">
        <f t="shared" si="53"/>
        <v>Employed</v>
      </c>
      <c r="R713">
        <v>1</v>
      </c>
      <c r="S713">
        <v>0</v>
      </c>
      <c r="T713">
        <v>0</v>
      </c>
      <c r="U713">
        <v>0</v>
      </c>
      <c r="W713">
        <v>2</v>
      </c>
    </row>
    <row r="714" spans="1:23" x14ac:dyDescent="0.2">
      <c r="A714">
        <v>5028687</v>
      </c>
      <c r="B714" t="s">
        <v>25</v>
      </c>
      <c r="C714" t="s">
        <v>19</v>
      </c>
      <c r="D714" t="s">
        <v>20</v>
      </c>
      <c r="E714">
        <v>0</v>
      </c>
      <c r="F714">
        <v>157500</v>
      </c>
      <c r="G714" t="s">
        <v>31</v>
      </c>
      <c r="H714" t="s">
        <v>27</v>
      </c>
      <c r="I714" t="s">
        <v>28</v>
      </c>
      <c r="J714" t="s">
        <v>24</v>
      </c>
      <c r="K714" s="6">
        <f t="shared" ca="1" si="52"/>
        <v>36179</v>
      </c>
      <c r="L714">
        <v>-9582</v>
      </c>
      <c r="M714" s="7">
        <f t="shared" ca="1" si="50"/>
        <v>26.234086242299796</v>
      </c>
      <c r="N714" s="5" t="str">
        <f ca="1">VLOOKUP(Data!M714,temp!$B$3:$C$9,2,1)</f>
        <v>20-30</v>
      </c>
      <c r="O714">
        <v>-3003</v>
      </c>
      <c r="P714" s="8">
        <f t="shared" si="51"/>
        <v>8.2217659137577002</v>
      </c>
      <c r="Q714" s="5" t="str">
        <f t="shared" si="53"/>
        <v>Employed</v>
      </c>
      <c r="R714">
        <v>1</v>
      </c>
      <c r="S714">
        <v>0</v>
      </c>
      <c r="T714">
        <v>0</v>
      </c>
      <c r="U714">
        <v>1</v>
      </c>
      <c r="V714" t="s">
        <v>29</v>
      </c>
      <c r="W714">
        <v>2</v>
      </c>
    </row>
    <row r="715" spans="1:23" x14ac:dyDescent="0.2">
      <c r="A715">
        <v>5028691</v>
      </c>
      <c r="B715" t="s">
        <v>18</v>
      </c>
      <c r="C715" t="s">
        <v>20</v>
      </c>
      <c r="D715" t="s">
        <v>20</v>
      </c>
      <c r="E715">
        <v>0</v>
      </c>
      <c r="F715">
        <v>360000</v>
      </c>
      <c r="G715" t="s">
        <v>26</v>
      </c>
      <c r="H715" t="s">
        <v>22</v>
      </c>
      <c r="I715" t="s">
        <v>28</v>
      </c>
      <c r="J715" t="s">
        <v>24</v>
      </c>
      <c r="K715" s="6">
        <f t="shared" ca="1" si="52"/>
        <v>34887</v>
      </c>
      <c r="L715">
        <v>-10874</v>
      </c>
      <c r="M715" s="7">
        <f t="shared" ca="1" si="50"/>
        <v>29.77138945927447</v>
      </c>
      <c r="N715" s="5" t="str">
        <f ca="1">VLOOKUP(Data!M715,temp!$B$3:$C$9,2,1)</f>
        <v>20-30</v>
      </c>
      <c r="O715">
        <v>-507</v>
      </c>
      <c r="P715" s="8">
        <f t="shared" si="51"/>
        <v>1.3880903490759753</v>
      </c>
      <c r="Q715" s="5" t="str">
        <f t="shared" si="53"/>
        <v>Employed</v>
      </c>
      <c r="R715">
        <v>1</v>
      </c>
      <c r="S715">
        <v>0</v>
      </c>
      <c r="T715">
        <v>0</v>
      </c>
      <c r="U715">
        <v>1</v>
      </c>
      <c r="V715" t="s">
        <v>38</v>
      </c>
      <c r="W715">
        <v>2</v>
      </c>
    </row>
    <row r="716" spans="1:23" x14ac:dyDescent="0.2">
      <c r="A716">
        <v>5028704</v>
      </c>
      <c r="B716" t="s">
        <v>18</v>
      </c>
      <c r="C716" t="s">
        <v>19</v>
      </c>
      <c r="D716" t="s">
        <v>20</v>
      </c>
      <c r="E716">
        <v>0</v>
      </c>
      <c r="F716">
        <v>247500</v>
      </c>
      <c r="G716" t="s">
        <v>35</v>
      </c>
      <c r="H716" t="s">
        <v>22</v>
      </c>
      <c r="I716" t="s">
        <v>42</v>
      </c>
      <c r="J716" t="s">
        <v>24</v>
      </c>
      <c r="K716" s="6">
        <f t="shared" ca="1" si="52"/>
        <v>25806</v>
      </c>
      <c r="L716">
        <v>-19955</v>
      </c>
      <c r="M716" s="7">
        <f t="shared" ca="1" si="50"/>
        <v>54.633812457221083</v>
      </c>
      <c r="N716" s="5" t="str">
        <f ca="1">VLOOKUP(Data!M716,temp!$B$3:$C$9,2,1)</f>
        <v>50-60</v>
      </c>
      <c r="O716">
        <v>-6200</v>
      </c>
      <c r="P716" s="8">
        <f t="shared" si="51"/>
        <v>16.974674880219027</v>
      </c>
      <c r="Q716" s="5" t="str">
        <f t="shared" si="53"/>
        <v>Employed</v>
      </c>
      <c r="R716">
        <v>1</v>
      </c>
      <c r="S716">
        <v>0</v>
      </c>
      <c r="T716">
        <v>0</v>
      </c>
      <c r="U716">
        <v>0</v>
      </c>
      <c r="W716">
        <v>1</v>
      </c>
    </row>
    <row r="717" spans="1:23" x14ac:dyDescent="0.2">
      <c r="A717">
        <v>5028716</v>
      </c>
      <c r="B717" t="s">
        <v>18</v>
      </c>
      <c r="C717" t="s">
        <v>19</v>
      </c>
      <c r="D717" t="s">
        <v>20</v>
      </c>
      <c r="E717">
        <v>0</v>
      </c>
      <c r="F717">
        <v>139500</v>
      </c>
      <c r="G717" t="s">
        <v>31</v>
      </c>
      <c r="H717" t="s">
        <v>22</v>
      </c>
      <c r="I717" t="s">
        <v>28</v>
      </c>
      <c r="J717" t="s">
        <v>41</v>
      </c>
      <c r="K717" s="6">
        <f t="shared" ca="1" si="52"/>
        <v>36300</v>
      </c>
      <c r="L717">
        <v>-9461</v>
      </c>
      <c r="M717" s="7">
        <f t="shared" ca="1" si="50"/>
        <v>25.902806297056809</v>
      </c>
      <c r="N717" s="5" t="str">
        <f ca="1">VLOOKUP(Data!M717,temp!$B$3:$C$9,2,1)</f>
        <v>20-30</v>
      </c>
      <c r="O717">
        <v>-446</v>
      </c>
      <c r="P717" s="8">
        <f t="shared" si="51"/>
        <v>1.2210814510609171</v>
      </c>
      <c r="Q717" s="5" t="str">
        <f t="shared" si="53"/>
        <v>Employed</v>
      </c>
      <c r="R717">
        <v>1</v>
      </c>
      <c r="S717">
        <v>0</v>
      </c>
      <c r="T717">
        <v>0</v>
      </c>
      <c r="U717">
        <v>1</v>
      </c>
      <c r="W717">
        <v>2</v>
      </c>
    </row>
    <row r="718" spans="1:23" x14ac:dyDescent="0.2">
      <c r="A718">
        <v>5028726</v>
      </c>
      <c r="B718" t="s">
        <v>25</v>
      </c>
      <c r="C718" t="s">
        <v>19</v>
      </c>
      <c r="D718" t="s">
        <v>20</v>
      </c>
      <c r="E718">
        <v>0</v>
      </c>
      <c r="F718">
        <v>360000</v>
      </c>
      <c r="G718" t="s">
        <v>26</v>
      </c>
      <c r="H718" t="s">
        <v>27</v>
      </c>
      <c r="I718" t="s">
        <v>28</v>
      </c>
      <c r="J718" t="s">
        <v>24</v>
      </c>
      <c r="K718" s="6">
        <f t="shared" ca="1" si="52"/>
        <v>33278</v>
      </c>
      <c r="L718">
        <v>-12483</v>
      </c>
      <c r="M718" s="7">
        <f t="shared" ca="1" si="50"/>
        <v>34.176591375770023</v>
      </c>
      <c r="N718" s="5" t="str">
        <f ca="1">VLOOKUP(Data!M718,temp!$B$3:$C$9,2,1)</f>
        <v>30-40</v>
      </c>
      <c r="O718">
        <v>-4039</v>
      </c>
      <c r="P718" s="8">
        <f t="shared" si="51"/>
        <v>11.058179329226558</v>
      </c>
      <c r="Q718" s="5" t="str">
        <f t="shared" si="53"/>
        <v>Employed</v>
      </c>
      <c r="R718">
        <v>1</v>
      </c>
      <c r="S718">
        <v>0</v>
      </c>
      <c r="T718">
        <v>0</v>
      </c>
      <c r="U718">
        <v>0</v>
      </c>
      <c r="V718" t="s">
        <v>32</v>
      </c>
      <c r="W718">
        <v>2</v>
      </c>
    </row>
    <row r="719" spans="1:23" x14ac:dyDescent="0.2">
      <c r="A719">
        <v>5028731</v>
      </c>
      <c r="B719" t="s">
        <v>25</v>
      </c>
      <c r="C719" t="s">
        <v>19</v>
      </c>
      <c r="D719" t="s">
        <v>20</v>
      </c>
      <c r="E719">
        <v>0</v>
      </c>
      <c r="F719">
        <v>360000</v>
      </c>
      <c r="G719" t="s">
        <v>26</v>
      </c>
      <c r="H719" t="s">
        <v>27</v>
      </c>
      <c r="I719" t="s">
        <v>28</v>
      </c>
      <c r="J719" t="s">
        <v>24</v>
      </c>
      <c r="K719" s="6">
        <f t="shared" ca="1" si="52"/>
        <v>33278</v>
      </c>
      <c r="L719">
        <v>-12483</v>
      </c>
      <c r="M719" s="7">
        <f t="shared" ca="1" si="50"/>
        <v>34.176591375770023</v>
      </c>
      <c r="N719" s="5" t="str">
        <f ca="1">VLOOKUP(Data!M719,temp!$B$3:$C$9,2,1)</f>
        <v>30-40</v>
      </c>
      <c r="O719">
        <v>-4039</v>
      </c>
      <c r="P719" s="8">
        <f t="shared" si="51"/>
        <v>11.058179329226558</v>
      </c>
      <c r="Q719" s="5" t="str">
        <f t="shared" si="53"/>
        <v>Employed</v>
      </c>
      <c r="R719">
        <v>1</v>
      </c>
      <c r="S719">
        <v>0</v>
      </c>
      <c r="T719">
        <v>0</v>
      </c>
      <c r="U719">
        <v>0</v>
      </c>
      <c r="V719" t="s">
        <v>32</v>
      </c>
      <c r="W719">
        <v>2</v>
      </c>
    </row>
    <row r="720" spans="1:23" x14ac:dyDescent="0.2">
      <c r="A720">
        <v>5028738</v>
      </c>
      <c r="B720" t="s">
        <v>25</v>
      </c>
      <c r="C720" t="s">
        <v>19</v>
      </c>
      <c r="D720" t="s">
        <v>20</v>
      </c>
      <c r="E720">
        <v>0</v>
      </c>
      <c r="F720">
        <v>360000</v>
      </c>
      <c r="G720" t="s">
        <v>26</v>
      </c>
      <c r="H720" t="s">
        <v>27</v>
      </c>
      <c r="I720" t="s">
        <v>28</v>
      </c>
      <c r="J720" t="s">
        <v>24</v>
      </c>
      <c r="K720" s="6">
        <f t="shared" ca="1" si="52"/>
        <v>33278</v>
      </c>
      <c r="L720">
        <v>-12483</v>
      </c>
      <c r="M720" s="7">
        <f t="shared" ca="1" si="50"/>
        <v>34.176591375770023</v>
      </c>
      <c r="N720" s="5" t="str">
        <f ca="1">VLOOKUP(Data!M720,temp!$B$3:$C$9,2,1)</f>
        <v>30-40</v>
      </c>
      <c r="O720">
        <v>-4039</v>
      </c>
      <c r="P720" s="8">
        <f t="shared" si="51"/>
        <v>11.058179329226558</v>
      </c>
      <c r="Q720" s="5" t="str">
        <f t="shared" si="53"/>
        <v>Employed</v>
      </c>
      <c r="R720">
        <v>1</v>
      </c>
      <c r="S720">
        <v>0</v>
      </c>
      <c r="T720">
        <v>0</v>
      </c>
      <c r="U720">
        <v>0</v>
      </c>
      <c r="V720" t="s">
        <v>32</v>
      </c>
      <c r="W720">
        <v>2</v>
      </c>
    </row>
    <row r="721" spans="1:23" x14ac:dyDescent="0.2">
      <c r="A721">
        <v>5028749</v>
      </c>
      <c r="B721" t="s">
        <v>18</v>
      </c>
      <c r="C721" t="s">
        <v>20</v>
      </c>
      <c r="D721" t="s">
        <v>19</v>
      </c>
      <c r="E721">
        <v>1</v>
      </c>
      <c r="F721">
        <v>337500</v>
      </c>
      <c r="G721" t="s">
        <v>31</v>
      </c>
      <c r="H721" t="s">
        <v>22</v>
      </c>
      <c r="I721" t="s">
        <v>28</v>
      </c>
      <c r="J721" t="s">
        <v>24</v>
      </c>
      <c r="K721" s="6">
        <f t="shared" ca="1" si="52"/>
        <v>35219</v>
      </c>
      <c r="L721">
        <v>-10542</v>
      </c>
      <c r="M721" s="7">
        <f t="shared" ca="1" si="50"/>
        <v>28.862422997946613</v>
      </c>
      <c r="N721" s="5" t="str">
        <f ca="1">VLOOKUP(Data!M721,temp!$B$3:$C$9,2,1)</f>
        <v>20-30</v>
      </c>
      <c r="O721">
        <v>-2607</v>
      </c>
      <c r="P721" s="8">
        <f t="shared" si="51"/>
        <v>7.137577002053388</v>
      </c>
      <c r="Q721" s="5" t="str">
        <f t="shared" si="53"/>
        <v>Employed</v>
      </c>
      <c r="R721">
        <v>1</v>
      </c>
      <c r="S721">
        <v>0</v>
      </c>
      <c r="T721">
        <v>0</v>
      </c>
      <c r="U721">
        <v>0</v>
      </c>
      <c r="W721">
        <v>3</v>
      </c>
    </row>
    <row r="722" spans="1:23" x14ac:dyDescent="0.2">
      <c r="A722">
        <v>5028750</v>
      </c>
      <c r="B722" t="s">
        <v>18</v>
      </c>
      <c r="C722" t="s">
        <v>20</v>
      </c>
      <c r="D722" t="s">
        <v>19</v>
      </c>
      <c r="E722">
        <v>1</v>
      </c>
      <c r="F722">
        <v>337500</v>
      </c>
      <c r="G722" t="s">
        <v>31</v>
      </c>
      <c r="H722" t="s">
        <v>22</v>
      </c>
      <c r="I722" t="s">
        <v>28</v>
      </c>
      <c r="J722" t="s">
        <v>24</v>
      </c>
      <c r="K722" s="6">
        <f t="shared" ca="1" si="52"/>
        <v>35219</v>
      </c>
      <c r="L722">
        <v>-10542</v>
      </c>
      <c r="M722" s="7">
        <f t="shared" ca="1" si="50"/>
        <v>28.862422997946613</v>
      </c>
      <c r="N722" s="5" t="str">
        <f ca="1">VLOOKUP(Data!M722,temp!$B$3:$C$9,2,1)</f>
        <v>20-30</v>
      </c>
      <c r="O722">
        <v>-2607</v>
      </c>
      <c r="P722" s="8">
        <f t="shared" si="51"/>
        <v>7.137577002053388</v>
      </c>
      <c r="Q722" s="5" t="str">
        <f t="shared" si="53"/>
        <v>Employed</v>
      </c>
      <c r="R722">
        <v>1</v>
      </c>
      <c r="S722">
        <v>0</v>
      </c>
      <c r="T722">
        <v>0</v>
      </c>
      <c r="U722">
        <v>0</v>
      </c>
      <c r="W722">
        <v>3</v>
      </c>
    </row>
    <row r="723" spans="1:23" x14ac:dyDescent="0.2">
      <c r="A723">
        <v>5028751</v>
      </c>
      <c r="B723" t="s">
        <v>18</v>
      </c>
      <c r="C723" t="s">
        <v>20</v>
      </c>
      <c r="D723" t="s">
        <v>19</v>
      </c>
      <c r="E723">
        <v>1</v>
      </c>
      <c r="F723">
        <v>337500</v>
      </c>
      <c r="G723" t="s">
        <v>31</v>
      </c>
      <c r="H723" t="s">
        <v>22</v>
      </c>
      <c r="I723" t="s">
        <v>28</v>
      </c>
      <c r="J723" t="s">
        <v>24</v>
      </c>
      <c r="K723" s="6">
        <f t="shared" ca="1" si="52"/>
        <v>35219</v>
      </c>
      <c r="L723">
        <v>-10542</v>
      </c>
      <c r="M723" s="7">
        <f t="shared" ca="1" si="50"/>
        <v>28.862422997946613</v>
      </c>
      <c r="N723" s="5" t="str">
        <f ca="1">VLOOKUP(Data!M723,temp!$B$3:$C$9,2,1)</f>
        <v>20-30</v>
      </c>
      <c r="O723">
        <v>-2607</v>
      </c>
      <c r="P723" s="8">
        <f t="shared" si="51"/>
        <v>7.137577002053388</v>
      </c>
      <c r="Q723" s="5" t="str">
        <f t="shared" si="53"/>
        <v>Employed</v>
      </c>
      <c r="R723">
        <v>1</v>
      </c>
      <c r="S723">
        <v>0</v>
      </c>
      <c r="T723">
        <v>0</v>
      </c>
      <c r="U723">
        <v>0</v>
      </c>
      <c r="W723">
        <v>3</v>
      </c>
    </row>
    <row r="724" spans="1:23" x14ac:dyDescent="0.2">
      <c r="A724">
        <v>5028755</v>
      </c>
      <c r="B724" t="s">
        <v>18</v>
      </c>
      <c r="C724" t="s">
        <v>20</v>
      </c>
      <c r="D724" t="s">
        <v>19</v>
      </c>
      <c r="E724">
        <v>1</v>
      </c>
      <c r="F724">
        <v>337500</v>
      </c>
      <c r="G724" t="s">
        <v>31</v>
      </c>
      <c r="H724" t="s">
        <v>22</v>
      </c>
      <c r="I724" t="s">
        <v>28</v>
      </c>
      <c r="J724" t="s">
        <v>24</v>
      </c>
      <c r="K724" s="6">
        <f t="shared" ca="1" si="52"/>
        <v>35219</v>
      </c>
      <c r="L724">
        <v>-10542</v>
      </c>
      <c r="M724" s="7">
        <f t="shared" ca="1" si="50"/>
        <v>28.862422997946613</v>
      </c>
      <c r="N724" s="5" t="str">
        <f ca="1">VLOOKUP(Data!M724,temp!$B$3:$C$9,2,1)</f>
        <v>20-30</v>
      </c>
      <c r="O724">
        <v>-2607</v>
      </c>
      <c r="P724" s="8">
        <f t="shared" si="51"/>
        <v>7.137577002053388</v>
      </c>
      <c r="Q724" s="5" t="str">
        <f t="shared" si="53"/>
        <v>Employed</v>
      </c>
      <c r="R724">
        <v>1</v>
      </c>
      <c r="S724">
        <v>0</v>
      </c>
      <c r="T724">
        <v>0</v>
      </c>
      <c r="U724">
        <v>0</v>
      </c>
      <c r="W724">
        <v>3</v>
      </c>
    </row>
    <row r="725" spans="1:23" x14ac:dyDescent="0.2">
      <c r="A725">
        <v>5028757</v>
      </c>
      <c r="B725" t="s">
        <v>18</v>
      </c>
      <c r="C725" t="s">
        <v>20</v>
      </c>
      <c r="D725" t="s">
        <v>19</v>
      </c>
      <c r="E725">
        <v>1</v>
      </c>
      <c r="F725">
        <v>337500</v>
      </c>
      <c r="G725" t="s">
        <v>31</v>
      </c>
      <c r="H725" t="s">
        <v>22</v>
      </c>
      <c r="I725" t="s">
        <v>28</v>
      </c>
      <c r="J725" t="s">
        <v>24</v>
      </c>
      <c r="K725" s="6">
        <f t="shared" ca="1" si="52"/>
        <v>35219</v>
      </c>
      <c r="L725">
        <v>-10542</v>
      </c>
      <c r="M725" s="7">
        <f t="shared" ca="1" si="50"/>
        <v>28.862422997946613</v>
      </c>
      <c r="N725" s="5" t="str">
        <f ca="1">VLOOKUP(Data!M725,temp!$B$3:$C$9,2,1)</f>
        <v>20-30</v>
      </c>
      <c r="O725">
        <v>-2607</v>
      </c>
      <c r="P725" s="8">
        <f t="shared" si="51"/>
        <v>7.137577002053388</v>
      </c>
      <c r="Q725" s="5" t="str">
        <f t="shared" si="53"/>
        <v>Employed</v>
      </c>
      <c r="R725">
        <v>1</v>
      </c>
      <c r="S725">
        <v>0</v>
      </c>
      <c r="T725">
        <v>0</v>
      </c>
      <c r="U725">
        <v>0</v>
      </c>
      <c r="W725">
        <v>3</v>
      </c>
    </row>
    <row r="726" spans="1:23" x14ac:dyDescent="0.2">
      <c r="A726">
        <v>5028772</v>
      </c>
      <c r="B726" t="s">
        <v>18</v>
      </c>
      <c r="C726" t="s">
        <v>19</v>
      </c>
      <c r="D726" t="s">
        <v>19</v>
      </c>
      <c r="E726">
        <v>0</v>
      </c>
      <c r="F726">
        <v>135000</v>
      </c>
      <c r="G726" t="s">
        <v>31</v>
      </c>
      <c r="H726" t="s">
        <v>22</v>
      </c>
      <c r="I726" t="s">
        <v>28</v>
      </c>
      <c r="J726" t="s">
        <v>24</v>
      </c>
      <c r="K726" s="6">
        <f t="shared" ca="1" si="52"/>
        <v>33842</v>
      </c>
      <c r="L726">
        <v>-11919</v>
      </c>
      <c r="M726" s="7">
        <f t="shared" ca="1" si="50"/>
        <v>32.632443531827512</v>
      </c>
      <c r="N726" s="5" t="str">
        <f ca="1">VLOOKUP(Data!M726,temp!$B$3:$C$9,2,1)</f>
        <v>30-40</v>
      </c>
      <c r="O726">
        <v>-1787</v>
      </c>
      <c r="P726" s="8">
        <f t="shared" si="51"/>
        <v>4.8925393566050648</v>
      </c>
      <c r="Q726" s="5" t="str">
        <f t="shared" si="53"/>
        <v>Employed</v>
      </c>
      <c r="R726">
        <v>1</v>
      </c>
      <c r="S726">
        <v>0</v>
      </c>
      <c r="T726">
        <v>1</v>
      </c>
      <c r="U726">
        <v>0</v>
      </c>
      <c r="V726" t="s">
        <v>44</v>
      </c>
      <c r="W726">
        <v>2</v>
      </c>
    </row>
    <row r="727" spans="1:23" x14ac:dyDescent="0.2">
      <c r="A727">
        <v>5028778</v>
      </c>
      <c r="B727" t="s">
        <v>18</v>
      </c>
      <c r="C727" t="s">
        <v>19</v>
      </c>
      <c r="D727" t="s">
        <v>20</v>
      </c>
      <c r="E727">
        <v>0</v>
      </c>
      <c r="F727">
        <v>108000</v>
      </c>
      <c r="G727" t="s">
        <v>31</v>
      </c>
      <c r="H727" t="s">
        <v>27</v>
      </c>
      <c r="I727" t="s">
        <v>28</v>
      </c>
      <c r="J727" t="s">
        <v>24</v>
      </c>
      <c r="K727" s="6">
        <f t="shared" ca="1" si="52"/>
        <v>37650</v>
      </c>
      <c r="L727">
        <v>-8111</v>
      </c>
      <c r="M727" s="7">
        <f t="shared" ca="1" si="50"/>
        <v>22.206707734428473</v>
      </c>
      <c r="N727" s="5" t="str">
        <f ca="1">VLOOKUP(Data!M727,temp!$B$3:$C$9,2,1)</f>
        <v>20-30</v>
      </c>
      <c r="O727">
        <v>-1361</v>
      </c>
      <c r="P727" s="8">
        <f t="shared" si="51"/>
        <v>3.7262149212867897</v>
      </c>
      <c r="Q727" s="5" t="str">
        <f t="shared" si="53"/>
        <v>Employed</v>
      </c>
      <c r="R727">
        <v>1</v>
      </c>
      <c r="S727">
        <v>0</v>
      </c>
      <c r="T727">
        <v>0</v>
      </c>
      <c r="U727">
        <v>0</v>
      </c>
      <c r="V727" t="s">
        <v>47</v>
      </c>
      <c r="W727">
        <v>2</v>
      </c>
    </row>
    <row r="728" spans="1:23" x14ac:dyDescent="0.2">
      <c r="A728">
        <v>5028784</v>
      </c>
      <c r="B728" t="s">
        <v>18</v>
      </c>
      <c r="C728" t="s">
        <v>19</v>
      </c>
      <c r="D728" t="s">
        <v>20</v>
      </c>
      <c r="E728">
        <v>0</v>
      </c>
      <c r="F728">
        <v>135000</v>
      </c>
      <c r="G728" t="s">
        <v>31</v>
      </c>
      <c r="H728" t="s">
        <v>27</v>
      </c>
      <c r="I728" t="s">
        <v>28</v>
      </c>
      <c r="J728" t="s">
        <v>24</v>
      </c>
      <c r="K728" s="6">
        <f t="shared" ca="1" si="52"/>
        <v>29925</v>
      </c>
      <c r="L728">
        <v>-15836</v>
      </c>
      <c r="M728" s="7">
        <f t="shared" ca="1" si="50"/>
        <v>43.356605065023956</v>
      </c>
      <c r="N728" s="5" t="str">
        <f ca="1">VLOOKUP(Data!M728,temp!$B$3:$C$9,2,1)</f>
        <v>40-50</v>
      </c>
      <c r="O728">
        <v>-3034</v>
      </c>
      <c r="P728" s="8">
        <f t="shared" si="51"/>
        <v>8.3066392881587952</v>
      </c>
      <c r="Q728" s="5" t="str">
        <f t="shared" si="53"/>
        <v>Employed</v>
      </c>
      <c r="R728">
        <v>1</v>
      </c>
      <c r="S728">
        <v>0</v>
      </c>
      <c r="T728">
        <v>0</v>
      </c>
      <c r="U728">
        <v>0</v>
      </c>
      <c r="W728">
        <v>2</v>
      </c>
    </row>
    <row r="729" spans="1:23" x14ac:dyDescent="0.2">
      <c r="A729">
        <v>5028794</v>
      </c>
      <c r="B729" t="s">
        <v>18</v>
      </c>
      <c r="C729" t="s">
        <v>19</v>
      </c>
      <c r="D729" t="s">
        <v>20</v>
      </c>
      <c r="E729">
        <v>2</v>
      </c>
      <c r="F729">
        <v>112500</v>
      </c>
      <c r="G729" t="s">
        <v>26</v>
      </c>
      <c r="H729" t="s">
        <v>27</v>
      </c>
      <c r="I729" t="s">
        <v>28</v>
      </c>
      <c r="J729" t="s">
        <v>24</v>
      </c>
      <c r="K729" s="6">
        <f t="shared" ca="1" si="52"/>
        <v>33198</v>
      </c>
      <c r="L729">
        <v>-12563</v>
      </c>
      <c r="M729" s="7">
        <f t="shared" ca="1" si="50"/>
        <v>34.395619438740589</v>
      </c>
      <c r="N729" s="5" t="str">
        <f ca="1">VLOOKUP(Data!M729,temp!$B$3:$C$9,2,1)</f>
        <v>30-40</v>
      </c>
      <c r="O729">
        <v>-1025</v>
      </c>
      <c r="P729" s="8">
        <f t="shared" si="51"/>
        <v>2.8062970568104038</v>
      </c>
      <c r="Q729" s="5" t="str">
        <f t="shared" si="53"/>
        <v>Employed</v>
      </c>
      <c r="R729">
        <v>1</v>
      </c>
      <c r="S729">
        <v>0</v>
      </c>
      <c r="T729">
        <v>0</v>
      </c>
      <c r="U729">
        <v>0</v>
      </c>
      <c r="V729" t="s">
        <v>55</v>
      </c>
      <c r="W729">
        <v>4</v>
      </c>
    </row>
    <row r="730" spans="1:23" x14ac:dyDescent="0.2">
      <c r="A730">
        <v>5028795</v>
      </c>
      <c r="B730" t="s">
        <v>18</v>
      </c>
      <c r="C730" t="s">
        <v>19</v>
      </c>
      <c r="D730" t="s">
        <v>20</v>
      </c>
      <c r="E730">
        <v>2</v>
      </c>
      <c r="F730">
        <v>112500</v>
      </c>
      <c r="G730" t="s">
        <v>26</v>
      </c>
      <c r="H730" t="s">
        <v>27</v>
      </c>
      <c r="I730" t="s">
        <v>28</v>
      </c>
      <c r="J730" t="s">
        <v>24</v>
      </c>
      <c r="K730" s="6">
        <f t="shared" ca="1" si="52"/>
        <v>33198</v>
      </c>
      <c r="L730">
        <v>-12563</v>
      </c>
      <c r="M730" s="7">
        <f t="shared" ca="1" si="50"/>
        <v>34.395619438740589</v>
      </c>
      <c r="N730" s="5" t="str">
        <f ca="1">VLOOKUP(Data!M730,temp!$B$3:$C$9,2,1)</f>
        <v>30-40</v>
      </c>
      <c r="O730">
        <v>-1025</v>
      </c>
      <c r="P730" s="8">
        <f t="shared" si="51"/>
        <v>2.8062970568104038</v>
      </c>
      <c r="Q730" s="5" t="str">
        <f t="shared" si="53"/>
        <v>Employed</v>
      </c>
      <c r="R730">
        <v>1</v>
      </c>
      <c r="S730">
        <v>0</v>
      </c>
      <c r="T730">
        <v>0</v>
      </c>
      <c r="U730">
        <v>0</v>
      </c>
      <c r="V730" t="s">
        <v>55</v>
      </c>
      <c r="W730">
        <v>4</v>
      </c>
    </row>
    <row r="731" spans="1:23" x14ac:dyDescent="0.2">
      <c r="A731">
        <v>5028798</v>
      </c>
      <c r="B731" t="s">
        <v>18</v>
      </c>
      <c r="C731" t="s">
        <v>19</v>
      </c>
      <c r="D731" t="s">
        <v>20</v>
      </c>
      <c r="E731">
        <v>2</v>
      </c>
      <c r="F731">
        <v>112500</v>
      </c>
      <c r="G731" t="s">
        <v>26</v>
      </c>
      <c r="H731" t="s">
        <v>27</v>
      </c>
      <c r="I731" t="s">
        <v>28</v>
      </c>
      <c r="J731" t="s">
        <v>24</v>
      </c>
      <c r="K731" s="6">
        <f t="shared" ca="1" si="52"/>
        <v>33198</v>
      </c>
      <c r="L731">
        <v>-12563</v>
      </c>
      <c r="M731" s="7">
        <f t="shared" ca="1" si="50"/>
        <v>34.395619438740589</v>
      </c>
      <c r="N731" s="5" t="str">
        <f ca="1">VLOOKUP(Data!M731,temp!$B$3:$C$9,2,1)</f>
        <v>30-40</v>
      </c>
      <c r="O731">
        <v>-1025</v>
      </c>
      <c r="P731" s="8">
        <f t="shared" si="51"/>
        <v>2.8062970568104038</v>
      </c>
      <c r="Q731" s="5" t="str">
        <f t="shared" si="53"/>
        <v>Employed</v>
      </c>
      <c r="R731">
        <v>1</v>
      </c>
      <c r="S731">
        <v>0</v>
      </c>
      <c r="T731">
        <v>0</v>
      </c>
      <c r="U731">
        <v>0</v>
      </c>
      <c r="V731" t="s">
        <v>55</v>
      </c>
      <c r="W731">
        <v>4</v>
      </c>
    </row>
    <row r="732" spans="1:23" x14ac:dyDescent="0.2">
      <c r="A732">
        <v>5028806</v>
      </c>
      <c r="B732" t="s">
        <v>18</v>
      </c>
      <c r="C732" t="s">
        <v>20</v>
      </c>
      <c r="D732" t="s">
        <v>20</v>
      </c>
      <c r="E732">
        <v>1</v>
      </c>
      <c r="F732">
        <v>135000</v>
      </c>
      <c r="G732" t="s">
        <v>31</v>
      </c>
      <c r="H732" t="s">
        <v>22</v>
      </c>
      <c r="I732" t="s">
        <v>28</v>
      </c>
      <c r="J732" t="s">
        <v>24</v>
      </c>
      <c r="K732" s="6">
        <f t="shared" ca="1" si="52"/>
        <v>33690</v>
      </c>
      <c r="L732">
        <v>-12071</v>
      </c>
      <c r="M732" s="7">
        <f t="shared" ca="1" si="50"/>
        <v>33.048596851471594</v>
      </c>
      <c r="N732" s="5" t="str">
        <f ca="1">VLOOKUP(Data!M732,temp!$B$3:$C$9,2,1)</f>
        <v>30-40</v>
      </c>
      <c r="O732">
        <v>-721</v>
      </c>
      <c r="P732" s="8">
        <f t="shared" si="51"/>
        <v>1.9739904175222451</v>
      </c>
      <c r="Q732" s="5" t="str">
        <f t="shared" si="53"/>
        <v>Employed</v>
      </c>
      <c r="R732">
        <v>1</v>
      </c>
      <c r="S732">
        <v>0</v>
      </c>
      <c r="T732">
        <v>0</v>
      </c>
      <c r="U732">
        <v>0</v>
      </c>
      <c r="W732">
        <v>3</v>
      </c>
    </row>
    <row r="733" spans="1:23" x14ac:dyDescent="0.2">
      <c r="A733">
        <v>5028810</v>
      </c>
      <c r="B733" t="s">
        <v>18</v>
      </c>
      <c r="C733" t="s">
        <v>20</v>
      </c>
      <c r="D733" t="s">
        <v>20</v>
      </c>
      <c r="E733">
        <v>1</v>
      </c>
      <c r="F733">
        <v>135000</v>
      </c>
      <c r="G733" t="s">
        <v>31</v>
      </c>
      <c r="H733" t="s">
        <v>22</v>
      </c>
      <c r="I733" t="s">
        <v>28</v>
      </c>
      <c r="J733" t="s">
        <v>24</v>
      </c>
      <c r="K733" s="6">
        <f t="shared" ca="1" si="52"/>
        <v>33690</v>
      </c>
      <c r="L733">
        <v>-12071</v>
      </c>
      <c r="M733" s="7">
        <f t="shared" ca="1" si="50"/>
        <v>33.048596851471594</v>
      </c>
      <c r="N733" s="5" t="str">
        <f ca="1">VLOOKUP(Data!M733,temp!$B$3:$C$9,2,1)</f>
        <v>30-40</v>
      </c>
      <c r="O733">
        <v>-721</v>
      </c>
      <c r="P733" s="8">
        <f t="shared" si="51"/>
        <v>1.9739904175222451</v>
      </c>
      <c r="Q733" s="5" t="str">
        <f t="shared" si="53"/>
        <v>Employed</v>
      </c>
      <c r="R733">
        <v>1</v>
      </c>
      <c r="S733">
        <v>0</v>
      </c>
      <c r="T733">
        <v>0</v>
      </c>
      <c r="U733">
        <v>0</v>
      </c>
      <c r="W733">
        <v>3</v>
      </c>
    </row>
    <row r="734" spans="1:23" x14ac:dyDescent="0.2">
      <c r="A734">
        <v>5028813</v>
      </c>
      <c r="B734" t="s">
        <v>18</v>
      </c>
      <c r="C734" t="s">
        <v>20</v>
      </c>
      <c r="D734" t="s">
        <v>20</v>
      </c>
      <c r="E734">
        <v>1</v>
      </c>
      <c r="F734">
        <v>135000</v>
      </c>
      <c r="G734" t="s">
        <v>31</v>
      </c>
      <c r="H734" t="s">
        <v>22</v>
      </c>
      <c r="I734" t="s">
        <v>28</v>
      </c>
      <c r="J734" t="s">
        <v>24</v>
      </c>
      <c r="K734" s="6">
        <f t="shared" ca="1" si="52"/>
        <v>33690</v>
      </c>
      <c r="L734">
        <v>-12071</v>
      </c>
      <c r="M734" s="7">
        <f t="shared" ca="1" si="50"/>
        <v>33.048596851471594</v>
      </c>
      <c r="N734" s="5" t="str">
        <f ca="1">VLOOKUP(Data!M734,temp!$B$3:$C$9,2,1)</f>
        <v>30-40</v>
      </c>
      <c r="O734">
        <v>-721</v>
      </c>
      <c r="P734" s="8">
        <f t="shared" si="51"/>
        <v>1.9739904175222451</v>
      </c>
      <c r="Q734" s="5" t="str">
        <f t="shared" si="53"/>
        <v>Employed</v>
      </c>
      <c r="R734">
        <v>1</v>
      </c>
      <c r="S734">
        <v>0</v>
      </c>
      <c r="T734">
        <v>0</v>
      </c>
      <c r="U734">
        <v>0</v>
      </c>
      <c r="W734">
        <v>3</v>
      </c>
    </row>
    <row r="735" spans="1:23" x14ac:dyDescent="0.2">
      <c r="A735">
        <v>5028815</v>
      </c>
      <c r="B735" t="s">
        <v>18</v>
      </c>
      <c r="C735" t="s">
        <v>20</v>
      </c>
      <c r="D735" t="s">
        <v>20</v>
      </c>
      <c r="E735">
        <v>1</v>
      </c>
      <c r="F735">
        <v>135000</v>
      </c>
      <c r="G735" t="s">
        <v>31</v>
      </c>
      <c r="H735" t="s">
        <v>22</v>
      </c>
      <c r="I735" t="s">
        <v>28</v>
      </c>
      <c r="J735" t="s">
        <v>24</v>
      </c>
      <c r="K735" s="6">
        <f t="shared" ca="1" si="52"/>
        <v>33690</v>
      </c>
      <c r="L735">
        <v>-12071</v>
      </c>
      <c r="M735" s="7">
        <f t="shared" ca="1" si="50"/>
        <v>33.048596851471594</v>
      </c>
      <c r="N735" s="5" t="str">
        <f ca="1">VLOOKUP(Data!M735,temp!$B$3:$C$9,2,1)</f>
        <v>30-40</v>
      </c>
      <c r="O735">
        <v>-721</v>
      </c>
      <c r="P735" s="8">
        <f t="shared" si="51"/>
        <v>1.9739904175222451</v>
      </c>
      <c r="Q735" s="5" t="str">
        <f t="shared" si="53"/>
        <v>Employed</v>
      </c>
      <c r="R735">
        <v>1</v>
      </c>
      <c r="S735">
        <v>0</v>
      </c>
      <c r="T735">
        <v>0</v>
      </c>
      <c r="U735">
        <v>0</v>
      </c>
      <c r="W735">
        <v>3</v>
      </c>
    </row>
    <row r="736" spans="1:23" x14ac:dyDescent="0.2">
      <c r="A736">
        <v>5028823</v>
      </c>
      <c r="B736" t="s">
        <v>18</v>
      </c>
      <c r="C736" t="s">
        <v>19</v>
      </c>
      <c r="D736" t="s">
        <v>20</v>
      </c>
      <c r="E736">
        <v>0</v>
      </c>
      <c r="F736">
        <v>180000</v>
      </c>
      <c r="G736" t="s">
        <v>26</v>
      </c>
      <c r="H736" t="s">
        <v>27</v>
      </c>
      <c r="I736" t="s">
        <v>28</v>
      </c>
      <c r="J736" t="s">
        <v>24</v>
      </c>
      <c r="K736" s="6">
        <f t="shared" ca="1" si="52"/>
        <v>27268</v>
      </c>
      <c r="L736">
        <v>-18493</v>
      </c>
      <c r="M736" s="7">
        <f t="shared" ca="1" si="50"/>
        <v>50.631074606433948</v>
      </c>
      <c r="N736" s="5" t="str">
        <f ca="1">VLOOKUP(Data!M736,temp!$B$3:$C$9,2,1)</f>
        <v>50-60</v>
      </c>
      <c r="O736">
        <v>-387</v>
      </c>
      <c r="P736" s="8">
        <f t="shared" si="51"/>
        <v>1.0595482546201231</v>
      </c>
      <c r="Q736" s="5" t="str">
        <f t="shared" si="53"/>
        <v>Employed</v>
      </c>
      <c r="R736">
        <v>1</v>
      </c>
      <c r="S736">
        <v>0</v>
      </c>
      <c r="T736">
        <v>0</v>
      </c>
      <c r="U736">
        <v>0</v>
      </c>
      <c r="V736" t="s">
        <v>39</v>
      </c>
      <c r="W736">
        <v>2</v>
      </c>
    </row>
    <row r="737" spans="1:23" x14ac:dyDescent="0.2">
      <c r="A737">
        <v>5028848</v>
      </c>
      <c r="B737" t="s">
        <v>25</v>
      </c>
      <c r="C737" t="s">
        <v>20</v>
      </c>
      <c r="D737" t="s">
        <v>20</v>
      </c>
      <c r="E737">
        <v>1</v>
      </c>
      <c r="F737">
        <v>157500</v>
      </c>
      <c r="G737" t="s">
        <v>31</v>
      </c>
      <c r="H737" t="s">
        <v>27</v>
      </c>
      <c r="I737" t="s">
        <v>28</v>
      </c>
      <c r="J737" t="s">
        <v>24</v>
      </c>
      <c r="K737" s="6">
        <f t="shared" ca="1" si="52"/>
        <v>31894</v>
      </c>
      <c r="L737">
        <v>-13867</v>
      </c>
      <c r="M737" s="7">
        <f t="shared" ca="1" si="50"/>
        <v>37.965776865160848</v>
      </c>
      <c r="N737" s="5" t="str">
        <f ca="1">VLOOKUP(Data!M737,temp!$B$3:$C$9,2,1)</f>
        <v>30-40</v>
      </c>
      <c r="O737">
        <v>-3095</v>
      </c>
      <c r="P737" s="8">
        <f t="shared" si="51"/>
        <v>8.473648186173854</v>
      </c>
      <c r="Q737" s="5" t="str">
        <f t="shared" si="53"/>
        <v>Employed</v>
      </c>
      <c r="R737">
        <v>1</v>
      </c>
      <c r="S737">
        <v>0</v>
      </c>
      <c r="T737">
        <v>0</v>
      </c>
      <c r="U737">
        <v>0</v>
      </c>
      <c r="V737" t="s">
        <v>29</v>
      </c>
      <c r="W737">
        <v>3</v>
      </c>
    </row>
    <row r="738" spans="1:23" x14ac:dyDescent="0.2">
      <c r="A738">
        <v>5028864</v>
      </c>
      <c r="B738" t="s">
        <v>25</v>
      </c>
      <c r="C738" t="s">
        <v>19</v>
      </c>
      <c r="D738" t="s">
        <v>20</v>
      </c>
      <c r="E738">
        <v>1</v>
      </c>
      <c r="F738">
        <v>202500</v>
      </c>
      <c r="G738" t="s">
        <v>31</v>
      </c>
      <c r="H738" t="s">
        <v>27</v>
      </c>
      <c r="I738" t="s">
        <v>28</v>
      </c>
      <c r="J738" t="s">
        <v>24</v>
      </c>
      <c r="K738" s="6">
        <f t="shared" ca="1" si="52"/>
        <v>28984</v>
      </c>
      <c r="L738">
        <v>-16777</v>
      </c>
      <c r="M738" s="7">
        <f t="shared" ca="1" si="50"/>
        <v>45.932922655715267</v>
      </c>
      <c r="N738" s="5" t="str">
        <f ca="1">VLOOKUP(Data!M738,temp!$B$3:$C$9,2,1)</f>
        <v>40-50</v>
      </c>
      <c r="O738">
        <v>-3278</v>
      </c>
      <c r="P738" s="8">
        <f t="shared" si="51"/>
        <v>8.9746748802190286</v>
      </c>
      <c r="Q738" s="5" t="str">
        <f t="shared" si="53"/>
        <v>Employed</v>
      </c>
      <c r="R738">
        <v>1</v>
      </c>
      <c r="S738">
        <v>0</v>
      </c>
      <c r="T738">
        <v>0</v>
      </c>
      <c r="U738">
        <v>0</v>
      </c>
      <c r="W738">
        <v>3</v>
      </c>
    </row>
    <row r="739" spans="1:23" x14ac:dyDescent="0.2">
      <c r="A739">
        <v>5028872</v>
      </c>
      <c r="B739" t="s">
        <v>18</v>
      </c>
      <c r="C739" t="s">
        <v>20</v>
      </c>
      <c r="D739" t="s">
        <v>20</v>
      </c>
      <c r="E739">
        <v>0</v>
      </c>
      <c r="F739">
        <v>234000</v>
      </c>
      <c r="G739" t="s">
        <v>31</v>
      </c>
      <c r="H739" t="s">
        <v>27</v>
      </c>
      <c r="I739" t="s">
        <v>28</v>
      </c>
      <c r="J739" t="s">
        <v>24</v>
      </c>
      <c r="K739" s="6">
        <f t="shared" ca="1" si="52"/>
        <v>26966</v>
      </c>
      <c r="L739">
        <v>-18795</v>
      </c>
      <c r="M739" s="7">
        <f t="shared" ca="1" si="50"/>
        <v>51.457905544147842</v>
      </c>
      <c r="N739" s="5" t="str">
        <f ca="1">VLOOKUP(Data!M739,temp!$B$3:$C$9,2,1)</f>
        <v>50-60</v>
      </c>
      <c r="O739">
        <v>-2486</v>
      </c>
      <c r="P739" s="8">
        <f t="shared" si="51"/>
        <v>6.8062970568104042</v>
      </c>
      <c r="Q739" s="5" t="str">
        <f t="shared" si="53"/>
        <v>Employed</v>
      </c>
      <c r="R739">
        <v>1</v>
      </c>
      <c r="S739">
        <v>0</v>
      </c>
      <c r="T739">
        <v>0</v>
      </c>
      <c r="U739">
        <v>0</v>
      </c>
      <c r="V739" t="s">
        <v>29</v>
      </c>
      <c r="W739">
        <v>2</v>
      </c>
    </row>
    <row r="740" spans="1:23" x14ac:dyDescent="0.2">
      <c r="A740">
        <v>5028875</v>
      </c>
      <c r="B740" t="s">
        <v>25</v>
      </c>
      <c r="C740" t="s">
        <v>19</v>
      </c>
      <c r="D740" t="s">
        <v>19</v>
      </c>
      <c r="E740">
        <v>3</v>
      </c>
      <c r="F740">
        <v>126000</v>
      </c>
      <c r="G740" t="s">
        <v>31</v>
      </c>
      <c r="H740" t="s">
        <v>27</v>
      </c>
      <c r="I740" t="s">
        <v>37</v>
      </c>
      <c r="J740" t="s">
        <v>41</v>
      </c>
      <c r="K740" s="6">
        <f t="shared" ca="1" si="52"/>
        <v>33689</v>
      </c>
      <c r="L740">
        <v>-12072</v>
      </c>
      <c r="M740" s="7">
        <f t="shared" ca="1" si="50"/>
        <v>33.051334702258728</v>
      </c>
      <c r="N740" s="5" t="str">
        <f ca="1">VLOOKUP(Data!M740,temp!$B$3:$C$9,2,1)</f>
        <v>30-40</v>
      </c>
      <c r="O740">
        <v>-1422</v>
      </c>
      <c r="P740" s="8">
        <f t="shared" si="51"/>
        <v>3.893223819301848</v>
      </c>
      <c r="Q740" s="5" t="str">
        <f t="shared" si="53"/>
        <v>Employed</v>
      </c>
      <c r="R740">
        <v>1</v>
      </c>
      <c r="S740">
        <v>0</v>
      </c>
      <c r="T740">
        <v>0</v>
      </c>
      <c r="U740">
        <v>1</v>
      </c>
      <c r="W740">
        <v>5</v>
      </c>
    </row>
    <row r="741" spans="1:23" x14ac:dyDescent="0.2">
      <c r="A741">
        <v>5028901</v>
      </c>
      <c r="B741" t="s">
        <v>25</v>
      </c>
      <c r="C741" t="s">
        <v>20</v>
      </c>
      <c r="D741" t="s">
        <v>20</v>
      </c>
      <c r="E741">
        <v>0</v>
      </c>
      <c r="F741">
        <v>270000</v>
      </c>
      <c r="G741" t="s">
        <v>31</v>
      </c>
      <c r="H741" t="s">
        <v>51</v>
      </c>
      <c r="I741" t="s">
        <v>23</v>
      </c>
      <c r="J741" t="s">
        <v>24</v>
      </c>
      <c r="K741" s="6">
        <f t="shared" ca="1" si="52"/>
        <v>26597</v>
      </c>
      <c r="L741">
        <v>-19164</v>
      </c>
      <c r="M741" s="7">
        <f t="shared" ca="1" si="50"/>
        <v>52.468172484599592</v>
      </c>
      <c r="N741" s="5" t="str">
        <f ca="1">VLOOKUP(Data!M741,temp!$B$3:$C$9,2,1)</f>
        <v>50-60</v>
      </c>
      <c r="O741">
        <v>-3825</v>
      </c>
      <c r="P741" s="8">
        <f t="shared" si="51"/>
        <v>10.472279260780287</v>
      </c>
      <c r="Q741" s="5" t="str">
        <f t="shared" si="53"/>
        <v>Employed</v>
      </c>
      <c r="R741">
        <v>1</v>
      </c>
      <c r="S741">
        <v>1</v>
      </c>
      <c r="T741">
        <v>0</v>
      </c>
      <c r="U741">
        <v>0</v>
      </c>
      <c r="V741" t="s">
        <v>29</v>
      </c>
      <c r="W741">
        <v>1</v>
      </c>
    </row>
    <row r="742" spans="1:23" x14ac:dyDescent="0.2">
      <c r="A742">
        <v>5028902</v>
      </c>
      <c r="B742" t="s">
        <v>18</v>
      </c>
      <c r="C742" t="s">
        <v>19</v>
      </c>
      <c r="D742" t="s">
        <v>19</v>
      </c>
      <c r="E742">
        <v>0</v>
      </c>
      <c r="F742">
        <v>67500</v>
      </c>
      <c r="G742" t="s">
        <v>31</v>
      </c>
      <c r="H742" t="s">
        <v>27</v>
      </c>
      <c r="I742" t="s">
        <v>28</v>
      </c>
      <c r="J742" t="s">
        <v>24</v>
      </c>
      <c r="K742" s="6">
        <f t="shared" ca="1" si="52"/>
        <v>35798</v>
      </c>
      <c r="L742">
        <v>-9963</v>
      </c>
      <c r="M742" s="7">
        <f t="shared" ca="1" si="50"/>
        <v>27.277207392197127</v>
      </c>
      <c r="N742" s="5" t="str">
        <f ca="1">VLOOKUP(Data!M742,temp!$B$3:$C$9,2,1)</f>
        <v>20-30</v>
      </c>
      <c r="O742">
        <v>-1876</v>
      </c>
      <c r="P742" s="8">
        <f t="shared" si="51"/>
        <v>5.1362080766598224</v>
      </c>
      <c r="Q742" s="5" t="str">
        <f t="shared" si="53"/>
        <v>Employed</v>
      </c>
      <c r="R742">
        <v>1</v>
      </c>
      <c r="S742">
        <v>0</v>
      </c>
      <c r="T742">
        <v>0</v>
      </c>
      <c r="U742">
        <v>0</v>
      </c>
      <c r="V742" t="s">
        <v>39</v>
      </c>
      <c r="W742">
        <v>2</v>
      </c>
    </row>
    <row r="743" spans="1:23" x14ac:dyDescent="0.2">
      <c r="A743">
        <v>5028917</v>
      </c>
      <c r="B743" t="s">
        <v>18</v>
      </c>
      <c r="C743" t="s">
        <v>20</v>
      </c>
      <c r="D743" t="s">
        <v>20</v>
      </c>
      <c r="E743">
        <v>0</v>
      </c>
      <c r="F743">
        <v>112500</v>
      </c>
      <c r="G743" t="s">
        <v>31</v>
      </c>
      <c r="H743" t="s">
        <v>27</v>
      </c>
      <c r="I743" t="s">
        <v>28</v>
      </c>
      <c r="J743" t="s">
        <v>24</v>
      </c>
      <c r="K743" s="6">
        <f t="shared" ca="1" si="52"/>
        <v>28559</v>
      </c>
      <c r="L743">
        <v>-17202</v>
      </c>
      <c r="M743" s="7">
        <f t="shared" ca="1" si="50"/>
        <v>47.096509240246405</v>
      </c>
      <c r="N743" s="5" t="str">
        <f ca="1">VLOOKUP(Data!M743,temp!$B$3:$C$9,2,1)</f>
        <v>40-50</v>
      </c>
      <c r="O743">
        <v>-1787</v>
      </c>
      <c r="P743" s="8">
        <f t="shared" si="51"/>
        <v>4.8925393566050648</v>
      </c>
      <c r="Q743" s="5" t="str">
        <f t="shared" si="53"/>
        <v>Employed</v>
      </c>
      <c r="R743">
        <v>1</v>
      </c>
      <c r="S743">
        <v>0</v>
      </c>
      <c r="T743">
        <v>0</v>
      </c>
      <c r="U743">
        <v>0</v>
      </c>
      <c r="V743" t="s">
        <v>39</v>
      </c>
      <c r="W743">
        <v>2</v>
      </c>
    </row>
    <row r="744" spans="1:23" x14ac:dyDescent="0.2">
      <c r="A744">
        <v>5028927</v>
      </c>
      <c r="B744" t="s">
        <v>18</v>
      </c>
      <c r="C744" t="s">
        <v>20</v>
      </c>
      <c r="D744" t="s">
        <v>20</v>
      </c>
      <c r="E744">
        <v>0</v>
      </c>
      <c r="F744">
        <v>112500</v>
      </c>
      <c r="G744" t="s">
        <v>31</v>
      </c>
      <c r="H744" t="s">
        <v>27</v>
      </c>
      <c r="I744" t="s">
        <v>28</v>
      </c>
      <c r="J744" t="s">
        <v>24</v>
      </c>
      <c r="K744" s="6">
        <f t="shared" ca="1" si="52"/>
        <v>28559</v>
      </c>
      <c r="L744">
        <v>-17202</v>
      </c>
      <c r="M744" s="7">
        <f t="shared" ca="1" si="50"/>
        <v>47.096509240246405</v>
      </c>
      <c r="N744" s="5" t="str">
        <f ca="1">VLOOKUP(Data!M744,temp!$B$3:$C$9,2,1)</f>
        <v>40-50</v>
      </c>
      <c r="O744">
        <v>-1787</v>
      </c>
      <c r="P744" s="8">
        <f t="shared" si="51"/>
        <v>4.8925393566050648</v>
      </c>
      <c r="Q744" s="5" t="str">
        <f t="shared" si="53"/>
        <v>Employed</v>
      </c>
      <c r="R744">
        <v>1</v>
      </c>
      <c r="S744">
        <v>0</v>
      </c>
      <c r="T744">
        <v>0</v>
      </c>
      <c r="U744">
        <v>0</v>
      </c>
      <c r="V744" t="s">
        <v>39</v>
      </c>
      <c r="W744">
        <v>2</v>
      </c>
    </row>
    <row r="745" spans="1:23" x14ac:dyDescent="0.2">
      <c r="A745">
        <v>5028948</v>
      </c>
      <c r="B745" t="s">
        <v>18</v>
      </c>
      <c r="C745" t="s">
        <v>19</v>
      </c>
      <c r="D745" t="s">
        <v>20</v>
      </c>
      <c r="E745">
        <v>0</v>
      </c>
      <c r="F745">
        <v>103500</v>
      </c>
      <c r="G745" t="s">
        <v>21</v>
      </c>
      <c r="H745" t="s">
        <v>27</v>
      </c>
      <c r="I745" t="s">
        <v>28</v>
      </c>
      <c r="J745" t="s">
        <v>24</v>
      </c>
      <c r="K745" s="6">
        <f t="shared" ca="1" si="52"/>
        <v>24908</v>
      </c>
      <c r="L745">
        <v>-20853</v>
      </c>
      <c r="M745" s="7">
        <f t="shared" ca="1" si="50"/>
        <v>57.092402464065707</v>
      </c>
      <c r="N745" s="5" t="str">
        <f ca="1">VLOOKUP(Data!M745,temp!$B$3:$C$9,2,1)</f>
        <v>50-60</v>
      </c>
      <c r="O745">
        <v>365243</v>
      </c>
      <c r="P745" s="8">
        <f t="shared" si="51"/>
        <v>0</v>
      </c>
      <c r="Q745" s="5" t="str">
        <f t="shared" si="53"/>
        <v>Unemployed</v>
      </c>
      <c r="R745">
        <v>1</v>
      </c>
      <c r="S745">
        <v>0</v>
      </c>
      <c r="T745">
        <v>0</v>
      </c>
      <c r="U745">
        <v>0</v>
      </c>
      <c r="W745">
        <v>2</v>
      </c>
    </row>
    <row r="746" spans="1:23" x14ac:dyDescent="0.2">
      <c r="A746">
        <v>5028952</v>
      </c>
      <c r="B746" t="s">
        <v>25</v>
      </c>
      <c r="C746" t="s">
        <v>19</v>
      </c>
      <c r="D746" t="s">
        <v>20</v>
      </c>
      <c r="E746">
        <v>0</v>
      </c>
      <c r="F746">
        <v>103500</v>
      </c>
      <c r="G746" t="s">
        <v>31</v>
      </c>
      <c r="H746" t="s">
        <v>27</v>
      </c>
      <c r="I746" t="s">
        <v>33</v>
      </c>
      <c r="J746" t="s">
        <v>24</v>
      </c>
      <c r="K746" s="6">
        <f t="shared" ca="1" si="52"/>
        <v>25930</v>
      </c>
      <c r="L746">
        <v>-19831</v>
      </c>
      <c r="M746" s="7">
        <f t="shared" ca="1" si="50"/>
        <v>54.294318959616703</v>
      </c>
      <c r="N746" s="5" t="str">
        <f ca="1">VLOOKUP(Data!M746,temp!$B$3:$C$9,2,1)</f>
        <v>50-60</v>
      </c>
      <c r="O746">
        <v>-780</v>
      </c>
      <c r="P746" s="8">
        <f t="shared" si="51"/>
        <v>2.1355236139630391</v>
      </c>
      <c r="Q746" s="5" t="str">
        <f t="shared" si="53"/>
        <v>Employed</v>
      </c>
      <c r="R746">
        <v>1</v>
      </c>
      <c r="S746">
        <v>0</v>
      </c>
      <c r="T746">
        <v>0</v>
      </c>
      <c r="U746">
        <v>0</v>
      </c>
      <c r="V746" t="s">
        <v>29</v>
      </c>
      <c r="W746">
        <v>1</v>
      </c>
    </row>
    <row r="747" spans="1:23" x14ac:dyDescent="0.2">
      <c r="A747">
        <v>5028954</v>
      </c>
      <c r="B747" t="s">
        <v>18</v>
      </c>
      <c r="C747" t="s">
        <v>19</v>
      </c>
      <c r="D747" t="s">
        <v>20</v>
      </c>
      <c r="E747">
        <v>0</v>
      </c>
      <c r="F747">
        <v>135000</v>
      </c>
      <c r="G747" t="s">
        <v>21</v>
      </c>
      <c r="H747" t="s">
        <v>27</v>
      </c>
      <c r="I747" t="s">
        <v>28</v>
      </c>
      <c r="J747" t="s">
        <v>24</v>
      </c>
      <c r="K747" s="6">
        <f t="shared" ca="1" si="52"/>
        <v>23478</v>
      </c>
      <c r="L747">
        <v>-22283</v>
      </c>
      <c r="M747" s="7">
        <f t="shared" ca="1" si="50"/>
        <v>61.007529089664615</v>
      </c>
      <c r="N747" s="5" t="str">
        <f ca="1">VLOOKUP(Data!M747,temp!$B$3:$C$9,2,1)</f>
        <v>60-70</v>
      </c>
      <c r="O747">
        <v>365243</v>
      </c>
      <c r="P747" s="8">
        <f t="shared" si="51"/>
        <v>0</v>
      </c>
      <c r="Q747" s="5" t="str">
        <f t="shared" si="53"/>
        <v>Unemployed</v>
      </c>
      <c r="R747">
        <v>1</v>
      </c>
      <c r="S747">
        <v>0</v>
      </c>
      <c r="T747">
        <v>0</v>
      </c>
      <c r="U747">
        <v>0</v>
      </c>
      <c r="W747">
        <v>2</v>
      </c>
    </row>
    <row r="748" spans="1:23" x14ac:dyDescent="0.2">
      <c r="A748">
        <v>5028969</v>
      </c>
      <c r="B748" t="s">
        <v>18</v>
      </c>
      <c r="C748" t="s">
        <v>20</v>
      </c>
      <c r="D748" t="s">
        <v>20</v>
      </c>
      <c r="E748">
        <v>0</v>
      </c>
      <c r="F748">
        <v>135000</v>
      </c>
      <c r="G748" t="s">
        <v>21</v>
      </c>
      <c r="H748" t="s">
        <v>22</v>
      </c>
      <c r="I748" t="s">
        <v>23</v>
      </c>
      <c r="J748" t="s">
        <v>24</v>
      </c>
      <c r="K748" s="6">
        <f t="shared" ca="1" si="52"/>
        <v>23917</v>
      </c>
      <c r="L748">
        <v>-21844</v>
      </c>
      <c r="M748" s="7">
        <f t="shared" ca="1" si="50"/>
        <v>59.805612594113619</v>
      </c>
      <c r="N748" s="5" t="str">
        <f ca="1">VLOOKUP(Data!M748,temp!$B$3:$C$9,2,1)</f>
        <v>50-60</v>
      </c>
      <c r="O748">
        <v>365243</v>
      </c>
      <c r="P748" s="8">
        <f t="shared" si="51"/>
        <v>0</v>
      </c>
      <c r="Q748" s="5" t="str">
        <f t="shared" si="53"/>
        <v>Unemployed</v>
      </c>
      <c r="R748">
        <v>1</v>
      </c>
      <c r="S748">
        <v>0</v>
      </c>
      <c r="T748">
        <v>0</v>
      </c>
      <c r="U748">
        <v>0</v>
      </c>
      <c r="W748">
        <v>1</v>
      </c>
    </row>
    <row r="749" spans="1:23" x14ac:dyDescent="0.2">
      <c r="A749">
        <v>5028986</v>
      </c>
      <c r="B749" t="s">
        <v>18</v>
      </c>
      <c r="C749" t="s">
        <v>19</v>
      </c>
      <c r="D749" t="s">
        <v>20</v>
      </c>
      <c r="E749">
        <v>0</v>
      </c>
      <c r="F749">
        <v>193500</v>
      </c>
      <c r="G749" t="s">
        <v>31</v>
      </c>
      <c r="H749" t="s">
        <v>27</v>
      </c>
      <c r="I749" t="s">
        <v>23</v>
      </c>
      <c r="J749" t="s">
        <v>24</v>
      </c>
      <c r="K749" s="6">
        <f t="shared" ca="1" si="52"/>
        <v>26698</v>
      </c>
      <c r="L749">
        <v>-19063</v>
      </c>
      <c r="M749" s="7">
        <f t="shared" ca="1" si="50"/>
        <v>52.191649555099247</v>
      </c>
      <c r="N749" s="5" t="str">
        <f ca="1">VLOOKUP(Data!M749,temp!$B$3:$C$9,2,1)</f>
        <v>50-60</v>
      </c>
      <c r="O749">
        <v>-2213</v>
      </c>
      <c r="P749" s="8">
        <f t="shared" si="51"/>
        <v>6.0588637919233399</v>
      </c>
      <c r="Q749" s="5" t="str">
        <f t="shared" si="53"/>
        <v>Employed</v>
      </c>
      <c r="R749">
        <v>1</v>
      </c>
      <c r="S749">
        <v>1</v>
      </c>
      <c r="T749">
        <v>1</v>
      </c>
      <c r="U749">
        <v>1</v>
      </c>
      <c r="V749" t="s">
        <v>29</v>
      </c>
      <c r="W749">
        <v>1</v>
      </c>
    </row>
    <row r="750" spans="1:23" x14ac:dyDescent="0.2">
      <c r="A750">
        <v>5028991</v>
      </c>
      <c r="B750" t="s">
        <v>18</v>
      </c>
      <c r="C750" t="s">
        <v>19</v>
      </c>
      <c r="D750" t="s">
        <v>19</v>
      </c>
      <c r="E750">
        <v>2</v>
      </c>
      <c r="F750">
        <v>81000</v>
      </c>
      <c r="G750" t="s">
        <v>31</v>
      </c>
      <c r="H750" t="s">
        <v>51</v>
      </c>
      <c r="I750" t="s">
        <v>33</v>
      </c>
      <c r="J750" t="s">
        <v>24</v>
      </c>
      <c r="K750" s="6">
        <f t="shared" ca="1" si="52"/>
        <v>30388</v>
      </c>
      <c r="L750">
        <v>-15373</v>
      </c>
      <c r="M750" s="7">
        <f t="shared" ca="1" si="50"/>
        <v>42.08898015058179</v>
      </c>
      <c r="N750" s="5" t="str">
        <f ca="1">VLOOKUP(Data!M750,temp!$B$3:$C$9,2,1)</f>
        <v>40-50</v>
      </c>
      <c r="O750">
        <v>-2333</v>
      </c>
      <c r="P750" s="8">
        <f t="shared" si="51"/>
        <v>6.3874058863791925</v>
      </c>
      <c r="Q750" s="5" t="str">
        <f t="shared" si="53"/>
        <v>Employed</v>
      </c>
      <c r="R750">
        <v>1</v>
      </c>
      <c r="S750">
        <v>0</v>
      </c>
      <c r="T750">
        <v>0</v>
      </c>
      <c r="U750">
        <v>0</v>
      </c>
      <c r="V750" t="s">
        <v>39</v>
      </c>
      <c r="W750">
        <v>3</v>
      </c>
    </row>
    <row r="751" spans="1:23" x14ac:dyDescent="0.2">
      <c r="A751">
        <v>5029031</v>
      </c>
      <c r="B751" t="s">
        <v>18</v>
      </c>
      <c r="C751" t="s">
        <v>19</v>
      </c>
      <c r="D751" t="s">
        <v>20</v>
      </c>
      <c r="E751">
        <v>2</v>
      </c>
      <c r="F751">
        <v>67500</v>
      </c>
      <c r="G751" t="s">
        <v>31</v>
      </c>
      <c r="H751" t="s">
        <v>27</v>
      </c>
      <c r="I751" t="s">
        <v>28</v>
      </c>
      <c r="J751" t="s">
        <v>24</v>
      </c>
      <c r="K751" s="6">
        <f t="shared" ca="1" si="52"/>
        <v>33585</v>
      </c>
      <c r="L751">
        <v>-12176</v>
      </c>
      <c r="M751" s="7">
        <f t="shared" ca="1" si="50"/>
        <v>33.336071184120463</v>
      </c>
      <c r="N751" s="5" t="str">
        <f ca="1">VLOOKUP(Data!M751,temp!$B$3:$C$9,2,1)</f>
        <v>30-40</v>
      </c>
      <c r="O751">
        <v>-5316</v>
      </c>
      <c r="P751" s="8">
        <f t="shared" si="51"/>
        <v>14.55441478439425</v>
      </c>
      <c r="Q751" s="5" t="str">
        <f t="shared" si="53"/>
        <v>Employed</v>
      </c>
      <c r="R751">
        <v>1</v>
      </c>
      <c r="S751">
        <v>0</v>
      </c>
      <c r="T751">
        <v>1</v>
      </c>
      <c r="U751">
        <v>0</v>
      </c>
      <c r="V751" t="s">
        <v>47</v>
      </c>
      <c r="W751">
        <v>4</v>
      </c>
    </row>
    <row r="752" spans="1:23" x14ac:dyDescent="0.2">
      <c r="A752">
        <v>5029038</v>
      </c>
      <c r="B752" t="s">
        <v>18</v>
      </c>
      <c r="C752" t="s">
        <v>19</v>
      </c>
      <c r="D752" t="s">
        <v>20</v>
      </c>
      <c r="E752">
        <v>0</v>
      </c>
      <c r="F752">
        <v>90000</v>
      </c>
      <c r="G752" t="s">
        <v>21</v>
      </c>
      <c r="H752" t="s">
        <v>27</v>
      </c>
      <c r="I752" t="s">
        <v>28</v>
      </c>
      <c r="J752" t="s">
        <v>24</v>
      </c>
      <c r="K752" s="6">
        <f t="shared" ca="1" si="52"/>
        <v>22536</v>
      </c>
      <c r="L752">
        <v>-23225</v>
      </c>
      <c r="M752" s="7">
        <f t="shared" ca="1" si="50"/>
        <v>63.586584531143053</v>
      </c>
      <c r="N752" s="5" t="str">
        <f ca="1">VLOOKUP(Data!M752,temp!$B$3:$C$9,2,1)</f>
        <v>60-70</v>
      </c>
      <c r="O752">
        <v>365243</v>
      </c>
      <c r="P752" s="8">
        <f t="shared" si="51"/>
        <v>0</v>
      </c>
      <c r="Q752" s="5" t="str">
        <f t="shared" si="53"/>
        <v>Unemployed</v>
      </c>
      <c r="R752">
        <v>1</v>
      </c>
      <c r="S752">
        <v>0</v>
      </c>
      <c r="T752">
        <v>0</v>
      </c>
      <c r="U752">
        <v>0</v>
      </c>
      <c r="W752">
        <v>2</v>
      </c>
    </row>
    <row r="753" spans="1:23" x14ac:dyDescent="0.2">
      <c r="A753">
        <v>5029063</v>
      </c>
      <c r="B753" t="s">
        <v>18</v>
      </c>
      <c r="C753" t="s">
        <v>19</v>
      </c>
      <c r="D753" t="s">
        <v>20</v>
      </c>
      <c r="E753">
        <v>1</v>
      </c>
      <c r="F753">
        <v>67500</v>
      </c>
      <c r="G753" t="s">
        <v>31</v>
      </c>
      <c r="H753" t="s">
        <v>27</v>
      </c>
      <c r="I753" t="s">
        <v>28</v>
      </c>
      <c r="J753" t="s">
        <v>24</v>
      </c>
      <c r="K753" s="6">
        <f t="shared" ca="1" si="52"/>
        <v>36041</v>
      </c>
      <c r="L753">
        <v>-9720</v>
      </c>
      <c r="M753" s="7">
        <f t="shared" ca="1" si="50"/>
        <v>26.611909650924023</v>
      </c>
      <c r="N753" s="5" t="str">
        <f ca="1">VLOOKUP(Data!M753,temp!$B$3:$C$9,2,1)</f>
        <v>20-30</v>
      </c>
      <c r="O753">
        <v>-507</v>
      </c>
      <c r="P753" s="8">
        <f t="shared" si="51"/>
        <v>1.3880903490759753</v>
      </c>
      <c r="Q753" s="5" t="str">
        <f t="shared" si="53"/>
        <v>Employed</v>
      </c>
      <c r="R753">
        <v>1</v>
      </c>
      <c r="S753">
        <v>0</v>
      </c>
      <c r="T753">
        <v>0</v>
      </c>
      <c r="U753">
        <v>1</v>
      </c>
      <c r="W753">
        <v>3</v>
      </c>
    </row>
    <row r="754" spans="1:23" x14ac:dyDescent="0.2">
      <c r="A754">
        <v>5029064</v>
      </c>
      <c r="B754" t="s">
        <v>18</v>
      </c>
      <c r="C754" t="s">
        <v>19</v>
      </c>
      <c r="D754" t="s">
        <v>20</v>
      </c>
      <c r="E754">
        <v>1</v>
      </c>
      <c r="F754">
        <v>67500</v>
      </c>
      <c r="G754" t="s">
        <v>31</v>
      </c>
      <c r="H754" t="s">
        <v>27</v>
      </c>
      <c r="I754" t="s">
        <v>28</v>
      </c>
      <c r="J754" t="s">
        <v>24</v>
      </c>
      <c r="K754" s="6">
        <f t="shared" ca="1" si="52"/>
        <v>36041</v>
      </c>
      <c r="L754">
        <v>-9720</v>
      </c>
      <c r="M754" s="7">
        <f t="shared" ca="1" si="50"/>
        <v>26.611909650924023</v>
      </c>
      <c r="N754" s="5" t="str">
        <f ca="1">VLOOKUP(Data!M754,temp!$B$3:$C$9,2,1)</f>
        <v>20-30</v>
      </c>
      <c r="O754">
        <v>-507</v>
      </c>
      <c r="P754" s="8">
        <f t="shared" si="51"/>
        <v>1.3880903490759753</v>
      </c>
      <c r="Q754" s="5" t="str">
        <f t="shared" si="53"/>
        <v>Employed</v>
      </c>
      <c r="R754">
        <v>1</v>
      </c>
      <c r="S754">
        <v>0</v>
      </c>
      <c r="T754">
        <v>0</v>
      </c>
      <c r="U754">
        <v>1</v>
      </c>
      <c r="W754">
        <v>3</v>
      </c>
    </row>
    <row r="755" spans="1:23" x14ac:dyDescent="0.2">
      <c r="A755">
        <v>5029072</v>
      </c>
      <c r="B755" t="s">
        <v>18</v>
      </c>
      <c r="C755" t="s">
        <v>19</v>
      </c>
      <c r="D755" t="s">
        <v>20</v>
      </c>
      <c r="E755">
        <v>0</v>
      </c>
      <c r="F755">
        <v>202500</v>
      </c>
      <c r="G755" t="s">
        <v>35</v>
      </c>
      <c r="H755" t="s">
        <v>27</v>
      </c>
      <c r="I755" t="s">
        <v>28</v>
      </c>
      <c r="J755" t="s">
        <v>24</v>
      </c>
      <c r="K755" s="6">
        <f t="shared" ca="1" si="52"/>
        <v>25698</v>
      </c>
      <c r="L755">
        <v>-20063</v>
      </c>
      <c r="M755" s="7">
        <f t="shared" ca="1" si="50"/>
        <v>54.92950034223135</v>
      </c>
      <c r="N755" s="5" t="str">
        <f ca="1">VLOOKUP(Data!M755,temp!$B$3:$C$9,2,1)</f>
        <v>50-60</v>
      </c>
      <c r="O755">
        <v>-1907</v>
      </c>
      <c r="P755" s="8">
        <f t="shared" si="51"/>
        <v>5.2210814510609174</v>
      </c>
      <c r="Q755" s="5" t="str">
        <f t="shared" si="53"/>
        <v>Employed</v>
      </c>
      <c r="R755">
        <v>1</v>
      </c>
      <c r="S755">
        <v>0</v>
      </c>
      <c r="T755">
        <v>0</v>
      </c>
      <c r="U755">
        <v>0</v>
      </c>
      <c r="V755" t="s">
        <v>29</v>
      </c>
      <c r="W755">
        <v>2</v>
      </c>
    </row>
    <row r="756" spans="1:23" x14ac:dyDescent="0.2">
      <c r="A756">
        <v>5029079</v>
      </c>
      <c r="B756" t="s">
        <v>18</v>
      </c>
      <c r="C756" t="s">
        <v>19</v>
      </c>
      <c r="D756" t="s">
        <v>20</v>
      </c>
      <c r="E756">
        <v>1</v>
      </c>
      <c r="F756">
        <v>135000</v>
      </c>
      <c r="G756" t="s">
        <v>31</v>
      </c>
      <c r="H756" t="s">
        <v>36</v>
      </c>
      <c r="I756" t="s">
        <v>23</v>
      </c>
      <c r="J756" t="s">
        <v>24</v>
      </c>
      <c r="K756" s="6">
        <f t="shared" ca="1" si="52"/>
        <v>35608</v>
      </c>
      <c r="L756">
        <v>-10153</v>
      </c>
      <c r="M756" s="7">
        <f t="shared" ca="1" si="50"/>
        <v>27.797399041752225</v>
      </c>
      <c r="N756" s="5" t="str">
        <f ca="1">VLOOKUP(Data!M756,temp!$B$3:$C$9,2,1)</f>
        <v>20-30</v>
      </c>
      <c r="O756">
        <v>-599</v>
      </c>
      <c r="P756" s="8">
        <f t="shared" si="51"/>
        <v>1.6399726214921286</v>
      </c>
      <c r="Q756" s="5" t="str">
        <f t="shared" si="53"/>
        <v>Employed</v>
      </c>
      <c r="R756">
        <v>1</v>
      </c>
      <c r="S756">
        <v>0</v>
      </c>
      <c r="T756">
        <v>0</v>
      </c>
      <c r="U756">
        <v>0</v>
      </c>
      <c r="V756" t="s">
        <v>39</v>
      </c>
      <c r="W756">
        <v>2</v>
      </c>
    </row>
    <row r="757" spans="1:23" x14ac:dyDescent="0.2">
      <c r="A757">
        <v>5029087</v>
      </c>
      <c r="B757" t="s">
        <v>18</v>
      </c>
      <c r="C757" t="s">
        <v>19</v>
      </c>
      <c r="D757" t="s">
        <v>20</v>
      </c>
      <c r="E757">
        <v>0</v>
      </c>
      <c r="F757">
        <v>153000</v>
      </c>
      <c r="G757" t="s">
        <v>26</v>
      </c>
      <c r="H757" t="s">
        <v>36</v>
      </c>
      <c r="I757" t="s">
        <v>28</v>
      </c>
      <c r="J757" t="s">
        <v>24</v>
      </c>
      <c r="K757" s="6">
        <f t="shared" ca="1" si="52"/>
        <v>36398</v>
      </c>
      <c r="L757">
        <v>-9363</v>
      </c>
      <c r="M757" s="7">
        <f t="shared" ca="1" si="50"/>
        <v>25.634496919917865</v>
      </c>
      <c r="N757" s="5" t="str">
        <f ca="1">VLOOKUP(Data!M757,temp!$B$3:$C$9,2,1)</f>
        <v>20-30</v>
      </c>
      <c r="O757">
        <v>-1056</v>
      </c>
      <c r="P757" s="8">
        <f t="shared" si="51"/>
        <v>2.8911704312114992</v>
      </c>
      <c r="Q757" s="5" t="str">
        <f t="shared" si="53"/>
        <v>Employed</v>
      </c>
      <c r="R757">
        <v>1</v>
      </c>
      <c r="S757">
        <v>0</v>
      </c>
      <c r="T757">
        <v>0</v>
      </c>
      <c r="U757">
        <v>1</v>
      </c>
      <c r="W757">
        <v>2</v>
      </c>
    </row>
    <row r="758" spans="1:23" x14ac:dyDescent="0.2">
      <c r="A758">
        <v>5029091</v>
      </c>
      <c r="B758" t="s">
        <v>18</v>
      </c>
      <c r="C758" t="s">
        <v>19</v>
      </c>
      <c r="D758" t="s">
        <v>20</v>
      </c>
      <c r="E758">
        <v>0</v>
      </c>
      <c r="F758">
        <v>135000</v>
      </c>
      <c r="G758" t="s">
        <v>21</v>
      </c>
      <c r="H758" t="s">
        <v>22</v>
      </c>
      <c r="I758" t="s">
        <v>28</v>
      </c>
      <c r="J758" t="s">
        <v>24</v>
      </c>
      <c r="K758" s="6">
        <f t="shared" ca="1" si="52"/>
        <v>23213</v>
      </c>
      <c r="L758">
        <v>-22548</v>
      </c>
      <c r="M758" s="7">
        <f t="shared" ca="1" si="50"/>
        <v>61.733059548254623</v>
      </c>
      <c r="N758" s="5" t="str">
        <f ca="1">VLOOKUP(Data!M758,temp!$B$3:$C$9,2,1)</f>
        <v>60-70</v>
      </c>
      <c r="O758">
        <v>365243</v>
      </c>
      <c r="P758" s="8">
        <f t="shared" si="51"/>
        <v>0</v>
      </c>
      <c r="Q758" s="5" t="str">
        <f t="shared" si="53"/>
        <v>Unemployed</v>
      </c>
      <c r="R758">
        <v>1</v>
      </c>
      <c r="S758">
        <v>0</v>
      </c>
      <c r="T758">
        <v>0</v>
      </c>
      <c r="U758">
        <v>0</v>
      </c>
      <c r="W758">
        <v>2</v>
      </c>
    </row>
    <row r="759" spans="1:23" x14ac:dyDescent="0.2">
      <c r="A759">
        <v>5029095</v>
      </c>
      <c r="B759" t="s">
        <v>18</v>
      </c>
      <c r="C759" t="s">
        <v>19</v>
      </c>
      <c r="D759" t="s">
        <v>20</v>
      </c>
      <c r="E759">
        <v>0</v>
      </c>
      <c r="F759">
        <v>135000</v>
      </c>
      <c r="G759" t="s">
        <v>21</v>
      </c>
      <c r="H759" t="s">
        <v>22</v>
      </c>
      <c r="I759" t="s">
        <v>28</v>
      </c>
      <c r="J759" t="s">
        <v>24</v>
      </c>
      <c r="K759" s="6">
        <f t="shared" ca="1" si="52"/>
        <v>23213</v>
      </c>
      <c r="L759">
        <v>-22548</v>
      </c>
      <c r="M759" s="7">
        <f t="shared" ca="1" si="50"/>
        <v>61.733059548254623</v>
      </c>
      <c r="N759" s="5" t="str">
        <f ca="1">VLOOKUP(Data!M759,temp!$B$3:$C$9,2,1)</f>
        <v>60-70</v>
      </c>
      <c r="O759">
        <v>365243</v>
      </c>
      <c r="P759" s="8">
        <f t="shared" si="51"/>
        <v>0</v>
      </c>
      <c r="Q759" s="5" t="str">
        <f t="shared" si="53"/>
        <v>Unemployed</v>
      </c>
      <c r="R759">
        <v>1</v>
      </c>
      <c r="S759">
        <v>0</v>
      </c>
      <c r="T759">
        <v>0</v>
      </c>
      <c r="U759">
        <v>0</v>
      </c>
      <c r="W759">
        <v>2</v>
      </c>
    </row>
    <row r="760" spans="1:23" x14ac:dyDescent="0.2">
      <c r="A760">
        <v>5029097</v>
      </c>
      <c r="B760" t="s">
        <v>25</v>
      </c>
      <c r="C760" t="s">
        <v>20</v>
      </c>
      <c r="D760" t="s">
        <v>20</v>
      </c>
      <c r="E760">
        <v>2</v>
      </c>
      <c r="F760">
        <v>135000</v>
      </c>
      <c r="G760" t="s">
        <v>31</v>
      </c>
      <c r="H760" t="s">
        <v>22</v>
      </c>
      <c r="I760" t="s">
        <v>28</v>
      </c>
      <c r="J760" t="s">
        <v>24</v>
      </c>
      <c r="K760" s="6">
        <f t="shared" ca="1" si="52"/>
        <v>34197</v>
      </c>
      <c r="L760">
        <v>-11564</v>
      </c>
      <c r="M760" s="7">
        <f t="shared" ca="1" si="50"/>
        <v>31.66050650239562</v>
      </c>
      <c r="N760" s="5" t="str">
        <f ca="1">VLOOKUP(Data!M760,temp!$B$3:$C$9,2,1)</f>
        <v>30-40</v>
      </c>
      <c r="O760">
        <v>-2944</v>
      </c>
      <c r="P760" s="8">
        <f t="shared" si="51"/>
        <v>8.0602327173169055</v>
      </c>
      <c r="Q760" s="5" t="str">
        <f t="shared" si="53"/>
        <v>Employed</v>
      </c>
      <c r="R760">
        <v>1</v>
      </c>
      <c r="S760">
        <v>0</v>
      </c>
      <c r="T760">
        <v>0</v>
      </c>
      <c r="U760">
        <v>1</v>
      </c>
      <c r="V760" t="s">
        <v>32</v>
      </c>
      <c r="W760">
        <v>4</v>
      </c>
    </row>
    <row r="761" spans="1:23" x14ac:dyDescent="0.2">
      <c r="A761">
        <v>5029103</v>
      </c>
      <c r="B761" t="s">
        <v>25</v>
      </c>
      <c r="C761" t="s">
        <v>20</v>
      </c>
      <c r="D761" t="s">
        <v>20</v>
      </c>
      <c r="E761">
        <v>2</v>
      </c>
      <c r="F761">
        <v>135000</v>
      </c>
      <c r="G761" t="s">
        <v>31</v>
      </c>
      <c r="H761" t="s">
        <v>22</v>
      </c>
      <c r="I761" t="s">
        <v>28</v>
      </c>
      <c r="J761" t="s">
        <v>24</v>
      </c>
      <c r="K761" s="6">
        <f t="shared" ca="1" si="52"/>
        <v>34197</v>
      </c>
      <c r="L761">
        <v>-11564</v>
      </c>
      <c r="M761" s="7">
        <f t="shared" ca="1" si="50"/>
        <v>31.66050650239562</v>
      </c>
      <c r="N761" s="5" t="str">
        <f ca="1">VLOOKUP(Data!M761,temp!$B$3:$C$9,2,1)</f>
        <v>30-40</v>
      </c>
      <c r="O761">
        <v>-2944</v>
      </c>
      <c r="P761" s="8">
        <f t="shared" si="51"/>
        <v>8.0602327173169055</v>
      </c>
      <c r="Q761" s="5" t="str">
        <f t="shared" si="53"/>
        <v>Employed</v>
      </c>
      <c r="R761">
        <v>1</v>
      </c>
      <c r="S761">
        <v>0</v>
      </c>
      <c r="T761">
        <v>0</v>
      </c>
      <c r="U761">
        <v>1</v>
      </c>
      <c r="V761" t="s">
        <v>32</v>
      </c>
      <c r="W761">
        <v>4</v>
      </c>
    </row>
    <row r="762" spans="1:23" x14ac:dyDescent="0.2">
      <c r="A762">
        <v>5029105</v>
      </c>
      <c r="B762" t="s">
        <v>25</v>
      </c>
      <c r="C762" t="s">
        <v>20</v>
      </c>
      <c r="D762" t="s">
        <v>19</v>
      </c>
      <c r="E762">
        <v>1</v>
      </c>
      <c r="F762">
        <v>315000</v>
      </c>
      <c r="G762" t="s">
        <v>35</v>
      </c>
      <c r="H762" t="s">
        <v>27</v>
      </c>
      <c r="I762" t="s">
        <v>28</v>
      </c>
      <c r="J762" t="s">
        <v>24</v>
      </c>
      <c r="K762" s="6">
        <f t="shared" ca="1" si="52"/>
        <v>32531</v>
      </c>
      <c r="L762">
        <v>-13230</v>
      </c>
      <c r="M762" s="7">
        <f t="shared" ca="1" si="50"/>
        <v>36.2217659137577</v>
      </c>
      <c r="N762" s="5" t="str">
        <f ca="1">VLOOKUP(Data!M762,temp!$B$3:$C$9,2,1)</f>
        <v>30-40</v>
      </c>
      <c r="O762">
        <v>-3643</v>
      </c>
      <c r="P762" s="8">
        <f t="shared" si="51"/>
        <v>9.9739904175222449</v>
      </c>
      <c r="Q762" s="5" t="str">
        <f t="shared" si="53"/>
        <v>Employed</v>
      </c>
      <c r="R762">
        <v>1</v>
      </c>
      <c r="S762">
        <v>0</v>
      </c>
      <c r="T762">
        <v>0</v>
      </c>
      <c r="U762">
        <v>1</v>
      </c>
      <c r="V762" t="s">
        <v>47</v>
      </c>
      <c r="W762">
        <v>3</v>
      </c>
    </row>
    <row r="763" spans="1:23" x14ac:dyDescent="0.2">
      <c r="A763">
        <v>5029109</v>
      </c>
      <c r="B763" t="s">
        <v>25</v>
      </c>
      <c r="C763" t="s">
        <v>20</v>
      </c>
      <c r="D763" t="s">
        <v>19</v>
      </c>
      <c r="E763">
        <v>1</v>
      </c>
      <c r="F763">
        <v>315000</v>
      </c>
      <c r="G763" t="s">
        <v>35</v>
      </c>
      <c r="H763" t="s">
        <v>27</v>
      </c>
      <c r="I763" t="s">
        <v>28</v>
      </c>
      <c r="J763" t="s">
        <v>24</v>
      </c>
      <c r="K763" s="6">
        <f t="shared" ca="1" si="52"/>
        <v>32531</v>
      </c>
      <c r="L763">
        <v>-13230</v>
      </c>
      <c r="M763" s="7">
        <f t="shared" ca="1" si="50"/>
        <v>36.2217659137577</v>
      </c>
      <c r="N763" s="5" t="str">
        <f ca="1">VLOOKUP(Data!M763,temp!$B$3:$C$9,2,1)</f>
        <v>30-40</v>
      </c>
      <c r="O763">
        <v>-3643</v>
      </c>
      <c r="P763" s="8">
        <f t="shared" si="51"/>
        <v>9.9739904175222449</v>
      </c>
      <c r="Q763" s="5" t="str">
        <f t="shared" si="53"/>
        <v>Employed</v>
      </c>
      <c r="R763">
        <v>1</v>
      </c>
      <c r="S763">
        <v>0</v>
      </c>
      <c r="T763">
        <v>0</v>
      </c>
      <c r="U763">
        <v>1</v>
      </c>
      <c r="V763" t="s">
        <v>47</v>
      </c>
      <c r="W763">
        <v>3</v>
      </c>
    </row>
    <row r="764" spans="1:23" x14ac:dyDescent="0.2">
      <c r="A764">
        <v>5029111</v>
      </c>
      <c r="B764" t="s">
        <v>18</v>
      </c>
      <c r="C764" t="s">
        <v>20</v>
      </c>
      <c r="D764" t="s">
        <v>20</v>
      </c>
      <c r="E764">
        <v>2</v>
      </c>
      <c r="F764">
        <v>225000</v>
      </c>
      <c r="G764" t="s">
        <v>35</v>
      </c>
      <c r="H764" t="s">
        <v>22</v>
      </c>
      <c r="I764" t="s">
        <v>28</v>
      </c>
      <c r="J764" t="s">
        <v>24</v>
      </c>
      <c r="K764" s="6">
        <f t="shared" ca="1" si="52"/>
        <v>31030</v>
      </c>
      <c r="L764">
        <v>-14731</v>
      </c>
      <c r="M764" s="7">
        <f t="shared" ca="1" si="50"/>
        <v>40.331279945242983</v>
      </c>
      <c r="N764" s="5" t="str">
        <f ca="1">VLOOKUP(Data!M764,temp!$B$3:$C$9,2,1)</f>
        <v>40-50</v>
      </c>
      <c r="O764">
        <v>-4617</v>
      </c>
      <c r="P764" s="8">
        <f t="shared" si="51"/>
        <v>12.640657084188911</v>
      </c>
      <c r="Q764" s="5" t="str">
        <f t="shared" si="53"/>
        <v>Employed</v>
      </c>
      <c r="R764">
        <v>1</v>
      </c>
      <c r="S764">
        <v>0</v>
      </c>
      <c r="T764">
        <v>0</v>
      </c>
      <c r="U764">
        <v>0</v>
      </c>
      <c r="V764" t="s">
        <v>50</v>
      </c>
      <c r="W764">
        <v>4</v>
      </c>
    </row>
    <row r="765" spans="1:23" x14ac:dyDescent="0.2">
      <c r="A765">
        <v>5029114</v>
      </c>
      <c r="B765" t="s">
        <v>18</v>
      </c>
      <c r="C765" t="s">
        <v>20</v>
      </c>
      <c r="D765" t="s">
        <v>20</v>
      </c>
      <c r="E765">
        <v>2</v>
      </c>
      <c r="F765">
        <v>225000</v>
      </c>
      <c r="G765" t="s">
        <v>35</v>
      </c>
      <c r="H765" t="s">
        <v>22</v>
      </c>
      <c r="I765" t="s">
        <v>28</v>
      </c>
      <c r="J765" t="s">
        <v>24</v>
      </c>
      <c r="K765" s="6">
        <f t="shared" ca="1" si="52"/>
        <v>31030</v>
      </c>
      <c r="L765">
        <v>-14731</v>
      </c>
      <c r="M765" s="7">
        <f t="shared" ca="1" si="50"/>
        <v>40.331279945242983</v>
      </c>
      <c r="N765" s="5" t="str">
        <f ca="1">VLOOKUP(Data!M765,temp!$B$3:$C$9,2,1)</f>
        <v>40-50</v>
      </c>
      <c r="O765">
        <v>-4617</v>
      </c>
      <c r="P765" s="8">
        <f t="shared" si="51"/>
        <v>12.640657084188911</v>
      </c>
      <c r="Q765" s="5" t="str">
        <f t="shared" si="53"/>
        <v>Employed</v>
      </c>
      <c r="R765">
        <v>1</v>
      </c>
      <c r="S765">
        <v>0</v>
      </c>
      <c r="T765">
        <v>0</v>
      </c>
      <c r="U765">
        <v>0</v>
      </c>
      <c r="V765" t="s">
        <v>50</v>
      </c>
      <c r="W765">
        <v>4</v>
      </c>
    </row>
    <row r="766" spans="1:23" x14ac:dyDescent="0.2">
      <c r="A766">
        <v>5029122</v>
      </c>
      <c r="B766" t="s">
        <v>18</v>
      </c>
      <c r="C766" t="s">
        <v>19</v>
      </c>
      <c r="D766" t="s">
        <v>20</v>
      </c>
      <c r="E766">
        <v>0</v>
      </c>
      <c r="F766">
        <v>123750</v>
      </c>
      <c r="G766" t="s">
        <v>31</v>
      </c>
      <c r="H766" t="s">
        <v>27</v>
      </c>
      <c r="I766" t="s">
        <v>28</v>
      </c>
      <c r="J766" t="s">
        <v>24</v>
      </c>
      <c r="K766" s="6">
        <f t="shared" ca="1" si="52"/>
        <v>29075</v>
      </c>
      <c r="L766">
        <v>-16686</v>
      </c>
      <c r="M766" s="7">
        <f t="shared" ca="1" si="50"/>
        <v>45.68377823408624</v>
      </c>
      <c r="N766" s="5" t="str">
        <f ca="1">VLOOKUP(Data!M766,temp!$B$3:$C$9,2,1)</f>
        <v>40-50</v>
      </c>
      <c r="O766">
        <v>-599</v>
      </c>
      <c r="P766" s="8">
        <f t="shared" si="51"/>
        <v>1.6399726214921286</v>
      </c>
      <c r="Q766" s="5" t="str">
        <f t="shared" si="53"/>
        <v>Employed</v>
      </c>
      <c r="R766">
        <v>1</v>
      </c>
      <c r="S766">
        <v>0</v>
      </c>
      <c r="T766">
        <v>0</v>
      </c>
      <c r="U766">
        <v>0</v>
      </c>
      <c r="V766" t="s">
        <v>46</v>
      </c>
      <c r="W766">
        <v>2</v>
      </c>
    </row>
    <row r="767" spans="1:23" x14ac:dyDescent="0.2">
      <c r="A767">
        <v>5029130</v>
      </c>
      <c r="B767" t="s">
        <v>18</v>
      </c>
      <c r="C767" t="s">
        <v>19</v>
      </c>
      <c r="D767" t="s">
        <v>20</v>
      </c>
      <c r="E767">
        <v>0</v>
      </c>
      <c r="F767">
        <v>123750</v>
      </c>
      <c r="G767" t="s">
        <v>31</v>
      </c>
      <c r="H767" t="s">
        <v>27</v>
      </c>
      <c r="I767" t="s">
        <v>28</v>
      </c>
      <c r="J767" t="s">
        <v>24</v>
      </c>
      <c r="K767" s="6">
        <f t="shared" ca="1" si="52"/>
        <v>29075</v>
      </c>
      <c r="L767">
        <v>-16686</v>
      </c>
      <c r="M767" s="7">
        <f t="shared" ca="1" si="50"/>
        <v>45.68377823408624</v>
      </c>
      <c r="N767" s="5" t="str">
        <f ca="1">VLOOKUP(Data!M767,temp!$B$3:$C$9,2,1)</f>
        <v>40-50</v>
      </c>
      <c r="O767">
        <v>-599</v>
      </c>
      <c r="P767" s="8">
        <f t="shared" si="51"/>
        <v>1.6399726214921286</v>
      </c>
      <c r="Q767" s="5" t="str">
        <f t="shared" si="53"/>
        <v>Employed</v>
      </c>
      <c r="R767">
        <v>1</v>
      </c>
      <c r="S767">
        <v>0</v>
      </c>
      <c r="T767">
        <v>0</v>
      </c>
      <c r="U767">
        <v>0</v>
      </c>
      <c r="V767" t="s">
        <v>46</v>
      </c>
      <c r="W767">
        <v>2</v>
      </c>
    </row>
    <row r="768" spans="1:23" x14ac:dyDescent="0.2">
      <c r="A768">
        <v>5029138</v>
      </c>
      <c r="B768" t="s">
        <v>18</v>
      </c>
      <c r="C768" t="s">
        <v>20</v>
      </c>
      <c r="D768" t="s">
        <v>20</v>
      </c>
      <c r="E768">
        <v>0</v>
      </c>
      <c r="F768">
        <v>360000</v>
      </c>
      <c r="G768" t="s">
        <v>26</v>
      </c>
      <c r="H768" t="s">
        <v>27</v>
      </c>
      <c r="I768" t="s">
        <v>28</v>
      </c>
      <c r="J768" t="s">
        <v>24</v>
      </c>
      <c r="K768" s="6">
        <f t="shared" ca="1" si="52"/>
        <v>33191</v>
      </c>
      <c r="L768">
        <v>-12570</v>
      </c>
      <c r="M768" s="7">
        <f t="shared" ca="1" si="50"/>
        <v>34.414784394250511</v>
      </c>
      <c r="N768" s="5" t="str">
        <f ca="1">VLOOKUP(Data!M768,temp!$B$3:$C$9,2,1)</f>
        <v>30-40</v>
      </c>
      <c r="O768">
        <v>-3095</v>
      </c>
      <c r="P768" s="8">
        <f t="shared" si="51"/>
        <v>8.473648186173854</v>
      </c>
      <c r="Q768" s="5" t="str">
        <f t="shared" si="53"/>
        <v>Employed</v>
      </c>
      <c r="R768">
        <v>1</v>
      </c>
      <c r="S768">
        <v>1</v>
      </c>
      <c r="T768">
        <v>0</v>
      </c>
      <c r="U768">
        <v>0</v>
      </c>
      <c r="V768" t="s">
        <v>32</v>
      </c>
      <c r="W768">
        <v>2</v>
      </c>
    </row>
    <row r="769" spans="1:23" x14ac:dyDescent="0.2">
      <c r="A769">
        <v>5029162</v>
      </c>
      <c r="B769" t="s">
        <v>18</v>
      </c>
      <c r="C769" t="s">
        <v>19</v>
      </c>
      <c r="D769" t="s">
        <v>19</v>
      </c>
      <c r="E769">
        <v>0</v>
      </c>
      <c r="F769">
        <v>180000</v>
      </c>
      <c r="G769" t="s">
        <v>26</v>
      </c>
      <c r="H769" t="s">
        <v>27</v>
      </c>
      <c r="I769" t="s">
        <v>28</v>
      </c>
      <c r="J769" t="s">
        <v>24</v>
      </c>
      <c r="K769" s="6">
        <f t="shared" ca="1" si="52"/>
        <v>33300</v>
      </c>
      <c r="L769">
        <v>-12461</v>
      </c>
      <c r="M769" s="7">
        <f t="shared" ca="1" si="50"/>
        <v>34.116358658453116</v>
      </c>
      <c r="N769" s="5" t="str">
        <f ca="1">VLOOKUP(Data!M769,temp!$B$3:$C$9,2,1)</f>
        <v>30-40</v>
      </c>
      <c r="O769">
        <v>-1805</v>
      </c>
      <c r="P769" s="8">
        <f t="shared" si="51"/>
        <v>4.9418206707734429</v>
      </c>
      <c r="Q769" s="5" t="str">
        <f t="shared" si="53"/>
        <v>Employed</v>
      </c>
      <c r="R769">
        <v>1</v>
      </c>
      <c r="S769">
        <v>1</v>
      </c>
      <c r="T769">
        <v>0</v>
      </c>
      <c r="U769">
        <v>0</v>
      </c>
      <c r="V769" t="s">
        <v>39</v>
      </c>
      <c r="W769">
        <v>2</v>
      </c>
    </row>
    <row r="770" spans="1:23" x14ac:dyDescent="0.2">
      <c r="A770">
        <v>5029163</v>
      </c>
      <c r="B770" t="s">
        <v>18</v>
      </c>
      <c r="C770" t="s">
        <v>19</v>
      </c>
      <c r="D770" t="s">
        <v>20</v>
      </c>
      <c r="E770">
        <v>3</v>
      </c>
      <c r="F770">
        <v>157500</v>
      </c>
      <c r="G770" t="s">
        <v>31</v>
      </c>
      <c r="H770" t="s">
        <v>27</v>
      </c>
      <c r="I770" t="s">
        <v>37</v>
      </c>
      <c r="J770" t="s">
        <v>24</v>
      </c>
      <c r="K770" s="6">
        <f t="shared" ca="1" si="52"/>
        <v>34084</v>
      </c>
      <c r="L770">
        <v>-11677</v>
      </c>
      <c r="M770" s="7">
        <f t="shared" ca="1" si="50"/>
        <v>31.969883641341546</v>
      </c>
      <c r="N770" s="5" t="str">
        <f ca="1">VLOOKUP(Data!M770,temp!$B$3:$C$9,2,1)</f>
        <v>30-40</v>
      </c>
      <c r="O770">
        <v>-3356</v>
      </c>
      <c r="P770" s="8">
        <f t="shared" si="51"/>
        <v>9.1882272416153317</v>
      </c>
      <c r="Q770" s="5" t="str">
        <f t="shared" si="53"/>
        <v>Employed</v>
      </c>
      <c r="R770">
        <v>1</v>
      </c>
      <c r="S770">
        <v>0</v>
      </c>
      <c r="T770">
        <v>0</v>
      </c>
      <c r="U770">
        <v>0</v>
      </c>
      <c r="V770" t="s">
        <v>29</v>
      </c>
      <c r="W770">
        <v>5</v>
      </c>
    </row>
    <row r="771" spans="1:23" x14ac:dyDescent="0.2">
      <c r="A771">
        <v>5029168</v>
      </c>
      <c r="B771" t="s">
        <v>18</v>
      </c>
      <c r="C771" t="s">
        <v>19</v>
      </c>
      <c r="D771" t="s">
        <v>20</v>
      </c>
      <c r="E771">
        <v>0</v>
      </c>
      <c r="F771">
        <v>117000</v>
      </c>
      <c r="G771" t="s">
        <v>21</v>
      </c>
      <c r="H771" t="s">
        <v>27</v>
      </c>
      <c r="I771" t="s">
        <v>28</v>
      </c>
      <c r="J771" t="s">
        <v>24</v>
      </c>
      <c r="K771" s="6">
        <f t="shared" ca="1" si="52"/>
        <v>24993</v>
      </c>
      <c r="L771">
        <v>-20768</v>
      </c>
      <c r="M771" s="7">
        <f t="shared" ref="M771:M834" ca="1" si="54">(TODAY()-K771)/365.25</f>
        <v>56.859685147159482</v>
      </c>
      <c r="N771" s="5" t="str">
        <f ca="1">VLOOKUP(Data!M771,temp!$B$3:$C$9,2,1)</f>
        <v>50-60</v>
      </c>
      <c r="O771">
        <v>365243</v>
      </c>
      <c r="P771" s="8">
        <f t="shared" ref="P771:P834" si="55">IF(O771&lt;=0,ABS(O771)/365.25,0)</f>
        <v>0</v>
      </c>
      <c r="Q771" s="5" t="str">
        <f t="shared" si="53"/>
        <v>Unemployed</v>
      </c>
      <c r="R771">
        <v>1</v>
      </c>
      <c r="S771">
        <v>0</v>
      </c>
      <c r="T771">
        <v>0</v>
      </c>
      <c r="U771">
        <v>0</v>
      </c>
      <c r="W771">
        <v>2</v>
      </c>
    </row>
    <row r="772" spans="1:23" x14ac:dyDescent="0.2">
      <c r="A772">
        <v>5029199</v>
      </c>
      <c r="B772" t="s">
        <v>25</v>
      </c>
      <c r="C772" t="s">
        <v>20</v>
      </c>
      <c r="D772" t="s">
        <v>20</v>
      </c>
      <c r="E772">
        <v>0</v>
      </c>
      <c r="F772">
        <v>90000</v>
      </c>
      <c r="G772" t="s">
        <v>26</v>
      </c>
      <c r="H772" t="s">
        <v>27</v>
      </c>
      <c r="I772" t="s">
        <v>28</v>
      </c>
      <c r="J772" t="s">
        <v>24</v>
      </c>
      <c r="K772" s="6">
        <f t="shared" ca="1" si="52"/>
        <v>26865</v>
      </c>
      <c r="L772">
        <v>-18896</v>
      </c>
      <c r="M772" s="7">
        <f t="shared" ca="1" si="54"/>
        <v>51.734428473648187</v>
      </c>
      <c r="N772" s="5" t="str">
        <f ca="1">VLOOKUP(Data!M772,temp!$B$3:$C$9,2,1)</f>
        <v>50-60</v>
      </c>
      <c r="O772">
        <v>-1661</v>
      </c>
      <c r="P772" s="8">
        <f t="shared" si="55"/>
        <v>4.5475701574264207</v>
      </c>
      <c r="Q772" s="5" t="str">
        <f t="shared" si="53"/>
        <v>Employed</v>
      </c>
      <c r="R772">
        <v>1</v>
      </c>
      <c r="S772">
        <v>0</v>
      </c>
      <c r="T772">
        <v>0</v>
      </c>
      <c r="U772">
        <v>0</v>
      </c>
      <c r="V772" t="s">
        <v>29</v>
      </c>
      <c r="W772">
        <v>2</v>
      </c>
    </row>
    <row r="773" spans="1:23" x14ac:dyDescent="0.2">
      <c r="A773">
        <v>5029205</v>
      </c>
      <c r="B773" t="s">
        <v>18</v>
      </c>
      <c r="C773" t="s">
        <v>19</v>
      </c>
      <c r="D773" t="s">
        <v>20</v>
      </c>
      <c r="E773">
        <v>0</v>
      </c>
      <c r="F773">
        <v>180000</v>
      </c>
      <c r="G773" t="s">
        <v>21</v>
      </c>
      <c r="H773" t="s">
        <v>27</v>
      </c>
      <c r="I773" t="s">
        <v>28</v>
      </c>
      <c r="J773" t="s">
        <v>24</v>
      </c>
      <c r="K773" s="6">
        <f t="shared" ca="1" si="52"/>
        <v>23646</v>
      </c>
      <c r="L773">
        <v>-22115</v>
      </c>
      <c r="M773" s="7">
        <f t="shared" ca="1" si="54"/>
        <v>60.547570157426421</v>
      </c>
      <c r="N773" s="5" t="str">
        <f ca="1">VLOOKUP(Data!M773,temp!$B$3:$C$9,2,1)</f>
        <v>60-70</v>
      </c>
      <c r="O773">
        <v>365243</v>
      </c>
      <c r="P773" s="8">
        <f t="shared" si="55"/>
        <v>0</v>
      </c>
      <c r="Q773" s="5" t="str">
        <f t="shared" si="53"/>
        <v>Unemployed</v>
      </c>
      <c r="R773">
        <v>1</v>
      </c>
      <c r="S773">
        <v>0</v>
      </c>
      <c r="T773">
        <v>1</v>
      </c>
      <c r="U773">
        <v>0</v>
      </c>
      <c r="W773">
        <v>2</v>
      </c>
    </row>
    <row r="774" spans="1:23" x14ac:dyDescent="0.2">
      <c r="A774">
        <v>5029230</v>
      </c>
      <c r="B774" t="s">
        <v>25</v>
      </c>
      <c r="C774" t="s">
        <v>19</v>
      </c>
      <c r="D774" t="s">
        <v>20</v>
      </c>
      <c r="E774">
        <v>0</v>
      </c>
      <c r="F774">
        <v>180000</v>
      </c>
      <c r="G774" t="s">
        <v>31</v>
      </c>
      <c r="H774" t="s">
        <v>27</v>
      </c>
      <c r="I774" t="s">
        <v>28</v>
      </c>
      <c r="J774" t="s">
        <v>24</v>
      </c>
      <c r="K774" s="6">
        <f t="shared" ca="1" si="52"/>
        <v>26353</v>
      </c>
      <c r="L774">
        <v>-19408</v>
      </c>
      <c r="M774" s="7">
        <f t="shared" ca="1" si="54"/>
        <v>53.13620807665982</v>
      </c>
      <c r="N774" s="5" t="str">
        <f ca="1">VLOOKUP(Data!M774,temp!$B$3:$C$9,2,1)</f>
        <v>50-60</v>
      </c>
      <c r="O774">
        <v>-4553</v>
      </c>
      <c r="P774" s="8">
        <f t="shared" si="55"/>
        <v>12.465434633812457</v>
      </c>
      <c r="Q774" s="5" t="str">
        <f t="shared" si="53"/>
        <v>Employed</v>
      </c>
      <c r="R774">
        <v>1</v>
      </c>
      <c r="S774">
        <v>0</v>
      </c>
      <c r="T774">
        <v>1</v>
      </c>
      <c r="U774">
        <v>0</v>
      </c>
      <c r="V774" t="s">
        <v>29</v>
      </c>
      <c r="W774">
        <v>2</v>
      </c>
    </row>
    <row r="775" spans="1:23" x14ac:dyDescent="0.2">
      <c r="A775">
        <v>5029236</v>
      </c>
      <c r="B775" t="s">
        <v>18</v>
      </c>
      <c r="C775" t="s">
        <v>19</v>
      </c>
      <c r="D775" t="s">
        <v>20</v>
      </c>
      <c r="E775">
        <v>0</v>
      </c>
      <c r="F775">
        <v>81000</v>
      </c>
      <c r="G775" t="s">
        <v>21</v>
      </c>
      <c r="H775" t="s">
        <v>27</v>
      </c>
      <c r="I775" t="s">
        <v>23</v>
      </c>
      <c r="J775" t="s">
        <v>24</v>
      </c>
      <c r="K775" s="6">
        <f t="shared" ca="1" si="52"/>
        <v>22624</v>
      </c>
      <c r="L775">
        <v>-23137</v>
      </c>
      <c r="M775" s="7">
        <f t="shared" ca="1" si="54"/>
        <v>63.345653661875431</v>
      </c>
      <c r="N775" s="5" t="str">
        <f ca="1">VLOOKUP(Data!M775,temp!$B$3:$C$9,2,1)</f>
        <v>60-70</v>
      </c>
      <c r="O775">
        <v>365243</v>
      </c>
      <c r="P775" s="8">
        <f t="shared" si="55"/>
        <v>0</v>
      </c>
      <c r="Q775" s="5" t="str">
        <f t="shared" si="53"/>
        <v>Unemployed</v>
      </c>
      <c r="R775">
        <v>1</v>
      </c>
      <c r="S775">
        <v>0</v>
      </c>
      <c r="T775">
        <v>0</v>
      </c>
      <c r="U775">
        <v>0</v>
      </c>
      <c r="W775">
        <v>1</v>
      </c>
    </row>
    <row r="776" spans="1:23" x14ac:dyDescent="0.2">
      <c r="A776">
        <v>5029266</v>
      </c>
      <c r="B776" t="s">
        <v>25</v>
      </c>
      <c r="C776" t="s">
        <v>20</v>
      </c>
      <c r="D776" t="s">
        <v>20</v>
      </c>
      <c r="E776">
        <v>2</v>
      </c>
      <c r="F776">
        <v>225000</v>
      </c>
      <c r="G776" t="s">
        <v>31</v>
      </c>
      <c r="H776" t="s">
        <v>22</v>
      </c>
      <c r="I776" t="s">
        <v>28</v>
      </c>
      <c r="J776" t="s">
        <v>24</v>
      </c>
      <c r="K776" s="6">
        <f t="shared" ref="K776:K839" ca="1" si="56">TODAY()+($L776)</f>
        <v>32305</v>
      </c>
      <c r="L776">
        <v>-13456</v>
      </c>
      <c r="M776" s="7">
        <f t="shared" ca="1" si="54"/>
        <v>36.840520191649553</v>
      </c>
      <c r="N776" s="5" t="str">
        <f ca="1">VLOOKUP(Data!M776,temp!$B$3:$C$9,2,1)</f>
        <v>30-40</v>
      </c>
      <c r="O776">
        <v>-992</v>
      </c>
      <c r="P776" s="8">
        <f t="shared" si="55"/>
        <v>2.7159479808350446</v>
      </c>
      <c r="Q776" s="5" t="str">
        <f t="shared" ref="Q776:Q839" si="57">IF($O776&gt;0,"Unemployed","Employed")</f>
        <v>Employed</v>
      </c>
      <c r="R776">
        <v>1</v>
      </c>
      <c r="S776">
        <v>0</v>
      </c>
      <c r="T776">
        <v>0</v>
      </c>
      <c r="U776">
        <v>0</v>
      </c>
      <c r="V776" t="s">
        <v>30</v>
      </c>
      <c r="W776">
        <v>4</v>
      </c>
    </row>
    <row r="777" spans="1:23" x14ac:dyDescent="0.2">
      <c r="A777">
        <v>5029276</v>
      </c>
      <c r="B777" t="s">
        <v>18</v>
      </c>
      <c r="C777" t="s">
        <v>19</v>
      </c>
      <c r="D777" t="s">
        <v>19</v>
      </c>
      <c r="E777">
        <v>0</v>
      </c>
      <c r="F777">
        <v>220500</v>
      </c>
      <c r="G777" t="s">
        <v>31</v>
      </c>
      <c r="H777" t="s">
        <v>27</v>
      </c>
      <c r="I777" t="s">
        <v>28</v>
      </c>
      <c r="J777" t="s">
        <v>24</v>
      </c>
      <c r="K777" s="6">
        <f t="shared" ca="1" si="56"/>
        <v>30631</v>
      </c>
      <c r="L777">
        <v>-15130</v>
      </c>
      <c r="M777" s="7">
        <f t="shared" ca="1" si="54"/>
        <v>41.42368240930869</v>
      </c>
      <c r="N777" s="5" t="str">
        <f ca="1">VLOOKUP(Data!M777,temp!$B$3:$C$9,2,1)</f>
        <v>40-50</v>
      </c>
      <c r="O777">
        <v>-170</v>
      </c>
      <c r="P777" s="8">
        <f t="shared" si="55"/>
        <v>0.4654346338124572</v>
      </c>
      <c r="Q777" s="5" t="str">
        <f t="shared" si="57"/>
        <v>Employed</v>
      </c>
      <c r="R777">
        <v>1</v>
      </c>
      <c r="S777">
        <v>0</v>
      </c>
      <c r="T777">
        <v>0</v>
      </c>
      <c r="U777">
        <v>0</v>
      </c>
      <c r="W777">
        <v>2</v>
      </c>
    </row>
    <row r="778" spans="1:23" x14ac:dyDescent="0.2">
      <c r="A778">
        <v>5029288</v>
      </c>
      <c r="B778" t="s">
        <v>18</v>
      </c>
      <c r="C778" t="s">
        <v>19</v>
      </c>
      <c r="D778" t="s">
        <v>19</v>
      </c>
      <c r="E778">
        <v>0</v>
      </c>
      <c r="F778">
        <v>265500</v>
      </c>
      <c r="G778" t="s">
        <v>21</v>
      </c>
      <c r="H778" t="s">
        <v>27</v>
      </c>
      <c r="I778" t="s">
        <v>28</v>
      </c>
      <c r="J778" t="s">
        <v>24</v>
      </c>
      <c r="K778" s="6">
        <f t="shared" ca="1" si="56"/>
        <v>24958</v>
      </c>
      <c r="L778">
        <v>-20803</v>
      </c>
      <c r="M778" s="7">
        <f t="shared" ca="1" si="54"/>
        <v>56.955509924709105</v>
      </c>
      <c r="N778" s="5" t="str">
        <f ca="1">VLOOKUP(Data!M778,temp!$B$3:$C$9,2,1)</f>
        <v>50-60</v>
      </c>
      <c r="O778">
        <v>365243</v>
      </c>
      <c r="P778" s="8">
        <f t="shared" si="55"/>
        <v>0</v>
      </c>
      <c r="Q778" s="5" t="str">
        <f t="shared" si="57"/>
        <v>Unemployed</v>
      </c>
      <c r="R778">
        <v>1</v>
      </c>
      <c r="S778">
        <v>0</v>
      </c>
      <c r="T778">
        <v>0</v>
      </c>
      <c r="U778">
        <v>0</v>
      </c>
      <c r="W778">
        <v>2</v>
      </c>
    </row>
    <row r="779" spans="1:23" x14ac:dyDescent="0.2">
      <c r="A779">
        <v>5029297</v>
      </c>
      <c r="B779" t="s">
        <v>18</v>
      </c>
      <c r="C779" t="s">
        <v>19</v>
      </c>
      <c r="D779" t="s">
        <v>19</v>
      </c>
      <c r="E779">
        <v>0</v>
      </c>
      <c r="F779">
        <v>265500</v>
      </c>
      <c r="G779" t="s">
        <v>21</v>
      </c>
      <c r="H779" t="s">
        <v>27</v>
      </c>
      <c r="I779" t="s">
        <v>28</v>
      </c>
      <c r="J779" t="s">
        <v>24</v>
      </c>
      <c r="K779" s="6">
        <f t="shared" ca="1" si="56"/>
        <v>24958</v>
      </c>
      <c r="L779">
        <v>-20803</v>
      </c>
      <c r="M779" s="7">
        <f t="shared" ca="1" si="54"/>
        <v>56.955509924709105</v>
      </c>
      <c r="N779" s="5" t="str">
        <f ca="1">VLOOKUP(Data!M779,temp!$B$3:$C$9,2,1)</f>
        <v>50-60</v>
      </c>
      <c r="O779">
        <v>365243</v>
      </c>
      <c r="P779" s="8">
        <f t="shared" si="55"/>
        <v>0</v>
      </c>
      <c r="Q779" s="5" t="str">
        <f t="shared" si="57"/>
        <v>Unemployed</v>
      </c>
      <c r="R779">
        <v>1</v>
      </c>
      <c r="S779">
        <v>0</v>
      </c>
      <c r="T779">
        <v>0</v>
      </c>
      <c r="U779">
        <v>0</v>
      </c>
      <c r="W779">
        <v>2</v>
      </c>
    </row>
    <row r="780" spans="1:23" x14ac:dyDescent="0.2">
      <c r="A780">
        <v>5029299</v>
      </c>
      <c r="B780" t="s">
        <v>18</v>
      </c>
      <c r="C780" t="s">
        <v>20</v>
      </c>
      <c r="D780" t="s">
        <v>20</v>
      </c>
      <c r="E780">
        <v>1</v>
      </c>
      <c r="F780">
        <v>247500</v>
      </c>
      <c r="G780" t="s">
        <v>31</v>
      </c>
      <c r="H780" t="s">
        <v>36</v>
      </c>
      <c r="I780" t="s">
        <v>28</v>
      </c>
      <c r="J780" t="s">
        <v>24</v>
      </c>
      <c r="K780" s="6">
        <f t="shared" ca="1" si="56"/>
        <v>31715</v>
      </c>
      <c r="L780">
        <v>-14046</v>
      </c>
      <c r="M780" s="7">
        <f t="shared" ca="1" si="54"/>
        <v>38.455852156057496</v>
      </c>
      <c r="N780" s="5" t="str">
        <f ca="1">VLOOKUP(Data!M780,temp!$B$3:$C$9,2,1)</f>
        <v>30-40</v>
      </c>
      <c r="O780">
        <v>-353</v>
      </c>
      <c r="P780" s="8">
        <f t="shared" si="55"/>
        <v>0.96646132785763172</v>
      </c>
      <c r="Q780" s="5" t="str">
        <f t="shared" si="57"/>
        <v>Employed</v>
      </c>
      <c r="R780">
        <v>1</v>
      </c>
      <c r="S780">
        <v>0</v>
      </c>
      <c r="T780">
        <v>0</v>
      </c>
      <c r="U780">
        <v>0</v>
      </c>
      <c r="V780" t="s">
        <v>39</v>
      </c>
      <c r="W780">
        <v>3</v>
      </c>
    </row>
    <row r="781" spans="1:23" x14ac:dyDescent="0.2">
      <c r="A781">
        <v>5029305</v>
      </c>
      <c r="B781" t="s">
        <v>25</v>
      </c>
      <c r="C781" t="s">
        <v>20</v>
      </c>
      <c r="D781" t="s">
        <v>20</v>
      </c>
      <c r="E781">
        <v>2</v>
      </c>
      <c r="F781">
        <v>157500</v>
      </c>
      <c r="G781" t="s">
        <v>31</v>
      </c>
      <c r="H781" t="s">
        <v>27</v>
      </c>
      <c r="I781" t="s">
        <v>28</v>
      </c>
      <c r="J781" t="s">
        <v>24</v>
      </c>
      <c r="K781" s="6">
        <f t="shared" ca="1" si="56"/>
        <v>30186</v>
      </c>
      <c r="L781">
        <v>-15575</v>
      </c>
      <c r="M781" s="7">
        <f t="shared" ca="1" si="54"/>
        <v>42.64202600958248</v>
      </c>
      <c r="N781" s="5" t="str">
        <f ca="1">VLOOKUP(Data!M781,temp!$B$3:$C$9,2,1)</f>
        <v>40-50</v>
      </c>
      <c r="O781">
        <v>-139</v>
      </c>
      <c r="P781" s="8">
        <f t="shared" si="55"/>
        <v>0.3805612594113621</v>
      </c>
      <c r="Q781" s="5" t="str">
        <f t="shared" si="57"/>
        <v>Employed</v>
      </c>
      <c r="R781">
        <v>1</v>
      </c>
      <c r="S781">
        <v>0</v>
      </c>
      <c r="T781">
        <v>0</v>
      </c>
      <c r="U781">
        <v>0</v>
      </c>
      <c r="V781" t="s">
        <v>30</v>
      </c>
      <c r="W781">
        <v>4</v>
      </c>
    </row>
    <row r="782" spans="1:23" x14ac:dyDescent="0.2">
      <c r="A782">
        <v>5029328</v>
      </c>
      <c r="B782" t="s">
        <v>25</v>
      </c>
      <c r="C782" t="s">
        <v>19</v>
      </c>
      <c r="D782" t="s">
        <v>20</v>
      </c>
      <c r="E782">
        <v>0</v>
      </c>
      <c r="F782">
        <v>112500</v>
      </c>
      <c r="G782" t="s">
        <v>21</v>
      </c>
      <c r="H782" t="s">
        <v>27</v>
      </c>
      <c r="I782" t="s">
        <v>28</v>
      </c>
      <c r="J782" t="s">
        <v>24</v>
      </c>
      <c r="K782" s="6">
        <f t="shared" ca="1" si="56"/>
        <v>23180</v>
      </c>
      <c r="L782">
        <v>-22581</v>
      </c>
      <c r="M782" s="7">
        <f t="shared" ca="1" si="54"/>
        <v>61.823408624229977</v>
      </c>
      <c r="N782" s="5" t="str">
        <f ca="1">VLOOKUP(Data!M782,temp!$B$3:$C$9,2,1)</f>
        <v>60-70</v>
      </c>
      <c r="O782">
        <v>365243</v>
      </c>
      <c r="P782" s="8">
        <f t="shared" si="55"/>
        <v>0</v>
      </c>
      <c r="Q782" s="5" t="str">
        <f t="shared" si="57"/>
        <v>Unemployed</v>
      </c>
      <c r="R782">
        <v>1</v>
      </c>
      <c r="S782">
        <v>0</v>
      </c>
      <c r="T782">
        <v>1</v>
      </c>
      <c r="U782">
        <v>0</v>
      </c>
      <c r="W782">
        <v>2</v>
      </c>
    </row>
    <row r="783" spans="1:23" x14ac:dyDescent="0.2">
      <c r="A783">
        <v>5029346</v>
      </c>
      <c r="B783" t="s">
        <v>25</v>
      </c>
      <c r="C783" t="s">
        <v>20</v>
      </c>
      <c r="D783" t="s">
        <v>20</v>
      </c>
      <c r="E783">
        <v>0</v>
      </c>
      <c r="F783">
        <v>270000</v>
      </c>
      <c r="G783" t="s">
        <v>31</v>
      </c>
      <c r="H783" t="s">
        <v>22</v>
      </c>
      <c r="I783" t="s">
        <v>28</v>
      </c>
      <c r="J783" t="s">
        <v>24</v>
      </c>
      <c r="K783" s="6">
        <f t="shared" ca="1" si="56"/>
        <v>34819</v>
      </c>
      <c r="L783">
        <v>-10942</v>
      </c>
      <c r="M783" s="7">
        <f t="shared" ca="1" si="54"/>
        <v>29.957563312799451</v>
      </c>
      <c r="N783" s="5" t="str">
        <f ca="1">VLOOKUP(Data!M783,temp!$B$3:$C$9,2,1)</f>
        <v>20-30</v>
      </c>
      <c r="O783">
        <v>-412</v>
      </c>
      <c r="P783" s="8">
        <f t="shared" si="55"/>
        <v>1.1279945242984257</v>
      </c>
      <c r="Q783" s="5" t="str">
        <f t="shared" si="57"/>
        <v>Employed</v>
      </c>
      <c r="R783">
        <v>1</v>
      </c>
      <c r="S783">
        <v>0</v>
      </c>
      <c r="T783">
        <v>0</v>
      </c>
      <c r="U783">
        <v>0</v>
      </c>
      <c r="V783" t="s">
        <v>30</v>
      </c>
      <c r="W783">
        <v>2</v>
      </c>
    </row>
    <row r="784" spans="1:23" x14ac:dyDescent="0.2">
      <c r="A784">
        <v>5029351</v>
      </c>
      <c r="B784" t="s">
        <v>25</v>
      </c>
      <c r="C784" t="s">
        <v>20</v>
      </c>
      <c r="D784" t="s">
        <v>20</v>
      </c>
      <c r="E784">
        <v>0</v>
      </c>
      <c r="F784">
        <v>270000</v>
      </c>
      <c r="G784" t="s">
        <v>31</v>
      </c>
      <c r="H784" t="s">
        <v>22</v>
      </c>
      <c r="I784" t="s">
        <v>28</v>
      </c>
      <c r="J784" t="s">
        <v>24</v>
      </c>
      <c r="K784" s="6">
        <f t="shared" ca="1" si="56"/>
        <v>34819</v>
      </c>
      <c r="L784">
        <v>-10942</v>
      </c>
      <c r="M784" s="7">
        <f t="shared" ca="1" si="54"/>
        <v>29.957563312799451</v>
      </c>
      <c r="N784" s="5" t="str">
        <f ca="1">VLOOKUP(Data!M784,temp!$B$3:$C$9,2,1)</f>
        <v>20-30</v>
      </c>
      <c r="O784">
        <v>-412</v>
      </c>
      <c r="P784" s="8">
        <f t="shared" si="55"/>
        <v>1.1279945242984257</v>
      </c>
      <c r="Q784" s="5" t="str">
        <f t="shared" si="57"/>
        <v>Employed</v>
      </c>
      <c r="R784">
        <v>1</v>
      </c>
      <c r="S784">
        <v>0</v>
      </c>
      <c r="T784">
        <v>0</v>
      </c>
      <c r="U784">
        <v>0</v>
      </c>
      <c r="V784" t="s">
        <v>30</v>
      </c>
      <c r="W784">
        <v>2</v>
      </c>
    </row>
    <row r="785" spans="1:23" x14ac:dyDescent="0.2">
      <c r="A785">
        <v>5029357</v>
      </c>
      <c r="B785" t="s">
        <v>25</v>
      </c>
      <c r="C785" t="s">
        <v>20</v>
      </c>
      <c r="D785" t="s">
        <v>20</v>
      </c>
      <c r="E785">
        <v>2</v>
      </c>
      <c r="F785">
        <v>360000</v>
      </c>
      <c r="G785" t="s">
        <v>31</v>
      </c>
      <c r="H785" t="s">
        <v>27</v>
      </c>
      <c r="I785" t="s">
        <v>28</v>
      </c>
      <c r="J785" t="s">
        <v>24</v>
      </c>
      <c r="K785" s="6">
        <f t="shared" ca="1" si="56"/>
        <v>32296</v>
      </c>
      <c r="L785">
        <v>-13465</v>
      </c>
      <c r="M785" s="7">
        <f t="shared" ca="1" si="54"/>
        <v>36.865160848733744</v>
      </c>
      <c r="N785" s="5" t="str">
        <f ca="1">VLOOKUP(Data!M785,temp!$B$3:$C$9,2,1)</f>
        <v>30-40</v>
      </c>
      <c r="O785">
        <v>-839</v>
      </c>
      <c r="P785" s="8">
        <f t="shared" si="55"/>
        <v>2.2970568104038329</v>
      </c>
      <c r="Q785" s="5" t="str">
        <f t="shared" si="57"/>
        <v>Employed</v>
      </c>
      <c r="R785">
        <v>1</v>
      </c>
      <c r="S785">
        <v>0</v>
      </c>
      <c r="T785">
        <v>1</v>
      </c>
      <c r="U785">
        <v>0</v>
      </c>
      <c r="V785" t="s">
        <v>32</v>
      </c>
      <c r="W785">
        <v>4</v>
      </c>
    </row>
    <row r="786" spans="1:23" x14ac:dyDescent="0.2">
      <c r="A786">
        <v>5029358</v>
      </c>
      <c r="B786" t="s">
        <v>25</v>
      </c>
      <c r="C786" t="s">
        <v>20</v>
      </c>
      <c r="D786" t="s">
        <v>20</v>
      </c>
      <c r="E786">
        <v>2</v>
      </c>
      <c r="F786">
        <v>360000</v>
      </c>
      <c r="G786" t="s">
        <v>31</v>
      </c>
      <c r="H786" t="s">
        <v>27</v>
      </c>
      <c r="I786" t="s">
        <v>28</v>
      </c>
      <c r="J786" t="s">
        <v>24</v>
      </c>
      <c r="K786" s="6">
        <f t="shared" ca="1" si="56"/>
        <v>32296</v>
      </c>
      <c r="L786">
        <v>-13465</v>
      </c>
      <c r="M786" s="7">
        <f t="shared" ca="1" si="54"/>
        <v>36.865160848733744</v>
      </c>
      <c r="N786" s="5" t="str">
        <f ca="1">VLOOKUP(Data!M786,temp!$B$3:$C$9,2,1)</f>
        <v>30-40</v>
      </c>
      <c r="O786">
        <v>-839</v>
      </c>
      <c r="P786" s="8">
        <f t="shared" si="55"/>
        <v>2.2970568104038329</v>
      </c>
      <c r="Q786" s="5" t="str">
        <f t="shared" si="57"/>
        <v>Employed</v>
      </c>
      <c r="R786">
        <v>1</v>
      </c>
      <c r="S786">
        <v>0</v>
      </c>
      <c r="T786">
        <v>1</v>
      </c>
      <c r="U786">
        <v>0</v>
      </c>
      <c r="V786" t="s">
        <v>32</v>
      </c>
      <c r="W786">
        <v>4</v>
      </c>
    </row>
    <row r="787" spans="1:23" x14ac:dyDescent="0.2">
      <c r="A787">
        <v>5029361</v>
      </c>
      <c r="B787" t="s">
        <v>25</v>
      </c>
      <c r="C787" t="s">
        <v>20</v>
      </c>
      <c r="D787" t="s">
        <v>20</v>
      </c>
      <c r="E787">
        <v>2</v>
      </c>
      <c r="F787">
        <v>360000</v>
      </c>
      <c r="G787" t="s">
        <v>31</v>
      </c>
      <c r="H787" t="s">
        <v>27</v>
      </c>
      <c r="I787" t="s">
        <v>28</v>
      </c>
      <c r="J787" t="s">
        <v>24</v>
      </c>
      <c r="K787" s="6">
        <f t="shared" ca="1" si="56"/>
        <v>32296</v>
      </c>
      <c r="L787">
        <v>-13465</v>
      </c>
      <c r="M787" s="7">
        <f t="shared" ca="1" si="54"/>
        <v>36.865160848733744</v>
      </c>
      <c r="N787" s="5" t="str">
        <f ca="1">VLOOKUP(Data!M787,temp!$B$3:$C$9,2,1)</f>
        <v>30-40</v>
      </c>
      <c r="O787">
        <v>-839</v>
      </c>
      <c r="P787" s="8">
        <f t="shared" si="55"/>
        <v>2.2970568104038329</v>
      </c>
      <c r="Q787" s="5" t="str">
        <f t="shared" si="57"/>
        <v>Employed</v>
      </c>
      <c r="R787">
        <v>1</v>
      </c>
      <c r="S787">
        <v>0</v>
      </c>
      <c r="T787">
        <v>1</v>
      </c>
      <c r="U787">
        <v>0</v>
      </c>
      <c r="V787" t="s">
        <v>32</v>
      </c>
      <c r="W787">
        <v>4</v>
      </c>
    </row>
    <row r="788" spans="1:23" x14ac:dyDescent="0.2">
      <c r="A788">
        <v>5029362</v>
      </c>
      <c r="B788" t="s">
        <v>25</v>
      </c>
      <c r="C788" t="s">
        <v>20</v>
      </c>
      <c r="D788" t="s">
        <v>20</v>
      </c>
      <c r="E788">
        <v>2</v>
      </c>
      <c r="F788">
        <v>360000</v>
      </c>
      <c r="G788" t="s">
        <v>31</v>
      </c>
      <c r="H788" t="s">
        <v>27</v>
      </c>
      <c r="I788" t="s">
        <v>28</v>
      </c>
      <c r="J788" t="s">
        <v>24</v>
      </c>
      <c r="K788" s="6">
        <f t="shared" ca="1" si="56"/>
        <v>32296</v>
      </c>
      <c r="L788">
        <v>-13465</v>
      </c>
      <c r="M788" s="7">
        <f t="shared" ca="1" si="54"/>
        <v>36.865160848733744</v>
      </c>
      <c r="N788" s="5" t="str">
        <f ca="1">VLOOKUP(Data!M788,temp!$B$3:$C$9,2,1)</f>
        <v>30-40</v>
      </c>
      <c r="O788">
        <v>-839</v>
      </c>
      <c r="P788" s="8">
        <f t="shared" si="55"/>
        <v>2.2970568104038329</v>
      </c>
      <c r="Q788" s="5" t="str">
        <f t="shared" si="57"/>
        <v>Employed</v>
      </c>
      <c r="R788">
        <v>1</v>
      </c>
      <c r="S788">
        <v>0</v>
      </c>
      <c r="T788">
        <v>1</v>
      </c>
      <c r="U788">
        <v>0</v>
      </c>
      <c r="V788" t="s">
        <v>32</v>
      </c>
      <c r="W788">
        <v>4</v>
      </c>
    </row>
    <row r="789" spans="1:23" x14ac:dyDescent="0.2">
      <c r="A789">
        <v>5029374</v>
      </c>
      <c r="B789" t="s">
        <v>18</v>
      </c>
      <c r="C789" t="s">
        <v>19</v>
      </c>
      <c r="D789" t="s">
        <v>20</v>
      </c>
      <c r="E789">
        <v>0</v>
      </c>
      <c r="F789">
        <v>270000</v>
      </c>
      <c r="G789" t="s">
        <v>31</v>
      </c>
      <c r="H789" t="s">
        <v>22</v>
      </c>
      <c r="I789" t="s">
        <v>28</v>
      </c>
      <c r="J789" t="s">
        <v>24</v>
      </c>
      <c r="K789" s="6">
        <f t="shared" ca="1" si="56"/>
        <v>28420</v>
      </c>
      <c r="L789">
        <v>-17341</v>
      </c>
      <c r="M789" s="7">
        <f t="shared" ca="1" si="54"/>
        <v>47.477070499657771</v>
      </c>
      <c r="N789" s="5" t="str">
        <f ca="1">VLOOKUP(Data!M789,temp!$B$3:$C$9,2,1)</f>
        <v>40-50</v>
      </c>
      <c r="O789">
        <v>-109</v>
      </c>
      <c r="P789" s="8">
        <f t="shared" si="55"/>
        <v>0.29842573579739906</v>
      </c>
      <c r="Q789" s="5" t="str">
        <f t="shared" si="57"/>
        <v>Employed</v>
      </c>
      <c r="R789">
        <v>1</v>
      </c>
      <c r="S789">
        <v>0</v>
      </c>
      <c r="T789">
        <v>1</v>
      </c>
      <c r="U789">
        <v>0</v>
      </c>
      <c r="W789">
        <v>2</v>
      </c>
    </row>
    <row r="790" spans="1:23" x14ac:dyDescent="0.2">
      <c r="A790">
        <v>5029377</v>
      </c>
      <c r="B790" t="s">
        <v>18</v>
      </c>
      <c r="C790" t="s">
        <v>19</v>
      </c>
      <c r="D790" t="s">
        <v>20</v>
      </c>
      <c r="E790">
        <v>0</v>
      </c>
      <c r="F790">
        <v>180000</v>
      </c>
      <c r="G790" t="s">
        <v>21</v>
      </c>
      <c r="H790" t="s">
        <v>27</v>
      </c>
      <c r="I790" t="s">
        <v>37</v>
      </c>
      <c r="J790" t="s">
        <v>24</v>
      </c>
      <c r="K790" s="6">
        <f t="shared" ca="1" si="56"/>
        <v>24917</v>
      </c>
      <c r="L790">
        <v>-20844</v>
      </c>
      <c r="M790" s="7">
        <f t="shared" ca="1" si="54"/>
        <v>57.067761806981522</v>
      </c>
      <c r="N790" s="5" t="str">
        <f ca="1">VLOOKUP(Data!M790,temp!$B$3:$C$9,2,1)</f>
        <v>50-60</v>
      </c>
      <c r="O790">
        <v>365243</v>
      </c>
      <c r="P790" s="8">
        <f t="shared" si="55"/>
        <v>0</v>
      </c>
      <c r="Q790" s="5" t="str">
        <f t="shared" si="57"/>
        <v>Unemployed</v>
      </c>
      <c r="R790">
        <v>1</v>
      </c>
      <c r="S790">
        <v>0</v>
      </c>
      <c r="T790">
        <v>0</v>
      </c>
      <c r="U790">
        <v>0</v>
      </c>
      <c r="W790">
        <v>2</v>
      </c>
    </row>
    <row r="791" spans="1:23" x14ac:dyDescent="0.2">
      <c r="A791">
        <v>5029393</v>
      </c>
      <c r="B791" t="s">
        <v>25</v>
      </c>
      <c r="C791" t="s">
        <v>20</v>
      </c>
      <c r="D791" t="s">
        <v>20</v>
      </c>
      <c r="E791">
        <v>1</v>
      </c>
      <c r="F791">
        <v>252000</v>
      </c>
      <c r="G791" t="s">
        <v>31</v>
      </c>
      <c r="H791" t="s">
        <v>22</v>
      </c>
      <c r="I791" t="s">
        <v>28</v>
      </c>
      <c r="J791" t="s">
        <v>24</v>
      </c>
      <c r="K791" s="6">
        <f t="shared" ca="1" si="56"/>
        <v>27509</v>
      </c>
      <c r="L791">
        <v>-18252</v>
      </c>
      <c r="M791" s="7">
        <f t="shared" ca="1" si="54"/>
        <v>49.97125256673511</v>
      </c>
      <c r="N791" s="5" t="str">
        <f ca="1">VLOOKUP(Data!M791,temp!$B$3:$C$9,2,1)</f>
        <v>40-50</v>
      </c>
      <c r="O791">
        <v>-262</v>
      </c>
      <c r="P791" s="8">
        <f t="shared" si="55"/>
        <v>0.71731690622861055</v>
      </c>
      <c r="Q791" s="5" t="str">
        <f t="shared" si="57"/>
        <v>Employed</v>
      </c>
      <c r="R791">
        <v>1</v>
      </c>
      <c r="S791">
        <v>0</v>
      </c>
      <c r="T791">
        <v>0</v>
      </c>
      <c r="U791">
        <v>0</v>
      </c>
      <c r="V791" t="s">
        <v>40</v>
      </c>
      <c r="W791">
        <v>3</v>
      </c>
    </row>
    <row r="792" spans="1:23" x14ac:dyDescent="0.2">
      <c r="A792">
        <v>5029430</v>
      </c>
      <c r="B792" t="s">
        <v>18</v>
      </c>
      <c r="C792" t="s">
        <v>19</v>
      </c>
      <c r="D792" t="s">
        <v>20</v>
      </c>
      <c r="E792">
        <v>0</v>
      </c>
      <c r="F792">
        <v>135000</v>
      </c>
      <c r="G792" t="s">
        <v>31</v>
      </c>
      <c r="H792" t="s">
        <v>27</v>
      </c>
      <c r="I792" t="s">
        <v>23</v>
      </c>
      <c r="J792" t="s">
        <v>24</v>
      </c>
      <c r="K792" s="6">
        <f t="shared" ca="1" si="56"/>
        <v>29492</v>
      </c>
      <c r="L792">
        <v>-16269</v>
      </c>
      <c r="M792" s="7">
        <f t="shared" ca="1" si="54"/>
        <v>44.542094455852158</v>
      </c>
      <c r="N792" s="5" t="str">
        <f ca="1">VLOOKUP(Data!M792,temp!$B$3:$C$9,2,1)</f>
        <v>40-50</v>
      </c>
      <c r="O792">
        <v>-1358</v>
      </c>
      <c r="P792" s="8">
        <f t="shared" si="55"/>
        <v>3.7180013689253935</v>
      </c>
      <c r="Q792" s="5" t="str">
        <f t="shared" si="57"/>
        <v>Employed</v>
      </c>
      <c r="R792">
        <v>1</v>
      </c>
      <c r="S792">
        <v>0</v>
      </c>
      <c r="T792">
        <v>0</v>
      </c>
      <c r="U792">
        <v>0</v>
      </c>
      <c r="V792" t="s">
        <v>39</v>
      </c>
      <c r="W792">
        <v>1</v>
      </c>
    </row>
    <row r="793" spans="1:23" x14ac:dyDescent="0.2">
      <c r="A793">
        <v>5029435</v>
      </c>
      <c r="B793" t="s">
        <v>18</v>
      </c>
      <c r="C793" t="s">
        <v>20</v>
      </c>
      <c r="D793" t="s">
        <v>20</v>
      </c>
      <c r="E793">
        <v>0</v>
      </c>
      <c r="F793">
        <v>225000</v>
      </c>
      <c r="G793" t="s">
        <v>31</v>
      </c>
      <c r="H793" t="s">
        <v>22</v>
      </c>
      <c r="I793" t="s">
        <v>28</v>
      </c>
      <c r="J793" t="s">
        <v>24</v>
      </c>
      <c r="K793" s="6">
        <f t="shared" ca="1" si="56"/>
        <v>28359</v>
      </c>
      <c r="L793">
        <v>-17402</v>
      </c>
      <c r="M793" s="7">
        <f t="shared" ca="1" si="54"/>
        <v>47.644079397672826</v>
      </c>
      <c r="N793" s="5" t="str">
        <f ca="1">VLOOKUP(Data!M793,temp!$B$3:$C$9,2,1)</f>
        <v>40-50</v>
      </c>
      <c r="O793">
        <v>-3153</v>
      </c>
      <c r="P793" s="8">
        <f t="shared" si="55"/>
        <v>8.6324435318275157</v>
      </c>
      <c r="Q793" s="5" t="str">
        <f t="shared" si="57"/>
        <v>Employed</v>
      </c>
      <c r="R793">
        <v>1</v>
      </c>
      <c r="S793">
        <v>0</v>
      </c>
      <c r="T793">
        <v>1</v>
      </c>
      <c r="U793">
        <v>0</v>
      </c>
      <c r="V793" t="s">
        <v>38</v>
      </c>
      <c r="W793">
        <v>2</v>
      </c>
    </row>
    <row r="794" spans="1:23" x14ac:dyDescent="0.2">
      <c r="A794">
        <v>5029460</v>
      </c>
      <c r="B794" t="s">
        <v>18</v>
      </c>
      <c r="C794" t="s">
        <v>20</v>
      </c>
      <c r="D794" t="s">
        <v>20</v>
      </c>
      <c r="E794">
        <v>1</v>
      </c>
      <c r="F794">
        <v>112500</v>
      </c>
      <c r="G794" t="s">
        <v>26</v>
      </c>
      <c r="H794" t="s">
        <v>22</v>
      </c>
      <c r="I794" t="s">
        <v>37</v>
      </c>
      <c r="J794" t="s">
        <v>24</v>
      </c>
      <c r="K794" s="6">
        <f t="shared" ca="1" si="56"/>
        <v>35210</v>
      </c>
      <c r="L794">
        <v>-10551</v>
      </c>
      <c r="M794" s="7">
        <f t="shared" ca="1" si="54"/>
        <v>28.887063655030801</v>
      </c>
      <c r="N794" s="5" t="str">
        <f ca="1">VLOOKUP(Data!M794,temp!$B$3:$C$9,2,1)</f>
        <v>20-30</v>
      </c>
      <c r="O794">
        <v>-3000</v>
      </c>
      <c r="P794" s="8">
        <f t="shared" si="55"/>
        <v>8.2135523613963031</v>
      </c>
      <c r="Q794" s="5" t="str">
        <f t="shared" si="57"/>
        <v>Employed</v>
      </c>
      <c r="R794">
        <v>1</v>
      </c>
      <c r="S794">
        <v>0</v>
      </c>
      <c r="T794">
        <v>0</v>
      </c>
      <c r="U794">
        <v>1</v>
      </c>
      <c r="V794" t="s">
        <v>38</v>
      </c>
      <c r="W794">
        <v>3</v>
      </c>
    </row>
    <row r="795" spans="1:23" x14ac:dyDescent="0.2">
      <c r="A795">
        <v>5029462</v>
      </c>
      <c r="B795" t="s">
        <v>18</v>
      </c>
      <c r="C795" t="s">
        <v>20</v>
      </c>
      <c r="D795" t="s">
        <v>20</v>
      </c>
      <c r="E795">
        <v>1</v>
      </c>
      <c r="F795">
        <v>112500</v>
      </c>
      <c r="G795" t="s">
        <v>26</v>
      </c>
      <c r="H795" t="s">
        <v>22</v>
      </c>
      <c r="I795" t="s">
        <v>37</v>
      </c>
      <c r="J795" t="s">
        <v>24</v>
      </c>
      <c r="K795" s="6">
        <f t="shared" ca="1" si="56"/>
        <v>35210</v>
      </c>
      <c r="L795">
        <v>-10551</v>
      </c>
      <c r="M795" s="7">
        <f t="shared" ca="1" si="54"/>
        <v>28.887063655030801</v>
      </c>
      <c r="N795" s="5" t="str">
        <f ca="1">VLOOKUP(Data!M795,temp!$B$3:$C$9,2,1)</f>
        <v>20-30</v>
      </c>
      <c r="O795">
        <v>-3000</v>
      </c>
      <c r="P795" s="8">
        <f t="shared" si="55"/>
        <v>8.2135523613963031</v>
      </c>
      <c r="Q795" s="5" t="str">
        <f t="shared" si="57"/>
        <v>Employed</v>
      </c>
      <c r="R795">
        <v>1</v>
      </c>
      <c r="S795">
        <v>0</v>
      </c>
      <c r="T795">
        <v>0</v>
      </c>
      <c r="U795">
        <v>1</v>
      </c>
      <c r="V795" t="s">
        <v>38</v>
      </c>
      <c r="W795">
        <v>3</v>
      </c>
    </row>
    <row r="796" spans="1:23" x14ac:dyDescent="0.2">
      <c r="A796">
        <v>5029480</v>
      </c>
      <c r="B796" t="s">
        <v>25</v>
      </c>
      <c r="C796" t="s">
        <v>20</v>
      </c>
      <c r="D796" t="s">
        <v>20</v>
      </c>
      <c r="E796">
        <v>0</v>
      </c>
      <c r="F796">
        <v>67500</v>
      </c>
      <c r="G796" t="s">
        <v>31</v>
      </c>
      <c r="H796" t="s">
        <v>27</v>
      </c>
      <c r="I796" t="s">
        <v>28</v>
      </c>
      <c r="J796" t="s">
        <v>24</v>
      </c>
      <c r="K796" s="6">
        <f t="shared" ca="1" si="56"/>
        <v>29424</v>
      </c>
      <c r="L796">
        <v>-16337</v>
      </c>
      <c r="M796" s="7">
        <f t="shared" ca="1" si="54"/>
        <v>44.728268309377142</v>
      </c>
      <c r="N796" s="5" t="str">
        <f ca="1">VLOOKUP(Data!M796,temp!$B$3:$C$9,2,1)</f>
        <v>40-50</v>
      </c>
      <c r="O796">
        <v>-2727</v>
      </c>
      <c r="P796" s="8">
        <f t="shared" si="55"/>
        <v>7.4661190965092405</v>
      </c>
      <c r="Q796" s="5" t="str">
        <f t="shared" si="57"/>
        <v>Employed</v>
      </c>
      <c r="R796">
        <v>1</v>
      </c>
      <c r="S796">
        <v>1</v>
      </c>
      <c r="T796">
        <v>1</v>
      </c>
      <c r="U796">
        <v>0</v>
      </c>
      <c r="W796">
        <v>2</v>
      </c>
    </row>
    <row r="797" spans="1:23" x14ac:dyDescent="0.2">
      <c r="A797">
        <v>5029485</v>
      </c>
      <c r="B797" t="s">
        <v>18</v>
      </c>
      <c r="C797" t="s">
        <v>20</v>
      </c>
      <c r="D797" t="s">
        <v>19</v>
      </c>
      <c r="E797">
        <v>0</v>
      </c>
      <c r="F797">
        <v>247500</v>
      </c>
      <c r="G797" t="s">
        <v>31</v>
      </c>
      <c r="H797" t="s">
        <v>27</v>
      </c>
      <c r="I797" t="s">
        <v>28</v>
      </c>
      <c r="J797" t="s">
        <v>24</v>
      </c>
      <c r="K797" s="6">
        <f t="shared" ca="1" si="56"/>
        <v>24809</v>
      </c>
      <c r="L797">
        <v>-20952</v>
      </c>
      <c r="M797" s="7">
        <f t="shared" ca="1" si="54"/>
        <v>57.363449691991789</v>
      </c>
      <c r="N797" s="5" t="str">
        <f ca="1">VLOOKUP(Data!M797,temp!$B$3:$C$9,2,1)</f>
        <v>50-60</v>
      </c>
      <c r="O797">
        <v>-3852</v>
      </c>
      <c r="P797" s="8">
        <f t="shared" si="55"/>
        <v>10.546201232032855</v>
      </c>
      <c r="Q797" s="5" t="str">
        <f t="shared" si="57"/>
        <v>Employed</v>
      </c>
      <c r="R797">
        <v>1</v>
      </c>
      <c r="S797">
        <v>0</v>
      </c>
      <c r="T797">
        <v>0</v>
      </c>
      <c r="U797">
        <v>1</v>
      </c>
      <c r="V797" t="s">
        <v>32</v>
      </c>
      <c r="W797">
        <v>2</v>
      </c>
    </row>
    <row r="798" spans="1:23" x14ac:dyDescent="0.2">
      <c r="A798">
        <v>5029506</v>
      </c>
      <c r="B798" t="s">
        <v>18</v>
      </c>
      <c r="C798" t="s">
        <v>19</v>
      </c>
      <c r="D798" t="s">
        <v>20</v>
      </c>
      <c r="E798">
        <v>0</v>
      </c>
      <c r="F798">
        <v>292500</v>
      </c>
      <c r="G798" t="s">
        <v>21</v>
      </c>
      <c r="H798" t="s">
        <v>27</v>
      </c>
      <c r="I798" t="s">
        <v>37</v>
      </c>
      <c r="J798" t="s">
        <v>24</v>
      </c>
      <c r="K798" s="6">
        <f t="shared" ca="1" si="56"/>
        <v>23041</v>
      </c>
      <c r="L798">
        <v>-22720</v>
      </c>
      <c r="M798" s="7">
        <f t="shared" ca="1" si="54"/>
        <v>62.203969883641342</v>
      </c>
      <c r="N798" s="5" t="str">
        <f ca="1">VLOOKUP(Data!M798,temp!$B$3:$C$9,2,1)</f>
        <v>60-70</v>
      </c>
      <c r="O798">
        <v>365243</v>
      </c>
      <c r="P798" s="8">
        <f t="shared" si="55"/>
        <v>0</v>
      </c>
      <c r="Q798" s="5" t="str">
        <f t="shared" si="57"/>
        <v>Unemployed</v>
      </c>
      <c r="R798">
        <v>1</v>
      </c>
      <c r="S798">
        <v>0</v>
      </c>
      <c r="T798">
        <v>1</v>
      </c>
      <c r="U798">
        <v>0</v>
      </c>
      <c r="W798">
        <v>2</v>
      </c>
    </row>
    <row r="799" spans="1:23" x14ac:dyDescent="0.2">
      <c r="A799">
        <v>5029512</v>
      </c>
      <c r="B799" t="s">
        <v>18</v>
      </c>
      <c r="C799" t="s">
        <v>19</v>
      </c>
      <c r="D799" t="s">
        <v>19</v>
      </c>
      <c r="E799">
        <v>0</v>
      </c>
      <c r="F799">
        <v>112500</v>
      </c>
      <c r="G799" t="s">
        <v>26</v>
      </c>
      <c r="H799" t="s">
        <v>27</v>
      </c>
      <c r="I799" t="s">
        <v>28</v>
      </c>
      <c r="J799" t="s">
        <v>24</v>
      </c>
      <c r="K799" s="6">
        <f t="shared" ca="1" si="56"/>
        <v>27700</v>
      </c>
      <c r="L799">
        <v>-18061</v>
      </c>
      <c r="M799" s="7">
        <f t="shared" ca="1" si="54"/>
        <v>49.448323066392881</v>
      </c>
      <c r="N799" s="5" t="str">
        <f ca="1">VLOOKUP(Data!M799,temp!$B$3:$C$9,2,1)</f>
        <v>40-50</v>
      </c>
      <c r="O799">
        <v>-869</v>
      </c>
      <c r="P799" s="8">
        <f t="shared" si="55"/>
        <v>2.3791923340177958</v>
      </c>
      <c r="Q799" s="5" t="str">
        <f t="shared" si="57"/>
        <v>Employed</v>
      </c>
      <c r="R799">
        <v>1</v>
      </c>
      <c r="S799">
        <v>0</v>
      </c>
      <c r="T799">
        <v>0</v>
      </c>
      <c r="U799">
        <v>0</v>
      </c>
      <c r="W799">
        <v>2</v>
      </c>
    </row>
    <row r="800" spans="1:23" x14ac:dyDescent="0.2">
      <c r="A800">
        <v>5029521</v>
      </c>
      <c r="B800" t="s">
        <v>18</v>
      </c>
      <c r="C800" t="s">
        <v>19</v>
      </c>
      <c r="D800" t="s">
        <v>20</v>
      </c>
      <c r="E800">
        <v>0</v>
      </c>
      <c r="F800">
        <v>135000</v>
      </c>
      <c r="G800" t="s">
        <v>31</v>
      </c>
      <c r="H800" t="s">
        <v>27</v>
      </c>
      <c r="I800" t="s">
        <v>28</v>
      </c>
      <c r="J800" t="s">
        <v>24</v>
      </c>
      <c r="K800" s="6">
        <f t="shared" ca="1" si="56"/>
        <v>26508</v>
      </c>
      <c r="L800">
        <v>-19253</v>
      </c>
      <c r="M800" s="7">
        <f t="shared" ca="1" si="54"/>
        <v>52.711841204654348</v>
      </c>
      <c r="N800" s="5" t="str">
        <f ca="1">VLOOKUP(Data!M800,temp!$B$3:$C$9,2,1)</f>
        <v>50-60</v>
      </c>
      <c r="O800">
        <v>-8448</v>
      </c>
      <c r="P800" s="8">
        <f t="shared" si="55"/>
        <v>23.129363449691994</v>
      </c>
      <c r="Q800" s="5" t="str">
        <f t="shared" si="57"/>
        <v>Employed</v>
      </c>
      <c r="R800">
        <v>1</v>
      </c>
      <c r="S800">
        <v>0</v>
      </c>
      <c r="T800">
        <v>0</v>
      </c>
      <c r="U800">
        <v>0</v>
      </c>
      <c r="W800">
        <v>2</v>
      </c>
    </row>
    <row r="801" spans="1:23" x14ac:dyDescent="0.2">
      <c r="A801">
        <v>5029536</v>
      </c>
      <c r="B801" t="s">
        <v>18</v>
      </c>
      <c r="C801" t="s">
        <v>19</v>
      </c>
      <c r="D801" t="s">
        <v>20</v>
      </c>
      <c r="E801">
        <v>0</v>
      </c>
      <c r="F801">
        <v>112500</v>
      </c>
      <c r="G801" t="s">
        <v>31</v>
      </c>
      <c r="H801" t="s">
        <v>22</v>
      </c>
      <c r="I801" t="s">
        <v>37</v>
      </c>
      <c r="J801" t="s">
        <v>24</v>
      </c>
      <c r="K801" s="6">
        <f t="shared" ca="1" si="56"/>
        <v>32978</v>
      </c>
      <c r="L801">
        <v>-12783</v>
      </c>
      <c r="M801" s="7">
        <f t="shared" ca="1" si="54"/>
        <v>34.997946611909654</v>
      </c>
      <c r="N801" s="5" t="str">
        <f ca="1">VLOOKUP(Data!M801,temp!$B$3:$C$9,2,1)</f>
        <v>30-40</v>
      </c>
      <c r="O801">
        <v>-1205</v>
      </c>
      <c r="P801" s="8">
        <f t="shared" si="55"/>
        <v>3.2991101984941822</v>
      </c>
      <c r="Q801" s="5" t="str">
        <f t="shared" si="57"/>
        <v>Employed</v>
      </c>
      <c r="R801">
        <v>1</v>
      </c>
      <c r="S801">
        <v>0</v>
      </c>
      <c r="T801">
        <v>0</v>
      </c>
      <c r="U801">
        <v>0</v>
      </c>
      <c r="V801" t="s">
        <v>38</v>
      </c>
      <c r="W801">
        <v>2</v>
      </c>
    </row>
    <row r="802" spans="1:23" x14ac:dyDescent="0.2">
      <c r="A802">
        <v>5029537</v>
      </c>
      <c r="B802" t="s">
        <v>18</v>
      </c>
      <c r="C802" t="s">
        <v>19</v>
      </c>
      <c r="D802" t="s">
        <v>20</v>
      </c>
      <c r="E802">
        <v>0</v>
      </c>
      <c r="F802">
        <v>112500</v>
      </c>
      <c r="G802" t="s">
        <v>31</v>
      </c>
      <c r="H802" t="s">
        <v>22</v>
      </c>
      <c r="I802" t="s">
        <v>37</v>
      </c>
      <c r="J802" t="s">
        <v>24</v>
      </c>
      <c r="K802" s="6">
        <f t="shared" ca="1" si="56"/>
        <v>32978</v>
      </c>
      <c r="L802">
        <v>-12783</v>
      </c>
      <c r="M802" s="7">
        <f t="shared" ca="1" si="54"/>
        <v>34.997946611909654</v>
      </c>
      <c r="N802" s="5" t="str">
        <f ca="1">VLOOKUP(Data!M802,temp!$B$3:$C$9,2,1)</f>
        <v>30-40</v>
      </c>
      <c r="O802">
        <v>-1205</v>
      </c>
      <c r="P802" s="8">
        <f t="shared" si="55"/>
        <v>3.2991101984941822</v>
      </c>
      <c r="Q802" s="5" t="str">
        <f t="shared" si="57"/>
        <v>Employed</v>
      </c>
      <c r="R802">
        <v>1</v>
      </c>
      <c r="S802">
        <v>0</v>
      </c>
      <c r="T802">
        <v>0</v>
      </c>
      <c r="U802">
        <v>0</v>
      </c>
      <c r="V802" t="s">
        <v>38</v>
      </c>
      <c r="W802">
        <v>2</v>
      </c>
    </row>
    <row r="803" spans="1:23" x14ac:dyDescent="0.2">
      <c r="A803">
        <v>5029543</v>
      </c>
      <c r="B803" t="s">
        <v>18</v>
      </c>
      <c r="C803" t="s">
        <v>20</v>
      </c>
      <c r="D803" t="s">
        <v>20</v>
      </c>
      <c r="E803">
        <v>1</v>
      </c>
      <c r="F803">
        <v>133650</v>
      </c>
      <c r="G803" t="s">
        <v>26</v>
      </c>
      <c r="H803" t="s">
        <v>27</v>
      </c>
      <c r="I803" t="s">
        <v>28</v>
      </c>
      <c r="J803" t="s">
        <v>24</v>
      </c>
      <c r="K803" s="6">
        <f t="shared" ca="1" si="56"/>
        <v>31165</v>
      </c>
      <c r="L803">
        <v>-14596</v>
      </c>
      <c r="M803" s="7">
        <f t="shared" ca="1" si="54"/>
        <v>39.961670088980149</v>
      </c>
      <c r="N803" s="5" t="str">
        <f ca="1">VLOOKUP(Data!M803,temp!$B$3:$C$9,2,1)</f>
        <v>30-40</v>
      </c>
      <c r="O803">
        <v>-1965</v>
      </c>
      <c r="P803" s="8">
        <f t="shared" si="55"/>
        <v>5.3798767967145791</v>
      </c>
      <c r="Q803" s="5" t="str">
        <f t="shared" si="57"/>
        <v>Employed</v>
      </c>
      <c r="R803">
        <v>1</v>
      </c>
      <c r="S803">
        <v>0</v>
      </c>
      <c r="T803">
        <v>0</v>
      </c>
      <c r="U803">
        <v>0</v>
      </c>
      <c r="W803">
        <v>3</v>
      </c>
    </row>
    <row r="804" spans="1:23" x14ac:dyDescent="0.2">
      <c r="A804">
        <v>5029556</v>
      </c>
      <c r="B804" t="s">
        <v>18</v>
      </c>
      <c r="C804" t="s">
        <v>19</v>
      </c>
      <c r="D804" t="s">
        <v>20</v>
      </c>
      <c r="E804">
        <v>0</v>
      </c>
      <c r="F804">
        <v>103500</v>
      </c>
      <c r="G804" t="s">
        <v>21</v>
      </c>
      <c r="H804" t="s">
        <v>27</v>
      </c>
      <c r="I804" t="s">
        <v>42</v>
      </c>
      <c r="J804" t="s">
        <v>24</v>
      </c>
      <c r="K804" s="6">
        <f t="shared" ca="1" si="56"/>
        <v>22010</v>
      </c>
      <c r="L804">
        <v>-23751</v>
      </c>
      <c r="M804" s="7">
        <f t="shared" ca="1" si="54"/>
        <v>65.026694045174537</v>
      </c>
      <c r="N804" s="5" t="str">
        <f ca="1">VLOOKUP(Data!M804,temp!$B$3:$C$9,2,1)</f>
        <v>60-70</v>
      </c>
      <c r="O804">
        <v>365243</v>
      </c>
      <c r="P804" s="8">
        <f t="shared" si="55"/>
        <v>0</v>
      </c>
      <c r="Q804" s="5" t="str">
        <f t="shared" si="57"/>
        <v>Unemployed</v>
      </c>
      <c r="R804">
        <v>1</v>
      </c>
      <c r="S804">
        <v>0</v>
      </c>
      <c r="T804">
        <v>0</v>
      </c>
      <c r="U804">
        <v>0</v>
      </c>
      <c r="W804">
        <v>1</v>
      </c>
    </row>
    <row r="805" spans="1:23" x14ac:dyDescent="0.2">
      <c r="A805">
        <v>5029566</v>
      </c>
      <c r="B805" t="s">
        <v>18</v>
      </c>
      <c r="C805" t="s">
        <v>19</v>
      </c>
      <c r="D805" t="s">
        <v>20</v>
      </c>
      <c r="E805">
        <v>0</v>
      </c>
      <c r="F805">
        <v>270000</v>
      </c>
      <c r="G805" t="s">
        <v>26</v>
      </c>
      <c r="H805" t="s">
        <v>27</v>
      </c>
      <c r="I805" t="s">
        <v>28</v>
      </c>
      <c r="J805" t="s">
        <v>24</v>
      </c>
      <c r="K805" s="6">
        <f t="shared" ca="1" si="56"/>
        <v>28614</v>
      </c>
      <c r="L805">
        <v>-17147</v>
      </c>
      <c r="M805" s="7">
        <f t="shared" ca="1" si="54"/>
        <v>46.945927446954144</v>
      </c>
      <c r="N805" s="5" t="str">
        <f ca="1">VLOOKUP(Data!M805,temp!$B$3:$C$9,2,1)</f>
        <v>40-50</v>
      </c>
      <c r="O805">
        <v>-3822</v>
      </c>
      <c r="P805" s="8">
        <f t="shared" si="55"/>
        <v>10.464065708418891</v>
      </c>
      <c r="Q805" s="5" t="str">
        <f t="shared" si="57"/>
        <v>Employed</v>
      </c>
      <c r="R805">
        <v>1</v>
      </c>
      <c r="S805">
        <v>0</v>
      </c>
      <c r="T805">
        <v>1</v>
      </c>
      <c r="U805">
        <v>0</v>
      </c>
      <c r="V805" t="s">
        <v>39</v>
      </c>
      <c r="W805">
        <v>2</v>
      </c>
    </row>
    <row r="806" spans="1:23" x14ac:dyDescent="0.2">
      <c r="A806">
        <v>5029579</v>
      </c>
      <c r="B806" t="s">
        <v>25</v>
      </c>
      <c r="C806" t="s">
        <v>20</v>
      </c>
      <c r="D806" t="s">
        <v>20</v>
      </c>
      <c r="E806">
        <v>0</v>
      </c>
      <c r="F806">
        <v>202500</v>
      </c>
      <c r="G806" t="s">
        <v>31</v>
      </c>
      <c r="H806" t="s">
        <v>27</v>
      </c>
      <c r="I806" t="s">
        <v>37</v>
      </c>
      <c r="J806" t="s">
        <v>24</v>
      </c>
      <c r="K806" s="6">
        <f t="shared" ca="1" si="56"/>
        <v>29788</v>
      </c>
      <c r="L806">
        <v>-15973</v>
      </c>
      <c r="M806" s="7">
        <f t="shared" ca="1" si="54"/>
        <v>43.731690622861052</v>
      </c>
      <c r="N806" s="5" t="str">
        <f ca="1">VLOOKUP(Data!M806,temp!$B$3:$C$9,2,1)</f>
        <v>40-50</v>
      </c>
      <c r="O806">
        <v>-2026</v>
      </c>
      <c r="P806" s="8">
        <f t="shared" si="55"/>
        <v>5.546885694729637</v>
      </c>
      <c r="Q806" s="5" t="str">
        <f t="shared" si="57"/>
        <v>Employed</v>
      </c>
      <c r="R806">
        <v>1</v>
      </c>
      <c r="S806">
        <v>0</v>
      </c>
      <c r="T806">
        <v>0</v>
      </c>
      <c r="U806">
        <v>1</v>
      </c>
      <c r="V806" t="s">
        <v>30</v>
      </c>
      <c r="W806">
        <v>2</v>
      </c>
    </row>
    <row r="807" spans="1:23" x14ac:dyDescent="0.2">
      <c r="A807">
        <v>5029588</v>
      </c>
      <c r="B807" t="s">
        <v>18</v>
      </c>
      <c r="C807" t="s">
        <v>19</v>
      </c>
      <c r="D807" t="s">
        <v>20</v>
      </c>
      <c r="E807">
        <v>0</v>
      </c>
      <c r="F807">
        <v>157500</v>
      </c>
      <c r="G807" t="s">
        <v>26</v>
      </c>
      <c r="H807" t="s">
        <v>27</v>
      </c>
      <c r="I807" t="s">
        <v>28</v>
      </c>
      <c r="J807" t="s">
        <v>24</v>
      </c>
      <c r="K807" s="6">
        <f t="shared" ca="1" si="56"/>
        <v>27141</v>
      </c>
      <c r="L807">
        <v>-18620</v>
      </c>
      <c r="M807" s="7">
        <f t="shared" ca="1" si="54"/>
        <v>50.978781656399725</v>
      </c>
      <c r="N807" s="5" t="str">
        <f ca="1">VLOOKUP(Data!M807,temp!$B$3:$C$9,2,1)</f>
        <v>50-60</v>
      </c>
      <c r="O807">
        <v>-1904</v>
      </c>
      <c r="P807" s="8">
        <f t="shared" si="55"/>
        <v>5.2128678986995212</v>
      </c>
      <c r="Q807" s="5" t="str">
        <f t="shared" si="57"/>
        <v>Employed</v>
      </c>
      <c r="R807">
        <v>1</v>
      </c>
      <c r="S807">
        <v>0</v>
      </c>
      <c r="T807">
        <v>0</v>
      </c>
      <c r="U807">
        <v>0</v>
      </c>
      <c r="V807" t="s">
        <v>32</v>
      </c>
      <c r="W807">
        <v>2</v>
      </c>
    </row>
    <row r="808" spans="1:23" x14ac:dyDescent="0.2">
      <c r="A808">
        <v>5029593</v>
      </c>
      <c r="B808" t="s">
        <v>18</v>
      </c>
      <c r="C808" t="s">
        <v>19</v>
      </c>
      <c r="D808" t="s">
        <v>20</v>
      </c>
      <c r="E808">
        <v>1</v>
      </c>
      <c r="F808">
        <v>139500</v>
      </c>
      <c r="G808" t="s">
        <v>21</v>
      </c>
      <c r="H808" t="s">
        <v>51</v>
      </c>
      <c r="I808" t="s">
        <v>28</v>
      </c>
      <c r="J808" t="s">
        <v>24</v>
      </c>
      <c r="K808" s="6">
        <f t="shared" ca="1" si="56"/>
        <v>24026</v>
      </c>
      <c r="L808">
        <v>-21735</v>
      </c>
      <c r="M808" s="7">
        <f t="shared" ca="1" si="54"/>
        <v>59.507186858316224</v>
      </c>
      <c r="N808" s="5" t="str">
        <f ca="1">VLOOKUP(Data!M808,temp!$B$3:$C$9,2,1)</f>
        <v>50-60</v>
      </c>
      <c r="O808">
        <v>365243</v>
      </c>
      <c r="P808" s="8">
        <f t="shared" si="55"/>
        <v>0</v>
      </c>
      <c r="Q808" s="5" t="str">
        <f t="shared" si="57"/>
        <v>Unemployed</v>
      </c>
      <c r="R808">
        <v>1</v>
      </c>
      <c r="S808">
        <v>0</v>
      </c>
      <c r="T808">
        <v>0</v>
      </c>
      <c r="U808">
        <v>0</v>
      </c>
      <c r="W808">
        <v>3</v>
      </c>
    </row>
    <row r="809" spans="1:23" x14ac:dyDescent="0.2">
      <c r="A809">
        <v>5029596</v>
      </c>
      <c r="B809" t="s">
        <v>18</v>
      </c>
      <c r="C809" t="s">
        <v>19</v>
      </c>
      <c r="D809" t="s">
        <v>20</v>
      </c>
      <c r="E809">
        <v>1</v>
      </c>
      <c r="F809">
        <v>139500</v>
      </c>
      <c r="G809" t="s">
        <v>21</v>
      </c>
      <c r="H809" t="s">
        <v>51</v>
      </c>
      <c r="I809" t="s">
        <v>28</v>
      </c>
      <c r="J809" t="s">
        <v>24</v>
      </c>
      <c r="K809" s="6">
        <f t="shared" ca="1" si="56"/>
        <v>24026</v>
      </c>
      <c r="L809">
        <v>-21735</v>
      </c>
      <c r="M809" s="7">
        <f t="shared" ca="1" si="54"/>
        <v>59.507186858316224</v>
      </c>
      <c r="N809" s="5" t="str">
        <f ca="1">VLOOKUP(Data!M809,temp!$B$3:$C$9,2,1)</f>
        <v>50-60</v>
      </c>
      <c r="O809">
        <v>365243</v>
      </c>
      <c r="P809" s="8">
        <f t="shared" si="55"/>
        <v>0</v>
      </c>
      <c r="Q809" s="5" t="str">
        <f t="shared" si="57"/>
        <v>Unemployed</v>
      </c>
      <c r="R809">
        <v>1</v>
      </c>
      <c r="S809">
        <v>0</v>
      </c>
      <c r="T809">
        <v>0</v>
      </c>
      <c r="U809">
        <v>0</v>
      </c>
      <c r="W809">
        <v>3</v>
      </c>
    </row>
    <row r="810" spans="1:23" x14ac:dyDescent="0.2">
      <c r="A810">
        <v>5029597</v>
      </c>
      <c r="B810" t="s">
        <v>18</v>
      </c>
      <c r="C810" t="s">
        <v>19</v>
      </c>
      <c r="D810" t="s">
        <v>20</v>
      </c>
      <c r="E810">
        <v>1</v>
      </c>
      <c r="F810">
        <v>139500</v>
      </c>
      <c r="G810" t="s">
        <v>21</v>
      </c>
      <c r="H810" t="s">
        <v>51</v>
      </c>
      <c r="I810" t="s">
        <v>28</v>
      </c>
      <c r="J810" t="s">
        <v>24</v>
      </c>
      <c r="K810" s="6">
        <f t="shared" ca="1" si="56"/>
        <v>24026</v>
      </c>
      <c r="L810">
        <v>-21735</v>
      </c>
      <c r="M810" s="7">
        <f t="shared" ca="1" si="54"/>
        <v>59.507186858316224</v>
      </c>
      <c r="N810" s="5" t="str">
        <f ca="1">VLOOKUP(Data!M810,temp!$B$3:$C$9,2,1)</f>
        <v>50-60</v>
      </c>
      <c r="O810">
        <v>365243</v>
      </c>
      <c r="P810" s="8">
        <f t="shared" si="55"/>
        <v>0</v>
      </c>
      <c r="Q810" s="5" t="str">
        <f t="shared" si="57"/>
        <v>Unemployed</v>
      </c>
      <c r="R810">
        <v>1</v>
      </c>
      <c r="S810">
        <v>0</v>
      </c>
      <c r="T810">
        <v>0</v>
      </c>
      <c r="U810">
        <v>0</v>
      </c>
      <c r="W810">
        <v>3</v>
      </c>
    </row>
    <row r="811" spans="1:23" x14ac:dyDescent="0.2">
      <c r="A811">
        <v>5029599</v>
      </c>
      <c r="B811" t="s">
        <v>25</v>
      </c>
      <c r="C811" t="s">
        <v>20</v>
      </c>
      <c r="D811" t="s">
        <v>20</v>
      </c>
      <c r="E811">
        <v>0</v>
      </c>
      <c r="F811">
        <v>270000</v>
      </c>
      <c r="G811" t="s">
        <v>31</v>
      </c>
      <c r="H811" t="s">
        <v>27</v>
      </c>
      <c r="I811" t="s">
        <v>28</v>
      </c>
      <c r="J811" t="s">
        <v>24</v>
      </c>
      <c r="K811" s="6">
        <f t="shared" ca="1" si="56"/>
        <v>34513</v>
      </c>
      <c r="L811">
        <v>-11248</v>
      </c>
      <c r="M811" s="7">
        <f t="shared" ca="1" si="54"/>
        <v>30.795345653661876</v>
      </c>
      <c r="N811" s="5" t="str">
        <f ca="1">VLOOKUP(Data!M811,temp!$B$3:$C$9,2,1)</f>
        <v>30-40</v>
      </c>
      <c r="O811">
        <v>-2391</v>
      </c>
      <c r="P811" s="8">
        <f t="shared" si="55"/>
        <v>6.5462012320328542</v>
      </c>
      <c r="Q811" s="5" t="str">
        <f t="shared" si="57"/>
        <v>Employed</v>
      </c>
      <c r="R811">
        <v>1</v>
      </c>
      <c r="S811">
        <v>0</v>
      </c>
      <c r="T811">
        <v>0</v>
      </c>
      <c r="U811">
        <v>0</v>
      </c>
      <c r="V811" t="s">
        <v>30</v>
      </c>
      <c r="W811">
        <v>2</v>
      </c>
    </row>
    <row r="812" spans="1:23" x14ac:dyDescent="0.2">
      <c r="A812">
        <v>5029607</v>
      </c>
      <c r="B812" t="s">
        <v>18</v>
      </c>
      <c r="C812" t="s">
        <v>20</v>
      </c>
      <c r="D812" t="s">
        <v>20</v>
      </c>
      <c r="E812">
        <v>0</v>
      </c>
      <c r="F812">
        <v>180000</v>
      </c>
      <c r="G812" t="s">
        <v>26</v>
      </c>
      <c r="H812" t="s">
        <v>22</v>
      </c>
      <c r="I812" t="s">
        <v>33</v>
      </c>
      <c r="J812" t="s">
        <v>24</v>
      </c>
      <c r="K812" s="6">
        <f t="shared" ca="1" si="56"/>
        <v>30600</v>
      </c>
      <c r="L812">
        <v>-15161</v>
      </c>
      <c r="M812" s="7">
        <f t="shared" ca="1" si="54"/>
        <v>41.508555783709788</v>
      </c>
      <c r="N812" s="5" t="str">
        <f ca="1">VLOOKUP(Data!M812,temp!$B$3:$C$9,2,1)</f>
        <v>40-50</v>
      </c>
      <c r="O812">
        <v>-7140</v>
      </c>
      <c r="P812" s="8">
        <f t="shared" si="55"/>
        <v>19.548254620123203</v>
      </c>
      <c r="Q812" s="5" t="str">
        <f t="shared" si="57"/>
        <v>Employed</v>
      </c>
      <c r="R812">
        <v>1</v>
      </c>
      <c r="S812">
        <v>0</v>
      </c>
      <c r="T812">
        <v>0</v>
      </c>
      <c r="U812">
        <v>0</v>
      </c>
      <c r="V812" t="s">
        <v>38</v>
      </c>
      <c r="W812">
        <v>1</v>
      </c>
    </row>
    <row r="813" spans="1:23" x14ac:dyDescent="0.2">
      <c r="A813">
        <v>5029618</v>
      </c>
      <c r="B813" t="s">
        <v>18</v>
      </c>
      <c r="C813" t="s">
        <v>19</v>
      </c>
      <c r="D813" t="s">
        <v>20</v>
      </c>
      <c r="E813">
        <v>0</v>
      </c>
      <c r="F813">
        <v>135000</v>
      </c>
      <c r="G813" t="s">
        <v>31</v>
      </c>
      <c r="H813" t="s">
        <v>27</v>
      </c>
      <c r="I813" t="s">
        <v>28</v>
      </c>
      <c r="J813" t="s">
        <v>24</v>
      </c>
      <c r="K813" s="6">
        <f t="shared" ca="1" si="56"/>
        <v>29838</v>
      </c>
      <c r="L813">
        <v>-15923</v>
      </c>
      <c r="M813" s="7">
        <f t="shared" ca="1" si="54"/>
        <v>43.59479808350445</v>
      </c>
      <c r="N813" s="5" t="str">
        <f ca="1">VLOOKUP(Data!M813,temp!$B$3:$C$9,2,1)</f>
        <v>40-50</v>
      </c>
      <c r="O813">
        <v>-961</v>
      </c>
      <c r="P813" s="8">
        <f t="shared" si="55"/>
        <v>2.6310746064339492</v>
      </c>
      <c r="Q813" s="5" t="str">
        <f t="shared" si="57"/>
        <v>Employed</v>
      </c>
      <c r="R813">
        <v>1</v>
      </c>
      <c r="S813">
        <v>0</v>
      </c>
      <c r="T813">
        <v>0</v>
      </c>
      <c r="U813">
        <v>0</v>
      </c>
      <c r="V813" t="s">
        <v>54</v>
      </c>
      <c r="W813">
        <v>2</v>
      </c>
    </row>
    <row r="814" spans="1:23" x14ac:dyDescent="0.2">
      <c r="A814">
        <v>5029625</v>
      </c>
      <c r="B814" t="s">
        <v>18</v>
      </c>
      <c r="C814" t="s">
        <v>19</v>
      </c>
      <c r="D814" t="s">
        <v>20</v>
      </c>
      <c r="E814">
        <v>1</v>
      </c>
      <c r="F814">
        <v>180000</v>
      </c>
      <c r="G814" t="s">
        <v>31</v>
      </c>
      <c r="H814" t="s">
        <v>27</v>
      </c>
      <c r="I814" t="s">
        <v>28</v>
      </c>
      <c r="J814" t="s">
        <v>41</v>
      </c>
      <c r="K814" s="6">
        <f t="shared" ca="1" si="56"/>
        <v>37720</v>
      </c>
      <c r="L814">
        <v>-8041</v>
      </c>
      <c r="M814" s="7">
        <f t="shared" ca="1" si="54"/>
        <v>22.015058179329227</v>
      </c>
      <c r="N814" s="5" t="str">
        <f ca="1">VLOOKUP(Data!M814,temp!$B$3:$C$9,2,1)</f>
        <v>20-30</v>
      </c>
      <c r="O814">
        <v>-1419</v>
      </c>
      <c r="P814" s="8">
        <f t="shared" si="55"/>
        <v>3.8850102669404518</v>
      </c>
      <c r="Q814" s="5" t="str">
        <f t="shared" si="57"/>
        <v>Employed</v>
      </c>
      <c r="R814">
        <v>1</v>
      </c>
      <c r="S814">
        <v>0</v>
      </c>
      <c r="T814">
        <v>1</v>
      </c>
      <c r="U814">
        <v>1</v>
      </c>
      <c r="V814" t="s">
        <v>39</v>
      </c>
      <c r="W814">
        <v>3</v>
      </c>
    </row>
    <row r="815" spans="1:23" x14ac:dyDescent="0.2">
      <c r="A815">
        <v>5029630</v>
      </c>
      <c r="B815" t="s">
        <v>18</v>
      </c>
      <c r="C815" t="s">
        <v>19</v>
      </c>
      <c r="D815" t="s">
        <v>20</v>
      </c>
      <c r="E815">
        <v>0</v>
      </c>
      <c r="F815">
        <v>270000</v>
      </c>
      <c r="G815" t="s">
        <v>26</v>
      </c>
      <c r="H815" t="s">
        <v>27</v>
      </c>
      <c r="I815" t="s">
        <v>28</v>
      </c>
      <c r="J815" t="s">
        <v>24</v>
      </c>
      <c r="K815" s="6">
        <f t="shared" ca="1" si="56"/>
        <v>28080</v>
      </c>
      <c r="L815">
        <v>-17681</v>
      </c>
      <c r="M815" s="7">
        <f t="shared" ca="1" si="54"/>
        <v>48.407939767282684</v>
      </c>
      <c r="N815" s="5" t="str">
        <f ca="1">VLOOKUP(Data!M815,temp!$B$3:$C$9,2,1)</f>
        <v>40-50</v>
      </c>
      <c r="O815">
        <v>-5649</v>
      </c>
      <c r="P815" s="8">
        <f t="shared" si="55"/>
        <v>15.466119096509241</v>
      </c>
      <c r="Q815" s="5" t="str">
        <f t="shared" si="57"/>
        <v>Employed</v>
      </c>
      <c r="R815">
        <v>1</v>
      </c>
      <c r="S815">
        <v>0</v>
      </c>
      <c r="T815">
        <v>1</v>
      </c>
      <c r="U815">
        <v>1</v>
      </c>
      <c r="W815">
        <v>2</v>
      </c>
    </row>
    <row r="816" spans="1:23" x14ac:dyDescent="0.2">
      <c r="A816">
        <v>5029639</v>
      </c>
      <c r="B816" t="s">
        <v>18</v>
      </c>
      <c r="C816" t="s">
        <v>19</v>
      </c>
      <c r="D816" t="s">
        <v>20</v>
      </c>
      <c r="E816">
        <v>0</v>
      </c>
      <c r="F816">
        <v>270000</v>
      </c>
      <c r="G816" t="s">
        <v>31</v>
      </c>
      <c r="H816" t="s">
        <v>22</v>
      </c>
      <c r="I816" t="s">
        <v>28</v>
      </c>
      <c r="J816" t="s">
        <v>24</v>
      </c>
      <c r="K816" s="6">
        <f t="shared" ca="1" si="56"/>
        <v>33470</v>
      </c>
      <c r="L816">
        <v>-12291</v>
      </c>
      <c r="M816" s="7">
        <f t="shared" ca="1" si="54"/>
        <v>33.650924024640659</v>
      </c>
      <c r="N816" s="5" t="str">
        <f ca="1">VLOOKUP(Data!M816,temp!$B$3:$C$9,2,1)</f>
        <v>30-40</v>
      </c>
      <c r="O816">
        <v>-1053</v>
      </c>
      <c r="P816" s="8">
        <f t="shared" si="55"/>
        <v>2.8829568788501025</v>
      </c>
      <c r="Q816" s="5" t="str">
        <f t="shared" si="57"/>
        <v>Employed</v>
      </c>
      <c r="R816">
        <v>1</v>
      </c>
      <c r="S816">
        <v>0</v>
      </c>
      <c r="T816">
        <v>0</v>
      </c>
      <c r="U816">
        <v>0</v>
      </c>
      <c r="W816">
        <v>2</v>
      </c>
    </row>
    <row r="817" spans="1:23" x14ac:dyDescent="0.2">
      <c r="A817">
        <v>5029647</v>
      </c>
      <c r="B817" t="s">
        <v>25</v>
      </c>
      <c r="C817" t="s">
        <v>19</v>
      </c>
      <c r="D817" t="s">
        <v>20</v>
      </c>
      <c r="E817">
        <v>2</v>
      </c>
      <c r="F817">
        <v>112500</v>
      </c>
      <c r="G817" t="s">
        <v>31</v>
      </c>
      <c r="H817" t="s">
        <v>27</v>
      </c>
      <c r="I817" t="s">
        <v>28</v>
      </c>
      <c r="J817" t="s">
        <v>24</v>
      </c>
      <c r="K817" s="6">
        <f t="shared" ca="1" si="56"/>
        <v>31755</v>
      </c>
      <c r="L817">
        <v>-14006</v>
      </c>
      <c r="M817" s="7">
        <f t="shared" ca="1" si="54"/>
        <v>38.346338124572213</v>
      </c>
      <c r="N817" s="5" t="str">
        <f ca="1">VLOOKUP(Data!M817,temp!$B$3:$C$9,2,1)</f>
        <v>30-40</v>
      </c>
      <c r="O817">
        <v>-869</v>
      </c>
      <c r="P817" s="8">
        <f t="shared" si="55"/>
        <v>2.3791923340177958</v>
      </c>
      <c r="Q817" s="5" t="str">
        <f t="shared" si="57"/>
        <v>Employed</v>
      </c>
      <c r="R817">
        <v>1</v>
      </c>
      <c r="S817">
        <v>1</v>
      </c>
      <c r="T817">
        <v>0</v>
      </c>
      <c r="U817">
        <v>0</v>
      </c>
      <c r="V817" t="s">
        <v>29</v>
      </c>
      <c r="W817">
        <v>4</v>
      </c>
    </row>
    <row r="818" spans="1:23" x14ac:dyDescent="0.2">
      <c r="A818">
        <v>5029664</v>
      </c>
      <c r="B818" t="s">
        <v>18</v>
      </c>
      <c r="C818" t="s">
        <v>19</v>
      </c>
      <c r="D818" t="s">
        <v>19</v>
      </c>
      <c r="E818">
        <v>0</v>
      </c>
      <c r="F818">
        <v>67500</v>
      </c>
      <c r="G818" t="s">
        <v>31</v>
      </c>
      <c r="H818" t="s">
        <v>27</v>
      </c>
      <c r="I818" t="s">
        <v>28</v>
      </c>
      <c r="J818" t="s">
        <v>24</v>
      </c>
      <c r="K818" s="6">
        <f t="shared" ca="1" si="56"/>
        <v>27360</v>
      </c>
      <c r="L818">
        <v>-18401</v>
      </c>
      <c r="M818" s="7">
        <f t="shared" ca="1" si="54"/>
        <v>50.379192334017795</v>
      </c>
      <c r="N818" s="5" t="str">
        <f ca="1">VLOOKUP(Data!M818,temp!$B$3:$C$9,2,1)</f>
        <v>50-60</v>
      </c>
      <c r="O818">
        <v>-2149</v>
      </c>
      <c r="P818" s="8">
        <f t="shared" si="55"/>
        <v>5.8836413415468858</v>
      </c>
      <c r="Q818" s="5" t="str">
        <f t="shared" si="57"/>
        <v>Employed</v>
      </c>
      <c r="R818">
        <v>1</v>
      </c>
      <c r="S818">
        <v>0</v>
      </c>
      <c r="T818">
        <v>0</v>
      </c>
      <c r="U818">
        <v>0</v>
      </c>
      <c r="V818" t="s">
        <v>29</v>
      </c>
      <c r="W818">
        <v>2</v>
      </c>
    </row>
    <row r="819" spans="1:23" x14ac:dyDescent="0.2">
      <c r="A819">
        <v>5029668</v>
      </c>
      <c r="B819" t="s">
        <v>18</v>
      </c>
      <c r="C819" t="s">
        <v>19</v>
      </c>
      <c r="D819" t="s">
        <v>19</v>
      </c>
      <c r="E819">
        <v>0</v>
      </c>
      <c r="F819">
        <v>67500</v>
      </c>
      <c r="G819" t="s">
        <v>31</v>
      </c>
      <c r="H819" t="s">
        <v>27</v>
      </c>
      <c r="I819" t="s">
        <v>28</v>
      </c>
      <c r="J819" t="s">
        <v>24</v>
      </c>
      <c r="K819" s="6">
        <f t="shared" ca="1" si="56"/>
        <v>27360</v>
      </c>
      <c r="L819">
        <v>-18401</v>
      </c>
      <c r="M819" s="7">
        <f t="shared" ca="1" si="54"/>
        <v>50.379192334017795</v>
      </c>
      <c r="N819" s="5" t="str">
        <f ca="1">VLOOKUP(Data!M819,temp!$B$3:$C$9,2,1)</f>
        <v>50-60</v>
      </c>
      <c r="O819">
        <v>-2149</v>
      </c>
      <c r="P819" s="8">
        <f t="shared" si="55"/>
        <v>5.8836413415468858</v>
      </c>
      <c r="Q819" s="5" t="str">
        <f t="shared" si="57"/>
        <v>Employed</v>
      </c>
      <c r="R819">
        <v>1</v>
      </c>
      <c r="S819">
        <v>0</v>
      </c>
      <c r="T819">
        <v>0</v>
      </c>
      <c r="U819">
        <v>0</v>
      </c>
      <c r="V819" t="s">
        <v>29</v>
      </c>
      <c r="W819">
        <v>2</v>
      </c>
    </row>
    <row r="820" spans="1:23" x14ac:dyDescent="0.2">
      <c r="A820">
        <v>5029674</v>
      </c>
      <c r="B820" t="s">
        <v>25</v>
      </c>
      <c r="C820" t="s">
        <v>20</v>
      </c>
      <c r="D820" t="s">
        <v>20</v>
      </c>
      <c r="E820">
        <v>1</v>
      </c>
      <c r="F820">
        <v>112500</v>
      </c>
      <c r="G820" t="s">
        <v>31</v>
      </c>
      <c r="H820" t="s">
        <v>27</v>
      </c>
      <c r="I820" t="s">
        <v>37</v>
      </c>
      <c r="J820" t="s">
        <v>24</v>
      </c>
      <c r="K820" s="6">
        <f t="shared" ca="1" si="56"/>
        <v>32596</v>
      </c>
      <c r="L820">
        <v>-13165</v>
      </c>
      <c r="M820" s="7">
        <f t="shared" ca="1" si="54"/>
        <v>36.043805612594113</v>
      </c>
      <c r="N820" s="5" t="str">
        <f ca="1">VLOOKUP(Data!M820,temp!$B$3:$C$9,2,1)</f>
        <v>30-40</v>
      </c>
      <c r="O820">
        <v>-1022</v>
      </c>
      <c r="P820" s="8">
        <f t="shared" si="55"/>
        <v>2.7980835044490076</v>
      </c>
      <c r="Q820" s="5" t="str">
        <f t="shared" si="57"/>
        <v>Employed</v>
      </c>
      <c r="R820">
        <v>1</v>
      </c>
      <c r="S820">
        <v>0</v>
      </c>
      <c r="T820">
        <v>0</v>
      </c>
      <c r="U820">
        <v>0</v>
      </c>
      <c r="V820" t="s">
        <v>30</v>
      </c>
      <c r="W820">
        <v>3</v>
      </c>
    </row>
    <row r="821" spans="1:23" x14ac:dyDescent="0.2">
      <c r="A821">
        <v>5029675</v>
      </c>
      <c r="B821" t="s">
        <v>25</v>
      </c>
      <c r="C821" t="s">
        <v>20</v>
      </c>
      <c r="D821" t="s">
        <v>20</v>
      </c>
      <c r="E821">
        <v>1</v>
      </c>
      <c r="F821">
        <v>112500</v>
      </c>
      <c r="G821" t="s">
        <v>31</v>
      </c>
      <c r="H821" t="s">
        <v>27</v>
      </c>
      <c r="I821" t="s">
        <v>37</v>
      </c>
      <c r="J821" t="s">
        <v>24</v>
      </c>
      <c r="K821" s="6">
        <f t="shared" ca="1" si="56"/>
        <v>32596</v>
      </c>
      <c r="L821">
        <v>-13165</v>
      </c>
      <c r="M821" s="7">
        <f t="shared" ca="1" si="54"/>
        <v>36.043805612594113</v>
      </c>
      <c r="N821" s="5" t="str">
        <f ca="1">VLOOKUP(Data!M821,temp!$B$3:$C$9,2,1)</f>
        <v>30-40</v>
      </c>
      <c r="O821">
        <v>-1022</v>
      </c>
      <c r="P821" s="8">
        <f t="shared" si="55"/>
        <v>2.7980835044490076</v>
      </c>
      <c r="Q821" s="5" t="str">
        <f t="shared" si="57"/>
        <v>Employed</v>
      </c>
      <c r="R821">
        <v>1</v>
      </c>
      <c r="S821">
        <v>0</v>
      </c>
      <c r="T821">
        <v>0</v>
      </c>
      <c r="U821">
        <v>0</v>
      </c>
      <c r="V821" t="s">
        <v>30</v>
      </c>
      <c r="W821">
        <v>3</v>
      </c>
    </row>
    <row r="822" spans="1:23" x14ac:dyDescent="0.2">
      <c r="A822">
        <v>5029681</v>
      </c>
      <c r="B822" t="s">
        <v>25</v>
      </c>
      <c r="C822" t="s">
        <v>19</v>
      </c>
      <c r="D822" t="s">
        <v>20</v>
      </c>
      <c r="E822">
        <v>0</v>
      </c>
      <c r="F822">
        <v>63000</v>
      </c>
      <c r="G822" t="s">
        <v>21</v>
      </c>
      <c r="H822" t="s">
        <v>27</v>
      </c>
      <c r="I822" t="s">
        <v>33</v>
      </c>
      <c r="J822" t="s">
        <v>24</v>
      </c>
      <c r="K822" s="6">
        <f t="shared" ca="1" si="56"/>
        <v>25072</v>
      </c>
      <c r="L822">
        <v>-20689</v>
      </c>
      <c r="M822" s="7">
        <f t="shared" ca="1" si="54"/>
        <v>56.643394934976044</v>
      </c>
      <c r="N822" s="5" t="str">
        <f ca="1">VLOOKUP(Data!M822,temp!$B$3:$C$9,2,1)</f>
        <v>50-60</v>
      </c>
      <c r="O822">
        <v>365243</v>
      </c>
      <c r="P822" s="8">
        <f t="shared" si="55"/>
        <v>0</v>
      </c>
      <c r="Q822" s="5" t="str">
        <f t="shared" si="57"/>
        <v>Unemployed</v>
      </c>
      <c r="R822">
        <v>1</v>
      </c>
      <c r="S822">
        <v>0</v>
      </c>
      <c r="T822">
        <v>0</v>
      </c>
      <c r="U822">
        <v>0</v>
      </c>
      <c r="W822">
        <v>1</v>
      </c>
    </row>
    <row r="823" spans="1:23" x14ac:dyDescent="0.2">
      <c r="A823">
        <v>5029684</v>
      </c>
      <c r="B823" t="s">
        <v>18</v>
      </c>
      <c r="C823" t="s">
        <v>20</v>
      </c>
      <c r="D823" t="s">
        <v>20</v>
      </c>
      <c r="E823">
        <v>0</v>
      </c>
      <c r="F823">
        <v>270000</v>
      </c>
      <c r="G823" t="s">
        <v>26</v>
      </c>
      <c r="H823" t="s">
        <v>22</v>
      </c>
      <c r="I823" t="s">
        <v>28</v>
      </c>
      <c r="J823" t="s">
        <v>24</v>
      </c>
      <c r="K823" s="6">
        <f t="shared" ca="1" si="56"/>
        <v>25801</v>
      </c>
      <c r="L823">
        <v>-19960</v>
      </c>
      <c r="M823" s="7">
        <f t="shared" ca="1" si="54"/>
        <v>54.647501711156742</v>
      </c>
      <c r="N823" s="5" t="str">
        <f ca="1">VLOOKUP(Data!M823,temp!$B$3:$C$9,2,1)</f>
        <v>50-60</v>
      </c>
      <c r="O823">
        <v>-5679</v>
      </c>
      <c r="P823" s="8">
        <f t="shared" si="55"/>
        <v>15.548254620123203</v>
      </c>
      <c r="Q823" s="5" t="str">
        <f t="shared" si="57"/>
        <v>Employed</v>
      </c>
      <c r="R823">
        <v>1</v>
      </c>
      <c r="S823">
        <v>0</v>
      </c>
      <c r="T823">
        <v>0</v>
      </c>
      <c r="U823">
        <v>0</v>
      </c>
      <c r="V823" t="s">
        <v>44</v>
      </c>
      <c r="W823">
        <v>2</v>
      </c>
    </row>
    <row r="824" spans="1:23" x14ac:dyDescent="0.2">
      <c r="A824">
        <v>5029713</v>
      </c>
      <c r="B824" t="s">
        <v>18</v>
      </c>
      <c r="C824" t="s">
        <v>20</v>
      </c>
      <c r="D824" t="s">
        <v>20</v>
      </c>
      <c r="E824">
        <v>1</v>
      </c>
      <c r="F824">
        <v>265500</v>
      </c>
      <c r="G824" t="s">
        <v>31</v>
      </c>
      <c r="H824" t="s">
        <v>22</v>
      </c>
      <c r="I824" t="s">
        <v>28</v>
      </c>
      <c r="J824" t="s">
        <v>41</v>
      </c>
      <c r="K824" s="6">
        <f t="shared" ca="1" si="56"/>
        <v>34763</v>
      </c>
      <c r="L824">
        <v>-10998</v>
      </c>
      <c r="M824" s="7">
        <f t="shared" ca="1" si="54"/>
        <v>30.11088295687885</v>
      </c>
      <c r="N824" s="5" t="str">
        <f ca="1">VLOOKUP(Data!M824,temp!$B$3:$C$9,2,1)</f>
        <v>30-40</v>
      </c>
      <c r="O824">
        <v>-2514</v>
      </c>
      <c r="P824" s="8">
        <f t="shared" si="55"/>
        <v>6.882956878850103</v>
      </c>
      <c r="Q824" s="5" t="str">
        <f t="shared" si="57"/>
        <v>Employed</v>
      </c>
      <c r="R824">
        <v>1</v>
      </c>
      <c r="S824">
        <v>0</v>
      </c>
      <c r="T824">
        <v>0</v>
      </c>
      <c r="U824">
        <v>0</v>
      </c>
      <c r="V824" t="s">
        <v>44</v>
      </c>
      <c r="W824">
        <v>3</v>
      </c>
    </row>
    <row r="825" spans="1:23" x14ac:dyDescent="0.2">
      <c r="A825">
        <v>5029719</v>
      </c>
      <c r="B825" t="s">
        <v>18</v>
      </c>
      <c r="C825" t="s">
        <v>20</v>
      </c>
      <c r="D825" t="s">
        <v>20</v>
      </c>
      <c r="E825">
        <v>1</v>
      </c>
      <c r="F825">
        <v>265500</v>
      </c>
      <c r="G825" t="s">
        <v>31</v>
      </c>
      <c r="H825" t="s">
        <v>22</v>
      </c>
      <c r="I825" t="s">
        <v>28</v>
      </c>
      <c r="J825" t="s">
        <v>41</v>
      </c>
      <c r="K825" s="6">
        <f t="shared" ca="1" si="56"/>
        <v>34763</v>
      </c>
      <c r="L825">
        <v>-10998</v>
      </c>
      <c r="M825" s="7">
        <f t="shared" ca="1" si="54"/>
        <v>30.11088295687885</v>
      </c>
      <c r="N825" s="5" t="str">
        <f ca="1">VLOOKUP(Data!M825,temp!$B$3:$C$9,2,1)</f>
        <v>30-40</v>
      </c>
      <c r="O825">
        <v>-2514</v>
      </c>
      <c r="P825" s="8">
        <f t="shared" si="55"/>
        <v>6.882956878850103</v>
      </c>
      <c r="Q825" s="5" t="str">
        <f t="shared" si="57"/>
        <v>Employed</v>
      </c>
      <c r="R825">
        <v>1</v>
      </c>
      <c r="S825">
        <v>0</v>
      </c>
      <c r="T825">
        <v>0</v>
      </c>
      <c r="U825">
        <v>0</v>
      </c>
      <c r="V825" t="s">
        <v>44</v>
      </c>
      <c r="W825">
        <v>3</v>
      </c>
    </row>
    <row r="826" spans="1:23" x14ac:dyDescent="0.2">
      <c r="A826">
        <v>5029724</v>
      </c>
      <c r="B826" t="s">
        <v>18</v>
      </c>
      <c r="C826" t="s">
        <v>19</v>
      </c>
      <c r="D826" t="s">
        <v>20</v>
      </c>
      <c r="E826">
        <v>1</v>
      </c>
      <c r="F826">
        <v>135000</v>
      </c>
      <c r="G826" t="s">
        <v>26</v>
      </c>
      <c r="H826" t="s">
        <v>22</v>
      </c>
      <c r="I826" t="s">
        <v>28</v>
      </c>
      <c r="J826" t="s">
        <v>24</v>
      </c>
      <c r="K826" s="6">
        <f t="shared" ca="1" si="56"/>
        <v>35983</v>
      </c>
      <c r="L826">
        <v>-9778</v>
      </c>
      <c r="M826" s="7">
        <f t="shared" ca="1" si="54"/>
        <v>26.770704996577688</v>
      </c>
      <c r="N826" s="5" t="str">
        <f ca="1">VLOOKUP(Data!M826,temp!$B$3:$C$9,2,1)</f>
        <v>20-30</v>
      </c>
      <c r="O826">
        <v>-2910</v>
      </c>
      <c r="P826" s="8">
        <f t="shared" si="55"/>
        <v>7.9671457905544152</v>
      </c>
      <c r="Q826" s="5" t="str">
        <f t="shared" si="57"/>
        <v>Employed</v>
      </c>
      <c r="R826">
        <v>1</v>
      </c>
      <c r="S826">
        <v>1</v>
      </c>
      <c r="T826">
        <v>0</v>
      </c>
      <c r="U826">
        <v>1</v>
      </c>
      <c r="V826" t="s">
        <v>38</v>
      </c>
      <c r="W826">
        <v>3</v>
      </c>
    </row>
    <row r="827" spans="1:23" x14ac:dyDescent="0.2">
      <c r="A827">
        <v>5029725</v>
      </c>
      <c r="B827" t="s">
        <v>18</v>
      </c>
      <c r="C827" t="s">
        <v>19</v>
      </c>
      <c r="D827" t="s">
        <v>20</v>
      </c>
      <c r="E827">
        <v>1</v>
      </c>
      <c r="F827">
        <v>135000</v>
      </c>
      <c r="G827" t="s">
        <v>26</v>
      </c>
      <c r="H827" t="s">
        <v>22</v>
      </c>
      <c r="I827" t="s">
        <v>28</v>
      </c>
      <c r="J827" t="s">
        <v>24</v>
      </c>
      <c r="K827" s="6">
        <f t="shared" ca="1" si="56"/>
        <v>35983</v>
      </c>
      <c r="L827">
        <v>-9778</v>
      </c>
      <c r="M827" s="7">
        <f t="shared" ca="1" si="54"/>
        <v>26.770704996577688</v>
      </c>
      <c r="N827" s="5" t="str">
        <f ca="1">VLOOKUP(Data!M827,temp!$B$3:$C$9,2,1)</f>
        <v>20-30</v>
      </c>
      <c r="O827">
        <v>-2910</v>
      </c>
      <c r="P827" s="8">
        <f t="shared" si="55"/>
        <v>7.9671457905544152</v>
      </c>
      <c r="Q827" s="5" t="str">
        <f t="shared" si="57"/>
        <v>Employed</v>
      </c>
      <c r="R827">
        <v>1</v>
      </c>
      <c r="S827">
        <v>1</v>
      </c>
      <c r="T827">
        <v>0</v>
      </c>
      <c r="U827">
        <v>1</v>
      </c>
      <c r="V827" t="s">
        <v>38</v>
      </c>
      <c r="W827">
        <v>3</v>
      </c>
    </row>
    <row r="828" spans="1:23" x14ac:dyDescent="0.2">
      <c r="A828">
        <v>5029752</v>
      </c>
      <c r="B828" t="s">
        <v>25</v>
      </c>
      <c r="C828" t="s">
        <v>19</v>
      </c>
      <c r="D828" t="s">
        <v>20</v>
      </c>
      <c r="E828">
        <v>0</v>
      </c>
      <c r="F828">
        <v>202500</v>
      </c>
      <c r="G828" t="s">
        <v>31</v>
      </c>
      <c r="H828" t="s">
        <v>27</v>
      </c>
      <c r="I828" t="s">
        <v>28</v>
      </c>
      <c r="J828" t="s">
        <v>24</v>
      </c>
      <c r="K828" s="6">
        <f t="shared" ca="1" si="56"/>
        <v>27726</v>
      </c>
      <c r="L828">
        <v>-18035</v>
      </c>
      <c r="M828" s="7">
        <f t="shared" ca="1" si="54"/>
        <v>49.377138945927449</v>
      </c>
      <c r="N828" s="5" t="str">
        <f ca="1">VLOOKUP(Data!M828,temp!$B$3:$C$9,2,1)</f>
        <v>40-50</v>
      </c>
      <c r="O828">
        <v>-2026</v>
      </c>
      <c r="P828" s="8">
        <f t="shared" si="55"/>
        <v>5.546885694729637</v>
      </c>
      <c r="Q828" s="5" t="str">
        <f t="shared" si="57"/>
        <v>Employed</v>
      </c>
      <c r="R828">
        <v>1</v>
      </c>
      <c r="S828">
        <v>1</v>
      </c>
      <c r="T828">
        <v>1</v>
      </c>
      <c r="U828">
        <v>0</v>
      </c>
      <c r="V828" t="s">
        <v>30</v>
      </c>
      <c r="W828">
        <v>2</v>
      </c>
    </row>
    <row r="829" spans="1:23" x14ac:dyDescent="0.2">
      <c r="A829">
        <v>5029777</v>
      </c>
      <c r="B829" t="s">
        <v>18</v>
      </c>
      <c r="C829" t="s">
        <v>19</v>
      </c>
      <c r="D829" t="s">
        <v>20</v>
      </c>
      <c r="E829">
        <v>0</v>
      </c>
      <c r="F829">
        <v>112500</v>
      </c>
      <c r="G829" t="s">
        <v>35</v>
      </c>
      <c r="H829" t="s">
        <v>27</v>
      </c>
      <c r="I829" t="s">
        <v>28</v>
      </c>
      <c r="J829" t="s">
        <v>24</v>
      </c>
      <c r="K829" s="6">
        <f t="shared" ca="1" si="56"/>
        <v>24546</v>
      </c>
      <c r="L829">
        <v>-21215</v>
      </c>
      <c r="M829" s="7">
        <f t="shared" ca="1" si="54"/>
        <v>58.083504449007528</v>
      </c>
      <c r="N829" s="5" t="str">
        <f ca="1">VLOOKUP(Data!M829,temp!$B$3:$C$9,2,1)</f>
        <v>50-60</v>
      </c>
      <c r="O829">
        <v>-808</v>
      </c>
      <c r="P829" s="8">
        <f t="shared" si="55"/>
        <v>2.2121834360027379</v>
      </c>
      <c r="Q829" s="5" t="str">
        <f t="shared" si="57"/>
        <v>Employed</v>
      </c>
      <c r="R829">
        <v>1</v>
      </c>
      <c r="S829">
        <v>0</v>
      </c>
      <c r="T829">
        <v>0</v>
      </c>
      <c r="U829">
        <v>0</v>
      </c>
      <c r="V829" t="s">
        <v>50</v>
      </c>
      <c r="W829">
        <v>2</v>
      </c>
    </row>
    <row r="830" spans="1:23" x14ac:dyDescent="0.2">
      <c r="A830">
        <v>5029783</v>
      </c>
      <c r="B830" t="s">
        <v>18</v>
      </c>
      <c r="C830" t="s">
        <v>19</v>
      </c>
      <c r="D830" t="s">
        <v>20</v>
      </c>
      <c r="E830">
        <v>0</v>
      </c>
      <c r="F830">
        <v>112500</v>
      </c>
      <c r="G830" t="s">
        <v>35</v>
      </c>
      <c r="H830" t="s">
        <v>27</v>
      </c>
      <c r="I830" t="s">
        <v>28</v>
      </c>
      <c r="J830" t="s">
        <v>24</v>
      </c>
      <c r="K830" s="6">
        <f t="shared" ca="1" si="56"/>
        <v>24546</v>
      </c>
      <c r="L830">
        <v>-21215</v>
      </c>
      <c r="M830" s="7">
        <f t="shared" ca="1" si="54"/>
        <v>58.083504449007528</v>
      </c>
      <c r="N830" s="5" t="str">
        <f ca="1">VLOOKUP(Data!M830,temp!$B$3:$C$9,2,1)</f>
        <v>50-60</v>
      </c>
      <c r="O830">
        <v>-808</v>
      </c>
      <c r="P830" s="8">
        <f t="shared" si="55"/>
        <v>2.2121834360027379</v>
      </c>
      <c r="Q830" s="5" t="str">
        <f t="shared" si="57"/>
        <v>Employed</v>
      </c>
      <c r="R830">
        <v>1</v>
      </c>
      <c r="S830">
        <v>0</v>
      </c>
      <c r="T830">
        <v>0</v>
      </c>
      <c r="U830">
        <v>0</v>
      </c>
      <c r="V830" t="s">
        <v>50</v>
      </c>
      <c r="W830">
        <v>2</v>
      </c>
    </row>
    <row r="831" spans="1:23" x14ac:dyDescent="0.2">
      <c r="A831">
        <v>5029784</v>
      </c>
      <c r="B831" t="s">
        <v>18</v>
      </c>
      <c r="C831" t="s">
        <v>19</v>
      </c>
      <c r="D831" t="s">
        <v>20</v>
      </c>
      <c r="E831">
        <v>0</v>
      </c>
      <c r="F831">
        <v>112500</v>
      </c>
      <c r="G831" t="s">
        <v>35</v>
      </c>
      <c r="H831" t="s">
        <v>27</v>
      </c>
      <c r="I831" t="s">
        <v>28</v>
      </c>
      <c r="J831" t="s">
        <v>24</v>
      </c>
      <c r="K831" s="6">
        <f t="shared" ca="1" si="56"/>
        <v>24546</v>
      </c>
      <c r="L831">
        <v>-21215</v>
      </c>
      <c r="M831" s="7">
        <f t="shared" ca="1" si="54"/>
        <v>58.083504449007528</v>
      </c>
      <c r="N831" s="5" t="str">
        <f ca="1">VLOOKUP(Data!M831,temp!$B$3:$C$9,2,1)</f>
        <v>50-60</v>
      </c>
      <c r="O831">
        <v>-808</v>
      </c>
      <c r="P831" s="8">
        <f t="shared" si="55"/>
        <v>2.2121834360027379</v>
      </c>
      <c r="Q831" s="5" t="str">
        <f t="shared" si="57"/>
        <v>Employed</v>
      </c>
      <c r="R831">
        <v>1</v>
      </c>
      <c r="S831">
        <v>0</v>
      </c>
      <c r="T831">
        <v>0</v>
      </c>
      <c r="U831">
        <v>0</v>
      </c>
      <c r="V831" t="s">
        <v>50</v>
      </c>
      <c r="W831">
        <v>2</v>
      </c>
    </row>
    <row r="832" spans="1:23" x14ac:dyDescent="0.2">
      <c r="A832">
        <v>5029798</v>
      </c>
      <c r="B832" t="s">
        <v>25</v>
      </c>
      <c r="C832" t="s">
        <v>20</v>
      </c>
      <c r="D832" t="s">
        <v>19</v>
      </c>
      <c r="E832">
        <v>1</v>
      </c>
      <c r="F832">
        <v>238500</v>
      </c>
      <c r="G832" t="s">
        <v>31</v>
      </c>
      <c r="H832" t="s">
        <v>22</v>
      </c>
      <c r="I832" t="s">
        <v>28</v>
      </c>
      <c r="J832" t="s">
        <v>41</v>
      </c>
      <c r="K832" s="6">
        <f t="shared" ca="1" si="56"/>
        <v>34377</v>
      </c>
      <c r="L832">
        <v>-11384</v>
      </c>
      <c r="M832" s="7">
        <f t="shared" ca="1" si="54"/>
        <v>31.167693360711841</v>
      </c>
      <c r="N832" s="5" t="str">
        <f ca="1">VLOOKUP(Data!M832,temp!$B$3:$C$9,2,1)</f>
        <v>30-40</v>
      </c>
      <c r="O832">
        <v>-1965</v>
      </c>
      <c r="P832" s="8">
        <f t="shared" si="55"/>
        <v>5.3798767967145791</v>
      </c>
      <c r="Q832" s="5" t="str">
        <f t="shared" si="57"/>
        <v>Employed</v>
      </c>
      <c r="R832">
        <v>1</v>
      </c>
      <c r="S832">
        <v>1</v>
      </c>
      <c r="T832">
        <v>1</v>
      </c>
      <c r="U832">
        <v>0</v>
      </c>
      <c r="V832" t="s">
        <v>30</v>
      </c>
      <c r="W832">
        <v>3</v>
      </c>
    </row>
    <row r="833" spans="1:23" x14ac:dyDescent="0.2">
      <c r="A833">
        <v>5032275</v>
      </c>
      <c r="B833" t="s">
        <v>25</v>
      </c>
      <c r="C833" t="s">
        <v>20</v>
      </c>
      <c r="D833" t="s">
        <v>20</v>
      </c>
      <c r="E833">
        <v>2</v>
      </c>
      <c r="F833">
        <v>108000</v>
      </c>
      <c r="G833" t="s">
        <v>35</v>
      </c>
      <c r="H833" t="s">
        <v>27</v>
      </c>
      <c r="I833" t="s">
        <v>28</v>
      </c>
      <c r="J833" t="s">
        <v>24</v>
      </c>
      <c r="K833" s="6">
        <f t="shared" ca="1" si="56"/>
        <v>33232</v>
      </c>
      <c r="L833">
        <v>-12529</v>
      </c>
      <c r="M833" s="7">
        <f t="shared" ca="1" si="54"/>
        <v>34.3025325119781</v>
      </c>
      <c r="N833" s="5" t="str">
        <f ca="1">VLOOKUP(Data!M833,temp!$B$3:$C$9,2,1)</f>
        <v>30-40</v>
      </c>
      <c r="O833">
        <v>-918</v>
      </c>
      <c r="P833" s="8">
        <f t="shared" si="55"/>
        <v>2.5133470225872689</v>
      </c>
      <c r="Q833" s="5" t="str">
        <f t="shared" si="57"/>
        <v>Employed</v>
      </c>
      <c r="R833">
        <v>1</v>
      </c>
      <c r="S833">
        <v>1</v>
      </c>
      <c r="T833">
        <v>0</v>
      </c>
      <c r="U833">
        <v>0</v>
      </c>
      <c r="W833">
        <v>4</v>
      </c>
    </row>
    <row r="834" spans="1:23" x14ac:dyDescent="0.2">
      <c r="A834">
        <v>5032278</v>
      </c>
      <c r="B834" t="s">
        <v>25</v>
      </c>
      <c r="C834" t="s">
        <v>20</v>
      </c>
      <c r="D834" t="s">
        <v>20</v>
      </c>
      <c r="E834">
        <v>2</v>
      </c>
      <c r="F834">
        <v>108000</v>
      </c>
      <c r="G834" t="s">
        <v>35</v>
      </c>
      <c r="H834" t="s">
        <v>27</v>
      </c>
      <c r="I834" t="s">
        <v>28</v>
      </c>
      <c r="J834" t="s">
        <v>24</v>
      </c>
      <c r="K834" s="6">
        <f t="shared" ca="1" si="56"/>
        <v>33232</v>
      </c>
      <c r="L834">
        <v>-12529</v>
      </c>
      <c r="M834" s="7">
        <f t="shared" ca="1" si="54"/>
        <v>34.3025325119781</v>
      </c>
      <c r="N834" s="5" t="str">
        <f ca="1">VLOOKUP(Data!M834,temp!$B$3:$C$9,2,1)</f>
        <v>30-40</v>
      </c>
      <c r="O834">
        <v>-918</v>
      </c>
      <c r="P834" s="8">
        <f t="shared" si="55"/>
        <v>2.5133470225872689</v>
      </c>
      <c r="Q834" s="5" t="str">
        <f t="shared" si="57"/>
        <v>Employed</v>
      </c>
      <c r="R834">
        <v>1</v>
      </c>
      <c r="S834">
        <v>1</v>
      </c>
      <c r="T834">
        <v>0</v>
      </c>
      <c r="U834">
        <v>0</v>
      </c>
      <c r="W834">
        <v>4</v>
      </c>
    </row>
    <row r="835" spans="1:23" x14ac:dyDescent="0.2">
      <c r="A835">
        <v>5033411</v>
      </c>
      <c r="B835" t="s">
        <v>25</v>
      </c>
      <c r="C835" t="s">
        <v>19</v>
      </c>
      <c r="D835" t="s">
        <v>19</v>
      </c>
      <c r="E835">
        <v>2</v>
      </c>
      <c r="F835">
        <v>157500</v>
      </c>
      <c r="G835" t="s">
        <v>31</v>
      </c>
      <c r="H835" t="s">
        <v>22</v>
      </c>
      <c r="I835" t="s">
        <v>28</v>
      </c>
      <c r="J835" t="s">
        <v>24</v>
      </c>
      <c r="K835" s="6">
        <f t="shared" ca="1" si="56"/>
        <v>32703</v>
      </c>
      <c r="L835">
        <v>-13058</v>
      </c>
      <c r="M835" s="7">
        <f t="shared" ref="M835:M898" ca="1" si="58">(TODAY()-K835)/365.25</f>
        <v>35.750855578370981</v>
      </c>
      <c r="N835" s="5" t="str">
        <f ca="1">VLOOKUP(Data!M835,temp!$B$3:$C$9,2,1)</f>
        <v>30-40</v>
      </c>
      <c r="O835">
        <v>-901</v>
      </c>
      <c r="P835" s="8">
        <f t="shared" ref="P835:P898" si="59">IF(O835&lt;=0,ABS(O835)/365.25,0)</f>
        <v>2.4668035592060233</v>
      </c>
      <c r="Q835" s="5" t="str">
        <f t="shared" si="57"/>
        <v>Employed</v>
      </c>
      <c r="R835">
        <v>1</v>
      </c>
      <c r="S835">
        <v>0</v>
      </c>
      <c r="T835">
        <v>0</v>
      </c>
      <c r="U835">
        <v>0</v>
      </c>
      <c r="V835" t="s">
        <v>47</v>
      </c>
      <c r="W835">
        <v>4</v>
      </c>
    </row>
    <row r="836" spans="1:23" x14ac:dyDescent="0.2">
      <c r="A836">
        <v>5033416</v>
      </c>
      <c r="B836" t="s">
        <v>18</v>
      </c>
      <c r="C836" t="s">
        <v>19</v>
      </c>
      <c r="D836" t="s">
        <v>19</v>
      </c>
      <c r="E836">
        <v>0</v>
      </c>
      <c r="F836">
        <v>315000</v>
      </c>
      <c r="G836" t="s">
        <v>31</v>
      </c>
      <c r="H836" t="s">
        <v>36</v>
      </c>
      <c r="I836" t="s">
        <v>33</v>
      </c>
      <c r="J836" t="s">
        <v>41</v>
      </c>
      <c r="K836" s="6">
        <f t="shared" ca="1" si="56"/>
        <v>36015</v>
      </c>
      <c r="L836">
        <v>-9746</v>
      </c>
      <c r="M836" s="7">
        <f t="shared" ca="1" si="58"/>
        <v>26.683093771389458</v>
      </c>
      <c r="N836" s="5" t="str">
        <f ca="1">VLOOKUP(Data!M836,temp!$B$3:$C$9,2,1)</f>
        <v>20-30</v>
      </c>
      <c r="O836">
        <v>-1268</v>
      </c>
      <c r="P836" s="8">
        <f t="shared" si="59"/>
        <v>3.4715947980835042</v>
      </c>
      <c r="Q836" s="5" t="str">
        <f t="shared" si="57"/>
        <v>Employed</v>
      </c>
      <c r="R836">
        <v>1</v>
      </c>
      <c r="S836">
        <v>0</v>
      </c>
      <c r="T836">
        <v>1</v>
      </c>
      <c r="U836">
        <v>0</v>
      </c>
      <c r="V836" t="s">
        <v>50</v>
      </c>
      <c r="W836">
        <v>1</v>
      </c>
    </row>
    <row r="837" spans="1:23" x14ac:dyDescent="0.2">
      <c r="A837">
        <v>5033426</v>
      </c>
      <c r="B837" t="s">
        <v>18</v>
      </c>
      <c r="C837" t="s">
        <v>19</v>
      </c>
      <c r="D837" t="s">
        <v>20</v>
      </c>
      <c r="E837">
        <v>0</v>
      </c>
      <c r="F837">
        <v>247500</v>
      </c>
      <c r="G837" t="s">
        <v>31</v>
      </c>
      <c r="H837" t="s">
        <v>27</v>
      </c>
      <c r="I837" t="s">
        <v>42</v>
      </c>
      <c r="J837" t="s">
        <v>24</v>
      </c>
      <c r="K837" s="6">
        <f t="shared" ca="1" si="56"/>
        <v>25731</v>
      </c>
      <c r="L837">
        <v>-20030</v>
      </c>
      <c r="M837" s="7">
        <f t="shared" ca="1" si="58"/>
        <v>54.839151266255989</v>
      </c>
      <c r="N837" s="5" t="str">
        <f ca="1">VLOOKUP(Data!M837,temp!$B$3:$C$9,2,1)</f>
        <v>50-60</v>
      </c>
      <c r="O837">
        <v>-2607</v>
      </c>
      <c r="P837" s="8">
        <f t="shared" si="59"/>
        <v>7.137577002053388</v>
      </c>
      <c r="Q837" s="5" t="str">
        <f t="shared" si="57"/>
        <v>Employed</v>
      </c>
      <c r="R837">
        <v>1</v>
      </c>
      <c r="S837">
        <v>0</v>
      </c>
      <c r="T837">
        <v>0</v>
      </c>
      <c r="U837">
        <v>0</v>
      </c>
      <c r="V837" t="s">
        <v>55</v>
      </c>
      <c r="W837">
        <v>1</v>
      </c>
    </row>
    <row r="838" spans="1:23" x14ac:dyDescent="0.2">
      <c r="A838">
        <v>5033430</v>
      </c>
      <c r="B838" t="s">
        <v>18</v>
      </c>
      <c r="C838" t="s">
        <v>19</v>
      </c>
      <c r="D838" t="s">
        <v>20</v>
      </c>
      <c r="E838">
        <v>0</v>
      </c>
      <c r="F838">
        <v>135000</v>
      </c>
      <c r="G838" t="s">
        <v>31</v>
      </c>
      <c r="H838" t="s">
        <v>27</v>
      </c>
      <c r="I838" t="s">
        <v>33</v>
      </c>
      <c r="J838" t="s">
        <v>53</v>
      </c>
      <c r="K838" s="6">
        <f t="shared" ca="1" si="56"/>
        <v>35803</v>
      </c>
      <c r="L838">
        <v>-9958</v>
      </c>
      <c r="M838" s="7">
        <f t="shared" ca="1" si="58"/>
        <v>27.263518138261464</v>
      </c>
      <c r="N838" s="5" t="str">
        <f ca="1">VLOOKUP(Data!M838,temp!$B$3:$C$9,2,1)</f>
        <v>20-30</v>
      </c>
      <c r="O838">
        <v>-1114</v>
      </c>
      <c r="P838" s="8">
        <f t="shared" si="59"/>
        <v>3.0499657768651609</v>
      </c>
      <c r="Q838" s="5" t="str">
        <f t="shared" si="57"/>
        <v>Employed</v>
      </c>
      <c r="R838">
        <v>1</v>
      </c>
      <c r="S838">
        <v>0</v>
      </c>
      <c r="T838">
        <v>0</v>
      </c>
      <c r="U838">
        <v>1</v>
      </c>
      <c r="V838" t="s">
        <v>54</v>
      </c>
      <c r="W838">
        <v>1</v>
      </c>
    </row>
    <row r="839" spans="1:23" x14ac:dyDescent="0.2">
      <c r="A839">
        <v>5033432</v>
      </c>
      <c r="B839" t="s">
        <v>25</v>
      </c>
      <c r="C839" t="s">
        <v>20</v>
      </c>
      <c r="D839" t="s">
        <v>19</v>
      </c>
      <c r="E839">
        <v>2</v>
      </c>
      <c r="F839">
        <v>315000</v>
      </c>
      <c r="G839" t="s">
        <v>26</v>
      </c>
      <c r="H839" t="s">
        <v>27</v>
      </c>
      <c r="I839" t="s">
        <v>28</v>
      </c>
      <c r="J839" t="s">
        <v>24</v>
      </c>
      <c r="K839" s="6">
        <f t="shared" ca="1" si="56"/>
        <v>30285</v>
      </c>
      <c r="L839">
        <v>-15476</v>
      </c>
      <c r="M839" s="7">
        <f t="shared" ca="1" si="58"/>
        <v>42.370978781656397</v>
      </c>
      <c r="N839" s="5" t="str">
        <f ca="1">VLOOKUP(Data!M839,temp!$B$3:$C$9,2,1)</f>
        <v>40-50</v>
      </c>
      <c r="O839">
        <v>-2879</v>
      </c>
      <c r="P839" s="8">
        <f t="shared" si="59"/>
        <v>7.8822724161533193</v>
      </c>
      <c r="Q839" s="5" t="str">
        <f t="shared" si="57"/>
        <v>Employed</v>
      </c>
      <c r="R839">
        <v>1</v>
      </c>
      <c r="S839">
        <v>0</v>
      </c>
      <c r="T839">
        <v>1</v>
      </c>
      <c r="U839">
        <v>0</v>
      </c>
      <c r="V839" t="s">
        <v>29</v>
      </c>
      <c r="W839">
        <v>4</v>
      </c>
    </row>
    <row r="840" spans="1:23" x14ac:dyDescent="0.2">
      <c r="A840">
        <v>5033436</v>
      </c>
      <c r="B840" t="s">
        <v>18</v>
      </c>
      <c r="C840" t="s">
        <v>19</v>
      </c>
      <c r="D840" t="s">
        <v>19</v>
      </c>
      <c r="E840">
        <v>0</v>
      </c>
      <c r="F840">
        <v>315000</v>
      </c>
      <c r="G840" t="s">
        <v>31</v>
      </c>
      <c r="H840" t="s">
        <v>36</v>
      </c>
      <c r="I840" t="s">
        <v>33</v>
      </c>
      <c r="J840" t="s">
        <v>41</v>
      </c>
      <c r="K840" s="6">
        <f t="shared" ref="K840:K903" ca="1" si="60">TODAY()+($L840)</f>
        <v>36015</v>
      </c>
      <c r="L840">
        <v>-9746</v>
      </c>
      <c r="M840" s="7">
        <f t="shared" ca="1" si="58"/>
        <v>26.683093771389458</v>
      </c>
      <c r="N840" s="5" t="str">
        <f ca="1">VLOOKUP(Data!M840,temp!$B$3:$C$9,2,1)</f>
        <v>20-30</v>
      </c>
      <c r="O840">
        <v>-1268</v>
      </c>
      <c r="P840" s="8">
        <f t="shared" si="59"/>
        <v>3.4715947980835042</v>
      </c>
      <c r="Q840" s="5" t="str">
        <f t="shared" ref="Q840:Q903" si="61">IF($O840&gt;0,"Unemployed","Employed")</f>
        <v>Employed</v>
      </c>
      <c r="R840">
        <v>1</v>
      </c>
      <c r="S840">
        <v>0</v>
      </c>
      <c r="T840">
        <v>1</v>
      </c>
      <c r="U840">
        <v>0</v>
      </c>
      <c r="V840" t="s">
        <v>50</v>
      </c>
      <c r="W840">
        <v>1</v>
      </c>
    </row>
    <row r="841" spans="1:23" x14ac:dyDescent="0.2">
      <c r="A841">
        <v>5033454</v>
      </c>
      <c r="B841" t="s">
        <v>25</v>
      </c>
      <c r="C841" t="s">
        <v>20</v>
      </c>
      <c r="D841" t="s">
        <v>19</v>
      </c>
      <c r="E841">
        <v>0</v>
      </c>
      <c r="F841">
        <v>126000</v>
      </c>
      <c r="G841" t="s">
        <v>31</v>
      </c>
      <c r="H841" t="s">
        <v>27</v>
      </c>
      <c r="I841" t="s">
        <v>28</v>
      </c>
      <c r="J841" t="s">
        <v>24</v>
      </c>
      <c r="K841" s="6">
        <f t="shared" ca="1" si="60"/>
        <v>27830</v>
      </c>
      <c r="L841">
        <v>-17931</v>
      </c>
      <c r="M841" s="7">
        <f t="shared" ca="1" si="58"/>
        <v>49.092402464065707</v>
      </c>
      <c r="N841" s="5" t="str">
        <f ca="1">VLOOKUP(Data!M841,temp!$B$3:$C$9,2,1)</f>
        <v>40-50</v>
      </c>
      <c r="O841">
        <v>-5437</v>
      </c>
      <c r="P841" s="8">
        <f t="shared" si="59"/>
        <v>14.885694729637235</v>
      </c>
      <c r="Q841" s="5" t="str">
        <f t="shared" si="61"/>
        <v>Employed</v>
      </c>
      <c r="R841">
        <v>1</v>
      </c>
      <c r="S841">
        <v>1</v>
      </c>
      <c r="T841">
        <v>1</v>
      </c>
      <c r="U841">
        <v>1</v>
      </c>
      <c r="V841" t="s">
        <v>30</v>
      </c>
      <c r="W841">
        <v>2</v>
      </c>
    </row>
    <row r="842" spans="1:23" x14ac:dyDescent="0.2">
      <c r="A842">
        <v>5033488</v>
      </c>
      <c r="B842" t="s">
        <v>18</v>
      </c>
      <c r="C842" t="s">
        <v>19</v>
      </c>
      <c r="D842" t="s">
        <v>19</v>
      </c>
      <c r="E842">
        <v>0</v>
      </c>
      <c r="F842">
        <v>112500</v>
      </c>
      <c r="G842" t="s">
        <v>31</v>
      </c>
      <c r="H842" t="s">
        <v>22</v>
      </c>
      <c r="I842" t="s">
        <v>28</v>
      </c>
      <c r="J842" t="s">
        <v>41</v>
      </c>
      <c r="K842" s="6">
        <f t="shared" ca="1" si="60"/>
        <v>35111</v>
      </c>
      <c r="L842">
        <v>-10650</v>
      </c>
      <c r="M842" s="7">
        <f t="shared" ca="1" si="58"/>
        <v>29.15811088295688</v>
      </c>
      <c r="N842" s="5" t="str">
        <f ca="1">VLOOKUP(Data!M842,temp!$B$3:$C$9,2,1)</f>
        <v>20-30</v>
      </c>
      <c r="O842">
        <v>-3702</v>
      </c>
      <c r="P842" s="8">
        <f t="shared" si="59"/>
        <v>10.13552361396304</v>
      </c>
      <c r="Q842" s="5" t="str">
        <f t="shared" si="61"/>
        <v>Employed</v>
      </c>
      <c r="R842">
        <v>1</v>
      </c>
      <c r="S842">
        <v>1</v>
      </c>
      <c r="T842">
        <v>1</v>
      </c>
      <c r="U842">
        <v>0</v>
      </c>
      <c r="V842" t="s">
        <v>38</v>
      </c>
      <c r="W842">
        <v>2</v>
      </c>
    </row>
    <row r="843" spans="1:23" x14ac:dyDescent="0.2">
      <c r="A843">
        <v>5033495</v>
      </c>
      <c r="B843" t="s">
        <v>18</v>
      </c>
      <c r="C843" t="s">
        <v>19</v>
      </c>
      <c r="D843" t="s">
        <v>20</v>
      </c>
      <c r="E843">
        <v>3</v>
      </c>
      <c r="F843">
        <v>126000</v>
      </c>
      <c r="G843" t="s">
        <v>26</v>
      </c>
      <c r="H843" t="s">
        <v>27</v>
      </c>
      <c r="I843" t="s">
        <v>28</v>
      </c>
      <c r="J843" t="s">
        <v>24</v>
      </c>
      <c r="K843" s="6">
        <f t="shared" ca="1" si="60"/>
        <v>31195</v>
      </c>
      <c r="L843">
        <v>-14566</v>
      </c>
      <c r="M843" s="7">
        <f t="shared" ca="1" si="58"/>
        <v>39.879534565366185</v>
      </c>
      <c r="N843" s="5" t="str">
        <f ca="1">VLOOKUP(Data!M843,temp!$B$3:$C$9,2,1)</f>
        <v>30-40</v>
      </c>
      <c r="O843">
        <v>-1480</v>
      </c>
      <c r="P843" s="8">
        <f t="shared" si="59"/>
        <v>4.0520191649555102</v>
      </c>
      <c r="Q843" s="5" t="str">
        <f t="shared" si="61"/>
        <v>Employed</v>
      </c>
      <c r="R843">
        <v>1</v>
      </c>
      <c r="S843">
        <v>1</v>
      </c>
      <c r="T843">
        <v>0</v>
      </c>
      <c r="U843">
        <v>0</v>
      </c>
      <c r="V843" t="s">
        <v>29</v>
      </c>
      <c r="W843">
        <v>5</v>
      </c>
    </row>
    <row r="844" spans="1:23" x14ac:dyDescent="0.2">
      <c r="A844">
        <v>5033506</v>
      </c>
      <c r="B844" t="s">
        <v>25</v>
      </c>
      <c r="C844" t="s">
        <v>20</v>
      </c>
      <c r="D844" t="s">
        <v>19</v>
      </c>
      <c r="E844">
        <v>0</v>
      </c>
      <c r="F844">
        <v>157500</v>
      </c>
      <c r="G844" t="s">
        <v>31</v>
      </c>
      <c r="H844" t="s">
        <v>27</v>
      </c>
      <c r="I844" t="s">
        <v>33</v>
      </c>
      <c r="J844" t="s">
        <v>24</v>
      </c>
      <c r="K844" s="6">
        <f t="shared" ca="1" si="60"/>
        <v>35878</v>
      </c>
      <c r="L844">
        <v>-9883</v>
      </c>
      <c r="M844" s="7">
        <f t="shared" ca="1" si="58"/>
        <v>27.058179329226558</v>
      </c>
      <c r="N844" s="5" t="str">
        <f ca="1">VLOOKUP(Data!M844,temp!$B$3:$C$9,2,1)</f>
        <v>20-30</v>
      </c>
      <c r="O844">
        <v>-780</v>
      </c>
      <c r="P844" s="8">
        <f t="shared" si="59"/>
        <v>2.1355236139630391</v>
      </c>
      <c r="Q844" s="5" t="str">
        <f t="shared" si="61"/>
        <v>Employed</v>
      </c>
      <c r="R844">
        <v>1</v>
      </c>
      <c r="S844">
        <v>1</v>
      </c>
      <c r="T844">
        <v>0</v>
      </c>
      <c r="U844">
        <v>0</v>
      </c>
      <c r="V844" t="s">
        <v>39</v>
      </c>
      <c r="W844">
        <v>1</v>
      </c>
    </row>
    <row r="845" spans="1:23" x14ac:dyDescent="0.2">
      <c r="A845">
        <v>5033513</v>
      </c>
      <c r="B845" t="s">
        <v>25</v>
      </c>
      <c r="C845" t="s">
        <v>20</v>
      </c>
      <c r="D845" t="s">
        <v>19</v>
      </c>
      <c r="E845">
        <v>0</v>
      </c>
      <c r="F845">
        <v>202500</v>
      </c>
      <c r="G845" t="s">
        <v>31</v>
      </c>
      <c r="H845" t="s">
        <v>27</v>
      </c>
      <c r="I845" t="s">
        <v>28</v>
      </c>
      <c r="J845" t="s">
        <v>24</v>
      </c>
      <c r="K845" s="6">
        <f t="shared" ca="1" si="60"/>
        <v>30366</v>
      </c>
      <c r="L845">
        <v>-15395</v>
      </c>
      <c r="M845" s="7">
        <f t="shared" ca="1" si="58"/>
        <v>42.149212867898697</v>
      </c>
      <c r="N845" s="5" t="str">
        <f ca="1">VLOOKUP(Data!M845,temp!$B$3:$C$9,2,1)</f>
        <v>40-50</v>
      </c>
      <c r="O845">
        <v>-1541</v>
      </c>
      <c r="P845" s="8">
        <f t="shared" si="59"/>
        <v>4.2190280629705681</v>
      </c>
      <c r="Q845" s="5" t="str">
        <f t="shared" si="61"/>
        <v>Employed</v>
      </c>
      <c r="R845">
        <v>1</v>
      </c>
      <c r="S845">
        <v>0</v>
      </c>
      <c r="T845">
        <v>1</v>
      </c>
      <c r="U845">
        <v>0</v>
      </c>
      <c r="V845" t="s">
        <v>30</v>
      </c>
      <c r="W845">
        <v>2</v>
      </c>
    </row>
    <row r="846" spans="1:23" x14ac:dyDescent="0.2">
      <c r="A846">
        <v>5033515</v>
      </c>
      <c r="B846" t="s">
        <v>18</v>
      </c>
      <c r="C846" t="s">
        <v>20</v>
      </c>
      <c r="D846" t="s">
        <v>19</v>
      </c>
      <c r="E846">
        <v>0</v>
      </c>
      <c r="F846">
        <v>441000</v>
      </c>
      <c r="G846" t="s">
        <v>31</v>
      </c>
      <c r="H846" t="s">
        <v>27</v>
      </c>
      <c r="I846" t="s">
        <v>28</v>
      </c>
      <c r="J846" t="s">
        <v>24</v>
      </c>
      <c r="K846" s="6">
        <f t="shared" ca="1" si="60"/>
        <v>31367</v>
      </c>
      <c r="L846">
        <v>-14394</v>
      </c>
      <c r="M846" s="7">
        <f t="shared" ca="1" si="58"/>
        <v>39.408624229979466</v>
      </c>
      <c r="N846" s="5" t="str">
        <f ca="1">VLOOKUP(Data!M846,temp!$B$3:$C$9,2,1)</f>
        <v>30-40</v>
      </c>
      <c r="O846">
        <v>-5316</v>
      </c>
      <c r="P846" s="8">
        <f t="shared" si="59"/>
        <v>14.55441478439425</v>
      </c>
      <c r="Q846" s="5" t="str">
        <f t="shared" si="61"/>
        <v>Employed</v>
      </c>
      <c r="R846">
        <v>1</v>
      </c>
      <c r="S846">
        <v>1</v>
      </c>
      <c r="T846">
        <v>0</v>
      </c>
      <c r="U846">
        <v>0</v>
      </c>
      <c r="V846" t="s">
        <v>29</v>
      </c>
      <c r="W846">
        <v>2</v>
      </c>
    </row>
    <row r="847" spans="1:23" x14ac:dyDescent="0.2">
      <c r="A847">
        <v>5033528</v>
      </c>
      <c r="B847" t="s">
        <v>25</v>
      </c>
      <c r="C847" t="s">
        <v>19</v>
      </c>
      <c r="D847" t="s">
        <v>20</v>
      </c>
      <c r="E847">
        <v>1</v>
      </c>
      <c r="F847">
        <v>292500</v>
      </c>
      <c r="G847" t="s">
        <v>31</v>
      </c>
      <c r="H847" t="s">
        <v>22</v>
      </c>
      <c r="I847" t="s">
        <v>28</v>
      </c>
      <c r="J847" t="s">
        <v>24</v>
      </c>
      <c r="K847" s="6">
        <f t="shared" ca="1" si="60"/>
        <v>30883</v>
      </c>
      <c r="L847">
        <v>-14878</v>
      </c>
      <c r="M847" s="7">
        <f t="shared" ca="1" si="58"/>
        <v>40.733744010951405</v>
      </c>
      <c r="N847" s="5" t="str">
        <f ca="1">VLOOKUP(Data!M847,temp!$B$3:$C$9,2,1)</f>
        <v>40-50</v>
      </c>
      <c r="O847">
        <v>-6685</v>
      </c>
      <c r="P847" s="8">
        <f t="shared" si="59"/>
        <v>18.302532511978097</v>
      </c>
      <c r="Q847" s="5" t="str">
        <f t="shared" si="61"/>
        <v>Employed</v>
      </c>
      <c r="R847">
        <v>1</v>
      </c>
      <c r="S847">
        <v>0</v>
      </c>
      <c r="T847">
        <v>0</v>
      </c>
      <c r="U847">
        <v>0</v>
      </c>
      <c r="V847" t="s">
        <v>32</v>
      </c>
      <c r="W847">
        <v>3</v>
      </c>
    </row>
    <row r="848" spans="1:23" x14ac:dyDescent="0.2">
      <c r="A848">
        <v>5033532</v>
      </c>
      <c r="B848" t="s">
        <v>18</v>
      </c>
      <c r="C848" t="s">
        <v>19</v>
      </c>
      <c r="D848" t="s">
        <v>19</v>
      </c>
      <c r="E848">
        <v>0</v>
      </c>
      <c r="F848">
        <v>117000</v>
      </c>
      <c r="G848" t="s">
        <v>31</v>
      </c>
      <c r="H848" t="s">
        <v>27</v>
      </c>
      <c r="I848" t="s">
        <v>28</v>
      </c>
      <c r="J848" t="s">
        <v>24</v>
      </c>
      <c r="K848" s="6">
        <f t="shared" ca="1" si="60"/>
        <v>35426</v>
      </c>
      <c r="L848">
        <v>-10335</v>
      </c>
      <c r="M848" s="7">
        <f t="shared" ca="1" si="58"/>
        <v>28.295687885010267</v>
      </c>
      <c r="N848" s="5" t="str">
        <f ca="1">VLOOKUP(Data!M848,temp!$B$3:$C$9,2,1)</f>
        <v>20-30</v>
      </c>
      <c r="O848">
        <v>-264</v>
      </c>
      <c r="P848" s="8">
        <f t="shared" si="59"/>
        <v>0.7227926078028748</v>
      </c>
      <c r="Q848" s="5" t="str">
        <f t="shared" si="61"/>
        <v>Employed</v>
      </c>
      <c r="R848">
        <v>1</v>
      </c>
      <c r="S848">
        <v>1</v>
      </c>
      <c r="T848">
        <v>0</v>
      </c>
      <c r="U848">
        <v>0</v>
      </c>
      <c r="V848" t="s">
        <v>38</v>
      </c>
      <c r="W848">
        <v>2</v>
      </c>
    </row>
    <row r="849" spans="1:23" x14ac:dyDescent="0.2">
      <c r="A849">
        <v>5033540</v>
      </c>
      <c r="B849" t="s">
        <v>18</v>
      </c>
      <c r="C849" t="s">
        <v>19</v>
      </c>
      <c r="D849" t="s">
        <v>20</v>
      </c>
      <c r="E849">
        <v>0</v>
      </c>
      <c r="F849">
        <v>81000</v>
      </c>
      <c r="G849" t="s">
        <v>21</v>
      </c>
      <c r="H849" t="s">
        <v>27</v>
      </c>
      <c r="I849" t="s">
        <v>28</v>
      </c>
      <c r="J849" t="s">
        <v>24</v>
      </c>
      <c r="K849" s="6">
        <f t="shared" ca="1" si="60"/>
        <v>23570</v>
      </c>
      <c r="L849">
        <v>-22191</v>
      </c>
      <c r="M849" s="7">
        <f t="shared" ca="1" si="58"/>
        <v>60.755646817248461</v>
      </c>
      <c r="N849" s="5" t="str">
        <f ca="1">VLOOKUP(Data!M849,temp!$B$3:$C$9,2,1)</f>
        <v>60-70</v>
      </c>
      <c r="O849">
        <v>365243</v>
      </c>
      <c r="P849" s="8">
        <f t="shared" si="59"/>
        <v>0</v>
      </c>
      <c r="Q849" s="5" t="str">
        <f t="shared" si="61"/>
        <v>Unemployed</v>
      </c>
      <c r="R849">
        <v>1</v>
      </c>
      <c r="S849">
        <v>0</v>
      </c>
      <c r="T849">
        <v>0</v>
      </c>
      <c r="U849">
        <v>0</v>
      </c>
      <c r="W849">
        <v>2</v>
      </c>
    </row>
    <row r="850" spans="1:23" x14ac:dyDescent="0.2">
      <c r="A850">
        <v>5033558</v>
      </c>
      <c r="B850" t="s">
        <v>18</v>
      </c>
      <c r="C850" t="s">
        <v>19</v>
      </c>
      <c r="D850" t="s">
        <v>19</v>
      </c>
      <c r="E850">
        <v>2</v>
      </c>
      <c r="F850">
        <v>382500</v>
      </c>
      <c r="G850" t="s">
        <v>35</v>
      </c>
      <c r="H850" t="s">
        <v>27</v>
      </c>
      <c r="I850" t="s">
        <v>28</v>
      </c>
      <c r="J850" t="s">
        <v>24</v>
      </c>
      <c r="K850" s="6">
        <f t="shared" ca="1" si="60"/>
        <v>26815</v>
      </c>
      <c r="L850">
        <v>-18946</v>
      </c>
      <c r="M850" s="7">
        <f t="shared" ca="1" si="58"/>
        <v>51.871321013004788</v>
      </c>
      <c r="N850" s="5" t="str">
        <f ca="1">VLOOKUP(Data!M850,temp!$B$3:$C$9,2,1)</f>
        <v>50-60</v>
      </c>
      <c r="O850">
        <v>-4827</v>
      </c>
      <c r="P850" s="8">
        <f t="shared" si="59"/>
        <v>13.215605749486652</v>
      </c>
      <c r="Q850" s="5" t="str">
        <f t="shared" si="61"/>
        <v>Employed</v>
      </c>
      <c r="R850">
        <v>1</v>
      </c>
      <c r="S850">
        <v>0</v>
      </c>
      <c r="T850">
        <v>0</v>
      </c>
      <c r="U850">
        <v>0</v>
      </c>
      <c r="V850" t="s">
        <v>40</v>
      </c>
      <c r="W850">
        <v>4</v>
      </c>
    </row>
    <row r="851" spans="1:23" x14ac:dyDescent="0.2">
      <c r="A851">
        <v>5033560</v>
      </c>
      <c r="B851" t="s">
        <v>25</v>
      </c>
      <c r="C851" t="s">
        <v>20</v>
      </c>
      <c r="D851" t="s">
        <v>19</v>
      </c>
      <c r="E851">
        <v>0</v>
      </c>
      <c r="F851">
        <v>135000</v>
      </c>
      <c r="G851" t="s">
        <v>31</v>
      </c>
      <c r="H851" t="s">
        <v>22</v>
      </c>
      <c r="I851" t="s">
        <v>28</v>
      </c>
      <c r="J851" t="s">
        <v>24</v>
      </c>
      <c r="K851" s="6">
        <f t="shared" ca="1" si="60"/>
        <v>25602</v>
      </c>
      <c r="L851">
        <v>-20159</v>
      </c>
      <c r="M851" s="7">
        <f t="shared" ca="1" si="58"/>
        <v>55.192334017796028</v>
      </c>
      <c r="N851" s="5" t="str">
        <f ca="1">VLOOKUP(Data!M851,temp!$B$3:$C$9,2,1)</f>
        <v>50-60</v>
      </c>
      <c r="O851">
        <v>-1299</v>
      </c>
      <c r="P851" s="8">
        <f t="shared" si="59"/>
        <v>3.5564681724845997</v>
      </c>
      <c r="Q851" s="5" t="str">
        <f t="shared" si="61"/>
        <v>Employed</v>
      </c>
      <c r="R851">
        <v>1</v>
      </c>
      <c r="S851">
        <v>0</v>
      </c>
      <c r="T851">
        <v>0</v>
      </c>
      <c r="U851">
        <v>0</v>
      </c>
      <c r="V851" t="s">
        <v>47</v>
      </c>
      <c r="W851">
        <v>2</v>
      </c>
    </row>
    <row r="852" spans="1:23" x14ac:dyDescent="0.2">
      <c r="A852">
        <v>5033576</v>
      </c>
      <c r="B852" t="s">
        <v>18</v>
      </c>
      <c r="C852" t="s">
        <v>19</v>
      </c>
      <c r="D852" t="s">
        <v>20</v>
      </c>
      <c r="E852">
        <v>1</v>
      </c>
      <c r="F852">
        <v>202500</v>
      </c>
      <c r="G852" t="s">
        <v>31</v>
      </c>
      <c r="H852" t="s">
        <v>27</v>
      </c>
      <c r="I852" t="s">
        <v>28</v>
      </c>
      <c r="J852" t="s">
        <v>24</v>
      </c>
      <c r="K852" s="6">
        <f t="shared" ca="1" si="60"/>
        <v>31287</v>
      </c>
      <c r="L852">
        <v>-14474</v>
      </c>
      <c r="M852" s="7">
        <f t="shared" ca="1" si="58"/>
        <v>39.627652292950032</v>
      </c>
      <c r="N852" s="5" t="str">
        <f ca="1">VLOOKUP(Data!M852,temp!$B$3:$C$9,2,1)</f>
        <v>30-40</v>
      </c>
      <c r="O852">
        <v>-5162</v>
      </c>
      <c r="P852" s="8">
        <f t="shared" si="59"/>
        <v>14.132785763175907</v>
      </c>
      <c r="Q852" s="5" t="str">
        <f t="shared" si="61"/>
        <v>Employed</v>
      </c>
      <c r="R852">
        <v>1</v>
      </c>
      <c r="S852">
        <v>0</v>
      </c>
      <c r="T852">
        <v>0</v>
      </c>
      <c r="U852">
        <v>0</v>
      </c>
      <c r="V852" t="s">
        <v>29</v>
      </c>
      <c r="W852">
        <v>3</v>
      </c>
    </row>
    <row r="853" spans="1:23" x14ac:dyDescent="0.2">
      <c r="A853">
        <v>5033578</v>
      </c>
      <c r="B853" t="s">
        <v>18</v>
      </c>
      <c r="C853" t="s">
        <v>19</v>
      </c>
      <c r="D853" t="s">
        <v>19</v>
      </c>
      <c r="E853">
        <v>1</v>
      </c>
      <c r="F853">
        <v>99000</v>
      </c>
      <c r="G853" t="s">
        <v>26</v>
      </c>
      <c r="H853" t="s">
        <v>27</v>
      </c>
      <c r="I853" t="s">
        <v>28</v>
      </c>
      <c r="J853" t="s">
        <v>24</v>
      </c>
      <c r="K853" s="6">
        <f t="shared" ca="1" si="60"/>
        <v>30665</v>
      </c>
      <c r="L853">
        <v>-15096</v>
      </c>
      <c r="M853" s="7">
        <f t="shared" ca="1" si="58"/>
        <v>41.330595482546201</v>
      </c>
      <c r="N853" s="5" t="str">
        <f ca="1">VLOOKUP(Data!M853,temp!$B$3:$C$9,2,1)</f>
        <v>40-50</v>
      </c>
      <c r="O853">
        <v>-994</v>
      </c>
      <c r="P853" s="8">
        <f t="shared" si="59"/>
        <v>2.7214236824093088</v>
      </c>
      <c r="Q853" s="5" t="str">
        <f t="shared" si="61"/>
        <v>Employed</v>
      </c>
      <c r="R853">
        <v>1</v>
      </c>
      <c r="S853">
        <v>1</v>
      </c>
      <c r="T853">
        <v>0</v>
      </c>
      <c r="U853">
        <v>0</v>
      </c>
      <c r="V853" t="s">
        <v>29</v>
      </c>
      <c r="W853">
        <v>3</v>
      </c>
    </row>
    <row r="854" spans="1:23" x14ac:dyDescent="0.2">
      <c r="A854">
        <v>5033588</v>
      </c>
      <c r="B854" t="s">
        <v>25</v>
      </c>
      <c r="C854" t="s">
        <v>19</v>
      </c>
      <c r="D854" t="s">
        <v>20</v>
      </c>
      <c r="E854">
        <v>1</v>
      </c>
      <c r="F854">
        <v>180000</v>
      </c>
      <c r="G854" t="s">
        <v>31</v>
      </c>
      <c r="H854" t="s">
        <v>27</v>
      </c>
      <c r="I854" t="s">
        <v>28</v>
      </c>
      <c r="J854" t="s">
        <v>34</v>
      </c>
      <c r="K854" s="6">
        <f t="shared" ca="1" si="60"/>
        <v>29804</v>
      </c>
      <c r="L854">
        <v>-15957</v>
      </c>
      <c r="M854" s="7">
        <f t="shared" ca="1" si="58"/>
        <v>43.687885010266939</v>
      </c>
      <c r="N854" s="5" t="str">
        <f ca="1">VLOOKUP(Data!M854,temp!$B$3:$C$9,2,1)</f>
        <v>40-50</v>
      </c>
      <c r="O854">
        <v>-2270</v>
      </c>
      <c r="P854" s="8">
        <f t="shared" si="59"/>
        <v>6.2149212867898695</v>
      </c>
      <c r="Q854" s="5" t="str">
        <f t="shared" si="61"/>
        <v>Employed</v>
      </c>
      <c r="R854">
        <v>1</v>
      </c>
      <c r="S854">
        <v>0</v>
      </c>
      <c r="T854">
        <v>0</v>
      </c>
      <c r="U854">
        <v>0</v>
      </c>
      <c r="V854" t="s">
        <v>30</v>
      </c>
      <c r="W854">
        <v>3</v>
      </c>
    </row>
    <row r="855" spans="1:23" x14ac:dyDescent="0.2">
      <c r="A855">
        <v>5033597</v>
      </c>
      <c r="B855" t="s">
        <v>25</v>
      </c>
      <c r="C855" t="s">
        <v>19</v>
      </c>
      <c r="D855" t="s">
        <v>20</v>
      </c>
      <c r="E855">
        <v>2</v>
      </c>
      <c r="F855">
        <v>112500</v>
      </c>
      <c r="G855" t="s">
        <v>31</v>
      </c>
      <c r="H855" t="s">
        <v>27</v>
      </c>
      <c r="I855" t="s">
        <v>28</v>
      </c>
      <c r="J855" t="s">
        <v>24</v>
      </c>
      <c r="K855" s="6">
        <f t="shared" ca="1" si="60"/>
        <v>32763</v>
      </c>
      <c r="L855">
        <v>-12998</v>
      </c>
      <c r="M855" s="7">
        <f t="shared" ca="1" si="58"/>
        <v>35.586584531143053</v>
      </c>
      <c r="N855" s="5" t="str">
        <f ca="1">VLOOKUP(Data!M855,temp!$B$3:$C$9,2,1)</f>
        <v>30-40</v>
      </c>
      <c r="O855">
        <v>-2148</v>
      </c>
      <c r="P855" s="8">
        <f t="shared" si="59"/>
        <v>5.8809034907597537</v>
      </c>
      <c r="Q855" s="5" t="str">
        <f t="shared" si="61"/>
        <v>Employed</v>
      </c>
      <c r="R855">
        <v>1</v>
      </c>
      <c r="S855">
        <v>0</v>
      </c>
      <c r="T855">
        <v>0</v>
      </c>
      <c r="U855">
        <v>0</v>
      </c>
      <c r="W855">
        <v>4</v>
      </c>
    </row>
    <row r="856" spans="1:23" x14ac:dyDescent="0.2">
      <c r="A856">
        <v>5033600</v>
      </c>
      <c r="B856" t="s">
        <v>18</v>
      </c>
      <c r="C856" t="s">
        <v>20</v>
      </c>
      <c r="D856" t="s">
        <v>20</v>
      </c>
      <c r="E856">
        <v>0</v>
      </c>
      <c r="F856">
        <v>90000</v>
      </c>
      <c r="G856" t="s">
        <v>31</v>
      </c>
      <c r="H856" t="s">
        <v>27</v>
      </c>
      <c r="I856" t="s">
        <v>28</v>
      </c>
      <c r="J856" t="s">
        <v>24</v>
      </c>
      <c r="K856" s="6">
        <f t="shared" ca="1" si="60"/>
        <v>28903</v>
      </c>
      <c r="L856">
        <v>-16858</v>
      </c>
      <c r="M856" s="7">
        <f t="shared" ca="1" si="58"/>
        <v>46.154688569472967</v>
      </c>
      <c r="N856" s="5" t="str">
        <f ca="1">VLOOKUP(Data!M856,temp!$B$3:$C$9,2,1)</f>
        <v>40-50</v>
      </c>
      <c r="O856">
        <v>-3124</v>
      </c>
      <c r="P856" s="8">
        <f t="shared" si="59"/>
        <v>8.5530458590006848</v>
      </c>
      <c r="Q856" s="5" t="str">
        <f t="shared" si="61"/>
        <v>Employed</v>
      </c>
      <c r="R856">
        <v>1</v>
      </c>
      <c r="S856">
        <v>0</v>
      </c>
      <c r="T856">
        <v>0</v>
      </c>
      <c r="U856">
        <v>0</v>
      </c>
      <c r="V856" t="s">
        <v>49</v>
      </c>
      <c r="W856">
        <v>2</v>
      </c>
    </row>
    <row r="857" spans="1:23" x14ac:dyDescent="0.2">
      <c r="A857">
        <v>5033603</v>
      </c>
      <c r="B857" t="s">
        <v>18</v>
      </c>
      <c r="C857" t="s">
        <v>19</v>
      </c>
      <c r="D857" t="s">
        <v>20</v>
      </c>
      <c r="E857">
        <v>0</v>
      </c>
      <c r="F857">
        <v>157500</v>
      </c>
      <c r="G857" t="s">
        <v>26</v>
      </c>
      <c r="H857" t="s">
        <v>27</v>
      </c>
      <c r="I857" t="s">
        <v>28</v>
      </c>
      <c r="J857" t="s">
        <v>24</v>
      </c>
      <c r="K857" s="6">
        <f t="shared" ca="1" si="60"/>
        <v>30959</v>
      </c>
      <c r="L857">
        <v>-14802</v>
      </c>
      <c r="M857" s="7">
        <f t="shared" ca="1" si="58"/>
        <v>40.525667351129364</v>
      </c>
      <c r="N857" s="5" t="str">
        <f ca="1">VLOOKUP(Data!M857,temp!$B$3:$C$9,2,1)</f>
        <v>40-50</v>
      </c>
      <c r="O857">
        <v>-2789</v>
      </c>
      <c r="P857" s="8">
        <f t="shared" si="59"/>
        <v>7.6358658453114305</v>
      </c>
      <c r="Q857" s="5" t="str">
        <f t="shared" si="61"/>
        <v>Employed</v>
      </c>
      <c r="R857">
        <v>1</v>
      </c>
      <c r="S857">
        <v>0</v>
      </c>
      <c r="T857">
        <v>0</v>
      </c>
      <c r="U857">
        <v>0</v>
      </c>
      <c r="V857" t="s">
        <v>39</v>
      </c>
      <c r="W857">
        <v>2</v>
      </c>
    </row>
    <row r="858" spans="1:23" x14ac:dyDescent="0.2">
      <c r="A858">
        <v>5033612</v>
      </c>
      <c r="B858" t="s">
        <v>18</v>
      </c>
      <c r="C858" t="s">
        <v>19</v>
      </c>
      <c r="D858" t="s">
        <v>20</v>
      </c>
      <c r="E858">
        <v>1</v>
      </c>
      <c r="F858">
        <v>225000</v>
      </c>
      <c r="G858" t="s">
        <v>26</v>
      </c>
      <c r="H858" t="s">
        <v>27</v>
      </c>
      <c r="I858" t="s">
        <v>28</v>
      </c>
      <c r="J858" t="s">
        <v>24</v>
      </c>
      <c r="K858" s="6">
        <f t="shared" ca="1" si="60"/>
        <v>31177</v>
      </c>
      <c r="L858">
        <v>-14584</v>
      </c>
      <c r="M858" s="7">
        <f t="shared" ca="1" si="58"/>
        <v>39.928815879534568</v>
      </c>
      <c r="N858" s="5" t="str">
        <f ca="1">VLOOKUP(Data!M858,temp!$B$3:$C$9,2,1)</f>
        <v>30-40</v>
      </c>
      <c r="O858">
        <v>-5770</v>
      </c>
      <c r="P858" s="8">
        <f t="shared" si="59"/>
        <v>15.797399041752225</v>
      </c>
      <c r="Q858" s="5" t="str">
        <f t="shared" si="61"/>
        <v>Employed</v>
      </c>
      <c r="R858">
        <v>1</v>
      </c>
      <c r="S858">
        <v>0</v>
      </c>
      <c r="T858">
        <v>0</v>
      </c>
      <c r="U858">
        <v>0</v>
      </c>
      <c r="V858" t="s">
        <v>47</v>
      </c>
      <c r="W858">
        <v>3</v>
      </c>
    </row>
    <row r="859" spans="1:23" x14ac:dyDescent="0.2">
      <c r="A859">
        <v>5033617</v>
      </c>
      <c r="B859" t="s">
        <v>18</v>
      </c>
      <c r="C859" t="s">
        <v>20</v>
      </c>
      <c r="D859" t="s">
        <v>20</v>
      </c>
      <c r="E859">
        <v>0</v>
      </c>
      <c r="F859">
        <v>121500</v>
      </c>
      <c r="G859" t="s">
        <v>21</v>
      </c>
      <c r="H859" t="s">
        <v>27</v>
      </c>
      <c r="I859" t="s">
        <v>28</v>
      </c>
      <c r="J859" t="s">
        <v>24</v>
      </c>
      <c r="K859" s="6">
        <f t="shared" ca="1" si="60"/>
        <v>21931</v>
      </c>
      <c r="L859">
        <v>-23830</v>
      </c>
      <c r="M859" s="7">
        <f t="shared" ca="1" si="58"/>
        <v>65.242984257357975</v>
      </c>
      <c r="N859" s="5" t="str">
        <f ca="1">VLOOKUP(Data!M859,temp!$B$3:$C$9,2,1)</f>
        <v>60-70</v>
      </c>
      <c r="O859">
        <v>365243</v>
      </c>
      <c r="P859" s="8">
        <f t="shared" si="59"/>
        <v>0</v>
      </c>
      <c r="Q859" s="5" t="str">
        <f t="shared" si="61"/>
        <v>Unemployed</v>
      </c>
      <c r="R859">
        <v>1</v>
      </c>
      <c r="S859">
        <v>0</v>
      </c>
      <c r="T859">
        <v>1</v>
      </c>
      <c r="U859">
        <v>0</v>
      </c>
      <c r="W859">
        <v>2</v>
      </c>
    </row>
    <row r="860" spans="1:23" x14ac:dyDescent="0.2">
      <c r="A860">
        <v>5033620</v>
      </c>
      <c r="B860" t="s">
        <v>25</v>
      </c>
      <c r="C860" t="s">
        <v>19</v>
      </c>
      <c r="D860" t="s">
        <v>19</v>
      </c>
      <c r="E860">
        <v>0</v>
      </c>
      <c r="F860">
        <v>135000</v>
      </c>
      <c r="G860" t="s">
        <v>35</v>
      </c>
      <c r="H860" t="s">
        <v>22</v>
      </c>
      <c r="I860" t="s">
        <v>28</v>
      </c>
      <c r="J860" t="s">
        <v>53</v>
      </c>
      <c r="K860" s="6">
        <f t="shared" ca="1" si="60"/>
        <v>22681</v>
      </c>
      <c r="L860">
        <v>-23080</v>
      </c>
      <c r="M860" s="7">
        <f t="shared" ca="1" si="58"/>
        <v>63.189596167008901</v>
      </c>
      <c r="N860" s="5" t="str">
        <f ca="1">VLOOKUP(Data!M860,temp!$B$3:$C$9,2,1)</f>
        <v>60-70</v>
      </c>
      <c r="O860">
        <v>-263</v>
      </c>
      <c r="P860" s="8">
        <f t="shared" si="59"/>
        <v>0.72005475701574262</v>
      </c>
      <c r="Q860" s="5" t="str">
        <f t="shared" si="61"/>
        <v>Employed</v>
      </c>
      <c r="R860">
        <v>1</v>
      </c>
      <c r="S860">
        <v>0</v>
      </c>
      <c r="T860">
        <v>0</v>
      </c>
      <c r="U860">
        <v>0</v>
      </c>
      <c r="W860">
        <v>2</v>
      </c>
    </row>
    <row r="861" spans="1:23" x14ac:dyDescent="0.2">
      <c r="A861">
        <v>5033623</v>
      </c>
      <c r="B861" t="s">
        <v>18</v>
      </c>
      <c r="C861" t="s">
        <v>20</v>
      </c>
      <c r="D861" t="s">
        <v>20</v>
      </c>
      <c r="E861">
        <v>1</v>
      </c>
      <c r="F861">
        <v>193500</v>
      </c>
      <c r="G861" t="s">
        <v>26</v>
      </c>
      <c r="H861" t="s">
        <v>22</v>
      </c>
      <c r="I861" t="s">
        <v>28</v>
      </c>
      <c r="J861" t="s">
        <v>24</v>
      </c>
      <c r="K861" s="6">
        <f t="shared" ca="1" si="60"/>
        <v>31451</v>
      </c>
      <c r="L861">
        <v>-14310</v>
      </c>
      <c r="M861" s="7">
        <f t="shared" ca="1" si="58"/>
        <v>39.178644763860369</v>
      </c>
      <c r="N861" s="5" t="str">
        <f ca="1">VLOOKUP(Data!M861,temp!$B$3:$C$9,2,1)</f>
        <v>30-40</v>
      </c>
      <c r="O861">
        <v>-7050</v>
      </c>
      <c r="P861" s="8">
        <f t="shared" si="59"/>
        <v>19.301848049281315</v>
      </c>
      <c r="Q861" s="5" t="str">
        <f t="shared" si="61"/>
        <v>Employed</v>
      </c>
      <c r="R861">
        <v>1</v>
      </c>
      <c r="S861">
        <v>0</v>
      </c>
      <c r="T861">
        <v>1</v>
      </c>
      <c r="U861">
        <v>0</v>
      </c>
      <c r="V861" t="s">
        <v>39</v>
      </c>
      <c r="W861">
        <v>3</v>
      </c>
    </row>
    <row r="862" spans="1:23" x14ac:dyDescent="0.2">
      <c r="A862">
        <v>5033631</v>
      </c>
      <c r="B862" t="s">
        <v>25</v>
      </c>
      <c r="C862" t="s">
        <v>20</v>
      </c>
      <c r="D862" t="s">
        <v>20</v>
      </c>
      <c r="E862">
        <v>2</v>
      </c>
      <c r="F862">
        <v>450000</v>
      </c>
      <c r="G862" t="s">
        <v>31</v>
      </c>
      <c r="H862" t="s">
        <v>22</v>
      </c>
      <c r="I862" t="s">
        <v>28</v>
      </c>
      <c r="J862" t="s">
        <v>24</v>
      </c>
      <c r="K862" s="6">
        <f t="shared" ca="1" si="60"/>
        <v>33721</v>
      </c>
      <c r="L862">
        <v>-12040</v>
      </c>
      <c r="M862" s="7">
        <f t="shared" ca="1" si="58"/>
        <v>32.963723477070502</v>
      </c>
      <c r="N862" s="5" t="str">
        <f ca="1">VLOOKUP(Data!M862,temp!$B$3:$C$9,2,1)</f>
        <v>30-40</v>
      </c>
      <c r="O862">
        <v>-1305</v>
      </c>
      <c r="P862" s="8">
        <f t="shared" si="59"/>
        <v>3.5728952772073921</v>
      </c>
      <c r="Q862" s="5" t="str">
        <f t="shared" si="61"/>
        <v>Employed</v>
      </c>
      <c r="R862">
        <v>1</v>
      </c>
      <c r="S862">
        <v>1</v>
      </c>
      <c r="T862">
        <v>1</v>
      </c>
      <c r="U862">
        <v>0</v>
      </c>
      <c r="W862">
        <v>4</v>
      </c>
    </row>
    <row r="863" spans="1:23" x14ac:dyDescent="0.2">
      <c r="A863">
        <v>5033640</v>
      </c>
      <c r="B863" t="s">
        <v>18</v>
      </c>
      <c r="C863" t="s">
        <v>19</v>
      </c>
      <c r="D863" t="s">
        <v>20</v>
      </c>
      <c r="E863">
        <v>1</v>
      </c>
      <c r="F863">
        <v>180000</v>
      </c>
      <c r="G863" t="s">
        <v>31</v>
      </c>
      <c r="H863" t="s">
        <v>27</v>
      </c>
      <c r="I863" t="s">
        <v>28</v>
      </c>
      <c r="J863" t="s">
        <v>24</v>
      </c>
      <c r="K863" s="6">
        <f t="shared" ca="1" si="60"/>
        <v>30036</v>
      </c>
      <c r="L863">
        <v>-15725</v>
      </c>
      <c r="M863" s="7">
        <f t="shared" ca="1" si="58"/>
        <v>43.052703627652292</v>
      </c>
      <c r="N863" s="5" t="str">
        <f ca="1">VLOOKUP(Data!M863,temp!$B$3:$C$9,2,1)</f>
        <v>40-50</v>
      </c>
      <c r="O863">
        <v>-3131</v>
      </c>
      <c r="P863" s="8">
        <f t="shared" si="59"/>
        <v>8.5722108145106084</v>
      </c>
      <c r="Q863" s="5" t="str">
        <f t="shared" si="61"/>
        <v>Employed</v>
      </c>
      <c r="R863">
        <v>1</v>
      </c>
      <c r="S863">
        <v>0</v>
      </c>
      <c r="T863">
        <v>0</v>
      </c>
      <c r="U863">
        <v>0</v>
      </c>
      <c r="V863" t="s">
        <v>32</v>
      </c>
      <c r="W863">
        <v>3</v>
      </c>
    </row>
    <row r="864" spans="1:23" x14ac:dyDescent="0.2">
      <c r="A864">
        <v>5033642</v>
      </c>
      <c r="B864" t="s">
        <v>25</v>
      </c>
      <c r="C864" t="s">
        <v>19</v>
      </c>
      <c r="D864" t="s">
        <v>20</v>
      </c>
      <c r="E864">
        <v>0</v>
      </c>
      <c r="F864">
        <v>112500</v>
      </c>
      <c r="G864" t="s">
        <v>21</v>
      </c>
      <c r="H864" t="s">
        <v>27</v>
      </c>
      <c r="I864" t="s">
        <v>28</v>
      </c>
      <c r="J864" t="s">
        <v>24</v>
      </c>
      <c r="K864" s="6">
        <f t="shared" ca="1" si="60"/>
        <v>25023</v>
      </c>
      <c r="L864">
        <v>-20738</v>
      </c>
      <c r="M864" s="7">
        <f t="shared" ca="1" si="58"/>
        <v>56.777549623545518</v>
      </c>
      <c r="N864" s="5" t="str">
        <f ca="1">VLOOKUP(Data!M864,temp!$B$3:$C$9,2,1)</f>
        <v>50-60</v>
      </c>
      <c r="O864">
        <v>365243</v>
      </c>
      <c r="P864" s="8">
        <f t="shared" si="59"/>
        <v>0</v>
      </c>
      <c r="Q864" s="5" t="str">
        <f t="shared" si="61"/>
        <v>Unemployed</v>
      </c>
      <c r="R864">
        <v>1</v>
      </c>
      <c r="S864">
        <v>0</v>
      </c>
      <c r="T864">
        <v>0</v>
      </c>
      <c r="U864">
        <v>0</v>
      </c>
      <c r="W864">
        <v>2</v>
      </c>
    </row>
    <row r="865" spans="1:23" x14ac:dyDescent="0.2">
      <c r="A865">
        <v>5033647</v>
      </c>
      <c r="B865" t="s">
        <v>18</v>
      </c>
      <c r="C865" t="s">
        <v>19</v>
      </c>
      <c r="D865" t="s">
        <v>20</v>
      </c>
      <c r="E865">
        <v>0</v>
      </c>
      <c r="F865">
        <v>270000</v>
      </c>
      <c r="G865" t="s">
        <v>31</v>
      </c>
      <c r="H865" t="s">
        <v>22</v>
      </c>
      <c r="I865" t="s">
        <v>33</v>
      </c>
      <c r="J865" t="s">
        <v>24</v>
      </c>
      <c r="K865" s="6">
        <f t="shared" ca="1" si="60"/>
        <v>22755</v>
      </c>
      <c r="L865">
        <v>-23006</v>
      </c>
      <c r="M865" s="7">
        <f t="shared" ca="1" si="58"/>
        <v>62.986995208761122</v>
      </c>
      <c r="N865" s="5" t="str">
        <f ca="1">VLOOKUP(Data!M865,temp!$B$3:$C$9,2,1)</f>
        <v>60-70</v>
      </c>
      <c r="O865">
        <v>-513</v>
      </c>
      <c r="P865" s="8">
        <f t="shared" si="59"/>
        <v>1.4045174537987679</v>
      </c>
      <c r="Q865" s="5" t="str">
        <f t="shared" si="61"/>
        <v>Employed</v>
      </c>
      <c r="R865">
        <v>1</v>
      </c>
      <c r="S865">
        <v>0</v>
      </c>
      <c r="T865">
        <v>0</v>
      </c>
      <c r="U865">
        <v>0</v>
      </c>
      <c r="V865" t="s">
        <v>44</v>
      </c>
      <c r="W865">
        <v>1</v>
      </c>
    </row>
    <row r="866" spans="1:23" x14ac:dyDescent="0.2">
      <c r="A866">
        <v>5033671</v>
      </c>
      <c r="B866" t="s">
        <v>18</v>
      </c>
      <c r="C866" t="s">
        <v>19</v>
      </c>
      <c r="D866" t="s">
        <v>20</v>
      </c>
      <c r="E866">
        <v>0</v>
      </c>
      <c r="F866">
        <v>51750</v>
      </c>
      <c r="G866" t="s">
        <v>31</v>
      </c>
      <c r="H866" t="s">
        <v>27</v>
      </c>
      <c r="I866" t="s">
        <v>28</v>
      </c>
      <c r="J866" t="s">
        <v>24</v>
      </c>
      <c r="K866" s="6">
        <f t="shared" ca="1" si="60"/>
        <v>28595</v>
      </c>
      <c r="L866">
        <v>-17166</v>
      </c>
      <c r="M866" s="7">
        <f t="shared" ca="1" si="58"/>
        <v>46.997946611909654</v>
      </c>
      <c r="N866" s="5" t="str">
        <f ca="1">VLOOKUP(Data!M866,temp!$B$3:$C$9,2,1)</f>
        <v>40-50</v>
      </c>
      <c r="O866">
        <v>-2514</v>
      </c>
      <c r="P866" s="8">
        <f t="shared" si="59"/>
        <v>6.882956878850103</v>
      </c>
      <c r="Q866" s="5" t="str">
        <f t="shared" si="61"/>
        <v>Employed</v>
      </c>
      <c r="R866">
        <v>1</v>
      </c>
      <c r="S866">
        <v>0</v>
      </c>
      <c r="T866">
        <v>0</v>
      </c>
      <c r="U866">
        <v>0</v>
      </c>
      <c r="V866" t="s">
        <v>46</v>
      </c>
      <c r="W866">
        <v>2</v>
      </c>
    </row>
    <row r="867" spans="1:23" x14ac:dyDescent="0.2">
      <c r="A867">
        <v>5033679</v>
      </c>
      <c r="B867" t="s">
        <v>18</v>
      </c>
      <c r="C867" t="s">
        <v>20</v>
      </c>
      <c r="D867" t="s">
        <v>20</v>
      </c>
      <c r="E867">
        <v>0</v>
      </c>
      <c r="F867">
        <v>517500</v>
      </c>
      <c r="G867" t="s">
        <v>35</v>
      </c>
      <c r="H867" t="s">
        <v>22</v>
      </c>
      <c r="I867" t="s">
        <v>28</v>
      </c>
      <c r="J867" t="s">
        <v>24</v>
      </c>
      <c r="K867" s="6">
        <f t="shared" ca="1" si="60"/>
        <v>29487</v>
      </c>
      <c r="L867">
        <v>-16274</v>
      </c>
      <c r="M867" s="7">
        <f t="shared" ca="1" si="58"/>
        <v>44.555783709787818</v>
      </c>
      <c r="N867" s="5" t="str">
        <f ca="1">VLOOKUP(Data!M867,temp!$B$3:$C$9,2,1)</f>
        <v>40-50</v>
      </c>
      <c r="O867">
        <v>-7172</v>
      </c>
      <c r="P867" s="8">
        <f t="shared" si="59"/>
        <v>19.635865845311429</v>
      </c>
      <c r="Q867" s="5" t="str">
        <f t="shared" si="61"/>
        <v>Employed</v>
      </c>
      <c r="R867">
        <v>1</v>
      </c>
      <c r="S867">
        <v>0</v>
      </c>
      <c r="T867">
        <v>0</v>
      </c>
      <c r="U867">
        <v>0</v>
      </c>
      <c r="W867">
        <v>2</v>
      </c>
    </row>
    <row r="868" spans="1:23" x14ac:dyDescent="0.2">
      <c r="A868">
        <v>5033683</v>
      </c>
      <c r="B868" t="s">
        <v>18</v>
      </c>
      <c r="C868" t="s">
        <v>19</v>
      </c>
      <c r="D868" t="s">
        <v>20</v>
      </c>
      <c r="E868">
        <v>0</v>
      </c>
      <c r="F868">
        <v>103500</v>
      </c>
      <c r="G868" t="s">
        <v>21</v>
      </c>
      <c r="H868" t="s">
        <v>27</v>
      </c>
      <c r="I868" t="s">
        <v>28</v>
      </c>
      <c r="J868" t="s">
        <v>24</v>
      </c>
      <c r="K868" s="6">
        <f t="shared" ca="1" si="60"/>
        <v>20930</v>
      </c>
      <c r="L868">
        <v>-24831</v>
      </c>
      <c r="M868" s="7">
        <f t="shared" ca="1" si="58"/>
        <v>67.983572895277206</v>
      </c>
      <c r="N868" s="5" t="str">
        <f ca="1">VLOOKUP(Data!M868,temp!$B$3:$C$9,2,1)</f>
        <v>60-70</v>
      </c>
      <c r="O868">
        <v>365243</v>
      </c>
      <c r="P868" s="8">
        <f t="shared" si="59"/>
        <v>0</v>
      </c>
      <c r="Q868" s="5" t="str">
        <f t="shared" si="61"/>
        <v>Unemployed</v>
      </c>
      <c r="R868">
        <v>1</v>
      </c>
      <c r="S868">
        <v>0</v>
      </c>
      <c r="T868">
        <v>0</v>
      </c>
      <c r="U868">
        <v>0</v>
      </c>
      <c r="W868">
        <v>2</v>
      </c>
    </row>
    <row r="869" spans="1:23" x14ac:dyDescent="0.2">
      <c r="A869">
        <v>5033689</v>
      </c>
      <c r="B869" t="s">
        <v>25</v>
      </c>
      <c r="C869" t="s">
        <v>20</v>
      </c>
      <c r="D869" t="s">
        <v>19</v>
      </c>
      <c r="E869">
        <v>0</v>
      </c>
      <c r="F869">
        <v>144000</v>
      </c>
      <c r="G869" t="s">
        <v>31</v>
      </c>
      <c r="H869" t="s">
        <v>27</v>
      </c>
      <c r="I869" t="s">
        <v>28</v>
      </c>
      <c r="J869" t="s">
        <v>24</v>
      </c>
      <c r="K869" s="6">
        <f t="shared" ca="1" si="60"/>
        <v>27320</v>
      </c>
      <c r="L869">
        <v>-18441</v>
      </c>
      <c r="M869" s="7">
        <f t="shared" ca="1" si="58"/>
        <v>50.488706365503077</v>
      </c>
      <c r="N869" s="5" t="str">
        <f ca="1">VLOOKUP(Data!M869,temp!$B$3:$C$9,2,1)</f>
        <v>50-60</v>
      </c>
      <c r="O869">
        <v>-1540</v>
      </c>
      <c r="P869" s="8">
        <f t="shared" si="59"/>
        <v>4.216290212183436</v>
      </c>
      <c r="Q869" s="5" t="str">
        <f t="shared" si="61"/>
        <v>Employed</v>
      </c>
      <c r="R869">
        <v>1</v>
      </c>
      <c r="S869">
        <v>1</v>
      </c>
      <c r="T869">
        <v>1</v>
      </c>
      <c r="U869">
        <v>0</v>
      </c>
      <c r="V869" t="s">
        <v>30</v>
      </c>
      <c r="W869">
        <v>2</v>
      </c>
    </row>
    <row r="870" spans="1:23" x14ac:dyDescent="0.2">
      <c r="A870">
        <v>5033698</v>
      </c>
      <c r="B870" t="s">
        <v>18</v>
      </c>
      <c r="C870" t="s">
        <v>20</v>
      </c>
      <c r="D870" t="s">
        <v>20</v>
      </c>
      <c r="E870">
        <v>0</v>
      </c>
      <c r="F870">
        <v>396000</v>
      </c>
      <c r="G870" t="s">
        <v>26</v>
      </c>
      <c r="H870" t="s">
        <v>22</v>
      </c>
      <c r="I870" t="s">
        <v>28</v>
      </c>
      <c r="J870" t="s">
        <v>24</v>
      </c>
      <c r="K870" s="6">
        <f t="shared" ca="1" si="60"/>
        <v>26831</v>
      </c>
      <c r="L870">
        <v>-18930</v>
      </c>
      <c r="M870" s="7">
        <f t="shared" ca="1" si="58"/>
        <v>51.827515400410675</v>
      </c>
      <c r="N870" s="5" t="str">
        <f ca="1">VLOOKUP(Data!M870,temp!$B$3:$C$9,2,1)</f>
        <v>50-60</v>
      </c>
      <c r="O870">
        <v>-3550</v>
      </c>
      <c r="P870" s="8">
        <f t="shared" si="59"/>
        <v>9.7193702943189599</v>
      </c>
      <c r="Q870" s="5" t="str">
        <f t="shared" si="61"/>
        <v>Employed</v>
      </c>
      <c r="R870">
        <v>1</v>
      </c>
      <c r="S870">
        <v>0</v>
      </c>
      <c r="T870">
        <v>0</v>
      </c>
      <c r="U870">
        <v>0</v>
      </c>
      <c r="V870" t="s">
        <v>32</v>
      </c>
      <c r="W870">
        <v>2</v>
      </c>
    </row>
    <row r="871" spans="1:23" x14ac:dyDescent="0.2">
      <c r="A871">
        <v>5033714</v>
      </c>
      <c r="B871" t="s">
        <v>25</v>
      </c>
      <c r="C871" t="s">
        <v>19</v>
      </c>
      <c r="D871" t="s">
        <v>20</v>
      </c>
      <c r="E871">
        <v>1</v>
      </c>
      <c r="F871">
        <v>135000</v>
      </c>
      <c r="G871" t="s">
        <v>31</v>
      </c>
      <c r="H871" t="s">
        <v>27</v>
      </c>
      <c r="I871" t="s">
        <v>28</v>
      </c>
      <c r="J871" t="s">
        <v>24</v>
      </c>
      <c r="K871" s="6">
        <f t="shared" ca="1" si="60"/>
        <v>31979</v>
      </c>
      <c r="L871">
        <v>-13782</v>
      </c>
      <c r="M871" s="7">
        <f t="shared" ca="1" si="58"/>
        <v>37.733059548254623</v>
      </c>
      <c r="N871" s="5" t="str">
        <f ca="1">VLOOKUP(Data!M871,temp!$B$3:$C$9,2,1)</f>
        <v>30-40</v>
      </c>
      <c r="O871">
        <v>-3032</v>
      </c>
      <c r="P871" s="8">
        <f t="shared" si="59"/>
        <v>8.301163586584531</v>
      </c>
      <c r="Q871" s="5" t="str">
        <f t="shared" si="61"/>
        <v>Employed</v>
      </c>
      <c r="R871">
        <v>1</v>
      </c>
      <c r="S871">
        <v>1</v>
      </c>
      <c r="T871">
        <v>1</v>
      </c>
      <c r="U871">
        <v>0</v>
      </c>
      <c r="V871" t="s">
        <v>40</v>
      </c>
      <c r="W871">
        <v>3</v>
      </c>
    </row>
    <row r="872" spans="1:23" x14ac:dyDescent="0.2">
      <c r="A872">
        <v>5033717</v>
      </c>
      <c r="B872" t="s">
        <v>18</v>
      </c>
      <c r="C872" t="s">
        <v>19</v>
      </c>
      <c r="D872" t="s">
        <v>20</v>
      </c>
      <c r="E872">
        <v>0</v>
      </c>
      <c r="F872">
        <v>189000</v>
      </c>
      <c r="G872" t="s">
        <v>31</v>
      </c>
      <c r="H872" t="s">
        <v>27</v>
      </c>
      <c r="I872" t="s">
        <v>33</v>
      </c>
      <c r="J872" t="s">
        <v>24</v>
      </c>
      <c r="K872" s="6">
        <f t="shared" ca="1" si="60"/>
        <v>27264</v>
      </c>
      <c r="L872">
        <v>-18497</v>
      </c>
      <c r="M872" s="7">
        <f t="shared" ca="1" si="58"/>
        <v>50.64202600958248</v>
      </c>
      <c r="N872" s="5" t="str">
        <f ca="1">VLOOKUP(Data!M872,temp!$B$3:$C$9,2,1)</f>
        <v>50-60</v>
      </c>
      <c r="O872">
        <v>-2216</v>
      </c>
      <c r="P872" s="8">
        <f t="shared" si="59"/>
        <v>6.0670773442847361</v>
      </c>
      <c r="Q872" s="5" t="str">
        <f t="shared" si="61"/>
        <v>Employed</v>
      </c>
      <c r="R872">
        <v>1</v>
      </c>
      <c r="S872">
        <v>0</v>
      </c>
      <c r="T872">
        <v>0</v>
      </c>
      <c r="U872">
        <v>0</v>
      </c>
      <c r="V872" t="s">
        <v>39</v>
      </c>
      <c r="W872">
        <v>1</v>
      </c>
    </row>
    <row r="873" spans="1:23" x14ac:dyDescent="0.2">
      <c r="A873">
        <v>5033730</v>
      </c>
      <c r="B873" t="s">
        <v>18</v>
      </c>
      <c r="C873" t="s">
        <v>20</v>
      </c>
      <c r="D873" t="s">
        <v>20</v>
      </c>
      <c r="E873">
        <v>1</v>
      </c>
      <c r="F873">
        <v>121500</v>
      </c>
      <c r="G873" t="s">
        <v>26</v>
      </c>
      <c r="H873" t="s">
        <v>27</v>
      </c>
      <c r="I873" t="s">
        <v>28</v>
      </c>
      <c r="J873" t="s">
        <v>24</v>
      </c>
      <c r="K873" s="6">
        <f t="shared" ca="1" si="60"/>
        <v>31916</v>
      </c>
      <c r="L873">
        <v>-13845</v>
      </c>
      <c r="M873" s="7">
        <f t="shared" ca="1" si="58"/>
        <v>37.905544147843941</v>
      </c>
      <c r="N873" s="5" t="str">
        <f ca="1">VLOOKUP(Data!M873,temp!$B$3:$C$9,2,1)</f>
        <v>30-40</v>
      </c>
      <c r="O873">
        <v>-2728</v>
      </c>
      <c r="P873" s="8">
        <f t="shared" si="59"/>
        <v>7.4688569472963726</v>
      </c>
      <c r="Q873" s="5" t="str">
        <f t="shared" si="61"/>
        <v>Employed</v>
      </c>
      <c r="R873">
        <v>1</v>
      </c>
      <c r="S873">
        <v>0</v>
      </c>
      <c r="T873">
        <v>0</v>
      </c>
      <c r="U873">
        <v>0</v>
      </c>
      <c r="V873" t="s">
        <v>29</v>
      </c>
      <c r="W873">
        <v>3</v>
      </c>
    </row>
    <row r="874" spans="1:23" x14ac:dyDescent="0.2">
      <c r="A874">
        <v>5033734</v>
      </c>
      <c r="B874" t="s">
        <v>18</v>
      </c>
      <c r="C874" t="s">
        <v>20</v>
      </c>
      <c r="D874" t="s">
        <v>20</v>
      </c>
      <c r="E874">
        <v>1</v>
      </c>
      <c r="F874">
        <v>157500</v>
      </c>
      <c r="G874" t="s">
        <v>31</v>
      </c>
      <c r="H874" t="s">
        <v>27</v>
      </c>
      <c r="I874" t="s">
        <v>28</v>
      </c>
      <c r="J874" t="s">
        <v>24</v>
      </c>
      <c r="K874" s="6">
        <f t="shared" ca="1" si="60"/>
        <v>33160</v>
      </c>
      <c r="L874">
        <v>-12601</v>
      </c>
      <c r="M874" s="7">
        <f t="shared" ca="1" si="58"/>
        <v>34.499657768651609</v>
      </c>
      <c r="N874" s="5" t="str">
        <f ca="1">VLOOKUP(Data!M874,temp!$B$3:$C$9,2,1)</f>
        <v>30-40</v>
      </c>
      <c r="O874">
        <v>-6053</v>
      </c>
      <c r="P874" s="8">
        <f t="shared" si="59"/>
        <v>16.572210814510608</v>
      </c>
      <c r="Q874" s="5" t="str">
        <f t="shared" si="61"/>
        <v>Employed</v>
      </c>
      <c r="R874">
        <v>1</v>
      </c>
      <c r="S874">
        <v>0</v>
      </c>
      <c r="T874">
        <v>0</v>
      </c>
      <c r="U874">
        <v>0</v>
      </c>
      <c r="V874" t="s">
        <v>55</v>
      </c>
      <c r="W874">
        <v>3</v>
      </c>
    </row>
    <row r="875" spans="1:23" x14ac:dyDescent="0.2">
      <c r="A875">
        <v>5033745</v>
      </c>
      <c r="B875" t="s">
        <v>18</v>
      </c>
      <c r="C875" t="s">
        <v>19</v>
      </c>
      <c r="D875" t="s">
        <v>19</v>
      </c>
      <c r="E875">
        <v>0</v>
      </c>
      <c r="F875">
        <v>112500</v>
      </c>
      <c r="G875" t="s">
        <v>31</v>
      </c>
      <c r="H875" t="s">
        <v>22</v>
      </c>
      <c r="I875" t="s">
        <v>33</v>
      </c>
      <c r="J875" t="s">
        <v>24</v>
      </c>
      <c r="K875" s="6">
        <f t="shared" ca="1" si="60"/>
        <v>30317</v>
      </c>
      <c r="L875">
        <v>-15444</v>
      </c>
      <c r="M875" s="7">
        <f t="shared" ca="1" si="58"/>
        <v>42.283367556468171</v>
      </c>
      <c r="N875" s="5" t="str">
        <f ca="1">VLOOKUP(Data!M875,temp!$B$3:$C$9,2,1)</f>
        <v>40-50</v>
      </c>
      <c r="O875">
        <v>-3891</v>
      </c>
      <c r="P875" s="8">
        <f t="shared" si="59"/>
        <v>10.652977412731007</v>
      </c>
      <c r="Q875" s="5" t="str">
        <f t="shared" si="61"/>
        <v>Employed</v>
      </c>
      <c r="R875">
        <v>1</v>
      </c>
      <c r="S875">
        <v>0</v>
      </c>
      <c r="T875">
        <v>0</v>
      </c>
      <c r="U875">
        <v>0</v>
      </c>
      <c r="V875" t="s">
        <v>32</v>
      </c>
      <c r="W875">
        <v>1</v>
      </c>
    </row>
    <row r="876" spans="1:23" x14ac:dyDescent="0.2">
      <c r="A876">
        <v>5033776</v>
      </c>
      <c r="B876" t="s">
        <v>18</v>
      </c>
      <c r="C876" t="s">
        <v>19</v>
      </c>
      <c r="D876" t="s">
        <v>20</v>
      </c>
      <c r="E876">
        <v>2</v>
      </c>
      <c r="F876">
        <v>103500</v>
      </c>
      <c r="G876" t="s">
        <v>31</v>
      </c>
      <c r="H876" t="s">
        <v>27</v>
      </c>
      <c r="I876" t="s">
        <v>28</v>
      </c>
      <c r="J876" t="s">
        <v>24</v>
      </c>
      <c r="K876" s="6">
        <f t="shared" ca="1" si="60"/>
        <v>32614</v>
      </c>
      <c r="L876">
        <v>-13147</v>
      </c>
      <c r="M876" s="7">
        <f t="shared" ca="1" si="58"/>
        <v>35.994524298425738</v>
      </c>
      <c r="N876" s="5" t="str">
        <f ca="1">VLOOKUP(Data!M876,temp!$B$3:$C$9,2,1)</f>
        <v>30-40</v>
      </c>
      <c r="O876">
        <v>-3738</v>
      </c>
      <c r="P876" s="8">
        <f t="shared" si="59"/>
        <v>10.234086242299794</v>
      </c>
      <c r="Q876" s="5" t="str">
        <f t="shared" si="61"/>
        <v>Employed</v>
      </c>
      <c r="R876">
        <v>1</v>
      </c>
      <c r="S876">
        <v>0</v>
      </c>
      <c r="T876">
        <v>1</v>
      </c>
      <c r="U876">
        <v>0</v>
      </c>
      <c r="V876" t="s">
        <v>29</v>
      </c>
      <c r="W876">
        <v>4</v>
      </c>
    </row>
    <row r="877" spans="1:23" x14ac:dyDescent="0.2">
      <c r="A877">
        <v>5033777</v>
      </c>
      <c r="B877" t="s">
        <v>25</v>
      </c>
      <c r="C877" t="s">
        <v>20</v>
      </c>
      <c r="D877" t="s">
        <v>20</v>
      </c>
      <c r="E877">
        <v>0</v>
      </c>
      <c r="F877">
        <v>405000</v>
      </c>
      <c r="G877" t="s">
        <v>26</v>
      </c>
      <c r="H877" t="s">
        <v>27</v>
      </c>
      <c r="I877" t="s">
        <v>28</v>
      </c>
      <c r="J877" t="s">
        <v>24</v>
      </c>
      <c r="K877" s="6">
        <f t="shared" ca="1" si="60"/>
        <v>24010</v>
      </c>
      <c r="L877">
        <v>-21751</v>
      </c>
      <c r="M877" s="7">
        <f t="shared" ca="1" si="58"/>
        <v>59.550992470910337</v>
      </c>
      <c r="N877" s="5" t="str">
        <f ca="1">VLOOKUP(Data!M877,temp!$B$3:$C$9,2,1)</f>
        <v>50-60</v>
      </c>
      <c r="O877">
        <v>-5443</v>
      </c>
      <c r="P877" s="8">
        <f t="shared" si="59"/>
        <v>14.902121834360027</v>
      </c>
      <c r="Q877" s="5" t="str">
        <f t="shared" si="61"/>
        <v>Employed</v>
      </c>
      <c r="R877">
        <v>1</v>
      </c>
      <c r="S877">
        <v>0</v>
      </c>
      <c r="T877">
        <v>0</v>
      </c>
      <c r="U877">
        <v>0</v>
      </c>
      <c r="V877" t="s">
        <v>30</v>
      </c>
      <c r="W877">
        <v>2</v>
      </c>
    </row>
    <row r="878" spans="1:23" x14ac:dyDescent="0.2">
      <c r="A878">
        <v>5033783</v>
      </c>
      <c r="B878" t="s">
        <v>25</v>
      </c>
      <c r="C878" t="s">
        <v>19</v>
      </c>
      <c r="D878" t="s">
        <v>20</v>
      </c>
      <c r="E878">
        <v>2</v>
      </c>
      <c r="F878">
        <v>90000</v>
      </c>
      <c r="G878" t="s">
        <v>31</v>
      </c>
      <c r="H878" t="s">
        <v>27</v>
      </c>
      <c r="I878" t="s">
        <v>28</v>
      </c>
      <c r="J878" t="s">
        <v>24</v>
      </c>
      <c r="K878" s="6">
        <f t="shared" ca="1" si="60"/>
        <v>35134</v>
      </c>
      <c r="L878">
        <v>-10627</v>
      </c>
      <c r="M878" s="7">
        <f t="shared" ca="1" si="58"/>
        <v>29.095140314852841</v>
      </c>
      <c r="N878" s="5" t="str">
        <f ca="1">VLOOKUP(Data!M878,temp!$B$3:$C$9,2,1)</f>
        <v>20-30</v>
      </c>
      <c r="O878">
        <v>-3496</v>
      </c>
      <c r="P878" s="8">
        <f t="shared" si="59"/>
        <v>9.5715263518138265</v>
      </c>
      <c r="Q878" s="5" t="str">
        <f t="shared" si="61"/>
        <v>Employed</v>
      </c>
      <c r="R878">
        <v>1</v>
      </c>
      <c r="S878">
        <v>1</v>
      </c>
      <c r="T878">
        <v>0</v>
      </c>
      <c r="U878">
        <v>0</v>
      </c>
      <c r="V878" t="s">
        <v>39</v>
      </c>
      <c r="W878">
        <v>4</v>
      </c>
    </row>
    <row r="879" spans="1:23" x14ac:dyDescent="0.2">
      <c r="A879">
        <v>5033796</v>
      </c>
      <c r="B879" t="s">
        <v>18</v>
      </c>
      <c r="C879" t="s">
        <v>19</v>
      </c>
      <c r="D879" t="s">
        <v>20</v>
      </c>
      <c r="E879">
        <v>0</v>
      </c>
      <c r="F879">
        <v>382500</v>
      </c>
      <c r="G879" t="s">
        <v>21</v>
      </c>
      <c r="H879" t="s">
        <v>27</v>
      </c>
      <c r="I879" t="s">
        <v>28</v>
      </c>
      <c r="J879" t="s">
        <v>24</v>
      </c>
      <c r="K879" s="6">
        <f t="shared" ca="1" si="60"/>
        <v>23474</v>
      </c>
      <c r="L879">
        <v>-22287</v>
      </c>
      <c r="M879" s="7">
        <f t="shared" ca="1" si="58"/>
        <v>61.01848049281314</v>
      </c>
      <c r="N879" s="5" t="str">
        <f ca="1">VLOOKUP(Data!M879,temp!$B$3:$C$9,2,1)</f>
        <v>60-70</v>
      </c>
      <c r="O879">
        <v>365243</v>
      </c>
      <c r="P879" s="8">
        <f t="shared" si="59"/>
        <v>0</v>
      </c>
      <c r="Q879" s="5" t="str">
        <f t="shared" si="61"/>
        <v>Unemployed</v>
      </c>
      <c r="R879">
        <v>1</v>
      </c>
      <c r="S879">
        <v>0</v>
      </c>
      <c r="T879">
        <v>0</v>
      </c>
      <c r="U879">
        <v>0</v>
      </c>
      <c r="W879">
        <v>2</v>
      </c>
    </row>
    <row r="880" spans="1:23" x14ac:dyDescent="0.2">
      <c r="A880">
        <v>5033801</v>
      </c>
      <c r="B880" t="s">
        <v>18</v>
      </c>
      <c r="C880" t="s">
        <v>19</v>
      </c>
      <c r="D880" t="s">
        <v>20</v>
      </c>
      <c r="E880">
        <v>0</v>
      </c>
      <c r="F880">
        <v>360000</v>
      </c>
      <c r="G880" t="s">
        <v>26</v>
      </c>
      <c r="H880" t="s">
        <v>22</v>
      </c>
      <c r="I880" t="s">
        <v>28</v>
      </c>
      <c r="J880" t="s">
        <v>24</v>
      </c>
      <c r="K880" s="6">
        <f t="shared" ca="1" si="60"/>
        <v>29300</v>
      </c>
      <c r="L880">
        <v>-16461</v>
      </c>
      <c r="M880" s="7">
        <f t="shared" ca="1" si="58"/>
        <v>45.067761806981522</v>
      </c>
      <c r="N880" s="5" t="str">
        <f ca="1">VLOOKUP(Data!M880,temp!$B$3:$C$9,2,1)</f>
        <v>40-50</v>
      </c>
      <c r="O880">
        <v>-3244</v>
      </c>
      <c r="P880" s="8">
        <f t="shared" si="59"/>
        <v>8.8815879534565365</v>
      </c>
      <c r="Q880" s="5" t="str">
        <f t="shared" si="61"/>
        <v>Employed</v>
      </c>
      <c r="R880">
        <v>1</v>
      </c>
      <c r="S880">
        <v>0</v>
      </c>
      <c r="T880">
        <v>0</v>
      </c>
      <c r="U880">
        <v>0</v>
      </c>
      <c r="V880" t="s">
        <v>32</v>
      </c>
      <c r="W880">
        <v>2</v>
      </c>
    </row>
    <row r="881" spans="1:23" x14ac:dyDescent="0.2">
      <c r="A881">
        <v>5033813</v>
      </c>
      <c r="B881" t="s">
        <v>18</v>
      </c>
      <c r="C881" t="s">
        <v>19</v>
      </c>
      <c r="D881" t="s">
        <v>20</v>
      </c>
      <c r="E881">
        <v>3</v>
      </c>
      <c r="F881">
        <v>180000</v>
      </c>
      <c r="G881" t="s">
        <v>35</v>
      </c>
      <c r="H881" t="s">
        <v>22</v>
      </c>
      <c r="I881" t="s">
        <v>28</v>
      </c>
      <c r="J881" t="s">
        <v>24</v>
      </c>
      <c r="K881" s="6">
        <f t="shared" ca="1" si="60"/>
        <v>34134</v>
      </c>
      <c r="L881">
        <v>-11627</v>
      </c>
      <c r="M881" s="7">
        <f t="shared" ca="1" si="58"/>
        <v>31.832991101984941</v>
      </c>
      <c r="N881" s="5" t="str">
        <f ca="1">VLOOKUP(Data!M881,temp!$B$3:$C$9,2,1)</f>
        <v>30-40</v>
      </c>
      <c r="O881">
        <v>-1449</v>
      </c>
      <c r="P881" s="8">
        <f t="shared" si="59"/>
        <v>3.9671457905544147</v>
      </c>
      <c r="Q881" s="5" t="str">
        <f t="shared" si="61"/>
        <v>Employed</v>
      </c>
      <c r="R881">
        <v>1</v>
      </c>
      <c r="S881">
        <v>1</v>
      </c>
      <c r="T881">
        <v>0</v>
      </c>
      <c r="U881">
        <v>0</v>
      </c>
      <c r="W881">
        <v>5</v>
      </c>
    </row>
    <row r="882" spans="1:23" x14ac:dyDescent="0.2">
      <c r="A882">
        <v>5033837</v>
      </c>
      <c r="B882" t="s">
        <v>18</v>
      </c>
      <c r="C882" t="s">
        <v>19</v>
      </c>
      <c r="D882" t="s">
        <v>20</v>
      </c>
      <c r="E882">
        <v>0</v>
      </c>
      <c r="F882">
        <v>234000</v>
      </c>
      <c r="G882" t="s">
        <v>26</v>
      </c>
      <c r="H882" t="s">
        <v>22</v>
      </c>
      <c r="I882" t="s">
        <v>28</v>
      </c>
      <c r="J882" t="s">
        <v>24</v>
      </c>
      <c r="K882" s="6">
        <f t="shared" ca="1" si="60"/>
        <v>29394</v>
      </c>
      <c r="L882">
        <v>-16367</v>
      </c>
      <c r="M882" s="7">
        <f t="shared" ca="1" si="58"/>
        <v>44.810403832991099</v>
      </c>
      <c r="N882" s="5" t="str">
        <f ca="1">VLOOKUP(Data!M882,temp!$B$3:$C$9,2,1)</f>
        <v>40-50</v>
      </c>
      <c r="O882">
        <v>-5070</v>
      </c>
      <c r="P882" s="8">
        <f t="shared" si="59"/>
        <v>13.880903490759753</v>
      </c>
      <c r="Q882" s="5" t="str">
        <f t="shared" si="61"/>
        <v>Employed</v>
      </c>
      <c r="R882">
        <v>1</v>
      </c>
      <c r="S882">
        <v>0</v>
      </c>
      <c r="T882">
        <v>0</v>
      </c>
      <c r="U882">
        <v>0</v>
      </c>
      <c r="W882">
        <v>2</v>
      </c>
    </row>
    <row r="883" spans="1:23" x14ac:dyDescent="0.2">
      <c r="A883">
        <v>5033847</v>
      </c>
      <c r="B883" t="s">
        <v>18</v>
      </c>
      <c r="C883" t="s">
        <v>19</v>
      </c>
      <c r="D883" t="s">
        <v>19</v>
      </c>
      <c r="E883">
        <v>2</v>
      </c>
      <c r="F883">
        <v>225000</v>
      </c>
      <c r="G883" t="s">
        <v>26</v>
      </c>
      <c r="H883" t="s">
        <v>27</v>
      </c>
      <c r="I883" t="s">
        <v>28</v>
      </c>
      <c r="J883" t="s">
        <v>24</v>
      </c>
      <c r="K883" s="6">
        <f t="shared" ca="1" si="60"/>
        <v>31285</v>
      </c>
      <c r="L883">
        <v>-14476</v>
      </c>
      <c r="M883" s="7">
        <f t="shared" ca="1" si="58"/>
        <v>39.633127994524301</v>
      </c>
      <c r="N883" s="5" t="str">
        <f ca="1">VLOOKUP(Data!M883,temp!$B$3:$C$9,2,1)</f>
        <v>30-40</v>
      </c>
      <c r="O883">
        <v>-4987</v>
      </c>
      <c r="P883" s="8">
        <f t="shared" si="59"/>
        <v>13.653661875427789</v>
      </c>
      <c r="Q883" s="5" t="str">
        <f t="shared" si="61"/>
        <v>Employed</v>
      </c>
      <c r="R883">
        <v>1</v>
      </c>
      <c r="S883">
        <v>0</v>
      </c>
      <c r="T883">
        <v>0</v>
      </c>
      <c r="U883">
        <v>0</v>
      </c>
      <c r="V883" t="s">
        <v>47</v>
      </c>
      <c r="W883">
        <v>4</v>
      </c>
    </row>
    <row r="884" spans="1:23" x14ac:dyDescent="0.2">
      <c r="A884">
        <v>5033859</v>
      </c>
      <c r="B884" t="s">
        <v>18</v>
      </c>
      <c r="C884" t="s">
        <v>20</v>
      </c>
      <c r="D884" t="s">
        <v>20</v>
      </c>
      <c r="E884">
        <v>0</v>
      </c>
      <c r="F884">
        <v>178650</v>
      </c>
      <c r="G884" t="s">
        <v>21</v>
      </c>
      <c r="H884" t="s">
        <v>22</v>
      </c>
      <c r="I884" t="s">
        <v>42</v>
      </c>
      <c r="J884" t="s">
        <v>24</v>
      </c>
      <c r="K884" s="6">
        <f t="shared" ca="1" si="60"/>
        <v>28470</v>
      </c>
      <c r="L884">
        <v>-17291</v>
      </c>
      <c r="M884" s="7">
        <f t="shared" ca="1" si="58"/>
        <v>47.340177960301162</v>
      </c>
      <c r="N884" s="5" t="str">
        <f ca="1">VLOOKUP(Data!M884,temp!$B$3:$C$9,2,1)</f>
        <v>40-50</v>
      </c>
      <c r="O884">
        <v>365243</v>
      </c>
      <c r="P884" s="8">
        <f t="shared" si="59"/>
        <v>0</v>
      </c>
      <c r="Q884" s="5" t="str">
        <f t="shared" si="61"/>
        <v>Unemployed</v>
      </c>
      <c r="R884">
        <v>1</v>
      </c>
      <c r="S884">
        <v>0</v>
      </c>
      <c r="T884">
        <v>1</v>
      </c>
      <c r="U884">
        <v>0</v>
      </c>
      <c r="W884">
        <v>1</v>
      </c>
    </row>
    <row r="885" spans="1:23" x14ac:dyDescent="0.2">
      <c r="A885">
        <v>5033863</v>
      </c>
      <c r="B885" t="s">
        <v>25</v>
      </c>
      <c r="C885" t="s">
        <v>20</v>
      </c>
      <c r="D885" t="s">
        <v>20</v>
      </c>
      <c r="E885">
        <v>0</v>
      </c>
      <c r="F885">
        <v>180000</v>
      </c>
      <c r="G885" t="s">
        <v>31</v>
      </c>
      <c r="H885" t="s">
        <v>36</v>
      </c>
      <c r="I885" t="s">
        <v>28</v>
      </c>
      <c r="J885" t="s">
        <v>24</v>
      </c>
      <c r="K885" s="6">
        <f t="shared" ca="1" si="60"/>
        <v>24639</v>
      </c>
      <c r="L885">
        <v>-21122</v>
      </c>
      <c r="M885" s="7">
        <f t="shared" ca="1" si="58"/>
        <v>57.828884325804246</v>
      </c>
      <c r="N885" s="5" t="str">
        <f ca="1">VLOOKUP(Data!M885,temp!$B$3:$C$9,2,1)</f>
        <v>50-60</v>
      </c>
      <c r="O885">
        <v>-3922</v>
      </c>
      <c r="P885" s="8">
        <f t="shared" si="59"/>
        <v>10.737850787132102</v>
      </c>
      <c r="Q885" s="5" t="str">
        <f t="shared" si="61"/>
        <v>Employed</v>
      </c>
      <c r="R885">
        <v>1</v>
      </c>
      <c r="S885">
        <v>0</v>
      </c>
      <c r="T885">
        <v>0</v>
      </c>
      <c r="U885">
        <v>0</v>
      </c>
      <c r="W885">
        <v>2</v>
      </c>
    </row>
    <row r="886" spans="1:23" x14ac:dyDescent="0.2">
      <c r="A886">
        <v>5033870</v>
      </c>
      <c r="B886" t="s">
        <v>25</v>
      </c>
      <c r="C886" t="s">
        <v>19</v>
      </c>
      <c r="D886" t="s">
        <v>19</v>
      </c>
      <c r="E886">
        <v>0</v>
      </c>
      <c r="F886">
        <v>360000</v>
      </c>
      <c r="G886" t="s">
        <v>31</v>
      </c>
      <c r="H886" t="s">
        <v>27</v>
      </c>
      <c r="I886" t="s">
        <v>28</v>
      </c>
      <c r="J886" t="s">
        <v>34</v>
      </c>
      <c r="K886" s="6">
        <f t="shared" ca="1" si="60"/>
        <v>31803</v>
      </c>
      <c r="L886">
        <v>-13958</v>
      </c>
      <c r="M886" s="7">
        <f t="shared" ca="1" si="58"/>
        <v>38.214921286789867</v>
      </c>
      <c r="N886" s="5" t="str">
        <f ca="1">VLOOKUP(Data!M886,temp!$B$3:$C$9,2,1)</f>
        <v>30-40</v>
      </c>
      <c r="O886">
        <v>-969</v>
      </c>
      <c r="P886" s="8">
        <f t="shared" si="59"/>
        <v>2.6529774127310062</v>
      </c>
      <c r="Q886" s="5" t="str">
        <f t="shared" si="61"/>
        <v>Employed</v>
      </c>
      <c r="R886">
        <v>1</v>
      </c>
      <c r="S886">
        <v>0</v>
      </c>
      <c r="T886">
        <v>1</v>
      </c>
      <c r="U886">
        <v>0</v>
      </c>
      <c r="V886" t="s">
        <v>30</v>
      </c>
      <c r="W886">
        <v>2</v>
      </c>
    </row>
    <row r="887" spans="1:23" x14ac:dyDescent="0.2">
      <c r="A887">
        <v>5033878</v>
      </c>
      <c r="B887" t="s">
        <v>18</v>
      </c>
      <c r="C887" t="s">
        <v>19</v>
      </c>
      <c r="D887" t="s">
        <v>20</v>
      </c>
      <c r="E887">
        <v>0</v>
      </c>
      <c r="F887">
        <v>202500</v>
      </c>
      <c r="G887" t="s">
        <v>26</v>
      </c>
      <c r="H887" t="s">
        <v>22</v>
      </c>
      <c r="I887" t="s">
        <v>28</v>
      </c>
      <c r="J887" t="s">
        <v>24</v>
      </c>
      <c r="K887" s="6">
        <f t="shared" ca="1" si="60"/>
        <v>28048</v>
      </c>
      <c r="L887">
        <v>-17713</v>
      </c>
      <c r="M887" s="7">
        <f t="shared" ca="1" si="58"/>
        <v>48.495550992470911</v>
      </c>
      <c r="N887" s="5" t="str">
        <f ca="1">VLOOKUP(Data!M887,temp!$B$3:$C$9,2,1)</f>
        <v>40-50</v>
      </c>
      <c r="O887">
        <v>-718</v>
      </c>
      <c r="P887" s="8">
        <f t="shared" si="59"/>
        <v>1.9657768651608487</v>
      </c>
      <c r="Q887" s="5" t="str">
        <f t="shared" si="61"/>
        <v>Employed</v>
      </c>
      <c r="R887">
        <v>1</v>
      </c>
      <c r="S887">
        <v>1</v>
      </c>
      <c r="T887">
        <v>1</v>
      </c>
      <c r="U887">
        <v>0</v>
      </c>
      <c r="V887" t="s">
        <v>32</v>
      </c>
      <c r="W887">
        <v>2</v>
      </c>
    </row>
    <row r="888" spans="1:23" x14ac:dyDescent="0.2">
      <c r="A888">
        <v>5033894</v>
      </c>
      <c r="B888" t="s">
        <v>18</v>
      </c>
      <c r="C888" t="s">
        <v>19</v>
      </c>
      <c r="D888" t="s">
        <v>20</v>
      </c>
      <c r="E888">
        <v>0</v>
      </c>
      <c r="F888">
        <v>274500</v>
      </c>
      <c r="G888" t="s">
        <v>31</v>
      </c>
      <c r="H888" t="s">
        <v>22</v>
      </c>
      <c r="I888" t="s">
        <v>37</v>
      </c>
      <c r="J888" t="s">
        <v>24</v>
      </c>
      <c r="K888" s="6">
        <f t="shared" ca="1" si="60"/>
        <v>25953</v>
      </c>
      <c r="L888">
        <v>-19808</v>
      </c>
      <c r="M888" s="7">
        <f t="shared" ca="1" si="58"/>
        <v>54.231348391512661</v>
      </c>
      <c r="N888" s="5" t="str">
        <f ca="1">VLOOKUP(Data!M888,temp!$B$3:$C$9,2,1)</f>
        <v>50-60</v>
      </c>
      <c r="O888">
        <v>-390</v>
      </c>
      <c r="P888" s="8">
        <f t="shared" si="59"/>
        <v>1.0677618069815196</v>
      </c>
      <c r="Q888" s="5" t="str">
        <f t="shared" si="61"/>
        <v>Employed</v>
      </c>
      <c r="R888">
        <v>1</v>
      </c>
      <c r="S888">
        <v>1</v>
      </c>
      <c r="T888">
        <v>0</v>
      </c>
      <c r="U888">
        <v>0</v>
      </c>
      <c r="W888">
        <v>2</v>
      </c>
    </row>
    <row r="889" spans="1:23" x14ac:dyDescent="0.2">
      <c r="A889">
        <v>5033895</v>
      </c>
      <c r="B889" t="s">
        <v>18</v>
      </c>
      <c r="C889" t="s">
        <v>19</v>
      </c>
      <c r="D889" t="s">
        <v>19</v>
      </c>
      <c r="E889">
        <v>2</v>
      </c>
      <c r="F889">
        <v>135000</v>
      </c>
      <c r="G889" t="s">
        <v>31</v>
      </c>
      <c r="H889" t="s">
        <v>27</v>
      </c>
      <c r="I889" t="s">
        <v>28</v>
      </c>
      <c r="J889" t="s">
        <v>41</v>
      </c>
      <c r="K889" s="6">
        <f t="shared" ca="1" si="60"/>
        <v>34465</v>
      </c>
      <c r="L889">
        <v>-11296</v>
      </c>
      <c r="M889" s="7">
        <f t="shared" ca="1" si="58"/>
        <v>30.926762491444215</v>
      </c>
      <c r="N889" s="5" t="str">
        <f ca="1">VLOOKUP(Data!M889,temp!$B$3:$C$9,2,1)</f>
        <v>30-40</v>
      </c>
      <c r="O889">
        <v>-1670</v>
      </c>
      <c r="P889" s="8">
        <f t="shared" si="59"/>
        <v>4.5722108145106093</v>
      </c>
      <c r="Q889" s="5" t="str">
        <f t="shared" si="61"/>
        <v>Employed</v>
      </c>
      <c r="R889">
        <v>1</v>
      </c>
      <c r="S889">
        <v>0</v>
      </c>
      <c r="T889">
        <v>0</v>
      </c>
      <c r="U889">
        <v>0</v>
      </c>
      <c r="V889" t="s">
        <v>38</v>
      </c>
      <c r="W889">
        <v>4</v>
      </c>
    </row>
    <row r="890" spans="1:23" x14ac:dyDescent="0.2">
      <c r="A890">
        <v>5033898</v>
      </c>
      <c r="B890" t="s">
        <v>25</v>
      </c>
      <c r="C890" t="s">
        <v>19</v>
      </c>
      <c r="D890" t="s">
        <v>20</v>
      </c>
      <c r="E890">
        <v>0</v>
      </c>
      <c r="F890">
        <v>126000</v>
      </c>
      <c r="G890" t="s">
        <v>31</v>
      </c>
      <c r="H890" t="s">
        <v>27</v>
      </c>
      <c r="I890" t="s">
        <v>28</v>
      </c>
      <c r="J890" t="s">
        <v>24</v>
      </c>
      <c r="K890" s="6">
        <f t="shared" ca="1" si="60"/>
        <v>35437</v>
      </c>
      <c r="L890">
        <v>-10324</v>
      </c>
      <c r="M890" s="7">
        <f t="shared" ca="1" si="58"/>
        <v>28.265571526351813</v>
      </c>
      <c r="N890" s="5" t="str">
        <f ca="1">VLOOKUP(Data!M890,temp!$B$3:$C$9,2,1)</f>
        <v>20-30</v>
      </c>
      <c r="O890">
        <v>-513</v>
      </c>
      <c r="P890" s="8">
        <f t="shared" si="59"/>
        <v>1.4045174537987679</v>
      </c>
      <c r="Q890" s="5" t="str">
        <f t="shared" si="61"/>
        <v>Employed</v>
      </c>
      <c r="R890">
        <v>1</v>
      </c>
      <c r="S890">
        <v>1</v>
      </c>
      <c r="T890">
        <v>1</v>
      </c>
      <c r="U890">
        <v>0</v>
      </c>
      <c r="V890" t="s">
        <v>29</v>
      </c>
      <c r="W890">
        <v>2</v>
      </c>
    </row>
    <row r="891" spans="1:23" x14ac:dyDescent="0.2">
      <c r="A891">
        <v>5033899</v>
      </c>
      <c r="B891" t="s">
        <v>25</v>
      </c>
      <c r="C891" t="s">
        <v>20</v>
      </c>
      <c r="D891" t="s">
        <v>20</v>
      </c>
      <c r="E891">
        <v>0</v>
      </c>
      <c r="F891">
        <v>247500</v>
      </c>
      <c r="G891" t="s">
        <v>31</v>
      </c>
      <c r="H891" t="s">
        <v>27</v>
      </c>
      <c r="I891" t="s">
        <v>28</v>
      </c>
      <c r="J891" t="s">
        <v>24</v>
      </c>
      <c r="K891" s="6">
        <f t="shared" ca="1" si="60"/>
        <v>24004</v>
      </c>
      <c r="L891">
        <v>-21757</v>
      </c>
      <c r="M891" s="7">
        <f t="shared" ca="1" si="58"/>
        <v>59.567419575633132</v>
      </c>
      <c r="N891" s="5" t="str">
        <f ca="1">VLOOKUP(Data!M891,temp!$B$3:$C$9,2,1)</f>
        <v>50-60</v>
      </c>
      <c r="O891">
        <v>-2705</v>
      </c>
      <c r="P891" s="8">
        <f t="shared" si="59"/>
        <v>7.4058863791923342</v>
      </c>
      <c r="Q891" s="5" t="str">
        <f t="shared" si="61"/>
        <v>Employed</v>
      </c>
      <c r="R891">
        <v>1</v>
      </c>
      <c r="S891">
        <v>0</v>
      </c>
      <c r="T891">
        <v>0</v>
      </c>
      <c r="U891">
        <v>0</v>
      </c>
      <c r="V891" t="s">
        <v>30</v>
      </c>
      <c r="W891">
        <v>2</v>
      </c>
    </row>
    <row r="892" spans="1:23" x14ac:dyDescent="0.2">
      <c r="A892">
        <v>5033902</v>
      </c>
      <c r="B892" t="s">
        <v>25</v>
      </c>
      <c r="C892" t="s">
        <v>19</v>
      </c>
      <c r="D892" t="s">
        <v>20</v>
      </c>
      <c r="E892">
        <v>0</v>
      </c>
      <c r="F892">
        <v>99000</v>
      </c>
      <c r="G892" t="s">
        <v>21</v>
      </c>
      <c r="H892" t="s">
        <v>27</v>
      </c>
      <c r="I892" t="s">
        <v>37</v>
      </c>
      <c r="J892" t="s">
        <v>24</v>
      </c>
      <c r="K892" s="6">
        <f t="shared" ca="1" si="60"/>
        <v>23161</v>
      </c>
      <c r="L892">
        <v>-22600</v>
      </c>
      <c r="M892" s="7">
        <f t="shared" ca="1" si="58"/>
        <v>61.875427789185487</v>
      </c>
      <c r="N892" s="5" t="str">
        <f ca="1">VLOOKUP(Data!M892,temp!$B$3:$C$9,2,1)</f>
        <v>60-70</v>
      </c>
      <c r="O892">
        <v>365243</v>
      </c>
      <c r="P892" s="8">
        <f t="shared" si="59"/>
        <v>0</v>
      </c>
      <c r="Q892" s="5" t="str">
        <f t="shared" si="61"/>
        <v>Unemployed</v>
      </c>
      <c r="R892">
        <v>1</v>
      </c>
      <c r="S892">
        <v>0</v>
      </c>
      <c r="T892">
        <v>0</v>
      </c>
      <c r="U892">
        <v>0</v>
      </c>
      <c r="W892">
        <v>2</v>
      </c>
    </row>
    <row r="893" spans="1:23" x14ac:dyDescent="0.2">
      <c r="A893">
        <v>5033905</v>
      </c>
      <c r="B893" t="s">
        <v>18</v>
      </c>
      <c r="C893" t="s">
        <v>19</v>
      </c>
      <c r="D893" t="s">
        <v>20</v>
      </c>
      <c r="E893">
        <v>0</v>
      </c>
      <c r="F893">
        <v>270000</v>
      </c>
      <c r="G893" t="s">
        <v>31</v>
      </c>
      <c r="H893" t="s">
        <v>27</v>
      </c>
      <c r="I893" t="s">
        <v>28</v>
      </c>
      <c r="J893" t="s">
        <v>24</v>
      </c>
      <c r="K893" s="6">
        <f t="shared" ca="1" si="60"/>
        <v>23844</v>
      </c>
      <c r="L893">
        <v>-21917</v>
      </c>
      <c r="M893" s="7">
        <f t="shared" ca="1" si="58"/>
        <v>60.005475701574262</v>
      </c>
      <c r="N893" s="5" t="str">
        <f ca="1">VLOOKUP(Data!M893,temp!$B$3:$C$9,2,1)</f>
        <v>60-70</v>
      </c>
      <c r="O893">
        <v>-1905</v>
      </c>
      <c r="P893" s="8">
        <f t="shared" si="59"/>
        <v>5.2156057494866532</v>
      </c>
      <c r="Q893" s="5" t="str">
        <f t="shared" si="61"/>
        <v>Employed</v>
      </c>
      <c r="R893">
        <v>1</v>
      </c>
      <c r="S893">
        <v>0</v>
      </c>
      <c r="T893">
        <v>0</v>
      </c>
      <c r="U893">
        <v>0</v>
      </c>
      <c r="V893" t="s">
        <v>50</v>
      </c>
      <c r="W893">
        <v>2</v>
      </c>
    </row>
    <row r="894" spans="1:23" x14ac:dyDescent="0.2">
      <c r="A894">
        <v>5033909</v>
      </c>
      <c r="B894" t="s">
        <v>18</v>
      </c>
      <c r="C894" t="s">
        <v>19</v>
      </c>
      <c r="D894" t="s">
        <v>20</v>
      </c>
      <c r="E894">
        <v>2</v>
      </c>
      <c r="F894">
        <v>148500</v>
      </c>
      <c r="G894" t="s">
        <v>31</v>
      </c>
      <c r="H894" t="s">
        <v>27</v>
      </c>
      <c r="I894" t="s">
        <v>28</v>
      </c>
      <c r="J894" t="s">
        <v>24</v>
      </c>
      <c r="K894" s="6">
        <f t="shared" ca="1" si="60"/>
        <v>33646</v>
      </c>
      <c r="L894">
        <v>-12115</v>
      </c>
      <c r="M894" s="7">
        <f t="shared" ca="1" si="58"/>
        <v>33.169062286105408</v>
      </c>
      <c r="N894" s="5" t="str">
        <f ca="1">VLOOKUP(Data!M894,temp!$B$3:$C$9,2,1)</f>
        <v>30-40</v>
      </c>
      <c r="O894">
        <v>-878</v>
      </c>
      <c r="P894" s="8">
        <f t="shared" si="59"/>
        <v>2.4038329911019849</v>
      </c>
      <c r="Q894" s="5" t="str">
        <f t="shared" si="61"/>
        <v>Employed</v>
      </c>
      <c r="R894">
        <v>1</v>
      </c>
      <c r="S894">
        <v>1</v>
      </c>
      <c r="T894">
        <v>1</v>
      </c>
      <c r="U894">
        <v>0</v>
      </c>
      <c r="V894" t="s">
        <v>39</v>
      </c>
      <c r="W894">
        <v>4</v>
      </c>
    </row>
    <row r="895" spans="1:23" x14ac:dyDescent="0.2">
      <c r="A895">
        <v>5033921</v>
      </c>
      <c r="B895" t="s">
        <v>18</v>
      </c>
      <c r="C895" t="s">
        <v>19</v>
      </c>
      <c r="D895" t="s">
        <v>20</v>
      </c>
      <c r="E895">
        <v>1</v>
      </c>
      <c r="F895">
        <v>211500</v>
      </c>
      <c r="G895" t="s">
        <v>31</v>
      </c>
      <c r="H895" t="s">
        <v>27</v>
      </c>
      <c r="I895" t="s">
        <v>28</v>
      </c>
      <c r="J895" t="s">
        <v>24</v>
      </c>
      <c r="K895" s="6">
        <f t="shared" ca="1" si="60"/>
        <v>33176</v>
      </c>
      <c r="L895">
        <v>-12585</v>
      </c>
      <c r="M895" s="7">
        <f t="shared" ca="1" si="58"/>
        <v>34.455852156057496</v>
      </c>
      <c r="N895" s="5" t="str">
        <f ca="1">VLOOKUP(Data!M895,temp!$B$3:$C$9,2,1)</f>
        <v>30-40</v>
      </c>
      <c r="O895">
        <v>-755</v>
      </c>
      <c r="P895" s="8">
        <f t="shared" si="59"/>
        <v>2.0670773442847366</v>
      </c>
      <c r="Q895" s="5" t="str">
        <f t="shared" si="61"/>
        <v>Employed</v>
      </c>
      <c r="R895">
        <v>1</v>
      </c>
      <c r="S895">
        <v>1</v>
      </c>
      <c r="T895">
        <v>1</v>
      </c>
      <c r="U895">
        <v>0</v>
      </c>
      <c r="V895" t="s">
        <v>38</v>
      </c>
      <c r="W895">
        <v>3</v>
      </c>
    </row>
    <row r="896" spans="1:23" x14ac:dyDescent="0.2">
      <c r="A896">
        <v>5033935</v>
      </c>
      <c r="B896" t="s">
        <v>18</v>
      </c>
      <c r="C896" t="s">
        <v>19</v>
      </c>
      <c r="D896" t="s">
        <v>20</v>
      </c>
      <c r="E896">
        <v>0</v>
      </c>
      <c r="F896">
        <v>135000</v>
      </c>
      <c r="G896" t="s">
        <v>21</v>
      </c>
      <c r="H896" t="s">
        <v>51</v>
      </c>
      <c r="I896" t="s">
        <v>28</v>
      </c>
      <c r="J896" t="s">
        <v>24</v>
      </c>
      <c r="K896" s="6">
        <f t="shared" ca="1" si="60"/>
        <v>23192</v>
      </c>
      <c r="L896">
        <v>-22569</v>
      </c>
      <c r="M896" s="7">
        <f t="shared" ca="1" si="58"/>
        <v>61.790554414784395</v>
      </c>
      <c r="N896" s="5" t="str">
        <f ca="1">VLOOKUP(Data!M896,temp!$B$3:$C$9,2,1)</f>
        <v>60-70</v>
      </c>
      <c r="O896">
        <v>365243</v>
      </c>
      <c r="P896" s="8">
        <f t="shared" si="59"/>
        <v>0</v>
      </c>
      <c r="Q896" s="5" t="str">
        <f t="shared" si="61"/>
        <v>Unemployed</v>
      </c>
      <c r="R896">
        <v>1</v>
      </c>
      <c r="S896">
        <v>0</v>
      </c>
      <c r="T896">
        <v>0</v>
      </c>
      <c r="U896">
        <v>0</v>
      </c>
      <c r="W896">
        <v>2</v>
      </c>
    </row>
    <row r="897" spans="1:23" x14ac:dyDescent="0.2">
      <c r="A897">
        <v>5033941</v>
      </c>
      <c r="B897" t="s">
        <v>25</v>
      </c>
      <c r="C897" t="s">
        <v>20</v>
      </c>
      <c r="D897" t="s">
        <v>20</v>
      </c>
      <c r="E897">
        <v>2</v>
      </c>
      <c r="F897">
        <v>360000</v>
      </c>
      <c r="G897" t="s">
        <v>31</v>
      </c>
      <c r="H897" t="s">
        <v>22</v>
      </c>
      <c r="I897" t="s">
        <v>28</v>
      </c>
      <c r="J897" t="s">
        <v>24</v>
      </c>
      <c r="K897" s="6">
        <f t="shared" ca="1" si="60"/>
        <v>35488</v>
      </c>
      <c r="L897">
        <v>-10273</v>
      </c>
      <c r="M897" s="7">
        <f t="shared" ca="1" si="58"/>
        <v>28.125941136208077</v>
      </c>
      <c r="N897" s="5" t="str">
        <f ca="1">VLOOKUP(Data!M897,temp!$B$3:$C$9,2,1)</f>
        <v>20-30</v>
      </c>
      <c r="O897">
        <v>-3039</v>
      </c>
      <c r="P897" s="8">
        <f t="shared" si="59"/>
        <v>8.3203285420944564</v>
      </c>
      <c r="Q897" s="5" t="str">
        <f t="shared" si="61"/>
        <v>Employed</v>
      </c>
      <c r="R897">
        <v>1</v>
      </c>
      <c r="S897">
        <v>1</v>
      </c>
      <c r="T897">
        <v>0</v>
      </c>
      <c r="U897">
        <v>0</v>
      </c>
      <c r="V897" t="s">
        <v>38</v>
      </c>
      <c r="W897">
        <v>4</v>
      </c>
    </row>
    <row r="898" spans="1:23" x14ac:dyDescent="0.2">
      <c r="A898">
        <v>5033962</v>
      </c>
      <c r="B898" t="s">
        <v>18</v>
      </c>
      <c r="C898" t="s">
        <v>19</v>
      </c>
      <c r="D898" t="s">
        <v>20</v>
      </c>
      <c r="E898">
        <v>2</v>
      </c>
      <c r="F898">
        <v>144000</v>
      </c>
      <c r="G898" t="s">
        <v>31</v>
      </c>
      <c r="H898" t="s">
        <v>27</v>
      </c>
      <c r="I898" t="s">
        <v>28</v>
      </c>
      <c r="J898" t="s">
        <v>24</v>
      </c>
      <c r="K898" s="6">
        <f t="shared" ca="1" si="60"/>
        <v>32132</v>
      </c>
      <c r="L898">
        <v>-13629</v>
      </c>
      <c r="M898" s="7">
        <f t="shared" ca="1" si="58"/>
        <v>37.314168377823407</v>
      </c>
      <c r="N898" s="5" t="str">
        <f ca="1">VLOOKUP(Data!M898,temp!$B$3:$C$9,2,1)</f>
        <v>30-40</v>
      </c>
      <c r="O898">
        <v>-748</v>
      </c>
      <c r="P898" s="8">
        <f t="shared" si="59"/>
        <v>2.0479123887748116</v>
      </c>
      <c r="Q898" s="5" t="str">
        <f t="shared" si="61"/>
        <v>Employed</v>
      </c>
      <c r="R898">
        <v>1</v>
      </c>
      <c r="S898">
        <v>1</v>
      </c>
      <c r="T898">
        <v>0</v>
      </c>
      <c r="U898">
        <v>0</v>
      </c>
      <c r="W898">
        <v>4</v>
      </c>
    </row>
    <row r="899" spans="1:23" x14ac:dyDescent="0.2">
      <c r="A899">
        <v>5033970</v>
      </c>
      <c r="B899" t="s">
        <v>18</v>
      </c>
      <c r="C899" t="s">
        <v>19</v>
      </c>
      <c r="D899" t="s">
        <v>20</v>
      </c>
      <c r="E899">
        <v>0</v>
      </c>
      <c r="F899">
        <v>112500</v>
      </c>
      <c r="G899" t="s">
        <v>35</v>
      </c>
      <c r="H899" t="s">
        <v>27</v>
      </c>
      <c r="I899" t="s">
        <v>28</v>
      </c>
      <c r="J899" t="s">
        <v>24</v>
      </c>
      <c r="K899" s="6">
        <f t="shared" ca="1" si="60"/>
        <v>27532</v>
      </c>
      <c r="L899">
        <v>-18229</v>
      </c>
      <c r="M899" s="7">
        <f t="shared" ref="M899:M962" ca="1" si="62">(TODAY()-K899)/365.25</f>
        <v>49.908281998631075</v>
      </c>
      <c r="N899" s="5" t="str">
        <f ca="1">VLOOKUP(Data!M899,temp!$B$3:$C$9,2,1)</f>
        <v>40-50</v>
      </c>
      <c r="O899">
        <v>-2209</v>
      </c>
      <c r="P899" s="8">
        <f t="shared" ref="P899:P962" si="63">IF(O899&lt;=0,ABS(O899)/365.25,0)</f>
        <v>6.0479123887748116</v>
      </c>
      <c r="Q899" s="5" t="str">
        <f t="shared" si="61"/>
        <v>Employed</v>
      </c>
      <c r="R899">
        <v>1</v>
      </c>
      <c r="S899">
        <v>0</v>
      </c>
      <c r="T899">
        <v>0</v>
      </c>
      <c r="U899">
        <v>0</v>
      </c>
      <c r="V899" t="s">
        <v>38</v>
      </c>
      <c r="W899">
        <v>2</v>
      </c>
    </row>
    <row r="900" spans="1:23" x14ac:dyDescent="0.2">
      <c r="A900">
        <v>5033972</v>
      </c>
      <c r="B900" t="s">
        <v>25</v>
      </c>
      <c r="C900" t="s">
        <v>20</v>
      </c>
      <c r="D900" t="s">
        <v>20</v>
      </c>
      <c r="E900">
        <v>1</v>
      </c>
      <c r="F900">
        <v>256500</v>
      </c>
      <c r="G900" t="s">
        <v>35</v>
      </c>
      <c r="H900" t="s">
        <v>22</v>
      </c>
      <c r="I900" t="s">
        <v>28</v>
      </c>
      <c r="J900" t="s">
        <v>53</v>
      </c>
      <c r="K900" s="6">
        <f t="shared" ca="1" si="60"/>
        <v>34607</v>
      </c>
      <c r="L900">
        <v>-11154</v>
      </c>
      <c r="M900" s="7">
        <f t="shared" ca="1" si="62"/>
        <v>30.537987679671456</v>
      </c>
      <c r="N900" s="5" t="str">
        <f ca="1">VLOOKUP(Data!M900,temp!$B$3:$C$9,2,1)</f>
        <v>30-40</v>
      </c>
      <c r="O900">
        <v>-4409</v>
      </c>
      <c r="P900" s="8">
        <f t="shared" si="63"/>
        <v>12.071184120465434</v>
      </c>
      <c r="Q900" s="5" t="str">
        <f t="shared" si="61"/>
        <v>Employed</v>
      </c>
      <c r="R900">
        <v>1</v>
      </c>
      <c r="S900">
        <v>0</v>
      </c>
      <c r="T900">
        <v>0</v>
      </c>
      <c r="U900">
        <v>0</v>
      </c>
      <c r="V900" t="s">
        <v>38</v>
      </c>
      <c r="W900">
        <v>3</v>
      </c>
    </row>
    <row r="901" spans="1:23" x14ac:dyDescent="0.2">
      <c r="A901">
        <v>5033985</v>
      </c>
      <c r="B901" t="s">
        <v>18</v>
      </c>
      <c r="C901" t="s">
        <v>20</v>
      </c>
      <c r="D901" t="s">
        <v>20</v>
      </c>
      <c r="E901">
        <v>0</v>
      </c>
      <c r="F901">
        <v>180000</v>
      </c>
      <c r="G901" t="s">
        <v>26</v>
      </c>
      <c r="H901" t="s">
        <v>27</v>
      </c>
      <c r="I901" t="s">
        <v>37</v>
      </c>
      <c r="J901" t="s">
        <v>24</v>
      </c>
      <c r="K901" s="6">
        <f t="shared" ca="1" si="60"/>
        <v>26183</v>
      </c>
      <c r="L901">
        <v>-19578</v>
      </c>
      <c r="M901" s="7">
        <f t="shared" ca="1" si="62"/>
        <v>53.601642710472277</v>
      </c>
      <c r="N901" s="5" t="str">
        <f ca="1">VLOOKUP(Data!M901,temp!$B$3:$C$9,2,1)</f>
        <v>50-60</v>
      </c>
      <c r="O901">
        <v>-5388</v>
      </c>
      <c r="P901" s="8">
        <f t="shared" si="63"/>
        <v>14.751540041067761</v>
      </c>
      <c r="Q901" s="5" t="str">
        <f t="shared" si="61"/>
        <v>Employed</v>
      </c>
      <c r="R901">
        <v>1</v>
      </c>
      <c r="S901">
        <v>1</v>
      </c>
      <c r="T901">
        <v>1</v>
      </c>
      <c r="U901">
        <v>0</v>
      </c>
      <c r="V901" t="s">
        <v>44</v>
      </c>
      <c r="W901">
        <v>2</v>
      </c>
    </row>
    <row r="902" spans="1:23" x14ac:dyDescent="0.2">
      <c r="A902">
        <v>5033991</v>
      </c>
      <c r="B902" t="s">
        <v>18</v>
      </c>
      <c r="C902" t="s">
        <v>19</v>
      </c>
      <c r="D902" t="s">
        <v>20</v>
      </c>
      <c r="E902">
        <v>0</v>
      </c>
      <c r="F902">
        <v>72000</v>
      </c>
      <c r="G902" t="s">
        <v>21</v>
      </c>
      <c r="H902" t="s">
        <v>27</v>
      </c>
      <c r="I902" t="s">
        <v>23</v>
      </c>
      <c r="J902" t="s">
        <v>24</v>
      </c>
      <c r="K902" s="6">
        <f t="shared" ca="1" si="60"/>
        <v>23009</v>
      </c>
      <c r="L902">
        <v>-22752</v>
      </c>
      <c r="M902" s="7">
        <f t="shared" ca="1" si="62"/>
        <v>62.291581108829568</v>
      </c>
      <c r="N902" s="5" t="str">
        <f ca="1">VLOOKUP(Data!M902,temp!$B$3:$C$9,2,1)</f>
        <v>60-70</v>
      </c>
      <c r="O902">
        <v>365243</v>
      </c>
      <c r="P902" s="8">
        <f t="shared" si="63"/>
        <v>0</v>
      </c>
      <c r="Q902" s="5" t="str">
        <f t="shared" si="61"/>
        <v>Unemployed</v>
      </c>
      <c r="R902">
        <v>1</v>
      </c>
      <c r="S902">
        <v>0</v>
      </c>
      <c r="T902">
        <v>0</v>
      </c>
      <c r="U902">
        <v>0</v>
      </c>
      <c r="W902">
        <v>1</v>
      </c>
    </row>
    <row r="903" spans="1:23" x14ac:dyDescent="0.2">
      <c r="A903">
        <v>5034017</v>
      </c>
      <c r="B903" t="s">
        <v>25</v>
      </c>
      <c r="C903" t="s">
        <v>19</v>
      </c>
      <c r="D903" t="s">
        <v>20</v>
      </c>
      <c r="E903">
        <v>2</v>
      </c>
      <c r="F903">
        <v>180000</v>
      </c>
      <c r="G903" t="s">
        <v>31</v>
      </c>
      <c r="H903" t="s">
        <v>27</v>
      </c>
      <c r="I903" t="s">
        <v>28</v>
      </c>
      <c r="J903" t="s">
        <v>24</v>
      </c>
      <c r="K903" s="6">
        <f t="shared" ca="1" si="60"/>
        <v>33638</v>
      </c>
      <c r="L903">
        <v>-12123</v>
      </c>
      <c r="M903" s="7">
        <f t="shared" ca="1" si="62"/>
        <v>33.190965092402465</v>
      </c>
      <c r="N903" s="5" t="str">
        <f ca="1">VLOOKUP(Data!M903,temp!$B$3:$C$9,2,1)</f>
        <v>30-40</v>
      </c>
      <c r="O903">
        <v>-551</v>
      </c>
      <c r="P903" s="8">
        <f t="shared" si="63"/>
        <v>1.5085557837097878</v>
      </c>
      <c r="Q903" s="5" t="str">
        <f t="shared" si="61"/>
        <v>Employed</v>
      </c>
      <c r="R903">
        <v>1</v>
      </c>
      <c r="S903">
        <v>0</v>
      </c>
      <c r="T903">
        <v>0</v>
      </c>
      <c r="U903">
        <v>0</v>
      </c>
      <c r="V903" t="s">
        <v>29</v>
      </c>
      <c r="W903">
        <v>4</v>
      </c>
    </row>
    <row r="904" spans="1:23" x14ac:dyDescent="0.2">
      <c r="A904">
        <v>5035432</v>
      </c>
      <c r="B904" t="s">
        <v>18</v>
      </c>
      <c r="C904" t="s">
        <v>20</v>
      </c>
      <c r="D904" t="s">
        <v>20</v>
      </c>
      <c r="E904">
        <v>0</v>
      </c>
      <c r="F904">
        <v>180000</v>
      </c>
      <c r="G904" t="s">
        <v>31</v>
      </c>
      <c r="H904" t="s">
        <v>22</v>
      </c>
      <c r="I904" t="s">
        <v>23</v>
      </c>
      <c r="J904" t="s">
        <v>24</v>
      </c>
      <c r="K904" s="6">
        <f t="shared" ref="K904:K967" ca="1" si="64">TODAY()+($L904)</f>
        <v>28492</v>
      </c>
      <c r="L904">
        <v>-17269</v>
      </c>
      <c r="M904" s="7">
        <f t="shared" ca="1" si="62"/>
        <v>47.279945242984255</v>
      </c>
      <c r="N904" s="5" t="str">
        <f ca="1">VLOOKUP(Data!M904,temp!$B$3:$C$9,2,1)</f>
        <v>40-50</v>
      </c>
      <c r="O904">
        <v>-8469</v>
      </c>
      <c r="P904" s="8">
        <f t="shared" si="63"/>
        <v>23.186858316221766</v>
      </c>
      <c r="Q904" s="5" t="str">
        <f t="shared" ref="Q904:Q967" si="65">IF($O904&gt;0,"Unemployed","Employed")</f>
        <v>Employed</v>
      </c>
      <c r="R904">
        <v>1</v>
      </c>
      <c r="S904">
        <v>0</v>
      </c>
      <c r="T904">
        <v>0</v>
      </c>
      <c r="U904">
        <v>0</v>
      </c>
      <c r="W904">
        <v>1</v>
      </c>
    </row>
    <row r="905" spans="1:23" x14ac:dyDescent="0.2">
      <c r="A905">
        <v>5035436</v>
      </c>
      <c r="B905" t="s">
        <v>18</v>
      </c>
      <c r="C905" t="s">
        <v>20</v>
      </c>
      <c r="D905" t="s">
        <v>20</v>
      </c>
      <c r="E905">
        <v>0</v>
      </c>
      <c r="F905">
        <v>180000</v>
      </c>
      <c r="G905" t="s">
        <v>31</v>
      </c>
      <c r="H905" t="s">
        <v>22</v>
      </c>
      <c r="I905" t="s">
        <v>23</v>
      </c>
      <c r="J905" t="s">
        <v>24</v>
      </c>
      <c r="K905" s="6">
        <f t="shared" ca="1" si="64"/>
        <v>28492</v>
      </c>
      <c r="L905">
        <v>-17269</v>
      </c>
      <c r="M905" s="7">
        <f t="shared" ca="1" si="62"/>
        <v>47.279945242984255</v>
      </c>
      <c r="N905" s="5" t="str">
        <f ca="1">VLOOKUP(Data!M905,temp!$B$3:$C$9,2,1)</f>
        <v>40-50</v>
      </c>
      <c r="O905">
        <v>-8469</v>
      </c>
      <c r="P905" s="8">
        <f t="shared" si="63"/>
        <v>23.186858316221766</v>
      </c>
      <c r="Q905" s="5" t="str">
        <f t="shared" si="65"/>
        <v>Employed</v>
      </c>
      <c r="R905">
        <v>1</v>
      </c>
      <c r="S905">
        <v>0</v>
      </c>
      <c r="T905">
        <v>0</v>
      </c>
      <c r="U905">
        <v>0</v>
      </c>
      <c r="W905">
        <v>1</v>
      </c>
    </row>
    <row r="906" spans="1:23" x14ac:dyDescent="0.2">
      <c r="A906">
        <v>5035437</v>
      </c>
      <c r="B906" t="s">
        <v>18</v>
      </c>
      <c r="C906" t="s">
        <v>20</v>
      </c>
      <c r="D906" t="s">
        <v>20</v>
      </c>
      <c r="E906">
        <v>0</v>
      </c>
      <c r="F906">
        <v>180000</v>
      </c>
      <c r="G906" t="s">
        <v>31</v>
      </c>
      <c r="H906" t="s">
        <v>22</v>
      </c>
      <c r="I906" t="s">
        <v>23</v>
      </c>
      <c r="J906" t="s">
        <v>24</v>
      </c>
      <c r="K906" s="6">
        <f t="shared" ca="1" si="64"/>
        <v>28492</v>
      </c>
      <c r="L906">
        <v>-17269</v>
      </c>
      <c r="M906" s="7">
        <f t="shared" ca="1" si="62"/>
        <v>47.279945242984255</v>
      </c>
      <c r="N906" s="5" t="str">
        <f ca="1">VLOOKUP(Data!M906,temp!$B$3:$C$9,2,1)</f>
        <v>40-50</v>
      </c>
      <c r="O906">
        <v>-8469</v>
      </c>
      <c r="P906" s="8">
        <f t="shared" si="63"/>
        <v>23.186858316221766</v>
      </c>
      <c r="Q906" s="5" t="str">
        <f t="shared" si="65"/>
        <v>Employed</v>
      </c>
      <c r="R906">
        <v>1</v>
      </c>
      <c r="S906">
        <v>0</v>
      </c>
      <c r="T906">
        <v>0</v>
      </c>
      <c r="U906">
        <v>0</v>
      </c>
      <c r="W906">
        <v>1</v>
      </c>
    </row>
    <row r="907" spans="1:23" x14ac:dyDescent="0.2">
      <c r="A907">
        <v>5035438</v>
      </c>
      <c r="B907" t="s">
        <v>18</v>
      </c>
      <c r="C907" t="s">
        <v>20</v>
      </c>
      <c r="D907" t="s">
        <v>20</v>
      </c>
      <c r="E907">
        <v>0</v>
      </c>
      <c r="F907">
        <v>180000</v>
      </c>
      <c r="G907" t="s">
        <v>31</v>
      </c>
      <c r="H907" t="s">
        <v>22</v>
      </c>
      <c r="I907" t="s">
        <v>23</v>
      </c>
      <c r="J907" t="s">
        <v>24</v>
      </c>
      <c r="K907" s="6">
        <f t="shared" ca="1" si="64"/>
        <v>28492</v>
      </c>
      <c r="L907">
        <v>-17269</v>
      </c>
      <c r="M907" s="7">
        <f t="shared" ca="1" si="62"/>
        <v>47.279945242984255</v>
      </c>
      <c r="N907" s="5" t="str">
        <f ca="1">VLOOKUP(Data!M907,temp!$B$3:$C$9,2,1)</f>
        <v>40-50</v>
      </c>
      <c r="O907">
        <v>-8469</v>
      </c>
      <c r="P907" s="8">
        <f t="shared" si="63"/>
        <v>23.186858316221766</v>
      </c>
      <c r="Q907" s="5" t="str">
        <f t="shared" si="65"/>
        <v>Employed</v>
      </c>
      <c r="R907">
        <v>1</v>
      </c>
      <c r="S907">
        <v>0</v>
      </c>
      <c r="T907">
        <v>0</v>
      </c>
      <c r="U907">
        <v>0</v>
      </c>
      <c r="W907">
        <v>1</v>
      </c>
    </row>
    <row r="908" spans="1:23" x14ac:dyDescent="0.2">
      <c r="A908">
        <v>5035508</v>
      </c>
      <c r="B908" t="s">
        <v>18</v>
      </c>
      <c r="C908" t="s">
        <v>19</v>
      </c>
      <c r="D908" t="s">
        <v>19</v>
      </c>
      <c r="E908">
        <v>1</v>
      </c>
      <c r="F908">
        <v>202500</v>
      </c>
      <c r="G908" t="s">
        <v>35</v>
      </c>
      <c r="H908" t="s">
        <v>27</v>
      </c>
      <c r="I908" t="s">
        <v>33</v>
      </c>
      <c r="J908" t="s">
        <v>45</v>
      </c>
      <c r="K908" s="6">
        <f t="shared" ca="1" si="64"/>
        <v>26489</v>
      </c>
      <c r="L908">
        <v>-19272</v>
      </c>
      <c r="M908" s="7">
        <f t="shared" ca="1" si="62"/>
        <v>52.763860369609858</v>
      </c>
      <c r="N908" s="5" t="str">
        <f ca="1">VLOOKUP(Data!M908,temp!$B$3:$C$9,2,1)</f>
        <v>50-60</v>
      </c>
      <c r="O908">
        <v>-6216</v>
      </c>
      <c r="P908" s="8">
        <f t="shared" si="63"/>
        <v>17.018480492813143</v>
      </c>
      <c r="Q908" s="5" t="str">
        <f t="shared" si="65"/>
        <v>Employed</v>
      </c>
      <c r="R908">
        <v>1</v>
      </c>
      <c r="S908">
        <v>0</v>
      </c>
      <c r="T908">
        <v>1</v>
      </c>
      <c r="U908">
        <v>0</v>
      </c>
      <c r="V908" t="s">
        <v>55</v>
      </c>
      <c r="W908">
        <v>2</v>
      </c>
    </row>
    <row r="909" spans="1:23" x14ac:dyDescent="0.2">
      <c r="A909">
        <v>5035524</v>
      </c>
      <c r="B909" t="s">
        <v>18</v>
      </c>
      <c r="C909" t="s">
        <v>19</v>
      </c>
      <c r="D909" t="s">
        <v>20</v>
      </c>
      <c r="E909">
        <v>1</v>
      </c>
      <c r="F909">
        <v>76500</v>
      </c>
      <c r="G909" t="s">
        <v>21</v>
      </c>
      <c r="H909" t="s">
        <v>27</v>
      </c>
      <c r="I909" t="s">
        <v>28</v>
      </c>
      <c r="J909" t="s">
        <v>24</v>
      </c>
      <c r="K909" s="6">
        <f t="shared" ca="1" si="64"/>
        <v>25319</v>
      </c>
      <c r="L909">
        <v>-20442</v>
      </c>
      <c r="M909" s="7">
        <f t="shared" ca="1" si="62"/>
        <v>55.967145790554412</v>
      </c>
      <c r="N909" s="5" t="str">
        <f ca="1">VLOOKUP(Data!M909,temp!$B$3:$C$9,2,1)</f>
        <v>50-60</v>
      </c>
      <c r="O909">
        <v>365243</v>
      </c>
      <c r="P909" s="8">
        <f t="shared" si="63"/>
        <v>0</v>
      </c>
      <c r="Q909" s="5" t="str">
        <f t="shared" si="65"/>
        <v>Unemployed</v>
      </c>
      <c r="R909">
        <v>1</v>
      </c>
      <c r="S909">
        <v>0</v>
      </c>
      <c r="T909">
        <v>1</v>
      </c>
      <c r="U909">
        <v>0</v>
      </c>
      <c r="W909">
        <v>3</v>
      </c>
    </row>
    <row r="910" spans="1:23" x14ac:dyDescent="0.2">
      <c r="A910">
        <v>5035526</v>
      </c>
      <c r="B910" t="s">
        <v>18</v>
      </c>
      <c r="C910" t="s">
        <v>19</v>
      </c>
      <c r="D910" t="s">
        <v>20</v>
      </c>
      <c r="E910">
        <v>1</v>
      </c>
      <c r="F910">
        <v>76500</v>
      </c>
      <c r="G910" t="s">
        <v>21</v>
      </c>
      <c r="H910" t="s">
        <v>27</v>
      </c>
      <c r="I910" t="s">
        <v>28</v>
      </c>
      <c r="J910" t="s">
        <v>24</v>
      </c>
      <c r="K910" s="6">
        <f t="shared" ca="1" si="64"/>
        <v>25319</v>
      </c>
      <c r="L910">
        <v>-20442</v>
      </c>
      <c r="M910" s="7">
        <f t="shared" ca="1" si="62"/>
        <v>55.967145790554412</v>
      </c>
      <c r="N910" s="5" t="str">
        <f ca="1">VLOOKUP(Data!M910,temp!$B$3:$C$9,2,1)</f>
        <v>50-60</v>
      </c>
      <c r="O910">
        <v>365243</v>
      </c>
      <c r="P910" s="8">
        <f t="shared" si="63"/>
        <v>0</v>
      </c>
      <c r="Q910" s="5" t="str">
        <f t="shared" si="65"/>
        <v>Unemployed</v>
      </c>
      <c r="R910">
        <v>1</v>
      </c>
      <c r="S910">
        <v>0</v>
      </c>
      <c r="T910">
        <v>1</v>
      </c>
      <c r="U910">
        <v>0</v>
      </c>
      <c r="W910">
        <v>3</v>
      </c>
    </row>
    <row r="911" spans="1:23" x14ac:dyDescent="0.2">
      <c r="A911">
        <v>5035571</v>
      </c>
      <c r="B911" t="s">
        <v>18</v>
      </c>
      <c r="C911" t="s">
        <v>19</v>
      </c>
      <c r="D911" t="s">
        <v>20</v>
      </c>
      <c r="E911">
        <v>0</v>
      </c>
      <c r="F911">
        <v>67500</v>
      </c>
      <c r="G911" t="s">
        <v>21</v>
      </c>
      <c r="H911" t="s">
        <v>27</v>
      </c>
      <c r="I911" t="s">
        <v>28</v>
      </c>
      <c r="J911" t="s">
        <v>24</v>
      </c>
      <c r="K911" s="6">
        <f t="shared" ca="1" si="64"/>
        <v>24861</v>
      </c>
      <c r="L911">
        <v>-20900</v>
      </c>
      <c r="M911" s="7">
        <f t="shared" ca="1" si="62"/>
        <v>57.221081451060918</v>
      </c>
      <c r="N911" s="5" t="str">
        <f ca="1">VLOOKUP(Data!M911,temp!$B$3:$C$9,2,1)</f>
        <v>50-60</v>
      </c>
      <c r="O911">
        <v>365243</v>
      </c>
      <c r="P911" s="8">
        <f t="shared" si="63"/>
        <v>0</v>
      </c>
      <c r="Q911" s="5" t="str">
        <f t="shared" si="65"/>
        <v>Unemployed</v>
      </c>
      <c r="R911">
        <v>1</v>
      </c>
      <c r="S911">
        <v>0</v>
      </c>
      <c r="T911">
        <v>1</v>
      </c>
      <c r="U911">
        <v>0</v>
      </c>
      <c r="W911">
        <v>2</v>
      </c>
    </row>
    <row r="912" spans="1:23" x14ac:dyDescent="0.2">
      <c r="A912">
        <v>5035575</v>
      </c>
      <c r="B912" t="s">
        <v>18</v>
      </c>
      <c r="C912" t="s">
        <v>19</v>
      </c>
      <c r="D912" t="s">
        <v>20</v>
      </c>
      <c r="E912">
        <v>0</v>
      </c>
      <c r="F912">
        <v>67500</v>
      </c>
      <c r="G912" t="s">
        <v>21</v>
      </c>
      <c r="H912" t="s">
        <v>27</v>
      </c>
      <c r="I912" t="s">
        <v>28</v>
      </c>
      <c r="J912" t="s">
        <v>24</v>
      </c>
      <c r="K912" s="6">
        <f t="shared" ca="1" si="64"/>
        <v>24861</v>
      </c>
      <c r="L912">
        <v>-20900</v>
      </c>
      <c r="M912" s="7">
        <f t="shared" ca="1" si="62"/>
        <v>57.221081451060918</v>
      </c>
      <c r="N912" s="5" t="str">
        <f ca="1">VLOOKUP(Data!M912,temp!$B$3:$C$9,2,1)</f>
        <v>50-60</v>
      </c>
      <c r="O912">
        <v>365243</v>
      </c>
      <c r="P912" s="8">
        <f t="shared" si="63"/>
        <v>0</v>
      </c>
      <c r="Q912" s="5" t="str">
        <f t="shared" si="65"/>
        <v>Unemployed</v>
      </c>
      <c r="R912">
        <v>1</v>
      </c>
      <c r="S912">
        <v>0</v>
      </c>
      <c r="T912">
        <v>1</v>
      </c>
      <c r="U912">
        <v>0</v>
      </c>
      <c r="W912">
        <v>2</v>
      </c>
    </row>
    <row r="913" spans="1:23" x14ac:dyDescent="0.2">
      <c r="A913">
        <v>5035576</v>
      </c>
      <c r="B913" t="s">
        <v>18</v>
      </c>
      <c r="C913" t="s">
        <v>19</v>
      </c>
      <c r="D913" t="s">
        <v>20</v>
      </c>
      <c r="E913">
        <v>0</v>
      </c>
      <c r="F913">
        <v>67500</v>
      </c>
      <c r="G913" t="s">
        <v>21</v>
      </c>
      <c r="H913" t="s">
        <v>27</v>
      </c>
      <c r="I913" t="s">
        <v>28</v>
      </c>
      <c r="J913" t="s">
        <v>24</v>
      </c>
      <c r="K913" s="6">
        <f t="shared" ca="1" si="64"/>
        <v>24861</v>
      </c>
      <c r="L913">
        <v>-20900</v>
      </c>
      <c r="M913" s="7">
        <f t="shared" ca="1" si="62"/>
        <v>57.221081451060918</v>
      </c>
      <c r="N913" s="5" t="str">
        <f ca="1">VLOOKUP(Data!M913,temp!$B$3:$C$9,2,1)</f>
        <v>50-60</v>
      </c>
      <c r="O913">
        <v>365243</v>
      </c>
      <c r="P913" s="8">
        <f t="shared" si="63"/>
        <v>0</v>
      </c>
      <c r="Q913" s="5" t="str">
        <f t="shared" si="65"/>
        <v>Unemployed</v>
      </c>
      <c r="R913">
        <v>1</v>
      </c>
      <c r="S913">
        <v>0</v>
      </c>
      <c r="T913">
        <v>1</v>
      </c>
      <c r="U913">
        <v>0</v>
      </c>
      <c r="W913">
        <v>2</v>
      </c>
    </row>
    <row r="914" spans="1:23" x14ac:dyDescent="0.2">
      <c r="A914">
        <v>5035588</v>
      </c>
      <c r="B914" t="s">
        <v>18</v>
      </c>
      <c r="C914" t="s">
        <v>19</v>
      </c>
      <c r="D914" t="s">
        <v>20</v>
      </c>
      <c r="E914">
        <v>0</v>
      </c>
      <c r="F914">
        <v>72000</v>
      </c>
      <c r="G914" t="s">
        <v>35</v>
      </c>
      <c r="H914" t="s">
        <v>27</v>
      </c>
      <c r="I914" t="s">
        <v>28</v>
      </c>
      <c r="J914" t="s">
        <v>24</v>
      </c>
      <c r="K914" s="6">
        <f t="shared" ca="1" si="64"/>
        <v>28973</v>
      </c>
      <c r="L914">
        <v>-16788</v>
      </c>
      <c r="M914" s="7">
        <f t="shared" ca="1" si="62"/>
        <v>45.963039014373713</v>
      </c>
      <c r="N914" s="5" t="str">
        <f ca="1">VLOOKUP(Data!M914,temp!$B$3:$C$9,2,1)</f>
        <v>40-50</v>
      </c>
      <c r="O914">
        <v>-5759</v>
      </c>
      <c r="P914" s="8">
        <f t="shared" si="63"/>
        <v>15.767282683093772</v>
      </c>
      <c r="Q914" s="5" t="str">
        <f t="shared" si="65"/>
        <v>Employed</v>
      </c>
      <c r="R914">
        <v>1</v>
      </c>
      <c r="S914">
        <v>0</v>
      </c>
      <c r="T914">
        <v>0</v>
      </c>
      <c r="U914">
        <v>0</v>
      </c>
      <c r="W914">
        <v>2</v>
      </c>
    </row>
    <row r="915" spans="1:23" x14ac:dyDescent="0.2">
      <c r="A915">
        <v>5035619</v>
      </c>
      <c r="B915" t="s">
        <v>25</v>
      </c>
      <c r="C915" t="s">
        <v>19</v>
      </c>
      <c r="D915" t="s">
        <v>20</v>
      </c>
      <c r="E915">
        <v>0</v>
      </c>
      <c r="F915">
        <v>94500</v>
      </c>
      <c r="G915" t="s">
        <v>21</v>
      </c>
      <c r="H915" t="s">
        <v>27</v>
      </c>
      <c r="I915" t="s">
        <v>28</v>
      </c>
      <c r="J915" t="s">
        <v>24</v>
      </c>
      <c r="K915" s="6">
        <f t="shared" ca="1" si="64"/>
        <v>22114</v>
      </c>
      <c r="L915">
        <v>-23647</v>
      </c>
      <c r="M915" s="7">
        <f t="shared" ca="1" si="62"/>
        <v>64.741957563312795</v>
      </c>
      <c r="N915" s="5" t="str">
        <f ca="1">VLOOKUP(Data!M915,temp!$B$3:$C$9,2,1)</f>
        <v>60-70</v>
      </c>
      <c r="O915">
        <v>365243</v>
      </c>
      <c r="P915" s="8">
        <f t="shared" si="63"/>
        <v>0</v>
      </c>
      <c r="Q915" s="5" t="str">
        <f t="shared" si="65"/>
        <v>Unemployed</v>
      </c>
      <c r="R915">
        <v>1</v>
      </c>
      <c r="S915">
        <v>0</v>
      </c>
      <c r="T915">
        <v>1</v>
      </c>
      <c r="U915">
        <v>0</v>
      </c>
      <c r="W915">
        <v>2</v>
      </c>
    </row>
    <row r="916" spans="1:23" x14ac:dyDescent="0.2">
      <c r="A916">
        <v>5035656</v>
      </c>
      <c r="B916" t="s">
        <v>18</v>
      </c>
      <c r="C916" t="s">
        <v>20</v>
      </c>
      <c r="D916" t="s">
        <v>20</v>
      </c>
      <c r="E916">
        <v>0</v>
      </c>
      <c r="F916">
        <v>67500</v>
      </c>
      <c r="G916" t="s">
        <v>31</v>
      </c>
      <c r="H916" t="s">
        <v>27</v>
      </c>
      <c r="I916" t="s">
        <v>37</v>
      </c>
      <c r="J916" t="s">
        <v>24</v>
      </c>
      <c r="K916" s="6">
        <f t="shared" ca="1" si="64"/>
        <v>29314</v>
      </c>
      <c r="L916">
        <v>-16447</v>
      </c>
      <c r="M916" s="7">
        <f t="shared" ca="1" si="62"/>
        <v>45.029431895961672</v>
      </c>
      <c r="N916" s="5" t="str">
        <f ca="1">VLOOKUP(Data!M916,temp!$B$3:$C$9,2,1)</f>
        <v>40-50</v>
      </c>
      <c r="O916">
        <v>-1468</v>
      </c>
      <c r="P916" s="8">
        <f t="shared" si="63"/>
        <v>4.0191649555099245</v>
      </c>
      <c r="Q916" s="5" t="str">
        <f t="shared" si="65"/>
        <v>Employed</v>
      </c>
      <c r="R916">
        <v>1</v>
      </c>
      <c r="S916">
        <v>1</v>
      </c>
      <c r="T916">
        <v>0</v>
      </c>
      <c r="U916">
        <v>0</v>
      </c>
      <c r="V916" t="s">
        <v>46</v>
      </c>
      <c r="W916">
        <v>2</v>
      </c>
    </row>
    <row r="917" spans="1:23" x14ac:dyDescent="0.2">
      <c r="A917">
        <v>5035791</v>
      </c>
      <c r="B917" t="s">
        <v>18</v>
      </c>
      <c r="C917" t="s">
        <v>20</v>
      </c>
      <c r="D917" t="s">
        <v>20</v>
      </c>
      <c r="E917">
        <v>0</v>
      </c>
      <c r="F917">
        <v>90000</v>
      </c>
      <c r="G917" t="s">
        <v>21</v>
      </c>
      <c r="H917" t="s">
        <v>27</v>
      </c>
      <c r="I917" t="s">
        <v>42</v>
      </c>
      <c r="J917" t="s">
        <v>24</v>
      </c>
      <c r="K917" s="6">
        <f t="shared" ca="1" si="64"/>
        <v>23788</v>
      </c>
      <c r="L917">
        <v>-21973</v>
      </c>
      <c r="M917" s="7">
        <f t="shared" ca="1" si="62"/>
        <v>60.158795345653665</v>
      </c>
      <c r="N917" s="5" t="str">
        <f ca="1">VLOOKUP(Data!M917,temp!$B$3:$C$9,2,1)</f>
        <v>60-70</v>
      </c>
      <c r="O917">
        <v>365243</v>
      </c>
      <c r="P917" s="8">
        <f t="shared" si="63"/>
        <v>0</v>
      </c>
      <c r="Q917" s="5" t="str">
        <f t="shared" si="65"/>
        <v>Unemployed</v>
      </c>
      <c r="R917">
        <v>1</v>
      </c>
      <c r="S917">
        <v>0</v>
      </c>
      <c r="T917">
        <v>0</v>
      </c>
      <c r="U917">
        <v>0</v>
      </c>
      <c r="W917">
        <v>1</v>
      </c>
    </row>
    <row r="918" spans="1:23" x14ac:dyDescent="0.2">
      <c r="A918">
        <v>5035792</v>
      </c>
      <c r="B918" t="s">
        <v>18</v>
      </c>
      <c r="C918" t="s">
        <v>20</v>
      </c>
      <c r="D918" t="s">
        <v>20</v>
      </c>
      <c r="E918">
        <v>0</v>
      </c>
      <c r="F918">
        <v>90000</v>
      </c>
      <c r="G918" t="s">
        <v>21</v>
      </c>
      <c r="H918" t="s">
        <v>27</v>
      </c>
      <c r="I918" t="s">
        <v>42</v>
      </c>
      <c r="J918" t="s">
        <v>24</v>
      </c>
      <c r="K918" s="6">
        <f t="shared" ca="1" si="64"/>
        <v>23788</v>
      </c>
      <c r="L918">
        <v>-21973</v>
      </c>
      <c r="M918" s="7">
        <f t="shared" ca="1" si="62"/>
        <v>60.158795345653665</v>
      </c>
      <c r="N918" s="5" t="str">
        <f ca="1">VLOOKUP(Data!M918,temp!$B$3:$C$9,2,1)</f>
        <v>60-70</v>
      </c>
      <c r="O918">
        <v>365243</v>
      </c>
      <c r="P918" s="8">
        <f t="shared" si="63"/>
        <v>0</v>
      </c>
      <c r="Q918" s="5" t="str">
        <f t="shared" si="65"/>
        <v>Unemployed</v>
      </c>
      <c r="R918">
        <v>1</v>
      </c>
      <c r="S918">
        <v>0</v>
      </c>
      <c r="T918">
        <v>0</v>
      </c>
      <c r="U918">
        <v>0</v>
      </c>
      <c r="W918">
        <v>1</v>
      </c>
    </row>
    <row r="919" spans="1:23" x14ac:dyDescent="0.2">
      <c r="A919">
        <v>5035822</v>
      </c>
      <c r="B919" t="s">
        <v>25</v>
      </c>
      <c r="C919" t="s">
        <v>20</v>
      </c>
      <c r="D919" t="s">
        <v>20</v>
      </c>
      <c r="E919">
        <v>0</v>
      </c>
      <c r="F919">
        <v>180000</v>
      </c>
      <c r="G919" t="s">
        <v>26</v>
      </c>
      <c r="H919" t="s">
        <v>27</v>
      </c>
      <c r="I919" t="s">
        <v>33</v>
      </c>
      <c r="J919" t="s">
        <v>24</v>
      </c>
      <c r="K919" s="6">
        <f t="shared" ca="1" si="64"/>
        <v>25478</v>
      </c>
      <c r="L919">
        <v>-20283</v>
      </c>
      <c r="M919" s="7">
        <f t="shared" ca="1" si="62"/>
        <v>55.531827515400408</v>
      </c>
      <c r="N919" s="5" t="str">
        <f ca="1">VLOOKUP(Data!M919,temp!$B$3:$C$9,2,1)</f>
        <v>50-60</v>
      </c>
      <c r="O919">
        <v>-3447</v>
      </c>
      <c r="P919" s="8">
        <f t="shared" si="63"/>
        <v>9.4373716632443525</v>
      </c>
      <c r="Q919" s="5" t="str">
        <f t="shared" si="65"/>
        <v>Employed</v>
      </c>
      <c r="R919">
        <v>1</v>
      </c>
      <c r="S919">
        <v>0</v>
      </c>
      <c r="T919">
        <v>0</v>
      </c>
      <c r="U919">
        <v>0</v>
      </c>
      <c r="V919" t="s">
        <v>30</v>
      </c>
      <c r="W919">
        <v>1</v>
      </c>
    </row>
    <row r="920" spans="1:23" x14ac:dyDescent="0.2">
      <c r="A920">
        <v>5035823</v>
      </c>
      <c r="B920" t="s">
        <v>25</v>
      </c>
      <c r="C920" t="s">
        <v>20</v>
      </c>
      <c r="D920" t="s">
        <v>20</v>
      </c>
      <c r="E920">
        <v>0</v>
      </c>
      <c r="F920">
        <v>180000</v>
      </c>
      <c r="G920" t="s">
        <v>26</v>
      </c>
      <c r="H920" t="s">
        <v>27</v>
      </c>
      <c r="I920" t="s">
        <v>33</v>
      </c>
      <c r="J920" t="s">
        <v>24</v>
      </c>
      <c r="K920" s="6">
        <f t="shared" ca="1" si="64"/>
        <v>25478</v>
      </c>
      <c r="L920">
        <v>-20283</v>
      </c>
      <c r="M920" s="7">
        <f t="shared" ca="1" si="62"/>
        <v>55.531827515400408</v>
      </c>
      <c r="N920" s="5" t="str">
        <f ca="1">VLOOKUP(Data!M920,temp!$B$3:$C$9,2,1)</f>
        <v>50-60</v>
      </c>
      <c r="O920">
        <v>-3447</v>
      </c>
      <c r="P920" s="8">
        <f t="shared" si="63"/>
        <v>9.4373716632443525</v>
      </c>
      <c r="Q920" s="5" t="str">
        <f t="shared" si="65"/>
        <v>Employed</v>
      </c>
      <c r="R920">
        <v>1</v>
      </c>
      <c r="S920">
        <v>0</v>
      </c>
      <c r="T920">
        <v>0</v>
      </c>
      <c r="U920">
        <v>0</v>
      </c>
      <c r="V920" t="s">
        <v>30</v>
      </c>
      <c r="W920">
        <v>1</v>
      </c>
    </row>
    <row r="921" spans="1:23" x14ac:dyDescent="0.2">
      <c r="A921">
        <v>5035824</v>
      </c>
      <c r="B921" t="s">
        <v>25</v>
      </c>
      <c r="C921" t="s">
        <v>20</v>
      </c>
      <c r="D921" t="s">
        <v>20</v>
      </c>
      <c r="E921">
        <v>0</v>
      </c>
      <c r="F921">
        <v>180000</v>
      </c>
      <c r="G921" t="s">
        <v>26</v>
      </c>
      <c r="H921" t="s">
        <v>27</v>
      </c>
      <c r="I921" t="s">
        <v>33</v>
      </c>
      <c r="J921" t="s">
        <v>24</v>
      </c>
      <c r="K921" s="6">
        <f t="shared" ca="1" si="64"/>
        <v>25478</v>
      </c>
      <c r="L921">
        <v>-20283</v>
      </c>
      <c r="M921" s="7">
        <f t="shared" ca="1" si="62"/>
        <v>55.531827515400408</v>
      </c>
      <c r="N921" s="5" t="str">
        <f ca="1">VLOOKUP(Data!M921,temp!$B$3:$C$9,2,1)</f>
        <v>50-60</v>
      </c>
      <c r="O921">
        <v>-3447</v>
      </c>
      <c r="P921" s="8">
        <f t="shared" si="63"/>
        <v>9.4373716632443525</v>
      </c>
      <c r="Q921" s="5" t="str">
        <f t="shared" si="65"/>
        <v>Employed</v>
      </c>
      <c r="R921">
        <v>1</v>
      </c>
      <c r="S921">
        <v>0</v>
      </c>
      <c r="T921">
        <v>0</v>
      </c>
      <c r="U921">
        <v>0</v>
      </c>
      <c r="V921" t="s">
        <v>30</v>
      </c>
      <c r="W921">
        <v>1</v>
      </c>
    </row>
    <row r="922" spans="1:23" x14ac:dyDescent="0.2">
      <c r="A922">
        <v>5035885</v>
      </c>
      <c r="B922" t="s">
        <v>18</v>
      </c>
      <c r="C922" t="s">
        <v>19</v>
      </c>
      <c r="D922" t="s">
        <v>20</v>
      </c>
      <c r="E922">
        <v>1</v>
      </c>
      <c r="F922">
        <v>225000</v>
      </c>
      <c r="G922" t="s">
        <v>31</v>
      </c>
      <c r="H922" t="s">
        <v>22</v>
      </c>
      <c r="I922" t="s">
        <v>28</v>
      </c>
      <c r="J922" t="s">
        <v>24</v>
      </c>
      <c r="K922" s="6">
        <f t="shared" ca="1" si="64"/>
        <v>26188</v>
      </c>
      <c r="L922">
        <v>-19573</v>
      </c>
      <c r="M922" s="7">
        <f t="shared" ca="1" si="62"/>
        <v>53.587953456536617</v>
      </c>
      <c r="N922" s="5" t="str">
        <f ca="1">VLOOKUP(Data!M922,temp!$B$3:$C$9,2,1)</f>
        <v>50-60</v>
      </c>
      <c r="O922">
        <v>-7404</v>
      </c>
      <c r="P922" s="8">
        <f t="shared" si="63"/>
        <v>20.271047227926079</v>
      </c>
      <c r="Q922" s="5" t="str">
        <f t="shared" si="65"/>
        <v>Employed</v>
      </c>
      <c r="R922">
        <v>1</v>
      </c>
      <c r="S922">
        <v>0</v>
      </c>
      <c r="T922">
        <v>1</v>
      </c>
      <c r="U922">
        <v>0</v>
      </c>
      <c r="W922">
        <v>3</v>
      </c>
    </row>
    <row r="923" spans="1:23" x14ac:dyDescent="0.2">
      <c r="A923">
        <v>5035889</v>
      </c>
      <c r="B923" t="s">
        <v>18</v>
      </c>
      <c r="C923" t="s">
        <v>19</v>
      </c>
      <c r="D923" t="s">
        <v>20</v>
      </c>
      <c r="E923">
        <v>0</v>
      </c>
      <c r="F923">
        <v>112500</v>
      </c>
      <c r="G923" t="s">
        <v>21</v>
      </c>
      <c r="H923" t="s">
        <v>27</v>
      </c>
      <c r="I923" t="s">
        <v>28</v>
      </c>
      <c r="J923" t="s">
        <v>24</v>
      </c>
      <c r="K923" s="6">
        <f t="shared" ca="1" si="64"/>
        <v>21110</v>
      </c>
      <c r="L923">
        <v>-24651</v>
      </c>
      <c r="M923" s="7">
        <f t="shared" ca="1" si="62"/>
        <v>67.490759753593423</v>
      </c>
      <c r="N923" s="5" t="str">
        <f ca="1">VLOOKUP(Data!M923,temp!$B$3:$C$9,2,1)</f>
        <v>60-70</v>
      </c>
      <c r="O923">
        <v>365243</v>
      </c>
      <c r="P923" s="8">
        <f t="shared" si="63"/>
        <v>0</v>
      </c>
      <c r="Q923" s="5" t="str">
        <f t="shared" si="65"/>
        <v>Unemployed</v>
      </c>
      <c r="R923">
        <v>1</v>
      </c>
      <c r="S923">
        <v>0</v>
      </c>
      <c r="T923">
        <v>0</v>
      </c>
      <c r="U923">
        <v>0</v>
      </c>
      <c r="W923">
        <v>2</v>
      </c>
    </row>
    <row r="924" spans="1:23" x14ac:dyDescent="0.2">
      <c r="A924">
        <v>5035924</v>
      </c>
      <c r="B924" t="s">
        <v>18</v>
      </c>
      <c r="C924" t="s">
        <v>20</v>
      </c>
      <c r="D924" t="s">
        <v>20</v>
      </c>
      <c r="E924">
        <v>1</v>
      </c>
      <c r="F924">
        <v>180000</v>
      </c>
      <c r="G924" t="s">
        <v>26</v>
      </c>
      <c r="H924" t="s">
        <v>36</v>
      </c>
      <c r="I924" t="s">
        <v>37</v>
      </c>
      <c r="J924" t="s">
        <v>24</v>
      </c>
      <c r="K924" s="6">
        <f t="shared" ca="1" si="64"/>
        <v>30316</v>
      </c>
      <c r="L924">
        <v>-15445</v>
      </c>
      <c r="M924" s="7">
        <f t="shared" ca="1" si="62"/>
        <v>42.286105407255306</v>
      </c>
      <c r="N924" s="5" t="str">
        <f ca="1">VLOOKUP(Data!M924,temp!$B$3:$C$9,2,1)</f>
        <v>40-50</v>
      </c>
      <c r="O924">
        <v>-706</v>
      </c>
      <c r="P924" s="8">
        <f t="shared" si="63"/>
        <v>1.9329226557152634</v>
      </c>
      <c r="Q924" s="5" t="str">
        <f t="shared" si="65"/>
        <v>Employed</v>
      </c>
      <c r="R924">
        <v>1</v>
      </c>
      <c r="S924">
        <v>0</v>
      </c>
      <c r="T924">
        <v>0</v>
      </c>
      <c r="U924">
        <v>0</v>
      </c>
      <c r="V924" t="s">
        <v>29</v>
      </c>
      <c r="W924">
        <v>3</v>
      </c>
    </row>
    <row r="925" spans="1:23" x14ac:dyDescent="0.2">
      <c r="A925">
        <v>5035940</v>
      </c>
      <c r="B925" t="s">
        <v>18</v>
      </c>
      <c r="C925" t="s">
        <v>20</v>
      </c>
      <c r="D925" t="s">
        <v>20</v>
      </c>
      <c r="E925">
        <v>0</v>
      </c>
      <c r="F925">
        <v>270000</v>
      </c>
      <c r="G925" t="s">
        <v>31</v>
      </c>
      <c r="H925" t="s">
        <v>22</v>
      </c>
      <c r="I925" t="s">
        <v>33</v>
      </c>
      <c r="J925" t="s">
        <v>24</v>
      </c>
      <c r="K925" s="6">
        <f t="shared" ca="1" si="64"/>
        <v>35082</v>
      </c>
      <c r="L925">
        <v>-10679</v>
      </c>
      <c r="M925" s="7">
        <f t="shared" ca="1" si="62"/>
        <v>29.237508555783709</v>
      </c>
      <c r="N925" s="5" t="str">
        <f ca="1">VLOOKUP(Data!M925,temp!$B$3:$C$9,2,1)</f>
        <v>20-30</v>
      </c>
      <c r="O925">
        <v>-1195</v>
      </c>
      <c r="P925" s="8">
        <f t="shared" si="63"/>
        <v>3.2717316906228611</v>
      </c>
      <c r="Q925" s="5" t="str">
        <f t="shared" si="65"/>
        <v>Employed</v>
      </c>
      <c r="R925">
        <v>1</v>
      </c>
      <c r="S925">
        <v>0</v>
      </c>
      <c r="T925">
        <v>0</v>
      </c>
      <c r="U925">
        <v>0</v>
      </c>
      <c r="W925">
        <v>1</v>
      </c>
    </row>
    <row r="926" spans="1:23" x14ac:dyDescent="0.2">
      <c r="A926">
        <v>5035943</v>
      </c>
      <c r="B926" t="s">
        <v>18</v>
      </c>
      <c r="C926" t="s">
        <v>20</v>
      </c>
      <c r="D926" t="s">
        <v>20</v>
      </c>
      <c r="E926">
        <v>0</v>
      </c>
      <c r="F926">
        <v>270000</v>
      </c>
      <c r="G926" t="s">
        <v>31</v>
      </c>
      <c r="H926" t="s">
        <v>22</v>
      </c>
      <c r="I926" t="s">
        <v>33</v>
      </c>
      <c r="J926" t="s">
        <v>24</v>
      </c>
      <c r="K926" s="6">
        <f t="shared" ca="1" si="64"/>
        <v>35082</v>
      </c>
      <c r="L926">
        <v>-10679</v>
      </c>
      <c r="M926" s="7">
        <f t="shared" ca="1" si="62"/>
        <v>29.237508555783709</v>
      </c>
      <c r="N926" s="5" t="str">
        <f ca="1">VLOOKUP(Data!M926,temp!$B$3:$C$9,2,1)</f>
        <v>20-30</v>
      </c>
      <c r="O926">
        <v>-1195</v>
      </c>
      <c r="P926" s="8">
        <f t="shared" si="63"/>
        <v>3.2717316906228611</v>
      </c>
      <c r="Q926" s="5" t="str">
        <f t="shared" si="65"/>
        <v>Employed</v>
      </c>
      <c r="R926">
        <v>1</v>
      </c>
      <c r="S926">
        <v>0</v>
      </c>
      <c r="T926">
        <v>0</v>
      </c>
      <c r="U926">
        <v>0</v>
      </c>
      <c r="W926">
        <v>1</v>
      </c>
    </row>
    <row r="927" spans="1:23" x14ac:dyDescent="0.2">
      <c r="A927">
        <v>5035960</v>
      </c>
      <c r="B927" t="s">
        <v>18</v>
      </c>
      <c r="C927" t="s">
        <v>19</v>
      </c>
      <c r="D927" t="s">
        <v>20</v>
      </c>
      <c r="E927">
        <v>2</v>
      </c>
      <c r="F927">
        <v>135000</v>
      </c>
      <c r="G927" t="s">
        <v>26</v>
      </c>
      <c r="H927" t="s">
        <v>27</v>
      </c>
      <c r="I927" t="s">
        <v>28</v>
      </c>
      <c r="J927" t="s">
        <v>24</v>
      </c>
      <c r="K927" s="6">
        <f t="shared" ca="1" si="64"/>
        <v>30276</v>
      </c>
      <c r="L927">
        <v>-15485</v>
      </c>
      <c r="M927" s="7">
        <f t="shared" ca="1" si="62"/>
        <v>42.395619438740589</v>
      </c>
      <c r="N927" s="5" t="str">
        <f ca="1">VLOOKUP(Data!M927,temp!$B$3:$C$9,2,1)</f>
        <v>40-50</v>
      </c>
      <c r="O927">
        <v>-614</v>
      </c>
      <c r="P927" s="8">
        <f t="shared" si="63"/>
        <v>1.6810403832991101</v>
      </c>
      <c r="Q927" s="5" t="str">
        <f t="shared" si="65"/>
        <v>Employed</v>
      </c>
      <c r="R927">
        <v>1</v>
      </c>
      <c r="S927">
        <v>0</v>
      </c>
      <c r="T927">
        <v>0</v>
      </c>
      <c r="U927">
        <v>0</v>
      </c>
      <c r="W927">
        <v>4</v>
      </c>
    </row>
    <row r="928" spans="1:23" x14ac:dyDescent="0.2">
      <c r="A928">
        <v>5035980</v>
      </c>
      <c r="B928" t="s">
        <v>18</v>
      </c>
      <c r="C928" t="s">
        <v>19</v>
      </c>
      <c r="D928" t="s">
        <v>20</v>
      </c>
      <c r="E928">
        <v>0</v>
      </c>
      <c r="F928">
        <v>112500</v>
      </c>
      <c r="G928" t="s">
        <v>21</v>
      </c>
      <c r="H928" t="s">
        <v>27</v>
      </c>
      <c r="I928" t="s">
        <v>23</v>
      </c>
      <c r="J928" t="s">
        <v>24</v>
      </c>
      <c r="K928" s="6">
        <f t="shared" ca="1" si="64"/>
        <v>24363</v>
      </c>
      <c r="L928">
        <v>-21398</v>
      </c>
      <c r="M928" s="7">
        <f t="shared" ca="1" si="62"/>
        <v>58.5845311430527</v>
      </c>
      <c r="N928" s="5" t="str">
        <f ca="1">VLOOKUP(Data!M928,temp!$B$3:$C$9,2,1)</f>
        <v>50-60</v>
      </c>
      <c r="O928">
        <v>365243</v>
      </c>
      <c r="P928" s="8">
        <f t="shared" si="63"/>
        <v>0</v>
      </c>
      <c r="Q928" s="5" t="str">
        <f t="shared" si="65"/>
        <v>Unemployed</v>
      </c>
      <c r="R928">
        <v>1</v>
      </c>
      <c r="S928">
        <v>0</v>
      </c>
      <c r="T928">
        <v>0</v>
      </c>
      <c r="U928">
        <v>0</v>
      </c>
      <c r="W928">
        <v>1</v>
      </c>
    </row>
    <row r="929" spans="1:23" x14ac:dyDescent="0.2">
      <c r="A929">
        <v>5035990</v>
      </c>
      <c r="B929" t="s">
        <v>25</v>
      </c>
      <c r="C929" t="s">
        <v>20</v>
      </c>
      <c r="D929" t="s">
        <v>20</v>
      </c>
      <c r="E929">
        <v>2</v>
      </c>
      <c r="F929">
        <v>148500</v>
      </c>
      <c r="G929" t="s">
        <v>31</v>
      </c>
      <c r="H929" t="s">
        <v>22</v>
      </c>
      <c r="I929" t="s">
        <v>28</v>
      </c>
      <c r="J929" t="s">
        <v>24</v>
      </c>
      <c r="K929" s="6">
        <f t="shared" ca="1" si="64"/>
        <v>29345</v>
      </c>
      <c r="L929">
        <v>-16416</v>
      </c>
      <c r="M929" s="7">
        <f t="shared" ca="1" si="62"/>
        <v>44.944558521560573</v>
      </c>
      <c r="N929" s="5" t="str">
        <f ca="1">VLOOKUP(Data!M929,temp!$B$3:$C$9,2,1)</f>
        <v>40-50</v>
      </c>
      <c r="O929">
        <v>-1498</v>
      </c>
      <c r="P929" s="8">
        <f t="shared" si="63"/>
        <v>4.1013004791238874</v>
      </c>
      <c r="Q929" s="5" t="str">
        <f t="shared" si="65"/>
        <v>Employed</v>
      </c>
      <c r="R929">
        <v>1</v>
      </c>
      <c r="S929">
        <v>1</v>
      </c>
      <c r="T929">
        <v>1</v>
      </c>
      <c r="U929">
        <v>0</v>
      </c>
      <c r="V929" t="s">
        <v>30</v>
      </c>
      <c r="W929">
        <v>4</v>
      </c>
    </row>
    <row r="930" spans="1:23" x14ac:dyDescent="0.2">
      <c r="A930">
        <v>5036002</v>
      </c>
      <c r="B930" t="s">
        <v>25</v>
      </c>
      <c r="C930" t="s">
        <v>20</v>
      </c>
      <c r="D930" t="s">
        <v>20</v>
      </c>
      <c r="E930">
        <v>1</v>
      </c>
      <c r="F930">
        <v>135000</v>
      </c>
      <c r="G930" t="s">
        <v>26</v>
      </c>
      <c r="H930" t="s">
        <v>27</v>
      </c>
      <c r="I930" t="s">
        <v>28</v>
      </c>
      <c r="J930" t="s">
        <v>24</v>
      </c>
      <c r="K930" s="6">
        <f t="shared" ca="1" si="64"/>
        <v>35054</v>
      </c>
      <c r="L930">
        <v>-10707</v>
      </c>
      <c r="M930" s="7">
        <f t="shared" ca="1" si="62"/>
        <v>29.31416837782341</v>
      </c>
      <c r="N930" s="5" t="str">
        <f ca="1">VLOOKUP(Data!M930,temp!$B$3:$C$9,2,1)</f>
        <v>20-30</v>
      </c>
      <c r="O930">
        <v>-2564</v>
      </c>
      <c r="P930" s="8">
        <f t="shared" si="63"/>
        <v>7.0198494182067082</v>
      </c>
      <c r="Q930" s="5" t="str">
        <f t="shared" si="65"/>
        <v>Employed</v>
      </c>
      <c r="R930">
        <v>1</v>
      </c>
      <c r="S930">
        <v>0</v>
      </c>
      <c r="T930">
        <v>1</v>
      </c>
      <c r="U930">
        <v>0</v>
      </c>
      <c r="V930" t="s">
        <v>29</v>
      </c>
      <c r="W930">
        <v>3</v>
      </c>
    </row>
    <row r="931" spans="1:23" x14ac:dyDescent="0.2">
      <c r="A931">
        <v>5036040</v>
      </c>
      <c r="B931" t="s">
        <v>25</v>
      </c>
      <c r="C931" t="s">
        <v>19</v>
      </c>
      <c r="D931" t="s">
        <v>20</v>
      </c>
      <c r="E931">
        <v>0</v>
      </c>
      <c r="F931">
        <v>256500</v>
      </c>
      <c r="G931" t="s">
        <v>31</v>
      </c>
      <c r="H931" t="s">
        <v>27</v>
      </c>
      <c r="I931" t="s">
        <v>28</v>
      </c>
      <c r="J931" t="s">
        <v>24</v>
      </c>
      <c r="K931" s="6">
        <f t="shared" ca="1" si="64"/>
        <v>25355</v>
      </c>
      <c r="L931">
        <v>-20406</v>
      </c>
      <c r="M931" s="7">
        <f t="shared" ca="1" si="62"/>
        <v>55.868583162217661</v>
      </c>
      <c r="N931" s="5" t="str">
        <f ca="1">VLOOKUP(Data!M931,temp!$B$3:$C$9,2,1)</f>
        <v>50-60</v>
      </c>
      <c r="O931">
        <v>-2806</v>
      </c>
      <c r="P931" s="8">
        <f t="shared" si="63"/>
        <v>7.6824093086926766</v>
      </c>
      <c r="Q931" s="5" t="str">
        <f t="shared" si="65"/>
        <v>Employed</v>
      </c>
      <c r="R931">
        <v>1</v>
      </c>
      <c r="S931">
        <v>0</v>
      </c>
      <c r="T931">
        <v>1</v>
      </c>
      <c r="U931">
        <v>0</v>
      </c>
      <c r="V931" t="s">
        <v>29</v>
      </c>
      <c r="W931">
        <v>2</v>
      </c>
    </row>
    <row r="932" spans="1:23" x14ac:dyDescent="0.2">
      <c r="A932">
        <v>5036084</v>
      </c>
      <c r="B932" t="s">
        <v>18</v>
      </c>
      <c r="C932" t="s">
        <v>19</v>
      </c>
      <c r="D932" t="s">
        <v>20</v>
      </c>
      <c r="E932">
        <v>1</v>
      </c>
      <c r="F932">
        <v>85500</v>
      </c>
      <c r="G932" t="s">
        <v>31</v>
      </c>
      <c r="H932" t="s">
        <v>27</v>
      </c>
      <c r="I932" t="s">
        <v>28</v>
      </c>
      <c r="J932" t="s">
        <v>24</v>
      </c>
      <c r="K932" s="6">
        <f t="shared" ca="1" si="64"/>
        <v>29236</v>
      </c>
      <c r="L932">
        <v>-16525</v>
      </c>
      <c r="M932" s="7">
        <f t="shared" ca="1" si="62"/>
        <v>45.242984257357975</v>
      </c>
      <c r="N932" s="5" t="str">
        <f ca="1">VLOOKUP(Data!M932,temp!$B$3:$C$9,2,1)</f>
        <v>40-50</v>
      </c>
      <c r="O932">
        <v>-859</v>
      </c>
      <c r="P932" s="8">
        <f t="shared" si="63"/>
        <v>2.3518138261464752</v>
      </c>
      <c r="Q932" s="5" t="str">
        <f t="shared" si="65"/>
        <v>Employed</v>
      </c>
      <c r="R932">
        <v>1</v>
      </c>
      <c r="S932">
        <v>1</v>
      </c>
      <c r="T932">
        <v>0</v>
      </c>
      <c r="U932">
        <v>0</v>
      </c>
      <c r="V932" t="s">
        <v>54</v>
      </c>
      <c r="W932">
        <v>3</v>
      </c>
    </row>
    <row r="933" spans="1:23" x14ac:dyDescent="0.2">
      <c r="A933">
        <v>5036093</v>
      </c>
      <c r="B933" t="s">
        <v>18</v>
      </c>
      <c r="C933" t="s">
        <v>19</v>
      </c>
      <c r="D933" t="s">
        <v>20</v>
      </c>
      <c r="E933">
        <v>0</v>
      </c>
      <c r="F933">
        <v>135000</v>
      </c>
      <c r="G933" t="s">
        <v>31</v>
      </c>
      <c r="H933" t="s">
        <v>27</v>
      </c>
      <c r="I933" t="s">
        <v>28</v>
      </c>
      <c r="J933" t="s">
        <v>24</v>
      </c>
      <c r="K933" s="6">
        <f t="shared" ca="1" si="64"/>
        <v>24067</v>
      </c>
      <c r="L933">
        <v>-21694</v>
      </c>
      <c r="M933" s="7">
        <f t="shared" ca="1" si="62"/>
        <v>59.394934976043807</v>
      </c>
      <c r="N933" s="5" t="str">
        <f ca="1">VLOOKUP(Data!M933,temp!$B$3:$C$9,2,1)</f>
        <v>50-60</v>
      </c>
      <c r="O933">
        <v>-3202</v>
      </c>
      <c r="P933" s="8">
        <f t="shared" si="63"/>
        <v>8.7665982203969879</v>
      </c>
      <c r="Q933" s="5" t="str">
        <f t="shared" si="65"/>
        <v>Employed</v>
      </c>
      <c r="R933">
        <v>1</v>
      </c>
      <c r="S933">
        <v>1</v>
      </c>
      <c r="T933">
        <v>0</v>
      </c>
      <c r="U933">
        <v>0</v>
      </c>
      <c r="V933" t="s">
        <v>40</v>
      </c>
      <c r="W933">
        <v>2</v>
      </c>
    </row>
    <row r="934" spans="1:23" x14ac:dyDescent="0.2">
      <c r="A934">
        <v>5036110</v>
      </c>
      <c r="B934" t="s">
        <v>18</v>
      </c>
      <c r="C934" t="s">
        <v>20</v>
      </c>
      <c r="D934" t="s">
        <v>20</v>
      </c>
      <c r="E934">
        <v>2</v>
      </c>
      <c r="F934">
        <v>112500</v>
      </c>
      <c r="G934" t="s">
        <v>31</v>
      </c>
      <c r="H934" t="s">
        <v>27</v>
      </c>
      <c r="I934" t="s">
        <v>28</v>
      </c>
      <c r="J934" t="s">
        <v>24</v>
      </c>
      <c r="K934" s="6">
        <f t="shared" ca="1" si="64"/>
        <v>33222</v>
      </c>
      <c r="L934">
        <v>-12539</v>
      </c>
      <c r="M934" s="7">
        <f t="shared" ca="1" si="62"/>
        <v>34.329911019849419</v>
      </c>
      <c r="N934" s="5" t="str">
        <f ca="1">VLOOKUP(Data!M934,temp!$B$3:$C$9,2,1)</f>
        <v>30-40</v>
      </c>
      <c r="O934">
        <v>-2747</v>
      </c>
      <c r="P934" s="8">
        <f t="shared" si="63"/>
        <v>7.5208761122518819</v>
      </c>
      <c r="Q934" s="5" t="str">
        <f t="shared" si="65"/>
        <v>Employed</v>
      </c>
      <c r="R934">
        <v>1</v>
      </c>
      <c r="S934">
        <v>1</v>
      </c>
      <c r="T934">
        <v>0</v>
      </c>
      <c r="U934">
        <v>0</v>
      </c>
      <c r="W934">
        <v>4</v>
      </c>
    </row>
    <row r="935" spans="1:23" x14ac:dyDescent="0.2">
      <c r="A935">
        <v>5036134</v>
      </c>
      <c r="B935" t="s">
        <v>25</v>
      </c>
      <c r="C935" t="s">
        <v>20</v>
      </c>
      <c r="D935" t="s">
        <v>20</v>
      </c>
      <c r="E935">
        <v>0</v>
      </c>
      <c r="F935">
        <v>675000</v>
      </c>
      <c r="G935" t="s">
        <v>26</v>
      </c>
      <c r="H935" t="s">
        <v>22</v>
      </c>
      <c r="I935" t="s">
        <v>28</v>
      </c>
      <c r="J935" t="s">
        <v>24</v>
      </c>
      <c r="K935" s="6">
        <f t="shared" ca="1" si="64"/>
        <v>27565</v>
      </c>
      <c r="L935">
        <v>-18196</v>
      </c>
      <c r="M935" s="7">
        <f t="shared" ca="1" si="62"/>
        <v>49.817932922655714</v>
      </c>
      <c r="N935" s="5" t="str">
        <f ca="1">VLOOKUP(Data!M935,temp!$B$3:$C$9,2,1)</f>
        <v>40-50</v>
      </c>
      <c r="O935">
        <v>-2472</v>
      </c>
      <c r="P935" s="8">
        <f t="shared" si="63"/>
        <v>6.7679671457905544</v>
      </c>
      <c r="Q935" s="5" t="str">
        <f t="shared" si="65"/>
        <v>Employed</v>
      </c>
      <c r="R935">
        <v>1</v>
      </c>
      <c r="S935">
        <v>1</v>
      </c>
      <c r="T935">
        <v>0</v>
      </c>
      <c r="U935">
        <v>0</v>
      </c>
      <c r="V935" t="s">
        <v>32</v>
      </c>
      <c r="W935">
        <v>2</v>
      </c>
    </row>
    <row r="936" spans="1:23" x14ac:dyDescent="0.2">
      <c r="A936">
        <v>5036168</v>
      </c>
      <c r="B936" t="s">
        <v>18</v>
      </c>
      <c r="C936" t="s">
        <v>19</v>
      </c>
      <c r="D936" t="s">
        <v>20</v>
      </c>
      <c r="E936">
        <v>0</v>
      </c>
      <c r="F936">
        <v>288000</v>
      </c>
      <c r="G936" t="s">
        <v>31</v>
      </c>
      <c r="H936" t="s">
        <v>27</v>
      </c>
      <c r="I936" t="s">
        <v>28</v>
      </c>
      <c r="J936" t="s">
        <v>24</v>
      </c>
      <c r="K936" s="6">
        <f t="shared" ca="1" si="64"/>
        <v>25898</v>
      </c>
      <c r="L936">
        <v>-19863</v>
      </c>
      <c r="M936" s="7">
        <f t="shared" ca="1" si="62"/>
        <v>54.381930184804929</v>
      </c>
      <c r="N936" s="5" t="str">
        <f ca="1">VLOOKUP(Data!M936,temp!$B$3:$C$9,2,1)</f>
        <v>50-60</v>
      </c>
      <c r="O936">
        <v>-4451</v>
      </c>
      <c r="P936" s="8">
        <f t="shared" si="63"/>
        <v>12.186173853524982</v>
      </c>
      <c r="Q936" s="5" t="str">
        <f t="shared" si="65"/>
        <v>Employed</v>
      </c>
      <c r="R936">
        <v>1</v>
      </c>
      <c r="S936">
        <v>0</v>
      </c>
      <c r="T936">
        <v>0</v>
      </c>
      <c r="U936">
        <v>0</v>
      </c>
      <c r="W936">
        <v>2</v>
      </c>
    </row>
    <row r="937" spans="1:23" x14ac:dyDescent="0.2">
      <c r="A937">
        <v>5036170</v>
      </c>
      <c r="B937" t="s">
        <v>18</v>
      </c>
      <c r="C937" t="s">
        <v>19</v>
      </c>
      <c r="D937" t="s">
        <v>20</v>
      </c>
      <c r="E937">
        <v>0</v>
      </c>
      <c r="F937">
        <v>288000</v>
      </c>
      <c r="G937" t="s">
        <v>31</v>
      </c>
      <c r="H937" t="s">
        <v>27</v>
      </c>
      <c r="I937" t="s">
        <v>28</v>
      </c>
      <c r="J937" t="s">
        <v>24</v>
      </c>
      <c r="K937" s="6">
        <f t="shared" ca="1" si="64"/>
        <v>25898</v>
      </c>
      <c r="L937">
        <v>-19863</v>
      </c>
      <c r="M937" s="7">
        <f t="shared" ca="1" si="62"/>
        <v>54.381930184804929</v>
      </c>
      <c r="N937" s="5" t="str">
        <f ca="1">VLOOKUP(Data!M937,temp!$B$3:$C$9,2,1)</f>
        <v>50-60</v>
      </c>
      <c r="O937">
        <v>-4451</v>
      </c>
      <c r="P937" s="8">
        <f t="shared" si="63"/>
        <v>12.186173853524982</v>
      </c>
      <c r="Q937" s="5" t="str">
        <f t="shared" si="65"/>
        <v>Employed</v>
      </c>
      <c r="R937">
        <v>1</v>
      </c>
      <c r="S937">
        <v>0</v>
      </c>
      <c r="T937">
        <v>0</v>
      </c>
      <c r="U937">
        <v>0</v>
      </c>
      <c r="W937">
        <v>2</v>
      </c>
    </row>
    <row r="938" spans="1:23" x14ac:dyDescent="0.2">
      <c r="A938">
        <v>5036186</v>
      </c>
      <c r="B938" t="s">
        <v>18</v>
      </c>
      <c r="C938" t="s">
        <v>20</v>
      </c>
      <c r="D938" t="s">
        <v>20</v>
      </c>
      <c r="E938">
        <v>1</v>
      </c>
      <c r="F938">
        <v>157500</v>
      </c>
      <c r="G938" t="s">
        <v>21</v>
      </c>
      <c r="H938" t="s">
        <v>27</v>
      </c>
      <c r="I938" t="s">
        <v>28</v>
      </c>
      <c r="J938" t="s">
        <v>24</v>
      </c>
      <c r="K938" s="6">
        <f t="shared" ca="1" si="64"/>
        <v>25100</v>
      </c>
      <c r="L938">
        <v>-20661</v>
      </c>
      <c r="M938" s="7">
        <f t="shared" ca="1" si="62"/>
        <v>56.566735112936342</v>
      </c>
      <c r="N938" s="5" t="str">
        <f ca="1">VLOOKUP(Data!M938,temp!$B$3:$C$9,2,1)</f>
        <v>50-60</v>
      </c>
      <c r="O938">
        <v>365243</v>
      </c>
      <c r="P938" s="8">
        <f t="shared" si="63"/>
        <v>0</v>
      </c>
      <c r="Q938" s="5" t="str">
        <f t="shared" si="65"/>
        <v>Unemployed</v>
      </c>
      <c r="R938">
        <v>1</v>
      </c>
      <c r="S938">
        <v>0</v>
      </c>
      <c r="T938">
        <v>1</v>
      </c>
      <c r="U938">
        <v>0</v>
      </c>
      <c r="W938">
        <v>3</v>
      </c>
    </row>
    <row r="939" spans="1:23" x14ac:dyDescent="0.2">
      <c r="A939">
        <v>5036240</v>
      </c>
      <c r="B939" t="s">
        <v>25</v>
      </c>
      <c r="C939" t="s">
        <v>19</v>
      </c>
      <c r="D939" t="s">
        <v>20</v>
      </c>
      <c r="E939">
        <v>0</v>
      </c>
      <c r="F939">
        <v>148500</v>
      </c>
      <c r="G939" t="s">
        <v>21</v>
      </c>
      <c r="H939" t="s">
        <v>27</v>
      </c>
      <c r="I939" t="s">
        <v>28</v>
      </c>
      <c r="J939" t="s">
        <v>24</v>
      </c>
      <c r="K939" s="6">
        <f t="shared" ca="1" si="64"/>
        <v>25270</v>
      </c>
      <c r="L939">
        <v>-20491</v>
      </c>
      <c r="M939" s="7">
        <f t="shared" ca="1" si="62"/>
        <v>56.101300479123886</v>
      </c>
      <c r="N939" s="5" t="str">
        <f ca="1">VLOOKUP(Data!M939,temp!$B$3:$C$9,2,1)</f>
        <v>50-60</v>
      </c>
      <c r="O939">
        <v>365243</v>
      </c>
      <c r="P939" s="8">
        <f t="shared" si="63"/>
        <v>0</v>
      </c>
      <c r="Q939" s="5" t="str">
        <f t="shared" si="65"/>
        <v>Unemployed</v>
      </c>
      <c r="R939">
        <v>1</v>
      </c>
      <c r="S939">
        <v>0</v>
      </c>
      <c r="T939">
        <v>0</v>
      </c>
      <c r="U939">
        <v>0</v>
      </c>
      <c r="W939">
        <v>2</v>
      </c>
    </row>
    <row r="940" spans="1:23" x14ac:dyDescent="0.2">
      <c r="A940">
        <v>5036241</v>
      </c>
      <c r="B940" t="s">
        <v>25</v>
      </c>
      <c r="C940" t="s">
        <v>19</v>
      </c>
      <c r="D940" t="s">
        <v>20</v>
      </c>
      <c r="E940">
        <v>0</v>
      </c>
      <c r="F940">
        <v>148500</v>
      </c>
      <c r="G940" t="s">
        <v>21</v>
      </c>
      <c r="H940" t="s">
        <v>27</v>
      </c>
      <c r="I940" t="s">
        <v>28</v>
      </c>
      <c r="J940" t="s">
        <v>24</v>
      </c>
      <c r="K940" s="6">
        <f t="shared" ca="1" si="64"/>
        <v>25270</v>
      </c>
      <c r="L940">
        <v>-20491</v>
      </c>
      <c r="M940" s="7">
        <f t="shared" ca="1" si="62"/>
        <v>56.101300479123886</v>
      </c>
      <c r="N940" s="5" t="str">
        <f ca="1">VLOOKUP(Data!M940,temp!$B$3:$C$9,2,1)</f>
        <v>50-60</v>
      </c>
      <c r="O940">
        <v>365243</v>
      </c>
      <c r="P940" s="8">
        <f t="shared" si="63"/>
        <v>0</v>
      </c>
      <c r="Q940" s="5" t="str">
        <f t="shared" si="65"/>
        <v>Unemployed</v>
      </c>
      <c r="R940">
        <v>1</v>
      </c>
      <c r="S940">
        <v>0</v>
      </c>
      <c r="T940">
        <v>0</v>
      </c>
      <c r="U940">
        <v>0</v>
      </c>
      <c r="W940">
        <v>2</v>
      </c>
    </row>
    <row r="941" spans="1:23" x14ac:dyDescent="0.2">
      <c r="A941">
        <v>5036243</v>
      </c>
      <c r="B941" t="s">
        <v>25</v>
      </c>
      <c r="C941" t="s">
        <v>19</v>
      </c>
      <c r="D941" t="s">
        <v>20</v>
      </c>
      <c r="E941">
        <v>0</v>
      </c>
      <c r="F941">
        <v>148500</v>
      </c>
      <c r="G941" t="s">
        <v>21</v>
      </c>
      <c r="H941" t="s">
        <v>27</v>
      </c>
      <c r="I941" t="s">
        <v>28</v>
      </c>
      <c r="J941" t="s">
        <v>24</v>
      </c>
      <c r="K941" s="6">
        <f t="shared" ca="1" si="64"/>
        <v>25270</v>
      </c>
      <c r="L941">
        <v>-20491</v>
      </c>
      <c r="M941" s="7">
        <f t="shared" ca="1" si="62"/>
        <v>56.101300479123886</v>
      </c>
      <c r="N941" s="5" t="str">
        <f ca="1">VLOOKUP(Data!M941,temp!$B$3:$C$9,2,1)</f>
        <v>50-60</v>
      </c>
      <c r="O941">
        <v>365243</v>
      </c>
      <c r="P941" s="8">
        <f t="shared" si="63"/>
        <v>0</v>
      </c>
      <c r="Q941" s="5" t="str">
        <f t="shared" si="65"/>
        <v>Unemployed</v>
      </c>
      <c r="R941">
        <v>1</v>
      </c>
      <c r="S941">
        <v>0</v>
      </c>
      <c r="T941">
        <v>0</v>
      </c>
      <c r="U941">
        <v>0</v>
      </c>
      <c r="W941">
        <v>2</v>
      </c>
    </row>
    <row r="942" spans="1:23" x14ac:dyDescent="0.2">
      <c r="A942">
        <v>5036257</v>
      </c>
      <c r="B942" t="s">
        <v>18</v>
      </c>
      <c r="C942" t="s">
        <v>19</v>
      </c>
      <c r="D942" t="s">
        <v>20</v>
      </c>
      <c r="E942">
        <v>0</v>
      </c>
      <c r="F942">
        <v>121500</v>
      </c>
      <c r="G942" t="s">
        <v>31</v>
      </c>
      <c r="H942" t="s">
        <v>27</v>
      </c>
      <c r="I942" t="s">
        <v>37</v>
      </c>
      <c r="J942" t="s">
        <v>24</v>
      </c>
      <c r="K942" s="6">
        <f t="shared" ca="1" si="64"/>
        <v>32898</v>
      </c>
      <c r="L942">
        <v>-12863</v>
      </c>
      <c r="M942" s="7">
        <f t="shared" ca="1" si="62"/>
        <v>35.21697467488022</v>
      </c>
      <c r="N942" s="5" t="str">
        <f ca="1">VLOOKUP(Data!M942,temp!$B$3:$C$9,2,1)</f>
        <v>30-40</v>
      </c>
      <c r="O942">
        <v>-464</v>
      </c>
      <c r="P942" s="8">
        <f t="shared" si="63"/>
        <v>1.270362765229295</v>
      </c>
      <c r="Q942" s="5" t="str">
        <f t="shared" si="65"/>
        <v>Employed</v>
      </c>
      <c r="R942">
        <v>1</v>
      </c>
      <c r="S942">
        <v>1</v>
      </c>
      <c r="T942">
        <v>1</v>
      </c>
      <c r="U942">
        <v>0</v>
      </c>
      <c r="V942" t="s">
        <v>55</v>
      </c>
      <c r="W942">
        <v>2</v>
      </c>
    </row>
    <row r="943" spans="1:23" x14ac:dyDescent="0.2">
      <c r="A943">
        <v>5036265</v>
      </c>
      <c r="B943" t="s">
        <v>18</v>
      </c>
      <c r="C943" t="s">
        <v>20</v>
      </c>
      <c r="D943" t="s">
        <v>20</v>
      </c>
      <c r="E943">
        <v>0</v>
      </c>
      <c r="F943">
        <v>135000</v>
      </c>
      <c r="G943" t="s">
        <v>21</v>
      </c>
      <c r="H943" t="s">
        <v>27</v>
      </c>
      <c r="I943" t="s">
        <v>28</v>
      </c>
      <c r="J943" t="s">
        <v>24</v>
      </c>
      <c r="K943" s="6">
        <f t="shared" ca="1" si="64"/>
        <v>24727</v>
      </c>
      <c r="L943">
        <v>-21034</v>
      </c>
      <c r="M943" s="7">
        <f t="shared" ca="1" si="62"/>
        <v>57.587953456536617</v>
      </c>
      <c r="N943" s="5" t="str">
        <f ca="1">VLOOKUP(Data!M943,temp!$B$3:$C$9,2,1)</f>
        <v>50-60</v>
      </c>
      <c r="O943">
        <v>365243</v>
      </c>
      <c r="P943" s="8">
        <f t="shared" si="63"/>
        <v>0</v>
      </c>
      <c r="Q943" s="5" t="str">
        <f t="shared" si="65"/>
        <v>Unemployed</v>
      </c>
      <c r="R943">
        <v>1</v>
      </c>
      <c r="S943">
        <v>0</v>
      </c>
      <c r="T943">
        <v>0</v>
      </c>
      <c r="U943">
        <v>0</v>
      </c>
      <c r="W943">
        <v>2</v>
      </c>
    </row>
    <row r="944" spans="1:23" x14ac:dyDescent="0.2">
      <c r="A944">
        <v>5036267</v>
      </c>
      <c r="B944" t="s">
        <v>18</v>
      </c>
      <c r="C944" t="s">
        <v>20</v>
      </c>
      <c r="D944" t="s">
        <v>20</v>
      </c>
      <c r="E944">
        <v>0</v>
      </c>
      <c r="F944">
        <v>135000</v>
      </c>
      <c r="G944" t="s">
        <v>21</v>
      </c>
      <c r="H944" t="s">
        <v>27</v>
      </c>
      <c r="I944" t="s">
        <v>28</v>
      </c>
      <c r="J944" t="s">
        <v>24</v>
      </c>
      <c r="K944" s="6">
        <f t="shared" ca="1" si="64"/>
        <v>24727</v>
      </c>
      <c r="L944">
        <v>-21034</v>
      </c>
      <c r="M944" s="7">
        <f t="shared" ca="1" si="62"/>
        <v>57.587953456536617</v>
      </c>
      <c r="N944" s="5" t="str">
        <f ca="1">VLOOKUP(Data!M944,temp!$B$3:$C$9,2,1)</f>
        <v>50-60</v>
      </c>
      <c r="O944">
        <v>365243</v>
      </c>
      <c r="P944" s="8">
        <f t="shared" si="63"/>
        <v>0</v>
      </c>
      <c r="Q944" s="5" t="str">
        <f t="shared" si="65"/>
        <v>Unemployed</v>
      </c>
      <c r="R944">
        <v>1</v>
      </c>
      <c r="S944">
        <v>0</v>
      </c>
      <c r="T944">
        <v>0</v>
      </c>
      <c r="U944">
        <v>0</v>
      </c>
      <c r="W944">
        <v>2</v>
      </c>
    </row>
    <row r="945" spans="1:23" x14ac:dyDescent="0.2">
      <c r="A945">
        <v>5036274</v>
      </c>
      <c r="B945" t="s">
        <v>18</v>
      </c>
      <c r="C945" t="s">
        <v>19</v>
      </c>
      <c r="D945" t="s">
        <v>20</v>
      </c>
      <c r="E945">
        <v>0</v>
      </c>
      <c r="F945">
        <v>306000</v>
      </c>
      <c r="G945" t="s">
        <v>31</v>
      </c>
      <c r="H945" t="s">
        <v>27</v>
      </c>
      <c r="I945" t="s">
        <v>23</v>
      </c>
      <c r="J945" t="s">
        <v>24</v>
      </c>
      <c r="K945" s="6">
        <f t="shared" ca="1" si="64"/>
        <v>35283</v>
      </c>
      <c r="L945">
        <v>-10478</v>
      </c>
      <c r="M945" s="7">
        <f t="shared" ca="1" si="62"/>
        <v>28.687200547570157</v>
      </c>
      <c r="N945" s="5" t="str">
        <f ca="1">VLOOKUP(Data!M945,temp!$B$3:$C$9,2,1)</f>
        <v>20-30</v>
      </c>
      <c r="O945">
        <v>-464</v>
      </c>
      <c r="P945" s="8">
        <f t="shared" si="63"/>
        <v>1.270362765229295</v>
      </c>
      <c r="Q945" s="5" t="str">
        <f t="shared" si="65"/>
        <v>Employed</v>
      </c>
      <c r="R945">
        <v>1</v>
      </c>
      <c r="S945">
        <v>0</v>
      </c>
      <c r="T945">
        <v>1</v>
      </c>
      <c r="U945">
        <v>0</v>
      </c>
      <c r="V945" t="s">
        <v>49</v>
      </c>
      <c r="W945">
        <v>1</v>
      </c>
    </row>
    <row r="946" spans="1:23" x14ac:dyDescent="0.2">
      <c r="A946">
        <v>5036325</v>
      </c>
      <c r="B946" t="s">
        <v>18</v>
      </c>
      <c r="C946" t="s">
        <v>19</v>
      </c>
      <c r="D946" t="s">
        <v>20</v>
      </c>
      <c r="E946">
        <v>0</v>
      </c>
      <c r="F946">
        <v>112500</v>
      </c>
      <c r="G946" t="s">
        <v>26</v>
      </c>
      <c r="H946" t="s">
        <v>27</v>
      </c>
      <c r="I946" t="s">
        <v>33</v>
      </c>
      <c r="J946" t="s">
        <v>24</v>
      </c>
      <c r="K946" s="6">
        <f t="shared" ca="1" si="64"/>
        <v>27768</v>
      </c>
      <c r="L946">
        <v>-17993</v>
      </c>
      <c r="M946" s="7">
        <f t="shared" ca="1" si="62"/>
        <v>49.262149212867897</v>
      </c>
      <c r="N946" s="5" t="str">
        <f ca="1">VLOOKUP(Data!M946,temp!$B$3:$C$9,2,1)</f>
        <v>40-50</v>
      </c>
      <c r="O946">
        <v>-555</v>
      </c>
      <c r="P946" s="8">
        <f t="shared" si="63"/>
        <v>1.5195071868583163</v>
      </c>
      <c r="Q946" s="5" t="str">
        <f t="shared" si="65"/>
        <v>Employed</v>
      </c>
      <c r="R946">
        <v>1</v>
      </c>
      <c r="S946">
        <v>0</v>
      </c>
      <c r="T946">
        <v>0</v>
      </c>
      <c r="U946">
        <v>0</v>
      </c>
      <c r="V946" t="s">
        <v>40</v>
      </c>
      <c r="W946">
        <v>1</v>
      </c>
    </row>
    <row r="947" spans="1:23" x14ac:dyDescent="0.2">
      <c r="A947">
        <v>5036326</v>
      </c>
      <c r="B947" t="s">
        <v>18</v>
      </c>
      <c r="C947" t="s">
        <v>19</v>
      </c>
      <c r="D947" t="s">
        <v>20</v>
      </c>
      <c r="E947">
        <v>0</v>
      </c>
      <c r="F947">
        <v>112500</v>
      </c>
      <c r="G947" t="s">
        <v>26</v>
      </c>
      <c r="H947" t="s">
        <v>27</v>
      </c>
      <c r="I947" t="s">
        <v>33</v>
      </c>
      <c r="J947" t="s">
        <v>24</v>
      </c>
      <c r="K947" s="6">
        <f t="shared" ca="1" si="64"/>
        <v>27768</v>
      </c>
      <c r="L947">
        <v>-17993</v>
      </c>
      <c r="M947" s="7">
        <f t="shared" ca="1" si="62"/>
        <v>49.262149212867897</v>
      </c>
      <c r="N947" s="5" t="str">
        <f ca="1">VLOOKUP(Data!M947,temp!$B$3:$C$9,2,1)</f>
        <v>40-50</v>
      </c>
      <c r="O947">
        <v>-555</v>
      </c>
      <c r="P947" s="8">
        <f t="shared" si="63"/>
        <v>1.5195071868583163</v>
      </c>
      <c r="Q947" s="5" t="str">
        <f t="shared" si="65"/>
        <v>Employed</v>
      </c>
      <c r="R947">
        <v>1</v>
      </c>
      <c r="S947">
        <v>0</v>
      </c>
      <c r="T947">
        <v>0</v>
      </c>
      <c r="U947">
        <v>0</v>
      </c>
      <c r="V947" t="s">
        <v>40</v>
      </c>
      <c r="W947">
        <v>1</v>
      </c>
    </row>
    <row r="948" spans="1:23" x14ac:dyDescent="0.2">
      <c r="A948">
        <v>5036396</v>
      </c>
      <c r="B948" t="s">
        <v>18</v>
      </c>
      <c r="C948" t="s">
        <v>20</v>
      </c>
      <c r="D948" t="s">
        <v>20</v>
      </c>
      <c r="E948">
        <v>0</v>
      </c>
      <c r="F948">
        <v>112500</v>
      </c>
      <c r="G948" t="s">
        <v>31</v>
      </c>
      <c r="H948" t="s">
        <v>27</v>
      </c>
      <c r="I948" t="s">
        <v>37</v>
      </c>
      <c r="J948" t="s">
        <v>24</v>
      </c>
      <c r="K948" s="6">
        <f t="shared" ca="1" si="64"/>
        <v>32075</v>
      </c>
      <c r="L948">
        <v>-13686</v>
      </c>
      <c r="M948" s="7">
        <f t="shared" ca="1" si="62"/>
        <v>37.470225872689937</v>
      </c>
      <c r="N948" s="5" t="str">
        <f ca="1">VLOOKUP(Data!M948,temp!$B$3:$C$9,2,1)</f>
        <v>30-40</v>
      </c>
      <c r="O948">
        <v>-1256</v>
      </c>
      <c r="P948" s="8">
        <f t="shared" si="63"/>
        <v>3.4387405886379194</v>
      </c>
      <c r="Q948" s="5" t="str">
        <f t="shared" si="65"/>
        <v>Employed</v>
      </c>
      <c r="R948">
        <v>1</v>
      </c>
      <c r="S948">
        <v>0</v>
      </c>
      <c r="T948">
        <v>0</v>
      </c>
      <c r="U948">
        <v>0</v>
      </c>
      <c r="V948" t="s">
        <v>55</v>
      </c>
      <c r="W948">
        <v>2</v>
      </c>
    </row>
    <row r="949" spans="1:23" x14ac:dyDescent="0.2">
      <c r="A949">
        <v>5036397</v>
      </c>
      <c r="B949" t="s">
        <v>18</v>
      </c>
      <c r="C949" t="s">
        <v>20</v>
      </c>
      <c r="D949" t="s">
        <v>20</v>
      </c>
      <c r="E949">
        <v>0</v>
      </c>
      <c r="F949">
        <v>112500</v>
      </c>
      <c r="G949" t="s">
        <v>31</v>
      </c>
      <c r="H949" t="s">
        <v>27</v>
      </c>
      <c r="I949" t="s">
        <v>37</v>
      </c>
      <c r="J949" t="s">
        <v>24</v>
      </c>
      <c r="K949" s="6">
        <f t="shared" ca="1" si="64"/>
        <v>32075</v>
      </c>
      <c r="L949">
        <v>-13686</v>
      </c>
      <c r="M949" s="7">
        <f t="shared" ca="1" si="62"/>
        <v>37.470225872689937</v>
      </c>
      <c r="N949" s="5" t="str">
        <f ca="1">VLOOKUP(Data!M949,temp!$B$3:$C$9,2,1)</f>
        <v>30-40</v>
      </c>
      <c r="O949">
        <v>-1256</v>
      </c>
      <c r="P949" s="8">
        <f t="shared" si="63"/>
        <v>3.4387405886379194</v>
      </c>
      <c r="Q949" s="5" t="str">
        <f t="shared" si="65"/>
        <v>Employed</v>
      </c>
      <c r="R949">
        <v>1</v>
      </c>
      <c r="S949">
        <v>0</v>
      </c>
      <c r="T949">
        <v>0</v>
      </c>
      <c r="U949">
        <v>0</v>
      </c>
      <c r="V949" t="s">
        <v>55</v>
      </c>
      <c r="W949">
        <v>2</v>
      </c>
    </row>
    <row r="950" spans="1:23" x14ac:dyDescent="0.2">
      <c r="A950">
        <v>5036403</v>
      </c>
      <c r="B950" t="s">
        <v>18</v>
      </c>
      <c r="C950" t="s">
        <v>20</v>
      </c>
      <c r="D950" t="s">
        <v>20</v>
      </c>
      <c r="E950">
        <v>0</v>
      </c>
      <c r="F950">
        <v>112500</v>
      </c>
      <c r="G950" t="s">
        <v>31</v>
      </c>
      <c r="H950" t="s">
        <v>27</v>
      </c>
      <c r="I950" t="s">
        <v>37</v>
      </c>
      <c r="J950" t="s">
        <v>24</v>
      </c>
      <c r="K950" s="6">
        <f t="shared" ca="1" si="64"/>
        <v>32075</v>
      </c>
      <c r="L950">
        <v>-13686</v>
      </c>
      <c r="M950" s="7">
        <f t="shared" ca="1" si="62"/>
        <v>37.470225872689937</v>
      </c>
      <c r="N950" s="5" t="str">
        <f ca="1">VLOOKUP(Data!M950,temp!$B$3:$C$9,2,1)</f>
        <v>30-40</v>
      </c>
      <c r="O950">
        <v>-1256</v>
      </c>
      <c r="P950" s="8">
        <f t="shared" si="63"/>
        <v>3.4387405886379194</v>
      </c>
      <c r="Q950" s="5" t="str">
        <f t="shared" si="65"/>
        <v>Employed</v>
      </c>
      <c r="R950">
        <v>1</v>
      </c>
      <c r="S950">
        <v>0</v>
      </c>
      <c r="T950">
        <v>0</v>
      </c>
      <c r="U950">
        <v>0</v>
      </c>
      <c r="V950" t="s">
        <v>55</v>
      </c>
      <c r="W950">
        <v>2</v>
      </c>
    </row>
    <row r="951" spans="1:23" x14ac:dyDescent="0.2">
      <c r="A951">
        <v>5036404</v>
      </c>
      <c r="B951" t="s">
        <v>18</v>
      </c>
      <c r="C951" t="s">
        <v>20</v>
      </c>
      <c r="D951" t="s">
        <v>20</v>
      </c>
      <c r="E951">
        <v>0</v>
      </c>
      <c r="F951">
        <v>112500</v>
      </c>
      <c r="G951" t="s">
        <v>31</v>
      </c>
      <c r="H951" t="s">
        <v>27</v>
      </c>
      <c r="I951" t="s">
        <v>37</v>
      </c>
      <c r="J951" t="s">
        <v>24</v>
      </c>
      <c r="K951" s="6">
        <f t="shared" ca="1" si="64"/>
        <v>32075</v>
      </c>
      <c r="L951">
        <v>-13686</v>
      </c>
      <c r="M951" s="7">
        <f t="shared" ca="1" si="62"/>
        <v>37.470225872689937</v>
      </c>
      <c r="N951" s="5" t="str">
        <f ca="1">VLOOKUP(Data!M951,temp!$B$3:$C$9,2,1)</f>
        <v>30-40</v>
      </c>
      <c r="O951">
        <v>-1256</v>
      </c>
      <c r="P951" s="8">
        <f t="shared" si="63"/>
        <v>3.4387405886379194</v>
      </c>
      <c r="Q951" s="5" t="str">
        <f t="shared" si="65"/>
        <v>Employed</v>
      </c>
      <c r="R951">
        <v>1</v>
      </c>
      <c r="S951">
        <v>0</v>
      </c>
      <c r="T951">
        <v>0</v>
      </c>
      <c r="U951">
        <v>0</v>
      </c>
      <c r="V951" t="s">
        <v>55</v>
      </c>
      <c r="W951">
        <v>2</v>
      </c>
    </row>
    <row r="952" spans="1:23" x14ac:dyDescent="0.2">
      <c r="A952">
        <v>5036451</v>
      </c>
      <c r="B952" t="s">
        <v>18</v>
      </c>
      <c r="C952" t="s">
        <v>19</v>
      </c>
      <c r="D952" t="s">
        <v>20</v>
      </c>
      <c r="E952">
        <v>0</v>
      </c>
      <c r="F952">
        <v>81000</v>
      </c>
      <c r="G952" t="s">
        <v>31</v>
      </c>
      <c r="H952" t="s">
        <v>22</v>
      </c>
      <c r="I952" t="s">
        <v>28</v>
      </c>
      <c r="J952" t="s">
        <v>24</v>
      </c>
      <c r="K952" s="6">
        <f t="shared" ca="1" si="64"/>
        <v>34215</v>
      </c>
      <c r="L952">
        <v>-11546</v>
      </c>
      <c r="M952" s="7">
        <f t="shared" ca="1" si="62"/>
        <v>31.611225188227241</v>
      </c>
      <c r="N952" s="5" t="str">
        <f ca="1">VLOOKUP(Data!M952,temp!$B$3:$C$9,2,1)</f>
        <v>30-40</v>
      </c>
      <c r="O952">
        <v>-1498</v>
      </c>
      <c r="P952" s="8">
        <f t="shared" si="63"/>
        <v>4.1013004791238874</v>
      </c>
      <c r="Q952" s="5" t="str">
        <f t="shared" si="65"/>
        <v>Employed</v>
      </c>
      <c r="R952">
        <v>1</v>
      </c>
      <c r="S952">
        <v>0</v>
      </c>
      <c r="T952">
        <v>0</v>
      </c>
      <c r="U952">
        <v>0</v>
      </c>
      <c r="W952">
        <v>2</v>
      </c>
    </row>
    <row r="953" spans="1:23" x14ac:dyDescent="0.2">
      <c r="A953">
        <v>5036453</v>
      </c>
      <c r="B953" t="s">
        <v>25</v>
      </c>
      <c r="C953" t="s">
        <v>20</v>
      </c>
      <c r="D953" t="s">
        <v>20</v>
      </c>
      <c r="E953">
        <v>0</v>
      </c>
      <c r="F953">
        <v>90000</v>
      </c>
      <c r="G953" t="s">
        <v>21</v>
      </c>
      <c r="H953" t="s">
        <v>27</v>
      </c>
      <c r="I953" t="s">
        <v>28</v>
      </c>
      <c r="J953" t="s">
        <v>24</v>
      </c>
      <c r="K953" s="6">
        <f t="shared" ca="1" si="64"/>
        <v>23069</v>
      </c>
      <c r="L953">
        <v>-22692</v>
      </c>
      <c r="M953" s="7">
        <f t="shared" ca="1" si="62"/>
        <v>62.127310061601641</v>
      </c>
      <c r="N953" s="5" t="str">
        <f ca="1">VLOOKUP(Data!M953,temp!$B$3:$C$9,2,1)</f>
        <v>60-70</v>
      </c>
      <c r="O953">
        <v>365243</v>
      </c>
      <c r="P953" s="8">
        <f t="shared" si="63"/>
        <v>0</v>
      </c>
      <c r="Q953" s="5" t="str">
        <f t="shared" si="65"/>
        <v>Unemployed</v>
      </c>
      <c r="R953">
        <v>1</v>
      </c>
      <c r="S953">
        <v>0</v>
      </c>
      <c r="T953">
        <v>1</v>
      </c>
      <c r="U953">
        <v>0</v>
      </c>
      <c r="W953">
        <v>2</v>
      </c>
    </row>
    <row r="954" spans="1:23" x14ac:dyDescent="0.2">
      <c r="A954">
        <v>5036459</v>
      </c>
      <c r="B954" t="s">
        <v>18</v>
      </c>
      <c r="C954" t="s">
        <v>20</v>
      </c>
      <c r="D954" t="s">
        <v>19</v>
      </c>
      <c r="E954">
        <v>0</v>
      </c>
      <c r="F954">
        <v>157500</v>
      </c>
      <c r="G954" t="s">
        <v>31</v>
      </c>
      <c r="H954" t="s">
        <v>27</v>
      </c>
      <c r="I954" t="s">
        <v>28</v>
      </c>
      <c r="J954" t="s">
        <v>24</v>
      </c>
      <c r="K954" s="6">
        <f t="shared" ca="1" si="64"/>
        <v>32962</v>
      </c>
      <c r="L954">
        <v>-12799</v>
      </c>
      <c r="M954" s="7">
        <f t="shared" ca="1" si="62"/>
        <v>35.041752224503767</v>
      </c>
      <c r="N954" s="5" t="str">
        <f ca="1">VLOOKUP(Data!M954,temp!$B$3:$C$9,2,1)</f>
        <v>30-40</v>
      </c>
      <c r="O954">
        <v>-1546</v>
      </c>
      <c r="P954" s="8">
        <f t="shared" si="63"/>
        <v>4.2327173169062284</v>
      </c>
      <c r="Q954" s="5" t="str">
        <f t="shared" si="65"/>
        <v>Employed</v>
      </c>
      <c r="R954">
        <v>1</v>
      </c>
      <c r="S954">
        <v>1</v>
      </c>
      <c r="T954">
        <v>0</v>
      </c>
      <c r="U954">
        <v>0</v>
      </c>
      <c r="V954" t="s">
        <v>29</v>
      </c>
      <c r="W954">
        <v>2</v>
      </c>
    </row>
    <row r="955" spans="1:23" x14ac:dyDescent="0.2">
      <c r="A955">
        <v>5036462</v>
      </c>
      <c r="B955" t="s">
        <v>25</v>
      </c>
      <c r="C955" t="s">
        <v>20</v>
      </c>
      <c r="D955" t="s">
        <v>20</v>
      </c>
      <c r="E955">
        <v>2</v>
      </c>
      <c r="F955">
        <v>180000</v>
      </c>
      <c r="G955" t="s">
        <v>35</v>
      </c>
      <c r="H955" t="s">
        <v>22</v>
      </c>
      <c r="I955" t="s">
        <v>28</v>
      </c>
      <c r="J955" t="s">
        <v>43</v>
      </c>
      <c r="K955" s="6">
        <f t="shared" ca="1" si="64"/>
        <v>34304</v>
      </c>
      <c r="L955">
        <v>-11457</v>
      </c>
      <c r="M955" s="7">
        <f t="shared" ca="1" si="62"/>
        <v>31.367556468172484</v>
      </c>
      <c r="N955" s="5" t="str">
        <f ca="1">VLOOKUP(Data!M955,temp!$B$3:$C$9,2,1)</f>
        <v>30-40</v>
      </c>
      <c r="O955">
        <v>-1669</v>
      </c>
      <c r="P955" s="8">
        <f t="shared" si="63"/>
        <v>4.5694729637234772</v>
      </c>
      <c r="Q955" s="5" t="str">
        <f t="shared" si="65"/>
        <v>Employed</v>
      </c>
      <c r="R955">
        <v>1</v>
      </c>
      <c r="S955">
        <v>0</v>
      </c>
      <c r="T955">
        <v>0</v>
      </c>
      <c r="U955">
        <v>0</v>
      </c>
      <c r="W955">
        <v>4</v>
      </c>
    </row>
    <row r="956" spans="1:23" x14ac:dyDescent="0.2">
      <c r="A956">
        <v>5036498</v>
      </c>
      <c r="B956" t="s">
        <v>25</v>
      </c>
      <c r="C956" t="s">
        <v>20</v>
      </c>
      <c r="D956" t="s">
        <v>19</v>
      </c>
      <c r="E956">
        <v>0</v>
      </c>
      <c r="F956">
        <v>540000</v>
      </c>
      <c r="G956" t="s">
        <v>26</v>
      </c>
      <c r="H956" t="s">
        <v>36</v>
      </c>
      <c r="I956" t="s">
        <v>28</v>
      </c>
      <c r="J956" t="s">
        <v>24</v>
      </c>
      <c r="K956" s="6">
        <f t="shared" ca="1" si="64"/>
        <v>31419</v>
      </c>
      <c r="L956">
        <v>-14342</v>
      </c>
      <c r="M956" s="7">
        <f t="shared" ca="1" si="62"/>
        <v>39.266255989048595</v>
      </c>
      <c r="N956" s="5" t="str">
        <f ca="1">VLOOKUP(Data!M956,temp!$B$3:$C$9,2,1)</f>
        <v>30-40</v>
      </c>
      <c r="O956">
        <v>-1365</v>
      </c>
      <c r="P956" s="8">
        <f t="shared" si="63"/>
        <v>3.7371663244353184</v>
      </c>
      <c r="Q956" s="5" t="str">
        <f t="shared" si="65"/>
        <v>Employed</v>
      </c>
      <c r="R956">
        <v>1</v>
      </c>
      <c r="S956">
        <v>1</v>
      </c>
      <c r="T956">
        <v>1</v>
      </c>
      <c r="U956">
        <v>0</v>
      </c>
      <c r="V956" t="s">
        <v>32</v>
      </c>
      <c r="W956">
        <v>2</v>
      </c>
    </row>
    <row r="957" spans="1:23" x14ac:dyDescent="0.2">
      <c r="A957">
        <v>5036501</v>
      </c>
      <c r="B957" t="s">
        <v>25</v>
      </c>
      <c r="C957" t="s">
        <v>19</v>
      </c>
      <c r="D957" t="s">
        <v>19</v>
      </c>
      <c r="E957">
        <v>2</v>
      </c>
      <c r="F957">
        <v>315000</v>
      </c>
      <c r="G957" t="s">
        <v>26</v>
      </c>
      <c r="H957" t="s">
        <v>22</v>
      </c>
      <c r="I957" t="s">
        <v>28</v>
      </c>
      <c r="J957" t="s">
        <v>24</v>
      </c>
      <c r="K957" s="6">
        <f t="shared" ca="1" si="64"/>
        <v>29335</v>
      </c>
      <c r="L957">
        <v>-16426</v>
      </c>
      <c r="M957" s="7">
        <f t="shared" ca="1" si="62"/>
        <v>44.971937029431899</v>
      </c>
      <c r="N957" s="5" t="str">
        <f ca="1">VLOOKUP(Data!M957,temp!$B$3:$C$9,2,1)</f>
        <v>40-50</v>
      </c>
      <c r="O957">
        <v>-269</v>
      </c>
      <c r="P957" s="8">
        <f t="shared" si="63"/>
        <v>0.73648186173853525</v>
      </c>
      <c r="Q957" s="5" t="str">
        <f t="shared" si="65"/>
        <v>Employed</v>
      </c>
      <c r="R957">
        <v>1</v>
      </c>
      <c r="S957">
        <v>0</v>
      </c>
      <c r="T957">
        <v>0</v>
      </c>
      <c r="U957">
        <v>0</v>
      </c>
      <c r="V957" t="s">
        <v>32</v>
      </c>
      <c r="W957">
        <v>4</v>
      </c>
    </row>
    <row r="958" spans="1:23" x14ac:dyDescent="0.2">
      <c r="A958">
        <v>5036516</v>
      </c>
      <c r="B958" t="s">
        <v>25</v>
      </c>
      <c r="C958" t="s">
        <v>20</v>
      </c>
      <c r="D958" t="s">
        <v>19</v>
      </c>
      <c r="E958">
        <v>1</v>
      </c>
      <c r="F958">
        <v>112500</v>
      </c>
      <c r="G958" t="s">
        <v>26</v>
      </c>
      <c r="H958" t="s">
        <v>27</v>
      </c>
      <c r="I958" t="s">
        <v>28</v>
      </c>
      <c r="J958" t="s">
        <v>24</v>
      </c>
      <c r="K958" s="6">
        <f t="shared" ca="1" si="64"/>
        <v>28565</v>
      </c>
      <c r="L958">
        <v>-17196</v>
      </c>
      <c r="M958" s="7">
        <f t="shared" ca="1" si="62"/>
        <v>47.080082135523611</v>
      </c>
      <c r="N958" s="5" t="str">
        <f ca="1">VLOOKUP(Data!M958,temp!$B$3:$C$9,2,1)</f>
        <v>40-50</v>
      </c>
      <c r="O958">
        <v>-1608</v>
      </c>
      <c r="P958" s="8">
        <f t="shared" si="63"/>
        <v>4.4024640657084193</v>
      </c>
      <c r="Q958" s="5" t="str">
        <f t="shared" si="65"/>
        <v>Employed</v>
      </c>
      <c r="R958">
        <v>1</v>
      </c>
      <c r="S958">
        <v>1</v>
      </c>
      <c r="T958">
        <v>0</v>
      </c>
      <c r="U958">
        <v>0</v>
      </c>
      <c r="V958" t="s">
        <v>29</v>
      </c>
      <c r="W958">
        <v>3</v>
      </c>
    </row>
    <row r="959" spans="1:23" x14ac:dyDescent="0.2">
      <c r="A959">
        <v>5036519</v>
      </c>
      <c r="B959" t="s">
        <v>25</v>
      </c>
      <c r="C959" t="s">
        <v>20</v>
      </c>
      <c r="D959" t="s">
        <v>19</v>
      </c>
      <c r="E959">
        <v>2</v>
      </c>
      <c r="F959">
        <v>360000</v>
      </c>
      <c r="G959" t="s">
        <v>31</v>
      </c>
      <c r="H959" t="s">
        <v>36</v>
      </c>
      <c r="I959" t="s">
        <v>28</v>
      </c>
      <c r="J959" t="s">
        <v>24</v>
      </c>
      <c r="K959" s="6">
        <f t="shared" ca="1" si="64"/>
        <v>35328</v>
      </c>
      <c r="L959">
        <v>-10433</v>
      </c>
      <c r="M959" s="7">
        <f t="shared" ca="1" si="62"/>
        <v>28.563997262149211</v>
      </c>
      <c r="N959" s="5" t="str">
        <f ca="1">VLOOKUP(Data!M959,temp!$B$3:$C$9,2,1)</f>
        <v>20-30</v>
      </c>
      <c r="O959">
        <v>-1181</v>
      </c>
      <c r="P959" s="8">
        <f t="shared" si="63"/>
        <v>3.2334017796030117</v>
      </c>
      <c r="Q959" s="5" t="str">
        <f t="shared" si="65"/>
        <v>Employed</v>
      </c>
      <c r="R959">
        <v>1</v>
      </c>
      <c r="S959">
        <v>1</v>
      </c>
      <c r="T959">
        <v>0</v>
      </c>
      <c r="U959">
        <v>0</v>
      </c>
      <c r="W959">
        <v>4</v>
      </c>
    </row>
    <row r="960" spans="1:23" x14ac:dyDescent="0.2">
      <c r="A960">
        <v>5036531</v>
      </c>
      <c r="B960" t="s">
        <v>18</v>
      </c>
      <c r="C960" t="s">
        <v>20</v>
      </c>
      <c r="D960" t="s">
        <v>19</v>
      </c>
      <c r="E960">
        <v>0</v>
      </c>
      <c r="F960">
        <v>315000</v>
      </c>
      <c r="G960" t="s">
        <v>26</v>
      </c>
      <c r="H960" t="s">
        <v>36</v>
      </c>
      <c r="I960" t="s">
        <v>28</v>
      </c>
      <c r="J960" t="s">
        <v>41</v>
      </c>
      <c r="K960" s="6">
        <f t="shared" ca="1" si="64"/>
        <v>36574</v>
      </c>
      <c r="L960">
        <v>-9187</v>
      </c>
      <c r="M960" s="7">
        <f t="shared" ca="1" si="62"/>
        <v>25.152635181382614</v>
      </c>
      <c r="N960" s="5" t="str">
        <f ca="1">VLOOKUP(Data!M960,temp!$B$3:$C$9,2,1)</f>
        <v>20-30</v>
      </c>
      <c r="O960">
        <v>-116</v>
      </c>
      <c r="P960" s="8">
        <f t="shared" si="63"/>
        <v>0.31759069130732376</v>
      </c>
      <c r="Q960" s="5" t="str">
        <f t="shared" si="65"/>
        <v>Employed</v>
      </c>
      <c r="R960">
        <v>1</v>
      </c>
      <c r="S960">
        <v>1</v>
      </c>
      <c r="T960">
        <v>0</v>
      </c>
      <c r="U960">
        <v>0</v>
      </c>
      <c r="V960" t="s">
        <v>38</v>
      </c>
      <c r="W960">
        <v>2</v>
      </c>
    </row>
    <row r="961" spans="1:23" x14ac:dyDescent="0.2">
      <c r="A961">
        <v>5036539</v>
      </c>
      <c r="B961" t="s">
        <v>18</v>
      </c>
      <c r="C961" t="s">
        <v>19</v>
      </c>
      <c r="D961" t="s">
        <v>19</v>
      </c>
      <c r="E961">
        <v>0</v>
      </c>
      <c r="F961">
        <v>157500</v>
      </c>
      <c r="G961" t="s">
        <v>26</v>
      </c>
      <c r="H961" t="s">
        <v>36</v>
      </c>
      <c r="I961" t="s">
        <v>28</v>
      </c>
      <c r="J961" t="s">
        <v>24</v>
      </c>
      <c r="K961" s="6">
        <f t="shared" ca="1" si="64"/>
        <v>25356</v>
      </c>
      <c r="L961">
        <v>-20405</v>
      </c>
      <c r="M961" s="7">
        <f t="shared" ca="1" si="62"/>
        <v>55.865845311430526</v>
      </c>
      <c r="N961" s="5" t="str">
        <f ca="1">VLOOKUP(Data!M961,temp!$B$3:$C$9,2,1)</f>
        <v>50-60</v>
      </c>
      <c r="O961">
        <v>-5045</v>
      </c>
      <c r="P961" s="8">
        <f t="shared" si="63"/>
        <v>13.81245722108145</v>
      </c>
      <c r="Q961" s="5" t="str">
        <f t="shared" si="65"/>
        <v>Employed</v>
      </c>
      <c r="R961">
        <v>1</v>
      </c>
      <c r="S961">
        <v>1</v>
      </c>
      <c r="T961">
        <v>1</v>
      </c>
      <c r="U961">
        <v>0</v>
      </c>
      <c r="V961" t="s">
        <v>47</v>
      </c>
      <c r="W961">
        <v>2</v>
      </c>
    </row>
    <row r="962" spans="1:23" x14ac:dyDescent="0.2">
      <c r="A962">
        <v>5036540</v>
      </c>
      <c r="B962" t="s">
        <v>18</v>
      </c>
      <c r="C962" t="s">
        <v>19</v>
      </c>
      <c r="D962" t="s">
        <v>19</v>
      </c>
      <c r="E962">
        <v>1</v>
      </c>
      <c r="F962">
        <v>117000</v>
      </c>
      <c r="G962" t="s">
        <v>31</v>
      </c>
      <c r="H962" t="s">
        <v>22</v>
      </c>
      <c r="I962" t="s">
        <v>28</v>
      </c>
      <c r="J962" t="s">
        <v>24</v>
      </c>
      <c r="K962" s="6">
        <f t="shared" ca="1" si="64"/>
        <v>33554</v>
      </c>
      <c r="L962">
        <v>-12207</v>
      </c>
      <c r="M962" s="7">
        <f t="shared" ca="1" si="62"/>
        <v>33.420944558521562</v>
      </c>
      <c r="N962" s="5" t="str">
        <f ca="1">VLOOKUP(Data!M962,temp!$B$3:$C$9,2,1)</f>
        <v>30-40</v>
      </c>
      <c r="O962">
        <v>-4195</v>
      </c>
      <c r="P962" s="8">
        <f t="shared" si="63"/>
        <v>11.485284052019164</v>
      </c>
      <c r="Q962" s="5" t="str">
        <f t="shared" si="65"/>
        <v>Employed</v>
      </c>
      <c r="R962">
        <v>1</v>
      </c>
      <c r="S962">
        <v>1</v>
      </c>
      <c r="T962">
        <v>1</v>
      </c>
      <c r="U962">
        <v>0</v>
      </c>
      <c r="V962" t="s">
        <v>38</v>
      </c>
      <c r="W962">
        <v>3</v>
      </c>
    </row>
    <row r="963" spans="1:23" x14ac:dyDescent="0.2">
      <c r="A963">
        <v>5036551</v>
      </c>
      <c r="B963" t="s">
        <v>18</v>
      </c>
      <c r="C963" t="s">
        <v>19</v>
      </c>
      <c r="D963" t="s">
        <v>19</v>
      </c>
      <c r="E963">
        <v>0</v>
      </c>
      <c r="F963">
        <v>135000</v>
      </c>
      <c r="G963" t="s">
        <v>21</v>
      </c>
      <c r="H963" t="s">
        <v>27</v>
      </c>
      <c r="I963" t="s">
        <v>33</v>
      </c>
      <c r="J963" t="s">
        <v>24</v>
      </c>
      <c r="K963" s="6">
        <f t="shared" ca="1" si="64"/>
        <v>23891</v>
      </c>
      <c r="L963">
        <v>-21870</v>
      </c>
      <c r="M963" s="7">
        <f t="shared" ref="M963:M1026" ca="1" si="66">(TODAY()-K963)/365.25</f>
        <v>59.876796714579058</v>
      </c>
      <c r="N963" s="5" t="str">
        <f ca="1">VLOOKUP(Data!M963,temp!$B$3:$C$9,2,1)</f>
        <v>50-60</v>
      </c>
      <c r="O963">
        <v>365243</v>
      </c>
      <c r="P963" s="8">
        <f t="shared" ref="P963:P1026" si="67">IF(O963&lt;=0,ABS(O963)/365.25,0)</f>
        <v>0</v>
      </c>
      <c r="Q963" s="5" t="str">
        <f t="shared" si="65"/>
        <v>Unemployed</v>
      </c>
      <c r="R963">
        <v>1</v>
      </c>
      <c r="S963">
        <v>0</v>
      </c>
      <c r="T963">
        <v>0</v>
      </c>
      <c r="U963">
        <v>0</v>
      </c>
      <c r="W963">
        <v>1</v>
      </c>
    </row>
    <row r="964" spans="1:23" x14ac:dyDescent="0.2">
      <c r="A964">
        <v>5036558</v>
      </c>
      <c r="B964" t="s">
        <v>18</v>
      </c>
      <c r="C964" t="s">
        <v>19</v>
      </c>
      <c r="D964" t="s">
        <v>19</v>
      </c>
      <c r="E964">
        <v>1</v>
      </c>
      <c r="F964">
        <v>157500</v>
      </c>
      <c r="G964" t="s">
        <v>31</v>
      </c>
      <c r="H964" t="s">
        <v>27</v>
      </c>
      <c r="I964" t="s">
        <v>28</v>
      </c>
      <c r="J964" t="s">
        <v>24</v>
      </c>
      <c r="K964" s="6">
        <f t="shared" ca="1" si="64"/>
        <v>36232</v>
      </c>
      <c r="L964">
        <v>-9529</v>
      </c>
      <c r="M964" s="7">
        <f t="shared" ca="1" si="66"/>
        <v>26.088980150581794</v>
      </c>
      <c r="N964" s="5" t="str">
        <f ca="1">VLOOKUP(Data!M964,temp!$B$3:$C$9,2,1)</f>
        <v>20-30</v>
      </c>
      <c r="O964">
        <v>-999</v>
      </c>
      <c r="P964" s="8">
        <f t="shared" si="67"/>
        <v>2.7351129363449691</v>
      </c>
      <c r="Q964" s="5" t="str">
        <f t="shared" si="65"/>
        <v>Employed</v>
      </c>
      <c r="R964">
        <v>1</v>
      </c>
      <c r="S964">
        <v>0</v>
      </c>
      <c r="T964">
        <v>0</v>
      </c>
      <c r="U964">
        <v>0</v>
      </c>
      <c r="V964" t="s">
        <v>29</v>
      </c>
      <c r="W964">
        <v>3</v>
      </c>
    </row>
    <row r="965" spans="1:23" x14ac:dyDescent="0.2">
      <c r="A965">
        <v>5036577</v>
      </c>
      <c r="B965" t="s">
        <v>25</v>
      </c>
      <c r="C965" t="s">
        <v>20</v>
      </c>
      <c r="D965" t="s">
        <v>19</v>
      </c>
      <c r="E965">
        <v>0</v>
      </c>
      <c r="F965">
        <v>135000</v>
      </c>
      <c r="G965" t="s">
        <v>31</v>
      </c>
      <c r="H965" t="s">
        <v>27</v>
      </c>
      <c r="I965" t="s">
        <v>28</v>
      </c>
      <c r="J965" t="s">
        <v>24</v>
      </c>
      <c r="K965" s="6">
        <f t="shared" ca="1" si="64"/>
        <v>35290</v>
      </c>
      <c r="L965">
        <v>-10471</v>
      </c>
      <c r="M965" s="7">
        <f t="shared" ca="1" si="66"/>
        <v>28.668035592060232</v>
      </c>
      <c r="N965" s="5" t="str">
        <f ca="1">VLOOKUP(Data!M965,temp!$B$3:$C$9,2,1)</f>
        <v>20-30</v>
      </c>
      <c r="O965">
        <v>-1638</v>
      </c>
      <c r="P965" s="8">
        <f t="shared" si="67"/>
        <v>4.4845995893223822</v>
      </c>
      <c r="Q965" s="5" t="str">
        <f t="shared" si="65"/>
        <v>Employed</v>
      </c>
      <c r="R965">
        <v>1</v>
      </c>
      <c r="S965">
        <v>0</v>
      </c>
      <c r="T965">
        <v>0</v>
      </c>
      <c r="U965">
        <v>0</v>
      </c>
      <c r="V965" t="s">
        <v>30</v>
      </c>
      <c r="W965">
        <v>2</v>
      </c>
    </row>
    <row r="966" spans="1:23" x14ac:dyDescent="0.2">
      <c r="A966">
        <v>5036581</v>
      </c>
      <c r="B966" t="s">
        <v>25</v>
      </c>
      <c r="C966" t="s">
        <v>19</v>
      </c>
      <c r="D966" t="s">
        <v>20</v>
      </c>
      <c r="E966">
        <v>0</v>
      </c>
      <c r="F966">
        <v>90000</v>
      </c>
      <c r="G966" t="s">
        <v>26</v>
      </c>
      <c r="H966" t="s">
        <v>22</v>
      </c>
      <c r="I966" t="s">
        <v>28</v>
      </c>
      <c r="J966" t="s">
        <v>24</v>
      </c>
      <c r="K966" s="6">
        <f t="shared" ca="1" si="64"/>
        <v>31196</v>
      </c>
      <c r="L966">
        <v>-14565</v>
      </c>
      <c r="M966" s="7">
        <f t="shared" ca="1" si="66"/>
        <v>39.876796714579058</v>
      </c>
      <c r="N966" s="5" t="str">
        <f ca="1">VLOOKUP(Data!M966,temp!$B$3:$C$9,2,1)</f>
        <v>30-40</v>
      </c>
      <c r="O966">
        <v>-542</v>
      </c>
      <c r="P966" s="8">
        <f t="shared" si="67"/>
        <v>1.483915126625599</v>
      </c>
      <c r="Q966" s="5" t="str">
        <f t="shared" si="65"/>
        <v>Employed</v>
      </c>
      <c r="R966">
        <v>1</v>
      </c>
      <c r="S966">
        <v>0</v>
      </c>
      <c r="T966">
        <v>0</v>
      </c>
      <c r="U966">
        <v>0</v>
      </c>
      <c r="V966" t="s">
        <v>29</v>
      </c>
      <c r="W966">
        <v>2</v>
      </c>
    </row>
    <row r="967" spans="1:23" x14ac:dyDescent="0.2">
      <c r="A967">
        <v>5036593</v>
      </c>
      <c r="B967" t="s">
        <v>25</v>
      </c>
      <c r="C967" t="s">
        <v>20</v>
      </c>
      <c r="D967" t="s">
        <v>20</v>
      </c>
      <c r="E967">
        <v>2</v>
      </c>
      <c r="F967">
        <v>90000</v>
      </c>
      <c r="G967" t="s">
        <v>31</v>
      </c>
      <c r="H967" t="s">
        <v>27</v>
      </c>
      <c r="I967" t="s">
        <v>28</v>
      </c>
      <c r="J967" t="s">
        <v>24</v>
      </c>
      <c r="K967" s="6">
        <f t="shared" ca="1" si="64"/>
        <v>33476</v>
      </c>
      <c r="L967">
        <v>-12285</v>
      </c>
      <c r="M967" s="7">
        <f t="shared" ca="1" si="66"/>
        <v>33.634496919917865</v>
      </c>
      <c r="N967" s="5" t="str">
        <f ca="1">VLOOKUP(Data!M967,temp!$B$3:$C$9,2,1)</f>
        <v>30-40</v>
      </c>
      <c r="O967">
        <v>-352</v>
      </c>
      <c r="P967" s="8">
        <f t="shared" si="67"/>
        <v>0.96372347707049966</v>
      </c>
      <c r="Q967" s="5" t="str">
        <f t="shared" si="65"/>
        <v>Employed</v>
      </c>
      <c r="R967">
        <v>1</v>
      </c>
      <c r="S967">
        <v>0</v>
      </c>
      <c r="T967">
        <v>0</v>
      </c>
      <c r="U967">
        <v>0</v>
      </c>
      <c r="V967" t="s">
        <v>30</v>
      </c>
      <c r="W967">
        <v>4</v>
      </c>
    </row>
    <row r="968" spans="1:23" x14ac:dyDescent="0.2">
      <c r="A968">
        <v>5036676</v>
      </c>
      <c r="B968" t="s">
        <v>18</v>
      </c>
      <c r="C968" t="s">
        <v>19</v>
      </c>
      <c r="D968" t="s">
        <v>19</v>
      </c>
      <c r="E968">
        <v>1</v>
      </c>
      <c r="F968">
        <v>180000</v>
      </c>
      <c r="G968" t="s">
        <v>31</v>
      </c>
      <c r="H968" t="s">
        <v>22</v>
      </c>
      <c r="I968" t="s">
        <v>33</v>
      </c>
      <c r="J968" t="s">
        <v>24</v>
      </c>
      <c r="K968" s="6">
        <f t="shared" ref="K968:K1031" ca="1" si="68">TODAY()+($L968)</f>
        <v>33227</v>
      </c>
      <c r="L968">
        <v>-12534</v>
      </c>
      <c r="M968" s="7">
        <f t="shared" ca="1" si="66"/>
        <v>34.31622176591376</v>
      </c>
      <c r="N968" s="5" t="str">
        <f ca="1">VLOOKUP(Data!M968,temp!$B$3:$C$9,2,1)</f>
        <v>30-40</v>
      </c>
      <c r="O968">
        <v>-1181</v>
      </c>
      <c r="P968" s="8">
        <f t="shared" si="67"/>
        <v>3.2334017796030117</v>
      </c>
      <c r="Q968" s="5" t="str">
        <f t="shared" ref="Q968:Q1031" si="69">IF($O968&gt;0,"Unemployed","Employed")</f>
        <v>Employed</v>
      </c>
      <c r="R968">
        <v>1</v>
      </c>
      <c r="S968">
        <v>0</v>
      </c>
      <c r="T968">
        <v>0</v>
      </c>
      <c r="U968">
        <v>0</v>
      </c>
      <c r="V968" t="s">
        <v>39</v>
      </c>
      <c r="W968">
        <v>2</v>
      </c>
    </row>
    <row r="969" spans="1:23" x14ac:dyDescent="0.2">
      <c r="A969">
        <v>5036679</v>
      </c>
      <c r="B969" t="s">
        <v>18</v>
      </c>
      <c r="C969" t="s">
        <v>19</v>
      </c>
      <c r="D969" t="s">
        <v>20</v>
      </c>
      <c r="E969">
        <v>0</v>
      </c>
      <c r="F969">
        <v>121500</v>
      </c>
      <c r="G969" t="s">
        <v>26</v>
      </c>
      <c r="H969" t="s">
        <v>27</v>
      </c>
      <c r="I969" t="s">
        <v>28</v>
      </c>
      <c r="J969" t="s">
        <v>24</v>
      </c>
      <c r="K969" s="6">
        <f t="shared" ca="1" si="68"/>
        <v>27801</v>
      </c>
      <c r="L969">
        <v>-17960</v>
      </c>
      <c r="M969" s="7">
        <f t="shared" ca="1" si="66"/>
        <v>49.171800136892543</v>
      </c>
      <c r="N969" s="5" t="str">
        <f ca="1">VLOOKUP(Data!M969,temp!$B$3:$C$9,2,1)</f>
        <v>40-50</v>
      </c>
      <c r="O969">
        <v>-1789</v>
      </c>
      <c r="P969" s="8">
        <f t="shared" si="67"/>
        <v>4.8980150581793289</v>
      </c>
      <c r="Q969" s="5" t="str">
        <f t="shared" si="69"/>
        <v>Employed</v>
      </c>
      <c r="R969">
        <v>1</v>
      </c>
      <c r="S969">
        <v>0</v>
      </c>
      <c r="T969">
        <v>0</v>
      </c>
      <c r="U969">
        <v>0</v>
      </c>
      <c r="V969" t="s">
        <v>39</v>
      </c>
      <c r="W969">
        <v>2</v>
      </c>
    </row>
    <row r="970" spans="1:23" x14ac:dyDescent="0.2">
      <c r="A970">
        <v>5036684</v>
      </c>
      <c r="B970" t="s">
        <v>25</v>
      </c>
      <c r="C970" t="s">
        <v>20</v>
      </c>
      <c r="D970" t="s">
        <v>20</v>
      </c>
      <c r="E970">
        <v>0</v>
      </c>
      <c r="F970">
        <v>270000</v>
      </c>
      <c r="G970" t="s">
        <v>31</v>
      </c>
      <c r="H970" t="s">
        <v>27</v>
      </c>
      <c r="I970" t="s">
        <v>28</v>
      </c>
      <c r="J970" t="s">
        <v>24</v>
      </c>
      <c r="K970" s="6">
        <f t="shared" ca="1" si="68"/>
        <v>27536</v>
      </c>
      <c r="L970">
        <v>-18225</v>
      </c>
      <c r="M970" s="7">
        <f t="shared" ca="1" si="66"/>
        <v>49.897330595482543</v>
      </c>
      <c r="N970" s="5" t="str">
        <f ca="1">VLOOKUP(Data!M970,temp!$B$3:$C$9,2,1)</f>
        <v>40-50</v>
      </c>
      <c r="O970">
        <v>-6690</v>
      </c>
      <c r="P970" s="8">
        <f t="shared" si="67"/>
        <v>18.316221765913756</v>
      </c>
      <c r="Q970" s="5" t="str">
        <f t="shared" si="69"/>
        <v>Employed</v>
      </c>
      <c r="R970">
        <v>1</v>
      </c>
      <c r="S970">
        <v>0</v>
      </c>
      <c r="T970">
        <v>0</v>
      </c>
      <c r="U970">
        <v>0</v>
      </c>
      <c r="V970" t="s">
        <v>32</v>
      </c>
      <c r="W970">
        <v>2</v>
      </c>
    </row>
    <row r="971" spans="1:23" x14ac:dyDescent="0.2">
      <c r="A971">
        <v>5036693</v>
      </c>
      <c r="B971" t="s">
        <v>18</v>
      </c>
      <c r="C971" t="s">
        <v>19</v>
      </c>
      <c r="D971" t="s">
        <v>20</v>
      </c>
      <c r="E971">
        <v>0</v>
      </c>
      <c r="F971">
        <v>180000</v>
      </c>
      <c r="G971" t="s">
        <v>21</v>
      </c>
      <c r="H971" t="s">
        <v>22</v>
      </c>
      <c r="I971" t="s">
        <v>28</v>
      </c>
      <c r="J971" t="s">
        <v>24</v>
      </c>
      <c r="K971" s="6">
        <f t="shared" ca="1" si="68"/>
        <v>23166</v>
      </c>
      <c r="L971">
        <v>-22595</v>
      </c>
      <c r="M971" s="7">
        <f t="shared" ca="1" si="66"/>
        <v>61.861738535249827</v>
      </c>
      <c r="N971" s="5" t="str">
        <f ca="1">VLOOKUP(Data!M971,temp!$B$3:$C$9,2,1)</f>
        <v>60-70</v>
      </c>
      <c r="O971">
        <v>365243</v>
      </c>
      <c r="P971" s="8">
        <f t="shared" si="67"/>
        <v>0</v>
      </c>
      <c r="Q971" s="5" t="str">
        <f t="shared" si="69"/>
        <v>Unemployed</v>
      </c>
      <c r="R971">
        <v>1</v>
      </c>
      <c r="S971">
        <v>0</v>
      </c>
      <c r="T971">
        <v>1</v>
      </c>
      <c r="U971">
        <v>0</v>
      </c>
      <c r="W971">
        <v>2</v>
      </c>
    </row>
    <row r="972" spans="1:23" x14ac:dyDescent="0.2">
      <c r="A972">
        <v>5036707</v>
      </c>
      <c r="B972" t="s">
        <v>25</v>
      </c>
      <c r="C972" t="s">
        <v>20</v>
      </c>
      <c r="D972" t="s">
        <v>20</v>
      </c>
      <c r="E972">
        <v>0</v>
      </c>
      <c r="F972">
        <v>180000</v>
      </c>
      <c r="G972" t="s">
        <v>31</v>
      </c>
      <c r="H972" t="s">
        <v>27</v>
      </c>
      <c r="I972" t="s">
        <v>28</v>
      </c>
      <c r="J972" t="s">
        <v>24</v>
      </c>
      <c r="K972" s="6">
        <f t="shared" ca="1" si="68"/>
        <v>28819</v>
      </c>
      <c r="L972">
        <v>-16942</v>
      </c>
      <c r="M972" s="7">
        <f t="shared" ca="1" si="66"/>
        <v>46.384668035592057</v>
      </c>
      <c r="N972" s="5" t="str">
        <f ca="1">VLOOKUP(Data!M972,temp!$B$3:$C$9,2,1)</f>
        <v>40-50</v>
      </c>
      <c r="O972">
        <v>-1680</v>
      </c>
      <c r="P972" s="8">
        <f t="shared" si="67"/>
        <v>4.59958932238193</v>
      </c>
      <c r="Q972" s="5" t="str">
        <f t="shared" si="69"/>
        <v>Employed</v>
      </c>
      <c r="R972">
        <v>1</v>
      </c>
      <c r="S972">
        <v>0</v>
      </c>
      <c r="T972">
        <v>0</v>
      </c>
      <c r="U972">
        <v>0</v>
      </c>
      <c r="V972" t="s">
        <v>29</v>
      </c>
      <c r="W972">
        <v>2</v>
      </c>
    </row>
    <row r="973" spans="1:23" x14ac:dyDescent="0.2">
      <c r="A973">
        <v>5036708</v>
      </c>
      <c r="B973" t="s">
        <v>25</v>
      </c>
      <c r="C973" t="s">
        <v>20</v>
      </c>
      <c r="D973" t="s">
        <v>20</v>
      </c>
      <c r="E973">
        <v>0</v>
      </c>
      <c r="F973">
        <v>180000</v>
      </c>
      <c r="G973" t="s">
        <v>31</v>
      </c>
      <c r="H973" t="s">
        <v>27</v>
      </c>
      <c r="I973" t="s">
        <v>28</v>
      </c>
      <c r="J973" t="s">
        <v>24</v>
      </c>
      <c r="K973" s="6">
        <f t="shared" ca="1" si="68"/>
        <v>28819</v>
      </c>
      <c r="L973">
        <v>-16942</v>
      </c>
      <c r="M973" s="7">
        <f t="shared" ca="1" si="66"/>
        <v>46.384668035592057</v>
      </c>
      <c r="N973" s="5" t="str">
        <f ca="1">VLOOKUP(Data!M973,temp!$B$3:$C$9,2,1)</f>
        <v>40-50</v>
      </c>
      <c r="O973">
        <v>-1680</v>
      </c>
      <c r="P973" s="8">
        <f t="shared" si="67"/>
        <v>4.59958932238193</v>
      </c>
      <c r="Q973" s="5" t="str">
        <f t="shared" si="69"/>
        <v>Employed</v>
      </c>
      <c r="R973">
        <v>1</v>
      </c>
      <c r="S973">
        <v>0</v>
      </c>
      <c r="T973">
        <v>0</v>
      </c>
      <c r="U973">
        <v>0</v>
      </c>
      <c r="V973" t="s">
        <v>29</v>
      </c>
      <c r="W973">
        <v>2</v>
      </c>
    </row>
    <row r="974" spans="1:23" x14ac:dyDescent="0.2">
      <c r="A974">
        <v>5036710</v>
      </c>
      <c r="B974" t="s">
        <v>25</v>
      </c>
      <c r="C974" t="s">
        <v>19</v>
      </c>
      <c r="D974" t="s">
        <v>20</v>
      </c>
      <c r="E974">
        <v>0</v>
      </c>
      <c r="F974">
        <v>270000</v>
      </c>
      <c r="G974" t="s">
        <v>26</v>
      </c>
      <c r="H974" t="s">
        <v>27</v>
      </c>
      <c r="I974" t="s">
        <v>28</v>
      </c>
      <c r="J974" t="s">
        <v>24</v>
      </c>
      <c r="K974" s="6">
        <f t="shared" ca="1" si="68"/>
        <v>29904</v>
      </c>
      <c r="L974">
        <v>-15857</v>
      </c>
      <c r="M974" s="7">
        <f t="shared" ca="1" si="66"/>
        <v>43.414099931553729</v>
      </c>
      <c r="N974" s="5" t="str">
        <f ca="1">VLOOKUP(Data!M974,temp!$B$3:$C$9,2,1)</f>
        <v>40-50</v>
      </c>
      <c r="O974">
        <v>-4633</v>
      </c>
      <c r="P974" s="8">
        <f t="shared" si="67"/>
        <v>12.684462696783026</v>
      </c>
      <c r="Q974" s="5" t="str">
        <f t="shared" si="69"/>
        <v>Employed</v>
      </c>
      <c r="R974">
        <v>1</v>
      </c>
      <c r="S974">
        <v>0</v>
      </c>
      <c r="T974">
        <v>0</v>
      </c>
      <c r="U974">
        <v>0</v>
      </c>
      <c r="V974" t="s">
        <v>29</v>
      </c>
      <c r="W974">
        <v>2</v>
      </c>
    </row>
    <row r="975" spans="1:23" x14ac:dyDescent="0.2">
      <c r="A975">
        <v>5036750</v>
      </c>
      <c r="B975" t="s">
        <v>18</v>
      </c>
      <c r="C975" t="s">
        <v>19</v>
      </c>
      <c r="D975" t="s">
        <v>20</v>
      </c>
      <c r="E975">
        <v>0</v>
      </c>
      <c r="F975">
        <v>90000</v>
      </c>
      <c r="G975" t="s">
        <v>26</v>
      </c>
      <c r="H975" t="s">
        <v>27</v>
      </c>
      <c r="I975" t="s">
        <v>28</v>
      </c>
      <c r="J975" t="s">
        <v>24</v>
      </c>
      <c r="K975" s="6">
        <f t="shared" ca="1" si="68"/>
        <v>27017</v>
      </c>
      <c r="L975">
        <v>-18744</v>
      </c>
      <c r="M975" s="7">
        <f t="shared" ca="1" si="66"/>
        <v>51.318275154004105</v>
      </c>
      <c r="N975" s="5" t="str">
        <f ca="1">VLOOKUP(Data!M975,temp!$B$3:$C$9,2,1)</f>
        <v>50-60</v>
      </c>
      <c r="O975">
        <v>-3141</v>
      </c>
      <c r="P975" s="8">
        <f t="shared" si="67"/>
        <v>8.5995893223819309</v>
      </c>
      <c r="Q975" s="5" t="str">
        <f t="shared" si="69"/>
        <v>Employed</v>
      </c>
      <c r="R975">
        <v>1</v>
      </c>
      <c r="S975">
        <v>0</v>
      </c>
      <c r="T975">
        <v>1</v>
      </c>
      <c r="U975">
        <v>0</v>
      </c>
      <c r="V975" t="s">
        <v>29</v>
      </c>
      <c r="W975">
        <v>2</v>
      </c>
    </row>
    <row r="976" spans="1:23" x14ac:dyDescent="0.2">
      <c r="A976">
        <v>5036763</v>
      </c>
      <c r="B976" t="s">
        <v>18</v>
      </c>
      <c r="C976" t="s">
        <v>19</v>
      </c>
      <c r="D976" t="s">
        <v>20</v>
      </c>
      <c r="E976">
        <v>2</v>
      </c>
      <c r="F976">
        <v>121500</v>
      </c>
      <c r="G976" t="s">
        <v>31</v>
      </c>
      <c r="H976" t="s">
        <v>27</v>
      </c>
      <c r="I976" t="s">
        <v>28</v>
      </c>
      <c r="J976" t="s">
        <v>24</v>
      </c>
      <c r="K976" s="6">
        <f t="shared" ca="1" si="68"/>
        <v>31266</v>
      </c>
      <c r="L976">
        <v>-14495</v>
      </c>
      <c r="M976" s="7">
        <f t="shared" ca="1" si="66"/>
        <v>39.685147159479811</v>
      </c>
      <c r="N976" s="5" t="str">
        <f ca="1">VLOOKUP(Data!M976,temp!$B$3:$C$9,2,1)</f>
        <v>30-40</v>
      </c>
      <c r="O976">
        <v>-1436</v>
      </c>
      <c r="P976" s="8">
        <f t="shared" si="67"/>
        <v>3.9315537303216974</v>
      </c>
      <c r="Q976" s="5" t="str">
        <f t="shared" si="69"/>
        <v>Employed</v>
      </c>
      <c r="R976">
        <v>1</v>
      </c>
      <c r="S976">
        <v>0</v>
      </c>
      <c r="T976">
        <v>0</v>
      </c>
      <c r="U976">
        <v>0</v>
      </c>
      <c r="V976" t="s">
        <v>39</v>
      </c>
      <c r="W976">
        <v>4</v>
      </c>
    </row>
    <row r="977" spans="1:23" x14ac:dyDescent="0.2">
      <c r="A977">
        <v>5036777</v>
      </c>
      <c r="B977" t="s">
        <v>25</v>
      </c>
      <c r="C977" t="s">
        <v>20</v>
      </c>
      <c r="D977" t="s">
        <v>20</v>
      </c>
      <c r="E977">
        <v>2</v>
      </c>
      <c r="F977">
        <v>225000</v>
      </c>
      <c r="G977" t="s">
        <v>31</v>
      </c>
      <c r="H977" t="s">
        <v>27</v>
      </c>
      <c r="I977" t="s">
        <v>28</v>
      </c>
      <c r="J977" t="s">
        <v>24</v>
      </c>
      <c r="K977" s="6">
        <f t="shared" ca="1" si="68"/>
        <v>31634</v>
      </c>
      <c r="L977">
        <v>-14127</v>
      </c>
      <c r="M977" s="7">
        <f t="shared" ca="1" si="66"/>
        <v>38.677618069815196</v>
      </c>
      <c r="N977" s="5" t="str">
        <f ca="1">VLOOKUP(Data!M977,temp!$B$3:$C$9,2,1)</f>
        <v>30-40</v>
      </c>
      <c r="O977">
        <v>-1346</v>
      </c>
      <c r="P977" s="8">
        <f t="shared" si="67"/>
        <v>3.6851471594798082</v>
      </c>
      <c r="Q977" s="5" t="str">
        <f t="shared" si="69"/>
        <v>Employed</v>
      </c>
      <c r="R977">
        <v>1</v>
      </c>
      <c r="S977">
        <v>0</v>
      </c>
      <c r="T977">
        <v>0</v>
      </c>
      <c r="U977">
        <v>0</v>
      </c>
      <c r="V977" t="s">
        <v>32</v>
      </c>
      <c r="W977">
        <v>4</v>
      </c>
    </row>
    <row r="978" spans="1:23" x14ac:dyDescent="0.2">
      <c r="A978">
        <v>5036794</v>
      </c>
      <c r="B978" t="s">
        <v>18</v>
      </c>
      <c r="C978" t="s">
        <v>19</v>
      </c>
      <c r="D978" t="s">
        <v>20</v>
      </c>
      <c r="E978">
        <v>0</v>
      </c>
      <c r="F978">
        <v>225000</v>
      </c>
      <c r="G978" t="s">
        <v>21</v>
      </c>
      <c r="H978" t="s">
        <v>27</v>
      </c>
      <c r="I978" t="s">
        <v>28</v>
      </c>
      <c r="J978" t="s">
        <v>24</v>
      </c>
      <c r="K978" s="6">
        <f t="shared" ca="1" si="68"/>
        <v>22228</v>
      </c>
      <c r="L978">
        <v>-23533</v>
      </c>
      <c r="M978" s="7">
        <f t="shared" ca="1" si="66"/>
        <v>64.429842573579734</v>
      </c>
      <c r="N978" s="5" t="str">
        <f ca="1">VLOOKUP(Data!M978,temp!$B$3:$C$9,2,1)</f>
        <v>60-70</v>
      </c>
      <c r="O978">
        <v>365243</v>
      </c>
      <c r="P978" s="8">
        <f t="shared" si="67"/>
        <v>0</v>
      </c>
      <c r="Q978" s="5" t="str">
        <f t="shared" si="69"/>
        <v>Unemployed</v>
      </c>
      <c r="R978">
        <v>1</v>
      </c>
      <c r="S978">
        <v>0</v>
      </c>
      <c r="T978">
        <v>0</v>
      </c>
      <c r="U978">
        <v>0</v>
      </c>
      <c r="W978">
        <v>2</v>
      </c>
    </row>
    <row r="979" spans="1:23" x14ac:dyDescent="0.2">
      <c r="A979">
        <v>5036814</v>
      </c>
      <c r="B979" t="s">
        <v>18</v>
      </c>
      <c r="C979" t="s">
        <v>19</v>
      </c>
      <c r="D979" t="s">
        <v>20</v>
      </c>
      <c r="E979">
        <v>0</v>
      </c>
      <c r="F979">
        <v>90000</v>
      </c>
      <c r="G979" t="s">
        <v>26</v>
      </c>
      <c r="H979" t="s">
        <v>27</v>
      </c>
      <c r="I979" t="s">
        <v>33</v>
      </c>
      <c r="J979" t="s">
        <v>24</v>
      </c>
      <c r="K979" s="6">
        <f t="shared" ca="1" si="68"/>
        <v>25970</v>
      </c>
      <c r="L979">
        <v>-19791</v>
      </c>
      <c r="M979" s="7">
        <f t="shared" ca="1" si="66"/>
        <v>54.18480492813142</v>
      </c>
      <c r="N979" s="5" t="str">
        <f ca="1">VLOOKUP(Data!M979,temp!$B$3:$C$9,2,1)</f>
        <v>50-60</v>
      </c>
      <c r="O979">
        <v>-3172</v>
      </c>
      <c r="P979" s="8">
        <f t="shared" si="67"/>
        <v>8.6844626967830258</v>
      </c>
      <c r="Q979" s="5" t="str">
        <f t="shared" si="69"/>
        <v>Employed</v>
      </c>
      <c r="R979">
        <v>1</v>
      </c>
      <c r="S979">
        <v>0</v>
      </c>
      <c r="T979">
        <v>1</v>
      </c>
      <c r="U979">
        <v>0</v>
      </c>
      <c r="W979">
        <v>1</v>
      </c>
    </row>
    <row r="980" spans="1:23" x14ac:dyDescent="0.2">
      <c r="A980">
        <v>5036830</v>
      </c>
      <c r="B980" t="s">
        <v>18</v>
      </c>
      <c r="C980" t="s">
        <v>20</v>
      </c>
      <c r="D980" t="s">
        <v>20</v>
      </c>
      <c r="E980">
        <v>0</v>
      </c>
      <c r="F980">
        <v>175500</v>
      </c>
      <c r="G980" t="s">
        <v>31</v>
      </c>
      <c r="H980" t="s">
        <v>27</v>
      </c>
      <c r="I980" t="s">
        <v>28</v>
      </c>
      <c r="J980" t="s">
        <v>24</v>
      </c>
      <c r="K980" s="6">
        <f t="shared" ca="1" si="68"/>
        <v>27708</v>
      </c>
      <c r="L980">
        <v>-18053</v>
      </c>
      <c r="M980" s="7">
        <f t="shared" ca="1" si="66"/>
        <v>49.426420260095824</v>
      </c>
      <c r="N980" s="5" t="str">
        <f ca="1">VLOOKUP(Data!M980,temp!$B$3:$C$9,2,1)</f>
        <v>40-50</v>
      </c>
      <c r="O980">
        <v>-3141</v>
      </c>
      <c r="P980" s="8">
        <f t="shared" si="67"/>
        <v>8.5995893223819309</v>
      </c>
      <c r="Q980" s="5" t="str">
        <f t="shared" si="69"/>
        <v>Employed</v>
      </c>
      <c r="R980">
        <v>1</v>
      </c>
      <c r="S980">
        <v>0</v>
      </c>
      <c r="T980">
        <v>0</v>
      </c>
      <c r="U980">
        <v>0</v>
      </c>
      <c r="V980" t="s">
        <v>39</v>
      </c>
      <c r="W980">
        <v>2</v>
      </c>
    </row>
    <row r="981" spans="1:23" x14ac:dyDescent="0.2">
      <c r="A981">
        <v>5036855</v>
      </c>
      <c r="B981" t="s">
        <v>18</v>
      </c>
      <c r="C981" t="s">
        <v>19</v>
      </c>
      <c r="D981" t="s">
        <v>19</v>
      </c>
      <c r="E981">
        <v>0</v>
      </c>
      <c r="F981">
        <v>112500</v>
      </c>
      <c r="G981" t="s">
        <v>35</v>
      </c>
      <c r="H981" t="s">
        <v>27</v>
      </c>
      <c r="I981" t="s">
        <v>23</v>
      </c>
      <c r="J981" t="s">
        <v>24</v>
      </c>
      <c r="K981" s="6">
        <f t="shared" ca="1" si="68"/>
        <v>28194</v>
      </c>
      <c r="L981">
        <v>-17567</v>
      </c>
      <c r="M981" s="7">
        <f t="shared" ca="1" si="66"/>
        <v>48.095824777549623</v>
      </c>
      <c r="N981" s="5" t="str">
        <f ca="1">VLOOKUP(Data!M981,temp!$B$3:$C$9,2,1)</f>
        <v>40-50</v>
      </c>
      <c r="O981">
        <v>-1374</v>
      </c>
      <c r="P981" s="8">
        <f t="shared" si="67"/>
        <v>3.761806981519507</v>
      </c>
      <c r="Q981" s="5" t="str">
        <f t="shared" si="69"/>
        <v>Employed</v>
      </c>
      <c r="R981">
        <v>1</v>
      </c>
      <c r="S981">
        <v>0</v>
      </c>
      <c r="T981">
        <v>1</v>
      </c>
      <c r="U981">
        <v>0</v>
      </c>
      <c r="V981" t="s">
        <v>46</v>
      </c>
      <c r="W981">
        <v>1</v>
      </c>
    </row>
    <row r="982" spans="1:23" x14ac:dyDescent="0.2">
      <c r="A982">
        <v>5036857</v>
      </c>
      <c r="B982" t="s">
        <v>18</v>
      </c>
      <c r="C982" t="s">
        <v>19</v>
      </c>
      <c r="D982" t="s">
        <v>20</v>
      </c>
      <c r="E982">
        <v>0</v>
      </c>
      <c r="F982">
        <v>121500</v>
      </c>
      <c r="G982" t="s">
        <v>31</v>
      </c>
      <c r="H982" t="s">
        <v>27</v>
      </c>
      <c r="I982" t="s">
        <v>37</v>
      </c>
      <c r="J982" t="s">
        <v>24</v>
      </c>
      <c r="K982" s="6">
        <f t="shared" ca="1" si="68"/>
        <v>27248</v>
      </c>
      <c r="L982">
        <v>-18513</v>
      </c>
      <c r="M982" s="7">
        <f t="shared" ca="1" si="66"/>
        <v>50.685831622176593</v>
      </c>
      <c r="N982" s="5" t="str">
        <f ca="1">VLOOKUP(Data!M982,temp!$B$3:$C$9,2,1)</f>
        <v>50-60</v>
      </c>
      <c r="O982">
        <v>-8163</v>
      </c>
      <c r="P982" s="8">
        <f t="shared" si="67"/>
        <v>22.349075975359344</v>
      </c>
      <c r="Q982" s="5" t="str">
        <f t="shared" si="69"/>
        <v>Employed</v>
      </c>
      <c r="R982">
        <v>1</v>
      </c>
      <c r="S982">
        <v>0</v>
      </c>
      <c r="T982">
        <v>0</v>
      </c>
      <c r="U982">
        <v>0</v>
      </c>
      <c r="V982" t="s">
        <v>47</v>
      </c>
      <c r="W982">
        <v>2</v>
      </c>
    </row>
    <row r="983" spans="1:23" x14ac:dyDescent="0.2">
      <c r="A983">
        <v>5036870</v>
      </c>
      <c r="B983" t="s">
        <v>18</v>
      </c>
      <c r="C983" t="s">
        <v>19</v>
      </c>
      <c r="D983" t="s">
        <v>20</v>
      </c>
      <c r="E983">
        <v>0</v>
      </c>
      <c r="F983">
        <v>72000</v>
      </c>
      <c r="G983" t="s">
        <v>21</v>
      </c>
      <c r="H983" t="s">
        <v>27</v>
      </c>
      <c r="I983" t="s">
        <v>28</v>
      </c>
      <c r="J983" t="s">
        <v>24</v>
      </c>
      <c r="K983" s="6">
        <f t="shared" ca="1" si="68"/>
        <v>23940</v>
      </c>
      <c r="L983">
        <v>-21821</v>
      </c>
      <c r="M983" s="7">
        <f t="shared" ca="1" si="66"/>
        <v>59.742642026009584</v>
      </c>
      <c r="N983" s="5" t="str">
        <f ca="1">VLOOKUP(Data!M983,temp!$B$3:$C$9,2,1)</f>
        <v>50-60</v>
      </c>
      <c r="O983">
        <v>365243</v>
      </c>
      <c r="P983" s="8">
        <f t="shared" si="67"/>
        <v>0</v>
      </c>
      <c r="Q983" s="5" t="str">
        <f t="shared" si="69"/>
        <v>Unemployed</v>
      </c>
      <c r="R983">
        <v>1</v>
      </c>
      <c r="S983">
        <v>0</v>
      </c>
      <c r="T983">
        <v>0</v>
      </c>
      <c r="U983">
        <v>0</v>
      </c>
      <c r="W983">
        <v>2</v>
      </c>
    </row>
    <row r="984" spans="1:23" x14ac:dyDescent="0.2">
      <c r="A984">
        <v>5036876</v>
      </c>
      <c r="B984" t="s">
        <v>18</v>
      </c>
      <c r="C984" t="s">
        <v>19</v>
      </c>
      <c r="D984" t="s">
        <v>19</v>
      </c>
      <c r="E984">
        <v>0</v>
      </c>
      <c r="F984">
        <v>81000</v>
      </c>
      <c r="G984" t="s">
        <v>21</v>
      </c>
      <c r="H984" t="s">
        <v>27</v>
      </c>
      <c r="I984" t="s">
        <v>28</v>
      </c>
      <c r="J984" t="s">
        <v>24</v>
      </c>
      <c r="K984" s="6">
        <f t="shared" ca="1" si="68"/>
        <v>25478</v>
      </c>
      <c r="L984">
        <v>-20283</v>
      </c>
      <c r="M984" s="7">
        <f t="shared" ca="1" si="66"/>
        <v>55.531827515400408</v>
      </c>
      <c r="N984" s="5" t="str">
        <f ca="1">VLOOKUP(Data!M984,temp!$B$3:$C$9,2,1)</f>
        <v>50-60</v>
      </c>
      <c r="O984">
        <v>365243</v>
      </c>
      <c r="P984" s="8">
        <f t="shared" si="67"/>
        <v>0</v>
      </c>
      <c r="Q984" s="5" t="str">
        <f t="shared" si="69"/>
        <v>Unemployed</v>
      </c>
      <c r="R984">
        <v>1</v>
      </c>
      <c r="S984">
        <v>0</v>
      </c>
      <c r="T984">
        <v>1</v>
      </c>
      <c r="U984">
        <v>0</v>
      </c>
      <c r="W984">
        <v>2</v>
      </c>
    </row>
    <row r="985" spans="1:23" x14ac:dyDescent="0.2">
      <c r="A985">
        <v>5036898</v>
      </c>
      <c r="B985" t="s">
        <v>25</v>
      </c>
      <c r="C985" t="s">
        <v>19</v>
      </c>
      <c r="D985" t="s">
        <v>20</v>
      </c>
      <c r="E985">
        <v>1</v>
      </c>
      <c r="F985">
        <v>90000</v>
      </c>
      <c r="G985" t="s">
        <v>31</v>
      </c>
      <c r="H985" t="s">
        <v>27</v>
      </c>
      <c r="I985" t="s">
        <v>37</v>
      </c>
      <c r="J985" t="s">
        <v>24</v>
      </c>
      <c r="K985" s="6">
        <f t="shared" ca="1" si="68"/>
        <v>31370</v>
      </c>
      <c r="L985">
        <v>-14391</v>
      </c>
      <c r="M985" s="7">
        <f t="shared" ca="1" si="66"/>
        <v>39.400410677618069</v>
      </c>
      <c r="N985" s="5" t="str">
        <f ca="1">VLOOKUP(Data!M985,temp!$B$3:$C$9,2,1)</f>
        <v>30-40</v>
      </c>
      <c r="O985">
        <v>-1162</v>
      </c>
      <c r="P985" s="8">
        <f t="shared" si="67"/>
        <v>3.1813826146475015</v>
      </c>
      <c r="Q985" s="5" t="str">
        <f t="shared" si="69"/>
        <v>Employed</v>
      </c>
      <c r="R985">
        <v>1</v>
      </c>
      <c r="S985">
        <v>1</v>
      </c>
      <c r="T985">
        <v>0</v>
      </c>
      <c r="U985">
        <v>0</v>
      </c>
      <c r="V985" t="s">
        <v>39</v>
      </c>
      <c r="W985">
        <v>3</v>
      </c>
    </row>
    <row r="986" spans="1:23" x14ac:dyDescent="0.2">
      <c r="A986">
        <v>5036910</v>
      </c>
      <c r="B986" t="s">
        <v>18</v>
      </c>
      <c r="C986" t="s">
        <v>20</v>
      </c>
      <c r="D986" t="s">
        <v>20</v>
      </c>
      <c r="E986">
        <v>1</v>
      </c>
      <c r="F986">
        <v>108000</v>
      </c>
      <c r="G986" t="s">
        <v>31</v>
      </c>
      <c r="H986" t="s">
        <v>27</v>
      </c>
      <c r="I986" t="s">
        <v>28</v>
      </c>
      <c r="J986" t="s">
        <v>24</v>
      </c>
      <c r="K986" s="6">
        <f t="shared" ca="1" si="68"/>
        <v>30382</v>
      </c>
      <c r="L986">
        <v>-15379</v>
      </c>
      <c r="M986" s="7">
        <f t="shared" ca="1" si="66"/>
        <v>42.105407255304584</v>
      </c>
      <c r="N986" s="5" t="str">
        <f ca="1">VLOOKUP(Data!M986,temp!$B$3:$C$9,2,1)</f>
        <v>40-50</v>
      </c>
      <c r="O986">
        <v>-796</v>
      </c>
      <c r="P986" s="8">
        <f t="shared" si="67"/>
        <v>2.1793292265571527</v>
      </c>
      <c r="Q986" s="5" t="str">
        <f t="shared" si="69"/>
        <v>Employed</v>
      </c>
      <c r="R986">
        <v>1</v>
      </c>
      <c r="S986">
        <v>0</v>
      </c>
      <c r="T986">
        <v>0</v>
      </c>
      <c r="U986">
        <v>0</v>
      </c>
      <c r="V986" t="s">
        <v>38</v>
      </c>
      <c r="W986">
        <v>3</v>
      </c>
    </row>
    <row r="987" spans="1:23" x14ac:dyDescent="0.2">
      <c r="A987">
        <v>5036934</v>
      </c>
      <c r="B987" t="s">
        <v>18</v>
      </c>
      <c r="C987" t="s">
        <v>19</v>
      </c>
      <c r="D987" t="s">
        <v>20</v>
      </c>
      <c r="E987">
        <v>0</v>
      </c>
      <c r="F987">
        <v>225000</v>
      </c>
      <c r="G987" t="s">
        <v>21</v>
      </c>
      <c r="H987" t="s">
        <v>27</v>
      </c>
      <c r="I987" t="s">
        <v>23</v>
      </c>
      <c r="J987" t="s">
        <v>24</v>
      </c>
      <c r="K987" s="6">
        <f t="shared" ca="1" si="68"/>
        <v>24783</v>
      </c>
      <c r="L987">
        <v>-20978</v>
      </c>
      <c r="M987" s="7">
        <f t="shared" ca="1" si="66"/>
        <v>57.434633812457221</v>
      </c>
      <c r="N987" s="5" t="str">
        <f ca="1">VLOOKUP(Data!M987,temp!$B$3:$C$9,2,1)</f>
        <v>50-60</v>
      </c>
      <c r="O987">
        <v>365243</v>
      </c>
      <c r="P987" s="8">
        <f t="shared" si="67"/>
        <v>0</v>
      </c>
      <c r="Q987" s="5" t="str">
        <f t="shared" si="69"/>
        <v>Unemployed</v>
      </c>
      <c r="R987">
        <v>1</v>
      </c>
      <c r="S987">
        <v>0</v>
      </c>
      <c r="T987">
        <v>1</v>
      </c>
      <c r="U987">
        <v>0</v>
      </c>
      <c r="W987">
        <v>1</v>
      </c>
    </row>
    <row r="988" spans="1:23" x14ac:dyDescent="0.2">
      <c r="A988">
        <v>5036960</v>
      </c>
      <c r="B988" t="s">
        <v>25</v>
      </c>
      <c r="C988" t="s">
        <v>19</v>
      </c>
      <c r="D988" t="s">
        <v>20</v>
      </c>
      <c r="E988">
        <v>0</v>
      </c>
      <c r="F988">
        <v>157500</v>
      </c>
      <c r="G988" t="s">
        <v>31</v>
      </c>
      <c r="H988" t="s">
        <v>27</v>
      </c>
      <c r="I988" t="s">
        <v>28</v>
      </c>
      <c r="J988" t="s">
        <v>24</v>
      </c>
      <c r="K988" s="6">
        <f t="shared" ca="1" si="68"/>
        <v>23936</v>
      </c>
      <c r="L988">
        <v>-21825</v>
      </c>
      <c r="M988" s="7">
        <f t="shared" ca="1" si="66"/>
        <v>59.753593429158109</v>
      </c>
      <c r="N988" s="5" t="str">
        <f ca="1">VLOOKUP(Data!M988,temp!$B$3:$C$9,2,1)</f>
        <v>50-60</v>
      </c>
      <c r="O988">
        <v>-6671</v>
      </c>
      <c r="P988" s="8">
        <f t="shared" si="67"/>
        <v>18.264202600958249</v>
      </c>
      <c r="Q988" s="5" t="str">
        <f t="shared" si="69"/>
        <v>Employed</v>
      </c>
      <c r="R988">
        <v>1</v>
      </c>
      <c r="S988">
        <v>0</v>
      </c>
      <c r="T988">
        <v>0</v>
      </c>
      <c r="U988">
        <v>0</v>
      </c>
      <c r="V988" t="s">
        <v>29</v>
      </c>
      <c r="W988">
        <v>2</v>
      </c>
    </row>
    <row r="989" spans="1:23" x14ac:dyDescent="0.2">
      <c r="A989">
        <v>5036978</v>
      </c>
      <c r="B989" t="s">
        <v>18</v>
      </c>
      <c r="C989" t="s">
        <v>20</v>
      </c>
      <c r="D989" t="s">
        <v>19</v>
      </c>
      <c r="E989">
        <v>0</v>
      </c>
      <c r="F989">
        <v>202500</v>
      </c>
      <c r="G989" t="s">
        <v>21</v>
      </c>
      <c r="H989" t="s">
        <v>27</v>
      </c>
      <c r="I989" t="s">
        <v>28</v>
      </c>
      <c r="J989" t="s">
        <v>24</v>
      </c>
      <c r="K989" s="6">
        <f t="shared" ca="1" si="68"/>
        <v>24041</v>
      </c>
      <c r="L989">
        <v>-21720</v>
      </c>
      <c r="M989" s="7">
        <f t="shared" ca="1" si="66"/>
        <v>59.466119096509239</v>
      </c>
      <c r="N989" s="5" t="str">
        <f ca="1">VLOOKUP(Data!M989,temp!$B$3:$C$9,2,1)</f>
        <v>50-60</v>
      </c>
      <c r="O989">
        <v>365243</v>
      </c>
      <c r="P989" s="8">
        <f t="shared" si="67"/>
        <v>0</v>
      </c>
      <c r="Q989" s="5" t="str">
        <f t="shared" si="69"/>
        <v>Unemployed</v>
      </c>
      <c r="R989">
        <v>1</v>
      </c>
      <c r="S989">
        <v>0</v>
      </c>
      <c r="T989">
        <v>0</v>
      </c>
      <c r="U989">
        <v>0</v>
      </c>
      <c r="W989">
        <v>2</v>
      </c>
    </row>
    <row r="990" spans="1:23" x14ac:dyDescent="0.2">
      <c r="A990">
        <v>5036987</v>
      </c>
      <c r="B990" t="s">
        <v>18</v>
      </c>
      <c r="C990" t="s">
        <v>19</v>
      </c>
      <c r="D990" t="s">
        <v>20</v>
      </c>
      <c r="E990">
        <v>1</v>
      </c>
      <c r="F990">
        <v>135000</v>
      </c>
      <c r="G990" t="s">
        <v>35</v>
      </c>
      <c r="H990" t="s">
        <v>27</v>
      </c>
      <c r="I990" t="s">
        <v>28</v>
      </c>
      <c r="J990" t="s">
        <v>24</v>
      </c>
      <c r="K990" s="6">
        <f t="shared" ca="1" si="68"/>
        <v>32157</v>
      </c>
      <c r="L990">
        <v>-13604</v>
      </c>
      <c r="M990" s="7">
        <f t="shared" ca="1" si="66"/>
        <v>37.24572210814511</v>
      </c>
      <c r="N990" s="5" t="str">
        <f ca="1">VLOOKUP(Data!M990,temp!$B$3:$C$9,2,1)</f>
        <v>30-40</v>
      </c>
      <c r="O990">
        <v>-1497</v>
      </c>
      <c r="P990" s="8">
        <f t="shared" si="67"/>
        <v>4.0985626283367553</v>
      </c>
      <c r="Q990" s="5" t="str">
        <f t="shared" si="69"/>
        <v>Employed</v>
      </c>
      <c r="R990">
        <v>1</v>
      </c>
      <c r="S990">
        <v>0</v>
      </c>
      <c r="T990">
        <v>0</v>
      </c>
      <c r="U990">
        <v>0</v>
      </c>
      <c r="V990" t="s">
        <v>55</v>
      </c>
      <c r="W990">
        <v>3</v>
      </c>
    </row>
    <row r="991" spans="1:23" x14ac:dyDescent="0.2">
      <c r="A991">
        <v>5036993</v>
      </c>
      <c r="B991" t="s">
        <v>18</v>
      </c>
      <c r="C991" t="s">
        <v>19</v>
      </c>
      <c r="D991" t="s">
        <v>20</v>
      </c>
      <c r="E991">
        <v>0</v>
      </c>
      <c r="F991">
        <v>121500</v>
      </c>
      <c r="G991" t="s">
        <v>31</v>
      </c>
      <c r="H991" t="s">
        <v>27</v>
      </c>
      <c r="I991" t="s">
        <v>28</v>
      </c>
      <c r="J991" t="s">
        <v>24</v>
      </c>
      <c r="K991" s="6">
        <f t="shared" ca="1" si="68"/>
        <v>24141</v>
      </c>
      <c r="L991">
        <v>-21620</v>
      </c>
      <c r="M991" s="7">
        <f t="shared" ca="1" si="66"/>
        <v>59.192334017796028</v>
      </c>
      <c r="N991" s="5" t="str">
        <f ca="1">VLOOKUP(Data!M991,temp!$B$3:$C$9,2,1)</f>
        <v>50-60</v>
      </c>
      <c r="O991">
        <v>-158</v>
      </c>
      <c r="P991" s="8">
        <f t="shared" si="67"/>
        <v>0.432580424366872</v>
      </c>
      <c r="Q991" s="5" t="str">
        <f t="shared" si="69"/>
        <v>Employed</v>
      </c>
      <c r="R991">
        <v>1</v>
      </c>
      <c r="S991">
        <v>0</v>
      </c>
      <c r="T991">
        <v>0</v>
      </c>
      <c r="U991">
        <v>0</v>
      </c>
      <c r="V991" t="s">
        <v>29</v>
      </c>
      <c r="W991">
        <v>2</v>
      </c>
    </row>
    <row r="992" spans="1:23" x14ac:dyDescent="0.2">
      <c r="A992">
        <v>5037000</v>
      </c>
      <c r="B992" t="s">
        <v>18</v>
      </c>
      <c r="C992" t="s">
        <v>19</v>
      </c>
      <c r="D992" t="s">
        <v>19</v>
      </c>
      <c r="E992">
        <v>0</v>
      </c>
      <c r="F992">
        <v>135000</v>
      </c>
      <c r="G992" t="s">
        <v>31</v>
      </c>
      <c r="H992" t="s">
        <v>27</v>
      </c>
      <c r="I992" t="s">
        <v>28</v>
      </c>
      <c r="J992" t="s">
        <v>24</v>
      </c>
      <c r="K992" s="6">
        <f t="shared" ca="1" si="68"/>
        <v>26758</v>
      </c>
      <c r="L992">
        <v>-19003</v>
      </c>
      <c r="M992" s="7">
        <f t="shared" ca="1" si="66"/>
        <v>52.027378507871319</v>
      </c>
      <c r="N992" s="5" t="str">
        <f ca="1">VLOOKUP(Data!M992,temp!$B$3:$C$9,2,1)</f>
        <v>50-60</v>
      </c>
      <c r="O992">
        <v>-11785</v>
      </c>
      <c r="P992" s="8">
        <f t="shared" si="67"/>
        <v>32.265571526351813</v>
      </c>
      <c r="Q992" s="5" t="str">
        <f t="shared" si="69"/>
        <v>Employed</v>
      </c>
      <c r="R992">
        <v>1</v>
      </c>
      <c r="S992">
        <v>0</v>
      </c>
      <c r="T992">
        <v>0</v>
      </c>
      <c r="U992">
        <v>0</v>
      </c>
      <c r="V992" t="s">
        <v>50</v>
      </c>
      <c r="W992">
        <v>2</v>
      </c>
    </row>
    <row r="993" spans="1:23" x14ac:dyDescent="0.2">
      <c r="A993">
        <v>5037010</v>
      </c>
      <c r="B993" t="s">
        <v>18</v>
      </c>
      <c r="C993" t="s">
        <v>19</v>
      </c>
      <c r="D993" t="s">
        <v>20</v>
      </c>
      <c r="E993">
        <v>0</v>
      </c>
      <c r="F993">
        <v>135000</v>
      </c>
      <c r="G993" t="s">
        <v>31</v>
      </c>
      <c r="H993" t="s">
        <v>27</v>
      </c>
      <c r="I993" t="s">
        <v>42</v>
      </c>
      <c r="J993" t="s">
        <v>24</v>
      </c>
      <c r="K993" s="6">
        <f t="shared" ca="1" si="68"/>
        <v>31367</v>
      </c>
      <c r="L993">
        <v>-14394</v>
      </c>
      <c r="M993" s="7">
        <f t="shared" ca="1" si="66"/>
        <v>39.408624229979466</v>
      </c>
      <c r="N993" s="5" t="str">
        <f ca="1">VLOOKUP(Data!M993,temp!$B$3:$C$9,2,1)</f>
        <v>30-40</v>
      </c>
      <c r="O993">
        <v>-919</v>
      </c>
      <c r="P993" s="8">
        <f t="shared" si="67"/>
        <v>2.516084873374401</v>
      </c>
      <c r="Q993" s="5" t="str">
        <f t="shared" si="69"/>
        <v>Employed</v>
      </c>
      <c r="R993">
        <v>1</v>
      </c>
      <c r="S993">
        <v>0</v>
      </c>
      <c r="T993">
        <v>1</v>
      </c>
      <c r="U993">
        <v>0</v>
      </c>
      <c r="V993" t="s">
        <v>32</v>
      </c>
      <c r="W993">
        <v>1</v>
      </c>
    </row>
    <row r="994" spans="1:23" x14ac:dyDescent="0.2">
      <c r="A994">
        <v>5037012</v>
      </c>
      <c r="B994" t="s">
        <v>18</v>
      </c>
      <c r="C994" t="s">
        <v>19</v>
      </c>
      <c r="D994" t="s">
        <v>20</v>
      </c>
      <c r="E994">
        <v>0</v>
      </c>
      <c r="F994">
        <v>247500</v>
      </c>
      <c r="G994" t="s">
        <v>31</v>
      </c>
      <c r="H994" t="s">
        <v>27</v>
      </c>
      <c r="I994" t="s">
        <v>28</v>
      </c>
      <c r="J994" t="s">
        <v>24</v>
      </c>
      <c r="K994" s="6">
        <f t="shared" ca="1" si="68"/>
        <v>27233</v>
      </c>
      <c r="L994">
        <v>-18528</v>
      </c>
      <c r="M994" s="7">
        <f t="shared" ca="1" si="66"/>
        <v>50.726899383983572</v>
      </c>
      <c r="N994" s="5" t="str">
        <f ca="1">VLOOKUP(Data!M994,temp!$B$3:$C$9,2,1)</f>
        <v>50-60</v>
      </c>
      <c r="O994">
        <v>-4054</v>
      </c>
      <c r="P994" s="8">
        <f t="shared" si="67"/>
        <v>11.099247091033538</v>
      </c>
      <c r="Q994" s="5" t="str">
        <f t="shared" si="69"/>
        <v>Employed</v>
      </c>
      <c r="R994">
        <v>1</v>
      </c>
      <c r="S994">
        <v>0</v>
      </c>
      <c r="T994">
        <v>0</v>
      </c>
      <c r="U994">
        <v>0</v>
      </c>
      <c r="V994" t="s">
        <v>30</v>
      </c>
      <c r="W994">
        <v>2</v>
      </c>
    </row>
    <row r="995" spans="1:23" x14ac:dyDescent="0.2">
      <c r="A995">
        <v>5037015</v>
      </c>
      <c r="B995" t="s">
        <v>18</v>
      </c>
      <c r="C995" t="s">
        <v>19</v>
      </c>
      <c r="D995" t="s">
        <v>20</v>
      </c>
      <c r="E995">
        <v>0</v>
      </c>
      <c r="F995">
        <v>90000</v>
      </c>
      <c r="G995" t="s">
        <v>21</v>
      </c>
      <c r="H995" t="s">
        <v>27</v>
      </c>
      <c r="I995" t="s">
        <v>42</v>
      </c>
      <c r="J995" t="s">
        <v>24</v>
      </c>
      <c r="K995" s="6">
        <f t="shared" ca="1" si="68"/>
        <v>21003</v>
      </c>
      <c r="L995">
        <v>-24758</v>
      </c>
      <c r="M995" s="7">
        <f t="shared" ca="1" si="66"/>
        <v>67.783709787816562</v>
      </c>
      <c r="N995" s="5" t="str">
        <f ca="1">VLOOKUP(Data!M995,temp!$B$3:$C$9,2,1)</f>
        <v>60-70</v>
      </c>
      <c r="O995">
        <v>365243</v>
      </c>
      <c r="P995" s="8">
        <f t="shared" si="67"/>
        <v>0</v>
      </c>
      <c r="Q995" s="5" t="str">
        <f t="shared" si="69"/>
        <v>Unemployed</v>
      </c>
      <c r="R995">
        <v>1</v>
      </c>
      <c r="S995">
        <v>0</v>
      </c>
      <c r="T995">
        <v>1</v>
      </c>
      <c r="U995">
        <v>0</v>
      </c>
      <c r="W995">
        <v>1</v>
      </c>
    </row>
    <row r="996" spans="1:23" x14ac:dyDescent="0.2">
      <c r="A996">
        <v>5037042</v>
      </c>
      <c r="B996" t="s">
        <v>18</v>
      </c>
      <c r="C996" t="s">
        <v>19</v>
      </c>
      <c r="D996" t="s">
        <v>20</v>
      </c>
      <c r="E996">
        <v>0</v>
      </c>
      <c r="F996">
        <v>180000</v>
      </c>
      <c r="G996" t="s">
        <v>26</v>
      </c>
      <c r="H996" t="s">
        <v>27</v>
      </c>
      <c r="I996" t="s">
        <v>28</v>
      </c>
      <c r="J996" t="s">
        <v>24</v>
      </c>
      <c r="K996" s="6">
        <f t="shared" ca="1" si="68"/>
        <v>27945</v>
      </c>
      <c r="L996">
        <v>-17816</v>
      </c>
      <c r="M996" s="7">
        <f t="shared" ca="1" si="66"/>
        <v>48.777549623545518</v>
      </c>
      <c r="N996" s="5" t="str">
        <f ca="1">VLOOKUP(Data!M996,temp!$B$3:$C$9,2,1)</f>
        <v>40-50</v>
      </c>
      <c r="O996">
        <v>-1285</v>
      </c>
      <c r="P996" s="8">
        <f t="shared" si="67"/>
        <v>3.5181382614647503</v>
      </c>
      <c r="Q996" s="5" t="str">
        <f t="shared" si="69"/>
        <v>Employed</v>
      </c>
      <c r="R996">
        <v>1</v>
      </c>
      <c r="S996">
        <v>0</v>
      </c>
      <c r="T996">
        <v>0</v>
      </c>
      <c r="U996">
        <v>0</v>
      </c>
      <c r="V996" t="s">
        <v>50</v>
      </c>
      <c r="W996">
        <v>2</v>
      </c>
    </row>
    <row r="997" spans="1:23" x14ac:dyDescent="0.2">
      <c r="A997">
        <v>5037059</v>
      </c>
      <c r="B997" t="s">
        <v>18</v>
      </c>
      <c r="C997" t="s">
        <v>20</v>
      </c>
      <c r="D997" t="s">
        <v>20</v>
      </c>
      <c r="E997">
        <v>0</v>
      </c>
      <c r="F997">
        <v>247500</v>
      </c>
      <c r="G997" t="s">
        <v>31</v>
      </c>
      <c r="H997" t="s">
        <v>27</v>
      </c>
      <c r="I997" t="s">
        <v>28</v>
      </c>
      <c r="J997" t="s">
        <v>24</v>
      </c>
      <c r="K997" s="6">
        <f t="shared" ca="1" si="68"/>
        <v>29842</v>
      </c>
      <c r="L997">
        <v>-15919</v>
      </c>
      <c r="M997" s="7">
        <f t="shared" ca="1" si="66"/>
        <v>43.583846680355919</v>
      </c>
      <c r="N997" s="5" t="str">
        <f ca="1">VLOOKUP(Data!M997,temp!$B$3:$C$9,2,1)</f>
        <v>40-50</v>
      </c>
      <c r="O997">
        <v>-2104</v>
      </c>
      <c r="P997" s="8">
        <f t="shared" si="67"/>
        <v>5.760438056125941</v>
      </c>
      <c r="Q997" s="5" t="str">
        <f t="shared" si="69"/>
        <v>Employed</v>
      </c>
      <c r="R997">
        <v>1</v>
      </c>
      <c r="S997">
        <v>0</v>
      </c>
      <c r="T997">
        <v>1</v>
      </c>
      <c r="U997">
        <v>0</v>
      </c>
      <c r="W997">
        <v>2</v>
      </c>
    </row>
    <row r="998" spans="1:23" x14ac:dyDescent="0.2">
      <c r="A998">
        <v>5037068</v>
      </c>
      <c r="B998" t="s">
        <v>25</v>
      </c>
      <c r="C998" t="s">
        <v>20</v>
      </c>
      <c r="D998" t="s">
        <v>20</v>
      </c>
      <c r="E998">
        <v>1</v>
      </c>
      <c r="F998">
        <v>189000</v>
      </c>
      <c r="G998" t="s">
        <v>31</v>
      </c>
      <c r="H998" t="s">
        <v>36</v>
      </c>
      <c r="I998" t="s">
        <v>28</v>
      </c>
      <c r="J998" t="s">
        <v>24</v>
      </c>
      <c r="K998" s="6">
        <f t="shared" ca="1" si="68"/>
        <v>30474</v>
      </c>
      <c r="L998">
        <v>-15287</v>
      </c>
      <c r="M998" s="7">
        <f t="shared" ca="1" si="66"/>
        <v>41.85352498288843</v>
      </c>
      <c r="N998" s="5" t="str">
        <f ca="1">VLOOKUP(Data!M998,temp!$B$3:$C$9,2,1)</f>
        <v>40-50</v>
      </c>
      <c r="O998">
        <v>-2501</v>
      </c>
      <c r="P998" s="8">
        <f t="shared" si="67"/>
        <v>6.8473648186173852</v>
      </c>
      <c r="Q998" s="5" t="str">
        <f t="shared" si="69"/>
        <v>Employed</v>
      </c>
      <c r="R998">
        <v>1</v>
      </c>
      <c r="S998">
        <v>0</v>
      </c>
      <c r="T998">
        <v>1</v>
      </c>
      <c r="U998">
        <v>0</v>
      </c>
      <c r="W998">
        <v>3</v>
      </c>
    </row>
    <row r="999" spans="1:23" x14ac:dyDescent="0.2">
      <c r="A999">
        <v>5037084</v>
      </c>
      <c r="B999" t="s">
        <v>25</v>
      </c>
      <c r="C999" t="s">
        <v>20</v>
      </c>
      <c r="D999" t="s">
        <v>20</v>
      </c>
      <c r="E999">
        <v>0</v>
      </c>
      <c r="F999">
        <v>225000</v>
      </c>
      <c r="G999" t="s">
        <v>35</v>
      </c>
      <c r="H999" t="s">
        <v>27</v>
      </c>
      <c r="I999" t="s">
        <v>28</v>
      </c>
      <c r="J999" t="s">
        <v>24</v>
      </c>
      <c r="K999" s="6">
        <f t="shared" ca="1" si="68"/>
        <v>32073</v>
      </c>
      <c r="L999">
        <v>-13688</v>
      </c>
      <c r="M999" s="7">
        <f t="shared" ca="1" si="66"/>
        <v>37.4757015742642</v>
      </c>
      <c r="N999" s="5" t="str">
        <f ca="1">VLOOKUP(Data!M999,temp!$B$3:$C$9,2,1)</f>
        <v>30-40</v>
      </c>
      <c r="O999">
        <v>-3506</v>
      </c>
      <c r="P999" s="8">
        <f t="shared" si="67"/>
        <v>9.5989048596851472</v>
      </c>
      <c r="Q999" s="5" t="str">
        <f t="shared" si="69"/>
        <v>Employed</v>
      </c>
      <c r="R999">
        <v>1</v>
      </c>
      <c r="S999">
        <v>0</v>
      </c>
      <c r="T999">
        <v>1</v>
      </c>
      <c r="U999">
        <v>0</v>
      </c>
      <c r="V999" t="s">
        <v>29</v>
      </c>
      <c r="W999">
        <v>2</v>
      </c>
    </row>
    <row r="1000" spans="1:23" x14ac:dyDescent="0.2">
      <c r="A1000">
        <v>5037095</v>
      </c>
      <c r="B1000" t="s">
        <v>18</v>
      </c>
      <c r="C1000" t="s">
        <v>20</v>
      </c>
      <c r="D1000" t="s">
        <v>20</v>
      </c>
      <c r="E1000">
        <v>0</v>
      </c>
      <c r="F1000">
        <v>126000</v>
      </c>
      <c r="G1000" t="s">
        <v>31</v>
      </c>
      <c r="H1000" t="s">
        <v>27</v>
      </c>
      <c r="I1000" t="s">
        <v>33</v>
      </c>
      <c r="J1000" t="s">
        <v>24</v>
      </c>
      <c r="K1000" s="6">
        <f t="shared" ca="1" si="68"/>
        <v>27303</v>
      </c>
      <c r="L1000">
        <v>-18458</v>
      </c>
      <c r="M1000" s="7">
        <f t="shared" ca="1" si="66"/>
        <v>50.535249828884325</v>
      </c>
      <c r="N1000" s="5" t="str">
        <f ca="1">VLOOKUP(Data!M1000,temp!$B$3:$C$9,2,1)</f>
        <v>50-60</v>
      </c>
      <c r="O1000">
        <v>-2104</v>
      </c>
      <c r="P1000" s="8">
        <f t="shared" si="67"/>
        <v>5.760438056125941</v>
      </c>
      <c r="Q1000" s="5" t="str">
        <f t="shared" si="69"/>
        <v>Employed</v>
      </c>
      <c r="R1000">
        <v>1</v>
      </c>
      <c r="S1000">
        <v>0</v>
      </c>
      <c r="T1000">
        <v>0</v>
      </c>
      <c r="U1000">
        <v>0</v>
      </c>
      <c r="V1000" t="s">
        <v>38</v>
      </c>
      <c r="W1000">
        <v>1</v>
      </c>
    </row>
    <row r="1001" spans="1:23" x14ac:dyDescent="0.2">
      <c r="A1001">
        <v>5037096</v>
      </c>
      <c r="B1001" t="s">
        <v>18</v>
      </c>
      <c r="C1001" t="s">
        <v>20</v>
      </c>
      <c r="D1001" t="s">
        <v>20</v>
      </c>
      <c r="E1001">
        <v>0</v>
      </c>
      <c r="F1001">
        <v>126000</v>
      </c>
      <c r="G1001" t="s">
        <v>31</v>
      </c>
      <c r="H1001" t="s">
        <v>27</v>
      </c>
      <c r="I1001" t="s">
        <v>33</v>
      </c>
      <c r="J1001" t="s">
        <v>24</v>
      </c>
      <c r="K1001" s="6">
        <f t="shared" ca="1" si="68"/>
        <v>27303</v>
      </c>
      <c r="L1001">
        <v>-18458</v>
      </c>
      <c r="M1001" s="7">
        <f t="shared" ca="1" si="66"/>
        <v>50.535249828884325</v>
      </c>
      <c r="N1001" s="5" t="str">
        <f ca="1">VLOOKUP(Data!M1001,temp!$B$3:$C$9,2,1)</f>
        <v>50-60</v>
      </c>
      <c r="O1001">
        <v>-2104</v>
      </c>
      <c r="P1001" s="8">
        <f t="shared" si="67"/>
        <v>5.760438056125941</v>
      </c>
      <c r="Q1001" s="5" t="str">
        <f t="shared" si="69"/>
        <v>Employed</v>
      </c>
      <c r="R1001">
        <v>1</v>
      </c>
      <c r="S1001">
        <v>0</v>
      </c>
      <c r="T1001">
        <v>0</v>
      </c>
      <c r="U1001">
        <v>0</v>
      </c>
      <c r="V1001" t="s">
        <v>38</v>
      </c>
      <c r="W1001">
        <v>1</v>
      </c>
    </row>
    <row r="1002" spans="1:23" x14ac:dyDescent="0.2">
      <c r="A1002">
        <v>5037109</v>
      </c>
      <c r="B1002" t="s">
        <v>25</v>
      </c>
      <c r="C1002" t="s">
        <v>19</v>
      </c>
      <c r="D1002" t="s">
        <v>19</v>
      </c>
      <c r="E1002">
        <v>0</v>
      </c>
      <c r="F1002">
        <v>202500</v>
      </c>
      <c r="G1002" t="s">
        <v>31</v>
      </c>
      <c r="H1002" t="s">
        <v>27</v>
      </c>
      <c r="I1002" t="s">
        <v>28</v>
      </c>
      <c r="J1002" t="s">
        <v>45</v>
      </c>
      <c r="K1002" s="6">
        <f t="shared" ca="1" si="68"/>
        <v>27480</v>
      </c>
      <c r="L1002">
        <v>-18281</v>
      </c>
      <c r="M1002" s="7">
        <f t="shared" ca="1" si="66"/>
        <v>50.050650239561946</v>
      </c>
      <c r="N1002" s="5" t="str">
        <f ca="1">VLOOKUP(Data!M1002,temp!$B$3:$C$9,2,1)</f>
        <v>50-60</v>
      </c>
      <c r="O1002">
        <v>-3596</v>
      </c>
      <c r="P1002" s="8">
        <f t="shared" si="67"/>
        <v>9.8453114305270368</v>
      </c>
      <c r="Q1002" s="5" t="str">
        <f t="shared" si="69"/>
        <v>Employed</v>
      </c>
      <c r="R1002">
        <v>1</v>
      </c>
      <c r="S1002">
        <v>0</v>
      </c>
      <c r="T1002">
        <v>0</v>
      </c>
      <c r="U1002">
        <v>0</v>
      </c>
      <c r="V1002" t="s">
        <v>29</v>
      </c>
      <c r="W1002">
        <v>2</v>
      </c>
    </row>
    <row r="1003" spans="1:23" x14ac:dyDescent="0.2">
      <c r="A1003">
        <v>5037113</v>
      </c>
      <c r="B1003" t="s">
        <v>25</v>
      </c>
      <c r="C1003" t="s">
        <v>20</v>
      </c>
      <c r="D1003" t="s">
        <v>20</v>
      </c>
      <c r="E1003">
        <v>1</v>
      </c>
      <c r="F1003">
        <v>225000</v>
      </c>
      <c r="G1003" t="s">
        <v>31</v>
      </c>
      <c r="H1003" t="s">
        <v>27</v>
      </c>
      <c r="I1003" t="s">
        <v>28</v>
      </c>
      <c r="J1003" t="s">
        <v>24</v>
      </c>
      <c r="K1003" s="6">
        <f t="shared" ca="1" si="68"/>
        <v>32776</v>
      </c>
      <c r="L1003">
        <v>-12985</v>
      </c>
      <c r="M1003" s="7">
        <f t="shared" ca="1" si="66"/>
        <v>35.550992470910337</v>
      </c>
      <c r="N1003" s="5" t="str">
        <f ca="1">VLOOKUP(Data!M1003,temp!$B$3:$C$9,2,1)</f>
        <v>30-40</v>
      </c>
      <c r="O1003">
        <v>-858</v>
      </c>
      <c r="P1003" s="8">
        <f t="shared" si="67"/>
        <v>2.3490759753593431</v>
      </c>
      <c r="Q1003" s="5" t="str">
        <f t="shared" si="69"/>
        <v>Employed</v>
      </c>
      <c r="R1003">
        <v>1</v>
      </c>
      <c r="S1003">
        <v>0</v>
      </c>
      <c r="T1003">
        <v>1</v>
      </c>
      <c r="U1003">
        <v>0</v>
      </c>
      <c r="V1003" t="s">
        <v>39</v>
      </c>
      <c r="W1003">
        <v>3</v>
      </c>
    </row>
    <row r="1004" spans="1:23" x14ac:dyDescent="0.2">
      <c r="A1004">
        <v>5037137</v>
      </c>
      <c r="B1004" t="s">
        <v>18</v>
      </c>
      <c r="C1004" t="s">
        <v>19</v>
      </c>
      <c r="D1004" t="s">
        <v>20</v>
      </c>
      <c r="E1004">
        <v>0</v>
      </c>
      <c r="F1004">
        <v>144000</v>
      </c>
      <c r="G1004" t="s">
        <v>35</v>
      </c>
      <c r="H1004" t="s">
        <v>22</v>
      </c>
      <c r="I1004" t="s">
        <v>28</v>
      </c>
      <c r="J1004" t="s">
        <v>24</v>
      </c>
      <c r="K1004" s="6">
        <f t="shared" ca="1" si="68"/>
        <v>26848</v>
      </c>
      <c r="L1004">
        <v>-18913</v>
      </c>
      <c r="M1004" s="7">
        <f t="shared" ca="1" si="66"/>
        <v>51.780971937029435</v>
      </c>
      <c r="N1004" s="5" t="str">
        <f ca="1">VLOOKUP(Data!M1004,temp!$B$3:$C$9,2,1)</f>
        <v>50-60</v>
      </c>
      <c r="O1004">
        <v>-4449</v>
      </c>
      <c r="P1004" s="8">
        <f t="shared" si="67"/>
        <v>12.180698151950718</v>
      </c>
      <c r="Q1004" s="5" t="str">
        <f t="shared" si="69"/>
        <v>Employed</v>
      </c>
      <c r="R1004">
        <v>1</v>
      </c>
      <c r="S1004">
        <v>0</v>
      </c>
      <c r="T1004">
        <v>0</v>
      </c>
      <c r="U1004">
        <v>0</v>
      </c>
      <c r="W1004">
        <v>2</v>
      </c>
    </row>
    <row r="1005" spans="1:23" x14ac:dyDescent="0.2">
      <c r="A1005">
        <v>5037149</v>
      </c>
      <c r="B1005" t="s">
        <v>18</v>
      </c>
      <c r="C1005" t="s">
        <v>19</v>
      </c>
      <c r="D1005" t="s">
        <v>20</v>
      </c>
      <c r="E1005">
        <v>1</v>
      </c>
      <c r="F1005">
        <v>112500</v>
      </c>
      <c r="G1005" t="s">
        <v>26</v>
      </c>
      <c r="H1005" t="s">
        <v>27</v>
      </c>
      <c r="I1005" t="s">
        <v>28</v>
      </c>
      <c r="J1005" t="s">
        <v>24</v>
      </c>
      <c r="K1005" s="6">
        <f t="shared" ca="1" si="68"/>
        <v>30799</v>
      </c>
      <c r="L1005">
        <v>-14962</v>
      </c>
      <c r="M1005" s="7">
        <f t="shared" ca="1" si="66"/>
        <v>40.963723477070502</v>
      </c>
      <c r="N1005" s="5" t="str">
        <f ca="1">VLOOKUP(Data!M1005,temp!$B$3:$C$9,2,1)</f>
        <v>40-50</v>
      </c>
      <c r="O1005">
        <v>-3353</v>
      </c>
      <c r="P1005" s="8">
        <f t="shared" si="67"/>
        <v>9.1800136892539363</v>
      </c>
      <c r="Q1005" s="5" t="str">
        <f t="shared" si="69"/>
        <v>Employed</v>
      </c>
      <c r="R1005">
        <v>1</v>
      </c>
      <c r="S1005">
        <v>1</v>
      </c>
      <c r="T1005">
        <v>1</v>
      </c>
      <c r="U1005">
        <v>0</v>
      </c>
      <c r="V1005" t="s">
        <v>39</v>
      </c>
      <c r="W1005">
        <v>3</v>
      </c>
    </row>
    <row r="1006" spans="1:23" x14ac:dyDescent="0.2">
      <c r="A1006">
        <v>5037154</v>
      </c>
      <c r="B1006" t="s">
        <v>18</v>
      </c>
      <c r="C1006" t="s">
        <v>19</v>
      </c>
      <c r="D1006" t="s">
        <v>20</v>
      </c>
      <c r="E1006">
        <v>1</v>
      </c>
      <c r="F1006">
        <v>225000</v>
      </c>
      <c r="G1006" t="s">
        <v>35</v>
      </c>
      <c r="H1006" t="s">
        <v>27</v>
      </c>
      <c r="I1006" t="s">
        <v>33</v>
      </c>
      <c r="J1006" t="s">
        <v>24</v>
      </c>
      <c r="K1006" s="6">
        <f t="shared" ca="1" si="68"/>
        <v>29862</v>
      </c>
      <c r="L1006">
        <v>-15899</v>
      </c>
      <c r="M1006" s="7">
        <f t="shared" ca="1" si="66"/>
        <v>43.529089664613281</v>
      </c>
      <c r="N1006" s="5" t="str">
        <f ca="1">VLOOKUP(Data!M1006,temp!$B$3:$C$9,2,1)</f>
        <v>40-50</v>
      </c>
      <c r="O1006">
        <v>-3993</v>
      </c>
      <c r="P1006" s="8">
        <f t="shared" si="67"/>
        <v>10.932238193018481</v>
      </c>
      <c r="Q1006" s="5" t="str">
        <f t="shared" si="69"/>
        <v>Employed</v>
      </c>
      <c r="R1006">
        <v>1</v>
      </c>
      <c r="S1006">
        <v>0</v>
      </c>
      <c r="T1006">
        <v>0</v>
      </c>
      <c r="U1006">
        <v>0</v>
      </c>
      <c r="W1006">
        <v>2</v>
      </c>
    </row>
    <row r="1007" spans="1:23" x14ac:dyDescent="0.2">
      <c r="A1007">
        <v>5037155</v>
      </c>
      <c r="B1007" t="s">
        <v>18</v>
      </c>
      <c r="C1007" t="s">
        <v>19</v>
      </c>
      <c r="D1007" t="s">
        <v>20</v>
      </c>
      <c r="E1007">
        <v>1</v>
      </c>
      <c r="F1007">
        <v>225000</v>
      </c>
      <c r="G1007" t="s">
        <v>35</v>
      </c>
      <c r="H1007" t="s">
        <v>27</v>
      </c>
      <c r="I1007" t="s">
        <v>33</v>
      </c>
      <c r="J1007" t="s">
        <v>24</v>
      </c>
      <c r="K1007" s="6">
        <f t="shared" ca="1" si="68"/>
        <v>29862</v>
      </c>
      <c r="L1007">
        <v>-15899</v>
      </c>
      <c r="M1007" s="7">
        <f t="shared" ca="1" si="66"/>
        <v>43.529089664613281</v>
      </c>
      <c r="N1007" s="5" t="str">
        <f ca="1">VLOOKUP(Data!M1007,temp!$B$3:$C$9,2,1)</f>
        <v>40-50</v>
      </c>
      <c r="O1007">
        <v>-3993</v>
      </c>
      <c r="P1007" s="8">
        <f t="shared" si="67"/>
        <v>10.932238193018481</v>
      </c>
      <c r="Q1007" s="5" t="str">
        <f t="shared" si="69"/>
        <v>Employed</v>
      </c>
      <c r="R1007">
        <v>1</v>
      </c>
      <c r="S1007">
        <v>0</v>
      </c>
      <c r="T1007">
        <v>0</v>
      </c>
      <c r="U1007">
        <v>0</v>
      </c>
      <c r="W1007">
        <v>2</v>
      </c>
    </row>
    <row r="1008" spans="1:23" x14ac:dyDescent="0.2">
      <c r="A1008">
        <v>5037157</v>
      </c>
      <c r="B1008" t="s">
        <v>18</v>
      </c>
      <c r="C1008" t="s">
        <v>19</v>
      </c>
      <c r="D1008" t="s">
        <v>20</v>
      </c>
      <c r="E1008">
        <v>0</v>
      </c>
      <c r="F1008">
        <v>157500</v>
      </c>
      <c r="G1008" t="s">
        <v>21</v>
      </c>
      <c r="H1008" t="s">
        <v>27</v>
      </c>
      <c r="I1008" t="s">
        <v>28</v>
      </c>
      <c r="J1008" t="s">
        <v>24</v>
      </c>
      <c r="K1008" s="6">
        <f t="shared" ca="1" si="68"/>
        <v>22900</v>
      </c>
      <c r="L1008">
        <v>-22861</v>
      </c>
      <c r="M1008" s="7">
        <f t="shared" ca="1" si="66"/>
        <v>62.59000684462697</v>
      </c>
      <c r="N1008" s="5" t="str">
        <f ca="1">VLOOKUP(Data!M1008,temp!$B$3:$C$9,2,1)</f>
        <v>60-70</v>
      </c>
      <c r="O1008">
        <v>365243</v>
      </c>
      <c r="P1008" s="8">
        <f t="shared" si="67"/>
        <v>0</v>
      </c>
      <c r="Q1008" s="5" t="str">
        <f t="shared" si="69"/>
        <v>Unemployed</v>
      </c>
      <c r="R1008">
        <v>1</v>
      </c>
      <c r="S1008">
        <v>0</v>
      </c>
      <c r="T1008">
        <v>1</v>
      </c>
      <c r="U1008">
        <v>0</v>
      </c>
      <c r="W1008">
        <v>2</v>
      </c>
    </row>
    <row r="1009" spans="1:23" x14ac:dyDescent="0.2">
      <c r="A1009">
        <v>5037163</v>
      </c>
      <c r="B1009" t="s">
        <v>25</v>
      </c>
      <c r="C1009" t="s">
        <v>20</v>
      </c>
      <c r="D1009" t="s">
        <v>20</v>
      </c>
      <c r="E1009">
        <v>1</v>
      </c>
      <c r="F1009">
        <v>171000</v>
      </c>
      <c r="G1009" t="s">
        <v>26</v>
      </c>
      <c r="H1009" t="s">
        <v>36</v>
      </c>
      <c r="I1009" t="s">
        <v>28</v>
      </c>
      <c r="J1009" t="s">
        <v>24</v>
      </c>
      <c r="K1009" s="6">
        <f t="shared" ca="1" si="68"/>
        <v>31362</v>
      </c>
      <c r="L1009">
        <v>-14399</v>
      </c>
      <c r="M1009" s="7">
        <f t="shared" ca="1" si="66"/>
        <v>39.422313483915126</v>
      </c>
      <c r="N1009" s="5" t="str">
        <f ca="1">VLOOKUP(Data!M1009,temp!$B$3:$C$9,2,1)</f>
        <v>30-40</v>
      </c>
      <c r="O1009">
        <v>-6122</v>
      </c>
      <c r="P1009" s="8">
        <f t="shared" si="67"/>
        <v>16.761122518822724</v>
      </c>
      <c r="Q1009" s="5" t="str">
        <f t="shared" si="69"/>
        <v>Employed</v>
      </c>
      <c r="R1009">
        <v>1</v>
      </c>
      <c r="S1009">
        <v>0</v>
      </c>
      <c r="T1009">
        <v>0</v>
      </c>
      <c r="U1009">
        <v>0</v>
      </c>
      <c r="V1009" t="s">
        <v>32</v>
      </c>
      <c r="W1009">
        <v>3</v>
      </c>
    </row>
    <row r="1010" spans="1:23" x14ac:dyDescent="0.2">
      <c r="A1010">
        <v>5037165</v>
      </c>
      <c r="B1010" t="s">
        <v>18</v>
      </c>
      <c r="C1010" t="s">
        <v>19</v>
      </c>
      <c r="D1010" t="s">
        <v>20</v>
      </c>
      <c r="E1010">
        <v>0</v>
      </c>
      <c r="F1010">
        <v>90000</v>
      </c>
      <c r="G1010" t="s">
        <v>21</v>
      </c>
      <c r="H1010" t="s">
        <v>27</v>
      </c>
      <c r="I1010" t="s">
        <v>23</v>
      </c>
      <c r="J1010" t="s">
        <v>24</v>
      </c>
      <c r="K1010" s="6">
        <f t="shared" ca="1" si="68"/>
        <v>24200</v>
      </c>
      <c r="L1010">
        <v>-21561</v>
      </c>
      <c r="M1010" s="7">
        <f t="shared" ca="1" si="66"/>
        <v>59.030800821355236</v>
      </c>
      <c r="N1010" s="5" t="str">
        <f ca="1">VLOOKUP(Data!M1010,temp!$B$3:$C$9,2,1)</f>
        <v>50-60</v>
      </c>
      <c r="O1010">
        <v>365243</v>
      </c>
      <c r="P1010" s="8">
        <f t="shared" si="67"/>
        <v>0</v>
      </c>
      <c r="Q1010" s="5" t="str">
        <f t="shared" si="69"/>
        <v>Unemployed</v>
      </c>
      <c r="R1010">
        <v>1</v>
      </c>
      <c r="S1010">
        <v>0</v>
      </c>
      <c r="T1010">
        <v>1</v>
      </c>
      <c r="U1010">
        <v>0</v>
      </c>
      <c r="W1010">
        <v>1</v>
      </c>
    </row>
    <row r="1011" spans="1:23" x14ac:dyDescent="0.2">
      <c r="A1011">
        <v>5037179</v>
      </c>
      <c r="B1011" t="s">
        <v>18</v>
      </c>
      <c r="C1011" t="s">
        <v>19</v>
      </c>
      <c r="D1011" t="s">
        <v>20</v>
      </c>
      <c r="E1011">
        <v>0</v>
      </c>
      <c r="F1011">
        <v>180000</v>
      </c>
      <c r="G1011" t="s">
        <v>31</v>
      </c>
      <c r="H1011" t="s">
        <v>27</v>
      </c>
      <c r="I1011" t="s">
        <v>28</v>
      </c>
      <c r="J1011" t="s">
        <v>24</v>
      </c>
      <c r="K1011" s="6">
        <f t="shared" ca="1" si="68"/>
        <v>30870</v>
      </c>
      <c r="L1011">
        <v>-14891</v>
      </c>
      <c r="M1011" s="7">
        <f t="shared" ca="1" si="66"/>
        <v>40.769336071184121</v>
      </c>
      <c r="N1011" s="5" t="str">
        <f ca="1">VLOOKUP(Data!M1011,temp!$B$3:$C$9,2,1)</f>
        <v>40-50</v>
      </c>
      <c r="O1011">
        <v>-1254</v>
      </c>
      <c r="P1011" s="8">
        <f t="shared" si="67"/>
        <v>3.4332648870636548</v>
      </c>
      <c r="Q1011" s="5" t="str">
        <f t="shared" si="69"/>
        <v>Employed</v>
      </c>
      <c r="R1011">
        <v>1</v>
      </c>
      <c r="S1011">
        <v>0</v>
      </c>
      <c r="T1011">
        <v>0</v>
      </c>
      <c r="U1011">
        <v>0</v>
      </c>
      <c r="V1011" t="s">
        <v>29</v>
      </c>
      <c r="W1011">
        <v>2</v>
      </c>
    </row>
    <row r="1012" spans="1:23" x14ac:dyDescent="0.2">
      <c r="A1012">
        <v>5037180</v>
      </c>
      <c r="B1012" t="s">
        <v>18</v>
      </c>
      <c r="C1012" t="s">
        <v>19</v>
      </c>
      <c r="D1012" t="s">
        <v>20</v>
      </c>
      <c r="E1012">
        <v>0</v>
      </c>
      <c r="F1012">
        <v>180000</v>
      </c>
      <c r="G1012" t="s">
        <v>31</v>
      </c>
      <c r="H1012" t="s">
        <v>27</v>
      </c>
      <c r="I1012" t="s">
        <v>28</v>
      </c>
      <c r="J1012" t="s">
        <v>24</v>
      </c>
      <c r="K1012" s="6">
        <f t="shared" ca="1" si="68"/>
        <v>30870</v>
      </c>
      <c r="L1012">
        <v>-14891</v>
      </c>
      <c r="M1012" s="7">
        <f t="shared" ca="1" si="66"/>
        <v>40.769336071184121</v>
      </c>
      <c r="N1012" s="5" t="str">
        <f ca="1">VLOOKUP(Data!M1012,temp!$B$3:$C$9,2,1)</f>
        <v>40-50</v>
      </c>
      <c r="O1012">
        <v>-1254</v>
      </c>
      <c r="P1012" s="8">
        <f t="shared" si="67"/>
        <v>3.4332648870636548</v>
      </c>
      <c r="Q1012" s="5" t="str">
        <f t="shared" si="69"/>
        <v>Employed</v>
      </c>
      <c r="R1012">
        <v>1</v>
      </c>
      <c r="S1012">
        <v>0</v>
      </c>
      <c r="T1012">
        <v>0</v>
      </c>
      <c r="U1012">
        <v>0</v>
      </c>
      <c r="V1012" t="s">
        <v>29</v>
      </c>
      <c r="W1012">
        <v>2</v>
      </c>
    </row>
    <row r="1013" spans="1:23" x14ac:dyDescent="0.2">
      <c r="A1013">
        <v>5037187</v>
      </c>
      <c r="B1013" t="s">
        <v>18</v>
      </c>
      <c r="C1013" t="s">
        <v>20</v>
      </c>
      <c r="D1013" t="s">
        <v>20</v>
      </c>
      <c r="E1013">
        <v>0</v>
      </c>
      <c r="F1013">
        <v>405000</v>
      </c>
      <c r="G1013" t="s">
        <v>31</v>
      </c>
      <c r="H1013" t="s">
        <v>36</v>
      </c>
      <c r="I1013" t="s">
        <v>37</v>
      </c>
      <c r="J1013" t="s">
        <v>24</v>
      </c>
      <c r="K1013" s="6">
        <f t="shared" ca="1" si="68"/>
        <v>33303</v>
      </c>
      <c r="L1013">
        <v>-12458</v>
      </c>
      <c r="M1013" s="7">
        <f t="shared" ca="1" si="66"/>
        <v>34.108145106091719</v>
      </c>
      <c r="N1013" s="5" t="str">
        <f ca="1">VLOOKUP(Data!M1013,temp!$B$3:$C$9,2,1)</f>
        <v>30-40</v>
      </c>
      <c r="O1013">
        <v>-2076</v>
      </c>
      <c r="P1013" s="8">
        <f t="shared" si="67"/>
        <v>5.6837782340862422</v>
      </c>
      <c r="Q1013" s="5" t="str">
        <f t="shared" si="69"/>
        <v>Employed</v>
      </c>
      <c r="R1013">
        <v>1</v>
      </c>
      <c r="S1013">
        <v>1</v>
      </c>
      <c r="T1013">
        <v>0</v>
      </c>
      <c r="U1013">
        <v>0</v>
      </c>
      <c r="V1013" t="s">
        <v>39</v>
      </c>
      <c r="W1013">
        <v>2</v>
      </c>
    </row>
    <row r="1014" spans="1:23" x14ac:dyDescent="0.2">
      <c r="A1014">
        <v>5037197</v>
      </c>
      <c r="B1014" t="s">
        <v>18</v>
      </c>
      <c r="C1014" t="s">
        <v>19</v>
      </c>
      <c r="D1014" t="s">
        <v>20</v>
      </c>
      <c r="E1014">
        <v>0</v>
      </c>
      <c r="F1014">
        <v>112500</v>
      </c>
      <c r="G1014" t="s">
        <v>21</v>
      </c>
      <c r="H1014" t="s">
        <v>27</v>
      </c>
      <c r="I1014" t="s">
        <v>28</v>
      </c>
      <c r="J1014" t="s">
        <v>24</v>
      </c>
      <c r="K1014" s="6">
        <f t="shared" ca="1" si="68"/>
        <v>22243</v>
      </c>
      <c r="L1014">
        <v>-23518</v>
      </c>
      <c r="M1014" s="7">
        <f t="shared" ca="1" si="66"/>
        <v>64.388774811772763</v>
      </c>
      <c r="N1014" s="5" t="str">
        <f ca="1">VLOOKUP(Data!M1014,temp!$B$3:$C$9,2,1)</f>
        <v>60-70</v>
      </c>
      <c r="O1014">
        <v>365243</v>
      </c>
      <c r="P1014" s="8">
        <f t="shared" si="67"/>
        <v>0</v>
      </c>
      <c r="Q1014" s="5" t="str">
        <f t="shared" si="69"/>
        <v>Unemployed</v>
      </c>
      <c r="R1014">
        <v>1</v>
      </c>
      <c r="S1014">
        <v>0</v>
      </c>
      <c r="T1014">
        <v>1</v>
      </c>
      <c r="U1014">
        <v>0</v>
      </c>
      <c r="W1014">
        <v>2</v>
      </c>
    </row>
    <row r="1015" spans="1:23" x14ac:dyDescent="0.2">
      <c r="A1015">
        <v>5037199</v>
      </c>
      <c r="B1015" t="s">
        <v>18</v>
      </c>
      <c r="C1015" t="s">
        <v>20</v>
      </c>
      <c r="D1015" t="s">
        <v>20</v>
      </c>
      <c r="E1015">
        <v>1</v>
      </c>
      <c r="F1015">
        <v>135000</v>
      </c>
      <c r="G1015" t="s">
        <v>31</v>
      </c>
      <c r="H1015" t="s">
        <v>27</v>
      </c>
      <c r="I1015" t="s">
        <v>28</v>
      </c>
      <c r="J1015" t="s">
        <v>24</v>
      </c>
      <c r="K1015" s="6">
        <f t="shared" ca="1" si="68"/>
        <v>34541</v>
      </c>
      <c r="L1015">
        <v>-11220</v>
      </c>
      <c r="M1015" s="7">
        <f t="shared" ca="1" si="66"/>
        <v>30.718685831622178</v>
      </c>
      <c r="N1015" s="5" t="str">
        <f ca="1">VLOOKUP(Data!M1015,temp!$B$3:$C$9,2,1)</f>
        <v>30-40</v>
      </c>
      <c r="O1015">
        <v>-1534</v>
      </c>
      <c r="P1015" s="8">
        <f t="shared" si="67"/>
        <v>4.1998631074606436</v>
      </c>
      <c r="Q1015" s="5" t="str">
        <f t="shared" si="69"/>
        <v>Employed</v>
      </c>
      <c r="R1015">
        <v>1</v>
      </c>
      <c r="S1015">
        <v>0</v>
      </c>
      <c r="T1015">
        <v>0</v>
      </c>
      <c r="U1015">
        <v>0</v>
      </c>
      <c r="V1015" t="s">
        <v>32</v>
      </c>
      <c r="W1015">
        <v>3</v>
      </c>
    </row>
    <row r="1016" spans="1:23" x14ac:dyDescent="0.2">
      <c r="A1016">
        <v>5037208</v>
      </c>
      <c r="B1016" t="s">
        <v>25</v>
      </c>
      <c r="C1016" t="s">
        <v>19</v>
      </c>
      <c r="D1016" t="s">
        <v>20</v>
      </c>
      <c r="E1016">
        <v>3</v>
      </c>
      <c r="F1016">
        <v>180000</v>
      </c>
      <c r="G1016" t="s">
        <v>31</v>
      </c>
      <c r="H1016" t="s">
        <v>27</v>
      </c>
      <c r="I1016" t="s">
        <v>28</v>
      </c>
      <c r="J1016" t="s">
        <v>24</v>
      </c>
      <c r="K1016" s="6">
        <f t="shared" ca="1" si="68"/>
        <v>33179</v>
      </c>
      <c r="L1016">
        <v>-12582</v>
      </c>
      <c r="M1016" s="7">
        <f t="shared" ca="1" si="66"/>
        <v>34.447638603696099</v>
      </c>
      <c r="N1016" s="5" t="str">
        <f ca="1">VLOOKUP(Data!M1016,temp!$B$3:$C$9,2,1)</f>
        <v>30-40</v>
      </c>
      <c r="O1016">
        <v>-1838</v>
      </c>
      <c r="P1016" s="8">
        <f t="shared" si="67"/>
        <v>5.032169746748802</v>
      </c>
      <c r="Q1016" s="5" t="str">
        <f t="shared" si="69"/>
        <v>Employed</v>
      </c>
      <c r="R1016">
        <v>1</v>
      </c>
      <c r="S1016">
        <v>1</v>
      </c>
      <c r="T1016">
        <v>1</v>
      </c>
      <c r="U1016">
        <v>0</v>
      </c>
      <c r="V1016" t="s">
        <v>30</v>
      </c>
      <c r="W1016">
        <v>5</v>
      </c>
    </row>
    <row r="1017" spans="1:23" x14ac:dyDescent="0.2">
      <c r="A1017">
        <v>5037215</v>
      </c>
      <c r="B1017" t="s">
        <v>18</v>
      </c>
      <c r="C1017" t="s">
        <v>20</v>
      </c>
      <c r="D1017" t="s">
        <v>19</v>
      </c>
      <c r="E1017">
        <v>0</v>
      </c>
      <c r="F1017">
        <v>225000</v>
      </c>
      <c r="G1017" t="s">
        <v>21</v>
      </c>
      <c r="H1017" t="s">
        <v>27</v>
      </c>
      <c r="I1017" t="s">
        <v>28</v>
      </c>
      <c r="J1017" t="s">
        <v>24</v>
      </c>
      <c r="K1017" s="6">
        <f t="shared" ca="1" si="68"/>
        <v>25301</v>
      </c>
      <c r="L1017">
        <v>-20460</v>
      </c>
      <c r="M1017" s="7">
        <f t="shared" ca="1" si="66"/>
        <v>56.016427104722794</v>
      </c>
      <c r="N1017" s="5" t="str">
        <f ca="1">VLOOKUP(Data!M1017,temp!$B$3:$C$9,2,1)</f>
        <v>50-60</v>
      </c>
      <c r="O1017">
        <v>365243</v>
      </c>
      <c r="P1017" s="8">
        <f t="shared" si="67"/>
        <v>0</v>
      </c>
      <c r="Q1017" s="5" t="str">
        <f t="shared" si="69"/>
        <v>Unemployed</v>
      </c>
      <c r="R1017">
        <v>1</v>
      </c>
      <c r="S1017">
        <v>0</v>
      </c>
      <c r="T1017">
        <v>0</v>
      </c>
      <c r="U1017">
        <v>0</v>
      </c>
      <c r="W1017">
        <v>2</v>
      </c>
    </row>
    <row r="1018" spans="1:23" x14ac:dyDescent="0.2">
      <c r="A1018">
        <v>5037220</v>
      </c>
      <c r="B1018" t="s">
        <v>25</v>
      </c>
      <c r="C1018" t="s">
        <v>20</v>
      </c>
      <c r="D1018" t="s">
        <v>20</v>
      </c>
      <c r="E1018">
        <v>0</v>
      </c>
      <c r="F1018">
        <v>166500</v>
      </c>
      <c r="G1018" t="s">
        <v>31</v>
      </c>
      <c r="H1018" t="s">
        <v>27</v>
      </c>
      <c r="I1018" t="s">
        <v>28</v>
      </c>
      <c r="J1018" t="s">
        <v>24</v>
      </c>
      <c r="K1018" s="6">
        <f t="shared" ca="1" si="68"/>
        <v>28713</v>
      </c>
      <c r="L1018">
        <v>-17048</v>
      </c>
      <c r="M1018" s="7">
        <f t="shared" ca="1" si="66"/>
        <v>46.674880219028061</v>
      </c>
      <c r="N1018" s="5" t="str">
        <f ca="1">VLOOKUP(Data!M1018,temp!$B$3:$C$9,2,1)</f>
        <v>40-50</v>
      </c>
      <c r="O1018">
        <v>-2276</v>
      </c>
      <c r="P1018" s="8">
        <f t="shared" si="67"/>
        <v>6.2313483915126628</v>
      </c>
      <c r="Q1018" s="5" t="str">
        <f t="shared" si="69"/>
        <v>Employed</v>
      </c>
      <c r="R1018">
        <v>1</v>
      </c>
      <c r="S1018">
        <v>0</v>
      </c>
      <c r="T1018">
        <v>0</v>
      </c>
      <c r="U1018">
        <v>0</v>
      </c>
      <c r="W1018">
        <v>2</v>
      </c>
    </row>
    <row r="1019" spans="1:23" x14ac:dyDescent="0.2">
      <c r="A1019">
        <v>5037230</v>
      </c>
      <c r="B1019" t="s">
        <v>18</v>
      </c>
      <c r="C1019" t="s">
        <v>19</v>
      </c>
      <c r="D1019" t="s">
        <v>19</v>
      </c>
      <c r="E1019">
        <v>0</v>
      </c>
      <c r="F1019">
        <v>364500</v>
      </c>
      <c r="G1019" t="s">
        <v>31</v>
      </c>
      <c r="H1019" t="s">
        <v>27</v>
      </c>
      <c r="I1019" t="s">
        <v>37</v>
      </c>
      <c r="J1019" t="s">
        <v>24</v>
      </c>
      <c r="K1019" s="6">
        <f t="shared" ca="1" si="68"/>
        <v>28557</v>
      </c>
      <c r="L1019">
        <v>-17204</v>
      </c>
      <c r="M1019" s="7">
        <f t="shared" ca="1" si="66"/>
        <v>47.101984941820668</v>
      </c>
      <c r="N1019" s="5" t="str">
        <f ca="1">VLOOKUP(Data!M1019,temp!$B$3:$C$9,2,1)</f>
        <v>40-50</v>
      </c>
      <c r="O1019">
        <v>-1028</v>
      </c>
      <c r="P1019" s="8">
        <f t="shared" si="67"/>
        <v>2.8145106091718</v>
      </c>
      <c r="Q1019" s="5" t="str">
        <f t="shared" si="69"/>
        <v>Employed</v>
      </c>
      <c r="R1019">
        <v>1</v>
      </c>
      <c r="S1019">
        <v>0</v>
      </c>
      <c r="T1019">
        <v>0</v>
      </c>
      <c r="U1019">
        <v>0</v>
      </c>
      <c r="V1019" t="s">
        <v>39</v>
      </c>
      <c r="W1019">
        <v>2</v>
      </c>
    </row>
    <row r="1020" spans="1:23" x14ac:dyDescent="0.2">
      <c r="A1020">
        <v>5037248</v>
      </c>
      <c r="B1020" t="s">
        <v>25</v>
      </c>
      <c r="C1020" t="s">
        <v>20</v>
      </c>
      <c r="D1020" t="s">
        <v>19</v>
      </c>
      <c r="E1020">
        <v>0</v>
      </c>
      <c r="F1020">
        <v>135000</v>
      </c>
      <c r="G1020" t="s">
        <v>31</v>
      </c>
      <c r="H1020" t="s">
        <v>27</v>
      </c>
      <c r="I1020" t="s">
        <v>28</v>
      </c>
      <c r="J1020" t="s">
        <v>41</v>
      </c>
      <c r="K1020" s="6">
        <f t="shared" ca="1" si="68"/>
        <v>33743</v>
      </c>
      <c r="L1020">
        <v>-12018</v>
      </c>
      <c r="M1020" s="7">
        <f t="shared" ca="1" si="66"/>
        <v>32.903490759753595</v>
      </c>
      <c r="N1020" s="5" t="str">
        <f ca="1">VLOOKUP(Data!M1020,temp!$B$3:$C$9,2,1)</f>
        <v>30-40</v>
      </c>
      <c r="O1020">
        <v>-408</v>
      </c>
      <c r="P1020" s="8">
        <f t="shared" si="67"/>
        <v>1.1170431211498972</v>
      </c>
      <c r="Q1020" s="5" t="str">
        <f t="shared" si="69"/>
        <v>Employed</v>
      </c>
      <c r="R1020">
        <v>1</v>
      </c>
      <c r="S1020">
        <v>0</v>
      </c>
      <c r="T1020">
        <v>0</v>
      </c>
      <c r="U1020">
        <v>0</v>
      </c>
      <c r="V1020" t="s">
        <v>29</v>
      </c>
      <c r="W1020">
        <v>2</v>
      </c>
    </row>
    <row r="1021" spans="1:23" x14ac:dyDescent="0.2">
      <c r="A1021">
        <v>5037254</v>
      </c>
      <c r="B1021" t="s">
        <v>25</v>
      </c>
      <c r="C1021" t="s">
        <v>19</v>
      </c>
      <c r="D1021" t="s">
        <v>19</v>
      </c>
      <c r="E1021">
        <v>0</v>
      </c>
      <c r="F1021">
        <v>166500</v>
      </c>
      <c r="G1021" t="s">
        <v>31</v>
      </c>
      <c r="H1021" t="s">
        <v>27</v>
      </c>
      <c r="I1021" t="s">
        <v>33</v>
      </c>
      <c r="J1021" t="s">
        <v>24</v>
      </c>
      <c r="K1021" s="6">
        <f t="shared" ca="1" si="68"/>
        <v>37360</v>
      </c>
      <c r="L1021">
        <v>-8401</v>
      </c>
      <c r="M1021" s="7">
        <f t="shared" ca="1" si="66"/>
        <v>23.000684462696782</v>
      </c>
      <c r="N1021" s="5" t="str">
        <f ca="1">VLOOKUP(Data!M1021,temp!$B$3:$C$9,2,1)</f>
        <v>20-30</v>
      </c>
      <c r="O1021">
        <v>-450</v>
      </c>
      <c r="P1021" s="8">
        <f t="shared" si="67"/>
        <v>1.2320328542094456</v>
      </c>
      <c r="Q1021" s="5" t="str">
        <f t="shared" si="69"/>
        <v>Employed</v>
      </c>
      <c r="R1021">
        <v>1</v>
      </c>
      <c r="S1021">
        <v>0</v>
      </c>
      <c r="T1021">
        <v>0</v>
      </c>
      <c r="U1021">
        <v>1</v>
      </c>
      <c r="V1021" t="s">
        <v>29</v>
      </c>
      <c r="W1021">
        <v>1</v>
      </c>
    </row>
    <row r="1022" spans="1:23" x14ac:dyDescent="0.2">
      <c r="A1022">
        <v>5037259</v>
      </c>
      <c r="B1022" t="s">
        <v>18</v>
      </c>
      <c r="C1022" t="s">
        <v>19</v>
      </c>
      <c r="D1022" t="s">
        <v>20</v>
      </c>
      <c r="E1022">
        <v>1</v>
      </c>
      <c r="F1022">
        <v>135000</v>
      </c>
      <c r="G1022" t="s">
        <v>26</v>
      </c>
      <c r="H1022" t="s">
        <v>22</v>
      </c>
      <c r="I1022" t="s">
        <v>28</v>
      </c>
      <c r="J1022" t="s">
        <v>24</v>
      </c>
      <c r="K1022" s="6">
        <f t="shared" ca="1" si="68"/>
        <v>34345</v>
      </c>
      <c r="L1022">
        <v>-11416</v>
      </c>
      <c r="M1022" s="7">
        <f t="shared" ca="1" si="66"/>
        <v>31.255304585900067</v>
      </c>
      <c r="N1022" s="5" t="str">
        <f ca="1">VLOOKUP(Data!M1022,temp!$B$3:$C$9,2,1)</f>
        <v>30-40</v>
      </c>
      <c r="O1022">
        <v>-420</v>
      </c>
      <c r="P1022" s="8">
        <f t="shared" si="67"/>
        <v>1.1498973305954825</v>
      </c>
      <c r="Q1022" s="5" t="str">
        <f t="shared" si="69"/>
        <v>Employed</v>
      </c>
      <c r="R1022">
        <v>1</v>
      </c>
      <c r="S1022">
        <v>0</v>
      </c>
      <c r="T1022">
        <v>0</v>
      </c>
      <c r="U1022">
        <v>0</v>
      </c>
      <c r="V1022" t="s">
        <v>47</v>
      </c>
      <c r="W1022">
        <v>3</v>
      </c>
    </row>
    <row r="1023" spans="1:23" x14ac:dyDescent="0.2">
      <c r="A1023">
        <v>5037293</v>
      </c>
      <c r="B1023" t="s">
        <v>18</v>
      </c>
      <c r="C1023" t="s">
        <v>19</v>
      </c>
      <c r="D1023" t="s">
        <v>20</v>
      </c>
      <c r="E1023">
        <v>2</v>
      </c>
      <c r="F1023">
        <v>270000</v>
      </c>
      <c r="G1023" t="s">
        <v>26</v>
      </c>
      <c r="H1023" t="s">
        <v>22</v>
      </c>
      <c r="I1023" t="s">
        <v>28</v>
      </c>
      <c r="J1023" t="s">
        <v>24</v>
      </c>
      <c r="K1023" s="6">
        <f t="shared" ca="1" si="68"/>
        <v>30660</v>
      </c>
      <c r="L1023">
        <v>-15101</v>
      </c>
      <c r="M1023" s="7">
        <f t="shared" ca="1" si="66"/>
        <v>41.34428473648186</v>
      </c>
      <c r="N1023" s="5" t="str">
        <f ca="1">VLOOKUP(Data!M1023,temp!$B$3:$C$9,2,1)</f>
        <v>40-50</v>
      </c>
      <c r="O1023">
        <v>-3860</v>
      </c>
      <c r="P1023" s="8">
        <f t="shared" si="67"/>
        <v>10.568104038329912</v>
      </c>
      <c r="Q1023" s="5" t="str">
        <f t="shared" si="69"/>
        <v>Employed</v>
      </c>
      <c r="R1023">
        <v>1</v>
      </c>
      <c r="S1023">
        <v>1</v>
      </c>
      <c r="T1023">
        <v>0</v>
      </c>
      <c r="U1023">
        <v>0</v>
      </c>
      <c r="V1023" t="s">
        <v>44</v>
      </c>
      <c r="W1023">
        <v>4</v>
      </c>
    </row>
    <row r="1024" spans="1:23" x14ac:dyDescent="0.2">
      <c r="A1024">
        <v>5037298</v>
      </c>
      <c r="B1024" t="s">
        <v>18</v>
      </c>
      <c r="C1024" t="s">
        <v>19</v>
      </c>
      <c r="D1024" t="s">
        <v>20</v>
      </c>
      <c r="E1024">
        <v>1</v>
      </c>
      <c r="F1024">
        <v>180000</v>
      </c>
      <c r="G1024" t="s">
        <v>31</v>
      </c>
      <c r="H1024" t="s">
        <v>22</v>
      </c>
      <c r="I1024" t="s">
        <v>28</v>
      </c>
      <c r="J1024" t="s">
        <v>24</v>
      </c>
      <c r="K1024" s="6">
        <f t="shared" ca="1" si="68"/>
        <v>35421</v>
      </c>
      <c r="L1024">
        <v>-10340</v>
      </c>
      <c r="M1024" s="7">
        <f t="shared" ca="1" si="66"/>
        <v>28.309377138945926</v>
      </c>
      <c r="N1024" s="5" t="str">
        <f ca="1">VLOOKUP(Data!M1024,temp!$B$3:$C$9,2,1)</f>
        <v>20-30</v>
      </c>
      <c r="O1024">
        <v>-2448</v>
      </c>
      <c r="P1024" s="8">
        <f t="shared" si="67"/>
        <v>6.7022587268993838</v>
      </c>
      <c r="Q1024" s="5" t="str">
        <f t="shared" si="69"/>
        <v>Employed</v>
      </c>
      <c r="R1024">
        <v>1</v>
      </c>
      <c r="S1024">
        <v>1</v>
      </c>
      <c r="T1024">
        <v>0</v>
      </c>
      <c r="U1024">
        <v>0</v>
      </c>
      <c r="V1024" t="s">
        <v>47</v>
      </c>
      <c r="W1024">
        <v>3</v>
      </c>
    </row>
    <row r="1025" spans="1:23" x14ac:dyDescent="0.2">
      <c r="A1025">
        <v>5037302</v>
      </c>
      <c r="B1025" t="s">
        <v>18</v>
      </c>
      <c r="C1025" t="s">
        <v>19</v>
      </c>
      <c r="D1025" t="s">
        <v>20</v>
      </c>
      <c r="E1025">
        <v>0</v>
      </c>
      <c r="F1025">
        <v>135000</v>
      </c>
      <c r="G1025" t="s">
        <v>26</v>
      </c>
      <c r="H1025" t="s">
        <v>27</v>
      </c>
      <c r="I1025" t="s">
        <v>28</v>
      </c>
      <c r="J1025" t="s">
        <v>24</v>
      </c>
      <c r="K1025" s="6">
        <f t="shared" ca="1" si="68"/>
        <v>26460</v>
      </c>
      <c r="L1025">
        <v>-19301</v>
      </c>
      <c r="M1025" s="7">
        <f t="shared" ca="1" si="66"/>
        <v>52.843258042436688</v>
      </c>
      <c r="N1025" s="5" t="str">
        <f ca="1">VLOOKUP(Data!M1025,temp!$B$3:$C$9,2,1)</f>
        <v>50-60</v>
      </c>
      <c r="O1025">
        <v>-4821</v>
      </c>
      <c r="P1025" s="8">
        <f t="shared" si="67"/>
        <v>13.19917864476386</v>
      </c>
      <c r="Q1025" s="5" t="str">
        <f t="shared" si="69"/>
        <v>Employed</v>
      </c>
      <c r="R1025">
        <v>1</v>
      </c>
      <c r="S1025">
        <v>1</v>
      </c>
      <c r="T1025">
        <v>1</v>
      </c>
      <c r="U1025">
        <v>0</v>
      </c>
      <c r="V1025" t="s">
        <v>32</v>
      </c>
      <c r="W1025">
        <v>2</v>
      </c>
    </row>
    <row r="1026" spans="1:23" x14ac:dyDescent="0.2">
      <c r="A1026">
        <v>5038508</v>
      </c>
      <c r="B1026" t="s">
        <v>18</v>
      </c>
      <c r="C1026" t="s">
        <v>19</v>
      </c>
      <c r="D1026" t="s">
        <v>20</v>
      </c>
      <c r="E1026">
        <v>0</v>
      </c>
      <c r="F1026">
        <v>103500</v>
      </c>
      <c r="G1026" t="s">
        <v>31</v>
      </c>
      <c r="H1026" t="s">
        <v>36</v>
      </c>
      <c r="I1026" t="s">
        <v>28</v>
      </c>
      <c r="J1026" t="s">
        <v>24</v>
      </c>
      <c r="K1026" s="6">
        <f t="shared" ca="1" si="68"/>
        <v>33906</v>
      </c>
      <c r="L1026">
        <v>-11855</v>
      </c>
      <c r="M1026" s="7">
        <f t="shared" ca="1" si="66"/>
        <v>32.45722108145106</v>
      </c>
      <c r="N1026" s="5" t="str">
        <f ca="1">VLOOKUP(Data!M1026,temp!$B$3:$C$9,2,1)</f>
        <v>30-40</v>
      </c>
      <c r="O1026">
        <v>-4583</v>
      </c>
      <c r="P1026" s="8">
        <f t="shared" si="67"/>
        <v>12.547570157426421</v>
      </c>
      <c r="Q1026" s="5" t="str">
        <f t="shared" si="69"/>
        <v>Employed</v>
      </c>
      <c r="R1026">
        <v>1</v>
      </c>
      <c r="S1026">
        <v>0</v>
      </c>
      <c r="T1026">
        <v>0</v>
      </c>
      <c r="U1026">
        <v>0</v>
      </c>
      <c r="V1026" t="s">
        <v>29</v>
      </c>
      <c r="W1026">
        <v>2</v>
      </c>
    </row>
    <row r="1027" spans="1:23" x14ac:dyDescent="0.2">
      <c r="A1027">
        <v>5038511</v>
      </c>
      <c r="B1027" t="s">
        <v>18</v>
      </c>
      <c r="C1027" t="s">
        <v>19</v>
      </c>
      <c r="D1027" t="s">
        <v>20</v>
      </c>
      <c r="E1027">
        <v>0</v>
      </c>
      <c r="F1027">
        <v>103500</v>
      </c>
      <c r="G1027" t="s">
        <v>31</v>
      </c>
      <c r="H1027" t="s">
        <v>36</v>
      </c>
      <c r="I1027" t="s">
        <v>28</v>
      </c>
      <c r="J1027" t="s">
        <v>24</v>
      </c>
      <c r="K1027" s="6">
        <f t="shared" ca="1" si="68"/>
        <v>33906</v>
      </c>
      <c r="L1027">
        <v>-11855</v>
      </c>
      <c r="M1027" s="7">
        <f t="shared" ref="M1027:M1090" ca="1" si="70">(TODAY()-K1027)/365.25</f>
        <v>32.45722108145106</v>
      </c>
      <c r="N1027" s="5" t="str">
        <f ca="1">VLOOKUP(Data!M1027,temp!$B$3:$C$9,2,1)</f>
        <v>30-40</v>
      </c>
      <c r="O1027">
        <v>-4583</v>
      </c>
      <c r="P1027" s="8">
        <f t="shared" ref="P1027:P1090" si="71">IF(O1027&lt;=0,ABS(O1027)/365.25,0)</f>
        <v>12.547570157426421</v>
      </c>
      <c r="Q1027" s="5" t="str">
        <f t="shared" si="69"/>
        <v>Employed</v>
      </c>
      <c r="R1027">
        <v>1</v>
      </c>
      <c r="S1027">
        <v>0</v>
      </c>
      <c r="T1027">
        <v>0</v>
      </c>
      <c r="U1027">
        <v>0</v>
      </c>
      <c r="V1027" t="s">
        <v>29</v>
      </c>
      <c r="W1027">
        <v>2</v>
      </c>
    </row>
    <row r="1028" spans="1:23" x14ac:dyDescent="0.2">
      <c r="A1028">
        <v>5038513</v>
      </c>
      <c r="B1028" t="s">
        <v>18</v>
      </c>
      <c r="C1028" t="s">
        <v>19</v>
      </c>
      <c r="D1028" t="s">
        <v>20</v>
      </c>
      <c r="E1028">
        <v>0</v>
      </c>
      <c r="F1028">
        <v>103500</v>
      </c>
      <c r="G1028" t="s">
        <v>31</v>
      </c>
      <c r="H1028" t="s">
        <v>36</v>
      </c>
      <c r="I1028" t="s">
        <v>28</v>
      </c>
      <c r="J1028" t="s">
        <v>24</v>
      </c>
      <c r="K1028" s="6">
        <f t="shared" ca="1" si="68"/>
        <v>33906</v>
      </c>
      <c r="L1028">
        <v>-11855</v>
      </c>
      <c r="M1028" s="7">
        <f t="shared" ca="1" si="70"/>
        <v>32.45722108145106</v>
      </c>
      <c r="N1028" s="5" t="str">
        <f ca="1">VLOOKUP(Data!M1028,temp!$B$3:$C$9,2,1)</f>
        <v>30-40</v>
      </c>
      <c r="O1028">
        <v>-4583</v>
      </c>
      <c r="P1028" s="8">
        <f t="shared" si="71"/>
        <v>12.547570157426421</v>
      </c>
      <c r="Q1028" s="5" t="str">
        <f t="shared" si="69"/>
        <v>Employed</v>
      </c>
      <c r="R1028">
        <v>1</v>
      </c>
      <c r="S1028">
        <v>0</v>
      </c>
      <c r="T1028">
        <v>0</v>
      </c>
      <c r="U1028">
        <v>0</v>
      </c>
      <c r="V1028" t="s">
        <v>29</v>
      </c>
      <c r="W1028">
        <v>2</v>
      </c>
    </row>
    <row r="1029" spans="1:23" x14ac:dyDescent="0.2">
      <c r="A1029">
        <v>5038517</v>
      </c>
      <c r="B1029" t="s">
        <v>18</v>
      </c>
      <c r="C1029" t="s">
        <v>19</v>
      </c>
      <c r="D1029" t="s">
        <v>20</v>
      </c>
      <c r="E1029">
        <v>0</v>
      </c>
      <c r="F1029">
        <v>103500</v>
      </c>
      <c r="G1029" t="s">
        <v>31</v>
      </c>
      <c r="H1029" t="s">
        <v>36</v>
      </c>
      <c r="I1029" t="s">
        <v>28</v>
      </c>
      <c r="J1029" t="s">
        <v>24</v>
      </c>
      <c r="K1029" s="6">
        <f t="shared" ca="1" si="68"/>
        <v>33906</v>
      </c>
      <c r="L1029">
        <v>-11855</v>
      </c>
      <c r="M1029" s="7">
        <f t="shared" ca="1" si="70"/>
        <v>32.45722108145106</v>
      </c>
      <c r="N1029" s="5" t="str">
        <f ca="1">VLOOKUP(Data!M1029,temp!$B$3:$C$9,2,1)</f>
        <v>30-40</v>
      </c>
      <c r="O1029">
        <v>-4583</v>
      </c>
      <c r="P1029" s="8">
        <f t="shared" si="71"/>
        <v>12.547570157426421</v>
      </c>
      <c r="Q1029" s="5" t="str">
        <f t="shared" si="69"/>
        <v>Employed</v>
      </c>
      <c r="R1029">
        <v>1</v>
      </c>
      <c r="S1029">
        <v>0</v>
      </c>
      <c r="T1029">
        <v>0</v>
      </c>
      <c r="U1029">
        <v>0</v>
      </c>
      <c r="V1029" t="s">
        <v>29</v>
      </c>
      <c r="W1029">
        <v>2</v>
      </c>
    </row>
    <row r="1030" spans="1:23" x14ac:dyDescent="0.2">
      <c r="A1030">
        <v>5038535</v>
      </c>
      <c r="B1030" t="s">
        <v>18</v>
      </c>
      <c r="C1030" t="s">
        <v>20</v>
      </c>
      <c r="D1030" t="s">
        <v>20</v>
      </c>
      <c r="E1030">
        <v>0</v>
      </c>
      <c r="F1030">
        <v>112500</v>
      </c>
      <c r="G1030" t="s">
        <v>31</v>
      </c>
      <c r="H1030" t="s">
        <v>27</v>
      </c>
      <c r="I1030" t="s">
        <v>28</v>
      </c>
      <c r="J1030" t="s">
        <v>24</v>
      </c>
      <c r="K1030" s="6">
        <f t="shared" ca="1" si="68"/>
        <v>29704</v>
      </c>
      <c r="L1030">
        <v>-16057</v>
      </c>
      <c r="M1030" s="7">
        <f t="shared" ca="1" si="70"/>
        <v>43.961670088980149</v>
      </c>
      <c r="N1030" s="5" t="str">
        <f ca="1">VLOOKUP(Data!M1030,temp!$B$3:$C$9,2,1)</f>
        <v>40-50</v>
      </c>
      <c r="O1030">
        <v>-3030</v>
      </c>
      <c r="P1030" s="8">
        <f t="shared" si="71"/>
        <v>8.2956878850102669</v>
      </c>
      <c r="Q1030" s="5" t="str">
        <f t="shared" si="69"/>
        <v>Employed</v>
      </c>
      <c r="R1030">
        <v>1</v>
      </c>
      <c r="S1030">
        <v>1</v>
      </c>
      <c r="T1030">
        <v>0</v>
      </c>
      <c r="U1030">
        <v>0</v>
      </c>
      <c r="V1030" t="s">
        <v>55</v>
      </c>
      <c r="W1030">
        <v>2</v>
      </c>
    </row>
    <row r="1031" spans="1:23" x14ac:dyDescent="0.2">
      <c r="A1031">
        <v>5038542</v>
      </c>
      <c r="B1031" t="s">
        <v>25</v>
      </c>
      <c r="C1031" t="s">
        <v>20</v>
      </c>
      <c r="D1031" t="s">
        <v>19</v>
      </c>
      <c r="E1031">
        <v>0</v>
      </c>
      <c r="F1031">
        <v>225000</v>
      </c>
      <c r="G1031" t="s">
        <v>31</v>
      </c>
      <c r="H1031" t="s">
        <v>27</v>
      </c>
      <c r="I1031" t="s">
        <v>28</v>
      </c>
      <c r="J1031" t="s">
        <v>24</v>
      </c>
      <c r="K1031" s="6">
        <f t="shared" ca="1" si="68"/>
        <v>36282</v>
      </c>
      <c r="L1031">
        <v>-9479</v>
      </c>
      <c r="M1031" s="7">
        <f t="shared" ca="1" si="70"/>
        <v>25.952087611225188</v>
      </c>
      <c r="N1031" s="5" t="str">
        <f ca="1">VLOOKUP(Data!M1031,temp!$B$3:$C$9,2,1)</f>
        <v>20-30</v>
      </c>
      <c r="O1031">
        <v>-1143</v>
      </c>
      <c r="P1031" s="8">
        <f t="shared" si="71"/>
        <v>3.1293634496919918</v>
      </c>
      <c r="Q1031" s="5" t="str">
        <f t="shared" si="69"/>
        <v>Employed</v>
      </c>
      <c r="R1031">
        <v>1</v>
      </c>
      <c r="S1031">
        <v>0</v>
      </c>
      <c r="T1031">
        <v>0</v>
      </c>
      <c r="U1031">
        <v>0</v>
      </c>
      <c r="V1031" t="s">
        <v>29</v>
      </c>
      <c r="W1031">
        <v>2</v>
      </c>
    </row>
    <row r="1032" spans="1:23" x14ac:dyDescent="0.2">
      <c r="A1032">
        <v>5038544</v>
      </c>
      <c r="B1032" t="s">
        <v>25</v>
      </c>
      <c r="C1032" t="s">
        <v>20</v>
      </c>
      <c r="D1032" t="s">
        <v>19</v>
      </c>
      <c r="E1032">
        <v>0</v>
      </c>
      <c r="F1032">
        <v>225000</v>
      </c>
      <c r="G1032" t="s">
        <v>31</v>
      </c>
      <c r="H1032" t="s">
        <v>27</v>
      </c>
      <c r="I1032" t="s">
        <v>28</v>
      </c>
      <c r="J1032" t="s">
        <v>24</v>
      </c>
      <c r="K1032" s="6">
        <f t="shared" ref="K1032:K1095" ca="1" si="72">TODAY()+($L1032)</f>
        <v>36282</v>
      </c>
      <c r="L1032">
        <v>-9479</v>
      </c>
      <c r="M1032" s="7">
        <f t="shared" ca="1" si="70"/>
        <v>25.952087611225188</v>
      </c>
      <c r="N1032" s="5" t="str">
        <f ca="1">VLOOKUP(Data!M1032,temp!$B$3:$C$9,2,1)</f>
        <v>20-30</v>
      </c>
      <c r="O1032">
        <v>-1143</v>
      </c>
      <c r="P1032" s="8">
        <f t="shared" si="71"/>
        <v>3.1293634496919918</v>
      </c>
      <c r="Q1032" s="5" t="str">
        <f t="shared" ref="Q1032:Q1095" si="73">IF($O1032&gt;0,"Unemployed","Employed")</f>
        <v>Employed</v>
      </c>
      <c r="R1032">
        <v>1</v>
      </c>
      <c r="S1032">
        <v>0</v>
      </c>
      <c r="T1032">
        <v>0</v>
      </c>
      <c r="U1032">
        <v>0</v>
      </c>
      <c r="V1032" t="s">
        <v>29</v>
      </c>
      <c r="W1032">
        <v>2</v>
      </c>
    </row>
    <row r="1033" spans="1:23" x14ac:dyDescent="0.2">
      <c r="A1033">
        <v>5038549</v>
      </c>
      <c r="B1033" t="s">
        <v>25</v>
      </c>
      <c r="C1033" t="s">
        <v>20</v>
      </c>
      <c r="D1033" t="s">
        <v>19</v>
      </c>
      <c r="E1033">
        <v>0</v>
      </c>
      <c r="F1033">
        <v>225000</v>
      </c>
      <c r="G1033" t="s">
        <v>31</v>
      </c>
      <c r="H1033" t="s">
        <v>27</v>
      </c>
      <c r="I1033" t="s">
        <v>28</v>
      </c>
      <c r="J1033" t="s">
        <v>24</v>
      </c>
      <c r="K1033" s="6">
        <f t="shared" ca="1" si="72"/>
        <v>36282</v>
      </c>
      <c r="L1033">
        <v>-9479</v>
      </c>
      <c r="M1033" s="7">
        <f t="shared" ca="1" si="70"/>
        <v>25.952087611225188</v>
      </c>
      <c r="N1033" s="5" t="str">
        <f ca="1">VLOOKUP(Data!M1033,temp!$B$3:$C$9,2,1)</f>
        <v>20-30</v>
      </c>
      <c r="O1033">
        <v>-1143</v>
      </c>
      <c r="P1033" s="8">
        <f t="shared" si="71"/>
        <v>3.1293634496919918</v>
      </c>
      <c r="Q1033" s="5" t="str">
        <f t="shared" si="73"/>
        <v>Employed</v>
      </c>
      <c r="R1033">
        <v>1</v>
      </c>
      <c r="S1033">
        <v>0</v>
      </c>
      <c r="T1033">
        <v>0</v>
      </c>
      <c r="U1033">
        <v>0</v>
      </c>
      <c r="V1033" t="s">
        <v>29</v>
      </c>
      <c r="W1033">
        <v>2</v>
      </c>
    </row>
    <row r="1034" spans="1:23" x14ac:dyDescent="0.2">
      <c r="A1034">
        <v>5038563</v>
      </c>
      <c r="B1034" t="s">
        <v>18</v>
      </c>
      <c r="C1034" t="s">
        <v>19</v>
      </c>
      <c r="D1034" t="s">
        <v>20</v>
      </c>
      <c r="E1034">
        <v>1</v>
      </c>
      <c r="F1034">
        <v>112500</v>
      </c>
      <c r="G1034" t="s">
        <v>31</v>
      </c>
      <c r="H1034" t="s">
        <v>27</v>
      </c>
      <c r="I1034" t="s">
        <v>33</v>
      </c>
      <c r="J1034" t="s">
        <v>24</v>
      </c>
      <c r="K1034" s="6">
        <f t="shared" ca="1" si="72"/>
        <v>30853</v>
      </c>
      <c r="L1034">
        <v>-14908</v>
      </c>
      <c r="M1034" s="7">
        <f t="shared" ca="1" si="70"/>
        <v>40.815879534565369</v>
      </c>
      <c r="N1034" s="5" t="str">
        <f ca="1">VLOOKUP(Data!M1034,temp!$B$3:$C$9,2,1)</f>
        <v>40-50</v>
      </c>
      <c r="O1034">
        <v>-868</v>
      </c>
      <c r="P1034" s="8">
        <f t="shared" si="71"/>
        <v>2.3764544832306638</v>
      </c>
      <c r="Q1034" s="5" t="str">
        <f t="shared" si="73"/>
        <v>Employed</v>
      </c>
      <c r="R1034">
        <v>1</v>
      </c>
      <c r="S1034">
        <v>0</v>
      </c>
      <c r="T1034">
        <v>0</v>
      </c>
      <c r="U1034">
        <v>0</v>
      </c>
      <c r="V1034" t="s">
        <v>55</v>
      </c>
      <c r="W1034">
        <v>2</v>
      </c>
    </row>
    <row r="1035" spans="1:23" x14ac:dyDescent="0.2">
      <c r="A1035">
        <v>5038603</v>
      </c>
      <c r="B1035" t="s">
        <v>18</v>
      </c>
      <c r="C1035" t="s">
        <v>19</v>
      </c>
      <c r="D1035" t="s">
        <v>20</v>
      </c>
      <c r="E1035">
        <v>2</v>
      </c>
      <c r="F1035">
        <v>180000</v>
      </c>
      <c r="G1035" t="s">
        <v>35</v>
      </c>
      <c r="H1035" t="s">
        <v>22</v>
      </c>
      <c r="I1035" t="s">
        <v>28</v>
      </c>
      <c r="J1035" t="s">
        <v>24</v>
      </c>
      <c r="K1035" s="6">
        <f t="shared" ca="1" si="72"/>
        <v>34741</v>
      </c>
      <c r="L1035">
        <v>-11020</v>
      </c>
      <c r="M1035" s="7">
        <f t="shared" ca="1" si="70"/>
        <v>30.171115674195757</v>
      </c>
      <c r="N1035" s="5" t="str">
        <f ca="1">VLOOKUP(Data!M1035,temp!$B$3:$C$9,2,1)</f>
        <v>30-40</v>
      </c>
      <c r="O1035">
        <v>-3578</v>
      </c>
      <c r="P1035" s="8">
        <f t="shared" si="71"/>
        <v>9.7960301163586578</v>
      </c>
      <c r="Q1035" s="5" t="str">
        <f t="shared" si="73"/>
        <v>Employed</v>
      </c>
      <c r="R1035">
        <v>1</v>
      </c>
      <c r="S1035">
        <v>0</v>
      </c>
      <c r="T1035">
        <v>0</v>
      </c>
      <c r="U1035">
        <v>0</v>
      </c>
      <c r="V1035" t="s">
        <v>38</v>
      </c>
      <c r="W1035">
        <v>4</v>
      </c>
    </row>
    <row r="1036" spans="1:23" x14ac:dyDescent="0.2">
      <c r="A1036">
        <v>5038606</v>
      </c>
      <c r="B1036" t="s">
        <v>18</v>
      </c>
      <c r="C1036" t="s">
        <v>19</v>
      </c>
      <c r="D1036" t="s">
        <v>20</v>
      </c>
      <c r="E1036">
        <v>2</v>
      </c>
      <c r="F1036">
        <v>180000</v>
      </c>
      <c r="G1036" t="s">
        <v>35</v>
      </c>
      <c r="H1036" t="s">
        <v>22</v>
      </c>
      <c r="I1036" t="s">
        <v>28</v>
      </c>
      <c r="J1036" t="s">
        <v>24</v>
      </c>
      <c r="K1036" s="6">
        <f t="shared" ca="1" si="72"/>
        <v>34741</v>
      </c>
      <c r="L1036">
        <v>-11020</v>
      </c>
      <c r="M1036" s="7">
        <f t="shared" ca="1" si="70"/>
        <v>30.171115674195757</v>
      </c>
      <c r="N1036" s="5" t="str">
        <f ca="1">VLOOKUP(Data!M1036,temp!$B$3:$C$9,2,1)</f>
        <v>30-40</v>
      </c>
      <c r="O1036">
        <v>-3578</v>
      </c>
      <c r="P1036" s="8">
        <f t="shared" si="71"/>
        <v>9.7960301163586578</v>
      </c>
      <c r="Q1036" s="5" t="str">
        <f t="shared" si="73"/>
        <v>Employed</v>
      </c>
      <c r="R1036">
        <v>1</v>
      </c>
      <c r="S1036">
        <v>0</v>
      </c>
      <c r="T1036">
        <v>0</v>
      </c>
      <c r="U1036">
        <v>0</v>
      </c>
      <c r="V1036" t="s">
        <v>38</v>
      </c>
      <c r="W1036">
        <v>4</v>
      </c>
    </row>
    <row r="1037" spans="1:23" x14ac:dyDescent="0.2">
      <c r="A1037">
        <v>5038673</v>
      </c>
      <c r="B1037" t="s">
        <v>18</v>
      </c>
      <c r="C1037" t="s">
        <v>19</v>
      </c>
      <c r="D1037" t="s">
        <v>20</v>
      </c>
      <c r="E1037">
        <v>0</v>
      </c>
      <c r="F1037">
        <v>67500</v>
      </c>
      <c r="G1037" t="s">
        <v>31</v>
      </c>
      <c r="H1037" t="s">
        <v>22</v>
      </c>
      <c r="I1037" t="s">
        <v>28</v>
      </c>
      <c r="J1037" t="s">
        <v>24</v>
      </c>
      <c r="K1037" s="6">
        <f t="shared" ca="1" si="72"/>
        <v>35033</v>
      </c>
      <c r="L1037">
        <v>-10728</v>
      </c>
      <c r="M1037" s="7">
        <f t="shared" ca="1" si="70"/>
        <v>29.371663244353183</v>
      </c>
      <c r="N1037" s="5" t="str">
        <f ca="1">VLOOKUP(Data!M1037,temp!$B$3:$C$9,2,1)</f>
        <v>20-30</v>
      </c>
      <c r="O1037">
        <v>-1081</v>
      </c>
      <c r="P1037" s="8">
        <f t="shared" si="71"/>
        <v>2.9596167008898013</v>
      </c>
      <c r="Q1037" s="5" t="str">
        <f t="shared" si="73"/>
        <v>Employed</v>
      </c>
      <c r="R1037">
        <v>1</v>
      </c>
      <c r="S1037">
        <v>1</v>
      </c>
      <c r="T1037">
        <v>1</v>
      </c>
      <c r="U1037">
        <v>0</v>
      </c>
      <c r="W1037">
        <v>2</v>
      </c>
    </row>
    <row r="1038" spans="1:23" x14ac:dyDescent="0.2">
      <c r="A1038">
        <v>5038674</v>
      </c>
      <c r="B1038" t="s">
        <v>18</v>
      </c>
      <c r="C1038" t="s">
        <v>19</v>
      </c>
      <c r="D1038" t="s">
        <v>20</v>
      </c>
      <c r="E1038">
        <v>0</v>
      </c>
      <c r="F1038">
        <v>67500</v>
      </c>
      <c r="G1038" t="s">
        <v>31</v>
      </c>
      <c r="H1038" t="s">
        <v>22</v>
      </c>
      <c r="I1038" t="s">
        <v>28</v>
      </c>
      <c r="J1038" t="s">
        <v>24</v>
      </c>
      <c r="K1038" s="6">
        <f t="shared" ca="1" si="72"/>
        <v>35033</v>
      </c>
      <c r="L1038">
        <v>-10728</v>
      </c>
      <c r="M1038" s="7">
        <f t="shared" ca="1" si="70"/>
        <v>29.371663244353183</v>
      </c>
      <c r="N1038" s="5" t="str">
        <f ca="1">VLOOKUP(Data!M1038,temp!$B$3:$C$9,2,1)</f>
        <v>20-30</v>
      </c>
      <c r="O1038">
        <v>-1081</v>
      </c>
      <c r="P1038" s="8">
        <f t="shared" si="71"/>
        <v>2.9596167008898013</v>
      </c>
      <c r="Q1038" s="5" t="str">
        <f t="shared" si="73"/>
        <v>Employed</v>
      </c>
      <c r="R1038">
        <v>1</v>
      </c>
      <c r="S1038">
        <v>1</v>
      </c>
      <c r="T1038">
        <v>1</v>
      </c>
      <c r="U1038">
        <v>0</v>
      </c>
      <c r="W1038">
        <v>2</v>
      </c>
    </row>
    <row r="1039" spans="1:23" x14ac:dyDescent="0.2">
      <c r="A1039">
        <v>5038675</v>
      </c>
      <c r="B1039" t="s">
        <v>18</v>
      </c>
      <c r="C1039" t="s">
        <v>19</v>
      </c>
      <c r="D1039" t="s">
        <v>20</v>
      </c>
      <c r="E1039">
        <v>0</v>
      </c>
      <c r="F1039">
        <v>67500</v>
      </c>
      <c r="G1039" t="s">
        <v>31</v>
      </c>
      <c r="H1039" t="s">
        <v>22</v>
      </c>
      <c r="I1039" t="s">
        <v>28</v>
      </c>
      <c r="J1039" t="s">
        <v>24</v>
      </c>
      <c r="K1039" s="6">
        <f t="shared" ca="1" si="72"/>
        <v>35033</v>
      </c>
      <c r="L1039">
        <v>-10728</v>
      </c>
      <c r="M1039" s="7">
        <f t="shared" ca="1" si="70"/>
        <v>29.371663244353183</v>
      </c>
      <c r="N1039" s="5" t="str">
        <f ca="1">VLOOKUP(Data!M1039,temp!$B$3:$C$9,2,1)</f>
        <v>20-30</v>
      </c>
      <c r="O1039">
        <v>-1081</v>
      </c>
      <c r="P1039" s="8">
        <f t="shared" si="71"/>
        <v>2.9596167008898013</v>
      </c>
      <c r="Q1039" s="5" t="str">
        <f t="shared" si="73"/>
        <v>Employed</v>
      </c>
      <c r="R1039">
        <v>1</v>
      </c>
      <c r="S1039">
        <v>1</v>
      </c>
      <c r="T1039">
        <v>1</v>
      </c>
      <c r="U1039">
        <v>0</v>
      </c>
      <c r="W1039">
        <v>2</v>
      </c>
    </row>
    <row r="1040" spans="1:23" x14ac:dyDescent="0.2">
      <c r="A1040">
        <v>5038691</v>
      </c>
      <c r="B1040" t="s">
        <v>18</v>
      </c>
      <c r="C1040" t="s">
        <v>20</v>
      </c>
      <c r="D1040" t="s">
        <v>19</v>
      </c>
      <c r="E1040">
        <v>0</v>
      </c>
      <c r="F1040">
        <v>240750</v>
      </c>
      <c r="G1040" t="s">
        <v>35</v>
      </c>
      <c r="H1040" t="s">
        <v>27</v>
      </c>
      <c r="I1040" t="s">
        <v>37</v>
      </c>
      <c r="J1040" t="s">
        <v>41</v>
      </c>
      <c r="K1040" s="6">
        <f t="shared" ca="1" si="72"/>
        <v>28068</v>
      </c>
      <c r="L1040">
        <v>-17693</v>
      </c>
      <c r="M1040" s="7">
        <f t="shared" ca="1" si="70"/>
        <v>48.440793976728266</v>
      </c>
      <c r="N1040" s="5" t="str">
        <f ca="1">VLOOKUP(Data!M1040,temp!$B$3:$C$9,2,1)</f>
        <v>40-50</v>
      </c>
      <c r="O1040">
        <v>-7778</v>
      </c>
      <c r="P1040" s="8">
        <f t="shared" si="71"/>
        <v>21.295003422313485</v>
      </c>
      <c r="Q1040" s="5" t="str">
        <f t="shared" si="73"/>
        <v>Employed</v>
      </c>
      <c r="R1040">
        <v>1</v>
      </c>
      <c r="S1040">
        <v>0</v>
      </c>
      <c r="T1040">
        <v>0</v>
      </c>
      <c r="U1040">
        <v>0</v>
      </c>
      <c r="V1040" t="s">
        <v>29</v>
      </c>
      <c r="W1040">
        <v>2</v>
      </c>
    </row>
    <row r="1041" spans="1:23" x14ac:dyDescent="0.2">
      <c r="A1041">
        <v>5038708</v>
      </c>
      <c r="B1041" t="s">
        <v>18</v>
      </c>
      <c r="C1041" t="s">
        <v>19</v>
      </c>
      <c r="D1041" t="s">
        <v>19</v>
      </c>
      <c r="E1041">
        <v>0</v>
      </c>
      <c r="F1041">
        <v>247500</v>
      </c>
      <c r="G1041" t="s">
        <v>35</v>
      </c>
      <c r="H1041" t="s">
        <v>27</v>
      </c>
      <c r="I1041" t="s">
        <v>37</v>
      </c>
      <c r="J1041" t="s">
        <v>24</v>
      </c>
      <c r="K1041" s="6">
        <f t="shared" ca="1" si="72"/>
        <v>28345</v>
      </c>
      <c r="L1041">
        <v>-17416</v>
      </c>
      <c r="M1041" s="7">
        <f t="shared" ca="1" si="70"/>
        <v>47.682409308692677</v>
      </c>
      <c r="N1041" s="5" t="str">
        <f ca="1">VLOOKUP(Data!M1041,temp!$B$3:$C$9,2,1)</f>
        <v>40-50</v>
      </c>
      <c r="O1041">
        <v>-687</v>
      </c>
      <c r="P1041" s="8">
        <f t="shared" si="71"/>
        <v>1.8809034907597535</v>
      </c>
      <c r="Q1041" s="5" t="str">
        <f t="shared" si="73"/>
        <v>Employed</v>
      </c>
      <c r="R1041">
        <v>1</v>
      </c>
      <c r="S1041">
        <v>0</v>
      </c>
      <c r="T1041">
        <v>0</v>
      </c>
      <c r="U1041">
        <v>0</v>
      </c>
      <c r="V1041" t="s">
        <v>50</v>
      </c>
      <c r="W1041">
        <v>2</v>
      </c>
    </row>
    <row r="1042" spans="1:23" x14ac:dyDescent="0.2">
      <c r="A1042">
        <v>5038711</v>
      </c>
      <c r="B1042" t="s">
        <v>18</v>
      </c>
      <c r="C1042" t="s">
        <v>19</v>
      </c>
      <c r="D1042" t="s">
        <v>20</v>
      </c>
      <c r="E1042">
        <v>0</v>
      </c>
      <c r="F1042">
        <v>238500</v>
      </c>
      <c r="G1042" t="s">
        <v>31</v>
      </c>
      <c r="H1042" t="s">
        <v>27</v>
      </c>
      <c r="I1042" t="s">
        <v>28</v>
      </c>
      <c r="J1042" t="s">
        <v>24</v>
      </c>
      <c r="K1042" s="6">
        <f t="shared" ca="1" si="72"/>
        <v>23515</v>
      </c>
      <c r="L1042">
        <v>-22246</v>
      </c>
      <c r="M1042" s="7">
        <f t="shared" ca="1" si="70"/>
        <v>60.906228610540722</v>
      </c>
      <c r="N1042" s="5" t="str">
        <f ca="1">VLOOKUP(Data!M1042,temp!$B$3:$C$9,2,1)</f>
        <v>60-70</v>
      </c>
      <c r="O1042">
        <v>-14536</v>
      </c>
      <c r="P1042" s="8">
        <f t="shared" si="71"/>
        <v>39.797399041752222</v>
      </c>
      <c r="Q1042" s="5" t="str">
        <f t="shared" si="73"/>
        <v>Employed</v>
      </c>
      <c r="R1042">
        <v>1</v>
      </c>
      <c r="S1042">
        <v>0</v>
      </c>
      <c r="T1042">
        <v>0</v>
      </c>
      <c r="U1042">
        <v>0</v>
      </c>
      <c r="V1042" t="s">
        <v>47</v>
      </c>
      <c r="W1042">
        <v>2</v>
      </c>
    </row>
    <row r="1043" spans="1:23" x14ac:dyDescent="0.2">
      <c r="A1043">
        <v>5038712</v>
      </c>
      <c r="B1043" t="s">
        <v>18</v>
      </c>
      <c r="C1043" t="s">
        <v>19</v>
      </c>
      <c r="D1043" t="s">
        <v>20</v>
      </c>
      <c r="E1043">
        <v>0</v>
      </c>
      <c r="F1043">
        <v>238500</v>
      </c>
      <c r="G1043" t="s">
        <v>31</v>
      </c>
      <c r="H1043" t="s">
        <v>27</v>
      </c>
      <c r="I1043" t="s">
        <v>28</v>
      </c>
      <c r="J1043" t="s">
        <v>24</v>
      </c>
      <c r="K1043" s="6">
        <f t="shared" ca="1" si="72"/>
        <v>23515</v>
      </c>
      <c r="L1043">
        <v>-22246</v>
      </c>
      <c r="M1043" s="7">
        <f t="shared" ca="1" si="70"/>
        <v>60.906228610540722</v>
      </c>
      <c r="N1043" s="5" t="str">
        <f ca="1">VLOOKUP(Data!M1043,temp!$B$3:$C$9,2,1)</f>
        <v>60-70</v>
      </c>
      <c r="O1043">
        <v>-14536</v>
      </c>
      <c r="P1043" s="8">
        <f t="shared" si="71"/>
        <v>39.797399041752222</v>
      </c>
      <c r="Q1043" s="5" t="str">
        <f t="shared" si="73"/>
        <v>Employed</v>
      </c>
      <c r="R1043">
        <v>1</v>
      </c>
      <c r="S1043">
        <v>0</v>
      </c>
      <c r="T1043">
        <v>0</v>
      </c>
      <c r="U1043">
        <v>0</v>
      </c>
      <c r="V1043" t="s">
        <v>47</v>
      </c>
      <c r="W1043">
        <v>2</v>
      </c>
    </row>
    <row r="1044" spans="1:23" x14ac:dyDescent="0.2">
      <c r="A1044">
        <v>5038716</v>
      </c>
      <c r="B1044" t="s">
        <v>25</v>
      </c>
      <c r="C1044" t="s">
        <v>20</v>
      </c>
      <c r="D1044" t="s">
        <v>20</v>
      </c>
      <c r="E1044">
        <v>0</v>
      </c>
      <c r="F1044">
        <v>193500</v>
      </c>
      <c r="G1044" t="s">
        <v>31</v>
      </c>
      <c r="H1044" t="s">
        <v>27</v>
      </c>
      <c r="I1044" t="s">
        <v>33</v>
      </c>
      <c r="J1044" t="s">
        <v>24</v>
      </c>
      <c r="K1044" s="6">
        <f t="shared" ca="1" si="72"/>
        <v>36221</v>
      </c>
      <c r="L1044">
        <v>-9540</v>
      </c>
      <c r="M1044" s="7">
        <f t="shared" ca="1" si="70"/>
        <v>26.119096509240247</v>
      </c>
      <c r="N1044" s="5" t="str">
        <f ca="1">VLOOKUP(Data!M1044,temp!$B$3:$C$9,2,1)</f>
        <v>20-30</v>
      </c>
      <c r="O1044">
        <v>-1143</v>
      </c>
      <c r="P1044" s="8">
        <f t="shared" si="71"/>
        <v>3.1293634496919918</v>
      </c>
      <c r="Q1044" s="5" t="str">
        <f t="shared" si="73"/>
        <v>Employed</v>
      </c>
      <c r="R1044">
        <v>1</v>
      </c>
      <c r="S1044">
        <v>1</v>
      </c>
      <c r="T1044">
        <v>0</v>
      </c>
      <c r="U1044">
        <v>0</v>
      </c>
      <c r="W1044">
        <v>1</v>
      </c>
    </row>
    <row r="1045" spans="1:23" x14ac:dyDescent="0.2">
      <c r="A1045">
        <v>5038721</v>
      </c>
      <c r="B1045" t="s">
        <v>25</v>
      </c>
      <c r="C1045" t="s">
        <v>20</v>
      </c>
      <c r="D1045" t="s">
        <v>20</v>
      </c>
      <c r="E1045">
        <v>1</v>
      </c>
      <c r="F1045">
        <v>270000</v>
      </c>
      <c r="G1045" t="s">
        <v>21</v>
      </c>
      <c r="H1045" t="s">
        <v>27</v>
      </c>
      <c r="I1045" t="s">
        <v>28</v>
      </c>
      <c r="J1045" t="s">
        <v>24</v>
      </c>
      <c r="K1045" s="6">
        <f t="shared" ca="1" si="72"/>
        <v>30268</v>
      </c>
      <c r="L1045">
        <v>-15493</v>
      </c>
      <c r="M1045" s="7">
        <f t="shared" ca="1" si="70"/>
        <v>42.417522245037645</v>
      </c>
      <c r="N1045" s="5" t="str">
        <f ca="1">VLOOKUP(Data!M1045,temp!$B$3:$C$9,2,1)</f>
        <v>40-50</v>
      </c>
      <c r="O1045">
        <v>365243</v>
      </c>
      <c r="P1045" s="8">
        <f t="shared" si="71"/>
        <v>0</v>
      </c>
      <c r="Q1045" s="5" t="str">
        <f t="shared" si="73"/>
        <v>Unemployed</v>
      </c>
      <c r="R1045">
        <v>1</v>
      </c>
      <c r="S1045">
        <v>0</v>
      </c>
      <c r="T1045">
        <v>0</v>
      </c>
      <c r="U1045">
        <v>0</v>
      </c>
      <c r="W1045">
        <v>3</v>
      </c>
    </row>
    <row r="1046" spans="1:23" x14ac:dyDescent="0.2">
      <c r="A1046">
        <v>5038722</v>
      </c>
      <c r="B1046" t="s">
        <v>25</v>
      </c>
      <c r="C1046" t="s">
        <v>20</v>
      </c>
      <c r="D1046" t="s">
        <v>20</v>
      </c>
      <c r="E1046">
        <v>1</v>
      </c>
      <c r="F1046">
        <v>270000</v>
      </c>
      <c r="G1046" t="s">
        <v>21</v>
      </c>
      <c r="H1046" t="s">
        <v>27</v>
      </c>
      <c r="I1046" t="s">
        <v>28</v>
      </c>
      <c r="J1046" t="s">
        <v>24</v>
      </c>
      <c r="K1046" s="6">
        <f t="shared" ca="1" si="72"/>
        <v>30268</v>
      </c>
      <c r="L1046">
        <v>-15493</v>
      </c>
      <c r="M1046" s="7">
        <f t="shared" ca="1" si="70"/>
        <v>42.417522245037645</v>
      </c>
      <c r="N1046" s="5" t="str">
        <f ca="1">VLOOKUP(Data!M1046,temp!$B$3:$C$9,2,1)</f>
        <v>40-50</v>
      </c>
      <c r="O1046">
        <v>365243</v>
      </c>
      <c r="P1046" s="8">
        <f t="shared" si="71"/>
        <v>0</v>
      </c>
      <c r="Q1046" s="5" t="str">
        <f t="shared" si="73"/>
        <v>Unemployed</v>
      </c>
      <c r="R1046">
        <v>1</v>
      </c>
      <c r="S1046">
        <v>0</v>
      </c>
      <c r="T1046">
        <v>0</v>
      </c>
      <c r="U1046">
        <v>0</v>
      </c>
      <c r="W1046">
        <v>3</v>
      </c>
    </row>
    <row r="1047" spans="1:23" x14ac:dyDescent="0.2">
      <c r="A1047">
        <v>5038724</v>
      </c>
      <c r="B1047" t="s">
        <v>18</v>
      </c>
      <c r="C1047" t="s">
        <v>20</v>
      </c>
      <c r="D1047" t="s">
        <v>19</v>
      </c>
      <c r="E1047">
        <v>0</v>
      </c>
      <c r="F1047">
        <v>225000</v>
      </c>
      <c r="G1047" t="s">
        <v>26</v>
      </c>
      <c r="H1047" t="s">
        <v>27</v>
      </c>
      <c r="I1047" t="s">
        <v>28</v>
      </c>
      <c r="J1047" t="s">
        <v>24</v>
      </c>
      <c r="K1047" s="6">
        <f t="shared" ca="1" si="72"/>
        <v>35695</v>
      </c>
      <c r="L1047">
        <v>-10066</v>
      </c>
      <c r="M1047" s="7">
        <f t="shared" ca="1" si="70"/>
        <v>27.559206023271731</v>
      </c>
      <c r="N1047" s="5" t="str">
        <f ca="1">VLOOKUP(Data!M1047,temp!$B$3:$C$9,2,1)</f>
        <v>20-30</v>
      </c>
      <c r="O1047">
        <v>-3060</v>
      </c>
      <c r="P1047" s="8">
        <f t="shared" si="71"/>
        <v>8.3778234086242307</v>
      </c>
      <c r="Q1047" s="5" t="str">
        <f t="shared" si="73"/>
        <v>Employed</v>
      </c>
      <c r="R1047">
        <v>1</v>
      </c>
      <c r="S1047">
        <v>0</v>
      </c>
      <c r="T1047">
        <v>0</v>
      </c>
      <c r="U1047">
        <v>0</v>
      </c>
      <c r="V1047" t="s">
        <v>38</v>
      </c>
      <c r="W1047">
        <v>2</v>
      </c>
    </row>
    <row r="1048" spans="1:23" x14ac:dyDescent="0.2">
      <c r="A1048">
        <v>5038741</v>
      </c>
      <c r="B1048" t="s">
        <v>25</v>
      </c>
      <c r="C1048" t="s">
        <v>19</v>
      </c>
      <c r="D1048" t="s">
        <v>20</v>
      </c>
      <c r="E1048">
        <v>0</v>
      </c>
      <c r="F1048">
        <v>135000</v>
      </c>
      <c r="G1048" t="s">
        <v>31</v>
      </c>
      <c r="H1048" t="s">
        <v>27</v>
      </c>
      <c r="I1048" t="s">
        <v>28</v>
      </c>
      <c r="J1048" t="s">
        <v>24</v>
      </c>
      <c r="K1048" s="6">
        <f t="shared" ca="1" si="72"/>
        <v>29942</v>
      </c>
      <c r="L1048">
        <v>-15819</v>
      </c>
      <c r="M1048" s="7">
        <f t="shared" ca="1" si="70"/>
        <v>43.310061601642708</v>
      </c>
      <c r="N1048" s="5" t="str">
        <f ca="1">VLOOKUP(Data!M1048,temp!$B$3:$C$9,2,1)</f>
        <v>40-50</v>
      </c>
      <c r="O1048">
        <v>-169</v>
      </c>
      <c r="P1048" s="8">
        <f t="shared" si="71"/>
        <v>0.46269678302532513</v>
      </c>
      <c r="Q1048" s="5" t="str">
        <f t="shared" si="73"/>
        <v>Employed</v>
      </c>
      <c r="R1048">
        <v>1</v>
      </c>
      <c r="S1048">
        <v>0</v>
      </c>
      <c r="T1048">
        <v>0</v>
      </c>
      <c r="U1048">
        <v>0</v>
      </c>
      <c r="V1048" t="s">
        <v>40</v>
      </c>
      <c r="W1048">
        <v>2</v>
      </c>
    </row>
    <row r="1049" spans="1:23" x14ac:dyDescent="0.2">
      <c r="A1049">
        <v>5038743</v>
      </c>
      <c r="B1049" t="s">
        <v>25</v>
      </c>
      <c r="C1049" t="s">
        <v>19</v>
      </c>
      <c r="D1049" t="s">
        <v>20</v>
      </c>
      <c r="E1049">
        <v>0</v>
      </c>
      <c r="F1049">
        <v>135000</v>
      </c>
      <c r="G1049" t="s">
        <v>31</v>
      </c>
      <c r="H1049" t="s">
        <v>27</v>
      </c>
      <c r="I1049" t="s">
        <v>28</v>
      </c>
      <c r="J1049" t="s">
        <v>24</v>
      </c>
      <c r="K1049" s="6">
        <f t="shared" ca="1" si="72"/>
        <v>29942</v>
      </c>
      <c r="L1049">
        <v>-15819</v>
      </c>
      <c r="M1049" s="7">
        <f t="shared" ca="1" si="70"/>
        <v>43.310061601642708</v>
      </c>
      <c r="N1049" s="5" t="str">
        <f ca="1">VLOOKUP(Data!M1049,temp!$B$3:$C$9,2,1)</f>
        <v>40-50</v>
      </c>
      <c r="O1049">
        <v>-169</v>
      </c>
      <c r="P1049" s="8">
        <f t="shared" si="71"/>
        <v>0.46269678302532513</v>
      </c>
      <c r="Q1049" s="5" t="str">
        <f t="shared" si="73"/>
        <v>Employed</v>
      </c>
      <c r="R1049">
        <v>1</v>
      </c>
      <c r="S1049">
        <v>0</v>
      </c>
      <c r="T1049">
        <v>0</v>
      </c>
      <c r="U1049">
        <v>0</v>
      </c>
      <c r="V1049" t="s">
        <v>40</v>
      </c>
      <c r="W1049">
        <v>2</v>
      </c>
    </row>
    <row r="1050" spans="1:23" x14ac:dyDescent="0.2">
      <c r="A1050">
        <v>5038744</v>
      </c>
      <c r="B1050" t="s">
        <v>25</v>
      </c>
      <c r="C1050" t="s">
        <v>19</v>
      </c>
      <c r="D1050" t="s">
        <v>20</v>
      </c>
      <c r="E1050">
        <v>0</v>
      </c>
      <c r="F1050">
        <v>135000</v>
      </c>
      <c r="G1050" t="s">
        <v>31</v>
      </c>
      <c r="H1050" t="s">
        <v>27</v>
      </c>
      <c r="I1050" t="s">
        <v>28</v>
      </c>
      <c r="J1050" t="s">
        <v>24</v>
      </c>
      <c r="K1050" s="6">
        <f t="shared" ca="1" si="72"/>
        <v>29942</v>
      </c>
      <c r="L1050">
        <v>-15819</v>
      </c>
      <c r="M1050" s="7">
        <f t="shared" ca="1" si="70"/>
        <v>43.310061601642708</v>
      </c>
      <c r="N1050" s="5" t="str">
        <f ca="1">VLOOKUP(Data!M1050,temp!$B$3:$C$9,2,1)</f>
        <v>40-50</v>
      </c>
      <c r="O1050">
        <v>-169</v>
      </c>
      <c r="P1050" s="8">
        <f t="shared" si="71"/>
        <v>0.46269678302532513</v>
      </c>
      <c r="Q1050" s="5" t="str">
        <f t="shared" si="73"/>
        <v>Employed</v>
      </c>
      <c r="R1050">
        <v>1</v>
      </c>
      <c r="S1050">
        <v>0</v>
      </c>
      <c r="T1050">
        <v>0</v>
      </c>
      <c r="U1050">
        <v>0</v>
      </c>
      <c r="V1050" t="s">
        <v>40</v>
      </c>
      <c r="W1050">
        <v>2</v>
      </c>
    </row>
    <row r="1051" spans="1:23" x14ac:dyDescent="0.2">
      <c r="A1051">
        <v>5038746</v>
      </c>
      <c r="B1051" t="s">
        <v>25</v>
      </c>
      <c r="C1051" t="s">
        <v>20</v>
      </c>
      <c r="D1051" t="s">
        <v>20</v>
      </c>
      <c r="E1051">
        <v>2</v>
      </c>
      <c r="F1051">
        <v>157500</v>
      </c>
      <c r="G1051" t="s">
        <v>26</v>
      </c>
      <c r="H1051" t="s">
        <v>22</v>
      </c>
      <c r="I1051" t="s">
        <v>28</v>
      </c>
      <c r="J1051" t="s">
        <v>41</v>
      </c>
      <c r="K1051" s="6">
        <f t="shared" ca="1" si="72"/>
        <v>31569</v>
      </c>
      <c r="L1051">
        <v>-14192</v>
      </c>
      <c r="M1051" s="7">
        <f t="shared" ca="1" si="70"/>
        <v>38.855578370978783</v>
      </c>
      <c r="N1051" s="5" t="str">
        <f ca="1">VLOOKUP(Data!M1051,temp!$B$3:$C$9,2,1)</f>
        <v>30-40</v>
      </c>
      <c r="O1051">
        <v>-626</v>
      </c>
      <c r="P1051" s="8">
        <f t="shared" si="71"/>
        <v>1.7138945927446954</v>
      </c>
      <c r="Q1051" s="5" t="str">
        <f t="shared" si="73"/>
        <v>Employed</v>
      </c>
      <c r="R1051">
        <v>1</v>
      </c>
      <c r="S1051">
        <v>0</v>
      </c>
      <c r="T1051">
        <v>0</v>
      </c>
      <c r="U1051">
        <v>0</v>
      </c>
      <c r="V1051" t="s">
        <v>30</v>
      </c>
      <c r="W1051">
        <v>4</v>
      </c>
    </row>
    <row r="1052" spans="1:23" x14ac:dyDescent="0.2">
      <c r="A1052">
        <v>5038755</v>
      </c>
      <c r="B1052" t="s">
        <v>25</v>
      </c>
      <c r="C1052" t="s">
        <v>20</v>
      </c>
      <c r="D1052" t="s">
        <v>20</v>
      </c>
      <c r="E1052">
        <v>2</v>
      </c>
      <c r="F1052">
        <v>157500</v>
      </c>
      <c r="G1052" t="s">
        <v>26</v>
      </c>
      <c r="H1052" t="s">
        <v>22</v>
      </c>
      <c r="I1052" t="s">
        <v>28</v>
      </c>
      <c r="J1052" t="s">
        <v>41</v>
      </c>
      <c r="K1052" s="6">
        <f t="shared" ca="1" si="72"/>
        <v>31569</v>
      </c>
      <c r="L1052">
        <v>-14192</v>
      </c>
      <c r="M1052" s="7">
        <f t="shared" ca="1" si="70"/>
        <v>38.855578370978783</v>
      </c>
      <c r="N1052" s="5" t="str">
        <f ca="1">VLOOKUP(Data!M1052,temp!$B$3:$C$9,2,1)</f>
        <v>30-40</v>
      </c>
      <c r="O1052">
        <v>-626</v>
      </c>
      <c r="P1052" s="8">
        <f t="shared" si="71"/>
        <v>1.7138945927446954</v>
      </c>
      <c r="Q1052" s="5" t="str">
        <f t="shared" si="73"/>
        <v>Employed</v>
      </c>
      <c r="R1052">
        <v>1</v>
      </c>
      <c r="S1052">
        <v>0</v>
      </c>
      <c r="T1052">
        <v>0</v>
      </c>
      <c r="U1052">
        <v>0</v>
      </c>
      <c r="V1052" t="s">
        <v>30</v>
      </c>
      <c r="W1052">
        <v>4</v>
      </c>
    </row>
    <row r="1053" spans="1:23" x14ac:dyDescent="0.2">
      <c r="A1053">
        <v>5038763</v>
      </c>
      <c r="B1053" t="s">
        <v>18</v>
      </c>
      <c r="C1053" t="s">
        <v>19</v>
      </c>
      <c r="D1053" t="s">
        <v>20</v>
      </c>
      <c r="E1053">
        <v>1</v>
      </c>
      <c r="F1053">
        <v>112500</v>
      </c>
      <c r="G1053" t="s">
        <v>31</v>
      </c>
      <c r="H1053" t="s">
        <v>27</v>
      </c>
      <c r="I1053" t="s">
        <v>28</v>
      </c>
      <c r="J1053" t="s">
        <v>24</v>
      </c>
      <c r="K1053" s="6">
        <f t="shared" ca="1" si="72"/>
        <v>32020</v>
      </c>
      <c r="L1053">
        <v>-13741</v>
      </c>
      <c r="M1053" s="7">
        <f t="shared" ca="1" si="70"/>
        <v>37.620807665982205</v>
      </c>
      <c r="N1053" s="5" t="str">
        <f ca="1">VLOOKUP(Data!M1053,temp!$B$3:$C$9,2,1)</f>
        <v>30-40</v>
      </c>
      <c r="O1053">
        <v>-5221</v>
      </c>
      <c r="P1053" s="8">
        <f t="shared" si="71"/>
        <v>14.294318959616701</v>
      </c>
      <c r="Q1053" s="5" t="str">
        <f t="shared" si="73"/>
        <v>Employed</v>
      </c>
      <c r="R1053">
        <v>1</v>
      </c>
      <c r="S1053">
        <v>0</v>
      </c>
      <c r="T1053">
        <v>0</v>
      </c>
      <c r="U1053">
        <v>0</v>
      </c>
      <c r="V1053" t="s">
        <v>29</v>
      </c>
      <c r="W1053">
        <v>3</v>
      </c>
    </row>
    <row r="1054" spans="1:23" x14ac:dyDescent="0.2">
      <c r="A1054">
        <v>5038771</v>
      </c>
      <c r="B1054" t="s">
        <v>18</v>
      </c>
      <c r="C1054" t="s">
        <v>19</v>
      </c>
      <c r="D1054" t="s">
        <v>20</v>
      </c>
      <c r="E1054">
        <v>1</v>
      </c>
      <c r="F1054">
        <v>112500</v>
      </c>
      <c r="G1054" t="s">
        <v>31</v>
      </c>
      <c r="H1054" t="s">
        <v>27</v>
      </c>
      <c r="I1054" t="s">
        <v>28</v>
      </c>
      <c r="J1054" t="s">
        <v>24</v>
      </c>
      <c r="K1054" s="6">
        <f t="shared" ca="1" si="72"/>
        <v>32020</v>
      </c>
      <c r="L1054">
        <v>-13741</v>
      </c>
      <c r="M1054" s="7">
        <f t="shared" ca="1" si="70"/>
        <v>37.620807665982205</v>
      </c>
      <c r="N1054" s="5" t="str">
        <f ca="1">VLOOKUP(Data!M1054,temp!$B$3:$C$9,2,1)</f>
        <v>30-40</v>
      </c>
      <c r="O1054">
        <v>-5221</v>
      </c>
      <c r="P1054" s="8">
        <f t="shared" si="71"/>
        <v>14.294318959616701</v>
      </c>
      <c r="Q1054" s="5" t="str">
        <f t="shared" si="73"/>
        <v>Employed</v>
      </c>
      <c r="R1054">
        <v>1</v>
      </c>
      <c r="S1054">
        <v>0</v>
      </c>
      <c r="T1054">
        <v>0</v>
      </c>
      <c r="U1054">
        <v>0</v>
      </c>
      <c r="V1054" t="s">
        <v>29</v>
      </c>
      <c r="W1054">
        <v>3</v>
      </c>
    </row>
    <row r="1055" spans="1:23" x14ac:dyDescent="0.2">
      <c r="A1055">
        <v>5038779</v>
      </c>
      <c r="B1055" t="s">
        <v>18</v>
      </c>
      <c r="C1055" t="s">
        <v>19</v>
      </c>
      <c r="D1055" t="s">
        <v>20</v>
      </c>
      <c r="E1055">
        <v>0</v>
      </c>
      <c r="F1055">
        <v>81000</v>
      </c>
      <c r="G1055" t="s">
        <v>35</v>
      </c>
      <c r="H1055" t="s">
        <v>22</v>
      </c>
      <c r="I1055" t="s">
        <v>42</v>
      </c>
      <c r="J1055" t="s">
        <v>24</v>
      </c>
      <c r="K1055" s="6">
        <f t="shared" ca="1" si="72"/>
        <v>26322</v>
      </c>
      <c r="L1055">
        <v>-19439</v>
      </c>
      <c r="M1055" s="7">
        <f t="shared" ca="1" si="70"/>
        <v>53.221081451060918</v>
      </c>
      <c r="N1055" s="5" t="str">
        <f ca="1">VLOOKUP(Data!M1055,temp!$B$3:$C$9,2,1)</f>
        <v>50-60</v>
      </c>
      <c r="O1055">
        <v>-6712</v>
      </c>
      <c r="P1055" s="8">
        <f t="shared" si="71"/>
        <v>18.376454483230663</v>
      </c>
      <c r="Q1055" s="5" t="str">
        <f t="shared" si="73"/>
        <v>Employed</v>
      </c>
      <c r="R1055">
        <v>1</v>
      </c>
      <c r="S1055">
        <v>0</v>
      </c>
      <c r="T1055">
        <v>0</v>
      </c>
      <c r="U1055">
        <v>0</v>
      </c>
      <c r="V1055" t="s">
        <v>47</v>
      </c>
      <c r="W1055">
        <v>1</v>
      </c>
    </row>
    <row r="1056" spans="1:23" x14ac:dyDescent="0.2">
      <c r="A1056">
        <v>5038792</v>
      </c>
      <c r="B1056" t="s">
        <v>18</v>
      </c>
      <c r="C1056" t="s">
        <v>19</v>
      </c>
      <c r="D1056" t="s">
        <v>20</v>
      </c>
      <c r="E1056">
        <v>0</v>
      </c>
      <c r="F1056">
        <v>157500</v>
      </c>
      <c r="G1056" t="s">
        <v>21</v>
      </c>
      <c r="H1056" t="s">
        <v>27</v>
      </c>
      <c r="I1056" t="s">
        <v>28</v>
      </c>
      <c r="J1056" t="s">
        <v>24</v>
      </c>
      <c r="K1056" s="6">
        <f t="shared" ca="1" si="72"/>
        <v>23019</v>
      </c>
      <c r="L1056">
        <v>-22742</v>
      </c>
      <c r="M1056" s="7">
        <f t="shared" ca="1" si="70"/>
        <v>62.264202600958249</v>
      </c>
      <c r="N1056" s="5" t="str">
        <f ca="1">VLOOKUP(Data!M1056,temp!$B$3:$C$9,2,1)</f>
        <v>60-70</v>
      </c>
      <c r="O1056">
        <v>365243</v>
      </c>
      <c r="P1056" s="8">
        <f t="shared" si="71"/>
        <v>0</v>
      </c>
      <c r="Q1056" s="5" t="str">
        <f t="shared" si="73"/>
        <v>Unemployed</v>
      </c>
      <c r="R1056">
        <v>1</v>
      </c>
      <c r="S1056">
        <v>0</v>
      </c>
      <c r="T1056">
        <v>0</v>
      </c>
      <c r="U1056">
        <v>0</v>
      </c>
      <c r="W1056">
        <v>2</v>
      </c>
    </row>
    <row r="1057" spans="1:23" x14ac:dyDescent="0.2">
      <c r="A1057">
        <v>5038812</v>
      </c>
      <c r="B1057" t="s">
        <v>25</v>
      </c>
      <c r="C1057" t="s">
        <v>20</v>
      </c>
      <c r="D1057" t="s">
        <v>20</v>
      </c>
      <c r="E1057">
        <v>0</v>
      </c>
      <c r="F1057">
        <v>180000</v>
      </c>
      <c r="G1057" t="s">
        <v>26</v>
      </c>
      <c r="H1057" t="s">
        <v>27</v>
      </c>
      <c r="I1057" t="s">
        <v>28</v>
      </c>
      <c r="J1057" t="s">
        <v>45</v>
      </c>
      <c r="K1057" s="6">
        <f t="shared" ca="1" si="72"/>
        <v>32090</v>
      </c>
      <c r="L1057">
        <v>-13671</v>
      </c>
      <c r="M1057" s="7">
        <f t="shared" ca="1" si="70"/>
        <v>37.429158110882959</v>
      </c>
      <c r="N1057" s="5" t="str">
        <f ca="1">VLOOKUP(Data!M1057,temp!$B$3:$C$9,2,1)</f>
        <v>30-40</v>
      </c>
      <c r="O1057">
        <v>-473</v>
      </c>
      <c r="P1057" s="8">
        <f t="shared" si="71"/>
        <v>1.2950034223134839</v>
      </c>
      <c r="Q1057" s="5" t="str">
        <f t="shared" si="73"/>
        <v>Employed</v>
      </c>
      <c r="R1057">
        <v>1</v>
      </c>
      <c r="S1057">
        <v>1</v>
      </c>
      <c r="T1057">
        <v>1</v>
      </c>
      <c r="U1057">
        <v>0</v>
      </c>
      <c r="V1057" t="s">
        <v>29</v>
      </c>
      <c r="W1057">
        <v>2</v>
      </c>
    </row>
    <row r="1058" spans="1:23" x14ac:dyDescent="0.2">
      <c r="A1058">
        <v>5038845</v>
      </c>
      <c r="B1058" t="s">
        <v>18</v>
      </c>
      <c r="C1058" t="s">
        <v>19</v>
      </c>
      <c r="D1058" t="s">
        <v>20</v>
      </c>
      <c r="E1058">
        <v>0</v>
      </c>
      <c r="F1058">
        <v>103500</v>
      </c>
      <c r="G1058" t="s">
        <v>26</v>
      </c>
      <c r="H1058" t="s">
        <v>27</v>
      </c>
      <c r="I1058" t="s">
        <v>28</v>
      </c>
      <c r="J1058" t="s">
        <v>24</v>
      </c>
      <c r="K1058" s="6">
        <f t="shared" ca="1" si="72"/>
        <v>28754</v>
      </c>
      <c r="L1058">
        <v>-17007</v>
      </c>
      <c r="M1058" s="7">
        <f t="shared" ca="1" si="70"/>
        <v>46.562628336755644</v>
      </c>
      <c r="N1058" s="5" t="str">
        <f ca="1">VLOOKUP(Data!M1058,temp!$B$3:$C$9,2,1)</f>
        <v>40-50</v>
      </c>
      <c r="O1058">
        <v>-1569</v>
      </c>
      <c r="P1058" s="8">
        <f t="shared" si="71"/>
        <v>4.2956878850102669</v>
      </c>
      <c r="Q1058" s="5" t="str">
        <f t="shared" si="73"/>
        <v>Employed</v>
      </c>
      <c r="R1058">
        <v>1</v>
      </c>
      <c r="S1058">
        <v>1</v>
      </c>
      <c r="T1058">
        <v>1</v>
      </c>
      <c r="U1058">
        <v>0</v>
      </c>
      <c r="V1058" t="s">
        <v>39</v>
      </c>
      <c r="W1058">
        <v>2</v>
      </c>
    </row>
    <row r="1059" spans="1:23" x14ac:dyDescent="0.2">
      <c r="A1059">
        <v>5038849</v>
      </c>
      <c r="B1059" t="s">
        <v>18</v>
      </c>
      <c r="C1059" t="s">
        <v>19</v>
      </c>
      <c r="D1059" t="s">
        <v>20</v>
      </c>
      <c r="E1059">
        <v>0</v>
      </c>
      <c r="F1059">
        <v>103500</v>
      </c>
      <c r="G1059" t="s">
        <v>26</v>
      </c>
      <c r="H1059" t="s">
        <v>27</v>
      </c>
      <c r="I1059" t="s">
        <v>28</v>
      </c>
      <c r="J1059" t="s">
        <v>24</v>
      </c>
      <c r="K1059" s="6">
        <f t="shared" ca="1" si="72"/>
        <v>28754</v>
      </c>
      <c r="L1059">
        <v>-17007</v>
      </c>
      <c r="M1059" s="7">
        <f t="shared" ca="1" si="70"/>
        <v>46.562628336755644</v>
      </c>
      <c r="N1059" s="5" t="str">
        <f ca="1">VLOOKUP(Data!M1059,temp!$B$3:$C$9,2,1)</f>
        <v>40-50</v>
      </c>
      <c r="O1059">
        <v>-1569</v>
      </c>
      <c r="P1059" s="8">
        <f t="shared" si="71"/>
        <v>4.2956878850102669</v>
      </c>
      <c r="Q1059" s="5" t="str">
        <f t="shared" si="73"/>
        <v>Employed</v>
      </c>
      <c r="R1059">
        <v>1</v>
      </c>
      <c r="S1059">
        <v>1</v>
      </c>
      <c r="T1059">
        <v>1</v>
      </c>
      <c r="U1059">
        <v>0</v>
      </c>
      <c r="V1059" t="s">
        <v>39</v>
      </c>
      <c r="W1059">
        <v>2</v>
      </c>
    </row>
    <row r="1060" spans="1:23" x14ac:dyDescent="0.2">
      <c r="A1060">
        <v>5038864</v>
      </c>
      <c r="B1060" t="s">
        <v>25</v>
      </c>
      <c r="C1060" t="s">
        <v>20</v>
      </c>
      <c r="D1060" t="s">
        <v>20</v>
      </c>
      <c r="E1060">
        <v>1</v>
      </c>
      <c r="F1060">
        <v>270000</v>
      </c>
      <c r="G1060" t="s">
        <v>31</v>
      </c>
      <c r="H1060" t="s">
        <v>27</v>
      </c>
      <c r="I1060" t="s">
        <v>28</v>
      </c>
      <c r="J1060" t="s">
        <v>24</v>
      </c>
      <c r="K1060" s="6">
        <f t="shared" ca="1" si="72"/>
        <v>31273</v>
      </c>
      <c r="L1060">
        <v>-14488</v>
      </c>
      <c r="M1060" s="7">
        <f t="shared" ca="1" si="70"/>
        <v>39.665982203969882</v>
      </c>
      <c r="N1060" s="5" t="str">
        <f ca="1">VLOOKUP(Data!M1060,temp!$B$3:$C$9,2,1)</f>
        <v>30-40</v>
      </c>
      <c r="O1060">
        <v>-1630</v>
      </c>
      <c r="P1060" s="8">
        <f t="shared" si="71"/>
        <v>4.4626967830253248</v>
      </c>
      <c r="Q1060" s="5" t="str">
        <f t="shared" si="73"/>
        <v>Employed</v>
      </c>
      <c r="R1060">
        <v>1</v>
      </c>
      <c r="S1060">
        <v>0</v>
      </c>
      <c r="T1060">
        <v>1</v>
      </c>
      <c r="U1060">
        <v>0</v>
      </c>
      <c r="V1060" t="s">
        <v>29</v>
      </c>
      <c r="W1060">
        <v>3</v>
      </c>
    </row>
    <row r="1061" spans="1:23" x14ac:dyDescent="0.2">
      <c r="A1061">
        <v>5038876</v>
      </c>
      <c r="B1061" t="s">
        <v>18</v>
      </c>
      <c r="C1061" t="s">
        <v>20</v>
      </c>
      <c r="D1061" t="s">
        <v>20</v>
      </c>
      <c r="E1061">
        <v>0</v>
      </c>
      <c r="F1061">
        <v>157500</v>
      </c>
      <c r="G1061" t="s">
        <v>26</v>
      </c>
      <c r="H1061" t="s">
        <v>27</v>
      </c>
      <c r="I1061" t="s">
        <v>28</v>
      </c>
      <c r="J1061" t="s">
        <v>24</v>
      </c>
      <c r="K1061" s="6">
        <f t="shared" ca="1" si="72"/>
        <v>33087</v>
      </c>
      <c r="L1061">
        <v>-12674</v>
      </c>
      <c r="M1061" s="7">
        <f t="shared" ca="1" si="70"/>
        <v>34.699520876112253</v>
      </c>
      <c r="N1061" s="5" t="str">
        <f ca="1">VLOOKUP(Data!M1061,temp!$B$3:$C$9,2,1)</f>
        <v>30-40</v>
      </c>
      <c r="O1061">
        <v>-656</v>
      </c>
      <c r="P1061" s="8">
        <f t="shared" si="71"/>
        <v>1.7960301163586585</v>
      </c>
      <c r="Q1061" s="5" t="str">
        <f t="shared" si="73"/>
        <v>Employed</v>
      </c>
      <c r="R1061">
        <v>1</v>
      </c>
      <c r="S1061">
        <v>0</v>
      </c>
      <c r="T1061">
        <v>0</v>
      </c>
      <c r="U1061">
        <v>0</v>
      </c>
      <c r="V1061" t="s">
        <v>39</v>
      </c>
      <c r="W1061">
        <v>2</v>
      </c>
    </row>
    <row r="1062" spans="1:23" x14ac:dyDescent="0.2">
      <c r="A1062">
        <v>5038895</v>
      </c>
      <c r="B1062" t="s">
        <v>18</v>
      </c>
      <c r="C1062" t="s">
        <v>19</v>
      </c>
      <c r="D1062" t="s">
        <v>20</v>
      </c>
      <c r="E1062">
        <v>0</v>
      </c>
      <c r="F1062">
        <v>135000</v>
      </c>
      <c r="G1062" t="s">
        <v>21</v>
      </c>
      <c r="H1062" t="s">
        <v>27</v>
      </c>
      <c r="I1062" t="s">
        <v>28</v>
      </c>
      <c r="J1062" t="s">
        <v>24</v>
      </c>
      <c r="K1062" s="6">
        <f t="shared" ca="1" si="72"/>
        <v>22875</v>
      </c>
      <c r="L1062">
        <v>-22886</v>
      </c>
      <c r="M1062" s="7">
        <f t="shared" ca="1" si="70"/>
        <v>62.658453114305267</v>
      </c>
      <c r="N1062" s="5" t="str">
        <f ca="1">VLOOKUP(Data!M1062,temp!$B$3:$C$9,2,1)</f>
        <v>60-70</v>
      </c>
      <c r="O1062">
        <v>365243</v>
      </c>
      <c r="P1062" s="8">
        <f t="shared" si="71"/>
        <v>0</v>
      </c>
      <c r="Q1062" s="5" t="str">
        <f t="shared" si="73"/>
        <v>Unemployed</v>
      </c>
      <c r="R1062">
        <v>1</v>
      </c>
      <c r="S1062">
        <v>0</v>
      </c>
      <c r="T1062">
        <v>1</v>
      </c>
      <c r="U1062">
        <v>0</v>
      </c>
      <c r="W1062">
        <v>2</v>
      </c>
    </row>
    <row r="1063" spans="1:23" x14ac:dyDescent="0.2">
      <c r="A1063">
        <v>5038898</v>
      </c>
      <c r="B1063" t="s">
        <v>18</v>
      </c>
      <c r="C1063" t="s">
        <v>19</v>
      </c>
      <c r="D1063" t="s">
        <v>20</v>
      </c>
      <c r="E1063">
        <v>0</v>
      </c>
      <c r="F1063">
        <v>135000</v>
      </c>
      <c r="G1063" t="s">
        <v>21</v>
      </c>
      <c r="H1063" t="s">
        <v>27</v>
      </c>
      <c r="I1063" t="s">
        <v>28</v>
      </c>
      <c r="J1063" t="s">
        <v>24</v>
      </c>
      <c r="K1063" s="6">
        <f t="shared" ca="1" si="72"/>
        <v>22875</v>
      </c>
      <c r="L1063">
        <v>-22886</v>
      </c>
      <c r="M1063" s="7">
        <f t="shared" ca="1" si="70"/>
        <v>62.658453114305267</v>
      </c>
      <c r="N1063" s="5" t="str">
        <f ca="1">VLOOKUP(Data!M1063,temp!$B$3:$C$9,2,1)</f>
        <v>60-70</v>
      </c>
      <c r="O1063">
        <v>365243</v>
      </c>
      <c r="P1063" s="8">
        <f t="shared" si="71"/>
        <v>0</v>
      </c>
      <c r="Q1063" s="5" t="str">
        <f t="shared" si="73"/>
        <v>Unemployed</v>
      </c>
      <c r="R1063">
        <v>1</v>
      </c>
      <c r="S1063">
        <v>0</v>
      </c>
      <c r="T1063">
        <v>1</v>
      </c>
      <c r="U1063">
        <v>0</v>
      </c>
      <c r="W1063">
        <v>2</v>
      </c>
    </row>
    <row r="1064" spans="1:23" x14ac:dyDescent="0.2">
      <c r="A1064">
        <v>5038899</v>
      </c>
      <c r="B1064" t="s">
        <v>18</v>
      </c>
      <c r="C1064" t="s">
        <v>19</v>
      </c>
      <c r="D1064" t="s">
        <v>20</v>
      </c>
      <c r="E1064">
        <v>0</v>
      </c>
      <c r="F1064">
        <v>135000</v>
      </c>
      <c r="G1064" t="s">
        <v>21</v>
      </c>
      <c r="H1064" t="s">
        <v>27</v>
      </c>
      <c r="I1064" t="s">
        <v>28</v>
      </c>
      <c r="J1064" t="s">
        <v>24</v>
      </c>
      <c r="K1064" s="6">
        <f t="shared" ca="1" si="72"/>
        <v>22875</v>
      </c>
      <c r="L1064">
        <v>-22886</v>
      </c>
      <c r="M1064" s="7">
        <f t="shared" ca="1" si="70"/>
        <v>62.658453114305267</v>
      </c>
      <c r="N1064" s="5" t="str">
        <f ca="1">VLOOKUP(Data!M1064,temp!$B$3:$C$9,2,1)</f>
        <v>60-70</v>
      </c>
      <c r="O1064">
        <v>365243</v>
      </c>
      <c r="P1064" s="8">
        <f t="shared" si="71"/>
        <v>0</v>
      </c>
      <c r="Q1064" s="5" t="str">
        <f t="shared" si="73"/>
        <v>Unemployed</v>
      </c>
      <c r="R1064">
        <v>1</v>
      </c>
      <c r="S1064">
        <v>0</v>
      </c>
      <c r="T1064">
        <v>1</v>
      </c>
      <c r="U1064">
        <v>0</v>
      </c>
      <c r="W1064">
        <v>2</v>
      </c>
    </row>
    <row r="1065" spans="1:23" x14ac:dyDescent="0.2">
      <c r="A1065">
        <v>5038908</v>
      </c>
      <c r="B1065" t="s">
        <v>18</v>
      </c>
      <c r="C1065" t="s">
        <v>19</v>
      </c>
      <c r="D1065" t="s">
        <v>20</v>
      </c>
      <c r="E1065">
        <v>1</v>
      </c>
      <c r="F1065">
        <v>135000</v>
      </c>
      <c r="G1065" t="s">
        <v>26</v>
      </c>
      <c r="H1065" t="s">
        <v>27</v>
      </c>
      <c r="I1065" t="s">
        <v>28</v>
      </c>
      <c r="J1065" t="s">
        <v>41</v>
      </c>
      <c r="K1065" s="6">
        <f t="shared" ca="1" si="72"/>
        <v>34727</v>
      </c>
      <c r="L1065">
        <v>-11034</v>
      </c>
      <c r="M1065" s="7">
        <f t="shared" ca="1" si="70"/>
        <v>30.209445585215605</v>
      </c>
      <c r="N1065" s="5" t="str">
        <f ca="1">VLOOKUP(Data!M1065,temp!$B$3:$C$9,2,1)</f>
        <v>30-40</v>
      </c>
      <c r="O1065">
        <v>-2421</v>
      </c>
      <c r="P1065" s="8">
        <f t="shared" si="71"/>
        <v>6.6283367556468171</v>
      </c>
      <c r="Q1065" s="5" t="str">
        <f t="shared" si="73"/>
        <v>Employed</v>
      </c>
      <c r="R1065">
        <v>1</v>
      </c>
      <c r="S1065">
        <v>0</v>
      </c>
      <c r="T1065">
        <v>0</v>
      </c>
      <c r="U1065">
        <v>0</v>
      </c>
      <c r="V1065" t="s">
        <v>29</v>
      </c>
      <c r="W1065">
        <v>3</v>
      </c>
    </row>
    <row r="1066" spans="1:23" x14ac:dyDescent="0.2">
      <c r="A1066">
        <v>5038928</v>
      </c>
      <c r="B1066" t="s">
        <v>18</v>
      </c>
      <c r="C1066" t="s">
        <v>19</v>
      </c>
      <c r="D1066" t="s">
        <v>20</v>
      </c>
      <c r="E1066">
        <v>0</v>
      </c>
      <c r="F1066">
        <v>54000</v>
      </c>
      <c r="G1066" t="s">
        <v>21</v>
      </c>
      <c r="H1066" t="s">
        <v>27</v>
      </c>
      <c r="I1066" t="s">
        <v>28</v>
      </c>
      <c r="J1066" t="s">
        <v>24</v>
      </c>
      <c r="K1066" s="6">
        <f t="shared" ca="1" si="72"/>
        <v>24931</v>
      </c>
      <c r="L1066">
        <v>-20830</v>
      </c>
      <c r="M1066" s="7">
        <f t="shared" ca="1" si="70"/>
        <v>57.029431895961672</v>
      </c>
      <c r="N1066" s="5" t="str">
        <f ca="1">VLOOKUP(Data!M1066,temp!$B$3:$C$9,2,1)</f>
        <v>50-60</v>
      </c>
      <c r="O1066">
        <v>365243</v>
      </c>
      <c r="P1066" s="8">
        <f t="shared" si="71"/>
        <v>0</v>
      </c>
      <c r="Q1066" s="5" t="str">
        <f t="shared" si="73"/>
        <v>Unemployed</v>
      </c>
      <c r="R1066">
        <v>1</v>
      </c>
      <c r="S1066">
        <v>0</v>
      </c>
      <c r="T1066">
        <v>0</v>
      </c>
      <c r="U1066">
        <v>0</v>
      </c>
      <c r="W1066">
        <v>2</v>
      </c>
    </row>
    <row r="1067" spans="1:23" x14ac:dyDescent="0.2">
      <c r="A1067">
        <v>5041063</v>
      </c>
      <c r="B1067" t="s">
        <v>18</v>
      </c>
      <c r="C1067" t="s">
        <v>19</v>
      </c>
      <c r="D1067" t="s">
        <v>20</v>
      </c>
      <c r="E1067">
        <v>0</v>
      </c>
      <c r="F1067">
        <v>103500</v>
      </c>
      <c r="G1067" t="s">
        <v>31</v>
      </c>
      <c r="H1067" t="s">
        <v>27</v>
      </c>
      <c r="I1067" t="s">
        <v>33</v>
      </c>
      <c r="J1067" t="s">
        <v>24</v>
      </c>
      <c r="K1067" s="6">
        <f t="shared" ca="1" si="72"/>
        <v>28300</v>
      </c>
      <c r="L1067">
        <v>-17461</v>
      </c>
      <c r="M1067" s="7">
        <f t="shared" ca="1" si="70"/>
        <v>47.805612594113619</v>
      </c>
      <c r="N1067" s="5" t="str">
        <f ca="1">VLOOKUP(Data!M1067,temp!$B$3:$C$9,2,1)</f>
        <v>40-50</v>
      </c>
      <c r="O1067">
        <v>-2134</v>
      </c>
      <c r="P1067" s="8">
        <f t="shared" si="71"/>
        <v>5.8425735797399039</v>
      </c>
      <c r="Q1067" s="5" t="str">
        <f t="shared" si="73"/>
        <v>Employed</v>
      </c>
      <c r="R1067">
        <v>1</v>
      </c>
      <c r="S1067">
        <v>0</v>
      </c>
      <c r="T1067">
        <v>0</v>
      </c>
      <c r="U1067">
        <v>0</v>
      </c>
      <c r="V1067" t="s">
        <v>39</v>
      </c>
      <c r="W1067">
        <v>1</v>
      </c>
    </row>
    <row r="1068" spans="1:23" x14ac:dyDescent="0.2">
      <c r="A1068">
        <v>5041065</v>
      </c>
      <c r="B1068" t="s">
        <v>18</v>
      </c>
      <c r="C1068" t="s">
        <v>19</v>
      </c>
      <c r="D1068" t="s">
        <v>20</v>
      </c>
      <c r="E1068">
        <v>0</v>
      </c>
      <c r="F1068">
        <v>103500</v>
      </c>
      <c r="G1068" t="s">
        <v>31</v>
      </c>
      <c r="H1068" t="s">
        <v>27</v>
      </c>
      <c r="I1068" t="s">
        <v>33</v>
      </c>
      <c r="J1068" t="s">
        <v>24</v>
      </c>
      <c r="K1068" s="6">
        <f t="shared" ca="1" si="72"/>
        <v>28300</v>
      </c>
      <c r="L1068">
        <v>-17461</v>
      </c>
      <c r="M1068" s="7">
        <f t="shared" ca="1" si="70"/>
        <v>47.805612594113619</v>
      </c>
      <c r="N1068" s="5" t="str">
        <f ca="1">VLOOKUP(Data!M1068,temp!$B$3:$C$9,2,1)</f>
        <v>40-50</v>
      </c>
      <c r="O1068">
        <v>-2134</v>
      </c>
      <c r="P1068" s="8">
        <f t="shared" si="71"/>
        <v>5.8425735797399039</v>
      </c>
      <c r="Q1068" s="5" t="str">
        <f t="shared" si="73"/>
        <v>Employed</v>
      </c>
      <c r="R1068">
        <v>1</v>
      </c>
      <c r="S1068">
        <v>0</v>
      </c>
      <c r="T1068">
        <v>0</v>
      </c>
      <c r="U1068">
        <v>0</v>
      </c>
      <c r="V1068" t="s">
        <v>39</v>
      </c>
      <c r="W1068">
        <v>1</v>
      </c>
    </row>
    <row r="1069" spans="1:23" x14ac:dyDescent="0.2">
      <c r="A1069">
        <v>5041068</v>
      </c>
      <c r="B1069" t="s">
        <v>18</v>
      </c>
      <c r="C1069" t="s">
        <v>19</v>
      </c>
      <c r="D1069" t="s">
        <v>20</v>
      </c>
      <c r="E1069">
        <v>0</v>
      </c>
      <c r="F1069">
        <v>103500</v>
      </c>
      <c r="G1069" t="s">
        <v>31</v>
      </c>
      <c r="H1069" t="s">
        <v>27</v>
      </c>
      <c r="I1069" t="s">
        <v>33</v>
      </c>
      <c r="J1069" t="s">
        <v>24</v>
      </c>
      <c r="K1069" s="6">
        <f t="shared" ca="1" si="72"/>
        <v>28300</v>
      </c>
      <c r="L1069">
        <v>-17461</v>
      </c>
      <c r="M1069" s="7">
        <f t="shared" ca="1" si="70"/>
        <v>47.805612594113619</v>
      </c>
      <c r="N1069" s="5" t="str">
        <f ca="1">VLOOKUP(Data!M1069,temp!$B$3:$C$9,2,1)</f>
        <v>40-50</v>
      </c>
      <c r="O1069">
        <v>-2134</v>
      </c>
      <c r="P1069" s="8">
        <f t="shared" si="71"/>
        <v>5.8425735797399039</v>
      </c>
      <c r="Q1069" s="5" t="str">
        <f t="shared" si="73"/>
        <v>Employed</v>
      </c>
      <c r="R1069">
        <v>1</v>
      </c>
      <c r="S1069">
        <v>0</v>
      </c>
      <c r="T1069">
        <v>0</v>
      </c>
      <c r="U1069">
        <v>0</v>
      </c>
      <c r="V1069" t="s">
        <v>39</v>
      </c>
      <c r="W1069">
        <v>1</v>
      </c>
    </row>
    <row r="1070" spans="1:23" x14ac:dyDescent="0.2">
      <c r="A1070">
        <v>5041070</v>
      </c>
      <c r="B1070" t="s">
        <v>18</v>
      </c>
      <c r="C1070" t="s">
        <v>20</v>
      </c>
      <c r="D1070" t="s">
        <v>20</v>
      </c>
      <c r="E1070">
        <v>0</v>
      </c>
      <c r="F1070">
        <v>54000</v>
      </c>
      <c r="G1070" t="s">
        <v>21</v>
      </c>
      <c r="H1070" t="s">
        <v>27</v>
      </c>
      <c r="I1070" t="s">
        <v>28</v>
      </c>
      <c r="J1070" t="s">
        <v>24</v>
      </c>
      <c r="K1070" s="6">
        <f t="shared" ca="1" si="72"/>
        <v>25495</v>
      </c>
      <c r="L1070">
        <v>-20266</v>
      </c>
      <c r="M1070" s="7">
        <f t="shared" ca="1" si="70"/>
        <v>55.485284052019168</v>
      </c>
      <c r="N1070" s="5" t="str">
        <f ca="1">VLOOKUP(Data!M1070,temp!$B$3:$C$9,2,1)</f>
        <v>50-60</v>
      </c>
      <c r="O1070">
        <v>365243</v>
      </c>
      <c r="P1070" s="8">
        <f t="shared" si="71"/>
        <v>0</v>
      </c>
      <c r="Q1070" s="5" t="str">
        <f t="shared" si="73"/>
        <v>Unemployed</v>
      </c>
      <c r="R1070">
        <v>1</v>
      </c>
      <c r="S1070">
        <v>0</v>
      </c>
      <c r="T1070">
        <v>1</v>
      </c>
      <c r="U1070">
        <v>0</v>
      </c>
      <c r="W1070">
        <v>2</v>
      </c>
    </row>
    <row r="1071" spans="1:23" x14ac:dyDescent="0.2">
      <c r="A1071">
        <v>5041073</v>
      </c>
      <c r="B1071" t="s">
        <v>18</v>
      </c>
      <c r="C1071" t="s">
        <v>19</v>
      </c>
      <c r="D1071" t="s">
        <v>20</v>
      </c>
      <c r="E1071">
        <v>0</v>
      </c>
      <c r="F1071">
        <v>67500</v>
      </c>
      <c r="G1071" t="s">
        <v>31</v>
      </c>
      <c r="H1071" t="s">
        <v>27</v>
      </c>
      <c r="I1071" t="s">
        <v>33</v>
      </c>
      <c r="J1071" t="s">
        <v>24</v>
      </c>
      <c r="K1071" s="6">
        <f t="shared" ca="1" si="72"/>
        <v>27582</v>
      </c>
      <c r="L1071">
        <v>-18179</v>
      </c>
      <c r="M1071" s="7">
        <f t="shared" ca="1" si="70"/>
        <v>49.771389459274467</v>
      </c>
      <c r="N1071" s="5" t="str">
        <f ca="1">VLOOKUP(Data!M1071,temp!$B$3:$C$9,2,1)</f>
        <v>40-50</v>
      </c>
      <c r="O1071">
        <v>-188</v>
      </c>
      <c r="P1071" s="8">
        <f t="shared" si="71"/>
        <v>0.51471594798083509</v>
      </c>
      <c r="Q1071" s="5" t="str">
        <f t="shared" si="73"/>
        <v>Employed</v>
      </c>
      <c r="R1071">
        <v>1</v>
      </c>
      <c r="S1071">
        <v>0</v>
      </c>
      <c r="T1071">
        <v>0</v>
      </c>
      <c r="U1071">
        <v>0</v>
      </c>
      <c r="V1071" t="s">
        <v>29</v>
      </c>
      <c r="W1071">
        <v>2</v>
      </c>
    </row>
    <row r="1072" spans="1:23" x14ac:dyDescent="0.2">
      <c r="A1072">
        <v>5041090</v>
      </c>
      <c r="B1072" t="s">
        <v>25</v>
      </c>
      <c r="C1072" t="s">
        <v>20</v>
      </c>
      <c r="D1072" t="s">
        <v>20</v>
      </c>
      <c r="E1072">
        <v>0</v>
      </c>
      <c r="F1072">
        <v>189000</v>
      </c>
      <c r="G1072" t="s">
        <v>31</v>
      </c>
      <c r="H1072" t="s">
        <v>22</v>
      </c>
      <c r="I1072" t="s">
        <v>28</v>
      </c>
      <c r="J1072" t="s">
        <v>24</v>
      </c>
      <c r="K1072" s="6">
        <f t="shared" ca="1" si="72"/>
        <v>27025</v>
      </c>
      <c r="L1072">
        <v>-18736</v>
      </c>
      <c r="M1072" s="7">
        <f t="shared" ca="1" si="70"/>
        <v>51.296372347707049</v>
      </c>
      <c r="N1072" s="5" t="str">
        <f ca="1">VLOOKUP(Data!M1072,temp!$B$3:$C$9,2,1)</f>
        <v>50-60</v>
      </c>
      <c r="O1072">
        <v>-339</v>
      </c>
      <c r="P1072" s="8">
        <f t="shared" si="71"/>
        <v>0.92813141683778233</v>
      </c>
      <c r="Q1072" s="5" t="str">
        <f t="shared" si="73"/>
        <v>Employed</v>
      </c>
      <c r="R1072">
        <v>1</v>
      </c>
      <c r="S1072">
        <v>0</v>
      </c>
      <c r="T1072">
        <v>1</v>
      </c>
      <c r="U1072">
        <v>0</v>
      </c>
      <c r="V1072" t="s">
        <v>30</v>
      </c>
      <c r="W1072">
        <v>2</v>
      </c>
    </row>
    <row r="1073" spans="1:23" x14ac:dyDescent="0.2">
      <c r="A1073">
        <v>5041104</v>
      </c>
      <c r="B1073" t="s">
        <v>18</v>
      </c>
      <c r="C1073" t="s">
        <v>19</v>
      </c>
      <c r="D1073" t="s">
        <v>20</v>
      </c>
      <c r="E1073">
        <v>0</v>
      </c>
      <c r="F1073">
        <v>202500</v>
      </c>
      <c r="G1073" t="s">
        <v>21</v>
      </c>
      <c r="H1073" t="s">
        <v>27</v>
      </c>
      <c r="I1073" t="s">
        <v>28</v>
      </c>
      <c r="J1073" t="s">
        <v>24</v>
      </c>
      <c r="K1073" s="6">
        <f t="shared" ca="1" si="72"/>
        <v>24418</v>
      </c>
      <c r="L1073">
        <v>-21343</v>
      </c>
      <c r="M1073" s="7">
        <f t="shared" ca="1" si="70"/>
        <v>58.433949349760439</v>
      </c>
      <c r="N1073" s="5" t="str">
        <f ca="1">VLOOKUP(Data!M1073,temp!$B$3:$C$9,2,1)</f>
        <v>50-60</v>
      </c>
      <c r="O1073">
        <v>365243</v>
      </c>
      <c r="P1073" s="8">
        <f t="shared" si="71"/>
        <v>0</v>
      </c>
      <c r="Q1073" s="5" t="str">
        <f t="shared" si="73"/>
        <v>Unemployed</v>
      </c>
      <c r="R1073">
        <v>1</v>
      </c>
      <c r="S1073">
        <v>0</v>
      </c>
      <c r="T1073">
        <v>0</v>
      </c>
      <c r="U1073">
        <v>0</v>
      </c>
      <c r="W1073">
        <v>2</v>
      </c>
    </row>
    <row r="1074" spans="1:23" x14ac:dyDescent="0.2">
      <c r="A1074">
        <v>5041109</v>
      </c>
      <c r="B1074" t="s">
        <v>18</v>
      </c>
      <c r="C1074" t="s">
        <v>19</v>
      </c>
      <c r="D1074" t="s">
        <v>19</v>
      </c>
      <c r="E1074">
        <v>0</v>
      </c>
      <c r="F1074">
        <v>117000</v>
      </c>
      <c r="G1074" t="s">
        <v>21</v>
      </c>
      <c r="H1074" t="s">
        <v>27</v>
      </c>
      <c r="I1074" t="s">
        <v>42</v>
      </c>
      <c r="J1074" t="s">
        <v>24</v>
      </c>
      <c r="K1074" s="6">
        <f t="shared" ca="1" si="72"/>
        <v>22705</v>
      </c>
      <c r="L1074">
        <v>-23056</v>
      </c>
      <c r="M1074" s="7">
        <f t="shared" ca="1" si="70"/>
        <v>63.123887748117724</v>
      </c>
      <c r="N1074" s="5" t="str">
        <f ca="1">VLOOKUP(Data!M1074,temp!$B$3:$C$9,2,1)</f>
        <v>60-70</v>
      </c>
      <c r="O1074">
        <v>365243</v>
      </c>
      <c r="P1074" s="8">
        <f t="shared" si="71"/>
        <v>0</v>
      </c>
      <c r="Q1074" s="5" t="str">
        <f t="shared" si="73"/>
        <v>Unemployed</v>
      </c>
      <c r="R1074">
        <v>1</v>
      </c>
      <c r="S1074">
        <v>0</v>
      </c>
      <c r="T1074">
        <v>0</v>
      </c>
      <c r="U1074">
        <v>0</v>
      </c>
      <c r="W1074">
        <v>1</v>
      </c>
    </row>
    <row r="1075" spans="1:23" x14ac:dyDescent="0.2">
      <c r="A1075">
        <v>5041112</v>
      </c>
      <c r="B1075" t="s">
        <v>25</v>
      </c>
      <c r="C1075" t="s">
        <v>20</v>
      </c>
      <c r="D1075" t="s">
        <v>20</v>
      </c>
      <c r="E1075">
        <v>0</v>
      </c>
      <c r="F1075">
        <v>405000</v>
      </c>
      <c r="G1075" t="s">
        <v>26</v>
      </c>
      <c r="H1075" t="s">
        <v>27</v>
      </c>
      <c r="I1075" t="s">
        <v>33</v>
      </c>
      <c r="J1075" t="s">
        <v>24</v>
      </c>
      <c r="K1075" s="6">
        <f t="shared" ca="1" si="72"/>
        <v>27343</v>
      </c>
      <c r="L1075">
        <v>-18418</v>
      </c>
      <c r="M1075" s="7">
        <f t="shared" ca="1" si="70"/>
        <v>50.425735797399042</v>
      </c>
      <c r="N1075" s="5" t="str">
        <f ca="1">VLOOKUP(Data!M1075,temp!$B$3:$C$9,2,1)</f>
        <v>50-60</v>
      </c>
      <c r="O1075">
        <v>-3383</v>
      </c>
      <c r="P1075" s="8">
        <f t="shared" si="71"/>
        <v>9.2621492128678984</v>
      </c>
      <c r="Q1075" s="5" t="str">
        <f t="shared" si="73"/>
        <v>Employed</v>
      </c>
      <c r="R1075">
        <v>1</v>
      </c>
      <c r="S1075">
        <v>1</v>
      </c>
      <c r="T1075">
        <v>1</v>
      </c>
      <c r="U1075">
        <v>0</v>
      </c>
      <c r="V1075" t="s">
        <v>29</v>
      </c>
      <c r="W1075">
        <v>1</v>
      </c>
    </row>
    <row r="1076" spans="1:23" x14ac:dyDescent="0.2">
      <c r="A1076">
        <v>5041114</v>
      </c>
      <c r="B1076" t="s">
        <v>25</v>
      </c>
      <c r="C1076" t="s">
        <v>20</v>
      </c>
      <c r="D1076" t="s">
        <v>20</v>
      </c>
      <c r="E1076">
        <v>0</v>
      </c>
      <c r="F1076">
        <v>405000</v>
      </c>
      <c r="G1076" t="s">
        <v>26</v>
      </c>
      <c r="H1076" t="s">
        <v>27</v>
      </c>
      <c r="I1076" t="s">
        <v>33</v>
      </c>
      <c r="J1076" t="s">
        <v>24</v>
      </c>
      <c r="K1076" s="6">
        <f t="shared" ca="1" si="72"/>
        <v>27343</v>
      </c>
      <c r="L1076">
        <v>-18418</v>
      </c>
      <c r="M1076" s="7">
        <f t="shared" ca="1" si="70"/>
        <v>50.425735797399042</v>
      </c>
      <c r="N1076" s="5" t="str">
        <f ca="1">VLOOKUP(Data!M1076,temp!$B$3:$C$9,2,1)</f>
        <v>50-60</v>
      </c>
      <c r="O1076">
        <v>-3383</v>
      </c>
      <c r="P1076" s="8">
        <f t="shared" si="71"/>
        <v>9.2621492128678984</v>
      </c>
      <c r="Q1076" s="5" t="str">
        <f t="shared" si="73"/>
        <v>Employed</v>
      </c>
      <c r="R1076">
        <v>1</v>
      </c>
      <c r="S1076">
        <v>1</v>
      </c>
      <c r="T1076">
        <v>1</v>
      </c>
      <c r="U1076">
        <v>0</v>
      </c>
      <c r="V1076" t="s">
        <v>29</v>
      </c>
      <c r="W1076">
        <v>1</v>
      </c>
    </row>
    <row r="1077" spans="1:23" x14ac:dyDescent="0.2">
      <c r="A1077">
        <v>5041128</v>
      </c>
      <c r="B1077" t="s">
        <v>18</v>
      </c>
      <c r="C1077" t="s">
        <v>19</v>
      </c>
      <c r="D1077" t="s">
        <v>20</v>
      </c>
      <c r="E1077">
        <v>0</v>
      </c>
      <c r="F1077">
        <v>225000</v>
      </c>
      <c r="G1077" t="s">
        <v>26</v>
      </c>
      <c r="H1077" t="s">
        <v>22</v>
      </c>
      <c r="I1077" t="s">
        <v>33</v>
      </c>
      <c r="J1077" t="s">
        <v>24</v>
      </c>
      <c r="K1077" s="6">
        <f t="shared" ca="1" si="72"/>
        <v>28730</v>
      </c>
      <c r="L1077">
        <v>-17031</v>
      </c>
      <c r="M1077" s="7">
        <f t="shared" ca="1" si="70"/>
        <v>46.628336755646821</v>
      </c>
      <c r="N1077" s="5" t="str">
        <f ca="1">VLOOKUP(Data!M1077,temp!$B$3:$C$9,2,1)</f>
        <v>40-50</v>
      </c>
      <c r="O1077">
        <v>-642</v>
      </c>
      <c r="P1077" s="8">
        <f t="shared" si="71"/>
        <v>1.7577002053388091</v>
      </c>
      <c r="Q1077" s="5" t="str">
        <f t="shared" si="73"/>
        <v>Employed</v>
      </c>
      <c r="R1077">
        <v>1</v>
      </c>
      <c r="S1077">
        <v>0</v>
      </c>
      <c r="T1077">
        <v>0</v>
      </c>
      <c r="U1077">
        <v>0</v>
      </c>
      <c r="V1077" t="s">
        <v>38</v>
      </c>
      <c r="W1077">
        <v>1</v>
      </c>
    </row>
    <row r="1078" spans="1:23" x14ac:dyDescent="0.2">
      <c r="A1078">
        <v>5041178</v>
      </c>
      <c r="B1078" t="s">
        <v>18</v>
      </c>
      <c r="C1078" t="s">
        <v>20</v>
      </c>
      <c r="D1078" t="s">
        <v>20</v>
      </c>
      <c r="E1078">
        <v>0</v>
      </c>
      <c r="F1078">
        <v>382500</v>
      </c>
      <c r="G1078" t="s">
        <v>26</v>
      </c>
      <c r="H1078" t="s">
        <v>22</v>
      </c>
      <c r="I1078" t="s">
        <v>28</v>
      </c>
      <c r="J1078" t="s">
        <v>24</v>
      </c>
      <c r="K1078" s="6">
        <f t="shared" ca="1" si="72"/>
        <v>25707</v>
      </c>
      <c r="L1078">
        <v>-20054</v>
      </c>
      <c r="M1078" s="7">
        <f t="shared" ca="1" si="70"/>
        <v>54.904859685147159</v>
      </c>
      <c r="N1078" s="5" t="str">
        <f ca="1">VLOOKUP(Data!M1078,temp!$B$3:$C$9,2,1)</f>
        <v>50-60</v>
      </c>
      <c r="O1078">
        <v>-6427</v>
      </c>
      <c r="P1078" s="8">
        <f t="shared" si="71"/>
        <v>17.596167008898014</v>
      </c>
      <c r="Q1078" s="5" t="str">
        <f t="shared" si="73"/>
        <v>Employed</v>
      </c>
      <c r="R1078">
        <v>1</v>
      </c>
      <c r="S1078">
        <v>0</v>
      </c>
      <c r="T1078">
        <v>1</v>
      </c>
      <c r="U1078">
        <v>0</v>
      </c>
      <c r="V1078" t="s">
        <v>32</v>
      </c>
      <c r="W1078">
        <v>2</v>
      </c>
    </row>
    <row r="1079" spans="1:23" x14ac:dyDescent="0.2">
      <c r="A1079">
        <v>5041203</v>
      </c>
      <c r="B1079" t="s">
        <v>18</v>
      </c>
      <c r="C1079" t="s">
        <v>19</v>
      </c>
      <c r="D1079" t="s">
        <v>20</v>
      </c>
      <c r="E1079">
        <v>0</v>
      </c>
      <c r="F1079">
        <v>180000</v>
      </c>
      <c r="G1079" t="s">
        <v>31</v>
      </c>
      <c r="H1079" t="s">
        <v>22</v>
      </c>
      <c r="I1079" t="s">
        <v>42</v>
      </c>
      <c r="J1079" t="s">
        <v>24</v>
      </c>
      <c r="K1079" s="6">
        <f t="shared" ca="1" si="72"/>
        <v>22726</v>
      </c>
      <c r="L1079">
        <v>-23035</v>
      </c>
      <c r="M1079" s="7">
        <f t="shared" ca="1" si="70"/>
        <v>63.066392881587952</v>
      </c>
      <c r="N1079" s="5" t="str">
        <f ca="1">VLOOKUP(Data!M1079,temp!$B$3:$C$9,2,1)</f>
        <v>60-70</v>
      </c>
      <c r="O1079">
        <v>-2134</v>
      </c>
      <c r="P1079" s="8">
        <f t="shared" si="71"/>
        <v>5.8425735797399039</v>
      </c>
      <c r="Q1079" s="5" t="str">
        <f t="shared" si="73"/>
        <v>Employed</v>
      </c>
      <c r="R1079">
        <v>1</v>
      </c>
      <c r="S1079">
        <v>0</v>
      </c>
      <c r="T1079">
        <v>0</v>
      </c>
      <c r="U1079">
        <v>0</v>
      </c>
      <c r="V1079" t="s">
        <v>52</v>
      </c>
      <c r="W1079">
        <v>1</v>
      </c>
    </row>
    <row r="1080" spans="1:23" x14ac:dyDescent="0.2">
      <c r="A1080">
        <v>5041226</v>
      </c>
      <c r="B1080" t="s">
        <v>18</v>
      </c>
      <c r="C1080" t="s">
        <v>19</v>
      </c>
      <c r="D1080" t="s">
        <v>20</v>
      </c>
      <c r="E1080">
        <v>0</v>
      </c>
      <c r="F1080">
        <v>81000</v>
      </c>
      <c r="G1080" t="s">
        <v>31</v>
      </c>
      <c r="H1080" t="s">
        <v>27</v>
      </c>
      <c r="I1080" t="s">
        <v>28</v>
      </c>
      <c r="J1080" t="s">
        <v>24</v>
      </c>
      <c r="K1080" s="6">
        <f t="shared" ca="1" si="72"/>
        <v>28828</v>
      </c>
      <c r="L1080">
        <v>-16933</v>
      </c>
      <c r="M1080" s="7">
        <f t="shared" ca="1" si="70"/>
        <v>46.360027378507873</v>
      </c>
      <c r="N1080" s="5" t="str">
        <f ca="1">VLOOKUP(Data!M1080,temp!$B$3:$C$9,2,1)</f>
        <v>40-50</v>
      </c>
      <c r="O1080">
        <v>-10384</v>
      </c>
      <c r="P1080" s="8">
        <f t="shared" si="71"/>
        <v>28.429842573579741</v>
      </c>
      <c r="Q1080" s="5" t="str">
        <f t="shared" si="73"/>
        <v>Employed</v>
      </c>
      <c r="R1080">
        <v>1</v>
      </c>
      <c r="S1080">
        <v>1</v>
      </c>
      <c r="T1080">
        <v>1</v>
      </c>
      <c r="U1080">
        <v>0</v>
      </c>
      <c r="V1080" t="s">
        <v>50</v>
      </c>
      <c r="W1080">
        <v>2</v>
      </c>
    </row>
    <row r="1081" spans="1:23" x14ac:dyDescent="0.2">
      <c r="A1081">
        <v>5041229</v>
      </c>
      <c r="B1081" t="s">
        <v>18</v>
      </c>
      <c r="C1081" t="s">
        <v>19</v>
      </c>
      <c r="D1081" t="s">
        <v>20</v>
      </c>
      <c r="E1081">
        <v>0</v>
      </c>
      <c r="F1081">
        <v>81000</v>
      </c>
      <c r="G1081" t="s">
        <v>31</v>
      </c>
      <c r="H1081" t="s">
        <v>27</v>
      </c>
      <c r="I1081" t="s">
        <v>28</v>
      </c>
      <c r="J1081" t="s">
        <v>24</v>
      </c>
      <c r="K1081" s="6">
        <f t="shared" ca="1" si="72"/>
        <v>28828</v>
      </c>
      <c r="L1081">
        <v>-16933</v>
      </c>
      <c r="M1081" s="7">
        <f t="shared" ca="1" si="70"/>
        <v>46.360027378507873</v>
      </c>
      <c r="N1081" s="5" t="str">
        <f ca="1">VLOOKUP(Data!M1081,temp!$B$3:$C$9,2,1)</f>
        <v>40-50</v>
      </c>
      <c r="O1081">
        <v>-10384</v>
      </c>
      <c r="P1081" s="8">
        <f t="shared" si="71"/>
        <v>28.429842573579741</v>
      </c>
      <c r="Q1081" s="5" t="str">
        <f t="shared" si="73"/>
        <v>Employed</v>
      </c>
      <c r="R1081">
        <v>1</v>
      </c>
      <c r="S1081">
        <v>1</v>
      </c>
      <c r="T1081">
        <v>1</v>
      </c>
      <c r="U1081">
        <v>0</v>
      </c>
      <c r="V1081" t="s">
        <v>50</v>
      </c>
      <c r="W1081">
        <v>2</v>
      </c>
    </row>
    <row r="1082" spans="1:23" x14ac:dyDescent="0.2">
      <c r="A1082">
        <v>5041233</v>
      </c>
      <c r="B1082" t="s">
        <v>25</v>
      </c>
      <c r="C1082" t="s">
        <v>19</v>
      </c>
      <c r="D1082" t="s">
        <v>20</v>
      </c>
      <c r="E1082">
        <v>0</v>
      </c>
      <c r="F1082">
        <v>94500</v>
      </c>
      <c r="G1082" t="s">
        <v>21</v>
      </c>
      <c r="H1082" t="s">
        <v>27</v>
      </c>
      <c r="I1082" t="s">
        <v>28</v>
      </c>
      <c r="J1082" t="s">
        <v>24</v>
      </c>
      <c r="K1082" s="6">
        <f t="shared" ca="1" si="72"/>
        <v>23234</v>
      </c>
      <c r="L1082">
        <v>-22527</v>
      </c>
      <c r="M1082" s="7">
        <f t="shared" ca="1" si="70"/>
        <v>61.675564681724843</v>
      </c>
      <c r="N1082" s="5" t="str">
        <f ca="1">VLOOKUP(Data!M1082,temp!$B$3:$C$9,2,1)</f>
        <v>60-70</v>
      </c>
      <c r="O1082">
        <v>365243</v>
      </c>
      <c r="P1082" s="8">
        <f t="shared" si="71"/>
        <v>0</v>
      </c>
      <c r="Q1082" s="5" t="str">
        <f t="shared" si="73"/>
        <v>Unemployed</v>
      </c>
      <c r="R1082">
        <v>1</v>
      </c>
      <c r="S1082">
        <v>0</v>
      </c>
      <c r="T1082">
        <v>0</v>
      </c>
      <c r="U1082">
        <v>0</v>
      </c>
      <c r="W1082">
        <v>2</v>
      </c>
    </row>
    <row r="1083" spans="1:23" x14ac:dyDescent="0.2">
      <c r="A1083">
        <v>5041240</v>
      </c>
      <c r="B1083" t="s">
        <v>18</v>
      </c>
      <c r="C1083" t="s">
        <v>19</v>
      </c>
      <c r="D1083" t="s">
        <v>20</v>
      </c>
      <c r="E1083">
        <v>0</v>
      </c>
      <c r="F1083">
        <v>135000</v>
      </c>
      <c r="G1083" t="s">
        <v>21</v>
      </c>
      <c r="H1083" t="s">
        <v>27</v>
      </c>
      <c r="I1083" t="s">
        <v>28</v>
      </c>
      <c r="J1083" t="s">
        <v>24</v>
      </c>
      <c r="K1083" s="6">
        <f t="shared" ca="1" si="72"/>
        <v>25301</v>
      </c>
      <c r="L1083">
        <v>-20460</v>
      </c>
      <c r="M1083" s="7">
        <f t="shared" ca="1" si="70"/>
        <v>56.016427104722794</v>
      </c>
      <c r="N1083" s="5" t="str">
        <f ca="1">VLOOKUP(Data!M1083,temp!$B$3:$C$9,2,1)</f>
        <v>50-60</v>
      </c>
      <c r="O1083">
        <v>365243</v>
      </c>
      <c r="P1083" s="8">
        <f t="shared" si="71"/>
        <v>0</v>
      </c>
      <c r="Q1083" s="5" t="str">
        <f t="shared" si="73"/>
        <v>Unemployed</v>
      </c>
      <c r="R1083">
        <v>1</v>
      </c>
      <c r="S1083">
        <v>0</v>
      </c>
      <c r="T1083">
        <v>0</v>
      </c>
      <c r="U1083">
        <v>0</v>
      </c>
      <c r="W1083">
        <v>2</v>
      </c>
    </row>
    <row r="1084" spans="1:23" x14ac:dyDescent="0.2">
      <c r="A1084">
        <v>5041241</v>
      </c>
      <c r="B1084" t="s">
        <v>18</v>
      </c>
      <c r="C1084" t="s">
        <v>19</v>
      </c>
      <c r="D1084" t="s">
        <v>20</v>
      </c>
      <c r="E1084">
        <v>0</v>
      </c>
      <c r="F1084">
        <v>135000</v>
      </c>
      <c r="G1084" t="s">
        <v>21</v>
      </c>
      <c r="H1084" t="s">
        <v>27</v>
      </c>
      <c r="I1084" t="s">
        <v>28</v>
      </c>
      <c r="J1084" t="s">
        <v>24</v>
      </c>
      <c r="K1084" s="6">
        <f t="shared" ca="1" si="72"/>
        <v>25301</v>
      </c>
      <c r="L1084">
        <v>-20460</v>
      </c>
      <c r="M1084" s="7">
        <f t="shared" ca="1" si="70"/>
        <v>56.016427104722794</v>
      </c>
      <c r="N1084" s="5" t="str">
        <f ca="1">VLOOKUP(Data!M1084,temp!$B$3:$C$9,2,1)</f>
        <v>50-60</v>
      </c>
      <c r="O1084">
        <v>365243</v>
      </c>
      <c r="P1084" s="8">
        <f t="shared" si="71"/>
        <v>0</v>
      </c>
      <c r="Q1084" s="5" t="str">
        <f t="shared" si="73"/>
        <v>Unemployed</v>
      </c>
      <c r="R1084">
        <v>1</v>
      </c>
      <c r="S1084">
        <v>0</v>
      </c>
      <c r="T1084">
        <v>0</v>
      </c>
      <c r="U1084">
        <v>0</v>
      </c>
      <c r="W1084">
        <v>2</v>
      </c>
    </row>
    <row r="1085" spans="1:23" x14ac:dyDescent="0.2">
      <c r="A1085">
        <v>5041242</v>
      </c>
      <c r="B1085" t="s">
        <v>18</v>
      </c>
      <c r="C1085" t="s">
        <v>19</v>
      </c>
      <c r="D1085" t="s">
        <v>20</v>
      </c>
      <c r="E1085">
        <v>0</v>
      </c>
      <c r="F1085">
        <v>135000</v>
      </c>
      <c r="G1085" t="s">
        <v>21</v>
      </c>
      <c r="H1085" t="s">
        <v>27</v>
      </c>
      <c r="I1085" t="s">
        <v>28</v>
      </c>
      <c r="J1085" t="s">
        <v>24</v>
      </c>
      <c r="K1085" s="6">
        <f t="shared" ca="1" si="72"/>
        <v>25301</v>
      </c>
      <c r="L1085">
        <v>-20460</v>
      </c>
      <c r="M1085" s="7">
        <f t="shared" ca="1" si="70"/>
        <v>56.016427104722794</v>
      </c>
      <c r="N1085" s="5" t="str">
        <f ca="1">VLOOKUP(Data!M1085,temp!$B$3:$C$9,2,1)</f>
        <v>50-60</v>
      </c>
      <c r="O1085">
        <v>365243</v>
      </c>
      <c r="P1085" s="8">
        <f t="shared" si="71"/>
        <v>0</v>
      </c>
      <c r="Q1085" s="5" t="str">
        <f t="shared" si="73"/>
        <v>Unemployed</v>
      </c>
      <c r="R1085">
        <v>1</v>
      </c>
      <c r="S1085">
        <v>0</v>
      </c>
      <c r="T1085">
        <v>0</v>
      </c>
      <c r="U1085">
        <v>0</v>
      </c>
      <c r="W1085">
        <v>2</v>
      </c>
    </row>
    <row r="1086" spans="1:23" x14ac:dyDescent="0.2">
      <c r="A1086">
        <v>5041243</v>
      </c>
      <c r="B1086" t="s">
        <v>18</v>
      </c>
      <c r="C1086" t="s">
        <v>19</v>
      </c>
      <c r="D1086" t="s">
        <v>20</v>
      </c>
      <c r="E1086">
        <v>0</v>
      </c>
      <c r="F1086">
        <v>135000</v>
      </c>
      <c r="G1086" t="s">
        <v>21</v>
      </c>
      <c r="H1086" t="s">
        <v>27</v>
      </c>
      <c r="I1086" t="s">
        <v>28</v>
      </c>
      <c r="J1086" t="s">
        <v>24</v>
      </c>
      <c r="K1086" s="6">
        <f t="shared" ca="1" si="72"/>
        <v>25301</v>
      </c>
      <c r="L1086">
        <v>-20460</v>
      </c>
      <c r="M1086" s="7">
        <f t="shared" ca="1" si="70"/>
        <v>56.016427104722794</v>
      </c>
      <c r="N1086" s="5" t="str">
        <f ca="1">VLOOKUP(Data!M1086,temp!$B$3:$C$9,2,1)</f>
        <v>50-60</v>
      </c>
      <c r="O1086">
        <v>365243</v>
      </c>
      <c r="P1086" s="8">
        <f t="shared" si="71"/>
        <v>0</v>
      </c>
      <c r="Q1086" s="5" t="str">
        <f t="shared" si="73"/>
        <v>Unemployed</v>
      </c>
      <c r="R1086">
        <v>1</v>
      </c>
      <c r="S1086">
        <v>0</v>
      </c>
      <c r="T1086">
        <v>0</v>
      </c>
      <c r="U1086">
        <v>0</v>
      </c>
      <c r="W1086">
        <v>2</v>
      </c>
    </row>
    <row r="1087" spans="1:23" x14ac:dyDescent="0.2">
      <c r="A1087">
        <v>5041268</v>
      </c>
      <c r="B1087" t="s">
        <v>18</v>
      </c>
      <c r="C1087" t="s">
        <v>19</v>
      </c>
      <c r="D1087" t="s">
        <v>20</v>
      </c>
      <c r="E1087">
        <v>0</v>
      </c>
      <c r="F1087">
        <v>99000</v>
      </c>
      <c r="G1087" t="s">
        <v>35</v>
      </c>
      <c r="H1087" t="s">
        <v>22</v>
      </c>
      <c r="I1087" t="s">
        <v>28</v>
      </c>
      <c r="J1087" t="s">
        <v>24</v>
      </c>
      <c r="K1087" s="6">
        <f t="shared" ca="1" si="72"/>
        <v>27198</v>
      </c>
      <c r="L1087">
        <v>-18563</v>
      </c>
      <c r="M1087" s="7">
        <f t="shared" ca="1" si="70"/>
        <v>50.822724161533195</v>
      </c>
      <c r="N1087" s="5" t="str">
        <f ca="1">VLOOKUP(Data!M1087,temp!$B$3:$C$9,2,1)</f>
        <v>50-60</v>
      </c>
      <c r="O1087">
        <v>-8284</v>
      </c>
      <c r="P1087" s="8">
        <f t="shared" si="71"/>
        <v>22.680355920602327</v>
      </c>
      <c r="Q1087" s="5" t="str">
        <f t="shared" si="73"/>
        <v>Employed</v>
      </c>
      <c r="R1087">
        <v>1</v>
      </c>
      <c r="S1087">
        <v>1</v>
      </c>
      <c r="T1087">
        <v>1</v>
      </c>
      <c r="U1087">
        <v>0</v>
      </c>
      <c r="V1087" t="s">
        <v>29</v>
      </c>
      <c r="W1087">
        <v>2</v>
      </c>
    </row>
    <row r="1088" spans="1:23" x14ac:dyDescent="0.2">
      <c r="A1088">
        <v>5041324</v>
      </c>
      <c r="B1088" t="s">
        <v>18</v>
      </c>
      <c r="C1088" t="s">
        <v>19</v>
      </c>
      <c r="D1088" t="s">
        <v>19</v>
      </c>
      <c r="E1088">
        <v>0</v>
      </c>
      <c r="F1088">
        <v>157500</v>
      </c>
      <c r="G1088" t="s">
        <v>31</v>
      </c>
      <c r="H1088" t="s">
        <v>22</v>
      </c>
      <c r="I1088" t="s">
        <v>33</v>
      </c>
      <c r="J1088" t="s">
        <v>53</v>
      </c>
      <c r="K1088" s="6">
        <f t="shared" ca="1" si="72"/>
        <v>26788</v>
      </c>
      <c r="L1088">
        <v>-18973</v>
      </c>
      <c r="M1088" s="7">
        <f t="shared" ca="1" si="70"/>
        <v>51.945242984257355</v>
      </c>
      <c r="N1088" s="5" t="str">
        <f ca="1">VLOOKUP(Data!M1088,temp!$B$3:$C$9,2,1)</f>
        <v>50-60</v>
      </c>
      <c r="O1088">
        <v>-3289</v>
      </c>
      <c r="P1088" s="8">
        <f t="shared" si="71"/>
        <v>9.0047912388774805</v>
      </c>
      <c r="Q1088" s="5" t="str">
        <f t="shared" si="73"/>
        <v>Employed</v>
      </c>
      <c r="R1088">
        <v>1</v>
      </c>
      <c r="S1088">
        <v>0</v>
      </c>
      <c r="T1088">
        <v>0</v>
      </c>
      <c r="U1088">
        <v>0</v>
      </c>
      <c r="V1088" t="s">
        <v>29</v>
      </c>
      <c r="W1088">
        <v>1</v>
      </c>
    </row>
    <row r="1089" spans="1:23" x14ac:dyDescent="0.2">
      <c r="A1089">
        <v>5041325</v>
      </c>
      <c r="B1089" t="s">
        <v>18</v>
      </c>
      <c r="C1089" t="s">
        <v>19</v>
      </c>
      <c r="D1089" t="s">
        <v>20</v>
      </c>
      <c r="E1089">
        <v>0</v>
      </c>
      <c r="F1089">
        <v>202500</v>
      </c>
      <c r="G1089" t="s">
        <v>26</v>
      </c>
      <c r="H1089" t="s">
        <v>27</v>
      </c>
      <c r="I1089" t="s">
        <v>42</v>
      </c>
      <c r="J1089" t="s">
        <v>45</v>
      </c>
      <c r="K1089" s="6">
        <f t="shared" ca="1" si="72"/>
        <v>22508</v>
      </c>
      <c r="L1089">
        <v>-23253</v>
      </c>
      <c r="M1089" s="7">
        <f t="shared" ca="1" si="70"/>
        <v>63.663244353182755</v>
      </c>
      <c r="N1089" s="5" t="str">
        <f ca="1">VLOOKUP(Data!M1089,temp!$B$3:$C$9,2,1)</f>
        <v>60-70</v>
      </c>
      <c r="O1089">
        <v>-6607</v>
      </c>
      <c r="P1089" s="8">
        <f t="shared" si="71"/>
        <v>18.088980150581794</v>
      </c>
      <c r="Q1089" s="5" t="str">
        <f t="shared" si="73"/>
        <v>Employed</v>
      </c>
      <c r="R1089">
        <v>1</v>
      </c>
      <c r="S1089">
        <v>0</v>
      </c>
      <c r="T1089">
        <v>1</v>
      </c>
      <c r="U1089">
        <v>0</v>
      </c>
      <c r="V1089" t="s">
        <v>46</v>
      </c>
      <c r="W1089">
        <v>1</v>
      </c>
    </row>
    <row r="1090" spans="1:23" x14ac:dyDescent="0.2">
      <c r="A1090">
        <v>5041350</v>
      </c>
      <c r="B1090" t="s">
        <v>25</v>
      </c>
      <c r="C1090" t="s">
        <v>20</v>
      </c>
      <c r="D1090" t="s">
        <v>19</v>
      </c>
      <c r="E1090">
        <v>0</v>
      </c>
      <c r="F1090">
        <v>225000</v>
      </c>
      <c r="G1090" t="s">
        <v>31</v>
      </c>
      <c r="H1090" t="s">
        <v>27</v>
      </c>
      <c r="I1090" t="s">
        <v>28</v>
      </c>
      <c r="J1090" t="s">
        <v>24</v>
      </c>
      <c r="K1090" s="6">
        <f t="shared" ca="1" si="72"/>
        <v>35659</v>
      </c>
      <c r="L1090">
        <v>-10102</v>
      </c>
      <c r="M1090" s="7">
        <f t="shared" ca="1" si="70"/>
        <v>27.657768651608489</v>
      </c>
      <c r="N1090" s="5" t="str">
        <f ca="1">VLOOKUP(Data!M1090,temp!$B$3:$C$9,2,1)</f>
        <v>20-30</v>
      </c>
      <c r="O1090">
        <v>-551</v>
      </c>
      <c r="P1090" s="8">
        <f t="shared" si="71"/>
        <v>1.5085557837097878</v>
      </c>
      <c r="Q1090" s="5" t="str">
        <f t="shared" si="73"/>
        <v>Employed</v>
      </c>
      <c r="R1090">
        <v>1</v>
      </c>
      <c r="S1090">
        <v>0</v>
      </c>
      <c r="T1090">
        <v>0</v>
      </c>
      <c r="U1090">
        <v>0</v>
      </c>
      <c r="V1090" t="s">
        <v>29</v>
      </c>
      <c r="W1090">
        <v>2</v>
      </c>
    </row>
    <row r="1091" spans="1:23" x14ac:dyDescent="0.2">
      <c r="A1091">
        <v>5041353</v>
      </c>
      <c r="B1091" t="s">
        <v>25</v>
      </c>
      <c r="C1091" t="s">
        <v>20</v>
      </c>
      <c r="D1091" t="s">
        <v>19</v>
      </c>
      <c r="E1091">
        <v>0</v>
      </c>
      <c r="F1091">
        <v>225000</v>
      </c>
      <c r="G1091" t="s">
        <v>31</v>
      </c>
      <c r="H1091" t="s">
        <v>27</v>
      </c>
      <c r="I1091" t="s">
        <v>28</v>
      </c>
      <c r="J1091" t="s">
        <v>24</v>
      </c>
      <c r="K1091" s="6">
        <f t="shared" ca="1" si="72"/>
        <v>35659</v>
      </c>
      <c r="L1091">
        <v>-10102</v>
      </c>
      <c r="M1091" s="7">
        <f t="shared" ref="M1091:M1154" ca="1" si="74">(TODAY()-K1091)/365.25</f>
        <v>27.657768651608489</v>
      </c>
      <c r="N1091" s="5" t="str">
        <f ca="1">VLOOKUP(Data!M1091,temp!$B$3:$C$9,2,1)</f>
        <v>20-30</v>
      </c>
      <c r="O1091">
        <v>-551</v>
      </c>
      <c r="P1091" s="8">
        <f t="shared" ref="P1091:P1154" si="75">IF(O1091&lt;=0,ABS(O1091)/365.25,0)</f>
        <v>1.5085557837097878</v>
      </c>
      <c r="Q1091" s="5" t="str">
        <f t="shared" si="73"/>
        <v>Employed</v>
      </c>
      <c r="R1091">
        <v>1</v>
      </c>
      <c r="S1091">
        <v>0</v>
      </c>
      <c r="T1091">
        <v>0</v>
      </c>
      <c r="U1091">
        <v>0</v>
      </c>
      <c r="V1091" t="s">
        <v>29</v>
      </c>
      <c r="W1091">
        <v>2</v>
      </c>
    </row>
    <row r="1092" spans="1:23" x14ac:dyDescent="0.2">
      <c r="A1092">
        <v>5041367</v>
      </c>
      <c r="B1092" t="s">
        <v>18</v>
      </c>
      <c r="C1092" t="s">
        <v>19</v>
      </c>
      <c r="D1092" t="s">
        <v>19</v>
      </c>
      <c r="E1092">
        <v>0</v>
      </c>
      <c r="F1092">
        <v>180000</v>
      </c>
      <c r="G1092" t="s">
        <v>35</v>
      </c>
      <c r="H1092" t="s">
        <v>36</v>
      </c>
      <c r="I1092" t="s">
        <v>28</v>
      </c>
      <c r="J1092" t="s">
        <v>24</v>
      </c>
      <c r="K1092" s="6">
        <f t="shared" ca="1" si="72"/>
        <v>35446</v>
      </c>
      <c r="L1092">
        <v>-10315</v>
      </c>
      <c r="M1092" s="7">
        <f t="shared" ca="1" si="74"/>
        <v>28.240930869267626</v>
      </c>
      <c r="N1092" s="5" t="str">
        <f ca="1">VLOOKUP(Data!M1092,temp!$B$3:$C$9,2,1)</f>
        <v>20-30</v>
      </c>
      <c r="O1092">
        <v>-2985</v>
      </c>
      <c r="P1092" s="8">
        <f t="shared" si="75"/>
        <v>8.1724845995893229</v>
      </c>
      <c r="Q1092" s="5" t="str">
        <f t="shared" si="73"/>
        <v>Employed</v>
      </c>
      <c r="R1092">
        <v>1</v>
      </c>
      <c r="S1092">
        <v>0</v>
      </c>
      <c r="T1092">
        <v>0</v>
      </c>
      <c r="U1092">
        <v>0</v>
      </c>
      <c r="V1092" t="s">
        <v>38</v>
      </c>
      <c r="W1092">
        <v>2</v>
      </c>
    </row>
    <row r="1093" spans="1:23" x14ac:dyDescent="0.2">
      <c r="A1093">
        <v>5041372</v>
      </c>
      <c r="B1093" t="s">
        <v>18</v>
      </c>
      <c r="C1093" t="s">
        <v>20</v>
      </c>
      <c r="D1093" t="s">
        <v>20</v>
      </c>
      <c r="E1093">
        <v>2</v>
      </c>
      <c r="F1093">
        <v>306000</v>
      </c>
      <c r="G1093" t="s">
        <v>31</v>
      </c>
      <c r="H1093" t="s">
        <v>27</v>
      </c>
      <c r="I1093" t="s">
        <v>28</v>
      </c>
      <c r="J1093" t="s">
        <v>24</v>
      </c>
      <c r="K1093" s="6">
        <f t="shared" ca="1" si="72"/>
        <v>32700</v>
      </c>
      <c r="L1093">
        <v>-13061</v>
      </c>
      <c r="M1093" s="7">
        <f t="shared" ca="1" si="74"/>
        <v>35.759069130732378</v>
      </c>
      <c r="N1093" s="5" t="str">
        <f ca="1">VLOOKUP(Data!M1093,temp!$B$3:$C$9,2,1)</f>
        <v>30-40</v>
      </c>
      <c r="O1093">
        <v>-1555</v>
      </c>
      <c r="P1093" s="8">
        <f t="shared" si="75"/>
        <v>4.2573579739904179</v>
      </c>
      <c r="Q1093" s="5" t="str">
        <f t="shared" si="73"/>
        <v>Employed</v>
      </c>
      <c r="R1093">
        <v>1</v>
      </c>
      <c r="S1093">
        <v>0</v>
      </c>
      <c r="T1093">
        <v>0</v>
      </c>
      <c r="U1093">
        <v>0</v>
      </c>
      <c r="W1093">
        <v>4</v>
      </c>
    </row>
    <row r="1094" spans="1:23" x14ac:dyDescent="0.2">
      <c r="A1094">
        <v>5041394</v>
      </c>
      <c r="B1094" t="s">
        <v>18</v>
      </c>
      <c r="C1094" t="s">
        <v>20</v>
      </c>
      <c r="D1094" t="s">
        <v>20</v>
      </c>
      <c r="E1094">
        <v>0</v>
      </c>
      <c r="F1094">
        <v>135000</v>
      </c>
      <c r="G1094" t="s">
        <v>31</v>
      </c>
      <c r="H1094" t="s">
        <v>27</v>
      </c>
      <c r="I1094" t="s">
        <v>28</v>
      </c>
      <c r="J1094" t="s">
        <v>41</v>
      </c>
      <c r="K1094" s="6">
        <f t="shared" ca="1" si="72"/>
        <v>30630</v>
      </c>
      <c r="L1094">
        <v>-15131</v>
      </c>
      <c r="M1094" s="7">
        <f t="shared" ca="1" si="74"/>
        <v>41.426420260095824</v>
      </c>
      <c r="N1094" s="5" t="str">
        <f ca="1">VLOOKUP(Data!M1094,temp!$B$3:$C$9,2,1)</f>
        <v>40-50</v>
      </c>
      <c r="O1094">
        <v>-6456</v>
      </c>
      <c r="P1094" s="8">
        <f t="shared" si="75"/>
        <v>17.675564681724847</v>
      </c>
      <c r="Q1094" s="5" t="str">
        <f t="shared" si="73"/>
        <v>Employed</v>
      </c>
      <c r="R1094">
        <v>1</v>
      </c>
      <c r="S1094">
        <v>0</v>
      </c>
      <c r="T1094">
        <v>0</v>
      </c>
      <c r="U1094">
        <v>0</v>
      </c>
      <c r="V1094" t="s">
        <v>38</v>
      </c>
      <c r="W1094">
        <v>2</v>
      </c>
    </row>
    <row r="1095" spans="1:23" x14ac:dyDescent="0.2">
      <c r="A1095">
        <v>5041402</v>
      </c>
      <c r="B1095" t="s">
        <v>25</v>
      </c>
      <c r="C1095" t="s">
        <v>20</v>
      </c>
      <c r="D1095" t="s">
        <v>20</v>
      </c>
      <c r="E1095">
        <v>0</v>
      </c>
      <c r="F1095">
        <v>135000</v>
      </c>
      <c r="G1095" t="s">
        <v>26</v>
      </c>
      <c r="H1095" t="s">
        <v>22</v>
      </c>
      <c r="I1095" t="s">
        <v>33</v>
      </c>
      <c r="J1095" t="s">
        <v>41</v>
      </c>
      <c r="K1095" s="6">
        <f t="shared" ca="1" si="72"/>
        <v>35031</v>
      </c>
      <c r="L1095">
        <v>-10730</v>
      </c>
      <c r="M1095" s="7">
        <f t="shared" ca="1" si="74"/>
        <v>29.377138945927445</v>
      </c>
      <c r="N1095" s="5" t="str">
        <f ca="1">VLOOKUP(Data!M1095,temp!$B$3:$C$9,2,1)</f>
        <v>20-30</v>
      </c>
      <c r="O1095">
        <v>-1190</v>
      </c>
      <c r="P1095" s="8">
        <f t="shared" si="75"/>
        <v>3.2580424366872007</v>
      </c>
      <c r="Q1095" s="5" t="str">
        <f t="shared" si="73"/>
        <v>Employed</v>
      </c>
      <c r="R1095">
        <v>1</v>
      </c>
      <c r="S1095">
        <v>0</v>
      </c>
      <c r="T1095">
        <v>0</v>
      </c>
      <c r="U1095">
        <v>0</v>
      </c>
      <c r="W1095">
        <v>1</v>
      </c>
    </row>
    <row r="1096" spans="1:23" x14ac:dyDescent="0.2">
      <c r="A1096">
        <v>5041415</v>
      </c>
      <c r="B1096" t="s">
        <v>18</v>
      </c>
      <c r="C1096" t="s">
        <v>20</v>
      </c>
      <c r="D1096" t="s">
        <v>19</v>
      </c>
      <c r="E1096">
        <v>0</v>
      </c>
      <c r="F1096">
        <v>157500</v>
      </c>
      <c r="G1096" t="s">
        <v>31</v>
      </c>
      <c r="H1096" t="s">
        <v>22</v>
      </c>
      <c r="I1096" t="s">
        <v>28</v>
      </c>
      <c r="J1096" t="s">
        <v>24</v>
      </c>
      <c r="K1096" s="6">
        <f t="shared" ref="K1096:K1159" ca="1" si="76">TODAY()+($L1096)</f>
        <v>32615</v>
      </c>
      <c r="L1096">
        <v>-13146</v>
      </c>
      <c r="M1096" s="7">
        <f t="shared" ca="1" si="74"/>
        <v>35.991786447638603</v>
      </c>
      <c r="N1096" s="5" t="str">
        <f ca="1">VLOOKUP(Data!M1096,temp!$B$3:$C$9,2,1)</f>
        <v>30-40</v>
      </c>
      <c r="O1096">
        <v>-2163</v>
      </c>
      <c r="P1096" s="8">
        <f t="shared" si="75"/>
        <v>5.9219712525667347</v>
      </c>
      <c r="Q1096" s="5" t="str">
        <f t="shared" ref="Q1096:Q1159" si="77">IF($O1096&gt;0,"Unemployed","Employed")</f>
        <v>Employed</v>
      </c>
      <c r="R1096">
        <v>1</v>
      </c>
      <c r="S1096">
        <v>0</v>
      </c>
      <c r="T1096">
        <v>0</v>
      </c>
      <c r="U1096">
        <v>0</v>
      </c>
      <c r="V1096" t="s">
        <v>47</v>
      </c>
      <c r="W1096">
        <v>2</v>
      </c>
    </row>
    <row r="1097" spans="1:23" x14ac:dyDescent="0.2">
      <c r="A1097">
        <v>5041418</v>
      </c>
      <c r="B1097" t="s">
        <v>18</v>
      </c>
      <c r="C1097" t="s">
        <v>20</v>
      </c>
      <c r="D1097" t="s">
        <v>19</v>
      </c>
      <c r="E1097">
        <v>0</v>
      </c>
      <c r="F1097">
        <v>157500</v>
      </c>
      <c r="G1097" t="s">
        <v>31</v>
      </c>
      <c r="H1097" t="s">
        <v>22</v>
      </c>
      <c r="I1097" t="s">
        <v>28</v>
      </c>
      <c r="J1097" t="s">
        <v>24</v>
      </c>
      <c r="K1097" s="6">
        <f t="shared" ca="1" si="76"/>
        <v>32615</v>
      </c>
      <c r="L1097">
        <v>-13146</v>
      </c>
      <c r="M1097" s="7">
        <f t="shared" ca="1" si="74"/>
        <v>35.991786447638603</v>
      </c>
      <c r="N1097" s="5" t="str">
        <f ca="1">VLOOKUP(Data!M1097,temp!$B$3:$C$9,2,1)</f>
        <v>30-40</v>
      </c>
      <c r="O1097">
        <v>-2163</v>
      </c>
      <c r="P1097" s="8">
        <f t="shared" si="75"/>
        <v>5.9219712525667347</v>
      </c>
      <c r="Q1097" s="5" t="str">
        <f t="shared" si="77"/>
        <v>Employed</v>
      </c>
      <c r="R1097">
        <v>1</v>
      </c>
      <c r="S1097">
        <v>0</v>
      </c>
      <c r="T1097">
        <v>0</v>
      </c>
      <c r="U1097">
        <v>0</v>
      </c>
      <c r="V1097" t="s">
        <v>47</v>
      </c>
      <c r="W1097">
        <v>2</v>
      </c>
    </row>
    <row r="1098" spans="1:23" x14ac:dyDescent="0.2">
      <c r="A1098">
        <v>5041432</v>
      </c>
      <c r="B1098" t="s">
        <v>18</v>
      </c>
      <c r="C1098" t="s">
        <v>20</v>
      </c>
      <c r="D1098" t="s">
        <v>20</v>
      </c>
      <c r="E1098">
        <v>0</v>
      </c>
      <c r="F1098">
        <v>202500</v>
      </c>
      <c r="G1098" t="s">
        <v>35</v>
      </c>
      <c r="H1098" t="s">
        <v>22</v>
      </c>
      <c r="I1098" t="s">
        <v>33</v>
      </c>
      <c r="J1098" t="s">
        <v>24</v>
      </c>
      <c r="K1098" s="6">
        <f t="shared" ca="1" si="76"/>
        <v>23660</v>
      </c>
      <c r="L1098">
        <v>-22101</v>
      </c>
      <c r="M1098" s="7">
        <f t="shared" ca="1" si="74"/>
        <v>60.50924024640657</v>
      </c>
      <c r="N1098" s="5" t="str">
        <f ca="1">VLOOKUP(Data!M1098,temp!$B$3:$C$9,2,1)</f>
        <v>60-70</v>
      </c>
      <c r="O1098">
        <v>-15038</v>
      </c>
      <c r="P1098" s="8">
        <f t="shared" si="75"/>
        <v>41.171800136892543</v>
      </c>
      <c r="Q1098" s="5" t="str">
        <f t="shared" si="77"/>
        <v>Employed</v>
      </c>
      <c r="R1098">
        <v>1</v>
      </c>
      <c r="S1098">
        <v>0</v>
      </c>
      <c r="T1098">
        <v>1</v>
      </c>
      <c r="U1098">
        <v>0</v>
      </c>
      <c r="W1098">
        <v>1</v>
      </c>
    </row>
    <row r="1099" spans="1:23" x14ac:dyDescent="0.2">
      <c r="A1099">
        <v>5041439</v>
      </c>
      <c r="B1099" t="s">
        <v>18</v>
      </c>
      <c r="C1099" t="s">
        <v>20</v>
      </c>
      <c r="D1099" t="s">
        <v>20</v>
      </c>
      <c r="E1099">
        <v>0</v>
      </c>
      <c r="F1099">
        <v>202500</v>
      </c>
      <c r="G1099" t="s">
        <v>35</v>
      </c>
      <c r="H1099" t="s">
        <v>22</v>
      </c>
      <c r="I1099" t="s">
        <v>33</v>
      </c>
      <c r="J1099" t="s">
        <v>24</v>
      </c>
      <c r="K1099" s="6">
        <f t="shared" ca="1" si="76"/>
        <v>23660</v>
      </c>
      <c r="L1099">
        <v>-22101</v>
      </c>
      <c r="M1099" s="7">
        <f t="shared" ca="1" si="74"/>
        <v>60.50924024640657</v>
      </c>
      <c r="N1099" s="5" t="str">
        <f ca="1">VLOOKUP(Data!M1099,temp!$B$3:$C$9,2,1)</f>
        <v>60-70</v>
      </c>
      <c r="O1099">
        <v>-15038</v>
      </c>
      <c r="P1099" s="8">
        <f t="shared" si="75"/>
        <v>41.171800136892543</v>
      </c>
      <c r="Q1099" s="5" t="str">
        <f t="shared" si="77"/>
        <v>Employed</v>
      </c>
      <c r="R1099">
        <v>1</v>
      </c>
      <c r="S1099">
        <v>0</v>
      </c>
      <c r="T1099">
        <v>1</v>
      </c>
      <c r="U1099">
        <v>0</v>
      </c>
      <c r="W1099">
        <v>1</v>
      </c>
    </row>
    <row r="1100" spans="1:23" x14ac:dyDescent="0.2">
      <c r="A1100">
        <v>5041446</v>
      </c>
      <c r="B1100" t="s">
        <v>25</v>
      </c>
      <c r="C1100" t="s">
        <v>20</v>
      </c>
      <c r="D1100" t="s">
        <v>20</v>
      </c>
      <c r="E1100">
        <v>0</v>
      </c>
      <c r="F1100">
        <v>337500</v>
      </c>
      <c r="G1100" t="s">
        <v>26</v>
      </c>
      <c r="H1100" t="s">
        <v>22</v>
      </c>
      <c r="I1100" t="s">
        <v>28</v>
      </c>
      <c r="J1100" t="s">
        <v>24</v>
      </c>
      <c r="K1100" s="6">
        <f t="shared" ca="1" si="76"/>
        <v>25366</v>
      </c>
      <c r="L1100">
        <v>-20395</v>
      </c>
      <c r="M1100" s="7">
        <f t="shared" ca="1" si="74"/>
        <v>55.838466803559207</v>
      </c>
      <c r="N1100" s="5" t="str">
        <f ca="1">VLOOKUP(Data!M1100,temp!$B$3:$C$9,2,1)</f>
        <v>50-60</v>
      </c>
      <c r="O1100">
        <v>-2682</v>
      </c>
      <c r="P1100" s="8">
        <f t="shared" si="75"/>
        <v>7.3429158110882957</v>
      </c>
      <c r="Q1100" s="5" t="str">
        <f t="shared" si="77"/>
        <v>Employed</v>
      </c>
      <c r="R1100">
        <v>1</v>
      </c>
      <c r="S1100">
        <v>0</v>
      </c>
      <c r="T1100">
        <v>0</v>
      </c>
      <c r="U1100">
        <v>0</v>
      </c>
      <c r="V1100" t="s">
        <v>32</v>
      </c>
      <c r="W1100">
        <v>2</v>
      </c>
    </row>
    <row r="1101" spans="1:23" x14ac:dyDescent="0.2">
      <c r="A1101">
        <v>5041456</v>
      </c>
      <c r="B1101" t="s">
        <v>18</v>
      </c>
      <c r="C1101" t="s">
        <v>20</v>
      </c>
      <c r="D1101" t="s">
        <v>19</v>
      </c>
      <c r="E1101">
        <v>0</v>
      </c>
      <c r="F1101">
        <v>180000</v>
      </c>
      <c r="G1101" t="s">
        <v>26</v>
      </c>
      <c r="H1101" t="s">
        <v>27</v>
      </c>
      <c r="I1101" t="s">
        <v>23</v>
      </c>
      <c r="J1101" t="s">
        <v>24</v>
      </c>
      <c r="K1101" s="6">
        <f t="shared" ca="1" si="76"/>
        <v>30410</v>
      </c>
      <c r="L1101">
        <v>-15351</v>
      </c>
      <c r="M1101" s="7">
        <f t="shared" ca="1" si="74"/>
        <v>42.02874743326489</v>
      </c>
      <c r="N1101" s="5" t="str">
        <f ca="1">VLOOKUP(Data!M1101,temp!$B$3:$C$9,2,1)</f>
        <v>40-50</v>
      </c>
      <c r="O1101">
        <v>-6790</v>
      </c>
      <c r="P1101" s="8">
        <f t="shared" si="75"/>
        <v>18.590006844626966</v>
      </c>
      <c r="Q1101" s="5" t="str">
        <f t="shared" si="77"/>
        <v>Employed</v>
      </c>
      <c r="R1101">
        <v>1</v>
      </c>
      <c r="S1101">
        <v>0</v>
      </c>
      <c r="T1101">
        <v>0</v>
      </c>
      <c r="U1101">
        <v>0</v>
      </c>
      <c r="V1101" t="s">
        <v>38</v>
      </c>
      <c r="W1101">
        <v>1</v>
      </c>
    </row>
    <row r="1102" spans="1:23" x14ac:dyDescent="0.2">
      <c r="A1102">
        <v>5041460</v>
      </c>
      <c r="B1102" t="s">
        <v>18</v>
      </c>
      <c r="C1102" t="s">
        <v>20</v>
      </c>
      <c r="D1102" t="s">
        <v>19</v>
      </c>
      <c r="E1102">
        <v>0</v>
      </c>
      <c r="F1102">
        <v>180000</v>
      </c>
      <c r="G1102" t="s">
        <v>26</v>
      </c>
      <c r="H1102" t="s">
        <v>27</v>
      </c>
      <c r="I1102" t="s">
        <v>23</v>
      </c>
      <c r="J1102" t="s">
        <v>24</v>
      </c>
      <c r="K1102" s="6">
        <f t="shared" ca="1" si="76"/>
        <v>30410</v>
      </c>
      <c r="L1102">
        <v>-15351</v>
      </c>
      <c r="M1102" s="7">
        <f t="shared" ca="1" si="74"/>
        <v>42.02874743326489</v>
      </c>
      <c r="N1102" s="5" t="str">
        <f ca="1">VLOOKUP(Data!M1102,temp!$B$3:$C$9,2,1)</f>
        <v>40-50</v>
      </c>
      <c r="O1102">
        <v>-6790</v>
      </c>
      <c r="P1102" s="8">
        <f t="shared" si="75"/>
        <v>18.590006844626966</v>
      </c>
      <c r="Q1102" s="5" t="str">
        <f t="shared" si="77"/>
        <v>Employed</v>
      </c>
      <c r="R1102">
        <v>1</v>
      </c>
      <c r="S1102">
        <v>0</v>
      </c>
      <c r="T1102">
        <v>0</v>
      </c>
      <c r="U1102">
        <v>0</v>
      </c>
      <c r="V1102" t="s">
        <v>38</v>
      </c>
      <c r="W1102">
        <v>1</v>
      </c>
    </row>
    <row r="1103" spans="1:23" x14ac:dyDescent="0.2">
      <c r="A1103">
        <v>5041471</v>
      </c>
      <c r="B1103" t="s">
        <v>18</v>
      </c>
      <c r="C1103" t="s">
        <v>19</v>
      </c>
      <c r="D1103" t="s">
        <v>19</v>
      </c>
      <c r="E1103">
        <v>2</v>
      </c>
      <c r="F1103">
        <v>135000</v>
      </c>
      <c r="G1103" t="s">
        <v>35</v>
      </c>
      <c r="H1103" t="s">
        <v>36</v>
      </c>
      <c r="I1103" t="s">
        <v>28</v>
      </c>
      <c r="J1103" t="s">
        <v>41</v>
      </c>
      <c r="K1103" s="6">
        <f t="shared" ca="1" si="76"/>
        <v>34124</v>
      </c>
      <c r="L1103">
        <v>-11637</v>
      </c>
      <c r="M1103" s="7">
        <f t="shared" ca="1" si="74"/>
        <v>31.860369609856264</v>
      </c>
      <c r="N1103" s="5" t="str">
        <f ca="1">VLOOKUP(Data!M1103,temp!$B$3:$C$9,2,1)</f>
        <v>30-40</v>
      </c>
      <c r="O1103">
        <v>-2285</v>
      </c>
      <c r="P1103" s="8">
        <f t="shared" si="75"/>
        <v>6.2559890485968515</v>
      </c>
      <c r="Q1103" s="5" t="str">
        <f t="shared" si="77"/>
        <v>Employed</v>
      </c>
      <c r="R1103">
        <v>1</v>
      </c>
      <c r="S1103">
        <v>1</v>
      </c>
      <c r="T1103">
        <v>1</v>
      </c>
      <c r="U1103">
        <v>0</v>
      </c>
      <c r="V1103" t="s">
        <v>38</v>
      </c>
      <c r="W1103">
        <v>4</v>
      </c>
    </row>
    <row r="1104" spans="1:23" x14ac:dyDescent="0.2">
      <c r="A1104">
        <v>5041474</v>
      </c>
      <c r="B1104" t="s">
        <v>18</v>
      </c>
      <c r="C1104" t="s">
        <v>19</v>
      </c>
      <c r="D1104" t="s">
        <v>20</v>
      </c>
      <c r="E1104">
        <v>0</v>
      </c>
      <c r="F1104">
        <v>90000</v>
      </c>
      <c r="G1104" t="s">
        <v>26</v>
      </c>
      <c r="H1104" t="s">
        <v>22</v>
      </c>
      <c r="I1104" t="s">
        <v>28</v>
      </c>
      <c r="J1104" t="s">
        <v>24</v>
      </c>
      <c r="K1104" s="6">
        <f t="shared" ca="1" si="76"/>
        <v>36755</v>
      </c>
      <c r="L1104">
        <v>-9006</v>
      </c>
      <c r="M1104" s="7">
        <f t="shared" ca="1" si="74"/>
        <v>24.657084188911703</v>
      </c>
      <c r="N1104" s="5" t="str">
        <f ca="1">VLOOKUP(Data!M1104,temp!$B$3:$C$9,2,1)</f>
        <v>20-30</v>
      </c>
      <c r="O1104">
        <v>-793</v>
      </c>
      <c r="P1104" s="8">
        <f t="shared" si="75"/>
        <v>2.1711156741957565</v>
      </c>
      <c r="Q1104" s="5" t="str">
        <f t="shared" si="77"/>
        <v>Employed</v>
      </c>
      <c r="R1104">
        <v>1</v>
      </c>
      <c r="S1104">
        <v>0</v>
      </c>
      <c r="T1104">
        <v>0</v>
      </c>
      <c r="U1104">
        <v>1</v>
      </c>
      <c r="V1104" t="s">
        <v>39</v>
      </c>
      <c r="W1104">
        <v>2</v>
      </c>
    </row>
    <row r="1105" spans="1:23" x14ac:dyDescent="0.2">
      <c r="A1105">
        <v>5041488</v>
      </c>
      <c r="B1105" t="s">
        <v>18</v>
      </c>
      <c r="C1105" t="s">
        <v>20</v>
      </c>
      <c r="D1105" t="s">
        <v>20</v>
      </c>
      <c r="E1105">
        <v>0</v>
      </c>
      <c r="F1105">
        <v>126000</v>
      </c>
      <c r="G1105" t="s">
        <v>31</v>
      </c>
      <c r="H1105" t="s">
        <v>27</v>
      </c>
      <c r="I1105" t="s">
        <v>28</v>
      </c>
      <c r="J1105" t="s">
        <v>24</v>
      </c>
      <c r="K1105" s="6">
        <f t="shared" ca="1" si="76"/>
        <v>31342</v>
      </c>
      <c r="L1105">
        <v>-14419</v>
      </c>
      <c r="M1105" s="7">
        <f t="shared" ca="1" si="74"/>
        <v>39.477070499657771</v>
      </c>
      <c r="N1105" s="5" t="str">
        <f ca="1">VLOOKUP(Data!M1105,temp!$B$3:$C$9,2,1)</f>
        <v>30-40</v>
      </c>
      <c r="O1105">
        <v>-2407</v>
      </c>
      <c r="P1105" s="8">
        <f t="shared" si="75"/>
        <v>6.5900068446269682</v>
      </c>
      <c r="Q1105" s="5" t="str">
        <f t="shared" si="77"/>
        <v>Employed</v>
      </c>
      <c r="R1105">
        <v>1</v>
      </c>
      <c r="S1105">
        <v>1</v>
      </c>
      <c r="T1105">
        <v>1</v>
      </c>
      <c r="U1105">
        <v>0</v>
      </c>
      <c r="W1105">
        <v>2</v>
      </c>
    </row>
    <row r="1106" spans="1:23" x14ac:dyDescent="0.2">
      <c r="A1106">
        <v>5041495</v>
      </c>
      <c r="B1106" t="s">
        <v>25</v>
      </c>
      <c r="C1106" t="s">
        <v>20</v>
      </c>
      <c r="D1106" t="s">
        <v>20</v>
      </c>
      <c r="E1106">
        <v>0</v>
      </c>
      <c r="F1106">
        <v>90000</v>
      </c>
      <c r="G1106" t="s">
        <v>31</v>
      </c>
      <c r="H1106" t="s">
        <v>27</v>
      </c>
      <c r="I1106" t="s">
        <v>37</v>
      </c>
      <c r="J1106" t="s">
        <v>24</v>
      </c>
      <c r="K1106" s="6">
        <f t="shared" ca="1" si="76"/>
        <v>32940</v>
      </c>
      <c r="L1106">
        <v>-12821</v>
      </c>
      <c r="M1106" s="7">
        <f t="shared" ca="1" si="74"/>
        <v>35.101984941820668</v>
      </c>
      <c r="N1106" s="5" t="str">
        <f ca="1">VLOOKUP(Data!M1106,temp!$B$3:$C$9,2,1)</f>
        <v>30-40</v>
      </c>
      <c r="O1106">
        <v>-155</v>
      </c>
      <c r="P1106" s="8">
        <f t="shared" si="75"/>
        <v>0.42436687200547568</v>
      </c>
      <c r="Q1106" s="5" t="str">
        <f t="shared" si="77"/>
        <v>Employed</v>
      </c>
      <c r="R1106">
        <v>1</v>
      </c>
      <c r="S1106">
        <v>0</v>
      </c>
      <c r="T1106">
        <v>0</v>
      </c>
      <c r="U1106">
        <v>0</v>
      </c>
      <c r="V1106" t="s">
        <v>29</v>
      </c>
      <c r="W1106">
        <v>2</v>
      </c>
    </row>
    <row r="1107" spans="1:23" x14ac:dyDescent="0.2">
      <c r="A1107">
        <v>5041508</v>
      </c>
      <c r="B1107" t="s">
        <v>25</v>
      </c>
      <c r="C1107" t="s">
        <v>19</v>
      </c>
      <c r="D1107" t="s">
        <v>20</v>
      </c>
      <c r="E1107">
        <v>1</v>
      </c>
      <c r="F1107">
        <v>292500</v>
      </c>
      <c r="G1107" t="s">
        <v>31</v>
      </c>
      <c r="H1107" t="s">
        <v>22</v>
      </c>
      <c r="I1107" t="s">
        <v>28</v>
      </c>
      <c r="J1107" t="s">
        <v>43</v>
      </c>
      <c r="K1107" s="6">
        <f t="shared" ca="1" si="76"/>
        <v>32807</v>
      </c>
      <c r="L1107">
        <v>-12954</v>
      </c>
      <c r="M1107" s="7">
        <f t="shared" ca="1" si="74"/>
        <v>35.466119096509239</v>
      </c>
      <c r="N1107" s="5" t="str">
        <f ca="1">VLOOKUP(Data!M1107,temp!$B$3:$C$9,2,1)</f>
        <v>30-40</v>
      </c>
      <c r="O1107">
        <v>-2590</v>
      </c>
      <c r="P1107" s="8">
        <f t="shared" si="75"/>
        <v>7.0910335386721428</v>
      </c>
      <c r="Q1107" s="5" t="str">
        <f t="shared" si="77"/>
        <v>Employed</v>
      </c>
      <c r="R1107">
        <v>1</v>
      </c>
      <c r="S1107">
        <v>0</v>
      </c>
      <c r="T1107">
        <v>0</v>
      </c>
      <c r="U1107">
        <v>0</v>
      </c>
      <c r="V1107" t="s">
        <v>32</v>
      </c>
      <c r="W1107">
        <v>3</v>
      </c>
    </row>
    <row r="1108" spans="1:23" x14ac:dyDescent="0.2">
      <c r="A1108">
        <v>5041509</v>
      </c>
      <c r="B1108" t="s">
        <v>25</v>
      </c>
      <c r="C1108" t="s">
        <v>19</v>
      </c>
      <c r="D1108" t="s">
        <v>20</v>
      </c>
      <c r="E1108">
        <v>1</v>
      </c>
      <c r="F1108">
        <v>292500</v>
      </c>
      <c r="G1108" t="s">
        <v>31</v>
      </c>
      <c r="H1108" t="s">
        <v>22</v>
      </c>
      <c r="I1108" t="s">
        <v>28</v>
      </c>
      <c r="J1108" t="s">
        <v>43</v>
      </c>
      <c r="K1108" s="6">
        <f t="shared" ca="1" si="76"/>
        <v>32807</v>
      </c>
      <c r="L1108">
        <v>-12954</v>
      </c>
      <c r="M1108" s="7">
        <f t="shared" ca="1" si="74"/>
        <v>35.466119096509239</v>
      </c>
      <c r="N1108" s="5" t="str">
        <f ca="1">VLOOKUP(Data!M1108,temp!$B$3:$C$9,2,1)</f>
        <v>30-40</v>
      </c>
      <c r="O1108">
        <v>-2590</v>
      </c>
      <c r="P1108" s="8">
        <f t="shared" si="75"/>
        <v>7.0910335386721428</v>
      </c>
      <c r="Q1108" s="5" t="str">
        <f t="shared" si="77"/>
        <v>Employed</v>
      </c>
      <c r="R1108">
        <v>1</v>
      </c>
      <c r="S1108">
        <v>0</v>
      </c>
      <c r="T1108">
        <v>0</v>
      </c>
      <c r="U1108">
        <v>0</v>
      </c>
      <c r="V1108" t="s">
        <v>32</v>
      </c>
      <c r="W1108">
        <v>3</v>
      </c>
    </row>
    <row r="1109" spans="1:23" x14ac:dyDescent="0.2">
      <c r="A1109">
        <v>5041510</v>
      </c>
      <c r="B1109" t="s">
        <v>25</v>
      </c>
      <c r="C1109" t="s">
        <v>19</v>
      </c>
      <c r="D1109" t="s">
        <v>20</v>
      </c>
      <c r="E1109">
        <v>1</v>
      </c>
      <c r="F1109">
        <v>292500</v>
      </c>
      <c r="G1109" t="s">
        <v>31</v>
      </c>
      <c r="H1109" t="s">
        <v>22</v>
      </c>
      <c r="I1109" t="s">
        <v>28</v>
      </c>
      <c r="J1109" t="s">
        <v>43</v>
      </c>
      <c r="K1109" s="6">
        <f t="shared" ca="1" si="76"/>
        <v>32807</v>
      </c>
      <c r="L1109">
        <v>-12954</v>
      </c>
      <c r="M1109" s="7">
        <f t="shared" ca="1" si="74"/>
        <v>35.466119096509239</v>
      </c>
      <c r="N1109" s="5" t="str">
        <f ca="1">VLOOKUP(Data!M1109,temp!$B$3:$C$9,2,1)</f>
        <v>30-40</v>
      </c>
      <c r="O1109">
        <v>-2590</v>
      </c>
      <c r="P1109" s="8">
        <f t="shared" si="75"/>
        <v>7.0910335386721428</v>
      </c>
      <c r="Q1109" s="5" t="str">
        <f t="shared" si="77"/>
        <v>Employed</v>
      </c>
      <c r="R1109">
        <v>1</v>
      </c>
      <c r="S1109">
        <v>0</v>
      </c>
      <c r="T1109">
        <v>0</v>
      </c>
      <c r="U1109">
        <v>0</v>
      </c>
      <c r="V1109" t="s">
        <v>32</v>
      </c>
      <c r="W1109">
        <v>3</v>
      </c>
    </row>
    <row r="1110" spans="1:23" x14ac:dyDescent="0.2">
      <c r="A1110">
        <v>5041524</v>
      </c>
      <c r="B1110" t="s">
        <v>18</v>
      </c>
      <c r="C1110" t="s">
        <v>20</v>
      </c>
      <c r="D1110" t="s">
        <v>20</v>
      </c>
      <c r="E1110">
        <v>0</v>
      </c>
      <c r="F1110">
        <v>135000</v>
      </c>
      <c r="G1110" t="s">
        <v>31</v>
      </c>
      <c r="H1110" t="s">
        <v>22</v>
      </c>
      <c r="I1110" t="s">
        <v>28</v>
      </c>
      <c r="J1110" t="s">
        <v>24</v>
      </c>
      <c r="K1110" s="6">
        <f t="shared" ca="1" si="76"/>
        <v>32287</v>
      </c>
      <c r="L1110">
        <v>-13474</v>
      </c>
      <c r="M1110" s="7">
        <f t="shared" ca="1" si="74"/>
        <v>36.889801505817935</v>
      </c>
      <c r="N1110" s="5" t="str">
        <f ca="1">VLOOKUP(Data!M1110,temp!$B$3:$C$9,2,1)</f>
        <v>30-40</v>
      </c>
      <c r="O1110">
        <v>-2894</v>
      </c>
      <c r="P1110" s="8">
        <f t="shared" si="75"/>
        <v>7.9233401779603012</v>
      </c>
      <c r="Q1110" s="5" t="str">
        <f t="shared" si="77"/>
        <v>Employed</v>
      </c>
      <c r="R1110">
        <v>1</v>
      </c>
      <c r="S1110">
        <v>1</v>
      </c>
      <c r="T1110">
        <v>1</v>
      </c>
      <c r="U1110">
        <v>0</v>
      </c>
      <c r="V1110" t="s">
        <v>44</v>
      </c>
      <c r="W1110">
        <v>2</v>
      </c>
    </row>
    <row r="1111" spans="1:23" x14ac:dyDescent="0.2">
      <c r="A1111">
        <v>5041546</v>
      </c>
      <c r="B1111" t="s">
        <v>25</v>
      </c>
      <c r="C1111" t="s">
        <v>20</v>
      </c>
      <c r="D1111" t="s">
        <v>20</v>
      </c>
      <c r="E1111">
        <v>0</v>
      </c>
      <c r="F1111">
        <v>180000</v>
      </c>
      <c r="G1111" t="s">
        <v>35</v>
      </c>
      <c r="H1111" t="s">
        <v>27</v>
      </c>
      <c r="I1111" t="s">
        <v>28</v>
      </c>
      <c r="J1111" t="s">
        <v>24</v>
      </c>
      <c r="K1111" s="6">
        <f t="shared" ca="1" si="76"/>
        <v>36191</v>
      </c>
      <c r="L1111">
        <v>-9570</v>
      </c>
      <c r="M1111" s="7">
        <f t="shared" ca="1" si="74"/>
        <v>26.201232032854211</v>
      </c>
      <c r="N1111" s="5" t="str">
        <f ca="1">VLOOKUP(Data!M1111,temp!$B$3:$C$9,2,1)</f>
        <v>20-30</v>
      </c>
      <c r="O1111">
        <v>-2620</v>
      </c>
      <c r="P1111" s="8">
        <f t="shared" si="75"/>
        <v>7.1731690622861057</v>
      </c>
      <c r="Q1111" s="5" t="str">
        <f t="shared" si="77"/>
        <v>Employed</v>
      </c>
      <c r="R1111">
        <v>1</v>
      </c>
      <c r="S1111">
        <v>0</v>
      </c>
      <c r="T1111">
        <v>0</v>
      </c>
      <c r="U1111">
        <v>0</v>
      </c>
      <c r="V1111" t="s">
        <v>30</v>
      </c>
      <c r="W1111">
        <v>2</v>
      </c>
    </row>
    <row r="1112" spans="1:23" x14ac:dyDescent="0.2">
      <c r="A1112">
        <v>5041568</v>
      </c>
      <c r="B1112" t="s">
        <v>18</v>
      </c>
      <c r="C1112" t="s">
        <v>20</v>
      </c>
      <c r="D1112" t="s">
        <v>20</v>
      </c>
      <c r="E1112">
        <v>0</v>
      </c>
      <c r="F1112">
        <v>180000</v>
      </c>
      <c r="G1112" t="s">
        <v>26</v>
      </c>
      <c r="H1112" t="s">
        <v>22</v>
      </c>
      <c r="I1112" t="s">
        <v>28</v>
      </c>
      <c r="J1112" t="s">
        <v>24</v>
      </c>
      <c r="K1112" s="6">
        <f t="shared" ca="1" si="76"/>
        <v>32808</v>
      </c>
      <c r="L1112">
        <v>-12953</v>
      </c>
      <c r="M1112" s="7">
        <f t="shared" ca="1" si="74"/>
        <v>35.463381245722111</v>
      </c>
      <c r="N1112" s="5" t="str">
        <f ca="1">VLOOKUP(Data!M1112,temp!$B$3:$C$9,2,1)</f>
        <v>30-40</v>
      </c>
      <c r="O1112">
        <v>-306</v>
      </c>
      <c r="P1112" s="8">
        <f t="shared" si="75"/>
        <v>0.83778234086242298</v>
      </c>
      <c r="Q1112" s="5" t="str">
        <f t="shared" si="77"/>
        <v>Employed</v>
      </c>
      <c r="R1112">
        <v>1</v>
      </c>
      <c r="S1112">
        <v>1</v>
      </c>
      <c r="T1112">
        <v>1</v>
      </c>
      <c r="U1112">
        <v>0</v>
      </c>
      <c r="W1112">
        <v>2</v>
      </c>
    </row>
    <row r="1113" spans="1:23" x14ac:dyDescent="0.2">
      <c r="A1113">
        <v>5041632</v>
      </c>
      <c r="B1113" t="s">
        <v>25</v>
      </c>
      <c r="C1113" t="s">
        <v>20</v>
      </c>
      <c r="D1113" t="s">
        <v>20</v>
      </c>
      <c r="E1113">
        <v>0</v>
      </c>
      <c r="F1113">
        <v>234000</v>
      </c>
      <c r="G1113" t="s">
        <v>31</v>
      </c>
      <c r="H1113" t="s">
        <v>27</v>
      </c>
      <c r="I1113" t="s">
        <v>28</v>
      </c>
      <c r="J1113" t="s">
        <v>24</v>
      </c>
      <c r="K1113" s="6">
        <f t="shared" ca="1" si="76"/>
        <v>30251</v>
      </c>
      <c r="L1113">
        <v>-15510</v>
      </c>
      <c r="M1113" s="7">
        <f t="shared" ca="1" si="74"/>
        <v>42.464065708418893</v>
      </c>
      <c r="N1113" s="5" t="str">
        <f ca="1">VLOOKUP(Data!M1113,temp!$B$3:$C$9,2,1)</f>
        <v>40-50</v>
      </c>
      <c r="O1113">
        <v>-3016</v>
      </c>
      <c r="P1113" s="8">
        <f t="shared" si="75"/>
        <v>8.2573579739904179</v>
      </c>
      <c r="Q1113" s="5" t="str">
        <f t="shared" si="77"/>
        <v>Employed</v>
      </c>
      <c r="R1113">
        <v>1</v>
      </c>
      <c r="S1113">
        <v>0</v>
      </c>
      <c r="T1113">
        <v>0</v>
      </c>
      <c r="U1113">
        <v>0</v>
      </c>
      <c r="V1113" t="s">
        <v>29</v>
      </c>
      <c r="W1113">
        <v>2</v>
      </c>
    </row>
    <row r="1114" spans="1:23" x14ac:dyDescent="0.2">
      <c r="A1114">
        <v>5041638</v>
      </c>
      <c r="B1114" t="s">
        <v>18</v>
      </c>
      <c r="C1114" t="s">
        <v>19</v>
      </c>
      <c r="D1114" t="s">
        <v>20</v>
      </c>
      <c r="E1114">
        <v>0</v>
      </c>
      <c r="F1114">
        <v>225000</v>
      </c>
      <c r="G1114" t="s">
        <v>31</v>
      </c>
      <c r="H1114" t="s">
        <v>27</v>
      </c>
      <c r="I1114" t="s">
        <v>37</v>
      </c>
      <c r="J1114" t="s">
        <v>24</v>
      </c>
      <c r="K1114" s="6">
        <f t="shared" ca="1" si="76"/>
        <v>29153</v>
      </c>
      <c r="L1114">
        <v>-16608</v>
      </c>
      <c r="M1114" s="7">
        <f t="shared" ca="1" si="74"/>
        <v>45.470225872689937</v>
      </c>
      <c r="N1114" s="5" t="str">
        <f ca="1">VLOOKUP(Data!M1114,temp!$B$3:$C$9,2,1)</f>
        <v>40-50</v>
      </c>
      <c r="O1114">
        <v>-5573</v>
      </c>
      <c r="P1114" s="8">
        <f t="shared" si="75"/>
        <v>15.2580424366872</v>
      </c>
      <c r="Q1114" s="5" t="str">
        <f t="shared" si="77"/>
        <v>Employed</v>
      </c>
      <c r="R1114">
        <v>1</v>
      </c>
      <c r="S1114">
        <v>0</v>
      </c>
      <c r="T1114">
        <v>1</v>
      </c>
      <c r="U1114">
        <v>0</v>
      </c>
      <c r="W1114">
        <v>2</v>
      </c>
    </row>
    <row r="1115" spans="1:23" x14ac:dyDescent="0.2">
      <c r="A1115">
        <v>5041648</v>
      </c>
      <c r="B1115" t="s">
        <v>18</v>
      </c>
      <c r="C1115" t="s">
        <v>20</v>
      </c>
      <c r="D1115" t="s">
        <v>20</v>
      </c>
      <c r="E1115">
        <v>1</v>
      </c>
      <c r="F1115">
        <v>270000</v>
      </c>
      <c r="G1115" t="s">
        <v>26</v>
      </c>
      <c r="H1115" t="s">
        <v>27</v>
      </c>
      <c r="I1115" t="s">
        <v>28</v>
      </c>
      <c r="J1115" t="s">
        <v>24</v>
      </c>
      <c r="K1115" s="6">
        <f t="shared" ca="1" si="76"/>
        <v>31575</v>
      </c>
      <c r="L1115">
        <v>-14186</v>
      </c>
      <c r="M1115" s="7">
        <f t="shared" ca="1" si="74"/>
        <v>38.839151266255989</v>
      </c>
      <c r="N1115" s="5" t="str">
        <f ca="1">VLOOKUP(Data!M1115,temp!$B$3:$C$9,2,1)</f>
        <v>30-40</v>
      </c>
      <c r="O1115">
        <v>-1736</v>
      </c>
      <c r="P1115" s="8">
        <f t="shared" si="75"/>
        <v>4.7529089664613275</v>
      </c>
      <c r="Q1115" s="5" t="str">
        <f t="shared" si="77"/>
        <v>Employed</v>
      </c>
      <c r="R1115">
        <v>1</v>
      </c>
      <c r="S1115">
        <v>0</v>
      </c>
      <c r="T1115">
        <v>1</v>
      </c>
      <c r="U1115">
        <v>0</v>
      </c>
      <c r="V1115" t="s">
        <v>39</v>
      </c>
      <c r="W1115">
        <v>3</v>
      </c>
    </row>
    <row r="1116" spans="1:23" x14ac:dyDescent="0.2">
      <c r="A1116">
        <v>5041663</v>
      </c>
      <c r="B1116" t="s">
        <v>18</v>
      </c>
      <c r="C1116" t="s">
        <v>20</v>
      </c>
      <c r="D1116" t="s">
        <v>20</v>
      </c>
      <c r="E1116">
        <v>1</v>
      </c>
      <c r="F1116">
        <v>333000</v>
      </c>
      <c r="G1116" t="s">
        <v>26</v>
      </c>
      <c r="H1116" t="s">
        <v>22</v>
      </c>
      <c r="I1116" t="s">
        <v>28</v>
      </c>
      <c r="J1116" t="s">
        <v>24</v>
      </c>
      <c r="K1116" s="6">
        <f t="shared" ca="1" si="76"/>
        <v>34236</v>
      </c>
      <c r="L1116">
        <v>-11525</v>
      </c>
      <c r="M1116" s="7">
        <f t="shared" ca="1" si="74"/>
        <v>31.553730321697468</v>
      </c>
      <c r="N1116" s="5" t="str">
        <f ca="1">VLOOKUP(Data!M1116,temp!$B$3:$C$9,2,1)</f>
        <v>30-40</v>
      </c>
      <c r="O1116">
        <v>-1616</v>
      </c>
      <c r="P1116" s="8">
        <f t="shared" si="75"/>
        <v>4.4243668720054758</v>
      </c>
      <c r="Q1116" s="5" t="str">
        <f t="shared" si="77"/>
        <v>Employed</v>
      </c>
      <c r="R1116">
        <v>1</v>
      </c>
      <c r="S1116">
        <v>0</v>
      </c>
      <c r="T1116">
        <v>0</v>
      </c>
      <c r="U1116">
        <v>0</v>
      </c>
      <c r="V1116" t="s">
        <v>32</v>
      </c>
      <c r="W1116">
        <v>3</v>
      </c>
    </row>
    <row r="1117" spans="1:23" x14ac:dyDescent="0.2">
      <c r="A1117">
        <v>5041665</v>
      </c>
      <c r="B1117" t="s">
        <v>18</v>
      </c>
      <c r="C1117" t="s">
        <v>20</v>
      </c>
      <c r="D1117" t="s">
        <v>20</v>
      </c>
      <c r="E1117">
        <v>1</v>
      </c>
      <c r="F1117">
        <v>333000</v>
      </c>
      <c r="G1117" t="s">
        <v>26</v>
      </c>
      <c r="H1117" t="s">
        <v>22</v>
      </c>
      <c r="I1117" t="s">
        <v>28</v>
      </c>
      <c r="J1117" t="s">
        <v>24</v>
      </c>
      <c r="K1117" s="6">
        <f t="shared" ca="1" si="76"/>
        <v>34236</v>
      </c>
      <c r="L1117">
        <v>-11525</v>
      </c>
      <c r="M1117" s="7">
        <f t="shared" ca="1" si="74"/>
        <v>31.553730321697468</v>
      </c>
      <c r="N1117" s="5" t="str">
        <f ca="1">VLOOKUP(Data!M1117,temp!$B$3:$C$9,2,1)</f>
        <v>30-40</v>
      </c>
      <c r="O1117">
        <v>-1616</v>
      </c>
      <c r="P1117" s="8">
        <f t="shared" si="75"/>
        <v>4.4243668720054758</v>
      </c>
      <c r="Q1117" s="5" t="str">
        <f t="shared" si="77"/>
        <v>Employed</v>
      </c>
      <c r="R1117">
        <v>1</v>
      </c>
      <c r="S1117">
        <v>0</v>
      </c>
      <c r="T1117">
        <v>0</v>
      </c>
      <c r="U1117">
        <v>0</v>
      </c>
      <c r="V1117" t="s">
        <v>32</v>
      </c>
      <c r="W1117">
        <v>3</v>
      </c>
    </row>
    <row r="1118" spans="1:23" x14ac:dyDescent="0.2">
      <c r="A1118">
        <v>5041666</v>
      </c>
      <c r="B1118" t="s">
        <v>18</v>
      </c>
      <c r="C1118" t="s">
        <v>20</v>
      </c>
      <c r="D1118" t="s">
        <v>20</v>
      </c>
      <c r="E1118">
        <v>1</v>
      </c>
      <c r="F1118">
        <v>333000</v>
      </c>
      <c r="G1118" t="s">
        <v>26</v>
      </c>
      <c r="H1118" t="s">
        <v>22</v>
      </c>
      <c r="I1118" t="s">
        <v>28</v>
      </c>
      <c r="J1118" t="s">
        <v>24</v>
      </c>
      <c r="K1118" s="6">
        <f t="shared" ca="1" si="76"/>
        <v>34236</v>
      </c>
      <c r="L1118">
        <v>-11525</v>
      </c>
      <c r="M1118" s="7">
        <f t="shared" ca="1" si="74"/>
        <v>31.553730321697468</v>
      </c>
      <c r="N1118" s="5" t="str">
        <f ca="1">VLOOKUP(Data!M1118,temp!$B$3:$C$9,2,1)</f>
        <v>30-40</v>
      </c>
      <c r="O1118">
        <v>-1616</v>
      </c>
      <c r="P1118" s="8">
        <f t="shared" si="75"/>
        <v>4.4243668720054758</v>
      </c>
      <c r="Q1118" s="5" t="str">
        <f t="shared" si="77"/>
        <v>Employed</v>
      </c>
      <c r="R1118">
        <v>1</v>
      </c>
      <c r="S1118">
        <v>0</v>
      </c>
      <c r="T1118">
        <v>0</v>
      </c>
      <c r="U1118">
        <v>0</v>
      </c>
      <c r="V1118" t="s">
        <v>32</v>
      </c>
      <c r="W1118">
        <v>3</v>
      </c>
    </row>
    <row r="1119" spans="1:23" x14ac:dyDescent="0.2">
      <c r="A1119">
        <v>5041668</v>
      </c>
      <c r="B1119" t="s">
        <v>18</v>
      </c>
      <c r="C1119" t="s">
        <v>20</v>
      </c>
      <c r="D1119" t="s">
        <v>20</v>
      </c>
      <c r="E1119">
        <v>1</v>
      </c>
      <c r="F1119">
        <v>333000</v>
      </c>
      <c r="G1119" t="s">
        <v>26</v>
      </c>
      <c r="H1119" t="s">
        <v>22</v>
      </c>
      <c r="I1119" t="s">
        <v>28</v>
      </c>
      <c r="J1119" t="s">
        <v>24</v>
      </c>
      <c r="K1119" s="6">
        <f t="shared" ca="1" si="76"/>
        <v>34236</v>
      </c>
      <c r="L1119">
        <v>-11525</v>
      </c>
      <c r="M1119" s="7">
        <f t="shared" ca="1" si="74"/>
        <v>31.553730321697468</v>
      </c>
      <c r="N1119" s="5" t="str">
        <f ca="1">VLOOKUP(Data!M1119,temp!$B$3:$C$9,2,1)</f>
        <v>30-40</v>
      </c>
      <c r="O1119">
        <v>-1616</v>
      </c>
      <c r="P1119" s="8">
        <f t="shared" si="75"/>
        <v>4.4243668720054758</v>
      </c>
      <c r="Q1119" s="5" t="str">
        <f t="shared" si="77"/>
        <v>Employed</v>
      </c>
      <c r="R1119">
        <v>1</v>
      </c>
      <c r="S1119">
        <v>0</v>
      </c>
      <c r="T1119">
        <v>0</v>
      </c>
      <c r="U1119">
        <v>0</v>
      </c>
      <c r="V1119" t="s">
        <v>32</v>
      </c>
      <c r="W1119">
        <v>3</v>
      </c>
    </row>
    <row r="1120" spans="1:23" x14ac:dyDescent="0.2">
      <c r="A1120">
        <v>5041669</v>
      </c>
      <c r="B1120" t="s">
        <v>18</v>
      </c>
      <c r="C1120" t="s">
        <v>20</v>
      </c>
      <c r="D1120" t="s">
        <v>20</v>
      </c>
      <c r="E1120">
        <v>1</v>
      </c>
      <c r="F1120">
        <v>333000</v>
      </c>
      <c r="G1120" t="s">
        <v>26</v>
      </c>
      <c r="H1120" t="s">
        <v>22</v>
      </c>
      <c r="I1120" t="s">
        <v>28</v>
      </c>
      <c r="J1120" t="s">
        <v>24</v>
      </c>
      <c r="K1120" s="6">
        <f t="shared" ca="1" si="76"/>
        <v>34236</v>
      </c>
      <c r="L1120">
        <v>-11525</v>
      </c>
      <c r="M1120" s="7">
        <f t="shared" ca="1" si="74"/>
        <v>31.553730321697468</v>
      </c>
      <c r="N1120" s="5" t="str">
        <f ca="1">VLOOKUP(Data!M1120,temp!$B$3:$C$9,2,1)</f>
        <v>30-40</v>
      </c>
      <c r="O1120">
        <v>-1616</v>
      </c>
      <c r="P1120" s="8">
        <f t="shared" si="75"/>
        <v>4.4243668720054758</v>
      </c>
      <c r="Q1120" s="5" t="str">
        <f t="shared" si="77"/>
        <v>Employed</v>
      </c>
      <c r="R1120">
        <v>1</v>
      </c>
      <c r="S1120">
        <v>0</v>
      </c>
      <c r="T1120">
        <v>0</v>
      </c>
      <c r="U1120">
        <v>0</v>
      </c>
      <c r="V1120" t="s">
        <v>32</v>
      </c>
      <c r="W1120">
        <v>3</v>
      </c>
    </row>
    <row r="1121" spans="1:23" x14ac:dyDescent="0.2">
      <c r="A1121">
        <v>5041682</v>
      </c>
      <c r="B1121" t="s">
        <v>18</v>
      </c>
      <c r="C1121" t="s">
        <v>19</v>
      </c>
      <c r="D1121" t="s">
        <v>19</v>
      </c>
      <c r="E1121">
        <v>0</v>
      </c>
      <c r="F1121">
        <v>94500</v>
      </c>
      <c r="G1121" t="s">
        <v>21</v>
      </c>
      <c r="H1121" t="s">
        <v>27</v>
      </c>
      <c r="I1121" t="s">
        <v>28</v>
      </c>
      <c r="J1121" t="s">
        <v>24</v>
      </c>
      <c r="K1121" s="6">
        <f t="shared" ca="1" si="76"/>
        <v>24248</v>
      </c>
      <c r="L1121">
        <v>-21513</v>
      </c>
      <c r="M1121" s="7">
        <f t="shared" ca="1" si="74"/>
        <v>58.899383983572896</v>
      </c>
      <c r="N1121" s="5" t="str">
        <f ca="1">VLOOKUP(Data!M1121,temp!$B$3:$C$9,2,1)</f>
        <v>50-60</v>
      </c>
      <c r="O1121">
        <v>365243</v>
      </c>
      <c r="P1121" s="8">
        <f t="shared" si="75"/>
        <v>0</v>
      </c>
      <c r="Q1121" s="5" t="str">
        <f t="shared" si="77"/>
        <v>Unemployed</v>
      </c>
      <c r="R1121">
        <v>1</v>
      </c>
      <c r="S1121">
        <v>0</v>
      </c>
      <c r="T1121">
        <v>1</v>
      </c>
      <c r="U1121">
        <v>0</v>
      </c>
      <c r="W1121">
        <v>2</v>
      </c>
    </row>
    <row r="1122" spans="1:23" x14ac:dyDescent="0.2">
      <c r="A1122">
        <v>5041697</v>
      </c>
      <c r="B1122" t="s">
        <v>18</v>
      </c>
      <c r="C1122" t="s">
        <v>20</v>
      </c>
      <c r="D1122" t="s">
        <v>19</v>
      </c>
      <c r="E1122">
        <v>0</v>
      </c>
      <c r="F1122">
        <v>342000</v>
      </c>
      <c r="G1122" t="s">
        <v>35</v>
      </c>
      <c r="H1122" t="s">
        <v>22</v>
      </c>
      <c r="I1122" t="s">
        <v>33</v>
      </c>
      <c r="J1122" t="s">
        <v>24</v>
      </c>
      <c r="K1122" s="6">
        <f t="shared" ca="1" si="76"/>
        <v>33547</v>
      </c>
      <c r="L1122">
        <v>-12214</v>
      </c>
      <c r="M1122" s="7">
        <f t="shared" ca="1" si="74"/>
        <v>33.440109514031484</v>
      </c>
      <c r="N1122" s="5" t="str">
        <f ca="1">VLOOKUP(Data!M1122,temp!$B$3:$C$9,2,1)</f>
        <v>30-40</v>
      </c>
      <c r="O1122">
        <v>-3807</v>
      </c>
      <c r="P1122" s="8">
        <f t="shared" si="75"/>
        <v>10.422997946611909</v>
      </c>
      <c r="Q1122" s="5" t="str">
        <f t="shared" si="77"/>
        <v>Employed</v>
      </c>
      <c r="R1122">
        <v>1</v>
      </c>
      <c r="S1122">
        <v>0</v>
      </c>
      <c r="T1122">
        <v>0</v>
      </c>
      <c r="U1122">
        <v>0</v>
      </c>
      <c r="V1122" t="s">
        <v>38</v>
      </c>
      <c r="W1122">
        <v>1</v>
      </c>
    </row>
    <row r="1123" spans="1:23" x14ac:dyDescent="0.2">
      <c r="A1123">
        <v>5041724</v>
      </c>
      <c r="B1123" t="s">
        <v>18</v>
      </c>
      <c r="C1123" t="s">
        <v>20</v>
      </c>
      <c r="D1123" t="s">
        <v>20</v>
      </c>
      <c r="E1123">
        <v>0</v>
      </c>
      <c r="F1123">
        <v>225000</v>
      </c>
      <c r="G1123" t="s">
        <v>31</v>
      </c>
      <c r="H1123" t="s">
        <v>22</v>
      </c>
      <c r="I1123" t="s">
        <v>28</v>
      </c>
      <c r="J1123" t="s">
        <v>24</v>
      </c>
      <c r="K1123" s="6">
        <f t="shared" ca="1" si="76"/>
        <v>28384</v>
      </c>
      <c r="L1123">
        <v>-17377</v>
      </c>
      <c r="M1123" s="7">
        <f t="shared" ca="1" si="74"/>
        <v>47.575633127994521</v>
      </c>
      <c r="N1123" s="5" t="str">
        <f ca="1">VLOOKUP(Data!M1123,temp!$B$3:$C$9,2,1)</f>
        <v>40-50</v>
      </c>
      <c r="O1123">
        <v>-5512</v>
      </c>
      <c r="P1123" s="8">
        <f t="shared" si="75"/>
        <v>15.091033538672143</v>
      </c>
      <c r="Q1123" s="5" t="str">
        <f t="shared" si="77"/>
        <v>Employed</v>
      </c>
      <c r="R1123">
        <v>1</v>
      </c>
      <c r="S1123">
        <v>0</v>
      </c>
      <c r="T1123">
        <v>0</v>
      </c>
      <c r="U1123">
        <v>0</v>
      </c>
      <c r="V1123" t="s">
        <v>47</v>
      </c>
      <c r="W1123">
        <v>2</v>
      </c>
    </row>
    <row r="1124" spans="1:23" x14ac:dyDescent="0.2">
      <c r="A1124">
        <v>5041740</v>
      </c>
      <c r="B1124" t="s">
        <v>25</v>
      </c>
      <c r="C1124" t="s">
        <v>19</v>
      </c>
      <c r="D1124" t="s">
        <v>20</v>
      </c>
      <c r="E1124">
        <v>1</v>
      </c>
      <c r="F1124">
        <v>157500</v>
      </c>
      <c r="G1124" t="s">
        <v>31</v>
      </c>
      <c r="H1124" t="s">
        <v>27</v>
      </c>
      <c r="I1124" t="s">
        <v>28</v>
      </c>
      <c r="J1124" t="s">
        <v>24</v>
      </c>
      <c r="K1124" s="6">
        <f t="shared" ca="1" si="76"/>
        <v>33176</v>
      </c>
      <c r="L1124">
        <v>-12585</v>
      </c>
      <c r="M1124" s="7">
        <f t="shared" ca="1" si="74"/>
        <v>34.455852156057496</v>
      </c>
      <c r="N1124" s="5" t="str">
        <f ca="1">VLOOKUP(Data!M1124,temp!$B$3:$C$9,2,1)</f>
        <v>30-40</v>
      </c>
      <c r="O1124">
        <v>-367</v>
      </c>
      <c r="P1124" s="8">
        <f t="shared" si="75"/>
        <v>1.0047912388774811</v>
      </c>
      <c r="Q1124" s="5" t="str">
        <f t="shared" si="77"/>
        <v>Employed</v>
      </c>
      <c r="R1124">
        <v>1</v>
      </c>
      <c r="S1124">
        <v>0</v>
      </c>
      <c r="T1124">
        <v>0</v>
      </c>
      <c r="U1124">
        <v>0</v>
      </c>
      <c r="V1124" t="s">
        <v>39</v>
      </c>
      <c r="W1124">
        <v>3</v>
      </c>
    </row>
    <row r="1125" spans="1:23" x14ac:dyDescent="0.2">
      <c r="A1125">
        <v>5041761</v>
      </c>
      <c r="B1125" t="s">
        <v>18</v>
      </c>
      <c r="C1125" t="s">
        <v>19</v>
      </c>
      <c r="D1125" t="s">
        <v>20</v>
      </c>
      <c r="E1125">
        <v>0</v>
      </c>
      <c r="F1125">
        <v>157500</v>
      </c>
      <c r="G1125" t="s">
        <v>35</v>
      </c>
      <c r="H1125" t="s">
        <v>22</v>
      </c>
      <c r="I1125" t="s">
        <v>28</v>
      </c>
      <c r="J1125" t="s">
        <v>24</v>
      </c>
      <c r="K1125" s="6">
        <f t="shared" ca="1" si="76"/>
        <v>30616</v>
      </c>
      <c r="L1125">
        <v>-15145</v>
      </c>
      <c r="M1125" s="7">
        <f t="shared" ca="1" si="74"/>
        <v>41.464750171115675</v>
      </c>
      <c r="N1125" s="5" t="str">
        <f ca="1">VLOOKUP(Data!M1125,temp!$B$3:$C$9,2,1)</f>
        <v>40-50</v>
      </c>
      <c r="O1125">
        <v>-3654</v>
      </c>
      <c r="P1125" s="8">
        <f t="shared" si="75"/>
        <v>10.004106776180699</v>
      </c>
      <c r="Q1125" s="5" t="str">
        <f t="shared" si="77"/>
        <v>Employed</v>
      </c>
      <c r="R1125">
        <v>1</v>
      </c>
      <c r="S1125">
        <v>0</v>
      </c>
      <c r="T1125">
        <v>1</v>
      </c>
      <c r="U1125">
        <v>0</v>
      </c>
      <c r="V1125" t="s">
        <v>32</v>
      </c>
      <c r="W1125">
        <v>2</v>
      </c>
    </row>
    <row r="1126" spans="1:23" x14ac:dyDescent="0.2">
      <c r="A1126">
        <v>5041776</v>
      </c>
      <c r="B1126" t="s">
        <v>18</v>
      </c>
      <c r="C1126" t="s">
        <v>20</v>
      </c>
      <c r="D1126" t="s">
        <v>19</v>
      </c>
      <c r="E1126">
        <v>3</v>
      </c>
      <c r="F1126">
        <v>135000</v>
      </c>
      <c r="G1126" t="s">
        <v>31</v>
      </c>
      <c r="H1126" t="s">
        <v>22</v>
      </c>
      <c r="I1126" t="s">
        <v>28</v>
      </c>
      <c r="J1126" t="s">
        <v>24</v>
      </c>
      <c r="K1126" s="6">
        <f t="shared" ca="1" si="76"/>
        <v>32236</v>
      </c>
      <c r="L1126">
        <v>-13525</v>
      </c>
      <c r="M1126" s="7">
        <f t="shared" ca="1" si="74"/>
        <v>37.029431895961672</v>
      </c>
      <c r="N1126" s="5" t="str">
        <f ca="1">VLOOKUP(Data!M1126,temp!$B$3:$C$9,2,1)</f>
        <v>30-40</v>
      </c>
      <c r="O1126">
        <v>-4478</v>
      </c>
      <c r="P1126" s="8">
        <f t="shared" si="75"/>
        <v>12.260095824777549</v>
      </c>
      <c r="Q1126" s="5" t="str">
        <f t="shared" si="77"/>
        <v>Employed</v>
      </c>
      <c r="R1126">
        <v>1</v>
      </c>
      <c r="S1126">
        <v>1</v>
      </c>
      <c r="T1126">
        <v>1</v>
      </c>
      <c r="U1126">
        <v>0</v>
      </c>
      <c r="V1126" t="s">
        <v>38</v>
      </c>
      <c r="W1126">
        <v>5</v>
      </c>
    </row>
    <row r="1127" spans="1:23" x14ac:dyDescent="0.2">
      <c r="A1127">
        <v>5041777</v>
      </c>
      <c r="B1127" t="s">
        <v>18</v>
      </c>
      <c r="C1127" t="s">
        <v>20</v>
      </c>
      <c r="D1127" t="s">
        <v>19</v>
      </c>
      <c r="E1127">
        <v>3</v>
      </c>
      <c r="F1127">
        <v>135000</v>
      </c>
      <c r="G1127" t="s">
        <v>31</v>
      </c>
      <c r="H1127" t="s">
        <v>22</v>
      </c>
      <c r="I1127" t="s">
        <v>28</v>
      </c>
      <c r="J1127" t="s">
        <v>24</v>
      </c>
      <c r="K1127" s="6">
        <f t="shared" ca="1" si="76"/>
        <v>32236</v>
      </c>
      <c r="L1127">
        <v>-13525</v>
      </c>
      <c r="M1127" s="7">
        <f t="shared" ca="1" si="74"/>
        <v>37.029431895961672</v>
      </c>
      <c r="N1127" s="5" t="str">
        <f ca="1">VLOOKUP(Data!M1127,temp!$B$3:$C$9,2,1)</f>
        <v>30-40</v>
      </c>
      <c r="O1127">
        <v>-4478</v>
      </c>
      <c r="P1127" s="8">
        <f t="shared" si="75"/>
        <v>12.260095824777549</v>
      </c>
      <c r="Q1127" s="5" t="str">
        <f t="shared" si="77"/>
        <v>Employed</v>
      </c>
      <c r="R1127">
        <v>1</v>
      </c>
      <c r="S1127">
        <v>1</v>
      </c>
      <c r="T1127">
        <v>1</v>
      </c>
      <c r="U1127">
        <v>0</v>
      </c>
      <c r="V1127" t="s">
        <v>38</v>
      </c>
      <c r="W1127">
        <v>5</v>
      </c>
    </row>
    <row r="1128" spans="1:23" x14ac:dyDescent="0.2">
      <c r="A1128">
        <v>5041778</v>
      </c>
      <c r="B1128" t="s">
        <v>18</v>
      </c>
      <c r="C1128" t="s">
        <v>20</v>
      </c>
      <c r="D1128" t="s">
        <v>19</v>
      </c>
      <c r="E1128">
        <v>3</v>
      </c>
      <c r="F1128">
        <v>135000</v>
      </c>
      <c r="G1128" t="s">
        <v>31</v>
      </c>
      <c r="H1128" t="s">
        <v>22</v>
      </c>
      <c r="I1128" t="s">
        <v>28</v>
      </c>
      <c r="J1128" t="s">
        <v>24</v>
      </c>
      <c r="K1128" s="6">
        <f t="shared" ca="1" si="76"/>
        <v>32236</v>
      </c>
      <c r="L1128">
        <v>-13525</v>
      </c>
      <c r="M1128" s="7">
        <f t="shared" ca="1" si="74"/>
        <v>37.029431895961672</v>
      </c>
      <c r="N1128" s="5" t="str">
        <f ca="1">VLOOKUP(Data!M1128,temp!$B$3:$C$9,2,1)</f>
        <v>30-40</v>
      </c>
      <c r="O1128">
        <v>-4478</v>
      </c>
      <c r="P1128" s="8">
        <f t="shared" si="75"/>
        <v>12.260095824777549</v>
      </c>
      <c r="Q1128" s="5" t="str">
        <f t="shared" si="77"/>
        <v>Employed</v>
      </c>
      <c r="R1128">
        <v>1</v>
      </c>
      <c r="S1128">
        <v>1</v>
      </c>
      <c r="T1128">
        <v>1</v>
      </c>
      <c r="U1128">
        <v>0</v>
      </c>
      <c r="V1128" t="s">
        <v>38</v>
      </c>
      <c r="W1128">
        <v>5</v>
      </c>
    </row>
    <row r="1129" spans="1:23" x14ac:dyDescent="0.2">
      <c r="A1129">
        <v>5041781</v>
      </c>
      <c r="B1129" t="s">
        <v>25</v>
      </c>
      <c r="C1129" t="s">
        <v>19</v>
      </c>
      <c r="D1129" t="s">
        <v>19</v>
      </c>
      <c r="E1129">
        <v>2</v>
      </c>
      <c r="F1129">
        <v>180000</v>
      </c>
      <c r="G1129" t="s">
        <v>31</v>
      </c>
      <c r="H1129" t="s">
        <v>27</v>
      </c>
      <c r="I1129" t="s">
        <v>28</v>
      </c>
      <c r="J1129" t="s">
        <v>24</v>
      </c>
      <c r="K1129" s="6">
        <f t="shared" ca="1" si="76"/>
        <v>30795</v>
      </c>
      <c r="L1129">
        <v>-14966</v>
      </c>
      <c r="M1129" s="7">
        <f t="shared" ca="1" si="74"/>
        <v>40.974674880219027</v>
      </c>
      <c r="N1129" s="5" t="str">
        <f ca="1">VLOOKUP(Data!M1129,temp!$B$3:$C$9,2,1)</f>
        <v>40-50</v>
      </c>
      <c r="O1129">
        <v>-399</v>
      </c>
      <c r="P1129" s="8">
        <f t="shared" si="75"/>
        <v>1.0924024640657084</v>
      </c>
      <c r="Q1129" s="5" t="str">
        <f t="shared" si="77"/>
        <v>Employed</v>
      </c>
      <c r="R1129">
        <v>1</v>
      </c>
      <c r="S1129">
        <v>1</v>
      </c>
      <c r="T1129">
        <v>0</v>
      </c>
      <c r="U1129">
        <v>0</v>
      </c>
      <c r="W1129">
        <v>4</v>
      </c>
    </row>
    <row r="1130" spans="1:23" x14ac:dyDescent="0.2">
      <c r="A1130">
        <v>5041788</v>
      </c>
      <c r="B1130" t="s">
        <v>25</v>
      </c>
      <c r="C1130" t="s">
        <v>20</v>
      </c>
      <c r="D1130" t="s">
        <v>19</v>
      </c>
      <c r="E1130">
        <v>0</v>
      </c>
      <c r="F1130">
        <v>99000</v>
      </c>
      <c r="G1130" t="s">
        <v>31</v>
      </c>
      <c r="H1130" t="s">
        <v>27</v>
      </c>
      <c r="I1130" t="s">
        <v>28</v>
      </c>
      <c r="J1130" t="s">
        <v>24</v>
      </c>
      <c r="K1130" s="6">
        <f t="shared" ca="1" si="76"/>
        <v>24725</v>
      </c>
      <c r="L1130">
        <v>-21036</v>
      </c>
      <c r="M1130" s="7">
        <f t="shared" ca="1" si="74"/>
        <v>57.593429158110879</v>
      </c>
      <c r="N1130" s="5" t="str">
        <f ca="1">VLOOKUP(Data!M1130,temp!$B$3:$C$9,2,1)</f>
        <v>50-60</v>
      </c>
      <c r="O1130">
        <v>-1252</v>
      </c>
      <c r="P1130" s="8">
        <f t="shared" si="75"/>
        <v>3.4277891854893907</v>
      </c>
      <c r="Q1130" s="5" t="str">
        <f t="shared" si="77"/>
        <v>Employed</v>
      </c>
      <c r="R1130">
        <v>1</v>
      </c>
      <c r="S1130">
        <v>1</v>
      </c>
      <c r="T1130">
        <v>0</v>
      </c>
      <c r="U1130">
        <v>0</v>
      </c>
      <c r="V1130" t="s">
        <v>30</v>
      </c>
      <c r="W1130">
        <v>2</v>
      </c>
    </row>
    <row r="1131" spans="1:23" x14ac:dyDescent="0.2">
      <c r="A1131">
        <v>5041798</v>
      </c>
      <c r="B1131" t="s">
        <v>18</v>
      </c>
      <c r="C1131" t="s">
        <v>19</v>
      </c>
      <c r="D1131" t="s">
        <v>19</v>
      </c>
      <c r="E1131">
        <v>0</v>
      </c>
      <c r="F1131">
        <v>211500</v>
      </c>
      <c r="G1131" t="s">
        <v>31</v>
      </c>
      <c r="H1131" t="s">
        <v>27</v>
      </c>
      <c r="I1131" t="s">
        <v>28</v>
      </c>
      <c r="J1131" t="s">
        <v>24</v>
      </c>
      <c r="K1131" s="6">
        <f t="shared" ca="1" si="76"/>
        <v>29797</v>
      </c>
      <c r="L1131">
        <v>-15964</v>
      </c>
      <c r="M1131" s="7">
        <f t="shared" ca="1" si="74"/>
        <v>43.707049965776868</v>
      </c>
      <c r="N1131" s="5" t="str">
        <f ca="1">VLOOKUP(Data!M1131,temp!$B$3:$C$9,2,1)</f>
        <v>40-50</v>
      </c>
      <c r="O1131">
        <v>-276</v>
      </c>
      <c r="P1131" s="8">
        <f t="shared" si="75"/>
        <v>0.75564681724845995</v>
      </c>
      <c r="Q1131" s="5" t="str">
        <f t="shared" si="77"/>
        <v>Employed</v>
      </c>
      <c r="R1131">
        <v>1</v>
      </c>
      <c r="S1131">
        <v>0</v>
      </c>
      <c r="T1131">
        <v>0</v>
      </c>
      <c r="U1131">
        <v>0</v>
      </c>
      <c r="V1131" t="s">
        <v>46</v>
      </c>
      <c r="W1131">
        <v>2</v>
      </c>
    </row>
    <row r="1132" spans="1:23" x14ac:dyDescent="0.2">
      <c r="A1132">
        <v>5041807</v>
      </c>
      <c r="B1132" t="s">
        <v>18</v>
      </c>
      <c r="C1132" t="s">
        <v>19</v>
      </c>
      <c r="D1132" t="s">
        <v>19</v>
      </c>
      <c r="E1132">
        <v>0</v>
      </c>
      <c r="F1132">
        <v>90000</v>
      </c>
      <c r="G1132" t="s">
        <v>31</v>
      </c>
      <c r="H1132" t="s">
        <v>27</v>
      </c>
      <c r="I1132" t="s">
        <v>28</v>
      </c>
      <c r="J1132" t="s">
        <v>24</v>
      </c>
      <c r="K1132" s="6">
        <f t="shared" ca="1" si="76"/>
        <v>29389</v>
      </c>
      <c r="L1132">
        <v>-16372</v>
      </c>
      <c r="M1132" s="7">
        <f t="shared" ca="1" si="74"/>
        <v>44.824093086926766</v>
      </c>
      <c r="N1132" s="5" t="str">
        <f ca="1">VLOOKUP(Data!M1132,temp!$B$3:$C$9,2,1)</f>
        <v>40-50</v>
      </c>
      <c r="O1132">
        <v>-3900</v>
      </c>
      <c r="P1132" s="8">
        <f t="shared" si="75"/>
        <v>10.677618069815194</v>
      </c>
      <c r="Q1132" s="5" t="str">
        <f t="shared" si="77"/>
        <v>Employed</v>
      </c>
      <c r="R1132">
        <v>1</v>
      </c>
      <c r="S1132">
        <v>0</v>
      </c>
      <c r="T1132">
        <v>1</v>
      </c>
      <c r="U1132">
        <v>0</v>
      </c>
      <c r="V1132" t="s">
        <v>29</v>
      </c>
      <c r="W1132">
        <v>2</v>
      </c>
    </row>
    <row r="1133" spans="1:23" x14ac:dyDescent="0.2">
      <c r="A1133">
        <v>5041811</v>
      </c>
      <c r="B1133" t="s">
        <v>18</v>
      </c>
      <c r="C1133" t="s">
        <v>19</v>
      </c>
      <c r="D1133" t="s">
        <v>19</v>
      </c>
      <c r="E1133">
        <v>0</v>
      </c>
      <c r="F1133">
        <v>90000</v>
      </c>
      <c r="G1133" t="s">
        <v>31</v>
      </c>
      <c r="H1133" t="s">
        <v>27</v>
      </c>
      <c r="I1133" t="s">
        <v>28</v>
      </c>
      <c r="J1133" t="s">
        <v>24</v>
      </c>
      <c r="K1133" s="6">
        <f t="shared" ca="1" si="76"/>
        <v>29389</v>
      </c>
      <c r="L1133">
        <v>-16372</v>
      </c>
      <c r="M1133" s="7">
        <f t="shared" ca="1" si="74"/>
        <v>44.824093086926766</v>
      </c>
      <c r="N1133" s="5" t="str">
        <f ca="1">VLOOKUP(Data!M1133,temp!$B$3:$C$9,2,1)</f>
        <v>40-50</v>
      </c>
      <c r="O1133">
        <v>-3900</v>
      </c>
      <c r="P1133" s="8">
        <f t="shared" si="75"/>
        <v>10.677618069815194</v>
      </c>
      <c r="Q1133" s="5" t="str">
        <f t="shared" si="77"/>
        <v>Employed</v>
      </c>
      <c r="R1133">
        <v>1</v>
      </c>
      <c r="S1133">
        <v>0</v>
      </c>
      <c r="T1133">
        <v>1</v>
      </c>
      <c r="U1133">
        <v>0</v>
      </c>
      <c r="V1133" t="s">
        <v>29</v>
      </c>
      <c r="W1133">
        <v>2</v>
      </c>
    </row>
    <row r="1134" spans="1:23" x14ac:dyDescent="0.2">
      <c r="A1134">
        <v>5041817</v>
      </c>
      <c r="B1134" t="s">
        <v>18</v>
      </c>
      <c r="C1134" t="s">
        <v>20</v>
      </c>
      <c r="D1134" t="s">
        <v>19</v>
      </c>
      <c r="E1134">
        <v>0</v>
      </c>
      <c r="F1134">
        <v>112500</v>
      </c>
      <c r="G1134" t="s">
        <v>31</v>
      </c>
      <c r="H1134" t="s">
        <v>27</v>
      </c>
      <c r="I1134" t="s">
        <v>28</v>
      </c>
      <c r="J1134" t="s">
        <v>45</v>
      </c>
      <c r="K1134" s="6">
        <f t="shared" ca="1" si="76"/>
        <v>28389</v>
      </c>
      <c r="L1134">
        <v>-17372</v>
      </c>
      <c r="M1134" s="7">
        <f t="shared" ca="1" si="74"/>
        <v>47.561943874058862</v>
      </c>
      <c r="N1134" s="5" t="str">
        <f ca="1">VLOOKUP(Data!M1134,temp!$B$3:$C$9,2,1)</f>
        <v>40-50</v>
      </c>
      <c r="O1134">
        <v>-978</v>
      </c>
      <c r="P1134" s="8">
        <f t="shared" si="75"/>
        <v>2.6776180698151952</v>
      </c>
      <c r="Q1134" s="5" t="str">
        <f t="shared" si="77"/>
        <v>Employed</v>
      </c>
      <c r="R1134">
        <v>1</v>
      </c>
      <c r="S1134">
        <v>0</v>
      </c>
      <c r="T1134">
        <v>1</v>
      </c>
      <c r="U1134">
        <v>0</v>
      </c>
      <c r="V1134" t="s">
        <v>39</v>
      </c>
      <c r="W1134">
        <v>2</v>
      </c>
    </row>
    <row r="1135" spans="1:23" x14ac:dyDescent="0.2">
      <c r="A1135">
        <v>5041827</v>
      </c>
      <c r="B1135" t="s">
        <v>18</v>
      </c>
      <c r="C1135" t="s">
        <v>20</v>
      </c>
      <c r="D1135" t="s">
        <v>19</v>
      </c>
      <c r="E1135">
        <v>0</v>
      </c>
      <c r="F1135">
        <v>112500</v>
      </c>
      <c r="G1135" t="s">
        <v>31</v>
      </c>
      <c r="H1135" t="s">
        <v>27</v>
      </c>
      <c r="I1135" t="s">
        <v>28</v>
      </c>
      <c r="J1135" t="s">
        <v>45</v>
      </c>
      <c r="K1135" s="6">
        <f t="shared" ca="1" si="76"/>
        <v>28389</v>
      </c>
      <c r="L1135">
        <v>-17372</v>
      </c>
      <c r="M1135" s="7">
        <f t="shared" ca="1" si="74"/>
        <v>47.561943874058862</v>
      </c>
      <c r="N1135" s="5" t="str">
        <f ca="1">VLOOKUP(Data!M1135,temp!$B$3:$C$9,2,1)</f>
        <v>40-50</v>
      </c>
      <c r="O1135">
        <v>-978</v>
      </c>
      <c r="P1135" s="8">
        <f t="shared" si="75"/>
        <v>2.6776180698151952</v>
      </c>
      <c r="Q1135" s="5" t="str">
        <f t="shared" si="77"/>
        <v>Employed</v>
      </c>
      <c r="R1135">
        <v>1</v>
      </c>
      <c r="S1135">
        <v>0</v>
      </c>
      <c r="T1135">
        <v>1</v>
      </c>
      <c r="U1135">
        <v>0</v>
      </c>
      <c r="V1135" t="s">
        <v>39</v>
      </c>
      <c r="W1135">
        <v>2</v>
      </c>
    </row>
    <row r="1136" spans="1:23" x14ac:dyDescent="0.2">
      <c r="A1136">
        <v>5041832</v>
      </c>
      <c r="B1136" t="s">
        <v>18</v>
      </c>
      <c r="C1136" t="s">
        <v>20</v>
      </c>
      <c r="D1136" t="s">
        <v>19</v>
      </c>
      <c r="E1136">
        <v>0</v>
      </c>
      <c r="F1136">
        <v>112500</v>
      </c>
      <c r="G1136" t="s">
        <v>31</v>
      </c>
      <c r="H1136" t="s">
        <v>27</v>
      </c>
      <c r="I1136" t="s">
        <v>28</v>
      </c>
      <c r="J1136" t="s">
        <v>45</v>
      </c>
      <c r="K1136" s="6">
        <f t="shared" ca="1" si="76"/>
        <v>28389</v>
      </c>
      <c r="L1136">
        <v>-17372</v>
      </c>
      <c r="M1136" s="7">
        <f t="shared" ca="1" si="74"/>
        <v>47.561943874058862</v>
      </c>
      <c r="N1136" s="5" t="str">
        <f ca="1">VLOOKUP(Data!M1136,temp!$B$3:$C$9,2,1)</f>
        <v>40-50</v>
      </c>
      <c r="O1136">
        <v>-978</v>
      </c>
      <c r="P1136" s="8">
        <f t="shared" si="75"/>
        <v>2.6776180698151952</v>
      </c>
      <c r="Q1136" s="5" t="str">
        <f t="shared" si="77"/>
        <v>Employed</v>
      </c>
      <c r="R1136">
        <v>1</v>
      </c>
      <c r="S1136">
        <v>0</v>
      </c>
      <c r="T1136">
        <v>1</v>
      </c>
      <c r="U1136">
        <v>0</v>
      </c>
      <c r="V1136" t="s">
        <v>39</v>
      </c>
      <c r="W1136">
        <v>2</v>
      </c>
    </row>
    <row r="1137" spans="1:23" x14ac:dyDescent="0.2">
      <c r="A1137">
        <v>5041843</v>
      </c>
      <c r="B1137" t="s">
        <v>18</v>
      </c>
      <c r="C1137" t="s">
        <v>20</v>
      </c>
      <c r="D1137" t="s">
        <v>19</v>
      </c>
      <c r="E1137">
        <v>0</v>
      </c>
      <c r="F1137">
        <v>81000</v>
      </c>
      <c r="G1137" t="s">
        <v>26</v>
      </c>
      <c r="H1137" t="s">
        <v>36</v>
      </c>
      <c r="I1137" t="s">
        <v>28</v>
      </c>
      <c r="J1137" t="s">
        <v>24</v>
      </c>
      <c r="K1137" s="6">
        <f t="shared" ca="1" si="76"/>
        <v>28268</v>
      </c>
      <c r="L1137">
        <v>-17493</v>
      </c>
      <c r="M1137" s="7">
        <f t="shared" ca="1" si="74"/>
        <v>47.893223819301845</v>
      </c>
      <c r="N1137" s="5" t="str">
        <f ca="1">VLOOKUP(Data!M1137,temp!$B$3:$C$9,2,1)</f>
        <v>40-50</v>
      </c>
      <c r="O1137">
        <v>-2347</v>
      </c>
      <c r="P1137" s="8">
        <f t="shared" si="75"/>
        <v>6.4257357973990414</v>
      </c>
      <c r="Q1137" s="5" t="str">
        <f t="shared" si="77"/>
        <v>Employed</v>
      </c>
      <c r="R1137">
        <v>1</v>
      </c>
      <c r="S1137">
        <v>1</v>
      </c>
      <c r="T1137">
        <v>0</v>
      </c>
      <c r="U1137">
        <v>0</v>
      </c>
      <c r="W1137">
        <v>2</v>
      </c>
    </row>
    <row r="1138" spans="1:23" x14ac:dyDescent="0.2">
      <c r="A1138">
        <v>5041847</v>
      </c>
      <c r="B1138" t="s">
        <v>18</v>
      </c>
      <c r="C1138" t="s">
        <v>20</v>
      </c>
      <c r="D1138" t="s">
        <v>19</v>
      </c>
      <c r="E1138">
        <v>0</v>
      </c>
      <c r="F1138">
        <v>81000</v>
      </c>
      <c r="G1138" t="s">
        <v>26</v>
      </c>
      <c r="H1138" t="s">
        <v>36</v>
      </c>
      <c r="I1138" t="s">
        <v>28</v>
      </c>
      <c r="J1138" t="s">
        <v>24</v>
      </c>
      <c r="K1138" s="6">
        <f t="shared" ca="1" si="76"/>
        <v>28268</v>
      </c>
      <c r="L1138">
        <v>-17493</v>
      </c>
      <c r="M1138" s="7">
        <f t="shared" ca="1" si="74"/>
        <v>47.893223819301845</v>
      </c>
      <c r="N1138" s="5" t="str">
        <f ca="1">VLOOKUP(Data!M1138,temp!$B$3:$C$9,2,1)</f>
        <v>40-50</v>
      </c>
      <c r="O1138">
        <v>-2347</v>
      </c>
      <c r="P1138" s="8">
        <f t="shared" si="75"/>
        <v>6.4257357973990414</v>
      </c>
      <c r="Q1138" s="5" t="str">
        <f t="shared" si="77"/>
        <v>Employed</v>
      </c>
      <c r="R1138">
        <v>1</v>
      </c>
      <c r="S1138">
        <v>1</v>
      </c>
      <c r="T1138">
        <v>0</v>
      </c>
      <c r="U1138">
        <v>0</v>
      </c>
      <c r="W1138">
        <v>2</v>
      </c>
    </row>
    <row r="1139" spans="1:23" x14ac:dyDescent="0.2">
      <c r="A1139">
        <v>5041852</v>
      </c>
      <c r="B1139" t="s">
        <v>25</v>
      </c>
      <c r="C1139" t="s">
        <v>20</v>
      </c>
      <c r="D1139" t="s">
        <v>19</v>
      </c>
      <c r="E1139">
        <v>0</v>
      </c>
      <c r="F1139">
        <v>112500</v>
      </c>
      <c r="G1139" t="s">
        <v>21</v>
      </c>
      <c r="H1139" t="s">
        <v>27</v>
      </c>
      <c r="I1139" t="s">
        <v>37</v>
      </c>
      <c r="J1139" t="s">
        <v>24</v>
      </c>
      <c r="K1139" s="6">
        <f t="shared" ca="1" si="76"/>
        <v>23771</v>
      </c>
      <c r="L1139">
        <v>-21990</v>
      </c>
      <c r="M1139" s="7">
        <f t="shared" ca="1" si="74"/>
        <v>60.205338809034906</v>
      </c>
      <c r="N1139" s="5" t="str">
        <f ca="1">VLOOKUP(Data!M1139,temp!$B$3:$C$9,2,1)</f>
        <v>60-70</v>
      </c>
      <c r="O1139">
        <v>365243</v>
      </c>
      <c r="P1139" s="8">
        <f t="shared" si="75"/>
        <v>0</v>
      </c>
      <c r="Q1139" s="5" t="str">
        <f t="shared" si="77"/>
        <v>Unemployed</v>
      </c>
      <c r="R1139">
        <v>1</v>
      </c>
      <c r="S1139">
        <v>0</v>
      </c>
      <c r="T1139">
        <v>1</v>
      </c>
      <c r="U1139">
        <v>0</v>
      </c>
      <c r="W1139">
        <v>2</v>
      </c>
    </row>
    <row r="1140" spans="1:23" x14ac:dyDescent="0.2">
      <c r="A1140">
        <v>5041853</v>
      </c>
      <c r="B1140" t="s">
        <v>25</v>
      </c>
      <c r="C1140" t="s">
        <v>20</v>
      </c>
      <c r="D1140" t="s">
        <v>19</v>
      </c>
      <c r="E1140">
        <v>0</v>
      </c>
      <c r="F1140">
        <v>112500</v>
      </c>
      <c r="G1140" t="s">
        <v>21</v>
      </c>
      <c r="H1140" t="s">
        <v>27</v>
      </c>
      <c r="I1140" t="s">
        <v>37</v>
      </c>
      <c r="J1140" t="s">
        <v>24</v>
      </c>
      <c r="K1140" s="6">
        <f t="shared" ca="1" si="76"/>
        <v>23771</v>
      </c>
      <c r="L1140">
        <v>-21990</v>
      </c>
      <c r="M1140" s="7">
        <f t="shared" ca="1" si="74"/>
        <v>60.205338809034906</v>
      </c>
      <c r="N1140" s="5" t="str">
        <f ca="1">VLOOKUP(Data!M1140,temp!$B$3:$C$9,2,1)</f>
        <v>60-70</v>
      </c>
      <c r="O1140">
        <v>365243</v>
      </c>
      <c r="P1140" s="8">
        <f t="shared" si="75"/>
        <v>0</v>
      </c>
      <c r="Q1140" s="5" t="str">
        <f t="shared" si="77"/>
        <v>Unemployed</v>
      </c>
      <c r="R1140">
        <v>1</v>
      </c>
      <c r="S1140">
        <v>0</v>
      </c>
      <c r="T1140">
        <v>1</v>
      </c>
      <c r="U1140">
        <v>0</v>
      </c>
      <c r="W1140">
        <v>2</v>
      </c>
    </row>
    <row r="1141" spans="1:23" x14ac:dyDescent="0.2">
      <c r="A1141">
        <v>5041901</v>
      </c>
      <c r="B1141" t="s">
        <v>18</v>
      </c>
      <c r="C1141" t="s">
        <v>19</v>
      </c>
      <c r="D1141" t="s">
        <v>19</v>
      </c>
      <c r="E1141">
        <v>0</v>
      </c>
      <c r="F1141">
        <v>135000</v>
      </c>
      <c r="G1141" t="s">
        <v>31</v>
      </c>
      <c r="H1141" t="s">
        <v>27</v>
      </c>
      <c r="I1141" t="s">
        <v>28</v>
      </c>
      <c r="J1141" t="s">
        <v>24</v>
      </c>
      <c r="K1141" s="6">
        <f t="shared" ca="1" si="76"/>
        <v>29922</v>
      </c>
      <c r="L1141">
        <v>-15839</v>
      </c>
      <c r="M1141" s="7">
        <f t="shared" ca="1" si="74"/>
        <v>43.364818617385353</v>
      </c>
      <c r="N1141" s="5" t="str">
        <f ca="1">VLOOKUP(Data!M1141,temp!$B$3:$C$9,2,1)</f>
        <v>40-50</v>
      </c>
      <c r="O1141">
        <v>-1525</v>
      </c>
      <c r="P1141" s="8">
        <f t="shared" si="75"/>
        <v>4.1752224503764541</v>
      </c>
      <c r="Q1141" s="5" t="str">
        <f t="shared" si="77"/>
        <v>Employed</v>
      </c>
      <c r="R1141">
        <v>1</v>
      </c>
      <c r="S1141">
        <v>1</v>
      </c>
      <c r="T1141">
        <v>1</v>
      </c>
      <c r="U1141">
        <v>0</v>
      </c>
      <c r="V1141" t="s">
        <v>39</v>
      </c>
      <c r="W1141">
        <v>2</v>
      </c>
    </row>
    <row r="1142" spans="1:23" x14ac:dyDescent="0.2">
      <c r="A1142">
        <v>5041905</v>
      </c>
      <c r="B1142" t="s">
        <v>18</v>
      </c>
      <c r="C1142" t="s">
        <v>19</v>
      </c>
      <c r="D1142" t="s">
        <v>19</v>
      </c>
      <c r="E1142">
        <v>0</v>
      </c>
      <c r="F1142">
        <v>135000</v>
      </c>
      <c r="G1142" t="s">
        <v>31</v>
      </c>
      <c r="H1142" t="s">
        <v>27</v>
      </c>
      <c r="I1142" t="s">
        <v>28</v>
      </c>
      <c r="J1142" t="s">
        <v>24</v>
      </c>
      <c r="K1142" s="6">
        <f t="shared" ca="1" si="76"/>
        <v>29922</v>
      </c>
      <c r="L1142">
        <v>-15839</v>
      </c>
      <c r="M1142" s="7">
        <f t="shared" ca="1" si="74"/>
        <v>43.364818617385353</v>
      </c>
      <c r="N1142" s="5" t="str">
        <f ca="1">VLOOKUP(Data!M1142,temp!$B$3:$C$9,2,1)</f>
        <v>40-50</v>
      </c>
      <c r="O1142">
        <v>-1525</v>
      </c>
      <c r="P1142" s="8">
        <f t="shared" si="75"/>
        <v>4.1752224503764541</v>
      </c>
      <c r="Q1142" s="5" t="str">
        <f t="shared" si="77"/>
        <v>Employed</v>
      </c>
      <c r="R1142">
        <v>1</v>
      </c>
      <c r="S1142">
        <v>1</v>
      </c>
      <c r="T1142">
        <v>1</v>
      </c>
      <c r="U1142">
        <v>0</v>
      </c>
      <c r="V1142" t="s">
        <v>39</v>
      </c>
      <c r="W1142">
        <v>2</v>
      </c>
    </row>
    <row r="1143" spans="1:23" x14ac:dyDescent="0.2">
      <c r="A1143">
        <v>5041911</v>
      </c>
      <c r="B1143" t="s">
        <v>18</v>
      </c>
      <c r="C1143" t="s">
        <v>19</v>
      </c>
      <c r="D1143" t="s">
        <v>19</v>
      </c>
      <c r="E1143">
        <v>0</v>
      </c>
      <c r="F1143">
        <v>67500</v>
      </c>
      <c r="G1143" t="s">
        <v>31</v>
      </c>
      <c r="H1143" t="s">
        <v>27</v>
      </c>
      <c r="I1143" t="s">
        <v>28</v>
      </c>
      <c r="J1143" t="s">
        <v>24</v>
      </c>
      <c r="K1143" s="6">
        <f t="shared" ca="1" si="76"/>
        <v>27171</v>
      </c>
      <c r="L1143">
        <v>-18590</v>
      </c>
      <c r="M1143" s="7">
        <f t="shared" ca="1" si="74"/>
        <v>50.896646132785762</v>
      </c>
      <c r="N1143" s="5" t="str">
        <f ca="1">VLOOKUP(Data!M1143,temp!$B$3:$C$9,2,1)</f>
        <v>50-60</v>
      </c>
      <c r="O1143">
        <v>-3382</v>
      </c>
      <c r="P1143" s="8">
        <f t="shared" si="75"/>
        <v>9.2594113620807672</v>
      </c>
      <c r="Q1143" s="5" t="str">
        <f t="shared" si="77"/>
        <v>Employed</v>
      </c>
      <c r="R1143">
        <v>1</v>
      </c>
      <c r="S1143">
        <v>0</v>
      </c>
      <c r="T1143">
        <v>1</v>
      </c>
      <c r="U1143">
        <v>0</v>
      </c>
      <c r="V1143" t="s">
        <v>29</v>
      </c>
      <c r="W1143">
        <v>2</v>
      </c>
    </row>
    <row r="1144" spans="1:23" x14ac:dyDescent="0.2">
      <c r="A1144">
        <v>5041922</v>
      </c>
      <c r="B1144" t="s">
        <v>25</v>
      </c>
      <c r="C1144" t="s">
        <v>19</v>
      </c>
      <c r="D1144" t="s">
        <v>19</v>
      </c>
      <c r="E1144">
        <v>0</v>
      </c>
      <c r="F1144">
        <v>135000</v>
      </c>
      <c r="G1144" t="s">
        <v>21</v>
      </c>
      <c r="H1144" t="s">
        <v>27</v>
      </c>
      <c r="I1144" t="s">
        <v>28</v>
      </c>
      <c r="J1144" t="s">
        <v>24</v>
      </c>
      <c r="K1144" s="6">
        <f t="shared" ca="1" si="76"/>
        <v>22996</v>
      </c>
      <c r="L1144">
        <v>-22765</v>
      </c>
      <c r="M1144" s="7">
        <f t="shared" ca="1" si="74"/>
        <v>62.327173169062284</v>
      </c>
      <c r="N1144" s="5" t="str">
        <f ca="1">VLOOKUP(Data!M1144,temp!$B$3:$C$9,2,1)</f>
        <v>60-70</v>
      </c>
      <c r="O1144">
        <v>365243</v>
      </c>
      <c r="P1144" s="8">
        <f t="shared" si="75"/>
        <v>0</v>
      </c>
      <c r="Q1144" s="5" t="str">
        <f t="shared" si="77"/>
        <v>Unemployed</v>
      </c>
      <c r="R1144">
        <v>1</v>
      </c>
      <c r="S1144">
        <v>0</v>
      </c>
      <c r="T1144">
        <v>1</v>
      </c>
      <c r="U1144">
        <v>0</v>
      </c>
      <c r="W1144">
        <v>2</v>
      </c>
    </row>
    <row r="1145" spans="1:23" x14ac:dyDescent="0.2">
      <c r="A1145">
        <v>5041924</v>
      </c>
      <c r="B1145" t="s">
        <v>25</v>
      </c>
      <c r="C1145" t="s">
        <v>19</v>
      </c>
      <c r="D1145" t="s">
        <v>19</v>
      </c>
      <c r="E1145">
        <v>0</v>
      </c>
      <c r="F1145">
        <v>135000</v>
      </c>
      <c r="G1145" t="s">
        <v>21</v>
      </c>
      <c r="H1145" t="s">
        <v>27</v>
      </c>
      <c r="I1145" t="s">
        <v>28</v>
      </c>
      <c r="J1145" t="s">
        <v>24</v>
      </c>
      <c r="K1145" s="6">
        <f t="shared" ca="1" si="76"/>
        <v>22996</v>
      </c>
      <c r="L1145">
        <v>-22765</v>
      </c>
      <c r="M1145" s="7">
        <f t="shared" ca="1" si="74"/>
        <v>62.327173169062284</v>
      </c>
      <c r="N1145" s="5" t="str">
        <f ca="1">VLOOKUP(Data!M1145,temp!$B$3:$C$9,2,1)</f>
        <v>60-70</v>
      </c>
      <c r="O1145">
        <v>365243</v>
      </c>
      <c r="P1145" s="8">
        <f t="shared" si="75"/>
        <v>0</v>
      </c>
      <c r="Q1145" s="5" t="str">
        <f t="shared" si="77"/>
        <v>Unemployed</v>
      </c>
      <c r="R1145">
        <v>1</v>
      </c>
      <c r="S1145">
        <v>0</v>
      </c>
      <c r="T1145">
        <v>1</v>
      </c>
      <c r="U1145">
        <v>0</v>
      </c>
      <c r="W1145">
        <v>2</v>
      </c>
    </row>
    <row r="1146" spans="1:23" x14ac:dyDescent="0.2">
      <c r="A1146">
        <v>5041929</v>
      </c>
      <c r="B1146" t="s">
        <v>25</v>
      </c>
      <c r="C1146" t="s">
        <v>20</v>
      </c>
      <c r="D1146" t="s">
        <v>19</v>
      </c>
      <c r="E1146">
        <v>0</v>
      </c>
      <c r="F1146">
        <v>157500</v>
      </c>
      <c r="G1146" t="s">
        <v>31</v>
      </c>
      <c r="H1146" t="s">
        <v>27</v>
      </c>
      <c r="I1146" t="s">
        <v>28</v>
      </c>
      <c r="J1146" t="s">
        <v>34</v>
      </c>
      <c r="K1146" s="6">
        <f t="shared" ca="1" si="76"/>
        <v>33387</v>
      </c>
      <c r="L1146">
        <v>-12374</v>
      </c>
      <c r="M1146" s="7">
        <f t="shared" ca="1" si="74"/>
        <v>33.878165639972622</v>
      </c>
      <c r="N1146" s="5" t="str">
        <f ca="1">VLOOKUP(Data!M1146,temp!$B$3:$C$9,2,1)</f>
        <v>30-40</v>
      </c>
      <c r="O1146">
        <v>-307</v>
      </c>
      <c r="P1146" s="8">
        <f t="shared" si="75"/>
        <v>0.84052019164955505</v>
      </c>
      <c r="Q1146" s="5" t="str">
        <f t="shared" si="77"/>
        <v>Employed</v>
      </c>
      <c r="R1146">
        <v>1</v>
      </c>
      <c r="S1146">
        <v>1</v>
      </c>
      <c r="T1146">
        <v>1</v>
      </c>
      <c r="U1146">
        <v>0</v>
      </c>
      <c r="V1146" t="s">
        <v>38</v>
      </c>
      <c r="W1146">
        <v>2</v>
      </c>
    </row>
    <row r="1147" spans="1:23" x14ac:dyDescent="0.2">
      <c r="A1147">
        <v>5041940</v>
      </c>
      <c r="B1147" t="s">
        <v>25</v>
      </c>
      <c r="C1147" t="s">
        <v>19</v>
      </c>
      <c r="D1147" t="s">
        <v>19</v>
      </c>
      <c r="E1147">
        <v>0</v>
      </c>
      <c r="F1147">
        <v>121500</v>
      </c>
      <c r="G1147" t="s">
        <v>31</v>
      </c>
      <c r="H1147" t="s">
        <v>27</v>
      </c>
      <c r="I1147" t="s">
        <v>28</v>
      </c>
      <c r="J1147" t="s">
        <v>24</v>
      </c>
      <c r="K1147" s="6">
        <f t="shared" ca="1" si="76"/>
        <v>35449</v>
      </c>
      <c r="L1147">
        <v>-10312</v>
      </c>
      <c r="M1147" s="7">
        <f t="shared" ca="1" si="74"/>
        <v>28.232717316906228</v>
      </c>
      <c r="N1147" s="5" t="str">
        <f ca="1">VLOOKUP(Data!M1147,temp!$B$3:$C$9,2,1)</f>
        <v>20-30</v>
      </c>
      <c r="O1147">
        <v>-703</v>
      </c>
      <c r="P1147" s="8">
        <f t="shared" si="75"/>
        <v>1.9247091033538672</v>
      </c>
      <c r="Q1147" s="5" t="str">
        <f t="shared" si="77"/>
        <v>Employed</v>
      </c>
      <c r="R1147">
        <v>1</v>
      </c>
      <c r="S1147">
        <v>0</v>
      </c>
      <c r="T1147">
        <v>1</v>
      </c>
      <c r="U1147">
        <v>0</v>
      </c>
      <c r="V1147" t="s">
        <v>29</v>
      </c>
      <c r="W1147">
        <v>2</v>
      </c>
    </row>
    <row r="1148" spans="1:23" x14ac:dyDescent="0.2">
      <c r="A1148">
        <v>5041955</v>
      </c>
      <c r="B1148" t="s">
        <v>18</v>
      </c>
      <c r="C1148" t="s">
        <v>19</v>
      </c>
      <c r="D1148" t="s">
        <v>19</v>
      </c>
      <c r="E1148">
        <v>0</v>
      </c>
      <c r="F1148">
        <v>157500</v>
      </c>
      <c r="G1148" t="s">
        <v>21</v>
      </c>
      <c r="H1148" t="s">
        <v>27</v>
      </c>
      <c r="I1148" t="s">
        <v>28</v>
      </c>
      <c r="J1148" t="s">
        <v>24</v>
      </c>
      <c r="K1148" s="6">
        <f t="shared" ca="1" si="76"/>
        <v>25506</v>
      </c>
      <c r="L1148">
        <v>-20255</v>
      </c>
      <c r="M1148" s="7">
        <f t="shared" ca="1" si="74"/>
        <v>55.455167693360714</v>
      </c>
      <c r="N1148" s="5" t="str">
        <f ca="1">VLOOKUP(Data!M1148,temp!$B$3:$C$9,2,1)</f>
        <v>50-60</v>
      </c>
      <c r="O1148">
        <v>365243</v>
      </c>
      <c r="P1148" s="8">
        <f t="shared" si="75"/>
        <v>0</v>
      </c>
      <c r="Q1148" s="5" t="str">
        <f t="shared" si="77"/>
        <v>Unemployed</v>
      </c>
      <c r="R1148">
        <v>1</v>
      </c>
      <c r="S1148">
        <v>0</v>
      </c>
      <c r="T1148">
        <v>0</v>
      </c>
      <c r="U1148">
        <v>0</v>
      </c>
      <c r="W1148">
        <v>2</v>
      </c>
    </row>
    <row r="1149" spans="1:23" x14ac:dyDescent="0.2">
      <c r="A1149">
        <v>5041964</v>
      </c>
      <c r="B1149" t="s">
        <v>18</v>
      </c>
      <c r="C1149" t="s">
        <v>19</v>
      </c>
      <c r="D1149" t="s">
        <v>19</v>
      </c>
      <c r="E1149">
        <v>0</v>
      </c>
      <c r="F1149">
        <v>157500</v>
      </c>
      <c r="G1149" t="s">
        <v>31</v>
      </c>
      <c r="H1149" t="s">
        <v>27</v>
      </c>
      <c r="I1149" t="s">
        <v>37</v>
      </c>
      <c r="J1149" t="s">
        <v>41</v>
      </c>
      <c r="K1149" s="6">
        <f t="shared" ca="1" si="76"/>
        <v>34752</v>
      </c>
      <c r="L1149">
        <v>-11009</v>
      </c>
      <c r="M1149" s="7">
        <f t="shared" ca="1" si="74"/>
        <v>30.140999315537304</v>
      </c>
      <c r="N1149" s="5" t="str">
        <f ca="1">VLOOKUP(Data!M1149,temp!$B$3:$C$9,2,1)</f>
        <v>30-40</v>
      </c>
      <c r="O1149">
        <v>-1434</v>
      </c>
      <c r="P1149" s="8">
        <f t="shared" si="75"/>
        <v>3.9260780287474333</v>
      </c>
      <c r="Q1149" s="5" t="str">
        <f t="shared" si="77"/>
        <v>Employed</v>
      </c>
      <c r="R1149">
        <v>1</v>
      </c>
      <c r="S1149">
        <v>1</v>
      </c>
      <c r="T1149">
        <v>1</v>
      </c>
      <c r="U1149">
        <v>0</v>
      </c>
      <c r="V1149" t="s">
        <v>48</v>
      </c>
      <c r="W1149">
        <v>2</v>
      </c>
    </row>
    <row r="1150" spans="1:23" x14ac:dyDescent="0.2">
      <c r="A1150">
        <v>5041981</v>
      </c>
      <c r="B1150" t="s">
        <v>18</v>
      </c>
      <c r="C1150" t="s">
        <v>19</v>
      </c>
      <c r="D1150" t="s">
        <v>19</v>
      </c>
      <c r="E1150">
        <v>0</v>
      </c>
      <c r="F1150">
        <v>211500</v>
      </c>
      <c r="G1150" t="s">
        <v>26</v>
      </c>
      <c r="H1150" t="s">
        <v>22</v>
      </c>
      <c r="I1150" t="s">
        <v>28</v>
      </c>
      <c r="J1150" t="s">
        <v>41</v>
      </c>
      <c r="K1150" s="6">
        <f t="shared" ca="1" si="76"/>
        <v>31125</v>
      </c>
      <c r="L1150">
        <v>-14636</v>
      </c>
      <c r="M1150" s="7">
        <f t="shared" ca="1" si="74"/>
        <v>40.071184120465432</v>
      </c>
      <c r="N1150" s="5" t="str">
        <f ca="1">VLOOKUP(Data!M1150,temp!$B$3:$C$9,2,1)</f>
        <v>40-50</v>
      </c>
      <c r="O1150">
        <v>-4690</v>
      </c>
      <c r="P1150" s="8">
        <f t="shared" si="75"/>
        <v>12.840520191649555</v>
      </c>
      <c r="Q1150" s="5" t="str">
        <f t="shared" si="77"/>
        <v>Employed</v>
      </c>
      <c r="R1150">
        <v>1</v>
      </c>
      <c r="S1150">
        <v>1</v>
      </c>
      <c r="T1150">
        <v>1</v>
      </c>
      <c r="U1150">
        <v>0</v>
      </c>
      <c r="V1150" t="s">
        <v>29</v>
      </c>
      <c r="W1150">
        <v>2</v>
      </c>
    </row>
    <row r="1151" spans="1:23" x14ac:dyDescent="0.2">
      <c r="A1151">
        <v>5041989</v>
      </c>
      <c r="B1151" t="s">
        <v>18</v>
      </c>
      <c r="C1151" t="s">
        <v>19</v>
      </c>
      <c r="D1151" t="s">
        <v>19</v>
      </c>
      <c r="E1151">
        <v>0</v>
      </c>
      <c r="F1151">
        <v>247500</v>
      </c>
      <c r="G1151" t="s">
        <v>26</v>
      </c>
      <c r="H1151" t="s">
        <v>27</v>
      </c>
      <c r="I1151" t="s">
        <v>37</v>
      </c>
      <c r="J1151" t="s">
        <v>24</v>
      </c>
      <c r="K1151" s="6">
        <f t="shared" ca="1" si="76"/>
        <v>29455</v>
      </c>
      <c r="L1151">
        <v>-16306</v>
      </c>
      <c r="M1151" s="7">
        <f t="shared" ca="1" si="74"/>
        <v>44.643394934976044</v>
      </c>
      <c r="N1151" s="5" t="str">
        <f ca="1">VLOOKUP(Data!M1151,temp!$B$3:$C$9,2,1)</f>
        <v>40-50</v>
      </c>
      <c r="O1151">
        <v>-4904</v>
      </c>
      <c r="P1151" s="8">
        <f t="shared" si="75"/>
        <v>13.426420260095824</v>
      </c>
      <c r="Q1151" s="5" t="str">
        <f t="shared" si="77"/>
        <v>Employed</v>
      </c>
      <c r="R1151">
        <v>1</v>
      </c>
      <c r="S1151">
        <v>1</v>
      </c>
      <c r="T1151">
        <v>1</v>
      </c>
      <c r="U1151">
        <v>0</v>
      </c>
      <c r="V1151" t="s">
        <v>29</v>
      </c>
      <c r="W1151">
        <v>2</v>
      </c>
    </row>
    <row r="1152" spans="1:23" x14ac:dyDescent="0.2">
      <c r="A1152">
        <v>5042017</v>
      </c>
      <c r="B1152" t="s">
        <v>25</v>
      </c>
      <c r="C1152" t="s">
        <v>20</v>
      </c>
      <c r="D1152" t="s">
        <v>19</v>
      </c>
      <c r="E1152">
        <v>0</v>
      </c>
      <c r="F1152">
        <v>180000</v>
      </c>
      <c r="G1152" t="s">
        <v>31</v>
      </c>
      <c r="H1152" t="s">
        <v>27</v>
      </c>
      <c r="I1152" t="s">
        <v>28</v>
      </c>
      <c r="J1152" t="s">
        <v>24</v>
      </c>
      <c r="K1152" s="6">
        <f t="shared" ca="1" si="76"/>
        <v>35385</v>
      </c>
      <c r="L1152">
        <v>-10376</v>
      </c>
      <c r="M1152" s="7">
        <f t="shared" ca="1" si="74"/>
        <v>28.407939767282684</v>
      </c>
      <c r="N1152" s="5" t="str">
        <f ca="1">VLOOKUP(Data!M1152,temp!$B$3:$C$9,2,1)</f>
        <v>20-30</v>
      </c>
      <c r="O1152">
        <v>-126</v>
      </c>
      <c r="P1152" s="8">
        <f t="shared" si="75"/>
        <v>0.34496919917864477</v>
      </c>
      <c r="Q1152" s="5" t="str">
        <f t="shared" si="77"/>
        <v>Employed</v>
      </c>
      <c r="R1152">
        <v>1</v>
      </c>
      <c r="S1152">
        <v>0</v>
      </c>
      <c r="T1152">
        <v>1</v>
      </c>
      <c r="U1152">
        <v>0</v>
      </c>
      <c r="V1152" t="s">
        <v>30</v>
      </c>
      <c r="W1152">
        <v>2</v>
      </c>
    </row>
    <row r="1153" spans="1:23" x14ac:dyDescent="0.2">
      <c r="A1153">
        <v>5042033</v>
      </c>
      <c r="B1153" t="s">
        <v>18</v>
      </c>
      <c r="C1153" t="s">
        <v>19</v>
      </c>
      <c r="D1153" t="s">
        <v>19</v>
      </c>
      <c r="E1153">
        <v>0</v>
      </c>
      <c r="F1153">
        <v>270000</v>
      </c>
      <c r="G1153" t="s">
        <v>31</v>
      </c>
      <c r="H1153" t="s">
        <v>27</v>
      </c>
      <c r="I1153" t="s">
        <v>28</v>
      </c>
      <c r="J1153" t="s">
        <v>24</v>
      </c>
      <c r="K1153" s="6">
        <f t="shared" ca="1" si="76"/>
        <v>31701</v>
      </c>
      <c r="L1153">
        <v>-14060</v>
      </c>
      <c r="M1153" s="7">
        <f t="shared" ca="1" si="74"/>
        <v>38.494182067077347</v>
      </c>
      <c r="N1153" s="5" t="str">
        <f ca="1">VLOOKUP(Data!M1153,temp!$B$3:$C$9,2,1)</f>
        <v>30-40</v>
      </c>
      <c r="O1153">
        <v>-6457</v>
      </c>
      <c r="P1153" s="8">
        <f t="shared" si="75"/>
        <v>17.678302532511978</v>
      </c>
      <c r="Q1153" s="5" t="str">
        <f t="shared" si="77"/>
        <v>Employed</v>
      </c>
      <c r="R1153">
        <v>1</v>
      </c>
      <c r="S1153">
        <v>1</v>
      </c>
      <c r="T1153">
        <v>0</v>
      </c>
      <c r="U1153">
        <v>0</v>
      </c>
      <c r="W1153">
        <v>2</v>
      </c>
    </row>
    <row r="1154" spans="1:23" x14ac:dyDescent="0.2">
      <c r="A1154">
        <v>5042034</v>
      </c>
      <c r="B1154" t="s">
        <v>18</v>
      </c>
      <c r="C1154" t="s">
        <v>19</v>
      </c>
      <c r="D1154" t="s">
        <v>19</v>
      </c>
      <c r="E1154">
        <v>0</v>
      </c>
      <c r="F1154">
        <v>202500</v>
      </c>
      <c r="G1154" t="s">
        <v>26</v>
      </c>
      <c r="H1154" t="s">
        <v>27</v>
      </c>
      <c r="I1154" t="s">
        <v>28</v>
      </c>
      <c r="J1154" t="s">
        <v>24</v>
      </c>
      <c r="K1154" s="6">
        <f t="shared" ca="1" si="76"/>
        <v>32682</v>
      </c>
      <c r="L1154">
        <v>-13079</v>
      </c>
      <c r="M1154" s="7">
        <f t="shared" ca="1" si="74"/>
        <v>35.808350444900753</v>
      </c>
      <c r="N1154" s="5" t="str">
        <f ca="1">VLOOKUP(Data!M1154,temp!$B$3:$C$9,2,1)</f>
        <v>30-40</v>
      </c>
      <c r="O1154">
        <v>-2499</v>
      </c>
      <c r="P1154" s="8">
        <f t="shared" si="75"/>
        <v>6.8418891170431211</v>
      </c>
      <c r="Q1154" s="5" t="str">
        <f t="shared" si="77"/>
        <v>Employed</v>
      </c>
      <c r="R1154">
        <v>1</v>
      </c>
      <c r="S1154">
        <v>1</v>
      </c>
      <c r="T1154">
        <v>0</v>
      </c>
      <c r="U1154">
        <v>0</v>
      </c>
      <c r="V1154" t="s">
        <v>32</v>
      </c>
      <c r="W1154">
        <v>2</v>
      </c>
    </row>
    <row r="1155" spans="1:23" x14ac:dyDescent="0.2">
      <c r="A1155">
        <v>5042036</v>
      </c>
      <c r="B1155" t="s">
        <v>18</v>
      </c>
      <c r="C1155" t="s">
        <v>19</v>
      </c>
      <c r="D1155" t="s">
        <v>19</v>
      </c>
      <c r="E1155">
        <v>0</v>
      </c>
      <c r="F1155">
        <v>202500</v>
      </c>
      <c r="G1155" t="s">
        <v>26</v>
      </c>
      <c r="H1155" t="s">
        <v>27</v>
      </c>
      <c r="I1155" t="s">
        <v>28</v>
      </c>
      <c r="J1155" t="s">
        <v>24</v>
      </c>
      <c r="K1155" s="6">
        <f t="shared" ca="1" si="76"/>
        <v>32682</v>
      </c>
      <c r="L1155">
        <v>-13079</v>
      </c>
      <c r="M1155" s="7">
        <f t="shared" ref="M1155:M1218" ca="1" si="78">(TODAY()-K1155)/365.25</f>
        <v>35.808350444900753</v>
      </c>
      <c r="N1155" s="5" t="str">
        <f ca="1">VLOOKUP(Data!M1155,temp!$B$3:$C$9,2,1)</f>
        <v>30-40</v>
      </c>
      <c r="O1155">
        <v>-2499</v>
      </c>
      <c r="P1155" s="8">
        <f t="shared" ref="P1155:P1218" si="79">IF(O1155&lt;=0,ABS(O1155)/365.25,0)</f>
        <v>6.8418891170431211</v>
      </c>
      <c r="Q1155" s="5" t="str">
        <f t="shared" si="77"/>
        <v>Employed</v>
      </c>
      <c r="R1155">
        <v>1</v>
      </c>
      <c r="S1155">
        <v>1</v>
      </c>
      <c r="T1155">
        <v>0</v>
      </c>
      <c r="U1155">
        <v>0</v>
      </c>
      <c r="V1155" t="s">
        <v>32</v>
      </c>
      <c r="W1155">
        <v>2</v>
      </c>
    </row>
    <row r="1156" spans="1:23" x14ac:dyDescent="0.2">
      <c r="A1156">
        <v>5042037</v>
      </c>
      <c r="B1156" t="s">
        <v>18</v>
      </c>
      <c r="C1156" t="s">
        <v>19</v>
      </c>
      <c r="D1156" t="s">
        <v>19</v>
      </c>
      <c r="E1156">
        <v>0</v>
      </c>
      <c r="F1156">
        <v>202500</v>
      </c>
      <c r="G1156" t="s">
        <v>26</v>
      </c>
      <c r="H1156" t="s">
        <v>27</v>
      </c>
      <c r="I1156" t="s">
        <v>28</v>
      </c>
      <c r="J1156" t="s">
        <v>24</v>
      </c>
      <c r="K1156" s="6">
        <f t="shared" ca="1" si="76"/>
        <v>32682</v>
      </c>
      <c r="L1156">
        <v>-13079</v>
      </c>
      <c r="M1156" s="7">
        <f t="shared" ca="1" si="78"/>
        <v>35.808350444900753</v>
      </c>
      <c r="N1156" s="5" t="str">
        <f ca="1">VLOOKUP(Data!M1156,temp!$B$3:$C$9,2,1)</f>
        <v>30-40</v>
      </c>
      <c r="O1156">
        <v>-2499</v>
      </c>
      <c r="P1156" s="8">
        <f t="shared" si="79"/>
        <v>6.8418891170431211</v>
      </c>
      <c r="Q1156" s="5" t="str">
        <f t="shared" si="77"/>
        <v>Employed</v>
      </c>
      <c r="R1156">
        <v>1</v>
      </c>
      <c r="S1156">
        <v>1</v>
      </c>
      <c r="T1156">
        <v>0</v>
      </c>
      <c r="U1156">
        <v>0</v>
      </c>
      <c r="V1156" t="s">
        <v>32</v>
      </c>
      <c r="W1156">
        <v>2</v>
      </c>
    </row>
    <row r="1157" spans="1:23" x14ac:dyDescent="0.2">
      <c r="A1157">
        <v>5042043</v>
      </c>
      <c r="B1157" t="s">
        <v>18</v>
      </c>
      <c r="C1157" t="s">
        <v>19</v>
      </c>
      <c r="D1157" t="s">
        <v>19</v>
      </c>
      <c r="E1157">
        <v>0</v>
      </c>
      <c r="F1157">
        <v>81000</v>
      </c>
      <c r="G1157" t="s">
        <v>21</v>
      </c>
      <c r="H1157" t="s">
        <v>22</v>
      </c>
      <c r="I1157" t="s">
        <v>33</v>
      </c>
      <c r="J1157" t="s">
        <v>24</v>
      </c>
      <c r="K1157" s="6">
        <f t="shared" ca="1" si="76"/>
        <v>22470</v>
      </c>
      <c r="L1157">
        <v>-23291</v>
      </c>
      <c r="M1157" s="7">
        <f t="shared" ca="1" si="78"/>
        <v>63.767282683093768</v>
      </c>
      <c r="N1157" s="5" t="str">
        <f ca="1">VLOOKUP(Data!M1157,temp!$B$3:$C$9,2,1)</f>
        <v>60-70</v>
      </c>
      <c r="O1157">
        <v>365243</v>
      </c>
      <c r="P1157" s="8">
        <f t="shared" si="79"/>
        <v>0</v>
      </c>
      <c r="Q1157" s="5" t="str">
        <f t="shared" si="77"/>
        <v>Unemployed</v>
      </c>
      <c r="R1157">
        <v>1</v>
      </c>
      <c r="S1157">
        <v>0</v>
      </c>
      <c r="T1157">
        <v>1</v>
      </c>
      <c r="U1157">
        <v>0</v>
      </c>
      <c r="W1157">
        <v>1</v>
      </c>
    </row>
    <row r="1158" spans="1:23" x14ac:dyDescent="0.2">
      <c r="A1158">
        <v>5042048</v>
      </c>
      <c r="B1158" t="s">
        <v>18</v>
      </c>
      <c r="C1158" t="s">
        <v>19</v>
      </c>
      <c r="D1158" t="s">
        <v>19</v>
      </c>
      <c r="E1158">
        <v>0</v>
      </c>
      <c r="F1158">
        <v>157500</v>
      </c>
      <c r="G1158" t="s">
        <v>31</v>
      </c>
      <c r="H1158" t="s">
        <v>27</v>
      </c>
      <c r="I1158" t="s">
        <v>42</v>
      </c>
      <c r="J1158" t="s">
        <v>24</v>
      </c>
      <c r="K1158" s="6">
        <f t="shared" ca="1" si="76"/>
        <v>29252</v>
      </c>
      <c r="L1158">
        <v>-16509</v>
      </c>
      <c r="M1158" s="7">
        <f t="shared" ca="1" si="78"/>
        <v>45.199178644763862</v>
      </c>
      <c r="N1158" s="5" t="str">
        <f ca="1">VLOOKUP(Data!M1158,temp!$B$3:$C$9,2,1)</f>
        <v>40-50</v>
      </c>
      <c r="O1158">
        <v>-2013</v>
      </c>
      <c r="P1158" s="8">
        <f t="shared" si="79"/>
        <v>5.5112936344969201</v>
      </c>
      <c r="Q1158" s="5" t="str">
        <f t="shared" si="77"/>
        <v>Employed</v>
      </c>
      <c r="R1158">
        <v>1</v>
      </c>
      <c r="S1158">
        <v>1</v>
      </c>
      <c r="T1158">
        <v>1</v>
      </c>
      <c r="U1158">
        <v>0</v>
      </c>
      <c r="V1158" t="s">
        <v>39</v>
      </c>
      <c r="W1158">
        <v>1</v>
      </c>
    </row>
    <row r="1159" spans="1:23" x14ac:dyDescent="0.2">
      <c r="A1159">
        <v>5042050</v>
      </c>
      <c r="B1159" t="s">
        <v>18</v>
      </c>
      <c r="C1159" t="s">
        <v>19</v>
      </c>
      <c r="D1159" t="s">
        <v>19</v>
      </c>
      <c r="E1159">
        <v>0</v>
      </c>
      <c r="F1159">
        <v>157500</v>
      </c>
      <c r="G1159" t="s">
        <v>31</v>
      </c>
      <c r="H1159" t="s">
        <v>27</v>
      </c>
      <c r="I1159" t="s">
        <v>42</v>
      </c>
      <c r="J1159" t="s">
        <v>24</v>
      </c>
      <c r="K1159" s="6">
        <f t="shared" ca="1" si="76"/>
        <v>29252</v>
      </c>
      <c r="L1159">
        <v>-16509</v>
      </c>
      <c r="M1159" s="7">
        <f t="shared" ca="1" si="78"/>
        <v>45.199178644763862</v>
      </c>
      <c r="N1159" s="5" t="str">
        <f ca="1">VLOOKUP(Data!M1159,temp!$B$3:$C$9,2,1)</f>
        <v>40-50</v>
      </c>
      <c r="O1159">
        <v>-2013</v>
      </c>
      <c r="P1159" s="8">
        <f t="shared" si="79"/>
        <v>5.5112936344969201</v>
      </c>
      <c r="Q1159" s="5" t="str">
        <f t="shared" si="77"/>
        <v>Employed</v>
      </c>
      <c r="R1159">
        <v>1</v>
      </c>
      <c r="S1159">
        <v>1</v>
      </c>
      <c r="T1159">
        <v>1</v>
      </c>
      <c r="U1159">
        <v>0</v>
      </c>
      <c r="V1159" t="s">
        <v>39</v>
      </c>
      <c r="W1159">
        <v>1</v>
      </c>
    </row>
    <row r="1160" spans="1:23" x14ac:dyDescent="0.2">
      <c r="A1160">
        <v>5042072</v>
      </c>
      <c r="B1160" t="s">
        <v>18</v>
      </c>
      <c r="C1160" t="s">
        <v>20</v>
      </c>
      <c r="D1160" t="s">
        <v>19</v>
      </c>
      <c r="E1160">
        <v>2</v>
      </c>
      <c r="F1160">
        <v>270000</v>
      </c>
      <c r="G1160" t="s">
        <v>35</v>
      </c>
      <c r="H1160" t="s">
        <v>22</v>
      </c>
      <c r="I1160" t="s">
        <v>28</v>
      </c>
      <c r="J1160" t="s">
        <v>24</v>
      </c>
      <c r="K1160" s="6">
        <f t="shared" ref="K1160:K1223" ca="1" si="80">TODAY()+($L1160)</f>
        <v>29708</v>
      </c>
      <c r="L1160">
        <v>-16053</v>
      </c>
      <c r="M1160" s="7">
        <f t="shared" ca="1" si="78"/>
        <v>43.950718685831625</v>
      </c>
      <c r="N1160" s="5" t="str">
        <f ca="1">VLOOKUP(Data!M1160,temp!$B$3:$C$9,2,1)</f>
        <v>40-50</v>
      </c>
      <c r="O1160">
        <v>-7369</v>
      </c>
      <c r="P1160" s="8">
        <f t="shared" si="79"/>
        <v>20.175222450376456</v>
      </c>
      <c r="Q1160" s="5" t="str">
        <f t="shared" ref="Q1160:Q1223" si="81">IF($O1160&gt;0,"Unemployed","Employed")</f>
        <v>Employed</v>
      </c>
      <c r="R1160">
        <v>1</v>
      </c>
      <c r="S1160">
        <v>1</v>
      </c>
      <c r="T1160">
        <v>1</v>
      </c>
      <c r="U1160">
        <v>0</v>
      </c>
      <c r="W1160">
        <v>4</v>
      </c>
    </row>
    <row r="1161" spans="1:23" x14ac:dyDescent="0.2">
      <c r="A1161">
        <v>5042073</v>
      </c>
      <c r="B1161" t="s">
        <v>18</v>
      </c>
      <c r="C1161" t="s">
        <v>20</v>
      </c>
      <c r="D1161" t="s">
        <v>19</v>
      </c>
      <c r="E1161">
        <v>2</v>
      </c>
      <c r="F1161">
        <v>270000</v>
      </c>
      <c r="G1161" t="s">
        <v>35</v>
      </c>
      <c r="H1161" t="s">
        <v>22</v>
      </c>
      <c r="I1161" t="s">
        <v>28</v>
      </c>
      <c r="J1161" t="s">
        <v>24</v>
      </c>
      <c r="K1161" s="6">
        <f t="shared" ca="1" si="80"/>
        <v>29708</v>
      </c>
      <c r="L1161">
        <v>-16053</v>
      </c>
      <c r="M1161" s="7">
        <f t="shared" ca="1" si="78"/>
        <v>43.950718685831625</v>
      </c>
      <c r="N1161" s="5" t="str">
        <f ca="1">VLOOKUP(Data!M1161,temp!$B$3:$C$9,2,1)</f>
        <v>40-50</v>
      </c>
      <c r="O1161">
        <v>-7369</v>
      </c>
      <c r="P1161" s="8">
        <f t="shared" si="79"/>
        <v>20.175222450376456</v>
      </c>
      <c r="Q1161" s="5" t="str">
        <f t="shared" si="81"/>
        <v>Employed</v>
      </c>
      <c r="R1161">
        <v>1</v>
      </c>
      <c r="S1161">
        <v>1</v>
      </c>
      <c r="T1161">
        <v>1</v>
      </c>
      <c r="U1161">
        <v>0</v>
      </c>
      <c r="W1161">
        <v>4</v>
      </c>
    </row>
    <row r="1162" spans="1:23" x14ac:dyDescent="0.2">
      <c r="A1162">
        <v>5042082</v>
      </c>
      <c r="B1162" t="s">
        <v>18</v>
      </c>
      <c r="C1162" t="s">
        <v>20</v>
      </c>
      <c r="D1162" t="s">
        <v>19</v>
      </c>
      <c r="E1162">
        <v>0</v>
      </c>
      <c r="F1162">
        <v>315000</v>
      </c>
      <c r="G1162" t="s">
        <v>26</v>
      </c>
      <c r="H1162" t="s">
        <v>22</v>
      </c>
      <c r="I1162" t="s">
        <v>28</v>
      </c>
      <c r="J1162" t="s">
        <v>24</v>
      </c>
      <c r="K1162" s="6">
        <f t="shared" ca="1" si="80"/>
        <v>26266</v>
      </c>
      <c r="L1162">
        <v>-19495</v>
      </c>
      <c r="M1162" s="7">
        <f t="shared" ca="1" si="78"/>
        <v>53.374401095140314</v>
      </c>
      <c r="N1162" s="5" t="str">
        <f ca="1">VLOOKUP(Data!M1162,temp!$B$3:$C$9,2,1)</f>
        <v>50-60</v>
      </c>
      <c r="O1162">
        <v>-1678</v>
      </c>
      <c r="P1162" s="8">
        <f t="shared" si="79"/>
        <v>4.5941136208076658</v>
      </c>
      <c r="Q1162" s="5" t="str">
        <f t="shared" si="81"/>
        <v>Employed</v>
      </c>
      <c r="R1162">
        <v>1</v>
      </c>
      <c r="S1162">
        <v>0</v>
      </c>
      <c r="T1162">
        <v>1</v>
      </c>
      <c r="U1162">
        <v>0</v>
      </c>
      <c r="V1162" t="s">
        <v>44</v>
      </c>
      <c r="W1162">
        <v>2</v>
      </c>
    </row>
    <row r="1163" spans="1:23" x14ac:dyDescent="0.2">
      <c r="A1163">
        <v>5042087</v>
      </c>
      <c r="B1163" t="s">
        <v>18</v>
      </c>
      <c r="C1163" t="s">
        <v>20</v>
      </c>
      <c r="D1163" t="s">
        <v>19</v>
      </c>
      <c r="E1163">
        <v>0</v>
      </c>
      <c r="F1163">
        <v>315000</v>
      </c>
      <c r="G1163" t="s">
        <v>26</v>
      </c>
      <c r="H1163" t="s">
        <v>22</v>
      </c>
      <c r="I1163" t="s">
        <v>28</v>
      </c>
      <c r="J1163" t="s">
        <v>24</v>
      </c>
      <c r="K1163" s="6">
        <f t="shared" ca="1" si="80"/>
        <v>26266</v>
      </c>
      <c r="L1163">
        <v>-19495</v>
      </c>
      <c r="M1163" s="7">
        <f t="shared" ca="1" si="78"/>
        <v>53.374401095140314</v>
      </c>
      <c r="N1163" s="5" t="str">
        <f ca="1">VLOOKUP(Data!M1163,temp!$B$3:$C$9,2,1)</f>
        <v>50-60</v>
      </c>
      <c r="O1163">
        <v>-1678</v>
      </c>
      <c r="P1163" s="8">
        <f t="shared" si="79"/>
        <v>4.5941136208076658</v>
      </c>
      <c r="Q1163" s="5" t="str">
        <f t="shared" si="81"/>
        <v>Employed</v>
      </c>
      <c r="R1163">
        <v>1</v>
      </c>
      <c r="S1163">
        <v>0</v>
      </c>
      <c r="T1163">
        <v>1</v>
      </c>
      <c r="U1163">
        <v>0</v>
      </c>
      <c r="V1163" t="s">
        <v>44</v>
      </c>
      <c r="W1163">
        <v>2</v>
      </c>
    </row>
    <row r="1164" spans="1:23" x14ac:dyDescent="0.2">
      <c r="A1164">
        <v>5042139</v>
      </c>
      <c r="B1164" t="s">
        <v>18</v>
      </c>
      <c r="C1164" t="s">
        <v>19</v>
      </c>
      <c r="D1164" t="s">
        <v>19</v>
      </c>
      <c r="E1164">
        <v>0</v>
      </c>
      <c r="F1164">
        <v>247500</v>
      </c>
      <c r="G1164" t="s">
        <v>31</v>
      </c>
      <c r="H1164" t="s">
        <v>22</v>
      </c>
      <c r="I1164" t="s">
        <v>28</v>
      </c>
      <c r="J1164" t="s">
        <v>24</v>
      </c>
      <c r="K1164" s="6">
        <f t="shared" ca="1" si="80"/>
        <v>31625</v>
      </c>
      <c r="L1164">
        <v>-14136</v>
      </c>
      <c r="M1164" s="7">
        <f t="shared" ca="1" si="78"/>
        <v>38.702258726899387</v>
      </c>
      <c r="N1164" s="5" t="str">
        <f ca="1">VLOOKUP(Data!M1164,temp!$B$3:$C$9,2,1)</f>
        <v>30-40</v>
      </c>
      <c r="O1164">
        <v>-7400</v>
      </c>
      <c r="P1164" s="8">
        <f t="shared" si="79"/>
        <v>20.260095824777551</v>
      </c>
      <c r="Q1164" s="5" t="str">
        <f t="shared" si="81"/>
        <v>Employed</v>
      </c>
      <c r="R1164">
        <v>1</v>
      </c>
      <c r="S1164">
        <v>1</v>
      </c>
      <c r="T1164">
        <v>1</v>
      </c>
      <c r="U1164">
        <v>0</v>
      </c>
      <c r="V1164" t="s">
        <v>32</v>
      </c>
      <c r="W1164">
        <v>2</v>
      </c>
    </row>
    <row r="1165" spans="1:23" x14ac:dyDescent="0.2">
      <c r="A1165">
        <v>5042140</v>
      </c>
      <c r="B1165" t="s">
        <v>18</v>
      </c>
      <c r="C1165" t="s">
        <v>19</v>
      </c>
      <c r="D1165" t="s">
        <v>19</v>
      </c>
      <c r="E1165">
        <v>0</v>
      </c>
      <c r="F1165">
        <v>247500</v>
      </c>
      <c r="G1165" t="s">
        <v>31</v>
      </c>
      <c r="H1165" t="s">
        <v>22</v>
      </c>
      <c r="I1165" t="s">
        <v>28</v>
      </c>
      <c r="J1165" t="s">
        <v>24</v>
      </c>
      <c r="K1165" s="6">
        <f t="shared" ca="1" si="80"/>
        <v>31625</v>
      </c>
      <c r="L1165">
        <v>-14136</v>
      </c>
      <c r="M1165" s="7">
        <f t="shared" ca="1" si="78"/>
        <v>38.702258726899387</v>
      </c>
      <c r="N1165" s="5" t="str">
        <f ca="1">VLOOKUP(Data!M1165,temp!$B$3:$C$9,2,1)</f>
        <v>30-40</v>
      </c>
      <c r="O1165">
        <v>-7400</v>
      </c>
      <c r="P1165" s="8">
        <f t="shared" si="79"/>
        <v>20.260095824777551</v>
      </c>
      <c r="Q1165" s="5" t="str">
        <f t="shared" si="81"/>
        <v>Employed</v>
      </c>
      <c r="R1165">
        <v>1</v>
      </c>
      <c r="S1165">
        <v>1</v>
      </c>
      <c r="T1165">
        <v>1</v>
      </c>
      <c r="U1165">
        <v>0</v>
      </c>
      <c r="V1165" t="s">
        <v>32</v>
      </c>
      <c r="W1165">
        <v>2</v>
      </c>
    </row>
    <row r="1166" spans="1:23" x14ac:dyDescent="0.2">
      <c r="A1166">
        <v>5042146</v>
      </c>
      <c r="B1166" t="s">
        <v>18</v>
      </c>
      <c r="C1166" t="s">
        <v>20</v>
      </c>
      <c r="D1166" t="s">
        <v>19</v>
      </c>
      <c r="E1166">
        <v>2</v>
      </c>
      <c r="F1166">
        <v>90000</v>
      </c>
      <c r="G1166" t="s">
        <v>35</v>
      </c>
      <c r="H1166" t="s">
        <v>22</v>
      </c>
      <c r="I1166" t="s">
        <v>28</v>
      </c>
      <c r="J1166" t="s">
        <v>24</v>
      </c>
      <c r="K1166" s="6">
        <f t="shared" ca="1" si="80"/>
        <v>35368</v>
      </c>
      <c r="L1166">
        <v>-10393</v>
      </c>
      <c r="M1166" s="7">
        <f t="shared" ca="1" si="78"/>
        <v>28.454483230663929</v>
      </c>
      <c r="N1166" s="5" t="str">
        <f ca="1">VLOOKUP(Data!M1166,temp!$B$3:$C$9,2,1)</f>
        <v>20-30</v>
      </c>
      <c r="O1166">
        <v>-2255</v>
      </c>
      <c r="P1166" s="8">
        <f t="shared" si="79"/>
        <v>6.1738535249828885</v>
      </c>
      <c r="Q1166" s="5" t="str">
        <f t="shared" si="81"/>
        <v>Employed</v>
      </c>
      <c r="R1166">
        <v>1</v>
      </c>
      <c r="S1166">
        <v>1</v>
      </c>
      <c r="T1166">
        <v>0</v>
      </c>
      <c r="U1166">
        <v>0</v>
      </c>
      <c r="V1166" t="s">
        <v>38</v>
      </c>
      <c r="W1166">
        <v>4</v>
      </c>
    </row>
    <row r="1167" spans="1:23" x14ac:dyDescent="0.2">
      <c r="A1167">
        <v>5042147</v>
      </c>
      <c r="B1167" t="s">
        <v>18</v>
      </c>
      <c r="C1167" t="s">
        <v>20</v>
      </c>
      <c r="D1167" t="s">
        <v>19</v>
      </c>
      <c r="E1167">
        <v>2</v>
      </c>
      <c r="F1167">
        <v>90000</v>
      </c>
      <c r="G1167" t="s">
        <v>35</v>
      </c>
      <c r="H1167" t="s">
        <v>22</v>
      </c>
      <c r="I1167" t="s">
        <v>28</v>
      </c>
      <c r="J1167" t="s">
        <v>24</v>
      </c>
      <c r="K1167" s="6">
        <f t="shared" ca="1" si="80"/>
        <v>35368</v>
      </c>
      <c r="L1167">
        <v>-10393</v>
      </c>
      <c r="M1167" s="7">
        <f t="shared" ca="1" si="78"/>
        <v>28.454483230663929</v>
      </c>
      <c r="N1167" s="5" t="str">
        <f ca="1">VLOOKUP(Data!M1167,temp!$B$3:$C$9,2,1)</f>
        <v>20-30</v>
      </c>
      <c r="O1167">
        <v>-2255</v>
      </c>
      <c r="P1167" s="8">
        <f t="shared" si="79"/>
        <v>6.1738535249828885</v>
      </c>
      <c r="Q1167" s="5" t="str">
        <f t="shared" si="81"/>
        <v>Employed</v>
      </c>
      <c r="R1167">
        <v>1</v>
      </c>
      <c r="S1167">
        <v>1</v>
      </c>
      <c r="T1167">
        <v>0</v>
      </c>
      <c r="U1167">
        <v>0</v>
      </c>
      <c r="V1167" t="s">
        <v>38</v>
      </c>
      <c r="W1167">
        <v>4</v>
      </c>
    </row>
    <row r="1168" spans="1:23" x14ac:dyDescent="0.2">
      <c r="A1168">
        <v>5042154</v>
      </c>
      <c r="B1168" t="s">
        <v>25</v>
      </c>
      <c r="C1168" t="s">
        <v>19</v>
      </c>
      <c r="D1168" t="s">
        <v>19</v>
      </c>
      <c r="E1168">
        <v>0</v>
      </c>
      <c r="F1168">
        <v>180000</v>
      </c>
      <c r="G1168" t="s">
        <v>31</v>
      </c>
      <c r="H1168" t="s">
        <v>27</v>
      </c>
      <c r="I1168" t="s">
        <v>28</v>
      </c>
      <c r="J1168" t="s">
        <v>24</v>
      </c>
      <c r="K1168" s="6">
        <f t="shared" ca="1" si="80"/>
        <v>26143</v>
      </c>
      <c r="L1168">
        <v>-19618</v>
      </c>
      <c r="M1168" s="7">
        <f t="shared" ca="1" si="78"/>
        <v>53.711156741957566</v>
      </c>
      <c r="N1168" s="5" t="str">
        <f ca="1">VLOOKUP(Data!M1168,temp!$B$3:$C$9,2,1)</f>
        <v>50-60</v>
      </c>
      <c r="O1168">
        <v>-1617</v>
      </c>
      <c r="P1168" s="8">
        <f t="shared" si="79"/>
        <v>4.4271047227926079</v>
      </c>
      <c r="Q1168" s="5" t="str">
        <f t="shared" si="81"/>
        <v>Employed</v>
      </c>
      <c r="R1168">
        <v>1</v>
      </c>
      <c r="S1168">
        <v>1</v>
      </c>
      <c r="T1168">
        <v>1</v>
      </c>
      <c r="U1168">
        <v>0</v>
      </c>
      <c r="V1168" t="s">
        <v>29</v>
      </c>
      <c r="W1168">
        <v>2</v>
      </c>
    </row>
    <row r="1169" spans="1:23" x14ac:dyDescent="0.2">
      <c r="A1169">
        <v>5042186</v>
      </c>
      <c r="B1169" t="s">
        <v>18</v>
      </c>
      <c r="C1169" t="s">
        <v>19</v>
      </c>
      <c r="D1169" t="s">
        <v>19</v>
      </c>
      <c r="E1169">
        <v>0</v>
      </c>
      <c r="F1169">
        <v>135000</v>
      </c>
      <c r="G1169" t="s">
        <v>35</v>
      </c>
      <c r="H1169" t="s">
        <v>22</v>
      </c>
      <c r="I1169" t="s">
        <v>28</v>
      </c>
      <c r="J1169" t="s">
        <v>24</v>
      </c>
      <c r="K1169" s="6">
        <f t="shared" ca="1" si="80"/>
        <v>33271</v>
      </c>
      <c r="L1169">
        <v>-12490</v>
      </c>
      <c r="M1169" s="7">
        <f t="shared" ca="1" si="78"/>
        <v>34.195756331279945</v>
      </c>
      <c r="N1169" s="5" t="str">
        <f ca="1">VLOOKUP(Data!M1169,temp!$B$3:$C$9,2,1)</f>
        <v>30-40</v>
      </c>
      <c r="O1169">
        <v>-1191</v>
      </c>
      <c r="P1169" s="8">
        <f t="shared" si="79"/>
        <v>3.2607802874743328</v>
      </c>
      <c r="Q1169" s="5" t="str">
        <f t="shared" si="81"/>
        <v>Employed</v>
      </c>
      <c r="R1169">
        <v>1</v>
      </c>
      <c r="S1169">
        <v>1</v>
      </c>
      <c r="T1169">
        <v>1</v>
      </c>
      <c r="U1169">
        <v>0</v>
      </c>
      <c r="V1169" t="s">
        <v>38</v>
      </c>
      <c r="W1169">
        <v>2</v>
      </c>
    </row>
    <row r="1170" spans="1:23" x14ac:dyDescent="0.2">
      <c r="A1170">
        <v>5042191</v>
      </c>
      <c r="B1170" t="s">
        <v>18</v>
      </c>
      <c r="C1170" t="s">
        <v>19</v>
      </c>
      <c r="D1170" t="s">
        <v>19</v>
      </c>
      <c r="E1170">
        <v>0</v>
      </c>
      <c r="F1170">
        <v>67500</v>
      </c>
      <c r="G1170" t="s">
        <v>31</v>
      </c>
      <c r="H1170" t="s">
        <v>27</v>
      </c>
      <c r="I1170" t="s">
        <v>28</v>
      </c>
      <c r="J1170" t="s">
        <v>24</v>
      </c>
      <c r="K1170" s="6">
        <f t="shared" ca="1" si="80"/>
        <v>26393</v>
      </c>
      <c r="L1170">
        <v>-19368</v>
      </c>
      <c r="M1170" s="7">
        <f t="shared" ca="1" si="78"/>
        <v>53.026694045174537</v>
      </c>
      <c r="N1170" s="5" t="str">
        <f ca="1">VLOOKUP(Data!M1170,temp!$B$3:$C$9,2,1)</f>
        <v>50-60</v>
      </c>
      <c r="O1170">
        <v>-1252</v>
      </c>
      <c r="P1170" s="8">
        <f t="shared" si="79"/>
        <v>3.4277891854893907</v>
      </c>
      <c r="Q1170" s="5" t="str">
        <f t="shared" si="81"/>
        <v>Employed</v>
      </c>
      <c r="R1170">
        <v>1</v>
      </c>
      <c r="S1170">
        <v>1</v>
      </c>
      <c r="T1170">
        <v>0</v>
      </c>
      <c r="U1170">
        <v>0</v>
      </c>
      <c r="W1170">
        <v>2</v>
      </c>
    </row>
    <row r="1171" spans="1:23" x14ac:dyDescent="0.2">
      <c r="A1171">
        <v>5042212</v>
      </c>
      <c r="B1171" t="s">
        <v>18</v>
      </c>
      <c r="C1171" t="s">
        <v>19</v>
      </c>
      <c r="D1171" t="s">
        <v>19</v>
      </c>
      <c r="E1171">
        <v>0</v>
      </c>
      <c r="F1171">
        <v>225000</v>
      </c>
      <c r="G1171" t="s">
        <v>26</v>
      </c>
      <c r="H1171" t="s">
        <v>22</v>
      </c>
      <c r="I1171" t="s">
        <v>28</v>
      </c>
      <c r="J1171" t="s">
        <v>24</v>
      </c>
      <c r="K1171" s="6">
        <f t="shared" ca="1" si="80"/>
        <v>35202</v>
      </c>
      <c r="L1171">
        <v>-10559</v>
      </c>
      <c r="M1171" s="7">
        <f t="shared" ca="1" si="78"/>
        <v>28.908966461327857</v>
      </c>
      <c r="N1171" s="5" t="str">
        <f ca="1">VLOOKUP(Data!M1171,temp!$B$3:$C$9,2,1)</f>
        <v>20-30</v>
      </c>
      <c r="O1171">
        <v>-429</v>
      </c>
      <c r="P1171" s="8">
        <f t="shared" si="79"/>
        <v>1.1745379876796715</v>
      </c>
      <c r="Q1171" s="5" t="str">
        <f t="shared" si="81"/>
        <v>Employed</v>
      </c>
      <c r="R1171">
        <v>1</v>
      </c>
      <c r="S1171">
        <v>1</v>
      </c>
      <c r="T1171">
        <v>1</v>
      </c>
      <c r="U1171">
        <v>0</v>
      </c>
      <c r="V1171" t="s">
        <v>30</v>
      </c>
      <c r="W1171">
        <v>2</v>
      </c>
    </row>
    <row r="1172" spans="1:23" x14ac:dyDescent="0.2">
      <c r="A1172">
        <v>5042220</v>
      </c>
      <c r="B1172" t="s">
        <v>25</v>
      </c>
      <c r="C1172" t="s">
        <v>20</v>
      </c>
      <c r="D1172" t="s">
        <v>19</v>
      </c>
      <c r="E1172">
        <v>0</v>
      </c>
      <c r="F1172">
        <v>315000</v>
      </c>
      <c r="G1172" t="s">
        <v>26</v>
      </c>
      <c r="H1172" t="s">
        <v>27</v>
      </c>
      <c r="I1172" t="s">
        <v>33</v>
      </c>
      <c r="J1172" t="s">
        <v>41</v>
      </c>
      <c r="K1172" s="6">
        <f t="shared" ca="1" si="80"/>
        <v>34047</v>
      </c>
      <c r="L1172">
        <v>-11714</v>
      </c>
      <c r="M1172" s="7">
        <f t="shared" ca="1" si="78"/>
        <v>32.071184120465432</v>
      </c>
      <c r="N1172" s="5" t="str">
        <f ca="1">VLOOKUP(Data!M1172,temp!$B$3:$C$9,2,1)</f>
        <v>30-40</v>
      </c>
      <c r="O1172">
        <v>-1434</v>
      </c>
      <c r="P1172" s="8">
        <f t="shared" si="79"/>
        <v>3.9260780287474333</v>
      </c>
      <c r="Q1172" s="5" t="str">
        <f t="shared" si="81"/>
        <v>Employed</v>
      </c>
      <c r="R1172">
        <v>1</v>
      </c>
      <c r="S1172">
        <v>0</v>
      </c>
      <c r="T1172">
        <v>0</v>
      </c>
      <c r="U1172">
        <v>0</v>
      </c>
      <c r="V1172" t="s">
        <v>39</v>
      </c>
      <c r="W1172">
        <v>1</v>
      </c>
    </row>
    <row r="1173" spans="1:23" x14ac:dyDescent="0.2">
      <c r="A1173">
        <v>5042233</v>
      </c>
      <c r="B1173" t="s">
        <v>18</v>
      </c>
      <c r="C1173" t="s">
        <v>19</v>
      </c>
      <c r="D1173" t="s">
        <v>20</v>
      </c>
      <c r="E1173">
        <v>0</v>
      </c>
      <c r="F1173">
        <v>112500</v>
      </c>
      <c r="G1173" t="s">
        <v>26</v>
      </c>
      <c r="H1173" t="s">
        <v>27</v>
      </c>
      <c r="I1173" t="s">
        <v>33</v>
      </c>
      <c r="J1173" t="s">
        <v>24</v>
      </c>
      <c r="K1173" s="6">
        <f t="shared" ca="1" si="80"/>
        <v>32912</v>
      </c>
      <c r="L1173">
        <v>-12849</v>
      </c>
      <c r="M1173" s="7">
        <f t="shared" ca="1" si="78"/>
        <v>35.178644763860369</v>
      </c>
      <c r="N1173" s="5" t="str">
        <f ca="1">VLOOKUP(Data!M1173,temp!$B$3:$C$9,2,1)</f>
        <v>30-40</v>
      </c>
      <c r="O1173">
        <v>-6273</v>
      </c>
      <c r="P1173" s="8">
        <f t="shared" si="79"/>
        <v>17.17453798767967</v>
      </c>
      <c r="Q1173" s="5" t="str">
        <f t="shared" si="81"/>
        <v>Employed</v>
      </c>
      <c r="R1173">
        <v>1</v>
      </c>
      <c r="S1173">
        <v>1</v>
      </c>
      <c r="T1173">
        <v>0</v>
      </c>
      <c r="U1173">
        <v>0</v>
      </c>
      <c r="V1173" t="s">
        <v>39</v>
      </c>
      <c r="W1173">
        <v>1</v>
      </c>
    </row>
    <row r="1174" spans="1:23" x14ac:dyDescent="0.2">
      <c r="A1174">
        <v>5042234</v>
      </c>
      <c r="B1174" t="s">
        <v>18</v>
      </c>
      <c r="C1174" t="s">
        <v>19</v>
      </c>
      <c r="D1174" t="s">
        <v>20</v>
      </c>
      <c r="E1174">
        <v>0</v>
      </c>
      <c r="F1174">
        <v>112500</v>
      </c>
      <c r="G1174" t="s">
        <v>26</v>
      </c>
      <c r="H1174" t="s">
        <v>27</v>
      </c>
      <c r="I1174" t="s">
        <v>33</v>
      </c>
      <c r="J1174" t="s">
        <v>24</v>
      </c>
      <c r="K1174" s="6">
        <f t="shared" ca="1" si="80"/>
        <v>32912</v>
      </c>
      <c r="L1174">
        <v>-12849</v>
      </c>
      <c r="M1174" s="7">
        <f t="shared" ca="1" si="78"/>
        <v>35.178644763860369</v>
      </c>
      <c r="N1174" s="5" t="str">
        <f ca="1">VLOOKUP(Data!M1174,temp!$B$3:$C$9,2,1)</f>
        <v>30-40</v>
      </c>
      <c r="O1174">
        <v>-6273</v>
      </c>
      <c r="P1174" s="8">
        <f t="shared" si="79"/>
        <v>17.17453798767967</v>
      </c>
      <c r="Q1174" s="5" t="str">
        <f t="shared" si="81"/>
        <v>Employed</v>
      </c>
      <c r="R1174">
        <v>1</v>
      </c>
      <c r="S1174">
        <v>1</v>
      </c>
      <c r="T1174">
        <v>0</v>
      </c>
      <c r="U1174">
        <v>0</v>
      </c>
      <c r="V1174" t="s">
        <v>39</v>
      </c>
      <c r="W1174">
        <v>1</v>
      </c>
    </row>
    <row r="1175" spans="1:23" x14ac:dyDescent="0.2">
      <c r="A1175">
        <v>5042254</v>
      </c>
      <c r="B1175" t="s">
        <v>18</v>
      </c>
      <c r="C1175" t="s">
        <v>19</v>
      </c>
      <c r="D1175" t="s">
        <v>20</v>
      </c>
      <c r="E1175">
        <v>0</v>
      </c>
      <c r="F1175">
        <v>270000</v>
      </c>
      <c r="G1175" t="s">
        <v>26</v>
      </c>
      <c r="H1175" t="s">
        <v>27</v>
      </c>
      <c r="I1175" t="s">
        <v>37</v>
      </c>
      <c r="J1175" t="s">
        <v>24</v>
      </c>
      <c r="K1175" s="6">
        <f t="shared" ca="1" si="80"/>
        <v>29628</v>
      </c>
      <c r="L1175">
        <v>-16133</v>
      </c>
      <c r="M1175" s="7">
        <f t="shared" ca="1" si="78"/>
        <v>44.16974674880219</v>
      </c>
      <c r="N1175" s="5" t="str">
        <f ca="1">VLOOKUP(Data!M1175,temp!$B$3:$C$9,2,1)</f>
        <v>40-50</v>
      </c>
      <c r="O1175">
        <v>-582</v>
      </c>
      <c r="P1175" s="8">
        <f t="shared" si="79"/>
        <v>1.593429158110883</v>
      </c>
      <c r="Q1175" s="5" t="str">
        <f t="shared" si="81"/>
        <v>Employed</v>
      </c>
      <c r="R1175">
        <v>1</v>
      </c>
      <c r="S1175">
        <v>0</v>
      </c>
      <c r="T1175">
        <v>0</v>
      </c>
      <c r="U1175">
        <v>0</v>
      </c>
      <c r="V1175" t="s">
        <v>39</v>
      </c>
      <c r="W1175">
        <v>2</v>
      </c>
    </row>
    <row r="1176" spans="1:23" x14ac:dyDescent="0.2">
      <c r="A1176">
        <v>5042262</v>
      </c>
      <c r="B1176" t="s">
        <v>25</v>
      </c>
      <c r="C1176" t="s">
        <v>20</v>
      </c>
      <c r="D1176" t="s">
        <v>20</v>
      </c>
      <c r="E1176">
        <v>1</v>
      </c>
      <c r="F1176">
        <v>360000</v>
      </c>
      <c r="G1176" t="s">
        <v>26</v>
      </c>
      <c r="H1176" t="s">
        <v>27</v>
      </c>
      <c r="I1176" t="s">
        <v>28</v>
      </c>
      <c r="J1176" t="s">
        <v>24</v>
      </c>
      <c r="K1176" s="6">
        <f t="shared" ca="1" si="80"/>
        <v>28614</v>
      </c>
      <c r="L1176">
        <v>-17147</v>
      </c>
      <c r="M1176" s="7">
        <f t="shared" ca="1" si="78"/>
        <v>46.945927446954144</v>
      </c>
      <c r="N1176" s="5" t="str">
        <f ca="1">VLOOKUP(Data!M1176,temp!$B$3:$C$9,2,1)</f>
        <v>40-50</v>
      </c>
      <c r="O1176">
        <v>-1982</v>
      </c>
      <c r="P1176" s="8">
        <f t="shared" si="79"/>
        <v>5.4264202600958251</v>
      </c>
      <c r="Q1176" s="5" t="str">
        <f t="shared" si="81"/>
        <v>Employed</v>
      </c>
      <c r="R1176">
        <v>1</v>
      </c>
      <c r="S1176">
        <v>0</v>
      </c>
      <c r="T1176">
        <v>0</v>
      </c>
      <c r="U1176">
        <v>0</v>
      </c>
      <c r="V1176" t="s">
        <v>39</v>
      </c>
      <c r="W1176">
        <v>3</v>
      </c>
    </row>
    <row r="1177" spans="1:23" x14ac:dyDescent="0.2">
      <c r="A1177">
        <v>5042272</v>
      </c>
      <c r="B1177" t="s">
        <v>18</v>
      </c>
      <c r="C1177" t="s">
        <v>19</v>
      </c>
      <c r="D1177" t="s">
        <v>20</v>
      </c>
      <c r="E1177">
        <v>0</v>
      </c>
      <c r="F1177">
        <v>157500</v>
      </c>
      <c r="G1177" t="s">
        <v>21</v>
      </c>
      <c r="H1177" t="s">
        <v>27</v>
      </c>
      <c r="I1177" t="s">
        <v>28</v>
      </c>
      <c r="J1177" t="s">
        <v>24</v>
      </c>
      <c r="K1177" s="6">
        <f t="shared" ca="1" si="80"/>
        <v>21714</v>
      </c>
      <c r="L1177">
        <v>-24047</v>
      </c>
      <c r="M1177" s="7">
        <f t="shared" ca="1" si="78"/>
        <v>65.837097878165636</v>
      </c>
      <c r="N1177" s="5" t="str">
        <f ca="1">VLOOKUP(Data!M1177,temp!$B$3:$C$9,2,1)</f>
        <v>60-70</v>
      </c>
      <c r="O1177">
        <v>365243</v>
      </c>
      <c r="P1177" s="8">
        <f t="shared" si="79"/>
        <v>0</v>
      </c>
      <c r="Q1177" s="5" t="str">
        <f t="shared" si="81"/>
        <v>Unemployed</v>
      </c>
      <c r="R1177">
        <v>1</v>
      </c>
      <c r="S1177">
        <v>0</v>
      </c>
      <c r="T1177">
        <v>0</v>
      </c>
      <c r="U1177">
        <v>0</v>
      </c>
      <c r="W1177">
        <v>2</v>
      </c>
    </row>
    <row r="1178" spans="1:23" x14ac:dyDescent="0.2">
      <c r="A1178">
        <v>5042277</v>
      </c>
      <c r="B1178" t="s">
        <v>18</v>
      </c>
      <c r="C1178" t="s">
        <v>19</v>
      </c>
      <c r="D1178" t="s">
        <v>19</v>
      </c>
      <c r="E1178">
        <v>1</v>
      </c>
      <c r="F1178">
        <v>90000</v>
      </c>
      <c r="G1178" t="s">
        <v>31</v>
      </c>
      <c r="H1178" t="s">
        <v>27</v>
      </c>
      <c r="I1178" t="s">
        <v>37</v>
      </c>
      <c r="J1178" t="s">
        <v>24</v>
      </c>
      <c r="K1178" s="6">
        <f t="shared" ca="1" si="80"/>
        <v>34131</v>
      </c>
      <c r="L1178">
        <v>-11630</v>
      </c>
      <c r="M1178" s="7">
        <f t="shared" ca="1" si="78"/>
        <v>31.841204654346338</v>
      </c>
      <c r="N1178" s="5" t="str">
        <f ca="1">VLOOKUP(Data!M1178,temp!$B$3:$C$9,2,1)</f>
        <v>30-40</v>
      </c>
      <c r="O1178">
        <v>-1890</v>
      </c>
      <c r="P1178" s="8">
        <f t="shared" si="79"/>
        <v>5.1745379876796713</v>
      </c>
      <c r="Q1178" s="5" t="str">
        <f t="shared" si="81"/>
        <v>Employed</v>
      </c>
      <c r="R1178">
        <v>1</v>
      </c>
      <c r="S1178">
        <v>0</v>
      </c>
      <c r="T1178">
        <v>0</v>
      </c>
      <c r="U1178">
        <v>0</v>
      </c>
      <c r="V1178" t="s">
        <v>39</v>
      </c>
      <c r="W1178">
        <v>3</v>
      </c>
    </row>
    <row r="1179" spans="1:23" x14ac:dyDescent="0.2">
      <c r="A1179">
        <v>5042289</v>
      </c>
      <c r="B1179" t="s">
        <v>18</v>
      </c>
      <c r="C1179" t="s">
        <v>19</v>
      </c>
      <c r="D1179" t="s">
        <v>20</v>
      </c>
      <c r="E1179">
        <v>0</v>
      </c>
      <c r="F1179">
        <v>157500</v>
      </c>
      <c r="G1179" t="s">
        <v>31</v>
      </c>
      <c r="H1179" t="s">
        <v>27</v>
      </c>
      <c r="I1179" t="s">
        <v>33</v>
      </c>
      <c r="J1179" t="s">
        <v>24</v>
      </c>
      <c r="K1179" s="6">
        <f t="shared" ca="1" si="80"/>
        <v>34952</v>
      </c>
      <c r="L1179">
        <v>-10809</v>
      </c>
      <c r="M1179" s="7">
        <f t="shared" ca="1" si="78"/>
        <v>29.593429158110883</v>
      </c>
      <c r="N1179" s="5" t="str">
        <f ca="1">VLOOKUP(Data!M1179,temp!$B$3:$C$9,2,1)</f>
        <v>20-30</v>
      </c>
      <c r="O1179">
        <v>-1222</v>
      </c>
      <c r="P1179" s="8">
        <f t="shared" si="79"/>
        <v>3.3456536618754278</v>
      </c>
      <c r="Q1179" s="5" t="str">
        <f t="shared" si="81"/>
        <v>Employed</v>
      </c>
      <c r="R1179">
        <v>1</v>
      </c>
      <c r="S1179">
        <v>0</v>
      </c>
      <c r="T1179">
        <v>0</v>
      </c>
      <c r="U1179">
        <v>0</v>
      </c>
      <c r="V1179" t="s">
        <v>52</v>
      </c>
      <c r="W1179">
        <v>1</v>
      </c>
    </row>
    <row r="1180" spans="1:23" x14ac:dyDescent="0.2">
      <c r="A1180">
        <v>5042290</v>
      </c>
      <c r="B1180" t="s">
        <v>18</v>
      </c>
      <c r="C1180" t="s">
        <v>19</v>
      </c>
      <c r="D1180" t="s">
        <v>20</v>
      </c>
      <c r="E1180">
        <v>0</v>
      </c>
      <c r="F1180">
        <v>157500</v>
      </c>
      <c r="G1180" t="s">
        <v>31</v>
      </c>
      <c r="H1180" t="s">
        <v>27</v>
      </c>
      <c r="I1180" t="s">
        <v>33</v>
      </c>
      <c r="J1180" t="s">
        <v>24</v>
      </c>
      <c r="K1180" s="6">
        <f t="shared" ca="1" si="80"/>
        <v>34952</v>
      </c>
      <c r="L1180">
        <v>-10809</v>
      </c>
      <c r="M1180" s="7">
        <f t="shared" ca="1" si="78"/>
        <v>29.593429158110883</v>
      </c>
      <c r="N1180" s="5" t="str">
        <f ca="1">VLOOKUP(Data!M1180,temp!$B$3:$C$9,2,1)</f>
        <v>20-30</v>
      </c>
      <c r="O1180">
        <v>-1222</v>
      </c>
      <c r="P1180" s="8">
        <f t="shared" si="79"/>
        <v>3.3456536618754278</v>
      </c>
      <c r="Q1180" s="5" t="str">
        <f t="shared" si="81"/>
        <v>Employed</v>
      </c>
      <c r="R1180">
        <v>1</v>
      </c>
      <c r="S1180">
        <v>0</v>
      </c>
      <c r="T1180">
        <v>0</v>
      </c>
      <c r="U1180">
        <v>0</v>
      </c>
      <c r="V1180" t="s">
        <v>52</v>
      </c>
      <c r="W1180">
        <v>1</v>
      </c>
    </row>
    <row r="1181" spans="1:23" x14ac:dyDescent="0.2">
      <c r="A1181">
        <v>5042293</v>
      </c>
      <c r="B1181" t="s">
        <v>18</v>
      </c>
      <c r="C1181" t="s">
        <v>19</v>
      </c>
      <c r="D1181" t="s">
        <v>20</v>
      </c>
      <c r="E1181">
        <v>0</v>
      </c>
      <c r="F1181">
        <v>90000</v>
      </c>
      <c r="G1181" t="s">
        <v>31</v>
      </c>
      <c r="H1181" t="s">
        <v>27</v>
      </c>
      <c r="I1181" t="s">
        <v>28</v>
      </c>
      <c r="J1181" t="s">
        <v>24</v>
      </c>
      <c r="K1181" s="6">
        <f t="shared" ca="1" si="80"/>
        <v>28204</v>
      </c>
      <c r="L1181">
        <v>-17557</v>
      </c>
      <c r="M1181" s="7">
        <f t="shared" ca="1" si="78"/>
        <v>48.068446269678304</v>
      </c>
      <c r="N1181" s="5" t="str">
        <f ca="1">VLOOKUP(Data!M1181,temp!$B$3:$C$9,2,1)</f>
        <v>40-50</v>
      </c>
      <c r="O1181">
        <v>-2378</v>
      </c>
      <c r="P1181" s="8">
        <f t="shared" si="79"/>
        <v>6.5106091718001373</v>
      </c>
      <c r="Q1181" s="5" t="str">
        <f t="shared" si="81"/>
        <v>Employed</v>
      </c>
      <c r="R1181">
        <v>1</v>
      </c>
      <c r="S1181">
        <v>0</v>
      </c>
      <c r="T1181">
        <v>0</v>
      </c>
      <c r="U1181">
        <v>0</v>
      </c>
      <c r="V1181" t="s">
        <v>55</v>
      </c>
      <c r="W1181">
        <v>2</v>
      </c>
    </row>
    <row r="1182" spans="1:23" x14ac:dyDescent="0.2">
      <c r="A1182">
        <v>5042297</v>
      </c>
      <c r="B1182" t="s">
        <v>25</v>
      </c>
      <c r="C1182" t="s">
        <v>20</v>
      </c>
      <c r="D1182" t="s">
        <v>20</v>
      </c>
      <c r="E1182">
        <v>1</v>
      </c>
      <c r="F1182">
        <v>202500</v>
      </c>
      <c r="G1182" t="s">
        <v>31</v>
      </c>
      <c r="H1182" t="s">
        <v>27</v>
      </c>
      <c r="I1182" t="s">
        <v>28</v>
      </c>
      <c r="J1182" t="s">
        <v>24</v>
      </c>
      <c r="K1182" s="6">
        <f t="shared" ca="1" si="80"/>
        <v>30554</v>
      </c>
      <c r="L1182">
        <v>-15207</v>
      </c>
      <c r="M1182" s="7">
        <f t="shared" ca="1" si="78"/>
        <v>41.634496919917865</v>
      </c>
      <c r="N1182" s="5" t="str">
        <f ca="1">VLOOKUP(Data!M1182,temp!$B$3:$C$9,2,1)</f>
        <v>40-50</v>
      </c>
      <c r="O1182">
        <v>-2102</v>
      </c>
      <c r="P1182" s="8">
        <f t="shared" si="79"/>
        <v>5.7549623545516768</v>
      </c>
      <c r="Q1182" s="5" t="str">
        <f t="shared" si="81"/>
        <v>Employed</v>
      </c>
      <c r="R1182">
        <v>1</v>
      </c>
      <c r="S1182">
        <v>1</v>
      </c>
      <c r="T1182">
        <v>1</v>
      </c>
      <c r="U1182">
        <v>0</v>
      </c>
      <c r="V1182" t="s">
        <v>30</v>
      </c>
      <c r="W1182">
        <v>3</v>
      </c>
    </row>
    <row r="1183" spans="1:23" x14ac:dyDescent="0.2">
      <c r="A1183">
        <v>5042304</v>
      </c>
      <c r="B1183" t="s">
        <v>25</v>
      </c>
      <c r="C1183" t="s">
        <v>20</v>
      </c>
      <c r="D1183" t="s">
        <v>20</v>
      </c>
      <c r="E1183">
        <v>1</v>
      </c>
      <c r="F1183">
        <v>202500</v>
      </c>
      <c r="G1183" t="s">
        <v>31</v>
      </c>
      <c r="H1183" t="s">
        <v>27</v>
      </c>
      <c r="I1183" t="s">
        <v>28</v>
      </c>
      <c r="J1183" t="s">
        <v>24</v>
      </c>
      <c r="K1183" s="6">
        <f t="shared" ca="1" si="80"/>
        <v>30554</v>
      </c>
      <c r="L1183">
        <v>-15207</v>
      </c>
      <c r="M1183" s="7">
        <f t="shared" ca="1" si="78"/>
        <v>41.634496919917865</v>
      </c>
      <c r="N1183" s="5" t="str">
        <f ca="1">VLOOKUP(Data!M1183,temp!$B$3:$C$9,2,1)</f>
        <v>40-50</v>
      </c>
      <c r="O1183">
        <v>-2102</v>
      </c>
      <c r="P1183" s="8">
        <f t="shared" si="79"/>
        <v>5.7549623545516768</v>
      </c>
      <c r="Q1183" s="5" t="str">
        <f t="shared" si="81"/>
        <v>Employed</v>
      </c>
      <c r="R1183">
        <v>1</v>
      </c>
      <c r="S1183">
        <v>1</v>
      </c>
      <c r="T1183">
        <v>1</v>
      </c>
      <c r="U1183">
        <v>0</v>
      </c>
      <c r="V1183" t="s">
        <v>30</v>
      </c>
      <c r="W1183">
        <v>3</v>
      </c>
    </row>
    <row r="1184" spans="1:23" x14ac:dyDescent="0.2">
      <c r="A1184">
        <v>5042310</v>
      </c>
      <c r="B1184" t="s">
        <v>18</v>
      </c>
      <c r="C1184" t="s">
        <v>19</v>
      </c>
      <c r="D1184" t="s">
        <v>20</v>
      </c>
      <c r="E1184">
        <v>2</v>
      </c>
      <c r="F1184">
        <v>157500</v>
      </c>
      <c r="G1184" t="s">
        <v>35</v>
      </c>
      <c r="H1184" t="s">
        <v>22</v>
      </c>
      <c r="I1184" t="s">
        <v>28</v>
      </c>
      <c r="J1184" t="s">
        <v>24</v>
      </c>
      <c r="K1184" s="6">
        <f t="shared" ca="1" si="80"/>
        <v>31366</v>
      </c>
      <c r="L1184">
        <v>-14395</v>
      </c>
      <c r="M1184" s="7">
        <f t="shared" ca="1" si="78"/>
        <v>39.411362080766601</v>
      </c>
      <c r="N1184" s="5" t="str">
        <f ca="1">VLOOKUP(Data!M1184,temp!$B$3:$C$9,2,1)</f>
        <v>30-40</v>
      </c>
      <c r="O1184">
        <v>-5300</v>
      </c>
      <c r="P1184" s="8">
        <f t="shared" si="79"/>
        <v>14.510609171800137</v>
      </c>
      <c r="Q1184" s="5" t="str">
        <f t="shared" si="81"/>
        <v>Employed</v>
      </c>
      <c r="R1184">
        <v>1</v>
      </c>
      <c r="S1184">
        <v>0</v>
      </c>
      <c r="T1184">
        <v>0</v>
      </c>
      <c r="U1184">
        <v>0</v>
      </c>
      <c r="V1184" t="s">
        <v>44</v>
      </c>
      <c r="W1184">
        <v>4</v>
      </c>
    </row>
    <row r="1185" spans="1:23" x14ac:dyDescent="0.2">
      <c r="A1185">
        <v>5042352</v>
      </c>
      <c r="B1185" t="s">
        <v>18</v>
      </c>
      <c r="C1185" t="s">
        <v>20</v>
      </c>
      <c r="D1185" t="s">
        <v>20</v>
      </c>
      <c r="E1185">
        <v>0</v>
      </c>
      <c r="F1185">
        <v>135000</v>
      </c>
      <c r="G1185" t="s">
        <v>26</v>
      </c>
      <c r="H1185" t="s">
        <v>27</v>
      </c>
      <c r="I1185" t="s">
        <v>28</v>
      </c>
      <c r="J1185" t="s">
        <v>24</v>
      </c>
      <c r="K1185" s="6">
        <f t="shared" ca="1" si="80"/>
        <v>31911</v>
      </c>
      <c r="L1185">
        <v>-13850</v>
      </c>
      <c r="M1185" s="7">
        <f t="shared" ca="1" si="78"/>
        <v>37.9192334017796</v>
      </c>
      <c r="N1185" s="5" t="str">
        <f ca="1">VLOOKUP(Data!M1185,temp!$B$3:$C$9,2,1)</f>
        <v>30-40</v>
      </c>
      <c r="O1185">
        <v>-2774</v>
      </c>
      <c r="P1185" s="8">
        <f t="shared" si="79"/>
        <v>7.5947980835044486</v>
      </c>
      <c r="Q1185" s="5" t="str">
        <f t="shared" si="81"/>
        <v>Employed</v>
      </c>
      <c r="R1185">
        <v>1</v>
      </c>
      <c r="S1185">
        <v>0</v>
      </c>
      <c r="T1185">
        <v>0</v>
      </c>
      <c r="U1185">
        <v>0</v>
      </c>
      <c r="V1185" t="s">
        <v>39</v>
      </c>
      <c r="W1185">
        <v>2</v>
      </c>
    </row>
    <row r="1186" spans="1:23" x14ac:dyDescent="0.2">
      <c r="A1186">
        <v>5044520</v>
      </c>
      <c r="B1186" t="s">
        <v>18</v>
      </c>
      <c r="C1186" t="s">
        <v>20</v>
      </c>
      <c r="D1186" t="s">
        <v>19</v>
      </c>
      <c r="E1186">
        <v>0</v>
      </c>
      <c r="F1186">
        <v>202500</v>
      </c>
      <c r="G1186" t="s">
        <v>26</v>
      </c>
      <c r="H1186" t="s">
        <v>27</v>
      </c>
      <c r="I1186" t="s">
        <v>28</v>
      </c>
      <c r="J1186" t="s">
        <v>45</v>
      </c>
      <c r="K1186" s="6">
        <f t="shared" ca="1" si="80"/>
        <v>31441</v>
      </c>
      <c r="L1186">
        <v>-14320</v>
      </c>
      <c r="M1186" s="7">
        <f t="shared" ca="1" si="78"/>
        <v>39.206023271731688</v>
      </c>
      <c r="N1186" s="5" t="str">
        <f ca="1">VLOOKUP(Data!M1186,temp!$B$3:$C$9,2,1)</f>
        <v>30-40</v>
      </c>
      <c r="O1186">
        <v>-829</v>
      </c>
      <c r="P1186" s="8">
        <f t="shared" si="79"/>
        <v>2.2696783025325118</v>
      </c>
      <c r="Q1186" s="5" t="str">
        <f t="shared" si="81"/>
        <v>Employed</v>
      </c>
      <c r="R1186">
        <v>1</v>
      </c>
      <c r="S1186">
        <v>0</v>
      </c>
      <c r="T1186">
        <v>0</v>
      </c>
      <c r="U1186">
        <v>0</v>
      </c>
      <c r="V1186" t="s">
        <v>47</v>
      </c>
      <c r="W1186">
        <v>2</v>
      </c>
    </row>
    <row r="1187" spans="1:23" x14ac:dyDescent="0.2">
      <c r="A1187">
        <v>5044622</v>
      </c>
      <c r="B1187" t="s">
        <v>18</v>
      </c>
      <c r="C1187" t="s">
        <v>20</v>
      </c>
      <c r="D1187" t="s">
        <v>19</v>
      </c>
      <c r="E1187">
        <v>1</v>
      </c>
      <c r="F1187">
        <v>135000</v>
      </c>
      <c r="G1187" t="s">
        <v>26</v>
      </c>
      <c r="H1187" t="s">
        <v>22</v>
      </c>
      <c r="I1187" t="s">
        <v>33</v>
      </c>
      <c r="J1187" t="s">
        <v>24</v>
      </c>
      <c r="K1187" s="6">
        <f t="shared" ca="1" si="80"/>
        <v>35631</v>
      </c>
      <c r="L1187">
        <v>-10130</v>
      </c>
      <c r="M1187" s="7">
        <f t="shared" ca="1" si="78"/>
        <v>27.734428473648187</v>
      </c>
      <c r="N1187" s="5" t="str">
        <f ca="1">VLOOKUP(Data!M1187,temp!$B$3:$C$9,2,1)</f>
        <v>20-30</v>
      </c>
      <c r="O1187">
        <v>-1651</v>
      </c>
      <c r="P1187" s="8">
        <f t="shared" si="79"/>
        <v>4.5201916495550991</v>
      </c>
      <c r="Q1187" s="5" t="str">
        <f t="shared" si="81"/>
        <v>Employed</v>
      </c>
      <c r="R1187">
        <v>1</v>
      </c>
      <c r="S1187">
        <v>0</v>
      </c>
      <c r="T1187">
        <v>0</v>
      </c>
      <c r="U1187">
        <v>0</v>
      </c>
      <c r="V1187" t="s">
        <v>44</v>
      </c>
      <c r="W1187">
        <v>2</v>
      </c>
    </row>
    <row r="1188" spans="1:23" x14ac:dyDescent="0.2">
      <c r="A1188">
        <v>5044625</v>
      </c>
      <c r="B1188" t="s">
        <v>18</v>
      </c>
      <c r="C1188" t="s">
        <v>20</v>
      </c>
      <c r="D1188" t="s">
        <v>19</v>
      </c>
      <c r="E1188">
        <v>1</v>
      </c>
      <c r="F1188">
        <v>135000</v>
      </c>
      <c r="G1188" t="s">
        <v>26</v>
      </c>
      <c r="H1188" t="s">
        <v>22</v>
      </c>
      <c r="I1188" t="s">
        <v>33</v>
      </c>
      <c r="J1188" t="s">
        <v>24</v>
      </c>
      <c r="K1188" s="6">
        <f t="shared" ca="1" si="80"/>
        <v>35631</v>
      </c>
      <c r="L1188">
        <v>-10130</v>
      </c>
      <c r="M1188" s="7">
        <f t="shared" ca="1" si="78"/>
        <v>27.734428473648187</v>
      </c>
      <c r="N1188" s="5" t="str">
        <f ca="1">VLOOKUP(Data!M1188,temp!$B$3:$C$9,2,1)</f>
        <v>20-30</v>
      </c>
      <c r="O1188">
        <v>-1651</v>
      </c>
      <c r="P1188" s="8">
        <f t="shared" si="79"/>
        <v>4.5201916495550991</v>
      </c>
      <c r="Q1188" s="5" t="str">
        <f t="shared" si="81"/>
        <v>Employed</v>
      </c>
      <c r="R1188">
        <v>1</v>
      </c>
      <c r="S1188">
        <v>0</v>
      </c>
      <c r="T1188">
        <v>0</v>
      </c>
      <c r="U1188">
        <v>0</v>
      </c>
      <c r="V1188" t="s">
        <v>44</v>
      </c>
      <c r="W1188">
        <v>2</v>
      </c>
    </row>
    <row r="1189" spans="1:23" x14ac:dyDescent="0.2">
      <c r="A1189">
        <v>5044626</v>
      </c>
      <c r="B1189" t="s">
        <v>18</v>
      </c>
      <c r="C1189" t="s">
        <v>20</v>
      </c>
      <c r="D1189" t="s">
        <v>19</v>
      </c>
      <c r="E1189">
        <v>1</v>
      </c>
      <c r="F1189">
        <v>135000</v>
      </c>
      <c r="G1189" t="s">
        <v>26</v>
      </c>
      <c r="H1189" t="s">
        <v>22</v>
      </c>
      <c r="I1189" t="s">
        <v>33</v>
      </c>
      <c r="J1189" t="s">
        <v>24</v>
      </c>
      <c r="K1189" s="6">
        <f t="shared" ca="1" si="80"/>
        <v>35631</v>
      </c>
      <c r="L1189">
        <v>-10130</v>
      </c>
      <c r="M1189" s="7">
        <f t="shared" ca="1" si="78"/>
        <v>27.734428473648187</v>
      </c>
      <c r="N1189" s="5" t="str">
        <f ca="1">VLOOKUP(Data!M1189,temp!$B$3:$C$9,2,1)</f>
        <v>20-30</v>
      </c>
      <c r="O1189">
        <v>-1651</v>
      </c>
      <c r="P1189" s="8">
        <f t="shared" si="79"/>
        <v>4.5201916495550991</v>
      </c>
      <c r="Q1189" s="5" t="str">
        <f t="shared" si="81"/>
        <v>Employed</v>
      </c>
      <c r="R1189">
        <v>1</v>
      </c>
      <c r="S1189">
        <v>0</v>
      </c>
      <c r="T1189">
        <v>0</v>
      </c>
      <c r="U1189">
        <v>0</v>
      </c>
      <c r="V1189" t="s">
        <v>44</v>
      </c>
      <c r="W1189">
        <v>2</v>
      </c>
    </row>
    <row r="1190" spans="1:23" x14ac:dyDescent="0.2">
      <c r="A1190">
        <v>5044634</v>
      </c>
      <c r="B1190" t="s">
        <v>18</v>
      </c>
      <c r="C1190" t="s">
        <v>20</v>
      </c>
      <c r="D1190" t="s">
        <v>20</v>
      </c>
      <c r="E1190">
        <v>0</v>
      </c>
      <c r="F1190">
        <v>81000</v>
      </c>
      <c r="G1190" t="s">
        <v>21</v>
      </c>
      <c r="H1190" t="s">
        <v>27</v>
      </c>
      <c r="I1190" t="s">
        <v>28</v>
      </c>
      <c r="J1190" t="s">
        <v>24</v>
      </c>
      <c r="K1190" s="6">
        <f t="shared" ca="1" si="80"/>
        <v>24401</v>
      </c>
      <c r="L1190">
        <v>-21360</v>
      </c>
      <c r="M1190" s="7">
        <f t="shared" ca="1" si="78"/>
        <v>58.480492813141687</v>
      </c>
      <c r="N1190" s="5" t="str">
        <f ca="1">VLOOKUP(Data!M1190,temp!$B$3:$C$9,2,1)</f>
        <v>50-60</v>
      </c>
      <c r="O1190">
        <v>365243</v>
      </c>
      <c r="P1190" s="8">
        <f t="shared" si="79"/>
        <v>0</v>
      </c>
      <c r="Q1190" s="5" t="str">
        <f t="shared" si="81"/>
        <v>Unemployed</v>
      </c>
      <c r="R1190">
        <v>1</v>
      </c>
      <c r="S1190">
        <v>0</v>
      </c>
      <c r="T1190">
        <v>1</v>
      </c>
      <c r="U1190">
        <v>0</v>
      </c>
      <c r="W1190">
        <v>2</v>
      </c>
    </row>
    <row r="1191" spans="1:23" x14ac:dyDescent="0.2">
      <c r="A1191">
        <v>5044681</v>
      </c>
      <c r="B1191" t="s">
        <v>18</v>
      </c>
      <c r="C1191" t="s">
        <v>19</v>
      </c>
      <c r="D1191" t="s">
        <v>20</v>
      </c>
      <c r="E1191">
        <v>0</v>
      </c>
      <c r="F1191">
        <v>90000</v>
      </c>
      <c r="G1191" t="s">
        <v>31</v>
      </c>
      <c r="H1191" t="s">
        <v>51</v>
      </c>
      <c r="I1191" t="s">
        <v>33</v>
      </c>
      <c r="J1191" t="s">
        <v>24</v>
      </c>
      <c r="K1191" s="6">
        <f t="shared" ca="1" si="80"/>
        <v>35238</v>
      </c>
      <c r="L1191">
        <v>-10523</v>
      </c>
      <c r="M1191" s="7">
        <f t="shared" ca="1" si="78"/>
        <v>28.810403832991103</v>
      </c>
      <c r="N1191" s="5" t="str">
        <f ca="1">VLOOKUP(Data!M1191,temp!$B$3:$C$9,2,1)</f>
        <v>20-30</v>
      </c>
      <c r="O1191">
        <v>-2778</v>
      </c>
      <c r="P1191" s="8">
        <f t="shared" si="79"/>
        <v>7.6057494866529778</v>
      </c>
      <c r="Q1191" s="5" t="str">
        <f t="shared" si="81"/>
        <v>Employed</v>
      </c>
      <c r="R1191">
        <v>1</v>
      </c>
      <c r="S1191">
        <v>0</v>
      </c>
      <c r="T1191">
        <v>0</v>
      </c>
      <c r="U1191">
        <v>0</v>
      </c>
      <c r="V1191" t="s">
        <v>38</v>
      </c>
      <c r="W1191">
        <v>1</v>
      </c>
    </row>
    <row r="1192" spans="1:23" x14ac:dyDescent="0.2">
      <c r="A1192">
        <v>5044710</v>
      </c>
      <c r="B1192" t="s">
        <v>18</v>
      </c>
      <c r="C1192" t="s">
        <v>20</v>
      </c>
      <c r="D1192" t="s">
        <v>20</v>
      </c>
      <c r="E1192">
        <v>0</v>
      </c>
      <c r="F1192">
        <v>450000</v>
      </c>
      <c r="G1192" t="s">
        <v>35</v>
      </c>
      <c r="H1192" t="s">
        <v>22</v>
      </c>
      <c r="I1192" t="s">
        <v>28</v>
      </c>
      <c r="J1192" t="s">
        <v>24</v>
      </c>
      <c r="K1192" s="6">
        <f t="shared" ca="1" si="80"/>
        <v>22872</v>
      </c>
      <c r="L1192">
        <v>-22889</v>
      </c>
      <c r="M1192" s="7">
        <f t="shared" ca="1" si="78"/>
        <v>62.666666666666664</v>
      </c>
      <c r="N1192" s="5" t="str">
        <f ca="1">VLOOKUP(Data!M1192,temp!$B$3:$C$9,2,1)</f>
        <v>60-70</v>
      </c>
      <c r="O1192">
        <v>-221</v>
      </c>
      <c r="P1192" s="8">
        <f t="shared" si="79"/>
        <v>0.60506502395619444</v>
      </c>
      <c r="Q1192" s="5" t="str">
        <f t="shared" si="81"/>
        <v>Employed</v>
      </c>
      <c r="R1192">
        <v>1</v>
      </c>
      <c r="S1192">
        <v>0</v>
      </c>
      <c r="T1192">
        <v>1</v>
      </c>
      <c r="U1192">
        <v>0</v>
      </c>
      <c r="W1192">
        <v>2</v>
      </c>
    </row>
    <row r="1193" spans="1:23" x14ac:dyDescent="0.2">
      <c r="A1193">
        <v>5044749</v>
      </c>
      <c r="B1193" t="s">
        <v>25</v>
      </c>
      <c r="C1193" t="s">
        <v>19</v>
      </c>
      <c r="D1193" t="s">
        <v>19</v>
      </c>
      <c r="E1193">
        <v>0</v>
      </c>
      <c r="F1193">
        <v>144000</v>
      </c>
      <c r="G1193" t="s">
        <v>31</v>
      </c>
      <c r="H1193" t="s">
        <v>27</v>
      </c>
      <c r="I1193" t="s">
        <v>37</v>
      </c>
      <c r="J1193" t="s">
        <v>24</v>
      </c>
      <c r="K1193" s="6">
        <f t="shared" ca="1" si="80"/>
        <v>29140</v>
      </c>
      <c r="L1193">
        <v>-16621</v>
      </c>
      <c r="M1193" s="7">
        <f t="shared" ca="1" si="78"/>
        <v>45.505817932922653</v>
      </c>
      <c r="N1193" s="5" t="str">
        <f ca="1">VLOOKUP(Data!M1193,temp!$B$3:$C$9,2,1)</f>
        <v>40-50</v>
      </c>
      <c r="O1193">
        <v>-221</v>
      </c>
      <c r="P1193" s="8">
        <f t="shared" si="79"/>
        <v>0.60506502395619444</v>
      </c>
      <c r="Q1193" s="5" t="str">
        <f t="shared" si="81"/>
        <v>Employed</v>
      </c>
      <c r="R1193">
        <v>1</v>
      </c>
      <c r="S1193">
        <v>0</v>
      </c>
      <c r="T1193">
        <v>0</v>
      </c>
      <c r="U1193">
        <v>0</v>
      </c>
      <c r="W1193">
        <v>2</v>
      </c>
    </row>
    <row r="1194" spans="1:23" x14ac:dyDescent="0.2">
      <c r="A1194">
        <v>5044750</v>
      </c>
      <c r="B1194" t="s">
        <v>25</v>
      </c>
      <c r="C1194" t="s">
        <v>19</v>
      </c>
      <c r="D1194" t="s">
        <v>19</v>
      </c>
      <c r="E1194">
        <v>0</v>
      </c>
      <c r="F1194">
        <v>144000</v>
      </c>
      <c r="G1194" t="s">
        <v>31</v>
      </c>
      <c r="H1194" t="s">
        <v>27</v>
      </c>
      <c r="I1194" t="s">
        <v>37</v>
      </c>
      <c r="J1194" t="s">
        <v>24</v>
      </c>
      <c r="K1194" s="6">
        <f t="shared" ca="1" si="80"/>
        <v>29140</v>
      </c>
      <c r="L1194">
        <v>-16621</v>
      </c>
      <c r="M1194" s="7">
        <f t="shared" ca="1" si="78"/>
        <v>45.505817932922653</v>
      </c>
      <c r="N1194" s="5" t="str">
        <f ca="1">VLOOKUP(Data!M1194,temp!$B$3:$C$9,2,1)</f>
        <v>40-50</v>
      </c>
      <c r="O1194">
        <v>-221</v>
      </c>
      <c r="P1194" s="8">
        <f t="shared" si="79"/>
        <v>0.60506502395619444</v>
      </c>
      <c r="Q1194" s="5" t="str">
        <f t="shared" si="81"/>
        <v>Employed</v>
      </c>
      <c r="R1194">
        <v>1</v>
      </c>
      <c r="S1194">
        <v>0</v>
      </c>
      <c r="T1194">
        <v>0</v>
      </c>
      <c r="U1194">
        <v>0</v>
      </c>
      <c r="W1194">
        <v>2</v>
      </c>
    </row>
    <row r="1195" spans="1:23" x14ac:dyDescent="0.2">
      <c r="A1195">
        <v>5044788</v>
      </c>
      <c r="B1195" t="s">
        <v>25</v>
      </c>
      <c r="C1195" t="s">
        <v>20</v>
      </c>
      <c r="D1195" t="s">
        <v>20</v>
      </c>
      <c r="E1195">
        <v>1</v>
      </c>
      <c r="F1195">
        <v>247500</v>
      </c>
      <c r="G1195" t="s">
        <v>31</v>
      </c>
      <c r="H1195" t="s">
        <v>22</v>
      </c>
      <c r="I1195" t="s">
        <v>28</v>
      </c>
      <c r="J1195" t="s">
        <v>45</v>
      </c>
      <c r="K1195" s="6">
        <f t="shared" ca="1" si="80"/>
        <v>30155</v>
      </c>
      <c r="L1195">
        <v>-15606</v>
      </c>
      <c r="M1195" s="7">
        <f t="shared" ca="1" si="78"/>
        <v>42.726899383983572</v>
      </c>
      <c r="N1195" s="5" t="str">
        <f ca="1">VLOOKUP(Data!M1195,temp!$B$3:$C$9,2,1)</f>
        <v>40-50</v>
      </c>
      <c r="O1195">
        <v>-160</v>
      </c>
      <c r="P1195" s="8">
        <f t="shared" si="79"/>
        <v>0.43805612594113619</v>
      </c>
      <c r="Q1195" s="5" t="str">
        <f t="shared" si="81"/>
        <v>Employed</v>
      </c>
      <c r="R1195">
        <v>1</v>
      </c>
      <c r="S1195">
        <v>0</v>
      </c>
      <c r="T1195">
        <v>1</v>
      </c>
      <c r="U1195">
        <v>0</v>
      </c>
      <c r="V1195" t="s">
        <v>39</v>
      </c>
      <c r="W1195">
        <v>3</v>
      </c>
    </row>
    <row r="1196" spans="1:23" x14ac:dyDescent="0.2">
      <c r="A1196">
        <v>5044794</v>
      </c>
      <c r="B1196" t="s">
        <v>25</v>
      </c>
      <c r="C1196" t="s">
        <v>20</v>
      </c>
      <c r="D1196" t="s">
        <v>20</v>
      </c>
      <c r="E1196">
        <v>1</v>
      </c>
      <c r="F1196">
        <v>247500</v>
      </c>
      <c r="G1196" t="s">
        <v>31</v>
      </c>
      <c r="H1196" t="s">
        <v>22</v>
      </c>
      <c r="I1196" t="s">
        <v>28</v>
      </c>
      <c r="J1196" t="s">
        <v>45</v>
      </c>
      <c r="K1196" s="6">
        <f t="shared" ca="1" si="80"/>
        <v>30155</v>
      </c>
      <c r="L1196">
        <v>-15606</v>
      </c>
      <c r="M1196" s="7">
        <f t="shared" ca="1" si="78"/>
        <v>42.726899383983572</v>
      </c>
      <c r="N1196" s="5" t="str">
        <f ca="1">VLOOKUP(Data!M1196,temp!$B$3:$C$9,2,1)</f>
        <v>40-50</v>
      </c>
      <c r="O1196">
        <v>-160</v>
      </c>
      <c r="P1196" s="8">
        <f t="shared" si="79"/>
        <v>0.43805612594113619</v>
      </c>
      <c r="Q1196" s="5" t="str">
        <f t="shared" si="81"/>
        <v>Employed</v>
      </c>
      <c r="R1196">
        <v>1</v>
      </c>
      <c r="S1196">
        <v>0</v>
      </c>
      <c r="T1196">
        <v>1</v>
      </c>
      <c r="U1196">
        <v>0</v>
      </c>
      <c r="V1196" t="s">
        <v>39</v>
      </c>
      <c r="W1196">
        <v>3</v>
      </c>
    </row>
    <row r="1197" spans="1:23" x14ac:dyDescent="0.2">
      <c r="A1197">
        <v>5044809</v>
      </c>
      <c r="B1197" t="s">
        <v>18</v>
      </c>
      <c r="C1197" t="s">
        <v>19</v>
      </c>
      <c r="D1197" t="s">
        <v>20</v>
      </c>
      <c r="E1197">
        <v>0</v>
      </c>
      <c r="F1197">
        <v>135000</v>
      </c>
      <c r="G1197" t="s">
        <v>31</v>
      </c>
      <c r="H1197" t="s">
        <v>22</v>
      </c>
      <c r="I1197" t="s">
        <v>33</v>
      </c>
      <c r="J1197" t="s">
        <v>24</v>
      </c>
      <c r="K1197" s="6">
        <f t="shared" ca="1" si="80"/>
        <v>36661</v>
      </c>
      <c r="L1197">
        <v>-9100</v>
      </c>
      <c r="M1197" s="7">
        <f t="shared" ca="1" si="78"/>
        <v>24.914442162902123</v>
      </c>
      <c r="N1197" s="5" t="str">
        <f ca="1">VLOOKUP(Data!M1197,temp!$B$3:$C$9,2,1)</f>
        <v>20-30</v>
      </c>
      <c r="O1197">
        <v>-1133</v>
      </c>
      <c r="P1197" s="8">
        <f t="shared" si="79"/>
        <v>3.1019849418206706</v>
      </c>
      <c r="Q1197" s="5" t="str">
        <f t="shared" si="81"/>
        <v>Employed</v>
      </c>
      <c r="R1197">
        <v>1</v>
      </c>
      <c r="S1197">
        <v>0</v>
      </c>
      <c r="T1197">
        <v>0</v>
      </c>
      <c r="U1197">
        <v>0</v>
      </c>
      <c r="V1197" t="s">
        <v>32</v>
      </c>
      <c r="W1197">
        <v>1</v>
      </c>
    </row>
    <row r="1198" spans="1:23" x14ac:dyDescent="0.2">
      <c r="A1198">
        <v>5044814</v>
      </c>
      <c r="B1198" t="s">
        <v>18</v>
      </c>
      <c r="C1198" t="s">
        <v>19</v>
      </c>
      <c r="D1198" t="s">
        <v>20</v>
      </c>
      <c r="E1198">
        <v>0</v>
      </c>
      <c r="F1198">
        <v>135000</v>
      </c>
      <c r="G1198" t="s">
        <v>31</v>
      </c>
      <c r="H1198" t="s">
        <v>22</v>
      </c>
      <c r="I1198" t="s">
        <v>33</v>
      </c>
      <c r="J1198" t="s">
        <v>24</v>
      </c>
      <c r="K1198" s="6">
        <f t="shared" ca="1" si="80"/>
        <v>36661</v>
      </c>
      <c r="L1198">
        <v>-9100</v>
      </c>
      <c r="M1198" s="7">
        <f t="shared" ca="1" si="78"/>
        <v>24.914442162902123</v>
      </c>
      <c r="N1198" s="5" t="str">
        <f ca="1">VLOOKUP(Data!M1198,temp!$B$3:$C$9,2,1)</f>
        <v>20-30</v>
      </c>
      <c r="O1198">
        <v>-1133</v>
      </c>
      <c r="P1198" s="8">
        <f t="shared" si="79"/>
        <v>3.1019849418206706</v>
      </c>
      <c r="Q1198" s="5" t="str">
        <f t="shared" si="81"/>
        <v>Employed</v>
      </c>
      <c r="R1198">
        <v>1</v>
      </c>
      <c r="S1198">
        <v>0</v>
      </c>
      <c r="T1198">
        <v>0</v>
      </c>
      <c r="U1198">
        <v>0</v>
      </c>
      <c r="V1198" t="s">
        <v>32</v>
      </c>
      <c r="W1198">
        <v>1</v>
      </c>
    </row>
    <row r="1199" spans="1:23" x14ac:dyDescent="0.2">
      <c r="A1199">
        <v>5044817</v>
      </c>
      <c r="B1199" t="s">
        <v>18</v>
      </c>
      <c r="C1199" t="s">
        <v>19</v>
      </c>
      <c r="D1199" t="s">
        <v>20</v>
      </c>
      <c r="E1199">
        <v>0</v>
      </c>
      <c r="F1199">
        <v>135000</v>
      </c>
      <c r="G1199" t="s">
        <v>31</v>
      </c>
      <c r="H1199" t="s">
        <v>22</v>
      </c>
      <c r="I1199" t="s">
        <v>33</v>
      </c>
      <c r="J1199" t="s">
        <v>24</v>
      </c>
      <c r="K1199" s="6">
        <f t="shared" ca="1" si="80"/>
        <v>36661</v>
      </c>
      <c r="L1199">
        <v>-9100</v>
      </c>
      <c r="M1199" s="7">
        <f t="shared" ca="1" si="78"/>
        <v>24.914442162902123</v>
      </c>
      <c r="N1199" s="5" t="str">
        <f ca="1">VLOOKUP(Data!M1199,temp!$B$3:$C$9,2,1)</f>
        <v>20-30</v>
      </c>
      <c r="O1199">
        <v>-1133</v>
      </c>
      <c r="P1199" s="8">
        <f t="shared" si="79"/>
        <v>3.1019849418206706</v>
      </c>
      <c r="Q1199" s="5" t="str">
        <f t="shared" si="81"/>
        <v>Employed</v>
      </c>
      <c r="R1199">
        <v>1</v>
      </c>
      <c r="S1199">
        <v>0</v>
      </c>
      <c r="T1199">
        <v>0</v>
      </c>
      <c r="U1199">
        <v>0</v>
      </c>
      <c r="V1199" t="s">
        <v>32</v>
      </c>
      <c r="W1199">
        <v>1</v>
      </c>
    </row>
    <row r="1200" spans="1:23" x14ac:dyDescent="0.2">
      <c r="A1200">
        <v>5044856</v>
      </c>
      <c r="B1200" t="s">
        <v>18</v>
      </c>
      <c r="C1200" t="s">
        <v>19</v>
      </c>
      <c r="D1200" t="s">
        <v>20</v>
      </c>
      <c r="E1200">
        <v>0</v>
      </c>
      <c r="F1200">
        <v>167400</v>
      </c>
      <c r="G1200" t="s">
        <v>21</v>
      </c>
      <c r="H1200" t="s">
        <v>27</v>
      </c>
      <c r="I1200" t="s">
        <v>28</v>
      </c>
      <c r="J1200" t="s">
        <v>24</v>
      </c>
      <c r="K1200" s="6">
        <f t="shared" ca="1" si="80"/>
        <v>26733</v>
      </c>
      <c r="L1200">
        <v>-19028</v>
      </c>
      <c r="M1200" s="7">
        <f t="shared" ca="1" si="78"/>
        <v>52.095824777549623</v>
      </c>
      <c r="N1200" s="5" t="str">
        <f ca="1">VLOOKUP(Data!M1200,temp!$B$3:$C$9,2,1)</f>
        <v>50-60</v>
      </c>
      <c r="O1200">
        <v>365243</v>
      </c>
      <c r="P1200" s="8">
        <f t="shared" si="79"/>
        <v>0</v>
      </c>
      <c r="Q1200" s="5" t="str">
        <f t="shared" si="81"/>
        <v>Unemployed</v>
      </c>
      <c r="R1200">
        <v>1</v>
      </c>
      <c r="S1200">
        <v>0</v>
      </c>
      <c r="T1200">
        <v>0</v>
      </c>
      <c r="U1200">
        <v>0</v>
      </c>
      <c r="W1200">
        <v>2</v>
      </c>
    </row>
    <row r="1201" spans="1:23" x14ac:dyDescent="0.2">
      <c r="A1201">
        <v>5044859</v>
      </c>
      <c r="B1201" t="s">
        <v>18</v>
      </c>
      <c r="C1201" t="s">
        <v>19</v>
      </c>
      <c r="D1201" t="s">
        <v>20</v>
      </c>
      <c r="E1201">
        <v>0</v>
      </c>
      <c r="F1201">
        <v>167400</v>
      </c>
      <c r="G1201" t="s">
        <v>21</v>
      </c>
      <c r="H1201" t="s">
        <v>27</v>
      </c>
      <c r="I1201" t="s">
        <v>28</v>
      </c>
      <c r="J1201" t="s">
        <v>24</v>
      </c>
      <c r="K1201" s="6">
        <f t="shared" ca="1" si="80"/>
        <v>26733</v>
      </c>
      <c r="L1201">
        <v>-19028</v>
      </c>
      <c r="M1201" s="7">
        <f t="shared" ca="1" si="78"/>
        <v>52.095824777549623</v>
      </c>
      <c r="N1201" s="5" t="str">
        <f ca="1">VLOOKUP(Data!M1201,temp!$B$3:$C$9,2,1)</f>
        <v>50-60</v>
      </c>
      <c r="O1201">
        <v>365243</v>
      </c>
      <c r="P1201" s="8">
        <f t="shared" si="79"/>
        <v>0</v>
      </c>
      <c r="Q1201" s="5" t="str">
        <f t="shared" si="81"/>
        <v>Unemployed</v>
      </c>
      <c r="R1201">
        <v>1</v>
      </c>
      <c r="S1201">
        <v>0</v>
      </c>
      <c r="T1201">
        <v>0</v>
      </c>
      <c r="U1201">
        <v>0</v>
      </c>
      <c r="W1201">
        <v>2</v>
      </c>
    </row>
    <row r="1202" spans="1:23" x14ac:dyDescent="0.2">
      <c r="A1202">
        <v>5044860</v>
      </c>
      <c r="B1202" t="s">
        <v>18</v>
      </c>
      <c r="C1202" t="s">
        <v>19</v>
      </c>
      <c r="D1202" t="s">
        <v>20</v>
      </c>
      <c r="E1202">
        <v>0</v>
      </c>
      <c r="F1202">
        <v>167400</v>
      </c>
      <c r="G1202" t="s">
        <v>21</v>
      </c>
      <c r="H1202" t="s">
        <v>27</v>
      </c>
      <c r="I1202" t="s">
        <v>28</v>
      </c>
      <c r="J1202" t="s">
        <v>24</v>
      </c>
      <c r="K1202" s="6">
        <f t="shared" ca="1" si="80"/>
        <v>26733</v>
      </c>
      <c r="L1202">
        <v>-19028</v>
      </c>
      <c r="M1202" s="7">
        <f t="shared" ca="1" si="78"/>
        <v>52.095824777549623</v>
      </c>
      <c r="N1202" s="5" t="str">
        <f ca="1">VLOOKUP(Data!M1202,temp!$B$3:$C$9,2,1)</f>
        <v>50-60</v>
      </c>
      <c r="O1202">
        <v>365243</v>
      </c>
      <c r="P1202" s="8">
        <f t="shared" si="79"/>
        <v>0</v>
      </c>
      <c r="Q1202" s="5" t="str">
        <f t="shared" si="81"/>
        <v>Unemployed</v>
      </c>
      <c r="R1202">
        <v>1</v>
      </c>
      <c r="S1202">
        <v>0</v>
      </c>
      <c r="T1202">
        <v>0</v>
      </c>
      <c r="U1202">
        <v>0</v>
      </c>
      <c r="W1202">
        <v>2</v>
      </c>
    </row>
    <row r="1203" spans="1:23" x14ac:dyDescent="0.2">
      <c r="A1203">
        <v>5044862</v>
      </c>
      <c r="B1203" t="s">
        <v>18</v>
      </c>
      <c r="C1203" t="s">
        <v>19</v>
      </c>
      <c r="D1203" t="s">
        <v>20</v>
      </c>
      <c r="E1203">
        <v>0</v>
      </c>
      <c r="F1203">
        <v>167400</v>
      </c>
      <c r="G1203" t="s">
        <v>21</v>
      </c>
      <c r="H1203" t="s">
        <v>27</v>
      </c>
      <c r="I1203" t="s">
        <v>28</v>
      </c>
      <c r="J1203" t="s">
        <v>24</v>
      </c>
      <c r="K1203" s="6">
        <f t="shared" ca="1" si="80"/>
        <v>26733</v>
      </c>
      <c r="L1203">
        <v>-19028</v>
      </c>
      <c r="M1203" s="7">
        <f t="shared" ca="1" si="78"/>
        <v>52.095824777549623</v>
      </c>
      <c r="N1203" s="5" t="str">
        <f ca="1">VLOOKUP(Data!M1203,temp!$B$3:$C$9,2,1)</f>
        <v>50-60</v>
      </c>
      <c r="O1203">
        <v>365243</v>
      </c>
      <c r="P1203" s="8">
        <f t="shared" si="79"/>
        <v>0</v>
      </c>
      <c r="Q1203" s="5" t="str">
        <f t="shared" si="81"/>
        <v>Unemployed</v>
      </c>
      <c r="R1203">
        <v>1</v>
      </c>
      <c r="S1203">
        <v>0</v>
      </c>
      <c r="T1203">
        <v>0</v>
      </c>
      <c r="U1203">
        <v>0</v>
      </c>
      <c r="W1203">
        <v>2</v>
      </c>
    </row>
    <row r="1204" spans="1:23" x14ac:dyDescent="0.2">
      <c r="A1204">
        <v>5044865</v>
      </c>
      <c r="B1204" t="s">
        <v>18</v>
      </c>
      <c r="C1204" t="s">
        <v>19</v>
      </c>
      <c r="D1204" t="s">
        <v>20</v>
      </c>
      <c r="E1204">
        <v>0</v>
      </c>
      <c r="F1204">
        <v>167400</v>
      </c>
      <c r="G1204" t="s">
        <v>21</v>
      </c>
      <c r="H1204" t="s">
        <v>27</v>
      </c>
      <c r="I1204" t="s">
        <v>28</v>
      </c>
      <c r="J1204" t="s">
        <v>24</v>
      </c>
      <c r="K1204" s="6">
        <f t="shared" ca="1" si="80"/>
        <v>26733</v>
      </c>
      <c r="L1204">
        <v>-19028</v>
      </c>
      <c r="M1204" s="7">
        <f t="shared" ca="1" si="78"/>
        <v>52.095824777549623</v>
      </c>
      <c r="N1204" s="5" t="str">
        <f ca="1">VLOOKUP(Data!M1204,temp!$B$3:$C$9,2,1)</f>
        <v>50-60</v>
      </c>
      <c r="O1204">
        <v>365243</v>
      </c>
      <c r="P1204" s="8">
        <f t="shared" si="79"/>
        <v>0</v>
      </c>
      <c r="Q1204" s="5" t="str">
        <f t="shared" si="81"/>
        <v>Unemployed</v>
      </c>
      <c r="R1204">
        <v>1</v>
      </c>
      <c r="S1204">
        <v>0</v>
      </c>
      <c r="T1204">
        <v>0</v>
      </c>
      <c r="U1204">
        <v>0</v>
      </c>
      <c r="W1204">
        <v>2</v>
      </c>
    </row>
    <row r="1205" spans="1:23" x14ac:dyDescent="0.2">
      <c r="A1205">
        <v>5044908</v>
      </c>
      <c r="B1205" t="s">
        <v>18</v>
      </c>
      <c r="C1205" t="s">
        <v>19</v>
      </c>
      <c r="D1205" t="s">
        <v>20</v>
      </c>
      <c r="E1205">
        <v>0</v>
      </c>
      <c r="F1205">
        <v>225000</v>
      </c>
      <c r="G1205" t="s">
        <v>31</v>
      </c>
      <c r="H1205" t="s">
        <v>36</v>
      </c>
      <c r="I1205" t="s">
        <v>33</v>
      </c>
      <c r="J1205" t="s">
        <v>24</v>
      </c>
      <c r="K1205" s="6">
        <f t="shared" ca="1" si="80"/>
        <v>31731</v>
      </c>
      <c r="L1205">
        <v>-14030</v>
      </c>
      <c r="M1205" s="7">
        <f t="shared" ca="1" si="78"/>
        <v>38.412046543463383</v>
      </c>
      <c r="N1205" s="5" t="str">
        <f ca="1">VLOOKUP(Data!M1205,temp!$B$3:$C$9,2,1)</f>
        <v>30-40</v>
      </c>
      <c r="O1205">
        <v>-2075</v>
      </c>
      <c r="P1205" s="8">
        <f t="shared" si="79"/>
        <v>5.6810403832991101</v>
      </c>
      <c r="Q1205" s="5" t="str">
        <f t="shared" si="81"/>
        <v>Employed</v>
      </c>
      <c r="R1205">
        <v>1</v>
      </c>
      <c r="S1205">
        <v>0</v>
      </c>
      <c r="T1205">
        <v>0</v>
      </c>
      <c r="U1205">
        <v>0</v>
      </c>
      <c r="W1205">
        <v>1</v>
      </c>
    </row>
    <row r="1206" spans="1:23" x14ac:dyDescent="0.2">
      <c r="A1206">
        <v>5044929</v>
      </c>
      <c r="B1206" t="s">
        <v>18</v>
      </c>
      <c r="C1206" t="s">
        <v>19</v>
      </c>
      <c r="D1206" t="s">
        <v>20</v>
      </c>
      <c r="E1206">
        <v>0</v>
      </c>
      <c r="F1206">
        <v>67500</v>
      </c>
      <c r="G1206" t="s">
        <v>35</v>
      </c>
      <c r="H1206" t="s">
        <v>27</v>
      </c>
      <c r="I1206" t="s">
        <v>28</v>
      </c>
      <c r="J1206" t="s">
        <v>24</v>
      </c>
      <c r="K1206" s="6">
        <f t="shared" ca="1" si="80"/>
        <v>27611</v>
      </c>
      <c r="L1206">
        <v>-18150</v>
      </c>
      <c r="M1206" s="7">
        <f t="shared" ca="1" si="78"/>
        <v>49.691991786447637</v>
      </c>
      <c r="N1206" s="5" t="str">
        <f ca="1">VLOOKUP(Data!M1206,temp!$B$3:$C$9,2,1)</f>
        <v>40-50</v>
      </c>
      <c r="O1206">
        <v>-2747</v>
      </c>
      <c r="P1206" s="8">
        <f t="shared" si="79"/>
        <v>7.5208761122518819</v>
      </c>
      <c r="Q1206" s="5" t="str">
        <f t="shared" si="81"/>
        <v>Employed</v>
      </c>
      <c r="R1206">
        <v>1</v>
      </c>
      <c r="S1206">
        <v>0</v>
      </c>
      <c r="T1206">
        <v>0</v>
      </c>
      <c r="U1206">
        <v>0</v>
      </c>
      <c r="V1206" t="s">
        <v>50</v>
      </c>
      <c r="W1206">
        <v>2</v>
      </c>
    </row>
    <row r="1207" spans="1:23" x14ac:dyDescent="0.2">
      <c r="A1207">
        <v>5044941</v>
      </c>
      <c r="B1207" t="s">
        <v>25</v>
      </c>
      <c r="C1207" t="s">
        <v>19</v>
      </c>
      <c r="D1207" t="s">
        <v>20</v>
      </c>
      <c r="E1207">
        <v>2</v>
      </c>
      <c r="F1207">
        <v>360000</v>
      </c>
      <c r="G1207" t="s">
        <v>35</v>
      </c>
      <c r="H1207" t="s">
        <v>22</v>
      </c>
      <c r="I1207" t="s">
        <v>28</v>
      </c>
      <c r="J1207" t="s">
        <v>24</v>
      </c>
      <c r="K1207" s="6">
        <f t="shared" ca="1" si="80"/>
        <v>29734</v>
      </c>
      <c r="L1207">
        <v>-16027</v>
      </c>
      <c r="M1207" s="7">
        <f t="shared" ca="1" si="78"/>
        <v>43.879534565366185</v>
      </c>
      <c r="N1207" s="5" t="str">
        <f ca="1">VLOOKUP(Data!M1207,temp!$B$3:$C$9,2,1)</f>
        <v>40-50</v>
      </c>
      <c r="O1207">
        <v>-5639</v>
      </c>
      <c r="P1207" s="8">
        <f t="shared" si="79"/>
        <v>15.43874058863792</v>
      </c>
      <c r="Q1207" s="5" t="str">
        <f t="shared" si="81"/>
        <v>Employed</v>
      </c>
      <c r="R1207">
        <v>1</v>
      </c>
      <c r="S1207">
        <v>0</v>
      </c>
      <c r="T1207">
        <v>1</v>
      </c>
      <c r="U1207">
        <v>0</v>
      </c>
      <c r="V1207" t="s">
        <v>32</v>
      </c>
      <c r="W1207">
        <v>4</v>
      </c>
    </row>
    <row r="1208" spans="1:23" x14ac:dyDescent="0.2">
      <c r="A1208">
        <v>5044959</v>
      </c>
      <c r="B1208" t="s">
        <v>18</v>
      </c>
      <c r="C1208" t="s">
        <v>20</v>
      </c>
      <c r="D1208" t="s">
        <v>20</v>
      </c>
      <c r="E1208">
        <v>0</v>
      </c>
      <c r="F1208">
        <v>50850</v>
      </c>
      <c r="G1208" t="s">
        <v>21</v>
      </c>
      <c r="H1208" t="s">
        <v>22</v>
      </c>
      <c r="I1208" t="s">
        <v>28</v>
      </c>
      <c r="J1208" t="s">
        <v>24</v>
      </c>
      <c r="K1208" s="6">
        <f t="shared" ca="1" si="80"/>
        <v>23897</v>
      </c>
      <c r="L1208">
        <v>-21864</v>
      </c>
      <c r="M1208" s="7">
        <f t="shared" ca="1" si="78"/>
        <v>59.860369609856264</v>
      </c>
      <c r="N1208" s="5" t="str">
        <f ca="1">VLOOKUP(Data!M1208,temp!$B$3:$C$9,2,1)</f>
        <v>50-60</v>
      </c>
      <c r="O1208">
        <v>365243</v>
      </c>
      <c r="P1208" s="8">
        <f t="shared" si="79"/>
        <v>0</v>
      </c>
      <c r="Q1208" s="5" t="str">
        <f t="shared" si="81"/>
        <v>Unemployed</v>
      </c>
      <c r="R1208">
        <v>1</v>
      </c>
      <c r="S1208">
        <v>0</v>
      </c>
      <c r="T1208">
        <v>0</v>
      </c>
      <c r="U1208">
        <v>0</v>
      </c>
      <c r="W1208">
        <v>2</v>
      </c>
    </row>
    <row r="1209" spans="1:23" x14ac:dyDescent="0.2">
      <c r="A1209">
        <v>5044988</v>
      </c>
      <c r="B1209" t="s">
        <v>18</v>
      </c>
      <c r="C1209" t="s">
        <v>19</v>
      </c>
      <c r="D1209" t="s">
        <v>20</v>
      </c>
      <c r="E1209">
        <v>0</v>
      </c>
      <c r="F1209">
        <v>141750</v>
      </c>
      <c r="G1209" t="s">
        <v>21</v>
      </c>
      <c r="H1209" t="s">
        <v>22</v>
      </c>
      <c r="I1209" t="s">
        <v>28</v>
      </c>
      <c r="J1209" t="s">
        <v>24</v>
      </c>
      <c r="K1209" s="6">
        <f t="shared" ca="1" si="80"/>
        <v>25416</v>
      </c>
      <c r="L1209">
        <v>-20345</v>
      </c>
      <c r="M1209" s="7">
        <f t="shared" ca="1" si="78"/>
        <v>55.701574264202598</v>
      </c>
      <c r="N1209" s="5" t="str">
        <f ca="1">VLOOKUP(Data!M1209,temp!$B$3:$C$9,2,1)</f>
        <v>50-60</v>
      </c>
      <c r="O1209">
        <v>365243</v>
      </c>
      <c r="P1209" s="8">
        <f t="shared" si="79"/>
        <v>0</v>
      </c>
      <c r="Q1209" s="5" t="str">
        <f t="shared" si="81"/>
        <v>Unemployed</v>
      </c>
      <c r="R1209">
        <v>1</v>
      </c>
      <c r="S1209">
        <v>0</v>
      </c>
      <c r="T1209">
        <v>1</v>
      </c>
      <c r="U1209">
        <v>0</v>
      </c>
      <c r="W1209">
        <v>2</v>
      </c>
    </row>
    <row r="1210" spans="1:23" x14ac:dyDescent="0.2">
      <c r="A1210">
        <v>5044993</v>
      </c>
      <c r="B1210" t="s">
        <v>18</v>
      </c>
      <c r="C1210" t="s">
        <v>19</v>
      </c>
      <c r="D1210" t="s">
        <v>20</v>
      </c>
      <c r="E1210">
        <v>0</v>
      </c>
      <c r="F1210">
        <v>157500</v>
      </c>
      <c r="G1210" t="s">
        <v>26</v>
      </c>
      <c r="H1210" t="s">
        <v>27</v>
      </c>
      <c r="I1210" t="s">
        <v>42</v>
      </c>
      <c r="J1210" t="s">
        <v>24</v>
      </c>
      <c r="K1210" s="6">
        <f t="shared" ca="1" si="80"/>
        <v>23970</v>
      </c>
      <c r="L1210">
        <v>-21791</v>
      </c>
      <c r="M1210" s="7">
        <f t="shared" ca="1" si="78"/>
        <v>59.66050650239562</v>
      </c>
      <c r="N1210" s="5" t="str">
        <f ca="1">VLOOKUP(Data!M1210,temp!$B$3:$C$9,2,1)</f>
        <v>50-60</v>
      </c>
      <c r="O1210">
        <v>-5089</v>
      </c>
      <c r="P1210" s="8">
        <f t="shared" si="79"/>
        <v>13.932922655715263</v>
      </c>
      <c r="Q1210" s="5" t="str">
        <f t="shared" si="81"/>
        <v>Employed</v>
      </c>
      <c r="R1210">
        <v>1</v>
      </c>
      <c r="S1210">
        <v>0</v>
      </c>
      <c r="T1210">
        <v>0</v>
      </c>
      <c r="U1210">
        <v>0</v>
      </c>
      <c r="V1210" t="s">
        <v>44</v>
      </c>
      <c r="W1210">
        <v>1</v>
      </c>
    </row>
    <row r="1211" spans="1:23" x14ac:dyDescent="0.2">
      <c r="A1211">
        <v>5045015</v>
      </c>
      <c r="B1211" t="s">
        <v>18</v>
      </c>
      <c r="C1211" t="s">
        <v>20</v>
      </c>
      <c r="D1211" t="s">
        <v>20</v>
      </c>
      <c r="E1211">
        <v>2</v>
      </c>
      <c r="F1211">
        <v>144000</v>
      </c>
      <c r="G1211" t="s">
        <v>31</v>
      </c>
      <c r="H1211" t="s">
        <v>27</v>
      </c>
      <c r="I1211" t="s">
        <v>28</v>
      </c>
      <c r="J1211" t="s">
        <v>24</v>
      </c>
      <c r="K1211" s="6">
        <f t="shared" ca="1" si="80"/>
        <v>34081</v>
      </c>
      <c r="L1211">
        <v>-11680</v>
      </c>
      <c r="M1211" s="7">
        <f t="shared" ca="1" si="78"/>
        <v>31.978097193702943</v>
      </c>
      <c r="N1211" s="5" t="str">
        <f ca="1">VLOOKUP(Data!M1211,temp!$B$3:$C$9,2,1)</f>
        <v>30-40</v>
      </c>
      <c r="O1211">
        <v>-3873</v>
      </c>
      <c r="P1211" s="8">
        <f t="shared" si="79"/>
        <v>10.603696098562628</v>
      </c>
      <c r="Q1211" s="5" t="str">
        <f t="shared" si="81"/>
        <v>Employed</v>
      </c>
      <c r="R1211">
        <v>1</v>
      </c>
      <c r="S1211">
        <v>1</v>
      </c>
      <c r="T1211">
        <v>1</v>
      </c>
      <c r="U1211">
        <v>0</v>
      </c>
      <c r="V1211" t="s">
        <v>29</v>
      </c>
      <c r="W1211">
        <v>4</v>
      </c>
    </row>
    <row r="1212" spans="1:23" x14ac:dyDescent="0.2">
      <c r="A1212">
        <v>5045017</v>
      </c>
      <c r="B1212" t="s">
        <v>18</v>
      </c>
      <c r="C1212" t="s">
        <v>20</v>
      </c>
      <c r="D1212" t="s">
        <v>20</v>
      </c>
      <c r="E1212">
        <v>2</v>
      </c>
      <c r="F1212">
        <v>144000</v>
      </c>
      <c r="G1212" t="s">
        <v>31</v>
      </c>
      <c r="H1212" t="s">
        <v>27</v>
      </c>
      <c r="I1212" t="s">
        <v>28</v>
      </c>
      <c r="J1212" t="s">
        <v>24</v>
      </c>
      <c r="K1212" s="6">
        <f t="shared" ca="1" si="80"/>
        <v>34081</v>
      </c>
      <c r="L1212">
        <v>-11680</v>
      </c>
      <c r="M1212" s="7">
        <f t="shared" ca="1" si="78"/>
        <v>31.978097193702943</v>
      </c>
      <c r="N1212" s="5" t="str">
        <f ca="1">VLOOKUP(Data!M1212,temp!$B$3:$C$9,2,1)</f>
        <v>30-40</v>
      </c>
      <c r="O1212">
        <v>-3873</v>
      </c>
      <c r="P1212" s="8">
        <f t="shared" si="79"/>
        <v>10.603696098562628</v>
      </c>
      <c r="Q1212" s="5" t="str">
        <f t="shared" si="81"/>
        <v>Employed</v>
      </c>
      <c r="R1212">
        <v>1</v>
      </c>
      <c r="S1212">
        <v>1</v>
      </c>
      <c r="T1212">
        <v>1</v>
      </c>
      <c r="U1212">
        <v>0</v>
      </c>
      <c r="V1212" t="s">
        <v>29</v>
      </c>
      <c r="W1212">
        <v>4</v>
      </c>
    </row>
    <row r="1213" spans="1:23" x14ac:dyDescent="0.2">
      <c r="A1213">
        <v>5045031</v>
      </c>
      <c r="B1213" t="s">
        <v>18</v>
      </c>
      <c r="C1213" t="s">
        <v>20</v>
      </c>
      <c r="D1213" t="s">
        <v>20</v>
      </c>
      <c r="E1213">
        <v>1</v>
      </c>
      <c r="F1213">
        <v>121500</v>
      </c>
      <c r="G1213" t="s">
        <v>35</v>
      </c>
      <c r="H1213" t="s">
        <v>27</v>
      </c>
      <c r="I1213" t="s">
        <v>28</v>
      </c>
      <c r="J1213" t="s">
        <v>24</v>
      </c>
      <c r="K1213" s="6">
        <f t="shared" ca="1" si="80"/>
        <v>29647</v>
      </c>
      <c r="L1213">
        <v>-16114</v>
      </c>
      <c r="M1213" s="7">
        <f t="shared" ca="1" si="78"/>
        <v>44.11772758384668</v>
      </c>
      <c r="N1213" s="5" t="str">
        <f ca="1">VLOOKUP(Data!M1213,temp!$B$3:$C$9,2,1)</f>
        <v>40-50</v>
      </c>
      <c r="O1213">
        <v>-706</v>
      </c>
      <c r="P1213" s="8">
        <f t="shared" si="79"/>
        <v>1.9329226557152634</v>
      </c>
      <c r="Q1213" s="5" t="str">
        <f t="shared" si="81"/>
        <v>Employed</v>
      </c>
      <c r="R1213">
        <v>1</v>
      </c>
      <c r="S1213">
        <v>0</v>
      </c>
      <c r="T1213">
        <v>0</v>
      </c>
      <c r="U1213">
        <v>0</v>
      </c>
      <c r="V1213" t="s">
        <v>38</v>
      </c>
      <c r="W1213">
        <v>3</v>
      </c>
    </row>
    <row r="1214" spans="1:23" x14ac:dyDescent="0.2">
      <c r="A1214">
        <v>5045049</v>
      </c>
      <c r="B1214" t="s">
        <v>18</v>
      </c>
      <c r="C1214" t="s">
        <v>19</v>
      </c>
      <c r="D1214" t="s">
        <v>19</v>
      </c>
      <c r="E1214">
        <v>0</v>
      </c>
      <c r="F1214">
        <v>202500</v>
      </c>
      <c r="G1214" t="s">
        <v>31</v>
      </c>
      <c r="H1214" t="s">
        <v>22</v>
      </c>
      <c r="I1214" t="s">
        <v>33</v>
      </c>
      <c r="J1214" t="s">
        <v>24</v>
      </c>
      <c r="K1214" s="6">
        <f t="shared" ca="1" si="80"/>
        <v>33770</v>
      </c>
      <c r="L1214">
        <v>-11991</v>
      </c>
      <c r="M1214" s="7">
        <f t="shared" ca="1" si="78"/>
        <v>32.829568788501028</v>
      </c>
      <c r="N1214" s="5" t="str">
        <f ca="1">VLOOKUP(Data!M1214,temp!$B$3:$C$9,2,1)</f>
        <v>30-40</v>
      </c>
      <c r="O1214">
        <v>-706</v>
      </c>
      <c r="P1214" s="8">
        <f t="shared" si="79"/>
        <v>1.9329226557152634</v>
      </c>
      <c r="Q1214" s="5" t="str">
        <f t="shared" si="81"/>
        <v>Employed</v>
      </c>
      <c r="R1214">
        <v>1</v>
      </c>
      <c r="S1214">
        <v>0</v>
      </c>
      <c r="T1214">
        <v>0</v>
      </c>
      <c r="U1214">
        <v>1</v>
      </c>
      <c r="V1214" t="s">
        <v>29</v>
      </c>
      <c r="W1214">
        <v>1</v>
      </c>
    </row>
    <row r="1215" spans="1:23" x14ac:dyDescent="0.2">
      <c r="A1215">
        <v>5045051</v>
      </c>
      <c r="B1215" t="s">
        <v>18</v>
      </c>
      <c r="C1215" t="s">
        <v>19</v>
      </c>
      <c r="D1215" t="s">
        <v>19</v>
      </c>
      <c r="E1215">
        <v>0</v>
      </c>
      <c r="F1215">
        <v>202500</v>
      </c>
      <c r="G1215" t="s">
        <v>31</v>
      </c>
      <c r="H1215" t="s">
        <v>22</v>
      </c>
      <c r="I1215" t="s">
        <v>33</v>
      </c>
      <c r="J1215" t="s">
        <v>24</v>
      </c>
      <c r="K1215" s="6">
        <f t="shared" ca="1" si="80"/>
        <v>33770</v>
      </c>
      <c r="L1215">
        <v>-11991</v>
      </c>
      <c r="M1215" s="7">
        <f t="shared" ca="1" si="78"/>
        <v>32.829568788501028</v>
      </c>
      <c r="N1215" s="5" t="str">
        <f ca="1">VLOOKUP(Data!M1215,temp!$B$3:$C$9,2,1)</f>
        <v>30-40</v>
      </c>
      <c r="O1215">
        <v>-706</v>
      </c>
      <c r="P1215" s="8">
        <f t="shared" si="79"/>
        <v>1.9329226557152634</v>
      </c>
      <c r="Q1215" s="5" t="str">
        <f t="shared" si="81"/>
        <v>Employed</v>
      </c>
      <c r="R1215">
        <v>1</v>
      </c>
      <c r="S1215">
        <v>0</v>
      </c>
      <c r="T1215">
        <v>0</v>
      </c>
      <c r="U1215">
        <v>1</v>
      </c>
      <c r="V1215" t="s">
        <v>29</v>
      </c>
      <c r="W1215">
        <v>1</v>
      </c>
    </row>
    <row r="1216" spans="1:23" x14ac:dyDescent="0.2">
      <c r="A1216">
        <v>5045053</v>
      </c>
      <c r="B1216" t="s">
        <v>18</v>
      </c>
      <c r="C1216" t="s">
        <v>19</v>
      </c>
      <c r="D1216" t="s">
        <v>19</v>
      </c>
      <c r="E1216">
        <v>0</v>
      </c>
      <c r="F1216">
        <v>202500</v>
      </c>
      <c r="G1216" t="s">
        <v>31</v>
      </c>
      <c r="H1216" t="s">
        <v>22</v>
      </c>
      <c r="I1216" t="s">
        <v>33</v>
      </c>
      <c r="J1216" t="s">
        <v>24</v>
      </c>
      <c r="K1216" s="6">
        <f t="shared" ca="1" si="80"/>
        <v>33770</v>
      </c>
      <c r="L1216">
        <v>-11991</v>
      </c>
      <c r="M1216" s="7">
        <f t="shared" ca="1" si="78"/>
        <v>32.829568788501028</v>
      </c>
      <c r="N1216" s="5" t="str">
        <f ca="1">VLOOKUP(Data!M1216,temp!$B$3:$C$9,2,1)</f>
        <v>30-40</v>
      </c>
      <c r="O1216">
        <v>-706</v>
      </c>
      <c r="P1216" s="8">
        <f t="shared" si="79"/>
        <v>1.9329226557152634</v>
      </c>
      <c r="Q1216" s="5" t="str">
        <f t="shared" si="81"/>
        <v>Employed</v>
      </c>
      <c r="R1216">
        <v>1</v>
      </c>
      <c r="S1216">
        <v>0</v>
      </c>
      <c r="T1216">
        <v>0</v>
      </c>
      <c r="U1216">
        <v>1</v>
      </c>
      <c r="V1216" t="s">
        <v>29</v>
      </c>
      <c r="W1216">
        <v>1</v>
      </c>
    </row>
    <row r="1217" spans="1:23" x14ac:dyDescent="0.2">
      <c r="A1217">
        <v>5045056</v>
      </c>
      <c r="B1217" t="s">
        <v>25</v>
      </c>
      <c r="C1217" t="s">
        <v>19</v>
      </c>
      <c r="D1217" t="s">
        <v>20</v>
      </c>
      <c r="E1217">
        <v>2</v>
      </c>
      <c r="F1217">
        <v>675000</v>
      </c>
      <c r="G1217" t="s">
        <v>35</v>
      </c>
      <c r="H1217" t="s">
        <v>27</v>
      </c>
      <c r="I1217" t="s">
        <v>28</v>
      </c>
      <c r="J1217" t="s">
        <v>24</v>
      </c>
      <c r="K1217" s="6">
        <f t="shared" ca="1" si="80"/>
        <v>31598</v>
      </c>
      <c r="L1217">
        <v>-14163</v>
      </c>
      <c r="M1217" s="7">
        <f t="shared" ca="1" si="78"/>
        <v>38.776180698151954</v>
      </c>
      <c r="N1217" s="5" t="str">
        <f ca="1">VLOOKUP(Data!M1217,temp!$B$3:$C$9,2,1)</f>
        <v>30-40</v>
      </c>
      <c r="O1217">
        <v>-6886</v>
      </c>
      <c r="P1217" s="8">
        <f t="shared" si="79"/>
        <v>18.852840520191648</v>
      </c>
      <c r="Q1217" s="5" t="str">
        <f t="shared" si="81"/>
        <v>Employed</v>
      </c>
      <c r="R1217">
        <v>1</v>
      </c>
      <c r="S1217">
        <v>0</v>
      </c>
      <c r="T1217">
        <v>1</v>
      </c>
      <c r="U1217">
        <v>0</v>
      </c>
      <c r="V1217" t="s">
        <v>30</v>
      </c>
      <c r="W1217">
        <v>4</v>
      </c>
    </row>
    <row r="1218" spans="1:23" x14ac:dyDescent="0.2">
      <c r="A1218">
        <v>5045058</v>
      </c>
      <c r="B1218" t="s">
        <v>25</v>
      </c>
      <c r="C1218" t="s">
        <v>19</v>
      </c>
      <c r="D1218" t="s">
        <v>20</v>
      </c>
      <c r="E1218">
        <v>2</v>
      </c>
      <c r="F1218">
        <v>675000</v>
      </c>
      <c r="G1218" t="s">
        <v>35</v>
      </c>
      <c r="H1218" t="s">
        <v>27</v>
      </c>
      <c r="I1218" t="s">
        <v>28</v>
      </c>
      <c r="J1218" t="s">
        <v>24</v>
      </c>
      <c r="K1218" s="6">
        <f t="shared" ca="1" si="80"/>
        <v>31598</v>
      </c>
      <c r="L1218">
        <v>-14163</v>
      </c>
      <c r="M1218" s="7">
        <f t="shared" ca="1" si="78"/>
        <v>38.776180698151954</v>
      </c>
      <c r="N1218" s="5" t="str">
        <f ca="1">VLOOKUP(Data!M1218,temp!$B$3:$C$9,2,1)</f>
        <v>30-40</v>
      </c>
      <c r="O1218">
        <v>-6886</v>
      </c>
      <c r="P1218" s="8">
        <f t="shared" si="79"/>
        <v>18.852840520191648</v>
      </c>
      <c r="Q1218" s="5" t="str">
        <f t="shared" si="81"/>
        <v>Employed</v>
      </c>
      <c r="R1218">
        <v>1</v>
      </c>
      <c r="S1218">
        <v>0</v>
      </c>
      <c r="T1218">
        <v>1</v>
      </c>
      <c r="U1218">
        <v>0</v>
      </c>
      <c r="V1218" t="s">
        <v>30</v>
      </c>
      <c r="W1218">
        <v>4</v>
      </c>
    </row>
    <row r="1219" spans="1:23" x14ac:dyDescent="0.2">
      <c r="A1219">
        <v>5045062</v>
      </c>
      <c r="B1219" t="s">
        <v>25</v>
      </c>
      <c r="C1219" t="s">
        <v>19</v>
      </c>
      <c r="D1219" t="s">
        <v>20</v>
      </c>
      <c r="E1219">
        <v>2</v>
      </c>
      <c r="F1219">
        <v>675000</v>
      </c>
      <c r="G1219" t="s">
        <v>35</v>
      </c>
      <c r="H1219" t="s">
        <v>27</v>
      </c>
      <c r="I1219" t="s">
        <v>28</v>
      </c>
      <c r="J1219" t="s">
        <v>24</v>
      </c>
      <c r="K1219" s="6">
        <f t="shared" ca="1" si="80"/>
        <v>31598</v>
      </c>
      <c r="L1219">
        <v>-14163</v>
      </c>
      <c r="M1219" s="7">
        <f t="shared" ref="M1219:M1282" ca="1" si="82">(TODAY()-K1219)/365.25</f>
        <v>38.776180698151954</v>
      </c>
      <c r="N1219" s="5" t="str">
        <f ca="1">VLOOKUP(Data!M1219,temp!$B$3:$C$9,2,1)</f>
        <v>30-40</v>
      </c>
      <c r="O1219">
        <v>-6886</v>
      </c>
      <c r="P1219" s="8">
        <f t="shared" ref="P1219:P1282" si="83">IF(O1219&lt;=0,ABS(O1219)/365.25,0)</f>
        <v>18.852840520191648</v>
      </c>
      <c r="Q1219" s="5" t="str">
        <f t="shared" si="81"/>
        <v>Employed</v>
      </c>
      <c r="R1219">
        <v>1</v>
      </c>
      <c r="S1219">
        <v>0</v>
      </c>
      <c r="T1219">
        <v>1</v>
      </c>
      <c r="U1219">
        <v>0</v>
      </c>
      <c r="V1219" t="s">
        <v>30</v>
      </c>
      <c r="W1219">
        <v>4</v>
      </c>
    </row>
    <row r="1220" spans="1:23" x14ac:dyDescent="0.2">
      <c r="A1220">
        <v>5045067</v>
      </c>
      <c r="B1220" t="s">
        <v>18</v>
      </c>
      <c r="C1220" t="s">
        <v>19</v>
      </c>
      <c r="D1220" t="s">
        <v>20</v>
      </c>
      <c r="E1220">
        <v>0</v>
      </c>
      <c r="F1220">
        <v>135000</v>
      </c>
      <c r="G1220" t="s">
        <v>26</v>
      </c>
      <c r="H1220" t="s">
        <v>36</v>
      </c>
      <c r="I1220" t="s">
        <v>28</v>
      </c>
      <c r="J1220" t="s">
        <v>24</v>
      </c>
      <c r="K1220" s="6">
        <f t="shared" ca="1" si="80"/>
        <v>37705</v>
      </c>
      <c r="L1220">
        <v>-8056</v>
      </c>
      <c r="M1220" s="7">
        <f t="shared" ca="1" si="82"/>
        <v>22.056125941136209</v>
      </c>
      <c r="N1220" s="5" t="str">
        <f ca="1">VLOOKUP(Data!M1220,temp!$B$3:$C$9,2,1)</f>
        <v>20-30</v>
      </c>
      <c r="O1220">
        <v>-433</v>
      </c>
      <c r="P1220" s="8">
        <f t="shared" si="83"/>
        <v>1.1854893908281998</v>
      </c>
      <c r="Q1220" s="5" t="str">
        <f t="shared" si="81"/>
        <v>Employed</v>
      </c>
      <c r="R1220">
        <v>1</v>
      </c>
      <c r="S1220">
        <v>0</v>
      </c>
      <c r="T1220">
        <v>0</v>
      </c>
      <c r="U1220">
        <v>0</v>
      </c>
      <c r="V1220" t="s">
        <v>38</v>
      </c>
      <c r="W1220">
        <v>2</v>
      </c>
    </row>
    <row r="1221" spans="1:23" x14ac:dyDescent="0.2">
      <c r="A1221">
        <v>5045113</v>
      </c>
      <c r="B1221" t="s">
        <v>18</v>
      </c>
      <c r="C1221" t="s">
        <v>19</v>
      </c>
      <c r="D1221" t="s">
        <v>20</v>
      </c>
      <c r="E1221">
        <v>0</v>
      </c>
      <c r="F1221">
        <v>202500</v>
      </c>
      <c r="G1221" t="s">
        <v>21</v>
      </c>
      <c r="H1221" t="s">
        <v>27</v>
      </c>
      <c r="I1221" t="s">
        <v>42</v>
      </c>
      <c r="J1221" t="s">
        <v>24</v>
      </c>
      <c r="K1221" s="6">
        <f t="shared" ca="1" si="80"/>
        <v>24635</v>
      </c>
      <c r="L1221">
        <v>-21126</v>
      </c>
      <c r="M1221" s="7">
        <f t="shared" ca="1" si="82"/>
        <v>57.839835728952771</v>
      </c>
      <c r="N1221" s="5" t="str">
        <f ca="1">VLOOKUP(Data!M1221,temp!$B$3:$C$9,2,1)</f>
        <v>50-60</v>
      </c>
      <c r="O1221">
        <v>365243</v>
      </c>
      <c r="P1221" s="8">
        <f t="shared" si="83"/>
        <v>0</v>
      </c>
      <c r="Q1221" s="5" t="str">
        <f t="shared" si="81"/>
        <v>Unemployed</v>
      </c>
      <c r="R1221">
        <v>1</v>
      </c>
      <c r="S1221">
        <v>0</v>
      </c>
      <c r="T1221">
        <v>0</v>
      </c>
      <c r="U1221">
        <v>0</v>
      </c>
      <c r="W1221">
        <v>1</v>
      </c>
    </row>
    <row r="1222" spans="1:23" x14ac:dyDescent="0.2">
      <c r="A1222">
        <v>5045122</v>
      </c>
      <c r="B1222" t="s">
        <v>18</v>
      </c>
      <c r="C1222" t="s">
        <v>19</v>
      </c>
      <c r="D1222" t="s">
        <v>20</v>
      </c>
      <c r="E1222">
        <v>0</v>
      </c>
      <c r="F1222">
        <v>202500</v>
      </c>
      <c r="G1222" t="s">
        <v>21</v>
      </c>
      <c r="H1222" t="s">
        <v>27</v>
      </c>
      <c r="I1222" t="s">
        <v>42</v>
      </c>
      <c r="J1222" t="s">
        <v>24</v>
      </c>
      <c r="K1222" s="6">
        <f t="shared" ca="1" si="80"/>
        <v>24635</v>
      </c>
      <c r="L1222">
        <v>-21126</v>
      </c>
      <c r="M1222" s="7">
        <f t="shared" ca="1" si="82"/>
        <v>57.839835728952771</v>
      </c>
      <c r="N1222" s="5" t="str">
        <f ca="1">VLOOKUP(Data!M1222,temp!$B$3:$C$9,2,1)</f>
        <v>50-60</v>
      </c>
      <c r="O1222">
        <v>365243</v>
      </c>
      <c r="P1222" s="8">
        <f t="shared" si="83"/>
        <v>0</v>
      </c>
      <c r="Q1222" s="5" t="str">
        <f t="shared" si="81"/>
        <v>Unemployed</v>
      </c>
      <c r="R1222">
        <v>1</v>
      </c>
      <c r="S1222">
        <v>0</v>
      </c>
      <c r="T1222">
        <v>0</v>
      </c>
      <c r="U1222">
        <v>0</v>
      </c>
      <c r="W1222">
        <v>1</v>
      </c>
    </row>
    <row r="1223" spans="1:23" x14ac:dyDescent="0.2">
      <c r="A1223">
        <v>5045129</v>
      </c>
      <c r="B1223" t="s">
        <v>18</v>
      </c>
      <c r="C1223" t="s">
        <v>19</v>
      </c>
      <c r="D1223" t="s">
        <v>20</v>
      </c>
      <c r="E1223">
        <v>0</v>
      </c>
      <c r="F1223">
        <v>202500</v>
      </c>
      <c r="G1223" t="s">
        <v>21</v>
      </c>
      <c r="H1223" t="s">
        <v>27</v>
      </c>
      <c r="I1223" t="s">
        <v>42</v>
      </c>
      <c r="J1223" t="s">
        <v>24</v>
      </c>
      <c r="K1223" s="6">
        <f t="shared" ca="1" si="80"/>
        <v>24635</v>
      </c>
      <c r="L1223">
        <v>-21126</v>
      </c>
      <c r="M1223" s="7">
        <f t="shared" ca="1" si="82"/>
        <v>57.839835728952771</v>
      </c>
      <c r="N1223" s="5" t="str">
        <f ca="1">VLOOKUP(Data!M1223,temp!$B$3:$C$9,2,1)</f>
        <v>50-60</v>
      </c>
      <c r="O1223">
        <v>365243</v>
      </c>
      <c r="P1223" s="8">
        <f t="shared" si="83"/>
        <v>0</v>
      </c>
      <c r="Q1223" s="5" t="str">
        <f t="shared" si="81"/>
        <v>Unemployed</v>
      </c>
      <c r="R1223">
        <v>1</v>
      </c>
      <c r="S1223">
        <v>0</v>
      </c>
      <c r="T1223">
        <v>0</v>
      </c>
      <c r="U1223">
        <v>0</v>
      </c>
      <c r="W1223">
        <v>1</v>
      </c>
    </row>
    <row r="1224" spans="1:23" x14ac:dyDescent="0.2">
      <c r="A1224">
        <v>5045130</v>
      </c>
      <c r="B1224" t="s">
        <v>18</v>
      </c>
      <c r="C1224" t="s">
        <v>19</v>
      </c>
      <c r="D1224" t="s">
        <v>20</v>
      </c>
      <c r="E1224">
        <v>0</v>
      </c>
      <c r="F1224">
        <v>202500</v>
      </c>
      <c r="G1224" t="s">
        <v>21</v>
      </c>
      <c r="H1224" t="s">
        <v>27</v>
      </c>
      <c r="I1224" t="s">
        <v>42</v>
      </c>
      <c r="J1224" t="s">
        <v>24</v>
      </c>
      <c r="K1224" s="6">
        <f t="shared" ref="K1224:K1287" ca="1" si="84">TODAY()+($L1224)</f>
        <v>24635</v>
      </c>
      <c r="L1224">
        <v>-21126</v>
      </c>
      <c r="M1224" s="7">
        <f t="shared" ca="1" si="82"/>
        <v>57.839835728952771</v>
      </c>
      <c r="N1224" s="5" t="str">
        <f ca="1">VLOOKUP(Data!M1224,temp!$B$3:$C$9,2,1)</f>
        <v>50-60</v>
      </c>
      <c r="O1224">
        <v>365243</v>
      </c>
      <c r="P1224" s="8">
        <f t="shared" si="83"/>
        <v>0</v>
      </c>
      <c r="Q1224" s="5" t="str">
        <f t="shared" ref="Q1224:Q1287" si="85">IF($O1224&gt;0,"Unemployed","Employed")</f>
        <v>Unemployed</v>
      </c>
      <c r="R1224">
        <v>1</v>
      </c>
      <c r="S1224">
        <v>0</v>
      </c>
      <c r="T1224">
        <v>0</v>
      </c>
      <c r="U1224">
        <v>0</v>
      </c>
      <c r="W1224">
        <v>1</v>
      </c>
    </row>
    <row r="1225" spans="1:23" x14ac:dyDescent="0.2">
      <c r="A1225">
        <v>5045166</v>
      </c>
      <c r="B1225" t="s">
        <v>18</v>
      </c>
      <c r="C1225" t="s">
        <v>20</v>
      </c>
      <c r="D1225" t="s">
        <v>20</v>
      </c>
      <c r="E1225">
        <v>2</v>
      </c>
      <c r="F1225">
        <v>126000</v>
      </c>
      <c r="G1225" t="s">
        <v>31</v>
      </c>
      <c r="H1225" t="s">
        <v>36</v>
      </c>
      <c r="I1225" t="s">
        <v>28</v>
      </c>
      <c r="J1225" t="s">
        <v>24</v>
      </c>
      <c r="K1225" s="6">
        <f t="shared" ca="1" si="84"/>
        <v>34329</v>
      </c>
      <c r="L1225">
        <v>-11432</v>
      </c>
      <c r="M1225" s="7">
        <f t="shared" ca="1" si="82"/>
        <v>31.299110198494184</v>
      </c>
      <c r="N1225" s="5" t="str">
        <f ca="1">VLOOKUP(Data!M1225,temp!$B$3:$C$9,2,1)</f>
        <v>30-40</v>
      </c>
      <c r="O1225">
        <v>-129</v>
      </c>
      <c r="P1225" s="8">
        <f t="shared" si="83"/>
        <v>0.35318275154004108</v>
      </c>
      <c r="Q1225" s="5" t="str">
        <f t="shared" si="85"/>
        <v>Employed</v>
      </c>
      <c r="R1225">
        <v>1</v>
      </c>
      <c r="S1225">
        <v>0</v>
      </c>
      <c r="T1225">
        <v>1</v>
      </c>
      <c r="U1225">
        <v>0</v>
      </c>
      <c r="V1225" t="s">
        <v>38</v>
      </c>
      <c r="W1225">
        <v>4</v>
      </c>
    </row>
    <row r="1226" spans="1:23" x14ac:dyDescent="0.2">
      <c r="A1226">
        <v>5045167</v>
      </c>
      <c r="B1226" t="s">
        <v>18</v>
      </c>
      <c r="C1226" t="s">
        <v>20</v>
      </c>
      <c r="D1226" t="s">
        <v>20</v>
      </c>
      <c r="E1226">
        <v>2</v>
      </c>
      <c r="F1226">
        <v>126000</v>
      </c>
      <c r="G1226" t="s">
        <v>31</v>
      </c>
      <c r="H1226" t="s">
        <v>36</v>
      </c>
      <c r="I1226" t="s">
        <v>28</v>
      </c>
      <c r="J1226" t="s">
        <v>24</v>
      </c>
      <c r="K1226" s="6">
        <f t="shared" ca="1" si="84"/>
        <v>34329</v>
      </c>
      <c r="L1226">
        <v>-11432</v>
      </c>
      <c r="M1226" s="7">
        <f t="shared" ca="1" si="82"/>
        <v>31.299110198494184</v>
      </c>
      <c r="N1226" s="5" t="str">
        <f ca="1">VLOOKUP(Data!M1226,temp!$B$3:$C$9,2,1)</f>
        <v>30-40</v>
      </c>
      <c r="O1226">
        <v>-129</v>
      </c>
      <c r="P1226" s="8">
        <f t="shared" si="83"/>
        <v>0.35318275154004108</v>
      </c>
      <c r="Q1226" s="5" t="str">
        <f t="shared" si="85"/>
        <v>Employed</v>
      </c>
      <c r="R1226">
        <v>1</v>
      </c>
      <c r="S1226">
        <v>0</v>
      </c>
      <c r="T1226">
        <v>1</v>
      </c>
      <c r="U1226">
        <v>0</v>
      </c>
      <c r="V1226" t="s">
        <v>38</v>
      </c>
      <c r="W1226">
        <v>4</v>
      </c>
    </row>
    <row r="1227" spans="1:23" x14ac:dyDescent="0.2">
      <c r="A1227">
        <v>5045193</v>
      </c>
      <c r="B1227" t="s">
        <v>18</v>
      </c>
      <c r="C1227" t="s">
        <v>20</v>
      </c>
      <c r="D1227" t="s">
        <v>20</v>
      </c>
      <c r="E1227">
        <v>1</v>
      </c>
      <c r="F1227">
        <v>202500</v>
      </c>
      <c r="G1227" t="s">
        <v>26</v>
      </c>
      <c r="H1227" t="s">
        <v>22</v>
      </c>
      <c r="I1227" t="s">
        <v>33</v>
      </c>
      <c r="J1227" t="s">
        <v>24</v>
      </c>
      <c r="K1227" s="6">
        <f t="shared" ca="1" si="84"/>
        <v>31685</v>
      </c>
      <c r="L1227">
        <v>-14076</v>
      </c>
      <c r="M1227" s="7">
        <f t="shared" ca="1" si="82"/>
        <v>38.53798767967146</v>
      </c>
      <c r="N1227" s="5" t="str">
        <f ca="1">VLOOKUP(Data!M1227,temp!$B$3:$C$9,2,1)</f>
        <v>30-40</v>
      </c>
      <c r="O1227">
        <v>-2106</v>
      </c>
      <c r="P1227" s="8">
        <f t="shared" si="83"/>
        <v>5.7659137577002051</v>
      </c>
      <c r="Q1227" s="5" t="str">
        <f t="shared" si="85"/>
        <v>Employed</v>
      </c>
      <c r="R1227">
        <v>1</v>
      </c>
      <c r="S1227">
        <v>0</v>
      </c>
      <c r="T1227">
        <v>0</v>
      </c>
      <c r="U1227">
        <v>0</v>
      </c>
      <c r="V1227" t="s">
        <v>44</v>
      </c>
      <c r="W1227">
        <v>2</v>
      </c>
    </row>
    <row r="1228" spans="1:23" x14ac:dyDescent="0.2">
      <c r="A1228">
        <v>5045230</v>
      </c>
      <c r="B1228" t="s">
        <v>25</v>
      </c>
      <c r="C1228" t="s">
        <v>19</v>
      </c>
      <c r="D1228" t="s">
        <v>20</v>
      </c>
      <c r="E1228">
        <v>0</v>
      </c>
      <c r="F1228">
        <v>99000</v>
      </c>
      <c r="G1228" t="s">
        <v>31</v>
      </c>
      <c r="H1228" t="s">
        <v>27</v>
      </c>
      <c r="I1228" t="s">
        <v>23</v>
      </c>
      <c r="J1228" t="s">
        <v>24</v>
      </c>
      <c r="K1228" s="6">
        <f t="shared" ca="1" si="84"/>
        <v>27809</v>
      </c>
      <c r="L1228">
        <v>-17952</v>
      </c>
      <c r="M1228" s="7">
        <f t="shared" ca="1" si="82"/>
        <v>49.149897330595479</v>
      </c>
      <c r="N1228" s="5" t="str">
        <f ca="1">VLOOKUP(Data!M1228,temp!$B$3:$C$9,2,1)</f>
        <v>40-50</v>
      </c>
      <c r="O1228">
        <v>-4086</v>
      </c>
      <c r="P1228" s="8">
        <f t="shared" si="83"/>
        <v>11.186858316221766</v>
      </c>
      <c r="Q1228" s="5" t="str">
        <f t="shared" si="85"/>
        <v>Employed</v>
      </c>
      <c r="R1228">
        <v>1</v>
      </c>
      <c r="S1228">
        <v>0</v>
      </c>
      <c r="T1228">
        <v>0</v>
      </c>
      <c r="U1228">
        <v>0</v>
      </c>
      <c r="W1228">
        <v>1</v>
      </c>
    </row>
    <row r="1229" spans="1:23" x14ac:dyDescent="0.2">
      <c r="A1229">
        <v>5045266</v>
      </c>
      <c r="B1229" t="s">
        <v>18</v>
      </c>
      <c r="C1229" t="s">
        <v>19</v>
      </c>
      <c r="D1229" t="s">
        <v>20</v>
      </c>
      <c r="E1229">
        <v>0</v>
      </c>
      <c r="F1229">
        <v>90000</v>
      </c>
      <c r="G1229" t="s">
        <v>21</v>
      </c>
      <c r="H1229" t="s">
        <v>27</v>
      </c>
      <c r="I1229" t="s">
        <v>42</v>
      </c>
      <c r="J1229" t="s">
        <v>24</v>
      </c>
      <c r="K1229" s="6">
        <f t="shared" ca="1" si="84"/>
        <v>24180</v>
      </c>
      <c r="L1229">
        <v>-21581</v>
      </c>
      <c r="M1229" s="7">
        <f t="shared" ca="1" si="82"/>
        <v>59.08555783709788</v>
      </c>
      <c r="N1229" s="5" t="str">
        <f ca="1">VLOOKUP(Data!M1229,temp!$B$3:$C$9,2,1)</f>
        <v>50-60</v>
      </c>
      <c r="O1229">
        <v>365243</v>
      </c>
      <c r="P1229" s="8">
        <f t="shared" si="83"/>
        <v>0</v>
      </c>
      <c r="Q1229" s="5" t="str">
        <f t="shared" si="85"/>
        <v>Unemployed</v>
      </c>
      <c r="R1229">
        <v>1</v>
      </c>
      <c r="S1229">
        <v>0</v>
      </c>
      <c r="T1229">
        <v>0</v>
      </c>
      <c r="U1229">
        <v>0</v>
      </c>
      <c r="W1229">
        <v>1</v>
      </c>
    </row>
    <row r="1230" spans="1:23" x14ac:dyDescent="0.2">
      <c r="A1230">
        <v>5045274</v>
      </c>
      <c r="B1230" t="s">
        <v>18</v>
      </c>
      <c r="C1230" t="s">
        <v>19</v>
      </c>
      <c r="D1230" t="s">
        <v>20</v>
      </c>
      <c r="E1230">
        <v>2</v>
      </c>
      <c r="F1230">
        <v>180000</v>
      </c>
      <c r="G1230" t="s">
        <v>31</v>
      </c>
      <c r="H1230" t="s">
        <v>27</v>
      </c>
      <c r="I1230" t="s">
        <v>28</v>
      </c>
      <c r="J1230" t="s">
        <v>24</v>
      </c>
      <c r="K1230" s="6">
        <f t="shared" ca="1" si="84"/>
        <v>31974</v>
      </c>
      <c r="L1230">
        <v>-13787</v>
      </c>
      <c r="M1230" s="7">
        <f t="shared" ca="1" si="82"/>
        <v>37.746748802190282</v>
      </c>
      <c r="N1230" s="5" t="str">
        <f ca="1">VLOOKUP(Data!M1230,temp!$B$3:$C$9,2,1)</f>
        <v>30-40</v>
      </c>
      <c r="O1230">
        <v>-3082</v>
      </c>
      <c r="P1230" s="8">
        <f t="shared" si="83"/>
        <v>8.4380561259411362</v>
      </c>
      <c r="Q1230" s="5" t="str">
        <f t="shared" si="85"/>
        <v>Employed</v>
      </c>
      <c r="R1230">
        <v>1</v>
      </c>
      <c r="S1230">
        <v>0</v>
      </c>
      <c r="T1230">
        <v>0</v>
      </c>
      <c r="U1230">
        <v>0</v>
      </c>
      <c r="V1230" t="s">
        <v>38</v>
      </c>
      <c r="W1230">
        <v>4</v>
      </c>
    </row>
    <row r="1231" spans="1:23" x14ac:dyDescent="0.2">
      <c r="A1231">
        <v>5045304</v>
      </c>
      <c r="B1231" t="s">
        <v>18</v>
      </c>
      <c r="C1231" t="s">
        <v>20</v>
      </c>
      <c r="D1231" t="s">
        <v>20</v>
      </c>
      <c r="E1231">
        <v>0</v>
      </c>
      <c r="F1231">
        <v>270000</v>
      </c>
      <c r="G1231" t="s">
        <v>35</v>
      </c>
      <c r="H1231" t="s">
        <v>22</v>
      </c>
      <c r="I1231" t="s">
        <v>28</v>
      </c>
      <c r="J1231" t="s">
        <v>24</v>
      </c>
      <c r="K1231" s="6">
        <f t="shared" ca="1" si="84"/>
        <v>23806</v>
      </c>
      <c r="L1231">
        <v>-21955</v>
      </c>
      <c r="M1231" s="7">
        <f t="shared" ca="1" si="82"/>
        <v>60.109514031485283</v>
      </c>
      <c r="N1231" s="5" t="str">
        <f ca="1">VLOOKUP(Data!M1231,temp!$B$3:$C$9,2,1)</f>
        <v>60-70</v>
      </c>
      <c r="O1231">
        <v>-12455</v>
      </c>
      <c r="P1231" s="8">
        <f t="shared" si="83"/>
        <v>34.099931553730322</v>
      </c>
      <c r="Q1231" s="5" t="str">
        <f t="shared" si="85"/>
        <v>Employed</v>
      </c>
      <c r="R1231">
        <v>1</v>
      </c>
      <c r="S1231">
        <v>0</v>
      </c>
      <c r="T1231">
        <v>0</v>
      </c>
      <c r="U1231">
        <v>0</v>
      </c>
      <c r="V1231" t="s">
        <v>38</v>
      </c>
      <c r="W1231">
        <v>2</v>
      </c>
    </row>
    <row r="1232" spans="1:23" x14ac:dyDescent="0.2">
      <c r="A1232">
        <v>5045353</v>
      </c>
      <c r="B1232" t="s">
        <v>18</v>
      </c>
      <c r="C1232" t="s">
        <v>19</v>
      </c>
      <c r="D1232" t="s">
        <v>20</v>
      </c>
      <c r="E1232">
        <v>0</v>
      </c>
      <c r="F1232">
        <v>157500</v>
      </c>
      <c r="G1232" t="s">
        <v>21</v>
      </c>
      <c r="H1232" t="s">
        <v>27</v>
      </c>
      <c r="I1232" t="s">
        <v>28</v>
      </c>
      <c r="J1232" t="s">
        <v>24</v>
      </c>
      <c r="K1232" s="6">
        <f t="shared" ca="1" si="84"/>
        <v>24176</v>
      </c>
      <c r="L1232">
        <v>-21585</v>
      </c>
      <c r="M1232" s="7">
        <f t="shared" ca="1" si="82"/>
        <v>59.096509240246405</v>
      </c>
      <c r="N1232" s="5" t="str">
        <f ca="1">VLOOKUP(Data!M1232,temp!$B$3:$C$9,2,1)</f>
        <v>50-60</v>
      </c>
      <c r="O1232">
        <v>365243</v>
      </c>
      <c r="P1232" s="8">
        <f t="shared" si="83"/>
        <v>0</v>
      </c>
      <c r="Q1232" s="5" t="str">
        <f t="shared" si="85"/>
        <v>Unemployed</v>
      </c>
      <c r="R1232">
        <v>1</v>
      </c>
      <c r="S1232">
        <v>0</v>
      </c>
      <c r="T1232">
        <v>1</v>
      </c>
      <c r="U1232">
        <v>0</v>
      </c>
      <c r="W1232">
        <v>2</v>
      </c>
    </row>
    <row r="1233" spans="1:23" x14ac:dyDescent="0.2">
      <c r="A1233">
        <v>5045357</v>
      </c>
      <c r="B1233" t="s">
        <v>25</v>
      </c>
      <c r="C1233" t="s">
        <v>20</v>
      </c>
      <c r="D1233" t="s">
        <v>20</v>
      </c>
      <c r="E1233">
        <v>0</v>
      </c>
      <c r="F1233">
        <v>360000</v>
      </c>
      <c r="G1233" t="s">
        <v>31</v>
      </c>
      <c r="H1233" t="s">
        <v>27</v>
      </c>
      <c r="I1233" t="s">
        <v>28</v>
      </c>
      <c r="J1233" t="s">
        <v>24</v>
      </c>
      <c r="K1233" s="6">
        <f t="shared" ca="1" si="84"/>
        <v>24503</v>
      </c>
      <c r="L1233">
        <v>-21258</v>
      </c>
      <c r="M1233" s="7">
        <f t="shared" ca="1" si="82"/>
        <v>58.201232032854207</v>
      </c>
      <c r="N1233" s="5" t="str">
        <f ca="1">VLOOKUP(Data!M1233,temp!$B$3:$C$9,2,1)</f>
        <v>50-60</v>
      </c>
      <c r="O1233">
        <v>-2057</v>
      </c>
      <c r="P1233" s="8">
        <f t="shared" si="83"/>
        <v>5.631759069130732</v>
      </c>
      <c r="Q1233" s="5" t="str">
        <f t="shared" si="85"/>
        <v>Employed</v>
      </c>
      <c r="R1233">
        <v>1</v>
      </c>
      <c r="S1233">
        <v>1</v>
      </c>
      <c r="T1233">
        <v>1</v>
      </c>
      <c r="U1233">
        <v>0</v>
      </c>
      <c r="V1233" t="s">
        <v>47</v>
      </c>
      <c r="W1233">
        <v>2</v>
      </c>
    </row>
    <row r="1234" spans="1:23" x14ac:dyDescent="0.2">
      <c r="A1234">
        <v>5045367</v>
      </c>
      <c r="B1234" t="s">
        <v>25</v>
      </c>
      <c r="C1234" t="s">
        <v>19</v>
      </c>
      <c r="D1234" t="s">
        <v>19</v>
      </c>
      <c r="E1234">
        <v>0</v>
      </c>
      <c r="F1234">
        <v>166500</v>
      </c>
      <c r="G1234" t="s">
        <v>31</v>
      </c>
      <c r="H1234" t="s">
        <v>36</v>
      </c>
      <c r="I1234" t="s">
        <v>33</v>
      </c>
      <c r="J1234" t="s">
        <v>45</v>
      </c>
      <c r="K1234" s="6">
        <f t="shared" ca="1" si="84"/>
        <v>32838</v>
      </c>
      <c r="L1234">
        <v>-12923</v>
      </c>
      <c r="M1234" s="7">
        <f t="shared" ca="1" si="82"/>
        <v>35.381245722108147</v>
      </c>
      <c r="N1234" s="5" t="str">
        <f ca="1">VLOOKUP(Data!M1234,temp!$B$3:$C$9,2,1)</f>
        <v>30-40</v>
      </c>
      <c r="O1234">
        <v>-170</v>
      </c>
      <c r="P1234" s="8">
        <f t="shared" si="83"/>
        <v>0.4654346338124572</v>
      </c>
      <c r="Q1234" s="5" t="str">
        <f t="shared" si="85"/>
        <v>Employed</v>
      </c>
      <c r="R1234">
        <v>1</v>
      </c>
      <c r="S1234">
        <v>0</v>
      </c>
      <c r="T1234">
        <v>0</v>
      </c>
      <c r="U1234">
        <v>0</v>
      </c>
      <c r="V1234" t="s">
        <v>55</v>
      </c>
      <c r="W1234">
        <v>1</v>
      </c>
    </row>
    <row r="1235" spans="1:23" x14ac:dyDescent="0.2">
      <c r="A1235">
        <v>5045380</v>
      </c>
      <c r="B1235" t="s">
        <v>25</v>
      </c>
      <c r="C1235" t="s">
        <v>20</v>
      </c>
      <c r="D1235" t="s">
        <v>20</v>
      </c>
      <c r="E1235">
        <v>0</v>
      </c>
      <c r="F1235">
        <v>261000</v>
      </c>
      <c r="G1235" t="s">
        <v>31</v>
      </c>
      <c r="H1235" t="s">
        <v>36</v>
      </c>
      <c r="I1235" t="s">
        <v>28</v>
      </c>
      <c r="J1235" t="s">
        <v>24</v>
      </c>
      <c r="K1235" s="6">
        <f t="shared" ca="1" si="84"/>
        <v>29825</v>
      </c>
      <c r="L1235">
        <v>-15936</v>
      </c>
      <c r="M1235" s="7">
        <f t="shared" ca="1" si="82"/>
        <v>43.630390143737166</v>
      </c>
      <c r="N1235" s="5" t="str">
        <f ca="1">VLOOKUP(Data!M1235,temp!$B$3:$C$9,2,1)</f>
        <v>40-50</v>
      </c>
      <c r="O1235">
        <v>-1508</v>
      </c>
      <c r="P1235" s="8">
        <f t="shared" si="83"/>
        <v>4.128678986995209</v>
      </c>
      <c r="Q1235" s="5" t="str">
        <f t="shared" si="85"/>
        <v>Employed</v>
      </c>
      <c r="R1235">
        <v>1</v>
      </c>
      <c r="S1235">
        <v>0</v>
      </c>
      <c r="T1235">
        <v>1</v>
      </c>
      <c r="U1235">
        <v>0</v>
      </c>
      <c r="V1235" t="s">
        <v>32</v>
      </c>
      <c r="W1235">
        <v>2</v>
      </c>
    </row>
    <row r="1236" spans="1:23" x14ac:dyDescent="0.2">
      <c r="A1236">
        <v>5045390</v>
      </c>
      <c r="B1236" t="s">
        <v>25</v>
      </c>
      <c r="C1236" t="s">
        <v>20</v>
      </c>
      <c r="D1236" t="s">
        <v>20</v>
      </c>
      <c r="E1236">
        <v>0</v>
      </c>
      <c r="F1236">
        <v>261000</v>
      </c>
      <c r="G1236" t="s">
        <v>31</v>
      </c>
      <c r="H1236" t="s">
        <v>36</v>
      </c>
      <c r="I1236" t="s">
        <v>28</v>
      </c>
      <c r="J1236" t="s">
        <v>24</v>
      </c>
      <c r="K1236" s="6">
        <f t="shared" ca="1" si="84"/>
        <v>29825</v>
      </c>
      <c r="L1236">
        <v>-15936</v>
      </c>
      <c r="M1236" s="7">
        <f t="shared" ca="1" si="82"/>
        <v>43.630390143737166</v>
      </c>
      <c r="N1236" s="5" t="str">
        <f ca="1">VLOOKUP(Data!M1236,temp!$B$3:$C$9,2,1)</f>
        <v>40-50</v>
      </c>
      <c r="O1236">
        <v>-1508</v>
      </c>
      <c r="P1236" s="8">
        <f t="shared" si="83"/>
        <v>4.128678986995209</v>
      </c>
      <c r="Q1236" s="5" t="str">
        <f t="shared" si="85"/>
        <v>Employed</v>
      </c>
      <c r="R1236">
        <v>1</v>
      </c>
      <c r="S1236">
        <v>0</v>
      </c>
      <c r="T1236">
        <v>1</v>
      </c>
      <c r="U1236">
        <v>0</v>
      </c>
      <c r="V1236" t="s">
        <v>32</v>
      </c>
      <c r="W1236">
        <v>2</v>
      </c>
    </row>
    <row r="1237" spans="1:23" x14ac:dyDescent="0.2">
      <c r="A1237">
        <v>5045393</v>
      </c>
      <c r="B1237" t="s">
        <v>25</v>
      </c>
      <c r="C1237" t="s">
        <v>19</v>
      </c>
      <c r="D1237" t="s">
        <v>20</v>
      </c>
      <c r="E1237">
        <v>0</v>
      </c>
      <c r="F1237">
        <v>112500</v>
      </c>
      <c r="G1237" t="s">
        <v>26</v>
      </c>
      <c r="H1237" t="s">
        <v>27</v>
      </c>
      <c r="I1237" t="s">
        <v>28</v>
      </c>
      <c r="J1237" t="s">
        <v>24</v>
      </c>
      <c r="K1237" s="6">
        <f t="shared" ca="1" si="84"/>
        <v>24587</v>
      </c>
      <c r="L1237">
        <v>-21174</v>
      </c>
      <c r="M1237" s="7">
        <f t="shared" ca="1" si="82"/>
        <v>57.97125256673511</v>
      </c>
      <c r="N1237" s="5" t="str">
        <f ca="1">VLOOKUP(Data!M1237,temp!$B$3:$C$9,2,1)</f>
        <v>50-60</v>
      </c>
      <c r="O1237">
        <v>-657</v>
      </c>
      <c r="P1237" s="8">
        <f t="shared" si="83"/>
        <v>1.7987679671457906</v>
      </c>
      <c r="Q1237" s="5" t="str">
        <f t="shared" si="85"/>
        <v>Employed</v>
      </c>
      <c r="R1237">
        <v>1</v>
      </c>
      <c r="S1237">
        <v>1</v>
      </c>
      <c r="T1237">
        <v>0</v>
      </c>
      <c r="U1237">
        <v>1</v>
      </c>
      <c r="W1237">
        <v>2</v>
      </c>
    </row>
    <row r="1238" spans="1:23" x14ac:dyDescent="0.2">
      <c r="A1238">
        <v>5045397</v>
      </c>
      <c r="B1238" t="s">
        <v>18</v>
      </c>
      <c r="C1238" t="s">
        <v>19</v>
      </c>
      <c r="D1238" t="s">
        <v>20</v>
      </c>
      <c r="E1238">
        <v>1</v>
      </c>
      <c r="F1238">
        <v>126000</v>
      </c>
      <c r="G1238" t="s">
        <v>31</v>
      </c>
      <c r="H1238" t="s">
        <v>27</v>
      </c>
      <c r="I1238" t="s">
        <v>28</v>
      </c>
      <c r="J1238" t="s">
        <v>24</v>
      </c>
      <c r="K1238" s="6">
        <f t="shared" ca="1" si="84"/>
        <v>34300</v>
      </c>
      <c r="L1238">
        <v>-11461</v>
      </c>
      <c r="M1238" s="7">
        <f t="shared" ca="1" si="82"/>
        <v>31.378507871321013</v>
      </c>
      <c r="N1238" s="5" t="str">
        <f ca="1">VLOOKUP(Data!M1238,temp!$B$3:$C$9,2,1)</f>
        <v>30-40</v>
      </c>
      <c r="O1238">
        <v>-1204</v>
      </c>
      <c r="P1238" s="8">
        <f t="shared" si="83"/>
        <v>3.2963723477070501</v>
      </c>
      <c r="Q1238" s="5" t="str">
        <f t="shared" si="85"/>
        <v>Employed</v>
      </c>
      <c r="R1238">
        <v>1</v>
      </c>
      <c r="S1238">
        <v>1</v>
      </c>
      <c r="T1238">
        <v>1</v>
      </c>
      <c r="U1238">
        <v>0</v>
      </c>
      <c r="V1238" t="s">
        <v>46</v>
      </c>
      <c r="W1238">
        <v>3</v>
      </c>
    </row>
    <row r="1239" spans="1:23" x14ac:dyDescent="0.2">
      <c r="A1239">
        <v>5045402</v>
      </c>
      <c r="B1239" t="s">
        <v>18</v>
      </c>
      <c r="C1239" t="s">
        <v>19</v>
      </c>
      <c r="D1239" t="s">
        <v>20</v>
      </c>
      <c r="E1239">
        <v>1</v>
      </c>
      <c r="F1239">
        <v>126000</v>
      </c>
      <c r="G1239" t="s">
        <v>31</v>
      </c>
      <c r="H1239" t="s">
        <v>27</v>
      </c>
      <c r="I1239" t="s">
        <v>28</v>
      </c>
      <c r="J1239" t="s">
        <v>24</v>
      </c>
      <c r="K1239" s="6">
        <f t="shared" ca="1" si="84"/>
        <v>34300</v>
      </c>
      <c r="L1239">
        <v>-11461</v>
      </c>
      <c r="M1239" s="7">
        <f t="shared" ca="1" si="82"/>
        <v>31.378507871321013</v>
      </c>
      <c r="N1239" s="5" t="str">
        <f ca="1">VLOOKUP(Data!M1239,temp!$B$3:$C$9,2,1)</f>
        <v>30-40</v>
      </c>
      <c r="O1239">
        <v>-1204</v>
      </c>
      <c r="P1239" s="8">
        <f t="shared" si="83"/>
        <v>3.2963723477070501</v>
      </c>
      <c r="Q1239" s="5" t="str">
        <f t="shared" si="85"/>
        <v>Employed</v>
      </c>
      <c r="R1239">
        <v>1</v>
      </c>
      <c r="S1239">
        <v>1</v>
      </c>
      <c r="T1239">
        <v>1</v>
      </c>
      <c r="U1239">
        <v>0</v>
      </c>
      <c r="V1239" t="s">
        <v>46</v>
      </c>
      <c r="W1239">
        <v>3</v>
      </c>
    </row>
    <row r="1240" spans="1:23" x14ac:dyDescent="0.2">
      <c r="A1240">
        <v>5045405</v>
      </c>
      <c r="B1240" t="s">
        <v>18</v>
      </c>
      <c r="C1240" t="s">
        <v>19</v>
      </c>
      <c r="D1240" t="s">
        <v>20</v>
      </c>
      <c r="E1240">
        <v>1</v>
      </c>
      <c r="F1240">
        <v>126000</v>
      </c>
      <c r="G1240" t="s">
        <v>31</v>
      </c>
      <c r="H1240" t="s">
        <v>27</v>
      </c>
      <c r="I1240" t="s">
        <v>28</v>
      </c>
      <c r="J1240" t="s">
        <v>24</v>
      </c>
      <c r="K1240" s="6">
        <f t="shared" ca="1" si="84"/>
        <v>34300</v>
      </c>
      <c r="L1240">
        <v>-11461</v>
      </c>
      <c r="M1240" s="7">
        <f t="shared" ca="1" si="82"/>
        <v>31.378507871321013</v>
      </c>
      <c r="N1240" s="5" t="str">
        <f ca="1">VLOOKUP(Data!M1240,temp!$B$3:$C$9,2,1)</f>
        <v>30-40</v>
      </c>
      <c r="O1240">
        <v>-1204</v>
      </c>
      <c r="P1240" s="8">
        <f t="shared" si="83"/>
        <v>3.2963723477070501</v>
      </c>
      <c r="Q1240" s="5" t="str">
        <f t="shared" si="85"/>
        <v>Employed</v>
      </c>
      <c r="R1240">
        <v>1</v>
      </c>
      <c r="S1240">
        <v>1</v>
      </c>
      <c r="T1240">
        <v>1</v>
      </c>
      <c r="U1240">
        <v>0</v>
      </c>
      <c r="V1240" t="s">
        <v>46</v>
      </c>
      <c r="W1240">
        <v>3</v>
      </c>
    </row>
    <row r="1241" spans="1:23" x14ac:dyDescent="0.2">
      <c r="A1241">
        <v>5045414</v>
      </c>
      <c r="B1241" t="s">
        <v>18</v>
      </c>
      <c r="C1241" t="s">
        <v>20</v>
      </c>
      <c r="D1241" t="s">
        <v>20</v>
      </c>
      <c r="E1241">
        <v>0</v>
      </c>
      <c r="F1241">
        <v>72000</v>
      </c>
      <c r="G1241" t="s">
        <v>21</v>
      </c>
      <c r="H1241" t="s">
        <v>27</v>
      </c>
      <c r="I1241" t="s">
        <v>28</v>
      </c>
      <c r="J1241" t="s">
        <v>24</v>
      </c>
      <c r="K1241" s="6">
        <f t="shared" ca="1" si="84"/>
        <v>23447</v>
      </c>
      <c r="L1241">
        <v>-22314</v>
      </c>
      <c r="M1241" s="7">
        <f t="shared" ca="1" si="82"/>
        <v>61.092402464065707</v>
      </c>
      <c r="N1241" s="5" t="str">
        <f ca="1">VLOOKUP(Data!M1241,temp!$B$3:$C$9,2,1)</f>
        <v>60-70</v>
      </c>
      <c r="O1241">
        <v>365243</v>
      </c>
      <c r="P1241" s="8">
        <f t="shared" si="83"/>
        <v>0</v>
      </c>
      <c r="Q1241" s="5" t="str">
        <f t="shared" si="85"/>
        <v>Unemployed</v>
      </c>
      <c r="R1241">
        <v>1</v>
      </c>
      <c r="S1241">
        <v>0</v>
      </c>
      <c r="T1241">
        <v>1</v>
      </c>
      <c r="U1241">
        <v>0</v>
      </c>
      <c r="W1241">
        <v>2</v>
      </c>
    </row>
    <row r="1242" spans="1:23" x14ac:dyDescent="0.2">
      <c r="A1242">
        <v>5045432</v>
      </c>
      <c r="B1242" t="s">
        <v>25</v>
      </c>
      <c r="C1242" t="s">
        <v>20</v>
      </c>
      <c r="D1242" t="s">
        <v>20</v>
      </c>
      <c r="E1242">
        <v>0</v>
      </c>
      <c r="F1242">
        <v>135000</v>
      </c>
      <c r="G1242" t="s">
        <v>31</v>
      </c>
      <c r="H1242" t="s">
        <v>27</v>
      </c>
      <c r="I1242" t="s">
        <v>33</v>
      </c>
      <c r="J1242" t="s">
        <v>24</v>
      </c>
      <c r="K1242" s="6">
        <f t="shared" ca="1" si="84"/>
        <v>32354</v>
      </c>
      <c r="L1242">
        <v>-13407</v>
      </c>
      <c r="M1242" s="7">
        <f t="shared" ca="1" si="82"/>
        <v>36.706365503080079</v>
      </c>
      <c r="N1242" s="5" t="str">
        <f ca="1">VLOOKUP(Data!M1242,temp!$B$3:$C$9,2,1)</f>
        <v>30-40</v>
      </c>
      <c r="O1242">
        <v>-535</v>
      </c>
      <c r="P1242" s="8">
        <f t="shared" si="83"/>
        <v>1.4647501711156743</v>
      </c>
      <c r="Q1242" s="5" t="str">
        <f t="shared" si="85"/>
        <v>Employed</v>
      </c>
      <c r="R1242">
        <v>1</v>
      </c>
      <c r="S1242">
        <v>0</v>
      </c>
      <c r="T1242">
        <v>0</v>
      </c>
      <c r="U1242">
        <v>0</v>
      </c>
      <c r="V1242" t="s">
        <v>29</v>
      </c>
      <c r="W1242">
        <v>1</v>
      </c>
    </row>
    <row r="1243" spans="1:23" x14ac:dyDescent="0.2">
      <c r="A1243">
        <v>5045439</v>
      </c>
      <c r="B1243" t="s">
        <v>25</v>
      </c>
      <c r="C1243" t="s">
        <v>20</v>
      </c>
      <c r="D1243" t="s">
        <v>20</v>
      </c>
      <c r="E1243">
        <v>0</v>
      </c>
      <c r="F1243">
        <v>180000</v>
      </c>
      <c r="G1243" t="s">
        <v>21</v>
      </c>
      <c r="H1243" t="s">
        <v>22</v>
      </c>
      <c r="I1243" t="s">
        <v>28</v>
      </c>
      <c r="J1243" t="s">
        <v>24</v>
      </c>
      <c r="K1243" s="6">
        <f t="shared" ca="1" si="84"/>
        <v>22215</v>
      </c>
      <c r="L1243">
        <v>-23546</v>
      </c>
      <c r="M1243" s="7">
        <f t="shared" ca="1" si="82"/>
        <v>64.465434633812464</v>
      </c>
      <c r="N1243" s="5" t="str">
        <f ca="1">VLOOKUP(Data!M1243,temp!$B$3:$C$9,2,1)</f>
        <v>60-70</v>
      </c>
      <c r="O1243">
        <v>365243</v>
      </c>
      <c r="P1243" s="8">
        <f t="shared" si="83"/>
        <v>0</v>
      </c>
      <c r="Q1243" s="5" t="str">
        <f t="shared" si="85"/>
        <v>Unemployed</v>
      </c>
      <c r="R1243">
        <v>1</v>
      </c>
      <c r="S1243">
        <v>0</v>
      </c>
      <c r="T1243">
        <v>0</v>
      </c>
      <c r="U1243">
        <v>0</v>
      </c>
      <c r="W1243">
        <v>2</v>
      </c>
    </row>
    <row r="1244" spans="1:23" x14ac:dyDescent="0.2">
      <c r="A1244">
        <v>5045453</v>
      </c>
      <c r="B1244" t="s">
        <v>18</v>
      </c>
      <c r="C1244" t="s">
        <v>20</v>
      </c>
      <c r="D1244" t="s">
        <v>20</v>
      </c>
      <c r="E1244">
        <v>0</v>
      </c>
      <c r="F1244">
        <v>247500</v>
      </c>
      <c r="G1244" t="s">
        <v>31</v>
      </c>
      <c r="H1244" t="s">
        <v>27</v>
      </c>
      <c r="I1244" t="s">
        <v>33</v>
      </c>
      <c r="J1244" t="s">
        <v>24</v>
      </c>
      <c r="K1244" s="6">
        <f t="shared" ca="1" si="84"/>
        <v>26715</v>
      </c>
      <c r="L1244">
        <v>-19046</v>
      </c>
      <c r="M1244" s="7">
        <f t="shared" ca="1" si="82"/>
        <v>52.145106091717999</v>
      </c>
      <c r="N1244" s="5" t="str">
        <f ca="1">VLOOKUP(Data!M1244,temp!$B$3:$C$9,2,1)</f>
        <v>50-60</v>
      </c>
      <c r="O1244">
        <v>-5618</v>
      </c>
      <c r="P1244" s="8">
        <f t="shared" si="83"/>
        <v>15.381245722108146</v>
      </c>
      <c r="Q1244" s="5" t="str">
        <f t="shared" si="85"/>
        <v>Employed</v>
      </c>
      <c r="R1244">
        <v>1</v>
      </c>
      <c r="S1244">
        <v>0</v>
      </c>
      <c r="T1244">
        <v>0</v>
      </c>
      <c r="U1244">
        <v>0</v>
      </c>
      <c r="V1244" t="s">
        <v>29</v>
      </c>
      <c r="W1244">
        <v>1</v>
      </c>
    </row>
    <row r="1245" spans="1:23" x14ac:dyDescent="0.2">
      <c r="A1245">
        <v>5045462</v>
      </c>
      <c r="B1245" t="s">
        <v>18</v>
      </c>
      <c r="C1245" t="s">
        <v>20</v>
      </c>
      <c r="D1245" t="s">
        <v>20</v>
      </c>
      <c r="E1245">
        <v>0</v>
      </c>
      <c r="F1245">
        <v>180000</v>
      </c>
      <c r="G1245" t="s">
        <v>26</v>
      </c>
      <c r="H1245" t="s">
        <v>27</v>
      </c>
      <c r="I1245" t="s">
        <v>28</v>
      </c>
      <c r="J1245" t="s">
        <v>24</v>
      </c>
      <c r="K1245" s="6">
        <f t="shared" ca="1" si="84"/>
        <v>37627</v>
      </c>
      <c r="L1245">
        <v>-8134</v>
      </c>
      <c r="M1245" s="7">
        <f t="shared" ca="1" si="82"/>
        <v>22.269678302532512</v>
      </c>
      <c r="N1245" s="5" t="str">
        <f ca="1">VLOOKUP(Data!M1245,temp!$B$3:$C$9,2,1)</f>
        <v>20-30</v>
      </c>
      <c r="O1245">
        <v>-657</v>
      </c>
      <c r="P1245" s="8">
        <f t="shared" si="83"/>
        <v>1.7987679671457906</v>
      </c>
      <c r="Q1245" s="5" t="str">
        <f t="shared" si="85"/>
        <v>Employed</v>
      </c>
      <c r="R1245">
        <v>1</v>
      </c>
      <c r="S1245">
        <v>0</v>
      </c>
      <c r="T1245">
        <v>0</v>
      </c>
      <c r="U1245">
        <v>0</v>
      </c>
      <c r="V1245" t="s">
        <v>32</v>
      </c>
      <c r="W1245">
        <v>2</v>
      </c>
    </row>
    <row r="1246" spans="1:23" x14ac:dyDescent="0.2">
      <c r="A1246">
        <v>5045465</v>
      </c>
      <c r="B1246" t="s">
        <v>18</v>
      </c>
      <c r="C1246" t="s">
        <v>19</v>
      </c>
      <c r="D1246" t="s">
        <v>19</v>
      </c>
      <c r="E1246">
        <v>0</v>
      </c>
      <c r="F1246">
        <v>270000</v>
      </c>
      <c r="G1246" t="s">
        <v>31</v>
      </c>
      <c r="H1246" t="s">
        <v>22</v>
      </c>
      <c r="I1246" t="s">
        <v>33</v>
      </c>
      <c r="J1246" t="s">
        <v>34</v>
      </c>
      <c r="K1246" s="6">
        <f t="shared" ca="1" si="84"/>
        <v>31999</v>
      </c>
      <c r="L1246">
        <v>-13762</v>
      </c>
      <c r="M1246" s="7">
        <f t="shared" ca="1" si="82"/>
        <v>37.678302532511978</v>
      </c>
      <c r="N1246" s="5" t="str">
        <f ca="1">VLOOKUP(Data!M1246,temp!$B$3:$C$9,2,1)</f>
        <v>30-40</v>
      </c>
      <c r="O1246">
        <v>-1965</v>
      </c>
      <c r="P1246" s="8">
        <f t="shared" si="83"/>
        <v>5.3798767967145791</v>
      </c>
      <c r="Q1246" s="5" t="str">
        <f t="shared" si="85"/>
        <v>Employed</v>
      </c>
      <c r="R1246">
        <v>1</v>
      </c>
      <c r="S1246">
        <v>1</v>
      </c>
      <c r="T1246">
        <v>0</v>
      </c>
      <c r="U1246">
        <v>0</v>
      </c>
      <c r="V1246" t="s">
        <v>50</v>
      </c>
      <c r="W1246">
        <v>1</v>
      </c>
    </row>
    <row r="1247" spans="1:23" x14ac:dyDescent="0.2">
      <c r="A1247">
        <v>5045508</v>
      </c>
      <c r="B1247" t="s">
        <v>25</v>
      </c>
      <c r="C1247" t="s">
        <v>20</v>
      </c>
      <c r="D1247" t="s">
        <v>19</v>
      </c>
      <c r="E1247">
        <v>1</v>
      </c>
      <c r="F1247">
        <v>180000</v>
      </c>
      <c r="G1247" t="s">
        <v>31</v>
      </c>
      <c r="H1247" t="s">
        <v>27</v>
      </c>
      <c r="I1247" t="s">
        <v>28</v>
      </c>
      <c r="J1247" t="s">
        <v>24</v>
      </c>
      <c r="K1247" s="6">
        <f t="shared" ca="1" si="84"/>
        <v>34263</v>
      </c>
      <c r="L1247">
        <v>-11498</v>
      </c>
      <c r="M1247" s="7">
        <f t="shared" ca="1" si="82"/>
        <v>31.479808350444902</v>
      </c>
      <c r="N1247" s="5" t="str">
        <f ca="1">VLOOKUP(Data!M1247,temp!$B$3:$C$9,2,1)</f>
        <v>30-40</v>
      </c>
      <c r="O1247">
        <v>-4491</v>
      </c>
      <c r="P1247" s="8">
        <f t="shared" si="83"/>
        <v>12.295687885010267</v>
      </c>
      <c r="Q1247" s="5" t="str">
        <f t="shared" si="85"/>
        <v>Employed</v>
      </c>
      <c r="R1247">
        <v>1</v>
      </c>
      <c r="S1247">
        <v>0</v>
      </c>
      <c r="T1247">
        <v>0</v>
      </c>
      <c r="U1247">
        <v>0</v>
      </c>
      <c r="W1247">
        <v>3</v>
      </c>
    </row>
    <row r="1248" spans="1:23" x14ac:dyDescent="0.2">
      <c r="A1248">
        <v>5045512</v>
      </c>
      <c r="B1248" t="s">
        <v>25</v>
      </c>
      <c r="C1248" t="s">
        <v>20</v>
      </c>
      <c r="D1248" t="s">
        <v>19</v>
      </c>
      <c r="E1248">
        <v>1</v>
      </c>
      <c r="F1248">
        <v>180000</v>
      </c>
      <c r="G1248" t="s">
        <v>31</v>
      </c>
      <c r="H1248" t="s">
        <v>27</v>
      </c>
      <c r="I1248" t="s">
        <v>28</v>
      </c>
      <c r="J1248" t="s">
        <v>24</v>
      </c>
      <c r="K1248" s="6">
        <f t="shared" ca="1" si="84"/>
        <v>34263</v>
      </c>
      <c r="L1248">
        <v>-11498</v>
      </c>
      <c r="M1248" s="7">
        <f t="shared" ca="1" si="82"/>
        <v>31.479808350444902</v>
      </c>
      <c r="N1248" s="5" t="str">
        <f ca="1">VLOOKUP(Data!M1248,temp!$B$3:$C$9,2,1)</f>
        <v>30-40</v>
      </c>
      <c r="O1248">
        <v>-4491</v>
      </c>
      <c r="P1248" s="8">
        <f t="shared" si="83"/>
        <v>12.295687885010267</v>
      </c>
      <c r="Q1248" s="5" t="str">
        <f t="shared" si="85"/>
        <v>Employed</v>
      </c>
      <c r="R1248">
        <v>1</v>
      </c>
      <c r="S1248">
        <v>0</v>
      </c>
      <c r="T1248">
        <v>0</v>
      </c>
      <c r="U1248">
        <v>0</v>
      </c>
      <c r="W1248">
        <v>3</v>
      </c>
    </row>
    <row r="1249" spans="1:23" x14ac:dyDescent="0.2">
      <c r="A1249">
        <v>5045526</v>
      </c>
      <c r="B1249" t="s">
        <v>18</v>
      </c>
      <c r="C1249" t="s">
        <v>19</v>
      </c>
      <c r="D1249" t="s">
        <v>20</v>
      </c>
      <c r="E1249">
        <v>0</v>
      </c>
      <c r="F1249">
        <v>112500</v>
      </c>
      <c r="G1249" t="s">
        <v>21</v>
      </c>
      <c r="H1249" t="s">
        <v>27</v>
      </c>
      <c r="I1249" t="s">
        <v>42</v>
      </c>
      <c r="J1249" t="s">
        <v>24</v>
      </c>
      <c r="K1249" s="6">
        <f t="shared" ca="1" si="84"/>
        <v>23642</v>
      </c>
      <c r="L1249">
        <v>-22119</v>
      </c>
      <c r="M1249" s="7">
        <f t="shared" ca="1" si="82"/>
        <v>60.558521560574945</v>
      </c>
      <c r="N1249" s="5" t="str">
        <f ca="1">VLOOKUP(Data!M1249,temp!$B$3:$C$9,2,1)</f>
        <v>60-70</v>
      </c>
      <c r="O1249">
        <v>365243</v>
      </c>
      <c r="P1249" s="8">
        <f t="shared" si="83"/>
        <v>0</v>
      </c>
      <c r="Q1249" s="5" t="str">
        <f t="shared" si="85"/>
        <v>Unemployed</v>
      </c>
      <c r="R1249">
        <v>1</v>
      </c>
      <c r="S1249">
        <v>0</v>
      </c>
      <c r="T1249">
        <v>0</v>
      </c>
      <c r="U1249">
        <v>0</v>
      </c>
      <c r="W1249">
        <v>1</v>
      </c>
    </row>
    <row r="1250" spans="1:23" x14ac:dyDescent="0.2">
      <c r="A1250">
        <v>5045537</v>
      </c>
      <c r="B1250" t="s">
        <v>25</v>
      </c>
      <c r="C1250" t="s">
        <v>20</v>
      </c>
      <c r="D1250" t="s">
        <v>19</v>
      </c>
      <c r="E1250">
        <v>2</v>
      </c>
      <c r="F1250">
        <v>225000</v>
      </c>
      <c r="G1250" t="s">
        <v>35</v>
      </c>
      <c r="H1250" t="s">
        <v>22</v>
      </c>
      <c r="I1250" t="s">
        <v>28</v>
      </c>
      <c r="J1250" t="s">
        <v>41</v>
      </c>
      <c r="K1250" s="6">
        <f t="shared" ca="1" si="84"/>
        <v>34824</v>
      </c>
      <c r="L1250">
        <v>-10937</v>
      </c>
      <c r="M1250" s="7">
        <f t="shared" ca="1" si="82"/>
        <v>29.943874058863791</v>
      </c>
      <c r="N1250" s="5" t="str">
        <f ca="1">VLOOKUP(Data!M1250,temp!$B$3:$C$9,2,1)</f>
        <v>20-30</v>
      </c>
      <c r="O1250">
        <v>-1539</v>
      </c>
      <c r="P1250" s="8">
        <f t="shared" si="83"/>
        <v>4.213552361396304</v>
      </c>
      <c r="Q1250" s="5" t="str">
        <f t="shared" si="85"/>
        <v>Employed</v>
      </c>
      <c r="R1250">
        <v>1</v>
      </c>
      <c r="S1250">
        <v>0</v>
      </c>
      <c r="T1250">
        <v>0</v>
      </c>
      <c r="U1250">
        <v>0</v>
      </c>
      <c r="V1250" t="s">
        <v>47</v>
      </c>
      <c r="W1250">
        <v>4</v>
      </c>
    </row>
    <row r="1251" spans="1:23" x14ac:dyDescent="0.2">
      <c r="A1251">
        <v>5045543</v>
      </c>
      <c r="B1251" t="s">
        <v>25</v>
      </c>
      <c r="C1251" t="s">
        <v>20</v>
      </c>
      <c r="D1251" t="s">
        <v>19</v>
      </c>
      <c r="E1251">
        <v>2</v>
      </c>
      <c r="F1251">
        <v>225000</v>
      </c>
      <c r="G1251" t="s">
        <v>35</v>
      </c>
      <c r="H1251" t="s">
        <v>22</v>
      </c>
      <c r="I1251" t="s">
        <v>28</v>
      </c>
      <c r="J1251" t="s">
        <v>41</v>
      </c>
      <c r="K1251" s="6">
        <f t="shared" ca="1" si="84"/>
        <v>34824</v>
      </c>
      <c r="L1251">
        <v>-10937</v>
      </c>
      <c r="M1251" s="7">
        <f t="shared" ca="1" si="82"/>
        <v>29.943874058863791</v>
      </c>
      <c r="N1251" s="5" t="str">
        <f ca="1">VLOOKUP(Data!M1251,temp!$B$3:$C$9,2,1)</f>
        <v>20-30</v>
      </c>
      <c r="O1251">
        <v>-1539</v>
      </c>
      <c r="P1251" s="8">
        <f t="shared" si="83"/>
        <v>4.213552361396304</v>
      </c>
      <c r="Q1251" s="5" t="str">
        <f t="shared" si="85"/>
        <v>Employed</v>
      </c>
      <c r="R1251">
        <v>1</v>
      </c>
      <c r="S1251">
        <v>0</v>
      </c>
      <c r="T1251">
        <v>0</v>
      </c>
      <c r="U1251">
        <v>0</v>
      </c>
      <c r="V1251" t="s">
        <v>47</v>
      </c>
      <c r="W1251">
        <v>4</v>
      </c>
    </row>
    <row r="1252" spans="1:23" x14ac:dyDescent="0.2">
      <c r="A1252">
        <v>5045575</v>
      </c>
      <c r="B1252" t="s">
        <v>25</v>
      </c>
      <c r="C1252" t="s">
        <v>19</v>
      </c>
      <c r="D1252" t="s">
        <v>20</v>
      </c>
      <c r="E1252">
        <v>2</v>
      </c>
      <c r="F1252">
        <v>135000</v>
      </c>
      <c r="G1252" t="s">
        <v>21</v>
      </c>
      <c r="H1252" t="s">
        <v>22</v>
      </c>
      <c r="I1252" t="s">
        <v>28</v>
      </c>
      <c r="J1252" t="s">
        <v>24</v>
      </c>
      <c r="K1252" s="6">
        <f t="shared" ca="1" si="84"/>
        <v>29389</v>
      </c>
      <c r="L1252">
        <v>-16372</v>
      </c>
      <c r="M1252" s="7">
        <f t="shared" ca="1" si="82"/>
        <v>44.824093086926766</v>
      </c>
      <c r="N1252" s="5" t="str">
        <f ca="1">VLOOKUP(Data!M1252,temp!$B$3:$C$9,2,1)</f>
        <v>40-50</v>
      </c>
      <c r="O1252">
        <v>365243</v>
      </c>
      <c r="P1252" s="8">
        <f t="shared" si="83"/>
        <v>0</v>
      </c>
      <c r="Q1252" s="5" t="str">
        <f t="shared" si="85"/>
        <v>Unemployed</v>
      </c>
      <c r="R1252">
        <v>1</v>
      </c>
      <c r="S1252">
        <v>0</v>
      </c>
      <c r="T1252">
        <v>0</v>
      </c>
      <c r="U1252">
        <v>0</v>
      </c>
      <c r="W1252">
        <v>4</v>
      </c>
    </row>
    <row r="1253" spans="1:23" x14ac:dyDescent="0.2">
      <c r="A1253">
        <v>5045588</v>
      </c>
      <c r="B1253" t="s">
        <v>18</v>
      </c>
      <c r="C1253" t="s">
        <v>20</v>
      </c>
      <c r="D1253" t="s">
        <v>20</v>
      </c>
      <c r="E1253">
        <v>0</v>
      </c>
      <c r="F1253">
        <v>153000</v>
      </c>
      <c r="G1253" t="s">
        <v>31</v>
      </c>
      <c r="H1253" t="s">
        <v>27</v>
      </c>
      <c r="I1253" t="s">
        <v>28</v>
      </c>
      <c r="J1253" t="s">
        <v>24</v>
      </c>
      <c r="K1253" s="6">
        <f t="shared" ca="1" si="84"/>
        <v>30795</v>
      </c>
      <c r="L1253">
        <v>-14966</v>
      </c>
      <c r="M1253" s="7">
        <f t="shared" ca="1" si="82"/>
        <v>40.974674880219027</v>
      </c>
      <c r="N1253" s="5" t="str">
        <f ca="1">VLOOKUP(Data!M1253,temp!$B$3:$C$9,2,1)</f>
        <v>40-50</v>
      </c>
      <c r="O1253">
        <v>-170</v>
      </c>
      <c r="P1253" s="8">
        <f t="shared" si="83"/>
        <v>0.4654346338124572</v>
      </c>
      <c r="Q1253" s="5" t="str">
        <f t="shared" si="85"/>
        <v>Employed</v>
      </c>
      <c r="R1253">
        <v>1</v>
      </c>
      <c r="S1253">
        <v>0</v>
      </c>
      <c r="T1253">
        <v>0</v>
      </c>
      <c r="U1253">
        <v>0</v>
      </c>
      <c r="W1253">
        <v>2</v>
      </c>
    </row>
    <row r="1254" spans="1:23" x14ac:dyDescent="0.2">
      <c r="A1254">
        <v>5045591</v>
      </c>
      <c r="B1254" t="s">
        <v>18</v>
      </c>
      <c r="C1254" t="s">
        <v>20</v>
      </c>
      <c r="D1254" t="s">
        <v>20</v>
      </c>
      <c r="E1254">
        <v>0</v>
      </c>
      <c r="F1254">
        <v>153000</v>
      </c>
      <c r="G1254" t="s">
        <v>31</v>
      </c>
      <c r="H1254" t="s">
        <v>27</v>
      </c>
      <c r="I1254" t="s">
        <v>28</v>
      </c>
      <c r="J1254" t="s">
        <v>24</v>
      </c>
      <c r="K1254" s="6">
        <f t="shared" ca="1" si="84"/>
        <v>30795</v>
      </c>
      <c r="L1254">
        <v>-14966</v>
      </c>
      <c r="M1254" s="7">
        <f t="shared" ca="1" si="82"/>
        <v>40.974674880219027</v>
      </c>
      <c r="N1254" s="5" t="str">
        <f ca="1">VLOOKUP(Data!M1254,temp!$B$3:$C$9,2,1)</f>
        <v>40-50</v>
      </c>
      <c r="O1254">
        <v>-170</v>
      </c>
      <c r="P1254" s="8">
        <f t="shared" si="83"/>
        <v>0.4654346338124572</v>
      </c>
      <c r="Q1254" s="5" t="str">
        <f t="shared" si="85"/>
        <v>Employed</v>
      </c>
      <c r="R1254">
        <v>1</v>
      </c>
      <c r="S1254">
        <v>0</v>
      </c>
      <c r="T1254">
        <v>0</v>
      </c>
      <c r="U1254">
        <v>0</v>
      </c>
      <c r="W1254">
        <v>2</v>
      </c>
    </row>
    <row r="1255" spans="1:23" x14ac:dyDescent="0.2">
      <c r="A1255">
        <v>5045595</v>
      </c>
      <c r="B1255" t="s">
        <v>18</v>
      </c>
      <c r="C1255" t="s">
        <v>20</v>
      </c>
      <c r="D1255" t="s">
        <v>20</v>
      </c>
      <c r="E1255">
        <v>0</v>
      </c>
      <c r="F1255">
        <v>153000</v>
      </c>
      <c r="G1255" t="s">
        <v>31</v>
      </c>
      <c r="H1255" t="s">
        <v>27</v>
      </c>
      <c r="I1255" t="s">
        <v>28</v>
      </c>
      <c r="J1255" t="s">
        <v>24</v>
      </c>
      <c r="K1255" s="6">
        <f t="shared" ca="1" si="84"/>
        <v>30795</v>
      </c>
      <c r="L1255">
        <v>-14966</v>
      </c>
      <c r="M1255" s="7">
        <f t="shared" ca="1" si="82"/>
        <v>40.974674880219027</v>
      </c>
      <c r="N1255" s="5" t="str">
        <f ca="1">VLOOKUP(Data!M1255,temp!$B$3:$C$9,2,1)</f>
        <v>40-50</v>
      </c>
      <c r="O1255">
        <v>-170</v>
      </c>
      <c r="P1255" s="8">
        <f t="shared" si="83"/>
        <v>0.4654346338124572</v>
      </c>
      <c r="Q1255" s="5" t="str">
        <f t="shared" si="85"/>
        <v>Employed</v>
      </c>
      <c r="R1255">
        <v>1</v>
      </c>
      <c r="S1255">
        <v>0</v>
      </c>
      <c r="T1255">
        <v>0</v>
      </c>
      <c r="U1255">
        <v>0</v>
      </c>
      <c r="W1255">
        <v>2</v>
      </c>
    </row>
    <row r="1256" spans="1:23" x14ac:dyDescent="0.2">
      <c r="A1256">
        <v>5045608</v>
      </c>
      <c r="B1256" t="s">
        <v>18</v>
      </c>
      <c r="C1256" t="s">
        <v>19</v>
      </c>
      <c r="D1256" t="s">
        <v>20</v>
      </c>
      <c r="E1256">
        <v>2</v>
      </c>
      <c r="F1256">
        <v>90000</v>
      </c>
      <c r="G1256" t="s">
        <v>31</v>
      </c>
      <c r="H1256" t="s">
        <v>27</v>
      </c>
      <c r="I1256" t="s">
        <v>28</v>
      </c>
      <c r="J1256" t="s">
        <v>24</v>
      </c>
      <c r="K1256" s="6">
        <f t="shared" ca="1" si="84"/>
        <v>33999</v>
      </c>
      <c r="L1256">
        <v>-11762</v>
      </c>
      <c r="M1256" s="7">
        <f t="shared" ca="1" si="82"/>
        <v>32.202600958247778</v>
      </c>
      <c r="N1256" s="5" t="str">
        <f ca="1">VLOOKUP(Data!M1256,temp!$B$3:$C$9,2,1)</f>
        <v>30-40</v>
      </c>
      <c r="O1256">
        <v>-716</v>
      </c>
      <c r="P1256" s="8">
        <f t="shared" si="83"/>
        <v>1.9603011635865846</v>
      </c>
      <c r="Q1256" s="5" t="str">
        <f t="shared" si="85"/>
        <v>Employed</v>
      </c>
      <c r="R1256">
        <v>1</v>
      </c>
      <c r="S1256">
        <v>0</v>
      </c>
      <c r="T1256">
        <v>0</v>
      </c>
      <c r="U1256">
        <v>0</v>
      </c>
      <c r="W1256">
        <v>4</v>
      </c>
    </row>
    <row r="1257" spans="1:23" x14ac:dyDescent="0.2">
      <c r="A1257">
        <v>5045620</v>
      </c>
      <c r="B1257" t="s">
        <v>18</v>
      </c>
      <c r="C1257" t="s">
        <v>19</v>
      </c>
      <c r="D1257" t="s">
        <v>20</v>
      </c>
      <c r="E1257">
        <v>1</v>
      </c>
      <c r="F1257">
        <v>270000</v>
      </c>
      <c r="G1257" t="s">
        <v>35</v>
      </c>
      <c r="H1257" t="s">
        <v>27</v>
      </c>
      <c r="I1257" t="s">
        <v>28</v>
      </c>
      <c r="J1257" t="s">
        <v>24</v>
      </c>
      <c r="K1257" s="6">
        <f t="shared" ca="1" si="84"/>
        <v>31361</v>
      </c>
      <c r="L1257">
        <v>-14400</v>
      </c>
      <c r="M1257" s="7">
        <f t="shared" ca="1" si="82"/>
        <v>39.42505133470226</v>
      </c>
      <c r="N1257" s="5" t="str">
        <f ca="1">VLOOKUP(Data!M1257,temp!$B$3:$C$9,2,1)</f>
        <v>30-40</v>
      </c>
      <c r="O1257">
        <v>-2512</v>
      </c>
      <c r="P1257" s="8">
        <f t="shared" si="83"/>
        <v>6.8774811772758389</v>
      </c>
      <c r="Q1257" s="5" t="str">
        <f t="shared" si="85"/>
        <v>Employed</v>
      </c>
      <c r="R1257">
        <v>1</v>
      </c>
      <c r="S1257">
        <v>0</v>
      </c>
      <c r="T1257">
        <v>0</v>
      </c>
      <c r="U1257">
        <v>0</v>
      </c>
      <c r="V1257" t="s">
        <v>50</v>
      </c>
      <c r="W1257">
        <v>3</v>
      </c>
    </row>
    <row r="1258" spans="1:23" x14ac:dyDescent="0.2">
      <c r="A1258">
        <v>5045624</v>
      </c>
      <c r="B1258" t="s">
        <v>18</v>
      </c>
      <c r="C1258" t="s">
        <v>19</v>
      </c>
      <c r="D1258" t="s">
        <v>20</v>
      </c>
      <c r="E1258">
        <v>1</v>
      </c>
      <c r="F1258">
        <v>270000</v>
      </c>
      <c r="G1258" t="s">
        <v>35</v>
      </c>
      <c r="H1258" t="s">
        <v>27</v>
      </c>
      <c r="I1258" t="s">
        <v>28</v>
      </c>
      <c r="J1258" t="s">
        <v>24</v>
      </c>
      <c r="K1258" s="6">
        <f t="shared" ca="1" si="84"/>
        <v>31361</v>
      </c>
      <c r="L1258">
        <v>-14400</v>
      </c>
      <c r="M1258" s="7">
        <f t="shared" ca="1" si="82"/>
        <v>39.42505133470226</v>
      </c>
      <c r="N1258" s="5" t="str">
        <f ca="1">VLOOKUP(Data!M1258,temp!$B$3:$C$9,2,1)</f>
        <v>30-40</v>
      </c>
      <c r="O1258">
        <v>-2512</v>
      </c>
      <c r="P1258" s="8">
        <f t="shared" si="83"/>
        <v>6.8774811772758389</v>
      </c>
      <c r="Q1258" s="5" t="str">
        <f t="shared" si="85"/>
        <v>Employed</v>
      </c>
      <c r="R1258">
        <v>1</v>
      </c>
      <c r="S1258">
        <v>0</v>
      </c>
      <c r="T1258">
        <v>0</v>
      </c>
      <c r="U1258">
        <v>0</v>
      </c>
      <c r="V1258" t="s">
        <v>50</v>
      </c>
      <c r="W1258">
        <v>3</v>
      </c>
    </row>
    <row r="1259" spans="1:23" x14ac:dyDescent="0.2">
      <c r="A1259">
        <v>5045636</v>
      </c>
      <c r="B1259" t="s">
        <v>25</v>
      </c>
      <c r="C1259" t="s">
        <v>20</v>
      </c>
      <c r="D1259" t="s">
        <v>20</v>
      </c>
      <c r="E1259">
        <v>1</v>
      </c>
      <c r="F1259">
        <v>139500</v>
      </c>
      <c r="G1259" t="s">
        <v>31</v>
      </c>
      <c r="H1259" t="s">
        <v>27</v>
      </c>
      <c r="I1259" t="s">
        <v>28</v>
      </c>
      <c r="J1259" t="s">
        <v>24</v>
      </c>
      <c r="K1259" s="6">
        <f t="shared" ca="1" si="84"/>
        <v>31406</v>
      </c>
      <c r="L1259">
        <v>-14355</v>
      </c>
      <c r="M1259" s="7">
        <f t="shared" ca="1" si="82"/>
        <v>39.301848049281311</v>
      </c>
      <c r="N1259" s="5" t="str">
        <f ca="1">VLOOKUP(Data!M1259,temp!$B$3:$C$9,2,1)</f>
        <v>30-40</v>
      </c>
      <c r="O1259">
        <v>-5557</v>
      </c>
      <c r="P1259" s="8">
        <f t="shared" si="83"/>
        <v>15.214236824093087</v>
      </c>
      <c r="Q1259" s="5" t="str">
        <f t="shared" si="85"/>
        <v>Employed</v>
      </c>
      <c r="R1259">
        <v>1</v>
      </c>
      <c r="S1259">
        <v>1</v>
      </c>
      <c r="T1259">
        <v>0</v>
      </c>
      <c r="U1259">
        <v>0</v>
      </c>
      <c r="V1259" t="s">
        <v>29</v>
      </c>
      <c r="W1259">
        <v>3</v>
      </c>
    </row>
    <row r="1260" spans="1:23" x14ac:dyDescent="0.2">
      <c r="A1260">
        <v>5045638</v>
      </c>
      <c r="B1260" t="s">
        <v>25</v>
      </c>
      <c r="C1260" t="s">
        <v>20</v>
      </c>
      <c r="D1260" t="s">
        <v>20</v>
      </c>
      <c r="E1260">
        <v>1</v>
      </c>
      <c r="F1260">
        <v>139500</v>
      </c>
      <c r="G1260" t="s">
        <v>31</v>
      </c>
      <c r="H1260" t="s">
        <v>27</v>
      </c>
      <c r="I1260" t="s">
        <v>28</v>
      </c>
      <c r="J1260" t="s">
        <v>24</v>
      </c>
      <c r="K1260" s="6">
        <f t="shared" ca="1" si="84"/>
        <v>31406</v>
      </c>
      <c r="L1260">
        <v>-14355</v>
      </c>
      <c r="M1260" s="7">
        <f t="shared" ca="1" si="82"/>
        <v>39.301848049281311</v>
      </c>
      <c r="N1260" s="5" t="str">
        <f ca="1">VLOOKUP(Data!M1260,temp!$B$3:$C$9,2,1)</f>
        <v>30-40</v>
      </c>
      <c r="O1260">
        <v>-5557</v>
      </c>
      <c r="P1260" s="8">
        <f t="shared" si="83"/>
        <v>15.214236824093087</v>
      </c>
      <c r="Q1260" s="5" t="str">
        <f t="shared" si="85"/>
        <v>Employed</v>
      </c>
      <c r="R1260">
        <v>1</v>
      </c>
      <c r="S1260">
        <v>1</v>
      </c>
      <c r="T1260">
        <v>0</v>
      </c>
      <c r="U1260">
        <v>0</v>
      </c>
      <c r="V1260" t="s">
        <v>29</v>
      </c>
      <c r="W1260">
        <v>3</v>
      </c>
    </row>
    <row r="1261" spans="1:23" x14ac:dyDescent="0.2">
      <c r="A1261">
        <v>5045653</v>
      </c>
      <c r="B1261" t="s">
        <v>18</v>
      </c>
      <c r="C1261" t="s">
        <v>20</v>
      </c>
      <c r="D1261" t="s">
        <v>20</v>
      </c>
      <c r="E1261">
        <v>0</v>
      </c>
      <c r="F1261">
        <v>157500</v>
      </c>
      <c r="G1261" t="s">
        <v>31</v>
      </c>
      <c r="H1261" t="s">
        <v>27</v>
      </c>
      <c r="I1261" t="s">
        <v>28</v>
      </c>
      <c r="J1261" t="s">
        <v>24</v>
      </c>
      <c r="K1261" s="6">
        <f t="shared" ca="1" si="84"/>
        <v>30907</v>
      </c>
      <c r="L1261">
        <v>-14854</v>
      </c>
      <c r="M1261" s="7">
        <f t="shared" ca="1" si="82"/>
        <v>40.668035592060235</v>
      </c>
      <c r="N1261" s="5" t="str">
        <f ca="1">VLOOKUP(Data!M1261,temp!$B$3:$C$9,2,1)</f>
        <v>40-50</v>
      </c>
      <c r="O1261">
        <v>-2452</v>
      </c>
      <c r="P1261" s="8">
        <f t="shared" si="83"/>
        <v>6.7132101300479121</v>
      </c>
      <c r="Q1261" s="5" t="str">
        <f t="shared" si="85"/>
        <v>Employed</v>
      </c>
      <c r="R1261">
        <v>1</v>
      </c>
      <c r="S1261">
        <v>0</v>
      </c>
      <c r="T1261">
        <v>1</v>
      </c>
      <c r="U1261">
        <v>0</v>
      </c>
      <c r="W1261">
        <v>2</v>
      </c>
    </row>
    <row r="1262" spans="1:23" x14ac:dyDescent="0.2">
      <c r="A1262">
        <v>5045678</v>
      </c>
      <c r="B1262" t="s">
        <v>18</v>
      </c>
      <c r="C1262" t="s">
        <v>19</v>
      </c>
      <c r="D1262" t="s">
        <v>20</v>
      </c>
      <c r="E1262">
        <v>1</v>
      </c>
      <c r="F1262">
        <v>270000</v>
      </c>
      <c r="G1262" t="s">
        <v>35</v>
      </c>
      <c r="H1262" t="s">
        <v>27</v>
      </c>
      <c r="I1262" t="s">
        <v>37</v>
      </c>
      <c r="J1262" t="s">
        <v>24</v>
      </c>
      <c r="K1262" s="6">
        <f t="shared" ca="1" si="84"/>
        <v>33040</v>
      </c>
      <c r="L1262">
        <v>-12721</v>
      </c>
      <c r="M1262" s="7">
        <f t="shared" ca="1" si="82"/>
        <v>34.828199863107457</v>
      </c>
      <c r="N1262" s="5" t="str">
        <f ca="1">VLOOKUP(Data!M1262,temp!$B$3:$C$9,2,1)</f>
        <v>30-40</v>
      </c>
      <c r="O1262">
        <v>-5252</v>
      </c>
      <c r="P1262" s="8">
        <f t="shared" si="83"/>
        <v>14.379192334017796</v>
      </c>
      <c r="Q1262" s="5" t="str">
        <f t="shared" si="85"/>
        <v>Employed</v>
      </c>
      <c r="R1262">
        <v>1</v>
      </c>
      <c r="S1262">
        <v>0</v>
      </c>
      <c r="T1262">
        <v>0</v>
      </c>
      <c r="U1262">
        <v>0</v>
      </c>
      <c r="V1262" t="s">
        <v>50</v>
      </c>
      <c r="W1262">
        <v>3</v>
      </c>
    </row>
    <row r="1263" spans="1:23" x14ac:dyDescent="0.2">
      <c r="A1263">
        <v>5045679</v>
      </c>
      <c r="B1263" t="s">
        <v>18</v>
      </c>
      <c r="C1263" t="s">
        <v>19</v>
      </c>
      <c r="D1263" t="s">
        <v>20</v>
      </c>
      <c r="E1263">
        <v>1</v>
      </c>
      <c r="F1263">
        <v>270000</v>
      </c>
      <c r="G1263" t="s">
        <v>35</v>
      </c>
      <c r="H1263" t="s">
        <v>27</v>
      </c>
      <c r="I1263" t="s">
        <v>37</v>
      </c>
      <c r="J1263" t="s">
        <v>24</v>
      </c>
      <c r="K1263" s="6">
        <f t="shared" ca="1" si="84"/>
        <v>33040</v>
      </c>
      <c r="L1263">
        <v>-12721</v>
      </c>
      <c r="M1263" s="7">
        <f t="shared" ca="1" si="82"/>
        <v>34.828199863107457</v>
      </c>
      <c r="N1263" s="5" t="str">
        <f ca="1">VLOOKUP(Data!M1263,temp!$B$3:$C$9,2,1)</f>
        <v>30-40</v>
      </c>
      <c r="O1263">
        <v>-5252</v>
      </c>
      <c r="P1263" s="8">
        <f t="shared" si="83"/>
        <v>14.379192334017796</v>
      </c>
      <c r="Q1263" s="5" t="str">
        <f t="shared" si="85"/>
        <v>Employed</v>
      </c>
      <c r="R1263">
        <v>1</v>
      </c>
      <c r="S1263">
        <v>0</v>
      </c>
      <c r="T1263">
        <v>0</v>
      </c>
      <c r="U1263">
        <v>0</v>
      </c>
      <c r="V1263" t="s">
        <v>50</v>
      </c>
      <c r="W1263">
        <v>3</v>
      </c>
    </row>
    <row r="1264" spans="1:23" x14ac:dyDescent="0.2">
      <c r="A1264">
        <v>5045693</v>
      </c>
      <c r="B1264" t="s">
        <v>18</v>
      </c>
      <c r="C1264" t="s">
        <v>19</v>
      </c>
      <c r="D1264" t="s">
        <v>20</v>
      </c>
      <c r="E1264">
        <v>0</v>
      </c>
      <c r="F1264">
        <v>247500</v>
      </c>
      <c r="G1264" t="s">
        <v>26</v>
      </c>
      <c r="H1264" t="s">
        <v>22</v>
      </c>
      <c r="I1264" t="s">
        <v>33</v>
      </c>
      <c r="J1264" t="s">
        <v>24</v>
      </c>
      <c r="K1264" s="6">
        <f t="shared" ca="1" si="84"/>
        <v>31973</v>
      </c>
      <c r="L1264">
        <v>-13788</v>
      </c>
      <c r="M1264" s="7">
        <f t="shared" ca="1" si="82"/>
        <v>37.74948665297741</v>
      </c>
      <c r="N1264" s="5" t="str">
        <f ca="1">VLOOKUP(Data!M1264,temp!$B$3:$C$9,2,1)</f>
        <v>30-40</v>
      </c>
      <c r="O1264">
        <v>-3822</v>
      </c>
      <c r="P1264" s="8">
        <f t="shared" si="83"/>
        <v>10.464065708418891</v>
      </c>
      <c r="Q1264" s="5" t="str">
        <f t="shared" si="85"/>
        <v>Employed</v>
      </c>
      <c r="R1264">
        <v>1</v>
      </c>
      <c r="S1264">
        <v>1</v>
      </c>
      <c r="T1264">
        <v>1</v>
      </c>
      <c r="U1264">
        <v>0</v>
      </c>
      <c r="V1264" t="s">
        <v>29</v>
      </c>
      <c r="W1264">
        <v>1</v>
      </c>
    </row>
    <row r="1265" spans="1:23" x14ac:dyDescent="0.2">
      <c r="A1265">
        <v>5045700</v>
      </c>
      <c r="B1265" t="s">
        <v>18</v>
      </c>
      <c r="C1265" t="s">
        <v>19</v>
      </c>
      <c r="D1265" t="s">
        <v>20</v>
      </c>
      <c r="E1265">
        <v>0</v>
      </c>
      <c r="F1265">
        <v>126000</v>
      </c>
      <c r="G1265" t="s">
        <v>26</v>
      </c>
      <c r="H1265" t="s">
        <v>22</v>
      </c>
      <c r="I1265" t="s">
        <v>23</v>
      </c>
      <c r="J1265" t="s">
        <v>24</v>
      </c>
      <c r="K1265" s="6">
        <f t="shared" ca="1" si="84"/>
        <v>29525</v>
      </c>
      <c r="L1265">
        <v>-16236</v>
      </c>
      <c r="M1265" s="7">
        <f t="shared" ca="1" si="82"/>
        <v>44.451745379876797</v>
      </c>
      <c r="N1265" s="5" t="str">
        <f ca="1">VLOOKUP(Data!M1265,temp!$B$3:$C$9,2,1)</f>
        <v>40-50</v>
      </c>
      <c r="O1265">
        <v>-3000</v>
      </c>
      <c r="P1265" s="8">
        <f t="shared" si="83"/>
        <v>8.2135523613963031</v>
      </c>
      <c r="Q1265" s="5" t="str">
        <f t="shared" si="85"/>
        <v>Employed</v>
      </c>
      <c r="R1265">
        <v>1</v>
      </c>
      <c r="S1265">
        <v>0</v>
      </c>
      <c r="T1265">
        <v>0</v>
      </c>
      <c r="U1265">
        <v>0</v>
      </c>
      <c r="V1265" t="s">
        <v>32</v>
      </c>
      <c r="W1265">
        <v>1</v>
      </c>
    </row>
    <row r="1266" spans="1:23" x14ac:dyDescent="0.2">
      <c r="A1266">
        <v>5045708</v>
      </c>
      <c r="B1266" t="s">
        <v>25</v>
      </c>
      <c r="C1266" t="s">
        <v>19</v>
      </c>
      <c r="D1266" t="s">
        <v>20</v>
      </c>
      <c r="E1266">
        <v>0</v>
      </c>
      <c r="F1266">
        <v>180000</v>
      </c>
      <c r="G1266" t="s">
        <v>26</v>
      </c>
      <c r="H1266" t="s">
        <v>22</v>
      </c>
      <c r="I1266" t="s">
        <v>23</v>
      </c>
      <c r="J1266" t="s">
        <v>24</v>
      </c>
      <c r="K1266" s="6">
        <f t="shared" ca="1" si="84"/>
        <v>35479</v>
      </c>
      <c r="L1266">
        <v>-10282</v>
      </c>
      <c r="M1266" s="7">
        <f t="shared" ca="1" si="82"/>
        <v>28.150581793292265</v>
      </c>
      <c r="N1266" s="5" t="str">
        <f ca="1">VLOOKUP(Data!M1266,temp!$B$3:$C$9,2,1)</f>
        <v>20-30</v>
      </c>
      <c r="O1266">
        <v>-108</v>
      </c>
      <c r="P1266" s="8">
        <f t="shared" si="83"/>
        <v>0.29568788501026694</v>
      </c>
      <c r="Q1266" s="5" t="str">
        <f t="shared" si="85"/>
        <v>Employed</v>
      </c>
      <c r="R1266">
        <v>1</v>
      </c>
      <c r="S1266">
        <v>0</v>
      </c>
      <c r="T1266">
        <v>0</v>
      </c>
      <c r="U1266">
        <v>0</v>
      </c>
      <c r="V1266" t="s">
        <v>38</v>
      </c>
      <c r="W1266">
        <v>1</v>
      </c>
    </row>
    <row r="1267" spans="1:23" x14ac:dyDescent="0.2">
      <c r="A1267">
        <v>5045721</v>
      </c>
      <c r="B1267" t="s">
        <v>25</v>
      </c>
      <c r="C1267" t="s">
        <v>19</v>
      </c>
      <c r="D1267" t="s">
        <v>19</v>
      </c>
      <c r="E1267">
        <v>1</v>
      </c>
      <c r="F1267">
        <v>216000</v>
      </c>
      <c r="G1267" t="s">
        <v>26</v>
      </c>
      <c r="H1267" t="s">
        <v>22</v>
      </c>
      <c r="I1267" t="s">
        <v>23</v>
      </c>
      <c r="J1267" t="s">
        <v>24</v>
      </c>
      <c r="K1267" s="6">
        <f t="shared" ca="1" si="84"/>
        <v>34985</v>
      </c>
      <c r="L1267">
        <v>-10776</v>
      </c>
      <c r="M1267" s="7">
        <f t="shared" ca="1" si="82"/>
        <v>29.503080082135522</v>
      </c>
      <c r="N1267" s="5" t="str">
        <f ca="1">VLOOKUP(Data!M1267,temp!$B$3:$C$9,2,1)</f>
        <v>20-30</v>
      </c>
      <c r="O1267">
        <v>-1174</v>
      </c>
      <c r="P1267" s="8">
        <f t="shared" si="83"/>
        <v>3.2142368240930868</v>
      </c>
      <c r="Q1267" s="5" t="str">
        <f t="shared" si="85"/>
        <v>Employed</v>
      </c>
      <c r="R1267">
        <v>1</v>
      </c>
      <c r="S1267">
        <v>0</v>
      </c>
      <c r="T1267">
        <v>0</v>
      </c>
      <c r="U1267">
        <v>0</v>
      </c>
      <c r="V1267" t="s">
        <v>29</v>
      </c>
      <c r="W1267">
        <v>2</v>
      </c>
    </row>
    <row r="1268" spans="1:23" x14ac:dyDescent="0.2">
      <c r="A1268">
        <v>5045725</v>
      </c>
      <c r="B1268" t="s">
        <v>25</v>
      </c>
      <c r="C1268" t="s">
        <v>19</v>
      </c>
      <c r="D1268" t="s">
        <v>19</v>
      </c>
      <c r="E1268">
        <v>1</v>
      </c>
      <c r="F1268">
        <v>216000</v>
      </c>
      <c r="G1268" t="s">
        <v>26</v>
      </c>
      <c r="H1268" t="s">
        <v>22</v>
      </c>
      <c r="I1268" t="s">
        <v>23</v>
      </c>
      <c r="J1268" t="s">
        <v>24</v>
      </c>
      <c r="K1268" s="6">
        <f t="shared" ca="1" si="84"/>
        <v>34985</v>
      </c>
      <c r="L1268">
        <v>-10776</v>
      </c>
      <c r="M1268" s="7">
        <f t="shared" ca="1" si="82"/>
        <v>29.503080082135522</v>
      </c>
      <c r="N1268" s="5" t="str">
        <f ca="1">VLOOKUP(Data!M1268,temp!$B$3:$C$9,2,1)</f>
        <v>20-30</v>
      </c>
      <c r="O1268">
        <v>-1174</v>
      </c>
      <c r="P1268" s="8">
        <f t="shared" si="83"/>
        <v>3.2142368240930868</v>
      </c>
      <c r="Q1268" s="5" t="str">
        <f t="shared" si="85"/>
        <v>Employed</v>
      </c>
      <c r="R1268">
        <v>1</v>
      </c>
      <c r="S1268">
        <v>0</v>
      </c>
      <c r="T1268">
        <v>0</v>
      </c>
      <c r="U1268">
        <v>0</v>
      </c>
      <c r="V1268" t="s">
        <v>29</v>
      </c>
      <c r="W1268">
        <v>2</v>
      </c>
    </row>
    <row r="1269" spans="1:23" x14ac:dyDescent="0.2">
      <c r="A1269">
        <v>5045741</v>
      </c>
      <c r="B1269" t="s">
        <v>25</v>
      </c>
      <c r="C1269" t="s">
        <v>19</v>
      </c>
      <c r="D1269" t="s">
        <v>19</v>
      </c>
      <c r="E1269">
        <v>0</v>
      </c>
      <c r="F1269">
        <v>225000</v>
      </c>
      <c r="G1269" t="s">
        <v>26</v>
      </c>
      <c r="H1269" t="s">
        <v>36</v>
      </c>
      <c r="I1269" t="s">
        <v>33</v>
      </c>
      <c r="J1269" t="s">
        <v>24</v>
      </c>
      <c r="K1269" s="6">
        <f t="shared" ca="1" si="84"/>
        <v>36313</v>
      </c>
      <c r="L1269">
        <v>-9448</v>
      </c>
      <c r="M1269" s="7">
        <f t="shared" ca="1" si="82"/>
        <v>25.867214236824093</v>
      </c>
      <c r="N1269" s="5" t="str">
        <f ca="1">VLOOKUP(Data!M1269,temp!$B$3:$C$9,2,1)</f>
        <v>20-30</v>
      </c>
      <c r="O1269">
        <v>-1022</v>
      </c>
      <c r="P1269" s="8">
        <f t="shared" si="83"/>
        <v>2.7980835044490076</v>
      </c>
      <c r="Q1269" s="5" t="str">
        <f t="shared" si="85"/>
        <v>Employed</v>
      </c>
      <c r="R1269">
        <v>1</v>
      </c>
      <c r="S1269">
        <v>0</v>
      </c>
      <c r="T1269">
        <v>0</v>
      </c>
      <c r="U1269">
        <v>0</v>
      </c>
      <c r="V1269" t="s">
        <v>30</v>
      </c>
      <c r="W1269">
        <v>1</v>
      </c>
    </row>
    <row r="1270" spans="1:23" x14ac:dyDescent="0.2">
      <c r="A1270">
        <v>5045745</v>
      </c>
      <c r="B1270" t="s">
        <v>25</v>
      </c>
      <c r="C1270" t="s">
        <v>20</v>
      </c>
      <c r="D1270" t="s">
        <v>20</v>
      </c>
      <c r="E1270">
        <v>0</v>
      </c>
      <c r="F1270">
        <v>202500</v>
      </c>
      <c r="G1270" t="s">
        <v>26</v>
      </c>
      <c r="H1270" t="s">
        <v>27</v>
      </c>
      <c r="I1270" t="s">
        <v>28</v>
      </c>
      <c r="J1270" t="s">
        <v>24</v>
      </c>
      <c r="K1270" s="6">
        <f t="shared" ca="1" si="84"/>
        <v>30868</v>
      </c>
      <c r="L1270">
        <v>-14893</v>
      </c>
      <c r="M1270" s="7">
        <f t="shared" ca="1" si="82"/>
        <v>40.774811772758383</v>
      </c>
      <c r="N1270" s="5" t="str">
        <f ca="1">VLOOKUP(Data!M1270,temp!$B$3:$C$9,2,1)</f>
        <v>40-50</v>
      </c>
      <c r="O1270">
        <v>-2604</v>
      </c>
      <c r="P1270" s="8">
        <f t="shared" si="83"/>
        <v>7.1293634496919918</v>
      </c>
      <c r="Q1270" s="5" t="str">
        <f t="shared" si="85"/>
        <v>Employed</v>
      </c>
      <c r="R1270">
        <v>1</v>
      </c>
      <c r="S1270">
        <v>0</v>
      </c>
      <c r="T1270">
        <v>0</v>
      </c>
      <c r="U1270">
        <v>0</v>
      </c>
      <c r="V1270" t="s">
        <v>29</v>
      </c>
      <c r="W1270">
        <v>2</v>
      </c>
    </row>
    <row r="1271" spans="1:23" x14ac:dyDescent="0.2">
      <c r="A1271">
        <v>5045748</v>
      </c>
      <c r="B1271" t="s">
        <v>25</v>
      </c>
      <c r="C1271" t="s">
        <v>20</v>
      </c>
      <c r="D1271" t="s">
        <v>20</v>
      </c>
      <c r="E1271">
        <v>0</v>
      </c>
      <c r="F1271">
        <v>202500</v>
      </c>
      <c r="G1271" t="s">
        <v>26</v>
      </c>
      <c r="H1271" t="s">
        <v>27</v>
      </c>
      <c r="I1271" t="s">
        <v>28</v>
      </c>
      <c r="J1271" t="s">
        <v>24</v>
      </c>
      <c r="K1271" s="6">
        <f t="shared" ca="1" si="84"/>
        <v>30868</v>
      </c>
      <c r="L1271">
        <v>-14893</v>
      </c>
      <c r="M1271" s="7">
        <f t="shared" ca="1" si="82"/>
        <v>40.774811772758383</v>
      </c>
      <c r="N1271" s="5" t="str">
        <f ca="1">VLOOKUP(Data!M1271,temp!$B$3:$C$9,2,1)</f>
        <v>40-50</v>
      </c>
      <c r="O1271">
        <v>-2604</v>
      </c>
      <c r="P1271" s="8">
        <f t="shared" si="83"/>
        <v>7.1293634496919918</v>
      </c>
      <c r="Q1271" s="5" t="str">
        <f t="shared" si="85"/>
        <v>Employed</v>
      </c>
      <c r="R1271">
        <v>1</v>
      </c>
      <c r="S1271">
        <v>0</v>
      </c>
      <c r="T1271">
        <v>0</v>
      </c>
      <c r="U1271">
        <v>0</v>
      </c>
      <c r="V1271" t="s">
        <v>29</v>
      </c>
      <c r="W1271">
        <v>2</v>
      </c>
    </row>
    <row r="1272" spans="1:23" x14ac:dyDescent="0.2">
      <c r="A1272">
        <v>5045768</v>
      </c>
      <c r="B1272" t="s">
        <v>25</v>
      </c>
      <c r="C1272" t="s">
        <v>20</v>
      </c>
      <c r="D1272" t="s">
        <v>19</v>
      </c>
      <c r="E1272">
        <v>0</v>
      </c>
      <c r="F1272">
        <v>180000</v>
      </c>
      <c r="G1272" t="s">
        <v>31</v>
      </c>
      <c r="H1272" t="s">
        <v>27</v>
      </c>
      <c r="I1272" t="s">
        <v>33</v>
      </c>
      <c r="J1272" t="s">
        <v>24</v>
      </c>
      <c r="K1272" s="6">
        <f t="shared" ca="1" si="84"/>
        <v>36483</v>
      </c>
      <c r="L1272">
        <v>-9278</v>
      </c>
      <c r="M1272" s="7">
        <f t="shared" ca="1" si="82"/>
        <v>25.401779603011637</v>
      </c>
      <c r="N1272" s="5" t="str">
        <f ca="1">VLOOKUP(Data!M1272,temp!$B$3:$C$9,2,1)</f>
        <v>20-30</v>
      </c>
      <c r="O1272">
        <v>-1113</v>
      </c>
      <c r="P1272" s="8">
        <f t="shared" si="83"/>
        <v>3.0472279260780288</v>
      </c>
      <c r="Q1272" s="5" t="str">
        <f t="shared" si="85"/>
        <v>Employed</v>
      </c>
      <c r="R1272">
        <v>1</v>
      </c>
      <c r="S1272">
        <v>0</v>
      </c>
      <c r="T1272">
        <v>0</v>
      </c>
      <c r="U1272">
        <v>0</v>
      </c>
      <c r="W1272">
        <v>1</v>
      </c>
    </row>
    <row r="1273" spans="1:23" x14ac:dyDescent="0.2">
      <c r="A1273">
        <v>5045774</v>
      </c>
      <c r="B1273" t="s">
        <v>25</v>
      </c>
      <c r="C1273" t="s">
        <v>19</v>
      </c>
      <c r="D1273" t="s">
        <v>20</v>
      </c>
      <c r="E1273">
        <v>1</v>
      </c>
      <c r="F1273">
        <v>180000</v>
      </c>
      <c r="G1273" t="s">
        <v>31</v>
      </c>
      <c r="H1273" t="s">
        <v>22</v>
      </c>
      <c r="I1273" t="s">
        <v>28</v>
      </c>
      <c r="J1273" t="s">
        <v>24</v>
      </c>
      <c r="K1273" s="6">
        <f t="shared" ca="1" si="84"/>
        <v>36320</v>
      </c>
      <c r="L1273">
        <v>-9441</v>
      </c>
      <c r="M1273" s="7">
        <f t="shared" ca="1" si="82"/>
        <v>25.848049281314168</v>
      </c>
      <c r="N1273" s="5" t="str">
        <f ca="1">VLOOKUP(Data!M1273,temp!$B$3:$C$9,2,1)</f>
        <v>20-30</v>
      </c>
      <c r="O1273">
        <v>-1235</v>
      </c>
      <c r="P1273" s="8">
        <f t="shared" si="83"/>
        <v>3.3812457221081451</v>
      </c>
      <c r="Q1273" s="5" t="str">
        <f t="shared" si="85"/>
        <v>Employed</v>
      </c>
      <c r="R1273">
        <v>1</v>
      </c>
      <c r="S1273">
        <v>0</v>
      </c>
      <c r="T1273">
        <v>0</v>
      </c>
      <c r="U1273">
        <v>0</v>
      </c>
      <c r="V1273" t="s">
        <v>32</v>
      </c>
      <c r="W1273">
        <v>3</v>
      </c>
    </row>
    <row r="1274" spans="1:23" x14ac:dyDescent="0.2">
      <c r="A1274">
        <v>5045798</v>
      </c>
      <c r="B1274" t="s">
        <v>18</v>
      </c>
      <c r="C1274" t="s">
        <v>20</v>
      </c>
      <c r="D1274" t="s">
        <v>19</v>
      </c>
      <c r="E1274">
        <v>0</v>
      </c>
      <c r="F1274">
        <v>202500</v>
      </c>
      <c r="G1274" t="s">
        <v>31</v>
      </c>
      <c r="H1274" t="s">
        <v>22</v>
      </c>
      <c r="I1274" t="s">
        <v>28</v>
      </c>
      <c r="J1274" t="s">
        <v>24</v>
      </c>
      <c r="K1274" s="6">
        <f t="shared" ca="1" si="84"/>
        <v>36519</v>
      </c>
      <c r="L1274">
        <v>-9242</v>
      </c>
      <c r="M1274" s="7">
        <f t="shared" ca="1" si="82"/>
        <v>25.303216974674879</v>
      </c>
      <c r="N1274" s="5" t="str">
        <f ca="1">VLOOKUP(Data!M1274,temp!$B$3:$C$9,2,1)</f>
        <v>20-30</v>
      </c>
      <c r="O1274">
        <v>-139</v>
      </c>
      <c r="P1274" s="8">
        <f t="shared" si="83"/>
        <v>0.3805612594113621</v>
      </c>
      <c r="Q1274" s="5" t="str">
        <f t="shared" si="85"/>
        <v>Employed</v>
      </c>
      <c r="R1274">
        <v>1</v>
      </c>
      <c r="S1274">
        <v>0</v>
      </c>
      <c r="T1274">
        <v>0</v>
      </c>
      <c r="U1274">
        <v>0</v>
      </c>
      <c r="V1274" t="s">
        <v>44</v>
      </c>
      <c r="W1274">
        <v>2</v>
      </c>
    </row>
    <row r="1275" spans="1:23" x14ac:dyDescent="0.2">
      <c r="A1275">
        <v>5045806</v>
      </c>
      <c r="B1275" t="s">
        <v>18</v>
      </c>
      <c r="C1275" t="s">
        <v>20</v>
      </c>
      <c r="D1275" t="s">
        <v>19</v>
      </c>
      <c r="E1275">
        <v>0</v>
      </c>
      <c r="F1275">
        <v>157500</v>
      </c>
      <c r="G1275" t="s">
        <v>31</v>
      </c>
      <c r="H1275" t="s">
        <v>27</v>
      </c>
      <c r="I1275" t="s">
        <v>28</v>
      </c>
      <c r="J1275" t="s">
        <v>24</v>
      </c>
      <c r="K1275" s="6">
        <f t="shared" ca="1" si="84"/>
        <v>24353</v>
      </c>
      <c r="L1275">
        <v>-21408</v>
      </c>
      <c r="M1275" s="7">
        <f t="shared" ca="1" si="82"/>
        <v>58.611909650924026</v>
      </c>
      <c r="N1275" s="5" t="str">
        <f ca="1">VLOOKUP(Data!M1275,temp!$B$3:$C$9,2,1)</f>
        <v>50-60</v>
      </c>
      <c r="O1275">
        <v>-2512</v>
      </c>
      <c r="P1275" s="8">
        <f t="shared" si="83"/>
        <v>6.8774811772758389</v>
      </c>
      <c r="Q1275" s="5" t="str">
        <f t="shared" si="85"/>
        <v>Employed</v>
      </c>
      <c r="R1275">
        <v>1</v>
      </c>
      <c r="S1275">
        <v>1</v>
      </c>
      <c r="T1275">
        <v>0</v>
      </c>
      <c r="U1275">
        <v>0</v>
      </c>
      <c r="W1275">
        <v>2</v>
      </c>
    </row>
    <row r="1276" spans="1:23" x14ac:dyDescent="0.2">
      <c r="A1276">
        <v>5045827</v>
      </c>
      <c r="B1276" t="s">
        <v>18</v>
      </c>
      <c r="C1276" t="s">
        <v>19</v>
      </c>
      <c r="D1276" t="s">
        <v>20</v>
      </c>
      <c r="E1276">
        <v>0</v>
      </c>
      <c r="F1276">
        <v>270000</v>
      </c>
      <c r="G1276" t="s">
        <v>21</v>
      </c>
      <c r="H1276" t="s">
        <v>22</v>
      </c>
      <c r="I1276" t="s">
        <v>28</v>
      </c>
      <c r="J1276" t="s">
        <v>24</v>
      </c>
      <c r="K1276" s="6">
        <f t="shared" ca="1" si="84"/>
        <v>23421</v>
      </c>
      <c r="L1276">
        <v>-22340</v>
      </c>
      <c r="M1276" s="7">
        <f t="shared" ca="1" si="82"/>
        <v>61.163586584531146</v>
      </c>
      <c r="N1276" s="5" t="str">
        <f ca="1">VLOOKUP(Data!M1276,temp!$B$3:$C$9,2,1)</f>
        <v>60-70</v>
      </c>
      <c r="O1276">
        <v>365243</v>
      </c>
      <c r="P1276" s="8">
        <f t="shared" si="83"/>
        <v>0</v>
      </c>
      <c r="Q1276" s="5" t="str">
        <f t="shared" si="85"/>
        <v>Unemployed</v>
      </c>
      <c r="R1276">
        <v>1</v>
      </c>
      <c r="S1276">
        <v>0</v>
      </c>
      <c r="T1276">
        <v>0</v>
      </c>
      <c r="U1276">
        <v>0</v>
      </c>
      <c r="W1276">
        <v>2</v>
      </c>
    </row>
    <row r="1277" spans="1:23" x14ac:dyDescent="0.2">
      <c r="A1277">
        <v>5045847</v>
      </c>
      <c r="B1277" t="s">
        <v>18</v>
      </c>
      <c r="C1277" t="s">
        <v>20</v>
      </c>
      <c r="D1277" t="s">
        <v>20</v>
      </c>
      <c r="E1277">
        <v>2</v>
      </c>
      <c r="F1277">
        <v>315000</v>
      </c>
      <c r="G1277" t="s">
        <v>26</v>
      </c>
      <c r="H1277" t="s">
        <v>22</v>
      </c>
      <c r="I1277" t="s">
        <v>28</v>
      </c>
      <c r="J1277" t="s">
        <v>41</v>
      </c>
      <c r="K1277" s="6">
        <f t="shared" ca="1" si="84"/>
        <v>33140</v>
      </c>
      <c r="L1277">
        <v>-12621</v>
      </c>
      <c r="M1277" s="7">
        <f t="shared" ca="1" si="82"/>
        <v>34.554414784394254</v>
      </c>
      <c r="N1277" s="5" t="str">
        <f ca="1">VLOOKUP(Data!M1277,temp!$B$3:$C$9,2,1)</f>
        <v>30-40</v>
      </c>
      <c r="O1277">
        <v>-1327</v>
      </c>
      <c r="P1277" s="8">
        <f t="shared" si="83"/>
        <v>3.6331279945242985</v>
      </c>
      <c r="Q1277" s="5" t="str">
        <f t="shared" si="85"/>
        <v>Employed</v>
      </c>
      <c r="R1277">
        <v>1</v>
      </c>
      <c r="S1277">
        <v>0</v>
      </c>
      <c r="T1277">
        <v>0</v>
      </c>
      <c r="U1277">
        <v>0</v>
      </c>
      <c r="V1277" t="s">
        <v>32</v>
      </c>
      <c r="W1277">
        <v>4</v>
      </c>
    </row>
    <row r="1278" spans="1:23" x14ac:dyDescent="0.2">
      <c r="A1278">
        <v>5045861</v>
      </c>
      <c r="B1278" t="s">
        <v>25</v>
      </c>
      <c r="C1278" t="s">
        <v>19</v>
      </c>
      <c r="D1278" t="s">
        <v>19</v>
      </c>
      <c r="E1278">
        <v>0</v>
      </c>
      <c r="F1278">
        <v>121500</v>
      </c>
      <c r="G1278" t="s">
        <v>31</v>
      </c>
      <c r="H1278" t="s">
        <v>22</v>
      </c>
      <c r="I1278" t="s">
        <v>28</v>
      </c>
      <c r="J1278" t="s">
        <v>24</v>
      </c>
      <c r="K1278" s="6">
        <f t="shared" ca="1" si="84"/>
        <v>36021</v>
      </c>
      <c r="L1278">
        <v>-9740</v>
      </c>
      <c r="M1278" s="7">
        <f t="shared" ca="1" si="82"/>
        <v>26.666666666666668</v>
      </c>
      <c r="N1278" s="5" t="str">
        <f ca="1">VLOOKUP(Data!M1278,temp!$B$3:$C$9,2,1)</f>
        <v>20-30</v>
      </c>
      <c r="O1278">
        <v>-3030</v>
      </c>
      <c r="P1278" s="8">
        <f t="shared" si="83"/>
        <v>8.2956878850102669</v>
      </c>
      <c r="Q1278" s="5" t="str">
        <f t="shared" si="85"/>
        <v>Employed</v>
      </c>
      <c r="R1278">
        <v>1</v>
      </c>
      <c r="S1278">
        <v>0</v>
      </c>
      <c r="T1278">
        <v>0</v>
      </c>
      <c r="U1278">
        <v>0</v>
      </c>
      <c r="W1278">
        <v>2</v>
      </c>
    </row>
    <row r="1279" spans="1:23" x14ac:dyDescent="0.2">
      <c r="A1279">
        <v>5045866</v>
      </c>
      <c r="B1279" t="s">
        <v>18</v>
      </c>
      <c r="C1279" t="s">
        <v>20</v>
      </c>
      <c r="D1279" t="s">
        <v>20</v>
      </c>
      <c r="E1279">
        <v>1</v>
      </c>
      <c r="F1279">
        <v>315000</v>
      </c>
      <c r="G1279" t="s">
        <v>26</v>
      </c>
      <c r="H1279" t="s">
        <v>22</v>
      </c>
      <c r="I1279" t="s">
        <v>28</v>
      </c>
      <c r="J1279" t="s">
        <v>24</v>
      </c>
      <c r="K1279" s="6">
        <f t="shared" ca="1" si="84"/>
        <v>29051</v>
      </c>
      <c r="L1279">
        <v>-16710</v>
      </c>
      <c r="M1279" s="7">
        <f t="shared" ca="1" si="82"/>
        <v>45.74948665297741</v>
      </c>
      <c r="N1279" s="5" t="str">
        <f ca="1">VLOOKUP(Data!M1279,temp!$B$3:$C$9,2,1)</f>
        <v>40-50</v>
      </c>
      <c r="O1279">
        <v>-3092</v>
      </c>
      <c r="P1279" s="8">
        <f t="shared" si="83"/>
        <v>8.4654346338124569</v>
      </c>
      <c r="Q1279" s="5" t="str">
        <f t="shared" si="85"/>
        <v>Employed</v>
      </c>
      <c r="R1279">
        <v>1</v>
      </c>
      <c r="S1279">
        <v>0</v>
      </c>
      <c r="T1279">
        <v>0</v>
      </c>
      <c r="U1279">
        <v>0</v>
      </c>
      <c r="V1279" t="s">
        <v>32</v>
      </c>
      <c r="W1279">
        <v>3</v>
      </c>
    </row>
    <row r="1280" spans="1:23" x14ac:dyDescent="0.2">
      <c r="A1280">
        <v>5045868</v>
      </c>
      <c r="B1280" t="s">
        <v>18</v>
      </c>
      <c r="C1280" t="s">
        <v>20</v>
      </c>
      <c r="D1280" t="s">
        <v>20</v>
      </c>
      <c r="E1280">
        <v>1</v>
      </c>
      <c r="F1280">
        <v>315000</v>
      </c>
      <c r="G1280" t="s">
        <v>26</v>
      </c>
      <c r="H1280" t="s">
        <v>22</v>
      </c>
      <c r="I1280" t="s">
        <v>28</v>
      </c>
      <c r="J1280" t="s">
        <v>24</v>
      </c>
      <c r="K1280" s="6">
        <f t="shared" ca="1" si="84"/>
        <v>29051</v>
      </c>
      <c r="L1280">
        <v>-16710</v>
      </c>
      <c r="M1280" s="7">
        <f t="shared" ca="1" si="82"/>
        <v>45.74948665297741</v>
      </c>
      <c r="N1280" s="5" t="str">
        <f ca="1">VLOOKUP(Data!M1280,temp!$B$3:$C$9,2,1)</f>
        <v>40-50</v>
      </c>
      <c r="O1280">
        <v>-3092</v>
      </c>
      <c r="P1280" s="8">
        <f t="shared" si="83"/>
        <v>8.4654346338124569</v>
      </c>
      <c r="Q1280" s="5" t="str">
        <f t="shared" si="85"/>
        <v>Employed</v>
      </c>
      <c r="R1280">
        <v>1</v>
      </c>
      <c r="S1280">
        <v>0</v>
      </c>
      <c r="T1280">
        <v>0</v>
      </c>
      <c r="U1280">
        <v>0</v>
      </c>
      <c r="V1280" t="s">
        <v>32</v>
      </c>
      <c r="W1280">
        <v>3</v>
      </c>
    </row>
    <row r="1281" spans="1:23" x14ac:dyDescent="0.2">
      <c r="A1281">
        <v>5045869</v>
      </c>
      <c r="B1281" t="s">
        <v>18</v>
      </c>
      <c r="C1281" t="s">
        <v>20</v>
      </c>
      <c r="D1281" t="s">
        <v>20</v>
      </c>
      <c r="E1281">
        <v>1</v>
      </c>
      <c r="F1281">
        <v>315000</v>
      </c>
      <c r="G1281" t="s">
        <v>26</v>
      </c>
      <c r="H1281" t="s">
        <v>22</v>
      </c>
      <c r="I1281" t="s">
        <v>28</v>
      </c>
      <c r="J1281" t="s">
        <v>24</v>
      </c>
      <c r="K1281" s="6">
        <f t="shared" ca="1" si="84"/>
        <v>29051</v>
      </c>
      <c r="L1281">
        <v>-16710</v>
      </c>
      <c r="M1281" s="7">
        <f t="shared" ca="1" si="82"/>
        <v>45.74948665297741</v>
      </c>
      <c r="N1281" s="5" t="str">
        <f ca="1">VLOOKUP(Data!M1281,temp!$B$3:$C$9,2,1)</f>
        <v>40-50</v>
      </c>
      <c r="O1281">
        <v>-3092</v>
      </c>
      <c r="P1281" s="8">
        <f t="shared" si="83"/>
        <v>8.4654346338124569</v>
      </c>
      <c r="Q1281" s="5" t="str">
        <f t="shared" si="85"/>
        <v>Employed</v>
      </c>
      <c r="R1281">
        <v>1</v>
      </c>
      <c r="S1281">
        <v>0</v>
      </c>
      <c r="T1281">
        <v>0</v>
      </c>
      <c r="U1281">
        <v>0</v>
      </c>
      <c r="V1281" t="s">
        <v>32</v>
      </c>
      <c r="W1281">
        <v>3</v>
      </c>
    </row>
    <row r="1282" spans="1:23" x14ac:dyDescent="0.2">
      <c r="A1282">
        <v>5045879</v>
      </c>
      <c r="B1282" t="s">
        <v>25</v>
      </c>
      <c r="C1282" t="s">
        <v>20</v>
      </c>
      <c r="D1282" t="s">
        <v>19</v>
      </c>
      <c r="E1282">
        <v>1</v>
      </c>
      <c r="F1282">
        <v>157500</v>
      </c>
      <c r="G1282" t="s">
        <v>31</v>
      </c>
      <c r="H1282" t="s">
        <v>27</v>
      </c>
      <c r="I1282" t="s">
        <v>28</v>
      </c>
      <c r="J1282" t="s">
        <v>24</v>
      </c>
      <c r="K1282" s="6">
        <f t="shared" ca="1" si="84"/>
        <v>36036</v>
      </c>
      <c r="L1282">
        <v>-9725</v>
      </c>
      <c r="M1282" s="7">
        <f t="shared" ca="1" si="82"/>
        <v>26.625598904859686</v>
      </c>
      <c r="N1282" s="5" t="str">
        <f ca="1">VLOOKUP(Data!M1282,temp!$B$3:$C$9,2,1)</f>
        <v>20-30</v>
      </c>
      <c r="O1282">
        <v>-139</v>
      </c>
      <c r="P1282" s="8">
        <f t="shared" si="83"/>
        <v>0.3805612594113621</v>
      </c>
      <c r="Q1282" s="5" t="str">
        <f t="shared" si="85"/>
        <v>Employed</v>
      </c>
      <c r="R1282">
        <v>1</v>
      </c>
      <c r="S1282">
        <v>0</v>
      </c>
      <c r="T1282">
        <v>0</v>
      </c>
      <c r="U1282">
        <v>0</v>
      </c>
      <c r="V1282" t="s">
        <v>30</v>
      </c>
      <c r="W1282">
        <v>3</v>
      </c>
    </row>
    <row r="1283" spans="1:23" x14ac:dyDescent="0.2">
      <c r="A1283">
        <v>5045883</v>
      </c>
      <c r="B1283" t="s">
        <v>25</v>
      </c>
      <c r="C1283" t="s">
        <v>19</v>
      </c>
      <c r="D1283" t="s">
        <v>20</v>
      </c>
      <c r="E1283">
        <v>0</v>
      </c>
      <c r="F1283">
        <v>67500</v>
      </c>
      <c r="G1283" t="s">
        <v>21</v>
      </c>
      <c r="H1283" t="s">
        <v>27</v>
      </c>
      <c r="I1283" t="s">
        <v>28</v>
      </c>
      <c r="J1283" t="s">
        <v>24</v>
      </c>
      <c r="K1283" s="6">
        <f t="shared" ca="1" si="84"/>
        <v>24910</v>
      </c>
      <c r="L1283">
        <v>-20851</v>
      </c>
      <c r="M1283" s="7">
        <f t="shared" ref="M1283:M1346" ca="1" si="86">(TODAY()-K1283)/365.25</f>
        <v>57.086926762491444</v>
      </c>
      <c r="N1283" s="5" t="str">
        <f ca="1">VLOOKUP(Data!M1283,temp!$B$3:$C$9,2,1)</f>
        <v>50-60</v>
      </c>
      <c r="O1283">
        <v>365243</v>
      </c>
      <c r="P1283" s="8">
        <f t="shared" ref="P1283:P1346" si="87">IF(O1283&lt;=0,ABS(O1283)/365.25,0)</f>
        <v>0</v>
      </c>
      <c r="Q1283" s="5" t="str">
        <f t="shared" si="85"/>
        <v>Unemployed</v>
      </c>
      <c r="R1283">
        <v>1</v>
      </c>
      <c r="S1283">
        <v>0</v>
      </c>
      <c r="T1283">
        <v>0</v>
      </c>
      <c r="U1283">
        <v>0</v>
      </c>
      <c r="W1283">
        <v>2</v>
      </c>
    </row>
    <row r="1284" spans="1:23" x14ac:dyDescent="0.2">
      <c r="A1284">
        <v>5045914</v>
      </c>
      <c r="B1284" t="s">
        <v>25</v>
      </c>
      <c r="C1284" t="s">
        <v>20</v>
      </c>
      <c r="D1284" t="s">
        <v>20</v>
      </c>
      <c r="E1284">
        <v>0</v>
      </c>
      <c r="F1284">
        <v>315000</v>
      </c>
      <c r="G1284" t="s">
        <v>26</v>
      </c>
      <c r="H1284" t="s">
        <v>27</v>
      </c>
      <c r="I1284" t="s">
        <v>28</v>
      </c>
      <c r="J1284" t="s">
        <v>34</v>
      </c>
      <c r="K1284" s="6">
        <f t="shared" ca="1" si="84"/>
        <v>28771</v>
      </c>
      <c r="L1284">
        <v>-16990</v>
      </c>
      <c r="M1284" s="7">
        <f t="shared" ca="1" si="86"/>
        <v>46.516084873374403</v>
      </c>
      <c r="N1284" s="5" t="str">
        <f ca="1">VLOOKUP(Data!M1284,temp!$B$3:$C$9,2,1)</f>
        <v>40-50</v>
      </c>
      <c r="O1284">
        <v>-2026</v>
      </c>
      <c r="P1284" s="8">
        <f t="shared" si="87"/>
        <v>5.546885694729637</v>
      </c>
      <c r="Q1284" s="5" t="str">
        <f t="shared" si="85"/>
        <v>Employed</v>
      </c>
      <c r="R1284">
        <v>1</v>
      </c>
      <c r="S1284">
        <v>0</v>
      </c>
      <c r="T1284">
        <v>0</v>
      </c>
      <c r="U1284">
        <v>0</v>
      </c>
      <c r="V1284" t="s">
        <v>30</v>
      </c>
      <c r="W1284">
        <v>2</v>
      </c>
    </row>
    <row r="1285" spans="1:23" x14ac:dyDescent="0.2">
      <c r="A1285">
        <v>5045915</v>
      </c>
      <c r="B1285" t="s">
        <v>25</v>
      </c>
      <c r="C1285" t="s">
        <v>20</v>
      </c>
      <c r="D1285" t="s">
        <v>20</v>
      </c>
      <c r="E1285">
        <v>0</v>
      </c>
      <c r="F1285">
        <v>315000</v>
      </c>
      <c r="G1285" t="s">
        <v>26</v>
      </c>
      <c r="H1285" t="s">
        <v>27</v>
      </c>
      <c r="I1285" t="s">
        <v>28</v>
      </c>
      <c r="J1285" t="s">
        <v>34</v>
      </c>
      <c r="K1285" s="6">
        <f t="shared" ca="1" si="84"/>
        <v>28771</v>
      </c>
      <c r="L1285">
        <v>-16990</v>
      </c>
      <c r="M1285" s="7">
        <f t="shared" ca="1" si="86"/>
        <v>46.516084873374403</v>
      </c>
      <c r="N1285" s="5" t="str">
        <f ca="1">VLOOKUP(Data!M1285,temp!$B$3:$C$9,2,1)</f>
        <v>40-50</v>
      </c>
      <c r="O1285">
        <v>-2026</v>
      </c>
      <c r="P1285" s="8">
        <f t="shared" si="87"/>
        <v>5.546885694729637</v>
      </c>
      <c r="Q1285" s="5" t="str">
        <f t="shared" si="85"/>
        <v>Employed</v>
      </c>
      <c r="R1285">
        <v>1</v>
      </c>
      <c r="S1285">
        <v>0</v>
      </c>
      <c r="T1285">
        <v>0</v>
      </c>
      <c r="U1285">
        <v>0</v>
      </c>
      <c r="V1285" t="s">
        <v>30</v>
      </c>
      <c r="W1285">
        <v>2</v>
      </c>
    </row>
    <row r="1286" spans="1:23" x14ac:dyDescent="0.2">
      <c r="A1286">
        <v>5045918</v>
      </c>
      <c r="B1286" t="s">
        <v>18</v>
      </c>
      <c r="C1286" t="s">
        <v>19</v>
      </c>
      <c r="D1286" t="s">
        <v>20</v>
      </c>
      <c r="E1286">
        <v>0</v>
      </c>
      <c r="F1286">
        <v>40500</v>
      </c>
      <c r="G1286" t="s">
        <v>21</v>
      </c>
      <c r="H1286" t="s">
        <v>51</v>
      </c>
      <c r="I1286" t="s">
        <v>28</v>
      </c>
      <c r="J1286" t="s">
        <v>24</v>
      </c>
      <c r="K1286" s="6">
        <f t="shared" ca="1" si="84"/>
        <v>21828</v>
      </c>
      <c r="L1286">
        <v>-23933</v>
      </c>
      <c r="M1286" s="7">
        <f t="shared" ca="1" si="86"/>
        <v>65.524982888432575</v>
      </c>
      <c r="N1286" s="5" t="str">
        <f ca="1">VLOOKUP(Data!M1286,temp!$B$3:$C$9,2,1)</f>
        <v>60-70</v>
      </c>
      <c r="O1286">
        <v>365243</v>
      </c>
      <c r="P1286" s="8">
        <f t="shared" si="87"/>
        <v>0</v>
      </c>
      <c r="Q1286" s="5" t="str">
        <f t="shared" si="85"/>
        <v>Unemployed</v>
      </c>
      <c r="R1286">
        <v>1</v>
      </c>
      <c r="S1286">
        <v>0</v>
      </c>
      <c r="T1286">
        <v>0</v>
      </c>
      <c r="U1286">
        <v>0</v>
      </c>
      <c r="W1286">
        <v>2</v>
      </c>
    </row>
    <row r="1287" spans="1:23" x14ac:dyDescent="0.2">
      <c r="A1287">
        <v>5045923</v>
      </c>
      <c r="B1287" t="s">
        <v>18</v>
      </c>
      <c r="C1287" t="s">
        <v>19</v>
      </c>
      <c r="D1287" t="s">
        <v>20</v>
      </c>
      <c r="E1287">
        <v>0</v>
      </c>
      <c r="F1287">
        <v>40500</v>
      </c>
      <c r="G1287" t="s">
        <v>21</v>
      </c>
      <c r="H1287" t="s">
        <v>51</v>
      </c>
      <c r="I1287" t="s">
        <v>28</v>
      </c>
      <c r="J1287" t="s">
        <v>24</v>
      </c>
      <c r="K1287" s="6">
        <f t="shared" ca="1" si="84"/>
        <v>21828</v>
      </c>
      <c r="L1287">
        <v>-23933</v>
      </c>
      <c r="M1287" s="7">
        <f t="shared" ca="1" si="86"/>
        <v>65.524982888432575</v>
      </c>
      <c r="N1287" s="5" t="str">
        <f ca="1">VLOOKUP(Data!M1287,temp!$B$3:$C$9,2,1)</f>
        <v>60-70</v>
      </c>
      <c r="O1287">
        <v>365243</v>
      </c>
      <c r="P1287" s="8">
        <f t="shared" si="87"/>
        <v>0</v>
      </c>
      <c r="Q1287" s="5" t="str">
        <f t="shared" si="85"/>
        <v>Unemployed</v>
      </c>
      <c r="R1287">
        <v>1</v>
      </c>
      <c r="S1287">
        <v>0</v>
      </c>
      <c r="T1287">
        <v>0</v>
      </c>
      <c r="U1287">
        <v>0</v>
      </c>
      <c r="W1287">
        <v>2</v>
      </c>
    </row>
    <row r="1288" spans="1:23" x14ac:dyDescent="0.2">
      <c r="A1288">
        <v>5045925</v>
      </c>
      <c r="B1288" t="s">
        <v>18</v>
      </c>
      <c r="C1288" t="s">
        <v>19</v>
      </c>
      <c r="D1288" t="s">
        <v>20</v>
      </c>
      <c r="E1288">
        <v>0</v>
      </c>
      <c r="F1288">
        <v>40500</v>
      </c>
      <c r="G1288" t="s">
        <v>21</v>
      </c>
      <c r="H1288" t="s">
        <v>51</v>
      </c>
      <c r="I1288" t="s">
        <v>28</v>
      </c>
      <c r="J1288" t="s">
        <v>24</v>
      </c>
      <c r="K1288" s="6">
        <f t="shared" ref="K1288:K1351" ca="1" si="88">TODAY()+($L1288)</f>
        <v>21828</v>
      </c>
      <c r="L1288">
        <v>-23933</v>
      </c>
      <c r="M1288" s="7">
        <f t="shared" ca="1" si="86"/>
        <v>65.524982888432575</v>
      </c>
      <c r="N1288" s="5" t="str">
        <f ca="1">VLOOKUP(Data!M1288,temp!$B$3:$C$9,2,1)</f>
        <v>60-70</v>
      </c>
      <c r="O1288">
        <v>365243</v>
      </c>
      <c r="P1288" s="8">
        <f t="shared" si="87"/>
        <v>0</v>
      </c>
      <c r="Q1288" s="5" t="str">
        <f t="shared" ref="Q1288:Q1351" si="89">IF($O1288&gt;0,"Unemployed","Employed")</f>
        <v>Unemployed</v>
      </c>
      <c r="R1288">
        <v>1</v>
      </c>
      <c r="S1288">
        <v>0</v>
      </c>
      <c r="T1288">
        <v>0</v>
      </c>
      <c r="U1288">
        <v>0</v>
      </c>
      <c r="W1288">
        <v>2</v>
      </c>
    </row>
    <row r="1289" spans="1:23" x14ac:dyDescent="0.2">
      <c r="A1289">
        <v>5045932</v>
      </c>
      <c r="B1289" t="s">
        <v>25</v>
      </c>
      <c r="C1289" t="s">
        <v>19</v>
      </c>
      <c r="D1289" t="s">
        <v>19</v>
      </c>
      <c r="E1289">
        <v>0</v>
      </c>
      <c r="F1289">
        <v>247500</v>
      </c>
      <c r="G1289" t="s">
        <v>35</v>
      </c>
      <c r="H1289" t="s">
        <v>27</v>
      </c>
      <c r="I1289" t="s">
        <v>33</v>
      </c>
      <c r="J1289" t="s">
        <v>24</v>
      </c>
      <c r="K1289" s="6">
        <f t="shared" ca="1" si="88"/>
        <v>30724</v>
      </c>
      <c r="L1289">
        <v>-15037</v>
      </c>
      <c r="M1289" s="7">
        <f t="shared" ca="1" si="86"/>
        <v>41.169062286105408</v>
      </c>
      <c r="N1289" s="5" t="str">
        <f ca="1">VLOOKUP(Data!M1289,temp!$B$3:$C$9,2,1)</f>
        <v>40-50</v>
      </c>
      <c r="O1289">
        <v>-2208</v>
      </c>
      <c r="P1289" s="8">
        <f t="shared" si="87"/>
        <v>6.0451745379876796</v>
      </c>
      <c r="Q1289" s="5" t="str">
        <f t="shared" si="89"/>
        <v>Employed</v>
      </c>
      <c r="R1289">
        <v>1</v>
      </c>
      <c r="S1289">
        <v>0</v>
      </c>
      <c r="T1289">
        <v>0</v>
      </c>
      <c r="U1289">
        <v>0</v>
      </c>
      <c r="V1289" t="s">
        <v>29</v>
      </c>
      <c r="W1289">
        <v>1</v>
      </c>
    </row>
    <row r="1290" spans="1:23" x14ac:dyDescent="0.2">
      <c r="A1290">
        <v>5045954</v>
      </c>
      <c r="B1290" t="s">
        <v>18</v>
      </c>
      <c r="C1290" t="s">
        <v>20</v>
      </c>
      <c r="D1290" t="s">
        <v>20</v>
      </c>
      <c r="E1290">
        <v>0</v>
      </c>
      <c r="F1290">
        <v>157500</v>
      </c>
      <c r="G1290" t="s">
        <v>31</v>
      </c>
      <c r="H1290" t="s">
        <v>27</v>
      </c>
      <c r="I1290" t="s">
        <v>33</v>
      </c>
      <c r="J1290" t="s">
        <v>24</v>
      </c>
      <c r="K1290" s="6">
        <f t="shared" ca="1" si="88"/>
        <v>26704</v>
      </c>
      <c r="L1290">
        <v>-19057</v>
      </c>
      <c r="M1290" s="7">
        <f t="shared" ca="1" si="86"/>
        <v>52.175222450376452</v>
      </c>
      <c r="N1290" s="5" t="str">
        <f ca="1">VLOOKUP(Data!M1290,temp!$B$3:$C$9,2,1)</f>
        <v>50-60</v>
      </c>
      <c r="O1290">
        <v>-3913</v>
      </c>
      <c r="P1290" s="8">
        <f t="shared" si="87"/>
        <v>10.713210130047912</v>
      </c>
      <c r="Q1290" s="5" t="str">
        <f t="shared" si="89"/>
        <v>Employed</v>
      </c>
      <c r="R1290">
        <v>1</v>
      </c>
      <c r="S1290">
        <v>0</v>
      </c>
      <c r="T1290">
        <v>0</v>
      </c>
      <c r="U1290">
        <v>0</v>
      </c>
      <c r="W1290">
        <v>1</v>
      </c>
    </row>
    <row r="1291" spans="1:23" x14ac:dyDescent="0.2">
      <c r="A1291">
        <v>5045957</v>
      </c>
      <c r="B1291" t="s">
        <v>25</v>
      </c>
      <c r="C1291" t="s">
        <v>19</v>
      </c>
      <c r="D1291" t="s">
        <v>20</v>
      </c>
      <c r="E1291">
        <v>1</v>
      </c>
      <c r="F1291">
        <v>270000</v>
      </c>
      <c r="G1291" t="s">
        <v>26</v>
      </c>
      <c r="H1291" t="s">
        <v>27</v>
      </c>
      <c r="I1291" t="s">
        <v>28</v>
      </c>
      <c r="J1291" t="s">
        <v>24</v>
      </c>
      <c r="K1291" s="6">
        <f t="shared" ca="1" si="88"/>
        <v>30115</v>
      </c>
      <c r="L1291">
        <v>-15646</v>
      </c>
      <c r="M1291" s="7">
        <f t="shared" ca="1" si="86"/>
        <v>42.836413415468854</v>
      </c>
      <c r="N1291" s="5" t="str">
        <f ca="1">VLOOKUP(Data!M1291,temp!$B$3:$C$9,2,1)</f>
        <v>40-50</v>
      </c>
      <c r="O1291">
        <v>-4614</v>
      </c>
      <c r="P1291" s="8">
        <f t="shared" si="87"/>
        <v>12.632443531827516</v>
      </c>
      <c r="Q1291" s="5" t="str">
        <f t="shared" si="89"/>
        <v>Employed</v>
      </c>
      <c r="R1291">
        <v>1</v>
      </c>
      <c r="S1291">
        <v>0</v>
      </c>
      <c r="T1291">
        <v>0</v>
      </c>
      <c r="U1291">
        <v>0</v>
      </c>
      <c r="V1291" t="s">
        <v>29</v>
      </c>
      <c r="W1291">
        <v>3</v>
      </c>
    </row>
    <row r="1292" spans="1:23" x14ac:dyDescent="0.2">
      <c r="A1292">
        <v>5045967</v>
      </c>
      <c r="B1292" t="s">
        <v>25</v>
      </c>
      <c r="C1292" t="s">
        <v>20</v>
      </c>
      <c r="D1292" t="s">
        <v>19</v>
      </c>
      <c r="E1292">
        <v>1</v>
      </c>
      <c r="F1292">
        <v>90000</v>
      </c>
      <c r="G1292" t="s">
        <v>31</v>
      </c>
      <c r="H1292" t="s">
        <v>27</v>
      </c>
      <c r="I1292" t="s">
        <v>28</v>
      </c>
      <c r="J1292" t="s">
        <v>41</v>
      </c>
      <c r="K1292" s="6">
        <f t="shared" ca="1" si="88"/>
        <v>36674</v>
      </c>
      <c r="L1292">
        <v>-9087</v>
      </c>
      <c r="M1292" s="7">
        <f t="shared" ca="1" si="86"/>
        <v>24.878850102669404</v>
      </c>
      <c r="N1292" s="5" t="str">
        <f ca="1">VLOOKUP(Data!M1292,temp!$B$3:$C$9,2,1)</f>
        <v>20-30</v>
      </c>
      <c r="O1292">
        <v>-1051</v>
      </c>
      <c r="P1292" s="8">
        <f t="shared" si="87"/>
        <v>2.8774811772758384</v>
      </c>
      <c r="Q1292" s="5" t="str">
        <f t="shared" si="89"/>
        <v>Employed</v>
      </c>
      <c r="R1292">
        <v>1</v>
      </c>
      <c r="S1292">
        <v>0</v>
      </c>
      <c r="T1292">
        <v>0</v>
      </c>
      <c r="U1292">
        <v>0</v>
      </c>
      <c r="V1292" t="s">
        <v>29</v>
      </c>
      <c r="W1292">
        <v>3</v>
      </c>
    </row>
    <row r="1293" spans="1:23" x14ac:dyDescent="0.2">
      <c r="A1293">
        <v>5045968</v>
      </c>
      <c r="B1293" t="s">
        <v>25</v>
      </c>
      <c r="C1293" t="s">
        <v>20</v>
      </c>
      <c r="D1293" t="s">
        <v>19</v>
      </c>
      <c r="E1293">
        <v>1</v>
      </c>
      <c r="F1293">
        <v>90000</v>
      </c>
      <c r="G1293" t="s">
        <v>31</v>
      </c>
      <c r="H1293" t="s">
        <v>27</v>
      </c>
      <c r="I1293" t="s">
        <v>28</v>
      </c>
      <c r="J1293" t="s">
        <v>41</v>
      </c>
      <c r="K1293" s="6">
        <f t="shared" ca="1" si="88"/>
        <v>36674</v>
      </c>
      <c r="L1293">
        <v>-9087</v>
      </c>
      <c r="M1293" s="7">
        <f t="shared" ca="1" si="86"/>
        <v>24.878850102669404</v>
      </c>
      <c r="N1293" s="5" t="str">
        <f ca="1">VLOOKUP(Data!M1293,temp!$B$3:$C$9,2,1)</f>
        <v>20-30</v>
      </c>
      <c r="O1293">
        <v>-1051</v>
      </c>
      <c r="P1293" s="8">
        <f t="shared" si="87"/>
        <v>2.8774811772758384</v>
      </c>
      <c r="Q1293" s="5" t="str">
        <f t="shared" si="89"/>
        <v>Employed</v>
      </c>
      <c r="R1293">
        <v>1</v>
      </c>
      <c r="S1293">
        <v>0</v>
      </c>
      <c r="T1293">
        <v>0</v>
      </c>
      <c r="U1293">
        <v>0</v>
      </c>
      <c r="V1293" t="s">
        <v>29</v>
      </c>
      <c r="W1293">
        <v>3</v>
      </c>
    </row>
    <row r="1294" spans="1:23" x14ac:dyDescent="0.2">
      <c r="A1294">
        <v>5045975</v>
      </c>
      <c r="B1294" t="s">
        <v>25</v>
      </c>
      <c r="C1294" t="s">
        <v>20</v>
      </c>
      <c r="D1294" t="s">
        <v>20</v>
      </c>
      <c r="E1294">
        <v>1</v>
      </c>
      <c r="F1294">
        <v>360000</v>
      </c>
      <c r="G1294" t="s">
        <v>31</v>
      </c>
      <c r="H1294" t="s">
        <v>22</v>
      </c>
      <c r="I1294" t="s">
        <v>28</v>
      </c>
      <c r="J1294" t="s">
        <v>24</v>
      </c>
      <c r="K1294" s="6">
        <f t="shared" ca="1" si="88"/>
        <v>33994</v>
      </c>
      <c r="L1294">
        <v>-11767</v>
      </c>
      <c r="M1294" s="7">
        <f t="shared" ca="1" si="86"/>
        <v>32.216290212183438</v>
      </c>
      <c r="N1294" s="5" t="str">
        <f ca="1">VLOOKUP(Data!M1294,temp!$B$3:$C$9,2,1)</f>
        <v>30-40</v>
      </c>
      <c r="O1294">
        <v>-3883</v>
      </c>
      <c r="P1294" s="8">
        <f t="shared" si="87"/>
        <v>10.63107460643395</v>
      </c>
      <c r="Q1294" s="5" t="str">
        <f t="shared" si="89"/>
        <v>Employed</v>
      </c>
      <c r="R1294">
        <v>1</v>
      </c>
      <c r="S1294">
        <v>1</v>
      </c>
      <c r="T1294">
        <v>0</v>
      </c>
      <c r="U1294">
        <v>0</v>
      </c>
      <c r="V1294" t="s">
        <v>32</v>
      </c>
      <c r="W1294">
        <v>3</v>
      </c>
    </row>
    <row r="1295" spans="1:23" x14ac:dyDescent="0.2">
      <c r="A1295">
        <v>5045976</v>
      </c>
      <c r="B1295" t="s">
        <v>18</v>
      </c>
      <c r="C1295" t="s">
        <v>19</v>
      </c>
      <c r="D1295" t="s">
        <v>20</v>
      </c>
      <c r="E1295">
        <v>0</v>
      </c>
      <c r="F1295">
        <v>225000</v>
      </c>
      <c r="G1295" t="s">
        <v>31</v>
      </c>
      <c r="H1295" t="s">
        <v>27</v>
      </c>
      <c r="I1295" t="s">
        <v>28</v>
      </c>
      <c r="J1295" t="s">
        <v>24</v>
      </c>
      <c r="K1295" s="6">
        <f t="shared" ca="1" si="88"/>
        <v>24617</v>
      </c>
      <c r="L1295">
        <v>-21144</v>
      </c>
      <c r="M1295" s="7">
        <f t="shared" ca="1" si="86"/>
        <v>57.889117043121146</v>
      </c>
      <c r="N1295" s="5" t="str">
        <f ca="1">VLOOKUP(Data!M1295,temp!$B$3:$C$9,2,1)</f>
        <v>50-60</v>
      </c>
      <c r="O1295">
        <v>-1692</v>
      </c>
      <c r="P1295" s="8">
        <f t="shared" si="87"/>
        <v>4.6324435318275157</v>
      </c>
      <c r="Q1295" s="5" t="str">
        <f t="shared" si="89"/>
        <v>Employed</v>
      </c>
      <c r="R1295">
        <v>1</v>
      </c>
      <c r="S1295">
        <v>0</v>
      </c>
      <c r="T1295">
        <v>0</v>
      </c>
      <c r="U1295">
        <v>0</v>
      </c>
      <c r="V1295" t="s">
        <v>39</v>
      </c>
      <c r="W1295">
        <v>2</v>
      </c>
    </row>
    <row r="1296" spans="1:23" x14ac:dyDescent="0.2">
      <c r="A1296">
        <v>5045979</v>
      </c>
      <c r="B1296" t="s">
        <v>18</v>
      </c>
      <c r="C1296" t="s">
        <v>19</v>
      </c>
      <c r="D1296" t="s">
        <v>20</v>
      </c>
      <c r="E1296">
        <v>0</v>
      </c>
      <c r="F1296">
        <v>225000</v>
      </c>
      <c r="G1296" t="s">
        <v>31</v>
      </c>
      <c r="H1296" t="s">
        <v>27</v>
      </c>
      <c r="I1296" t="s">
        <v>28</v>
      </c>
      <c r="J1296" t="s">
        <v>24</v>
      </c>
      <c r="K1296" s="6">
        <f t="shared" ca="1" si="88"/>
        <v>24617</v>
      </c>
      <c r="L1296">
        <v>-21144</v>
      </c>
      <c r="M1296" s="7">
        <f t="shared" ca="1" si="86"/>
        <v>57.889117043121146</v>
      </c>
      <c r="N1296" s="5" t="str">
        <f ca="1">VLOOKUP(Data!M1296,temp!$B$3:$C$9,2,1)</f>
        <v>50-60</v>
      </c>
      <c r="O1296">
        <v>-1692</v>
      </c>
      <c r="P1296" s="8">
        <f t="shared" si="87"/>
        <v>4.6324435318275157</v>
      </c>
      <c r="Q1296" s="5" t="str">
        <f t="shared" si="89"/>
        <v>Employed</v>
      </c>
      <c r="R1296">
        <v>1</v>
      </c>
      <c r="S1296">
        <v>0</v>
      </c>
      <c r="T1296">
        <v>0</v>
      </c>
      <c r="U1296">
        <v>0</v>
      </c>
      <c r="V1296" t="s">
        <v>39</v>
      </c>
      <c r="W1296">
        <v>2</v>
      </c>
    </row>
    <row r="1297" spans="1:23" x14ac:dyDescent="0.2">
      <c r="A1297">
        <v>5045985</v>
      </c>
      <c r="B1297" t="s">
        <v>18</v>
      </c>
      <c r="C1297" t="s">
        <v>19</v>
      </c>
      <c r="D1297" t="s">
        <v>19</v>
      </c>
      <c r="E1297">
        <v>0</v>
      </c>
      <c r="F1297">
        <v>117000</v>
      </c>
      <c r="G1297" t="s">
        <v>26</v>
      </c>
      <c r="H1297" t="s">
        <v>27</v>
      </c>
      <c r="I1297" t="s">
        <v>33</v>
      </c>
      <c r="J1297" t="s">
        <v>45</v>
      </c>
      <c r="K1297" s="6">
        <f t="shared" ca="1" si="88"/>
        <v>28504</v>
      </c>
      <c r="L1297">
        <v>-17257</v>
      </c>
      <c r="M1297" s="7">
        <f t="shared" ca="1" si="86"/>
        <v>47.247091033538673</v>
      </c>
      <c r="N1297" s="5" t="str">
        <f ca="1">VLOOKUP(Data!M1297,temp!$B$3:$C$9,2,1)</f>
        <v>40-50</v>
      </c>
      <c r="O1297">
        <v>-777</v>
      </c>
      <c r="P1297" s="8">
        <f t="shared" si="87"/>
        <v>2.1273100616016429</v>
      </c>
      <c r="Q1297" s="5" t="str">
        <f t="shared" si="89"/>
        <v>Employed</v>
      </c>
      <c r="R1297">
        <v>1</v>
      </c>
      <c r="S1297">
        <v>0</v>
      </c>
      <c r="T1297">
        <v>0</v>
      </c>
      <c r="U1297">
        <v>0</v>
      </c>
      <c r="V1297" t="s">
        <v>29</v>
      </c>
      <c r="W1297">
        <v>1</v>
      </c>
    </row>
    <row r="1298" spans="1:23" x14ac:dyDescent="0.2">
      <c r="A1298">
        <v>5045987</v>
      </c>
      <c r="B1298" t="s">
        <v>18</v>
      </c>
      <c r="C1298" t="s">
        <v>19</v>
      </c>
      <c r="D1298" t="s">
        <v>19</v>
      </c>
      <c r="E1298">
        <v>0</v>
      </c>
      <c r="F1298">
        <v>117000</v>
      </c>
      <c r="G1298" t="s">
        <v>26</v>
      </c>
      <c r="H1298" t="s">
        <v>27</v>
      </c>
      <c r="I1298" t="s">
        <v>33</v>
      </c>
      <c r="J1298" t="s">
        <v>45</v>
      </c>
      <c r="K1298" s="6">
        <f t="shared" ca="1" si="88"/>
        <v>28504</v>
      </c>
      <c r="L1298">
        <v>-17257</v>
      </c>
      <c r="M1298" s="7">
        <f t="shared" ca="1" si="86"/>
        <v>47.247091033538673</v>
      </c>
      <c r="N1298" s="5" t="str">
        <f ca="1">VLOOKUP(Data!M1298,temp!$B$3:$C$9,2,1)</f>
        <v>40-50</v>
      </c>
      <c r="O1298">
        <v>-777</v>
      </c>
      <c r="P1298" s="8">
        <f t="shared" si="87"/>
        <v>2.1273100616016429</v>
      </c>
      <c r="Q1298" s="5" t="str">
        <f t="shared" si="89"/>
        <v>Employed</v>
      </c>
      <c r="R1298">
        <v>1</v>
      </c>
      <c r="S1298">
        <v>0</v>
      </c>
      <c r="T1298">
        <v>0</v>
      </c>
      <c r="U1298">
        <v>0</v>
      </c>
      <c r="V1298" t="s">
        <v>29</v>
      </c>
      <c r="W1298">
        <v>1</v>
      </c>
    </row>
    <row r="1299" spans="1:23" x14ac:dyDescent="0.2">
      <c r="A1299">
        <v>5045989</v>
      </c>
      <c r="B1299" t="s">
        <v>18</v>
      </c>
      <c r="C1299" t="s">
        <v>19</v>
      </c>
      <c r="D1299" t="s">
        <v>20</v>
      </c>
      <c r="E1299">
        <v>0</v>
      </c>
      <c r="F1299">
        <v>157500</v>
      </c>
      <c r="G1299" t="s">
        <v>26</v>
      </c>
      <c r="H1299" t="s">
        <v>27</v>
      </c>
      <c r="I1299" t="s">
        <v>28</v>
      </c>
      <c r="J1299" t="s">
        <v>24</v>
      </c>
      <c r="K1299" s="6">
        <f t="shared" ca="1" si="88"/>
        <v>30505</v>
      </c>
      <c r="L1299">
        <v>-15256</v>
      </c>
      <c r="M1299" s="7">
        <f t="shared" ca="1" si="86"/>
        <v>41.768651608487339</v>
      </c>
      <c r="N1299" s="5" t="str">
        <f ca="1">VLOOKUP(Data!M1299,temp!$B$3:$C$9,2,1)</f>
        <v>40-50</v>
      </c>
      <c r="O1299">
        <v>-4491</v>
      </c>
      <c r="P1299" s="8">
        <f t="shared" si="87"/>
        <v>12.295687885010267</v>
      </c>
      <c r="Q1299" s="5" t="str">
        <f t="shared" si="89"/>
        <v>Employed</v>
      </c>
      <c r="R1299">
        <v>1</v>
      </c>
      <c r="S1299">
        <v>0</v>
      </c>
      <c r="T1299">
        <v>0</v>
      </c>
      <c r="U1299">
        <v>0</v>
      </c>
      <c r="V1299" t="s">
        <v>29</v>
      </c>
      <c r="W1299">
        <v>2</v>
      </c>
    </row>
    <row r="1300" spans="1:23" x14ac:dyDescent="0.2">
      <c r="A1300">
        <v>5045991</v>
      </c>
      <c r="B1300" t="s">
        <v>18</v>
      </c>
      <c r="C1300" t="s">
        <v>19</v>
      </c>
      <c r="D1300" t="s">
        <v>20</v>
      </c>
      <c r="E1300">
        <v>0</v>
      </c>
      <c r="F1300">
        <v>157500</v>
      </c>
      <c r="G1300" t="s">
        <v>26</v>
      </c>
      <c r="H1300" t="s">
        <v>27</v>
      </c>
      <c r="I1300" t="s">
        <v>28</v>
      </c>
      <c r="J1300" t="s">
        <v>24</v>
      </c>
      <c r="K1300" s="6">
        <f t="shared" ca="1" si="88"/>
        <v>30505</v>
      </c>
      <c r="L1300">
        <v>-15256</v>
      </c>
      <c r="M1300" s="7">
        <f t="shared" ca="1" si="86"/>
        <v>41.768651608487339</v>
      </c>
      <c r="N1300" s="5" t="str">
        <f ca="1">VLOOKUP(Data!M1300,temp!$B$3:$C$9,2,1)</f>
        <v>40-50</v>
      </c>
      <c r="O1300">
        <v>-4491</v>
      </c>
      <c r="P1300" s="8">
        <f t="shared" si="87"/>
        <v>12.295687885010267</v>
      </c>
      <c r="Q1300" s="5" t="str">
        <f t="shared" si="89"/>
        <v>Employed</v>
      </c>
      <c r="R1300">
        <v>1</v>
      </c>
      <c r="S1300">
        <v>0</v>
      </c>
      <c r="T1300">
        <v>0</v>
      </c>
      <c r="U1300">
        <v>0</v>
      </c>
      <c r="V1300" t="s">
        <v>29</v>
      </c>
      <c r="W1300">
        <v>2</v>
      </c>
    </row>
    <row r="1301" spans="1:23" x14ac:dyDescent="0.2">
      <c r="A1301">
        <v>5045992</v>
      </c>
      <c r="B1301" t="s">
        <v>18</v>
      </c>
      <c r="C1301" t="s">
        <v>19</v>
      </c>
      <c r="D1301" t="s">
        <v>20</v>
      </c>
      <c r="E1301">
        <v>0</v>
      </c>
      <c r="F1301">
        <v>157500</v>
      </c>
      <c r="G1301" t="s">
        <v>26</v>
      </c>
      <c r="H1301" t="s">
        <v>27</v>
      </c>
      <c r="I1301" t="s">
        <v>28</v>
      </c>
      <c r="J1301" t="s">
        <v>24</v>
      </c>
      <c r="K1301" s="6">
        <f t="shared" ca="1" si="88"/>
        <v>30505</v>
      </c>
      <c r="L1301">
        <v>-15256</v>
      </c>
      <c r="M1301" s="7">
        <f t="shared" ca="1" si="86"/>
        <v>41.768651608487339</v>
      </c>
      <c r="N1301" s="5" t="str">
        <f ca="1">VLOOKUP(Data!M1301,temp!$B$3:$C$9,2,1)</f>
        <v>40-50</v>
      </c>
      <c r="O1301">
        <v>-4491</v>
      </c>
      <c r="P1301" s="8">
        <f t="shared" si="87"/>
        <v>12.295687885010267</v>
      </c>
      <c r="Q1301" s="5" t="str">
        <f t="shared" si="89"/>
        <v>Employed</v>
      </c>
      <c r="R1301">
        <v>1</v>
      </c>
      <c r="S1301">
        <v>0</v>
      </c>
      <c r="T1301">
        <v>0</v>
      </c>
      <c r="U1301">
        <v>0</v>
      </c>
      <c r="V1301" t="s">
        <v>29</v>
      </c>
      <c r="W1301">
        <v>2</v>
      </c>
    </row>
    <row r="1302" spans="1:23" x14ac:dyDescent="0.2">
      <c r="A1302">
        <v>5046007</v>
      </c>
      <c r="B1302" t="s">
        <v>18</v>
      </c>
      <c r="C1302" t="s">
        <v>19</v>
      </c>
      <c r="D1302" t="s">
        <v>20</v>
      </c>
      <c r="E1302">
        <v>0</v>
      </c>
      <c r="F1302">
        <v>103500</v>
      </c>
      <c r="G1302" t="s">
        <v>35</v>
      </c>
      <c r="H1302" t="s">
        <v>27</v>
      </c>
      <c r="I1302" t="s">
        <v>37</v>
      </c>
      <c r="J1302" t="s">
        <v>24</v>
      </c>
      <c r="K1302" s="6">
        <f t="shared" ca="1" si="88"/>
        <v>34800</v>
      </c>
      <c r="L1302">
        <v>-10961</v>
      </c>
      <c r="M1302" s="7">
        <f t="shared" ca="1" si="86"/>
        <v>30.009582477754961</v>
      </c>
      <c r="N1302" s="5" t="str">
        <f ca="1">VLOOKUP(Data!M1302,temp!$B$3:$C$9,2,1)</f>
        <v>30-40</v>
      </c>
      <c r="O1302">
        <v>-473</v>
      </c>
      <c r="P1302" s="8">
        <f t="shared" si="87"/>
        <v>1.2950034223134839</v>
      </c>
      <c r="Q1302" s="5" t="str">
        <f t="shared" si="89"/>
        <v>Employed</v>
      </c>
      <c r="R1302">
        <v>1</v>
      </c>
      <c r="S1302">
        <v>0</v>
      </c>
      <c r="T1302">
        <v>0</v>
      </c>
      <c r="U1302">
        <v>0</v>
      </c>
      <c r="V1302" t="s">
        <v>55</v>
      </c>
      <c r="W1302">
        <v>2</v>
      </c>
    </row>
    <row r="1303" spans="1:23" x14ac:dyDescent="0.2">
      <c r="A1303">
        <v>5046018</v>
      </c>
      <c r="B1303" t="s">
        <v>25</v>
      </c>
      <c r="C1303" t="s">
        <v>20</v>
      </c>
      <c r="D1303" t="s">
        <v>20</v>
      </c>
      <c r="E1303">
        <v>1</v>
      </c>
      <c r="F1303">
        <v>247500</v>
      </c>
      <c r="G1303" t="s">
        <v>35</v>
      </c>
      <c r="H1303" t="s">
        <v>27</v>
      </c>
      <c r="I1303" t="s">
        <v>28</v>
      </c>
      <c r="J1303" t="s">
        <v>24</v>
      </c>
      <c r="K1303" s="6">
        <f t="shared" ca="1" si="88"/>
        <v>33769</v>
      </c>
      <c r="L1303">
        <v>-11992</v>
      </c>
      <c r="M1303" s="7">
        <f t="shared" ca="1" si="86"/>
        <v>32.832306639288156</v>
      </c>
      <c r="N1303" s="5" t="str">
        <f ca="1">VLOOKUP(Data!M1303,temp!$B$3:$C$9,2,1)</f>
        <v>30-40</v>
      </c>
      <c r="O1303">
        <v>-3579</v>
      </c>
      <c r="P1303" s="8">
        <f t="shared" si="87"/>
        <v>9.7987679671457908</v>
      </c>
      <c r="Q1303" s="5" t="str">
        <f t="shared" si="89"/>
        <v>Employed</v>
      </c>
      <c r="R1303">
        <v>1</v>
      </c>
      <c r="S1303">
        <v>0</v>
      </c>
      <c r="T1303">
        <v>0</v>
      </c>
      <c r="U1303">
        <v>0</v>
      </c>
      <c r="V1303" t="s">
        <v>32</v>
      </c>
      <c r="W1303">
        <v>3</v>
      </c>
    </row>
    <row r="1304" spans="1:23" x14ac:dyDescent="0.2">
      <c r="A1304">
        <v>5046042</v>
      </c>
      <c r="B1304" t="s">
        <v>18</v>
      </c>
      <c r="C1304" t="s">
        <v>19</v>
      </c>
      <c r="D1304" t="s">
        <v>20</v>
      </c>
      <c r="E1304">
        <v>0</v>
      </c>
      <c r="F1304">
        <v>139500</v>
      </c>
      <c r="G1304" t="s">
        <v>35</v>
      </c>
      <c r="H1304" t="s">
        <v>22</v>
      </c>
      <c r="I1304" t="s">
        <v>28</v>
      </c>
      <c r="J1304" t="s">
        <v>24</v>
      </c>
      <c r="K1304" s="6">
        <f t="shared" ca="1" si="88"/>
        <v>27960</v>
      </c>
      <c r="L1304">
        <v>-17801</v>
      </c>
      <c r="M1304" s="7">
        <f t="shared" ca="1" si="86"/>
        <v>48.736481861738532</v>
      </c>
      <c r="N1304" s="5" t="str">
        <f ca="1">VLOOKUP(Data!M1304,temp!$B$3:$C$9,2,1)</f>
        <v>40-50</v>
      </c>
      <c r="O1304">
        <v>-8479</v>
      </c>
      <c r="P1304" s="8">
        <f t="shared" si="87"/>
        <v>23.214236824093089</v>
      </c>
      <c r="Q1304" s="5" t="str">
        <f t="shared" si="89"/>
        <v>Employed</v>
      </c>
      <c r="R1304">
        <v>1</v>
      </c>
      <c r="S1304">
        <v>0</v>
      </c>
      <c r="T1304">
        <v>0</v>
      </c>
      <c r="U1304">
        <v>0</v>
      </c>
      <c r="V1304" t="s">
        <v>32</v>
      </c>
      <c r="W1304">
        <v>2</v>
      </c>
    </row>
    <row r="1305" spans="1:23" x14ac:dyDescent="0.2">
      <c r="A1305">
        <v>5046047</v>
      </c>
      <c r="B1305" t="s">
        <v>18</v>
      </c>
      <c r="C1305" t="s">
        <v>19</v>
      </c>
      <c r="D1305" t="s">
        <v>20</v>
      </c>
      <c r="E1305">
        <v>0</v>
      </c>
      <c r="F1305">
        <v>139500</v>
      </c>
      <c r="G1305" t="s">
        <v>35</v>
      </c>
      <c r="H1305" t="s">
        <v>22</v>
      </c>
      <c r="I1305" t="s">
        <v>28</v>
      </c>
      <c r="J1305" t="s">
        <v>24</v>
      </c>
      <c r="K1305" s="6">
        <f t="shared" ca="1" si="88"/>
        <v>27960</v>
      </c>
      <c r="L1305">
        <v>-17801</v>
      </c>
      <c r="M1305" s="7">
        <f t="shared" ca="1" si="86"/>
        <v>48.736481861738532</v>
      </c>
      <c r="N1305" s="5" t="str">
        <f ca="1">VLOOKUP(Data!M1305,temp!$B$3:$C$9,2,1)</f>
        <v>40-50</v>
      </c>
      <c r="O1305">
        <v>-8479</v>
      </c>
      <c r="P1305" s="8">
        <f t="shared" si="87"/>
        <v>23.214236824093089</v>
      </c>
      <c r="Q1305" s="5" t="str">
        <f t="shared" si="89"/>
        <v>Employed</v>
      </c>
      <c r="R1305">
        <v>1</v>
      </c>
      <c r="S1305">
        <v>0</v>
      </c>
      <c r="T1305">
        <v>0</v>
      </c>
      <c r="U1305">
        <v>0</v>
      </c>
      <c r="V1305" t="s">
        <v>32</v>
      </c>
      <c r="W1305">
        <v>2</v>
      </c>
    </row>
    <row r="1306" spans="1:23" x14ac:dyDescent="0.2">
      <c r="A1306">
        <v>5046048</v>
      </c>
      <c r="B1306" t="s">
        <v>18</v>
      </c>
      <c r="C1306" t="s">
        <v>19</v>
      </c>
      <c r="D1306" t="s">
        <v>20</v>
      </c>
      <c r="E1306">
        <v>0</v>
      </c>
      <c r="F1306">
        <v>139500</v>
      </c>
      <c r="G1306" t="s">
        <v>35</v>
      </c>
      <c r="H1306" t="s">
        <v>22</v>
      </c>
      <c r="I1306" t="s">
        <v>28</v>
      </c>
      <c r="J1306" t="s">
        <v>24</v>
      </c>
      <c r="K1306" s="6">
        <f t="shared" ca="1" si="88"/>
        <v>27960</v>
      </c>
      <c r="L1306">
        <v>-17801</v>
      </c>
      <c r="M1306" s="7">
        <f t="shared" ca="1" si="86"/>
        <v>48.736481861738532</v>
      </c>
      <c r="N1306" s="5" t="str">
        <f ca="1">VLOOKUP(Data!M1306,temp!$B$3:$C$9,2,1)</f>
        <v>40-50</v>
      </c>
      <c r="O1306">
        <v>-8479</v>
      </c>
      <c r="P1306" s="8">
        <f t="shared" si="87"/>
        <v>23.214236824093089</v>
      </c>
      <c r="Q1306" s="5" t="str">
        <f t="shared" si="89"/>
        <v>Employed</v>
      </c>
      <c r="R1306">
        <v>1</v>
      </c>
      <c r="S1306">
        <v>0</v>
      </c>
      <c r="T1306">
        <v>0</v>
      </c>
      <c r="U1306">
        <v>0</v>
      </c>
      <c r="V1306" t="s">
        <v>32</v>
      </c>
      <c r="W1306">
        <v>2</v>
      </c>
    </row>
    <row r="1307" spans="1:23" x14ac:dyDescent="0.2">
      <c r="A1307">
        <v>5046049</v>
      </c>
      <c r="B1307" t="s">
        <v>18</v>
      </c>
      <c r="C1307" t="s">
        <v>19</v>
      </c>
      <c r="D1307" t="s">
        <v>20</v>
      </c>
      <c r="E1307">
        <v>0</v>
      </c>
      <c r="F1307">
        <v>139500</v>
      </c>
      <c r="G1307" t="s">
        <v>35</v>
      </c>
      <c r="H1307" t="s">
        <v>22</v>
      </c>
      <c r="I1307" t="s">
        <v>28</v>
      </c>
      <c r="J1307" t="s">
        <v>24</v>
      </c>
      <c r="K1307" s="6">
        <f t="shared" ca="1" si="88"/>
        <v>27960</v>
      </c>
      <c r="L1307">
        <v>-17801</v>
      </c>
      <c r="M1307" s="7">
        <f t="shared" ca="1" si="86"/>
        <v>48.736481861738532</v>
      </c>
      <c r="N1307" s="5" t="str">
        <f ca="1">VLOOKUP(Data!M1307,temp!$B$3:$C$9,2,1)</f>
        <v>40-50</v>
      </c>
      <c r="O1307">
        <v>-8479</v>
      </c>
      <c r="P1307" s="8">
        <f t="shared" si="87"/>
        <v>23.214236824093089</v>
      </c>
      <c r="Q1307" s="5" t="str">
        <f t="shared" si="89"/>
        <v>Employed</v>
      </c>
      <c r="R1307">
        <v>1</v>
      </c>
      <c r="S1307">
        <v>0</v>
      </c>
      <c r="T1307">
        <v>0</v>
      </c>
      <c r="U1307">
        <v>0</v>
      </c>
      <c r="V1307" t="s">
        <v>32</v>
      </c>
      <c r="W1307">
        <v>2</v>
      </c>
    </row>
    <row r="1308" spans="1:23" x14ac:dyDescent="0.2">
      <c r="A1308">
        <v>5046077</v>
      </c>
      <c r="B1308" t="s">
        <v>18</v>
      </c>
      <c r="C1308" t="s">
        <v>20</v>
      </c>
      <c r="D1308" t="s">
        <v>20</v>
      </c>
      <c r="E1308">
        <v>2</v>
      </c>
      <c r="F1308">
        <v>112500</v>
      </c>
      <c r="G1308" t="s">
        <v>35</v>
      </c>
      <c r="H1308" t="s">
        <v>51</v>
      </c>
      <c r="I1308" t="s">
        <v>28</v>
      </c>
      <c r="J1308" t="s">
        <v>24</v>
      </c>
      <c r="K1308" s="6">
        <f t="shared" ca="1" si="88"/>
        <v>31527</v>
      </c>
      <c r="L1308">
        <v>-14234</v>
      </c>
      <c r="M1308" s="7">
        <f t="shared" ca="1" si="86"/>
        <v>38.970568104038328</v>
      </c>
      <c r="N1308" s="5" t="str">
        <f ca="1">VLOOKUP(Data!M1308,temp!$B$3:$C$9,2,1)</f>
        <v>30-40</v>
      </c>
      <c r="O1308">
        <v>-5710</v>
      </c>
      <c r="P1308" s="8">
        <f t="shared" si="87"/>
        <v>15.633127994524298</v>
      </c>
      <c r="Q1308" s="5" t="str">
        <f t="shared" si="89"/>
        <v>Employed</v>
      </c>
      <c r="R1308">
        <v>1</v>
      </c>
      <c r="S1308">
        <v>1</v>
      </c>
      <c r="T1308">
        <v>0</v>
      </c>
      <c r="U1308">
        <v>0</v>
      </c>
      <c r="V1308" t="s">
        <v>50</v>
      </c>
      <c r="W1308">
        <v>4</v>
      </c>
    </row>
    <row r="1309" spans="1:23" x14ac:dyDescent="0.2">
      <c r="A1309">
        <v>5046081</v>
      </c>
      <c r="B1309" t="s">
        <v>18</v>
      </c>
      <c r="C1309" t="s">
        <v>20</v>
      </c>
      <c r="D1309" t="s">
        <v>20</v>
      </c>
      <c r="E1309">
        <v>2</v>
      </c>
      <c r="F1309">
        <v>112500</v>
      </c>
      <c r="G1309" t="s">
        <v>35</v>
      </c>
      <c r="H1309" t="s">
        <v>51</v>
      </c>
      <c r="I1309" t="s">
        <v>28</v>
      </c>
      <c r="J1309" t="s">
        <v>24</v>
      </c>
      <c r="K1309" s="6">
        <f t="shared" ca="1" si="88"/>
        <v>31527</v>
      </c>
      <c r="L1309">
        <v>-14234</v>
      </c>
      <c r="M1309" s="7">
        <f t="shared" ca="1" si="86"/>
        <v>38.970568104038328</v>
      </c>
      <c r="N1309" s="5" t="str">
        <f ca="1">VLOOKUP(Data!M1309,temp!$B$3:$C$9,2,1)</f>
        <v>30-40</v>
      </c>
      <c r="O1309">
        <v>-5710</v>
      </c>
      <c r="P1309" s="8">
        <f t="shared" si="87"/>
        <v>15.633127994524298</v>
      </c>
      <c r="Q1309" s="5" t="str">
        <f t="shared" si="89"/>
        <v>Employed</v>
      </c>
      <c r="R1309">
        <v>1</v>
      </c>
      <c r="S1309">
        <v>1</v>
      </c>
      <c r="T1309">
        <v>0</v>
      </c>
      <c r="U1309">
        <v>0</v>
      </c>
      <c r="V1309" t="s">
        <v>50</v>
      </c>
      <c r="W1309">
        <v>4</v>
      </c>
    </row>
    <row r="1310" spans="1:23" x14ac:dyDescent="0.2">
      <c r="A1310">
        <v>5046084</v>
      </c>
      <c r="B1310" t="s">
        <v>18</v>
      </c>
      <c r="C1310" t="s">
        <v>20</v>
      </c>
      <c r="D1310" t="s">
        <v>20</v>
      </c>
      <c r="E1310">
        <v>0</v>
      </c>
      <c r="F1310">
        <v>99000</v>
      </c>
      <c r="G1310" t="s">
        <v>31</v>
      </c>
      <c r="H1310" t="s">
        <v>27</v>
      </c>
      <c r="I1310" t="s">
        <v>28</v>
      </c>
      <c r="J1310" t="s">
        <v>24</v>
      </c>
      <c r="K1310" s="6">
        <f t="shared" ca="1" si="88"/>
        <v>24731</v>
      </c>
      <c r="L1310">
        <v>-21030</v>
      </c>
      <c r="M1310" s="7">
        <f t="shared" ca="1" si="86"/>
        <v>57.577002053388092</v>
      </c>
      <c r="N1310" s="5" t="str">
        <f ca="1">VLOOKUP(Data!M1310,temp!$B$3:$C$9,2,1)</f>
        <v>50-60</v>
      </c>
      <c r="O1310">
        <v>-2299</v>
      </c>
      <c r="P1310" s="8">
        <f t="shared" si="87"/>
        <v>6.2943189596167013</v>
      </c>
      <c r="Q1310" s="5" t="str">
        <f t="shared" si="89"/>
        <v>Employed</v>
      </c>
      <c r="R1310">
        <v>1</v>
      </c>
      <c r="S1310">
        <v>0</v>
      </c>
      <c r="T1310">
        <v>0</v>
      </c>
      <c r="U1310">
        <v>0</v>
      </c>
      <c r="W1310">
        <v>2</v>
      </c>
    </row>
    <row r="1311" spans="1:23" x14ac:dyDescent="0.2">
      <c r="A1311">
        <v>5046101</v>
      </c>
      <c r="B1311" t="s">
        <v>18</v>
      </c>
      <c r="C1311" t="s">
        <v>19</v>
      </c>
      <c r="D1311" t="s">
        <v>20</v>
      </c>
      <c r="E1311">
        <v>0</v>
      </c>
      <c r="F1311">
        <v>99000</v>
      </c>
      <c r="G1311" t="s">
        <v>21</v>
      </c>
      <c r="H1311" t="s">
        <v>27</v>
      </c>
      <c r="I1311" t="s">
        <v>23</v>
      </c>
      <c r="J1311" t="s">
        <v>24</v>
      </c>
      <c r="K1311" s="6">
        <f t="shared" ca="1" si="88"/>
        <v>24256</v>
      </c>
      <c r="L1311">
        <v>-21505</v>
      </c>
      <c r="M1311" s="7">
        <f t="shared" ca="1" si="86"/>
        <v>58.87748117727584</v>
      </c>
      <c r="N1311" s="5" t="str">
        <f ca="1">VLOOKUP(Data!M1311,temp!$B$3:$C$9,2,1)</f>
        <v>50-60</v>
      </c>
      <c r="O1311">
        <v>365243</v>
      </c>
      <c r="P1311" s="8">
        <f t="shared" si="87"/>
        <v>0</v>
      </c>
      <c r="Q1311" s="5" t="str">
        <f t="shared" si="89"/>
        <v>Unemployed</v>
      </c>
      <c r="R1311">
        <v>1</v>
      </c>
      <c r="S1311">
        <v>0</v>
      </c>
      <c r="T1311">
        <v>1</v>
      </c>
      <c r="U1311">
        <v>0</v>
      </c>
      <c r="W1311">
        <v>1</v>
      </c>
    </row>
    <row r="1312" spans="1:23" x14ac:dyDescent="0.2">
      <c r="A1312">
        <v>5046108</v>
      </c>
      <c r="B1312" t="s">
        <v>18</v>
      </c>
      <c r="C1312" t="s">
        <v>19</v>
      </c>
      <c r="D1312" t="s">
        <v>20</v>
      </c>
      <c r="E1312">
        <v>2</v>
      </c>
      <c r="F1312">
        <v>202500</v>
      </c>
      <c r="G1312" t="s">
        <v>31</v>
      </c>
      <c r="H1312" t="s">
        <v>27</v>
      </c>
      <c r="I1312" t="s">
        <v>37</v>
      </c>
      <c r="J1312" t="s">
        <v>24</v>
      </c>
      <c r="K1312" s="6">
        <f t="shared" ca="1" si="88"/>
        <v>32118</v>
      </c>
      <c r="L1312">
        <v>-13643</v>
      </c>
      <c r="M1312" s="7">
        <f t="shared" ca="1" si="86"/>
        <v>37.352498288843258</v>
      </c>
      <c r="N1312" s="5" t="str">
        <f ca="1">VLOOKUP(Data!M1312,temp!$B$3:$C$9,2,1)</f>
        <v>30-40</v>
      </c>
      <c r="O1312">
        <v>-3883</v>
      </c>
      <c r="P1312" s="8">
        <f t="shared" si="87"/>
        <v>10.63107460643395</v>
      </c>
      <c r="Q1312" s="5" t="str">
        <f t="shared" si="89"/>
        <v>Employed</v>
      </c>
      <c r="R1312">
        <v>1</v>
      </c>
      <c r="S1312">
        <v>0</v>
      </c>
      <c r="T1312">
        <v>0</v>
      </c>
      <c r="U1312">
        <v>0</v>
      </c>
      <c r="V1312" t="s">
        <v>46</v>
      </c>
      <c r="W1312">
        <v>4</v>
      </c>
    </row>
    <row r="1313" spans="1:23" x14ac:dyDescent="0.2">
      <c r="A1313">
        <v>5046109</v>
      </c>
      <c r="B1313" t="s">
        <v>18</v>
      </c>
      <c r="C1313" t="s">
        <v>19</v>
      </c>
      <c r="D1313" t="s">
        <v>20</v>
      </c>
      <c r="E1313">
        <v>2</v>
      </c>
      <c r="F1313">
        <v>202500</v>
      </c>
      <c r="G1313" t="s">
        <v>31</v>
      </c>
      <c r="H1313" t="s">
        <v>27</v>
      </c>
      <c r="I1313" t="s">
        <v>37</v>
      </c>
      <c r="J1313" t="s">
        <v>24</v>
      </c>
      <c r="K1313" s="6">
        <f t="shared" ca="1" si="88"/>
        <v>32118</v>
      </c>
      <c r="L1313">
        <v>-13643</v>
      </c>
      <c r="M1313" s="7">
        <f t="shared" ca="1" si="86"/>
        <v>37.352498288843258</v>
      </c>
      <c r="N1313" s="5" t="str">
        <f ca="1">VLOOKUP(Data!M1313,temp!$B$3:$C$9,2,1)</f>
        <v>30-40</v>
      </c>
      <c r="O1313">
        <v>-3883</v>
      </c>
      <c r="P1313" s="8">
        <f t="shared" si="87"/>
        <v>10.63107460643395</v>
      </c>
      <c r="Q1313" s="5" t="str">
        <f t="shared" si="89"/>
        <v>Employed</v>
      </c>
      <c r="R1313">
        <v>1</v>
      </c>
      <c r="S1313">
        <v>0</v>
      </c>
      <c r="T1313">
        <v>0</v>
      </c>
      <c r="U1313">
        <v>0</v>
      </c>
      <c r="V1313" t="s">
        <v>46</v>
      </c>
      <c r="W1313">
        <v>4</v>
      </c>
    </row>
    <row r="1314" spans="1:23" x14ac:dyDescent="0.2">
      <c r="A1314">
        <v>5046110</v>
      </c>
      <c r="B1314" t="s">
        <v>25</v>
      </c>
      <c r="C1314" t="s">
        <v>19</v>
      </c>
      <c r="D1314" t="s">
        <v>19</v>
      </c>
      <c r="E1314">
        <v>0</v>
      </c>
      <c r="F1314">
        <v>126000</v>
      </c>
      <c r="G1314" t="s">
        <v>31</v>
      </c>
      <c r="H1314" t="s">
        <v>22</v>
      </c>
      <c r="I1314" t="s">
        <v>33</v>
      </c>
      <c r="J1314" t="s">
        <v>24</v>
      </c>
      <c r="K1314" s="6">
        <f t="shared" ca="1" si="88"/>
        <v>33145</v>
      </c>
      <c r="L1314">
        <v>-12616</v>
      </c>
      <c r="M1314" s="7">
        <f t="shared" ca="1" si="86"/>
        <v>34.540725530458587</v>
      </c>
      <c r="N1314" s="5" t="str">
        <f ca="1">VLOOKUP(Data!M1314,temp!$B$3:$C$9,2,1)</f>
        <v>30-40</v>
      </c>
      <c r="O1314">
        <v>-1904</v>
      </c>
      <c r="P1314" s="8">
        <f t="shared" si="87"/>
        <v>5.2128678986995212</v>
      </c>
      <c r="Q1314" s="5" t="str">
        <f t="shared" si="89"/>
        <v>Employed</v>
      </c>
      <c r="R1314">
        <v>1</v>
      </c>
      <c r="S1314">
        <v>1</v>
      </c>
      <c r="T1314">
        <v>1</v>
      </c>
      <c r="U1314">
        <v>0</v>
      </c>
      <c r="V1314" t="s">
        <v>38</v>
      </c>
      <c r="W1314">
        <v>1</v>
      </c>
    </row>
    <row r="1315" spans="1:23" x14ac:dyDescent="0.2">
      <c r="A1315">
        <v>5046113</v>
      </c>
      <c r="B1315" t="s">
        <v>25</v>
      </c>
      <c r="C1315" t="s">
        <v>19</v>
      </c>
      <c r="D1315" t="s">
        <v>19</v>
      </c>
      <c r="E1315">
        <v>0</v>
      </c>
      <c r="F1315">
        <v>126000</v>
      </c>
      <c r="G1315" t="s">
        <v>31</v>
      </c>
      <c r="H1315" t="s">
        <v>22</v>
      </c>
      <c r="I1315" t="s">
        <v>33</v>
      </c>
      <c r="J1315" t="s">
        <v>24</v>
      </c>
      <c r="K1315" s="6">
        <f t="shared" ca="1" si="88"/>
        <v>33145</v>
      </c>
      <c r="L1315">
        <v>-12616</v>
      </c>
      <c r="M1315" s="7">
        <f t="shared" ca="1" si="86"/>
        <v>34.540725530458587</v>
      </c>
      <c r="N1315" s="5" t="str">
        <f ca="1">VLOOKUP(Data!M1315,temp!$B$3:$C$9,2,1)</f>
        <v>30-40</v>
      </c>
      <c r="O1315">
        <v>-1904</v>
      </c>
      <c r="P1315" s="8">
        <f t="shared" si="87"/>
        <v>5.2128678986995212</v>
      </c>
      <c r="Q1315" s="5" t="str">
        <f t="shared" si="89"/>
        <v>Employed</v>
      </c>
      <c r="R1315">
        <v>1</v>
      </c>
      <c r="S1315">
        <v>1</v>
      </c>
      <c r="T1315">
        <v>1</v>
      </c>
      <c r="U1315">
        <v>0</v>
      </c>
      <c r="V1315" t="s">
        <v>38</v>
      </c>
      <c r="W1315">
        <v>1</v>
      </c>
    </row>
    <row r="1316" spans="1:23" x14ac:dyDescent="0.2">
      <c r="A1316">
        <v>5046120</v>
      </c>
      <c r="B1316" t="s">
        <v>18</v>
      </c>
      <c r="C1316" t="s">
        <v>19</v>
      </c>
      <c r="D1316" t="s">
        <v>20</v>
      </c>
      <c r="E1316">
        <v>0</v>
      </c>
      <c r="F1316">
        <v>135000</v>
      </c>
      <c r="G1316" t="s">
        <v>31</v>
      </c>
      <c r="H1316" t="s">
        <v>27</v>
      </c>
      <c r="I1316" t="s">
        <v>28</v>
      </c>
      <c r="J1316" t="s">
        <v>24</v>
      </c>
      <c r="K1316" s="6">
        <f t="shared" ca="1" si="88"/>
        <v>25460</v>
      </c>
      <c r="L1316">
        <v>-20301</v>
      </c>
      <c r="M1316" s="7">
        <f t="shared" ca="1" si="86"/>
        <v>55.581108829568791</v>
      </c>
      <c r="N1316" s="5" t="str">
        <f ca="1">VLOOKUP(Data!M1316,temp!$B$3:$C$9,2,1)</f>
        <v>50-60</v>
      </c>
      <c r="O1316">
        <v>-3092</v>
      </c>
      <c r="P1316" s="8">
        <f t="shared" si="87"/>
        <v>8.4654346338124569</v>
      </c>
      <c r="Q1316" s="5" t="str">
        <f t="shared" si="89"/>
        <v>Employed</v>
      </c>
      <c r="R1316">
        <v>1</v>
      </c>
      <c r="S1316">
        <v>1</v>
      </c>
      <c r="T1316">
        <v>1</v>
      </c>
      <c r="U1316">
        <v>0</v>
      </c>
      <c r="V1316" t="s">
        <v>32</v>
      </c>
      <c r="W1316">
        <v>2</v>
      </c>
    </row>
    <row r="1317" spans="1:23" x14ac:dyDescent="0.2">
      <c r="A1317">
        <v>5046130</v>
      </c>
      <c r="B1317" t="s">
        <v>25</v>
      </c>
      <c r="C1317" t="s">
        <v>19</v>
      </c>
      <c r="D1317" t="s">
        <v>20</v>
      </c>
      <c r="E1317">
        <v>1</v>
      </c>
      <c r="F1317">
        <v>117000</v>
      </c>
      <c r="G1317" t="s">
        <v>31</v>
      </c>
      <c r="H1317" t="s">
        <v>27</v>
      </c>
      <c r="I1317" t="s">
        <v>37</v>
      </c>
      <c r="J1317" t="s">
        <v>24</v>
      </c>
      <c r="K1317" s="6">
        <f t="shared" ca="1" si="88"/>
        <v>30426</v>
      </c>
      <c r="L1317">
        <v>-15335</v>
      </c>
      <c r="M1317" s="7">
        <f t="shared" ca="1" si="86"/>
        <v>41.984941820670777</v>
      </c>
      <c r="N1317" s="5" t="str">
        <f ca="1">VLOOKUP(Data!M1317,temp!$B$3:$C$9,2,1)</f>
        <v>40-50</v>
      </c>
      <c r="O1317">
        <v>-1569</v>
      </c>
      <c r="P1317" s="8">
        <f t="shared" si="87"/>
        <v>4.2956878850102669</v>
      </c>
      <c r="Q1317" s="5" t="str">
        <f t="shared" si="89"/>
        <v>Employed</v>
      </c>
      <c r="R1317">
        <v>1</v>
      </c>
      <c r="S1317">
        <v>0</v>
      </c>
      <c r="T1317">
        <v>0</v>
      </c>
      <c r="U1317">
        <v>0</v>
      </c>
      <c r="V1317" t="s">
        <v>29</v>
      </c>
      <c r="W1317">
        <v>3</v>
      </c>
    </row>
    <row r="1318" spans="1:23" x14ac:dyDescent="0.2">
      <c r="A1318">
        <v>5046134</v>
      </c>
      <c r="B1318" t="s">
        <v>25</v>
      </c>
      <c r="C1318" t="s">
        <v>19</v>
      </c>
      <c r="D1318" t="s">
        <v>20</v>
      </c>
      <c r="E1318">
        <v>0</v>
      </c>
      <c r="F1318">
        <v>81000</v>
      </c>
      <c r="G1318" t="s">
        <v>21</v>
      </c>
      <c r="H1318" t="s">
        <v>27</v>
      </c>
      <c r="I1318" t="s">
        <v>42</v>
      </c>
      <c r="J1318" t="s">
        <v>24</v>
      </c>
      <c r="K1318" s="6">
        <f t="shared" ca="1" si="88"/>
        <v>21675</v>
      </c>
      <c r="L1318">
        <v>-24086</v>
      </c>
      <c r="M1318" s="7">
        <f t="shared" ca="1" si="86"/>
        <v>65.943874058863798</v>
      </c>
      <c r="N1318" s="5" t="str">
        <f ca="1">VLOOKUP(Data!M1318,temp!$B$3:$C$9,2,1)</f>
        <v>60-70</v>
      </c>
      <c r="O1318">
        <v>365243</v>
      </c>
      <c r="P1318" s="8">
        <f t="shared" si="87"/>
        <v>0</v>
      </c>
      <c r="Q1318" s="5" t="str">
        <f t="shared" si="89"/>
        <v>Unemployed</v>
      </c>
      <c r="R1318">
        <v>1</v>
      </c>
      <c r="S1318">
        <v>0</v>
      </c>
      <c r="T1318">
        <v>1</v>
      </c>
      <c r="U1318">
        <v>0</v>
      </c>
      <c r="W1318">
        <v>1</v>
      </c>
    </row>
    <row r="1319" spans="1:23" x14ac:dyDescent="0.2">
      <c r="A1319">
        <v>5046147</v>
      </c>
      <c r="B1319" t="s">
        <v>25</v>
      </c>
      <c r="C1319" t="s">
        <v>20</v>
      </c>
      <c r="D1319" t="s">
        <v>19</v>
      </c>
      <c r="E1319">
        <v>0</v>
      </c>
      <c r="F1319">
        <v>180000</v>
      </c>
      <c r="G1319" t="s">
        <v>31</v>
      </c>
      <c r="H1319" t="s">
        <v>22</v>
      </c>
      <c r="I1319" t="s">
        <v>28</v>
      </c>
      <c r="J1319" t="s">
        <v>41</v>
      </c>
      <c r="K1319" s="6">
        <f t="shared" ca="1" si="88"/>
        <v>34718</v>
      </c>
      <c r="L1319">
        <v>-11043</v>
      </c>
      <c r="M1319" s="7">
        <f t="shared" ca="1" si="86"/>
        <v>30.234086242299796</v>
      </c>
      <c r="N1319" s="5" t="str">
        <f ca="1">VLOOKUP(Data!M1319,temp!$B$3:$C$9,2,1)</f>
        <v>30-40</v>
      </c>
      <c r="O1319">
        <v>-2087</v>
      </c>
      <c r="P1319" s="8">
        <f t="shared" si="87"/>
        <v>5.7138945927446958</v>
      </c>
      <c r="Q1319" s="5" t="str">
        <f t="shared" si="89"/>
        <v>Employed</v>
      </c>
      <c r="R1319">
        <v>1</v>
      </c>
      <c r="S1319">
        <v>0</v>
      </c>
      <c r="T1319">
        <v>0</v>
      </c>
      <c r="U1319">
        <v>0</v>
      </c>
      <c r="V1319" t="s">
        <v>30</v>
      </c>
      <c r="W1319">
        <v>2</v>
      </c>
    </row>
    <row r="1320" spans="1:23" x14ac:dyDescent="0.2">
      <c r="A1320">
        <v>5046159</v>
      </c>
      <c r="B1320" t="s">
        <v>18</v>
      </c>
      <c r="C1320" t="s">
        <v>20</v>
      </c>
      <c r="D1320" t="s">
        <v>20</v>
      </c>
      <c r="E1320">
        <v>0</v>
      </c>
      <c r="F1320">
        <v>45000</v>
      </c>
      <c r="G1320" t="s">
        <v>21</v>
      </c>
      <c r="H1320" t="s">
        <v>22</v>
      </c>
      <c r="I1320" t="s">
        <v>28</v>
      </c>
      <c r="J1320" t="s">
        <v>24</v>
      </c>
      <c r="K1320" s="6">
        <f t="shared" ca="1" si="88"/>
        <v>23341</v>
      </c>
      <c r="L1320">
        <v>-22420</v>
      </c>
      <c r="M1320" s="7">
        <f t="shared" ca="1" si="86"/>
        <v>61.382614647501711</v>
      </c>
      <c r="N1320" s="5" t="str">
        <f ca="1">VLOOKUP(Data!M1320,temp!$B$3:$C$9,2,1)</f>
        <v>60-70</v>
      </c>
      <c r="O1320">
        <v>365243</v>
      </c>
      <c r="P1320" s="8">
        <f t="shared" si="87"/>
        <v>0</v>
      </c>
      <c r="Q1320" s="5" t="str">
        <f t="shared" si="89"/>
        <v>Unemployed</v>
      </c>
      <c r="R1320">
        <v>1</v>
      </c>
      <c r="S1320">
        <v>0</v>
      </c>
      <c r="T1320">
        <v>1</v>
      </c>
      <c r="U1320">
        <v>0</v>
      </c>
      <c r="W1320">
        <v>2</v>
      </c>
    </row>
    <row r="1321" spans="1:23" x14ac:dyDescent="0.2">
      <c r="A1321">
        <v>5046161</v>
      </c>
      <c r="B1321" t="s">
        <v>18</v>
      </c>
      <c r="C1321" t="s">
        <v>20</v>
      </c>
      <c r="D1321" t="s">
        <v>20</v>
      </c>
      <c r="E1321">
        <v>0</v>
      </c>
      <c r="F1321">
        <v>45000</v>
      </c>
      <c r="G1321" t="s">
        <v>21</v>
      </c>
      <c r="H1321" t="s">
        <v>22</v>
      </c>
      <c r="I1321" t="s">
        <v>28</v>
      </c>
      <c r="J1321" t="s">
        <v>24</v>
      </c>
      <c r="K1321" s="6">
        <f t="shared" ca="1" si="88"/>
        <v>23341</v>
      </c>
      <c r="L1321">
        <v>-22420</v>
      </c>
      <c r="M1321" s="7">
        <f t="shared" ca="1" si="86"/>
        <v>61.382614647501711</v>
      </c>
      <c r="N1321" s="5" t="str">
        <f ca="1">VLOOKUP(Data!M1321,temp!$B$3:$C$9,2,1)</f>
        <v>60-70</v>
      </c>
      <c r="O1321">
        <v>365243</v>
      </c>
      <c r="P1321" s="8">
        <f t="shared" si="87"/>
        <v>0</v>
      </c>
      <c r="Q1321" s="5" t="str">
        <f t="shared" si="89"/>
        <v>Unemployed</v>
      </c>
      <c r="R1321">
        <v>1</v>
      </c>
      <c r="S1321">
        <v>0</v>
      </c>
      <c r="T1321">
        <v>1</v>
      </c>
      <c r="U1321">
        <v>0</v>
      </c>
      <c r="W1321">
        <v>2</v>
      </c>
    </row>
    <row r="1322" spans="1:23" x14ac:dyDescent="0.2">
      <c r="A1322">
        <v>5046206</v>
      </c>
      <c r="B1322" t="s">
        <v>25</v>
      </c>
      <c r="C1322" t="s">
        <v>20</v>
      </c>
      <c r="D1322" t="s">
        <v>20</v>
      </c>
      <c r="E1322">
        <v>2</v>
      </c>
      <c r="F1322">
        <v>90000</v>
      </c>
      <c r="G1322" t="s">
        <v>21</v>
      </c>
      <c r="H1322" t="s">
        <v>51</v>
      </c>
      <c r="I1322" t="s">
        <v>28</v>
      </c>
      <c r="J1322" t="s">
        <v>24</v>
      </c>
      <c r="K1322" s="6">
        <f t="shared" ca="1" si="88"/>
        <v>23807</v>
      </c>
      <c r="L1322">
        <v>-21954</v>
      </c>
      <c r="M1322" s="7">
        <f t="shared" ca="1" si="86"/>
        <v>60.106776180698155</v>
      </c>
      <c r="N1322" s="5" t="str">
        <f ca="1">VLOOKUP(Data!M1322,temp!$B$3:$C$9,2,1)</f>
        <v>60-70</v>
      </c>
      <c r="O1322">
        <v>365243</v>
      </c>
      <c r="P1322" s="8">
        <f t="shared" si="87"/>
        <v>0</v>
      </c>
      <c r="Q1322" s="5" t="str">
        <f t="shared" si="89"/>
        <v>Unemployed</v>
      </c>
      <c r="R1322">
        <v>1</v>
      </c>
      <c r="S1322">
        <v>0</v>
      </c>
      <c r="T1322">
        <v>0</v>
      </c>
      <c r="U1322">
        <v>0</v>
      </c>
      <c r="W1322">
        <v>4</v>
      </c>
    </row>
    <row r="1323" spans="1:23" x14ac:dyDescent="0.2">
      <c r="A1323">
        <v>5046222</v>
      </c>
      <c r="B1323" t="s">
        <v>18</v>
      </c>
      <c r="C1323" t="s">
        <v>19</v>
      </c>
      <c r="D1323" t="s">
        <v>20</v>
      </c>
      <c r="E1323">
        <v>0</v>
      </c>
      <c r="F1323">
        <v>112500</v>
      </c>
      <c r="G1323" t="s">
        <v>21</v>
      </c>
      <c r="H1323" t="s">
        <v>27</v>
      </c>
      <c r="I1323" t="s">
        <v>28</v>
      </c>
      <c r="J1323" t="s">
        <v>24</v>
      </c>
      <c r="K1323" s="6">
        <f t="shared" ca="1" si="88"/>
        <v>22973</v>
      </c>
      <c r="L1323">
        <v>-22788</v>
      </c>
      <c r="M1323" s="7">
        <f t="shared" ca="1" si="86"/>
        <v>62.390143737166326</v>
      </c>
      <c r="N1323" s="5" t="str">
        <f ca="1">VLOOKUP(Data!M1323,temp!$B$3:$C$9,2,1)</f>
        <v>60-70</v>
      </c>
      <c r="O1323">
        <v>365243</v>
      </c>
      <c r="P1323" s="8">
        <f t="shared" si="87"/>
        <v>0</v>
      </c>
      <c r="Q1323" s="5" t="str">
        <f t="shared" si="89"/>
        <v>Unemployed</v>
      </c>
      <c r="R1323">
        <v>1</v>
      </c>
      <c r="S1323">
        <v>0</v>
      </c>
      <c r="T1323">
        <v>0</v>
      </c>
      <c r="U1323">
        <v>0</v>
      </c>
      <c r="W1323">
        <v>2</v>
      </c>
    </row>
    <row r="1324" spans="1:23" x14ac:dyDescent="0.2">
      <c r="A1324">
        <v>5046230</v>
      </c>
      <c r="B1324" t="s">
        <v>18</v>
      </c>
      <c r="C1324" t="s">
        <v>19</v>
      </c>
      <c r="D1324" t="s">
        <v>20</v>
      </c>
      <c r="E1324">
        <v>0</v>
      </c>
      <c r="F1324">
        <v>112500</v>
      </c>
      <c r="G1324" t="s">
        <v>21</v>
      </c>
      <c r="H1324" t="s">
        <v>27</v>
      </c>
      <c r="I1324" t="s">
        <v>28</v>
      </c>
      <c r="J1324" t="s">
        <v>24</v>
      </c>
      <c r="K1324" s="6">
        <f t="shared" ca="1" si="88"/>
        <v>22973</v>
      </c>
      <c r="L1324">
        <v>-22788</v>
      </c>
      <c r="M1324" s="7">
        <f t="shared" ca="1" si="86"/>
        <v>62.390143737166326</v>
      </c>
      <c r="N1324" s="5" t="str">
        <f ca="1">VLOOKUP(Data!M1324,temp!$B$3:$C$9,2,1)</f>
        <v>60-70</v>
      </c>
      <c r="O1324">
        <v>365243</v>
      </c>
      <c r="P1324" s="8">
        <f t="shared" si="87"/>
        <v>0</v>
      </c>
      <c r="Q1324" s="5" t="str">
        <f t="shared" si="89"/>
        <v>Unemployed</v>
      </c>
      <c r="R1324">
        <v>1</v>
      </c>
      <c r="S1324">
        <v>0</v>
      </c>
      <c r="T1324">
        <v>0</v>
      </c>
      <c r="U1324">
        <v>0</v>
      </c>
      <c r="W1324">
        <v>2</v>
      </c>
    </row>
    <row r="1325" spans="1:23" x14ac:dyDescent="0.2">
      <c r="A1325">
        <v>5046242</v>
      </c>
      <c r="B1325" t="s">
        <v>25</v>
      </c>
      <c r="C1325" t="s">
        <v>20</v>
      </c>
      <c r="D1325" t="s">
        <v>19</v>
      </c>
      <c r="E1325">
        <v>2</v>
      </c>
      <c r="F1325">
        <v>292500</v>
      </c>
      <c r="G1325" t="s">
        <v>26</v>
      </c>
      <c r="H1325" t="s">
        <v>27</v>
      </c>
      <c r="I1325" t="s">
        <v>28</v>
      </c>
      <c r="J1325" t="s">
        <v>24</v>
      </c>
      <c r="K1325" s="6">
        <f t="shared" ca="1" si="88"/>
        <v>32566</v>
      </c>
      <c r="L1325">
        <v>-13195</v>
      </c>
      <c r="M1325" s="7">
        <f t="shared" ca="1" si="86"/>
        <v>36.125941136208077</v>
      </c>
      <c r="N1325" s="5" t="str">
        <f ca="1">VLOOKUP(Data!M1325,temp!$B$3:$C$9,2,1)</f>
        <v>30-40</v>
      </c>
      <c r="O1325">
        <v>-1266</v>
      </c>
      <c r="P1325" s="8">
        <f t="shared" si="87"/>
        <v>3.4661190965092401</v>
      </c>
      <c r="Q1325" s="5" t="str">
        <f t="shared" si="89"/>
        <v>Employed</v>
      </c>
      <c r="R1325">
        <v>1</v>
      </c>
      <c r="S1325">
        <v>0</v>
      </c>
      <c r="T1325">
        <v>0</v>
      </c>
      <c r="U1325">
        <v>0</v>
      </c>
      <c r="V1325" t="s">
        <v>29</v>
      </c>
      <c r="W1325">
        <v>4</v>
      </c>
    </row>
    <row r="1326" spans="1:23" x14ac:dyDescent="0.2">
      <c r="A1326">
        <v>5046245</v>
      </c>
      <c r="B1326" t="s">
        <v>18</v>
      </c>
      <c r="C1326" t="s">
        <v>19</v>
      </c>
      <c r="D1326" t="s">
        <v>20</v>
      </c>
      <c r="E1326">
        <v>0</v>
      </c>
      <c r="F1326">
        <v>112500</v>
      </c>
      <c r="G1326" t="s">
        <v>21</v>
      </c>
      <c r="H1326" t="s">
        <v>27</v>
      </c>
      <c r="I1326" t="s">
        <v>28</v>
      </c>
      <c r="J1326" t="s">
        <v>24</v>
      </c>
      <c r="K1326" s="6">
        <f t="shared" ca="1" si="88"/>
        <v>24918</v>
      </c>
      <c r="L1326">
        <v>-20843</v>
      </c>
      <c r="M1326" s="7">
        <f t="shared" ca="1" si="86"/>
        <v>57.065023956194388</v>
      </c>
      <c r="N1326" s="5" t="str">
        <f ca="1">VLOOKUP(Data!M1326,temp!$B$3:$C$9,2,1)</f>
        <v>50-60</v>
      </c>
      <c r="O1326">
        <v>365243</v>
      </c>
      <c r="P1326" s="8">
        <f t="shared" si="87"/>
        <v>0</v>
      </c>
      <c r="Q1326" s="5" t="str">
        <f t="shared" si="89"/>
        <v>Unemployed</v>
      </c>
      <c r="R1326">
        <v>1</v>
      </c>
      <c r="S1326">
        <v>0</v>
      </c>
      <c r="T1326">
        <v>1</v>
      </c>
      <c r="U1326">
        <v>0</v>
      </c>
      <c r="W1326">
        <v>2</v>
      </c>
    </row>
    <row r="1327" spans="1:23" x14ac:dyDescent="0.2">
      <c r="A1327">
        <v>5046264</v>
      </c>
      <c r="B1327" t="s">
        <v>18</v>
      </c>
      <c r="C1327" t="s">
        <v>19</v>
      </c>
      <c r="D1327" t="s">
        <v>20</v>
      </c>
      <c r="E1327">
        <v>0</v>
      </c>
      <c r="F1327">
        <v>333000</v>
      </c>
      <c r="G1327" t="s">
        <v>21</v>
      </c>
      <c r="H1327" t="s">
        <v>27</v>
      </c>
      <c r="I1327" t="s">
        <v>33</v>
      </c>
      <c r="J1327" t="s">
        <v>24</v>
      </c>
      <c r="K1327" s="6">
        <f t="shared" ca="1" si="88"/>
        <v>23543</v>
      </c>
      <c r="L1327">
        <v>-22218</v>
      </c>
      <c r="M1327" s="7">
        <f t="shared" ca="1" si="86"/>
        <v>60.829568788501028</v>
      </c>
      <c r="N1327" s="5" t="str">
        <f ca="1">VLOOKUP(Data!M1327,temp!$B$3:$C$9,2,1)</f>
        <v>60-70</v>
      </c>
      <c r="O1327">
        <v>365243</v>
      </c>
      <c r="P1327" s="8">
        <f t="shared" si="87"/>
        <v>0</v>
      </c>
      <c r="Q1327" s="5" t="str">
        <f t="shared" si="89"/>
        <v>Unemployed</v>
      </c>
      <c r="R1327">
        <v>1</v>
      </c>
      <c r="S1327">
        <v>0</v>
      </c>
      <c r="T1327">
        <v>0</v>
      </c>
      <c r="U1327">
        <v>0</v>
      </c>
      <c r="W1327">
        <v>1</v>
      </c>
    </row>
    <row r="1328" spans="1:23" x14ac:dyDescent="0.2">
      <c r="A1328">
        <v>5046266</v>
      </c>
      <c r="B1328" t="s">
        <v>18</v>
      </c>
      <c r="C1328" t="s">
        <v>19</v>
      </c>
      <c r="D1328" t="s">
        <v>20</v>
      </c>
      <c r="E1328">
        <v>0</v>
      </c>
      <c r="F1328">
        <v>333000</v>
      </c>
      <c r="G1328" t="s">
        <v>21</v>
      </c>
      <c r="H1328" t="s">
        <v>27</v>
      </c>
      <c r="I1328" t="s">
        <v>33</v>
      </c>
      <c r="J1328" t="s">
        <v>24</v>
      </c>
      <c r="K1328" s="6">
        <f t="shared" ca="1" si="88"/>
        <v>23543</v>
      </c>
      <c r="L1328">
        <v>-22218</v>
      </c>
      <c r="M1328" s="7">
        <f t="shared" ca="1" si="86"/>
        <v>60.829568788501028</v>
      </c>
      <c r="N1328" s="5" t="str">
        <f ca="1">VLOOKUP(Data!M1328,temp!$B$3:$C$9,2,1)</f>
        <v>60-70</v>
      </c>
      <c r="O1328">
        <v>365243</v>
      </c>
      <c r="P1328" s="8">
        <f t="shared" si="87"/>
        <v>0</v>
      </c>
      <c r="Q1328" s="5" t="str">
        <f t="shared" si="89"/>
        <v>Unemployed</v>
      </c>
      <c r="R1328">
        <v>1</v>
      </c>
      <c r="S1328">
        <v>0</v>
      </c>
      <c r="T1328">
        <v>0</v>
      </c>
      <c r="U1328">
        <v>0</v>
      </c>
      <c r="W1328">
        <v>1</v>
      </c>
    </row>
    <row r="1329" spans="1:23" x14ac:dyDescent="0.2">
      <c r="A1329">
        <v>5046269</v>
      </c>
      <c r="B1329" t="s">
        <v>18</v>
      </c>
      <c r="C1329" t="s">
        <v>20</v>
      </c>
      <c r="D1329" t="s">
        <v>20</v>
      </c>
      <c r="E1329">
        <v>1</v>
      </c>
      <c r="F1329">
        <v>157500</v>
      </c>
      <c r="G1329" t="s">
        <v>31</v>
      </c>
      <c r="H1329" t="s">
        <v>27</v>
      </c>
      <c r="I1329" t="s">
        <v>33</v>
      </c>
      <c r="J1329" t="s">
        <v>24</v>
      </c>
      <c r="K1329" s="6">
        <f t="shared" ca="1" si="88"/>
        <v>35090</v>
      </c>
      <c r="L1329">
        <v>-10671</v>
      </c>
      <c r="M1329" s="7">
        <f t="shared" ca="1" si="86"/>
        <v>29.215605749486652</v>
      </c>
      <c r="N1329" s="5" t="str">
        <f ca="1">VLOOKUP(Data!M1329,temp!$B$3:$C$9,2,1)</f>
        <v>20-30</v>
      </c>
      <c r="O1329">
        <v>-1266</v>
      </c>
      <c r="P1329" s="8">
        <f t="shared" si="87"/>
        <v>3.4661190965092401</v>
      </c>
      <c r="Q1329" s="5" t="str">
        <f t="shared" si="89"/>
        <v>Employed</v>
      </c>
      <c r="R1329">
        <v>1</v>
      </c>
      <c r="S1329">
        <v>0</v>
      </c>
      <c r="T1329">
        <v>0</v>
      </c>
      <c r="U1329">
        <v>0</v>
      </c>
      <c r="V1329" t="s">
        <v>49</v>
      </c>
      <c r="W1329">
        <v>2</v>
      </c>
    </row>
    <row r="1330" spans="1:23" x14ac:dyDescent="0.2">
      <c r="A1330">
        <v>5046276</v>
      </c>
      <c r="B1330" t="s">
        <v>18</v>
      </c>
      <c r="C1330" t="s">
        <v>19</v>
      </c>
      <c r="D1330" t="s">
        <v>19</v>
      </c>
      <c r="E1330">
        <v>1</v>
      </c>
      <c r="F1330">
        <v>99000</v>
      </c>
      <c r="G1330" t="s">
        <v>31</v>
      </c>
      <c r="H1330" t="s">
        <v>27</v>
      </c>
      <c r="I1330" t="s">
        <v>37</v>
      </c>
      <c r="J1330" t="s">
        <v>45</v>
      </c>
      <c r="K1330" s="6">
        <f t="shared" ca="1" si="88"/>
        <v>29518</v>
      </c>
      <c r="L1330">
        <v>-16243</v>
      </c>
      <c r="M1330" s="7">
        <f t="shared" ca="1" si="86"/>
        <v>44.470910335386719</v>
      </c>
      <c r="N1330" s="5" t="str">
        <f ca="1">VLOOKUP(Data!M1330,temp!$B$3:$C$9,2,1)</f>
        <v>40-50</v>
      </c>
      <c r="O1330">
        <v>-3273</v>
      </c>
      <c r="P1330" s="8">
        <f t="shared" si="87"/>
        <v>8.9609856262833674</v>
      </c>
      <c r="Q1330" s="5" t="str">
        <f t="shared" si="89"/>
        <v>Employed</v>
      </c>
      <c r="R1330">
        <v>1</v>
      </c>
      <c r="S1330">
        <v>0</v>
      </c>
      <c r="T1330">
        <v>1</v>
      </c>
      <c r="U1330">
        <v>0</v>
      </c>
      <c r="V1330" t="s">
        <v>44</v>
      </c>
      <c r="W1330">
        <v>3</v>
      </c>
    </row>
    <row r="1331" spans="1:23" x14ac:dyDescent="0.2">
      <c r="A1331">
        <v>5046286</v>
      </c>
      <c r="B1331" t="s">
        <v>18</v>
      </c>
      <c r="C1331" t="s">
        <v>20</v>
      </c>
      <c r="D1331" t="s">
        <v>20</v>
      </c>
      <c r="E1331">
        <v>0</v>
      </c>
      <c r="F1331">
        <v>90000</v>
      </c>
      <c r="G1331" t="s">
        <v>21</v>
      </c>
      <c r="H1331" t="s">
        <v>27</v>
      </c>
      <c r="I1331" t="s">
        <v>42</v>
      </c>
      <c r="J1331" t="s">
        <v>24</v>
      </c>
      <c r="K1331" s="6">
        <f t="shared" ca="1" si="88"/>
        <v>24695</v>
      </c>
      <c r="L1331">
        <v>-21066</v>
      </c>
      <c r="M1331" s="7">
        <f t="shared" ca="1" si="86"/>
        <v>57.675564681724843</v>
      </c>
      <c r="N1331" s="5" t="str">
        <f ca="1">VLOOKUP(Data!M1331,temp!$B$3:$C$9,2,1)</f>
        <v>50-60</v>
      </c>
      <c r="O1331">
        <v>365243</v>
      </c>
      <c r="P1331" s="8">
        <f t="shared" si="87"/>
        <v>0</v>
      </c>
      <c r="Q1331" s="5" t="str">
        <f t="shared" si="89"/>
        <v>Unemployed</v>
      </c>
      <c r="R1331">
        <v>1</v>
      </c>
      <c r="S1331">
        <v>0</v>
      </c>
      <c r="T1331">
        <v>0</v>
      </c>
      <c r="U1331">
        <v>0</v>
      </c>
      <c r="W1331">
        <v>1</v>
      </c>
    </row>
    <row r="1332" spans="1:23" x14ac:dyDescent="0.2">
      <c r="A1332">
        <v>5046305</v>
      </c>
      <c r="B1332" t="s">
        <v>25</v>
      </c>
      <c r="C1332" t="s">
        <v>20</v>
      </c>
      <c r="D1332" t="s">
        <v>20</v>
      </c>
      <c r="E1332">
        <v>0</v>
      </c>
      <c r="F1332">
        <v>540000</v>
      </c>
      <c r="G1332" t="s">
        <v>31</v>
      </c>
      <c r="H1332" t="s">
        <v>27</v>
      </c>
      <c r="I1332" t="s">
        <v>28</v>
      </c>
      <c r="J1332" t="s">
        <v>24</v>
      </c>
      <c r="K1332" s="6">
        <f t="shared" ca="1" si="88"/>
        <v>25687</v>
      </c>
      <c r="L1332">
        <v>-20074</v>
      </c>
      <c r="M1332" s="7">
        <f t="shared" ca="1" si="86"/>
        <v>54.959616700889804</v>
      </c>
      <c r="N1332" s="5" t="str">
        <f ca="1">VLOOKUP(Data!M1332,temp!$B$3:$C$9,2,1)</f>
        <v>50-60</v>
      </c>
      <c r="O1332">
        <v>-6348</v>
      </c>
      <c r="P1332" s="8">
        <f t="shared" si="87"/>
        <v>17.37987679671458</v>
      </c>
      <c r="Q1332" s="5" t="str">
        <f t="shared" si="89"/>
        <v>Employed</v>
      </c>
      <c r="R1332">
        <v>1</v>
      </c>
      <c r="S1332">
        <v>0</v>
      </c>
      <c r="T1332">
        <v>1</v>
      </c>
      <c r="U1332">
        <v>0</v>
      </c>
      <c r="W1332">
        <v>2</v>
      </c>
    </row>
    <row r="1333" spans="1:23" x14ac:dyDescent="0.2">
      <c r="A1333">
        <v>5046307</v>
      </c>
      <c r="B1333" t="s">
        <v>25</v>
      </c>
      <c r="C1333" t="s">
        <v>20</v>
      </c>
      <c r="D1333" t="s">
        <v>20</v>
      </c>
      <c r="E1333">
        <v>0</v>
      </c>
      <c r="F1333">
        <v>540000</v>
      </c>
      <c r="G1333" t="s">
        <v>31</v>
      </c>
      <c r="H1333" t="s">
        <v>27</v>
      </c>
      <c r="I1333" t="s">
        <v>28</v>
      </c>
      <c r="J1333" t="s">
        <v>24</v>
      </c>
      <c r="K1333" s="6">
        <f t="shared" ca="1" si="88"/>
        <v>25687</v>
      </c>
      <c r="L1333">
        <v>-20074</v>
      </c>
      <c r="M1333" s="7">
        <f t="shared" ca="1" si="86"/>
        <v>54.959616700889804</v>
      </c>
      <c r="N1333" s="5" t="str">
        <f ca="1">VLOOKUP(Data!M1333,temp!$B$3:$C$9,2,1)</f>
        <v>50-60</v>
      </c>
      <c r="O1333">
        <v>-6348</v>
      </c>
      <c r="P1333" s="8">
        <f t="shared" si="87"/>
        <v>17.37987679671458</v>
      </c>
      <c r="Q1333" s="5" t="str">
        <f t="shared" si="89"/>
        <v>Employed</v>
      </c>
      <c r="R1333">
        <v>1</v>
      </c>
      <c r="S1333">
        <v>0</v>
      </c>
      <c r="T1333">
        <v>1</v>
      </c>
      <c r="U1333">
        <v>0</v>
      </c>
      <c r="W1333">
        <v>2</v>
      </c>
    </row>
    <row r="1334" spans="1:23" x14ac:dyDescent="0.2">
      <c r="A1334">
        <v>5046308</v>
      </c>
      <c r="B1334" t="s">
        <v>18</v>
      </c>
      <c r="C1334" t="s">
        <v>20</v>
      </c>
      <c r="D1334" t="s">
        <v>20</v>
      </c>
      <c r="E1334">
        <v>0</v>
      </c>
      <c r="F1334">
        <v>135000</v>
      </c>
      <c r="G1334" t="s">
        <v>31</v>
      </c>
      <c r="H1334" t="s">
        <v>22</v>
      </c>
      <c r="I1334" t="s">
        <v>28</v>
      </c>
      <c r="J1334" t="s">
        <v>24</v>
      </c>
      <c r="K1334" s="6">
        <f t="shared" ca="1" si="88"/>
        <v>35275</v>
      </c>
      <c r="L1334">
        <v>-10486</v>
      </c>
      <c r="M1334" s="7">
        <f t="shared" ca="1" si="86"/>
        <v>28.709103353867214</v>
      </c>
      <c r="N1334" s="5" t="str">
        <f ca="1">VLOOKUP(Data!M1334,temp!$B$3:$C$9,2,1)</f>
        <v>20-30</v>
      </c>
      <c r="O1334">
        <v>-1022</v>
      </c>
      <c r="P1334" s="8">
        <f t="shared" si="87"/>
        <v>2.7980835044490076</v>
      </c>
      <c r="Q1334" s="5" t="str">
        <f t="shared" si="89"/>
        <v>Employed</v>
      </c>
      <c r="R1334">
        <v>1</v>
      </c>
      <c r="S1334">
        <v>1</v>
      </c>
      <c r="T1334">
        <v>1</v>
      </c>
      <c r="U1334">
        <v>1</v>
      </c>
      <c r="V1334" t="s">
        <v>39</v>
      </c>
      <c r="W1334">
        <v>2</v>
      </c>
    </row>
    <row r="1335" spans="1:23" x14ac:dyDescent="0.2">
      <c r="A1335">
        <v>5046317</v>
      </c>
      <c r="B1335" t="s">
        <v>18</v>
      </c>
      <c r="C1335" t="s">
        <v>19</v>
      </c>
      <c r="D1335" t="s">
        <v>20</v>
      </c>
      <c r="E1335">
        <v>0</v>
      </c>
      <c r="F1335">
        <v>180000</v>
      </c>
      <c r="G1335" t="s">
        <v>26</v>
      </c>
      <c r="H1335" t="s">
        <v>27</v>
      </c>
      <c r="I1335" t="s">
        <v>28</v>
      </c>
      <c r="J1335" t="s">
        <v>24</v>
      </c>
      <c r="K1335" s="6">
        <f t="shared" ca="1" si="88"/>
        <v>29251</v>
      </c>
      <c r="L1335">
        <v>-16510</v>
      </c>
      <c r="M1335" s="7">
        <f t="shared" ca="1" si="86"/>
        <v>45.201916495550989</v>
      </c>
      <c r="N1335" s="5" t="str">
        <f ca="1">VLOOKUP(Data!M1335,temp!$B$3:$C$9,2,1)</f>
        <v>40-50</v>
      </c>
      <c r="O1335">
        <v>-2788</v>
      </c>
      <c r="P1335" s="8">
        <f t="shared" si="87"/>
        <v>7.6331279945242985</v>
      </c>
      <c r="Q1335" s="5" t="str">
        <f t="shared" si="89"/>
        <v>Employed</v>
      </c>
      <c r="R1335">
        <v>1</v>
      </c>
      <c r="S1335">
        <v>1</v>
      </c>
      <c r="T1335">
        <v>1</v>
      </c>
      <c r="U1335">
        <v>0</v>
      </c>
      <c r="W1335">
        <v>2</v>
      </c>
    </row>
    <row r="1336" spans="1:23" x14ac:dyDescent="0.2">
      <c r="A1336">
        <v>5046330</v>
      </c>
      <c r="B1336" t="s">
        <v>18</v>
      </c>
      <c r="C1336" t="s">
        <v>19</v>
      </c>
      <c r="D1336" t="s">
        <v>20</v>
      </c>
      <c r="E1336">
        <v>0</v>
      </c>
      <c r="F1336">
        <v>90000</v>
      </c>
      <c r="G1336" t="s">
        <v>21</v>
      </c>
      <c r="H1336" t="s">
        <v>27</v>
      </c>
      <c r="I1336" t="s">
        <v>28</v>
      </c>
      <c r="J1336" t="s">
        <v>24</v>
      </c>
      <c r="K1336" s="6">
        <f t="shared" ca="1" si="88"/>
        <v>25035</v>
      </c>
      <c r="L1336">
        <v>-20726</v>
      </c>
      <c r="M1336" s="7">
        <f t="shared" ca="1" si="86"/>
        <v>56.74469541409993</v>
      </c>
      <c r="N1336" s="5" t="str">
        <f ca="1">VLOOKUP(Data!M1336,temp!$B$3:$C$9,2,1)</f>
        <v>50-60</v>
      </c>
      <c r="O1336">
        <v>365243</v>
      </c>
      <c r="P1336" s="8">
        <f t="shared" si="87"/>
        <v>0</v>
      </c>
      <c r="Q1336" s="5" t="str">
        <f t="shared" si="89"/>
        <v>Unemployed</v>
      </c>
      <c r="R1336">
        <v>1</v>
      </c>
      <c r="S1336">
        <v>0</v>
      </c>
      <c r="T1336">
        <v>0</v>
      </c>
      <c r="U1336">
        <v>0</v>
      </c>
      <c r="W1336">
        <v>2</v>
      </c>
    </row>
    <row r="1337" spans="1:23" x14ac:dyDescent="0.2">
      <c r="A1337">
        <v>5046333</v>
      </c>
      <c r="B1337" t="s">
        <v>18</v>
      </c>
      <c r="C1337" t="s">
        <v>20</v>
      </c>
      <c r="D1337" t="s">
        <v>20</v>
      </c>
      <c r="E1337">
        <v>1</v>
      </c>
      <c r="F1337">
        <v>112500</v>
      </c>
      <c r="G1337" t="s">
        <v>26</v>
      </c>
      <c r="H1337" t="s">
        <v>27</v>
      </c>
      <c r="I1337" t="s">
        <v>28</v>
      </c>
      <c r="J1337" t="s">
        <v>24</v>
      </c>
      <c r="K1337" s="6">
        <f t="shared" ca="1" si="88"/>
        <v>32313</v>
      </c>
      <c r="L1337">
        <v>-13448</v>
      </c>
      <c r="M1337" s="7">
        <f t="shared" ca="1" si="86"/>
        <v>36.818617385352496</v>
      </c>
      <c r="N1337" s="5" t="str">
        <f ca="1">VLOOKUP(Data!M1337,temp!$B$3:$C$9,2,1)</f>
        <v>30-40</v>
      </c>
      <c r="O1337">
        <v>-2422</v>
      </c>
      <c r="P1337" s="8">
        <f t="shared" si="87"/>
        <v>6.6310746064339492</v>
      </c>
      <c r="Q1337" s="5" t="str">
        <f t="shared" si="89"/>
        <v>Employed</v>
      </c>
      <c r="R1337">
        <v>1</v>
      </c>
      <c r="S1337">
        <v>0</v>
      </c>
      <c r="T1337">
        <v>0</v>
      </c>
      <c r="U1337">
        <v>0</v>
      </c>
      <c r="V1337" t="s">
        <v>29</v>
      </c>
      <c r="W1337">
        <v>3</v>
      </c>
    </row>
    <row r="1338" spans="1:23" x14ac:dyDescent="0.2">
      <c r="A1338">
        <v>5046361</v>
      </c>
      <c r="B1338" t="s">
        <v>18</v>
      </c>
      <c r="C1338" t="s">
        <v>19</v>
      </c>
      <c r="D1338" t="s">
        <v>20</v>
      </c>
      <c r="E1338">
        <v>0</v>
      </c>
      <c r="F1338">
        <v>90000</v>
      </c>
      <c r="G1338" t="s">
        <v>31</v>
      </c>
      <c r="H1338" t="s">
        <v>27</v>
      </c>
      <c r="I1338" t="s">
        <v>37</v>
      </c>
      <c r="J1338" t="s">
        <v>41</v>
      </c>
      <c r="K1338" s="6">
        <f t="shared" ca="1" si="88"/>
        <v>31375</v>
      </c>
      <c r="L1338">
        <v>-14386</v>
      </c>
      <c r="M1338" s="7">
        <f t="shared" ca="1" si="86"/>
        <v>39.38672142368241</v>
      </c>
      <c r="N1338" s="5" t="str">
        <f ca="1">VLOOKUP(Data!M1338,temp!$B$3:$C$9,2,1)</f>
        <v>30-40</v>
      </c>
      <c r="O1338">
        <v>-139</v>
      </c>
      <c r="P1338" s="8">
        <f t="shared" si="87"/>
        <v>0.3805612594113621</v>
      </c>
      <c r="Q1338" s="5" t="str">
        <f t="shared" si="89"/>
        <v>Employed</v>
      </c>
      <c r="R1338">
        <v>1</v>
      </c>
      <c r="S1338">
        <v>1</v>
      </c>
      <c r="T1338">
        <v>1</v>
      </c>
      <c r="U1338">
        <v>0</v>
      </c>
      <c r="V1338" t="s">
        <v>39</v>
      </c>
      <c r="W1338">
        <v>2</v>
      </c>
    </row>
    <row r="1339" spans="1:23" x14ac:dyDescent="0.2">
      <c r="A1339">
        <v>5046385</v>
      </c>
      <c r="B1339" t="s">
        <v>18</v>
      </c>
      <c r="C1339" t="s">
        <v>19</v>
      </c>
      <c r="D1339" t="s">
        <v>20</v>
      </c>
      <c r="E1339">
        <v>0</v>
      </c>
      <c r="F1339">
        <v>117000</v>
      </c>
      <c r="G1339" t="s">
        <v>21</v>
      </c>
      <c r="H1339" t="s">
        <v>22</v>
      </c>
      <c r="I1339" t="s">
        <v>28</v>
      </c>
      <c r="J1339" t="s">
        <v>24</v>
      </c>
      <c r="K1339" s="6">
        <f t="shared" ca="1" si="88"/>
        <v>24333</v>
      </c>
      <c r="L1339">
        <v>-21428</v>
      </c>
      <c r="M1339" s="7">
        <f t="shared" ca="1" si="86"/>
        <v>58.666666666666664</v>
      </c>
      <c r="N1339" s="5" t="str">
        <f ca="1">VLOOKUP(Data!M1339,temp!$B$3:$C$9,2,1)</f>
        <v>50-60</v>
      </c>
      <c r="O1339">
        <v>365243</v>
      </c>
      <c r="P1339" s="8">
        <f t="shared" si="87"/>
        <v>0</v>
      </c>
      <c r="Q1339" s="5" t="str">
        <f t="shared" si="89"/>
        <v>Unemployed</v>
      </c>
      <c r="R1339">
        <v>1</v>
      </c>
      <c r="S1339">
        <v>0</v>
      </c>
      <c r="T1339">
        <v>1</v>
      </c>
      <c r="U1339">
        <v>0</v>
      </c>
      <c r="W1339">
        <v>2</v>
      </c>
    </row>
    <row r="1340" spans="1:23" x14ac:dyDescent="0.2">
      <c r="A1340">
        <v>5046389</v>
      </c>
      <c r="B1340" t="s">
        <v>18</v>
      </c>
      <c r="C1340" t="s">
        <v>19</v>
      </c>
      <c r="D1340" t="s">
        <v>20</v>
      </c>
      <c r="E1340">
        <v>0</v>
      </c>
      <c r="F1340">
        <v>117000</v>
      </c>
      <c r="G1340" t="s">
        <v>21</v>
      </c>
      <c r="H1340" t="s">
        <v>22</v>
      </c>
      <c r="I1340" t="s">
        <v>28</v>
      </c>
      <c r="J1340" t="s">
        <v>24</v>
      </c>
      <c r="K1340" s="6">
        <f t="shared" ca="1" si="88"/>
        <v>24333</v>
      </c>
      <c r="L1340">
        <v>-21428</v>
      </c>
      <c r="M1340" s="7">
        <f t="shared" ca="1" si="86"/>
        <v>58.666666666666664</v>
      </c>
      <c r="N1340" s="5" t="str">
        <f ca="1">VLOOKUP(Data!M1340,temp!$B$3:$C$9,2,1)</f>
        <v>50-60</v>
      </c>
      <c r="O1340">
        <v>365243</v>
      </c>
      <c r="P1340" s="8">
        <f t="shared" si="87"/>
        <v>0</v>
      </c>
      <c r="Q1340" s="5" t="str">
        <f t="shared" si="89"/>
        <v>Unemployed</v>
      </c>
      <c r="R1340">
        <v>1</v>
      </c>
      <c r="S1340">
        <v>0</v>
      </c>
      <c r="T1340">
        <v>1</v>
      </c>
      <c r="U1340">
        <v>0</v>
      </c>
      <c r="W1340">
        <v>2</v>
      </c>
    </row>
    <row r="1341" spans="1:23" x14ac:dyDescent="0.2">
      <c r="A1341">
        <v>5046390</v>
      </c>
      <c r="B1341" t="s">
        <v>18</v>
      </c>
      <c r="C1341" t="s">
        <v>19</v>
      </c>
      <c r="D1341" t="s">
        <v>20</v>
      </c>
      <c r="E1341">
        <v>0</v>
      </c>
      <c r="F1341">
        <v>117000</v>
      </c>
      <c r="G1341" t="s">
        <v>21</v>
      </c>
      <c r="H1341" t="s">
        <v>22</v>
      </c>
      <c r="I1341" t="s">
        <v>28</v>
      </c>
      <c r="J1341" t="s">
        <v>24</v>
      </c>
      <c r="K1341" s="6">
        <f t="shared" ca="1" si="88"/>
        <v>24333</v>
      </c>
      <c r="L1341">
        <v>-21428</v>
      </c>
      <c r="M1341" s="7">
        <f t="shared" ca="1" si="86"/>
        <v>58.666666666666664</v>
      </c>
      <c r="N1341" s="5" t="str">
        <f ca="1">VLOOKUP(Data!M1341,temp!$B$3:$C$9,2,1)</f>
        <v>50-60</v>
      </c>
      <c r="O1341">
        <v>365243</v>
      </c>
      <c r="P1341" s="8">
        <f t="shared" si="87"/>
        <v>0</v>
      </c>
      <c r="Q1341" s="5" t="str">
        <f t="shared" si="89"/>
        <v>Unemployed</v>
      </c>
      <c r="R1341">
        <v>1</v>
      </c>
      <c r="S1341">
        <v>0</v>
      </c>
      <c r="T1341">
        <v>1</v>
      </c>
      <c r="U1341">
        <v>0</v>
      </c>
      <c r="W1341">
        <v>2</v>
      </c>
    </row>
    <row r="1342" spans="1:23" x14ac:dyDescent="0.2">
      <c r="A1342">
        <v>5046401</v>
      </c>
      <c r="B1342" t="s">
        <v>18</v>
      </c>
      <c r="C1342" t="s">
        <v>19</v>
      </c>
      <c r="D1342" t="s">
        <v>20</v>
      </c>
      <c r="E1342">
        <v>0</v>
      </c>
      <c r="F1342">
        <v>157500</v>
      </c>
      <c r="G1342" t="s">
        <v>21</v>
      </c>
      <c r="H1342" t="s">
        <v>27</v>
      </c>
      <c r="I1342" t="s">
        <v>33</v>
      </c>
      <c r="J1342" t="s">
        <v>24</v>
      </c>
      <c r="K1342" s="6">
        <f t="shared" ca="1" si="88"/>
        <v>21545</v>
      </c>
      <c r="L1342">
        <v>-24216</v>
      </c>
      <c r="M1342" s="7">
        <f t="shared" ca="1" si="86"/>
        <v>66.299794661190958</v>
      </c>
      <c r="N1342" s="5" t="str">
        <f ca="1">VLOOKUP(Data!M1342,temp!$B$3:$C$9,2,1)</f>
        <v>60-70</v>
      </c>
      <c r="O1342">
        <v>365243</v>
      </c>
      <c r="P1342" s="8">
        <f t="shared" si="87"/>
        <v>0</v>
      </c>
      <c r="Q1342" s="5" t="str">
        <f t="shared" si="89"/>
        <v>Unemployed</v>
      </c>
      <c r="R1342">
        <v>1</v>
      </c>
      <c r="S1342">
        <v>0</v>
      </c>
      <c r="T1342">
        <v>0</v>
      </c>
      <c r="U1342">
        <v>0</v>
      </c>
      <c r="W1342">
        <v>1</v>
      </c>
    </row>
    <row r="1343" spans="1:23" x14ac:dyDescent="0.2">
      <c r="A1343">
        <v>5046408</v>
      </c>
      <c r="B1343" t="s">
        <v>25</v>
      </c>
      <c r="C1343" t="s">
        <v>20</v>
      </c>
      <c r="D1343" t="s">
        <v>20</v>
      </c>
      <c r="E1343">
        <v>0</v>
      </c>
      <c r="F1343">
        <v>382500</v>
      </c>
      <c r="G1343" t="s">
        <v>31</v>
      </c>
      <c r="H1343" t="s">
        <v>27</v>
      </c>
      <c r="I1343" t="s">
        <v>28</v>
      </c>
      <c r="J1343" t="s">
        <v>24</v>
      </c>
      <c r="K1343" s="6">
        <f t="shared" ca="1" si="88"/>
        <v>24013</v>
      </c>
      <c r="L1343">
        <v>-21748</v>
      </c>
      <c r="M1343" s="7">
        <f t="shared" ca="1" si="86"/>
        <v>59.54277891854894</v>
      </c>
      <c r="N1343" s="5" t="str">
        <f ca="1">VLOOKUP(Data!M1343,temp!$B$3:$C$9,2,1)</f>
        <v>50-60</v>
      </c>
      <c r="O1343">
        <v>-1388</v>
      </c>
      <c r="P1343" s="8">
        <f t="shared" si="87"/>
        <v>3.8001368925393568</v>
      </c>
      <c r="Q1343" s="5" t="str">
        <f t="shared" si="89"/>
        <v>Employed</v>
      </c>
      <c r="R1343">
        <v>1</v>
      </c>
      <c r="S1343">
        <v>0</v>
      </c>
      <c r="T1343">
        <v>0</v>
      </c>
      <c r="U1343">
        <v>0</v>
      </c>
      <c r="V1343" t="s">
        <v>40</v>
      </c>
      <c r="W1343">
        <v>2</v>
      </c>
    </row>
    <row r="1344" spans="1:23" x14ac:dyDescent="0.2">
      <c r="A1344">
        <v>5046428</v>
      </c>
      <c r="B1344" t="s">
        <v>25</v>
      </c>
      <c r="C1344" t="s">
        <v>20</v>
      </c>
      <c r="D1344" t="s">
        <v>20</v>
      </c>
      <c r="E1344">
        <v>0</v>
      </c>
      <c r="F1344">
        <v>225000</v>
      </c>
      <c r="G1344" t="s">
        <v>31</v>
      </c>
      <c r="H1344" t="s">
        <v>27</v>
      </c>
      <c r="I1344" t="s">
        <v>28</v>
      </c>
      <c r="J1344" t="s">
        <v>24</v>
      </c>
      <c r="K1344" s="6">
        <f t="shared" ca="1" si="88"/>
        <v>34850</v>
      </c>
      <c r="L1344">
        <v>-10911</v>
      </c>
      <c r="M1344" s="7">
        <f t="shared" ca="1" si="86"/>
        <v>29.872689938398356</v>
      </c>
      <c r="N1344" s="5" t="str">
        <f ca="1">VLOOKUP(Data!M1344,temp!$B$3:$C$9,2,1)</f>
        <v>20-30</v>
      </c>
      <c r="O1344">
        <v>-535</v>
      </c>
      <c r="P1344" s="8">
        <f t="shared" si="87"/>
        <v>1.4647501711156743</v>
      </c>
      <c r="Q1344" s="5" t="str">
        <f t="shared" si="89"/>
        <v>Employed</v>
      </c>
      <c r="R1344">
        <v>1</v>
      </c>
      <c r="S1344">
        <v>0</v>
      </c>
      <c r="T1344">
        <v>0</v>
      </c>
      <c r="U1344">
        <v>0</v>
      </c>
      <c r="V1344" t="s">
        <v>29</v>
      </c>
      <c r="W1344">
        <v>2</v>
      </c>
    </row>
    <row r="1345" spans="1:23" x14ac:dyDescent="0.2">
      <c r="A1345">
        <v>5046429</v>
      </c>
      <c r="B1345" t="s">
        <v>25</v>
      </c>
      <c r="C1345" t="s">
        <v>20</v>
      </c>
      <c r="D1345" t="s">
        <v>20</v>
      </c>
      <c r="E1345">
        <v>0</v>
      </c>
      <c r="F1345">
        <v>225000</v>
      </c>
      <c r="G1345" t="s">
        <v>31</v>
      </c>
      <c r="H1345" t="s">
        <v>27</v>
      </c>
      <c r="I1345" t="s">
        <v>28</v>
      </c>
      <c r="J1345" t="s">
        <v>24</v>
      </c>
      <c r="K1345" s="6">
        <f t="shared" ca="1" si="88"/>
        <v>34850</v>
      </c>
      <c r="L1345">
        <v>-10911</v>
      </c>
      <c r="M1345" s="7">
        <f t="shared" ca="1" si="86"/>
        <v>29.872689938398356</v>
      </c>
      <c r="N1345" s="5" t="str">
        <f ca="1">VLOOKUP(Data!M1345,temp!$B$3:$C$9,2,1)</f>
        <v>20-30</v>
      </c>
      <c r="O1345">
        <v>-535</v>
      </c>
      <c r="P1345" s="8">
        <f t="shared" si="87"/>
        <v>1.4647501711156743</v>
      </c>
      <c r="Q1345" s="5" t="str">
        <f t="shared" si="89"/>
        <v>Employed</v>
      </c>
      <c r="R1345">
        <v>1</v>
      </c>
      <c r="S1345">
        <v>0</v>
      </c>
      <c r="T1345">
        <v>0</v>
      </c>
      <c r="U1345">
        <v>0</v>
      </c>
      <c r="V1345" t="s">
        <v>29</v>
      </c>
      <c r="W1345">
        <v>2</v>
      </c>
    </row>
    <row r="1346" spans="1:23" x14ac:dyDescent="0.2">
      <c r="A1346">
        <v>5046438</v>
      </c>
      <c r="B1346" t="s">
        <v>18</v>
      </c>
      <c r="C1346" t="s">
        <v>19</v>
      </c>
      <c r="D1346" t="s">
        <v>20</v>
      </c>
      <c r="E1346">
        <v>0</v>
      </c>
      <c r="F1346">
        <v>112500</v>
      </c>
      <c r="G1346" t="s">
        <v>31</v>
      </c>
      <c r="H1346" t="s">
        <v>27</v>
      </c>
      <c r="I1346" t="s">
        <v>28</v>
      </c>
      <c r="J1346" t="s">
        <v>24</v>
      </c>
      <c r="K1346" s="6">
        <f t="shared" ca="1" si="88"/>
        <v>24566</v>
      </c>
      <c r="L1346">
        <v>-21195</v>
      </c>
      <c r="M1346" s="7">
        <f t="shared" ca="1" si="86"/>
        <v>58.02874743326489</v>
      </c>
      <c r="N1346" s="5" t="str">
        <f ca="1">VLOOKUP(Data!M1346,temp!$B$3:$C$9,2,1)</f>
        <v>50-60</v>
      </c>
      <c r="O1346">
        <v>-3913</v>
      </c>
      <c r="P1346" s="8">
        <f t="shared" si="87"/>
        <v>10.713210130047912</v>
      </c>
      <c r="Q1346" s="5" t="str">
        <f t="shared" si="89"/>
        <v>Employed</v>
      </c>
      <c r="R1346">
        <v>1</v>
      </c>
      <c r="S1346">
        <v>1</v>
      </c>
      <c r="T1346">
        <v>1</v>
      </c>
      <c r="U1346">
        <v>0</v>
      </c>
      <c r="W1346">
        <v>2</v>
      </c>
    </row>
    <row r="1347" spans="1:23" x14ac:dyDescent="0.2">
      <c r="A1347">
        <v>5046447</v>
      </c>
      <c r="B1347" t="s">
        <v>18</v>
      </c>
      <c r="C1347" t="s">
        <v>19</v>
      </c>
      <c r="D1347" t="s">
        <v>19</v>
      </c>
      <c r="E1347">
        <v>0</v>
      </c>
      <c r="F1347">
        <v>67500</v>
      </c>
      <c r="G1347" t="s">
        <v>31</v>
      </c>
      <c r="H1347" t="s">
        <v>27</v>
      </c>
      <c r="I1347" t="s">
        <v>28</v>
      </c>
      <c r="J1347" t="s">
        <v>41</v>
      </c>
      <c r="K1347" s="6">
        <f t="shared" ca="1" si="88"/>
        <v>29395</v>
      </c>
      <c r="L1347">
        <v>-16366</v>
      </c>
      <c r="M1347" s="7">
        <f t="shared" ref="M1347:M1410" ca="1" si="90">(TODAY()-K1347)/365.25</f>
        <v>44.807665982203972</v>
      </c>
      <c r="N1347" s="5" t="str">
        <f ca="1">VLOOKUP(Data!M1347,temp!$B$3:$C$9,2,1)</f>
        <v>40-50</v>
      </c>
      <c r="O1347">
        <v>-108</v>
      </c>
      <c r="P1347" s="8">
        <f t="shared" ref="P1347:P1410" si="91">IF(O1347&lt;=0,ABS(O1347)/365.25,0)</f>
        <v>0.29568788501026694</v>
      </c>
      <c r="Q1347" s="5" t="str">
        <f t="shared" si="89"/>
        <v>Employed</v>
      </c>
      <c r="R1347">
        <v>1</v>
      </c>
      <c r="S1347">
        <v>0</v>
      </c>
      <c r="T1347">
        <v>0</v>
      </c>
      <c r="U1347">
        <v>0</v>
      </c>
      <c r="V1347" t="s">
        <v>46</v>
      </c>
      <c r="W1347">
        <v>2</v>
      </c>
    </row>
    <row r="1348" spans="1:23" x14ac:dyDescent="0.2">
      <c r="A1348">
        <v>5046455</v>
      </c>
      <c r="B1348" t="s">
        <v>25</v>
      </c>
      <c r="C1348" t="s">
        <v>20</v>
      </c>
      <c r="D1348" t="s">
        <v>19</v>
      </c>
      <c r="E1348">
        <v>1</v>
      </c>
      <c r="F1348">
        <v>405000</v>
      </c>
      <c r="G1348" t="s">
        <v>26</v>
      </c>
      <c r="H1348" t="s">
        <v>22</v>
      </c>
      <c r="I1348" t="s">
        <v>28</v>
      </c>
      <c r="J1348" t="s">
        <v>24</v>
      </c>
      <c r="K1348" s="6">
        <f t="shared" ca="1" si="88"/>
        <v>33582</v>
      </c>
      <c r="L1348">
        <v>-12179</v>
      </c>
      <c r="M1348" s="7">
        <f t="shared" ca="1" si="90"/>
        <v>33.34428473648186</v>
      </c>
      <c r="N1348" s="5" t="str">
        <f ca="1">VLOOKUP(Data!M1348,temp!$B$3:$C$9,2,1)</f>
        <v>30-40</v>
      </c>
      <c r="O1348">
        <v>-535</v>
      </c>
      <c r="P1348" s="8">
        <f t="shared" si="91"/>
        <v>1.4647501711156743</v>
      </c>
      <c r="Q1348" s="5" t="str">
        <f t="shared" si="89"/>
        <v>Employed</v>
      </c>
      <c r="R1348">
        <v>1</v>
      </c>
      <c r="S1348">
        <v>0</v>
      </c>
      <c r="T1348">
        <v>0</v>
      </c>
      <c r="U1348">
        <v>0</v>
      </c>
      <c r="V1348" t="s">
        <v>32</v>
      </c>
      <c r="W1348">
        <v>3</v>
      </c>
    </row>
    <row r="1349" spans="1:23" x14ac:dyDescent="0.2">
      <c r="A1349">
        <v>5046485</v>
      </c>
      <c r="B1349" t="s">
        <v>18</v>
      </c>
      <c r="C1349" t="s">
        <v>19</v>
      </c>
      <c r="D1349" t="s">
        <v>20</v>
      </c>
      <c r="E1349">
        <v>1</v>
      </c>
      <c r="F1349">
        <v>67500</v>
      </c>
      <c r="G1349" t="s">
        <v>31</v>
      </c>
      <c r="H1349" t="s">
        <v>22</v>
      </c>
      <c r="I1349" t="s">
        <v>28</v>
      </c>
      <c r="J1349" t="s">
        <v>24</v>
      </c>
      <c r="K1349" s="6">
        <f t="shared" ca="1" si="88"/>
        <v>34621</v>
      </c>
      <c r="L1349">
        <v>-11140</v>
      </c>
      <c r="M1349" s="7">
        <f t="shared" ca="1" si="90"/>
        <v>30.499657768651609</v>
      </c>
      <c r="N1349" s="5" t="str">
        <f ca="1">VLOOKUP(Data!M1349,temp!$B$3:$C$9,2,1)</f>
        <v>30-40</v>
      </c>
      <c r="O1349">
        <v>-991</v>
      </c>
      <c r="P1349" s="8">
        <f t="shared" si="91"/>
        <v>2.7132101300479126</v>
      </c>
      <c r="Q1349" s="5" t="str">
        <f t="shared" si="89"/>
        <v>Employed</v>
      </c>
      <c r="R1349">
        <v>1</v>
      </c>
      <c r="S1349">
        <v>0</v>
      </c>
      <c r="T1349">
        <v>0</v>
      </c>
      <c r="U1349">
        <v>0</v>
      </c>
      <c r="V1349" t="s">
        <v>32</v>
      </c>
      <c r="W1349">
        <v>3</v>
      </c>
    </row>
    <row r="1350" spans="1:23" x14ac:dyDescent="0.2">
      <c r="A1350">
        <v>5046489</v>
      </c>
      <c r="B1350" t="s">
        <v>18</v>
      </c>
      <c r="C1350" t="s">
        <v>20</v>
      </c>
      <c r="D1350" t="s">
        <v>19</v>
      </c>
      <c r="E1350">
        <v>2</v>
      </c>
      <c r="F1350">
        <v>135000</v>
      </c>
      <c r="G1350" t="s">
        <v>26</v>
      </c>
      <c r="H1350" t="s">
        <v>27</v>
      </c>
      <c r="I1350" t="s">
        <v>23</v>
      </c>
      <c r="J1350" t="s">
        <v>24</v>
      </c>
      <c r="K1350" s="6">
        <f t="shared" ca="1" si="88"/>
        <v>35136</v>
      </c>
      <c r="L1350">
        <v>-10625</v>
      </c>
      <c r="M1350" s="7">
        <f t="shared" ca="1" si="90"/>
        <v>29.089664613278575</v>
      </c>
      <c r="N1350" s="5" t="str">
        <f ca="1">VLOOKUP(Data!M1350,temp!$B$3:$C$9,2,1)</f>
        <v>20-30</v>
      </c>
      <c r="O1350">
        <v>-1701</v>
      </c>
      <c r="P1350" s="8">
        <f t="shared" si="91"/>
        <v>4.6570841889117043</v>
      </c>
      <c r="Q1350" s="5" t="str">
        <f t="shared" si="89"/>
        <v>Employed</v>
      </c>
      <c r="R1350">
        <v>1</v>
      </c>
      <c r="S1350">
        <v>0</v>
      </c>
      <c r="T1350">
        <v>0</v>
      </c>
      <c r="U1350">
        <v>0</v>
      </c>
      <c r="V1350" t="s">
        <v>40</v>
      </c>
      <c r="W1350">
        <v>3</v>
      </c>
    </row>
    <row r="1351" spans="1:23" x14ac:dyDescent="0.2">
      <c r="A1351">
        <v>5046498</v>
      </c>
      <c r="B1351" t="s">
        <v>18</v>
      </c>
      <c r="C1351" t="s">
        <v>20</v>
      </c>
      <c r="D1351" t="s">
        <v>20</v>
      </c>
      <c r="E1351">
        <v>1</v>
      </c>
      <c r="F1351">
        <v>135000</v>
      </c>
      <c r="G1351" t="s">
        <v>26</v>
      </c>
      <c r="H1351" t="s">
        <v>27</v>
      </c>
      <c r="I1351" t="s">
        <v>28</v>
      </c>
      <c r="J1351" t="s">
        <v>24</v>
      </c>
      <c r="K1351" s="6">
        <f t="shared" ca="1" si="88"/>
        <v>31074</v>
      </c>
      <c r="L1351">
        <v>-14687</v>
      </c>
      <c r="M1351" s="7">
        <f t="shared" ca="1" si="90"/>
        <v>40.210814510609168</v>
      </c>
      <c r="N1351" s="5" t="str">
        <f ca="1">VLOOKUP(Data!M1351,temp!$B$3:$C$9,2,1)</f>
        <v>40-50</v>
      </c>
      <c r="O1351">
        <v>-786</v>
      </c>
      <c r="P1351" s="8">
        <f t="shared" si="91"/>
        <v>2.1519507186858315</v>
      </c>
      <c r="Q1351" s="5" t="str">
        <f t="shared" si="89"/>
        <v>Employed</v>
      </c>
      <c r="R1351">
        <v>1</v>
      </c>
      <c r="S1351">
        <v>0</v>
      </c>
      <c r="T1351">
        <v>0</v>
      </c>
      <c r="U1351">
        <v>0</v>
      </c>
      <c r="V1351" t="s">
        <v>39</v>
      </c>
      <c r="W1351">
        <v>3</v>
      </c>
    </row>
    <row r="1352" spans="1:23" x14ac:dyDescent="0.2">
      <c r="A1352">
        <v>5046508</v>
      </c>
      <c r="B1352" t="s">
        <v>18</v>
      </c>
      <c r="C1352" t="s">
        <v>19</v>
      </c>
      <c r="D1352" t="s">
        <v>20</v>
      </c>
      <c r="E1352">
        <v>0</v>
      </c>
      <c r="F1352">
        <v>256500</v>
      </c>
      <c r="G1352" t="s">
        <v>26</v>
      </c>
      <c r="H1352" t="s">
        <v>22</v>
      </c>
      <c r="I1352" t="s">
        <v>23</v>
      </c>
      <c r="J1352" t="s">
        <v>24</v>
      </c>
      <c r="K1352" s="6">
        <f t="shared" ref="K1352:K1415" ca="1" si="92">TODAY()+($L1352)</f>
        <v>26157</v>
      </c>
      <c r="L1352">
        <v>-19604</v>
      </c>
      <c r="M1352" s="7">
        <f t="shared" ca="1" si="90"/>
        <v>53.672826830937716</v>
      </c>
      <c r="N1352" s="5" t="str">
        <f ca="1">VLOOKUP(Data!M1352,temp!$B$3:$C$9,2,1)</f>
        <v>50-60</v>
      </c>
      <c r="O1352">
        <v>-970</v>
      </c>
      <c r="P1352" s="8">
        <f t="shared" si="91"/>
        <v>2.6557152635181382</v>
      </c>
      <c r="Q1352" s="5" t="str">
        <f t="shared" ref="Q1352:Q1415" si="93">IF($O1352&gt;0,"Unemployed","Employed")</f>
        <v>Employed</v>
      </c>
      <c r="R1352">
        <v>1</v>
      </c>
      <c r="S1352">
        <v>0</v>
      </c>
      <c r="T1352">
        <v>0</v>
      </c>
      <c r="U1352">
        <v>0</v>
      </c>
      <c r="V1352" t="s">
        <v>32</v>
      </c>
      <c r="W1352">
        <v>1</v>
      </c>
    </row>
    <row r="1353" spans="1:23" x14ac:dyDescent="0.2">
      <c r="A1353">
        <v>5046546</v>
      </c>
      <c r="B1353" t="s">
        <v>18</v>
      </c>
      <c r="C1353" t="s">
        <v>19</v>
      </c>
      <c r="D1353" t="s">
        <v>20</v>
      </c>
      <c r="E1353">
        <v>1</v>
      </c>
      <c r="F1353">
        <v>148500</v>
      </c>
      <c r="G1353" t="s">
        <v>31</v>
      </c>
      <c r="H1353" t="s">
        <v>27</v>
      </c>
      <c r="I1353" t="s">
        <v>28</v>
      </c>
      <c r="J1353" t="s">
        <v>24</v>
      </c>
      <c r="K1353" s="6">
        <f t="shared" ca="1" si="92"/>
        <v>30678</v>
      </c>
      <c r="L1353">
        <v>-15083</v>
      </c>
      <c r="M1353" s="7">
        <f t="shared" ca="1" si="90"/>
        <v>41.295003422313485</v>
      </c>
      <c r="N1353" s="5" t="str">
        <f ca="1">VLOOKUP(Data!M1353,temp!$B$3:$C$9,2,1)</f>
        <v>40-50</v>
      </c>
      <c r="O1353">
        <v>-847</v>
      </c>
      <c r="P1353" s="8">
        <f t="shared" si="91"/>
        <v>2.3189596167008899</v>
      </c>
      <c r="Q1353" s="5" t="str">
        <f t="shared" si="93"/>
        <v>Employed</v>
      </c>
      <c r="R1353">
        <v>1</v>
      </c>
      <c r="S1353">
        <v>0</v>
      </c>
      <c r="T1353">
        <v>0</v>
      </c>
      <c r="U1353">
        <v>0</v>
      </c>
      <c r="V1353" t="s">
        <v>47</v>
      </c>
      <c r="W1353">
        <v>3</v>
      </c>
    </row>
    <row r="1354" spans="1:23" x14ac:dyDescent="0.2">
      <c r="A1354">
        <v>5046548</v>
      </c>
      <c r="B1354" t="s">
        <v>18</v>
      </c>
      <c r="C1354" t="s">
        <v>19</v>
      </c>
      <c r="D1354" t="s">
        <v>20</v>
      </c>
      <c r="E1354">
        <v>1</v>
      </c>
      <c r="F1354">
        <v>148500</v>
      </c>
      <c r="G1354" t="s">
        <v>31</v>
      </c>
      <c r="H1354" t="s">
        <v>27</v>
      </c>
      <c r="I1354" t="s">
        <v>28</v>
      </c>
      <c r="J1354" t="s">
        <v>24</v>
      </c>
      <c r="K1354" s="6">
        <f t="shared" ca="1" si="92"/>
        <v>30678</v>
      </c>
      <c r="L1354">
        <v>-15083</v>
      </c>
      <c r="M1354" s="7">
        <f t="shared" ca="1" si="90"/>
        <v>41.295003422313485</v>
      </c>
      <c r="N1354" s="5" t="str">
        <f ca="1">VLOOKUP(Data!M1354,temp!$B$3:$C$9,2,1)</f>
        <v>40-50</v>
      </c>
      <c r="O1354">
        <v>-847</v>
      </c>
      <c r="P1354" s="8">
        <f t="shared" si="91"/>
        <v>2.3189596167008899</v>
      </c>
      <c r="Q1354" s="5" t="str">
        <f t="shared" si="93"/>
        <v>Employed</v>
      </c>
      <c r="R1354">
        <v>1</v>
      </c>
      <c r="S1354">
        <v>0</v>
      </c>
      <c r="T1354">
        <v>0</v>
      </c>
      <c r="U1354">
        <v>0</v>
      </c>
      <c r="V1354" t="s">
        <v>47</v>
      </c>
      <c r="W1354">
        <v>3</v>
      </c>
    </row>
    <row r="1355" spans="1:23" x14ac:dyDescent="0.2">
      <c r="A1355">
        <v>5046550</v>
      </c>
      <c r="B1355" t="s">
        <v>18</v>
      </c>
      <c r="C1355" t="s">
        <v>19</v>
      </c>
      <c r="D1355" t="s">
        <v>20</v>
      </c>
      <c r="E1355">
        <v>0</v>
      </c>
      <c r="F1355">
        <v>90000</v>
      </c>
      <c r="G1355" t="s">
        <v>31</v>
      </c>
      <c r="H1355" t="s">
        <v>22</v>
      </c>
      <c r="I1355" t="s">
        <v>23</v>
      </c>
      <c r="J1355" t="s">
        <v>24</v>
      </c>
      <c r="K1355" s="6">
        <f t="shared" ca="1" si="92"/>
        <v>27631</v>
      </c>
      <c r="L1355">
        <v>-18130</v>
      </c>
      <c r="M1355" s="7">
        <f t="shared" ca="1" si="90"/>
        <v>49.637234770705</v>
      </c>
      <c r="N1355" s="5" t="str">
        <f ca="1">VLOOKUP(Data!M1355,temp!$B$3:$C$9,2,1)</f>
        <v>40-50</v>
      </c>
      <c r="O1355">
        <v>-666</v>
      </c>
      <c r="P1355" s="8">
        <f t="shared" si="91"/>
        <v>1.8234086242299794</v>
      </c>
      <c r="Q1355" s="5" t="str">
        <f t="shared" si="93"/>
        <v>Employed</v>
      </c>
      <c r="R1355">
        <v>1</v>
      </c>
      <c r="S1355">
        <v>1</v>
      </c>
      <c r="T1355">
        <v>1</v>
      </c>
      <c r="U1355">
        <v>0</v>
      </c>
      <c r="V1355" t="s">
        <v>29</v>
      </c>
      <c r="W1355">
        <v>1</v>
      </c>
    </row>
    <row r="1356" spans="1:23" x14ac:dyDescent="0.2">
      <c r="A1356">
        <v>5046557</v>
      </c>
      <c r="B1356" t="s">
        <v>18</v>
      </c>
      <c r="C1356" t="s">
        <v>20</v>
      </c>
      <c r="D1356" t="s">
        <v>20</v>
      </c>
      <c r="E1356">
        <v>0</v>
      </c>
      <c r="F1356">
        <v>256500</v>
      </c>
      <c r="G1356" t="s">
        <v>26</v>
      </c>
      <c r="H1356" t="s">
        <v>22</v>
      </c>
      <c r="I1356" t="s">
        <v>37</v>
      </c>
      <c r="J1356" t="s">
        <v>24</v>
      </c>
      <c r="K1356" s="6">
        <f t="shared" ca="1" si="92"/>
        <v>31630</v>
      </c>
      <c r="L1356">
        <v>-14131</v>
      </c>
      <c r="M1356" s="7">
        <f t="shared" ca="1" si="90"/>
        <v>38.688569472963721</v>
      </c>
      <c r="N1356" s="5" t="str">
        <f ca="1">VLOOKUP(Data!M1356,temp!$B$3:$C$9,2,1)</f>
        <v>30-40</v>
      </c>
      <c r="O1356">
        <v>-2674</v>
      </c>
      <c r="P1356" s="8">
        <f t="shared" si="91"/>
        <v>7.3210130047912392</v>
      </c>
      <c r="Q1356" s="5" t="str">
        <f t="shared" si="93"/>
        <v>Employed</v>
      </c>
      <c r="R1356">
        <v>1</v>
      </c>
      <c r="S1356">
        <v>0</v>
      </c>
      <c r="T1356">
        <v>1</v>
      </c>
      <c r="U1356">
        <v>0</v>
      </c>
      <c r="V1356" t="s">
        <v>44</v>
      </c>
      <c r="W1356">
        <v>2</v>
      </c>
    </row>
    <row r="1357" spans="1:23" x14ac:dyDescent="0.2">
      <c r="A1357">
        <v>5046560</v>
      </c>
      <c r="B1357" t="s">
        <v>18</v>
      </c>
      <c r="C1357" t="s">
        <v>20</v>
      </c>
      <c r="D1357" t="s">
        <v>20</v>
      </c>
      <c r="E1357">
        <v>0</v>
      </c>
      <c r="F1357">
        <v>256500</v>
      </c>
      <c r="G1357" t="s">
        <v>26</v>
      </c>
      <c r="H1357" t="s">
        <v>22</v>
      </c>
      <c r="I1357" t="s">
        <v>37</v>
      </c>
      <c r="J1357" t="s">
        <v>24</v>
      </c>
      <c r="K1357" s="6">
        <f t="shared" ca="1" si="92"/>
        <v>31630</v>
      </c>
      <c r="L1357">
        <v>-14131</v>
      </c>
      <c r="M1357" s="7">
        <f t="shared" ca="1" si="90"/>
        <v>38.688569472963721</v>
      </c>
      <c r="N1357" s="5" t="str">
        <f ca="1">VLOOKUP(Data!M1357,temp!$B$3:$C$9,2,1)</f>
        <v>30-40</v>
      </c>
      <c r="O1357">
        <v>-2674</v>
      </c>
      <c r="P1357" s="8">
        <f t="shared" si="91"/>
        <v>7.3210130047912392</v>
      </c>
      <c r="Q1357" s="5" t="str">
        <f t="shared" si="93"/>
        <v>Employed</v>
      </c>
      <c r="R1357">
        <v>1</v>
      </c>
      <c r="S1357">
        <v>0</v>
      </c>
      <c r="T1357">
        <v>1</v>
      </c>
      <c r="U1357">
        <v>0</v>
      </c>
      <c r="V1357" t="s">
        <v>44</v>
      </c>
      <c r="W1357">
        <v>2</v>
      </c>
    </row>
    <row r="1358" spans="1:23" x14ac:dyDescent="0.2">
      <c r="A1358">
        <v>5046561</v>
      </c>
      <c r="B1358" t="s">
        <v>25</v>
      </c>
      <c r="C1358" t="s">
        <v>20</v>
      </c>
      <c r="D1358" t="s">
        <v>20</v>
      </c>
      <c r="E1358">
        <v>0</v>
      </c>
      <c r="F1358">
        <v>135000</v>
      </c>
      <c r="G1358" t="s">
        <v>21</v>
      </c>
      <c r="H1358" t="s">
        <v>27</v>
      </c>
      <c r="I1358" t="s">
        <v>28</v>
      </c>
      <c r="J1358" t="s">
        <v>24</v>
      </c>
      <c r="K1358" s="6">
        <f t="shared" ca="1" si="92"/>
        <v>24398</v>
      </c>
      <c r="L1358">
        <v>-21363</v>
      </c>
      <c r="M1358" s="7">
        <f t="shared" ca="1" si="90"/>
        <v>58.488706365503077</v>
      </c>
      <c r="N1358" s="5" t="str">
        <f ca="1">VLOOKUP(Data!M1358,temp!$B$3:$C$9,2,1)</f>
        <v>50-60</v>
      </c>
      <c r="O1358">
        <v>365243</v>
      </c>
      <c r="P1358" s="8">
        <f t="shared" si="91"/>
        <v>0</v>
      </c>
      <c r="Q1358" s="5" t="str">
        <f t="shared" si="93"/>
        <v>Unemployed</v>
      </c>
      <c r="R1358">
        <v>1</v>
      </c>
      <c r="S1358">
        <v>0</v>
      </c>
      <c r="T1358">
        <v>0</v>
      </c>
      <c r="U1358">
        <v>0</v>
      </c>
      <c r="W1358">
        <v>2</v>
      </c>
    </row>
    <row r="1359" spans="1:23" x14ac:dyDescent="0.2">
      <c r="A1359">
        <v>5047636</v>
      </c>
      <c r="B1359" t="s">
        <v>18</v>
      </c>
      <c r="C1359" t="s">
        <v>19</v>
      </c>
      <c r="D1359" t="s">
        <v>20</v>
      </c>
      <c r="E1359">
        <v>3</v>
      </c>
      <c r="F1359">
        <v>202500</v>
      </c>
      <c r="G1359" t="s">
        <v>35</v>
      </c>
      <c r="H1359" t="s">
        <v>22</v>
      </c>
      <c r="I1359" t="s">
        <v>28</v>
      </c>
      <c r="J1359" t="s">
        <v>24</v>
      </c>
      <c r="K1359" s="6">
        <f t="shared" ca="1" si="92"/>
        <v>32857</v>
      </c>
      <c r="L1359">
        <v>-12904</v>
      </c>
      <c r="M1359" s="7">
        <f t="shared" ca="1" si="90"/>
        <v>35.329226557152637</v>
      </c>
      <c r="N1359" s="5" t="str">
        <f ca="1">VLOOKUP(Data!M1359,temp!$B$3:$C$9,2,1)</f>
        <v>30-40</v>
      </c>
      <c r="O1359">
        <v>-1404</v>
      </c>
      <c r="P1359" s="8">
        <f t="shared" si="91"/>
        <v>3.8439425051334704</v>
      </c>
      <c r="Q1359" s="5" t="str">
        <f t="shared" si="93"/>
        <v>Employed</v>
      </c>
      <c r="R1359">
        <v>1</v>
      </c>
      <c r="S1359">
        <v>0</v>
      </c>
      <c r="T1359">
        <v>1</v>
      </c>
      <c r="U1359">
        <v>0</v>
      </c>
      <c r="V1359" t="s">
        <v>38</v>
      </c>
      <c r="W1359">
        <v>5</v>
      </c>
    </row>
    <row r="1360" spans="1:23" x14ac:dyDescent="0.2">
      <c r="A1360">
        <v>5047665</v>
      </c>
      <c r="B1360" t="s">
        <v>18</v>
      </c>
      <c r="C1360" t="s">
        <v>19</v>
      </c>
      <c r="D1360" t="s">
        <v>20</v>
      </c>
      <c r="E1360">
        <v>1</v>
      </c>
      <c r="F1360">
        <v>67500</v>
      </c>
      <c r="G1360" t="s">
        <v>26</v>
      </c>
      <c r="H1360" t="s">
        <v>27</v>
      </c>
      <c r="I1360" t="s">
        <v>28</v>
      </c>
      <c r="J1360" t="s">
        <v>24</v>
      </c>
      <c r="K1360" s="6">
        <f t="shared" ca="1" si="92"/>
        <v>26881</v>
      </c>
      <c r="L1360">
        <v>-18880</v>
      </c>
      <c r="M1360" s="7">
        <f t="shared" ca="1" si="90"/>
        <v>51.690622861054074</v>
      </c>
      <c r="N1360" s="5" t="str">
        <f ca="1">VLOOKUP(Data!M1360,temp!$B$3:$C$9,2,1)</f>
        <v>50-60</v>
      </c>
      <c r="O1360">
        <v>-4114</v>
      </c>
      <c r="P1360" s="8">
        <f t="shared" si="91"/>
        <v>11.263518138261464</v>
      </c>
      <c r="Q1360" s="5" t="str">
        <f t="shared" si="93"/>
        <v>Employed</v>
      </c>
      <c r="R1360">
        <v>1</v>
      </c>
      <c r="S1360">
        <v>0</v>
      </c>
      <c r="T1360">
        <v>0</v>
      </c>
      <c r="U1360">
        <v>0</v>
      </c>
      <c r="V1360" t="s">
        <v>44</v>
      </c>
      <c r="W1360">
        <v>3</v>
      </c>
    </row>
    <row r="1361" spans="1:23" x14ac:dyDescent="0.2">
      <c r="A1361">
        <v>5047669</v>
      </c>
      <c r="B1361" t="s">
        <v>18</v>
      </c>
      <c r="C1361" t="s">
        <v>19</v>
      </c>
      <c r="D1361" t="s">
        <v>19</v>
      </c>
      <c r="E1361">
        <v>1</v>
      </c>
      <c r="F1361">
        <v>180000</v>
      </c>
      <c r="G1361" t="s">
        <v>35</v>
      </c>
      <c r="H1361" t="s">
        <v>22</v>
      </c>
      <c r="I1361" t="s">
        <v>28</v>
      </c>
      <c r="J1361" t="s">
        <v>24</v>
      </c>
      <c r="K1361" s="6">
        <f t="shared" ca="1" si="92"/>
        <v>31692</v>
      </c>
      <c r="L1361">
        <v>-14069</v>
      </c>
      <c r="M1361" s="7">
        <f t="shared" ca="1" si="90"/>
        <v>38.518822724161531</v>
      </c>
      <c r="N1361" s="5" t="str">
        <f ca="1">VLOOKUP(Data!M1361,temp!$B$3:$C$9,2,1)</f>
        <v>30-40</v>
      </c>
      <c r="O1361">
        <v>-2500</v>
      </c>
      <c r="P1361" s="8">
        <f t="shared" si="91"/>
        <v>6.8446269678302532</v>
      </c>
      <c r="Q1361" s="5" t="str">
        <f t="shared" si="93"/>
        <v>Employed</v>
      </c>
      <c r="R1361">
        <v>1</v>
      </c>
      <c r="S1361">
        <v>1</v>
      </c>
      <c r="T1361">
        <v>1</v>
      </c>
      <c r="U1361">
        <v>1</v>
      </c>
      <c r="V1361" t="s">
        <v>38</v>
      </c>
      <c r="W1361">
        <v>3</v>
      </c>
    </row>
    <row r="1362" spans="1:23" x14ac:dyDescent="0.2">
      <c r="A1362">
        <v>5047673</v>
      </c>
      <c r="B1362" t="s">
        <v>18</v>
      </c>
      <c r="C1362" t="s">
        <v>19</v>
      </c>
      <c r="D1362" t="s">
        <v>19</v>
      </c>
      <c r="E1362">
        <v>1</v>
      </c>
      <c r="F1362">
        <v>180000</v>
      </c>
      <c r="G1362" t="s">
        <v>35</v>
      </c>
      <c r="H1362" t="s">
        <v>22</v>
      </c>
      <c r="I1362" t="s">
        <v>28</v>
      </c>
      <c r="J1362" t="s">
        <v>24</v>
      </c>
      <c r="K1362" s="6">
        <f t="shared" ca="1" si="92"/>
        <v>31692</v>
      </c>
      <c r="L1362">
        <v>-14069</v>
      </c>
      <c r="M1362" s="7">
        <f t="shared" ca="1" si="90"/>
        <v>38.518822724161531</v>
      </c>
      <c r="N1362" s="5" t="str">
        <f ca="1">VLOOKUP(Data!M1362,temp!$B$3:$C$9,2,1)</f>
        <v>30-40</v>
      </c>
      <c r="O1362">
        <v>-2500</v>
      </c>
      <c r="P1362" s="8">
        <f t="shared" si="91"/>
        <v>6.8446269678302532</v>
      </c>
      <c r="Q1362" s="5" t="str">
        <f t="shared" si="93"/>
        <v>Employed</v>
      </c>
      <c r="R1362">
        <v>1</v>
      </c>
      <c r="S1362">
        <v>1</v>
      </c>
      <c r="T1362">
        <v>1</v>
      </c>
      <c r="U1362">
        <v>1</v>
      </c>
      <c r="V1362" t="s">
        <v>38</v>
      </c>
      <c r="W1362">
        <v>3</v>
      </c>
    </row>
    <row r="1363" spans="1:23" x14ac:dyDescent="0.2">
      <c r="A1363">
        <v>5047680</v>
      </c>
      <c r="B1363" t="s">
        <v>25</v>
      </c>
      <c r="C1363" t="s">
        <v>20</v>
      </c>
      <c r="D1363" t="s">
        <v>20</v>
      </c>
      <c r="E1363">
        <v>0</v>
      </c>
      <c r="F1363">
        <v>135000</v>
      </c>
      <c r="G1363" t="s">
        <v>31</v>
      </c>
      <c r="H1363" t="s">
        <v>22</v>
      </c>
      <c r="I1363" t="s">
        <v>28</v>
      </c>
      <c r="J1363" t="s">
        <v>24</v>
      </c>
      <c r="K1363" s="6">
        <f t="shared" ca="1" si="92"/>
        <v>36686</v>
      </c>
      <c r="L1363">
        <v>-9075</v>
      </c>
      <c r="M1363" s="7">
        <f t="shared" ca="1" si="90"/>
        <v>24.845995893223819</v>
      </c>
      <c r="N1363" s="5" t="str">
        <f ca="1">VLOOKUP(Data!M1363,temp!$B$3:$C$9,2,1)</f>
        <v>20-30</v>
      </c>
      <c r="O1363">
        <v>-614</v>
      </c>
      <c r="P1363" s="8">
        <f t="shared" si="91"/>
        <v>1.6810403832991101</v>
      </c>
      <c r="Q1363" s="5" t="str">
        <f t="shared" si="93"/>
        <v>Employed</v>
      </c>
      <c r="R1363">
        <v>1</v>
      </c>
      <c r="S1363">
        <v>1</v>
      </c>
      <c r="T1363">
        <v>1</v>
      </c>
      <c r="U1363">
        <v>0</v>
      </c>
      <c r="V1363" t="s">
        <v>39</v>
      </c>
      <c r="W1363">
        <v>2</v>
      </c>
    </row>
    <row r="1364" spans="1:23" x14ac:dyDescent="0.2">
      <c r="A1364">
        <v>5047689</v>
      </c>
      <c r="B1364" t="s">
        <v>18</v>
      </c>
      <c r="C1364" t="s">
        <v>19</v>
      </c>
      <c r="D1364" t="s">
        <v>20</v>
      </c>
      <c r="E1364">
        <v>0</v>
      </c>
      <c r="F1364">
        <v>99000</v>
      </c>
      <c r="G1364" t="s">
        <v>26</v>
      </c>
      <c r="H1364" t="s">
        <v>27</v>
      </c>
      <c r="I1364" t="s">
        <v>28</v>
      </c>
      <c r="J1364" t="s">
        <v>24</v>
      </c>
      <c r="K1364" s="6">
        <f t="shared" ca="1" si="92"/>
        <v>26463</v>
      </c>
      <c r="L1364">
        <v>-19298</v>
      </c>
      <c r="M1364" s="7">
        <f t="shared" ca="1" si="90"/>
        <v>52.83504449007529</v>
      </c>
      <c r="N1364" s="5" t="str">
        <f ca="1">VLOOKUP(Data!M1364,temp!$B$3:$C$9,2,1)</f>
        <v>50-60</v>
      </c>
      <c r="O1364">
        <v>-4813</v>
      </c>
      <c r="P1364" s="8">
        <f t="shared" si="91"/>
        <v>13.177275838466803</v>
      </c>
      <c r="Q1364" s="5" t="str">
        <f t="shared" si="93"/>
        <v>Employed</v>
      </c>
      <c r="R1364">
        <v>1</v>
      </c>
      <c r="S1364">
        <v>1</v>
      </c>
      <c r="T1364">
        <v>1</v>
      </c>
      <c r="U1364">
        <v>0</v>
      </c>
      <c r="V1364" t="s">
        <v>44</v>
      </c>
      <c r="W1364">
        <v>2</v>
      </c>
    </row>
    <row r="1365" spans="1:23" x14ac:dyDescent="0.2">
      <c r="A1365">
        <v>5047693</v>
      </c>
      <c r="B1365" t="s">
        <v>25</v>
      </c>
      <c r="C1365" t="s">
        <v>20</v>
      </c>
      <c r="D1365" t="s">
        <v>20</v>
      </c>
      <c r="E1365">
        <v>0</v>
      </c>
      <c r="F1365">
        <v>157500</v>
      </c>
      <c r="G1365" t="s">
        <v>31</v>
      </c>
      <c r="H1365" t="s">
        <v>22</v>
      </c>
      <c r="I1365" t="s">
        <v>28</v>
      </c>
      <c r="J1365" t="s">
        <v>24</v>
      </c>
      <c r="K1365" s="6">
        <f t="shared" ca="1" si="92"/>
        <v>23888</v>
      </c>
      <c r="L1365">
        <v>-21873</v>
      </c>
      <c r="M1365" s="7">
        <f t="shared" ca="1" si="90"/>
        <v>59.885010266940455</v>
      </c>
      <c r="N1365" s="5" t="str">
        <f ca="1">VLOOKUP(Data!M1365,temp!$B$3:$C$9,2,1)</f>
        <v>50-60</v>
      </c>
      <c r="O1365">
        <v>-4691</v>
      </c>
      <c r="P1365" s="8">
        <f t="shared" si="91"/>
        <v>12.843258042436688</v>
      </c>
      <c r="Q1365" s="5" t="str">
        <f t="shared" si="93"/>
        <v>Employed</v>
      </c>
      <c r="R1365">
        <v>1</v>
      </c>
      <c r="S1365">
        <v>1</v>
      </c>
      <c r="T1365">
        <v>1</v>
      </c>
      <c r="U1365">
        <v>0</v>
      </c>
      <c r="V1365" t="s">
        <v>29</v>
      </c>
      <c r="W1365">
        <v>2</v>
      </c>
    </row>
    <row r="1366" spans="1:23" x14ac:dyDescent="0.2">
      <c r="A1366">
        <v>5047703</v>
      </c>
      <c r="B1366" t="s">
        <v>25</v>
      </c>
      <c r="C1366" t="s">
        <v>19</v>
      </c>
      <c r="D1366" t="s">
        <v>20</v>
      </c>
      <c r="E1366">
        <v>0</v>
      </c>
      <c r="F1366">
        <v>135000</v>
      </c>
      <c r="G1366" t="s">
        <v>31</v>
      </c>
      <c r="H1366" t="s">
        <v>27</v>
      </c>
      <c r="I1366" t="s">
        <v>28</v>
      </c>
      <c r="J1366" t="s">
        <v>24</v>
      </c>
      <c r="K1366" s="6">
        <f t="shared" ca="1" si="92"/>
        <v>32008</v>
      </c>
      <c r="L1366">
        <v>-13753</v>
      </c>
      <c r="M1366" s="7">
        <f t="shared" ca="1" si="90"/>
        <v>37.653661875427787</v>
      </c>
      <c r="N1366" s="5" t="str">
        <f ca="1">VLOOKUP(Data!M1366,temp!$B$3:$C$9,2,1)</f>
        <v>30-40</v>
      </c>
      <c r="O1366">
        <v>-4813</v>
      </c>
      <c r="P1366" s="8">
        <f t="shared" si="91"/>
        <v>13.177275838466803</v>
      </c>
      <c r="Q1366" s="5" t="str">
        <f t="shared" si="93"/>
        <v>Employed</v>
      </c>
      <c r="R1366">
        <v>1</v>
      </c>
      <c r="S1366">
        <v>0</v>
      </c>
      <c r="T1366">
        <v>1</v>
      </c>
      <c r="U1366">
        <v>0</v>
      </c>
      <c r="V1366" t="s">
        <v>32</v>
      </c>
      <c r="W1366">
        <v>2</v>
      </c>
    </row>
    <row r="1367" spans="1:23" x14ac:dyDescent="0.2">
      <c r="A1367">
        <v>5047723</v>
      </c>
      <c r="B1367" t="s">
        <v>18</v>
      </c>
      <c r="C1367" t="s">
        <v>19</v>
      </c>
      <c r="D1367" t="s">
        <v>19</v>
      </c>
      <c r="E1367">
        <v>0</v>
      </c>
      <c r="F1367">
        <v>85500</v>
      </c>
      <c r="G1367" t="s">
        <v>31</v>
      </c>
      <c r="H1367" t="s">
        <v>22</v>
      </c>
      <c r="I1367" t="s">
        <v>28</v>
      </c>
      <c r="J1367" t="s">
        <v>24</v>
      </c>
      <c r="K1367" s="6">
        <f t="shared" ca="1" si="92"/>
        <v>31347</v>
      </c>
      <c r="L1367">
        <v>-14414</v>
      </c>
      <c r="M1367" s="7">
        <f t="shared" ca="1" si="90"/>
        <v>39.463381245722111</v>
      </c>
      <c r="N1367" s="5" t="str">
        <f ca="1">VLOOKUP(Data!M1367,temp!$B$3:$C$9,2,1)</f>
        <v>30-40</v>
      </c>
      <c r="O1367">
        <v>-1253</v>
      </c>
      <c r="P1367" s="8">
        <f t="shared" si="91"/>
        <v>3.4305270362765228</v>
      </c>
      <c r="Q1367" s="5" t="str">
        <f t="shared" si="93"/>
        <v>Employed</v>
      </c>
      <c r="R1367">
        <v>1</v>
      </c>
      <c r="S1367">
        <v>0</v>
      </c>
      <c r="T1367">
        <v>0</v>
      </c>
      <c r="U1367">
        <v>0</v>
      </c>
      <c r="V1367" t="s">
        <v>44</v>
      </c>
      <c r="W1367">
        <v>2</v>
      </c>
    </row>
    <row r="1368" spans="1:23" x14ac:dyDescent="0.2">
      <c r="A1368">
        <v>5047735</v>
      </c>
      <c r="B1368" t="s">
        <v>18</v>
      </c>
      <c r="C1368" t="s">
        <v>19</v>
      </c>
      <c r="D1368" t="s">
        <v>20</v>
      </c>
      <c r="E1368">
        <v>0</v>
      </c>
      <c r="F1368">
        <v>202500</v>
      </c>
      <c r="G1368" t="s">
        <v>21</v>
      </c>
      <c r="H1368" t="s">
        <v>27</v>
      </c>
      <c r="I1368" t="s">
        <v>42</v>
      </c>
      <c r="J1368" t="s">
        <v>24</v>
      </c>
      <c r="K1368" s="6">
        <f t="shared" ca="1" si="92"/>
        <v>23937</v>
      </c>
      <c r="L1368">
        <v>-21824</v>
      </c>
      <c r="M1368" s="7">
        <f t="shared" ca="1" si="90"/>
        <v>59.750855578370981</v>
      </c>
      <c r="N1368" s="5" t="str">
        <f ca="1">VLOOKUP(Data!M1368,temp!$B$3:$C$9,2,1)</f>
        <v>50-60</v>
      </c>
      <c r="O1368">
        <v>365243</v>
      </c>
      <c r="P1368" s="8">
        <f t="shared" si="91"/>
        <v>0</v>
      </c>
      <c r="Q1368" s="5" t="str">
        <f t="shared" si="93"/>
        <v>Unemployed</v>
      </c>
      <c r="R1368">
        <v>1</v>
      </c>
      <c r="S1368">
        <v>0</v>
      </c>
      <c r="T1368">
        <v>0</v>
      </c>
      <c r="U1368">
        <v>0</v>
      </c>
      <c r="W1368">
        <v>1</v>
      </c>
    </row>
    <row r="1369" spans="1:23" x14ac:dyDescent="0.2">
      <c r="A1369">
        <v>5047746</v>
      </c>
      <c r="B1369" t="s">
        <v>18</v>
      </c>
      <c r="C1369" t="s">
        <v>19</v>
      </c>
      <c r="D1369" t="s">
        <v>20</v>
      </c>
      <c r="E1369">
        <v>2</v>
      </c>
      <c r="F1369">
        <v>157500</v>
      </c>
      <c r="G1369" t="s">
        <v>26</v>
      </c>
      <c r="H1369" t="s">
        <v>27</v>
      </c>
      <c r="I1369" t="s">
        <v>28</v>
      </c>
      <c r="J1369" t="s">
        <v>24</v>
      </c>
      <c r="K1369" s="6">
        <f t="shared" ca="1" si="92"/>
        <v>35675</v>
      </c>
      <c r="L1369">
        <v>-10086</v>
      </c>
      <c r="M1369" s="7">
        <f t="shared" ca="1" si="90"/>
        <v>27.613963039014372</v>
      </c>
      <c r="N1369" s="5" t="str">
        <f ca="1">VLOOKUP(Data!M1369,temp!$B$3:$C$9,2,1)</f>
        <v>20-30</v>
      </c>
      <c r="O1369">
        <v>-1679</v>
      </c>
      <c r="P1369" s="8">
        <f t="shared" si="91"/>
        <v>4.5968514715947979</v>
      </c>
      <c r="Q1369" s="5" t="str">
        <f t="shared" si="93"/>
        <v>Employed</v>
      </c>
      <c r="R1369">
        <v>1</v>
      </c>
      <c r="S1369">
        <v>0</v>
      </c>
      <c r="T1369">
        <v>0</v>
      </c>
      <c r="U1369">
        <v>0</v>
      </c>
      <c r="V1369" t="s">
        <v>39</v>
      </c>
      <c r="W1369">
        <v>4</v>
      </c>
    </row>
    <row r="1370" spans="1:23" x14ac:dyDescent="0.2">
      <c r="A1370">
        <v>5047762</v>
      </c>
      <c r="B1370" t="s">
        <v>18</v>
      </c>
      <c r="C1370" t="s">
        <v>19</v>
      </c>
      <c r="D1370" t="s">
        <v>19</v>
      </c>
      <c r="E1370">
        <v>0</v>
      </c>
      <c r="F1370">
        <v>135000</v>
      </c>
      <c r="G1370" t="s">
        <v>26</v>
      </c>
      <c r="H1370" t="s">
        <v>27</v>
      </c>
      <c r="I1370" t="s">
        <v>28</v>
      </c>
      <c r="J1370" t="s">
        <v>24</v>
      </c>
      <c r="K1370" s="6">
        <f t="shared" ca="1" si="92"/>
        <v>29753</v>
      </c>
      <c r="L1370">
        <v>-16008</v>
      </c>
      <c r="M1370" s="7">
        <f t="shared" ca="1" si="90"/>
        <v>43.827515400410675</v>
      </c>
      <c r="N1370" s="5" t="str">
        <f ca="1">VLOOKUP(Data!M1370,temp!$B$3:$C$9,2,1)</f>
        <v>40-50</v>
      </c>
      <c r="O1370">
        <v>-157</v>
      </c>
      <c r="P1370" s="8">
        <f t="shared" si="91"/>
        <v>0.42984257357973993</v>
      </c>
      <c r="Q1370" s="5" t="str">
        <f t="shared" si="93"/>
        <v>Employed</v>
      </c>
      <c r="R1370">
        <v>1</v>
      </c>
      <c r="S1370">
        <v>0</v>
      </c>
      <c r="T1370">
        <v>0</v>
      </c>
      <c r="U1370">
        <v>0</v>
      </c>
      <c r="V1370" t="s">
        <v>55</v>
      </c>
      <c r="W1370">
        <v>2</v>
      </c>
    </row>
    <row r="1371" spans="1:23" x14ac:dyDescent="0.2">
      <c r="A1371">
        <v>5047764</v>
      </c>
      <c r="B1371" t="s">
        <v>18</v>
      </c>
      <c r="C1371" t="s">
        <v>19</v>
      </c>
      <c r="D1371" t="s">
        <v>19</v>
      </c>
      <c r="E1371">
        <v>0</v>
      </c>
      <c r="F1371">
        <v>135000</v>
      </c>
      <c r="G1371" t="s">
        <v>26</v>
      </c>
      <c r="H1371" t="s">
        <v>27</v>
      </c>
      <c r="I1371" t="s">
        <v>28</v>
      </c>
      <c r="J1371" t="s">
        <v>24</v>
      </c>
      <c r="K1371" s="6">
        <f t="shared" ca="1" si="92"/>
        <v>29753</v>
      </c>
      <c r="L1371">
        <v>-16008</v>
      </c>
      <c r="M1371" s="7">
        <f t="shared" ca="1" si="90"/>
        <v>43.827515400410675</v>
      </c>
      <c r="N1371" s="5" t="str">
        <f ca="1">VLOOKUP(Data!M1371,temp!$B$3:$C$9,2,1)</f>
        <v>40-50</v>
      </c>
      <c r="O1371">
        <v>-157</v>
      </c>
      <c r="P1371" s="8">
        <f t="shared" si="91"/>
        <v>0.42984257357973993</v>
      </c>
      <c r="Q1371" s="5" t="str">
        <f t="shared" si="93"/>
        <v>Employed</v>
      </c>
      <c r="R1371">
        <v>1</v>
      </c>
      <c r="S1371">
        <v>0</v>
      </c>
      <c r="T1371">
        <v>0</v>
      </c>
      <c r="U1371">
        <v>0</v>
      </c>
      <c r="V1371" t="s">
        <v>55</v>
      </c>
      <c r="W1371">
        <v>2</v>
      </c>
    </row>
    <row r="1372" spans="1:23" x14ac:dyDescent="0.2">
      <c r="A1372">
        <v>5047768</v>
      </c>
      <c r="B1372" t="s">
        <v>25</v>
      </c>
      <c r="C1372" t="s">
        <v>19</v>
      </c>
      <c r="D1372" t="s">
        <v>20</v>
      </c>
      <c r="E1372">
        <v>0</v>
      </c>
      <c r="F1372">
        <v>157500</v>
      </c>
      <c r="G1372" t="s">
        <v>21</v>
      </c>
      <c r="H1372" t="s">
        <v>27</v>
      </c>
      <c r="I1372" t="s">
        <v>28</v>
      </c>
      <c r="J1372" t="s">
        <v>24</v>
      </c>
      <c r="K1372" s="6">
        <f t="shared" ca="1" si="92"/>
        <v>22101</v>
      </c>
      <c r="L1372">
        <v>-23660</v>
      </c>
      <c r="M1372" s="7">
        <f t="shared" ca="1" si="90"/>
        <v>64.777549623545511</v>
      </c>
      <c r="N1372" s="5" t="str">
        <f ca="1">VLOOKUP(Data!M1372,temp!$B$3:$C$9,2,1)</f>
        <v>60-70</v>
      </c>
      <c r="O1372">
        <v>365243</v>
      </c>
      <c r="P1372" s="8">
        <f t="shared" si="91"/>
        <v>0</v>
      </c>
      <c r="Q1372" s="5" t="str">
        <f t="shared" si="93"/>
        <v>Unemployed</v>
      </c>
      <c r="R1372">
        <v>1</v>
      </c>
      <c r="S1372">
        <v>0</v>
      </c>
      <c r="T1372">
        <v>0</v>
      </c>
      <c r="U1372">
        <v>0</v>
      </c>
      <c r="W1372">
        <v>2</v>
      </c>
    </row>
    <row r="1373" spans="1:23" x14ac:dyDescent="0.2">
      <c r="A1373">
        <v>5047790</v>
      </c>
      <c r="B1373" t="s">
        <v>18</v>
      </c>
      <c r="C1373" t="s">
        <v>20</v>
      </c>
      <c r="D1373" t="s">
        <v>20</v>
      </c>
      <c r="E1373">
        <v>0</v>
      </c>
      <c r="F1373">
        <v>225000</v>
      </c>
      <c r="G1373" t="s">
        <v>26</v>
      </c>
      <c r="H1373" t="s">
        <v>22</v>
      </c>
      <c r="I1373" t="s">
        <v>28</v>
      </c>
      <c r="J1373" t="s">
        <v>24</v>
      </c>
      <c r="K1373" s="6">
        <f t="shared" ca="1" si="92"/>
        <v>35304</v>
      </c>
      <c r="L1373">
        <v>-10457</v>
      </c>
      <c r="M1373" s="7">
        <f t="shared" ca="1" si="90"/>
        <v>28.629705681040384</v>
      </c>
      <c r="N1373" s="5" t="str">
        <f ca="1">VLOOKUP(Data!M1373,temp!$B$3:$C$9,2,1)</f>
        <v>20-30</v>
      </c>
      <c r="O1373">
        <v>-979</v>
      </c>
      <c r="P1373" s="8">
        <f t="shared" si="91"/>
        <v>2.6803559206023273</v>
      </c>
      <c r="Q1373" s="5" t="str">
        <f t="shared" si="93"/>
        <v>Employed</v>
      </c>
      <c r="R1373">
        <v>1</v>
      </c>
      <c r="S1373">
        <v>0</v>
      </c>
      <c r="T1373">
        <v>0</v>
      </c>
      <c r="U1373">
        <v>0</v>
      </c>
      <c r="W1373">
        <v>2</v>
      </c>
    </row>
    <row r="1374" spans="1:23" x14ac:dyDescent="0.2">
      <c r="A1374">
        <v>5047794</v>
      </c>
      <c r="B1374" t="s">
        <v>18</v>
      </c>
      <c r="C1374" t="s">
        <v>20</v>
      </c>
      <c r="D1374" t="s">
        <v>20</v>
      </c>
      <c r="E1374">
        <v>0</v>
      </c>
      <c r="F1374">
        <v>225000</v>
      </c>
      <c r="G1374" t="s">
        <v>26</v>
      </c>
      <c r="H1374" t="s">
        <v>22</v>
      </c>
      <c r="I1374" t="s">
        <v>28</v>
      </c>
      <c r="J1374" t="s">
        <v>24</v>
      </c>
      <c r="K1374" s="6">
        <f t="shared" ca="1" si="92"/>
        <v>35304</v>
      </c>
      <c r="L1374">
        <v>-10457</v>
      </c>
      <c r="M1374" s="7">
        <f t="shared" ca="1" si="90"/>
        <v>28.629705681040384</v>
      </c>
      <c r="N1374" s="5" t="str">
        <f ca="1">VLOOKUP(Data!M1374,temp!$B$3:$C$9,2,1)</f>
        <v>20-30</v>
      </c>
      <c r="O1374">
        <v>-979</v>
      </c>
      <c r="P1374" s="8">
        <f t="shared" si="91"/>
        <v>2.6803559206023273</v>
      </c>
      <c r="Q1374" s="5" t="str">
        <f t="shared" si="93"/>
        <v>Employed</v>
      </c>
      <c r="R1374">
        <v>1</v>
      </c>
      <c r="S1374">
        <v>0</v>
      </c>
      <c r="T1374">
        <v>0</v>
      </c>
      <c r="U1374">
        <v>0</v>
      </c>
      <c r="W1374">
        <v>2</v>
      </c>
    </row>
    <row r="1375" spans="1:23" x14ac:dyDescent="0.2">
      <c r="A1375">
        <v>5047796</v>
      </c>
      <c r="B1375" t="s">
        <v>18</v>
      </c>
      <c r="C1375" t="s">
        <v>19</v>
      </c>
      <c r="D1375" t="s">
        <v>20</v>
      </c>
      <c r="E1375">
        <v>1</v>
      </c>
      <c r="F1375">
        <v>112500</v>
      </c>
      <c r="G1375" t="s">
        <v>59</v>
      </c>
      <c r="H1375" t="s">
        <v>27</v>
      </c>
      <c r="I1375" t="s">
        <v>37</v>
      </c>
      <c r="J1375" t="s">
        <v>24</v>
      </c>
      <c r="K1375" s="6">
        <f t="shared" ca="1" si="92"/>
        <v>33634</v>
      </c>
      <c r="L1375">
        <v>-12127</v>
      </c>
      <c r="M1375" s="7">
        <f t="shared" ca="1" si="90"/>
        <v>33.201916495550989</v>
      </c>
      <c r="N1375" s="5" t="str">
        <f ca="1">VLOOKUP(Data!M1375,temp!$B$3:$C$9,2,1)</f>
        <v>30-40</v>
      </c>
      <c r="O1375">
        <v>-795</v>
      </c>
      <c r="P1375" s="8">
        <f t="shared" si="91"/>
        <v>2.1765913757700206</v>
      </c>
      <c r="Q1375" s="5" t="str">
        <f t="shared" si="93"/>
        <v>Employed</v>
      </c>
      <c r="R1375">
        <v>1</v>
      </c>
      <c r="S1375">
        <v>0</v>
      </c>
      <c r="T1375">
        <v>0</v>
      </c>
      <c r="U1375">
        <v>0</v>
      </c>
      <c r="V1375" t="s">
        <v>29</v>
      </c>
      <c r="W1375">
        <v>3</v>
      </c>
    </row>
    <row r="1376" spans="1:23" x14ac:dyDescent="0.2">
      <c r="A1376">
        <v>5047801</v>
      </c>
      <c r="B1376" t="s">
        <v>18</v>
      </c>
      <c r="C1376" t="s">
        <v>19</v>
      </c>
      <c r="D1376" t="s">
        <v>20</v>
      </c>
      <c r="E1376">
        <v>1</v>
      </c>
      <c r="F1376">
        <v>90000</v>
      </c>
      <c r="G1376" t="s">
        <v>31</v>
      </c>
      <c r="H1376" t="s">
        <v>27</v>
      </c>
      <c r="I1376" t="s">
        <v>28</v>
      </c>
      <c r="J1376" t="s">
        <v>24</v>
      </c>
      <c r="K1376" s="6">
        <f t="shared" ca="1" si="92"/>
        <v>31737</v>
      </c>
      <c r="L1376">
        <v>-14024</v>
      </c>
      <c r="M1376" s="7">
        <f t="shared" ca="1" si="90"/>
        <v>38.395619438740589</v>
      </c>
      <c r="N1376" s="5" t="str">
        <f ca="1">VLOOKUP(Data!M1376,temp!$B$3:$C$9,2,1)</f>
        <v>30-40</v>
      </c>
      <c r="O1376">
        <v>-369</v>
      </c>
      <c r="P1376" s="8">
        <f t="shared" si="91"/>
        <v>1.0102669404517455</v>
      </c>
      <c r="Q1376" s="5" t="str">
        <f t="shared" si="93"/>
        <v>Employed</v>
      </c>
      <c r="R1376">
        <v>1</v>
      </c>
      <c r="S1376">
        <v>0</v>
      </c>
      <c r="T1376">
        <v>1</v>
      </c>
      <c r="U1376">
        <v>0</v>
      </c>
      <c r="W1376">
        <v>3</v>
      </c>
    </row>
    <row r="1377" spans="1:23" x14ac:dyDescent="0.2">
      <c r="A1377">
        <v>5047825</v>
      </c>
      <c r="B1377" t="s">
        <v>18</v>
      </c>
      <c r="C1377" t="s">
        <v>20</v>
      </c>
      <c r="D1377" t="s">
        <v>19</v>
      </c>
      <c r="E1377">
        <v>0</v>
      </c>
      <c r="F1377">
        <v>135000</v>
      </c>
      <c r="G1377" t="s">
        <v>26</v>
      </c>
      <c r="H1377" t="s">
        <v>27</v>
      </c>
      <c r="I1377" t="s">
        <v>28</v>
      </c>
      <c r="J1377" t="s">
        <v>24</v>
      </c>
      <c r="K1377" s="6">
        <f t="shared" ca="1" si="92"/>
        <v>35316</v>
      </c>
      <c r="L1377">
        <v>-10445</v>
      </c>
      <c r="M1377" s="7">
        <f t="shared" ca="1" si="90"/>
        <v>28.5968514715948</v>
      </c>
      <c r="N1377" s="5" t="str">
        <f ca="1">VLOOKUP(Data!M1377,temp!$B$3:$C$9,2,1)</f>
        <v>20-30</v>
      </c>
      <c r="O1377">
        <v>-249</v>
      </c>
      <c r="P1377" s="8">
        <f t="shared" si="91"/>
        <v>0.68172484599589322</v>
      </c>
      <c r="Q1377" s="5" t="str">
        <f t="shared" si="93"/>
        <v>Employed</v>
      </c>
      <c r="R1377">
        <v>1</v>
      </c>
      <c r="S1377">
        <v>0</v>
      </c>
      <c r="T1377">
        <v>0</v>
      </c>
      <c r="U1377">
        <v>0</v>
      </c>
      <c r="V1377" t="s">
        <v>29</v>
      </c>
      <c r="W1377">
        <v>2</v>
      </c>
    </row>
    <row r="1378" spans="1:23" x14ac:dyDescent="0.2">
      <c r="A1378">
        <v>5047828</v>
      </c>
      <c r="B1378" t="s">
        <v>18</v>
      </c>
      <c r="C1378" t="s">
        <v>20</v>
      </c>
      <c r="D1378" t="s">
        <v>19</v>
      </c>
      <c r="E1378">
        <v>0</v>
      </c>
      <c r="F1378">
        <v>135000</v>
      </c>
      <c r="G1378" t="s">
        <v>26</v>
      </c>
      <c r="H1378" t="s">
        <v>27</v>
      </c>
      <c r="I1378" t="s">
        <v>28</v>
      </c>
      <c r="J1378" t="s">
        <v>24</v>
      </c>
      <c r="K1378" s="6">
        <f t="shared" ca="1" si="92"/>
        <v>35316</v>
      </c>
      <c r="L1378">
        <v>-10445</v>
      </c>
      <c r="M1378" s="7">
        <f t="shared" ca="1" si="90"/>
        <v>28.5968514715948</v>
      </c>
      <c r="N1378" s="5" t="str">
        <f ca="1">VLOOKUP(Data!M1378,temp!$B$3:$C$9,2,1)</f>
        <v>20-30</v>
      </c>
      <c r="O1378">
        <v>-249</v>
      </c>
      <c r="P1378" s="8">
        <f t="shared" si="91"/>
        <v>0.68172484599589322</v>
      </c>
      <c r="Q1378" s="5" t="str">
        <f t="shared" si="93"/>
        <v>Employed</v>
      </c>
      <c r="R1378">
        <v>1</v>
      </c>
      <c r="S1378">
        <v>0</v>
      </c>
      <c r="T1378">
        <v>0</v>
      </c>
      <c r="U1378">
        <v>0</v>
      </c>
      <c r="V1378" t="s">
        <v>29</v>
      </c>
      <c r="W1378">
        <v>2</v>
      </c>
    </row>
    <row r="1379" spans="1:23" x14ac:dyDescent="0.2">
      <c r="A1379">
        <v>5047830</v>
      </c>
      <c r="B1379" t="s">
        <v>18</v>
      </c>
      <c r="C1379" t="s">
        <v>20</v>
      </c>
      <c r="D1379" t="s">
        <v>19</v>
      </c>
      <c r="E1379">
        <v>0</v>
      </c>
      <c r="F1379">
        <v>135000</v>
      </c>
      <c r="G1379" t="s">
        <v>26</v>
      </c>
      <c r="H1379" t="s">
        <v>27</v>
      </c>
      <c r="I1379" t="s">
        <v>28</v>
      </c>
      <c r="J1379" t="s">
        <v>24</v>
      </c>
      <c r="K1379" s="6">
        <f t="shared" ca="1" si="92"/>
        <v>35316</v>
      </c>
      <c r="L1379">
        <v>-10445</v>
      </c>
      <c r="M1379" s="7">
        <f t="shared" ca="1" si="90"/>
        <v>28.5968514715948</v>
      </c>
      <c r="N1379" s="5" t="str">
        <f ca="1">VLOOKUP(Data!M1379,temp!$B$3:$C$9,2,1)</f>
        <v>20-30</v>
      </c>
      <c r="O1379">
        <v>-249</v>
      </c>
      <c r="P1379" s="8">
        <f t="shared" si="91"/>
        <v>0.68172484599589322</v>
      </c>
      <c r="Q1379" s="5" t="str">
        <f t="shared" si="93"/>
        <v>Employed</v>
      </c>
      <c r="R1379">
        <v>1</v>
      </c>
      <c r="S1379">
        <v>0</v>
      </c>
      <c r="T1379">
        <v>0</v>
      </c>
      <c r="U1379">
        <v>0</v>
      </c>
      <c r="V1379" t="s">
        <v>29</v>
      </c>
      <c r="W1379">
        <v>2</v>
      </c>
    </row>
    <row r="1380" spans="1:23" x14ac:dyDescent="0.2">
      <c r="A1380">
        <v>5047847</v>
      </c>
      <c r="B1380" t="s">
        <v>25</v>
      </c>
      <c r="C1380" t="s">
        <v>20</v>
      </c>
      <c r="D1380" t="s">
        <v>20</v>
      </c>
      <c r="E1380">
        <v>0</v>
      </c>
      <c r="F1380">
        <v>315000</v>
      </c>
      <c r="G1380" t="s">
        <v>26</v>
      </c>
      <c r="H1380" t="s">
        <v>27</v>
      </c>
      <c r="I1380" t="s">
        <v>28</v>
      </c>
      <c r="J1380" t="s">
        <v>24</v>
      </c>
      <c r="K1380" s="6">
        <f t="shared" ca="1" si="92"/>
        <v>23890</v>
      </c>
      <c r="L1380">
        <v>-21871</v>
      </c>
      <c r="M1380" s="7">
        <f t="shared" ca="1" si="90"/>
        <v>59.879534565366185</v>
      </c>
      <c r="N1380" s="5" t="str">
        <f ca="1">VLOOKUP(Data!M1380,temp!$B$3:$C$9,2,1)</f>
        <v>50-60</v>
      </c>
      <c r="O1380">
        <v>-979</v>
      </c>
      <c r="P1380" s="8">
        <f t="shared" si="91"/>
        <v>2.6803559206023273</v>
      </c>
      <c r="Q1380" s="5" t="str">
        <f t="shared" si="93"/>
        <v>Employed</v>
      </c>
      <c r="R1380">
        <v>1</v>
      </c>
      <c r="S1380">
        <v>0</v>
      </c>
      <c r="T1380">
        <v>0</v>
      </c>
      <c r="U1380">
        <v>0</v>
      </c>
      <c r="V1380" t="s">
        <v>30</v>
      </c>
      <c r="W1380">
        <v>2</v>
      </c>
    </row>
    <row r="1381" spans="1:23" x14ac:dyDescent="0.2">
      <c r="A1381">
        <v>5047880</v>
      </c>
      <c r="B1381" t="s">
        <v>18</v>
      </c>
      <c r="C1381" t="s">
        <v>19</v>
      </c>
      <c r="D1381" t="s">
        <v>20</v>
      </c>
      <c r="E1381">
        <v>2</v>
      </c>
      <c r="F1381">
        <v>405000</v>
      </c>
      <c r="G1381" t="s">
        <v>35</v>
      </c>
      <c r="H1381" t="s">
        <v>27</v>
      </c>
      <c r="I1381" t="s">
        <v>28</v>
      </c>
      <c r="J1381" t="s">
        <v>24</v>
      </c>
      <c r="K1381" s="6">
        <f t="shared" ca="1" si="92"/>
        <v>27302</v>
      </c>
      <c r="L1381">
        <v>-18459</v>
      </c>
      <c r="M1381" s="7">
        <f t="shared" ca="1" si="90"/>
        <v>50.53798767967146</v>
      </c>
      <c r="N1381" s="5" t="str">
        <f ca="1">VLOOKUP(Data!M1381,temp!$B$3:$C$9,2,1)</f>
        <v>50-60</v>
      </c>
      <c r="O1381">
        <v>-4145</v>
      </c>
      <c r="P1381" s="8">
        <f t="shared" si="91"/>
        <v>11.348391512662561</v>
      </c>
      <c r="Q1381" s="5" t="str">
        <f t="shared" si="93"/>
        <v>Employed</v>
      </c>
      <c r="R1381">
        <v>1</v>
      </c>
      <c r="S1381">
        <v>0</v>
      </c>
      <c r="T1381">
        <v>1</v>
      </c>
      <c r="U1381">
        <v>0</v>
      </c>
      <c r="V1381" t="s">
        <v>50</v>
      </c>
      <c r="W1381">
        <v>4</v>
      </c>
    </row>
    <row r="1382" spans="1:23" x14ac:dyDescent="0.2">
      <c r="A1382">
        <v>5047881</v>
      </c>
      <c r="B1382" t="s">
        <v>18</v>
      </c>
      <c r="C1382" t="s">
        <v>19</v>
      </c>
      <c r="D1382" t="s">
        <v>20</v>
      </c>
      <c r="E1382">
        <v>2</v>
      </c>
      <c r="F1382">
        <v>405000</v>
      </c>
      <c r="G1382" t="s">
        <v>35</v>
      </c>
      <c r="H1382" t="s">
        <v>27</v>
      </c>
      <c r="I1382" t="s">
        <v>28</v>
      </c>
      <c r="J1382" t="s">
        <v>24</v>
      </c>
      <c r="K1382" s="6">
        <f t="shared" ca="1" si="92"/>
        <v>27302</v>
      </c>
      <c r="L1382">
        <v>-18459</v>
      </c>
      <c r="M1382" s="7">
        <f t="shared" ca="1" si="90"/>
        <v>50.53798767967146</v>
      </c>
      <c r="N1382" s="5" t="str">
        <f ca="1">VLOOKUP(Data!M1382,temp!$B$3:$C$9,2,1)</f>
        <v>50-60</v>
      </c>
      <c r="O1382">
        <v>-4145</v>
      </c>
      <c r="P1382" s="8">
        <f t="shared" si="91"/>
        <v>11.348391512662561</v>
      </c>
      <c r="Q1382" s="5" t="str">
        <f t="shared" si="93"/>
        <v>Employed</v>
      </c>
      <c r="R1382">
        <v>1</v>
      </c>
      <c r="S1382">
        <v>0</v>
      </c>
      <c r="T1382">
        <v>1</v>
      </c>
      <c r="U1382">
        <v>0</v>
      </c>
      <c r="V1382" t="s">
        <v>50</v>
      </c>
      <c r="W1382">
        <v>4</v>
      </c>
    </row>
    <row r="1383" spans="1:23" x14ac:dyDescent="0.2">
      <c r="A1383">
        <v>5047899</v>
      </c>
      <c r="B1383" t="s">
        <v>18</v>
      </c>
      <c r="C1383" t="s">
        <v>19</v>
      </c>
      <c r="D1383" t="s">
        <v>20</v>
      </c>
      <c r="E1383">
        <v>0</v>
      </c>
      <c r="F1383">
        <v>202500</v>
      </c>
      <c r="G1383" t="s">
        <v>31</v>
      </c>
      <c r="H1383" t="s">
        <v>27</v>
      </c>
      <c r="I1383" t="s">
        <v>28</v>
      </c>
      <c r="J1383" t="s">
        <v>24</v>
      </c>
      <c r="K1383" s="6">
        <f t="shared" ca="1" si="92"/>
        <v>27380</v>
      </c>
      <c r="L1383">
        <v>-18381</v>
      </c>
      <c r="M1383" s="7">
        <f t="shared" ca="1" si="90"/>
        <v>50.324435318275157</v>
      </c>
      <c r="N1383" s="5" t="str">
        <f ca="1">VLOOKUP(Data!M1383,temp!$B$3:$C$9,2,1)</f>
        <v>50-60</v>
      </c>
      <c r="O1383">
        <v>-734</v>
      </c>
      <c r="P1383" s="8">
        <f t="shared" si="91"/>
        <v>2.0095824777549622</v>
      </c>
      <c r="Q1383" s="5" t="str">
        <f t="shared" si="93"/>
        <v>Employed</v>
      </c>
      <c r="R1383">
        <v>1</v>
      </c>
      <c r="S1383">
        <v>0</v>
      </c>
      <c r="T1383">
        <v>1</v>
      </c>
      <c r="U1383">
        <v>0</v>
      </c>
      <c r="V1383" t="s">
        <v>50</v>
      </c>
      <c r="W1383">
        <v>2</v>
      </c>
    </row>
    <row r="1384" spans="1:23" x14ac:dyDescent="0.2">
      <c r="A1384">
        <v>5047904</v>
      </c>
      <c r="B1384" t="s">
        <v>18</v>
      </c>
      <c r="C1384" t="s">
        <v>19</v>
      </c>
      <c r="D1384" t="s">
        <v>20</v>
      </c>
      <c r="E1384">
        <v>0</v>
      </c>
      <c r="F1384">
        <v>202500</v>
      </c>
      <c r="G1384" t="s">
        <v>31</v>
      </c>
      <c r="H1384" t="s">
        <v>27</v>
      </c>
      <c r="I1384" t="s">
        <v>28</v>
      </c>
      <c r="J1384" t="s">
        <v>24</v>
      </c>
      <c r="K1384" s="6">
        <f t="shared" ca="1" si="92"/>
        <v>27380</v>
      </c>
      <c r="L1384">
        <v>-18381</v>
      </c>
      <c r="M1384" s="7">
        <f t="shared" ca="1" si="90"/>
        <v>50.324435318275157</v>
      </c>
      <c r="N1384" s="5" t="str">
        <f ca="1">VLOOKUP(Data!M1384,temp!$B$3:$C$9,2,1)</f>
        <v>50-60</v>
      </c>
      <c r="O1384">
        <v>-734</v>
      </c>
      <c r="P1384" s="8">
        <f t="shared" si="91"/>
        <v>2.0095824777549622</v>
      </c>
      <c r="Q1384" s="5" t="str">
        <f t="shared" si="93"/>
        <v>Employed</v>
      </c>
      <c r="R1384">
        <v>1</v>
      </c>
      <c r="S1384">
        <v>0</v>
      </c>
      <c r="T1384">
        <v>1</v>
      </c>
      <c r="U1384">
        <v>0</v>
      </c>
      <c r="V1384" t="s">
        <v>50</v>
      </c>
      <c r="W1384">
        <v>2</v>
      </c>
    </row>
    <row r="1385" spans="1:23" x14ac:dyDescent="0.2">
      <c r="A1385">
        <v>5047928</v>
      </c>
      <c r="B1385" t="s">
        <v>25</v>
      </c>
      <c r="C1385" t="s">
        <v>20</v>
      </c>
      <c r="D1385" t="s">
        <v>20</v>
      </c>
      <c r="E1385">
        <v>0</v>
      </c>
      <c r="F1385">
        <v>202500</v>
      </c>
      <c r="G1385" t="s">
        <v>26</v>
      </c>
      <c r="H1385" t="s">
        <v>27</v>
      </c>
      <c r="I1385" t="s">
        <v>28</v>
      </c>
      <c r="J1385" t="s">
        <v>24</v>
      </c>
      <c r="K1385" s="6">
        <f t="shared" ca="1" si="92"/>
        <v>27911</v>
      </c>
      <c r="L1385">
        <v>-17850</v>
      </c>
      <c r="M1385" s="7">
        <f t="shared" ca="1" si="90"/>
        <v>48.870636550308006</v>
      </c>
      <c r="N1385" s="5" t="str">
        <f ca="1">VLOOKUP(Data!M1385,temp!$B$3:$C$9,2,1)</f>
        <v>40-50</v>
      </c>
      <c r="O1385">
        <v>-2014</v>
      </c>
      <c r="P1385" s="8">
        <f t="shared" si="91"/>
        <v>5.5140314852840522</v>
      </c>
      <c r="Q1385" s="5" t="str">
        <f t="shared" si="93"/>
        <v>Employed</v>
      </c>
      <c r="R1385">
        <v>1</v>
      </c>
      <c r="S1385">
        <v>0</v>
      </c>
      <c r="T1385">
        <v>1</v>
      </c>
      <c r="U1385">
        <v>0</v>
      </c>
      <c r="V1385" t="s">
        <v>55</v>
      </c>
      <c r="W1385">
        <v>2</v>
      </c>
    </row>
    <row r="1386" spans="1:23" x14ac:dyDescent="0.2">
      <c r="A1386">
        <v>5047934</v>
      </c>
      <c r="B1386" t="s">
        <v>25</v>
      </c>
      <c r="C1386" t="s">
        <v>20</v>
      </c>
      <c r="D1386" t="s">
        <v>20</v>
      </c>
      <c r="E1386">
        <v>1</v>
      </c>
      <c r="F1386">
        <v>270000</v>
      </c>
      <c r="G1386" t="s">
        <v>26</v>
      </c>
      <c r="H1386" t="s">
        <v>36</v>
      </c>
      <c r="I1386" t="s">
        <v>28</v>
      </c>
      <c r="J1386" t="s">
        <v>24</v>
      </c>
      <c r="K1386" s="6">
        <f t="shared" ca="1" si="92"/>
        <v>29191</v>
      </c>
      <c r="L1386">
        <v>-16570</v>
      </c>
      <c r="M1386" s="7">
        <f t="shared" ca="1" si="90"/>
        <v>45.366187542778917</v>
      </c>
      <c r="N1386" s="5" t="str">
        <f ca="1">VLOOKUP(Data!M1386,temp!$B$3:$C$9,2,1)</f>
        <v>40-50</v>
      </c>
      <c r="O1386">
        <v>-2806</v>
      </c>
      <c r="P1386" s="8">
        <f t="shared" si="91"/>
        <v>7.6824093086926766</v>
      </c>
      <c r="Q1386" s="5" t="str">
        <f t="shared" si="93"/>
        <v>Employed</v>
      </c>
      <c r="R1386">
        <v>1</v>
      </c>
      <c r="S1386">
        <v>0</v>
      </c>
      <c r="T1386">
        <v>0</v>
      </c>
      <c r="U1386">
        <v>0</v>
      </c>
      <c r="V1386" t="s">
        <v>32</v>
      </c>
      <c r="W1386">
        <v>3</v>
      </c>
    </row>
    <row r="1387" spans="1:23" x14ac:dyDescent="0.2">
      <c r="A1387">
        <v>5047954</v>
      </c>
      <c r="B1387" t="s">
        <v>25</v>
      </c>
      <c r="C1387" t="s">
        <v>19</v>
      </c>
      <c r="D1387" t="s">
        <v>19</v>
      </c>
      <c r="E1387">
        <v>0</v>
      </c>
      <c r="F1387">
        <v>146250</v>
      </c>
      <c r="G1387" t="s">
        <v>31</v>
      </c>
      <c r="H1387" t="s">
        <v>27</v>
      </c>
      <c r="I1387" t="s">
        <v>33</v>
      </c>
      <c r="J1387" t="s">
        <v>34</v>
      </c>
      <c r="K1387" s="6">
        <f t="shared" ca="1" si="92"/>
        <v>36536</v>
      </c>
      <c r="L1387">
        <v>-9225</v>
      </c>
      <c r="M1387" s="7">
        <f t="shared" ca="1" si="90"/>
        <v>25.256673511293634</v>
      </c>
      <c r="N1387" s="5" t="str">
        <f ca="1">VLOOKUP(Data!M1387,temp!$B$3:$C$9,2,1)</f>
        <v>20-30</v>
      </c>
      <c r="O1387">
        <v>-522</v>
      </c>
      <c r="P1387" s="8">
        <f t="shared" si="91"/>
        <v>1.429158110882957</v>
      </c>
      <c r="Q1387" s="5" t="str">
        <f t="shared" si="93"/>
        <v>Employed</v>
      </c>
      <c r="R1387">
        <v>1</v>
      </c>
      <c r="S1387">
        <v>0</v>
      </c>
      <c r="T1387">
        <v>0</v>
      </c>
      <c r="U1387">
        <v>0</v>
      </c>
      <c r="V1387" t="s">
        <v>29</v>
      </c>
      <c r="W1387">
        <v>1</v>
      </c>
    </row>
    <row r="1388" spans="1:23" x14ac:dyDescent="0.2">
      <c r="A1388">
        <v>5047966</v>
      </c>
      <c r="B1388" t="s">
        <v>18</v>
      </c>
      <c r="C1388" t="s">
        <v>20</v>
      </c>
      <c r="D1388" t="s">
        <v>20</v>
      </c>
      <c r="E1388">
        <v>0</v>
      </c>
      <c r="F1388">
        <v>112500</v>
      </c>
      <c r="G1388" t="s">
        <v>31</v>
      </c>
      <c r="H1388" t="s">
        <v>27</v>
      </c>
      <c r="I1388" t="s">
        <v>28</v>
      </c>
      <c r="J1388" t="s">
        <v>24</v>
      </c>
      <c r="K1388" s="6">
        <f t="shared" ca="1" si="92"/>
        <v>33683</v>
      </c>
      <c r="L1388">
        <v>-12078</v>
      </c>
      <c r="M1388" s="7">
        <f t="shared" ca="1" si="90"/>
        <v>33.067761806981522</v>
      </c>
      <c r="N1388" s="5" t="str">
        <f ca="1">VLOOKUP(Data!M1388,temp!$B$3:$C$9,2,1)</f>
        <v>30-40</v>
      </c>
      <c r="O1388">
        <v>-673</v>
      </c>
      <c r="P1388" s="8">
        <f t="shared" si="91"/>
        <v>1.8425735797399041</v>
      </c>
      <c r="Q1388" s="5" t="str">
        <f t="shared" si="93"/>
        <v>Employed</v>
      </c>
      <c r="R1388">
        <v>1</v>
      </c>
      <c r="S1388">
        <v>1</v>
      </c>
      <c r="T1388">
        <v>1</v>
      </c>
      <c r="U1388">
        <v>0</v>
      </c>
      <c r="V1388" t="s">
        <v>29</v>
      </c>
      <c r="W1388">
        <v>2</v>
      </c>
    </row>
    <row r="1389" spans="1:23" x14ac:dyDescent="0.2">
      <c r="A1389">
        <v>5047969</v>
      </c>
      <c r="B1389" t="s">
        <v>18</v>
      </c>
      <c r="C1389" t="s">
        <v>20</v>
      </c>
      <c r="D1389" t="s">
        <v>20</v>
      </c>
      <c r="E1389">
        <v>0</v>
      </c>
      <c r="F1389">
        <v>112500</v>
      </c>
      <c r="G1389" t="s">
        <v>31</v>
      </c>
      <c r="H1389" t="s">
        <v>27</v>
      </c>
      <c r="I1389" t="s">
        <v>28</v>
      </c>
      <c r="J1389" t="s">
        <v>24</v>
      </c>
      <c r="K1389" s="6">
        <f t="shared" ca="1" si="92"/>
        <v>33683</v>
      </c>
      <c r="L1389">
        <v>-12078</v>
      </c>
      <c r="M1389" s="7">
        <f t="shared" ca="1" si="90"/>
        <v>33.067761806981522</v>
      </c>
      <c r="N1389" s="5" t="str">
        <f ca="1">VLOOKUP(Data!M1389,temp!$B$3:$C$9,2,1)</f>
        <v>30-40</v>
      </c>
      <c r="O1389">
        <v>-673</v>
      </c>
      <c r="P1389" s="8">
        <f t="shared" si="91"/>
        <v>1.8425735797399041</v>
      </c>
      <c r="Q1389" s="5" t="str">
        <f t="shared" si="93"/>
        <v>Employed</v>
      </c>
      <c r="R1389">
        <v>1</v>
      </c>
      <c r="S1389">
        <v>1</v>
      </c>
      <c r="T1389">
        <v>1</v>
      </c>
      <c r="U1389">
        <v>0</v>
      </c>
      <c r="V1389" t="s">
        <v>29</v>
      </c>
      <c r="W1389">
        <v>2</v>
      </c>
    </row>
    <row r="1390" spans="1:23" x14ac:dyDescent="0.2">
      <c r="A1390">
        <v>5047975</v>
      </c>
      <c r="B1390" t="s">
        <v>18</v>
      </c>
      <c r="C1390" t="s">
        <v>19</v>
      </c>
      <c r="D1390" t="s">
        <v>19</v>
      </c>
      <c r="E1390">
        <v>0</v>
      </c>
      <c r="F1390">
        <v>180000</v>
      </c>
      <c r="G1390" t="s">
        <v>31</v>
      </c>
      <c r="H1390" t="s">
        <v>27</v>
      </c>
      <c r="I1390" t="s">
        <v>42</v>
      </c>
      <c r="J1390" t="s">
        <v>45</v>
      </c>
      <c r="K1390" s="6">
        <f t="shared" ca="1" si="92"/>
        <v>24348</v>
      </c>
      <c r="L1390">
        <v>-21413</v>
      </c>
      <c r="M1390" s="7">
        <f t="shared" ca="1" si="90"/>
        <v>58.625598904859686</v>
      </c>
      <c r="N1390" s="5" t="str">
        <f ca="1">VLOOKUP(Data!M1390,temp!$B$3:$C$9,2,1)</f>
        <v>50-60</v>
      </c>
      <c r="O1390">
        <v>-461</v>
      </c>
      <c r="P1390" s="8">
        <f t="shared" si="91"/>
        <v>1.2621492128678986</v>
      </c>
      <c r="Q1390" s="5" t="str">
        <f t="shared" si="93"/>
        <v>Employed</v>
      </c>
      <c r="R1390">
        <v>1</v>
      </c>
      <c r="S1390">
        <v>0</v>
      </c>
      <c r="T1390">
        <v>0</v>
      </c>
      <c r="U1390">
        <v>0</v>
      </c>
      <c r="V1390" t="s">
        <v>46</v>
      </c>
      <c r="W1390">
        <v>1</v>
      </c>
    </row>
    <row r="1391" spans="1:23" x14ac:dyDescent="0.2">
      <c r="A1391">
        <v>5047986</v>
      </c>
      <c r="B1391" t="s">
        <v>18</v>
      </c>
      <c r="C1391" t="s">
        <v>19</v>
      </c>
      <c r="D1391" t="s">
        <v>20</v>
      </c>
      <c r="E1391">
        <v>0</v>
      </c>
      <c r="F1391">
        <v>180000</v>
      </c>
      <c r="G1391" t="s">
        <v>35</v>
      </c>
      <c r="H1391" t="s">
        <v>27</v>
      </c>
      <c r="I1391" t="s">
        <v>28</v>
      </c>
      <c r="J1391" t="s">
        <v>24</v>
      </c>
      <c r="K1391" s="6">
        <f t="shared" ca="1" si="92"/>
        <v>25978</v>
      </c>
      <c r="L1391">
        <v>-19783</v>
      </c>
      <c r="M1391" s="7">
        <f t="shared" ca="1" si="90"/>
        <v>54.162902121834357</v>
      </c>
      <c r="N1391" s="5" t="str">
        <f ca="1">VLOOKUP(Data!M1391,temp!$B$3:$C$9,2,1)</f>
        <v>50-60</v>
      </c>
      <c r="O1391">
        <v>-3992</v>
      </c>
      <c r="P1391" s="8">
        <f t="shared" si="91"/>
        <v>10.929500342231348</v>
      </c>
      <c r="Q1391" s="5" t="str">
        <f t="shared" si="93"/>
        <v>Employed</v>
      </c>
      <c r="R1391">
        <v>1</v>
      </c>
      <c r="S1391">
        <v>0</v>
      </c>
      <c r="T1391">
        <v>0</v>
      </c>
      <c r="U1391">
        <v>0</v>
      </c>
      <c r="V1391" t="s">
        <v>32</v>
      </c>
      <c r="W1391">
        <v>2</v>
      </c>
    </row>
    <row r="1392" spans="1:23" x14ac:dyDescent="0.2">
      <c r="A1392">
        <v>5048008</v>
      </c>
      <c r="B1392" t="s">
        <v>25</v>
      </c>
      <c r="C1392" t="s">
        <v>20</v>
      </c>
      <c r="D1392" t="s">
        <v>20</v>
      </c>
      <c r="E1392">
        <v>0</v>
      </c>
      <c r="F1392">
        <v>247500</v>
      </c>
      <c r="G1392" t="s">
        <v>31</v>
      </c>
      <c r="H1392" t="s">
        <v>27</v>
      </c>
      <c r="I1392" t="s">
        <v>28</v>
      </c>
      <c r="J1392" t="s">
        <v>24</v>
      </c>
      <c r="K1392" s="6">
        <f t="shared" ca="1" si="92"/>
        <v>31639</v>
      </c>
      <c r="L1392">
        <v>-14122</v>
      </c>
      <c r="M1392" s="7">
        <f t="shared" ca="1" si="90"/>
        <v>38.663928815879537</v>
      </c>
      <c r="N1392" s="5" t="str">
        <f ca="1">VLOOKUP(Data!M1392,temp!$B$3:$C$9,2,1)</f>
        <v>30-40</v>
      </c>
      <c r="O1392">
        <v>-3383</v>
      </c>
      <c r="P1392" s="8">
        <f t="shared" si="91"/>
        <v>9.2621492128678984</v>
      </c>
      <c r="Q1392" s="5" t="str">
        <f t="shared" si="93"/>
        <v>Employed</v>
      </c>
      <c r="R1392">
        <v>1</v>
      </c>
      <c r="S1392">
        <v>0</v>
      </c>
      <c r="T1392">
        <v>0</v>
      </c>
      <c r="U1392">
        <v>0</v>
      </c>
      <c r="V1392" t="s">
        <v>32</v>
      </c>
      <c r="W1392">
        <v>2</v>
      </c>
    </row>
    <row r="1393" spans="1:23" x14ac:dyDescent="0.2">
      <c r="A1393">
        <v>5048016</v>
      </c>
      <c r="B1393" t="s">
        <v>25</v>
      </c>
      <c r="C1393" t="s">
        <v>20</v>
      </c>
      <c r="D1393" t="s">
        <v>20</v>
      </c>
      <c r="E1393">
        <v>2</v>
      </c>
      <c r="F1393">
        <v>180000</v>
      </c>
      <c r="G1393" t="s">
        <v>31</v>
      </c>
      <c r="H1393" t="s">
        <v>27</v>
      </c>
      <c r="I1393" t="s">
        <v>37</v>
      </c>
      <c r="J1393" t="s">
        <v>24</v>
      </c>
      <c r="K1393" s="6">
        <f t="shared" ca="1" si="92"/>
        <v>32702</v>
      </c>
      <c r="L1393">
        <v>-13059</v>
      </c>
      <c r="M1393" s="7">
        <f t="shared" ca="1" si="90"/>
        <v>35.753593429158109</v>
      </c>
      <c r="N1393" s="5" t="str">
        <f ca="1">VLOOKUP(Data!M1393,temp!$B$3:$C$9,2,1)</f>
        <v>30-40</v>
      </c>
      <c r="O1393">
        <v>-4813</v>
      </c>
      <c r="P1393" s="8">
        <f t="shared" si="91"/>
        <v>13.177275838466803</v>
      </c>
      <c r="Q1393" s="5" t="str">
        <f t="shared" si="93"/>
        <v>Employed</v>
      </c>
      <c r="R1393">
        <v>1</v>
      </c>
      <c r="S1393">
        <v>0</v>
      </c>
      <c r="T1393">
        <v>0</v>
      </c>
      <c r="U1393">
        <v>0</v>
      </c>
      <c r="V1393" t="s">
        <v>29</v>
      </c>
      <c r="W1393">
        <v>4</v>
      </c>
    </row>
    <row r="1394" spans="1:23" x14ac:dyDescent="0.2">
      <c r="A1394">
        <v>5048019</v>
      </c>
      <c r="B1394" t="s">
        <v>25</v>
      </c>
      <c r="C1394" t="s">
        <v>20</v>
      </c>
      <c r="D1394" t="s">
        <v>20</v>
      </c>
      <c r="E1394">
        <v>2</v>
      </c>
      <c r="F1394">
        <v>180000</v>
      </c>
      <c r="G1394" t="s">
        <v>31</v>
      </c>
      <c r="H1394" t="s">
        <v>27</v>
      </c>
      <c r="I1394" t="s">
        <v>37</v>
      </c>
      <c r="J1394" t="s">
        <v>24</v>
      </c>
      <c r="K1394" s="6">
        <f t="shared" ca="1" si="92"/>
        <v>32702</v>
      </c>
      <c r="L1394">
        <v>-13059</v>
      </c>
      <c r="M1394" s="7">
        <f t="shared" ca="1" si="90"/>
        <v>35.753593429158109</v>
      </c>
      <c r="N1394" s="5" t="str">
        <f ca="1">VLOOKUP(Data!M1394,temp!$B$3:$C$9,2,1)</f>
        <v>30-40</v>
      </c>
      <c r="O1394">
        <v>-4813</v>
      </c>
      <c r="P1394" s="8">
        <f t="shared" si="91"/>
        <v>13.177275838466803</v>
      </c>
      <c r="Q1394" s="5" t="str">
        <f t="shared" si="93"/>
        <v>Employed</v>
      </c>
      <c r="R1394">
        <v>1</v>
      </c>
      <c r="S1394">
        <v>0</v>
      </c>
      <c r="T1394">
        <v>0</v>
      </c>
      <c r="U1394">
        <v>0</v>
      </c>
      <c r="V1394" t="s">
        <v>29</v>
      </c>
      <c r="W1394">
        <v>4</v>
      </c>
    </row>
    <row r="1395" spans="1:23" x14ac:dyDescent="0.2">
      <c r="A1395">
        <v>5048020</v>
      </c>
      <c r="B1395" t="s">
        <v>25</v>
      </c>
      <c r="C1395" t="s">
        <v>20</v>
      </c>
      <c r="D1395" t="s">
        <v>20</v>
      </c>
      <c r="E1395">
        <v>2</v>
      </c>
      <c r="F1395">
        <v>180000</v>
      </c>
      <c r="G1395" t="s">
        <v>31</v>
      </c>
      <c r="H1395" t="s">
        <v>27</v>
      </c>
      <c r="I1395" t="s">
        <v>37</v>
      </c>
      <c r="J1395" t="s">
        <v>24</v>
      </c>
      <c r="K1395" s="6">
        <f t="shared" ca="1" si="92"/>
        <v>32702</v>
      </c>
      <c r="L1395">
        <v>-13059</v>
      </c>
      <c r="M1395" s="7">
        <f t="shared" ca="1" si="90"/>
        <v>35.753593429158109</v>
      </c>
      <c r="N1395" s="5" t="str">
        <f ca="1">VLOOKUP(Data!M1395,temp!$B$3:$C$9,2,1)</f>
        <v>30-40</v>
      </c>
      <c r="O1395">
        <v>-4813</v>
      </c>
      <c r="P1395" s="8">
        <f t="shared" si="91"/>
        <v>13.177275838466803</v>
      </c>
      <c r="Q1395" s="5" t="str">
        <f t="shared" si="93"/>
        <v>Employed</v>
      </c>
      <c r="R1395">
        <v>1</v>
      </c>
      <c r="S1395">
        <v>0</v>
      </c>
      <c r="T1395">
        <v>0</v>
      </c>
      <c r="U1395">
        <v>0</v>
      </c>
      <c r="V1395" t="s">
        <v>29</v>
      </c>
      <c r="W1395">
        <v>4</v>
      </c>
    </row>
    <row r="1396" spans="1:23" x14ac:dyDescent="0.2">
      <c r="A1396">
        <v>5048022</v>
      </c>
      <c r="B1396" t="s">
        <v>25</v>
      </c>
      <c r="C1396" t="s">
        <v>20</v>
      </c>
      <c r="D1396" t="s">
        <v>20</v>
      </c>
      <c r="E1396">
        <v>2</v>
      </c>
      <c r="F1396">
        <v>180000</v>
      </c>
      <c r="G1396" t="s">
        <v>31</v>
      </c>
      <c r="H1396" t="s">
        <v>27</v>
      </c>
      <c r="I1396" t="s">
        <v>37</v>
      </c>
      <c r="J1396" t="s">
        <v>24</v>
      </c>
      <c r="K1396" s="6">
        <f t="shared" ca="1" si="92"/>
        <v>32702</v>
      </c>
      <c r="L1396">
        <v>-13059</v>
      </c>
      <c r="M1396" s="7">
        <f t="shared" ca="1" si="90"/>
        <v>35.753593429158109</v>
      </c>
      <c r="N1396" s="5" t="str">
        <f ca="1">VLOOKUP(Data!M1396,temp!$B$3:$C$9,2,1)</f>
        <v>30-40</v>
      </c>
      <c r="O1396">
        <v>-4813</v>
      </c>
      <c r="P1396" s="8">
        <f t="shared" si="91"/>
        <v>13.177275838466803</v>
      </c>
      <c r="Q1396" s="5" t="str">
        <f t="shared" si="93"/>
        <v>Employed</v>
      </c>
      <c r="R1396">
        <v>1</v>
      </c>
      <c r="S1396">
        <v>0</v>
      </c>
      <c r="T1396">
        <v>0</v>
      </c>
      <c r="U1396">
        <v>0</v>
      </c>
      <c r="V1396" t="s">
        <v>29</v>
      </c>
      <c r="W1396">
        <v>4</v>
      </c>
    </row>
    <row r="1397" spans="1:23" x14ac:dyDescent="0.2">
      <c r="A1397">
        <v>5048030</v>
      </c>
      <c r="B1397" t="s">
        <v>25</v>
      </c>
      <c r="C1397" t="s">
        <v>20</v>
      </c>
      <c r="D1397" t="s">
        <v>20</v>
      </c>
      <c r="E1397">
        <v>2</v>
      </c>
      <c r="F1397">
        <v>180000</v>
      </c>
      <c r="G1397" t="s">
        <v>31</v>
      </c>
      <c r="H1397" t="s">
        <v>27</v>
      </c>
      <c r="I1397" t="s">
        <v>37</v>
      </c>
      <c r="J1397" t="s">
        <v>24</v>
      </c>
      <c r="K1397" s="6">
        <f t="shared" ca="1" si="92"/>
        <v>32702</v>
      </c>
      <c r="L1397">
        <v>-13059</v>
      </c>
      <c r="M1397" s="7">
        <f t="shared" ca="1" si="90"/>
        <v>35.753593429158109</v>
      </c>
      <c r="N1397" s="5" t="str">
        <f ca="1">VLOOKUP(Data!M1397,temp!$B$3:$C$9,2,1)</f>
        <v>30-40</v>
      </c>
      <c r="O1397">
        <v>-4813</v>
      </c>
      <c r="P1397" s="8">
        <f t="shared" si="91"/>
        <v>13.177275838466803</v>
      </c>
      <c r="Q1397" s="5" t="str">
        <f t="shared" si="93"/>
        <v>Employed</v>
      </c>
      <c r="R1397">
        <v>1</v>
      </c>
      <c r="S1397">
        <v>0</v>
      </c>
      <c r="T1397">
        <v>0</v>
      </c>
      <c r="U1397">
        <v>0</v>
      </c>
      <c r="V1397" t="s">
        <v>29</v>
      </c>
      <c r="W1397">
        <v>4</v>
      </c>
    </row>
    <row r="1398" spans="1:23" x14ac:dyDescent="0.2">
      <c r="A1398">
        <v>5048033</v>
      </c>
      <c r="B1398" t="s">
        <v>25</v>
      </c>
      <c r="C1398" t="s">
        <v>20</v>
      </c>
      <c r="D1398" t="s">
        <v>20</v>
      </c>
      <c r="E1398">
        <v>2</v>
      </c>
      <c r="F1398">
        <v>180000</v>
      </c>
      <c r="G1398" t="s">
        <v>31</v>
      </c>
      <c r="H1398" t="s">
        <v>27</v>
      </c>
      <c r="I1398" t="s">
        <v>37</v>
      </c>
      <c r="J1398" t="s">
        <v>24</v>
      </c>
      <c r="K1398" s="6">
        <f t="shared" ca="1" si="92"/>
        <v>32702</v>
      </c>
      <c r="L1398">
        <v>-13059</v>
      </c>
      <c r="M1398" s="7">
        <f t="shared" ca="1" si="90"/>
        <v>35.753593429158109</v>
      </c>
      <c r="N1398" s="5" t="str">
        <f ca="1">VLOOKUP(Data!M1398,temp!$B$3:$C$9,2,1)</f>
        <v>30-40</v>
      </c>
      <c r="O1398">
        <v>-4813</v>
      </c>
      <c r="P1398" s="8">
        <f t="shared" si="91"/>
        <v>13.177275838466803</v>
      </c>
      <c r="Q1398" s="5" t="str">
        <f t="shared" si="93"/>
        <v>Employed</v>
      </c>
      <c r="R1398">
        <v>1</v>
      </c>
      <c r="S1398">
        <v>0</v>
      </c>
      <c r="T1398">
        <v>0</v>
      </c>
      <c r="U1398">
        <v>0</v>
      </c>
      <c r="V1398" t="s">
        <v>29</v>
      </c>
      <c r="W1398">
        <v>4</v>
      </c>
    </row>
    <row r="1399" spans="1:23" x14ac:dyDescent="0.2">
      <c r="A1399">
        <v>5048061</v>
      </c>
      <c r="B1399" t="s">
        <v>25</v>
      </c>
      <c r="C1399" t="s">
        <v>19</v>
      </c>
      <c r="D1399" t="s">
        <v>20</v>
      </c>
      <c r="E1399">
        <v>0</v>
      </c>
      <c r="F1399">
        <v>292500</v>
      </c>
      <c r="G1399" t="s">
        <v>26</v>
      </c>
      <c r="H1399" t="s">
        <v>22</v>
      </c>
      <c r="I1399" t="s">
        <v>28</v>
      </c>
      <c r="J1399" t="s">
        <v>24</v>
      </c>
      <c r="K1399" s="6">
        <f t="shared" ca="1" si="92"/>
        <v>29481</v>
      </c>
      <c r="L1399">
        <v>-16280</v>
      </c>
      <c r="M1399" s="7">
        <f t="shared" ca="1" si="90"/>
        <v>44.572210814510612</v>
      </c>
      <c r="N1399" s="5" t="str">
        <f ca="1">VLOOKUP(Data!M1399,temp!$B$3:$C$9,2,1)</f>
        <v>40-50</v>
      </c>
      <c r="O1399">
        <v>-887</v>
      </c>
      <c r="P1399" s="8">
        <f t="shared" si="91"/>
        <v>2.4284736481861739</v>
      </c>
      <c r="Q1399" s="5" t="str">
        <f t="shared" si="93"/>
        <v>Employed</v>
      </c>
      <c r="R1399">
        <v>1</v>
      </c>
      <c r="S1399">
        <v>0</v>
      </c>
      <c r="T1399">
        <v>0</v>
      </c>
      <c r="U1399">
        <v>0</v>
      </c>
      <c r="V1399" t="s">
        <v>29</v>
      </c>
      <c r="W1399">
        <v>2</v>
      </c>
    </row>
    <row r="1400" spans="1:23" x14ac:dyDescent="0.2">
      <c r="A1400">
        <v>5048067</v>
      </c>
      <c r="B1400" t="s">
        <v>18</v>
      </c>
      <c r="C1400" t="s">
        <v>19</v>
      </c>
      <c r="D1400" t="s">
        <v>20</v>
      </c>
      <c r="E1400">
        <v>0</v>
      </c>
      <c r="F1400">
        <v>193500</v>
      </c>
      <c r="G1400" t="s">
        <v>31</v>
      </c>
      <c r="H1400" t="s">
        <v>22</v>
      </c>
      <c r="I1400" t="s">
        <v>33</v>
      </c>
      <c r="J1400" t="s">
        <v>24</v>
      </c>
      <c r="K1400" s="6">
        <f t="shared" ca="1" si="92"/>
        <v>28680</v>
      </c>
      <c r="L1400">
        <v>-17081</v>
      </c>
      <c r="M1400" s="7">
        <f t="shared" ca="1" si="90"/>
        <v>46.765229295003422</v>
      </c>
      <c r="N1400" s="5" t="str">
        <f ca="1">VLOOKUP(Data!M1400,temp!$B$3:$C$9,2,1)</f>
        <v>40-50</v>
      </c>
      <c r="O1400">
        <v>-4783</v>
      </c>
      <c r="P1400" s="8">
        <f t="shared" si="91"/>
        <v>13.095140314852841</v>
      </c>
      <c r="Q1400" s="5" t="str">
        <f t="shared" si="93"/>
        <v>Employed</v>
      </c>
      <c r="R1400">
        <v>1</v>
      </c>
      <c r="S1400">
        <v>0</v>
      </c>
      <c r="T1400">
        <v>1</v>
      </c>
      <c r="U1400">
        <v>0</v>
      </c>
      <c r="V1400" t="s">
        <v>29</v>
      </c>
      <c r="W1400">
        <v>1</v>
      </c>
    </row>
    <row r="1401" spans="1:23" x14ac:dyDescent="0.2">
      <c r="A1401">
        <v>5048072</v>
      </c>
      <c r="B1401" t="s">
        <v>18</v>
      </c>
      <c r="C1401" t="s">
        <v>19</v>
      </c>
      <c r="D1401" t="s">
        <v>20</v>
      </c>
      <c r="E1401">
        <v>0</v>
      </c>
      <c r="F1401">
        <v>193500</v>
      </c>
      <c r="G1401" t="s">
        <v>31</v>
      </c>
      <c r="H1401" t="s">
        <v>22</v>
      </c>
      <c r="I1401" t="s">
        <v>33</v>
      </c>
      <c r="J1401" t="s">
        <v>24</v>
      </c>
      <c r="K1401" s="6">
        <f t="shared" ca="1" si="92"/>
        <v>28680</v>
      </c>
      <c r="L1401">
        <v>-17081</v>
      </c>
      <c r="M1401" s="7">
        <f t="shared" ca="1" si="90"/>
        <v>46.765229295003422</v>
      </c>
      <c r="N1401" s="5" t="str">
        <f ca="1">VLOOKUP(Data!M1401,temp!$B$3:$C$9,2,1)</f>
        <v>40-50</v>
      </c>
      <c r="O1401">
        <v>-4783</v>
      </c>
      <c r="P1401" s="8">
        <f t="shared" si="91"/>
        <v>13.095140314852841</v>
      </c>
      <c r="Q1401" s="5" t="str">
        <f t="shared" si="93"/>
        <v>Employed</v>
      </c>
      <c r="R1401">
        <v>1</v>
      </c>
      <c r="S1401">
        <v>0</v>
      </c>
      <c r="T1401">
        <v>1</v>
      </c>
      <c r="U1401">
        <v>0</v>
      </c>
      <c r="V1401" t="s">
        <v>29</v>
      </c>
      <c r="W1401">
        <v>1</v>
      </c>
    </row>
    <row r="1402" spans="1:23" x14ac:dyDescent="0.2">
      <c r="A1402">
        <v>5048100</v>
      </c>
      <c r="B1402" t="s">
        <v>18</v>
      </c>
      <c r="C1402" t="s">
        <v>19</v>
      </c>
      <c r="D1402" t="s">
        <v>20</v>
      </c>
      <c r="E1402">
        <v>0</v>
      </c>
      <c r="F1402">
        <v>90000</v>
      </c>
      <c r="G1402" t="s">
        <v>26</v>
      </c>
      <c r="H1402" t="s">
        <v>27</v>
      </c>
      <c r="I1402" t="s">
        <v>28</v>
      </c>
      <c r="J1402" t="s">
        <v>24</v>
      </c>
      <c r="K1402" s="6">
        <f t="shared" ca="1" si="92"/>
        <v>30801</v>
      </c>
      <c r="L1402">
        <v>-14960</v>
      </c>
      <c r="M1402" s="7">
        <f t="shared" ca="1" si="90"/>
        <v>40.958247775496233</v>
      </c>
      <c r="N1402" s="5" t="str">
        <f ca="1">VLOOKUP(Data!M1402,temp!$B$3:$C$9,2,1)</f>
        <v>40-50</v>
      </c>
      <c r="O1402">
        <v>-2865</v>
      </c>
      <c r="P1402" s="8">
        <f t="shared" si="91"/>
        <v>7.8439425051334704</v>
      </c>
      <c r="Q1402" s="5" t="str">
        <f t="shared" si="93"/>
        <v>Employed</v>
      </c>
      <c r="R1402">
        <v>1</v>
      </c>
      <c r="S1402">
        <v>0</v>
      </c>
      <c r="T1402">
        <v>0</v>
      </c>
      <c r="U1402">
        <v>0</v>
      </c>
      <c r="V1402" t="s">
        <v>29</v>
      </c>
      <c r="W1402">
        <v>2</v>
      </c>
    </row>
    <row r="1403" spans="1:23" x14ac:dyDescent="0.2">
      <c r="A1403">
        <v>5048103</v>
      </c>
      <c r="B1403" t="s">
        <v>18</v>
      </c>
      <c r="C1403" t="s">
        <v>20</v>
      </c>
      <c r="D1403" t="s">
        <v>20</v>
      </c>
      <c r="E1403">
        <v>1</v>
      </c>
      <c r="F1403">
        <v>157500</v>
      </c>
      <c r="G1403" t="s">
        <v>31</v>
      </c>
      <c r="H1403" t="s">
        <v>51</v>
      </c>
      <c r="I1403" t="s">
        <v>28</v>
      </c>
      <c r="J1403" t="s">
        <v>24</v>
      </c>
      <c r="K1403" s="6">
        <f t="shared" ca="1" si="92"/>
        <v>31361</v>
      </c>
      <c r="L1403">
        <v>-14400</v>
      </c>
      <c r="M1403" s="7">
        <f t="shared" ca="1" si="90"/>
        <v>39.42505133470226</v>
      </c>
      <c r="N1403" s="5" t="str">
        <f ca="1">VLOOKUP(Data!M1403,temp!$B$3:$C$9,2,1)</f>
        <v>30-40</v>
      </c>
      <c r="O1403">
        <v>-1435</v>
      </c>
      <c r="P1403" s="8">
        <f t="shared" si="91"/>
        <v>3.9288158795345653</v>
      </c>
      <c r="Q1403" s="5" t="str">
        <f t="shared" si="93"/>
        <v>Employed</v>
      </c>
      <c r="R1403">
        <v>1</v>
      </c>
      <c r="S1403">
        <v>0</v>
      </c>
      <c r="T1403">
        <v>0</v>
      </c>
      <c r="U1403">
        <v>0</v>
      </c>
      <c r="V1403" t="s">
        <v>39</v>
      </c>
      <c r="W1403">
        <v>3</v>
      </c>
    </row>
    <row r="1404" spans="1:23" x14ac:dyDescent="0.2">
      <c r="A1404">
        <v>5048106</v>
      </c>
      <c r="B1404" t="s">
        <v>18</v>
      </c>
      <c r="C1404" t="s">
        <v>20</v>
      </c>
      <c r="D1404" t="s">
        <v>20</v>
      </c>
      <c r="E1404">
        <v>1</v>
      </c>
      <c r="F1404">
        <v>157500</v>
      </c>
      <c r="G1404" t="s">
        <v>31</v>
      </c>
      <c r="H1404" t="s">
        <v>51</v>
      </c>
      <c r="I1404" t="s">
        <v>28</v>
      </c>
      <c r="J1404" t="s">
        <v>24</v>
      </c>
      <c r="K1404" s="6">
        <f t="shared" ca="1" si="92"/>
        <v>31361</v>
      </c>
      <c r="L1404">
        <v>-14400</v>
      </c>
      <c r="M1404" s="7">
        <f t="shared" ca="1" si="90"/>
        <v>39.42505133470226</v>
      </c>
      <c r="N1404" s="5" t="str">
        <f ca="1">VLOOKUP(Data!M1404,temp!$B$3:$C$9,2,1)</f>
        <v>30-40</v>
      </c>
      <c r="O1404">
        <v>-1435</v>
      </c>
      <c r="P1404" s="8">
        <f t="shared" si="91"/>
        <v>3.9288158795345653</v>
      </c>
      <c r="Q1404" s="5" t="str">
        <f t="shared" si="93"/>
        <v>Employed</v>
      </c>
      <c r="R1404">
        <v>1</v>
      </c>
      <c r="S1404">
        <v>0</v>
      </c>
      <c r="T1404">
        <v>0</v>
      </c>
      <c r="U1404">
        <v>0</v>
      </c>
      <c r="V1404" t="s">
        <v>39</v>
      </c>
      <c r="W1404">
        <v>3</v>
      </c>
    </row>
    <row r="1405" spans="1:23" x14ac:dyDescent="0.2">
      <c r="A1405">
        <v>5048139</v>
      </c>
      <c r="B1405" t="s">
        <v>18</v>
      </c>
      <c r="C1405" t="s">
        <v>19</v>
      </c>
      <c r="D1405" t="s">
        <v>19</v>
      </c>
      <c r="E1405">
        <v>0</v>
      </c>
      <c r="F1405">
        <v>112500</v>
      </c>
      <c r="G1405" t="s">
        <v>21</v>
      </c>
      <c r="H1405" t="s">
        <v>27</v>
      </c>
      <c r="I1405" t="s">
        <v>28</v>
      </c>
      <c r="J1405" t="s">
        <v>24</v>
      </c>
      <c r="K1405" s="6">
        <f t="shared" ca="1" si="92"/>
        <v>22173</v>
      </c>
      <c r="L1405">
        <v>-23588</v>
      </c>
      <c r="M1405" s="7">
        <f t="shared" ca="1" si="90"/>
        <v>64.580424366872009</v>
      </c>
      <c r="N1405" s="5" t="str">
        <f ca="1">VLOOKUP(Data!M1405,temp!$B$3:$C$9,2,1)</f>
        <v>60-70</v>
      </c>
      <c r="O1405">
        <v>365243</v>
      </c>
      <c r="P1405" s="8">
        <f t="shared" si="91"/>
        <v>0</v>
      </c>
      <c r="Q1405" s="5" t="str">
        <f t="shared" si="93"/>
        <v>Unemployed</v>
      </c>
      <c r="R1405">
        <v>1</v>
      </c>
      <c r="S1405">
        <v>0</v>
      </c>
      <c r="T1405">
        <v>0</v>
      </c>
      <c r="U1405">
        <v>0</v>
      </c>
      <c r="W1405">
        <v>2</v>
      </c>
    </row>
    <row r="1406" spans="1:23" x14ac:dyDescent="0.2">
      <c r="A1406">
        <v>5048153</v>
      </c>
      <c r="B1406" t="s">
        <v>18</v>
      </c>
      <c r="C1406" t="s">
        <v>20</v>
      </c>
      <c r="D1406" t="s">
        <v>19</v>
      </c>
      <c r="E1406">
        <v>2</v>
      </c>
      <c r="F1406">
        <v>135000</v>
      </c>
      <c r="G1406" t="s">
        <v>31</v>
      </c>
      <c r="H1406" t="s">
        <v>27</v>
      </c>
      <c r="I1406" t="s">
        <v>28</v>
      </c>
      <c r="J1406" t="s">
        <v>41</v>
      </c>
      <c r="K1406" s="6">
        <f t="shared" ca="1" si="92"/>
        <v>35743</v>
      </c>
      <c r="L1406">
        <v>-10018</v>
      </c>
      <c r="M1406" s="7">
        <f t="shared" ca="1" si="90"/>
        <v>27.427789185489392</v>
      </c>
      <c r="N1406" s="5" t="str">
        <f ca="1">VLOOKUP(Data!M1406,temp!$B$3:$C$9,2,1)</f>
        <v>20-30</v>
      </c>
      <c r="O1406">
        <v>-704</v>
      </c>
      <c r="P1406" s="8">
        <f t="shared" si="91"/>
        <v>1.9274469541409993</v>
      </c>
      <c r="Q1406" s="5" t="str">
        <f t="shared" si="93"/>
        <v>Employed</v>
      </c>
      <c r="R1406">
        <v>1</v>
      </c>
      <c r="S1406">
        <v>0</v>
      </c>
      <c r="T1406">
        <v>0</v>
      </c>
      <c r="U1406">
        <v>1</v>
      </c>
      <c r="V1406" t="s">
        <v>29</v>
      </c>
      <c r="W1406">
        <v>4</v>
      </c>
    </row>
    <row r="1407" spans="1:23" x14ac:dyDescent="0.2">
      <c r="A1407">
        <v>5048154</v>
      </c>
      <c r="B1407" t="s">
        <v>18</v>
      </c>
      <c r="C1407" t="s">
        <v>20</v>
      </c>
      <c r="D1407" t="s">
        <v>19</v>
      </c>
      <c r="E1407">
        <v>2</v>
      </c>
      <c r="F1407">
        <v>135000</v>
      </c>
      <c r="G1407" t="s">
        <v>31</v>
      </c>
      <c r="H1407" t="s">
        <v>27</v>
      </c>
      <c r="I1407" t="s">
        <v>28</v>
      </c>
      <c r="J1407" t="s">
        <v>41</v>
      </c>
      <c r="K1407" s="6">
        <f t="shared" ca="1" si="92"/>
        <v>35743</v>
      </c>
      <c r="L1407">
        <v>-10018</v>
      </c>
      <c r="M1407" s="7">
        <f t="shared" ca="1" si="90"/>
        <v>27.427789185489392</v>
      </c>
      <c r="N1407" s="5" t="str">
        <f ca="1">VLOOKUP(Data!M1407,temp!$B$3:$C$9,2,1)</f>
        <v>20-30</v>
      </c>
      <c r="O1407">
        <v>-704</v>
      </c>
      <c r="P1407" s="8">
        <f t="shared" si="91"/>
        <v>1.9274469541409993</v>
      </c>
      <c r="Q1407" s="5" t="str">
        <f t="shared" si="93"/>
        <v>Employed</v>
      </c>
      <c r="R1407">
        <v>1</v>
      </c>
      <c r="S1407">
        <v>0</v>
      </c>
      <c r="T1407">
        <v>0</v>
      </c>
      <c r="U1407">
        <v>1</v>
      </c>
      <c r="V1407" t="s">
        <v>29</v>
      </c>
      <c r="W1407">
        <v>4</v>
      </c>
    </row>
    <row r="1408" spans="1:23" x14ac:dyDescent="0.2">
      <c r="A1408">
        <v>5048175</v>
      </c>
      <c r="B1408" t="s">
        <v>25</v>
      </c>
      <c r="C1408" t="s">
        <v>20</v>
      </c>
      <c r="D1408" t="s">
        <v>19</v>
      </c>
      <c r="E1408">
        <v>0</v>
      </c>
      <c r="F1408">
        <v>148500</v>
      </c>
      <c r="G1408" t="s">
        <v>31</v>
      </c>
      <c r="H1408" t="s">
        <v>27</v>
      </c>
      <c r="I1408" t="s">
        <v>37</v>
      </c>
      <c r="J1408" t="s">
        <v>24</v>
      </c>
      <c r="K1408" s="6">
        <f t="shared" ca="1" si="92"/>
        <v>34775</v>
      </c>
      <c r="L1408">
        <v>-10986</v>
      </c>
      <c r="M1408" s="7">
        <f t="shared" ca="1" si="90"/>
        <v>30.078028747433265</v>
      </c>
      <c r="N1408" s="5" t="str">
        <f ca="1">VLOOKUP(Data!M1408,temp!$B$3:$C$9,2,1)</f>
        <v>30-40</v>
      </c>
      <c r="O1408">
        <v>-3595</v>
      </c>
      <c r="P1408" s="8">
        <f t="shared" si="91"/>
        <v>9.8425735797399039</v>
      </c>
      <c r="Q1408" s="5" t="str">
        <f t="shared" si="93"/>
        <v>Employed</v>
      </c>
      <c r="R1408">
        <v>1</v>
      </c>
      <c r="S1408">
        <v>1</v>
      </c>
      <c r="T1408">
        <v>1</v>
      </c>
      <c r="U1408">
        <v>0</v>
      </c>
      <c r="V1408" t="s">
        <v>29</v>
      </c>
      <c r="W1408">
        <v>2</v>
      </c>
    </row>
    <row r="1409" spans="1:23" x14ac:dyDescent="0.2">
      <c r="A1409">
        <v>5048195</v>
      </c>
      <c r="B1409" t="s">
        <v>25</v>
      </c>
      <c r="C1409" t="s">
        <v>20</v>
      </c>
      <c r="D1409" t="s">
        <v>20</v>
      </c>
      <c r="E1409">
        <v>0</v>
      </c>
      <c r="F1409">
        <v>247500</v>
      </c>
      <c r="G1409" t="s">
        <v>35</v>
      </c>
      <c r="H1409" t="s">
        <v>22</v>
      </c>
      <c r="I1409" t="s">
        <v>33</v>
      </c>
      <c r="J1409" t="s">
        <v>24</v>
      </c>
      <c r="K1409" s="6">
        <f t="shared" ca="1" si="92"/>
        <v>35749</v>
      </c>
      <c r="L1409">
        <v>-10012</v>
      </c>
      <c r="M1409" s="7">
        <f t="shared" ca="1" si="90"/>
        <v>27.411362080766597</v>
      </c>
      <c r="N1409" s="5" t="str">
        <f ca="1">VLOOKUP(Data!M1409,temp!$B$3:$C$9,2,1)</f>
        <v>20-30</v>
      </c>
      <c r="O1409">
        <v>-826</v>
      </c>
      <c r="P1409" s="8">
        <f t="shared" si="91"/>
        <v>2.2614647501711156</v>
      </c>
      <c r="Q1409" s="5" t="str">
        <f t="shared" si="93"/>
        <v>Employed</v>
      </c>
      <c r="R1409">
        <v>1</v>
      </c>
      <c r="S1409">
        <v>1</v>
      </c>
      <c r="T1409">
        <v>1</v>
      </c>
      <c r="U1409">
        <v>0</v>
      </c>
      <c r="V1409" t="s">
        <v>47</v>
      </c>
      <c r="W1409">
        <v>1</v>
      </c>
    </row>
    <row r="1410" spans="1:23" x14ac:dyDescent="0.2">
      <c r="A1410">
        <v>5048196</v>
      </c>
      <c r="B1410" t="s">
        <v>25</v>
      </c>
      <c r="C1410" t="s">
        <v>20</v>
      </c>
      <c r="D1410" t="s">
        <v>20</v>
      </c>
      <c r="E1410">
        <v>0</v>
      </c>
      <c r="F1410">
        <v>247500</v>
      </c>
      <c r="G1410" t="s">
        <v>35</v>
      </c>
      <c r="H1410" t="s">
        <v>22</v>
      </c>
      <c r="I1410" t="s">
        <v>33</v>
      </c>
      <c r="J1410" t="s">
        <v>24</v>
      </c>
      <c r="K1410" s="6">
        <f t="shared" ca="1" si="92"/>
        <v>35749</v>
      </c>
      <c r="L1410">
        <v>-10012</v>
      </c>
      <c r="M1410" s="7">
        <f t="shared" ca="1" si="90"/>
        <v>27.411362080766597</v>
      </c>
      <c r="N1410" s="5" t="str">
        <f ca="1">VLOOKUP(Data!M1410,temp!$B$3:$C$9,2,1)</f>
        <v>20-30</v>
      </c>
      <c r="O1410">
        <v>-826</v>
      </c>
      <c r="P1410" s="8">
        <f t="shared" si="91"/>
        <v>2.2614647501711156</v>
      </c>
      <c r="Q1410" s="5" t="str">
        <f t="shared" si="93"/>
        <v>Employed</v>
      </c>
      <c r="R1410">
        <v>1</v>
      </c>
      <c r="S1410">
        <v>1</v>
      </c>
      <c r="T1410">
        <v>1</v>
      </c>
      <c r="U1410">
        <v>0</v>
      </c>
      <c r="V1410" t="s">
        <v>47</v>
      </c>
      <c r="W1410">
        <v>1</v>
      </c>
    </row>
    <row r="1411" spans="1:23" x14ac:dyDescent="0.2">
      <c r="A1411">
        <v>5048199</v>
      </c>
      <c r="B1411" t="s">
        <v>18</v>
      </c>
      <c r="C1411" t="s">
        <v>20</v>
      </c>
      <c r="D1411" t="s">
        <v>20</v>
      </c>
      <c r="E1411">
        <v>0</v>
      </c>
      <c r="F1411">
        <v>225000</v>
      </c>
      <c r="G1411" t="s">
        <v>21</v>
      </c>
      <c r="H1411" t="s">
        <v>22</v>
      </c>
      <c r="I1411" t="s">
        <v>28</v>
      </c>
      <c r="J1411" t="s">
        <v>24</v>
      </c>
      <c r="K1411" s="6">
        <f t="shared" ca="1" si="92"/>
        <v>22275</v>
      </c>
      <c r="L1411">
        <v>-23486</v>
      </c>
      <c r="M1411" s="7">
        <f t="shared" ref="M1411:M1474" ca="1" si="94">(TODAY()-K1411)/365.25</f>
        <v>64.301163586584536</v>
      </c>
      <c r="N1411" s="5" t="str">
        <f ca="1">VLOOKUP(Data!M1411,temp!$B$3:$C$9,2,1)</f>
        <v>60-70</v>
      </c>
      <c r="O1411">
        <v>365243</v>
      </c>
      <c r="P1411" s="8">
        <f t="shared" ref="P1411:P1474" si="95">IF(O1411&lt;=0,ABS(O1411)/365.25,0)</f>
        <v>0</v>
      </c>
      <c r="Q1411" s="5" t="str">
        <f t="shared" si="93"/>
        <v>Unemployed</v>
      </c>
      <c r="R1411">
        <v>1</v>
      </c>
      <c r="S1411">
        <v>0</v>
      </c>
      <c r="T1411">
        <v>0</v>
      </c>
      <c r="U1411">
        <v>0</v>
      </c>
      <c r="W1411">
        <v>2</v>
      </c>
    </row>
    <row r="1412" spans="1:23" x14ac:dyDescent="0.2">
      <c r="A1412">
        <v>5048203</v>
      </c>
      <c r="B1412" t="s">
        <v>18</v>
      </c>
      <c r="C1412" t="s">
        <v>20</v>
      </c>
      <c r="D1412" t="s">
        <v>20</v>
      </c>
      <c r="E1412">
        <v>0</v>
      </c>
      <c r="F1412">
        <v>225000</v>
      </c>
      <c r="G1412" t="s">
        <v>21</v>
      </c>
      <c r="H1412" t="s">
        <v>22</v>
      </c>
      <c r="I1412" t="s">
        <v>28</v>
      </c>
      <c r="J1412" t="s">
        <v>24</v>
      </c>
      <c r="K1412" s="6">
        <f t="shared" ca="1" si="92"/>
        <v>22275</v>
      </c>
      <c r="L1412">
        <v>-23486</v>
      </c>
      <c r="M1412" s="7">
        <f t="shared" ca="1" si="94"/>
        <v>64.301163586584536</v>
      </c>
      <c r="N1412" s="5" t="str">
        <f ca="1">VLOOKUP(Data!M1412,temp!$B$3:$C$9,2,1)</f>
        <v>60-70</v>
      </c>
      <c r="O1412">
        <v>365243</v>
      </c>
      <c r="P1412" s="8">
        <f t="shared" si="95"/>
        <v>0</v>
      </c>
      <c r="Q1412" s="5" t="str">
        <f t="shared" si="93"/>
        <v>Unemployed</v>
      </c>
      <c r="R1412">
        <v>1</v>
      </c>
      <c r="S1412">
        <v>0</v>
      </c>
      <c r="T1412">
        <v>0</v>
      </c>
      <c r="U1412">
        <v>0</v>
      </c>
      <c r="W1412">
        <v>2</v>
      </c>
    </row>
    <row r="1413" spans="1:23" x14ac:dyDescent="0.2">
      <c r="A1413">
        <v>5048206</v>
      </c>
      <c r="B1413" t="s">
        <v>18</v>
      </c>
      <c r="C1413" t="s">
        <v>19</v>
      </c>
      <c r="D1413" t="s">
        <v>20</v>
      </c>
      <c r="E1413">
        <v>0</v>
      </c>
      <c r="F1413">
        <v>135000</v>
      </c>
      <c r="G1413" t="s">
        <v>21</v>
      </c>
      <c r="H1413" t="s">
        <v>27</v>
      </c>
      <c r="I1413" t="s">
        <v>23</v>
      </c>
      <c r="J1413" t="s">
        <v>24</v>
      </c>
      <c r="K1413" s="6">
        <f t="shared" ca="1" si="92"/>
        <v>24148</v>
      </c>
      <c r="L1413">
        <v>-21613</v>
      </c>
      <c r="M1413" s="7">
        <f t="shared" ca="1" si="94"/>
        <v>59.173169062286107</v>
      </c>
      <c r="N1413" s="5" t="str">
        <f ca="1">VLOOKUP(Data!M1413,temp!$B$3:$C$9,2,1)</f>
        <v>50-60</v>
      </c>
      <c r="O1413">
        <v>365243</v>
      </c>
      <c r="P1413" s="8">
        <f t="shared" si="95"/>
        <v>0</v>
      </c>
      <c r="Q1413" s="5" t="str">
        <f t="shared" si="93"/>
        <v>Unemployed</v>
      </c>
      <c r="R1413">
        <v>1</v>
      </c>
      <c r="S1413">
        <v>0</v>
      </c>
      <c r="T1413">
        <v>0</v>
      </c>
      <c r="U1413">
        <v>0</v>
      </c>
      <c r="W1413">
        <v>1</v>
      </c>
    </row>
    <row r="1414" spans="1:23" x14ac:dyDescent="0.2">
      <c r="A1414">
        <v>5048232</v>
      </c>
      <c r="B1414" t="s">
        <v>18</v>
      </c>
      <c r="C1414" t="s">
        <v>19</v>
      </c>
      <c r="D1414" t="s">
        <v>19</v>
      </c>
      <c r="E1414">
        <v>0</v>
      </c>
      <c r="F1414">
        <v>90000</v>
      </c>
      <c r="G1414" t="s">
        <v>31</v>
      </c>
      <c r="H1414" t="s">
        <v>27</v>
      </c>
      <c r="I1414" t="s">
        <v>23</v>
      </c>
      <c r="J1414" t="s">
        <v>24</v>
      </c>
      <c r="K1414" s="6">
        <f t="shared" ca="1" si="92"/>
        <v>26997</v>
      </c>
      <c r="L1414">
        <v>-18764</v>
      </c>
      <c r="M1414" s="7">
        <f t="shared" ca="1" si="94"/>
        <v>51.37303216974675</v>
      </c>
      <c r="N1414" s="5" t="str">
        <f ca="1">VLOOKUP(Data!M1414,temp!$B$3:$C$9,2,1)</f>
        <v>50-60</v>
      </c>
      <c r="O1414">
        <v>-9866</v>
      </c>
      <c r="P1414" s="8">
        <f t="shared" si="95"/>
        <v>27.01163586584531</v>
      </c>
      <c r="Q1414" s="5" t="str">
        <f t="shared" si="93"/>
        <v>Employed</v>
      </c>
      <c r="R1414">
        <v>1</v>
      </c>
      <c r="S1414">
        <v>0</v>
      </c>
      <c r="T1414">
        <v>0</v>
      </c>
      <c r="U1414">
        <v>0</v>
      </c>
      <c r="V1414" t="s">
        <v>29</v>
      </c>
      <c r="W1414">
        <v>1</v>
      </c>
    </row>
    <row r="1415" spans="1:23" x14ac:dyDescent="0.2">
      <c r="A1415">
        <v>5048237</v>
      </c>
      <c r="B1415" t="s">
        <v>18</v>
      </c>
      <c r="C1415" t="s">
        <v>20</v>
      </c>
      <c r="D1415" t="s">
        <v>20</v>
      </c>
      <c r="E1415">
        <v>0</v>
      </c>
      <c r="F1415">
        <v>144000</v>
      </c>
      <c r="G1415" t="s">
        <v>26</v>
      </c>
      <c r="H1415" t="s">
        <v>27</v>
      </c>
      <c r="I1415" t="s">
        <v>28</v>
      </c>
      <c r="J1415" t="s">
        <v>24</v>
      </c>
      <c r="K1415" s="6">
        <f t="shared" ca="1" si="92"/>
        <v>33645</v>
      </c>
      <c r="L1415">
        <v>-12116</v>
      </c>
      <c r="M1415" s="7">
        <f t="shared" ca="1" si="94"/>
        <v>33.171800136892543</v>
      </c>
      <c r="N1415" s="5" t="str">
        <f ca="1">VLOOKUP(Data!M1415,temp!$B$3:$C$9,2,1)</f>
        <v>30-40</v>
      </c>
      <c r="O1415">
        <v>-2714</v>
      </c>
      <c r="P1415" s="8">
        <f t="shared" si="95"/>
        <v>7.4305270362765228</v>
      </c>
      <c r="Q1415" s="5" t="str">
        <f t="shared" si="93"/>
        <v>Employed</v>
      </c>
      <c r="R1415">
        <v>1</v>
      </c>
      <c r="S1415">
        <v>1</v>
      </c>
      <c r="T1415">
        <v>1</v>
      </c>
      <c r="U1415">
        <v>0</v>
      </c>
      <c r="V1415" t="s">
        <v>30</v>
      </c>
      <c r="W1415">
        <v>2</v>
      </c>
    </row>
    <row r="1416" spans="1:23" x14ac:dyDescent="0.2">
      <c r="A1416">
        <v>5048244</v>
      </c>
      <c r="B1416" t="s">
        <v>25</v>
      </c>
      <c r="C1416" t="s">
        <v>20</v>
      </c>
      <c r="D1416" t="s">
        <v>20</v>
      </c>
      <c r="E1416">
        <v>0</v>
      </c>
      <c r="F1416">
        <v>112500</v>
      </c>
      <c r="G1416" t="s">
        <v>31</v>
      </c>
      <c r="H1416" t="s">
        <v>27</v>
      </c>
      <c r="I1416" t="s">
        <v>28</v>
      </c>
      <c r="J1416" t="s">
        <v>24</v>
      </c>
      <c r="K1416" s="6">
        <f t="shared" ref="K1416:K1479" ca="1" si="96">TODAY()+($L1416)</f>
        <v>32321</v>
      </c>
      <c r="L1416">
        <v>-13440</v>
      </c>
      <c r="M1416" s="7">
        <f t="shared" ca="1" si="94"/>
        <v>36.79671457905544</v>
      </c>
      <c r="N1416" s="5" t="str">
        <f ca="1">VLOOKUP(Data!M1416,temp!$B$3:$C$9,2,1)</f>
        <v>30-40</v>
      </c>
      <c r="O1416">
        <v>-6639</v>
      </c>
      <c r="P1416" s="8">
        <f t="shared" si="95"/>
        <v>18.17659137577002</v>
      </c>
      <c r="Q1416" s="5" t="str">
        <f t="shared" ref="Q1416:Q1479" si="97">IF($O1416&gt;0,"Unemployed","Employed")</f>
        <v>Employed</v>
      </c>
      <c r="R1416">
        <v>1</v>
      </c>
      <c r="S1416">
        <v>0</v>
      </c>
      <c r="T1416">
        <v>0</v>
      </c>
      <c r="U1416">
        <v>0</v>
      </c>
      <c r="V1416" t="s">
        <v>38</v>
      </c>
      <c r="W1416">
        <v>2</v>
      </c>
    </row>
    <row r="1417" spans="1:23" x14ac:dyDescent="0.2">
      <c r="A1417">
        <v>5048248</v>
      </c>
      <c r="B1417" t="s">
        <v>25</v>
      </c>
      <c r="C1417" t="s">
        <v>20</v>
      </c>
      <c r="D1417" t="s">
        <v>20</v>
      </c>
      <c r="E1417">
        <v>0</v>
      </c>
      <c r="F1417">
        <v>112500</v>
      </c>
      <c r="G1417" t="s">
        <v>31</v>
      </c>
      <c r="H1417" t="s">
        <v>27</v>
      </c>
      <c r="I1417" t="s">
        <v>28</v>
      </c>
      <c r="J1417" t="s">
        <v>24</v>
      </c>
      <c r="K1417" s="6">
        <f t="shared" ca="1" si="96"/>
        <v>32321</v>
      </c>
      <c r="L1417">
        <v>-13440</v>
      </c>
      <c r="M1417" s="7">
        <f t="shared" ca="1" si="94"/>
        <v>36.79671457905544</v>
      </c>
      <c r="N1417" s="5" t="str">
        <f ca="1">VLOOKUP(Data!M1417,temp!$B$3:$C$9,2,1)</f>
        <v>30-40</v>
      </c>
      <c r="O1417">
        <v>-6639</v>
      </c>
      <c r="P1417" s="8">
        <f t="shared" si="95"/>
        <v>18.17659137577002</v>
      </c>
      <c r="Q1417" s="5" t="str">
        <f t="shared" si="97"/>
        <v>Employed</v>
      </c>
      <c r="R1417">
        <v>1</v>
      </c>
      <c r="S1417">
        <v>0</v>
      </c>
      <c r="T1417">
        <v>0</v>
      </c>
      <c r="U1417">
        <v>0</v>
      </c>
      <c r="V1417" t="s">
        <v>38</v>
      </c>
      <c r="W1417">
        <v>2</v>
      </c>
    </row>
    <row r="1418" spans="1:23" x14ac:dyDescent="0.2">
      <c r="A1418">
        <v>5048263</v>
      </c>
      <c r="B1418" t="s">
        <v>18</v>
      </c>
      <c r="C1418" t="s">
        <v>19</v>
      </c>
      <c r="D1418" t="s">
        <v>20</v>
      </c>
      <c r="E1418">
        <v>0</v>
      </c>
      <c r="F1418">
        <v>450000</v>
      </c>
      <c r="G1418" t="s">
        <v>31</v>
      </c>
      <c r="H1418" t="s">
        <v>27</v>
      </c>
      <c r="I1418" t="s">
        <v>28</v>
      </c>
      <c r="J1418" t="s">
        <v>24</v>
      </c>
      <c r="K1418" s="6">
        <f t="shared" ca="1" si="96"/>
        <v>24281</v>
      </c>
      <c r="L1418">
        <v>-21480</v>
      </c>
      <c r="M1418" s="7">
        <f t="shared" ca="1" si="94"/>
        <v>58.809034907597535</v>
      </c>
      <c r="N1418" s="5" t="str">
        <f ca="1">VLOOKUP(Data!M1418,temp!$B$3:$C$9,2,1)</f>
        <v>50-60</v>
      </c>
      <c r="O1418">
        <v>-4660</v>
      </c>
      <c r="P1418" s="8">
        <f t="shared" si="95"/>
        <v>12.758384668035593</v>
      </c>
      <c r="Q1418" s="5" t="str">
        <f t="shared" si="97"/>
        <v>Employed</v>
      </c>
      <c r="R1418">
        <v>1</v>
      </c>
      <c r="S1418">
        <v>1</v>
      </c>
      <c r="T1418">
        <v>0</v>
      </c>
      <c r="U1418">
        <v>0</v>
      </c>
      <c r="W1418">
        <v>2</v>
      </c>
    </row>
    <row r="1419" spans="1:23" x14ac:dyDescent="0.2">
      <c r="A1419">
        <v>5048268</v>
      </c>
      <c r="B1419" t="s">
        <v>18</v>
      </c>
      <c r="C1419" t="s">
        <v>19</v>
      </c>
      <c r="D1419" t="s">
        <v>20</v>
      </c>
      <c r="E1419">
        <v>0</v>
      </c>
      <c r="F1419">
        <v>450000</v>
      </c>
      <c r="G1419" t="s">
        <v>31</v>
      </c>
      <c r="H1419" t="s">
        <v>27</v>
      </c>
      <c r="I1419" t="s">
        <v>28</v>
      </c>
      <c r="J1419" t="s">
        <v>24</v>
      </c>
      <c r="K1419" s="6">
        <f t="shared" ca="1" si="96"/>
        <v>24281</v>
      </c>
      <c r="L1419">
        <v>-21480</v>
      </c>
      <c r="M1419" s="7">
        <f t="shared" ca="1" si="94"/>
        <v>58.809034907597535</v>
      </c>
      <c r="N1419" s="5" t="str">
        <f ca="1">VLOOKUP(Data!M1419,temp!$B$3:$C$9,2,1)</f>
        <v>50-60</v>
      </c>
      <c r="O1419">
        <v>-4660</v>
      </c>
      <c r="P1419" s="8">
        <f t="shared" si="95"/>
        <v>12.758384668035593</v>
      </c>
      <c r="Q1419" s="5" t="str">
        <f t="shared" si="97"/>
        <v>Employed</v>
      </c>
      <c r="R1419">
        <v>1</v>
      </c>
      <c r="S1419">
        <v>1</v>
      </c>
      <c r="T1419">
        <v>0</v>
      </c>
      <c r="U1419">
        <v>0</v>
      </c>
      <c r="W1419">
        <v>2</v>
      </c>
    </row>
    <row r="1420" spans="1:23" x14ac:dyDescent="0.2">
      <c r="A1420">
        <v>5048272</v>
      </c>
      <c r="B1420" t="s">
        <v>18</v>
      </c>
      <c r="C1420" t="s">
        <v>20</v>
      </c>
      <c r="D1420" t="s">
        <v>19</v>
      </c>
      <c r="E1420">
        <v>1</v>
      </c>
      <c r="F1420">
        <v>112500</v>
      </c>
      <c r="G1420" t="s">
        <v>31</v>
      </c>
      <c r="H1420" t="s">
        <v>22</v>
      </c>
      <c r="I1420" t="s">
        <v>33</v>
      </c>
      <c r="J1420" t="s">
        <v>24</v>
      </c>
      <c r="K1420" s="6">
        <f t="shared" ca="1" si="96"/>
        <v>35733</v>
      </c>
      <c r="L1420">
        <v>-10028</v>
      </c>
      <c r="M1420" s="7">
        <f t="shared" ca="1" si="94"/>
        <v>27.455167693360711</v>
      </c>
      <c r="N1420" s="5" t="str">
        <f ca="1">VLOOKUP(Data!M1420,temp!$B$3:$C$9,2,1)</f>
        <v>20-30</v>
      </c>
      <c r="O1420">
        <v>-1618</v>
      </c>
      <c r="P1420" s="8">
        <f t="shared" si="95"/>
        <v>4.42984257357974</v>
      </c>
      <c r="Q1420" s="5" t="str">
        <f t="shared" si="97"/>
        <v>Employed</v>
      </c>
      <c r="R1420">
        <v>1</v>
      </c>
      <c r="S1420">
        <v>0</v>
      </c>
      <c r="T1420">
        <v>0</v>
      </c>
      <c r="U1420">
        <v>0</v>
      </c>
      <c r="V1420" t="s">
        <v>38</v>
      </c>
      <c r="W1420">
        <v>2</v>
      </c>
    </row>
    <row r="1421" spans="1:23" x14ac:dyDescent="0.2">
      <c r="A1421">
        <v>5048286</v>
      </c>
      <c r="B1421" t="s">
        <v>25</v>
      </c>
      <c r="C1421" t="s">
        <v>20</v>
      </c>
      <c r="D1421" t="s">
        <v>20</v>
      </c>
      <c r="E1421">
        <v>0</v>
      </c>
      <c r="F1421">
        <v>180000</v>
      </c>
      <c r="G1421" t="s">
        <v>31</v>
      </c>
      <c r="H1421" t="s">
        <v>22</v>
      </c>
      <c r="I1421" t="s">
        <v>28</v>
      </c>
      <c r="J1421" t="s">
        <v>24</v>
      </c>
      <c r="K1421" s="6">
        <f t="shared" ca="1" si="96"/>
        <v>24008</v>
      </c>
      <c r="L1421">
        <v>-21753</v>
      </c>
      <c r="M1421" s="7">
        <f t="shared" ca="1" si="94"/>
        <v>59.5564681724846</v>
      </c>
      <c r="N1421" s="5" t="str">
        <f ca="1">VLOOKUP(Data!M1421,temp!$B$3:$C$9,2,1)</f>
        <v>50-60</v>
      </c>
      <c r="O1421">
        <v>-4540</v>
      </c>
      <c r="P1421" s="8">
        <f t="shared" si="95"/>
        <v>12.429842573579739</v>
      </c>
      <c r="Q1421" s="5" t="str">
        <f t="shared" si="97"/>
        <v>Employed</v>
      </c>
      <c r="R1421">
        <v>1</v>
      </c>
      <c r="S1421">
        <v>0</v>
      </c>
      <c r="T1421">
        <v>0</v>
      </c>
      <c r="U1421">
        <v>0</v>
      </c>
      <c r="W1421">
        <v>2</v>
      </c>
    </row>
    <row r="1422" spans="1:23" x14ac:dyDescent="0.2">
      <c r="A1422">
        <v>5048289</v>
      </c>
      <c r="B1422" t="s">
        <v>25</v>
      </c>
      <c r="C1422" t="s">
        <v>20</v>
      </c>
      <c r="D1422" t="s">
        <v>20</v>
      </c>
      <c r="E1422">
        <v>0</v>
      </c>
      <c r="F1422">
        <v>180000</v>
      </c>
      <c r="G1422" t="s">
        <v>31</v>
      </c>
      <c r="H1422" t="s">
        <v>22</v>
      </c>
      <c r="I1422" t="s">
        <v>28</v>
      </c>
      <c r="J1422" t="s">
        <v>24</v>
      </c>
      <c r="K1422" s="6">
        <f t="shared" ca="1" si="96"/>
        <v>24008</v>
      </c>
      <c r="L1422">
        <v>-21753</v>
      </c>
      <c r="M1422" s="7">
        <f t="shared" ca="1" si="94"/>
        <v>59.5564681724846</v>
      </c>
      <c r="N1422" s="5" t="str">
        <f ca="1">VLOOKUP(Data!M1422,temp!$B$3:$C$9,2,1)</f>
        <v>50-60</v>
      </c>
      <c r="O1422">
        <v>-4540</v>
      </c>
      <c r="P1422" s="8">
        <f t="shared" si="95"/>
        <v>12.429842573579739</v>
      </c>
      <c r="Q1422" s="5" t="str">
        <f t="shared" si="97"/>
        <v>Employed</v>
      </c>
      <c r="R1422">
        <v>1</v>
      </c>
      <c r="S1422">
        <v>0</v>
      </c>
      <c r="T1422">
        <v>0</v>
      </c>
      <c r="U1422">
        <v>0</v>
      </c>
      <c r="W1422">
        <v>2</v>
      </c>
    </row>
    <row r="1423" spans="1:23" x14ac:dyDescent="0.2">
      <c r="A1423">
        <v>5048292</v>
      </c>
      <c r="B1423" t="s">
        <v>25</v>
      </c>
      <c r="C1423" t="s">
        <v>20</v>
      </c>
      <c r="D1423" t="s">
        <v>20</v>
      </c>
      <c r="E1423">
        <v>0</v>
      </c>
      <c r="F1423">
        <v>180000</v>
      </c>
      <c r="G1423" t="s">
        <v>31</v>
      </c>
      <c r="H1423" t="s">
        <v>22</v>
      </c>
      <c r="I1423" t="s">
        <v>28</v>
      </c>
      <c r="J1423" t="s">
        <v>24</v>
      </c>
      <c r="K1423" s="6">
        <f t="shared" ca="1" si="96"/>
        <v>24008</v>
      </c>
      <c r="L1423">
        <v>-21753</v>
      </c>
      <c r="M1423" s="7">
        <f t="shared" ca="1" si="94"/>
        <v>59.5564681724846</v>
      </c>
      <c r="N1423" s="5" t="str">
        <f ca="1">VLOOKUP(Data!M1423,temp!$B$3:$C$9,2,1)</f>
        <v>50-60</v>
      </c>
      <c r="O1423">
        <v>-4540</v>
      </c>
      <c r="P1423" s="8">
        <f t="shared" si="95"/>
        <v>12.429842573579739</v>
      </c>
      <c r="Q1423" s="5" t="str">
        <f t="shared" si="97"/>
        <v>Employed</v>
      </c>
      <c r="R1423">
        <v>1</v>
      </c>
      <c r="S1423">
        <v>0</v>
      </c>
      <c r="T1423">
        <v>0</v>
      </c>
      <c r="U1423">
        <v>0</v>
      </c>
      <c r="W1423">
        <v>2</v>
      </c>
    </row>
    <row r="1424" spans="1:23" x14ac:dyDescent="0.2">
      <c r="A1424">
        <v>5048294</v>
      </c>
      <c r="B1424" t="s">
        <v>25</v>
      </c>
      <c r="C1424" t="s">
        <v>20</v>
      </c>
      <c r="D1424" t="s">
        <v>20</v>
      </c>
      <c r="E1424">
        <v>0</v>
      </c>
      <c r="F1424">
        <v>180000</v>
      </c>
      <c r="G1424" t="s">
        <v>31</v>
      </c>
      <c r="H1424" t="s">
        <v>22</v>
      </c>
      <c r="I1424" t="s">
        <v>28</v>
      </c>
      <c r="J1424" t="s">
        <v>24</v>
      </c>
      <c r="K1424" s="6">
        <f t="shared" ca="1" si="96"/>
        <v>24008</v>
      </c>
      <c r="L1424">
        <v>-21753</v>
      </c>
      <c r="M1424" s="7">
        <f t="shared" ca="1" si="94"/>
        <v>59.5564681724846</v>
      </c>
      <c r="N1424" s="5" t="str">
        <f ca="1">VLOOKUP(Data!M1424,temp!$B$3:$C$9,2,1)</f>
        <v>50-60</v>
      </c>
      <c r="O1424">
        <v>-4540</v>
      </c>
      <c r="P1424" s="8">
        <f t="shared" si="95"/>
        <v>12.429842573579739</v>
      </c>
      <c r="Q1424" s="5" t="str">
        <f t="shared" si="97"/>
        <v>Employed</v>
      </c>
      <c r="R1424">
        <v>1</v>
      </c>
      <c r="S1424">
        <v>0</v>
      </c>
      <c r="T1424">
        <v>0</v>
      </c>
      <c r="U1424">
        <v>0</v>
      </c>
      <c r="W1424">
        <v>2</v>
      </c>
    </row>
    <row r="1425" spans="1:23" x14ac:dyDescent="0.2">
      <c r="A1425">
        <v>5048317</v>
      </c>
      <c r="B1425" t="s">
        <v>18</v>
      </c>
      <c r="C1425" t="s">
        <v>19</v>
      </c>
      <c r="D1425" t="s">
        <v>19</v>
      </c>
      <c r="E1425">
        <v>0</v>
      </c>
      <c r="F1425">
        <v>90000</v>
      </c>
      <c r="G1425" t="s">
        <v>31</v>
      </c>
      <c r="H1425" t="s">
        <v>22</v>
      </c>
      <c r="I1425" t="s">
        <v>23</v>
      </c>
      <c r="J1425" t="s">
        <v>24</v>
      </c>
      <c r="K1425" s="6">
        <f t="shared" ca="1" si="96"/>
        <v>23874</v>
      </c>
      <c r="L1425">
        <v>-21887</v>
      </c>
      <c r="M1425" s="7">
        <f t="shared" ca="1" si="94"/>
        <v>59.923340177960299</v>
      </c>
      <c r="N1425" s="5" t="str">
        <f ca="1">VLOOKUP(Data!M1425,temp!$B$3:$C$9,2,1)</f>
        <v>50-60</v>
      </c>
      <c r="O1425">
        <v>-1526</v>
      </c>
      <c r="P1425" s="8">
        <f t="shared" si="95"/>
        <v>4.1779603011635862</v>
      </c>
      <c r="Q1425" s="5" t="str">
        <f t="shared" si="97"/>
        <v>Employed</v>
      </c>
      <c r="R1425">
        <v>1</v>
      </c>
      <c r="S1425">
        <v>0</v>
      </c>
      <c r="T1425">
        <v>0</v>
      </c>
      <c r="U1425">
        <v>0</v>
      </c>
      <c r="V1425" t="s">
        <v>38</v>
      </c>
      <c r="W1425">
        <v>1</v>
      </c>
    </row>
    <row r="1426" spans="1:23" x14ac:dyDescent="0.2">
      <c r="A1426">
        <v>5048328</v>
      </c>
      <c r="B1426" t="s">
        <v>25</v>
      </c>
      <c r="C1426" t="s">
        <v>19</v>
      </c>
      <c r="D1426" t="s">
        <v>20</v>
      </c>
      <c r="E1426">
        <v>0</v>
      </c>
      <c r="F1426">
        <v>135000</v>
      </c>
      <c r="G1426" t="s">
        <v>31</v>
      </c>
      <c r="H1426" t="s">
        <v>27</v>
      </c>
      <c r="I1426" t="s">
        <v>33</v>
      </c>
      <c r="J1426" t="s">
        <v>24</v>
      </c>
      <c r="K1426" s="6">
        <f t="shared" ca="1" si="96"/>
        <v>36231</v>
      </c>
      <c r="L1426">
        <v>-9530</v>
      </c>
      <c r="M1426" s="7">
        <f t="shared" ca="1" si="94"/>
        <v>26.091718001368925</v>
      </c>
      <c r="N1426" s="5" t="str">
        <f ca="1">VLOOKUP(Data!M1426,temp!$B$3:$C$9,2,1)</f>
        <v>20-30</v>
      </c>
      <c r="O1426">
        <v>-430</v>
      </c>
      <c r="P1426" s="8">
        <f t="shared" si="95"/>
        <v>1.1772758384668036</v>
      </c>
      <c r="Q1426" s="5" t="str">
        <f t="shared" si="97"/>
        <v>Employed</v>
      </c>
      <c r="R1426">
        <v>1</v>
      </c>
      <c r="S1426">
        <v>1</v>
      </c>
      <c r="T1426">
        <v>0</v>
      </c>
      <c r="U1426">
        <v>0</v>
      </c>
      <c r="V1426" t="s">
        <v>40</v>
      </c>
      <c r="W1426">
        <v>1</v>
      </c>
    </row>
    <row r="1427" spans="1:23" x14ac:dyDescent="0.2">
      <c r="A1427">
        <v>5048367</v>
      </c>
      <c r="B1427" t="s">
        <v>18</v>
      </c>
      <c r="C1427" t="s">
        <v>19</v>
      </c>
      <c r="D1427" t="s">
        <v>19</v>
      </c>
      <c r="E1427">
        <v>0</v>
      </c>
      <c r="F1427">
        <v>108000</v>
      </c>
      <c r="G1427" t="s">
        <v>21</v>
      </c>
      <c r="H1427" t="s">
        <v>27</v>
      </c>
      <c r="I1427" t="s">
        <v>42</v>
      </c>
      <c r="J1427" t="s">
        <v>24</v>
      </c>
      <c r="K1427" s="6">
        <f t="shared" ca="1" si="96"/>
        <v>23579</v>
      </c>
      <c r="L1427">
        <v>-22182</v>
      </c>
      <c r="M1427" s="7">
        <f t="shared" ca="1" si="94"/>
        <v>60.73100616016427</v>
      </c>
      <c r="N1427" s="5" t="str">
        <f ca="1">VLOOKUP(Data!M1427,temp!$B$3:$C$9,2,1)</f>
        <v>60-70</v>
      </c>
      <c r="O1427">
        <v>365243</v>
      </c>
      <c r="P1427" s="8">
        <f t="shared" si="95"/>
        <v>0</v>
      </c>
      <c r="Q1427" s="5" t="str">
        <f t="shared" si="97"/>
        <v>Unemployed</v>
      </c>
      <c r="R1427">
        <v>1</v>
      </c>
      <c r="S1427">
        <v>0</v>
      </c>
      <c r="T1427">
        <v>0</v>
      </c>
      <c r="U1427">
        <v>0</v>
      </c>
      <c r="W1427">
        <v>1</v>
      </c>
    </row>
    <row r="1428" spans="1:23" x14ac:dyDescent="0.2">
      <c r="A1428">
        <v>5048368</v>
      </c>
      <c r="B1428" t="s">
        <v>18</v>
      </c>
      <c r="C1428" t="s">
        <v>19</v>
      </c>
      <c r="D1428" t="s">
        <v>19</v>
      </c>
      <c r="E1428">
        <v>0</v>
      </c>
      <c r="F1428">
        <v>108000</v>
      </c>
      <c r="G1428" t="s">
        <v>21</v>
      </c>
      <c r="H1428" t="s">
        <v>27</v>
      </c>
      <c r="I1428" t="s">
        <v>42</v>
      </c>
      <c r="J1428" t="s">
        <v>24</v>
      </c>
      <c r="K1428" s="6">
        <f t="shared" ca="1" si="96"/>
        <v>23579</v>
      </c>
      <c r="L1428">
        <v>-22182</v>
      </c>
      <c r="M1428" s="7">
        <f t="shared" ca="1" si="94"/>
        <v>60.73100616016427</v>
      </c>
      <c r="N1428" s="5" t="str">
        <f ca="1">VLOOKUP(Data!M1428,temp!$B$3:$C$9,2,1)</f>
        <v>60-70</v>
      </c>
      <c r="O1428">
        <v>365243</v>
      </c>
      <c r="P1428" s="8">
        <f t="shared" si="95"/>
        <v>0</v>
      </c>
      <c r="Q1428" s="5" t="str">
        <f t="shared" si="97"/>
        <v>Unemployed</v>
      </c>
      <c r="R1428">
        <v>1</v>
      </c>
      <c r="S1428">
        <v>0</v>
      </c>
      <c r="T1428">
        <v>0</v>
      </c>
      <c r="U1428">
        <v>0</v>
      </c>
      <c r="W1428">
        <v>1</v>
      </c>
    </row>
    <row r="1429" spans="1:23" x14ac:dyDescent="0.2">
      <c r="A1429">
        <v>5048369</v>
      </c>
      <c r="B1429" t="s">
        <v>18</v>
      </c>
      <c r="C1429" t="s">
        <v>19</v>
      </c>
      <c r="D1429" t="s">
        <v>19</v>
      </c>
      <c r="E1429">
        <v>0</v>
      </c>
      <c r="F1429">
        <v>108000</v>
      </c>
      <c r="G1429" t="s">
        <v>21</v>
      </c>
      <c r="H1429" t="s">
        <v>27</v>
      </c>
      <c r="I1429" t="s">
        <v>42</v>
      </c>
      <c r="J1429" t="s">
        <v>24</v>
      </c>
      <c r="K1429" s="6">
        <f t="shared" ca="1" si="96"/>
        <v>23579</v>
      </c>
      <c r="L1429">
        <v>-22182</v>
      </c>
      <c r="M1429" s="7">
        <f t="shared" ca="1" si="94"/>
        <v>60.73100616016427</v>
      </c>
      <c r="N1429" s="5" t="str">
        <f ca="1">VLOOKUP(Data!M1429,temp!$B$3:$C$9,2,1)</f>
        <v>60-70</v>
      </c>
      <c r="O1429">
        <v>365243</v>
      </c>
      <c r="P1429" s="8">
        <f t="shared" si="95"/>
        <v>0</v>
      </c>
      <c r="Q1429" s="5" t="str">
        <f t="shared" si="97"/>
        <v>Unemployed</v>
      </c>
      <c r="R1429">
        <v>1</v>
      </c>
      <c r="S1429">
        <v>0</v>
      </c>
      <c r="T1429">
        <v>0</v>
      </c>
      <c r="U1429">
        <v>0</v>
      </c>
      <c r="W1429">
        <v>1</v>
      </c>
    </row>
    <row r="1430" spans="1:23" x14ac:dyDescent="0.2">
      <c r="A1430">
        <v>5048387</v>
      </c>
      <c r="B1430" t="s">
        <v>18</v>
      </c>
      <c r="C1430" t="s">
        <v>20</v>
      </c>
      <c r="D1430" t="s">
        <v>20</v>
      </c>
      <c r="E1430">
        <v>0</v>
      </c>
      <c r="F1430">
        <v>202500</v>
      </c>
      <c r="G1430" t="s">
        <v>31</v>
      </c>
      <c r="H1430" t="s">
        <v>22</v>
      </c>
      <c r="I1430" t="s">
        <v>33</v>
      </c>
      <c r="J1430" t="s">
        <v>24</v>
      </c>
      <c r="K1430" s="6">
        <f t="shared" ca="1" si="96"/>
        <v>35007</v>
      </c>
      <c r="L1430">
        <v>-10754</v>
      </c>
      <c r="M1430" s="7">
        <f t="shared" ca="1" si="94"/>
        <v>29.442847364818618</v>
      </c>
      <c r="N1430" s="5" t="str">
        <f ca="1">VLOOKUP(Data!M1430,temp!$B$3:$C$9,2,1)</f>
        <v>20-30</v>
      </c>
      <c r="O1430">
        <v>-3870</v>
      </c>
      <c r="P1430" s="8">
        <f t="shared" si="95"/>
        <v>10.595482546201232</v>
      </c>
      <c r="Q1430" s="5" t="str">
        <f t="shared" si="97"/>
        <v>Employed</v>
      </c>
      <c r="R1430">
        <v>1</v>
      </c>
      <c r="S1430">
        <v>1</v>
      </c>
      <c r="T1430">
        <v>1</v>
      </c>
      <c r="U1430">
        <v>0</v>
      </c>
      <c r="V1430" t="s">
        <v>44</v>
      </c>
      <c r="W1430">
        <v>1</v>
      </c>
    </row>
    <row r="1431" spans="1:23" x14ac:dyDescent="0.2">
      <c r="A1431">
        <v>5048396</v>
      </c>
      <c r="B1431" t="s">
        <v>18</v>
      </c>
      <c r="C1431" t="s">
        <v>19</v>
      </c>
      <c r="D1431" t="s">
        <v>20</v>
      </c>
      <c r="E1431">
        <v>0</v>
      </c>
      <c r="F1431">
        <v>360000</v>
      </c>
      <c r="G1431" t="s">
        <v>26</v>
      </c>
      <c r="H1431" t="s">
        <v>22</v>
      </c>
      <c r="I1431" t="s">
        <v>23</v>
      </c>
      <c r="J1431" t="s">
        <v>24</v>
      </c>
      <c r="K1431" s="6">
        <f t="shared" ca="1" si="96"/>
        <v>27796</v>
      </c>
      <c r="L1431">
        <v>-17965</v>
      </c>
      <c r="M1431" s="7">
        <f t="shared" ca="1" si="94"/>
        <v>49.185489390828202</v>
      </c>
      <c r="N1431" s="5" t="str">
        <f ca="1">VLOOKUP(Data!M1431,temp!$B$3:$C$9,2,1)</f>
        <v>40-50</v>
      </c>
      <c r="O1431">
        <v>-2775</v>
      </c>
      <c r="P1431" s="8">
        <f t="shared" si="95"/>
        <v>7.5975359342915807</v>
      </c>
      <c r="Q1431" s="5" t="str">
        <f t="shared" si="97"/>
        <v>Employed</v>
      </c>
      <c r="R1431">
        <v>1</v>
      </c>
      <c r="S1431">
        <v>0</v>
      </c>
      <c r="T1431">
        <v>1</v>
      </c>
      <c r="U1431">
        <v>0</v>
      </c>
      <c r="V1431" t="s">
        <v>49</v>
      </c>
      <c r="W1431">
        <v>1</v>
      </c>
    </row>
    <row r="1432" spans="1:23" x14ac:dyDescent="0.2">
      <c r="A1432">
        <v>5048400</v>
      </c>
      <c r="B1432" t="s">
        <v>18</v>
      </c>
      <c r="C1432" t="s">
        <v>19</v>
      </c>
      <c r="D1432" t="s">
        <v>20</v>
      </c>
      <c r="E1432">
        <v>0</v>
      </c>
      <c r="F1432">
        <v>360000</v>
      </c>
      <c r="G1432" t="s">
        <v>26</v>
      </c>
      <c r="H1432" t="s">
        <v>22</v>
      </c>
      <c r="I1432" t="s">
        <v>23</v>
      </c>
      <c r="J1432" t="s">
        <v>24</v>
      </c>
      <c r="K1432" s="6">
        <f t="shared" ca="1" si="96"/>
        <v>27796</v>
      </c>
      <c r="L1432">
        <v>-17965</v>
      </c>
      <c r="M1432" s="7">
        <f t="shared" ca="1" si="94"/>
        <v>49.185489390828202</v>
      </c>
      <c r="N1432" s="5" t="str">
        <f ca="1">VLOOKUP(Data!M1432,temp!$B$3:$C$9,2,1)</f>
        <v>40-50</v>
      </c>
      <c r="O1432">
        <v>-2775</v>
      </c>
      <c r="P1432" s="8">
        <f t="shared" si="95"/>
        <v>7.5975359342915807</v>
      </c>
      <c r="Q1432" s="5" t="str">
        <f t="shared" si="97"/>
        <v>Employed</v>
      </c>
      <c r="R1432">
        <v>1</v>
      </c>
      <c r="S1432">
        <v>0</v>
      </c>
      <c r="T1432">
        <v>1</v>
      </c>
      <c r="U1432">
        <v>0</v>
      </c>
      <c r="V1432" t="s">
        <v>49</v>
      </c>
      <c r="W1432">
        <v>1</v>
      </c>
    </row>
    <row r="1433" spans="1:23" x14ac:dyDescent="0.2">
      <c r="A1433">
        <v>5048402</v>
      </c>
      <c r="B1433" t="s">
        <v>18</v>
      </c>
      <c r="C1433" t="s">
        <v>19</v>
      </c>
      <c r="D1433" t="s">
        <v>20</v>
      </c>
      <c r="E1433">
        <v>0</v>
      </c>
      <c r="F1433">
        <v>360000</v>
      </c>
      <c r="G1433" t="s">
        <v>26</v>
      </c>
      <c r="H1433" t="s">
        <v>22</v>
      </c>
      <c r="I1433" t="s">
        <v>23</v>
      </c>
      <c r="J1433" t="s">
        <v>24</v>
      </c>
      <c r="K1433" s="6">
        <f t="shared" ca="1" si="96"/>
        <v>27796</v>
      </c>
      <c r="L1433">
        <v>-17965</v>
      </c>
      <c r="M1433" s="7">
        <f t="shared" ca="1" si="94"/>
        <v>49.185489390828202</v>
      </c>
      <c r="N1433" s="5" t="str">
        <f ca="1">VLOOKUP(Data!M1433,temp!$B$3:$C$9,2,1)</f>
        <v>40-50</v>
      </c>
      <c r="O1433">
        <v>-2775</v>
      </c>
      <c r="P1433" s="8">
        <f t="shared" si="95"/>
        <v>7.5975359342915807</v>
      </c>
      <c r="Q1433" s="5" t="str">
        <f t="shared" si="97"/>
        <v>Employed</v>
      </c>
      <c r="R1433">
        <v>1</v>
      </c>
      <c r="S1433">
        <v>0</v>
      </c>
      <c r="T1433">
        <v>1</v>
      </c>
      <c r="U1433">
        <v>0</v>
      </c>
      <c r="V1433" t="s">
        <v>49</v>
      </c>
      <c r="W1433">
        <v>1</v>
      </c>
    </row>
    <row r="1434" spans="1:23" x14ac:dyDescent="0.2">
      <c r="A1434">
        <v>5048407</v>
      </c>
      <c r="B1434" t="s">
        <v>25</v>
      </c>
      <c r="C1434" t="s">
        <v>19</v>
      </c>
      <c r="D1434" t="s">
        <v>20</v>
      </c>
      <c r="E1434">
        <v>0</v>
      </c>
      <c r="F1434">
        <v>148500</v>
      </c>
      <c r="G1434" t="s">
        <v>26</v>
      </c>
      <c r="H1434" t="s">
        <v>27</v>
      </c>
      <c r="I1434" t="s">
        <v>28</v>
      </c>
      <c r="J1434" t="s">
        <v>24</v>
      </c>
      <c r="K1434" s="6">
        <f t="shared" ca="1" si="96"/>
        <v>28973</v>
      </c>
      <c r="L1434">
        <v>-16788</v>
      </c>
      <c r="M1434" s="7">
        <f t="shared" ca="1" si="94"/>
        <v>45.963039014373713</v>
      </c>
      <c r="N1434" s="5" t="str">
        <f ca="1">VLOOKUP(Data!M1434,temp!$B$3:$C$9,2,1)</f>
        <v>40-50</v>
      </c>
      <c r="O1434">
        <v>-1314</v>
      </c>
      <c r="P1434" s="8">
        <f t="shared" si="95"/>
        <v>3.5975359342915811</v>
      </c>
      <c r="Q1434" s="5" t="str">
        <f t="shared" si="97"/>
        <v>Employed</v>
      </c>
      <c r="R1434">
        <v>1</v>
      </c>
      <c r="S1434">
        <v>0</v>
      </c>
      <c r="T1434">
        <v>0</v>
      </c>
      <c r="U1434">
        <v>0</v>
      </c>
      <c r="W1434">
        <v>2</v>
      </c>
    </row>
    <row r="1435" spans="1:23" x14ac:dyDescent="0.2">
      <c r="A1435">
        <v>5048426</v>
      </c>
      <c r="B1435" t="s">
        <v>18</v>
      </c>
      <c r="C1435" t="s">
        <v>19</v>
      </c>
      <c r="D1435" t="s">
        <v>20</v>
      </c>
      <c r="E1435">
        <v>0</v>
      </c>
      <c r="F1435">
        <v>171000</v>
      </c>
      <c r="G1435" t="s">
        <v>31</v>
      </c>
      <c r="H1435" t="s">
        <v>27</v>
      </c>
      <c r="I1435" t="s">
        <v>33</v>
      </c>
      <c r="J1435" t="s">
        <v>24</v>
      </c>
      <c r="K1435" s="6">
        <f t="shared" ca="1" si="96"/>
        <v>25880</v>
      </c>
      <c r="L1435">
        <v>-19881</v>
      </c>
      <c r="M1435" s="7">
        <f t="shared" ca="1" si="94"/>
        <v>54.431211498973305</v>
      </c>
      <c r="N1435" s="5" t="str">
        <f ca="1">VLOOKUP(Data!M1435,temp!$B$3:$C$9,2,1)</f>
        <v>50-60</v>
      </c>
      <c r="O1435">
        <v>-8405</v>
      </c>
      <c r="P1435" s="8">
        <f t="shared" si="95"/>
        <v>23.01163586584531</v>
      </c>
      <c r="Q1435" s="5" t="str">
        <f t="shared" si="97"/>
        <v>Employed</v>
      </c>
      <c r="R1435">
        <v>1</v>
      </c>
      <c r="S1435">
        <v>0</v>
      </c>
      <c r="T1435">
        <v>1</v>
      </c>
      <c r="U1435">
        <v>0</v>
      </c>
      <c r="V1435" t="s">
        <v>44</v>
      </c>
      <c r="W1435">
        <v>1</v>
      </c>
    </row>
    <row r="1436" spans="1:23" x14ac:dyDescent="0.2">
      <c r="A1436">
        <v>5048427</v>
      </c>
      <c r="B1436" t="s">
        <v>18</v>
      </c>
      <c r="C1436" t="s">
        <v>19</v>
      </c>
      <c r="D1436" t="s">
        <v>20</v>
      </c>
      <c r="E1436">
        <v>0</v>
      </c>
      <c r="F1436">
        <v>171000</v>
      </c>
      <c r="G1436" t="s">
        <v>31</v>
      </c>
      <c r="H1436" t="s">
        <v>27</v>
      </c>
      <c r="I1436" t="s">
        <v>33</v>
      </c>
      <c r="J1436" t="s">
        <v>24</v>
      </c>
      <c r="K1436" s="6">
        <f t="shared" ca="1" si="96"/>
        <v>25880</v>
      </c>
      <c r="L1436">
        <v>-19881</v>
      </c>
      <c r="M1436" s="7">
        <f t="shared" ca="1" si="94"/>
        <v>54.431211498973305</v>
      </c>
      <c r="N1436" s="5" t="str">
        <f ca="1">VLOOKUP(Data!M1436,temp!$B$3:$C$9,2,1)</f>
        <v>50-60</v>
      </c>
      <c r="O1436">
        <v>-8405</v>
      </c>
      <c r="P1436" s="8">
        <f t="shared" si="95"/>
        <v>23.01163586584531</v>
      </c>
      <c r="Q1436" s="5" t="str">
        <f t="shared" si="97"/>
        <v>Employed</v>
      </c>
      <c r="R1436">
        <v>1</v>
      </c>
      <c r="S1436">
        <v>0</v>
      </c>
      <c r="T1436">
        <v>1</v>
      </c>
      <c r="U1436">
        <v>0</v>
      </c>
      <c r="V1436" t="s">
        <v>44</v>
      </c>
      <c r="W1436">
        <v>1</v>
      </c>
    </row>
    <row r="1437" spans="1:23" x14ac:dyDescent="0.2">
      <c r="A1437">
        <v>5048444</v>
      </c>
      <c r="B1437" t="s">
        <v>18</v>
      </c>
      <c r="C1437" t="s">
        <v>19</v>
      </c>
      <c r="D1437" t="s">
        <v>20</v>
      </c>
      <c r="E1437">
        <v>0</v>
      </c>
      <c r="F1437">
        <v>202500</v>
      </c>
      <c r="G1437" t="s">
        <v>21</v>
      </c>
      <c r="H1437" t="s">
        <v>27</v>
      </c>
      <c r="I1437" t="s">
        <v>28</v>
      </c>
      <c r="J1437" t="s">
        <v>24</v>
      </c>
      <c r="K1437" s="6">
        <f t="shared" ca="1" si="96"/>
        <v>24575</v>
      </c>
      <c r="L1437">
        <v>-21186</v>
      </c>
      <c r="M1437" s="7">
        <f t="shared" ca="1" si="94"/>
        <v>58.004106776180699</v>
      </c>
      <c r="N1437" s="5" t="str">
        <f ca="1">VLOOKUP(Data!M1437,temp!$B$3:$C$9,2,1)</f>
        <v>50-60</v>
      </c>
      <c r="O1437">
        <v>365243</v>
      </c>
      <c r="P1437" s="8">
        <f t="shared" si="95"/>
        <v>0</v>
      </c>
      <c r="Q1437" s="5" t="str">
        <f t="shared" si="97"/>
        <v>Unemployed</v>
      </c>
      <c r="R1437">
        <v>1</v>
      </c>
      <c r="S1437">
        <v>0</v>
      </c>
      <c r="T1437">
        <v>0</v>
      </c>
      <c r="U1437">
        <v>0</v>
      </c>
      <c r="W1437">
        <v>2</v>
      </c>
    </row>
    <row r="1438" spans="1:23" x14ac:dyDescent="0.2">
      <c r="A1438">
        <v>5048449</v>
      </c>
      <c r="B1438" t="s">
        <v>18</v>
      </c>
      <c r="C1438" t="s">
        <v>19</v>
      </c>
      <c r="D1438" t="s">
        <v>20</v>
      </c>
      <c r="E1438">
        <v>0</v>
      </c>
      <c r="F1438">
        <v>202500</v>
      </c>
      <c r="G1438" t="s">
        <v>21</v>
      </c>
      <c r="H1438" t="s">
        <v>27</v>
      </c>
      <c r="I1438" t="s">
        <v>28</v>
      </c>
      <c r="J1438" t="s">
        <v>24</v>
      </c>
      <c r="K1438" s="6">
        <f t="shared" ca="1" si="96"/>
        <v>24575</v>
      </c>
      <c r="L1438">
        <v>-21186</v>
      </c>
      <c r="M1438" s="7">
        <f t="shared" ca="1" si="94"/>
        <v>58.004106776180699</v>
      </c>
      <c r="N1438" s="5" t="str">
        <f ca="1">VLOOKUP(Data!M1438,temp!$B$3:$C$9,2,1)</f>
        <v>50-60</v>
      </c>
      <c r="O1438">
        <v>365243</v>
      </c>
      <c r="P1438" s="8">
        <f t="shared" si="95"/>
        <v>0</v>
      </c>
      <c r="Q1438" s="5" t="str">
        <f t="shared" si="97"/>
        <v>Unemployed</v>
      </c>
      <c r="R1438">
        <v>1</v>
      </c>
      <c r="S1438">
        <v>0</v>
      </c>
      <c r="T1438">
        <v>0</v>
      </c>
      <c r="U1438">
        <v>0</v>
      </c>
      <c r="W1438">
        <v>2</v>
      </c>
    </row>
    <row r="1439" spans="1:23" x14ac:dyDescent="0.2">
      <c r="A1439">
        <v>5048453</v>
      </c>
      <c r="B1439" t="s">
        <v>18</v>
      </c>
      <c r="C1439" t="s">
        <v>19</v>
      </c>
      <c r="D1439" t="s">
        <v>19</v>
      </c>
      <c r="E1439">
        <v>0</v>
      </c>
      <c r="F1439">
        <v>135000</v>
      </c>
      <c r="G1439" t="s">
        <v>26</v>
      </c>
      <c r="H1439" t="s">
        <v>27</v>
      </c>
      <c r="I1439" t="s">
        <v>28</v>
      </c>
      <c r="J1439" t="s">
        <v>24</v>
      </c>
      <c r="K1439" s="6">
        <f t="shared" ca="1" si="96"/>
        <v>28772</v>
      </c>
      <c r="L1439">
        <v>-16989</v>
      </c>
      <c r="M1439" s="7">
        <f t="shared" ca="1" si="94"/>
        <v>46.513347022587268</v>
      </c>
      <c r="N1439" s="5" t="str">
        <f ca="1">VLOOKUP(Data!M1439,temp!$B$3:$C$9,2,1)</f>
        <v>40-50</v>
      </c>
      <c r="O1439">
        <v>-3444</v>
      </c>
      <c r="P1439" s="8">
        <f t="shared" si="95"/>
        <v>9.4291581108829572</v>
      </c>
      <c r="Q1439" s="5" t="str">
        <f t="shared" si="97"/>
        <v>Employed</v>
      </c>
      <c r="R1439">
        <v>1</v>
      </c>
      <c r="S1439">
        <v>0</v>
      </c>
      <c r="T1439">
        <v>0</v>
      </c>
      <c r="U1439">
        <v>0</v>
      </c>
      <c r="W1439">
        <v>2</v>
      </c>
    </row>
    <row r="1440" spans="1:23" x14ac:dyDescent="0.2">
      <c r="A1440">
        <v>5048461</v>
      </c>
      <c r="B1440" t="s">
        <v>18</v>
      </c>
      <c r="C1440" t="s">
        <v>20</v>
      </c>
      <c r="D1440" t="s">
        <v>20</v>
      </c>
      <c r="E1440">
        <v>1</v>
      </c>
      <c r="F1440">
        <v>126000</v>
      </c>
      <c r="G1440" t="s">
        <v>31</v>
      </c>
      <c r="H1440" t="s">
        <v>22</v>
      </c>
      <c r="I1440" t="s">
        <v>28</v>
      </c>
      <c r="J1440" t="s">
        <v>24</v>
      </c>
      <c r="K1440" s="6">
        <f t="shared" ca="1" si="96"/>
        <v>36320</v>
      </c>
      <c r="L1440">
        <v>-9441</v>
      </c>
      <c r="M1440" s="7">
        <f t="shared" ca="1" si="94"/>
        <v>25.848049281314168</v>
      </c>
      <c r="N1440" s="5" t="str">
        <f ca="1">VLOOKUP(Data!M1440,temp!$B$3:$C$9,2,1)</f>
        <v>20-30</v>
      </c>
      <c r="O1440">
        <v>-157</v>
      </c>
      <c r="P1440" s="8">
        <f t="shared" si="95"/>
        <v>0.42984257357973993</v>
      </c>
      <c r="Q1440" s="5" t="str">
        <f t="shared" si="97"/>
        <v>Employed</v>
      </c>
      <c r="R1440">
        <v>1</v>
      </c>
      <c r="S1440">
        <v>0</v>
      </c>
      <c r="T1440">
        <v>0</v>
      </c>
      <c r="U1440">
        <v>0</v>
      </c>
      <c r="W1440">
        <v>3</v>
      </c>
    </row>
    <row r="1441" spans="1:23" x14ac:dyDescent="0.2">
      <c r="A1441">
        <v>5048471</v>
      </c>
      <c r="B1441" t="s">
        <v>25</v>
      </c>
      <c r="C1441" t="s">
        <v>19</v>
      </c>
      <c r="D1441" t="s">
        <v>19</v>
      </c>
      <c r="E1441">
        <v>0</v>
      </c>
      <c r="F1441">
        <v>144000</v>
      </c>
      <c r="G1441" t="s">
        <v>26</v>
      </c>
      <c r="H1441" t="s">
        <v>36</v>
      </c>
      <c r="I1441" t="s">
        <v>33</v>
      </c>
      <c r="J1441" t="s">
        <v>34</v>
      </c>
      <c r="K1441" s="6">
        <f t="shared" ca="1" si="96"/>
        <v>35424</v>
      </c>
      <c r="L1441">
        <v>-10337</v>
      </c>
      <c r="M1441" s="7">
        <f t="shared" ca="1" si="94"/>
        <v>28.301163586584533</v>
      </c>
      <c r="N1441" s="5" t="str">
        <f ca="1">VLOOKUP(Data!M1441,temp!$B$3:$C$9,2,1)</f>
        <v>20-30</v>
      </c>
      <c r="O1441">
        <v>-795</v>
      </c>
      <c r="P1441" s="8">
        <f t="shared" si="95"/>
        <v>2.1765913757700206</v>
      </c>
      <c r="Q1441" s="5" t="str">
        <f t="shared" si="97"/>
        <v>Employed</v>
      </c>
      <c r="R1441">
        <v>1</v>
      </c>
      <c r="S1441">
        <v>1</v>
      </c>
      <c r="T1441">
        <v>0</v>
      </c>
      <c r="U1441">
        <v>0</v>
      </c>
      <c r="V1441" t="s">
        <v>40</v>
      </c>
      <c r="W1441">
        <v>1</v>
      </c>
    </row>
    <row r="1442" spans="1:23" x14ac:dyDescent="0.2">
      <c r="A1442">
        <v>5048487</v>
      </c>
      <c r="B1442" t="s">
        <v>25</v>
      </c>
      <c r="C1442" t="s">
        <v>20</v>
      </c>
      <c r="D1442" t="s">
        <v>20</v>
      </c>
      <c r="E1442">
        <v>0</v>
      </c>
      <c r="F1442">
        <v>202500</v>
      </c>
      <c r="G1442" t="s">
        <v>31</v>
      </c>
      <c r="H1442" t="s">
        <v>27</v>
      </c>
      <c r="I1442" t="s">
        <v>28</v>
      </c>
      <c r="J1442" t="s">
        <v>24</v>
      </c>
      <c r="K1442" s="6">
        <f t="shared" ca="1" si="96"/>
        <v>32769</v>
      </c>
      <c r="L1442">
        <v>-12992</v>
      </c>
      <c r="M1442" s="7">
        <f t="shared" ca="1" si="94"/>
        <v>35.570157426420259</v>
      </c>
      <c r="N1442" s="5" t="str">
        <f ca="1">VLOOKUP(Data!M1442,temp!$B$3:$C$9,2,1)</f>
        <v>30-40</v>
      </c>
      <c r="O1442">
        <v>-734</v>
      </c>
      <c r="P1442" s="8">
        <f t="shared" si="95"/>
        <v>2.0095824777549622</v>
      </c>
      <c r="Q1442" s="5" t="str">
        <f t="shared" si="97"/>
        <v>Employed</v>
      </c>
      <c r="R1442">
        <v>1</v>
      </c>
      <c r="S1442">
        <v>1</v>
      </c>
      <c r="T1442">
        <v>1</v>
      </c>
      <c r="U1442">
        <v>0</v>
      </c>
      <c r="V1442" t="s">
        <v>30</v>
      </c>
      <c r="W1442">
        <v>2</v>
      </c>
    </row>
    <row r="1443" spans="1:23" x14ac:dyDescent="0.2">
      <c r="A1443">
        <v>5048490</v>
      </c>
      <c r="B1443" t="s">
        <v>25</v>
      </c>
      <c r="C1443" t="s">
        <v>20</v>
      </c>
      <c r="D1443" t="s">
        <v>19</v>
      </c>
      <c r="E1443">
        <v>2</v>
      </c>
      <c r="F1443">
        <v>213750</v>
      </c>
      <c r="G1443" t="s">
        <v>35</v>
      </c>
      <c r="H1443" t="s">
        <v>22</v>
      </c>
      <c r="I1443" t="s">
        <v>28</v>
      </c>
      <c r="J1443" t="s">
        <v>24</v>
      </c>
      <c r="K1443" s="6">
        <f t="shared" ca="1" si="96"/>
        <v>33192</v>
      </c>
      <c r="L1443">
        <v>-12569</v>
      </c>
      <c r="M1443" s="7">
        <f t="shared" ca="1" si="94"/>
        <v>34.412046543463383</v>
      </c>
      <c r="N1443" s="5" t="str">
        <f ca="1">VLOOKUP(Data!M1443,temp!$B$3:$C$9,2,1)</f>
        <v>30-40</v>
      </c>
      <c r="O1443">
        <v>-3748</v>
      </c>
      <c r="P1443" s="8">
        <f t="shared" si="95"/>
        <v>10.261464750171116</v>
      </c>
      <c r="Q1443" s="5" t="str">
        <f t="shared" si="97"/>
        <v>Employed</v>
      </c>
      <c r="R1443">
        <v>1</v>
      </c>
      <c r="S1443">
        <v>1</v>
      </c>
      <c r="T1443">
        <v>1</v>
      </c>
      <c r="U1443">
        <v>0</v>
      </c>
      <c r="V1443" t="s">
        <v>38</v>
      </c>
      <c r="W1443">
        <v>4</v>
      </c>
    </row>
    <row r="1444" spans="1:23" x14ac:dyDescent="0.2">
      <c r="A1444">
        <v>5048491</v>
      </c>
      <c r="B1444" t="s">
        <v>25</v>
      </c>
      <c r="C1444" t="s">
        <v>20</v>
      </c>
      <c r="D1444" t="s">
        <v>19</v>
      </c>
      <c r="E1444">
        <v>2</v>
      </c>
      <c r="F1444">
        <v>213750</v>
      </c>
      <c r="G1444" t="s">
        <v>35</v>
      </c>
      <c r="H1444" t="s">
        <v>22</v>
      </c>
      <c r="I1444" t="s">
        <v>28</v>
      </c>
      <c r="J1444" t="s">
        <v>24</v>
      </c>
      <c r="K1444" s="6">
        <f t="shared" ca="1" si="96"/>
        <v>33192</v>
      </c>
      <c r="L1444">
        <v>-12569</v>
      </c>
      <c r="M1444" s="7">
        <f t="shared" ca="1" si="94"/>
        <v>34.412046543463383</v>
      </c>
      <c r="N1444" s="5" t="str">
        <f ca="1">VLOOKUP(Data!M1444,temp!$B$3:$C$9,2,1)</f>
        <v>30-40</v>
      </c>
      <c r="O1444">
        <v>-3748</v>
      </c>
      <c r="P1444" s="8">
        <f t="shared" si="95"/>
        <v>10.261464750171116</v>
      </c>
      <c r="Q1444" s="5" t="str">
        <f t="shared" si="97"/>
        <v>Employed</v>
      </c>
      <c r="R1444">
        <v>1</v>
      </c>
      <c r="S1444">
        <v>1</v>
      </c>
      <c r="T1444">
        <v>1</v>
      </c>
      <c r="U1444">
        <v>0</v>
      </c>
      <c r="V1444" t="s">
        <v>38</v>
      </c>
      <c r="W1444">
        <v>4</v>
      </c>
    </row>
    <row r="1445" spans="1:23" x14ac:dyDescent="0.2">
      <c r="A1445">
        <v>5048497</v>
      </c>
      <c r="B1445" t="s">
        <v>18</v>
      </c>
      <c r="C1445" t="s">
        <v>20</v>
      </c>
      <c r="D1445" t="s">
        <v>20</v>
      </c>
      <c r="E1445">
        <v>1</v>
      </c>
      <c r="F1445">
        <v>76500</v>
      </c>
      <c r="G1445" t="s">
        <v>31</v>
      </c>
      <c r="H1445" t="s">
        <v>27</v>
      </c>
      <c r="I1445" t="s">
        <v>28</v>
      </c>
      <c r="J1445" t="s">
        <v>24</v>
      </c>
      <c r="K1445" s="6">
        <f t="shared" ca="1" si="96"/>
        <v>33892</v>
      </c>
      <c r="L1445">
        <v>-11869</v>
      </c>
      <c r="M1445" s="7">
        <f t="shared" ca="1" si="94"/>
        <v>32.495550992470911</v>
      </c>
      <c r="N1445" s="5" t="str">
        <f ca="1">VLOOKUP(Data!M1445,temp!$B$3:$C$9,2,1)</f>
        <v>30-40</v>
      </c>
      <c r="O1445">
        <v>-4479</v>
      </c>
      <c r="P1445" s="8">
        <f t="shared" si="95"/>
        <v>12.262833675564682</v>
      </c>
      <c r="Q1445" s="5" t="str">
        <f t="shared" si="97"/>
        <v>Employed</v>
      </c>
      <c r="R1445">
        <v>1</v>
      </c>
      <c r="S1445">
        <v>1</v>
      </c>
      <c r="T1445">
        <v>1</v>
      </c>
      <c r="U1445">
        <v>0</v>
      </c>
      <c r="V1445" t="s">
        <v>38</v>
      </c>
      <c r="W1445">
        <v>3</v>
      </c>
    </row>
    <row r="1446" spans="1:23" x14ac:dyDescent="0.2">
      <c r="A1446">
        <v>5048498</v>
      </c>
      <c r="B1446" t="s">
        <v>18</v>
      </c>
      <c r="C1446" t="s">
        <v>20</v>
      </c>
      <c r="D1446" t="s">
        <v>20</v>
      </c>
      <c r="E1446">
        <v>1</v>
      </c>
      <c r="F1446">
        <v>76500</v>
      </c>
      <c r="G1446" t="s">
        <v>31</v>
      </c>
      <c r="H1446" t="s">
        <v>27</v>
      </c>
      <c r="I1446" t="s">
        <v>28</v>
      </c>
      <c r="J1446" t="s">
        <v>24</v>
      </c>
      <c r="K1446" s="6">
        <f t="shared" ca="1" si="96"/>
        <v>33892</v>
      </c>
      <c r="L1446">
        <v>-11869</v>
      </c>
      <c r="M1446" s="7">
        <f t="shared" ca="1" si="94"/>
        <v>32.495550992470911</v>
      </c>
      <c r="N1446" s="5" t="str">
        <f ca="1">VLOOKUP(Data!M1446,temp!$B$3:$C$9,2,1)</f>
        <v>30-40</v>
      </c>
      <c r="O1446">
        <v>-4479</v>
      </c>
      <c r="P1446" s="8">
        <f t="shared" si="95"/>
        <v>12.262833675564682</v>
      </c>
      <c r="Q1446" s="5" t="str">
        <f t="shared" si="97"/>
        <v>Employed</v>
      </c>
      <c r="R1446">
        <v>1</v>
      </c>
      <c r="S1446">
        <v>1</v>
      </c>
      <c r="T1446">
        <v>1</v>
      </c>
      <c r="U1446">
        <v>0</v>
      </c>
      <c r="V1446" t="s">
        <v>38</v>
      </c>
      <c r="W1446">
        <v>3</v>
      </c>
    </row>
    <row r="1447" spans="1:23" x14ac:dyDescent="0.2">
      <c r="A1447">
        <v>5048519</v>
      </c>
      <c r="B1447" t="s">
        <v>18</v>
      </c>
      <c r="C1447" t="s">
        <v>19</v>
      </c>
      <c r="D1447" t="s">
        <v>20</v>
      </c>
      <c r="E1447">
        <v>0</v>
      </c>
      <c r="F1447">
        <v>157500</v>
      </c>
      <c r="G1447" t="s">
        <v>31</v>
      </c>
      <c r="H1447" t="s">
        <v>27</v>
      </c>
      <c r="I1447" t="s">
        <v>28</v>
      </c>
      <c r="J1447" t="s">
        <v>24</v>
      </c>
      <c r="K1447" s="6">
        <f t="shared" ca="1" si="96"/>
        <v>28449</v>
      </c>
      <c r="L1447">
        <v>-17312</v>
      </c>
      <c r="M1447" s="7">
        <f t="shared" ca="1" si="94"/>
        <v>47.397672826830934</v>
      </c>
      <c r="N1447" s="5" t="str">
        <f ca="1">VLOOKUP(Data!M1447,temp!$B$3:$C$9,2,1)</f>
        <v>40-50</v>
      </c>
      <c r="O1447">
        <v>-2500</v>
      </c>
      <c r="P1447" s="8">
        <f t="shared" si="95"/>
        <v>6.8446269678302532</v>
      </c>
      <c r="Q1447" s="5" t="str">
        <f t="shared" si="97"/>
        <v>Employed</v>
      </c>
      <c r="R1447">
        <v>1</v>
      </c>
      <c r="S1447">
        <v>0</v>
      </c>
      <c r="T1447">
        <v>0</v>
      </c>
      <c r="U1447">
        <v>0</v>
      </c>
      <c r="V1447" t="s">
        <v>39</v>
      </c>
      <c r="W1447">
        <v>2</v>
      </c>
    </row>
    <row r="1448" spans="1:23" x14ac:dyDescent="0.2">
      <c r="A1448">
        <v>5048530</v>
      </c>
      <c r="B1448" t="s">
        <v>18</v>
      </c>
      <c r="C1448" t="s">
        <v>20</v>
      </c>
      <c r="D1448" t="s">
        <v>20</v>
      </c>
      <c r="E1448">
        <v>1</v>
      </c>
      <c r="F1448">
        <v>270000</v>
      </c>
      <c r="G1448" t="s">
        <v>26</v>
      </c>
      <c r="H1448" t="s">
        <v>60</v>
      </c>
      <c r="I1448" t="s">
        <v>28</v>
      </c>
      <c r="J1448" t="s">
        <v>24</v>
      </c>
      <c r="K1448" s="6">
        <f t="shared" ca="1" si="96"/>
        <v>33606</v>
      </c>
      <c r="L1448">
        <v>-12155</v>
      </c>
      <c r="M1448" s="7">
        <f t="shared" ca="1" si="94"/>
        <v>33.278576317590691</v>
      </c>
      <c r="N1448" s="5" t="str">
        <f ca="1">VLOOKUP(Data!M1448,temp!$B$3:$C$9,2,1)</f>
        <v>30-40</v>
      </c>
      <c r="O1448">
        <v>-979</v>
      </c>
      <c r="P1448" s="8">
        <f t="shared" si="95"/>
        <v>2.6803559206023273</v>
      </c>
      <c r="Q1448" s="5" t="str">
        <f t="shared" si="97"/>
        <v>Employed</v>
      </c>
      <c r="R1448">
        <v>1</v>
      </c>
      <c r="S1448">
        <v>0</v>
      </c>
      <c r="T1448">
        <v>0</v>
      </c>
      <c r="U1448">
        <v>0</v>
      </c>
      <c r="V1448" t="s">
        <v>39</v>
      </c>
      <c r="W1448">
        <v>3</v>
      </c>
    </row>
    <row r="1449" spans="1:23" x14ac:dyDescent="0.2">
      <c r="A1449">
        <v>5048536</v>
      </c>
      <c r="B1449" t="s">
        <v>18</v>
      </c>
      <c r="C1449" t="s">
        <v>20</v>
      </c>
      <c r="D1449" t="s">
        <v>20</v>
      </c>
      <c r="E1449">
        <v>1</v>
      </c>
      <c r="F1449">
        <v>270000</v>
      </c>
      <c r="G1449" t="s">
        <v>26</v>
      </c>
      <c r="H1449" t="s">
        <v>60</v>
      </c>
      <c r="I1449" t="s">
        <v>28</v>
      </c>
      <c r="J1449" t="s">
        <v>24</v>
      </c>
      <c r="K1449" s="6">
        <f t="shared" ca="1" si="96"/>
        <v>33606</v>
      </c>
      <c r="L1449">
        <v>-12155</v>
      </c>
      <c r="M1449" s="7">
        <f t="shared" ca="1" si="94"/>
        <v>33.278576317590691</v>
      </c>
      <c r="N1449" s="5" t="str">
        <f ca="1">VLOOKUP(Data!M1449,temp!$B$3:$C$9,2,1)</f>
        <v>30-40</v>
      </c>
      <c r="O1449">
        <v>-979</v>
      </c>
      <c r="P1449" s="8">
        <f t="shared" si="95"/>
        <v>2.6803559206023273</v>
      </c>
      <c r="Q1449" s="5" t="str">
        <f t="shared" si="97"/>
        <v>Employed</v>
      </c>
      <c r="R1449">
        <v>1</v>
      </c>
      <c r="S1449">
        <v>0</v>
      </c>
      <c r="T1449">
        <v>0</v>
      </c>
      <c r="U1449">
        <v>0</v>
      </c>
      <c r="V1449" t="s">
        <v>39</v>
      </c>
      <c r="W1449">
        <v>3</v>
      </c>
    </row>
    <row r="1450" spans="1:23" x14ac:dyDescent="0.2">
      <c r="A1450">
        <v>5048539</v>
      </c>
      <c r="B1450" t="s">
        <v>18</v>
      </c>
      <c r="C1450" t="s">
        <v>20</v>
      </c>
      <c r="D1450" t="s">
        <v>20</v>
      </c>
      <c r="E1450">
        <v>1</v>
      </c>
      <c r="F1450">
        <v>270000</v>
      </c>
      <c r="G1450" t="s">
        <v>26</v>
      </c>
      <c r="H1450" t="s">
        <v>60</v>
      </c>
      <c r="I1450" t="s">
        <v>28</v>
      </c>
      <c r="J1450" t="s">
        <v>24</v>
      </c>
      <c r="K1450" s="6">
        <f t="shared" ca="1" si="96"/>
        <v>33606</v>
      </c>
      <c r="L1450">
        <v>-12155</v>
      </c>
      <c r="M1450" s="7">
        <f t="shared" ca="1" si="94"/>
        <v>33.278576317590691</v>
      </c>
      <c r="N1450" s="5" t="str">
        <f ca="1">VLOOKUP(Data!M1450,temp!$B$3:$C$9,2,1)</f>
        <v>30-40</v>
      </c>
      <c r="O1450">
        <v>-979</v>
      </c>
      <c r="P1450" s="8">
        <f t="shared" si="95"/>
        <v>2.6803559206023273</v>
      </c>
      <c r="Q1450" s="5" t="str">
        <f t="shared" si="97"/>
        <v>Employed</v>
      </c>
      <c r="R1450">
        <v>1</v>
      </c>
      <c r="S1450">
        <v>0</v>
      </c>
      <c r="T1450">
        <v>0</v>
      </c>
      <c r="U1450">
        <v>0</v>
      </c>
      <c r="V1450" t="s">
        <v>39</v>
      </c>
      <c r="W1450">
        <v>3</v>
      </c>
    </row>
    <row r="1451" spans="1:23" x14ac:dyDescent="0.2">
      <c r="A1451">
        <v>5048546</v>
      </c>
      <c r="B1451" t="s">
        <v>18</v>
      </c>
      <c r="C1451" t="s">
        <v>19</v>
      </c>
      <c r="D1451" t="s">
        <v>19</v>
      </c>
      <c r="E1451">
        <v>0</v>
      </c>
      <c r="F1451">
        <v>202500</v>
      </c>
      <c r="G1451" t="s">
        <v>35</v>
      </c>
      <c r="H1451" t="s">
        <v>27</v>
      </c>
      <c r="I1451" t="s">
        <v>42</v>
      </c>
      <c r="J1451" t="s">
        <v>24</v>
      </c>
      <c r="K1451" s="6">
        <f t="shared" ca="1" si="96"/>
        <v>22455</v>
      </c>
      <c r="L1451">
        <v>-23306</v>
      </c>
      <c r="M1451" s="7">
        <f t="shared" ca="1" si="94"/>
        <v>63.808350444900753</v>
      </c>
      <c r="N1451" s="5" t="str">
        <f ca="1">VLOOKUP(Data!M1451,temp!$B$3:$C$9,2,1)</f>
        <v>60-70</v>
      </c>
      <c r="O1451">
        <v>-430</v>
      </c>
      <c r="P1451" s="8">
        <f t="shared" si="95"/>
        <v>1.1772758384668036</v>
      </c>
      <c r="Q1451" s="5" t="str">
        <f t="shared" si="97"/>
        <v>Employed</v>
      </c>
      <c r="R1451">
        <v>1</v>
      </c>
      <c r="S1451">
        <v>0</v>
      </c>
      <c r="T1451">
        <v>0</v>
      </c>
      <c r="U1451">
        <v>0</v>
      </c>
      <c r="V1451" t="s">
        <v>38</v>
      </c>
      <c r="W1451">
        <v>1</v>
      </c>
    </row>
    <row r="1452" spans="1:23" x14ac:dyDescent="0.2">
      <c r="A1452">
        <v>5048565</v>
      </c>
      <c r="B1452" t="s">
        <v>25</v>
      </c>
      <c r="C1452" t="s">
        <v>20</v>
      </c>
      <c r="D1452" t="s">
        <v>20</v>
      </c>
      <c r="E1452">
        <v>0</v>
      </c>
      <c r="F1452">
        <v>135000</v>
      </c>
      <c r="G1452" t="s">
        <v>31</v>
      </c>
      <c r="H1452" t="s">
        <v>27</v>
      </c>
      <c r="I1452" t="s">
        <v>28</v>
      </c>
      <c r="J1452" t="s">
        <v>24</v>
      </c>
      <c r="K1452" s="6">
        <f t="shared" ca="1" si="96"/>
        <v>30813</v>
      </c>
      <c r="L1452">
        <v>-14948</v>
      </c>
      <c r="M1452" s="7">
        <f t="shared" ca="1" si="94"/>
        <v>40.925393566050651</v>
      </c>
      <c r="N1452" s="5" t="str">
        <f ca="1">VLOOKUP(Data!M1452,temp!$B$3:$C$9,2,1)</f>
        <v>40-50</v>
      </c>
      <c r="O1452">
        <v>-8100</v>
      </c>
      <c r="P1452" s="8">
        <f t="shared" si="95"/>
        <v>22.17659137577002</v>
      </c>
      <c r="Q1452" s="5" t="str">
        <f t="shared" si="97"/>
        <v>Employed</v>
      </c>
      <c r="R1452">
        <v>1</v>
      </c>
      <c r="S1452">
        <v>0</v>
      </c>
      <c r="T1452">
        <v>0</v>
      </c>
      <c r="U1452">
        <v>0</v>
      </c>
      <c r="V1452" t="s">
        <v>29</v>
      </c>
      <c r="W1452">
        <v>2</v>
      </c>
    </row>
    <row r="1453" spans="1:23" x14ac:dyDescent="0.2">
      <c r="A1453">
        <v>5048580</v>
      </c>
      <c r="B1453" t="s">
        <v>18</v>
      </c>
      <c r="C1453" t="s">
        <v>19</v>
      </c>
      <c r="D1453" t="s">
        <v>20</v>
      </c>
      <c r="E1453">
        <v>0</v>
      </c>
      <c r="F1453">
        <v>135000</v>
      </c>
      <c r="G1453" t="s">
        <v>21</v>
      </c>
      <c r="H1453" t="s">
        <v>27</v>
      </c>
      <c r="I1453" t="s">
        <v>28</v>
      </c>
      <c r="J1453" t="s">
        <v>24</v>
      </c>
      <c r="K1453" s="6">
        <f t="shared" ca="1" si="96"/>
        <v>24182</v>
      </c>
      <c r="L1453">
        <v>-21579</v>
      </c>
      <c r="M1453" s="7">
        <f t="shared" ca="1" si="94"/>
        <v>59.080082135523611</v>
      </c>
      <c r="N1453" s="5" t="str">
        <f ca="1">VLOOKUP(Data!M1453,temp!$B$3:$C$9,2,1)</f>
        <v>50-60</v>
      </c>
      <c r="O1453">
        <v>365243</v>
      </c>
      <c r="P1453" s="8">
        <f t="shared" si="95"/>
        <v>0</v>
      </c>
      <c r="Q1453" s="5" t="str">
        <f t="shared" si="97"/>
        <v>Unemployed</v>
      </c>
      <c r="R1453">
        <v>1</v>
      </c>
      <c r="S1453">
        <v>0</v>
      </c>
      <c r="T1453">
        <v>0</v>
      </c>
      <c r="U1453">
        <v>0</v>
      </c>
      <c r="W1453">
        <v>2</v>
      </c>
    </row>
    <row r="1454" spans="1:23" x14ac:dyDescent="0.2">
      <c r="A1454">
        <v>5048601</v>
      </c>
      <c r="B1454" t="s">
        <v>18</v>
      </c>
      <c r="C1454" t="s">
        <v>19</v>
      </c>
      <c r="D1454" t="s">
        <v>20</v>
      </c>
      <c r="E1454">
        <v>0</v>
      </c>
      <c r="F1454">
        <v>315000</v>
      </c>
      <c r="G1454" t="s">
        <v>31</v>
      </c>
      <c r="H1454" t="s">
        <v>27</v>
      </c>
      <c r="I1454" t="s">
        <v>23</v>
      </c>
      <c r="J1454" t="s">
        <v>24</v>
      </c>
      <c r="K1454" s="6">
        <f t="shared" ca="1" si="96"/>
        <v>30505</v>
      </c>
      <c r="L1454">
        <v>-15256</v>
      </c>
      <c r="M1454" s="7">
        <f t="shared" ca="1" si="94"/>
        <v>41.768651608487339</v>
      </c>
      <c r="N1454" s="5" t="str">
        <f ca="1">VLOOKUP(Data!M1454,temp!$B$3:$C$9,2,1)</f>
        <v>40-50</v>
      </c>
      <c r="O1454">
        <v>-3291</v>
      </c>
      <c r="P1454" s="8">
        <f t="shared" si="95"/>
        <v>9.0102669404517446</v>
      </c>
      <c r="Q1454" s="5" t="str">
        <f t="shared" si="97"/>
        <v>Employed</v>
      </c>
      <c r="R1454">
        <v>1</v>
      </c>
      <c r="S1454">
        <v>0</v>
      </c>
      <c r="T1454">
        <v>0</v>
      </c>
      <c r="U1454">
        <v>0</v>
      </c>
      <c r="V1454" t="s">
        <v>29</v>
      </c>
      <c r="W1454">
        <v>1</v>
      </c>
    </row>
    <row r="1455" spans="1:23" x14ac:dyDescent="0.2">
      <c r="A1455">
        <v>5048628</v>
      </c>
      <c r="B1455" t="s">
        <v>25</v>
      </c>
      <c r="C1455" t="s">
        <v>19</v>
      </c>
      <c r="D1455" t="s">
        <v>19</v>
      </c>
      <c r="E1455">
        <v>2</v>
      </c>
      <c r="F1455">
        <v>135000</v>
      </c>
      <c r="G1455" t="s">
        <v>31</v>
      </c>
      <c r="H1455" t="s">
        <v>27</v>
      </c>
      <c r="I1455" t="s">
        <v>28</v>
      </c>
      <c r="J1455" t="s">
        <v>24</v>
      </c>
      <c r="K1455" s="6">
        <f t="shared" ca="1" si="96"/>
        <v>32122</v>
      </c>
      <c r="L1455">
        <v>-13639</v>
      </c>
      <c r="M1455" s="7">
        <f t="shared" ca="1" si="94"/>
        <v>37.341546885694733</v>
      </c>
      <c r="N1455" s="5" t="str">
        <f ca="1">VLOOKUP(Data!M1455,temp!$B$3:$C$9,2,1)</f>
        <v>30-40</v>
      </c>
      <c r="O1455">
        <v>-430</v>
      </c>
      <c r="P1455" s="8">
        <f t="shared" si="95"/>
        <v>1.1772758384668036</v>
      </c>
      <c r="Q1455" s="5" t="str">
        <f t="shared" si="97"/>
        <v>Employed</v>
      </c>
      <c r="R1455">
        <v>1</v>
      </c>
      <c r="S1455">
        <v>0</v>
      </c>
      <c r="T1455">
        <v>0</v>
      </c>
      <c r="U1455">
        <v>0</v>
      </c>
      <c r="V1455" t="s">
        <v>29</v>
      </c>
      <c r="W1455">
        <v>4</v>
      </c>
    </row>
    <row r="1456" spans="1:23" x14ac:dyDescent="0.2">
      <c r="A1456">
        <v>5048642</v>
      </c>
      <c r="B1456" t="s">
        <v>18</v>
      </c>
      <c r="C1456" t="s">
        <v>19</v>
      </c>
      <c r="D1456" t="s">
        <v>19</v>
      </c>
      <c r="E1456">
        <v>0</v>
      </c>
      <c r="F1456">
        <v>157500</v>
      </c>
      <c r="G1456" t="s">
        <v>21</v>
      </c>
      <c r="H1456" t="s">
        <v>27</v>
      </c>
      <c r="I1456" t="s">
        <v>23</v>
      </c>
      <c r="J1456" t="s">
        <v>24</v>
      </c>
      <c r="K1456" s="6">
        <f t="shared" ca="1" si="96"/>
        <v>21713</v>
      </c>
      <c r="L1456">
        <v>-24048</v>
      </c>
      <c r="M1456" s="7">
        <f t="shared" ca="1" si="94"/>
        <v>65.839835728952778</v>
      </c>
      <c r="N1456" s="5" t="str">
        <f ca="1">VLOOKUP(Data!M1456,temp!$B$3:$C$9,2,1)</f>
        <v>60-70</v>
      </c>
      <c r="O1456">
        <v>365243</v>
      </c>
      <c r="P1456" s="8">
        <f t="shared" si="95"/>
        <v>0</v>
      </c>
      <c r="Q1456" s="5" t="str">
        <f t="shared" si="97"/>
        <v>Unemployed</v>
      </c>
      <c r="R1456">
        <v>1</v>
      </c>
      <c r="S1456">
        <v>0</v>
      </c>
      <c r="T1456">
        <v>0</v>
      </c>
      <c r="U1456">
        <v>0</v>
      </c>
      <c r="W1456">
        <v>1</v>
      </c>
    </row>
    <row r="1457" spans="1:23" x14ac:dyDescent="0.2">
      <c r="A1457">
        <v>5050453</v>
      </c>
      <c r="B1457" t="s">
        <v>25</v>
      </c>
      <c r="C1457" t="s">
        <v>19</v>
      </c>
      <c r="D1457" t="s">
        <v>20</v>
      </c>
      <c r="E1457">
        <v>1</v>
      </c>
      <c r="F1457">
        <v>231750</v>
      </c>
      <c r="G1457" t="s">
        <v>31</v>
      </c>
      <c r="H1457" t="s">
        <v>27</v>
      </c>
      <c r="I1457" t="s">
        <v>28</v>
      </c>
      <c r="J1457" t="s">
        <v>24</v>
      </c>
      <c r="K1457" s="6">
        <f t="shared" ca="1" si="96"/>
        <v>31514</v>
      </c>
      <c r="L1457">
        <v>-14247</v>
      </c>
      <c r="M1457" s="7">
        <f t="shared" ca="1" si="94"/>
        <v>39.006160164271044</v>
      </c>
      <c r="N1457" s="5" t="str">
        <f ca="1">VLOOKUP(Data!M1457,temp!$B$3:$C$9,2,1)</f>
        <v>30-40</v>
      </c>
      <c r="O1457">
        <v>-135</v>
      </c>
      <c r="P1457" s="8">
        <f t="shared" si="95"/>
        <v>0.36960985626283366</v>
      </c>
      <c r="Q1457" s="5" t="str">
        <f t="shared" si="97"/>
        <v>Employed</v>
      </c>
      <c r="R1457">
        <v>1</v>
      </c>
      <c r="S1457">
        <v>0</v>
      </c>
      <c r="T1457">
        <v>0</v>
      </c>
      <c r="U1457">
        <v>0</v>
      </c>
      <c r="W1457">
        <v>3</v>
      </c>
    </row>
    <row r="1458" spans="1:23" x14ac:dyDescent="0.2">
      <c r="A1458">
        <v>5050487</v>
      </c>
      <c r="B1458" t="s">
        <v>18</v>
      </c>
      <c r="C1458" t="s">
        <v>19</v>
      </c>
      <c r="D1458" t="s">
        <v>19</v>
      </c>
      <c r="E1458">
        <v>0</v>
      </c>
      <c r="F1458">
        <v>292500</v>
      </c>
      <c r="G1458" t="s">
        <v>26</v>
      </c>
      <c r="H1458" t="s">
        <v>27</v>
      </c>
      <c r="I1458" t="s">
        <v>37</v>
      </c>
      <c r="J1458" t="s">
        <v>24</v>
      </c>
      <c r="K1458" s="6">
        <f t="shared" ca="1" si="96"/>
        <v>27063</v>
      </c>
      <c r="L1458">
        <v>-18698</v>
      </c>
      <c r="M1458" s="7">
        <f t="shared" ca="1" si="94"/>
        <v>51.192334017796028</v>
      </c>
      <c r="N1458" s="5" t="str">
        <f ca="1">VLOOKUP(Data!M1458,temp!$B$3:$C$9,2,1)</f>
        <v>50-60</v>
      </c>
      <c r="O1458">
        <v>-10758</v>
      </c>
      <c r="P1458" s="8">
        <f t="shared" si="95"/>
        <v>29.453798767967147</v>
      </c>
      <c r="Q1458" s="5" t="str">
        <f t="shared" si="97"/>
        <v>Employed</v>
      </c>
      <c r="R1458">
        <v>1</v>
      </c>
      <c r="S1458">
        <v>0</v>
      </c>
      <c r="T1458">
        <v>0</v>
      </c>
      <c r="U1458">
        <v>0</v>
      </c>
      <c r="V1458" t="s">
        <v>29</v>
      </c>
      <c r="W1458">
        <v>2</v>
      </c>
    </row>
    <row r="1459" spans="1:23" x14ac:dyDescent="0.2">
      <c r="A1459">
        <v>5050490</v>
      </c>
      <c r="B1459" t="s">
        <v>18</v>
      </c>
      <c r="C1459" t="s">
        <v>19</v>
      </c>
      <c r="D1459" t="s">
        <v>19</v>
      </c>
      <c r="E1459">
        <v>0</v>
      </c>
      <c r="F1459">
        <v>292500</v>
      </c>
      <c r="G1459" t="s">
        <v>26</v>
      </c>
      <c r="H1459" t="s">
        <v>27</v>
      </c>
      <c r="I1459" t="s">
        <v>37</v>
      </c>
      <c r="J1459" t="s">
        <v>24</v>
      </c>
      <c r="K1459" s="6">
        <f t="shared" ca="1" si="96"/>
        <v>27063</v>
      </c>
      <c r="L1459">
        <v>-18698</v>
      </c>
      <c r="M1459" s="7">
        <f t="shared" ca="1" si="94"/>
        <v>51.192334017796028</v>
      </c>
      <c r="N1459" s="5" t="str">
        <f ca="1">VLOOKUP(Data!M1459,temp!$B$3:$C$9,2,1)</f>
        <v>50-60</v>
      </c>
      <c r="O1459">
        <v>-10758</v>
      </c>
      <c r="P1459" s="8">
        <f t="shared" si="95"/>
        <v>29.453798767967147</v>
      </c>
      <c r="Q1459" s="5" t="str">
        <f t="shared" si="97"/>
        <v>Employed</v>
      </c>
      <c r="R1459">
        <v>1</v>
      </c>
      <c r="S1459">
        <v>0</v>
      </c>
      <c r="T1459">
        <v>0</v>
      </c>
      <c r="U1459">
        <v>0</v>
      </c>
      <c r="V1459" t="s">
        <v>29</v>
      </c>
      <c r="W1459">
        <v>2</v>
      </c>
    </row>
    <row r="1460" spans="1:23" x14ac:dyDescent="0.2">
      <c r="A1460">
        <v>5050509</v>
      </c>
      <c r="B1460" t="s">
        <v>18</v>
      </c>
      <c r="C1460" t="s">
        <v>19</v>
      </c>
      <c r="D1460" t="s">
        <v>19</v>
      </c>
      <c r="E1460">
        <v>2</v>
      </c>
      <c r="F1460">
        <v>135000</v>
      </c>
      <c r="G1460" t="s">
        <v>26</v>
      </c>
      <c r="H1460" t="s">
        <v>27</v>
      </c>
      <c r="I1460" t="s">
        <v>28</v>
      </c>
      <c r="J1460" t="s">
        <v>24</v>
      </c>
      <c r="K1460" s="6">
        <f t="shared" ca="1" si="96"/>
        <v>33220</v>
      </c>
      <c r="L1460">
        <v>-12541</v>
      </c>
      <c r="M1460" s="7">
        <f t="shared" ca="1" si="94"/>
        <v>34.335386721423681</v>
      </c>
      <c r="N1460" s="5" t="str">
        <f ca="1">VLOOKUP(Data!M1460,temp!$B$3:$C$9,2,1)</f>
        <v>30-40</v>
      </c>
      <c r="O1460">
        <v>-4549</v>
      </c>
      <c r="P1460" s="8">
        <f t="shared" si="95"/>
        <v>12.454483230663929</v>
      </c>
      <c r="Q1460" s="5" t="str">
        <f t="shared" si="97"/>
        <v>Employed</v>
      </c>
      <c r="R1460">
        <v>1</v>
      </c>
      <c r="S1460">
        <v>1</v>
      </c>
      <c r="T1460">
        <v>1</v>
      </c>
      <c r="U1460">
        <v>0</v>
      </c>
      <c r="V1460" t="s">
        <v>29</v>
      </c>
      <c r="W1460">
        <v>4</v>
      </c>
    </row>
    <row r="1461" spans="1:23" x14ac:dyDescent="0.2">
      <c r="A1461">
        <v>5050513</v>
      </c>
      <c r="B1461" t="s">
        <v>18</v>
      </c>
      <c r="C1461" t="s">
        <v>19</v>
      </c>
      <c r="D1461" t="s">
        <v>19</v>
      </c>
      <c r="E1461">
        <v>0</v>
      </c>
      <c r="F1461">
        <v>225000</v>
      </c>
      <c r="G1461" t="s">
        <v>26</v>
      </c>
      <c r="H1461" t="s">
        <v>27</v>
      </c>
      <c r="I1461" t="s">
        <v>37</v>
      </c>
      <c r="J1461" t="s">
        <v>24</v>
      </c>
      <c r="K1461" s="6">
        <f t="shared" ca="1" si="96"/>
        <v>26273</v>
      </c>
      <c r="L1461">
        <v>-19488</v>
      </c>
      <c r="M1461" s="7">
        <f t="shared" ca="1" si="94"/>
        <v>53.355236139630392</v>
      </c>
      <c r="N1461" s="5" t="str">
        <f ca="1">VLOOKUP(Data!M1461,temp!$B$3:$C$9,2,1)</f>
        <v>50-60</v>
      </c>
      <c r="O1461">
        <v>-3119</v>
      </c>
      <c r="P1461" s="8">
        <f t="shared" si="95"/>
        <v>8.5393566050650236</v>
      </c>
      <c r="Q1461" s="5" t="str">
        <f t="shared" si="97"/>
        <v>Employed</v>
      </c>
      <c r="R1461">
        <v>1</v>
      </c>
      <c r="S1461">
        <v>1</v>
      </c>
      <c r="T1461">
        <v>0</v>
      </c>
      <c r="U1461">
        <v>0</v>
      </c>
      <c r="V1461" t="s">
        <v>39</v>
      </c>
      <c r="W1461">
        <v>2</v>
      </c>
    </row>
    <row r="1462" spans="1:23" x14ac:dyDescent="0.2">
      <c r="A1462">
        <v>5050515</v>
      </c>
      <c r="B1462" t="s">
        <v>18</v>
      </c>
      <c r="C1462" t="s">
        <v>19</v>
      </c>
      <c r="D1462" t="s">
        <v>19</v>
      </c>
      <c r="E1462">
        <v>0</v>
      </c>
      <c r="F1462">
        <v>225000</v>
      </c>
      <c r="G1462" t="s">
        <v>26</v>
      </c>
      <c r="H1462" t="s">
        <v>27</v>
      </c>
      <c r="I1462" t="s">
        <v>37</v>
      </c>
      <c r="J1462" t="s">
        <v>24</v>
      </c>
      <c r="K1462" s="6">
        <f t="shared" ca="1" si="96"/>
        <v>26273</v>
      </c>
      <c r="L1462">
        <v>-19488</v>
      </c>
      <c r="M1462" s="7">
        <f t="shared" ca="1" si="94"/>
        <v>53.355236139630392</v>
      </c>
      <c r="N1462" s="5" t="str">
        <f ca="1">VLOOKUP(Data!M1462,temp!$B$3:$C$9,2,1)</f>
        <v>50-60</v>
      </c>
      <c r="O1462">
        <v>-3119</v>
      </c>
      <c r="P1462" s="8">
        <f t="shared" si="95"/>
        <v>8.5393566050650236</v>
      </c>
      <c r="Q1462" s="5" t="str">
        <f t="shared" si="97"/>
        <v>Employed</v>
      </c>
      <c r="R1462">
        <v>1</v>
      </c>
      <c r="S1462">
        <v>1</v>
      </c>
      <c r="T1462">
        <v>0</v>
      </c>
      <c r="U1462">
        <v>0</v>
      </c>
      <c r="V1462" t="s">
        <v>39</v>
      </c>
      <c r="W1462">
        <v>2</v>
      </c>
    </row>
    <row r="1463" spans="1:23" x14ac:dyDescent="0.2">
      <c r="A1463">
        <v>5050530</v>
      </c>
      <c r="B1463" t="s">
        <v>25</v>
      </c>
      <c r="C1463" t="s">
        <v>19</v>
      </c>
      <c r="D1463" t="s">
        <v>19</v>
      </c>
      <c r="E1463">
        <v>0</v>
      </c>
      <c r="F1463">
        <v>180000</v>
      </c>
      <c r="G1463" t="s">
        <v>31</v>
      </c>
      <c r="H1463" t="s">
        <v>27</v>
      </c>
      <c r="I1463" t="s">
        <v>37</v>
      </c>
      <c r="J1463" t="s">
        <v>24</v>
      </c>
      <c r="K1463" s="6">
        <f t="shared" ca="1" si="96"/>
        <v>35457</v>
      </c>
      <c r="L1463">
        <v>-10304</v>
      </c>
      <c r="M1463" s="7">
        <f t="shared" ca="1" si="94"/>
        <v>28.210814510609172</v>
      </c>
      <c r="N1463" s="5" t="str">
        <f ca="1">VLOOKUP(Data!M1463,temp!$B$3:$C$9,2,1)</f>
        <v>20-30</v>
      </c>
      <c r="O1463">
        <v>-743</v>
      </c>
      <c r="P1463" s="8">
        <f t="shared" si="95"/>
        <v>2.0342231348391513</v>
      </c>
      <c r="Q1463" s="5" t="str">
        <f t="shared" si="97"/>
        <v>Employed</v>
      </c>
      <c r="R1463">
        <v>1</v>
      </c>
      <c r="S1463">
        <v>0</v>
      </c>
      <c r="T1463">
        <v>1</v>
      </c>
      <c r="U1463">
        <v>0</v>
      </c>
      <c r="V1463" t="s">
        <v>29</v>
      </c>
      <c r="W1463">
        <v>2</v>
      </c>
    </row>
    <row r="1464" spans="1:23" x14ac:dyDescent="0.2">
      <c r="A1464">
        <v>5050533</v>
      </c>
      <c r="B1464" t="s">
        <v>25</v>
      </c>
      <c r="C1464" t="s">
        <v>19</v>
      </c>
      <c r="D1464" t="s">
        <v>19</v>
      </c>
      <c r="E1464">
        <v>2</v>
      </c>
      <c r="F1464">
        <v>225000</v>
      </c>
      <c r="G1464" t="s">
        <v>31</v>
      </c>
      <c r="H1464" t="s">
        <v>22</v>
      </c>
      <c r="I1464" t="s">
        <v>37</v>
      </c>
      <c r="J1464" t="s">
        <v>24</v>
      </c>
      <c r="K1464" s="6">
        <f t="shared" ca="1" si="96"/>
        <v>28993</v>
      </c>
      <c r="L1464">
        <v>-16768</v>
      </c>
      <c r="M1464" s="7">
        <f t="shared" ca="1" si="94"/>
        <v>45.908281998631075</v>
      </c>
      <c r="N1464" s="5" t="str">
        <f ca="1">VLOOKUP(Data!M1464,temp!$B$3:$C$9,2,1)</f>
        <v>40-50</v>
      </c>
      <c r="O1464">
        <v>-3088</v>
      </c>
      <c r="P1464" s="8">
        <f t="shared" si="95"/>
        <v>8.4544832306639286</v>
      </c>
      <c r="Q1464" s="5" t="str">
        <f t="shared" si="97"/>
        <v>Employed</v>
      </c>
      <c r="R1464">
        <v>1</v>
      </c>
      <c r="S1464">
        <v>1</v>
      </c>
      <c r="T1464">
        <v>0</v>
      </c>
      <c r="U1464">
        <v>0</v>
      </c>
      <c r="V1464" t="s">
        <v>29</v>
      </c>
      <c r="W1464">
        <v>4</v>
      </c>
    </row>
    <row r="1465" spans="1:23" x14ac:dyDescent="0.2">
      <c r="A1465">
        <v>5050564</v>
      </c>
      <c r="B1465" t="s">
        <v>25</v>
      </c>
      <c r="C1465" t="s">
        <v>19</v>
      </c>
      <c r="D1465" t="s">
        <v>19</v>
      </c>
      <c r="E1465">
        <v>2</v>
      </c>
      <c r="F1465">
        <v>225000</v>
      </c>
      <c r="G1465" t="s">
        <v>31</v>
      </c>
      <c r="H1465" t="s">
        <v>22</v>
      </c>
      <c r="I1465" t="s">
        <v>37</v>
      </c>
      <c r="J1465" t="s">
        <v>24</v>
      </c>
      <c r="K1465" s="6">
        <f t="shared" ca="1" si="96"/>
        <v>28993</v>
      </c>
      <c r="L1465">
        <v>-16768</v>
      </c>
      <c r="M1465" s="7">
        <f t="shared" ca="1" si="94"/>
        <v>45.908281998631075</v>
      </c>
      <c r="N1465" s="5" t="str">
        <f ca="1">VLOOKUP(Data!M1465,temp!$B$3:$C$9,2,1)</f>
        <v>40-50</v>
      </c>
      <c r="O1465">
        <v>-3088</v>
      </c>
      <c r="P1465" s="8">
        <f t="shared" si="95"/>
        <v>8.4544832306639286</v>
      </c>
      <c r="Q1465" s="5" t="str">
        <f t="shared" si="97"/>
        <v>Employed</v>
      </c>
      <c r="R1465">
        <v>1</v>
      </c>
      <c r="S1465">
        <v>1</v>
      </c>
      <c r="T1465">
        <v>0</v>
      </c>
      <c r="U1465">
        <v>0</v>
      </c>
      <c r="V1465" t="s">
        <v>29</v>
      </c>
      <c r="W1465">
        <v>4</v>
      </c>
    </row>
    <row r="1466" spans="1:23" x14ac:dyDescent="0.2">
      <c r="A1466">
        <v>5050565</v>
      </c>
      <c r="B1466" t="s">
        <v>25</v>
      </c>
      <c r="C1466" t="s">
        <v>19</v>
      </c>
      <c r="D1466" t="s">
        <v>19</v>
      </c>
      <c r="E1466">
        <v>2</v>
      </c>
      <c r="F1466">
        <v>225000</v>
      </c>
      <c r="G1466" t="s">
        <v>31</v>
      </c>
      <c r="H1466" t="s">
        <v>22</v>
      </c>
      <c r="I1466" t="s">
        <v>37</v>
      </c>
      <c r="J1466" t="s">
        <v>24</v>
      </c>
      <c r="K1466" s="6">
        <f t="shared" ca="1" si="96"/>
        <v>28993</v>
      </c>
      <c r="L1466">
        <v>-16768</v>
      </c>
      <c r="M1466" s="7">
        <f t="shared" ca="1" si="94"/>
        <v>45.908281998631075</v>
      </c>
      <c r="N1466" s="5" t="str">
        <f ca="1">VLOOKUP(Data!M1466,temp!$B$3:$C$9,2,1)</f>
        <v>40-50</v>
      </c>
      <c r="O1466">
        <v>-3088</v>
      </c>
      <c r="P1466" s="8">
        <f t="shared" si="95"/>
        <v>8.4544832306639286</v>
      </c>
      <c r="Q1466" s="5" t="str">
        <f t="shared" si="97"/>
        <v>Employed</v>
      </c>
      <c r="R1466">
        <v>1</v>
      </c>
      <c r="S1466">
        <v>1</v>
      </c>
      <c r="T1466">
        <v>0</v>
      </c>
      <c r="U1466">
        <v>0</v>
      </c>
      <c r="V1466" t="s">
        <v>29</v>
      </c>
      <c r="W1466">
        <v>4</v>
      </c>
    </row>
    <row r="1467" spans="1:23" x14ac:dyDescent="0.2">
      <c r="A1467">
        <v>5050586</v>
      </c>
      <c r="B1467" t="s">
        <v>18</v>
      </c>
      <c r="C1467" t="s">
        <v>19</v>
      </c>
      <c r="D1467" t="s">
        <v>19</v>
      </c>
      <c r="E1467">
        <v>0</v>
      </c>
      <c r="F1467">
        <v>126000</v>
      </c>
      <c r="G1467" t="s">
        <v>31</v>
      </c>
      <c r="H1467" t="s">
        <v>27</v>
      </c>
      <c r="I1467" t="s">
        <v>28</v>
      </c>
      <c r="J1467" t="s">
        <v>24</v>
      </c>
      <c r="K1467" s="6">
        <f t="shared" ca="1" si="96"/>
        <v>30108</v>
      </c>
      <c r="L1467">
        <v>-15653</v>
      </c>
      <c r="M1467" s="7">
        <f t="shared" ca="1" si="94"/>
        <v>42.855578370978783</v>
      </c>
      <c r="N1467" s="5" t="str">
        <f ca="1">VLOOKUP(Data!M1467,temp!$B$3:$C$9,2,1)</f>
        <v>40-50</v>
      </c>
      <c r="O1467">
        <v>-2235</v>
      </c>
      <c r="P1467" s="8">
        <f t="shared" si="95"/>
        <v>6.1190965092402463</v>
      </c>
      <c r="Q1467" s="5" t="str">
        <f t="shared" si="97"/>
        <v>Employed</v>
      </c>
      <c r="R1467">
        <v>1</v>
      </c>
      <c r="S1467">
        <v>1</v>
      </c>
      <c r="T1467">
        <v>0</v>
      </c>
      <c r="U1467">
        <v>0</v>
      </c>
      <c r="V1467" t="s">
        <v>29</v>
      </c>
      <c r="W1467">
        <v>2</v>
      </c>
    </row>
    <row r="1468" spans="1:23" x14ac:dyDescent="0.2">
      <c r="A1468">
        <v>5050591</v>
      </c>
      <c r="B1468" t="s">
        <v>18</v>
      </c>
      <c r="C1468" t="s">
        <v>20</v>
      </c>
      <c r="D1468" t="s">
        <v>19</v>
      </c>
      <c r="E1468">
        <v>0</v>
      </c>
      <c r="F1468">
        <v>121500</v>
      </c>
      <c r="G1468" t="s">
        <v>31</v>
      </c>
      <c r="H1468" t="s">
        <v>27</v>
      </c>
      <c r="I1468" t="s">
        <v>28</v>
      </c>
      <c r="J1468" t="s">
        <v>24</v>
      </c>
      <c r="K1468" s="6">
        <f t="shared" ca="1" si="96"/>
        <v>33099</v>
      </c>
      <c r="L1468">
        <v>-12662</v>
      </c>
      <c r="M1468" s="7">
        <f t="shared" ca="1" si="94"/>
        <v>34.666666666666664</v>
      </c>
      <c r="N1468" s="5" t="str">
        <f ca="1">VLOOKUP(Data!M1468,temp!$B$3:$C$9,2,1)</f>
        <v>30-40</v>
      </c>
      <c r="O1468">
        <v>-1382</v>
      </c>
      <c r="P1468" s="8">
        <f t="shared" si="95"/>
        <v>3.783709787816564</v>
      </c>
      <c r="Q1468" s="5" t="str">
        <f t="shared" si="97"/>
        <v>Employed</v>
      </c>
      <c r="R1468">
        <v>1</v>
      </c>
      <c r="S1468">
        <v>1</v>
      </c>
      <c r="T1468">
        <v>0</v>
      </c>
      <c r="U1468">
        <v>0</v>
      </c>
      <c r="V1468" t="s">
        <v>50</v>
      </c>
      <c r="W1468">
        <v>2</v>
      </c>
    </row>
    <row r="1469" spans="1:23" x14ac:dyDescent="0.2">
      <c r="A1469">
        <v>5050595</v>
      </c>
      <c r="B1469" t="s">
        <v>18</v>
      </c>
      <c r="C1469" t="s">
        <v>20</v>
      </c>
      <c r="D1469" t="s">
        <v>19</v>
      </c>
      <c r="E1469">
        <v>0</v>
      </c>
      <c r="F1469">
        <v>121500</v>
      </c>
      <c r="G1469" t="s">
        <v>31</v>
      </c>
      <c r="H1469" t="s">
        <v>27</v>
      </c>
      <c r="I1469" t="s">
        <v>28</v>
      </c>
      <c r="J1469" t="s">
        <v>24</v>
      </c>
      <c r="K1469" s="6">
        <f t="shared" ca="1" si="96"/>
        <v>33099</v>
      </c>
      <c r="L1469">
        <v>-12662</v>
      </c>
      <c r="M1469" s="7">
        <f t="shared" ca="1" si="94"/>
        <v>34.666666666666664</v>
      </c>
      <c r="N1469" s="5" t="str">
        <f ca="1">VLOOKUP(Data!M1469,temp!$B$3:$C$9,2,1)</f>
        <v>30-40</v>
      </c>
      <c r="O1469">
        <v>-1382</v>
      </c>
      <c r="P1469" s="8">
        <f t="shared" si="95"/>
        <v>3.783709787816564</v>
      </c>
      <c r="Q1469" s="5" t="str">
        <f t="shared" si="97"/>
        <v>Employed</v>
      </c>
      <c r="R1469">
        <v>1</v>
      </c>
      <c r="S1469">
        <v>1</v>
      </c>
      <c r="T1469">
        <v>0</v>
      </c>
      <c r="U1469">
        <v>0</v>
      </c>
      <c r="V1469" t="s">
        <v>50</v>
      </c>
      <c r="W1469">
        <v>2</v>
      </c>
    </row>
    <row r="1470" spans="1:23" x14ac:dyDescent="0.2">
      <c r="A1470">
        <v>5050603</v>
      </c>
      <c r="B1470" t="s">
        <v>25</v>
      </c>
      <c r="C1470" t="s">
        <v>19</v>
      </c>
      <c r="D1470" t="s">
        <v>19</v>
      </c>
      <c r="E1470">
        <v>0</v>
      </c>
      <c r="F1470">
        <v>157500</v>
      </c>
      <c r="G1470" t="s">
        <v>31</v>
      </c>
      <c r="H1470" t="s">
        <v>27</v>
      </c>
      <c r="I1470" t="s">
        <v>28</v>
      </c>
      <c r="J1470" t="s">
        <v>24</v>
      </c>
      <c r="K1470" s="6">
        <f t="shared" ca="1" si="96"/>
        <v>27434</v>
      </c>
      <c r="L1470">
        <v>-18327</v>
      </c>
      <c r="M1470" s="7">
        <f t="shared" ca="1" si="94"/>
        <v>50.176591375770023</v>
      </c>
      <c r="N1470" s="5" t="str">
        <f ca="1">VLOOKUP(Data!M1470,temp!$B$3:$C$9,2,1)</f>
        <v>50-60</v>
      </c>
      <c r="O1470">
        <v>-7288</v>
      </c>
      <c r="P1470" s="8">
        <f t="shared" si="95"/>
        <v>19.953456536618756</v>
      </c>
      <c r="Q1470" s="5" t="str">
        <f t="shared" si="97"/>
        <v>Employed</v>
      </c>
      <c r="R1470">
        <v>1</v>
      </c>
      <c r="S1470">
        <v>1</v>
      </c>
      <c r="T1470">
        <v>0</v>
      </c>
      <c r="U1470">
        <v>0</v>
      </c>
      <c r="V1470" t="s">
        <v>29</v>
      </c>
      <c r="W1470">
        <v>2</v>
      </c>
    </row>
    <row r="1471" spans="1:23" x14ac:dyDescent="0.2">
      <c r="A1471">
        <v>5050618</v>
      </c>
      <c r="B1471" t="s">
        <v>25</v>
      </c>
      <c r="C1471" t="s">
        <v>20</v>
      </c>
      <c r="D1471" t="s">
        <v>19</v>
      </c>
      <c r="E1471">
        <v>0</v>
      </c>
      <c r="F1471">
        <v>90000</v>
      </c>
      <c r="G1471" t="s">
        <v>31</v>
      </c>
      <c r="H1471" t="s">
        <v>27</v>
      </c>
      <c r="I1471" t="s">
        <v>33</v>
      </c>
      <c r="J1471" t="s">
        <v>24</v>
      </c>
      <c r="K1471" s="6">
        <f t="shared" ca="1" si="96"/>
        <v>28665</v>
      </c>
      <c r="L1471">
        <v>-17096</v>
      </c>
      <c r="M1471" s="7">
        <f t="shared" ca="1" si="94"/>
        <v>46.806297056810401</v>
      </c>
      <c r="N1471" s="5" t="str">
        <f ca="1">VLOOKUP(Data!M1471,temp!$B$3:$C$9,2,1)</f>
        <v>40-50</v>
      </c>
      <c r="O1471">
        <v>-9236</v>
      </c>
      <c r="P1471" s="8">
        <f t="shared" si="95"/>
        <v>25.286789869952088</v>
      </c>
      <c r="Q1471" s="5" t="str">
        <f t="shared" si="97"/>
        <v>Employed</v>
      </c>
      <c r="R1471">
        <v>1</v>
      </c>
      <c r="S1471">
        <v>0</v>
      </c>
      <c r="T1471">
        <v>0</v>
      </c>
      <c r="U1471">
        <v>0</v>
      </c>
      <c r="V1471" t="s">
        <v>30</v>
      </c>
      <c r="W1471">
        <v>1</v>
      </c>
    </row>
    <row r="1472" spans="1:23" x14ac:dyDescent="0.2">
      <c r="A1472">
        <v>5050620</v>
      </c>
      <c r="B1472" t="s">
        <v>25</v>
      </c>
      <c r="C1472" t="s">
        <v>20</v>
      </c>
      <c r="D1472" t="s">
        <v>19</v>
      </c>
      <c r="E1472">
        <v>0</v>
      </c>
      <c r="F1472">
        <v>112500</v>
      </c>
      <c r="G1472" t="s">
        <v>31</v>
      </c>
      <c r="H1472" t="s">
        <v>27</v>
      </c>
      <c r="I1472" t="s">
        <v>37</v>
      </c>
      <c r="J1472" t="s">
        <v>24</v>
      </c>
      <c r="K1472" s="6">
        <f t="shared" ca="1" si="96"/>
        <v>35757</v>
      </c>
      <c r="L1472">
        <v>-10004</v>
      </c>
      <c r="M1472" s="7">
        <f t="shared" ca="1" si="94"/>
        <v>27.389459274469541</v>
      </c>
      <c r="N1472" s="5" t="str">
        <f ca="1">VLOOKUP(Data!M1472,temp!$B$3:$C$9,2,1)</f>
        <v>20-30</v>
      </c>
      <c r="O1472">
        <v>-1962</v>
      </c>
      <c r="P1472" s="8">
        <f t="shared" si="95"/>
        <v>5.3716632443531829</v>
      </c>
      <c r="Q1472" s="5" t="str">
        <f t="shared" si="97"/>
        <v>Employed</v>
      </c>
      <c r="R1472">
        <v>1</v>
      </c>
      <c r="S1472">
        <v>0</v>
      </c>
      <c r="T1472">
        <v>1</v>
      </c>
      <c r="U1472">
        <v>0</v>
      </c>
      <c r="W1472">
        <v>2</v>
      </c>
    </row>
    <row r="1473" spans="1:23" x14ac:dyDescent="0.2">
      <c r="A1473">
        <v>5050624</v>
      </c>
      <c r="B1473" t="s">
        <v>25</v>
      </c>
      <c r="C1473" t="s">
        <v>20</v>
      </c>
      <c r="D1473" t="s">
        <v>19</v>
      </c>
      <c r="E1473">
        <v>0</v>
      </c>
      <c r="F1473">
        <v>315000</v>
      </c>
      <c r="G1473" t="s">
        <v>31</v>
      </c>
      <c r="H1473" t="s">
        <v>27</v>
      </c>
      <c r="I1473" t="s">
        <v>28</v>
      </c>
      <c r="J1473" t="s">
        <v>24</v>
      </c>
      <c r="K1473" s="6">
        <f t="shared" ca="1" si="96"/>
        <v>32699</v>
      </c>
      <c r="L1473">
        <v>-13062</v>
      </c>
      <c r="M1473" s="7">
        <f t="shared" ca="1" si="94"/>
        <v>35.761806981519506</v>
      </c>
      <c r="N1473" s="5" t="str">
        <f ca="1">VLOOKUP(Data!M1473,temp!$B$3:$C$9,2,1)</f>
        <v>30-40</v>
      </c>
      <c r="O1473">
        <v>-501</v>
      </c>
      <c r="P1473" s="8">
        <f t="shared" si="95"/>
        <v>1.3716632443531827</v>
      </c>
      <c r="Q1473" s="5" t="str">
        <f t="shared" si="97"/>
        <v>Employed</v>
      </c>
      <c r="R1473">
        <v>1</v>
      </c>
      <c r="S1473">
        <v>0</v>
      </c>
      <c r="T1473">
        <v>1</v>
      </c>
      <c r="U1473">
        <v>0</v>
      </c>
      <c r="V1473" t="s">
        <v>30</v>
      </c>
      <c r="W1473">
        <v>2</v>
      </c>
    </row>
    <row r="1474" spans="1:23" x14ac:dyDescent="0.2">
      <c r="A1474">
        <v>5050625</v>
      </c>
      <c r="B1474" t="s">
        <v>25</v>
      </c>
      <c r="C1474" t="s">
        <v>20</v>
      </c>
      <c r="D1474" t="s">
        <v>19</v>
      </c>
      <c r="E1474">
        <v>0</v>
      </c>
      <c r="F1474">
        <v>315000</v>
      </c>
      <c r="G1474" t="s">
        <v>31</v>
      </c>
      <c r="H1474" t="s">
        <v>27</v>
      </c>
      <c r="I1474" t="s">
        <v>28</v>
      </c>
      <c r="J1474" t="s">
        <v>24</v>
      </c>
      <c r="K1474" s="6">
        <f t="shared" ca="1" si="96"/>
        <v>32699</v>
      </c>
      <c r="L1474">
        <v>-13062</v>
      </c>
      <c r="M1474" s="7">
        <f t="shared" ca="1" si="94"/>
        <v>35.761806981519506</v>
      </c>
      <c r="N1474" s="5" t="str">
        <f ca="1">VLOOKUP(Data!M1474,temp!$B$3:$C$9,2,1)</f>
        <v>30-40</v>
      </c>
      <c r="O1474">
        <v>-501</v>
      </c>
      <c r="P1474" s="8">
        <f t="shared" si="95"/>
        <v>1.3716632443531827</v>
      </c>
      <c r="Q1474" s="5" t="str">
        <f t="shared" si="97"/>
        <v>Employed</v>
      </c>
      <c r="R1474">
        <v>1</v>
      </c>
      <c r="S1474">
        <v>0</v>
      </c>
      <c r="T1474">
        <v>1</v>
      </c>
      <c r="U1474">
        <v>0</v>
      </c>
      <c r="V1474" t="s">
        <v>30</v>
      </c>
      <c r="W1474">
        <v>2</v>
      </c>
    </row>
    <row r="1475" spans="1:23" x14ac:dyDescent="0.2">
      <c r="A1475">
        <v>5050628</v>
      </c>
      <c r="B1475" t="s">
        <v>25</v>
      </c>
      <c r="C1475" t="s">
        <v>20</v>
      </c>
      <c r="D1475" t="s">
        <v>19</v>
      </c>
      <c r="E1475">
        <v>0</v>
      </c>
      <c r="F1475">
        <v>315000</v>
      </c>
      <c r="G1475" t="s">
        <v>31</v>
      </c>
      <c r="H1475" t="s">
        <v>27</v>
      </c>
      <c r="I1475" t="s">
        <v>28</v>
      </c>
      <c r="J1475" t="s">
        <v>24</v>
      </c>
      <c r="K1475" s="6">
        <f t="shared" ca="1" si="96"/>
        <v>32699</v>
      </c>
      <c r="L1475">
        <v>-13062</v>
      </c>
      <c r="M1475" s="7">
        <f t="shared" ref="M1475:M1538" ca="1" si="98">(TODAY()-K1475)/365.25</f>
        <v>35.761806981519506</v>
      </c>
      <c r="N1475" s="5" t="str">
        <f ca="1">VLOOKUP(Data!M1475,temp!$B$3:$C$9,2,1)</f>
        <v>30-40</v>
      </c>
      <c r="O1475">
        <v>-501</v>
      </c>
      <c r="P1475" s="8">
        <f t="shared" ref="P1475:P1538" si="99">IF(O1475&lt;=0,ABS(O1475)/365.25,0)</f>
        <v>1.3716632443531827</v>
      </c>
      <c r="Q1475" s="5" t="str">
        <f t="shared" si="97"/>
        <v>Employed</v>
      </c>
      <c r="R1475">
        <v>1</v>
      </c>
      <c r="S1475">
        <v>0</v>
      </c>
      <c r="T1475">
        <v>1</v>
      </c>
      <c r="U1475">
        <v>0</v>
      </c>
      <c r="V1475" t="s">
        <v>30</v>
      </c>
      <c r="W1475">
        <v>2</v>
      </c>
    </row>
    <row r="1476" spans="1:23" x14ac:dyDescent="0.2">
      <c r="A1476">
        <v>5050629</v>
      </c>
      <c r="B1476" t="s">
        <v>25</v>
      </c>
      <c r="C1476" t="s">
        <v>20</v>
      </c>
      <c r="D1476" t="s">
        <v>19</v>
      </c>
      <c r="E1476">
        <v>0</v>
      </c>
      <c r="F1476">
        <v>315000</v>
      </c>
      <c r="G1476" t="s">
        <v>31</v>
      </c>
      <c r="H1476" t="s">
        <v>27</v>
      </c>
      <c r="I1476" t="s">
        <v>28</v>
      </c>
      <c r="J1476" t="s">
        <v>24</v>
      </c>
      <c r="K1476" s="6">
        <f t="shared" ca="1" si="96"/>
        <v>32699</v>
      </c>
      <c r="L1476">
        <v>-13062</v>
      </c>
      <c r="M1476" s="7">
        <f t="shared" ca="1" si="98"/>
        <v>35.761806981519506</v>
      </c>
      <c r="N1476" s="5" t="str">
        <f ca="1">VLOOKUP(Data!M1476,temp!$B$3:$C$9,2,1)</f>
        <v>30-40</v>
      </c>
      <c r="O1476">
        <v>-501</v>
      </c>
      <c r="P1476" s="8">
        <f t="shared" si="99"/>
        <v>1.3716632443531827</v>
      </c>
      <c r="Q1476" s="5" t="str">
        <f t="shared" si="97"/>
        <v>Employed</v>
      </c>
      <c r="R1476">
        <v>1</v>
      </c>
      <c r="S1476">
        <v>0</v>
      </c>
      <c r="T1476">
        <v>1</v>
      </c>
      <c r="U1476">
        <v>0</v>
      </c>
      <c r="V1476" t="s">
        <v>30</v>
      </c>
      <c r="W1476">
        <v>2</v>
      </c>
    </row>
    <row r="1477" spans="1:23" x14ac:dyDescent="0.2">
      <c r="A1477">
        <v>5050646</v>
      </c>
      <c r="B1477" t="s">
        <v>25</v>
      </c>
      <c r="C1477" t="s">
        <v>20</v>
      </c>
      <c r="D1477" t="s">
        <v>19</v>
      </c>
      <c r="E1477">
        <v>0</v>
      </c>
      <c r="F1477">
        <v>346500</v>
      </c>
      <c r="G1477" t="s">
        <v>26</v>
      </c>
      <c r="H1477" t="s">
        <v>27</v>
      </c>
      <c r="I1477" t="s">
        <v>28</v>
      </c>
      <c r="J1477" t="s">
        <v>24</v>
      </c>
      <c r="K1477" s="6">
        <f t="shared" ca="1" si="96"/>
        <v>36771</v>
      </c>
      <c r="L1477">
        <v>-8990</v>
      </c>
      <c r="M1477" s="7">
        <f t="shared" ca="1" si="98"/>
        <v>24.61327857631759</v>
      </c>
      <c r="N1477" s="5" t="str">
        <f ca="1">VLOOKUP(Data!M1477,temp!$B$3:$C$9,2,1)</f>
        <v>20-30</v>
      </c>
      <c r="O1477">
        <v>-1566</v>
      </c>
      <c r="P1477" s="8">
        <f t="shared" si="99"/>
        <v>4.2874743326488707</v>
      </c>
      <c r="Q1477" s="5" t="str">
        <f t="shared" si="97"/>
        <v>Employed</v>
      </c>
      <c r="R1477">
        <v>1</v>
      </c>
      <c r="S1477">
        <v>0</v>
      </c>
      <c r="T1477">
        <v>0</v>
      </c>
      <c r="U1477">
        <v>0</v>
      </c>
      <c r="V1477" t="s">
        <v>29</v>
      </c>
      <c r="W1477">
        <v>2</v>
      </c>
    </row>
    <row r="1478" spans="1:23" x14ac:dyDescent="0.2">
      <c r="A1478">
        <v>5050649</v>
      </c>
      <c r="B1478" t="s">
        <v>18</v>
      </c>
      <c r="C1478" t="s">
        <v>19</v>
      </c>
      <c r="D1478" t="s">
        <v>19</v>
      </c>
      <c r="E1478">
        <v>0</v>
      </c>
      <c r="F1478">
        <v>112500</v>
      </c>
      <c r="G1478" t="s">
        <v>31</v>
      </c>
      <c r="H1478" t="s">
        <v>27</v>
      </c>
      <c r="I1478" t="s">
        <v>28</v>
      </c>
      <c r="J1478" t="s">
        <v>24</v>
      </c>
      <c r="K1478" s="6">
        <f t="shared" ca="1" si="96"/>
        <v>31094</v>
      </c>
      <c r="L1478">
        <v>-14667</v>
      </c>
      <c r="M1478" s="7">
        <f t="shared" ca="1" si="98"/>
        <v>40.156057494866531</v>
      </c>
      <c r="N1478" s="5" t="str">
        <f ca="1">VLOOKUP(Data!M1478,temp!$B$3:$C$9,2,1)</f>
        <v>40-50</v>
      </c>
      <c r="O1478">
        <v>-1048</v>
      </c>
      <c r="P1478" s="8">
        <f t="shared" si="99"/>
        <v>2.8692676249144422</v>
      </c>
      <c r="Q1478" s="5" t="str">
        <f t="shared" si="97"/>
        <v>Employed</v>
      </c>
      <c r="R1478">
        <v>1</v>
      </c>
      <c r="S1478">
        <v>1</v>
      </c>
      <c r="T1478">
        <v>1</v>
      </c>
      <c r="U1478">
        <v>0</v>
      </c>
      <c r="V1478" t="s">
        <v>44</v>
      </c>
      <c r="W1478">
        <v>2</v>
      </c>
    </row>
    <row r="1479" spans="1:23" x14ac:dyDescent="0.2">
      <c r="A1479">
        <v>5050677</v>
      </c>
      <c r="B1479" t="s">
        <v>25</v>
      </c>
      <c r="C1479" t="s">
        <v>20</v>
      </c>
      <c r="D1479" t="s">
        <v>19</v>
      </c>
      <c r="E1479">
        <v>0</v>
      </c>
      <c r="F1479">
        <v>132372</v>
      </c>
      <c r="G1479" t="s">
        <v>26</v>
      </c>
      <c r="H1479" t="s">
        <v>27</v>
      </c>
      <c r="I1479" t="s">
        <v>28</v>
      </c>
      <c r="J1479" t="s">
        <v>41</v>
      </c>
      <c r="K1479" s="6">
        <f t="shared" ca="1" si="96"/>
        <v>37347</v>
      </c>
      <c r="L1479">
        <v>-8414</v>
      </c>
      <c r="M1479" s="7">
        <f t="shared" ca="1" si="98"/>
        <v>23.036276522929501</v>
      </c>
      <c r="N1479" s="5" t="str">
        <f ca="1">VLOOKUP(Data!M1479,temp!$B$3:$C$9,2,1)</f>
        <v>20-30</v>
      </c>
      <c r="O1479">
        <v>-378</v>
      </c>
      <c r="P1479" s="8">
        <f t="shared" si="99"/>
        <v>1.0349075975359343</v>
      </c>
      <c r="Q1479" s="5" t="str">
        <f t="shared" si="97"/>
        <v>Employed</v>
      </c>
      <c r="R1479">
        <v>1</v>
      </c>
      <c r="S1479">
        <v>1</v>
      </c>
      <c r="T1479">
        <v>0</v>
      </c>
      <c r="U1479">
        <v>1</v>
      </c>
      <c r="V1479" t="s">
        <v>39</v>
      </c>
      <c r="W1479">
        <v>2</v>
      </c>
    </row>
    <row r="1480" spans="1:23" x14ac:dyDescent="0.2">
      <c r="A1480">
        <v>5050682</v>
      </c>
      <c r="B1480" t="s">
        <v>18</v>
      </c>
      <c r="C1480" t="s">
        <v>19</v>
      </c>
      <c r="D1480" t="s">
        <v>19</v>
      </c>
      <c r="E1480">
        <v>0</v>
      </c>
      <c r="F1480">
        <v>157500</v>
      </c>
      <c r="G1480" t="s">
        <v>31</v>
      </c>
      <c r="H1480" t="s">
        <v>27</v>
      </c>
      <c r="I1480" t="s">
        <v>42</v>
      </c>
      <c r="J1480" t="s">
        <v>24</v>
      </c>
      <c r="K1480" s="6">
        <f t="shared" ref="K1480:K1543" ca="1" si="100">TODAY()+($L1480)</f>
        <v>27798</v>
      </c>
      <c r="L1480">
        <v>-17963</v>
      </c>
      <c r="M1480" s="7">
        <f t="shared" ca="1" si="98"/>
        <v>49.180013689253933</v>
      </c>
      <c r="N1480" s="5" t="str">
        <f ca="1">VLOOKUP(Data!M1480,temp!$B$3:$C$9,2,1)</f>
        <v>40-50</v>
      </c>
      <c r="O1480">
        <v>-197</v>
      </c>
      <c r="P1480" s="8">
        <f t="shared" si="99"/>
        <v>0.53935660506502392</v>
      </c>
      <c r="Q1480" s="5" t="str">
        <f t="shared" ref="Q1480:Q1543" si="101">IF($O1480&gt;0,"Unemployed","Employed")</f>
        <v>Employed</v>
      </c>
      <c r="R1480">
        <v>1</v>
      </c>
      <c r="S1480">
        <v>0</v>
      </c>
      <c r="T1480">
        <v>0</v>
      </c>
      <c r="U1480">
        <v>0</v>
      </c>
      <c r="V1480" t="s">
        <v>46</v>
      </c>
      <c r="W1480">
        <v>1</v>
      </c>
    </row>
    <row r="1481" spans="1:23" x14ac:dyDescent="0.2">
      <c r="A1481">
        <v>5050683</v>
      </c>
      <c r="B1481" t="s">
        <v>18</v>
      </c>
      <c r="C1481" t="s">
        <v>19</v>
      </c>
      <c r="D1481" t="s">
        <v>19</v>
      </c>
      <c r="E1481">
        <v>0</v>
      </c>
      <c r="F1481">
        <v>157500</v>
      </c>
      <c r="G1481" t="s">
        <v>31</v>
      </c>
      <c r="H1481" t="s">
        <v>27</v>
      </c>
      <c r="I1481" t="s">
        <v>42</v>
      </c>
      <c r="J1481" t="s">
        <v>24</v>
      </c>
      <c r="K1481" s="6">
        <f t="shared" ca="1" si="100"/>
        <v>27798</v>
      </c>
      <c r="L1481">
        <v>-17963</v>
      </c>
      <c r="M1481" s="7">
        <f t="shared" ca="1" si="98"/>
        <v>49.180013689253933</v>
      </c>
      <c r="N1481" s="5" t="str">
        <f ca="1">VLOOKUP(Data!M1481,temp!$B$3:$C$9,2,1)</f>
        <v>40-50</v>
      </c>
      <c r="O1481">
        <v>-197</v>
      </c>
      <c r="P1481" s="8">
        <f t="shared" si="99"/>
        <v>0.53935660506502392</v>
      </c>
      <c r="Q1481" s="5" t="str">
        <f t="shared" si="101"/>
        <v>Employed</v>
      </c>
      <c r="R1481">
        <v>1</v>
      </c>
      <c r="S1481">
        <v>0</v>
      </c>
      <c r="T1481">
        <v>0</v>
      </c>
      <c r="U1481">
        <v>0</v>
      </c>
      <c r="V1481" t="s">
        <v>46</v>
      </c>
      <c r="W1481">
        <v>1</v>
      </c>
    </row>
    <row r="1482" spans="1:23" x14ac:dyDescent="0.2">
      <c r="A1482">
        <v>5050691</v>
      </c>
      <c r="B1482" t="s">
        <v>18</v>
      </c>
      <c r="C1482" t="s">
        <v>19</v>
      </c>
      <c r="D1482" t="s">
        <v>19</v>
      </c>
      <c r="E1482">
        <v>1</v>
      </c>
      <c r="F1482">
        <v>135000</v>
      </c>
      <c r="G1482" t="s">
        <v>26</v>
      </c>
      <c r="H1482" t="s">
        <v>27</v>
      </c>
      <c r="I1482" t="s">
        <v>33</v>
      </c>
      <c r="J1482" t="s">
        <v>24</v>
      </c>
      <c r="K1482" s="6">
        <f t="shared" ca="1" si="100"/>
        <v>30854</v>
      </c>
      <c r="L1482">
        <v>-14907</v>
      </c>
      <c r="M1482" s="7">
        <f t="shared" ca="1" si="98"/>
        <v>40.813141683778234</v>
      </c>
      <c r="N1482" s="5" t="str">
        <f ca="1">VLOOKUP(Data!M1482,temp!$B$3:$C$9,2,1)</f>
        <v>40-50</v>
      </c>
      <c r="O1482">
        <v>-2540</v>
      </c>
      <c r="P1482" s="8">
        <f t="shared" si="99"/>
        <v>6.9541409993155376</v>
      </c>
      <c r="Q1482" s="5" t="str">
        <f t="shared" si="101"/>
        <v>Employed</v>
      </c>
      <c r="R1482">
        <v>1</v>
      </c>
      <c r="S1482">
        <v>0</v>
      </c>
      <c r="T1482">
        <v>0</v>
      </c>
      <c r="U1482">
        <v>0</v>
      </c>
      <c r="V1482" t="s">
        <v>39</v>
      </c>
      <c r="W1482">
        <v>2</v>
      </c>
    </row>
    <row r="1483" spans="1:23" x14ac:dyDescent="0.2">
      <c r="A1483">
        <v>5050705</v>
      </c>
      <c r="B1483" t="s">
        <v>18</v>
      </c>
      <c r="C1483" t="s">
        <v>20</v>
      </c>
      <c r="D1483" t="s">
        <v>19</v>
      </c>
      <c r="E1483">
        <v>0</v>
      </c>
      <c r="F1483">
        <v>157500</v>
      </c>
      <c r="G1483" t="s">
        <v>26</v>
      </c>
      <c r="H1483" t="s">
        <v>27</v>
      </c>
      <c r="I1483" t="s">
        <v>37</v>
      </c>
      <c r="J1483" t="s">
        <v>24</v>
      </c>
      <c r="K1483" s="6">
        <f t="shared" ca="1" si="100"/>
        <v>33452</v>
      </c>
      <c r="L1483">
        <v>-12309</v>
      </c>
      <c r="M1483" s="7">
        <f t="shared" ca="1" si="98"/>
        <v>33.700205338809035</v>
      </c>
      <c r="N1483" s="5" t="str">
        <f ca="1">VLOOKUP(Data!M1483,temp!$B$3:$C$9,2,1)</f>
        <v>30-40</v>
      </c>
      <c r="O1483">
        <v>-1962</v>
      </c>
      <c r="P1483" s="8">
        <f t="shared" si="99"/>
        <v>5.3716632443531829</v>
      </c>
      <c r="Q1483" s="5" t="str">
        <f t="shared" si="101"/>
        <v>Employed</v>
      </c>
      <c r="R1483">
        <v>1</v>
      </c>
      <c r="S1483">
        <v>0</v>
      </c>
      <c r="T1483">
        <v>0</v>
      </c>
      <c r="U1483">
        <v>0</v>
      </c>
      <c r="W1483">
        <v>2</v>
      </c>
    </row>
    <row r="1484" spans="1:23" x14ac:dyDescent="0.2">
      <c r="A1484">
        <v>5050714</v>
      </c>
      <c r="B1484" t="s">
        <v>25</v>
      </c>
      <c r="C1484" t="s">
        <v>20</v>
      </c>
      <c r="D1484" t="s">
        <v>19</v>
      </c>
      <c r="E1484">
        <v>0</v>
      </c>
      <c r="F1484">
        <v>157500</v>
      </c>
      <c r="G1484" t="s">
        <v>26</v>
      </c>
      <c r="H1484" t="s">
        <v>22</v>
      </c>
      <c r="I1484" t="s">
        <v>28</v>
      </c>
      <c r="J1484" t="s">
        <v>24</v>
      </c>
      <c r="K1484" s="6">
        <f t="shared" ca="1" si="100"/>
        <v>36182</v>
      </c>
      <c r="L1484">
        <v>-9579</v>
      </c>
      <c r="M1484" s="7">
        <f t="shared" ca="1" si="98"/>
        <v>26.225872689938399</v>
      </c>
      <c r="N1484" s="5" t="str">
        <f ca="1">VLOOKUP(Data!M1484,temp!$B$3:$C$9,2,1)</f>
        <v>20-30</v>
      </c>
      <c r="O1484">
        <v>-835</v>
      </c>
      <c r="P1484" s="8">
        <f t="shared" si="99"/>
        <v>2.2861054072553046</v>
      </c>
      <c r="Q1484" s="5" t="str">
        <f t="shared" si="101"/>
        <v>Employed</v>
      </c>
      <c r="R1484">
        <v>1</v>
      </c>
      <c r="S1484">
        <v>0</v>
      </c>
      <c r="T1484">
        <v>0</v>
      </c>
      <c r="U1484">
        <v>0</v>
      </c>
      <c r="V1484" t="s">
        <v>29</v>
      </c>
      <c r="W1484">
        <v>2</v>
      </c>
    </row>
    <row r="1485" spans="1:23" x14ac:dyDescent="0.2">
      <c r="A1485">
        <v>5050718</v>
      </c>
      <c r="B1485" t="s">
        <v>25</v>
      </c>
      <c r="C1485" t="s">
        <v>20</v>
      </c>
      <c r="D1485" t="s">
        <v>19</v>
      </c>
      <c r="E1485">
        <v>0</v>
      </c>
      <c r="F1485">
        <v>157500</v>
      </c>
      <c r="G1485" t="s">
        <v>26</v>
      </c>
      <c r="H1485" t="s">
        <v>22</v>
      </c>
      <c r="I1485" t="s">
        <v>28</v>
      </c>
      <c r="J1485" t="s">
        <v>24</v>
      </c>
      <c r="K1485" s="6">
        <f t="shared" ca="1" si="100"/>
        <v>36182</v>
      </c>
      <c r="L1485">
        <v>-9579</v>
      </c>
      <c r="M1485" s="7">
        <f t="shared" ca="1" si="98"/>
        <v>26.225872689938399</v>
      </c>
      <c r="N1485" s="5" t="str">
        <f ca="1">VLOOKUP(Data!M1485,temp!$B$3:$C$9,2,1)</f>
        <v>20-30</v>
      </c>
      <c r="O1485">
        <v>-835</v>
      </c>
      <c r="P1485" s="8">
        <f t="shared" si="99"/>
        <v>2.2861054072553046</v>
      </c>
      <c r="Q1485" s="5" t="str">
        <f t="shared" si="101"/>
        <v>Employed</v>
      </c>
      <c r="R1485">
        <v>1</v>
      </c>
      <c r="S1485">
        <v>0</v>
      </c>
      <c r="T1485">
        <v>0</v>
      </c>
      <c r="U1485">
        <v>0</v>
      </c>
      <c r="V1485" t="s">
        <v>29</v>
      </c>
      <c r="W1485">
        <v>2</v>
      </c>
    </row>
    <row r="1486" spans="1:23" x14ac:dyDescent="0.2">
      <c r="A1486">
        <v>5050743</v>
      </c>
      <c r="B1486" t="s">
        <v>18</v>
      </c>
      <c r="C1486" t="s">
        <v>19</v>
      </c>
      <c r="D1486" t="s">
        <v>19</v>
      </c>
      <c r="E1486">
        <v>0</v>
      </c>
      <c r="F1486">
        <v>135000</v>
      </c>
      <c r="G1486" t="s">
        <v>21</v>
      </c>
      <c r="H1486" t="s">
        <v>27</v>
      </c>
      <c r="I1486" t="s">
        <v>28</v>
      </c>
      <c r="J1486" t="s">
        <v>24</v>
      </c>
      <c r="K1486" s="6">
        <f t="shared" ca="1" si="100"/>
        <v>25153</v>
      </c>
      <c r="L1486">
        <v>-20608</v>
      </c>
      <c r="M1486" s="7">
        <f t="shared" ca="1" si="98"/>
        <v>56.421629021218344</v>
      </c>
      <c r="N1486" s="5" t="str">
        <f ca="1">VLOOKUP(Data!M1486,temp!$B$3:$C$9,2,1)</f>
        <v>50-60</v>
      </c>
      <c r="O1486">
        <v>365243</v>
      </c>
      <c r="P1486" s="8">
        <f t="shared" si="99"/>
        <v>0</v>
      </c>
      <c r="Q1486" s="5" t="str">
        <f t="shared" si="101"/>
        <v>Unemployed</v>
      </c>
      <c r="R1486">
        <v>1</v>
      </c>
      <c r="S1486">
        <v>0</v>
      </c>
      <c r="T1486">
        <v>0</v>
      </c>
      <c r="U1486">
        <v>0</v>
      </c>
      <c r="W1486">
        <v>2</v>
      </c>
    </row>
    <row r="1487" spans="1:23" x14ac:dyDescent="0.2">
      <c r="A1487">
        <v>5050744</v>
      </c>
      <c r="B1487" t="s">
        <v>18</v>
      </c>
      <c r="C1487" t="s">
        <v>19</v>
      </c>
      <c r="D1487" t="s">
        <v>19</v>
      </c>
      <c r="E1487">
        <v>0</v>
      </c>
      <c r="F1487">
        <v>135000</v>
      </c>
      <c r="G1487" t="s">
        <v>21</v>
      </c>
      <c r="H1487" t="s">
        <v>27</v>
      </c>
      <c r="I1487" t="s">
        <v>28</v>
      </c>
      <c r="J1487" t="s">
        <v>24</v>
      </c>
      <c r="K1487" s="6">
        <f t="shared" ca="1" si="100"/>
        <v>25153</v>
      </c>
      <c r="L1487">
        <v>-20608</v>
      </c>
      <c r="M1487" s="7">
        <f t="shared" ca="1" si="98"/>
        <v>56.421629021218344</v>
      </c>
      <c r="N1487" s="5" t="str">
        <f ca="1">VLOOKUP(Data!M1487,temp!$B$3:$C$9,2,1)</f>
        <v>50-60</v>
      </c>
      <c r="O1487">
        <v>365243</v>
      </c>
      <c r="P1487" s="8">
        <f t="shared" si="99"/>
        <v>0</v>
      </c>
      <c r="Q1487" s="5" t="str">
        <f t="shared" si="101"/>
        <v>Unemployed</v>
      </c>
      <c r="R1487">
        <v>1</v>
      </c>
      <c r="S1487">
        <v>0</v>
      </c>
      <c r="T1487">
        <v>0</v>
      </c>
      <c r="U1487">
        <v>0</v>
      </c>
      <c r="W1487">
        <v>2</v>
      </c>
    </row>
    <row r="1488" spans="1:23" x14ac:dyDescent="0.2">
      <c r="A1488">
        <v>5050756</v>
      </c>
      <c r="B1488" t="s">
        <v>25</v>
      </c>
      <c r="C1488" t="s">
        <v>20</v>
      </c>
      <c r="D1488" t="s">
        <v>19</v>
      </c>
      <c r="E1488">
        <v>0</v>
      </c>
      <c r="F1488">
        <v>225000</v>
      </c>
      <c r="G1488" t="s">
        <v>26</v>
      </c>
      <c r="H1488" t="s">
        <v>27</v>
      </c>
      <c r="I1488" t="s">
        <v>28</v>
      </c>
      <c r="J1488" t="s">
        <v>24</v>
      </c>
      <c r="K1488" s="6">
        <f t="shared" ca="1" si="100"/>
        <v>27703</v>
      </c>
      <c r="L1488">
        <v>-18058</v>
      </c>
      <c r="M1488" s="7">
        <f t="shared" ca="1" si="98"/>
        <v>49.440109514031484</v>
      </c>
      <c r="N1488" s="5" t="str">
        <f ca="1">VLOOKUP(Data!M1488,temp!$B$3:$C$9,2,1)</f>
        <v>40-50</v>
      </c>
      <c r="O1488">
        <v>-4031</v>
      </c>
      <c r="P1488" s="8">
        <f t="shared" si="99"/>
        <v>11.0362765229295</v>
      </c>
      <c r="Q1488" s="5" t="str">
        <f t="shared" si="101"/>
        <v>Employed</v>
      </c>
      <c r="R1488">
        <v>1</v>
      </c>
      <c r="S1488">
        <v>1</v>
      </c>
      <c r="T1488">
        <v>0</v>
      </c>
      <c r="U1488">
        <v>0</v>
      </c>
      <c r="V1488" t="s">
        <v>30</v>
      </c>
      <c r="W1488">
        <v>2</v>
      </c>
    </row>
    <row r="1489" spans="1:23" x14ac:dyDescent="0.2">
      <c r="A1489">
        <v>5050758</v>
      </c>
      <c r="B1489" t="s">
        <v>25</v>
      </c>
      <c r="C1489" t="s">
        <v>19</v>
      </c>
      <c r="D1489" t="s">
        <v>19</v>
      </c>
      <c r="E1489">
        <v>0</v>
      </c>
      <c r="F1489">
        <v>247500</v>
      </c>
      <c r="G1489" t="s">
        <v>31</v>
      </c>
      <c r="H1489" t="s">
        <v>27</v>
      </c>
      <c r="I1489" t="s">
        <v>28</v>
      </c>
      <c r="J1489" t="s">
        <v>24</v>
      </c>
      <c r="K1489" s="6">
        <f t="shared" ca="1" si="100"/>
        <v>27787</v>
      </c>
      <c r="L1489">
        <v>-17974</v>
      </c>
      <c r="M1489" s="7">
        <f t="shared" ca="1" si="98"/>
        <v>49.210130047912386</v>
      </c>
      <c r="N1489" s="5" t="str">
        <f ca="1">VLOOKUP(Data!M1489,temp!$B$3:$C$9,2,1)</f>
        <v>40-50</v>
      </c>
      <c r="O1489">
        <v>-1413</v>
      </c>
      <c r="P1489" s="8">
        <f t="shared" si="99"/>
        <v>3.868583162217659</v>
      </c>
      <c r="Q1489" s="5" t="str">
        <f t="shared" si="101"/>
        <v>Employed</v>
      </c>
      <c r="R1489">
        <v>1</v>
      </c>
      <c r="S1489">
        <v>0</v>
      </c>
      <c r="T1489">
        <v>0</v>
      </c>
      <c r="U1489">
        <v>0</v>
      </c>
      <c r="V1489" t="s">
        <v>30</v>
      </c>
      <c r="W1489">
        <v>2</v>
      </c>
    </row>
    <row r="1490" spans="1:23" x14ac:dyDescent="0.2">
      <c r="A1490">
        <v>5050759</v>
      </c>
      <c r="B1490" t="s">
        <v>25</v>
      </c>
      <c r="C1490" t="s">
        <v>20</v>
      </c>
      <c r="D1490" t="s">
        <v>19</v>
      </c>
      <c r="E1490">
        <v>0</v>
      </c>
      <c r="F1490">
        <v>180000</v>
      </c>
      <c r="G1490" t="s">
        <v>31</v>
      </c>
      <c r="H1490" t="s">
        <v>27</v>
      </c>
      <c r="I1490" t="s">
        <v>23</v>
      </c>
      <c r="J1490" t="s">
        <v>45</v>
      </c>
      <c r="K1490" s="6">
        <f t="shared" ca="1" si="100"/>
        <v>31412</v>
      </c>
      <c r="L1490">
        <v>-14349</v>
      </c>
      <c r="M1490" s="7">
        <f t="shared" ca="1" si="98"/>
        <v>39.285420944558524</v>
      </c>
      <c r="N1490" s="5" t="str">
        <f ca="1">VLOOKUP(Data!M1490,temp!$B$3:$C$9,2,1)</f>
        <v>30-40</v>
      </c>
      <c r="O1490">
        <v>-317</v>
      </c>
      <c r="P1490" s="8">
        <f t="shared" si="99"/>
        <v>0.86789869952087606</v>
      </c>
      <c r="Q1490" s="5" t="str">
        <f t="shared" si="101"/>
        <v>Employed</v>
      </c>
      <c r="R1490">
        <v>1</v>
      </c>
      <c r="S1490">
        <v>0</v>
      </c>
      <c r="T1490">
        <v>0</v>
      </c>
      <c r="U1490">
        <v>0</v>
      </c>
      <c r="V1490" t="s">
        <v>29</v>
      </c>
      <c r="W1490">
        <v>1</v>
      </c>
    </row>
    <row r="1491" spans="1:23" x14ac:dyDescent="0.2">
      <c r="A1491">
        <v>5050760</v>
      </c>
      <c r="B1491" t="s">
        <v>25</v>
      </c>
      <c r="C1491" t="s">
        <v>20</v>
      </c>
      <c r="D1491" t="s">
        <v>19</v>
      </c>
      <c r="E1491">
        <v>0</v>
      </c>
      <c r="F1491">
        <v>180000</v>
      </c>
      <c r="G1491" t="s">
        <v>31</v>
      </c>
      <c r="H1491" t="s">
        <v>27</v>
      </c>
      <c r="I1491" t="s">
        <v>23</v>
      </c>
      <c r="J1491" t="s">
        <v>45</v>
      </c>
      <c r="K1491" s="6">
        <f t="shared" ca="1" si="100"/>
        <v>31412</v>
      </c>
      <c r="L1491">
        <v>-14349</v>
      </c>
      <c r="M1491" s="7">
        <f t="shared" ca="1" si="98"/>
        <v>39.285420944558524</v>
      </c>
      <c r="N1491" s="5" t="str">
        <f ca="1">VLOOKUP(Data!M1491,temp!$B$3:$C$9,2,1)</f>
        <v>30-40</v>
      </c>
      <c r="O1491">
        <v>-317</v>
      </c>
      <c r="P1491" s="8">
        <f t="shared" si="99"/>
        <v>0.86789869952087606</v>
      </c>
      <c r="Q1491" s="5" t="str">
        <f t="shared" si="101"/>
        <v>Employed</v>
      </c>
      <c r="R1491">
        <v>1</v>
      </c>
      <c r="S1491">
        <v>0</v>
      </c>
      <c r="T1491">
        <v>0</v>
      </c>
      <c r="U1491">
        <v>0</v>
      </c>
      <c r="V1491" t="s">
        <v>29</v>
      </c>
      <c r="W1491">
        <v>1</v>
      </c>
    </row>
    <row r="1492" spans="1:23" x14ac:dyDescent="0.2">
      <c r="A1492">
        <v>5050763</v>
      </c>
      <c r="B1492" t="s">
        <v>25</v>
      </c>
      <c r="C1492" t="s">
        <v>20</v>
      </c>
      <c r="D1492" t="s">
        <v>19</v>
      </c>
      <c r="E1492">
        <v>0</v>
      </c>
      <c r="F1492">
        <v>180000</v>
      </c>
      <c r="G1492" t="s">
        <v>31</v>
      </c>
      <c r="H1492" t="s">
        <v>27</v>
      </c>
      <c r="I1492" t="s">
        <v>23</v>
      </c>
      <c r="J1492" t="s">
        <v>45</v>
      </c>
      <c r="K1492" s="6">
        <f t="shared" ca="1" si="100"/>
        <v>31412</v>
      </c>
      <c r="L1492">
        <v>-14349</v>
      </c>
      <c r="M1492" s="7">
        <f t="shared" ca="1" si="98"/>
        <v>39.285420944558524</v>
      </c>
      <c r="N1492" s="5" t="str">
        <f ca="1">VLOOKUP(Data!M1492,temp!$B$3:$C$9,2,1)</f>
        <v>30-40</v>
      </c>
      <c r="O1492">
        <v>-317</v>
      </c>
      <c r="P1492" s="8">
        <f t="shared" si="99"/>
        <v>0.86789869952087606</v>
      </c>
      <c r="Q1492" s="5" t="str">
        <f t="shared" si="101"/>
        <v>Employed</v>
      </c>
      <c r="R1492">
        <v>1</v>
      </c>
      <c r="S1492">
        <v>0</v>
      </c>
      <c r="T1492">
        <v>0</v>
      </c>
      <c r="U1492">
        <v>0</v>
      </c>
      <c r="V1492" t="s">
        <v>29</v>
      </c>
      <c r="W1492">
        <v>1</v>
      </c>
    </row>
    <row r="1493" spans="1:23" x14ac:dyDescent="0.2">
      <c r="A1493">
        <v>5050773</v>
      </c>
      <c r="B1493" t="s">
        <v>18</v>
      </c>
      <c r="C1493" t="s">
        <v>19</v>
      </c>
      <c r="D1493" t="s">
        <v>19</v>
      </c>
      <c r="E1493">
        <v>0</v>
      </c>
      <c r="F1493">
        <v>91530</v>
      </c>
      <c r="G1493" t="s">
        <v>31</v>
      </c>
      <c r="H1493" t="s">
        <v>27</v>
      </c>
      <c r="I1493" t="s">
        <v>33</v>
      </c>
      <c r="J1493" t="s">
        <v>24</v>
      </c>
      <c r="K1493" s="6">
        <f t="shared" ca="1" si="100"/>
        <v>23957</v>
      </c>
      <c r="L1493">
        <v>-21804</v>
      </c>
      <c r="M1493" s="7">
        <f t="shared" ca="1" si="98"/>
        <v>59.696098562628336</v>
      </c>
      <c r="N1493" s="5" t="str">
        <f ca="1">VLOOKUP(Data!M1493,temp!$B$3:$C$9,2,1)</f>
        <v>50-60</v>
      </c>
      <c r="O1493">
        <v>-1627</v>
      </c>
      <c r="P1493" s="8">
        <f t="shared" si="99"/>
        <v>4.4544832306639286</v>
      </c>
      <c r="Q1493" s="5" t="str">
        <f t="shared" si="101"/>
        <v>Employed</v>
      </c>
      <c r="R1493">
        <v>1</v>
      </c>
      <c r="S1493">
        <v>1</v>
      </c>
      <c r="T1493">
        <v>0</v>
      </c>
      <c r="U1493">
        <v>0</v>
      </c>
      <c r="V1493" t="s">
        <v>32</v>
      </c>
      <c r="W1493">
        <v>1</v>
      </c>
    </row>
    <row r="1494" spans="1:23" x14ac:dyDescent="0.2">
      <c r="A1494">
        <v>5050777</v>
      </c>
      <c r="B1494" t="s">
        <v>18</v>
      </c>
      <c r="C1494" t="s">
        <v>20</v>
      </c>
      <c r="D1494" t="s">
        <v>19</v>
      </c>
      <c r="E1494">
        <v>0</v>
      </c>
      <c r="F1494">
        <v>81000</v>
      </c>
      <c r="G1494" t="s">
        <v>31</v>
      </c>
      <c r="H1494" t="s">
        <v>27</v>
      </c>
      <c r="I1494" t="s">
        <v>28</v>
      </c>
      <c r="J1494" t="s">
        <v>24</v>
      </c>
      <c r="K1494" s="6">
        <f t="shared" ca="1" si="100"/>
        <v>26542</v>
      </c>
      <c r="L1494">
        <v>-19219</v>
      </c>
      <c r="M1494" s="7">
        <f t="shared" ca="1" si="98"/>
        <v>52.618754277891853</v>
      </c>
      <c r="N1494" s="5" t="str">
        <f ca="1">VLOOKUP(Data!M1494,temp!$B$3:$C$9,2,1)</f>
        <v>50-60</v>
      </c>
      <c r="O1494">
        <v>-988</v>
      </c>
      <c r="P1494" s="8">
        <f t="shared" si="99"/>
        <v>2.7049965776865159</v>
      </c>
      <c r="Q1494" s="5" t="str">
        <f t="shared" si="101"/>
        <v>Employed</v>
      </c>
      <c r="R1494">
        <v>1</v>
      </c>
      <c r="S1494">
        <v>0</v>
      </c>
      <c r="T1494">
        <v>0</v>
      </c>
      <c r="U1494">
        <v>0</v>
      </c>
      <c r="V1494" t="s">
        <v>39</v>
      </c>
      <c r="W1494">
        <v>2</v>
      </c>
    </row>
    <row r="1495" spans="1:23" x14ac:dyDescent="0.2">
      <c r="A1495">
        <v>5050795</v>
      </c>
      <c r="B1495" t="s">
        <v>18</v>
      </c>
      <c r="C1495" t="s">
        <v>20</v>
      </c>
      <c r="D1495" t="s">
        <v>19</v>
      </c>
      <c r="E1495">
        <v>1</v>
      </c>
      <c r="F1495">
        <v>135000</v>
      </c>
      <c r="G1495" t="s">
        <v>31</v>
      </c>
      <c r="H1495" t="s">
        <v>22</v>
      </c>
      <c r="I1495" t="s">
        <v>37</v>
      </c>
      <c r="J1495" t="s">
        <v>24</v>
      </c>
      <c r="K1495" s="6">
        <f t="shared" ca="1" si="100"/>
        <v>32934</v>
      </c>
      <c r="L1495">
        <v>-12827</v>
      </c>
      <c r="M1495" s="7">
        <f t="shared" ca="1" si="98"/>
        <v>35.118412046543462</v>
      </c>
      <c r="N1495" s="5" t="str">
        <f ca="1">VLOOKUP(Data!M1495,temp!$B$3:$C$9,2,1)</f>
        <v>30-40</v>
      </c>
      <c r="O1495">
        <v>-623</v>
      </c>
      <c r="P1495" s="8">
        <f t="shared" si="99"/>
        <v>1.7056810403832992</v>
      </c>
      <c r="Q1495" s="5" t="str">
        <f t="shared" si="101"/>
        <v>Employed</v>
      </c>
      <c r="R1495">
        <v>1</v>
      </c>
      <c r="S1495">
        <v>0</v>
      </c>
      <c r="T1495">
        <v>0</v>
      </c>
      <c r="U1495">
        <v>0</v>
      </c>
      <c r="V1495" t="s">
        <v>39</v>
      </c>
      <c r="W1495">
        <v>3</v>
      </c>
    </row>
    <row r="1496" spans="1:23" x14ac:dyDescent="0.2">
      <c r="A1496">
        <v>5050796</v>
      </c>
      <c r="B1496" t="s">
        <v>18</v>
      </c>
      <c r="C1496" t="s">
        <v>20</v>
      </c>
      <c r="D1496" t="s">
        <v>19</v>
      </c>
      <c r="E1496">
        <v>1</v>
      </c>
      <c r="F1496">
        <v>135000</v>
      </c>
      <c r="G1496" t="s">
        <v>31</v>
      </c>
      <c r="H1496" t="s">
        <v>22</v>
      </c>
      <c r="I1496" t="s">
        <v>37</v>
      </c>
      <c r="J1496" t="s">
        <v>24</v>
      </c>
      <c r="K1496" s="6">
        <f t="shared" ca="1" si="100"/>
        <v>32934</v>
      </c>
      <c r="L1496">
        <v>-12827</v>
      </c>
      <c r="M1496" s="7">
        <f t="shared" ca="1" si="98"/>
        <v>35.118412046543462</v>
      </c>
      <c r="N1496" s="5" t="str">
        <f ca="1">VLOOKUP(Data!M1496,temp!$B$3:$C$9,2,1)</f>
        <v>30-40</v>
      </c>
      <c r="O1496">
        <v>-623</v>
      </c>
      <c r="P1496" s="8">
        <f t="shared" si="99"/>
        <v>1.7056810403832992</v>
      </c>
      <c r="Q1496" s="5" t="str">
        <f t="shared" si="101"/>
        <v>Employed</v>
      </c>
      <c r="R1496">
        <v>1</v>
      </c>
      <c r="S1496">
        <v>0</v>
      </c>
      <c r="T1496">
        <v>0</v>
      </c>
      <c r="U1496">
        <v>0</v>
      </c>
      <c r="V1496" t="s">
        <v>39</v>
      </c>
      <c r="W1496">
        <v>3</v>
      </c>
    </row>
    <row r="1497" spans="1:23" x14ac:dyDescent="0.2">
      <c r="A1497">
        <v>5050805</v>
      </c>
      <c r="B1497" t="s">
        <v>18</v>
      </c>
      <c r="C1497" t="s">
        <v>20</v>
      </c>
      <c r="D1497" t="s">
        <v>19</v>
      </c>
      <c r="E1497">
        <v>2</v>
      </c>
      <c r="F1497">
        <v>270000</v>
      </c>
      <c r="G1497" t="s">
        <v>31</v>
      </c>
      <c r="H1497" t="s">
        <v>22</v>
      </c>
      <c r="I1497" t="s">
        <v>28</v>
      </c>
      <c r="J1497" t="s">
        <v>24</v>
      </c>
      <c r="K1497" s="6">
        <f t="shared" ca="1" si="100"/>
        <v>32617</v>
      </c>
      <c r="L1497">
        <v>-13144</v>
      </c>
      <c r="M1497" s="7">
        <f t="shared" ca="1" si="98"/>
        <v>35.986310746064341</v>
      </c>
      <c r="N1497" s="5" t="str">
        <f ca="1">VLOOKUP(Data!M1497,temp!$B$3:$C$9,2,1)</f>
        <v>30-40</v>
      </c>
      <c r="O1497">
        <v>-682</v>
      </c>
      <c r="P1497" s="8">
        <f t="shared" si="99"/>
        <v>1.8672142368240932</v>
      </c>
      <c r="Q1497" s="5" t="str">
        <f t="shared" si="101"/>
        <v>Employed</v>
      </c>
      <c r="R1497">
        <v>1</v>
      </c>
      <c r="S1497">
        <v>1</v>
      </c>
      <c r="T1497">
        <v>1</v>
      </c>
      <c r="U1497">
        <v>0</v>
      </c>
      <c r="W1497">
        <v>4</v>
      </c>
    </row>
    <row r="1498" spans="1:23" x14ac:dyDescent="0.2">
      <c r="A1498">
        <v>5050825</v>
      </c>
      <c r="B1498" t="s">
        <v>25</v>
      </c>
      <c r="C1498" t="s">
        <v>19</v>
      </c>
      <c r="D1498" t="s">
        <v>19</v>
      </c>
      <c r="E1498">
        <v>0</v>
      </c>
      <c r="F1498">
        <v>90000</v>
      </c>
      <c r="G1498" t="s">
        <v>31</v>
      </c>
      <c r="H1498" t="s">
        <v>27</v>
      </c>
      <c r="I1498" t="s">
        <v>28</v>
      </c>
      <c r="J1498" t="s">
        <v>24</v>
      </c>
      <c r="K1498" s="6">
        <f t="shared" ca="1" si="100"/>
        <v>34615</v>
      </c>
      <c r="L1498">
        <v>-11146</v>
      </c>
      <c r="M1498" s="7">
        <f t="shared" ca="1" si="98"/>
        <v>30.5160848733744</v>
      </c>
      <c r="N1498" s="5" t="str">
        <f ca="1">VLOOKUP(Data!M1498,temp!$B$3:$C$9,2,1)</f>
        <v>30-40</v>
      </c>
      <c r="O1498">
        <v>-1413</v>
      </c>
      <c r="P1498" s="8">
        <f t="shared" si="99"/>
        <v>3.868583162217659</v>
      </c>
      <c r="Q1498" s="5" t="str">
        <f t="shared" si="101"/>
        <v>Employed</v>
      </c>
      <c r="R1498">
        <v>1</v>
      </c>
      <c r="S1498">
        <v>0</v>
      </c>
      <c r="T1498">
        <v>0</v>
      </c>
      <c r="U1498">
        <v>0</v>
      </c>
      <c r="V1498" t="s">
        <v>30</v>
      </c>
      <c r="W1498">
        <v>2</v>
      </c>
    </row>
    <row r="1499" spans="1:23" x14ac:dyDescent="0.2">
      <c r="A1499">
        <v>5050836</v>
      </c>
      <c r="B1499" t="s">
        <v>18</v>
      </c>
      <c r="C1499" t="s">
        <v>19</v>
      </c>
      <c r="D1499" t="s">
        <v>19</v>
      </c>
      <c r="E1499">
        <v>0</v>
      </c>
      <c r="F1499">
        <v>90000</v>
      </c>
      <c r="G1499" t="s">
        <v>31</v>
      </c>
      <c r="H1499" t="s">
        <v>27</v>
      </c>
      <c r="I1499" t="s">
        <v>28</v>
      </c>
      <c r="J1499" t="s">
        <v>24</v>
      </c>
      <c r="K1499" s="6">
        <f t="shared" ca="1" si="100"/>
        <v>35263</v>
      </c>
      <c r="L1499">
        <v>-10498</v>
      </c>
      <c r="M1499" s="7">
        <f t="shared" ca="1" si="98"/>
        <v>28.741957563312798</v>
      </c>
      <c r="N1499" s="5" t="str">
        <f ca="1">VLOOKUP(Data!M1499,temp!$B$3:$C$9,2,1)</f>
        <v>20-30</v>
      </c>
      <c r="O1499">
        <v>-2418</v>
      </c>
      <c r="P1499" s="8">
        <f t="shared" si="99"/>
        <v>6.6201232032854209</v>
      </c>
      <c r="Q1499" s="5" t="str">
        <f t="shared" si="101"/>
        <v>Employed</v>
      </c>
      <c r="R1499">
        <v>1</v>
      </c>
      <c r="S1499">
        <v>1</v>
      </c>
      <c r="T1499">
        <v>1</v>
      </c>
      <c r="U1499">
        <v>0</v>
      </c>
      <c r="W1499">
        <v>2</v>
      </c>
    </row>
    <row r="1500" spans="1:23" x14ac:dyDescent="0.2">
      <c r="A1500">
        <v>5050838</v>
      </c>
      <c r="B1500" t="s">
        <v>25</v>
      </c>
      <c r="C1500" t="s">
        <v>20</v>
      </c>
      <c r="D1500" t="s">
        <v>19</v>
      </c>
      <c r="E1500">
        <v>0</v>
      </c>
      <c r="F1500">
        <v>90000</v>
      </c>
      <c r="G1500" t="s">
        <v>26</v>
      </c>
      <c r="H1500" t="s">
        <v>27</v>
      </c>
      <c r="I1500" t="s">
        <v>28</v>
      </c>
      <c r="J1500" t="s">
        <v>24</v>
      </c>
      <c r="K1500" s="6">
        <f t="shared" ca="1" si="100"/>
        <v>22995</v>
      </c>
      <c r="L1500">
        <v>-22766</v>
      </c>
      <c r="M1500" s="7">
        <f t="shared" ca="1" si="98"/>
        <v>62.329911019849419</v>
      </c>
      <c r="N1500" s="5" t="str">
        <f ca="1">VLOOKUP(Data!M1500,temp!$B$3:$C$9,2,1)</f>
        <v>60-70</v>
      </c>
      <c r="O1500">
        <v>-227</v>
      </c>
      <c r="P1500" s="8">
        <f t="shared" si="99"/>
        <v>0.62149212867898695</v>
      </c>
      <c r="Q1500" s="5" t="str">
        <f t="shared" si="101"/>
        <v>Employed</v>
      </c>
      <c r="R1500">
        <v>1</v>
      </c>
      <c r="S1500">
        <v>0</v>
      </c>
      <c r="T1500">
        <v>0</v>
      </c>
      <c r="U1500">
        <v>0</v>
      </c>
      <c r="V1500" t="s">
        <v>40</v>
      </c>
      <c r="W1500">
        <v>2</v>
      </c>
    </row>
    <row r="1501" spans="1:23" x14ac:dyDescent="0.2">
      <c r="A1501">
        <v>5050840</v>
      </c>
      <c r="B1501" t="s">
        <v>25</v>
      </c>
      <c r="C1501" t="s">
        <v>20</v>
      </c>
      <c r="D1501" t="s">
        <v>19</v>
      </c>
      <c r="E1501">
        <v>0</v>
      </c>
      <c r="F1501">
        <v>90000</v>
      </c>
      <c r="G1501" t="s">
        <v>26</v>
      </c>
      <c r="H1501" t="s">
        <v>27</v>
      </c>
      <c r="I1501" t="s">
        <v>28</v>
      </c>
      <c r="J1501" t="s">
        <v>24</v>
      </c>
      <c r="K1501" s="6">
        <f t="shared" ca="1" si="100"/>
        <v>22995</v>
      </c>
      <c r="L1501">
        <v>-22766</v>
      </c>
      <c r="M1501" s="7">
        <f t="shared" ca="1" si="98"/>
        <v>62.329911019849419</v>
      </c>
      <c r="N1501" s="5" t="str">
        <f ca="1">VLOOKUP(Data!M1501,temp!$B$3:$C$9,2,1)</f>
        <v>60-70</v>
      </c>
      <c r="O1501">
        <v>-227</v>
      </c>
      <c r="P1501" s="8">
        <f t="shared" si="99"/>
        <v>0.62149212867898695</v>
      </c>
      <c r="Q1501" s="5" t="str">
        <f t="shared" si="101"/>
        <v>Employed</v>
      </c>
      <c r="R1501">
        <v>1</v>
      </c>
      <c r="S1501">
        <v>0</v>
      </c>
      <c r="T1501">
        <v>0</v>
      </c>
      <c r="U1501">
        <v>0</v>
      </c>
      <c r="V1501" t="s">
        <v>40</v>
      </c>
      <c r="W1501">
        <v>2</v>
      </c>
    </row>
    <row r="1502" spans="1:23" x14ac:dyDescent="0.2">
      <c r="A1502">
        <v>5050852</v>
      </c>
      <c r="B1502" t="s">
        <v>25</v>
      </c>
      <c r="C1502" t="s">
        <v>19</v>
      </c>
      <c r="D1502" t="s">
        <v>19</v>
      </c>
      <c r="E1502">
        <v>0</v>
      </c>
      <c r="F1502">
        <v>180000</v>
      </c>
      <c r="G1502" t="s">
        <v>26</v>
      </c>
      <c r="H1502" t="s">
        <v>22</v>
      </c>
      <c r="I1502" t="s">
        <v>33</v>
      </c>
      <c r="J1502" t="s">
        <v>24</v>
      </c>
      <c r="K1502" s="6">
        <f t="shared" ca="1" si="100"/>
        <v>36273</v>
      </c>
      <c r="L1502">
        <v>-9488</v>
      </c>
      <c r="M1502" s="7">
        <f t="shared" ca="1" si="98"/>
        <v>25.976728268309376</v>
      </c>
      <c r="N1502" s="5" t="str">
        <f ca="1">VLOOKUP(Data!M1502,temp!$B$3:$C$9,2,1)</f>
        <v>20-30</v>
      </c>
      <c r="O1502">
        <v>-1505</v>
      </c>
      <c r="P1502" s="8">
        <f t="shared" si="99"/>
        <v>4.1204654346338128</v>
      </c>
      <c r="Q1502" s="5" t="str">
        <f t="shared" si="101"/>
        <v>Employed</v>
      </c>
      <c r="R1502">
        <v>1</v>
      </c>
      <c r="S1502">
        <v>0</v>
      </c>
      <c r="T1502">
        <v>0</v>
      </c>
      <c r="U1502">
        <v>0</v>
      </c>
      <c r="V1502" t="s">
        <v>47</v>
      </c>
      <c r="W1502">
        <v>1</v>
      </c>
    </row>
    <row r="1503" spans="1:23" x14ac:dyDescent="0.2">
      <c r="A1503">
        <v>5050855</v>
      </c>
      <c r="B1503" t="s">
        <v>25</v>
      </c>
      <c r="C1503" t="s">
        <v>19</v>
      </c>
      <c r="D1503" t="s">
        <v>19</v>
      </c>
      <c r="E1503">
        <v>0</v>
      </c>
      <c r="F1503">
        <v>180000</v>
      </c>
      <c r="G1503" t="s">
        <v>26</v>
      </c>
      <c r="H1503" t="s">
        <v>22</v>
      </c>
      <c r="I1503" t="s">
        <v>33</v>
      </c>
      <c r="J1503" t="s">
        <v>24</v>
      </c>
      <c r="K1503" s="6">
        <f t="shared" ca="1" si="100"/>
        <v>36273</v>
      </c>
      <c r="L1503">
        <v>-9488</v>
      </c>
      <c r="M1503" s="7">
        <f t="shared" ca="1" si="98"/>
        <v>25.976728268309376</v>
      </c>
      <c r="N1503" s="5" t="str">
        <f ca="1">VLOOKUP(Data!M1503,temp!$B$3:$C$9,2,1)</f>
        <v>20-30</v>
      </c>
      <c r="O1503">
        <v>-1505</v>
      </c>
      <c r="P1503" s="8">
        <f t="shared" si="99"/>
        <v>4.1204654346338128</v>
      </c>
      <c r="Q1503" s="5" t="str">
        <f t="shared" si="101"/>
        <v>Employed</v>
      </c>
      <c r="R1503">
        <v>1</v>
      </c>
      <c r="S1503">
        <v>0</v>
      </c>
      <c r="T1503">
        <v>0</v>
      </c>
      <c r="U1503">
        <v>0</v>
      </c>
      <c r="V1503" t="s">
        <v>47</v>
      </c>
      <c r="W1503">
        <v>1</v>
      </c>
    </row>
    <row r="1504" spans="1:23" x14ac:dyDescent="0.2">
      <c r="A1504">
        <v>5050890</v>
      </c>
      <c r="B1504" t="s">
        <v>25</v>
      </c>
      <c r="C1504" t="s">
        <v>20</v>
      </c>
      <c r="D1504" t="s">
        <v>19</v>
      </c>
      <c r="E1504">
        <v>0</v>
      </c>
      <c r="F1504">
        <v>292500</v>
      </c>
      <c r="G1504" t="s">
        <v>21</v>
      </c>
      <c r="H1504" t="s">
        <v>27</v>
      </c>
      <c r="I1504" t="s">
        <v>28</v>
      </c>
      <c r="J1504" t="s">
        <v>24</v>
      </c>
      <c r="K1504" s="6">
        <f t="shared" ca="1" si="100"/>
        <v>26886</v>
      </c>
      <c r="L1504">
        <v>-18875</v>
      </c>
      <c r="M1504" s="7">
        <f t="shared" ca="1" si="98"/>
        <v>51.676933607118414</v>
      </c>
      <c r="N1504" s="5" t="str">
        <f ca="1">VLOOKUP(Data!M1504,temp!$B$3:$C$9,2,1)</f>
        <v>50-60</v>
      </c>
      <c r="O1504">
        <v>365243</v>
      </c>
      <c r="P1504" s="8">
        <f t="shared" si="99"/>
        <v>0</v>
      </c>
      <c r="Q1504" s="5" t="str">
        <f t="shared" si="101"/>
        <v>Unemployed</v>
      </c>
      <c r="R1504">
        <v>1</v>
      </c>
      <c r="S1504">
        <v>0</v>
      </c>
      <c r="T1504">
        <v>0</v>
      </c>
      <c r="U1504">
        <v>0</v>
      </c>
      <c r="W1504">
        <v>2</v>
      </c>
    </row>
    <row r="1505" spans="1:23" x14ac:dyDescent="0.2">
      <c r="A1505">
        <v>5050891</v>
      </c>
      <c r="B1505" t="s">
        <v>25</v>
      </c>
      <c r="C1505" t="s">
        <v>20</v>
      </c>
      <c r="D1505" t="s">
        <v>19</v>
      </c>
      <c r="E1505">
        <v>0</v>
      </c>
      <c r="F1505">
        <v>292500</v>
      </c>
      <c r="G1505" t="s">
        <v>21</v>
      </c>
      <c r="H1505" t="s">
        <v>27</v>
      </c>
      <c r="I1505" t="s">
        <v>28</v>
      </c>
      <c r="J1505" t="s">
        <v>24</v>
      </c>
      <c r="K1505" s="6">
        <f t="shared" ca="1" si="100"/>
        <v>26886</v>
      </c>
      <c r="L1505">
        <v>-18875</v>
      </c>
      <c r="M1505" s="7">
        <f t="shared" ca="1" si="98"/>
        <v>51.676933607118414</v>
      </c>
      <c r="N1505" s="5" t="str">
        <f ca="1">VLOOKUP(Data!M1505,temp!$B$3:$C$9,2,1)</f>
        <v>50-60</v>
      </c>
      <c r="O1505">
        <v>365243</v>
      </c>
      <c r="P1505" s="8">
        <f t="shared" si="99"/>
        <v>0</v>
      </c>
      <c r="Q1505" s="5" t="str">
        <f t="shared" si="101"/>
        <v>Unemployed</v>
      </c>
      <c r="R1505">
        <v>1</v>
      </c>
      <c r="S1505">
        <v>0</v>
      </c>
      <c r="T1505">
        <v>0</v>
      </c>
      <c r="U1505">
        <v>0</v>
      </c>
      <c r="W1505">
        <v>2</v>
      </c>
    </row>
    <row r="1506" spans="1:23" x14ac:dyDescent="0.2">
      <c r="A1506">
        <v>5050910</v>
      </c>
      <c r="B1506" t="s">
        <v>25</v>
      </c>
      <c r="C1506" t="s">
        <v>19</v>
      </c>
      <c r="D1506" t="s">
        <v>19</v>
      </c>
      <c r="E1506">
        <v>1</v>
      </c>
      <c r="F1506">
        <v>225000</v>
      </c>
      <c r="G1506" t="s">
        <v>26</v>
      </c>
      <c r="H1506" t="s">
        <v>27</v>
      </c>
      <c r="I1506" t="s">
        <v>28</v>
      </c>
      <c r="J1506" t="s">
        <v>24</v>
      </c>
      <c r="K1506" s="6">
        <f t="shared" ca="1" si="100"/>
        <v>32896</v>
      </c>
      <c r="L1506">
        <v>-12865</v>
      </c>
      <c r="M1506" s="7">
        <f t="shared" ca="1" si="98"/>
        <v>35.222450376454482</v>
      </c>
      <c r="N1506" s="5" t="str">
        <f ca="1">VLOOKUP(Data!M1506,temp!$B$3:$C$9,2,1)</f>
        <v>30-40</v>
      </c>
      <c r="O1506">
        <v>-804</v>
      </c>
      <c r="P1506" s="8">
        <f t="shared" si="99"/>
        <v>2.2012320328542097</v>
      </c>
      <c r="Q1506" s="5" t="str">
        <f t="shared" si="101"/>
        <v>Employed</v>
      </c>
      <c r="R1506">
        <v>1</v>
      </c>
      <c r="S1506">
        <v>0</v>
      </c>
      <c r="T1506">
        <v>0</v>
      </c>
      <c r="U1506">
        <v>0</v>
      </c>
      <c r="W1506">
        <v>3</v>
      </c>
    </row>
    <row r="1507" spans="1:23" x14ac:dyDescent="0.2">
      <c r="A1507">
        <v>5050914</v>
      </c>
      <c r="B1507" t="s">
        <v>18</v>
      </c>
      <c r="C1507" t="s">
        <v>20</v>
      </c>
      <c r="D1507" t="s">
        <v>19</v>
      </c>
      <c r="E1507">
        <v>2</v>
      </c>
      <c r="F1507">
        <v>126000</v>
      </c>
      <c r="G1507" t="s">
        <v>31</v>
      </c>
      <c r="H1507" t="s">
        <v>22</v>
      </c>
      <c r="I1507" t="s">
        <v>28</v>
      </c>
      <c r="J1507" t="s">
        <v>24</v>
      </c>
      <c r="K1507" s="6">
        <f t="shared" ca="1" si="100"/>
        <v>36083</v>
      </c>
      <c r="L1507">
        <v>-9678</v>
      </c>
      <c r="M1507" s="7">
        <f t="shared" ca="1" si="98"/>
        <v>26.496919917864478</v>
      </c>
      <c r="N1507" s="5" t="str">
        <f ca="1">VLOOKUP(Data!M1507,temp!$B$3:$C$9,2,1)</f>
        <v>20-30</v>
      </c>
      <c r="O1507">
        <v>-1535</v>
      </c>
      <c r="P1507" s="8">
        <f t="shared" si="99"/>
        <v>4.2026009582477757</v>
      </c>
      <c r="Q1507" s="5" t="str">
        <f t="shared" si="101"/>
        <v>Employed</v>
      </c>
      <c r="R1507">
        <v>1</v>
      </c>
      <c r="S1507">
        <v>0</v>
      </c>
      <c r="T1507">
        <v>0</v>
      </c>
      <c r="U1507">
        <v>0</v>
      </c>
      <c r="V1507" t="s">
        <v>38</v>
      </c>
      <c r="W1507">
        <v>4</v>
      </c>
    </row>
    <row r="1508" spans="1:23" x14ac:dyDescent="0.2">
      <c r="A1508">
        <v>5050919</v>
      </c>
      <c r="B1508" t="s">
        <v>18</v>
      </c>
      <c r="C1508" t="s">
        <v>20</v>
      </c>
      <c r="D1508" t="s">
        <v>19</v>
      </c>
      <c r="E1508">
        <v>1</v>
      </c>
      <c r="F1508">
        <v>180000</v>
      </c>
      <c r="G1508" t="s">
        <v>31</v>
      </c>
      <c r="H1508" t="s">
        <v>27</v>
      </c>
      <c r="I1508" t="s">
        <v>28</v>
      </c>
      <c r="J1508" t="s">
        <v>24</v>
      </c>
      <c r="K1508" s="6">
        <f t="shared" ca="1" si="100"/>
        <v>31234</v>
      </c>
      <c r="L1508">
        <v>-14527</v>
      </c>
      <c r="M1508" s="7">
        <f t="shared" ca="1" si="98"/>
        <v>39.772758384668037</v>
      </c>
      <c r="N1508" s="5" t="str">
        <f ca="1">VLOOKUP(Data!M1508,temp!$B$3:$C$9,2,1)</f>
        <v>30-40</v>
      </c>
      <c r="O1508">
        <v>-3208</v>
      </c>
      <c r="P1508" s="8">
        <f t="shared" si="99"/>
        <v>8.7830253251197803</v>
      </c>
      <c r="Q1508" s="5" t="str">
        <f t="shared" si="101"/>
        <v>Employed</v>
      </c>
      <c r="R1508">
        <v>1</v>
      </c>
      <c r="S1508">
        <v>0</v>
      </c>
      <c r="T1508">
        <v>0</v>
      </c>
      <c r="U1508">
        <v>0</v>
      </c>
      <c r="V1508" t="s">
        <v>29</v>
      </c>
      <c r="W1508">
        <v>3</v>
      </c>
    </row>
    <row r="1509" spans="1:23" x14ac:dyDescent="0.2">
      <c r="A1509">
        <v>5050920</v>
      </c>
      <c r="B1509" t="s">
        <v>18</v>
      </c>
      <c r="C1509" t="s">
        <v>20</v>
      </c>
      <c r="D1509" t="s">
        <v>19</v>
      </c>
      <c r="E1509">
        <v>1</v>
      </c>
      <c r="F1509">
        <v>180000</v>
      </c>
      <c r="G1509" t="s">
        <v>31</v>
      </c>
      <c r="H1509" t="s">
        <v>27</v>
      </c>
      <c r="I1509" t="s">
        <v>28</v>
      </c>
      <c r="J1509" t="s">
        <v>24</v>
      </c>
      <c r="K1509" s="6">
        <f t="shared" ca="1" si="100"/>
        <v>31234</v>
      </c>
      <c r="L1509">
        <v>-14527</v>
      </c>
      <c r="M1509" s="7">
        <f t="shared" ca="1" si="98"/>
        <v>39.772758384668037</v>
      </c>
      <c r="N1509" s="5" t="str">
        <f ca="1">VLOOKUP(Data!M1509,temp!$B$3:$C$9,2,1)</f>
        <v>30-40</v>
      </c>
      <c r="O1509">
        <v>-3208</v>
      </c>
      <c r="P1509" s="8">
        <f t="shared" si="99"/>
        <v>8.7830253251197803</v>
      </c>
      <c r="Q1509" s="5" t="str">
        <f t="shared" si="101"/>
        <v>Employed</v>
      </c>
      <c r="R1509">
        <v>1</v>
      </c>
      <c r="S1509">
        <v>0</v>
      </c>
      <c r="T1509">
        <v>0</v>
      </c>
      <c r="U1509">
        <v>0</v>
      </c>
      <c r="V1509" t="s">
        <v>29</v>
      </c>
      <c r="W1509">
        <v>3</v>
      </c>
    </row>
    <row r="1510" spans="1:23" x14ac:dyDescent="0.2">
      <c r="A1510">
        <v>5050957</v>
      </c>
      <c r="B1510" t="s">
        <v>25</v>
      </c>
      <c r="C1510" t="s">
        <v>19</v>
      </c>
      <c r="D1510" t="s">
        <v>19</v>
      </c>
      <c r="E1510">
        <v>0</v>
      </c>
      <c r="F1510">
        <v>180000</v>
      </c>
      <c r="G1510" t="s">
        <v>26</v>
      </c>
      <c r="H1510" t="s">
        <v>22</v>
      </c>
      <c r="I1510" t="s">
        <v>33</v>
      </c>
      <c r="J1510" t="s">
        <v>24</v>
      </c>
      <c r="K1510" s="6">
        <f t="shared" ca="1" si="100"/>
        <v>35722</v>
      </c>
      <c r="L1510">
        <v>-10039</v>
      </c>
      <c r="M1510" s="7">
        <f t="shared" ca="1" si="98"/>
        <v>27.485284052019164</v>
      </c>
      <c r="N1510" s="5" t="str">
        <f ca="1">VLOOKUP(Data!M1510,temp!$B$3:$C$9,2,1)</f>
        <v>20-30</v>
      </c>
      <c r="O1510">
        <v>-197</v>
      </c>
      <c r="P1510" s="8">
        <f t="shared" si="99"/>
        <v>0.53935660506502392</v>
      </c>
      <c r="Q1510" s="5" t="str">
        <f t="shared" si="101"/>
        <v>Employed</v>
      </c>
      <c r="R1510">
        <v>1</v>
      </c>
      <c r="S1510">
        <v>0</v>
      </c>
      <c r="T1510">
        <v>0</v>
      </c>
      <c r="U1510">
        <v>0</v>
      </c>
      <c r="V1510" t="s">
        <v>38</v>
      </c>
      <c r="W1510">
        <v>1</v>
      </c>
    </row>
    <row r="1511" spans="1:23" x14ac:dyDescent="0.2">
      <c r="A1511">
        <v>5050976</v>
      </c>
      <c r="B1511" t="s">
        <v>18</v>
      </c>
      <c r="C1511" t="s">
        <v>19</v>
      </c>
      <c r="D1511" t="s">
        <v>19</v>
      </c>
      <c r="E1511">
        <v>1</v>
      </c>
      <c r="F1511">
        <v>112500</v>
      </c>
      <c r="G1511" t="s">
        <v>35</v>
      </c>
      <c r="H1511" t="s">
        <v>27</v>
      </c>
      <c r="I1511" t="s">
        <v>33</v>
      </c>
      <c r="J1511" t="s">
        <v>24</v>
      </c>
      <c r="K1511" s="6">
        <f t="shared" ca="1" si="100"/>
        <v>29797</v>
      </c>
      <c r="L1511">
        <v>-15964</v>
      </c>
      <c r="M1511" s="7">
        <f t="shared" ca="1" si="98"/>
        <v>43.707049965776868</v>
      </c>
      <c r="N1511" s="5" t="str">
        <f ca="1">VLOOKUP(Data!M1511,temp!$B$3:$C$9,2,1)</f>
        <v>40-50</v>
      </c>
      <c r="O1511">
        <v>-7591</v>
      </c>
      <c r="P1511" s="8">
        <f t="shared" si="99"/>
        <v>20.78302532511978</v>
      </c>
      <c r="Q1511" s="5" t="str">
        <f t="shared" si="101"/>
        <v>Employed</v>
      </c>
      <c r="R1511">
        <v>1</v>
      </c>
      <c r="S1511">
        <v>0</v>
      </c>
      <c r="T1511">
        <v>0</v>
      </c>
      <c r="U1511">
        <v>0</v>
      </c>
      <c r="V1511" t="s">
        <v>38</v>
      </c>
      <c r="W1511">
        <v>2</v>
      </c>
    </row>
    <row r="1512" spans="1:23" x14ac:dyDescent="0.2">
      <c r="A1512">
        <v>5050981</v>
      </c>
      <c r="B1512" t="s">
        <v>18</v>
      </c>
      <c r="C1512" t="s">
        <v>20</v>
      </c>
      <c r="D1512" t="s">
        <v>19</v>
      </c>
      <c r="E1512">
        <v>1</v>
      </c>
      <c r="F1512">
        <v>247500</v>
      </c>
      <c r="G1512" t="s">
        <v>26</v>
      </c>
      <c r="H1512" t="s">
        <v>27</v>
      </c>
      <c r="I1512" t="s">
        <v>33</v>
      </c>
      <c r="J1512" t="s">
        <v>24</v>
      </c>
      <c r="K1512" s="6">
        <f t="shared" ca="1" si="100"/>
        <v>30671</v>
      </c>
      <c r="L1512">
        <v>-15090</v>
      </c>
      <c r="M1512" s="7">
        <f t="shared" ca="1" si="98"/>
        <v>41.314168377823407</v>
      </c>
      <c r="N1512" s="5" t="str">
        <f ca="1">VLOOKUP(Data!M1512,temp!$B$3:$C$9,2,1)</f>
        <v>40-50</v>
      </c>
      <c r="O1512">
        <v>-6495</v>
      </c>
      <c r="P1512" s="8">
        <f t="shared" si="99"/>
        <v>17.782340862422998</v>
      </c>
      <c r="Q1512" s="5" t="str">
        <f t="shared" si="101"/>
        <v>Employed</v>
      </c>
      <c r="R1512">
        <v>1</v>
      </c>
      <c r="S1512">
        <v>0</v>
      </c>
      <c r="T1512">
        <v>0</v>
      </c>
      <c r="U1512">
        <v>0</v>
      </c>
      <c r="V1512" t="s">
        <v>39</v>
      </c>
      <c r="W1512">
        <v>2</v>
      </c>
    </row>
    <row r="1513" spans="1:23" x14ac:dyDescent="0.2">
      <c r="A1513">
        <v>5050985</v>
      </c>
      <c r="B1513" t="s">
        <v>25</v>
      </c>
      <c r="C1513" t="s">
        <v>19</v>
      </c>
      <c r="D1513" t="s">
        <v>19</v>
      </c>
      <c r="E1513">
        <v>0</v>
      </c>
      <c r="F1513">
        <v>265581</v>
      </c>
      <c r="G1513" t="s">
        <v>35</v>
      </c>
      <c r="H1513" t="s">
        <v>22</v>
      </c>
      <c r="I1513" t="s">
        <v>28</v>
      </c>
      <c r="J1513" t="s">
        <v>24</v>
      </c>
      <c r="K1513" s="6">
        <f t="shared" ca="1" si="100"/>
        <v>34927</v>
      </c>
      <c r="L1513">
        <v>-10834</v>
      </c>
      <c r="M1513" s="7">
        <f t="shared" ca="1" si="98"/>
        <v>29.661875427789184</v>
      </c>
      <c r="N1513" s="5" t="str">
        <f ca="1">VLOOKUP(Data!M1513,temp!$B$3:$C$9,2,1)</f>
        <v>20-30</v>
      </c>
      <c r="O1513">
        <v>-988</v>
      </c>
      <c r="P1513" s="8">
        <f t="shared" si="99"/>
        <v>2.7049965776865159</v>
      </c>
      <c r="Q1513" s="5" t="str">
        <f t="shared" si="101"/>
        <v>Employed</v>
      </c>
      <c r="R1513">
        <v>1</v>
      </c>
      <c r="S1513">
        <v>0</v>
      </c>
      <c r="T1513">
        <v>0</v>
      </c>
      <c r="U1513">
        <v>0</v>
      </c>
      <c r="V1513" t="s">
        <v>38</v>
      </c>
      <c r="W1513">
        <v>2</v>
      </c>
    </row>
    <row r="1514" spans="1:23" x14ac:dyDescent="0.2">
      <c r="A1514">
        <v>5051014</v>
      </c>
      <c r="B1514" t="s">
        <v>18</v>
      </c>
      <c r="C1514" t="s">
        <v>19</v>
      </c>
      <c r="D1514" t="s">
        <v>19</v>
      </c>
      <c r="E1514">
        <v>1</v>
      </c>
      <c r="F1514">
        <v>225000</v>
      </c>
      <c r="G1514" t="s">
        <v>26</v>
      </c>
      <c r="H1514" t="s">
        <v>27</v>
      </c>
      <c r="I1514" t="s">
        <v>28</v>
      </c>
      <c r="J1514" t="s">
        <v>24</v>
      </c>
      <c r="K1514" s="6">
        <f t="shared" ca="1" si="100"/>
        <v>35313</v>
      </c>
      <c r="L1514">
        <v>-10448</v>
      </c>
      <c r="M1514" s="7">
        <f t="shared" ca="1" si="98"/>
        <v>28.605065023956193</v>
      </c>
      <c r="N1514" s="5" t="str">
        <f ca="1">VLOOKUP(Data!M1514,temp!$B$3:$C$9,2,1)</f>
        <v>20-30</v>
      </c>
      <c r="O1514">
        <v>-3392</v>
      </c>
      <c r="P1514" s="8">
        <f t="shared" si="99"/>
        <v>9.2867898699520879</v>
      </c>
      <c r="Q1514" s="5" t="str">
        <f t="shared" si="101"/>
        <v>Employed</v>
      </c>
      <c r="R1514">
        <v>1</v>
      </c>
      <c r="S1514">
        <v>1</v>
      </c>
      <c r="T1514">
        <v>1</v>
      </c>
      <c r="U1514">
        <v>1</v>
      </c>
      <c r="V1514" t="s">
        <v>57</v>
      </c>
      <c r="W1514">
        <v>3</v>
      </c>
    </row>
    <row r="1515" spans="1:23" x14ac:dyDescent="0.2">
      <c r="A1515">
        <v>5051017</v>
      </c>
      <c r="B1515" t="s">
        <v>18</v>
      </c>
      <c r="C1515" t="s">
        <v>19</v>
      </c>
      <c r="D1515" t="s">
        <v>19</v>
      </c>
      <c r="E1515">
        <v>0</v>
      </c>
      <c r="F1515">
        <v>270000</v>
      </c>
      <c r="G1515" t="s">
        <v>26</v>
      </c>
      <c r="H1515" t="s">
        <v>27</v>
      </c>
      <c r="I1515" t="s">
        <v>37</v>
      </c>
      <c r="J1515" t="s">
        <v>24</v>
      </c>
      <c r="K1515" s="6">
        <f t="shared" ca="1" si="100"/>
        <v>30380</v>
      </c>
      <c r="L1515">
        <v>-15381</v>
      </c>
      <c r="M1515" s="7">
        <f t="shared" ca="1" si="98"/>
        <v>42.110882956878854</v>
      </c>
      <c r="N1515" s="5" t="str">
        <f ca="1">VLOOKUP(Data!M1515,temp!$B$3:$C$9,2,1)</f>
        <v>40-50</v>
      </c>
      <c r="O1515">
        <v>-470</v>
      </c>
      <c r="P1515" s="8">
        <f t="shared" si="99"/>
        <v>1.2867898699520877</v>
      </c>
      <c r="Q1515" s="5" t="str">
        <f t="shared" si="101"/>
        <v>Employed</v>
      </c>
      <c r="R1515">
        <v>1</v>
      </c>
      <c r="S1515">
        <v>0</v>
      </c>
      <c r="T1515">
        <v>0</v>
      </c>
      <c r="U1515">
        <v>0</v>
      </c>
      <c r="V1515" t="s">
        <v>29</v>
      </c>
      <c r="W1515">
        <v>2</v>
      </c>
    </row>
    <row r="1516" spans="1:23" x14ac:dyDescent="0.2">
      <c r="A1516">
        <v>5051034</v>
      </c>
      <c r="B1516" t="s">
        <v>18</v>
      </c>
      <c r="C1516" t="s">
        <v>19</v>
      </c>
      <c r="D1516" t="s">
        <v>19</v>
      </c>
      <c r="E1516">
        <v>0</v>
      </c>
      <c r="F1516">
        <v>180000</v>
      </c>
      <c r="G1516" t="s">
        <v>26</v>
      </c>
      <c r="H1516" t="s">
        <v>22</v>
      </c>
      <c r="I1516" t="s">
        <v>33</v>
      </c>
      <c r="J1516" t="s">
        <v>41</v>
      </c>
      <c r="K1516" s="6">
        <f t="shared" ca="1" si="100"/>
        <v>36849</v>
      </c>
      <c r="L1516">
        <v>-8912</v>
      </c>
      <c r="M1516" s="7">
        <f t="shared" ca="1" si="98"/>
        <v>24.399726214921287</v>
      </c>
      <c r="N1516" s="5" t="str">
        <f ca="1">VLOOKUP(Data!M1516,temp!$B$3:$C$9,2,1)</f>
        <v>20-30</v>
      </c>
      <c r="O1516">
        <v>-1017</v>
      </c>
      <c r="P1516" s="8">
        <f t="shared" si="99"/>
        <v>2.7843942505133472</v>
      </c>
      <c r="Q1516" s="5" t="str">
        <f t="shared" si="101"/>
        <v>Employed</v>
      </c>
      <c r="R1516">
        <v>1</v>
      </c>
      <c r="S1516">
        <v>0</v>
      </c>
      <c r="T1516">
        <v>0</v>
      </c>
      <c r="U1516">
        <v>0</v>
      </c>
      <c r="W1516">
        <v>1</v>
      </c>
    </row>
    <row r="1517" spans="1:23" x14ac:dyDescent="0.2">
      <c r="A1517">
        <v>5051036</v>
      </c>
      <c r="B1517" t="s">
        <v>18</v>
      </c>
      <c r="C1517" t="s">
        <v>19</v>
      </c>
      <c r="D1517" t="s">
        <v>19</v>
      </c>
      <c r="E1517">
        <v>0</v>
      </c>
      <c r="F1517">
        <v>180000</v>
      </c>
      <c r="G1517" t="s">
        <v>26</v>
      </c>
      <c r="H1517" t="s">
        <v>22</v>
      </c>
      <c r="I1517" t="s">
        <v>33</v>
      </c>
      <c r="J1517" t="s">
        <v>41</v>
      </c>
      <c r="K1517" s="6">
        <f t="shared" ca="1" si="100"/>
        <v>36849</v>
      </c>
      <c r="L1517">
        <v>-8912</v>
      </c>
      <c r="M1517" s="7">
        <f t="shared" ca="1" si="98"/>
        <v>24.399726214921287</v>
      </c>
      <c r="N1517" s="5" t="str">
        <f ca="1">VLOOKUP(Data!M1517,temp!$B$3:$C$9,2,1)</f>
        <v>20-30</v>
      </c>
      <c r="O1517">
        <v>-1017</v>
      </c>
      <c r="P1517" s="8">
        <f t="shared" si="99"/>
        <v>2.7843942505133472</v>
      </c>
      <c r="Q1517" s="5" t="str">
        <f t="shared" si="101"/>
        <v>Employed</v>
      </c>
      <c r="R1517">
        <v>1</v>
      </c>
      <c r="S1517">
        <v>0</v>
      </c>
      <c r="T1517">
        <v>0</v>
      </c>
      <c r="U1517">
        <v>0</v>
      </c>
      <c r="W1517">
        <v>1</v>
      </c>
    </row>
    <row r="1518" spans="1:23" x14ac:dyDescent="0.2">
      <c r="A1518">
        <v>5051037</v>
      </c>
      <c r="B1518" t="s">
        <v>18</v>
      </c>
      <c r="C1518" t="s">
        <v>19</v>
      </c>
      <c r="D1518" t="s">
        <v>19</v>
      </c>
      <c r="E1518">
        <v>0</v>
      </c>
      <c r="F1518">
        <v>180000</v>
      </c>
      <c r="G1518" t="s">
        <v>26</v>
      </c>
      <c r="H1518" t="s">
        <v>22</v>
      </c>
      <c r="I1518" t="s">
        <v>33</v>
      </c>
      <c r="J1518" t="s">
        <v>41</v>
      </c>
      <c r="K1518" s="6">
        <f t="shared" ca="1" si="100"/>
        <v>36849</v>
      </c>
      <c r="L1518">
        <v>-8912</v>
      </c>
      <c r="M1518" s="7">
        <f t="shared" ca="1" si="98"/>
        <v>24.399726214921287</v>
      </c>
      <c r="N1518" s="5" t="str">
        <f ca="1">VLOOKUP(Data!M1518,temp!$B$3:$C$9,2,1)</f>
        <v>20-30</v>
      </c>
      <c r="O1518">
        <v>-1017</v>
      </c>
      <c r="P1518" s="8">
        <f t="shared" si="99"/>
        <v>2.7843942505133472</v>
      </c>
      <c r="Q1518" s="5" t="str">
        <f t="shared" si="101"/>
        <v>Employed</v>
      </c>
      <c r="R1518">
        <v>1</v>
      </c>
      <c r="S1518">
        <v>0</v>
      </c>
      <c r="T1518">
        <v>0</v>
      </c>
      <c r="U1518">
        <v>0</v>
      </c>
      <c r="W1518">
        <v>1</v>
      </c>
    </row>
    <row r="1519" spans="1:23" x14ac:dyDescent="0.2">
      <c r="A1519">
        <v>5051045</v>
      </c>
      <c r="B1519" t="s">
        <v>25</v>
      </c>
      <c r="C1519" t="s">
        <v>20</v>
      </c>
      <c r="D1519" t="s">
        <v>19</v>
      </c>
      <c r="E1519">
        <v>0</v>
      </c>
      <c r="F1519">
        <v>67500</v>
      </c>
      <c r="G1519" t="s">
        <v>31</v>
      </c>
      <c r="H1519" t="s">
        <v>27</v>
      </c>
      <c r="I1519" t="s">
        <v>28</v>
      </c>
      <c r="J1519" t="s">
        <v>24</v>
      </c>
      <c r="K1519" s="6">
        <f t="shared" ca="1" si="100"/>
        <v>23354</v>
      </c>
      <c r="L1519">
        <v>-22407</v>
      </c>
      <c r="M1519" s="7">
        <f t="shared" ca="1" si="98"/>
        <v>61.347022587268995</v>
      </c>
      <c r="N1519" s="5" t="str">
        <f ca="1">VLOOKUP(Data!M1519,temp!$B$3:$C$9,2,1)</f>
        <v>60-70</v>
      </c>
      <c r="O1519">
        <v>-2174</v>
      </c>
      <c r="P1519" s="8">
        <f t="shared" si="99"/>
        <v>5.9520876112251884</v>
      </c>
      <c r="Q1519" s="5" t="str">
        <f t="shared" si="101"/>
        <v>Employed</v>
      </c>
      <c r="R1519">
        <v>1</v>
      </c>
      <c r="S1519">
        <v>0</v>
      </c>
      <c r="T1519">
        <v>0</v>
      </c>
      <c r="U1519">
        <v>0</v>
      </c>
      <c r="V1519" t="s">
        <v>29</v>
      </c>
      <c r="W1519">
        <v>2</v>
      </c>
    </row>
    <row r="1520" spans="1:23" x14ac:dyDescent="0.2">
      <c r="A1520">
        <v>5051052</v>
      </c>
      <c r="B1520" t="s">
        <v>25</v>
      </c>
      <c r="C1520" t="s">
        <v>20</v>
      </c>
      <c r="D1520" t="s">
        <v>19</v>
      </c>
      <c r="E1520">
        <v>0</v>
      </c>
      <c r="F1520">
        <v>67500</v>
      </c>
      <c r="G1520" t="s">
        <v>31</v>
      </c>
      <c r="H1520" t="s">
        <v>27</v>
      </c>
      <c r="I1520" t="s">
        <v>28</v>
      </c>
      <c r="J1520" t="s">
        <v>24</v>
      </c>
      <c r="K1520" s="6">
        <f t="shared" ca="1" si="100"/>
        <v>23354</v>
      </c>
      <c r="L1520">
        <v>-22407</v>
      </c>
      <c r="M1520" s="7">
        <f t="shared" ca="1" si="98"/>
        <v>61.347022587268995</v>
      </c>
      <c r="N1520" s="5" t="str">
        <f ca="1">VLOOKUP(Data!M1520,temp!$B$3:$C$9,2,1)</f>
        <v>60-70</v>
      </c>
      <c r="O1520">
        <v>-2174</v>
      </c>
      <c r="P1520" s="8">
        <f t="shared" si="99"/>
        <v>5.9520876112251884</v>
      </c>
      <c r="Q1520" s="5" t="str">
        <f t="shared" si="101"/>
        <v>Employed</v>
      </c>
      <c r="R1520">
        <v>1</v>
      </c>
      <c r="S1520">
        <v>0</v>
      </c>
      <c r="T1520">
        <v>0</v>
      </c>
      <c r="U1520">
        <v>0</v>
      </c>
      <c r="V1520" t="s">
        <v>29</v>
      </c>
      <c r="W1520">
        <v>2</v>
      </c>
    </row>
    <row r="1521" spans="1:23" x14ac:dyDescent="0.2">
      <c r="A1521">
        <v>5051057</v>
      </c>
      <c r="B1521" t="s">
        <v>18</v>
      </c>
      <c r="C1521" t="s">
        <v>19</v>
      </c>
      <c r="D1521" t="s">
        <v>19</v>
      </c>
      <c r="E1521">
        <v>0</v>
      </c>
      <c r="F1521">
        <v>49500</v>
      </c>
      <c r="G1521" t="s">
        <v>21</v>
      </c>
      <c r="H1521" t="s">
        <v>27</v>
      </c>
      <c r="I1521" t="s">
        <v>42</v>
      </c>
      <c r="J1521" t="s">
        <v>24</v>
      </c>
      <c r="K1521" s="6">
        <f t="shared" ca="1" si="100"/>
        <v>21890</v>
      </c>
      <c r="L1521">
        <v>-23871</v>
      </c>
      <c r="M1521" s="7">
        <f t="shared" ca="1" si="98"/>
        <v>65.355236139630392</v>
      </c>
      <c r="N1521" s="5" t="str">
        <f ca="1">VLOOKUP(Data!M1521,temp!$B$3:$C$9,2,1)</f>
        <v>60-70</v>
      </c>
      <c r="O1521">
        <v>365243</v>
      </c>
      <c r="P1521" s="8">
        <f t="shared" si="99"/>
        <v>0</v>
      </c>
      <c r="Q1521" s="5" t="str">
        <f t="shared" si="101"/>
        <v>Unemployed</v>
      </c>
      <c r="R1521">
        <v>1</v>
      </c>
      <c r="S1521">
        <v>0</v>
      </c>
      <c r="T1521">
        <v>0</v>
      </c>
      <c r="U1521">
        <v>0</v>
      </c>
      <c r="W1521">
        <v>1</v>
      </c>
    </row>
    <row r="1522" spans="1:23" x14ac:dyDescent="0.2">
      <c r="A1522">
        <v>5051058</v>
      </c>
      <c r="B1522" t="s">
        <v>18</v>
      </c>
      <c r="C1522" t="s">
        <v>19</v>
      </c>
      <c r="D1522" t="s">
        <v>19</v>
      </c>
      <c r="E1522">
        <v>0</v>
      </c>
      <c r="F1522">
        <v>49500</v>
      </c>
      <c r="G1522" t="s">
        <v>21</v>
      </c>
      <c r="H1522" t="s">
        <v>27</v>
      </c>
      <c r="I1522" t="s">
        <v>42</v>
      </c>
      <c r="J1522" t="s">
        <v>24</v>
      </c>
      <c r="K1522" s="6">
        <f t="shared" ca="1" si="100"/>
        <v>21890</v>
      </c>
      <c r="L1522">
        <v>-23871</v>
      </c>
      <c r="M1522" s="7">
        <f t="shared" ca="1" si="98"/>
        <v>65.355236139630392</v>
      </c>
      <c r="N1522" s="5" t="str">
        <f ca="1">VLOOKUP(Data!M1522,temp!$B$3:$C$9,2,1)</f>
        <v>60-70</v>
      </c>
      <c r="O1522">
        <v>365243</v>
      </c>
      <c r="P1522" s="8">
        <f t="shared" si="99"/>
        <v>0</v>
      </c>
      <c r="Q1522" s="5" t="str">
        <f t="shared" si="101"/>
        <v>Unemployed</v>
      </c>
      <c r="R1522">
        <v>1</v>
      </c>
      <c r="S1522">
        <v>0</v>
      </c>
      <c r="T1522">
        <v>0</v>
      </c>
      <c r="U1522">
        <v>0</v>
      </c>
      <c r="W1522">
        <v>1</v>
      </c>
    </row>
    <row r="1523" spans="1:23" x14ac:dyDescent="0.2">
      <c r="A1523">
        <v>5051059</v>
      </c>
      <c r="B1523" t="s">
        <v>18</v>
      </c>
      <c r="C1523" t="s">
        <v>19</v>
      </c>
      <c r="D1523" t="s">
        <v>19</v>
      </c>
      <c r="E1523">
        <v>0</v>
      </c>
      <c r="F1523">
        <v>49500</v>
      </c>
      <c r="G1523" t="s">
        <v>21</v>
      </c>
      <c r="H1523" t="s">
        <v>27</v>
      </c>
      <c r="I1523" t="s">
        <v>42</v>
      </c>
      <c r="J1523" t="s">
        <v>24</v>
      </c>
      <c r="K1523" s="6">
        <f t="shared" ca="1" si="100"/>
        <v>21890</v>
      </c>
      <c r="L1523">
        <v>-23871</v>
      </c>
      <c r="M1523" s="7">
        <f t="shared" ca="1" si="98"/>
        <v>65.355236139630392</v>
      </c>
      <c r="N1523" s="5" t="str">
        <f ca="1">VLOOKUP(Data!M1523,temp!$B$3:$C$9,2,1)</f>
        <v>60-70</v>
      </c>
      <c r="O1523">
        <v>365243</v>
      </c>
      <c r="P1523" s="8">
        <f t="shared" si="99"/>
        <v>0</v>
      </c>
      <c r="Q1523" s="5" t="str">
        <f t="shared" si="101"/>
        <v>Unemployed</v>
      </c>
      <c r="R1523">
        <v>1</v>
      </c>
      <c r="S1523">
        <v>0</v>
      </c>
      <c r="T1523">
        <v>0</v>
      </c>
      <c r="U1523">
        <v>0</v>
      </c>
      <c r="W1523">
        <v>1</v>
      </c>
    </row>
    <row r="1524" spans="1:23" x14ac:dyDescent="0.2">
      <c r="A1524">
        <v>5051062</v>
      </c>
      <c r="B1524" t="s">
        <v>18</v>
      </c>
      <c r="C1524" t="s">
        <v>19</v>
      </c>
      <c r="D1524" t="s">
        <v>19</v>
      </c>
      <c r="E1524">
        <v>2</v>
      </c>
      <c r="F1524">
        <v>112500</v>
      </c>
      <c r="G1524" t="s">
        <v>26</v>
      </c>
      <c r="H1524" t="s">
        <v>27</v>
      </c>
      <c r="I1524" t="s">
        <v>28</v>
      </c>
      <c r="J1524" t="s">
        <v>24</v>
      </c>
      <c r="K1524" s="6">
        <f t="shared" ca="1" si="100"/>
        <v>33816</v>
      </c>
      <c r="L1524">
        <v>-11945</v>
      </c>
      <c r="M1524" s="7">
        <f t="shared" ca="1" si="98"/>
        <v>32.703627652292951</v>
      </c>
      <c r="N1524" s="5" t="str">
        <f ca="1">VLOOKUP(Data!M1524,temp!$B$3:$C$9,2,1)</f>
        <v>30-40</v>
      </c>
      <c r="O1524">
        <v>-1323</v>
      </c>
      <c r="P1524" s="8">
        <f t="shared" si="99"/>
        <v>3.6221765913757702</v>
      </c>
      <c r="Q1524" s="5" t="str">
        <f t="shared" si="101"/>
        <v>Employed</v>
      </c>
      <c r="R1524">
        <v>1</v>
      </c>
      <c r="S1524">
        <v>0</v>
      </c>
      <c r="T1524">
        <v>1</v>
      </c>
      <c r="U1524">
        <v>0</v>
      </c>
      <c r="W1524">
        <v>4</v>
      </c>
    </row>
    <row r="1525" spans="1:23" x14ac:dyDescent="0.2">
      <c r="A1525">
        <v>5051082</v>
      </c>
      <c r="B1525" t="s">
        <v>18</v>
      </c>
      <c r="C1525" t="s">
        <v>19</v>
      </c>
      <c r="D1525" t="s">
        <v>19</v>
      </c>
      <c r="E1525">
        <v>0</v>
      </c>
      <c r="F1525">
        <v>270000</v>
      </c>
      <c r="G1525" t="s">
        <v>26</v>
      </c>
      <c r="H1525" t="s">
        <v>27</v>
      </c>
      <c r="I1525" t="s">
        <v>23</v>
      </c>
      <c r="J1525" t="s">
        <v>45</v>
      </c>
      <c r="K1525" s="6">
        <f t="shared" ca="1" si="100"/>
        <v>28762</v>
      </c>
      <c r="L1525">
        <v>-16999</v>
      </c>
      <c r="M1525" s="7">
        <f t="shared" ca="1" si="98"/>
        <v>46.540725530458587</v>
      </c>
      <c r="N1525" s="5" t="str">
        <f ca="1">VLOOKUP(Data!M1525,temp!$B$3:$C$9,2,1)</f>
        <v>40-50</v>
      </c>
      <c r="O1525">
        <v>-1140</v>
      </c>
      <c r="P1525" s="8">
        <f t="shared" si="99"/>
        <v>3.1211498973305956</v>
      </c>
      <c r="Q1525" s="5" t="str">
        <f t="shared" si="101"/>
        <v>Employed</v>
      </c>
      <c r="R1525">
        <v>1</v>
      </c>
      <c r="S1525">
        <v>1</v>
      </c>
      <c r="T1525">
        <v>1</v>
      </c>
      <c r="U1525">
        <v>0</v>
      </c>
      <c r="V1525" t="s">
        <v>39</v>
      </c>
      <c r="W1525">
        <v>1</v>
      </c>
    </row>
    <row r="1526" spans="1:23" x14ac:dyDescent="0.2">
      <c r="A1526">
        <v>5051090</v>
      </c>
      <c r="B1526" t="s">
        <v>18</v>
      </c>
      <c r="C1526" t="s">
        <v>19</v>
      </c>
      <c r="D1526" t="s">
        <v>19</v>
      </c>
      <c r="E1526">
        <v>0</v>
      </c>
      <c r="F1526">
        <v>247500</v>
      </c>
      <c r="G1526" t="s">
        <v>35</v>
      </c>
      <c r="H1526" t="s">
        <v>22</v>
      </c>
      <c r="I1526" t="s">
        <v>28</v>
      </c>
      <c r="J1526" t="s">
        <v>24</v>
      </c>
      <c r="K1526" s="6">
        <f t="shared" ca="1" si="100"/>
        <v>34065</v>
      </c>
      <c r="L1526">
        <v>-11696</v>
      </c>
      <c r="M1526" s="7">
        <f t="shared" ca="1" si="98"/>
        <v>32.021902806297057</v>
      </c>
      <c r="N1526" s="5" t="str">
        <f ca="1">VLOOKUP(Data!M1526,temp!$B$3:$C$9,2,1)</f>
        <v>30-40</v>
      </c>
      <c r="O1526">
        <v>-2905</v>
      </c>
      <c r="P1526" s="8">
        <f t="shared" si="99"/>
        <v>7.953456536618754</v>
      </c>
      <c r="Q1526" s="5" t="str">
        <f t="shared" si="101"/>
        <v>Employed</v>
      </c>
      <c r="R1526">
        <v>1</v>
      </c>
      <c r="S1526">
        <v>0</v>
      </c>
      <c r="T1526">
        <v>0</v>
      </c>
      <c r="U1526">
        <v>0</v>
      </c>
      <c r="V1526" t="s">
        <v>38</v>
      </c>
      <c r="W1526">
        <v>2</v>
      </c>
    </row>
    <row r="1527" spans="1:23" x14ac:dyDescent="0.2">
      <c r="A1527">
        <v>5051104</v>
      </c>
      <c r="B1527" t="s">
        <v>18</v>
      </c>
      <c r="C1527" t="s">
        <v>19</v>
      </c>
      <c r="D1527" t="s">
        <v>19</v>
      </c>
      <c r="E1527">
        <v>0</v>
      </c>
      <c r="F1527">
        <v>112500</v>
      </c>
      <c r="G1527" t="s">
        <v>21</v>
      </c>
      <c r="H1527" t="s">
        <v>27</v>
      </c>
      <c r="I1527" t="s">
        <v>37</v>
      </c>
      <c r="J1527" t="s">
        <v>24</v>
      </c>
      <c r="K1527" s="6">
        <f t="shared" ca="1" si="100"/>
        <v>22840</v>
      </c>
      <c r="L1527">
        <v>-22921</v>
      </c>
      <c r="M1527" s="7">
        <f t="shared" ca="1" si="98"/>
        <v>62.75427789185489</v>
      </c>
      <c r="N1527" s="5" t="str">
        <f ca="1">VLOOKUP(Data!M1527,temp!$B$3:$C$9,2,1)</f>
        <v>60-70</v>
      </c>
      <c r="O1527">
        <v>365243</v>
      </c>
      <c r="P1527" s="8">
        <f t="shared" si="99"/>
        <v>0</v>
      </c>
      <c r="Q1527" s="5" t="str">
        <f t="shared" si="101"/>
        <v>Unemployed</v>
      </c>
      <c r="R1527">
        <v>1</v>
      </c>
      <c r="S1527">
        <v>0</v>
      </c>
      <c r="T1527">
        <v>0</v>
      </c>
      <c r="U1527">
        <v>0</v>
      </c>
      <c r="W1527">
        <v>2</v>
      </c>
    </row>
    <row r="1528" spans="1:23" x14ac:dyDescent="0.2">
      <c r="A1528">
        <v>5051111</v>
      </c>
      <c r="B1528" t="s">
        <v>18</v>
      </c>
      <c r="C1528" t="s">
        <v>19</v>
      </c>
      <c r="D1528" t="s">
        <v>19</v>
      </c>
      <c r="E1528">
        <v>0</v>
      </c>
      <c r="F1528">
        <v>85500</v>
      </c>
      <c r="G1528" t="s">
        <v>21</v>
      </c>
      <c r="H1528" t="s">
        <v>27</v>
      </c>
      <c r="I1528" t="s">
        <v>23</v>
      </c>
      <c r="J1528" t="s">
        <v>24</v>
      </c>
      <c r="K1528" s="6">
        <f t="shared" ca="1" si="100"/>
        <v>21679</v>
      </c>
      <c r="L1528">
        <v>-24082</v>
      </c>
      <c r="M1528" s="7">
        <f t="shared" ca="1" si="98"/>
        <v>65.932922655715259</v>
      </c>
      <c r="N1528" s="5" t="str">
        <f ca="1">VLOOKUP(Data!M1528,temp!$B$3:$C$9,2,1)</f>
        <v>60-70</v>
      </c>
      <c r="O1528">
        <v>365243</v>
      </c>
      <c r="P1528" s="8">
        <f t="shared" si="99"/>
        <v>0</v>
      </c>
      <c r="Q1528" s="5" t="str">
        <f t="shared" si="101"/>
        <v>Unemployed</v>
      </c>
      <c r="R1528">
        <v>1</v>
      </c>
      <c r="S1528">
        <v>0</v>
      </c>
      <c r="T1528">
        <v>1</v>
      </c>
      <c r="U1528">
        <v>0</v>
      </c>
      <c r="W1528">
        <v>1</v>
      </c>
    </row>
    <row r="1529" spans="1:23" x14ac:dyDescent="0.2">
      <c r="A1529">
        <v>5051123</v>
      </c>
      <c r="B1529" t="s">
        <v>25</v>
      </c>
      <c r="C1529" t="s">
        <v>19</v>
      </c>
      <c r="D1529" t="s">
        <v>19</v>
      </c>
      <c r="E1529">
        <v>0</v>
      </c>
      <c r="F1529">
        <v>202500</v>
      </c>
      <c r="G1529" t="s">
        <v>35</v>
      </c>
      <c r="H1529" t="s">
        <v>22</v>
      </c>
      <c r="I1529" t="s">
        <v>28</v>
      </c>
      <c r="J1529" t="s">
        <v>24</v>
      </c>
      <c r="K1529" s="6">
        <f t="shared" ca="1" si="100"/>
        <v>33036</v>
      </c>
      <c r="L1529">
        <v>-12725</v>
      </c>
      <c r="M1529" s="7">
        <f t="shared" ca="1" si="98"/>
        <v>34.839151266255989</v>
      </c>
      <c r="N1529" s="5" t="str">
        <f ca="1">VLOOKUP(Data!M1529,temp!$B$3:$C$9,2,1)</f>
        <v>30-40</v>
      </c>
      <c r="O1529">
        <v>-5006</v>
      </c>
      <c r="P1529" s="8">
        <f t="shared" si="99"/>
        <v>13.705681040383299</v>
      </c>
      <c r="Q1529" s="5" t="str">
        <f t="shared" si="101"/>
        <v>Employed</v>
      </c>
      <c r="R1529">
        <v>1</v>
      </c>
      <c r="S1529">
        <v>0</v>
      </c>
      <c r="T1529">
        <v>0</v>
      </c>
      <c r="U1529">
        <v>0</v>
      </c>
      <c r="V1529" t="s">
        <v>38</v>
      </c>
      <c r="W1529">
        <v>2</v>
      </c>
    </row>
    <row r="1530" spans="1:23" x14ac:dyDescent="0.2">
      <c r="A1530">
        <v>5051124</v>
      </c>
      <c r="B1530" t="s">
        <v>25</v>
      </c>
      <c r="C1530" t="s">
        <v>19</v>
      </c>
      <c r="D1530" t="s">
        <v>19</v>
      </c>
      <c r="E1530">
        <v>0</v>
      </c>
      <c r="F1530">
        <v>202500</v>
      </c>
      <c r="G1530" t="s">
        <v>35</v>
      </c>
      <c r="H1530" t="s">
        <v>22</v>
      </c>
      <c r="I1530" t="s">
        <v>28</v>
      </c>
      <c r="J1530" t="s">
        <v>24</v>
      </c>
      <c r="K1530" s="6">
        <f t="shared" ca="1" si="100"/>
        <v>33036</v>
      </c>
      <c r="L1530">
        <v>-12725</v>
      </c>
      <c r="M1530" s="7">
        <f t="shared" ca="1" si="98"/>
        <v>34.839151266255989</v>
      </c>
      <c r="N1530" s="5" t="str">
        <f ca="1">VLOOKUP(Data!M1530,temp!$B$3:$C$9,2,1)</f>
        <v>30-40</v>
      </c>
      <c r="O1530">
        <v>-5006</v>
      </c>
      <c r="P1530" s="8">
        <f t="shared" si="99"/>
        <v>13.705681040383299</v>
      </c>
      <c r="Q1530" s="5" t="str">
        <f t="shared" si="101"/>
        <v>Employed</v>
      </c>
      <c r="R1530">
        <v>1</v>
      </c>
      <c r="S1530">
        <v>0</v>
      </c>
      <c r="T1530">
        <v>0</v>
      </c>
      <c r="U1530">
        <v>0</v>
      </c>
      <c r="V1530" t="s">
        <v>38</v>
      </c>
      <c r="W1530">
        <v>2</v>
      </c>
    </row>
    <row r="1531" spans="1:23" x14ac:dyDescent="0.2">
      <c r="A1531">
        <v>5051133</v>
      </c>
      <c r="B1531" t="s">
        <v>18</v>
      </c>
      <c r="C1531" t="s">
        <v>19</v>
      </c>
      <c r="D1531" t="s">
        <v>19</v>
      </c>
      <c r="E1531">
        <v>0</v>
      </c>
      <c r="F1531">
        <v>450000</v>
      </c>
      <c r="G1531" t="s">
        <v>26</v>
      </c>
      <c r="H1531" t="s">
        <v>22</v>
      </c>
      <c r="I1531" t="s">
        <v>33</v>
      </c>
      <c r="J1531" t="s">
        <v>24</v>
      </c>
      <c r="K1531" s="6">
        <f t="shared" ca="1" si="100"/>
        <v>35622</v>
      </c>
      <c r="L1531">
        <v>-10139</v>
      </c>
      <c r="M1531" s="7">
        <f t="shared" ca="1" si="98"/>
        <v>27.759069130732374</v>
      </c>
      <c r="N1531" s="5" t="str">
        <f ca="1">VLOOKUP(Data!M1531,temp!$B$3:$C$9,2,1)</f>
        <v>20-30</v>
      </c>
      <c r="O1531">
        <v>-136</v>
      </c>
      <c r="P1531" s="8">
        <f t="shared" si="99"/>
        <v>0.37234770704996578</v>
      </c>
      <c r="Q1531" s="5" t="str">
        <f t="shared" si="101"/>
        <v>Employed</v>
      </c>
      <c r="R1531">
        <v>1</v>
      </c>
      <c r="S1531">
        <v>0</v>
      </c>
      <c r="T1531">
        <v>0</v>
      </c>
      <c r="U1531">
        <v>0</v>
      </c>
      <c r="V1531" t="s">
        <v>38</v>
      </c>
      <c r="W1531">
        <v>1</v>
      </c>
    </row>
    <row r="1532" spans="1:23" x14ac:dyDescent="0.2">
      <c r="A1532">
        <v>5051135</v>
      </c>
      <c r="B1532" t="s">
        <v>25</v>
      </c>
      <c r="C1532" t="s">
        <v>20</v>
      </c>
      <c r="D1532" t="s">
        <v>19</v>
      </c>
      <c r="E1532">
        <v>0</v>
      </c>
      <c r="F1532">
        <v>315000</v>
      </c>
      <c r="G1532" t="s">
        <v>31</v>
      </c>
      <c r="H1532" t="s">
        <v>36</v>
      </c>
      <c r="I1532" t="s">
        <v>37</v>
      </c>
      <c r="J1532" t="s">
        <v>53</v>
      </c>
      <c r="K1532" s="6">
        <f t="shared" ca="1" si="100"/>
        <v>30203</v>
      </c>
      <c r="L1532">
        <v>-15558</v>
      </c>
      <c r="M1532" s="7">
        <f t="shared" ca="1" si="98"/>
        <v>42.595482546201232</v>
      </c>
      <c r="N1532" s="5" t="str">
        <f ca="1">VLOOKUP(Data!M1532,temp!$B$3:$C$9,2,1)</f>
        <v>40-50</v>
      </c>
      <c r="O1532">
        <v>-4276</v>
      </c>
      <c r="P1532" s="8">
        <f t="shared" si="99"/>
        <v>11.707049965776864</v>
      </c>
      <c r="Q1532" s="5" t="str">
        <f t="shared" si="101"/>
        <v>Employed</v>
      </c>
      <c r="R1532">
        <v>1</v>
      </c>
      <c r="S1532">
        <v>0</v>
      </c>
      <c r="T1532">
        <v>1</v>
      </c>
      <c r="U1532">
        <v>0</v>
      </c>
      <c r="W1532">
        <v>2</v>
      </c>
    </row>
    <row r="1533" spans="1:23" x14ac:dyDescent="0.2">
      <c r="A1533">
        <v>5051166</v>
      </c>
      <c r="B1533" t="s">
        <v>25</v>
      </c>
      <c r="C1533" t="s">
        <v>19</v>
      </c>
      <c r="D1533" t="s">
        <v>19</v>
      </c>
      <c r="E1533">
        <v>0</v>
      </c>
      <c r="F1533">
        <v>112500</v>
      </c>
      <c r="G1533" t="s">
        <v>26</v>
      </c>
      <c r="H1533" t="s">
        <v>27</v>
      </c>
      <c r="I1533" t="s">
        <v>33</v>
      </c>
      <c r="J1533" t="s">
        <v>24</v>
      </c>
      <c r="K1533" s="6">
        <f t="shared" ca="1" si="100"/>
        <v>23054</v>
      </c>
      <c r="L1533">
        <v>-22707</v>
      </c>
      <c r="M1533" s="7">
        <f t="shared" ca="1" si="98"/>
        <v>62.168377823408626</v>
      </c>
      <c r="N1533" s="5" t="str">
        <f ca="1">VLOOKUP(Data!M1533,temp!$B$3:$C$9,2,1)</f>
        <v>60-70</v>
      </c>
      <c r="O1533">
        <v>-6771</v>
      </c>
      <c r="P1533" s="8">
        <f t="shared" si="99"/>
        <v>18.537987679671456</v>
      </c>
      <c r="Q1533" s="5" t="str">
        <f t="shared" si="101"/>
        <v>Employed</v>
      </c>
      <c r="R1533">
        <v>1</v>
      </c>
      <c r="S1533">
        <v>0</v>
      </c>
      <c r="T1533">
        <v>0</v>
      </c>
      <c r="U1533">
        <v>0</v>
      </c>
      <c r="V1533" t="s">
        <v>29</v>
      </c>
      <c r="W1533">
        <v>1</v>
      </c>
    </row>
    <row r="1534" spans="1:23" x14ac:dyDescent="0.2">
      <c r="A1534">
        <v>5051175</v>
      </c>
      <c r="B1534" t="s">
        <v>25</v>
      </c>
      <c r="C1534" t="s">
        <v>20</v>
      </c>
      <c r="D1534" t="s">
        <v>19</v>
      </c>
      <c r="E1534">
        <v>0</v>
      </c>
      <c r="F1534">
        <v>292500</v>
      </c>
      <c r="G1534" t="s">
        <v>31</v>
      </c>
      <c r="H1534" t="s">
        <v>27</v>
      </c>
      <c r="I1534" t="s">
        <v>28</v>
      </c>
      <c r="J1534" t="s">
        <v>24</v>
      </c>
      <c r="K1534" s="6">
        <f t="shared" ca="1" si="100"/>
        <v>26950</v>
      </c>
      <c r="L1534">
        <v>-18811</v>
      </c>
      <c r="M1534" s="7">
        <f t="shared" ca="1" si="98"/>
        <v>51.501711156741955</v>
      </c>
      <c r="N1534" s="5" t="str">
        <f ca="1">VLOOKUP(Data!M1534,temp!$B$3:$C$9,2,1)</f>
        <v>50-60</v>
      </c>
      <c r="O1534">
        <v>-1170</v>
      </c>
      <c r="P1534" s="8">
        <f t="shared" si="99"/>
        <v>3.2032854209445585</v>
      </c>
      <c r="Q1534" s="5" t="str">
        <f t="shared" si="101"/>
        <v>Employed</v>
      </c>
      <c r="R1534">
        <v>1</v>
      </c>
      <c r="S1534">
        <v>0</v>
      </c>
      <c r="T1534">
        <v>0</v>
      </c>
      <c r="U1534">
        <v>0</v>
      </c>
      <c r="V1534" t="s">
        <v>29</v>
      </c>
      <c r="W1534">
        <v>2</v>
      </c>
    </row>
    <row r="1535" spans="1:23" x14ac:dyDescent="0.2">
      <c r="A1535">
        <v>5051180</v>
      </c>
      <c r="B1535" t="s">
        <v>25</v>
      </c>
      <c r="C1535" t="s">
        <v>20</v>
      </c>
      <c r="D1535" t="s">
        <v>19</v>
      </c>
      <c r="E1535">
        <v>1</v>
      </c>
      <c r="F1535">
        <v>247500</v>
      </c>
      <c r="G1535" t="s">
        <v>31</v>
      </c>
      <c r="H1535" t="s">
        <v>27</v>
      </c>
      <c r="I1535" t="s">
        <v>28</v>
      </c>
      <c r="J1535" t="s">
        <v>24</v>
      </c>
      <c r="K1535" s="6">
        <f t="shared" ca="1" si="100"/>
        <v>32675</v>
      </c>
      <c r="L1535">
        <v>-13086</v>
      </c>
      <c r="M1535" s="7">
        <f t="shared" ca="1" si="98"/>
        <v>35.827515400410675</v>
      </c>
      <c r="N1535" s="5" t="str">
        <f ca="1">VLOOKUP(Data!M1535,temp!$B$3:$C$9,2,1)</f>
        <v>30-40</v>
      </c>
      <c r="O1535">
        <v>-1931</v>
      </c>
      <c r="P1535" s="8">
        <f t="shared" si="99"/>
        <v>5.2867898699520879</v>
      </c>
      <c r="Q1535" s="5" t="str">
        <f t="shared" si="101"/>
        <v>Employed</v>
      </c>
      <c r="R1535">
        <v>1</v>
      </c>
      <c r="S1535">
        <v>0</v>
      </c>
      <c r="T1535">
        <v>1</v>
      </c>
      <c r="U1535">
        <v>0</v>
      </c>
      <c r="V1535" t="s">
        <v>29</v>
      </c>
      <c r="W1535">
        <v>3</v>
      </c>
    </row>
    <row r="1536" spans="1:23" x14ac:dyDescent="0.2">
      <c r="A1536">
        <v>5051202</v>
      </c>
      <c r="B1536" t="s">
        <v>25</v>
      </c>
      <c r="C1536" t="s">
        <v>20</v>
      </c>
      <c r="D1536" t="s">
        <v>19</v>
      </c>
      <c r="E1536">
        <v>1</v>
      </c>
      <c r="F1536">
        <v>135000</v>
      </c>
      <c r="G1536" t="s">
        <v>31</v>
      </c>
      <c r="H1536" t="s">
        <v>36</v>
      </c>
      <c r="I1536" t="s">
        <v>28</v>
      </c>
      <c r="J1536" t="s">
        <v>24</v>
      </c>
      <c r="K1536" s="6">
        <f t="shared" ca="1" si="100"/>
        <v>32237</v>
      </c>
      <c r="L1536">
        <v>-13524</v>
      </c>
      <c r="M1536" s="7">
        <f t="shared" ca="1" si="98"/>
        <v>37.026694045174537</v>
      </c>
      <c r="N1536" s="5" t="str">
        <f ca="1">VLOOKUP(Data!M1536,temp!$B$3:$C$9,2,1)</f>
        <v>30-40</v>
      </c>
      <c r="O1536">
        <v>-1293</v>
      </c>
      <c r="P1536" s="8">
        <f t="shared" si="99"/>
        <v>3.5400410677618068</v>
      </c>
      <c r="Q1536" s="5" t="str">
        <f t="shared" si="101"/>
        <v>Employed</v>
      </c>
      <c r="R1536">
        <v>1</v>
      </c>
      <c r="S1536">
        <v>0</v>
      </c>
      <c r="T1536">
        <v>1</v>
      </c>
      <c r="U1536">
        <v>0</v>
      </c>
      <c r="W1536">
        <v>3</v>
      </c>
    </row>
    <row r="1537" spans="1:23" x14ac:dyDescent="0.2">
      <c r="A1537">
        <v>5051205</v>
      </c>
      <c r="B1537" t="s">
        <v>25</v>
      </c>
      <c r="C1537" t="s">
        <v>20</v>
      </c>
      <c r="D1537" t="s">
        <v>19</v>
      </c>
      <c r="E1537">
        <v>1</v>
      </c>
      <c r="F1537">
        <v>135000</v>
      </c>
      <c r="G1537" t="s">
        <v>31</v>
      </c>
      <c r="H1537" t="s">
        <v>36</v>
      </c>
      <c r="I1537" t="s">
        <v>28</v>
      </c>
      <c r="J1537" t="s">
        <v>24</v>
      </c>
      <c r="K1537" s="6">
        <f t="shared" ca="1" si="100"/>
        <v>32237</v>
      </c>
      <c r="L1537">
        <v>-13524</v>
      </c>
      <c r="M1537" s="7">
        <f t="shared" ca="1" si="98"/>
        <v>37.026694045174537</v>
      </c>
      <c r="N1537" s="5" t="str">
        <f ca="1">VLOOKUP(Data!M1537,temp!$B$3:$C$9,2,1)</f>
        <v>30-40</v>
      </c>
      <c r="O1537">
        <v>-1293</v>
      </c>
      <c r="P1537" s="8">
        <f t="shared" si="99"/>
        <v>3.5400410677618068</v>
      </c>
      <c r="Q1537" s="5" t="str">
        <f t="shared" si="101"/>
        <v>Employed</v>
      </c>
      <c r="R1537">
        <v>1</v>
      </c>
      <c r="S1537">
        <v>0</v>
      </c>
      <c r="T1537">
        <v>1</v>
      </c>
      <c r="U1537">
        <v>0</v>
      </c>
      <c r="W1537">
        <v>3</v>
      </c>
    </row>
    <row r="1538" spans="1:23" x14ac:dyDescent="0.2">
      <c r="A1538">
        <v>5051210</v>
      </c>
      <c r="B1538" t="s">
        <v>25</v>
      </c>
      <c r="C1538" t="s">
        <v>20</v>
      </c>
      <c r="D1538" t="s">
        <v>19</v>
      </c>
      <c r="E1538">
        <v>0</v>
      </c>
      <c r="F1538">
        <v>191700</v>
      </c>
      <c r="G1538" t="s">
        <v>31</v>
      </c>
      <c r="H1538" t="s">
        <v>51</v>
      </c>
      <c r="I1538" t="s">
        <v>28</v>
      </c>
      <c r="J1538" t="s">
        <v>24</v>
      </c>
      <c r="K1538" s="6">
        <f t="shared" ca="1" si="100"/>
        <v>30288</v>
      </c>
      <c r="L1538">
        <v>-15473</v>
      </c>
      <c r="M1538" s="7">
        <f t="shared" ca="1" si="98"/>
        <v>42.362765229295</v>
      </c>
      <c r="N1538" s="5" t="str">
        <f ca="1">VLOOKUP(Data!M1538,temp!$B$3:$C$9,2,1)</f>
        <v>40-50</v>
      </c>
      <c r="O1538">
        <v>-6557</v>
      </c>
      <c r="P1538" s="8">
        <f t="shared" si="99"/>
        <v>17.952087611225188</v>
      </c>
      <c r="Q1538" s="5" t="str">
        <f t="shared" si="101"/>
        <v>Employed</v>
      </c>
      <c r="R1538">
        <v>1</v>
      </c>
      <c r="S1538">
        <v>1</v>
      </c>
      <c r="T1538">
        <v>1</v>
      </c>
      <c r="U1538">
        <v>0</v>
      </c>
      <c r="V1538" t="s">
        <v>30</v>
      </c>
      <c r="W1538">
        <v>2</v>
      </c>
    </row>
    <row r="1539" spans="1:23" x14ac:dyDescent="0.2">
      <c r="A1539">
        <v>5051214</v>
      </c>
      <c r="B1539" t="s">
        <v>25</v>
      </c>
      <c r="C1539" t="s">
        <v>20</v>
      </c>
      <c r="D1539" t="s">
        <v>19</v>
      </c>
      <c r="E1539">
        <v>0</v>
      </c>
      <c r="F1539">
        <v>540000</v>
      </c>
      <c r="G1539" t="s">
        <v>26</v>
      </c>
      <c r="H1539" t="s">
        <v>22</v>
      </c>
      <c r="I1539" t="s">
        <v>28</v>
      </c>
      <c r="J1539" t="s">
        <v>24</v>
      </c>
      <c r="K1539" s="6">
        <f t="shared" ca="1" si="100"/>
        <v>28257</v>
      </c>
      <c r="L1539">
        <v>-17504</v>
      </c>
      <c r="M1539" s="7">
        <f t="shared" ref="M1539:M1602" ca="1" si="102">(TODAY()-K1539)/365.25</f>
        <v>47.923340177960299</v>
      </c>
      <c r="N1539" s="5" t="str">
        <f ca="1">VLOOKUP(Data!M1539,temp!$B$3:$C$9,2,1)</f>
        <v>40-50</v>
      </c>
      <c r="O1539">
        <v>-6102</v>
      </c>
      <c r="P1539" s="8">
        <f t="shared" ref="P1539:P1602" si="103">IF(O1539&lt;=0,ABS(O1539)/365.25,0)</f>
        <v>16.706365503080082</v>
      </c>
      <c r="Q1539" s="5" t="str">
        <f t="shared" si="101"/>
        <v>Employed</v>
      </c>
      <c r="R1539">
        <v>1</v>
      </c>
      <c r="S1539">
        <v>0</v>
      </c>
      <c r="T1539">
        <v>1</v>
      </c>
      <c r="U1539">
        <v>0</v>
      </c>
      <c r="V1539" t="s">
        <v>32</v>
      </c>
      <c r="W1539">
        <v>2</v>
      </c>
    </row>
    <row r="1540" spans="1:23" x14ac:dyDescent="0.2">
      <c r="A1540">
        <v>5051216</v>
      </c>
      <c r="B1540" t="s">
        <v>25</v>
      </c>
      <c r="C1540" t="s">
        <v>20</v>
      </c>
      <c r="D1540" t="s">
        <v>19</v>
      </c>
      <c r="E1540">
        <v>0</v>
      </c>
      <c r="F1540">
        <v>540000</v>
      </c>
      <c r="G1540" t="s">
        <v>26</v>
      </c>
      <c r="H1540" t="s">
        <v>22</v>
      </c>
      <c r="I1540" t="s">
        <v>28</v>
      </c>
      <c r="J1540" t="s">
        <v>24</v>
      </c>
      <c r="K1540" s="6">
        <f t="shared" ca="1" si="100"/>
        <v>28257</v>
      </c>
      <c r="L1540">
        <v>-17504</v>
      </c>
      <c r="M1540" s="7">
        <f t="shared" ca="1" si="102"/>
        <v>47.923340177960299</v>
      </c>
      <c r="N1540" s="5" t="str">
        <f ca="1">VLOOKUP(Data!M1540,temp!$B$3:$C$9,2,1)</f>
        <v>40-50</v>
      </c>
      <c r="O1540">
        <v>-6102</v>
      </c>
      <c r="P1540" s="8">
        <f t="shared" si="103"/>
        <v>16.706365503080082</v>
      </c>
      <c r="Q1540" s="5" t="str">
        <f t="shared" si="101"/>
        <v>Employed</v>
      </c>
      <c r="R1540">
        <v>1</v>
      </c>
      <c r="S1540">
        <v>0</v>
      </c>
      <c r="T1540">
        <v>1</v>
      </c>
      <c r="U1540">
        <v>0</v>
      </c>
      <c r="V1540" t="s">
        <v>32</v>
      </c>
      <c r="W1540">
        <v>2</v>
      </c>
    </row>
    <row r="1541" spans="1:23" x14ac:dyDescent="0.2">
      <c r="A1541">
        <v>5051240</v>
      </c>
      <c r="B1541" t="s">
        <v>18</v>
      </c>
      <c r="C1541" t="s">
        <v>20</v>
      </c>
      <c r="D1541" t="s">
        <v>19</v>
      </c>
      <c r="E1541">
        <v>0</v>
      </c>
      <c r="F1541">
        <v>121500</v>
      </c>
      <c r="G1541" t="s">
        <v>21</v>
      </c>
      <c r="H1541" t="s">
        <v>27</v>
      </c>
      <c r="I1541" t="s">
        <v>33</v>
      </c>
      <c r="J1541" t="s">
        <v>24</v>
      </c>
      <c r="K1541" s="6">
        <f t="shared" ca="1" si="100"/>
        <v>22433</v>
      </c>
      <c r="L1541">
        <v>-23328</v>
      </c>
      <c r="M1541" s="7">
        <f t="shared" ca="1" si="102"/>
        <v>63.868583162217661</v>
      </c>
      <c r="N1541" s="5" t="str">
        <f ca="1">VLOOKUP(Data!M1541,temp!$B$3:$C$9,2,1)</f>
        <v>60-70</v>
      </c>
      <c r="O1541">
        <v>365243</v>
      </c>
      <c r="P1541" s="8">
        <f t="shared" si="103"/>
        <v>0</v>
      </c>
      <c r="Q1541" s="5" t="str">
        <f t="shared" si="101"/>
        <v>Unemployed</v>
      </c>
      <c r="R1541">
        <v>1</v>
      </c>
      <c r="S1541">
        <v>0</v>
      </c>
      <c r="T1541">
        <v>0</v>
      </c>
      <c r="U1541">
        <v>0</v>
      </c>
      <c r="W1541">
        <v>1</v>
      </c>
    </row>
    <row r="1542" spans="1:23" x14ac:dyDescent="0.2">
      <c r="A1542">
        <v>5052590</v>
      </c>
      <c r="B1542" t="s">
        <v>18</v>
      </c>
      <c r="C1542" t="s">
        <v>19</v>
      </c>
      <c r="D1542" t="s">
        <v>20</v>
      </c>
      <c r="E1542">
        <v>0</v>
      </c>
      <c r="F1542">
        <v>135000</v>
      </c>
      <c r="G1542" t="s">
        <v>31</v>
      </c>
      <c r="H1542" t="s">
        <v>27</v>
      </c>
      <c r="I1542" t="s">
        <v>33</v>
      </c>
      <c r="J1542" t="s">
        <v>24</v>
      </c>
      <c r="K1542" s="6">
        <f t="shared" ca="1" si="100"/>
        <v>23553</v>
      </c>
      <c r="L1542">
        <v>-22208</v>
      </c>
      <c r="M1542" s="7">
        <f t="shared" ca="1" si="102"/>
        <v>60.802190280629709</v>
      </c>
      <c r="N1542" s="5" t="str">
        <f ca="1">VLOOKUP(Data!M1542,temp!$B$3:$C$9,2,1)</f>
        <v>60-70</v>
      </c>
      <c r="O1542">
        <v>-229</v>
      </c>
      <c r="P1542" s="8">
        <f t="shared" si="103"/>
        <v>0.6269678302532512</v>
      </c>
      <c r="Q1542" s="5" t="str">
        <f t="shared" si="101"/>
        <v>Employed</v>
      </c>
      <c r="R1542">
        <v>1</v>
      </c>
      <c r="S1542">
        <v>0</v>
      </c>
      <c r="T1542">
        <v>1</v>
      </c>
      <c r="U1542">
        <v>0</v>
      </c>
      <c r="W1542">
        <v>1</v>
      </c>
    </row>
    <row r="1543" spans="1:23" x14ac:dyDescent="0.2">
      <c r="A1543">
        <v>5052594</v>
      </c>
      <c r="B1543" t="s">
        <v>18</v>
      </c>
      <c r="C1543" t="s">
        <v>19</v>
      </c>
      <c r="D1543" t="s">
        <v>20</v>
      </c>
      <c r="E1543">
        <v>0</v>
      </c>
      <c r="F1543">
        <v>76500</v>
      </c>
      <c r="G1543" t="s">
        <v>35</v>
      </c>
      <c r="H1543" t="s">
        <v>27</v>
      </c>
      <c r="I1543" t="s">
        <v>28</v>
      </c>
      <c r="J1543" t="s">
        <v>24</v>
      </c>
      <c r="K1543" s="6">
        <f t="shared" ca="1" si="100"/>
        <v>27075</v>
      </c>
      <c r="L1543">
        <v>-18686</v>
      </c>
      <c r="M1543" s="7">
        <f t="shared" ca="1" si="102"/>
        <v>51.159479808350447</v>
      </c>
      <c r="N1543" s="5" t="str">
        <f ca="1">VLOOKUP(Data!M1543,temp!$B$3:$C$9,2,1)</f>
        <v>50-60</v>
      </c>
      <c r="O1543">
        <v>-6773</v>
      </c>
      <c r="P1543" s="8">
        <f t="shared" si="103"/>
        <v>18.543463381245722</v>
      </c>
      <c r="Q1543" s="5" t="str">
        <f t="shared" si="101"/>
        <v>Employed</v>
      </c>
      <c r="R1543">
        <v>1</v>
      </c>
      <c r="S1543">
        <v>0</v>
      </c>
      <c r="T1543">
        <v>0</v>
      </c>
      <c r="U1543">
        <v>0</v>
      </c>
      <c r="W1543">
        <v>2</v>
      </c>
    </row>
    <row r="1544" spans="1:23" x14ac:dyDescent="0.2">
      <c r="A1544">
        <v>5052596</v>
      </c>
      <c r="B1544" t="s">
        <v>18</v>
      </c>
      <c r="C1544" t="s">
        <v>20</v>
      </c>
      <c r="D1544" t="s">
        <v>20</v>
      </c>
      <c r="E1544">
        <v>0</v>
      </c>
      <c r="F1544">
        <v>112500</v>
      </c>
      <c r="G1544" t="s">
        <v>21</v>
      </c>
      <c r="H1544" t="s">
        <v>27</v>
      </c>
      <c r="I1544" t="s">
        <v>28</v>
      </c>
      <c r="J1544" t="s">
        <v>24</v>
      </c>
      <c r="K1544" s="6">
        <f t="shared" ref="K1544:K1607" ca="1" si="104">TODAY()+($L1544)</f>
        <v>24986</v>
      </c>
      <c r="L1544">
        <v>-20775</v>
      </c>
      <c r="M1544" s="7">
        <f t="shared" ca="1" si="102"/>
        <v>56.878850102669404</v>
      </c>
      <c r="N1544" s="5" t="str">
        <f ca="1">VLOOKUP(Data!M1544,temp!$B$3:$C$9,2,1)</f>
        <v>50-60</v>
      </c>
      <c r="O1544">
        <v>365243</v>
      </c>
      <c r="P1544" s="8">
        <f t="shared" si="103"/>
        <v>0</v>
      </c>
      <c r="Q1544" s="5" t="str">
        <f t="shared" ref="Q1544:Q1607" si="105">IF($O1544&gt;0,"Unemployed","Employed")</f>
        <v>Unemployed</v>
      </c>
      <c r="R1544">
        <v>1</v>
      </c>
      <c r="S1544">
        <v>0</v>
      </c>
      <c r="T1544">
        <v>0</v>
      </c>
      <c r="U1544">
        <v>0</v>
      </c>
      <c r="W1544">
        <v>2</v>
      </c>
    </row>
    <row r="1545" spans="1:23" x14ac:dyDescent="0.2">
      <c r="A1545">
        <v>5052615</v>
      </c>
      <c r="B1545" t="s">
        <v>25</v>
      </c>
      <c r="C1545" t="s">
        <v>19</v>
      </c>
      <c r="D1545" t="s">
        <v>19</v>
      </c>
      <c r="E1545">
        <v>0</v>
      </c>
      <c r="F1545">
        <v>135000</v>
      </c>
      <c r="G1545" t="s">
        <v>31</v>
      </c>
      <c r="H1545" t="s">
        <v>27</v>
      </c>
      <c r="I1545" t="s">
        <v>33</v>
      </c>
      <c r="J1545" t="s">
        <v>45</v>
      </c>
      <c r="K1545" s="6">
        <f t="shared" ca="1" si="104"/>
        <v>32034</v>
      </c>
      <c r="L1545">
        <v>-13727</v>
      </c>
      <c r="M1545" s="7">
        <f t="shared" ca="1" si="102"/>
        <v>37.582477754962355</v>
      </c>
      <c r="N1545" s="5" t="str">
        <f ca="1">VLOOKUP(Data!M1545,temp!$B$3:$C$9,2,1)</f>
        <v>30-40</v>
      </c>
      <c r="O1545">
        <v>-321</v>
      </c>
      <c r="P1545" s="8">
        <f t="shared" si="103"/>
        <v>0.87885010266940455</v>
      </c>
      <c r="Q1545" s="5" t="str">
        <f t="shared" si="105"/>
        <v>Employed</v>
      </c>
      <c r="R1545">
        <v>1</v>
      </c>
      <c r="S1545">
        <v>0</v>
      </c>
      <c r="T1545">
        <v>1</v>
      </c>
      <c r="U1545">
        <v>0</v>
      </c>
      <c r="W1545">
        <v>1</v>
      </c>
    </row>
    <row r="1546" spans="1:23" x14ac:dyDescent="0.2">
      <c r="A1546">
        <v>5052625</v>
      </c>
      <c r="B1546" t="s">
        <v>18</v>
      </c>
      <c r="C1546" t="s">
        <v>20</v>
      </c>
      <c r="D1546" t="s">
        <v>19</v>
      </c>
      <c r="E1546">
        <v>0</v>
      </c>
      <c r="F1546">
        <v>81000</v>
      </c>
      <c r="G1546" t="s">
        <v>31</v>
      </c>
      <c r="H1546" t="s">
        <v>27</v>
      </c>
      <c r="I1546" t="s">
        <v>33</v>
      </c>
      <c r="J1546" t="s">
        <v>24</v>
      </c>
      <c r="K1546" s="6">
        <f t="shared" ca="1" si="104"/>
        <v>27339</v>
      </c>
      <c r="L1546">
        <v>-18422</v>
      </c>
      <c r="M1546" s="7">
        <f t="shared" ca="1" si="102"/>
        <v>50.436687200547567</v>
      </c>
      <c r="N1546" s="5" t="str">
        <f ca="1">VLOOKUP(Data!M1546,temp!$B$3:$C$9,2,1)</f>
        <v>50-60</v>
      </c>
      <c r="O1546">
        <v>-5494</v>
      </c>
      <c r="P1546" s="8">
        <f t="shared" si="103"/>
        <v>15.041752224503764</v>
      </c>
      <c r="Q1546" s="5" t="str">
        <f t="shared" si="105"/>
        <v>Employed</v>
      </c>
      <c r="R1546">
        <v>1</v>
      </c>
      <c r="S1546">
        <v>0</v>
      </c>
      <c r="T1546">
        <v>0</v>
      </c>
      <c r="U1546">
        <v>0</v>
      </c>
      <c r="V1546" t="s">
        <v>29</v>
      </c>
      <c r="W1546">
        <v>1</v>
      </c>
    </row>
    <row r="1547" spans="1:23" x14ac:dyDescent="0.2">
      <c r="A1547">
        <v>5052634</v>
      </c>
      <c r="B1547" t="s">
        <v>25</v>
      </c>
      <c r="C1547" t="s">
        <v>19</v>
      </c>
      <c r="D1547" t="s">
        <v>20</v>
      </c>
      <c r="E1547">
        <v>0</v>
      </c>
      <c r="F1547">
        <v>253800</v>
      </c>
      <c r="G1547" t="s">
        <v>26</v>
      </c>
      <c r="H1547" t="s">
        <v>22</v>
      </c>
      <c r="I1547" t="s">
        <v>28</v>
      </c>
      <c r="J1547" t="s">
        <v>24</v>
      </c>
      <c r="K1547" s="6">
        <f t="shared" ca="1" si="104"/>
        <v>25101</v>
      </c>
      <c r="L1547">
        <v>-20660</v>
      </c>
      <c r="M1547" s="7">
        <f t="shared" ca="1" si="102"/>
        <v>56.563997262149215</v>
      </c>
      <c r="N1547" s="5" t="str">
        <f ca="1">VLOOKUP(Data!M1547,temp!$B$3:$C$9,2,1)</f>
        <v>50-60</v>
      </c>
      <c r="O1547">
        <v>-3029</v>
      </c>
      <c r="P1547" s="8">
        <f t="shared" si="103"/>
        <v>8.2929500342231357</v>
      </c>
      <c r="Q1547" s="5" t="str">
        <f t="shared" si="105"/>
        <v>Employed</v>
      </c>
      <c r="R1547">
        <v>1</v>
      </c>
      <c r="S1547">
        <v>0</v>
      </c>
      <c r="T1547">
        <v>1</v>
      </c>
      <c r="U1547">
        <v>0</v>
      </c>
      <c r="V1547" t="s">
        <v>32</v>
      </c>
      <c r="W1547">
        <v>2</v>
      </c>
    </row>
    <row r="1548" spans="1:23" x14ac:dyDescent="0.2">
      <c r="A1548">
        <v>5052638</v>
      </c>
      <c r="B1548" t="s">
        <v>18</v>
      </c>
      <c r="C1548" t="s">
        <v>19</v>
      </c>
      <c r="D1548" t="s">
        <v>20</v>
      </c>
      <c r="E1548">
        <v>0</v>
      </c>
      <c r="F1548">
        <v>225000</v>
      </c>
      <c r="G1548" t="s">
        <v>31</v>
      </c>
      <c r="H1548" t="s">
        <v>22</v>
      </c>
      <c r="I1548" t="s">
        <v>42</v>
      </c>
      <c r="J1548" t="s">
        <v>24</v>
      </c>
      <c r="K1548" s="6">
        <f t="shared" ca="1" si="104"/>
        <v>25223</v>
      </c>
      <c r="L1548">
        <v>-20538</v>
      </c>
      <c r="M1548" s="7">
        <f t="shared" ca="1" si="102"/>
        <v>56.229979466119097</v>
      </c>
      <c r="N1548" s="5" t="str">
        <f ca="1">VLOOKUP(Data!M1548,temp!$B$3:$C$9,2,1)</f>
        <v>50-60</v>
      </c>
      <c r="O1548">
        <v>-5525</v>
      </c>
      <c r="P1548" s="8">
        <f t="shared" si="103"/>
        <v>15.126625598904859</v>
      </c>
      <c r="Q1548" s="5" t="str">
        <f t="shared" si="105"/>
        <v>Employed</v>
      </c>
      <c r="R1548">
        <v>1</v>
      </c>
      <c r="S1548">
        <v>1</v>
      </c>
      <c r="T1548">
        <v>0</v>
      </c>
      <c r="U1548">
        <v>0</v>
      </c>
      <c r="V1548" t="s">
        <v>39</v>
      </c>
      <c r="W1548">
        <v>1</v>
      </c>
    </row>
    <row r="1549" spans="1:23" x14ac:dyDescent="0.2">
      <c r="A1549">
        <v>5052641</v>
      </c>
      <c r="B1549" t="s">
        <v>18</v>
      </c>
      <c r="C1549" t="s">
        <v>19</v>
      </c>
      <c r="D1549" t="s">
        <v>20</v>
      </c>
      <c r="E1549">
        <v>0</v>
      </c>
      <c r="F1549">
        <v>225000</v>
      </c>
      <c r="G1549" t="s">
        <v>31</v>
      </c>
      <c r="H1549" t="s">
        <v>22</v>
      </c>
      <c r="I1549" t="s">
        <v>42</v>
      </c>
      <c r="J1549" t="s">
        <v>24</v>
      </c>
      <c r="K1549" s="6">
        <f t="shared" ca="1" si="104"/>
        <v>25223</v>
      </c>
      <c r="L1549">
        <v>-20538</v>
      </c>
      <c r="M1549" s="7">
        <f t="shared" ca="1" si="102"/>
        <v>56.229979466119097</v>
      </c>
      <c r="N1549" s="5" t="str">
        <f ca="1">VLOOKUP(Data!M1549,temp!$B$3:$C$9,2,1)</f>
        <v>50-60</v>
      </c>
      <c r="O1549">
        <v>-5525</v>
      </c>
      <c r="P1549" s="8">
        <f t="shared" si="103"/>
        <v>15.126625598904859</v>
      </c>
      <c r="Q1549" s="5" t="str">
        <f t="shared" si="105"/>
        <v>Employed</v>
      </c>
      <c r="R1549">
        <v>1</v>
      </c>
      <c r="S1549">
        <v>1</v>
      </c>
      <c r="T1549">
        <v>0</v>
      </c>
      <c r="U1549">
        <v>0</v>
      </c>
      <c r="V1549" t="s">
        <v>39</v>
      </c>
      <c r="W1549">
        <v>1</v>
      </c>
    </row>
    <row r="1550" spans="1:23" x14ac:dyDescent="0.2">
      <c r="A1550">
        <v>5052643</v>
      </c>
      <c r="B1550" t="s">
        <v>18</v>
      </c>
      <c r="C1550" t="s">
        <v>19</v>
      </c>
      <c r="D1550" t="s">
        <v>20</v>
      </c>
      <c r="E1550">
        <v>0</v>
      </c>
      <c r="F1550">
        <v>225000</v>
      </c>
      <c r="G1550" t="s">
        <v>31</v>
      </c>
      <c r="H1550" t="s">
        <v>22</v>
      </c>
      <c r="I1550" t="s">
        <v>42</v>
      </c>
      <c r="J1550" t="s">
        <v>24</v>
      </c>
      <c r="K1550" s="6">
        <f t="shared" ca="1" si="104"/>
        <v>25223</v>
      </c>
      <c r="L1550">
        <v>-20538</v>
      </c>
      <c r="M1550" s="7">
        <f t="shared" ca="1" si="102"/>
        <v>56.229979466119097</v>
      </c>
      <c r="N1550" s="5" t="str">
        <f ca="1">VLOOKUP(Data!M1550,temp!$B$3:$C$9,2,1)</f>
        <v>50-60</v>
      </c>
      <c r="O1550">
        <v>-5525</v>
      </c>
      <c r="P1550" s="8">
        <f t="shared" si="103"/>
        <v>15.126625598904859</v>
      </c>
      <c r="Q1550" s="5" t="str">
        <f t="shared" si="105"/>
        <v>Employed</v>
      </c>
      <c r="R1550">
        <v>1</v>
      </c>
      <c r="S1550">
        <v>1</v>
      </c>
      <c r="T1550">
        <v>0</v>
      </c>
      <c r="U1550">
        <v>0</v>
      </c>
      <c r="V1550" t="s">
        <v>39</v>
      </c>
      <c r="W1550">
        <v>1</v>
      </c>
    </row>
    <row r="1551" spans="1:23" x14ac:dyDescent="0.2">
      <c r="A1551">
        <v>5052649</v>
      </c>
      <c r="B1551" t="s">
        <v>18</v>
      </c>
      <c r="C1551" t="s">
        <v>19</v>
      </c>
      <c r="D1551" t="s">
        <v>20</v>
      </c>
      <c r="E1551">
        <v>0</v>
      </c>
      <c r="F1551">
        <v>225000</v>
      </c>
      <c r="G1551" t="s">
        <v>31</v>
      </c>
      <c r="H1551" t="s">
        <v>22</v>
      </c>
      <c r="I1551" t="s">
        <v>42</v>
      </c>
      <c r="J1551" t="s">
        <v>24</v>
      </c>
      <c r="K1551" s="6">
        <f t="shared" ca="1" si="104"/>
        <v>25223</v>
      </c>
      <c r="L1551">
        <v>-20538</v>
      </c>
      <c r="M1551" s="7">
        <f t="shared" ca="1" si="102"/>
        <v>56.229979466119097</v>
      </c>
      <c r="N1551" s="5" t="str">
        <f ca="1">VLOOKUP(Data!M1551,temp!$B$3:$C$9,2,1)</f>
        <v>50-60</v>
      </c>
      <c r="O1551">
        <v>-5525</v>
      </c>
      <c r="P1551" s="8">
        <f t="shared" si="103"/>
        <v>15.126625598904859</v>
      </c>
      <c r="Q1551" s="5" t="str">
        <f t="shared" si="105"/>
        <v>Employed</v>
      </c>
      <c r="R1551">
        <v>1</v>
      </c>
      <c r="S1551">
        <v>1</v>
      </c>
      <c r="T1551">
        <v>0</v>
      </c>
      <c r="U1551">
        <v>0</v>
      </c>
      <c r="V1551" t="s">
        <v>39</v>
      </c>
      <c r="W1551">
        <v>1</v>
      </c>
    </row>
    <row r="1552" spans="1:23" x14ac:dyDescent="0.2">
      <c r="A1552">
        <v>5052665</v>
      </c>
      <c r="B1552" t="s">
        <v>18</v>
      </c>
      <c r="C1552" t="s">
        <v>20</v>
      </c>
      <c r="D1552" t="s">
        <v>19</v>
      </c>
      <c r="E1552">
        <v>0</v>
      </c>
      <c r="F1552">
        <v>247500</v>
      </c>
      <c r="G1552" t="s">
        <v>26</v>
      </c>
      <c r="H1552" t="s">
        <v>27</v>
      </c>
      <c r="I1552" t="s">
        <v>28</v>
      </c>
      <c r="J1552" t="s">
        <v>24</v>
      </c>
      <c r="K1552" s="6">
        <f t="shared" ca="1" si="104"/>
        <v>29829</v>
      </c>
      <c r="L1552">
        <v>-15932</v>
      </c>
      <c r="M1552" s="7">
        <f t="shared" ca="1" si="102"/>
        <v>43.619438740588635</v>
      </c>
      <c r="N1552" s="5" t="str">
        <f ca="1">VLOOKUP(Data!M1552,temp!$B$3:$C$9,2,1)</f>
        <v>40-50</v>
      </c>
      <c r="O1552">
        <v>-4490</v>
      </c>
      <c r="P1552" s="8">
        <f t="shared" si="103"/>
        <v>12.292950034223136</v>
      </c>
      <c r="Q1552" s="5" t="str">
        <f t="shared" si="105"/>
        <v>Employed</v>
      </c>
      <c r="R1552">
        <v>1</v>
      </c>
      <c r="S1552">
        <v>0</v>
      </c>
      <c r="T1552">
        <v>0</v>
      </c>
      <c r="U1552">
        <v>0</v>
      </c>
      <c r="V1552" t="s">
        <v>47</v>
      </c>
      <c r="W1552">
        <v>2</v>
      </c>
    </row>
    <row r="1553" spans="1:23" x14ac:dyDescent="0.2">
      <c r="A1553">
        <v>5052690</v>
      </c>
      <c r="B1553" t="s">
        <v>18</v>
      </c>
      <c r="C1553" t="s">
        <v>19</v>
      </c>
      <c r="D1553" t="s">
        <v>19</v>
      </c>
      <c r="E1553">
        <v>0</v>
      </c>
      <c r="F1553">
        <v>90000</v>
      </c>
      <c r="G1553" t="s">
        <v>26</v>
      </c>
      <c r="H1553" t="s">
        <v>27</v>
      </c>
      <c r="I1553" t="s">
        <v>28</v>
      </c>
      <c r="J1553" t="s">
        <v>24</v>
      </c>
      <c r="K1553" s="6">
        <f t="shared" ca="1" si="104"/>
        <v>34145</v>
      </c>
      <c r="L1553">
        <v>-11616</v>
      </c>
      <c r="M1553" s="7">
        <f t="shared" ca="1" si="102"/>
        <v>31.802874743326488</v>
      </c>
      <c r="N1553" s="5" t="str">
        <f ca="1">VLOOKUP(Data!M1553,temp!$B$3:$C$9,2,1)</f>
        <v>30-40</v>
      </c>
      <c r="O1553">
        <v>-3029</v>
      </c>
      <c r="P1553" s="8">
        <f t="shared" si="103"/>
        <v>8.2929500342231357</v>
      </c>
      <c r="Q1553" s="5" t="str">
        <f t="shared" si="105"/>
        <v>Employed</v>
      </c>
      <c r="R1553">
        <v>1</v>
      </c>
      <c r="S1553">
        <v>0</v>
      </c>
      <c r="T1553">
        <v>0</v>
      </c>
      <c r="U1553">
        <v>0</v>
      </c>
      <c r="V1553" t="s">
        <v>29</v>
      </c>
      <c r="W1553">
        <v>2</v>
      </c>
    </row>
    <row r="1554" spans="1:23" x14ac:dyDescent="0.2">
      <c r="A1554">
        <v>5052693</v>
      </c>
      <c r="B1554" t="s">
        <v>25</v>
      </c>
      <c r="C1554" t="s">
        <v>19</v>
      </c>
      <c r="D1554" t="s">
        <v>20</v>
      </c>
      <c r="E1554">
        <v>0</v>
      </c>
      <c r="F1554">
        <v>180000</v>
      </c>
      <c r="G1554" t="s">
        <v>26</v>
      </c>
      <c r="H1554" t="s">
        <v>27</v>
      </c>
      <c r="I1554" t="s">
        <v>28</v>
      </c>
      <c r="J1554" t="s">
        <v>24</v>
      </c>
      <c r="K1554" s="6">
        <f t="shared" ca="1" si="104"/>
        <v>35490</v>
      </c>
      <c r="L1554">
        <v>-10271</v>
      </c>
      <c r="M1554" s="7">
        <f t="shared" ca="1" si="102"/>
        <v>28.120465434633811</v>
      </c>
      <c r="N1554" s="5" t="str">
        <f ca="1">VLOOKUP(Data!M1554,temp!$B$3:$C$9,2,1)</f>
        <v>20-30</v>
      </c>
      <c r="O1554">
        <v>-1629</v>
      </c>
      <c r="P1554" s="8">
        <f t="shared" si="103"/>
        <v>4.4599589322381927</v>
      </c>
      <c r="Q1554" s="5" t="str">
        <f t="shared" si="105"/>
        <v>Employed</v>
      </c>
      <c r="R1554">
        <v>1</v>
      </c>
      <c r="S1554">
        <v>0</v>
      </c>
      <c r="T1554">
        <v>0</v>
      </c>
      <c r="U1554">
        <v>0</v>
      </c>
      <c r="V1554" t="s">
        <v>29</v>
      </c>
      <c r="W1554">
        <v>2</v>
      </c>
    </row>
    <row r="1555" spans="1:23" x14ac:dyDescent="0.2">
      <c r="A1555">
        <v>5052704</v>
      </c>
      <c r="B1555" t="s">
        <v>18</v>
      </c>
      <c r="C1555" t="s">
        <v>19</v>
      </c>
      <c r="D1555" t="s">
        <v>20</v>
      </c>
      <c r="E1555">
        <v>2</v>
      </c>
      <c r="F1555">
        <v>90000</v>
      </c>
      <c r="G1555" t="s">
        <v>31</v>
      </c>
      <c r="H1555" t="s">
        <v>22</v>
      </c>
      <c r="I1555" t="s">
        <v>28</v>
      </c>
      <c r="J1555" t="s">
        <v>24</v>
      </c>
      <c r="K1555" s="6">
        <f t="shared" ca="1" si="104"/>
        <v>33265</v>
      </c>
      <c r="L1555">
        <v>-12496</v>
      </c>
      <c r="M1555" s="7">
        <f t="shared" ca="1" si="102"/>
        <v>34.212183436002739</v>
      </c>
      <c r="N1555" s="5" t="str">
        <f ca="1">VLOOKUP(Data!M1555,temp!$B$3:$C$9,2,1)</f>
        <v>30-40</v>
      </c>
      <c r="O1555">
        <v>-597</v>
      </c>
      <c r="P1555" s="8">
        <f t="shared" si="103"/>
        <v>1.6344969199178645</v>
      </c>
      <c r="Q1555" s="5" t="str">
        <f t="shared" si="105"/>
        <v>Employed</v>
      </c>
      <c r="R1555">
        <v>1</v>
      </c>
      <c r="S1555">
        <v>0</v>
      </c>
      <c r="T1555">
        <v>0</v>
      </c>
      <c r="U1555">
        <v>0</v>
      </c>
      <c r="W1555">
        <v>4</v>
      </c>
    </row>
    <row r="1556" spans="1:23" x14ac:dyDescent="0.2">
      <c r="A1556">
        <v>5052708</v>
      </c>
      <c r="B1556" t="s">
        <v>18</v>
      </c>
      <c r="C1556" t="s">
        <v>19</v>
      </c>
      <c r="D1556" t="s">
        <v>20</v>
      </c>
      <c r="E1556">
        <v>2</v>
      </c>
      <c r="F1556">
        <v>90000</v>
      </c>
      <c r="G1556" t="s">
        <v>31</v>
      </c>
      <c r="H1556" t="s">
        <v>22</v>
      </c>
      <c r="I1556" t="s">
        <v>28</v>
      </c>
      <c r="J1556" t="s">
        <v>24</v>
      </c>
      <c r="K1556" s="6">
        <f t="shared" ca="1" si="104"/>
        <v>33265</v>
      </c>
      <c r="L1556">
        <v>-12496</v>
      </c>
      <c r="M1556" s="7">
        <f t="shared" ca="1" si="102"/>
        <v>34.212183436002739</v>
      </c>
      <c r="N1556" s="5" t="str">
        <f ca="1">VLOOKUP(Data!M1556,temp!$B$3:$C$9,2,1)</f>
        <v>30-40</v>
      </c>
      <c r="O1556">
        <v>-597</v>
      </c>
      <c r="P1556" s="8">
        <f t="shared" si="103"/>
        <v>1.6344969199178645</v>
      </c>
      <c r="Q1556" s="5" t="str">
        <f t="shared" si="105"/>
        <v>Employed</v>
      </c>
      <c r="R1556">
        <v>1</v>
      </c>
      <c r="S1556">
        <v>0</v>
      </c>
      <c r="T1556">
        <v>0</v>
      </c>
      <c r="U1556">
        <v>0</v>
      </c>
      <c r="W1556">
        <v>4</v>
      </c>
    </row>
    <row r="1557" spans="1:23" x14ac:dyDescent="0.2">
      <c r="A1557">
        <v>5052735</v>
      </c>
      <c r="B1557" t="s">
        <v>18</v>
      </c>
      <c r="C1557" t="s">
        <v>19</v>
      </c>
      <c r="D1557" t="s">
        <v>20</v>
      </c>
      <c r="E1557">
        <v>2</v>
      </c>
      <c r="F1557">
        <v>180000</v>
      </c>
      <c r="G1557" t="s">
        <v>26</v>
      </c>
      <c r="H1557" t="s">
        <v>27</v>
      </c>
      <c r="I1557" t="s">
        <v>28</v>
      </c>
      <c r="J1557" t="s">
        <v>24</v>
      </c>
      <c r="K1557" s="6">
        <f t="shared" ca="1" si="104"/>
        <v>35307</v>
      </c>
      <c r="L1557">
        <v>-10454</v>
      </c>
      <c r="M1557" s="7">
        <f t="shared" ca="1" si="102"/>
        <v>28.621492128678987</v>
      </c>
      <c r="N1557" s="5" t="str">
        <f ca="1">VLOOKUP(Data!M1557,temp!$B$3:$C$9,2,1)</f>
        <v>20-30</v>
      </c>
      <c r="O1557">
        <v>-505</v>
      </c>
      <c r="P1557" s="8">
        <f t="shared" si="103"/>
        <v>1.3826146475017111</v>
      </c>
      <c r="Q1557" s="5" t="str">
        <f t="shared" si="105"/>
        <v>Employed</v>
      </c>
      <c r="R1557">
        <v>1</v>
      </c>
      <c r="S1557">
        <v>0</v>
      </c>
      <c r="T1557">
        <v>0</v>
      </c>
      <c r="U1557">
        <v>1</v>
      </c>
      <c r="V1557" t="s">
        <v>47</v>
      </c>
      <c r="W1557">
        <v>4</v>
      </c>
    </row>
    <row r="1558" spans="1:23" x14ac:dyDescent="0.2">
      <c r="A1558">
        <v>5052756</v>
      </c>
      <c r="B1558" t="s">
        <v>25</v>
      </c>
      <c r="C1558" t="s">
        <v>19</v>
      </c>
      <c r="D1558" t="s">
        <v>20</v>
      </c>
      <c r="E1558">
        <v>0</v>
      </c>
      <c r="F1558">
        <v>225000</v>
      </c>
      <c r="G1558" t="s">
        <v>31</v>
      </c>
      <c r="H1558" t="s">
        <v>27</v>
      </c>
      <c r="I1558" t="s">
        <v>37</v>
      </c>
      <c r="J1558" t="s">
        <v>24</v>
      </c>
      <c r="K1558" s="6">
        <f t="shared" ca="1" si="104"/>
        <v>35191</v>
      </c>
      <c r="L1558">
        <v>-10570</v>
      </c>
      <c r="M1558" s="7">
        <f t="shared" ca="1" si="102"/>
        <v>28.939082819986311</v>
      </c>
      <c r="N1558" s="5" t="str">
        <f ca="1">VLOOKUP(Data!M1558,temp!$B$3:$C$9,2,1)</f>
        <v>20-30</v>
      </c>
      <c r="O1558">
        <v>-1175</v>
      </c>
      <c r="P1558" s="8">
        <f t="shared" si="103"/>
        <v>3.2169746748802188</v>
      </c>
      <c r="Q1558" s="5" t="str">
        <f t="shared" si="105"/>
        <v>Employed</v>
      </c>
      <c r="R1558">
        <v>1</v>
      </c>
      <c r="S1558">
        <v>0</v>
      </c>
      <c r="T1558">
        <v>0</v>
      </c>
      <c r="U1558">
        <v>0</v>
      </c>
      <c r="V1558" t="s">
        <v>32</v>
      </c>
      <c r="W1558">
        <v>2</v>
      </c>
    </row>
    <row r="1559" spans="1:23" x14ac:dyDescent="0.2">
      <c r="A1559">
        <v>5052765</v>
      </c>
      <c r="B1559" t="s">
        <v>18</v>
      </c>
      <c r="C1559" t="s">
        <v>19</v>
      </c>
      <c r="D1559" t="s">
        <v>20</v>
      </c>
      <c r="E1559">
        <v>0</v>
      </c>
      <c r="F1559">
        <v>315000</v>
      </c>
      <c r="G1559" t="s">
        <v>31</v>
      </c>
      <c r="H1559" t="s">
        <v>27</v>
      </c>
      <c r="I1559" t="s">
        <v>28</v>
      </c>
      <c r="J1559" t="s">
        <v>24</v>
      </c>
      <c r="K1559" s="6">
        <f t="shared" ca="1" si="104"/>
        <v>23920</v>
      </c>
      <c r="L1559">
        <v>-21841</v>
      </c>
      <c r="M1559" s="7">
        <f t="shared" ca="1" si="102"/>
        <v>59.797399041752222</v>
      </c>
      <c r="N1559" s="5" t="str">
        <f ca="1">VLOOKUP(Data!M1559,temp!$B$3:$C$9,2,1)</f>
        <v>50-60</v>
      </c>
      <c r="O1559">
        <v>-1632</v>
      </c>
      <c r="P1559" s="8">
        <f t="shared" si="103"/>
        <v>4.4681724845995889</v>
      </c>
      <c r="Q1559" s="5" t="str">
        <f t="shared" si="105"/>
        <v>Employed</v>
      </c>
      <c r="R1559">
        <v>1</v>
      </c>
      <c r="S1559">
        <v>0</v>
      </c>
      <c r="T1559">
        <v>0</v>
      </c>
      <c r="U1559">
        <v>0</v>
      </c>
      <c r="V1559" t="s">
        <v>39</v>
      </c>
      <c r="W1559">
        <v>2</v>
      </c>
    </row>
    <row r="1560" spans="1:23" x14ac:dyDescent="0.2">
      <c r="A1560">
        <v>5052773</v>
      </c>
      <c r="B1560" t="s">
        <v>25</v>
      </c>
      <c r="C1560" t="s">
        <v>19</v>
      </c>
      <c r="D1560" t="s">
        <v>20</v>
      </c>
      <c r="E1560">
        <v>2</v>
      </c>
      <c r="F1560">
        <v>135000</v>
      </c>
      <c r="G1560" t="s">
        <v>26</v>
      </c>
      <c r="H1560" t="s">
        <v>27</v>
      </c>
      <c r="I1560" t="s">
        <v>28</v>
      </c>
      <c r="J1560" t="s">
        <v>24</v>
      </c>
      <c r="K1560" s="6">
        <f t="shared" ca="1" si="104"/>
        <v>32408</v>
      </c>
      <c r="L1560">
        <v>-13353</v>
      </c>
      <c r="M1560" s="7">
        <f t="shared" ca="1" si="102"/>
        <v>36.558521560574945</v>
      </c>
      <c r="N1560" s="5" t="str">
        <f ca="1">VLOOKUP(Data!M1560,temp!$B$3:$C$9,2,1)</f>
        <v>30-40</v>
      </c>
      <c r="O1560">
        <v>-567</v>
      </c>
      <c r="P1560" s="8">
        <f t="shared" si="103"/>
        <v>1.5523613963039014</v>
      </c>
      <c r="Q1560" s="5" t="str">
        <f t="shared" si="105"/>
        <v>Employed</v>
      </c>
      <c r="R1560">
        <v>1</v>
      </c>
      <c r="S1560">
        <v>0</v>
      </c>
      <c r="T1560">
        <v>0</v>
      </c>
      <c r="U1560">
        <v>0</v>
      </c>
      <c r="W1560">
        <v>4</v>
      </c>
    </row>
    <row r="1561" spans="1:23" x14ac:dyDescent="0.2">
      <c r="A1561">
        <v>5052779</v>
      </c>
      <c r="B1561" t="s">
        <v>25</v>
      </c>
      <c r="C1561" t="s">
        <v>19</v>
      </c>
      <c r="D1561" t="s">
        <v>20</v>
      </c>
      <c r="E1561">
        <v>2</v>
      </c>
      <c r="F1561">
        <v>135000</v>
      </c>
      <c r="G1561" t="s">
        <v>26</v>
      </c>
      <c r="H1561" t="s">
        <v>27</v>
      </c>
      <c r="I1561" t="s">
        <v>28</v>
      </c>
      <c r="J1561" t="s">
        <v>24</v>
      </c>
      <c r="K1561" s="6">
        <f t="shared" ca="1" si="104"/>
        <v>32408</v>
      </c>
      <c r="L1561">
        <v>-13353</v>
      </c>
      <c r="M1561" s="7">
        <f t="shared" ca="1" si="102"/>
        <v>36.558521560574945</v>
      </c>
      <c r="N1561" s="5" t="str">
        <f ca="1">VLOOKUP(Data!M1561,temp!$B$3:$C$9,2,1)</f>
        <v>30-40</v>
      </c>
      <c r="O1561">
        <v>-567</v>
      </c>
      <c r="P1561" s="8">
        <f t="shared" si="103"/>
        <v>1.5523613963039014</v>
      </c>
      <c r="Q1561" s="5" t="str">
        <f t="shared" si="105"/>
        <v>Employed</v>
      </c>
      <c r="R1561">
        <v>1</v>
      </c>
      <c r="S1561">
        <v>0</v>
      </c>
      <c r="T1561">
        <v>0</v>
      </c>
      <c r="U1561">
        <v>0</v>
      </c>
      <c r="W1561">
        <v>4</v>
      </c>
    </row>
    <row r="1562" spans="1:23" x14ac:dyDescent="0.2">
      <c r="A1562">
        <v>5052784</v>
      </c>
      <c r="B1562" t="s">
        <v>25</v>
      </c>
      <c r="C1562" t="s">
        <v>20</v>
      </c>
      <c r="D1562" t="s">
        <v>20</v>
      </c>
      <c r="E1562">
        <v>0</v>
      </c>
      <c r="F1562">
        <v>112500</v>
      </c>
      <c r="G1562" t="s">
        <v>31</v>
      </c>
      <c r="H1562" t="s">
        <v>27</v>
      </c>
      <c r="I1562" t="s">
        <v>28</v>
      </c>
      <c r="J1562" t="s">
        <v>24</v>
      </c>
      <c r="K1562" s="6">
        <f t="shared" ca="1" si="104"/>
        <v>33028</v>
      </c>
      <c r="L1562">
        <v>-12733</v>
      </c>
      <c r="M1562" s="7">
        <f t="shared" ca="1" si="102"/>
        <v>34.861054072553046</v>
      </c>
      <c r="N1562" s="5" t="str">
        <f ca="1">VLOOKUP(Data!M1562,temp!$B$3:$C$9,2,1)</f>
        <v>30-40</v>
      </c>
      <c r="O1562">
        <v>-3185</v>
      </c>
      <c r="P1562" s="8">
        <f t="shared" si="103"/>
        <v>8.7200547570157418</v>
      </c>
      <c r="Q1562" s="5" t="str">
        <f t="shared" si="105"/>
        <v>Employed</v>
      </c>
      <c r="R1562">
        <v>1</v>
      </c>
      <c r="S1562">
        <v>1</v>
      </c>
      <c r="T1562">
        <v>0</v>
      </c>
      <c r="U1562">
        <v>0</v>
      </c>
      <c r="V1562" t="s">
        <v>30</v>
      </c>
      <c r="W1562">
        <v>2</v>
      </c>
    </row>
    <row r="1563" spans="1:23" x14ac:dyDescent="0.2">
      <c r="A1563">
        <v>5052797</v>
      </c>
      <c r="B1563" t="s">
        <v>25</v>
      </c>
      <c r="C1563" t="s">
        <v>20</v>
      </c>
      <c r="D1563" t="s">
        <v>20</v>
      </c>
      <c r="E1563">
        <v>0</v>
      </c>
      <c r="F1563">
        <v>112500</v>
      </c>
      <c r="G1563" t="s">
        <v>31</v>
      </c>
      <c r="H1563" t="s">
        <v>27</v>
      </c>
      <c r="I1563" t="s">
        <v>28</v>
      </c>
      <c r="J1563" t="s">
        <v>24</v>
      </c>
      <c r="K1563" s="6">
        <f t="shared" ca="1" si="104"/>
        <v>33028</v>
      </c>
      <c r="L1563">
        <v>-12733</v>
      </c>
      <c r="M1563" s="7">
        <f t="shared" ca="1" si="102"/>
        <v>34.861054072553046</v>
      </c>
      <c r="N1563" s="5" t="str">
        <f ca="1">VLOOKUP(Data!M1563,temp!$B$3:$C$9,2,1)</f>
        <v>30-40</v>
      </c>
      <c r="O1563">
        <v>-3185</v>
      </c>
      <c r="P1563" s="8">
        <f t="shared" si="103"/>
        <v>8.7200547570157418</v>
      </c>
      <c r="Q1563" s="5" t="str">
        <f t="shared" si="105"/>
        <v>Employed</v>
      </c>
      <c r="R1563">
        <v>1</v>
      </c>
      <c r="S1563">
        <v>1</v>
      </c>
      <c r="T1563">
        <v>0</v>
      </c>
      <c r="U1563">
        <v>0</v>
      </c>
      <c r="V1563" t="s">
        <v>30</v>
      </c>
      <c r="W1563">
        <v>2</v>
      </c>
    </row>
    <row r="1564" spans="1:23" x14ac:dyDescent="0.2">
      <c r="A1564">
        <v>5052803</v>
      </c>
      <c r="B1564" t="s">
        <v>18</v>
      </c>
      <c r="C1564" t="s">
        <v>19</v>
      </c>
      <c r="D1564" t="s">
        <v>20</v>
      </c>
      <c r="E1564">
        <v>0</v>
      </c>
      <c r="F1564">
        <v>81000</v>
      </c>
      <c r="G1564" t="s">
        <v>31</v>
      </c>
      <c r="H1564" t="s">
        <v>27</v>
      </c>
      <c r="I1564" t="s">
        <v>33</v>
      </c>
      <c r="J1564" t="s">
        <v>24</v>
      </c>
      <c r="K1564" s="6">
        <f t="shared" ca="1" si="104"/>
        <v>26551</v>
      </c>
      <c r="L1564">
        <v>-19210</v>
      </c>
      <c r="M1564" s="7">
        <f t="shared" ca="1" si="102"/>
        <v>52.594113620807668</v>
      </c>
      <c r="N1564" s="5" t="str">
        <f ca="1">VLOOKUP(Data!M1564,temp!$B$3:$C$9,2,1)</f>
        <v>50-60</v>
      </c>
      <c r="O1564">
        <v>-2454</v>
      </c>
      <c r="P1564" s="8">
        <f t="shared" si="103"/>
        <v>6.7186858316221763</v>
      </c>
      <c r="Q1564" s="5" t="str">
        <f t="shared" si="105"/>
        <v>Employed</v>
      </c>
      <c r="R1564">
        <v>1</v>
      </c>
      <c r="S1564">
        <v>0</v>
      </c>
      <c r="T1564">
        <v>1</v>
      </c>
      <c r="U1564">
        <v>0</v>
      </c>
      <c r="W1564">
        <v>1</v>
      </c>
    </row>
    <row r="1565" spans="1:23" x14ac:dyDescent="0.2">
      <c r="A1565">
        <v>5052840</v>
      </c>
      <c r="B1565" t="s">
        <v>18</v>
      </c>
      <c r="C1565" t="s">
        <v>19</v>
      </c>
      <c r="D1565" t="s">
        <v>20</v>
      </c>
      <c r="E1565">
        <v>0</v>
      </c>
      <c r="F1565">
        <v>225000</v>
      </c>
      <c r="G1565" t="s">
        <v>31</v>
      </c>
      <c r="H1565" t="s">
        <v>27</v>
      </c>
      <c r="I1565" t="s">
        <v>28</v>
      </c>
      <c r="J1565" t="s">
        <v>24</v>
      </c>
      <c r="K1565" s="6">
        <f t="shared" ca="1" si="104"/>
        <v>25777</v>
      </c>
      <c r="L1565">
        <v>-19984</v>
      </c>
      <c r="M1565" s="7">
        <f t="shared" ca="1" si="102"/>
        <v>54.713210130047912</v>
      </c>
      <c r="N1565" s="5" t="str">
        <f ca="1">VLOOKUP(Data!M1565,temp!$B$3:$C$9,2,1)</f>
        <v>50-60</v>
      </c>
      <c r="O1565">
        <v>-3915</v>
      </c>
      <c r="P1565" s="8">
        <f t="shared" si="103"/>
        <v>10.718685831622176</v>
      </c>
      <c r="Q1565" s="5" t="str">
        <f t="shared" si="105"/>
        <v>Employed</v>
      </c>
      <c r="R1565">
        <v>1</v>
      </c>
      <c r="S1565">
        <v>0</v>
      </c>
      <c r="T1565">
        <v>0</v>
      </c>
      <c r="U1565">
        <v>0</v>
      </c>
      <c r="V1565" t="s">
        <v>46</v>
      </c>
      <c r="W1565">
        <v>2</v>
      </c>
    </row>
    <row r="1566" spans="1:23" x14ac:dyDescent="0.2">
      <c r="A1566">
        <v>5052846</v>
      </c>
      <c r="B1566" t="s">
        <v>18</v>
      </c>
      <c r="C1566" t="s">
        <v>19</v>
      </c>
      <c r="D1566" t="s">
        <v>20</v>
      </c>
      <c r="E1566">
        <v>0</v>
      </c>
      <c r="F1566">
        <v>45000</v>
      </c>
      <c r="G1566" t="s">
        <v>26</v>
      </c>
      <c r="H1566" t="s">
        <v>27</v>
      </c>
      <c r="I1566" t="s">
        <v>28</v>
      </c>
      <c r="J1566" t="s">
        <v>24</v>
      </c>
      <c r="K1566" s="6">
        <f t="shared" ca="1" si="104"/>
        <v>30037</v>
      </c>
      <c r="L1566">
        <v>-15724</v>
      </c>
      <c r="M1566" s="7">
        <f t="shared" ca="1" si="102"/>
        <v>43.049965776865157</v>
      </c>
      <c r="N1566" s="5" t="str">
        <f ca="1">VLOOKUP(Data!M1566,temp!$B$3:$C$9,2,1)</f>
        <v>40-50</v>
      </c>
      <c r="O1566">
        <v>-1389</v>
      </c>
      <c r="P1566" s="8">
        <f t="shared" si="103"/>
        <v>3.8028747433264889</v>
      </c>
      <c r="Q1566" s="5" t="str">
        <f t="shared" si="105"/>
        <v>Employed</v>
      </c>
      <c r="R1566">
        <v>1</v>
      </c>
      <c r="S1566">
        <v>1</v>
      </c>
      <c r="T1566">
        <v>1</v>
      </c>
      <c r="U1566">
        <v>0</v>
      </c>
      <c r="V1566" t="s">
        <v>39</v>
      </c>
      <c r="W1566">
        <v>2</v>
      </c>
    </row>
    <row r="1567" spans="1:23" x14ac:dyDescent="0.2">
      <c r="A1567">
        <v>5052847</v>
      </c>
      <c r="B1567" t="s">
        <v>18</v>
      </c>
      <c r="C1567" t="s">
        <v>19</v>
      </c>
      <c r="D1567" t="s">
        <v>20</v>
      </c>
      <c r="E1567">
        <v>0</v>
      </c>
      <c r="F1567">
        <v>45000</v>
      </c>
      <c r="G1567" t="s">
        <v>26</v>
      </c>
      <c r="H1567" t="s">
        <v>27</v>
      </c>
      <c r="I1567" t="s">
        <v>28</v>
      </c>
      <c r="J1567" t="s">
        <v>24</v>
      </c>
      <c r="K1567" s="6">
        <f t="shared" ca="1" si="104"/>
        <v>30037</v>
      </c>
      <c r="L1567">
        <v>-15724</v>
      </c>
      <c r="M1567" s="7">
        <f t="shared" ca="1" si="102"/>
        <v>43.049965776865157</v>
      </c>
      <c r="N1567" s="5" t="str">
        <f ca="1">VLOOKUP(Data!M1567,temp!$B$3:$C$9,2,1)</f>
        <v>40-50</v>
      </c>
      <c r="O1567">
        <v>-1389</v>
      </c>
      <c r="P1567" s="8">
        <f t="shared" si="103"/>
        <v>3.8028747433264889</v>
      </c>
      <c r="Q1567" s="5" t="str">
        <f t="shared" si="105"/>
        <v>Employed</v>
      </c>
      <c r="R1567">
        <v>1</v>
      </c>
      <c r="S1567">
        <v>1</v>
      </c>
      <c r="T1567">
        <v>1</v>
      </c>
      <c r="U1567">
        <v>0</v>
      </c>
      <c r="V1567" t="s">
        <v>39</v>
      </c>
      <c r="W1567">
        <v>2</v>
      </c>
    </row>
    <row r="1568" spans="1:23" x14ac:dyDescent="0.2">
      <c r="A1568">
        <v>5052858</v>
      </c>
      <c r="B1568" t="s">
        <v>18</v>
      </c>
      <c r="C1568" t="s">
        <v>19</v>
      </c>
      <c r="D1568" t="s">
        <v>20</v>
      </c>
      <c r="E1568">
        <v>2</v>
      </c>
      <c r="F1568">
        <v>270000</v>
      </c>
      <c r="G1568" t="s">
        <v>31</v>
      </c>
      <c r="H1568" t="s">
        <v>27</v>
      </c>
      <c r="I1568" t="s">
        <v>28</v>
      </c>
      <c r="J1568" t="s">
        <v>24</v>
      </c>
      <c r="K1568" s="6">
        <f t="shared" ca="1" si="104"/>
        <v>31564</v>
      </c>
      <c r="L1568">
        <v>-14197</v>
      </c>
      <c r="M1568" s="7">
        <f t="shared" ca="1" si="102"/>
        <v>38.869267624914443</v>
      </c>
      <c r="N1568" s="5" t="str">
        <f ca="1">VLOOKUP(Data!M1568,temp!$B$3:$C$9,2,1)</f>
        <v>30-40</v>
      </c>
      <c r="O1568">
        <v>-1389</v>
      </c>
      <c r="P1568" s="8">
        <f t="shared" si="103"/>
        <v>3.8028747433264889</v>
      </c>
      <c r="Q1568" s="5" t="str">
        <f t="shared" si="105"/>
        <v>Employed</v>
      </c>
      <c r="R1568">
        <v>1</v>
      </c>
      <c r="S1568">
        <v>0</v>
      </c>
      <c r="T1568">
        <v>0</v>
      </c>
      <c r="U1568">
        <v>0</v>
      </c>
      <c r="V1568" t="s">
        <v>39</v>
      </c>
      <c r="W1568">
        <v>4</v>
      </c>
    </row>
    <row r="1569" spans="1:23" x14ac:dyDescent="0.2">
      <c r="A1569">
        <v>5052897</v>
      </c>
      <c r="B1569" t="s">
        <v>25</v>
      </c>
      <c r="C1569" t="s">
        <v>20</v>
      </c>
      <c r="D1569" t="s">
        <v>20</v>
      </c>
      <c r="E1569">
        <v>0</v>
      </c>
      <c r="F1569">
        <v>139500</v>
      </c>
      <c r="G1569" t="s">
        <v>26</v>
      </c>
      <c r="H1569" t="s">
        <v>22</v>
      </c>
      <c r="I1569" t="s">
        <v>28</v>
      </c>
      <c r="J1569" t="s">
        <v>24</v>
      </c>
      <c r="K1569" s="6">
        <f t="shared" ca="1" si="104"/>
        <v>37038</v>
      </c>
      <c r="L1569">
        <v>-8723</v>
      </c>
      <c r="M1569" s="7">
        <f t="shared" ca="1" si="102"/>
        <v>23.88227241615332</v>
      </c>
      <c r="N1569" s="5" t="str">
        <f ca="1">VLOOKUP(Data!M1569,temp!$B$3:$C$9,2,1)</f>
        <v>20-30</v>
      </c>
      <c r="O1569">
        <v>-263</v>
      </c>
      <c r="P1569" s="8">
        <f t="shared" si="103"/>
        <v>0.72005475701574262</v>
      </c>
      <c r="Q1569" s="5" t="str">
        <f t="shared" si="105"/>
        <v>Employed</v>
      </c>
      <c r="R1569">
        <v>1</v>
      </c>
      <c r="S1569">
        <v>1</v>
      </c>
      <c r="T1569">
        <v>0</v>
      </c>
      <c r="U1569">
        <v>0</v>
      </c>
      <c r="V1569" t="s">
        <v>32</v>
      </c>
      <c r="W1569">
        <v>2</v>
      </c>
    </row>
    <row r="1570" spans="1:23" x14ac:dyDescent="0.2">
      <c r="A1570">
        <v>5052904</v>
      </c>
      <c r="B1570" t="s">
        <v>18</v>
      </c>
      <c r="C1570" t="s">
        <v>19</v>
      </c>
      <c r="D1570" t="s">
        <v>20</v>
      </c>
      <c r="E1570">
        <v>1</v>
      </c>
      <c r="F1570">
        <v>225000</v>
      </c>
      <c r="G1570" t="s">
        <v>31</v>
      </c>
      <c r="H1570" t="s">
        <v>27</v>
      </c>
      <c r="I1570" t="s">
        <v>23</v>
      </c>
      <c r="J1570" t="s">
        <v>24</v>
      </c>
      <c r="K1570" s="6">
        <f t="shared" ca="1" si="104"/>
        <v>31684</v>
      </c>
      <c r="L1570">
        <v>-14077</v>
      </c>
      <c r="M1570" s="7">
        <f t="shared" ca="1" si="102"/>
        <v>38.540725530458587</v>
      </c>
      <c r="N1570" s="5" t="str">
        <f ca="1">VLOOKUP(Data!M1570,temp!$B$3:$C$9,2,1)</f>
        <v>30-40</v>
      </c>
      <c r="O1570">
        <v>-3792</v>
      </c>
      <c r="P1570" s="8">
        <f t="shared" si="103"/>
        <v>10.381930184804927</v>
      </c>
      <c r="Q1570" s="5" t="str">
        <f t="shared" si="105"/>
        <v>Employed</v>
      </c>
      <c r="R1570">
        <v>1</v>
      </c>
      <c r="S1570">
        <v>0</v>
      </c>
      <c r="T1570">
        <v>0</v>
      </c>
      <c r="U1570">
        <v>0</v>
      </c>
      <c r="W1570">
        <v>2</v>
      </c>
    </row>
    <row r="1571" spans="1:23" x14ac:dyDescent="0.2">
      <c r="A1571">
        <v>5052909</v>
      </c>
      <c r="B1571" t="s">
        <v>18</v>
      </c>
      <c r="C1571" t="s">
        <v>19</v>
      </c>
      <c r="D1571" t="s">
        <v>20</v>
      </c>
      <c r="E1571">
        <v>1</v>
      </c>
      <c r="F1571">
        <v>225000</v>
      </c>
      <c r="G1571" t="s">
        <v>31</v>
      </c>
      <c r="H1571" t="s">
        <v>27</v>
      </c>
      <c r="I1571" t="s">
        <v>23</v>
      </c>
      <c r="J1571" t="s">
        <v>24</v>
      </c>
      <c r="K1571" s="6">
        <f t="shared" ca="1" si="104"/>
        <v>31684</v>
      </c>
      <c r="L1571">
        <v>-14077</v>
      </c>
      <c r="M1571" s="7">
        <f t="shared" ca="1" si="102"/>
        <v>38.540725530458587</v>
      </c>
      <c r="N1571" s="5" t="str">
        <f ca="1">VLOOKUP(Data!M1571,temp!$B$3:$C$9,2,1)</f>
        <v>30-40</v>
      </c>
      <c r="O1571">
        <v>-3792</v>
      </c>
      <c r="P1571" s="8">
        <f t="shared" si="103"/>
        <v>10.381930184804927</v>
      </c>
      <c r="Q1571" s="5" t="str">
        <f t="shared" si="105"/>
        <v>Employed</v>
      </c>
      <c r="R1571">
        <v>1</v>
      </c>
      <c r="S1571">
        <v>0</v>
      </c>
      <c r="T1571">
        <v>0</v>
      </c>
      <c r="U1571">
        <v>0</v>
      </c>
      <c r="W1571">
        <v>2</v>
      </c>
    </row>
    <row r="1572" spans="1:23" x14ac:dyDescent="0.2">
      <c r="A1572">
        <v>5052911</v>
      </c>
      <c r="B1572" t="s">
        <v>18</v>
      </c>
      <c r="C1572" t="s">
        <v>19</v>
      </c>
      <c r="D1572" t="s">
        <v>20</v>
      </c>
      <c r="E1572">
        <v>1</v>
      </c>
      <c r="F1572">
        <v>225000</v>
      </c>
      <c r="G1572" t="s">
        <v>31</v>
      </c>
      <c r="H1572" t="s">
        <v>27</v>
      </c>
      <c r="I1572" t="s">
        <v>23</v>
      </c>
      <c r="J1572" t="s">
        <v>24</v>
      </c>
      <c r="K1572" s="6">
        <f t="shared" ca="1" si="104"/>
        <v>31684</v>
      </c>
      <c r="L1572">
        <v>-14077</v>
      </c>
      <c r="M1572" s="7">
        <f t="shared" ca="1" si="102"/>
        <v>38.540725530458587</v>
      </c>
      <c r="N1572" s="5" t="str">
        <f ca="1">VLOOKUP(Data!M1572,temp!$B$3:$C$9,2,1)</f>
        <v>30-40</v>
      </c>
      <c r="O1572">
        <v>-3792</v>
      </c>
      <c r="P1572" s="8">
        <f t="shared" si="103"/>
        <v>10.381930184804927</v>
      </c>
      <c r="Q1572" s="5" t="str">
        <f t="shared" si="105"/>
        <v>Employed</v>
      </c>
      <c r="R1572">
        <v>1</v>
      </c>
      <c r="S1572">
        <v>0</v>
      </c>
      <c r="T1572">
        <v>0</v>
      </c>
      <c r="U1572">
        <v>0</v>
      </c>
      <c r="W1572">
        <v>2</v>
      </c>
    </row>
    <row r="1573" spans="1:23" x14ac:dyDescent="0.2">
      <c r="A1573">
        <v>5052924</v>
      </c>
      <c r="B1573" t="s">
        <v>18</v>
      </c>
      <c r="C1573" t="s">
        <v>19</v>
      </c>
      <c r="D1573" t="s">
        <v>20</v>
      </c>
      <c r="E1573">
        <v>0</v>
      </c>
      <c r="F1573">
        <v>67500</v>
      </c>
      <c r="G1573" t="s">
        <v>21</v>
      </c>
      <c r="H1573" t="s">
        <v>27</v>
      </c>
      <c r="I1573" t="s">
        <v>28</v>
      </c>
      <c r="J1573" t="s">
        <v>24</v>
      </c>
      <c r="K1573" s="6">
        <f t="shared" ca="1" si="104"/>
        <v>24029</v>
      </c>
      <c r="L1573">
        <v>-21732</v>
      </c>
      <c r="M1573" s="7">
        <f t="shared" ca="1" si="102"/>
        <v>59.498973305954827</v>
      </c>
      <c r="N1573" s="5" t="str">
        <f ca="1">VLOOKUP(Data!M1573,temp!$B$3:$C$9,2,1)</f>
        <v>50-60</v>
      </c>
      <c r="O1573">
        <v>365243</v>
      </c>
      <c r="P1573" s="8">
        <f t="shared" si="103"/>
        <v>0</v>
      </c>
      <c r="Q1573" s="5" t="str">
        <f t="shared" si="105"/>
        <v>Unemployed</v>
      </c>
      <c r="R1573">
        <v>1</v>
      </c>
      <c r="S1573">
        <v>0</v>
      </c>
      <c r="T1573">
        <v>0</v>
      </c>
      <c r="U1573">
        <v>0</v>
      </c>
      <c r="W1573">
        <v>2</v>
      </c>
    </row>
    <row r="1574" spans="1:23" x14ac:dyDescent="0.2">
      <c r="A1574">
        <v>5052930</v>
      </c>
      <c r="B1574" t="s">
        <v>25</v>
      </c>
      <c r="C1574" t="s">
        <v>20</v>
      </c>
      <c r="D1574" t="s">
        <v>20</v>
      </c>
      <c r="E1574">
        <v>0</v>
      </c>
      <c r="F1574">
        <v>247500</v>
      </c>
      <c r="G1574" t="s">
        <v>31</v>
      </c>
      <c r="H1574" t="s">
        <v>27</v>
      </c>
      <c r="I1574" t="s">
        <v>23</v>
      </c>
      <c r="J1574" t="s">
        <v>24</v>
      </c>
      <c r="K1574" s="6">
        <f t="shared" ca="1" si="104"/>
        <v>24539</v>
      </c>
      <c r="L1574">
        <v>-21222</v>
      </c>
      <c r="M1574" s="7">
        <f t="shared" ca="1" si="102"/>
        <v>58.102669404517457</v>
      </c>
      <c r="N1574" s="5" t="str">
        <f ca="1">VLOOKUP(Data!M1574,temp!$B$3:$C$9,2,1)</f>
        <v>50-60</v>
      </c>
      <c r="O1574">
        <v>-3154</v>
      </c>
      <c r="P1574" s="8">
        <f t="shared" si="103"/>
        <v>8.6351813826146469</v>
      </c>
      <c r="Q1574" s="5" t="str">
        <f t="shared" si="105"/>
        <v>Employed</v>
      </c>
      <c r="R1574">
        <v>1</v>
      </c>
      <c r="S1574">
        <v>0</v>
      </c>
      <c r="T1574">
        <v>0</v>
      </c>
      <c r="U1574">
        <v>0</v>
      </c>
      <c r="V1574" t="s">
        <v>30</v>
      </c>
      <c r="W1574">
        <v>1</v>
      </c>
    </row>
    <row r="1575" spans="1:23" x14ac:dyDescent="0.2">
      <c r="A1575">
        <v>5052931</v>
      </c>
      <c r="B1575" t="s">
        <v>18</v>
      </c>
      <c r="C1575" t="s">
        <v>19</v>
      </c>
      <c r="D1575" t="s">
        <v>20</v>
      </c>
      <c r="E1575">
        <v>0</v>
      </c>
      <c r="F1575">
        <v>54000</v>
      </c>
      <c r="G1575" t="s">
        <v>21</v>
      </c>
      <c r="H1575" t="s">
        <v>27</v>
      </c>
      <c r="I1575" t="s">
        <v>28</v>
      </c>
      <c r="J1575" t="s">
        <v>24</v>
      </c>
      <c r="K1575" s="6">
        <f t="shared" ca="1" si="104"/>
        <v>21717</v>
      </c>
      <c r="L1575">
        <v>-24044</v>
      </c>
      <c r="M1575" s="7">
        <f t="shared" ca="1" si="102"/>
        <v>65.828884325804239</v>
      </c>
      <c r="N1575" s="5" t="str">
        <f ca="1">VLOOKUP(Data!M1575,temp!$B$3:$C$9,2,1)</f>
        <v>60-70</v>
      </c>
      <c r="O1575">
        <v>365243</v>
      </c>
      <c r="P1575" s="8">
        <f t="shared" si="103"/>
        <v>0</v>
      </c>
      <c r="Q1575" s="5" t="str">
        <f t="shared" si="105"/>
        <v>Unemployed</v>
      </c>
      <c r="R1575">
        <v>1</v>
      </c>
      <c r="S1575">
        <v>0</v>
      </c>
      <c r="T1575">
        <v>1</v>
      </c>
      <c r="U1575">
        <v>0</v>
      </c>
      <c r="W1575">
        <v>2</v>
      </c>
    </row>
    <row r="1576" spans="1:23" x14ac:dyDescent="0.2">
      <c r="A1576">
        <v>5052936</v>
      </c>
      <c r="B1576" t="s">
        <v>18</v>
      </c>
      <c r="C1576" t="s">
        <v>19</v>
      </c>
      <c r="D1576" t="s">
        <v>20</v>
      </c>
      <c r="E1576">
        <v>0</v>
      </c>
      <c r="F1576">
        <v>54000</v>
      </c>
      <c r="G1576" t="s">
        <v>21</v>
      </c>
      <c r="H1576" t="s">
        <v>27</v>
      </c>
      <c r="I1576" t="s">
        <v>28</v>
      </c>
      <c r="J1576" t="s">
        <v>24</v>
      </c>
      <c r="K1576" s="6">
        <f t="shared" ca="1" si="104"/>
        <v>21717</v>
      </c>
      <c r="L1576">
        <v>-24044</v>
      </c>
      <c r="M1576" s="7">
        <f t="shared" ca="1" si="102"/>
        <v>65.828884325804239</v>
      </c>
      <c r="N1576" s="5" t="str">
        <f ca="1">VLOOKUP(Data!M1576,temp!$B$3:$C$9,2,1)</f>
        <v>60-70</v>
      </c>
      <c r="O1576">
        <v>365243</v>
      </c>
      <c r="P1576" s="8">
        <f t="shared" si="103"/>
        <v>0</v>
      </c>
      <c r="Q1576" s="5" t="str">
        <f t="shared" si="105"/>
        <v>Unemployed</v>
      </c>
      <c r="R1576">
        <v>1</v>
      </c>
      <c r="S1576">
        <v>0</v>
      </c>
      <c r="T1576">
        <v>1</v>
      </c>
      <c r="U1576">
        <v>0</v>
      </c>
      <c r="W1576">
        <v>2</v>
      </c>
    </row>
    <row r="1577" spans="1:23" x14ac:dyDescent="0.2">
      <c r="A1577">
        <v>5052937</v>
      </c>
      <c r="B1577" t="s">
        <v>25</v>
      </c>
      <c r="C1577" t="s">
        <v>20</v>
      </c>
      <c r="D1577" t="s">
        <v>20</v>
      </c>
      <c r="E1577">
        <v>0</v>
      </c>
      <c r="F1577">
        <v>270000</v>
      </c>
      <c r="G1577" t="s">
        <v>31</v>
      </c>
      <c r="H1577" t="s">
        <v>27</v>
      </c>
      <c r="I1577" t="s">
        <v>33</v>
      </c>
      <c r="J1577" t="s">
        <v>24</v>
      </c>
      <c r="K1577" s="6">
        <f t="shared" ca="1" si="104"/>
        <v>28502</v>
      </c>
      <c r="L1577">
        <v>-17259</v>
      </c>
      <c r="M1577" s="7">
        <f t="shared" ca="1" si="102"/>
        <v>47.252566735112936</v>
      </c>
      <c r="N1577" s="5" t="str">
        <f ca="1">VLOOKUP(Data!M1577,temp!$B$3:$C$9,2,1)</f>
        <v>40-50</v>
      </c>
      <c r="O1577">
        <v>-1420</v>
      </c>
      <c r="P1577" s="8">
        <f t="shared" si="103"/>
        <v>3.8877481177275839</v>
      </c>
      <c r="Q1577" s="5" t="str">
        <f t="shared" si="105"/>
        <v>Employed</v>
      </c>
      <c r="R1577">
        <v>1</v>
      </c>
      <c r="S1577">
        <v>0</v>
      </c>
      <c r="T1577">
        <v>0</v>
      </c>
      <c r="U1577">
        <v>0</v>
      </c>
      <c r="V1577" t="s">
        <v>30</v>
      </c>
      <c r="W1577">
        <v>1</v>
      </c>
    </row>
    <row r="1578" spans="1:23" x14ac:dyDescent="0.2">
      <c r="A1578">
        <v>5052963</v>
      </c>
      <c r="B1578" t="s">
        <v>25</v>
      </c>
      <c r="C1578" t="s">
        <v>20</v>
      </c>
      <c r="D1578" t="s">
        <v>20</v>
      </c>
      <c r="E1578">
        <v>0</v>
      </c>
      <c r="F1578">
        <v>135000</v>
      </c>
      <c r="G1578" t="s">
        <v>26</v>
      </c>
      <c r="H1578" t="s">
        <v>27</v>
      </c>
      <c r="I1578" t="s">
        <v>28</v>
      </c>
      <c r="J1578" t="s">
        <v>24</v>
      </c>
      <c r="K1578" s="6">
        <f t="shared" ca="1" si="104"/>
        <v>35777</v>
      </c>
      <c r="L1578">
        <v>-9984</v>
      </c>
      <c r="M1578" s="7">
        <f t="shared" ca="1" si="102"/>
        <v>27.3347022587269</v>
      </c>
      <c r="N1578" s="5" t="str">
        <f ca="1">VLOOKUP(Data!M1578,temp!$B$3:$C$9,2,1)</f>
        <v>20-30</v>
      </c>
      <c r="O1578">
        <v>-2606</v>
      </c>
      <c r="P1578" s="8">
        <f t="shared" si="103"/>
        <v>7.1348391512662559</v>
      </c>
      <c r="Q1578" s="5" t="str">
        <f t="shared" si="105"/>
        <v>Employed</v>
      </c>
      <c r="R1578">
        <v>1</v>
      </c>
      <c r="S1578">
        <v>0</v>
      </c>
      <c r="T1578">
        <v>0</v>
      </c>
      <c r="U1578">
        <v>0</v>
      </c>
      <c r="V1578" t="s">
        <v>29</v>
      </c>
      <c r="W1578">
        <v>2</v>
      </c>
    </row>
    <row r="1579" spans="1:23" x14ac:dyDescent="0.2">
      <c r="A1579">
        <v>5052971</v>
      </c>
      <c r="B1579" t="s">
        <v>25</v>
      </c>
      <c r="C1579" t="s">
        <v>20</v>
      </c>
      <c r="D1579" t="s">
        <v>20</v>
      </c>
      <c r="E1579">
        <v>1</v>
      </c>
      <c r="F1579">
        <v>360000</v>
      </c>
      <c r="G1579" t="s">
        <v>31</v>
      </c>
      <c r="H1579" t="s">
        <v>27</v>
      </c>
      <c r="I1579" t="s">
        <v>28</v>
      </c>
      <c r="J1579" t="s">
        <v>24</v>
      </c>
      <c r="K1579" s="6">
        <f t="shared" ca="1" si="104"/>
        <v>29240</v>
      </c>
      <c r="L1579">
        <v>-16521</v>
      </c>
      <c r="M1579" s="7">
        <f t="shared" ca="1" si="102"/>
        <v>45.232032854209443</v>
      </c>
      <c r="N1579" s="5" t="str">
        <f ca="1">VLOOKUP(Data!M1579,temp!$B$3:$C$9,2,1)</f>
        <v>40-50</v>
      </c>
      <c r="O1579">
        <v>-1359</v>
      </c>
      <c r="P1579" s="8">
        <f t="shared" si="103"/>
        <v>3.7207392197125255</v>
      </c>
      <c r="Q1579" s="5" t="str">
        <f t="shared" si="105"/>
        <v>Employed</v>
      </c>
      <c r="R1579">
        <v>1</v>
      </c>
      <c r="S1579">
        <v>0</v>
      </c>
      <c r="T1579">
        <v>1</v>
      </c>
      <c r="U1579">
        <v>0</v>
      </c>
      <c r="V1579" t="s">
        <v>29</v>
      </c>
      <c r="W1579">
        <v>3</v>
      </c>
    </row>
    <row r="1580" spans="1:23" x14ac:dyDescent="0.2">
      <c r="A1580">
        <v>5052982</v>
      </c>
      <c r="B1580" t="s">
        <v>18</v>
      </c>
      <c r="C1580" t="s">
        <v>19</v>
      </c>
      <c r="D1580" t="s">
        <v>20</v>
      </c>
      <c r="E1580">
        <v>0</v>
      </c>
      <c r="F1580">
        <v>112500</v>
      </c>
      <c r="G1580" t="s">
        <v>31</v>
      </c>
      <c r="H1580" t="s">
        <v>27</v>
      </c>
      <c r="I1580" t="s">
        <v>28</v>
      </c>
      <c r="J1580" t="s">
        <v>24</v>
      </c>
      <c r="K1580" s="6">
        <f t="shared" ca="1" si="104"/>
        <v>26457</v>
      </c>
      <c r="L1580">
        <v>-19304</v>
      </c>
      <c r="M1580" s="7">
        <f t="shared" ca="1" si="102"/>
        <v>52.851471594798085</v>
      </c>
      <c r="N1580" s="5" t="str">
        <f ca="1">VLOOKUP(Data!M1580,temp!$B$3:$C$9,2,1)</f>
        <v>50-60</v>
      </c>
      <c r="O1580">
        <v>-1601</v>
      </c>
      <c r="P1580" s="8">
        <f t="shared" si="103"/>
        <v>4.3832991101984939</v>
      </c>
      <c r="Q1580" s="5" t="str">
        <f t="shared" si="105"/>
        <v>Employed</v>
      </c>
      <c r="R1580">
        <v>1</v>
      </c>
      <c r="S1580">
        <v>0</v>
      </c>
      <c r="T1580">
        <v>0</v>
      </c>
      <c r="U1580">
        <v>0</v>
      </c>
      <c r="V1580" t="s">
        <v>39</v>
      </c>
      <c r="W1580">
        <v>2</v>
      </c>
    </row>
    <row r="1581" spans="1:23" x14ac:dyDescent="0.2">
      <c r="A1581">
        <v>5052985</v>
      </c>
      <c r="B1581" t="s">
        <v>25</v>
      </c>
      <c r="C1581" t="s">
        <v>20</v>
      </c>
      <c r="D1581" t="s">
        <v>20</v>
      </c>
      <c r="E1581">
        <v>0</v>
      </c>
      <c r="F1581">
        <v>225000</v>
      </c>
      <c r="G1581" t="s">
        <v>31</v>
      </c>
      <c r="H1581" t="s">
        <v>27</v>
      </c>
      <c r="I1581" t="s">
        <v>28</v>
      </c>
      <c r="J1581" t="s">
        <v>24</v>
      </c>
      <c r="K1581" s="6">
        <f t="shared" ca="1" si="104"/>
        <v>30673</v>
      </c>
      <c r="L1581">
        <v>-15088</v>
      </c>
      <c r="M1581" s="7">
        <f t="shared" ca="1" si="102"/>
        <v>41.308692676249144</v>
      </c>
      <c r="N1581" s="5" t="str">
        <f ca="1">VLOOKUP(Data!M1581,temp!$B$3:$C$9,2,1)</f>
        <v>40-50</v>
      </c>
      <c r="O1581">
        <v>-2759</v>
      </c>
      <c r="P1581" s="8">
        <f t="shared" si="103"/>
        <v>7.5537303216974676</v>
      </c>
      <c r="Q1581" s="5" t="str">
        <f t="shared" si="105"/>
        <v>Employed</v>
      </c>
      <c r="R1581">
        <v>1</v>
      </c>
      <c r="S1581">
        <v>0</v>
      </c>
      <c r="T1581">
        <v>0</v>
      </c>
      <c r="U1581">
        <v>0</v>
      </c>
      <c r="V1581" t="s">
        <v>29</v>
      </c>
      <c r="W1581">
        <v>2</v>
      </c>
    </row>
    <row r="1582" spans="1:23" x14ac:dyDescent="0.2">
      <c r="A1582">
        <v>5052986</v>
      </c>
      <c r="B1582" t="s">
        <v>25</v>
      </c>
      <c r="C1582" t="s">
        <v>20</v>
      </c>
      <c r="D1582" t="s">
        <v>20</v>
      </c>
      <c r="E1582">
        <v>0</v>
      </c>
      <c r="F1582">
        <v>225000</v>
      </c>
      <c r="G1582" t="s">
        <v>31</v>
      </c>
      <c r="H1582" t="s">
        <v>27</v>
      </c>
      <c r="I1582" t="s">
        <v>28</v>
      </c>
      <c r="J1582" t="s">
        <v>24</v>
      </c>
      <c r="K1582" s="6">
        <f t="shared" ca="1" si="104"/>
        <v>30673</v>
      </c>
      <c r="L1582">
        <v>-15088</v>
      </c>
      <c r="M1582" s="7">
        <f t="shared" ca="1" si="102"/>
        <v>41.308692676249144</v>
      </c>
      <c r="N1582" s="5" t="str">
        <f ca="1">VLOOKUP(Data!M1582,temp!$B$3:$C$9,2,1)</f>
        <v>40-50</v>
      </c>
      <c r="O1582">
        <v>-2759</v>
      </c>
      <c r="P1582" s="8">
        <f t="shared" si="103"/>
        <v>7.5537303216974676</v>
      </c>
      <c r="Q1582" s="5" t="str">
        <f t="shared" si="105"/>
        <v>Employed</v>
      </c>
      <c r="R1582">
        <v>1</v>
      </c>
      <c r="S1582">
        <v>0</v>
      </c>
      <c r="T1582">
        <v>0</v>
      </c>
      <c r="U1582">
        <v>0</v>
      </c>
      <c r="V1582" t="s">
        <v>29</v>
      </c>
      <c r="W1582">
        <v>2</v>
      </c>
    </row>
    <row r="1583" spans="1:23" x14ac:dyDescent="0.2">
      <c r="A1583">
        <v>5053002</v>
      </c>
      <c r="B1583" t="s">
        <v>18</v>
      </c>
      <c r="C1583" t="s">
        <v>20</v>
      </c>
      <c r="D1583" t="s">
        <v>20</v>
      </c>
      <c r="E1583">
        <v>0</v>
      </c>
      <c r="F1583">
        <v>157500</v>
      </c>
      <c r="G1583" t="s">
        <v>31</v>
      </c>
      <c r="H1583" t="s">
        <v>36</v>
      </c>
      <c r="I1583" t="s">
        <v>28</v>
      </c>
      <c r="J1583" t="s">
        <v>24</v>
      </c>
      <c r="K1583" s="6">
        <f t="shared" ca="1" si="104"/>
        <v>36372</v>
      </c>
      <c r="L1583">
        <v>-9389</v>
      </c>
      <c r="M1583" s="7">
        <f t="shared" ca="1" si="102"/>
        <v>25.7056810403833</v>
      </c>
      <c r="N1583" s="5" t="str">
        <f ca="1">VLOOKUP(Data!M1583,temp!$B$3:$C$9,2,1)</f>
        <v>20-30</v>
      </c>
      <c r="O1583">
        <v>-1632</v>
      </c>
      <c r="P1583" s="8">
        <f t="shared" si="103"/>
        <v>4.4681724845995889</v>
      </c>
      <c r="Q1583" s="5" t="str">
        <f t="shared" si="105"/>
        <v>Employed</v>
      </c>
      <c r="R1583">
        <v>1</v>
      </c>
      <c r="S1583">
        <v>1</v>
      </c>
      <c r="T1583">
        <v>1</v>
      </c>
      <c r="U1583">
        <v>0</v>
      </c>
      <c r="W1583">
        <v>2</v>
      </c>
    </row>
    <row r="1584" spans="1:23" x14ac:dyDescent="0.2">
      <c r="A1584">
        <v>5053030</v>
      </c>
      <c r="B1584" t="s">
        <v>18</v>
      </c>
      <c r="C1584" t="s">
        <v>19</v>
      </c>
      <c r="D1584" t="s">
        <v>20</v>
      </c>
      <c r="E1584">
        <v>0</v>
      </c>
      <c r="F1584">
        <v>135000</v>
      </c>
      <c r="G1584" t="s">
        <v>21</v>
      </c>
      <c r="H1584" t="s">
        <v>27</v>
      </c>
      <c r="I1584" t="s">
        <v>28</v>
      </c>
      <c r="J1584" t="s">
        <v>24</v>
      </c>
      <c r="K1584" s="6">
        <f t="shared" ca="1" si="104"/>
        <v>25006</v>
      </c>
      <c r="L1584">
        <v>-20755</v>
      </c>
      <c r="M1584" s="7">
        <f t="shared" ca="1" si="102"/>
        <v>56.824093086926766</v>
      </c>
      <c r="N1584" s="5" t="str">
        <f ca="1">VLOOKUP(Data!M1584,temp!$B$3:$C$9,2,1)</f>
        <v>50-60</v>
      </c>
      <c r="O1584">
        <v>365243</v>
      </c>
      <c r="P1584" s="8">
        <f t="shared" si="103"/>
        <v>0</v>
      </c>
      <c r="Q1584" s="5" t="str">
        <f t="shared" si="105"/>
        <v>Unemployed</v>
      </c>
      <c r="R1584">
        <v>1</v>
      </c>
      <c r="S1584">
        <v>0</v>
      </c>
      <c r="T1584">
        <v>0</v>
      </c>
      <c r="U1584">
        <v>0</v>
      </c>
      <c r="W1584">
        <v>2</v>
      </c>
    </row>
    <row r="1585" spans="1:23" x14ac:dyDescent="0.2">
      <c r="A1585">
        <v>5053034</v>
      </c>
      <c r="B1585" t="s">
        <v>18</v>
      </c>
      <c r="C1585" t="s">
        <v>19</v>
      </c>
      <c r="D1585" t="s">
        <v>20</v>
      </c>
      <c r="E1585">
        <v>0</v>
      </c>
      <c r="F1585">
        <v>135000</v>
      </c>
      <c r="G1585" t="s">
        <v>21</v>
      </c>
      <c r="H1585" t="s">
        <v>27</v>
      </c>
      <c r="I1585" t="s">
        <v>28</v>
      </c>
      <c r="J1585" t="s">
        <v>24</v>
      </c>
      <c r="K1585" s="6">
        <f t="shared" ca="1" si="104"/>
        <v>25006</v>
      </c>
      <c r="L1585">
        <v>-20755</v>
      </c>
      <c r="M1585" s="7">
        <f t="shared" ca="1" si="102"/>
        <v>56.824093086926766</v>
      </c>
      <c r="N1585" s="5" t="str">
        <f ca="1">VLOOKUP(Data!M1585,temp!$B$3:$C$9,2,1)</f>
        <v>50-60</v>
      </c>
      <c r="O1585">
        <v>365243</v>
      </c>
      <c r="P1585" s="8">
        <f t="shared" si="103"/>
        <v>0</v>
      </c>
      <c r="Q1585" s="5" t="str">
        <f t="shared" si="105"/>
        <v>Unemployed</v>
      </c>
      <c r="R1585">
        <v>1</v>
      </c>
      <c r="S1585">
        <v>0</v>
      </c>
      <c r="T1585">
        <v>0</v>
      </c>
      <c r="U1585">
        <v>0</v>
      </c>
      <c r="W1585">
        <v>2</v>
      </c>
    </row>
    <row r="1586" spans="1:23" x14ac:dyDescent="0.2">
      <c r="A1586">
        <v>5053039</v>
      </c>
      <c r="B1586" t="s">
        <v>18</v>
      </c>
      <c r="C1586" t="s">
        <v>19</v>
      </c>
      <c r="D1586" t="s">
        <v>20</v>
      </c>
      <c r="E1586">
        <v>0</v>
      </c>
      <c r="F1586">
        <v>45000</v>
      </c>
      <c r="G1586" t="s">
        <v>21</v>
      </c>
      <c r="H1586" t="s">
        <v>51</v>
      </c>
      <c r="I1586" t="s">
        <v>28</v>
      </c>
      <c r="J1586" t="s">
        <v>24</v>
      </c>
      <c r="K1586" s="6">
        <f t="shared" ca="1" si="104"/>
        <v>23511</v>
      </c>
      <c r="L1586">
        <v>-22250</v>
      </c>
      <c r="M1586" s="7">
        <f t="shared" ca="1" si="102"/>
        <v>60.917180013689254</v>
      </c>
      <c r="N1586" s="5" t="str">
        <f ca="1">VLOOKUP(Data!M1586,temp!$B$3:$C$9,2,1)</f>
        <v>60-70</v>
      </c>
      <c r="O1586">
        <v>365243</v>
      </c>
      <c r="P1586" s="8">
        <f t="shared" si="103"/>
        <v>0</v>
      </c>
      <c r="Q1586" s="5" t="str">
        <f t="shared" si="105"/>
        <v>Unemployed</v>
      </c>
      <c r="R1586">
        <v>1</v>
      </c>
      <c r="S1586">
        <v>0</v>
      </c>
      <c r="T1586">
        <v>0</v>
      </c>
      <c r="U1586">
        <v>0</v>
      </c>
      <c r="W1586">
        <v>2</v>
      </c>
    </row>
    <row r="1587" spans="1:23" x14ac:dyDescent="0.2">
      <c r="A1587">
        <v>5053056</v>
      </c>
      <c r="B1587" t="s">
        <v>18</v>
      </c>
      <c r="C1587" t="s">
        <v>19</v>
      </c>
      <c r="D1587" t="s">
        <v>20</v>
      </c>
      <c r="E1587">
        <v>0</v>
      </c>
      <c r="F1587">
        <v>67500</v>
      </c>
      <c r="G1587" t="s">
        <v>21</v>
      </c>
      <c r="H1587" t="s">
        <v>27</v>
      </c>
      <c r="I1587" t="s">
        <v>28</v>
      </c>
      <c r="J1587" t="s">
        <v>24</v>
      </c>
      <c r="K1587" s="6">
        <f t="shared" ca="1" si="104"/>
        <v>25186</v>
      </c>
      <c r="L1587">
        <v>-20575</v>
      </c>
      <c r="M1587" s="7">
        <f t="shared" ca="1" si="102"/>
        <v>56.331279945242983</v>
      </c>
      <c r="N1587" s="5" t="str">
        <f ca="1">VLOOKUP(Data!M1587,temp!$B$3:$C$9,2,1)</f>
        <v>50-60</v>
      </c>
      <c r="O1587">
        <v>365243</v>
      </c>
      <c r="P1587" s="8">
        <f t="shared" si="103"/>
        <v>0</v>
      </c>
      <c r="Q1587" s="5" t="str">
        <f t="shared" si="105"/>
        <v>Unemployed</v>
      </c>
      <c r="R1587">
        <v>1</v>
      </c>
      <c r="S1587">
        <v>0</v>
      </c>
      <c r="T1587">
        <v>1</v>
      </c>
      <c r="U1587">
        <v>0</v>
      </c>
      <c r="W1587">
        <v>2</v>
      </c>
    </row>
    <row r="1588" spans="1:23" x14ac:dyDescent="0.2">
      <c r="A1588">
        <v>5053080</v>
      </c>
      <c r="B1588" t="s">
        <v>18</v>
      </c>
      <c r="C1588" t="s">
        <v>19</v>
      </c>
      <c r="D1588" t="s">
        <v>19</v>
      </c>
      <c r="E1588">
        <v>0</v>
      </c>
      <c r="F1588">
        <v>175500</v>
      </c>
      <c r="G1588" t="s">
        <v>31</v>
      </c>
      <c r="H1588" t="s">
        <v>27</v>
      </c>
      <c r="I1588" t="s">
        <v>33</v>
      </c>
      <c r="J1588" t="s">
        <v>24</v>
      </c>
      <c r="K1588" s="6">
        <f t="shared" ca="1" si="104"/>
        <v>27118</v>
      </c>
      <c r="L1588">
        <v>-18643</v>
      </c>
      <c r="M1588" s="7">
        <f t="shared" ca="1" si="102"/>
        <v>51.041752224503767</v>
      </c>
      <c r="N1588" s="5" t="str">
        <f ca="1">VLOOKUP(Data!M1588,temp!$B$3:$C$9,2,1)</f>
        <v>50-60</v>
      </c>
      <c r="O1588">
        <v>-658</v>
      </c>
      <c r="P1588" s="8">
        <f t="shared" si="103"/>
        <v>1.8015058179329226</v>
      </c>
      <c r="Q1588" s="5" t="str">
        <f t="shared" si="105"/>
        <v>Employed</v>
      </c>
      <c r="R1588">
        <v>1</v>
      </c>
      <c r="S1588">
        <v>0</v>
      </c>
      <c r="T1588">
        <v>0</v>
      </c>
      <c r="U1588">
        <v>0</v>
      </c>
      <c r="V1588" t="s">
        <v>47</v>
      </c>
      <c r="W1588">
        <v>1</v>
      </c>
    </row>
    <row r="1589" spans="1:23" x14ac:dyDescent="0.2">
      <c r="A1589">
        <v>5053083</v>
      </c>
      <c r="B1589" t="s">
        <v>18</v>
      </c>
      <c r="C1589" t="s">
        <v>19</v>
      </c>
      <c r="D1589" t="s">
        <v>19</v>
      </c>
      <c r="E1589">
        <v>0</v>
      </c>
      <c r="F1589">
        <v>175500</v>
      </c>
      <c r="G1589" t="s">
        <v>31</v>
      </c>
      <c r="H1589" t="s">
        <v>27</v>
      </c>
      <c r="I1589" t="s">
        <v>33</v>
      </c>
      <c r="J1589" t="s">
        <v>24</v>
      </c>
      <c r="K1589" s="6">
        <f t="shared" ca="1" si="104"/>
        <v>27118</v>
      </c>
      <c r="L1589">
        <v>-18643</v>
      </c>
      <c r="M1589" s="7">
        <f t="shared" ca="1" si="102"/>
        <v>51.041752224503767</v>
      </c>
      <c r="N1589" s="5" t="str">
        <f ca="1">VLOOKUP(Data!M1589,temp!$B$3:$C$9,2,1)</f>
        <v>50-60</v>
      </c>
      <c r="O1589">
        <v>-658</v>
      </c>
      <c r="P1589" s="8">
        <f t="shared" si="103"/>
        <v>1.8015058179329226</v>
      </c>
      <c r="Q1589" s="5" t="str">
        <f t="shared" si="105"/>
        <v>Employed</v>
      </c>
      <c r="R1589">
        <v>1</v>
      </c>
      <c r="S1589">
        <v>0</v>
      </c>
      <c r="T1589">
        <v>0</v>
      </c>
      <c r="U1589">
        <v>0</v>
      </c>
      <c r="V1589" t="s">
        <v>47</v>
      </c>
      <c r="W1589">
        <v>1</v>
      </c>
    </row>
    <row r="1590" spans="1:23" x14ac:dyDescent="0.2">
      <c r="A1590">
        <v>5053093</v>
      </c>
      <c r="B1590" t="s">
        <v>25</v>
      </c>
      <c r="C1590" t="s">
        <v>19</v>
      </c>
      <c r="D1590" t="s">
        <v>20</v>
      </c>
      <c r="E1590">
        <v>1</v>
      </c>
      <c r="F1590">
        <v>180000</v>
      </c>
      <c r="G1590" t="s">
        <v>31</v>
      </c>
      <c r="H1590" t="s">
        <v>27</v>
      </c>
      <c r="I1590" t="s">
        <v>28</v>
      </c>
      <c r="J1590" t="s">
        <v>24</v>
      </c>
      <c r="K1590" s="6">
        <f t="shared" ca="1" si="104"/>
        <v>32055</v>
      </c>
      <c r="L1590">
        <v>-13706</v>
      </c>
      <c r="M1590" s="7">
        <f t="shared" ca="1" si="102"/>
        <v>37.524982888432582</v>
      </c>
      <c r="N1590" s="5" t="str">
        <f ca="1">VLOOKUP(Data!M1590,temp!$B$3:$C$9,2,1)</f>
        <v>30-40</v>
      </c>
      <c r="O1590">
        <v>-932</v>
      </c>
      <c r="P1590" s="8">
        <f t="shared" si="103"/>
        <v>2.5516769336071183</v>
      </c>
      <c r="Q1590" s="5" t="str">
        <f t="shared" si="105"/>
        <v>Employed</v>
      </c>
      <c r="R1590">
        <v>1</v>
      </c>
      <c r="S1590">
        <v>0</v>
      </c>
      <c r="T1590">
        <v>1</v>
      </c>
      <c r="U1590">
        <v>0</v>
      </c>
      <c r="V1590" t="s">
        <v>29</v>
      </c>
      <c r="W1590">
        <v>3</v>
      </c>
    </row>
    <row r="1591" spans="1:23" x14ac:dyDescent="0.2">
      <c r="A1591">
        <v>5053103</v>
      </c>
      <c r="B1591" t="s">
        <v>25</v>
      </c>
      <c r="C1591" t="s">
        <v>19</v>
      </c>
      <c r="D1591" t="s">
        <v>19</v>
      </c>
      <c r="E1591">
        <v>0</v>
      </c>
      <c r="F1591">
        <v>130500</v>
      </c>
      <c r="G1591" t="s">
        <v>21</v>
      </c>
      <c r="H1591" t="s">
        <v>22</v>
      </c>
      <c r="I1591" t="s">
        <v>28</v>
      </c>
      <c r="J1591" t="s">
        <v>24</v>
      </c>
      <c r="K1591" s="6">
        <f t="shared" ca="1" si="104"/>
        <v>21004</v>
      </c>
      <c r="L1591">
        <v>-24757</v>
      </c>
      <c r="M1591" s="7">
        <f t="shared" ca="1" si="102"/>
        <v>67.780971937029435</v>
      </c>
      <c r="N1591" s="5" t="str">
        <f ca="1">VLOOKUP(Data!M1591,temp!$B$3:$C$9,2,1)</f>
        <v>60-70</v>
      </c>
      <c r="O1591">
        <v>365243</v>
      </c>
      <c r="P1591" s="8">
        <f t="shared" si="103"/>
        <v>0</v>
      </c>
      <c r="Q1591" s="5" t="str">
        <f t="shared" si="105"/>
        <v>Unemployed</v>
      </c>
      <c r="R1591">
        <v>1</v>
      </c>
      <c r="S1591">
        <v>0</v>
      </c>
      <c r="T1591">
        <v>0</v>
      </c>
      <c r="U1591">
        <v>0</v>
      </c>
      <c r="W1591">
        <v>2</v>
      </c>
    </row>
    <row r="1592" spans="1:23" x14ac:dyDescent="0.2">
      <c r="A1592">
        <v>5053109</v>
      </c>
      <c r="B1592" t="s">
        <v>18</v>
      </c>
      <c r="C1592" t="s">
        <v>19</v>
      </c>
      <c r="D1592" t="s">
        <v>20</v>
      </c>
      <c r="E1592">
        <v>0</v>
      </c>
      <c r="F1592">
        <v>99000</v>
      </c>
      <c r="G1592" t="s">
        <v>21</v>
      </c>
      <c r="H1592" t="s">
        <v>27</v>
      </c>
      <c r="I1592" t="s">
        <v>28</v>
      </c>
      <c r="J1592" t="s">
        <v>24</v>
      </c>
      <c r="K1592" s="6">
        <f t="shared" ca="1" si="104"/>
        <v>21912</v>
      </c>
      <c r="L1592">
        <v>-23849</v>
      </c>
      <c r="M1592" s="7">
        <f t="shared" ca="1" si="102"/>
        <v>65.295003422313485</v>
      </c>
      <c r="N1592" s="5" t="str">
        <f ca="1">VLOOKUP(Data!M1592,temp!$B$3:$C$9,2,1)</f>
        <v>60-70</v>
      </c>
      <c r="O1592">
        <v>365243</v>
      </c>
      <c r="P1592" s="8">
        <f t="shared" si="103"/>
        <v>0</v>
      </c>
      <c r="Q1592" s="5" t="str">
        <f t="shared" si="105"/>
        <v>Unemployed</v>
      </c>
      <c r="R1592">
        <v>1</v>
      </c>
      <c r="S1592">
        <v>0</v>
      </c>
      <c r="T1592">
        <v>0</v>
      </c>
      <c r="U1592">
        <v>0</v>
      </c>
      <c r="W1592">
        <v>2</v>
      </c>
    </row>
    <row r="1593" spans="1:23" x14ac:dyDescent="0.2">
      <c r="A1593">
        <v>5053119</v>
      </c>
      <c r="B1593" t="s">
        <v>25</v>
      </c>
      <c r="C1593" t="s">
        <v>20</v>
      </c>
      <c r="D1593" t="s">
        <v>19</v>
      </c>
      <c r="E1593">
        <v>1</v>
      </c>
      <c r="F1593">
        <v>270000</v>
      </c>
      <c r="G1593" t="s">
        <v>26</v>
      </c>
      <c r="H1593" t="s">
        <v>27</v>
      </c>
      <c r="I1593" t="s">
        <v>37</v>
      </c>
      <c r="J1593" t="s">
        <v>24</v>
      </c>
      <c r="K1593" s="6">
        <f t="shared" ca="1" si="104"/>
        <v>32227</v>
      </c>
      <c r="L1593">
        <v>-13534</v>
      </c>
      <c r="M1593" s="7">
        <f t="shared" ca="1" si="102"/>
        <v>37.054072553045856</v>
      </c>
      <c r="N1593" s="5" t="str">
        <f ca="1">VLOOKUP(Data!M1593,temp!$B$3:$C$9,2,1)</f>
        <v>30-40</v>
      </c>
      <c r="O1593">
        <v>-1420</v>
      </c>
      <c r="P1593" s="8">
        <f t="shared" si="103"/>
        <v>3.8877481177275839</v>
      </c>
      <c r="Q1593" s="5" t="str">
        <f t="shared" si="105"/>
        <v>Employed</v>
      </c>
      <c r="R1593">
        <v>1</v>
      </c>
      <c r="S1593">
        <v>0</v>
      </c>
      <c r="T1593">
        <v>0</v>
      </c>
      <c r="U1593">
        <v>0</v>
      </c>
      <c r="W1593">
        <v>3</v>
      </c>
    </row>
    <row r="1594" spans="1:23" x14ac:dyDescent="0.2">
      <c r="A1594">
        <v>5053135</v>
      </c>
      <c r="B1594" t="s">
        <v>25</v>
      </c>
      <c r="C1594" t="s">
        <v>20</v>
      </c>
      <c r="D1594" t="s">
        <v>20</v>
      </c>
      <c r="E1594">
        <v>1</v>
      </c>
      <c r="F1594">
        <v>234000</v>
      </c>
      <c r="G1594" t="s">
        <v>31</v>
      </c>
      <c r="H1594" t="s">
        <v>27</v>
      </c>
      <c r="I1594" t="s">
        <v>28</v>
      </c>
      <c r="J1594" t="s">
        <v>24</v>
      </c>
      <c r="K1594" s="6">
        <f t="shared" ca="1" si="104"/>
        <v>34250</v>
      </c>
      <c r="L1594">
        <v>-11511</v>
      </c>
      <c r="M1594" s="7">
        <f t="shared" ca="1" si="102"/>
        <v>31.515400410677618</v>
      </c>
      <c r="N1594" s="5" t="str">
        <f ca="1">VLOOKUP(Data!M1594,temp!$B$3:$C$9,2,1)</f>
        <v>30-40</v>
      </c>
      <c r="O1594">
        <v>-3611</v>
      </c>
      <c r="P1594" s="8">
        <f t="shared" si="103"/>
        <v>9.886379192334017</v>
      </c>
      <c r="Q1594" s="5" t="str">
        <f t="shared" si="105"/>
        <v>Employed</v>
      </c>
      <c r="R1594">
        <v>1</v>
      </c>
      <c r="S1594">
        <v>0</v>
      </c>
      <c r="T1594">
        <v>0</v>
      </c>
      <c r="U1594">
        <v>0</v>
      </c>
      <c r="V1594" t="s">
        <v>47</v>
      </c>
      <c r="W1594">
        <v>3</v>
      </c>
    </row>
    <row r="1595" spans="1:23" x14ac:dyDescent="0.2">
      <c r="A1595">
        <v>5053148</v>
      </c>
      <c r="B1595" t="s">
        <v>18</v>
      </c>
      <c r="C1595" t="s">
        <v>19</v>
      </c>
      <c r="D1595" t="s">
        <v>20</v>
      </c>
      <c r="E1595">
        <v>1</v>
      </c>
      <c r="F1595">
        <v>126000</v>
      </c>
      <c r="G1595" t="s">
        <v>31</v>
      </c>
      <c r="H1595" t="s">
        <v>27</v>
      </c>
      <c r="I1595" t="s">
        <v>28</v>
      </c>
      <c r="J1595" t="s">
        <v>24</v>
      </c>
      <c r="K1595" s="6">
        <f t="shared" ca="1" si="104"/>
        <v>33621</v>
      </c>
      <c r="L1595">
        <v>-12140</v>
      </c>
      <c r="M1595" s="7">
        <f t="shared" ca="1" si="102"/>
        <v>33.237508555783712</v>
      </c>
      <c r="N1595" s="5" t="str">
        <f ca="1">VLOOKUP(Data!M1595,temp!$B$3:$C$9,2,1)</f>
        <v>30-40</v>
      </c>
      <c r="O1595">
        <v>-779</v>
      </c>
      <c r="P1595" s="8">
        <f t="shared" si="103"/>
        <v>2.1327857631759071</v>
      </c>
      <c r="Q1595" s="5" t="str">
        <f t="shared" si="105"/>
        <v>Employed</v>
      </c>
      <c r="R1595">
        <v>1</v>
      </c>
      <c r="S1595">
        <v>0</v>
      </c>
      <c r="T1595">
        <v>0</v>
      </c>
      <c r="U1595">
        <v>0</v>
      </c>
      <c r="V1595" t="s">
        <v>38</v>
      </c>
      <c r="W1595">
        <v>1</v>
      </c>
    </row>
    <row r="1596" spans="1:23" x14ac:dyDescent="0.2">
      <c r="A1596">
        <v>5053149</v>
      </c>
      <c r="B1596" t="s">
        <v>18</v>
      </c>
      <c r="C1596" t="s">
        <v>19</v>
      </c>
      <c r="D1596" t="s">
        <v>20</v>
      </c>
      <c r="E1596">
        <v>1</v>
      </c>
      <c r="F1596">
        <v>126000</v>
      </c>
      <c r="G1596" t="s">
        <v>31</v>
      </c>
      <c r="H1596" t="s">
        <v>27</v>
      </c>
      <c r="I1596" t="s">
        <v>28</v>
      </c>
      <c r="J1596" t="s">
        <v>24</v>
      </c>
      <c r="K1596" s="6">
        <f t="shared" ca="1" si="104"/>
        <v>33621</v>
      </c>
      <c r="L1596">
        <v>-12140</v>
      </c>
      <c r="M1596" s="7">
        <f t="shared" ca="1" si="102"/>
        <v>33.237508555783712</v>
      </c>
      <c r="N1596" s="5" t="str">
        <f ca="1">VLOOKUP(Data!M1596,temp!$B$3:$C$9,2,1)</f>
        <v>30-40</v>
      </c>
      <c r="O1596">
        <v>-779</v>
      </c>
      <c r="P1596" s="8">
        <f t="shared" si="103"/>
        <v>2.1327857631759071</v>
      </c>
      <c r="Q1596" s="5" t="str">
        <f t="shared" si="105"/>
        <v>Employed</v>
      </c>
      <c r="R1596">
        <v>1</v>
      </c>
      <c r="S1596">
        <v>0</v>
      </c>
      <c r="T1596">
        <v>0</v>
      </c>
      <c r="U1596">
        <v>0</v>
      </c>
      <c r="V1596" t="s">
        <v>38</v>
      </c>
      <c r="W1596">
        <v>3</v>
      </c>
    </row>
    <row r="1597" spans="1:23" x14ac:dyDescent="0.2">
      <c r="A1597">
        <v>5053151</v>
      </c>
      <c r="B1597" t="s">
        <v>18</v>
      </c>
      <c r="C1597" t="s">
        <v>19</v>
      </c>
      <c r="D1597" t="s">
        <v>20</v>
      </c>
      <c r="E1597">
        <v>1</v>
      </c>
      <c r="F1597">
        <v>90000</v>
      </c>
      <c r="G1597" t="s">
        <v>31</v>
      </c>
      <c r="H1597" t="s">
        <v>22</v>
      </c>
      <c r="I1597" t="s">
        <v>33</v>
      </c>
      <c r="J1597" t="s">
        <v>24</v>
      </c>
      <c r="K1597" s="6">
        <f t="shared" ca="1" si="104"/>
        <v>29607</v>
      </c>
      <c r="L1597">
        <v>-16154</v>
      </c>
      <c r="M1597" s="7">
        <f t="shared" ca="1" si="102"/>
        <v>44.227241615331963</v>
      </c>
      <c r="N1597" s="5" t="str">
        <f ca="1">VLOOKUP(Data!M1597,temp!$B$3:$C$9,2,1)</f>
        <v>40-50</v>
      </c>
      <c r="O1597">
        <v>-2178</v>
      </c>
      <c r="P1597" s="8">
        <f t="shared" si="103"/>
        <v>5.9630390143737166</v>
      </c>
      <c r="Q1597" s="5" t="str">
        <f t="shared" si="105"/>
        <v>Employed</v>
      </c>
      <c r="R1597">
        <v>1</v>
      </c>
      <c r="S1597">
        <v>0</v>
      </c>
      <c r="T1597">
        <v>0</v>
      </c>
      <c r="U1597">
        <v>0</v>
      </c>
      <c r="V1597" t="s">
        <v>38</v>
      </c>
      <c r="W1597">
        <v>2</v>
      </c>
    </row>
    <row r="1598" spans="1:23" x14ac:dyDescent="0.2">
      <c r="A1598">
        <v>5053155</v>
      </c>
      <c r="B1598" t="s">
        <v>18</v>
      </c>
      <c r="C1598" t="s">
        <v>19</v>
      </c>
      <c r="D1598" t="s">
        <v>20</v>
      </c>
      <c r="E1598">
        <v>0</v>
      </c>
      <c r="F1598">
        <v>157500</v>
      </c>
      <c r="G1598" t="s">
        <v>21</v>
      </c>
      <c r="H1598" t="s">
        <v>27</v>
      </c>
      <c r="I1598" t="s">
        <v>42</v>
      </c>
      <c r="J1598" t="s">
        <v>24</v>
      </c>
      <c r="K1598" s="6">
        <f t="shared" ca="1" si="104"/>
        <v>21987</v>
      </c>
      <c r="L1598">
        <v>-23774</v>
      </c>
      <c r="M1598" s="7">
        <f t="shared" ca="1" si="102"/>
        <v>65.089664613278572</v>
      </c>
      <c r="N1598" s="5" t="str">
        <f ca="1">VLOOKUP(Data!M1598,temp!$B$3:$C$9,2,1)</f>
        <v>60-70</v>
      </c>
      <c r="O1598">
        <v>365243</v>
      </c>
      <c r="P1598" s="8">
        <f t="shared" si="103"/>
        <v>0</v>
      </c>
      <c r="Q1598" s="5" t="str">
        <f t="shared" si="105"/>
        <v>Unemployed</v>
      </c>
      <c r="R1598">
        <v>1</v>
      </c>
      <c r="S1598">
        <v>0</v>
      </c>
      <c r="T1598">
        <v>0</v>
      </c>
      <c r="U1598">
        <v>0</v>
      </c>
      <c r="W1598">
        <v>1</v>
      </c>
    </row>
    <row r="1599" spans="1:23" x14ac:dyDescent="0.2">
      <c r="A1599">
        <v>5053160</v>
      </c>
      <c r="B1599" t="s">
        <v>18</v>
      </c>
      <c r="C1599" t="s">
        <v>19</v>
      </c>
      <c r="D1599" t="s">
        <v>20</v>
      </c>
      <c r="E1599">
        <v>0</v>
      </c>
      <c r="F1599">
        <v>157500</v>
      </c>
      <c r="G1599" t="s">
        <v>21</v>
      </c>
      <c r="H1599" t="s">
        <v>27</v>
      </c>
      <c r="I1599" t="s">
        <v>42</v>
      </c>
      <c r="J1599" t="s">
        <v>24</v>
      </c>
      <c r="K1599" s="6">
        <f t="shared" ca="1" si="104"/>
        <v>21987</v>
      </c>
      <c r="L1599">
        <v>-23774</v>
      </c>
      <c r="M1599" s="7">
        <f t="shared" ca="1" si="102"/>
        <v>65.089664613278572</v>
      </c>
      <c r="N1599" s="5" t="str">
        <f ca="1">VLOOKUP(Data!M1599,temp!$B$3:$C$9,2,1)</f>
        <v>60-70</v>
      </c>
      <c r="O1599">
        <v>365243</v>
      </c>
      <c r="P1599" s="8">
        <f t="shared" si="103"/>
        <v>0</v>
      </c>
      <c r="Q1599" s="5" t="str">
        <f t="shared" si="105"/>
        <v>Unemployed</v>
      </c>
      <c r="R1599">
        <v>1</v>
      </c>
      <c r="S1599">
        <v>0</v>
      </c>
      <c r="T1599">
        <v>0</v>
      </c>
      <c r="U1599">
        <v>0</v>
      </c>
      <c r="W1599">
        <v>1</v>
      </c>
    </row>
    <row r="1600" spans="1:23" x14ac:dyDescent="0.2">
      <c r="A1600">
        <v>5053162</v>
      </c>
      <c r="B1600" t="s">
        <v>18</v>
      </c>
      <c r="C1600" t="s">
        <v>19</v>
      </c>
      <c r="D1600" t="s">
        <v>20</v>
      </c>
      <c r="E1600">
        <v>0</v>
      </c>
      <c r="F1600">
        <v>157500</v>
      </c>
      <c r="G1600" t="s">
        <v>21</v>
      </c>
      <c r="H1600" t="s">
        <v>27</v>
      </c>
      <c r="I1600" t="s">
        <v>42</v>
      </c>
      <c r="J1600" t="s">
        <v>24</v>
      </c>
      <c r="K1600" s="6">
        <f t="shared" ca="1" si="104"/>
        <v>21987</v>
      </c>
      <c r="L1600">
        <v>-23774</v>
      </c>
      <c r="M1600" s="7">
        <f t="shared" ca="1" si="102"/>
        <v>65.089664613278572</v>
      </c>
      <c r="N1600" s="5" t="str">
        <f ca="1">VLOOKUP(Data!M1600,temp!$B$3:$C$9,2,1)</f>
        <v>60-70</v>
      </c>
      <c r="O1600">
        <v>365243</v>
      </c>
      <c r="P1600" s="8">
        <f t="shared" si="103"/>
        <v>0</v>
      </c>
      <c r="Q1600" s="5" t="str">
        <f t="shared" si="105"/>
        <v>Unemployed</v>
      </c>
      <c r="R1600">
        <v>1</v>
      </c>
      <c r="S1600">
        <v>0</v>
      </c>
      <c r="T1600">
        <v>0</v>
      </c>
      <c r="U1600">
        <v>0</v>
      </c>
      <c r="W1600">
        <v>1</v>
      </c>
    </row>
    <row r="1601" spans="1:23" x14ac:dyDescent="0.2">
      <c r="A1601">
        <v>5053167</v>
      </c>
      <c r="B1601" t="s">
        <v>18</v>
      </c>
      <c r="C1601" t="s">
        <v>20</v>
      </c>
      <c r="D1601" t="s">
        <v>20</v>
      </c>
      <c r="E1601">
        <v>0</v>
      </c>
      <c r="F1601">
        <v>157500</v>
      </c>
      <c r="G1601" t="s">
        <v>31</v>
      </c>
      <c r="H1601" t="s">
        <v>27</v>
      </c>
      <c r="I1601" t="s">
        <v>28</v>
      </c>
      <c r="J1601" t="s">
        <v>24</v>
      </c>
      <c r="K1601" s="6">
        <f t="shared" ca="1" si="104"/>
        <v>29049</v>
      </c>
      <c r="L1601">
        <v>-16712</v>
      </c>
      <c r="M1601" s="7">
        <f t="shared" ca="1" si="102"/>
        <v>45.754962354551679</v>
      </c>
      <c r="N1601" s="5" t="str">
        <f ca="1">VLOOKUP(Data!M1601,temp!$B$3:$C$9,2,1)</f>
        <v>40-50</v>
      </c>
      <c r="O1601">
        <v>-2393</v>
      </c>
      <c r="P1601" s="8">
        <f t="shared" si="103"/>
        <v>6.5516769336071183</v>
      </c>
      <c r="Q1601" s="5" t="str">
        <f t="shared" si="105"/>
        <v>Employed</v>
      </c>
      <c r="R1601">
        <v>1</v>
      </c>
      <c r="S1601">
        <v>0</v>
      </c>
      <c r="T1601">
        <v>0</v>
      </c>
      <c r="U1601">
        <v>0</v>
      </c>
      <c r="V1601" t="s">
        <v>38</v>
      </c>
      <c r="W1601">
        <v>2</v>
      </c>
    </row>
    <row r="1602" spans="1:23" x14ac:dyDescent="0.2">
      <c r="A1602">
        <v>5053181</v>
      </c>
      <c r="B1602" t="s">
        <v>25</v>
      </c>
      <c r="C1602" t="s">
        <v>20</v>
      </c>
      <c r="D1602" t="s">
        <v>20</v>
      </c>
      <c r="E1602">
        <v>0</v>
      </c>
      <c r="F1602">
        <v>207000</v>
      </c>
      <c r="G1602" t="s">
        <v>21</v>
      </c>
      <c r="H1602" t="s">
        <v>22</v>
      </c>
      <c r="I1602" t="s">
        <v>28</v>
      </c>
      <c r="J1602" t="s">
        <v>24</v>
      </c>
      <c r="K1602" s="6">
        <f t="shared" ca="1" si="104"/>
        <v>21449</v>
      </c>
      <c r="L1602">
        <v>-24312</v>
      </c>
      <c r="M1602" s="7">
        <f t="shared" ca="1" si="102"/>
        <v>66.562628336755651</v>
      </c>
      <c r="N1602" s="5" t="str">
        <f ca="1">VLOOKUP(Data!M1602,temp!$B$3:$C$9,2,1)</f>
        <v>60-70</v>
      </c>
      <c r="O1602">
        <v>365243</v>
      </c>
      <c r="P1602" s="8">
        <f t="shared" si="103"/>
        <v>0</v>
      </c>
      <c r="Q1602" s="5" t="str">
        <f t="shared" si="105"/>
        <v>Unemployed</v>
      </c>
      <c r="R1602">
        <v>1</v>
      </c>
      <c r="S1602">
        <v>0</v>
      </c>
      <c r="T1602">
        <v>0</v>
      </c>
      <c r="U1602">
        <v>0</v>
      </c>
      <c r="W1602">
        <v>2</v>
      </c>
    </row>
    <row r="1603" spans="1:23" x14ac:dyDescent="0.2">
      <c r="A1603">
        <v>5053194</v>
      </c>
      <c r="B1603" t="s">
        <v>18</v>
      </c>
      <c r="C1603" t="s">
        <v>19</v>
      </c>
      <c r="D1603" t="s">
        <v>20</v>
      </c>
      <c r="E1603">
        <v>0</v>
      </c>
      <c r="F1603">
        <v>315000</v>
      </c>
      <c r="G1603" t="s">
        <v>31</v>
      </c>
      <c r="H1603" t="s">
        <v>22</v>
      </c>
      <c r="I1603" t="s">
        <v>28</v>
      </c>
      <c r="J1603" t="s">
        <v>24</v>
      </c>
      <c r="K1603" s="6">
        <f t="shared" ca="1" si="104"/>
        <v>30234</v>
      </c>
      <c r="L1603">
        <v>-15527</v>
      </c>
      <c r="M1603" s="7">
        <f t="shared" ref="M1603:M1666" ca="1" si="106">(TODAY()-K1603)/365.25</f>
        <v>42.510609171800134</v>
      </c>
      <c r="N1603" s="5" t="str">
        <f ca="1">VLOOKUP(Data!M1603,temp!$B$3:$C$9,2,1)</f>
        <v>40-50</v>
      </c>
      <c r="O1603">
        <v>-3792</v>
      </c>
      <c r="P1603" s="8">
        <f t="shared" ref="P1603:P1666" si="107">IF(O1603&lt;=0,ABS(O1603)/365.25,0)</f>
        <v>10.381930184804927</v>
      </c>
      <c r="Q1603" s="5" t="str">
        <f t="shared" si="105"/>
        <v>Employed</v>
      </c>
      <c r="R1603">
        <v>1</v>
      </c>
      <c r="S1603">
        <v>1</v>
      </c>
      <c r="T1603">
        <v>1</v>
      </c>
      <c r="U1603">
        <v>0</v>
      </c>
      <c r="V1603" t="s">
        <v>44</v>
      </c>
      <c r="W1603">
        <v>2</v>
      </c>
    </row>
    <row r="1604" spans="1:23" x14ac:dyDescent="0.2">
      <c r="A1604">
        <v>5053221</v>
      </c>
      <c r="B1604" t="s">
        <v>18</v>
      </c>
      <c r="C1604" t="s">
        <v>19</v>
      </c>
      <c r="D1604" t="s">
        <v>20</v>
      </c>
      <c r="E1604">
        <v>1</v>
      </c>
      <c r="F1604">
        <v>157500</v>
      </c>
      <c r="G1604" t="s">
        <v>26</v>
      </c>
      <c r="H1604" t="s">
        <v>36</v>
      </c>
      <c r="I1604" t="s">
        <v>37</v>
      </c>
      <c r="J1604" t="s">
        <v>24</v>
      </c>
      <c r="K1604" s="6">
        <f t="shared" ca="1" si="104"/>
        <v>32736</v>
      </c>
      <c r="L1604">
        <v>-13025</v>
      </c>
      <c r="M1604" s="7">
        <f t="shared" ca="1" si="106"/>
        <v>35.66050650239562</v>
      </c>
      <c r="N1604" s="5" t="str">
        <f ca="1">VLOOKUP(Data!M1604,temp!$B$3:$C$9,2,1)</f>
        <v>30-40</v>
      </c>
      <c r="O1604">
        <v>-3124</v>
      </c>
      <c r="P1604" s="8">
        <f t="shared" si="107"/>
        <v>8.5530458590006848</v>
      </c>
      <c r="Q1604" s="5" t="str">
        <f t="shared" si="105"/>
        <v>Employed</v>
      </c>
      <c r="R1604">
        <v>1</v>
      </c>
      <c r="S1604">
        <v>1</v>
      </c>
      <c r="T1604">
        <v>0</v>
      </c>
      <c r="U1604">
        <v>0</v>
      </c>
      <c r="V1604" t="s">
        <v>32</v>
      </c>
      <c r="W1604">
        <v>3</v>
      </c>
    </row>
    <row r="1605" spans="1:23" x14ac:dyDescent="0.2">
      <c r="A1605">
        <v>5053228</v>
      </c>
      <c r="B1605" t="s">
        <v>25</v>
      </c>
      <c r="C1605" t="s">
        <v>19</v>
      </c>
      <c r="D1605" t="s">
        <v>20</v>
      </c>
      <c r="E1605">
        <v>0</v>
      </c>
      <c r="F1605">
        <v>135000</v>
      </c>
      <c r="G1605" t="s">
        <v>31</v>
      </c>
      <c r="H1605" t="s">
        <v>27</v>
      </c>
      <c r="I1605" t="s">
        <v>28</v>
      </c>
      <c r="J1605" t="s">
        <v>24</v>
      </c>
      <c r="K1605" s="6">
        <f t="shared" ca="1" si="104"/>
        <v>25976</v>
      </c>
      <c r="L1605">
        <v>-19785</v>
      </c>
      <c r="M1605" s="7">
        <f t="shared" ca="1" si="106"/>
        <v>54.168377823408626</v>
      </c>
      <c r="N1605" s="5" t="str">
        <f ca="1">VLOOKUP(Data!M1605,temp!$B$3:$C$9,2,1)</f>
        <v>50-60</v>
      </c>
      <c r="O1605">
        <v>-1571</v>
      </c>
      <c r="P1605" s="8">
        <f t="shared" si="107"/>
        <v>4.301163586584531</v>
      </c>
      <c r="Q1605" s="5" t="str">
        <f t="shared" si="105"/>
        <v>Employed</v>
      </c>
      <c r="R1605">
        <v>1</v>
      </c>
      <c r="S1605">
        <v>0</v>
      </c>
      <c r="T1605">
        <v>0</v>
      </c>
      <c r="U1605">
        <v>0</v>
      </c>
      <c r="V1605" t="s">
        <v>29</v>
      </c>
      <c r="W1605">
        <v>2</v>
      </c>
    </row>
    <row r="1606" spans="1:23" x14ac:dyDescent="0.2">
      <c r="A1606">
        <v>5053245</v>
      </c>
      <c r="B1606" t="s">
        <v>25</v>
      </c>
      <c r="C1606" t="s">
        <v>19</v>
      </c>
      <c r="D1606" t="s">
        <v>20</v>
      </c>
      <c r="E1606">
        <v>1</v>
      </c>
      <c r="F1606">
        <v>270000</v>
      </c>
      <c r="G1606" t="s">
        <v>26</v>
      </c>
      <c r="H1606" t="s">
        <v>27</v>
      </c>
      <c r="I1606" t="s">
        <v>28</v>
      </c>
      <c r="J1606" t="s">
        <v>24</v>
      </c>
      <c r="K1606" s="6">
        <f t="shared" ca="1" si="104"/>
        <v>31223</v>
      </c>
      <c r="L1606">
        <v>-14538</v>
      </c>
      <c r="M1606" s="7">
        <f t="shared" ca="1" si="106"/>
        <v>39.802874743326491</v>
      </c>
      <c r="N1606" s="5" t="str">
        <f ca="1">VLOOKUP(Data!M1606,temp!$B$3:$C$9,2,1)</f>
        <v>30-40</v>
      </c>
      <c r="O1606">
        <v>-5803</v>
      </c>
      <c r="P1606" s="8">
        <f t="shared" si="107"/>
        <v>15.887748117727584</v>
      </c>
      <c r="Q1606" s="5" t="str">
        <f t="shared" si="105"/>
        <v>Employed</v>
      </c>
      <c r="R1606">
        <v>1</v>
      </c>
      <c r="S1606">
        <v>0</v>
      </c>
      <c r="T1606">
        <v>0</v>
      </c>
      <c r="U1606">
        <v>0</v>
      </c>
      <c r="V1606" t="s">
        <v>29</v>
      </c>
      <c r="W1606">
        <v>3</v>
      </c>
    </row>
    <row r="1607" spans="1:23" x14ac:dyDescent="0.2">
      <c r="A1607">
        <v>5053294</v>
      </c>
      <c r="B1607" t="s">
        <v>18</v>
      </c>
      <c r="C1607" t="s">
        <v>19</v>
      </c>
      <c r="D1607" t="s">
        <v>20</v>
      </c>
      <c r="E1607">
        <v>0</v>
      </c>
      <c r="F1607">
        <v>76500</v>
      </c>
      <c r="G1607" t="s">
        <v>21</v>
      </c>
      <c r="H1607" t="s">
        <v>27</v>
      </c>
      <c r="I1607" t="s">
        <v>28</v>
      </c>
      <c r="J1607" t="s">
        <v>45</v>
      </c>
      <c r="K1607" s="6">
        <f t="shared" ca="1" si="104"/>
        <v>25379</v>
      </c>
      <c r="L1607">
        <v>-20382</v>
      </c>
      <c r="M1607" s="7">
        <f t="shared" ca="1" si="106"/>
        <v>55.802874743326491</v>
      </c>
      <c r="N1607" s="5" t="str">
        <f ca="1">VLOOKUP(Data!M1607,temp!$B$3:$C$9,2,1)</f>
        <v>50-60</v>
      </c>
      <c r="O1607">
        <v>365243</v>
      </c>
      <c r="P1607" s="8">
        <f t="shared" si="107"/>
        <v>0</v>
      </c>
      <c r="Q1607" s="5" t="str">
        <f t="shared" si="105"/>
        <v>Unemployed</v>
      </c>
      <c r="R1607">
        <v>1</v>
      </c>
      <c r="S1607">
        <v>0</v>
      </c>
      <c r="T1607">
        <v>0</v>
      </c>
      <c r="U1607">
        <v>0</v>
      </c>
      <c r="W1607">
        <v>2</v>
      </c>
    </row>
    <row r="1608" spans="1:23" x14ac:dyDescent="0.2">
      <c r="A1608">
        <v>5053315</v>
      </c>
      <c r="B1608" t="s">
        <v>18</v>
      </c>
      <c r="C1608" t="s">
        <v>19</v>
      </c>
      <c r="D1608" t="s">
        <v>20</v>
      </c>
      <c r="E1608">
        <v>1</v>
      </c>
      <c r="F1608">
        <v>126000</v>
      </c>
      <c r="G1608" t="s">
        <v>31</v>
      </c>
      <c r="H1608" t="s">
        <v>27</v>
      </c>
      <c r="I1608" t="s">
        <v>28</v>
      </c>
      <c r="J1608" t="s">
        <v>24</v>
      </c>
      <c r="K1608" s="6">
        <f t="shared" ref="K1608:K1671" ca="1" si="108">TODAY()+($L1608)</f>
        <v>32225</v>
      </c>
      <c r="L1608">
        <v>-13536</v>
      </c>
      <c r="M1608" s="7">
        <f t="shared" ca="1" si="106"/>
        <v>37.059548254620125</v>
      </c>
      <c r="N1608" s="5" t="str">
        <f ca="1">VLOOKUP(Data!M1608,temp!$B$3:$C$9,2,1)</f>
        <v>30-40</v>
      </c>
      <c r="O1608">
        <v>-3580</v>
      </c>
      <c r="P1608" s="8">
        <f t="shared" si="107"/>
        <v>9.801505817932922</v>
      </c>
      <c r="Q1608" s="5" t="str">
        <f t="shared" ref="Q1608:Q1671" si="109">IF($O1608&gt;0,"Unemployed","Employed")</f>
        <v>Employed</v>
      </c>
      <c r="R1608">
        <v>1</v>
      </c>
      <c r="S1608">
        <v>0</v>
      </c>
      <c r="T1608">
        <v>0</v>
      </c>
      <c r="U1608">
        <v>0</v>
      </c>
      <c r="W1608">
        <v>3</v>
      </c>
    </row>
    <row r="1609" spans="1:23" x14ac:dyDescent="0.2">
      <c r="A1609">
        <v>5053329</v>
      </c>
      <c r="B1609" t="s">
        <v>25</v>
      </c>
      <c r="C1609" t="s">
        <v>20</v>
      </c>
      <c r="D1609" t="s">
        <v>20</v>
      </c>
      <c r="E1609">
        <v>0</v>
      </c>
      <c r="F1609">
        <v>180000</v>
      </c>
      <c r="G1609" t="s">
        <v>31</v>
      </c>
      <c r="H1609" t="s">
        <v>27</v>
      </c>
      <c r="I1609" t="s">
        <v>28</v>
      </c>
      <c r="J1609" t="s">
        <v>24</v>
      </c>
      <c r="K1609" s="6">
        <f t="shared" ca="1" si="108"/>
        <v>32567</v>
      </c>
      <c r="L1609">
        <v>-13194</v>
      </c>
      <c r="M1609" s="7">
        <f t="shared" ca="1" si="106"/>
        <v>36.123203285420942</v>
      </c>
      <c r="N1609" s="5" t="str">
        <f ca="1">VLOOKUP(Data!M1609,temp!$B$3:$C$9,2,1)</f>
        <v>30-40</v>
      </c>
      <c r="O1609">
        <v>-809</v>
      </c>
      <c r="P1609" s="8">
        <f t="shared" si="107"/>
        <v>2.21492128678987</v>
      </c>
      <c r="Q1609" s="5" t="str">
        <f t="shared" si="109"/>
        <v>Employed</v>
      </c>
      <c r="R1609">
        <v>1</v>
      </c>
      <c r="S1609">
        <v>0</v>
      </c>
      <c r="T1609">
        <v>0</v>
      </c>
      <c r="U1609">
        <v>0</v>
      </c>
      <c r="V1609" t="s">
        <v>30</v>
      </c>
      <c r="W1609">
        <v>2</v>
      </c>
    </row>
    <row r="1610" spans="1:23" x14ac:dyDescent="0.2">
      <c r="A1610">
        <v>5053336</v>
      </c>
      <c r="B1610" t="s">
        <v>18</v>
      </c>
      <c r="C1610" t="s">
        <v>19</v>
      </c>
      <c r="D1610" t="s">
        <v>19</v>
      </c>
      <c r="E1610">
        <v>1</v>
      </c>
      <c r="F1610">
        <v>135000</v>
      </c>
      <c r="G1610" t="s">
        <v>31</v>
      </c>
      <c r="H1610" t="s">
        <v>27</v>
      </c>
      <c r="I1610" t="s">
        <v>28</v>
      </c>
      <c r="J1610" t="s">
        <v>24</v>
      </c>
      <c r="K1610" s="6">
        <f t="shared" ca="1" si="108"/>
        <v>28053</v>
      </c>
      <c r="L1610">
        <v>-17708</v>
      </c>
      <c r="M1610" s="7">
        <f t="shared" ca="1" si="106"/>
        <v>48.481861738535251</v>
      </c>
      <c r="N1610" s="5" t="str">
        <f ca="1">VLOOKUP(Data!M1610,temp!$B$3:$C$9,2,1)</f>
        <v>40-50</v>
      </c>
      <c r="O1610">
        <v>-1571</v>
      </c>
      <c r="P1610" s="8">
        <f t="shared" si="107"/>
        <v>4.301163586584531</v>
      </c>
      <c r="Q1610" s="5" t="str">
        <f t="shared" si="109"/>
        <v>Employed</v>
      </c>
      <c r="R1610">
        <v>1</v>
      </c>
      <c r="S1610">
        <v>0</v>
      </c>
      <c r="T1610">
        <v>0</v>
      </c>
      <c r="U1610">
        <v>0</v>
      </c>
      <c r="W1610">
        <v>3</v>
      </c>
    </row>
    <row r="1611" spans="1:23" x14ac:dyDescent="0.2">
      <c r="A1611">
        <v>5053337</v>
      </c>
      <c r="B1611" t="s">
        <v>18</v>
      </c>
      <c r="C1611" t="s">
        <v>19</v>
      </c>
      <c r="D1611" t="s">
        <v>19</v>
      </c>
      <c r="E1611">
        <v>1</v>
      </c>
      <c r="F1611">
        <v>135000</v>
      </c>
      <c r="G1611" t="s">
        <v>31</v>
      </c>
      <c r="H1611" t="s">
        <v>27</v>
      </c>
      <c r="I1611" t="s">
        <v>28</v>
      </c>
      <c r="J1611" t="s">
        <v>24</v>
      </c>
      <c r="K1611" s="6">
        <f t="shared" ca="1" si="108"/>
        <v>28053</v>
      </c>
      <c r="L1611">
        <v>-17708</v>
      </c>
      <c r="M1611" s="7">
        <f t="shared" ca="1" si="106"/>
        <v>48.481861738535251</v>
      </c>
      <c r="N1611" s="5" t="str">
        <f ca="1">VLOOKUP(Data!M1611,temp!$B$3:$C$9,2,1)</f>
        <v>40-50</v>
      </c>
      <c r="O1611">
        <v>-1571</v>
      </c>
      <c r="P1611" s="8">
        <f t="shared" si="107"/>
        <v>4.301163586584531</v>
      </c>
      <c r="Q1611" s="5" t="str">
        <f t="shared" si="109"/>
        <v>Employed</v>
      </c>
      <c r="R1611">
        <v>1</v>
      </c>
      <c r="S1611">
        <v>0</v>
      </c>
      <c r="T1611">
        <v>0</v>
      </c>
      <c r="U1611">
        <v>0</v>
      </c>
      <c r="W1611">
        <v>3</v>
      </c>
    </row>
    <row r="1612" spans="1:23" x14ac:dyDescent="0.2">
      <c r="A1612">
        <v>5053345</v>
      </c>
      <c r="B1612" t="s">
        <v>18</v>
      </c>
      <c r="C1612" t="s">
        <v>20</v>
      </c>
      <c r="D1612" t="s">
        <v>20</v>
      </c>
      <c r="E1612">
        <v>0</v>
      </c>
      <c r="F1612">
        <v>247500</v>
      </c>
      <c r="G1612" t="s">
        <v>26</v>
      </c>
      <c r="H1612" t="s">
        <v>27</v>
      </c>
      <c r="I1612" t="s">
        <v>28</v>
      </c>
      <c r="J1612" t="s">
        <v>24</v>
      </c>
      <c r="K1612" s="6">
        <f t="shared" ca="1" si="108"/>
        <v>27803</v>
      </c>
      <c r="L1612">
        <v>-17958</v>
      </c>
      <c r="M1612" s="7">
        <f t="shared" ca="1" si="106"/>
        <v>49.166324435318273</v>
      </c>
      <c r="N1612" s="5" t="str">
        <f ca="1">VLOOKUP(Data!M1612,temp!$B$3:$C$9,2,1)</f>
        <v>40-50</v>
      </c>
      <c r="O1612">
        <v>-2515</v>
      </c>
      <c r="P1612" s="8">
        <f t="shared" si="107"/>
        <v>6.8856947296372351</v>
      </c>
      <c r="Q1612" s="5" t="str">
        <f t="shared" si="109"/>
        <v>Employed</v>
      </c>
      <c r="R1612">
        <v>1</v>
      </c>
      <c r="S1612">
        <v>0</v>
      </c>
      <c r="T1612">
        <v>0</v>
      </c>
      <c r="U1612">
        <v>0</v>
      </c>
      <c r="V1612" t="s">
        <v>30</v>
      </c>
      <c r="W1612">
        <v>2</v>
      </c>
    </row>
    <row r="1613" spans="1:23" x14ac:dyDescent="0.2">
      <c r="A1613">
        <v>5053347</v>
      </c>
      <c r="B1613" t="s">
        <v>18</v>
      </c>
      <c r="C1613" t="s">
        <v>20</v>
      </c>
      <c r="D1613" t="s">
        <v>20</v>
      </c>
      <c r="E1613">
        <v>0</v>
      </c>
      <c r="F1613">
        <v>247500</v>
      </c>
      <c r="G1613" t="s">
        <v>26</v>
      </c>
      <c r="H1613" t="s">
        <v>27</v>
      </c>
      <c r="I1613" t="s">
        <v>28</v>
      </c>
      <c r="J1613" t="s">
        <v>24</v>
      </c>
      <c r="K1613" s="6">
        <f t="shared" ca="1" si="108"/>
        <v>27803</v>
      </c>
      <c r="L1613">
        <v>-17958</v>
      </c>
      <c r="M1613" s="7">
        <f t="shared" ca="1" si="106"/>
        <v>49.166324435318273</v>
      </c>
      <c r="N1613" s="5" t="str">
        <f ca="1">VLOOKUP(Data!M1613,temp!$B$3:$C$9,2,1)</f>
        <v>40-50</v>
      </c>
      <c r="O1613">
        <v>-2515</v>
      </c>
      <c r="P1613" s="8">
        <f t="shared" si="107"/>
        <v>6.8856947296372351</v>
      </c>
      <c r="Q1613" s="5" t="str">
        <f t="shared" si="109"/>
        <v>Employed</v>
      </c>
      <c r="R1613">
        <v>1</v>
      </c>
      <c r="S1613">
        <v>0</v>
      </c>
      <c r="T1613">
        <v>0</v>
      </c>
      <c r="U1613">
        <v>0</v>
      </c>
      <c r="V1613" t="s">
        <v>30</v>
      </c>
      <c r="W1613">
        <v>2</v>
      </c>
    </row>
    <row r="1614" spans="1:23" x14ac:dyDescent="0.2">
      <c r="A1614">
        <v>5053361</v>
      </c>
      <c r="B1614" t="s">
        <v>18</v>
      </c>
      <c r="C1614" t="s">
        <v>19</v>
      </c>
      <c r="D1614" t="s">
        <v>20</v>
      </c>
      <c r="E1614">
        <v>0</v>
      </c>
      <c r="F1614">
        <v>171000</v>
      </c>
      <c r="G1614" t="s">
        <v>26</v>
      </c>
      <c r="H1614" t="s">
        <v>27</v>
      </c>
      <c r="I1614" t="s">
        <v>33</v>
      </c>
      <c r="J1614" t="s">
        <v>24</v>
      </c>
      <c r="K1614" s="6">
        <f t="shared" ca="1" si="108"/>
        <v>25658</v>
      </c>
      <c r="L1614">
        <v>-20103</v>
      </c>
      <c r="M1614" s="7">
        <f t="shared" ca="1" si="106"/>
        <v>55.039014373716633</v>
      </c>
      <c r="N1614" s="5" t="str">
        <f ca="1">VLOOKUP(Data!M1614,temp!$B$3:$C$9,2,1)</f>
        <v>50-60</v>
      </c>
      <c r="O1614">
        <v>-2697</v>
      </c>
      <c r="P1614" s="8">
        <f t="shared" si="107"/>
        <v>7.3839835728952776</v>
      </c>
      <c r="Q1614" s="5" t="str">
        <f t="shared" si="109"/>
        <v>Employed</v>
      </c>
      <c r="R1614">
        <v>1</v>
      </c>
      <c r="S1614">
        <v>0</v>
      </c>
      <c r="T1614">
        <v>0</v>
      </c>
      <c r="U1614">
        <v>0</v>
      </c>
      <c r="V1614" t="s">
        <v>46</v>
      </c>
      <c r="W1614">
        <v>2</v>
      </c>
    </row>
    <row r="1615" spans="1:23" x14ac:dyDescent="0.2">
      <c r="A1615">
        <v>5053372</v>
      </c>
      <c r="B1615" t="s">
        <v>18</v>
      </c>
      <c r="C1615" t="s">
        <v>19</v>
      </c>
      <c r="D1615" t="s">
        <v>20</v>
      </c>
      <c r="E1615">
        <v>0</v>
      </c>
      <c r="F1615">
        <v>135000</v>
      </c>
      <c r="G1615" t="s">
        <v>26</v>
      </c>
      <c r="H1615" t="s">
        <v>27</v>
      </c>
      <c r="I1615" t="s">
        <v>28</v>
      </c>
      <c r="J1615" t="s">
        <v>24</v>
      </c>
      <c r="K1615" s="6">
        <f t="shared" ca="1" si="108"/>
        <v>34677</v>
      </c>
      <c r="L1615">
        <v>-11084</v>
      </c>
      <c r="M1615" s="7">
        <f t="shared" ca="1" si="106"/>
        <v>30.34633812457221</v>
      </c>
      <c r="N1615" s="5" t="str">
        <f ca="1">VLOOKUP(Data!M1615,temp!$B$3:$C$9,2,1)</f>
        <v>30-40</v>
      </c>
      <c r="O1615">
        <v>-2697</v>
      </c>
      <c r="P1615" s="8">
        <f t="shared" si="107"/>
        <v>7.3839835728952776</v>
      </c>
      <c r="Q1615" s="5" t="str">
        <f t="shared" si="109"/>
        <v>Employed</v>
      </c>
      <c r="R1615">
        <v>1</v>
      </c>
      <c r="S1615">
        <v>0</v>
      </c>
      <c r="T1615">
        <v>0</v>
      </c>
      <c r="U1615">
        <v>0</v>
      </c>
      <c r="V1615" t="s">
        <v>32</v>
      </c>
      <c r="W1615">
        <v>2</v>
      </c>
    </row>
    <row r="1616" spans="1:23" x14ac:dyDescent="0.2">
      <c r="A1616">
        <v>5053387</v>
      </c>
      <c r="B1616" t="s">
        <v>25</v>
      </c>
      <c r="C1616" t="s">
        <v>20</v>
      </c>
      <c r="D1616" t="s">
        <v>20</v>
      </c>
      <c r="E1616">
        <v>2</v>
      </c>
      <c r="F1616">
        <v>247500</v>
      </c>
      <c r="G1616" t="s">
        <v>31</v>
      </c>
      <c r="H1616" t="s">
        <v>36</v>
      </c>
      <c r="I1616" t="s">
        <v>28</v>
      </c>
      <c r="J1616" t="s">
        <v>24</v>
      </c>
      <c r="K1616" s="6">
        <f t="shared" ca="1" si="108"/>
        <v>32659</v>
      </c>
      <c r="L1616">
        <v>-13102</v>
      </c>
      <c r="M1616" s="7">
        <f t="shared" ca="1" si="106"/>
        <v>35.871321013004788</v>
      </c>
      <c r="N1616" s="5" t="str">
        <f ca="1">VLOOKUP(Data!M1616,temp!$B$3:$C$9,2,1)</f>
        <v>30-40</v>
      </c>
      <c r="O1616">
        <v>-962</v>
      </c>
      <c r="P1616" s="8">
        <f t="shared" si="107"/>
        <v>2.6338124572210813</v>
      </c>
      <c r="Q1616" s="5" t="str">
        <f t="shared" si="109"/>
        <v>Employed</v>
      </c>
      <c r="R1616">
        <v>1</v>
      </c>
      <c r="S1616">
        <v>0</v>
      </c>
      <c r="T1616">
        <v>0</v>
      </c>
      <c r="U1616">
        <v>0</v>
      </c>
      <c r="V1616" t="s">
        <v>30</v>
      </c>
      <c r="W1616">
        <v>4</v>
      </c>
    </row>
    <row r="1617" spans="1:23" x14ac:dyDescent="0.2">
      <c r="A1617">
        <v>5053399</v>
      </c>
      <c r="B1617" t="s">
        <v>25</v>
      </c>
      <c r="C1617" t="s">
        <v>19</v>
      </c>
      <c r="D1617" t="s">
        <v>20</v>
      </c>
      <c r="E1617">
        <v>0</v>
      </c>
      <c r="F1617">
        <v>157500</v>
      </c>
      <c r="G1617" t="s">
        <v>26</v>
      </c>
      <c r="H1617" t="s">
        <v>22</v>
      </c>
      <c r="I1617" t="s">
        <v>28</v>
      </c>
      <c r="J1617" t="s">
        <v>24</v>
      </c>
      <c r="K1617" s="6">
        <f t="shared" ca="1" si="108"/>
        <v>23641</v>
      </c>
      <c r="L1617">
        <v>-22120</v>
      </c>
      <c r="M1617" s="7">
        <f t="shared" ca="1" si="106"/>
        <v>60.56125941136208</v>
      </c>
      <c r="N1617" s="5" t="str">
        <f ca="1">VLOOKUP(Data!M1617,temp!$B$3:$C$9,2,1)</f>
        <v>60-70</v>
      </c>
      <c r="O1617">
        <v>-2250</v>
      </c>
      <c r="P1617" s="8">
        <f t="shared" si="107"/>
        <v>6.1601642710472282</v>
      </c>
      <c r="Q1617" s="5" t="str">
        <f t="shared" si="109"/>
        <v>Employed</v>
      </c>
      <c r="R1617">
        <v>1</v>
      </c>
      <c r="S1617">
        <v>0</v>
      </c>
      <c r="T1617">
        <v>0</v>
      </c>
      <c r="U1617">
        <v>0</v>
      </c>
      <c r="V1617" t="s">
        <v>47</v>
      </c>
      <c r="W1617">
        <v>2</v>
      </c>
    </row>
    <row r="1618" spans="1:23" x14ac:dyDescent="0.2">
      <c r="A1618">
        <v>5053418</v>
      </c>
      <c r="B1618" t="s">
        <v>18</v>
      </c>
      <c r="C1618" t="s">
        <v>19</v>
      </c>
      <c r="D1618" t="s">
        <v>20</v>
      </c>
      <c r="E1618">
        <v>0</v>
      </c>
      <c r="F1618">
        <v>270000</v>
      </c>
      <c r="G1618" t="s">
        <v>21</v>
      </c>
      <c r="H1618" t="s">
        <v>22</v>
      </c>
      <c r="I1618" t="s">
        <v>28</v>
      </c>
      <c r="J1618" t="s">
        <v>24</v>
      </c>
      <c r="K1618" s="6">
        <f t="shared" ca="1" si="108"/>
        <v>26037</v>
      </c>
      <c r="L1618">
        <v>-19724</v>
      </c>
      <c r="M1618" s="7">
        <f t="shared" ca="1" si="106"/>
        <v>54.001368925393564</v>
      </c>
      <c r="N1618" s="5" t="str">
        <f ca="1">VLOOKUP(Data!M1618,temp!$B$3:$C$9,2,1)</f>
        <v>50-60</v>
      </c>
      <c r="O1618">
        <v>365243</v>
      </c>
      <c r="P1618" s="8">
        <f t="shared" si="107"/>
        <v>0</v>
      </c>
      <c r="Q1618" s="5" t="str">
        <f t="shared" si="109"/>
        <v>Unemployed</v>
      </c>
      <c r="R1618">
        <v>1</v>
      </c>
      <c r="S1618">
        <v>0</v>
      </c>
      <c r="T1618">
        <v>1</v>
      </c>
      <c r="U1618">
        <v>0</v>
      </c>
      <c r="W1618">
        <v>2</v>
      </c>
    </row>
    <row r="1619" spans="1:23" x14ac:dyDescent="0.2">
      <c r="A1619">
        <v>5053462</v>
      </c>
      <c r="B1619" t="s">
        <v>25</v>
      </c>
      <c r="C1619" t="s">
        <v>20</v>
      </c>
      <c r="D1619" t="s">
        <v>20</v>
      </c>
      <c r="E1619">
        <v>0</v>
      </c>
      <c r="F1619">
        <v>369000</v>
      </c>
      <c r="G1619" t="s">
        <v>31</v>
      </c>
      <c r="H1619" t="s">
        <v>27</v>
      </c>
      <c r="I1619" t="s">
        <v>28</v>
      </c>
      <c r="J1619" t="s">
        <v>24</v>
      </c>
      <c r="K1619" s="6">
        <f t="shared" ca="1" si="108"/>
        <v>28780</v>
      </c>
      <c r="L1619">
        <v>-16981</v>
      </c>
      <c r="M1619" s="7">
        <f t="shared" ca="1" si="106"/>
        <v>46.491444216290212</v>
      </c>
      <c r="N1619" s="5" t="str">
        <f ca="1">VLOOKUP(Data!M1619,temp!$B$3:$C$9,2,1)</f>
        <v>40-50</v>
      </c>
      <c r="O1619">
        <v>-1246</v>
      </c>
      <c r="P1619" s="8">
        <f t="shared" si="107"/>
        <v>3.4113620807665983</v>
      </c>
      <c r="Q1619" s="5" t="str">
        <f t="shared" si="109"/>
        <v>Employed</v>
      </c>
      <c r="R1619">
        <v>1</v>
      </c>
      <c r="S1619">
        <v>0</v>
      </c>
      <c r="T1619">
        <v>0</v>
      </c>
      <c r="U1619">
        <v>0</v>
      </c>
      <c r="V1619" t="s">
        <v>30</v>
      </c>
      <c r="W1619">
        <v>2</v>
      </c>
    </row>
    <row r="1620" spans="1:23" x14ac:dyDescent="0.2">
      <c r="A1620">
        <v>5053472</v>
      </c>
      <c r="B1620" t="s">
        <v>25</v>
      </c>
      <c r="C1620" t="s">
        <v>19</v>
      </c>
      <c r="D1620" t="s">
        <v>20</v>
      </c>
      <c r="E1620">
        <v>0</v>
      </c>
      <c r="F1620">
        <v>112500</v>
      </c>
      <c r="G1620" t="s">
        <v>31</v>
      </c>
      <c r="H1620" t="s">
        <v>27</v>
      </c>
      <c r="I1620" t="s">
        <v>28</v>
      </c>
      <c r="J1620" t="s">
        <v>24</v>
      </c>
      <c r="K1620" s="6">
        <f t="shared" ca="1" si="108"/>
        <v>27245</v>
      </c>
      <c r="L1620">
        <v>-18516</v>
      </c>
      <c r="M1620" s="7">
        <f t="shared" ca="1" si="106"/>
        <v>50.69404517453799</v>
      </c>
      <c r="N1620" s="5" t="str">
        <f ca="1">VLOOKUP(Data!M1620,temp!$B$3:$C$9,2,1)</f>
        <v>50-60</v>
      </c>
      <c r="O1620">
        <v>-2129</v>
      </c>
      <c r="P1620" s="8">
        <f t="shared" si="107"/>
        <v>5.8288843258042435</v>
      </c>
      <c r="Q1620" s="5" t="str">
        <f t="shared" si="109"/>
        <v>Employed</v>
      </c>
      <c r="R1620">
        <v>1</v>
      </c>
      <c r="S1620">
        <v>1</v>
      </c>
      <c r="T1620">
        <v>1</v>
      </c>
      <c r="U1620">
        <v>0</v>
      </c>
      <c r="V1620" t="s">
        <v>48</v>
      </c>
      <c r="W1620">
        <v>2</v>
      </c>
    </row>
    <row r="1621" spans="1:23" x14ac:dyDescent="0.2">
      <c r="A1621">
        <v>5053478</v>
      </c>
      <c r="B1621" t="s">
        <v>18</v>
      </c>
      <c r="C1621" t="s">
        <v>19</v>
      </c>
      <c r="D1621" t="s">
        <v>20</v>
      </c>
      <c r="E1621">
        <v>0</v>
      </c>
      <c r="F1621">
        <v>157500</v>
      </c>
      <c r="G1621" t="s">
        <v>35</v>
      </c>
      <c r="H1621" t="s">
        <v>27</v>
      </c>
      <c r="I1621" t="s">
        <v>28</v>
      </c>
      <c r="J1621" t="s">
        <v>24</v>
      </c>
      <c r="K1621" s="6">
        <f t="shared" ca="1" si="108"/>
        <v>27428</v>
      </c>
      <c r="L1621">
        <v>-18333</v>
      </c>
      <c r="M1621" s="7">
        <f t="shared" ca="1" si="106"/>
        <v>50.19301848049281</v>
      </c>
      <c r="N1621" s="5" t="str">
        <f ca="1">VLOOKUP(Data!M1621,temp!$B$3:$C$9,2,1)</f>
        <v>50-60</v>
      </c>
      <c r="O1621">
        <v>-7213</v>
      </c>
      <c r="P1621" s="8">
        <f t="shared" si="107"/>
        <v>19.748117727583846</v>
      </c>
      <c r="Q1621" s="5" t="str">
        <f t="shared" si="109"/>
        <v>Employed</v>
      </c>
      <c r="R1621">
        <v>1</v>
      </c>
      <c r="S1621">
        <v>0</v>
      </c>
      <c r="T1621">
        <v>0</v>
      </c>
      <c r="U1621">
        <v>0</v>
      </c>
      <c r="V1621" t="s">
        <v>50</v>
      </c>
      <c r="W1621">
        <v>2</v>
      </c>
    </row>
    <row r="1622" spans="1:23" x14ac:dyDescent="0.2">
      <c r="A1622">
        <v>5053483</v>
      </c>
      <c r="B1622" t="s">
        <v>18</v>
      </c>
      <c r="C1622" t="s">
        <v>19</v>
      </c>
      <c r="D1622" t="s">
        <v>20</v>
      </c>
      <c r="E1622">
        <v>0</v>
      </c>
      <c r="F1622">
        <v>157500</v>
      </c>
      <c r="G1622" t="s">
        <v>35</v>
      </c>
      <c r="H1622" t="s">
        <v>27</v>
      </c>
      <c r="I1622" t="s">
        <v>28</v>
      </c>
      <c r="J1622" t="s">
        <v>24</v>
      </c>
      <c r="K1622" s="6">
        <f t="shared" ca="1" si="108"/>
        <v>27428</v>
      </c>
      <c r="L1622">
        <v>-18333</v>
      </c>
      <c r="M1622" s="7">
        <f t="shared" ca="1" si="106"/>
        <v>50.19301848049281</v>
      </c>
      <c r="N1622" s="5" t="str">
        <f ca="1">VLOOKUP(Data!M1622,temp!$B$3:$C$9,2,1)</f>
        <v>50-60</v>
      </c>
      <c r="O1622">
        <v>-7213</v>
      </c>
      <c r="P1622" s="8">
        <f t="shared" si="107"/>
        <v>19.748117727583846</v>
      </c>
      <c r="Q1622" s="5" t="str">
        <f t="shared" si="109"/>
        <v>Employed</v>
      </c>
      <c r="R1622">
        <v>1</v>
      </c>
      <c r="S1622">
        <v>0</v>
      </c>
      <c r="T1622">
        <v>0</v>
      </c>
      <c r="U1622">
        <v>0</v>
      </c>
      <c r="V1622" t="s">
        <v>50</v>
      </c>
      <c r="W1622">
        <v>2</v>
      </c>
    </row>
    <row r="1623" spans="1:23" x14ac:dyDescent="0.2">
      <c r="A1623">
        <v>5053496</v>
      </c>
      <c r="B1623" t="s">
        <v>18</v>
      </c>
      <c r="C1623" t="s">
        <v>20</v>
      </c>
      <c r="D1623" t="s">
        <v>19</v>
      </c>
      <c r="E1623">
        <v>1</v>
      </c>
      <c r="F1623">
        <v>112500</v>
      </c>
      <c r="G1623" t="s">
        <v>26</v>
      </c>
      <c r="H1623" t="s">
        <v>27</v>
      </c>
      <c r="I1623" t="s">
        <v>28</v>
      </c>
      <c r="J1623" t="s">
        <v>53</v>
      </c>
      <c r="K1623" s="6">
        <f t="shared" ca="1" si="108"/>
        <v>31262</v>
      </c>
      <c r="L1623">
        <v>-14499</v>
      </c>
      <c r="M1623" s="7">
        <f t="shared" ca="1" si="106"/>
        <v>39.696098562628336</v>
      </c>
      <c r="N1623" s="5" t="str">
        <f ca="1">VLOOKUP(Data!M1623,temp!$B$3:$C$9,2,1)</f>
        <v>30-40</v>
      </c>
      <c r="O1623">
        <v>-2860</v>
      </c>
      <c r="P1623" s="8">
        <f t="shared" si="107"/>
        <v>7.83025325119781</v>
      </c>
      <c r="Q1623" s="5" t="str">
        <f t="shared" si="109"/>
        <v>Employed</v>
      </c>
      <c r="R1623">
        <v>1</v>
      </c>
      <c r="S1623">
        <v>0</v>
      </c>
      <c r="T1623">
        <v>0</v>
      </c>
      <c r="U1623">
        <v>0</v>
      </c>
      <c r="V1623" t="s">
        <v>44</v>
      </c>
      <c r="W1623">
        <v>3</v>
      </c>
    </row>
    <row r="1624" spans="1:23" x14ac:dyDescent="0.2">
      <c r="A1624">
        <v>5053498</v>
      </c>
      <c r="B1624" t="s">
        <v>18</v>
      </c>
      <c r="C1624" t="s">
        <v>20</v>
      </c>
      <c r="D1624" t="s">
        <v>19</v>
      </c>
      <c r="E1624">
        <v>1</v>
      </c>
      <c r="F1624">
        <v>112500</v>
      </c>
      <c r="G1624" t="s">
        <v>26</v>
      </c>
      <c r="H1624" t="s">
        <v>27</v>
      </c>
      <c r="I1624" t="s">
        <v>28</v>
      </c>
      <c r="J1624" t="s">
        <v>53</v>
      </c>
      <c r="K1624" s="6">
        <f t="shared" ca="1" si="108"/>
        <v>31262</v>
      </c>
      <c r="L1624">
        <v>-14499</v>
      </c>
      <c r="M1624" s="7">
        <f t="shared" ca="1" si="106"/>
        <v>39.696098562628336</v>
      </c>
      <c r="N1624" s="5" t="str">
        <f ca="1">VLOOKUP(Data!M1624,temp!$B$3:$C$9,2,1)</f>
        <v>30-40</v>
      </c>
      <c r="O1624">
        <v>-2860</v>
      </c>
      <c r="P1624" s="8">
        <f t="shared" si="107"/>
        <v>7.83025325119781</v>
      </c>
      <c r="Q1624" s="5" t="str">
        <f t="shared" si="109"/>
        <v>Employed</v>
      </c>
      <c r="R1624">
        <v>1</v>
      </c>
      <c r="S1624">
        <v>0</v>
      </c>
      <c r="T1624">
        <v>0</v>
      </c>
      <c r="U1624">
        <v>0</v>
      </c>
      <c r="V1624" t="s">
        <v>44</v>
      </c>
      <c r="W1624">
        <v>3</v>
      </c>
    </row>
    <row r="1625" spans="1:23" x14ac:dyDescent="0.2">
      <c r="A1625">
        <v>5053501</v>
      </c>
      <c r="B1625" t="s">
        <v>18</v>
      </c>
      <c r="C1625" t="s">
        <v>20</v>
      </c>
      <c r="D1625" t="s">
        <v>19</v>
      </c>
      <c r="E1625">
        <v>1</v>
      </c>
      <c r="F1625">
        <v>112500</v>
      </c>
      <c r="G1625" t="s">
        <v>26</v>
      </c>
      <c r="H1625" t="s">
        <v>27</v>
      </c>
      <c r="I1625" t="s">
        <v>28</v>
      </c>
      <c r="J1625" t="s">
        <v>53</v>
      </c>
      <c r="K1625" s="6">
        <f t="shared" ca="1" si="108"/>
        <v>31262</v>
      </c>
      <c r="L1625">
        <v>-14499</v>
      </c>
      <c r="M1625" s="7">
        <f t="shared" ca="1" si="106"/>
        <v>39.696098562628336</v>
      </c>
      <c r="N1625" s="5" t="str">
        <f ca="1">VLOOKUP(Data!M1625,temp!$B$3:$C$9,2,1)</f>
        <v>30-40</v>
      </c>
      <c r="O1625">
        <v>-2860</v>
      </c>
      <c r="P1625" s="8">
        <f t="shared" si="107"/>
        <v>7.83025325119781</v>
      </c>
      <c r="Q1625" s="5" t="str">
        <f t="shared" si="109"/>
        <v>Employed</v>
      </c>
      <c r="R1625">
        <v>1</v>
      </c>
      <c r="S1625">
        <v>0</v>
      </c>
      <c r="T1625">
        <v>0</v>
      </c>
      <c r="U1625">
        <v>0</v>
      </c>
      <c r="V1625" t="s">
        <v>44</v>
      </c>
      <c r="W1625">
        <v>3</v>
      </c>
    </row>
    <row r="1626" spans="1:23" x14ac:dyDescent="0.2">
      <c r="A1626">
        <v>5053520</v>
      </c>
      <c r="B1626" t="s">
        <v>18</v>
      </c>
      <c r="C1626" t="s">
        <v>19</v>
      </c>
      <c r="D1626" t="s">
        <v>20</v>
      </c>
      <c r="E1626">
        <v>0</v>
      </c>
      <c r="F1626">
        <v>112500</v>
      </c>
      <c r="G1626" t="s">
        <v>31</v>
      </c>
      <c r="H1626" t="s">
        <v>27</v>
      </c>
      <c r="I1626" t="s">
        <v>28</v>
      </c>
      <c r="J1626" t="s">
        <v>24</v>
      </c>
      <c r="K1626" s="6">
        <f t="shared" ca="1" si="108"/>
        <v>30999</v>
      </c>
      <c r="L1626">
        <v>-14762</v>
      </c>
      <c r="M1626" s="7">
        <f t="shared" ca="1" si="106"/>
        <v>40.416153319644081</v>
      </c>
      <c r="N1626" s="5" t="str">
        <f ca="1">VLOOKUP(Data!M1626,temp!$B$3:$C$9,2,1)</f>
        <v>40-50</v>
      </c>
      <c r="O1626">
        <v>-2464</v>
      </c>
      <c r="P1626" s="8">
        <f t="shared" si="107"/>
        <v>6.7460643394934978</v>
      </c>
      <c r="Q1626" s="5" t="str">
        <f t="shared" si="109"/>
        <v>Employed</v>
      </c>
      <c r="R1626">
        <v>1</v>
      </c>
      <c r="S1626">
        <v>0</v>
      </c>
      <c r="T1626">
        <v>1</v>
      </c>
      <c r="U1626">
        <v>0</v>
      </c>
      <c r="V1626" t="s">
        <v>32</v>
      </c>
      <c r="W1626">
        <v>2</v>
      </c>
    </row>
    <row r="1627" spans="1:23" x14ac:dyDescent="0.2">
      <c r="A1627">
        <v>5053551</v>
      </c>
      <c r="B1627" t="s">
        <v>25</v>
      </c>
      <c r="C1627" t="s">
        <v>20</v>
      </c>
      <c r="D1627" t="s">
        <v>20</v>
      </c>
      <c r="E1627">
        <v>1</v>
      </c>
      <c r="F1627">
        <v>193500</v>
      </c>
      <c r="G1627" t="s">
        <v>31</v>
      </c>
      <c r="H1627" t="s">
        <v>27</v>
      </c>
      <c r="I1627" t="s">
        <v>28</v>
      </c>
      <c r="J1627" t="s">
        <v>24</v>
      </c>
      <c r="K1627" s="6">
        <f t="shared" ca="1" si="108"/>
        <v>35322</v>
      </c>
      <c r="L1627">
        <v>-10439</v>
      </c>
      <c r="M1627" s="7">
        <f t="shared" ca="1" si="106"/>
        <v>28.580424366872005</v>
      </c>
      <c r="N1627" s="5" t="str">
        <f ca="1">VLOOKUP(Data!M1627,temp!$B$3:$C$9,2,1)</f>
        <v>20-30</v>
      </c>
      <c r="O1627">
        <v>-2250</v>
      </c>
      <c r="P1627" s="8">
        <f t="shared" si="107"/>
        <v>6.1601642710472282</v>
      </c>
      <c r="Q1627" s="5" t="str">
        <f t="shared" si="109"/>
        <v>Employed</v>
      </c>
      <c r="R1627">
        <v>1</v>
      </c>
      <c r="S1627">
        <v>1</v>
      </c>
      <c r="T1627">
        <v>0</v>
      </c>
      <c r="U1627">
        <v>0</v>
      </c>
      <c r="V1627" t="s">
        <v>38</v>
      </c>
      <c r="W1627">
        <v>3</v>
      </c>
    </row>
    <row r="1628" spans="1:23" x14ac:dyDescent="0.2">
      <c r="A1628">
        <v>5053558</v>
      </c>
      <c r="B1628" t="s">
        <v>25</v>
      </c>
      <c r="C1628" t="s">
        <v>20</v>
      </c>
      <c r="D1628" t="s">
        <v>20</v>
      </c>
      <c r="E1628">
        <v>1</v>
      </c>
      <c r="F1628">
        <v>193500</v>
      </c>
      <c r="G1628" t="s">
        <v>31</v>
      </c>
      <c r="H1628" t="s">
        <v>27</v>
      </c>
      <c r="I1628" t="s">
        <v>28</v>
      </c>
      <c r="J1628" t="s">
        <v>24</v>
      </c>
      <c r="K1628" s="6">
        <f t="shared" ca="1" si="108"/>
        <v>35322</v>
      </c>
      <c r="L1628">
        <v>-10439</v>
      </c>
      <c r="M1628" s="7">
        <f t="shared" ca="1" si="106"/>
        <v>28.580424366872005</v>
      </c>
      <c r="N1628" s="5" t="str">
        <f ca="1">VLOOKUP(Data!M1628,temp!$B$3:$C$9,2,1)</f>
        <v>20-30</v>
      </c>
      <c r="O1628">
        <v>-2250</v>
      </c>
      <c r="P1628" s="8">
        <f t="shared" si="107"/>
        <v>6.1601642710472282</v>
      </c>
      <c r="Q1628" s="5" t="str">
        <f t="shared" si="109"/>
        <v>Employed</v>
      </c>
      <c r="R1628">
        <v>1</v>
      </c>
      <c r="S1628">
        <v>1</v>
      </c>
      <c r="T1628">
        <v>0</v>
      </c>
      <c r="U1628">
        <v>0</v>
      </c>
      <c r="V1628" t="s">
        <v>38</v>
      </c>
      <c r="W1628">
        <v>3</v>
      </c>
    </row>
    <row r="1629" spans="1:23" x14ac:dyDescent="0.2">
      <c r="A1629">
        <v>5053566</v>
      </c>
      <c r="B1629" t="s">
        <v>18</v>
      </c>
      <c r="C1629" t="s">
        <v>19</v>
      </c>
      <c r="D1629" t="s">
        <v>20</v>
      </c>
      <c r="E1629">
        <v>2</v>
      </c>
      <c r="F1629">
        <v>157500</v>
      </c>
      <c r="G1629" t="s">
        <v>26</v>
      </c>
      <c r="H1629" t="s">
        <v>22</v>
      </c>
      <c r="I1629" t="s">
        <v>28</v>
      </c>
      <c r="J1629" t="s">
        <v>24</v>
      </c>
      <c r="K1629" s="6">
        <f t="shared" ca="1" si="108"/>
        <v>33626</v>
      </c>
      <c r="L1629">
        <v>-12135</v>
      </c>
      <c r="M1629" s="7">
        <f t="shared" ca="1" si="106"/>
        <v>33.223819301848046</v>
      </c>
      <c r="N1629" s="5" t="str">
        <f ca="1">VLOOKUP(Data!M1629,temp!$B$3:$C$9,2,1)</f>
        <v>30-40</v>
      </c>
      <c r="O1629">
        <v>-1216</v>
      </c>
      <c r="P1629" s="8">
        <f t="shared" si="107"/>
        <v>3.3292265571526354</v>
      </c>
      <c r="Q1629" s="5" t="str">
        <f t="shared" si="109"/>
        <v>Employed</v>
      </c>
      <c r="R1629">
        <v>1</v>
      </c>
      <c r="S1629">
        <v>0</v>
      </c>
      <c r="T1629">
        <v>0</v>
      </c>
      <c r="U1629">
        <v>0</v>
      </c>
      <c r="V1629" t="s">
        <v>47</v>
      </c>
      <c r="W1629">
        <v>4</v>
      </c>
    </row>
    <row r="1630" spans="1:23" x14ac:dyDescent="0.2">
      <c r="A1630">
        <v>5053571</v>
      </c>
      <c r="B1630" t="s">
        <v>18</v>
      </c>
      <c r="C1630" t="s">
        <v>19</v>
      </c>
      <c r="D1630" t="s">
        <v>20</v>
      </c>
      <c r="E1630">
        <v>2</v>
      </c>
      <c r="F1630">
        <v>157500</v>
      </c>
      <c r="G1630" t="s">
        <v>26</v>
      </c>
      <c r="H1630" t="s">
        <v>22</v>
      </c>
      <c r="I1630" t="s">
        <v>28</v>
      </c>
      <c r="J1630" t="s">
        <v>24</v>
      </c>
      <c r="K1630" s="6">
        <f t="shared" ca="1" si="108"/>
        <v>33626</v>
      </c>
      <c r="L1630">
        <v>-12135</v>
      </c>
      <c r="M1630" s="7">
        <f t="shared" ca="1" si="106"/>
        <v>33.223819301848046</v>
      </c>
      <c r="N1630" s="5" t="str">
        <f ca="1">VLOOKUP(Data!M1630,temp!$B$3:$C$9,2,1)</f>
        <v>30-40</v>
      </c>
      <c r="O1630">
        <v>-1216</v>
      </c>
      <c r="P1630" s="8">
        <f t="shared" si="107"/>
        <v>3.3292265571526354</v>
      </c>
      <c r="Q1630" s="5" t="str">
        <f t="shared" si="109"/>
        <v>Employed</v>
      </c>
      <c r="R1630">
        <v>1</v>
      </c>
      <c r="S1630">
        <v>0</v>
      </c>
      <c r="T1630">
        <v>0</v>
      </c>
      <c r="U1630">
        <v>0</v>
      </c>
      <c r="V1630" t="s">
        <v>47</v>
      </c>
      <c r="W1630">
        <v>4</v>
      </c>
    </row>
    <row r="1631" spans="1:23" x14ac:dyDescent="0.2">
      <c r="A1631">
        <v>5053585</v>
      </c>
      <c r="B1631" t="s">
        <v>25</v>
      </c>
      <c r="C1631" t="s">
        <v>20</v>
      </c>
      <c r="D1631" t="s">
        <v>20</v>
      </c>
      <c r="E1631">
        <v>0</v>
      </c>
      <c r="F1631">
        <v>405000</v>
      </c>
      <c r="G1631" t="s">
        <v>31</v>
      </c>
      <c r="H1631" t="s">
        <v>22</v>
      </c>
      <c r="I1631" t="s">
        <v>28</v>
      </c>
      <c r="J1631" t="s">
        <v>24</v>
      </c>
      <c r="K1631" s="6">
        <f t="shared" ca="1" si="108"/>
        <v>34989</v>
      </c>
      <c r="L1631">
        <v>-10772</v>
      </c>
      <c r="M1631" s="7">
        <f t="shared" ca="1" si="106"/>
        <v>29.492128678986994</v>
      </c>
      <c r="N1631" s="5" t="str">
        <f ca="1">VLOOKUP(Data!M1631,temp!$B$3:$C$9,2,1)</f>
        <v>20-30</v>
      </c>
      <c r="O1631">
        <v>-546</v>
      </c>
      <c r="P1631" s="8">
        <f t="shared" si="107"/>
        <v>1.4948665297741273</v>
      </c>
      <c r="Q1631" s="5" t="str">
        <f t="shared" si="109"/>
        <v>Employed</v>
      </c>
      <c r="R1631">
        <v>1</v>
      </c>
      <c r="S1631">
        <v>0</v>
      </c>
      <c r="T1631">
        <v>0</v>
      </c>
      <c r="U1631">
        <v>0</v>
      </c>
      <c r="V1631" t="s">
        <v>32</v>
      </c>
      <c r="W1631">
        <v>2</v>
      </c>
    </row>
    <row r="1632" spans="1:23" x14ac:dyDescent="0.2">
      <c r="A1632">
        <v>5053604</v>
      </c>
      <c r="B1632" t="s">
        <v>18</v>
      </c>
      <c r="C1632" t="s">
        <v>19</v>
      </c>
      <c r="D1632" t="s">
        <v>20</v>
      </c>
      <c r="E1632">
        <v>0</v>
      </c>
      <c r="F1632">
        <v>270000</v>
      </c>
      <c r="G1632" t="s">
        <v>31</v>
      </c>
      <c r="H1632" t="s">
        <v>27</v>
      </c>
      <c r="I1632" t="s">
        <v>28</v>
      </c>
      <c r="J1632" t="s">
        <v>45</v>
      </c>
      <c r="K1632" s="6">
        <f t="shared" ca="1" si="108"/>
        <v>24673</v>
      </c>
      <c r="L1632">
        <v>-21088</v>
      </c>
      <c r="M1632" s="7">
        <f t="shared" ca="1" si="106"/>
        <v>57.735797399041751</v>
      </c>
      <c r="N1632" s="5" t="str">
        <f ca="1">VLOOKUP(Data!M1632,temp!$B$3:$C$9,2,1)</f>
        <v>50-60</v>
      </c>
      <c r="O1632">
        <v>-8855</v>
      </c>
      <c r="P1632" s="8">
        <f t="shared" si="107"/>
        <v>24.243668720054757</v>
      </c>
      <c r="Q1632" s="5" t="str">
        <f t="shared" si="109"/>
        <v>Employed</v>
      </c>
      <c r="R1632">
        <v>1</v>
      </c>
      <c r="S1632">
        <v>0</v>
      </c>
      <c r="T1632">
        <v>0</v>
      </c>
      <c r="U1632">
        <v>0</v>
      </c>
      <c r="V1632" t="s">
        <v>29</v>
      </c>
      <c r="W1632">
        <v>2</v>
      </c>
    </row>
    <row r="1633" spans="1:23" x14ac:dyDescent="0.2">
      <c r="A1633">
        <v>5053606</v>
      </c>
      <c r="B1633" t="s">
        <v>18</v>
      </c>
      <c r="C1633" t="s">
        <v>19</v>
      </c>
      <c r="D1633" t="s">
        <v>20</v>
      </c>
      <c r="E1633">
        <v>0</v>
      </c>
      <c r="F1633">
        <v>270000</v>
      </c>
      <c r="G1633" t="s">
        <v>31</v>
      </c>
      <c r="H1633" t="s">
        <v>27</v>
      </c>
      <c r="I1633" t="s">
        <v>28</v>
      </c>
      <c r="J1633" t="s">
        <v>45</v>
      </c>
      <c r="K1633" s="6">
        <f t="shared" ca="1" si="108"/>
        <v>24673</v>
      </c>
      <c r="L1633">
        <v>-21088</v>
      </c>
      <c r="M1633" s="7">
        <f t="shared" ca="1" si="106"/>
        <v>57.735797399041751</v>
      </c>
      <c r="N1633" s="5" t="str">
        <f ca="1">VLOOKUP(Data!M1633,temp!$B$3:$C$9,2,1)</f>
        <v>50-60</v>
      </c>
      <c r="O1633">
        <v>-8855</v>
      </c>
      <c r="P1633" s="8">
        <f t="shared" si="107"/>
        <v>24.243668720054757</v>
      </c>
      <c r="Q1633" s="5" t="str">
        <f t="shared" si="109"/>
        <v>Employed</v>
      </c>
      <c r="R1633">
        <v>1</v>
      </c>
      <c r="S1633">
        <v>0</v>
      </c>
      <c r="T1633">
        <v>0</v>
      </c>
      <c r="U1633">
        <v>0</v>
      </c>
      <c r="V1633" t="s">
        <v>29</v>
      </c>
      <c r="W1633">
        <v>2</v>
      </c>
    </row>
    <row r="1634" spans="1:23" x14ac:dyDescent="0.2">
      <c r="A1634">
        <v>5053612</v>
      </c>
      <c r="B1634" t="s">
        <v>18</v>
      </c>
      <c r="C1634" t="s">
        <v>19</v>
      </c>
      <c r="D1634" t="s">
        <v>20</v>
      </c>
      <c r="E1634">
        <v>0</v>
      </c>
      <c r="F1634">
        <v>112500</v>
      </c>
      <c r="G1634" t="s">
        <v>31</v>
      </c>
      <c r="H1634" t="s">
        <v>27</v>
      </c>
      <c r="I1634" t="s">
        <v>28</v>
      </c>
      <c r="J1634" t="s">
        <v>45</v>
      </c>
      <c r="K1634" s="6">
        <f t="shared" ca="1" si="108"/>
        <v>25172</v>
      </c>
      <c r="L1634">
        <v>-20589</v>
      </c>
      <c r="M1634" s="7">
        <f t="shared" ca="1" si="106"/>
        <v>56.369609856262834</v>
      </c>
      <c r="N1634" s="5" t="str">
        <f ca="1">VLOOKUP(Data!M1634,temp!$B$3:$C$9,2,1)</f>
        <v>50-60</v>
      </c>
      <c r="O1634">
        <v>-3680</v>
      </c>
      <c r="P1634" s="8">
        <f t="shared" si="107"/>
        <v>10.075290896646132</v>
      </c>
      <c r="Q1634" s="5" t="str">
        <f t="shared" si="109"/>
        <v>Employed</v>
      </c>
      <c r="R1634">
        <v>1</v>
      </c>
      <c r="S1634">
        <v>0</v>
      </c>
      <c r="T1634">
        <v>0</v>
      </c>
      <c r="U1634">
        <v>0</v>
      </c>
      <c r="W1634">
        <v>2</v>
      </c>
    </row>
    <row r="1635" spans="1:23" x14ac:dyDescent="0.2">
      <c r="A1635">
        <v>5053619</v>
      </c>
      <c r="B1635" t="s">
        <v>18</v>
      </c>
      <c r="C1635" t="s">
        <v>19</v>
      </c>
      <c r="D1635" t="s">
        <v>20</v>
      </c>
      <c r="E1635">
        <v>0</v>
      </c>
      <c r="F1635">
        <v>112500</v>
      </c>
      <c r="G1635" t="s">
        <v>31</v>
      </c>
      <c r="H1635" t="s">
        <v>27</v>
      </c>
      <c r="I1635" t="s">
        <v>28</v>
      </c>
      <c r="J1635" t="s">
        <v>45</v>
      </c>
      <c r="K1635" s="6">
        <f t="shared" ca="1" si="108"/>
        <v>25172</v>
      </c>
      <c r="L1635">
        <v>-20589</v>
      </c>
      <c r="M1635" s="7">
        <f t="shared" ca="1" si="106"/>
        <v>56.369609856262834</v>
      </c>
      <c r="N1635" s="5" t="str">
        <f ca="1">VLOOKUP(Data!M1635,temp!$B$3:$C$9,2,1)</f>
        <v>50-60</v>
      </c>
      <c r="O1635">
        <v>-3680</v>
      </c>
      <c r="P1635" s="8">
        <f t="shared" si="107"/>
        <v>10.075290896646132</v>
      </c>
      <c r="Q1635" s="5" t="str">
        <f t="shared" si="109"/>
        <v>Employed</v>
      </c>
      <c r="R1635">
        <v>1</v>
      </c>
      <c r="S1635">
        <v>0</v>
      </c>
      <c r="T1635">
        <v>0</v>
      </c>
      <c r="U1635">
        <v>0</v>
      </c>
      <c r="W1635">
        <v>2</v>
      </c>
    </row>
    <row r="1636" spans="1:23" x14ac:dyDescent="0.2">
      <c r="A1636">
        <v>5053644</v>
      </c>
      <c r="B1636" t="s">
        <v>25</v>
      </c>
      <c r="C1636" t="s">
        <v>19</v>
      </c>
      <c r="D1636" t="s">
        <v>19</v>
      </c>
      <c r="E1636">
        <v>0</v>
      </c>
      <c r="F1636">
        <v>360000</v>
      </c>
      <c r="G1636" t="s">
        <v>26</v>
      </c>
      <c r="H1636" t="s">
        <v>22</v>
      </c>
      <c r="I1636" t="s">
        <v>28</v>
      </c>
      <c r="J1636" t="s">
        <v>24</v>
      </c>
      <c r="K1636" s="6">
        <f t="shared" ca="1" si="108"/>
        <v>25407</v>
      </c>
      <c r="L1636">
        <v>-20354</v>
      </c>
      <c r="M1636" s="7">
        <f t="shared" ca="1" si="106"/>
        <v>55.72621492128679</v>
      </c>
      <c r="N1636" s="5" t="str">
        <f ca="1">VLOOKUP(Data!M1636,temp!$B$3:$C$9,2,1)</f>
        <v>50-60</v>
      </c>
      <c r="O1636">
        <v>-1823</v>
      </c>
      <c r="P1636" s="8">
        <f t="shared" si="107"/>
        <v>4.991101984941821</v>
      </c>
      <c r="Q1636" s="5" t="str">
        <f t="shared" si="109"/>
        <v>Employed</v>
      </c>
      <c r="R1636">
        <v>1</v>
      </c>
      <c r="S1636">
        <v>0</v>
      </c>
      <c r="T1636">
        <v>1</v>
      </c>
      <c r="U1636">
        <v>0</v>
      </c>
      <c r="V1636" t="s">
        <v>32</v>
      </c>
      <c r="W1636">
        <v>2</v>
      </c>
    </row>
    <row r="1637" spans="1:23" x14ac:dyDescent="0.2">
      <c r="A1637">
        <v>5053661</v>
      </c>
      <c r="B1637" t="s">
        <v>18</v>
      </c>
      <c r="C1637" t="s">
        <v>19</v>
      </c>
      <c r="D1637" t="s">
        <v>20</v>
      </c>
      <c r="E1637">
        <v>0</v>
      </c>
      <c r="F1637">
        <v>270000</v>
      </c>
      <c r="G1637" t="s">
        <v>21</v>
      </c>
      <c r="H1637" t="s">
        <v>27</v>
      </c>
      <c r="I1637" t="s">
        <v>42</v>
      </c>
      <c r="J1637" t="s">
        <v>24</v>
      </c>
      <c r="K1637" s="6">
        <f t="shared" ca="1" si="108"/>
        <v>22451</v>
      </c>
      <c r="L1637">
        <v>-23310</v>
      </c>
      <c r="M1637" s="7">
        <f t="shared" ca="1" si="106"/>
        <v>63.819301848049278</v>
      </c>
      <c r="N1637" s="5" t="str">
        <f ca="1">VLOOKUP(Data!M1637,temp!$B$3:$C$9,2,1)</f>
        <v>60-70</v>
      </c>
      <c r="O1637">
        <v>365243</v>
      </c>
      <c r="P1637" s="8">
        <f t="shared" si="107"/>
        <v>0</v>
      </c>
      <c r="Q1637" s="5" t="str">
        <f t="shared" si="109"/>
        <v>Unemployed</v>
      </c>
      <c r="R1637">
        <v>1</v>
      </c>
      <c r="S1637">
        <v>0</v>
      </c>
      <c r="T1637">
        <v>0</v>
      </c>
      <c r="U1637">
        <v>0</v>
      </c>
      <c r="W1637">
        <v>1</v>
      </c>
    </row>
    <row r="1638" spans="1:23" x14ac:dyDescent="0.2">
      <c r="A1638">
        <v>5053680</v>
      </c>
      <c r="B1638" t="s">
        <v>18</v>
      </c>
      <c r="C1638" t="s">
        <v>20</v>
      </c>
      <c r="D1638" t="s">
        <v>20</v>
      </c>
      <c r="E1638">
        <v>0</v>
      </c>
      <c r="F1638">
        <v>225000</v>
      </c>
      <c r="G1638" t="s">
        <v>26</v>
      </c>
      <c r="H1638" t="s">
        <v>27</v>
      </c>
      <c r="I1638" t="s">
        <v>33</v>
      </c>
      <c r="J1638" t="s">
        <v>24</v>
      </c>
      <c r="K1638" s="6">
        <f t="shared" ca="1" si="108"/>
        <v>33686</v>
      </c>
      <c r="L1638">
        <v>-12075</v>
      </c>
      <c r="M1638" s="7">
        <f t="shared" ca="1" si="106"/>
        <v>33.059548254620125</v>
      </c>
      <c r="N1638" s="5" t="str">
        <f ca="1">VLOOKUP(Data!M1638,temp!$B$3:$C$9,2,1)</f>
        <v>30-40</v>
      </c>
      <c r="O1638">
        <v>-1430</v>
      </c>
      <c r="P1638" s="8">
        <f t="shared" si="107"/>
        <v>3.915126625598905</v>
      </c>
      <c r="Q1638" s="5" t="str">
        <f t="shared" si="109"/>
        <v>Employed</v>
      </c>
      <c r="R1638">
        <v>1</v>
      </c>
      <c r="S1638">
        <v>0</v>
      </c>
      <c r="T1638">
        <v>1</v>
      </c>
      <c r="U1638">
        <v>0</v>
      </c>
      <c r="V1638" t="s">
        <v>47</v>
      </c>
      <c r="W1638">
        <v>1</v>
      </c>
    </row>
    <row r="1639" spans="1:23" x14ac:dyDescent="0.2">
      <c r="A1639">
        <v>5053698</v>
      </c>
      <c r="B1639" t="s">
        <v>18</v>
      </c>
      <c r="C1639" t="s">
        <v>19</v>
      </c>
      <c r="D1639" t="s">
        <v>20</v>
      </c>
      <c r="E1639">
        <v>0</v>
      </c>
      <c r="F1639">
        <v>193500</v>
      </c>
      <c r="G1639" t="s">
        <v>31</v>
      </c>
      <c r="H1639" t="s">
        <v>27</v>
      </c>
      <c r="I1639" t="s">
        <v>28</v>
      </c>
      <c r="J1639" t="s">
        <v>45</v>
      </c>
      <c r="K1639" s="6">
        <f t="shared" ca="1" si="108"/>
        <v>27881</v>
      </c>
      <c r="L1639">
        <v>-17880</v>
      </c>
      <c r="M1639" s="7">
        <f t="shared" ca="1" si="106"/>
        <v>48.95277207392197</v>
      </c>
      <c r="N1639" s="5" t="str">
        <f ca="1">VLOOKUP(Data!M1639,temp!$B$3:$C$9,2,1)</f>
        <v>40-50</v>
      </c>
      <c r="O1639">
        <v>-9858</v>
      </c>
      <c r="P1639" s="8">
        <f t="shared" si="107"/>
        <v>26.989733059548254</v>
      </c>
      <c r="Q1639" s="5" t="str">
        <f t="shared" si="109"/>
        <v>Employed</v>
      </c>
      <c r="R1639">
        <v>1</v>
      </c>
      <c r="S1639">
        <v>0</v>
      </c>
      <c r="T1639">
        <v>0</v>
      </c>
      <c r="U1639">
        <v>0</v>
      </c>
      <c r="V1639" t="s">
        <v>55</v>
      </c>
      <c r="W1639">
        <v>2</v>
      </c>
    </row>
    <row r="1640" spans="1:23" x14ac:dyDescent="0.2">
      <c r="A1640">
        <v>5053703</v>
      </c>
      <c r="B1640" t="s">
        <v>18</v>
      </c>
      <c r="C1640" t="s">
        <v>19</v>
      </c>
      <c r="D1640" t="s">
        <v>20</v>
      </c>
      <c r="E1640">
        <v>0</v>
      </c>
      <c r="F1640">
        <v>193500</v>
      </c>
      <c r="G1640" t="s">
        <v>31</v>
      </c>
      <c r="H1640" t="s">
        <v>27</v>
      </c>
      <c r="I1640" t="s">
        <v>28</v>
      </c>
      <c r="J1640" t="s">
        <v>45</v>
      </c>
      <c r="K1640" s="6">
        <f t="shared" ca="1" si="108"/>
        <v>27881</v>
      </c>
      <c r="L1640">
        <v>-17880</v>
      </c>
      <c r="M1640" s="7">
        <f t="shared" ca="1" si="106"/>
        <v>48.95277207392197</v>
      </c>
      <c r="N1640" s="5" t="str">
        <f ca="1">VLOOKUP(Data!M1640,temp!$B$3:$C$9,2,1)</f>
        <v>40-50</v>
      </c>
      <c r="O1640">
        <v>-9858</v>
      </c>
      <c r="P1640" s="8">
        <f t="shared" si="107"/>
        <v>26.989733059548254</v>
      </c>
      <c r="Q1640" s="5" t="str">
        <f t="shared" si="109"/>
        <v>Employed</v>
      </c>
      <c r="R1640">
        <v>1</v>
      </c>
      <c r="S1640">
        <v>0</v>
      </c>
      <c r="T1640">
        <v>0</v>
      </c>
      <c r="U1640">
        <v>0</v>
      </c>
      <c r="V1640" t="s">
        <v>55</v>
      </c>
      <c r="W1640">
        <v>2</v>
      </c>
    </row>
    <row r="1641" spans="1:23" x14ac:dyDescent="0.2">
      <c r="A1641">
        <v>5053709</v>
      </c>
      <c r="B1641" t="s">
        <v>25</v>
      </c>
      <c r="C1641" t="s">
        <v>19</v>
      </c>
      <c r="D1641" t="s">
        <v>20</v>
      </c>
      <c r="E1641">
        <v>1</v>
      </c>
      <c r="F1641">
        <v>135000</v>
      </c>
      <c r="G1641" t="s">
        <v>31</v>
      </c>
      <c r="H1641" t="s">
        <v>27</v>
      </c>
      <c r="I1641" t="s">
        <v>23</v>
      </c>
      <c r="J1641" t="s">
        <v>24</v>
      </c>
      <c r="K1641" s="6">
        <f t="shared" ca="1" si="108"/>
        <v>29033</v>
      </c>
      <c r="L1641">
        <v>-16728</v>
      </c>
      <c r="M1641" s="7">
        <f t="shared" ca="1" si="106"/>
        <v>45.798767967145793</v>
      </c>
      <c r="N1641" s="5" t="str">
        <f ca="1">VLOOKUP(Data!M1641,temp!$B$3:$C$9,2,1)</f>
        <v>40-50</v>
      </c>
      <c r="O1641">
        <v>-880</v>
      </c>
      <c r="P1641" s="8">
        <f t="shared" si="107"/>
        <v>2.409308692676249</v>
      </c>
      <c r="Q1641" s="5" t="str">
        <f t="shared" si="109"/>
        <v>Employed</v>
      </c>
      <c r="R1641">
        <v>1</v>
      </c>
      <c r="S1641">
        <v>0</v>
      </c>
      <c r="T1641">
        <v>0</v>
      </c>
      <c r="U1641">
        <v>0</v>
      </c>
      <c r="V1641" t="s">
        <v>29</v>
      </c>
      <c r="W1641">
        <v>2</v>
      </c>
    </row>
    <row r="1642" spans="1:23" x14ac:dyDescent="0.2">
      <c r="A1642">
        <v>5053712</v>
      </c>
      <c r="B1642" t="s">
        <v>18</v>
      </c>
      <c r="C1642" t="s">
        <v>20</v>
      </c>
      <c r="D1642" t="s">
        <v>19</v>
      </c>
      <c r="E1642">
        <v>2</v>
      </c>
      <c r="F1642">
        <v>157500</v>
      </c>
      <c r="G1642" t="s">
        <v>26</v>
      </c>
      <c r="H1642" t="s">
        <v>36</v>
      </c>
      <c r="I1642" t="s">
        <v>28</v>
      </c>
      <c r="J1642" t="s">
        <v>24</v>
      </c>
      <c r="K1642" s="6">
        <f t="shared" ca="1" si="108"/>
        <v>32904</v>
      </c>
      <c r="L1642">
        <v>-12857</v>
      </c>
      <c r="M1642" s="7">
        <f t="shared" ca="1" si="106"/>
        <v>35.200547570157426</v>
      </c>
      <c r="N1642" s="5" t="str">
        <f ca="1">VLOOKUP(Data!M1642,temp!$B$3:$C$9,2,1)</f>
        <v>30-40</v>
      </c>
      <c r="O1642">
        <v>-1399</v>
      </c>
      <c r="P1642" s="8">
        <f t="shared" si="107"/>
        <v>3.8302532511978096</v>
      </c>
      <c r="Q1642" s="5" t="str">
        <f t="shared" si="109"/>
        <v>Employed</v>
      </c>
      <c r="R1642">
        <v>1</v>
      </c>
      <c r="S1642">
        <v>0</v>
      </c>
      <c r="T1642">
        <v>0</v>
      </c>
      <c r="U1642">
        <v>1</v>
      </c>
      <c r="W1642">
        <v>4</v>
      </c>
    </row>
    <row r="1643" spans="1:23" x14ac:dyDescent="0.2">
      <c r="A1643">
        <v>5053719</v>
      </c>
      <c r="B1643" t="s">
        <v>18</v>
      </c>
      <c r="C1643" t="s">
        <v>20</v>
      </c>
      <c r="D1643" t="s">
        <v>20</v>
      </c>
      <c r="E1643">
        <v>1</v>
      </c>
      <c r="F1643">
        <v>225000</v>
      </c>
      <c r="G1643" t="s">
        <v>31</v>
      </c>
      <c r="H1643" t="s">
        <v>22</v>
      </c>
      <c r="I1643" t="s">
        <v>23</v>
      </c>
      <c r="J1643" t="s">
        <v>24</v>
      </c>
      <c r="K1643" s="6">
        <f t="shared" ca="1" si="108"/>
        <v>30945</v>
      </c>
      <c r="L1643">
        <v>-14816</v>
      </c>
      <c r="M1643" s="7">
        <f t="shared" ca="1" si="106"/>
        <v>40.563997262149215</v>
      </c>
      <c r="N1643" s="5" t="str">
        <f ca="1">VLOOKUP(Data!M1643,temp!$B$3:$C$9,2,1)</f>
        <v>40-50</v>
      </c>
      <c r="O1643">
        <v>-1672</v>
      </c>
      <c r="P1643" s="8">
        <f t="shared" si="107"/>
        <v>4.5776865160848734</v>
      </c>
      <c r="Q1643" s="5" t="str">
        <f t="shared" si="109"/>
        <v>Employed</v>
      </c>
      <c r="R1643">
        <v>1</v>
      </c>
      <c r="S1643">
        <v>0</v>
      </c>
      <c r="T1643">
        <v>0</v>
      </c>
      <c r="U1643">
        <v>0</v>
      </c>
      <c r="V1643" t="s">
        <v>38</v>
      </c>
      <c r="W1643">
        <v>2</v>
      </c>
    </row>
    <row r="1644" spans="1:23" x14ac:dyDescent="0.2">
      <c r="A1644">
        <v>5053720</v>
      </c>
      <c r="B1644" t="s">
        <v>18</v>
      </c>
      <c r="C1644" t="s">
        <v>20</v>
      </c>
      <c r="D1644" t="s">
        <v>20</v>
      </c>
      <c r="E1644">
        <v>1</v>
      </c>
      <c r="F1644">
        <v>225000</v>
      </c>
      <c r="G1644" t="s">
        <v>31</v>
      </c>
      <c r="H1644" t="s">
        <v>22</v>
      </c>
      <c r="I1644" t="s">
        <v>23</v>
      </c>
      <c r="J1644" t="s">
        <v>24</v>
      </c>
      <c r="K1644" s="6">
        <f t="shared" ca="1" si="108"/>
        <v>30945</v>
      </c>
      <c r="L1644">
        <v>-14816</v>
      </c>
      <c r="M1644" s="7">
        <f t="shared" ca="1" si="106"/>
        <v>40.563997262149215</v>
      </c>
      <c r="N1644" s="5" t="str">
        <f ca="1">VLOOKUP(Data!M1644,temp!$B$3:$C$9,2,1)</f>
        <v>40-50</v>
      </c>
      <c r="O1644">
        <v>-1672</v>
      </c>
      <c r="P1644" s="8">
        <f t="shared" si="107"/>
        <v>4.5776865160848734</v>
      </c>
      <c r="Q1644" s="5" t="str">
        <f t="shared" si="109"/>
        <v>Employed</v>
      </c>
      <c r="R1644">
        <v>1</v>
      </c>
      <c r="S1644">
        <v>0</v>
      </c>
      <c r="T1644">
        <v>0</v>
      </c>
      <c r="U1644">
        <v>0</v>
      </c>
      <c r="V1644" t="s">
        <v>38</v>
      </c>
      <c r="W1644">
        <v>2</v>
      </c>
    </row>
    <row r="1645" spans="1:23" x14ac:dyDescent="0.2">
      <c r="A1645">
        <v>5053729</v>
      </c>
      <c r="B1645" t="s">
        <v>18</v>
      </c>
      <c r="C1645" t="s">
        <v>20</v>
      </c>
      <c r="D1645" t="s">
        <v>20</v>
      </c>
      <c r="E1645">
        <v>1</v>
      </c>
      <c r="F1645">
        <v>225000</v>
      </c>
      <c r="G1645" t="s">
        <v>31</v>
      </c>
      <c r="H1645" t="s">
        <v>22</v>
      </c>
      <c r="I1645" t="s">
        <v>23</v>
      </c>
      <c r="J1645" t="s">
        <v>24</v>
      </c>
      <c r="K1645" s="6">
        <f t="shared" ca="1" si="108"/>
        <v>30945</v>
      </c>
      <c r="L1645">
        <v>-14816</v>
      </c>
      <c r="M1645" s="7">
        <f t="shared" ca="1" si="106"/>
        <v>40.563997262149215</v>
      </c>
      <c r="N1645" s="5" t="str">
        <f ca="1">VLOOKUP(Data!M1645,temp!$B$3:$C$9,2,1)</f>
        <v>40-50</v>
      </c>
      <c r="O1645">
        <v>-1672</v>
      </c>
      <c r="P1645" s="8">
        <f t="shared" si="107"/>
        <v>4.5776865160848734</v>
      </c>
      <c r="Q1645" s="5" t="str">
        <f t="shared" si="109"/>
        <v>Employed</v>
      </c>
      <c r="R1645">
        <v>1</v>
      </c>
      <c r="S1645">
        <v>0</v>
      </c>
      <c r="T1645">
        <v>0</v>
      </c>
      <c r="U1645">
        <v>0</v>
      </c>
      <c r="V1645" t="s">
        <v>38</v>
      </c>
      <c r="W1645">
        <v>2</v>
      </c>
    </row>
    <row r="1646" spans="1:23" x14ac:dyDescent="0.2">
      <c r="A1646">
        <v>5053749</v>
      </c>
      <c r="B1646" t="s">
        <v>18</v>
      </c>
      <c r="C1646" t="s">
        <v>19</v>
      </c>
      <c r="D1646" t="s">
        <v>20</v>
      </c>
      <c r="E1646">
        <v>1</v>
      </c>
      <c r="F1646">
        <v>135000</v>
      </c>
      <c r="G1646" t="s">
        <v>26</v>
      </c>
      <c r="H1646" t="s">
        <v>22</v>
      </c>
      <c r="I1646" t="s">
        <v>28</v>
      </c>
      <c r="J1646" t="s">
        <v>24</v>
      </c>
      <c r="K1646" s="6">
        <f t="shared" ca="1" si="108"/>
        <v>35579</v>
      </c>
      <c r="L1646">
        <v>-10182</v>
      </c>
      <c r="M1646" s="7">
        <f t="shared" ca="1" si="106"/>
        <v>27.876796714579054</v>
      </c>
      <c r="N1646" s="5" t="str">
        <f ca="1">VLOOKUP(Data!M1646,temp!$B$3:$C$9,2,1)</f>
        <v>20-30</v>
      </c>
      <c r="O1646">
        <v>-971</v>
      </c>
      <c r="P1646" s="8">
        <f t="shared" si="107"/>
        <v>2.6584531143052703</v>
      </c>
      <c r="Q1646" s="5" t="str">
        <f t="shared" si="109"/>
        <v>Employed</v>
      </c>
      <c r="R1646">
        <v>1</v>
      </c>
      <c r="S1646">
        <v>0</v>
      </c>
      <c r="T1646">
        <v>0</v>
      </c>
      <c r="U1646">
        <v>0</v>
      </c>
      <c r="V1646" t="s">
        <v>39</v>
      </c>
      <c r="W1646">
        <v>3</v>
      </c>
    </row>
    <row r="1647" spans="1:23" x14ac:dyDescent="0.2">
      <c r="A1647">
        <v>5053753</v>
      </c>
      <c r="B1647" t="s">
        <v>18</v>
      </c>
      <c r="C1647" t="s">
        <v>19</v>
      </c>
      <c r="D1647" t="s">
        <v>20</v>
      </c>
      <c r="E1647">
        <v>1</v>
      </c>
      <c r="F1647">
        <v>135000</v>
      </c>
      <c r="G1647" t="s">
        <v>26</v>
      </c>
      <c r="H1647" t="s">
        <v>22</v>
      </c>
      <c r="I1647" t="s">
        <v>28</v>
      </c>
      <c r="J1647" t="s">
        <v>24</v>
      </c>
      <c r="K1647" s="6">
        <f t="shared" ca="1" si="108"/>
        <v>35579</v>
      </c>
      <c r="L1647">
        <v>-10182</v>
      </c>
      <c r="M1647" s="7">
        <f t="shared" ca="1" si="106"/>
        <v>27.876796714579054</v>
      </c>
      <c r="N1647" s="5" t="str">
        <f ca="1">VLOOKUP(Data!M1647,temp!$B$3:$C$9,2,1)</f>
        <v>20-30</v>
      </c>
      <c r="O1647">
        <v>-971</v>
      </c>
      <c r="P1647" s="8">
        <f t="shared" si="107"/>
        <v>2.6584531143052703</v>
      </c>
      <c r="Q1647" s="5" t="str">
        <f t="shared" si="109"/>
        <v>Employed</v>
      </c>
      <c r="R1647">
        <v>1</v>
      </c>
      <c r="S1647">
        <v>0</v>
      </c>
      <c r="T1647">
        <v>0</v>
      </c>
      <c r="U1647">
        <v>0</v>
      </c>
      <c r="V1647" t="s">
        <v>39</v>
      </c>
      <c r="W1647">
        <v>3</v>
      </c>
    </row>
    <row r="1648" spans="1:23" x14ac:dyDescent="0.2">
      <c r="A1648">
        <v>5053754</v>
      </c>
      <c r="B1648" t="s">
        <v>18</v>
      </c>
      <c r="C1648" t="s">
        <v>19</v>
      </c>
      <c r="D1648" t="s">
        <v>20</v>
      </c>
      <c r="E1648">
        <v>1</v>
      </c>
      <c r="F1648">
        <v>135000</v>
      </c>
      <c r="G1648" t="s">
        <v>26</v>
      </c>
      <c r="H1648" t="s">
        <v>22</v>
      </c>
      <c r="I1648" t="s">
        <v>28</v>
      </c>
      <c r="J1648" t="s">
        <v>24</v>
      </c>
      <c r="K1648" s="6">
        <f t="shared" ca="1" si="108"/>
        <v>35579</v>
      </c>
      <c r="L1648">
        <v>-10182</v>
      </c>
      <c r="M1648" s="7">
        <f t="shared" ca="1" si="106"/>
        <v>27.876796714579054</v>
      </c>
      <c r="N1648" s="5" t="str">
        <f ca="1">VLOOKUP(Data!M1648,temp!$B$3:$C$9,2,1)</f>
        <v>20-30</v>
      </c>
      <c r="O1648">
        <v>-971</v>
      </c>
      <c r="P1648" s="8">
        <f t="shared" si="107"/>
        <v>2.6584531143052703</v>
      </c>
      <c r="Q1648" s="5" t="str">
        <f t="shared" si="109"/>
        <v>Employed</v>
      </c>
      <c r="R1648">
        <v>1</v>
      </c>
      <c r="S1648">
        <v>0</v>
      </c>
      <c r="T1648">
        <v>0</v>
      </c>
      <c r="U1648">
        <v>0</v>
      </c>
      <c r="V1648" t="s">
        <v>39</v>
      </c>
      <c r="W1648">
        <v>3</v>
      </c>
    </row>
    <row r="1649" spans="1:23" x14ac:dyDescent="0.2">
      <c r="A1649">
        <v>5053756</v>
      </c>
      <c r="B1649" t="s">
        <v>18</v>
      </c>
      <c r="C1649" t="s">
        <v>19</v>
      </c>
      <c r="D1649" t="s">
        <v>20</v>
      </c>
      <c r="E1649">
        <v>1</v>
      </c>
      <c r="F1649">
        <v>135000</v>
      </c>
      <c r="G1649" t="s">
        <v>26</v>
      </c>
      <c r="H1649" t="s">
        <v>22</v>
      </c>
      <c r="I1649" t="s">
        <v>28</v>
      </c>
      <c r="J1649" t="s">
        <v>24</v>
      </c>
      <c r="K1649" s="6">
        <f t="shared" ca="1" si="108"/>
        <v>35579</v>
      </c>
      <c r="L1649">
        <v>-10182</v>
      </c>
      <c r="M1649" s="7">
        <f t="shared" ca="1" si="106"/>
        <v>27.876796714579054</v>
      </c>
      <c r="N1649" s="5" t="str">
        <f ca="1">VLOOKUP(Data!M1649,temp!$B$3:$C$9,2,1)</f>
        <v>20-30</v>
      </c>
      <c r="O1649">
        <v>-971</v>
      </c>
      <c r="P1649" s="8">
        <f t="shared" si="107"/>
        <v>2.6584531143052703</v>
      </c>
      <c r="Q1649" s="5" t="str">
        <f t="shared" si="109"/>
        <v>Employed</v>
      </c>
      <c r="R1649">
        <v>1</v>
      </c>
      <c r="S1649">
        <v>0</v>
      </c>
      <c r="T1649">
        <v>0</v>
      </c>
      <c r="U1649">
        <v>0</v>
      </c>
      <c r="V1649" t="s">
        <v>39</v>
      </c>
      <c r="W1649">
        <v>3</v>
      </c>
    </row>
    <row r="1650" spans="1:23" x14ac:dyDescent="0.2">
      <c r="A1650">
        <v>5053766</v>
      </c>
      <c r="B1650" t="s">
        <v>18</v>
      </c>
      <c r="C1650" t="s">
        <v>19</v>
      </c>
      <c r="D1650" t="s">
        <v>20</v>
      </c>
      <c r="E1650">
        <v>0</v>
      </c>
      <c r="F1650">
        <v>360000</v>
      </c>
      <c r="G1650" t="s">
        <v>31</v>
      </c>
      <c r="H1650" t="s">
        <v>27</v>
      </c>
      <c r="I1650" t="s">
        <v>28</v>
      </c>
      <c r="J1650" t="s">
        <v>24</v>
      </c>
      <c r="K1650" s="6">
        <f t="shared" ca="1" si="108"/>
        <v>31074</v>
      </c>
      <c r="L1650">
        <v>-14687</v>
      </c>
      <c r="M1650" s="7">
        <f t="shared" ca="1" si="106"/>
        <v>40.210814510609168</v>
      </c>
      <c r="N1650" s="5" t="str">
        <f ca="1">VLOOKUP(Data!M1650,temp!$B$3:$C$9,2,1)</f>
        <v>40-50</v>
      </c>
      <c r="O1650">
        <v>-2463</v>
      </c>
      <c r="P1650" s="8">
        <f t="shared" si="107"/>
        <v>6.7433264887063658</v>
      </c>
      <c r="Q1650" s="5" t="str">
        <f t="shared" si="109"/>
        <v>Employed</v>
      </c>
      <c r="R1650">
        <v>1</v>
      </c>
      <c r="S1650">
        <v>1</v>
      </c>
      <c r="T1650">
        <v>1</v>
      </c>
      <c r="U1650">
        <v>0</v>
      </c>
      <c r="V1650" t="s">
        <v>55</v>
      </c>
      <c r="W1650">
        <v>2</v>
      </c>
    </row>
    <row r="1651" spans="1:23" x14ac:dyDescent="0.2">
      <c r="A1651">
        <v>5053769</v>
      </c>
      <c r="B1651" t="s">
        <v>18</v>
      </c>
      <c r="C1651" t="s">
        <v>19</v>
      </c>
      <c r="D1651" t="s">
        <v>20</v>
      </c>
      <c r="E1651">
        <v>0</v>
      </c>
      <c r="F1651">
        <v>360000</v>
      </c>
      <c r="G1651" t="s">
        <v>31</v>
      </c>
      <c r="H1651" t="s">
        <v>27</v>
      </c>
      <c r="I1651" t="s">
        <v>28</v>
      </c>
      <c r="J1651" t="s">
        <v>24</v>
      </c>
      <c r="K1651" s="6">
        <f t="shared" ca="1" si="108"/>
        <v>31074</v>
      </c>
      <c r="L1651">
        <v>-14687</v>
      </c>
      <c r="M1651" s="7">
        <f t="shared" ca="1" si="106"/>
        <v>40.210814510609168</v>
      </c>
      <c r="N1651" s="5" t="str">
        <f ca="1">VLOOKUP(Data!M1651,temp!$B$3:$C$9,2,1)</f>
        <v>40-50</v>
      </c>
      <c r="O1651">
        <v>-2463</v>
      </c>
      <c r="P1651" s="8">
        <f t="shared" si="107"/>
        <v>6.7433264887063658</v>
      </c>
      <c r="Q1651" s="5" t="str">
        <f t="shared" si="109"/>
        <v>Employed</v>
      </c>
      <c r="R1651">
        <v>1</v>
      </c>
      <c r="S1651">
        <v>1</v>
      </c>
      <c r="T1651">
        <v>1</v>
      </c>
      <c r="U1651">
        <v>0</v>
      </c>
      <c r="V1651" t="s">
        <v>55</v>
      </c>
      <c r="W1651">
        <v>2</v>
      </c>
    </row>
    <row r="1652" spans="1:23" x14ac:dyDescent="0.2">
      <c r="A1652">
        <v>5053774</v>
      </c>
      <c r="B1652" t="s">
        <v>25</v>
      </c>
      <c r="C1652" t="s">
        <v>19</v>
      </c>
      <c r="D1652" t="s">
        <v>20</v>
      </c>
      <c r="E1652">
        <v>1</v>
      </c>
      <c r="F1652">
        <v>135000</v>
      </c>
      <c r="G1652" t="s">
        <v>31</v>
      </c>
      <c r="H1652" t="s">
        <v>22</v>
      </c>
      <c r="I1652" t="s">
        <v>28</v>
      </c>
      <c r="J1652" t="s">
        <v>24</v>
      </c>
      <c r="K1652" s="6">
        <f t="shared" ca="1" si="108"/>
        <v>32323</v>
      </c>
      <c r="L1652">
        <v>-13438</v>
      </c>
      <c r="M1652" s="7">
        <f t="shared" ca="1" si="106"/>
        <v>36.791238877481177</v>
      </c>
      <c r="N1652" s="5" t="str">
        <f ca="1">VLOOKUP(Data!M1652,temp!$B$3:$C$9,2,1)</f>
        <v>30-40</v>
      </c>
      <c r="O1652">
        <v>-3679</v>
      </c>
      <c r="P1652" s="8">
        <f t="shared" si="107"/>
        <v>10.072553045859001</v>
      </c>
      <c r="Q1652" s="5" t="str">
        <f t="shared" si="109"/>
        <v>Employed</v>
      </c>
      <c r="R1652">
        <v>1</v>
      </c>
      <c r="S1652">
        <v>0</v>
      </c>
      <c r="T1652">
        <v>0</v>
      </c>
      <c r="U1652">
        <v>0</v>
      </c>
      <c r="W1652">
        <v>3</v>
      </c>
    </row>
    <row r="1653" spans="1:23" x14ac:dyDescent="0.2">
      <c r="A1653">
        <v>5053781</v>
      </c>
      <c r="B1653" t="s">
        <v>18</v>
      </c>
      <c r="C1653" t="s">
        <v>20</v>
      </c>
      <c r="D1653" t="s">
        <v>20</v>
      </c>
      <c r="E1653">
        <v>0</v>
      </c>
      <c r="F1653">
        <v>157500</v>
      </c>
      <c r="G1653" t="s">
        <v>26</v>
      </c>
      <c r="H1653" t="s">
        <v>27</v>
      </c>
      <c r="I1653" t="s">
        <v>42</v>
      </c>
      <c r="J1653" t="s">
        <v>24</v>
      </c>
      <c r="K1653" s="6">
        <f t="shared" ca="1" si="108"/>
        <v>26274</v>
      </c>
      <c r="L1653">
        <v>-19487</v>
      </c>
      <c r="M1653" s="7">
        <f t="shared" ca="1" si="106"/>
        <v>53.352498288843258</v>
      </c>
      <c r="N1653" s="5" t="str">
        <f ca="1">VLOOKUP(Data!M1653,temp!$B$3:$C$9,2,1)</f>
        <v>50-60</v>
      </c>
      <c r="O1653">
        <v>-3255</v>
      </c>
      <c r="P1653" s="8">
        <f t="shared" si="107"/>
        <v>8.9117043121149901</v>
      </c>
      <c r="Q1653" s="5" t="str">
        <f t="shared" si="109"/>
        <v>Employed</v>
      </c>
      <c r="R1653">
        <v>1</v>
      </c>
      <c r="S1653">
        <v>0</v>
      </c>
      <c r="T1653">
        <v>1</v>
      </c>
      <c r="U1653">
        <v>0</v>
      </c>
      <c r="V1653" t="s">
        <v>29</v>
      </c>
      <c r="W1653">
        <v>1</v>
      </c>
    </row>
    <row r="1654" spans="1:23" x14ac:dyDescent="0.2">
      <c r="A1654">
        <v>5053822</v>
      </c>
      <c r="B1654" t="s">
        <v>25</v>
      </c>
      <c r="C1654" t="s">
        <v>20</v>
      </c>
      <c r="D1654" t="s">
        <v>20</v>
      </c>
      <c r="E1654">
        <v>0</v>
      </c>
      <c r="F1654">
        <v>180000</v>
      </c>
      <c r="G1654" t="s">
        <v>31</v>
      </c>
      <c r="H1654" t="s">
        <v>36</v>
      </c>
      <c r="I1654" t="s">
        <v>33</v>
      </c>
      <c r="J1654" t="s">
        <v>24</v>
      </c>
      <c r="K1654" s="6">
        <f t="shared" ca="1" si="108"/>
        <v>34972</v>
      </c>
      <c r="L1654">
        <v>-10789</v>
      </c>
      <c r="M1654" s="7">
        <f t="shared" ca="1" si="106"/>
        <v>29.538672142368242</v>
      </c>
      <c r="N1654" s="5" t="str">
        <f ca="1">VLOOKUP(Data!M1654,temp!$B$3:$C$9,2,1)</f>
        <v>20-30</v>
      </c>
      <c r="O1654">
        <v>-1702</v>
      </c>
      <c r="P1654" s="8">
        <f t="shared" si="107"/>
        <v>4.6598220396988363</v>
      </c>
      <c r="Q1654" s="5" t="str">
        <f t="shared" si="109"/>
        <v>Employed</v>
      </c>
      <c r="R1654">
        <v>1</v>
      </c>
      <c r="S1654">
        <v>0</v>
      </c>
      <c r="T1654">
        <v>0</v>
      </c>
      <c r="U1654">
        <v>0</v>
      </c>
      <c r="V1654" t="s">
        <v>29</v>
      </c>
      <c r="W1654">
        <v>1</v>
      </c>
    </row>
    <row r="1655" spans="1:23" x14ac:dyDescent="0.2">
      <c r="A1655">
        <v>5053827</v>
      </c>
      <c r="B1655" t="s">
        <v>25</v>
      </c>
      <c r="C1655" t="s">
        <v>20</v>
      </c>
      <c r="D1655" t="s">
        <v>20</v>
      </c>
      <c r="E1655">
        <v>0</v>
      </c>
      <c r="F1655">
        <v>180000</v>
      </c>
      <c r="G1655" t="s">
        <v>31</v>
      </c>
      <c r="H1655" t="s">
        <v>36</v>
      </c>
      <c r="I1655" t="s">
        <v>33</v>
      </c>
      <c r="J1655" t="s">
        <v>24</v>
      </c>
      <c r="K1655" s="6">
        <f t="shared" ca="1" si="108"/>
        <v>34972</v>
      </c>
      <c r="L1655">
        <v>-10789</v>
      </c>
      <c r="M1655" s="7">
        <f t="shared" ca="1" si="106"/>
        <v>29.538672142368242</v>
      </c>
      <c r="N1655" s="5" t="str">
        <f ca="1">VLOOKUP(Data!M1655,temp!$B$3:$C$9,2,1)</f>
        <v>20-30</v>
      </c>
      <c r="O1655">
        <v>-1702</v>
      </c>
      <c r="P1655" s="8">
        <f t="shared" si="107"/>
        <v>4.6598220396988363</v>
      </c>
      <c r="Q1655" s="5" t="str">
        <f t="shared" si="109"/>
        <v>Employed</v>
      </c>
      <c r="R1655">
        <v>1</v>
      </c>
      <c r="S1655">
        <v>0</v>
      </c>
      <c r="T1655">
        <v>0</v>
      </c>
      <c r="U1655">
        <v>0</v>
      </c>
      <c r="V1655" t="s">
        <v>29</v>
      </c>
      <c r="W1655">
        <v>1</v>
      </c>
    </row>
    <row r="1656" spans="1:23" x14ac:dyDescent="0.2">
      <c r="A1656">
        <v>5053837</v>
      </c>
      <c r="B1656" t="s">
        <v>18</v>
      </c>
      <c r="C1656" t="s">
        <v>19</v>
      </c>
      <c r="D1656" t="s">
        <v>20</v>
      </c>
      <c r="E1656">
        <v>0</v>
      </c>
      <c r="F1656">
        <v>112500</v>
      </c>
      <c r="G1656" t="s">
        <v>35</v>
      </c>
      <c r="H1656" t="s">
        <v>27</v>
      </c>
      <c r="I1656" t="s">
        <v>28</v>
      </c>
      <c r="J1656" t="s">
        <v>24</v>
      </c>
      <c r="K1656" s="6">
        <f t="shared" ca="1" si="108"/>
        <v>26967</v>
      </c>
      <c r="L1656">
        <v>-18794</v>
      </c>
      <c r="M1656" s="7">
        <f t="shared" ca="1" si="106"/>
        <v>51.455167693360714</v>
      </c>
      <c r="N1656" s="5" t="str">
        <f ca="1">VLOOKUP(Data!M1656,temp!$B$3:$C$9,2,1)</f>
        <v>50-60</v>
      </c>
      <c r="O1656">
        <v>-6358</v>
      </c>
      <c r="P1656" s="8">
        <f t="shared" si="107"/>
        <v>17.407255304585899</v>
      </c>
      <c r="Q1656" s="5" t="str">
        <f t="shared" si="109"/>
        <v>Employed</v>
      </c>
      <c r="R1656">
        <v>1</v>
      </c>
      <c r="S1656">
        <v>0</v>
      </c>
      <c r="T1656">
        <v>0</v>
      </c>
      <c r="U1656">
        <v>0</v>
      </c>
      <c r="V1656" t="s">
        <v>47</v>
      </c>
      <c r="W1656">
        <v>2</v>
      </c>
    </row>
    <row r="1657" spans="1:23" x14ac:dyDescent="0.2">
      <c r="A1657">
        <v>5053854</v>
      </c>
      <c r="B1657" t="s">
        <v>25</v>
      </c>
      <c r="C1657" t="s">
        <v>20</v>
      </c>
      <c r="D1657" t="s">
        <v>19</v>
      </c>
      <c r="E1657">
        <v>0</v>
      </c>
      <c r="F1657">
        <v>184500</v>
      </c>
      <c r="G1657" t="s">
        <v>31</v>
      </c>
      <c r="H1657" t="s">
        <v>27</v>
      </c>
      <c r="I1657" t="s">
        <v>28</v>
      </c>
      <c r="J1657" t="s">
        <v>45</v>
      </c>
      <c r="K1657" s="6">
        <f t="shared" ca="1" si="108"/>
        <v>27748</v>
      </c>
      <c r="L1657">
        <v>-18013</v>
      </c>
      <c r="M1657" s="7">
        <f t="shared" ca="1" si="106"/>
        <v>49.316906228610542</v>
      </c>
      <c r="N1657" s="5" t="str">
        <f ca="1">VLOOKUP(Data!M1657,temp!$B$3:$C$9,2,1)</f>
        <v>40-50</v>
      </c>
      <c r="O1657">
        <v>-1215</v>
      </c>
      <c r="P1657" s="8">
        <f t="shared" si="107"/>
        <v>3.3264887063655029</v>
      </c>
      <c r="Q1657" s="5" t="str">
        <f t="shared" si="109"/>
        <v>Employed</v>
      </c>
      <c r="R1657">
        <v>1</v>
      </c>
      <c r="S1657">
        <v>0</v>
      </c>
      <c r="T1657">
        <v>0</v>
      </c>
      <c r="U1657">
        <v>0</v>
      </c>
      <c r="V1657" t="s">
        <v>29</v>
      </c>
      <c r="W1657">
        <v>2</v>
      </c>
    </row>
    <row r="1658" spans="1:23" x14ac:dyDescent="0.2">
      <c r="A1658">
        <v>5053891</v>
      </c>
      <c r="B1658" t="s">
        <v>18</v>
      </c>
      <c r="C1658" t="s">
        <v>19</v>
      </c>
      <c r="D1658" t="s">
        <v>20</v>
      </c>
      <c r="E1658">
        <v>0</v>
      </c>
      <c r="F1658">
        <v>90000</v>
      </c>
      <c r="G1658" t="s">
        <v>35</v>
      </c>
      <c r="H1658" t="s">
        <v>27</v>
      </c>
      <c r="I1658" t="s">
        <v>23</v>
      </c>
      <c r="J1658" t="s">
        <v>24</v>
      </c>
      <c r="K1658" s="6">
        <f t="shared" ca="1" si="108"/>
        <v>31490</v>
      </c>
      <c r="L1658">
        <v>-14271</v>
      </c>
      <c r="M1658" s="7">
        <f t="shared" ca="1" si="106"/>
        <v>39.071868583162221</v>
      </c>
      <c r="N1658" s="5" t="str">
        <f ca="1">VLOOKUP(Data!M1658,temp!$B$3:$C$9,2,1)</f>
        <v>30-40</v>
      </c>
      <c r="O1658">
        <v>-302</v>
      </c>
      <c r="P1658" s="8">
        <f t="shared" si="107"/>
        <v>0.8268309377138946</v>
      </c>
      <c r="Q1658" s="5" t="str">
        <f t="shared" si="109"/>
        <v>Employed</v>
      </c>
      <c r="R1658">
        <v>1</v>
      </c>
      <c r="S1658">
        <v>0</v>
      </c>
      <c r="T1658">
        <v>0</v>
      </c>
      <c r="U1658">
        <v>0</v>
      </c>
      <c r="W1658">
        <v>1</v>
      </c>
    </row>
    <row r="1659" spans="1:23" x14ac:dyDescent="0.2">
      <c r="A1659">
        <v>5053894</v>
      </c>
      <c r="B1659" t="s">
        <v>18</v>
      </c>
      <c r="C1659" t="s">
        <v>19</v>
      </c>
      <c r="D1659" t="s">
        <v>20</v>
      </c>
      <c r="E1659">
        <v>0</v>
      </c>
      <c r="F1659">
        <v>90000</v>
      </c>
      <c r="G1659" t="s">
        <v>35</v>
      </c>
      <c r="H1659" t="s">
        <v>27</v>
      </c>
      <c r="I1659" t="s">
        <v>23</v>
      </c>
      <c r="J1659" t="s">
        <v>24</v>
      </c>
      <c r="K1659" s="6">
        <f t="shared" ca="1" si="108"/>
        <v>31490</v>
      </c>
      <c r="L1659">
        <v>-14271</v>
      </c>
      <c r="M1659" s="7">
        <f t="shared" ca="1" si="106"/>
        <v>39.071868583162221</v>
      </c>
      <c r="N1659" s="5" t="str">
        <f ca="1">VLOOKUP(Data!M1659,temp!$B$3:$C$9,2,1)</f>
        <v>30-40</v>
      </c>
      <c r="O1659">
        <v>-302</v>
      </c>
      <c r="P1659" s="8">
        <f t="shared" si="107"/>
        <v>0.8268309377138946</v>
      </c>
      <c r="Q1659" s="5" t="str">
        <f t="shared" si="109"/>
        <v>Employed</v>
      </c>
      <c r="R1659">
        <v>1</v>
      </c>
      <c r="S1659">
        <v>0</v>
      </c>
      <c r="T1659">
        <v>0</v>
      </c>
      <c r="U1659">
        <v>0</v>
      </c>
      <c r="W1659">
        <v>1</v>
      </c>
    </row>
    <row r="1660" spans="1:23" x14ac:dyDescent="0.2">
      <c r="A1660">
        <v>5053905</v>
      </c>
      <c r="B1660" t="s">
        <v>18</v>
      </c>
      <c r="C1660" t="s">
        <v>19</v>
      </c>
      <c r="D1660" t="s">
        <v>20</v>
      </c>
      <c r="E1660">
        <v>0</v>
      </c>
      <c r="F1660">
        <v>90000</v>
      </c>
      <c r="G1660" t="s">
        <v>35</v>
      </c>
      <c r="H1660" t="s">
        <v>27</v>
      </c>
      <c r="I1660" t="s">
        <v>23</v>
      </c>
      <c r="J1660" t="s">
        <v>24</v>
      </c>
      <c r="K1660" s="6">
        <f t="shared" ca="1" si="108"/>
        <v>31490</v>
      </c>
      <c r="L1660">
        <v>-14271</v>
      </c>
      <c r="M1660" s="7">
        <f t="shared" ca="1" si="106"/>
        <v>39.071868583162221</v>
      </c>
      <c r="N1660" s="5" t="str">
        <f ca="1">VLOOKUP(Data!M1660,temp!$B$3:$C$9,2,1)</f>
        <v>30-40</v>
      </c>
      <c r="O1660">
        <v>-302</v>
      </c>
      <c r="P1660" s="8">
        <f t="shared" si="107"/>
        <v>0.8268309377138946</v>
      </c>
      <c r="Q1660" s="5" t="str">
        <f t="shared" si="109"/>
        <v>Employed</v>
      </c>
      <c r="R1660">
        <v>1</v>
      </c>
      <c r="S1660">
        <v>0</v>
      </c>
      <c r="T1660">
        <v>0</v>
      </c>
      <c r="U1660">
        <v>0</v>
      </c>
      <c r="W1660">
        <v>1</v>
      </c>
    </row>
    <row r="1661" spans="1:23" x14ac:dyDescent="0.2">
      <c r="A1661">
        <v>5053932</v>
      </c>
      <c r="B1661" t="s">
        <v>18</v>
      </c>
      <c r="C1661" t="s">
        <v>19</v>
      </c>
      <c r="D1661" t="s">
        <v>19</v>
      </c>
      <c r="E1661">
        <v>0</v>
      </c>
      <c r="F1661">
        <v>225000</v>
      </c>
      <c r="G1661" t="s">
        <v>21</v>
      </c>
      <c r="H1661" t="s">
        <v>22</v>
      </c>
      <c r="I1661" t="s">
        <v>28</v>
      </c>
      <c r="J1661" t="s">
        <v>24</v>
      </c>
      <c r="K1661" s="6">
        <f t="shared" ca="1" si="108"/>
        <v>23907</v>
      </c>
      <c r="L1661">
        <v>-21854</v>
      </c>
      <c r="M1661" s="7">
        <f t="shared" ca="1" si="106"/>
        <v>59.832991101984945</v>
      </c>
      <c r="N1661" s="5" t="str">
        <f ca="1">VLOOKUP(Data!M1661,temp!$B$3:$C$9,2,1)</f>
        <v>50-60</v>
      </c>
      <c r="O1661">
        <v>365243</v>
      </c>
      <c r="P1661" s="8">
        <f t="shared" si="107"/>
        <v>0</v>
      </c>
      <c r="Q1661" s="5" t="str">
        <f t="shared" si="109"/>
        <v>Unemployed</v>
      </c>
      <c r="R1661">
        <v>1</v>
      </c>
      <c r="S1661">
        <v>0</v>
      </c>
      <c r="T1661">
        <v>1</v>
      </c>
      <c r="U1661">
        <v>0</v>
      </c>
      <c r="W1661">
        <v>2</v>
      </c>
    </row>
    <row r="1662" spans="1:23" x14ac:dyDescent="0.2">
      <c r="A1662">
        <v>5053944</v>
      </c>
      <c r="B1662" t="s">
        <v>18</v>
      </c>
      <c r="C1662" t="s">
        <v>19</v>
      </c>
      <c r="D1662" t="s">
        <v>19</v>
      </c>
      <c r="E1662">
        <v>0</v>
      </c>
      <c r="F1662">
        <v>135000</v>
      </c>
      <c r="G1662" t="s">
        <v>21</v>
      </c>
      <c r="H1662" t="s">
        <v>27</v>
      </c>
      <c r="I1662" t="s">
        <v>42</v>
      </c>
      <c r="J1662" t="s">
        <v>24</v>
      </c>
      <c r="K1662" s="6">
        <f t="shared" ca="1" si="108"/>
        <v>24661</v>
      </c>
      <c r="L1662">
        <v>-21100</v>
      </c>
      <c r="M1662" s="7">
        <f t="shared" ca="1" si="106"/>
        <v>57.768651608487339</v>
      </c>
      <c r="N1662" s="5" t="str">
        <f ca="1">VLOOKUP(Data!M1662,temp!$B$3:$C$9,2,1)</f>
        <v>50-60</v>
      </c>
      <c r="O1662">
        <v>365243</v>
      </c>
      <c r="P1662" s="8">
        <f t="shared" si="107"/>
        <v>0</v>
      </c>
      <c r="Q1662" s="5" t="str">
        <f t="shared" si="109"/>
        <v>Unemployed</v>
      </c>
      <c r="R1662">
        <v>1</v>
      </c>
      <c r="S1662">
        <v>0</v>
      </c>
      <c r="T1662">
        <v>1</v>
      </c>
      <c r="U1662">
        <v>0</v>
      </c>
      <c r="W1662">
        <v>1</v>
      </c>
    </row>
    <row r="1663" spans="1:23" x14ac:dyDescent="0.2">
      <c r="A1663">
        <v>5053963</v>
      </c>
      <c r="B1663" t="s">
        <v>18</v>
      </c>
      <c r="C1663" t="s">
        <v>19</v>
      </c>
      <c r="D1663" t="s">
        <v>19</v>
      </c>
      <c r="E1663">
        <v>0</v>
      </c>
      <c r="F1663">
        <v>270000</v>
      </c>
      <c r="G1663" t="s">
        <v>35</v>
      </c>
      <c r="H1663" t="s">
        <v>22</v>
      </c>
      <c r="I1663" t="s">
        <v>28</v>
      </c>
      <c r="J1663" t="s">
        <v>24</v>
      </c>
      <c r="K1663" s="6">
        <f t="shared" ca="1" si="108"/>
        <v>32495</v>
      </c>
      <c r="L1663">
        <v>-13266</v>
      </c>
      <c r="M1663" s="7">
        <f t="shared" ca="1" si="106"/>
        <v>36.320328542094458</v>
      </c>
      <c r="N1663" s="5" t="str">
        <f ca="1">VLOOKUP(Data!M1663,temp!$B$3:$C$9,2,1)</f>
        <v>30-40</v>
      </c>
      <c r="O1663">
        <v>-2341</v>
      </c>
      <c r="P1663" s="8">
        <f t="shared" si="107"/>
        <v>6.409308692676249</v>
      </c>
      <c r="Q1663" s="5" t="str">
        <f t="shared" si="109"/>
        <v>Employed</v>
      </c>
      <c r="R1663">
        <v>1</v>
      </c>
      <c r="S1663">
        <v>1</v>
      </c>
      <c r="T1663">
        <v>1</v>
      </c>
      <c r="U1663">
        <v>0</v>
      </c>
      <c r="V1663" t="s">
        <v>38</v>
      </c>
      <c r="W1663">
        <v>2</v>
      </c>
    </row>
    <row r="1664" spans="1:23" x14ac:dyDescent="0.2">
      <c r="A1664">
        <v>5053967</v>
      </c>
      <c r="B1664" t="s">
        <v>25</v>
      </c>
      <c r="C1664" t="s">
        <v>20</v>
      </c>
      <c r="D1664" t="s">
        <v>19</v>
      </c>
      <c r="E1664">
        <v>0</v>
      </c>
      <c r="F1664">
        <v>202500</v>
      </c>
      <c r="G1664" t="s">
        <v>31</v>
      </c>
      <c r="H1664" t="s">
        <v>27</v>
      </c>
      <c r="I1664" t="s">
        <v>33</v>
      </c>
      <c r="J1664" t="s">
        <v>24</v>
      </c>
      <c r="K1664" s="6">
        <f t="shared" ca="1" si="108"/>
        <v>34369</v>
      </c>
      <c r="L1664">
        <v>-11392</v>
      </c>
      <c r="M1664" s="7">
        <f t="shared" ca="1" si="106"/>
        <v>31.189596167008897</v>
      </c>
      <c r="N1664" s="5" t="str">
        <f ca="1">VLOOKUP(Data!M1664,temp!$B$3:$C$9,2,1)</f>
        <v>30-40</v>
      </c>
      <c r="O1664">
        <v>-758</v>
      </c>
      <c r="P1664" s="8">
        <f t="shared" si="107"/>
        <v>2.0752908966461328</v>
      </c>
      <c r="Q1664" s="5" t="str">
        <f t="shared" si="109"/>
        <v>Employed</v>
      </c>
      <c r="R1664">
        <v>1</v>
      </c>
      <c r="S1664">
        <v>1</v>
      </c>
      <c r="T1664">
        <v>1</v>
      </c>
      <c r="U1664">
        <v>0</v>
      </c>
      <c r="V1664" t="s">
        <v>32</v>
      </c>
      <c r="W1664">
        <v>1</v>
      </c>
    </row>
    <row r="1665" spans="1:23" x14ac:dyDescent="0.2">
      <c r="A1665">
        <v>5053984</v>
      </c>
      <c r="B1665" t="s">
        <v>18</v>
      </c>
      <c r="C1665" t="s">
        <v>20</v>
      </c>
      <c r="D1665" t="s">
        <v>19</v>
      </c>
      <c r="E1665">
        <v>0</v>
      </c>
      <c r="F1665">
        <v>108000</v>
      </c>
      <c r="G1665" t="s">
        <v>31</v>
      </c>
      <c r="H1665" t="s">
        <v>27</v>
      </c>
      <c r="I1665" t="s">
        <v>28</v>
      </c>
      <c r="J1665" t="s">
        <v>41</v>
      </c>
      <c r="K1665" s="6">
        <f t="shared" ca="1" si="108"/>
        <v>33512</v>
      </c>
      <c r="L1665">
        <v>-12249</v>
      </c>
      <c r="M1665" s="7">
        <f t="shared" ca="1" si="106"/>
        <v>33.535934291581107</v>
      </c>
      <c r="N1665" s="5" t="str">
        <f ca="1">VLOOKUP(Data!M1665,temp!$B$3:$C$9,2,1)</f>
        <v>30-40</v>
      </c>
      <c r="O1665">
        <v>-3195</v>
      </c>
      <c r="P1665" s="8">
        <f t="shared" si="107"/>
        <v>8.7474332648870643</v>
      </c>
      <c r="Q1665" s="5" t="str">
        <f t="shared" si="109"/>
        <v>Employed</v>
      </c>
      <c r="R1665">
        <v>1</v>
      </c>
      <c r="S1665">
        <v>1</v>
      </c>
      <c r="T1665">
        <v>0</v>
      </c>
      <c r="U1665">
        <v>0</v>
      </c>
      <c r="W1665">
        <v>2</v>
      </c>
    </row>
    <row r="1666" spans="1:23" x14ac:dyDescent="0.2">
      <c r="A1666">
        <v>5053995</v>
      </c>
      <c r="B1666" t="s">
        <v>25</v>
      </c>
      <c r="C1666" t="s">
        <v>20</v>
      </c>
      <c r="D1666" t="s">
        <v>19</v>
      </c>
      <c r="E1666">
        <v>0</v>
      </c>
      <c r="F1666">
        <v>90000</v>
      </c>
      <c r="G1666" t="s">
        <v>21</v>
      </c>
      <c r="H1666" t="s">
        <v>27</v>
      </c>
      <c r="I1666" t="s">
        <v>28</v>
      </c>
      <c r="J1666" t="s">
        <v>24</v>
      </c>
      <c r="K1666" s="6">
        <f t="shared" ca="1" si="108"/>
        <v>25778</v>
      </c>
      <c r="L1666">
        <v>-19983</v>
      </c>
      <c r="M1666" s="7">
        <f t="shared" ca="1" si="106"/>
        <v>54.710472279260777</v>
      </c>
      <c r="N1666" s="5" t="str">
        <f ca="1">VLOOKUP(Data!M1666,temp!$B$3:$C$9,2,1)</f>
        <v>50-60</v>
      </c>
      <c r="O1666">
        <v>365243</v>
      </c>
      <c r="P1666" s="8">
        <f t="shared" si="107"/>
        <v>0</v>
      </c>
      <c r="Q1666" s="5" t="str">
        <f t="shared" si="109"/>
        <v>Unemployed</v>
      </c>
      <c r="R1666">
        <v>1</v>
      </c>
      <c r="S1666">
        <v>0</v>
      </c>
      <c r="T1666">
        <v>0</v>
      </c>
      <c r="U1666">
        <v>0</v>
      </c>
      <c r="W1666">
        <v>2</v>
      </c>
    </row>
    <row r="1667" spans="1:23" x14ac:dyDescent="0.2">
      <c r="A1667">
        <v>5054021</v>
      </c>
      <c r="B1667" t="s">
        <v>18</v>
      </c>
      <c r="C1667" t="s">
        <v>19</v>
      </c>
      <c r="D1667" t="s">
        <v>19</v>
      </c>
      <c r="E1667">
        <v>0</v>
      </c>
      <c r="F1667">
        <v>202500</v>
      </c>
      <c r="G1667" t="s">
        <v>31</v>
      </c>
      <c r="H1667" t="s">
        <v>27</v>
      </c>
      <c r="I1667" t="s">
        <v>28</v>
      </c>
      <c r="J1667" t="s">
        <v>53</v>
      </c>
      <c r="K1667" s="6">
        <f t="shared" ca="1" si="108"/>
        <v>26001</v>
      </c>
      <c r="L1667">
        <v>-19760</v>
      </c>
      <c r="M1667" s="7">
        <f t="shared" ref="M1667:M1730" ca="1" si="110">(TODAY()-K1667)/365.25</f>
        <v>54.099931553730322</v>
      </c>
      <c r="N1667" s="5" t="str">
        <f ca="1">VLOOKUP(Data!M1667,temp!$B$3:$C$9,2,1)</f>
        <v>50-60</v>
      </c>
      <c r="O1667">
        <v>-2099</v>
      </c>
      <c r="P1667" s="8">
        <f t="shared" ref="P1667:P1730" si="111">IF(O1667&lt;=0,ABS(O1667)/365.25,0)</f>
        <v>5.7467488021902806</v>
      </c>
      <c r="Q1667" s="5" t="str">
        <f t="shared" si="109"/>
        <v>Employed</v>
      </c>
      <c r="R1667">
        <v>1</v>
      </c>
      <c r="S1667">
        <v>0</v>
      </c>
      <c r="T1667">
        <v>0</v>
      </c>
      <c r="U1667">
        <v>0</v>
      </c>
      <c r="V1667" t="s">
        <v>46</v>
      </c>
      <c r="W1667">
        <v>2</v>
      </c>
    </row>
    <row r="1668" spans="1:23" x14ac:dyDescent="0.2">
      <c r="A1668">
        <v>5054042</v>
      </c>
      <c r="B1668" t="s">
        <v>18</v>
      </c>
      <c r="C1668" t="s">
        <v>19</v>
      </c>
      <c r="D1668" t="s">
        <v>19</v>
      </c>
      <c r="E1668">
        <v>1</v>
      </c>
      <c r="F1668">
        <v>81000</v>
      </c>
      <c r="G1668" t="s">
        <v>31</v>
      </c>
      <c r="H1668" t="s">
        <v>27</v>
      </c>
      <c r="I1668" t="s">
        <v>28</v>
      </c>
      <c r="J1668" t="s">
        <v>24</v>
      </c>
      <c r="K1668" s="6">
        <f t="shared" ca="1" si="108"/>
        <v>31471</v>
      </c>
      <c r="L1668">
        <v>-14290</v>
      </c>
      <c r="M1668" s="7">
        <f t="shared" ca="1" si="110"/>
        <v>39.123887748117724</v>
      </c>
      <c r="N1668" s="5" t="str">
        <f ca="1">VLOOKUP(Data!M1668,temp!$B$3:$C$9,2,1)</f>
        <v>30-40</v>
      </c>
      <c r="O1668">
        <v>-1308</v>
      </c>
      <c r="P1668" s="8">
        <f t="shared" si="111"/>
        <v>3.5811088295687883</v>
      </c>
      <c r="Q1668" s="5" t="str">
        <f t="shared" si="109"/>
        <v>Employed</v>
      </c>
      <c r="R1668">
        <v>1</v>
      </c>
      <c r="S1668">
        <v>0</v>
      </c>
      <c r="T1668">
        <v>1</v>
      </c>
      <c r="U1668">
        <v>0</v>
      </c>
      <c r="V1668" t="s">
        <v>55</v>
      </c>
      <c r="W1668">
        <v>3</v>
      </c>
    </row>
    <row r="1669" spans="1:23" x14ac:dyDescent="0.2">
      <c r="A1669">
        <v>5054056</v>
      </c>
      <c r="B1669" t="s">
        <v>25</v>
      </c>
      <c r="C1669" t="s">
        <v>20</v>
      </c>
      <c r="D1669" t="s">
        <v>19</v>
      </c>
      <c r="E1669">
        <v>1</v>
      </c>
      <c r="F1669">
        <v>112500</v>
      </c>
      <c r="G1669" t="s">
        <v>31</v>
      </c>
      <c r="H1669" t="s">
        <v>27</v>
      </c>
      <c r="I1669" t="s">
        <v>28</v>
      </c>
      <c r="J1669" t="s">
        <v>34</v>
      </c>
      <c r="K1669" s="6">
        <f t="shared" ca="1" si="108"/>
        <v>34178</v>
      </c>
      <c r="L1669">
        <v>-11583</v>
      </c>
      <c r="M1669" s="7">
        <f t="shared" ca="1" si="110"/>
        <v>31.71252566735113</v>
      </c>
      <c r="N1669" s="5" t="str">
        <f ca="1">VLOOKUP(Data!M1669,temp!$B$3:$C$9,2,1)</f>
        <v>30-40</v>
      </c>
      <c r="O1669">
        <v>-3407</v>
      </c>
      <c r="P1669" s="8">
        <f t="shared" si="111"/>
        <v>9.3278576317590698</v>
      </c>
      <c r="Q1669" s="5" t="str">
        <f t="shared" si="109"/>
        <v>Employed</v>
      </c>
      <c r="R1669">
        <v>1</v>
      </c>
      <c r="S1669">
        <v>1</v>
      </c>
      <c r="T1669">
        <v>0</v>
      </c>
      <c r="U1669">
        <v>0</v>
      </c>
      <c r="V1669" t="s">
        <v>29</v>
      </c>
      <c r="W1669">
        <v>3</v>
      </c>
    </row>
    <row r="1670" spans="1:23" x14ac:dyDescent="0.2">
      <c r="A1670">
        <v>5054061</v>
      </c>
      <c r="B1670" t="s">
        <v>25</v>
      </c>
      <c r="C1670" t="s">
        <v>19</v>
      </c>
      <c r="D1670" t="s">
        <v>19</v>
      </c>
      <c r="E1670">
        <v>1</v>
      </c>
      <c r="F1670">
        <v>157500</v>
      </c>
      <c r="G1670" t="s">
        <v>31</v>
      </c>
      <c r="H1670" t="s">
        <v>27</v>
      </c>
      <c r="I1670" t="s">
        <v>28</v>
      </c>
      <c r="J1670" t="s">
        <v>24</v>
      </c>
      <c r="K1670" s="6">
        <f t="shared" ca="1" si="108"/>
        <v>29337</v>
      </c>
      <c r="L1670">
        <v>-16424</v>
      </c>
      <c r="M1670" s="7">
        <f t="shared" ca="1" si="110"/>
        <v>44.96646132785763</v>
      </c>
      <c r="N1670" s="5" t="str">
        <f ca="1">VLOOKUP(Data!M1670,temp!$B$3:$C$9,2,1)</f>
        <v>40-50</v>
      </c>
      <c r="O1670">
        <v>-1458</v>
      </c>
      <c r="P1670" s="8">
        <f t="shared" si="111"/>
        <v>3.9917864476386038</v>
      </c>
      <c r="Q1670" s="5" t="str">
        <f t="shared" si="109"/>
        <v>Employed</v>
      </c>
      <c r="R1670">
        <v>1</v>
      </c>
      <c r="S1670">
        <v>0</v>
      </c>
      <c r="T1670">
        <v>0</v>
      </c>
      <c r="U1670">
        <v>0</v>
      </c>
      <c r="V1670" t="s">
        <v>30</v>
      </c>
      <c r="W1670">
        <v>3</v>
      </c>
    </row>
    <row r="1671" spans="1:23" x14ac:dyDescent="0.2">
      <c r="A1671">
        <v>5054074</v>
      </c>
      <c r="B1671" t="s">
        <v>18</v>
      </c>
      <c r="C1671" t="s">
        <v>19</v>
      </c>
      <c r="D1671" t="s">
        <v>19</v>
      </c>
      <c r="E1671">
        <v>0</v>
      </c>
      <c r="F1671">
        <v>135000</v>
      </c>
      <c r="G1671" t="s">
        <v>31</v>
      </c>
      <c r="H1671" t="s">
        <v>27</v>
      </c>
      <c r="I1671" t="s">
        <v>28</v>
      </c>
      <c r="J1671" t="s">
        <v>24</v>
      </c>
      <c r="K1671" s="6">
        <f t="shared" ca="1" si="108"/>
        <v>28618</v>
      </c>
      <c r="L1671">
        <v>-17143</v>
      </c>
      <c r="M1671" s="7">
        <f t="shared" ca="1" si="110"/>
        <v>46.934976043805612</v>
      </c>
      <c r="N1671" s="5" t="str">
        <f ca="1">VLOOKUP(Data!M1671,temp!$B$3:$C$9,2,1)</f>
        <v>40-50</v>
      </c>
      <c r="O1671">
        <v>-5507</v>
      </c>
      <c r="P1671" s="8">
        <f t="shared" si="111"/>
        <v>15.077344284736482</v>
      </c>
      <c r="Q1671" s="5" t="str">
        <f t="shared" si="109"/>
        <v>Employed</v>
      </c>
      <c r="R1671">
        <v>1</v>
      </c>
      <c r="S1671">
        <v>0</v>
      </c>
      <c r="T1671">
        <v>1</v>
      </c>
      <c r="U1671">
        <v>0</v>
      </c>
      <c r="W1671">
        <v>2</v>
      </c>
    </row>
    <row r="1672" spans="1:23" x14ac:dyDescent="0.2">
      <c r="A1672">
        <v>5054076</v>
      </c>
      <c r="B1672" t="s">
        <v>18</v>
      </c>
      <c r="C1672" t="s">
        <v>19</v>
      </c>
      <c r="D1672" t="s">
        <v>19</v>
      </c>
      <c r="E1672">
        <v>0</v>
      </c>
      <c r="F1672">
        <v>135000</v>
      </c>
      <c r="G1672" t="s">
        <v>31</v>
      </c>
      <c r="H1672" t="s">
        <v>27</v>
      </c>
      <c r="I1672" t="s">
        <v>28</v>
      </c>
      <c r="J1672" t="s">
        <v>24</v>
      </c>
      <c r="K1672" s="6">
        <f t="shared" ref="K1672:K1735" ca="1" si="112">TODAY()+($L1672)</f>
        <v>28618</v>
      </c>
      <c r="L1672">
        <v>-17143</v>
      </c>
      <c r="M1672" s="7">
        <f t="shared" ca="1" si="110"/>
        <v>46.934976043805612</v>
      </c>
      <c r="N1672" s="5" t="str">
        <f ca="1">VLOOKUP(Data!M1672,temp!$B$3:$C$9,2,1)</f>
        <v>40-50</v>
      </c>
      <c r="O1672">
        <v>-5507</v>
      </c>
      <c r="P1672" s="8">
        <f t="shared" si="111"/>
        <v>15.077344284736482</v>
      </c>
      <c r="Q1672" s="5" t="str">
        <f t="shared" ref="Q1672:Q1735" si="113">IF($O1672&gt;0,"Unemployed","Employed")</f>
        <v>Employed</v>
      </c>
      <c r="R1672">
        <v>1</v>
      </c>
      <c r="S1672">
        <v>0</v>
      </c>
      <c r="T1672">
        <v>1</v>
      </c>
      <c r="U1672">
        <v>0</v>
      </c>
      <c r="W1672">
        <v>2</v>
      </c>
    </row>
    <row r="1673" spans="1:23" x14ac:dyDescent="0.2">
      <c r="A1673">
        <v>5054078</v>
      </c>
      <c r="B1673" t="s">
        <v>18</v>
      </c>
      <c r="C1673" t="s">
        <v>19</v>
      </c>
      <c r="D1673" t="s">
        <v>19</v>
      </c>
      <c r="E1673">
        <v>0</v>
      </c>
      <c r="F1673">
        <v>135000</v>
      </c>
      <c r="G1673" t="s">
        <v>31</v>
      </c>
      <c r="H1673" t="s">
        <v>27</v>
      </c>
      <c r="I1673" t="s">
        <v>28</v>
      </c>
      <c r="J1673" t="s">
        <v>24</v>
      </c>
      <c r="K1673" s="6">
        <f t="shared" ca="1" si="112"/>
        <v>28618</v>
      </c>
      <c r="L1673">
        <v>-17143</v>
      </c>
      <c r="M1673" s="7">
        <f t="shared" ca="1" si="110"/>
        <v>46.934976043805612</v>
      </c>
      <c r="N1673" s="5" t="str">
        <f ca="1">VLOOKUP(Data!M1673,temp!$B$3:$C$9,2,1)</f>
        <v>40-50</v>
      </c>
      <c r="O1673">
        <v>-5507</v>
      </c>
      <c r="P1673" s="8">
        <f t="shared" si="111"/>
        <v>15.077344284736482</v>
      </c>
      <c r="Q1673" s="5" t="str">
        <f t="shared" si="113"/>
        <v>Employed</v>
      </c>
      <c r="R1673">
        <v>1</v>
      </c>
      <c r="S1673">
        <v>0</v>
      </c>
      <c r="T1673">
        <v>1</v>
      </c>
      <c r="U1673">
        <v>0</v>
      </c>
      <c r="W1673">
        <v>2</v>
      </c>
    </row>
    <row r="1674" spans="1:23" x14ac:dyDescent="0.2">
      <c r="A1674">
        <v>5054079</v>
      </c>
      <c r="B1674" t="s">
        <v>18</v>
      </c>
      <c r="C1674" t="s">
        <v>19</v>
      </c>
      <c r="D1674" t="s">
        <v>19</v>
      </c>
      <c r="E1674">
        <v>0</v>
      </c>
      <c r="F1674">
        <v>135000</v>
      </c>
      <c r="G1674" t="s">
        <v>31</v>
      </c>
      <c r="H1674" t="s">
        <v>27</v>
      </c>
      <c r="I1674" t="s">
        <v>28</v>
      </c>
      <c r="J1674" t="s">
        <v>24</v>
      </c>
      <c r="K1674" s="6">
        <f t="shared" ca="1" si="112"/>
        <v>28618</v>
      </c>
      <c r="L1674">
        <v>-17143</v>
      </c>
      <c r="M1674" s="7">
        <f t="shared" ca="1" si="110"/>
        <v>46.934976043805612</v>
      </c>
      <c r="N1674" s="5" t="str">
        <f ca="1">VLOOKUP(Data!M1674,temp!$B$3:$C$9,2,1)</f>
        <v>40-50</v>
      </c>
      <c r="O1674">
        <v>-5507</v>
      </c>
      <c r="P1674" s="8">
        <f t="shared" si="111"/>
        <v>15.077344284736482</v>
      </c>
      <c r="Q1674" s="5" t="str">
        <f t="shared" si="113"/>
        <v>Employed</v>
      </c>
      <c r="R1674">
        <v>1</v>
      </c>
      <c r="S1674">
        <v>0</v>
      </c>
      <c r="T1674">
        <v>1</v>
      </c>
      <c r="U1674">
        <v>0</v>
      </c>
      <c r="W1674">
        <v>2</v>
      </c>
    </row>
    <row r="1675" spans="1:23" x14ac:dyDescent="0.2">
      <c r="A1675">
        <v>5054082</v>
      </c>
      <c r="B1675" t="s">
        <v>18</v>
      </c>
      <c r="C1675" t="s">
        <v>19</v>
      </c>
      <c r="D1675" t="s">
        <v>19</v>
      </c>
      <c r="E1675">
        <v>0</v>
      </c>
      <c r="F1675">
        <v>135000</v>
      </c>
      <c r="G1675" t="s">
        <v>31</v>
      </c>
      <c r="H1675" t="s">
        <v>27</v>
      </c>
      <c r="I1675" t="s">
        <v>28</v>
      </c>
      <c r="J1675" t="s">
        <v>24</v>
      </c>
      <c r="K1675" s="6">
        <f t="shared" ca="1" si="112"/>
        <v>28618</v>
      </c>
      <c r="L1675">
        <v>-17143</v>
      </c>
      <c r="M1675" s="7">
        <f t="shared" ca="1" si="110"/>
        <v>46.934976043805612</v>
      </c>
      <c r="N1675" s="5" t="str">
        <f ca="1">VLOOKUP(Data!M1675,temp!$B$3:$C$9,2,1)</f>
        <v>40-50</v>
      </c>
      <c r="O1675">
        <v>-5507</v>
      </c>
      <c r="P1675" s="8">
        <f t="shared" si="111"/>
        <v>15.077344284736482</v>
      </c>
      <c r="Q1675" s="5" t="str">
        <f t="shared" si="113"/>
        <v>Employed</v>
      </c>
      <c r="R1675">
        <v>1</v>
      </c>
      <c r="S1675">
        <v>0</v>
      </c>
      <c r="T1675">
        <v>1</v>
      </c>
      <c r="U1675">
        <v>0</v>
      </c>
      <c r="W1675">
        <v>2</v>
      </c>
    </row>
    <row r="1676" spans="1:23" x14ac:dyDescent="0.2">
      <c r="A1676">
        <v>5054083</v>
      </c>
      <c r="B1676" t="s">
        <v>18</v>
      </c>
      <c r="C1676" t="s">
        <v>19</v>
      </c>
      <c r="D1676" t="s">
        <v>19</v>
      </c>
      <c r="E1676">
        <v>0</v>
      </c>
      <c r="F1676">
        <v>135000</v>
      </c>
      <c r="G1676" t="s">
        <v>31</v>
      </c>
      <c r="H1676" t="s">
        <v>27</v>
      </c>
      <c r="I1676" t="s">
        <v>28</v>
      </c>
      <c r="J1676" t="s">
        <v>24</v>
      </c>
      <c r="K1676" s="6">
        <f t="shared" ca="1" si="112"/>
        <v>28618</v>
      </c>
      <c r="L1676">
        <v>-17143</v>
      </c>
      <c r="M1676" s="7">
        <f t="shared" ca="1" si="110"/>
        <v>46.934976043805612</v>
      </c>
      <c r="N1676" s="5" t="str">
        <f ca="1">VLOOKUP(Data!M1676,temp!$B$3:$C$9,2,1)</f>
        <v>40-50</v>
      </c>
      <c r="O1676">
        <v>-5507</v>
      </c>
      <c r="P1676" s="8">
        <f t="shared" si="111"/>
        <v>15.077344284736482</v>
      </c>
      <c r="Q1676" s="5" t="str">
        <f t="shared" si="113"/>
        <v>Employed</v>
      </c>
      <c r="R1676">
        <v>1</v>
      </c>
      <c r="S1676">
        <v>0</v>
      </c>
      <c r="T1676">
        <v>1</v>
      </c>
      <c r="U1676">
        <v>0</v>
      </c>
      <c r="W1676">
        <v>2</v>
      </c>
    </row>
    <row r="1677" spans="1:23" x14ac:dyDescent="0.2">
      <c r="A1677">
        <v>5054093</v>
      </c>
      <c r="B1677" t="s">
        <v>25</v>
      </c>
      <c r="C1677" t="s">
        <v>19</v>
      </c>
      <c r="D1677" t="s">
        <v>19</v>
      </c>
      <c r="E1677">
        <v>0</v>
      </c>
      <c r="F1677">
        <v>176175</v>
      </c>
      <c r="G1677" t="s">
        <v>26</v>
      </c>
      <c r="H1677" t="s">
        <v>27</v>
      </c>
      <c r="I1677" t="s">
        <v>28</v>
      </c>
      <c r="J1677" t="s">
        <v>41</v>
      </c>
      <c r="K1677" s="6">
        <f t="shared" ca="1" si="112"/>
        <v>36688</v>
      </c>
      <c r="L1677">
        <v>-9073</v>
      </c>
      <c r="M1677" s="7">
        <f t="shared" ca="1" si="110"/>
        <v>24.840520191649556</v>
      </c>
      <c r="N1677" s="5" t="str">
        <f ca="1">VLOOKUP(Data!M1677,temp!$B$3:$C$9,2,1)</f>
        <v>20-30</v>
      </c>
      <c r="O1677">
        <v>-699</v>
      </c>
      <c r="P1677" s="8">
        <f t="shared" si="111"/>
        <v>1.9137577002053388</v>
      </c>
      <c r="Q1677" s="5" t="str">
        <f t="shared" si="113"/>
        <v>Employed</v>
      </c>
      <c r="R1677">
        <v>1</v>
      </c>
      <c r="S1677">
        <v>1</v>
      </c>
      <c r="T1677">
        <v>0</v>
      </c>
      <c r="U1677">
        <v>0</v>
      </c>
      <c r="V1677" t="s">
        <v>38</v>
      </c>
      <c r="W1677">
        <v>2</v>
      </c>
    </row>
    <row r="1678" spans="1:23" x14ac:dyDescent="0.2">
      <c r="A1678">
        <v>5054094</v>
      </c>
      <c r="B1678" t="s">
        <v>25</v>
      </c>
      <c r="C1678" t="s">
        <v>20</v>
      </c>
      <c r="D1678" t="s">
        <v>19</v>
      </c>
      <c r="E1678">
        <v>2</v>
      </c>
      <c r="F1678">
        <v>202500</v>
      </c>
      <c r="G1678" t="s">
        <v>31</v>
      </c>
      <c r="H1678" t="s">
        <v>22</v>
      </c>
      <c r="I1678" t="s">
        <v>28</v>
      </c>
      <c r="J1678" t="s">
        <v>24</v>
      </c>
      <c r="K1678" s="6">
        <f t="shared" ca="1" si="112"/>
        <v>34025</v>
      </c>
      <c r="L1678">
        <v>-11736</v>
      </c>
      <c r="M1678" s="7">
        <f t="shared" ca="1" si="110"/>
        <v>32.131416837782339</v>
      </c>
      <c r="N1678" s="5" t="str">
        <f ca="1">VLOOKUP(Data!M1678,temp!$B$3:$C$9,2,1)</f>
        <v>30-40</v>
      </c>
      <c r="O1678">
        <v>-727</v>
      </c>
      <c r="P1678" s="8">
        <f t="shared" si="111"/>
        <v>1.9904175222450375</v>
      </c>
      <c r="Q1678" s="5" t="str">
        <f t="shared" si="113"/>
        <v>Employed</v>
      </c>
      <c r="R1678">
        <v>1</v>
      </c>
      <c r="S1678">
        <v>0</v>
      </c>
      <c r="T1678">
        <v>0</v>
      </c>
      <c r="U1678">
        <v>0</v>
      </c>
      <c r="V1678" t="s">
        <v>30</v>
      </c>
      <c r="W1678">
        <v>4</v>
      </c>
    </row>
    <row r="1679" spans="1:23" x14ac:dyDescent="0.2">
      <c r="A1679">
        <v>5054105</v>
      </c>
      <c r="B1679" t="s">
        <v>18</v>
      </c>
      <c r="C1679" t="s">
        <v>19</v>
      </c>
      <c r="D1679" t="s">
        <v>19</v>
      </c>
      <c r="E1679">
        <v>0</v>
      </c>
      <c r="F1679">
        <v>67500</v>
      </c>
      <c r="G1679" t="s">
        <v>21</v>
      </c>
      <c r="H1679" t="s">
        <v>27</v>
      </c>
      <c r="I1679" t="s">
        <v>23</v>
      </c>
      <c r="J1679" t="s">
        <v>24</v>
      </c>
      <c r="K1679" s="6">
        <f t="shared" ca="1" si="112"/>
        <v>24245</v>
      </c>
      <c r="L1679">
        <v>-21516</v>
      </c>
      <c r="M1679" s="7">
        <f t="shared" ca="1" si="110"/>
        <v>58.907597535934293</v>
      </c>
      <c r="N1679" s="5" t="str">
        <f ca="1">VLOOKUP(Data!M1679,temp!$B$3:$C$9,2,1)</f>
        <v>50-60</v>
      </c>
      <c r="O1679">
        <v>365243</v>
      </c>
      <c r="P1679" s="8">
        <f t="shared" si="111"/>
        <v>0</v>
      </c>
      <c r="Q1679" s="5" t="str">
        <f t="shared" si="113"/>
        <v>Unemployed</v>
      </c>
      <c r="R1679">
        <v>1</v>
      </c>
      <c r="S1679">
        <v>0</v>
      </c>
      <c r="T1679">
        <v>0</v>
      </c>
      <c r="U1679">
        <v>0</v>
      </c>
      <c r="W1679">
        <v>1</v>
      </c>
    </row>
    <row r="1680" spans="1:23" x14ac:dyDescent="0.2">
      <c r="A1680">
        <v>5054111</v>
      </c>
      <c r="B1680" t="s">
        <v>18</v>
      </c>
      <c r="C1680" t="s">
        <v>19</v>
      </c>
      <c r="D1680" t="s">
        <v>19</v>
      </c>
      <c r="E1680">
        <v>0</v>
      </c>
      <c r="F1680">
        <v>134419.5</v>
      </c>
      <c r="G1680" t="s">
        <v>26</v>
      </c>
      <c r="H1680" t="s">
        <v>22</v>
      </c>
      <c r="I1680" t="s">
        <v>33</v>
      </c>
      <c r="J1680" t="s">
        <v>24</v>
      </c>
      <c r="K1680" s="6">
        <f t="shared" ca="1" si="112"/>
        <v>35422</v>
      </c>
      <c r="L1680">
        <v>-10339</v>
      </c>
      <c r="M1680" s="7">
        <f t="shared" ca="1" si="110"/>
        <v>28.306639288158795</v>
      </c>
      <c r="N1680" s="5" t="str">
        <f ca="1">VLOOKUP(Data!M1680,temp!$B$3:$C$9,2,1)</f>
        <v>20-30</v>
      </c>
      <c r="O1680">
        <v>-393</v>
      </c>
      <c r="P1680" s="8">
        <f t="shared" si="111"/>
        <v>1.0759753593429158</v>
      </c>
      <c r="Q1680" s="5" t="str">
        <f t="shared" si="113"/>
        <v>Employed</v>
      </c>
      <c r="R1680">
        <v>1</v>
      </c>
      <c r="S1680">
        <v>1</v>
      </c>
      <c r="T1680">
        <v>0</v>
      </c>
      <c r="U1680">
        <v>0</v>
      </c>
      <c r="W1680">
        <v>1</v>
      </c>
    </row>
    <row r="1681" spans="1:23" x14ac:dyDescent="0.2">
      <c r="A1681">
        <v>5054142</v>
      </c>
      <c r="B1681" t="s">
        <v>18</v>
      </c>
      <c r="C1681" t="s">
        <v>19</v>
      </c>
      <c r="D1681" t="s">
        <v>19</v>
      </c>
      <c r="E1681">
        <v>0</v>
      </c>
      <c r="F1681">
        <v>135000</v>
      </c>
      <c r="G1681" t="s">
        <v>31</v>
      </c>
      <c r="H1681" t="s">
        <v>22</v>
      </c>
      <c r="I1681" t="s">
        <v>28</v>
      </c>
      <c r="J1681" t="s">
        <v>24</v>
      </c>
      <c r="K1681" s="6">
        <f t="shared" ca="1" si="112"/>
        <v>32559</v>
      </c>
      <c r="L1681">
        <v>-13202</v>
      </c>
      <c r="M1681" s="7">
        <f t="shared" ca="1" si="110"/>
        <v>36.145106091717999</v>
      </c>
      <c r="N1681" s="5" t="str">
        <f ca="1">VLOOKUP(Data!M1681,temp!$B$3:$C$9,2,1)</f>
        <v>30-40</v>
      </c>
      <c r="O1681">
        <v>-2646</v>
      </c>
      <c r="P1681" s="8">
        <f t="shared" si="111"/>
        <v>7.2443531827515404</v>
      </c>
      <c r="Q1681" s="5" t="str">
        <f t="shared" si="113"/>
        <v>Employed</v>
      </c>
      <c r="R1681">
        <v>1</v>
      </c>
      <c r="S1681">
        <v>1</v>
      </c>
      <c r="T1681">
        <v>0</v>
      </c>
      <c r="U1681">
        <v>0</v>
      </c>
      <c r="V1681" t="s">
        <v>29</v>
      </c>
      <c r="W1681">
        <v>2</v>
      </c>
    </row>
    <row r="1682" spans="1:23" x14ac:dyDescent="0.2">
      <c r="A1682">
        <v>5054150</v>
      </c>
      <c r="B1682" t="s">
        <v>18</v>
      </c>
      <c r="C1682" t="s">
        <v>19</v>
      </c>
      <c r="D1682" t="s">
        <v>19</v>
      </c>
      <c r="E1682">
        <v>0</v>
      </c>
      <c r="F1682">
        <v>135000</v>
      </c>
      <c r="G1682" t="s">
        <v>31</v>
      </c>
      <c r="H1682" t="s">
        <v>22</v>
      </c>
      <c r="I1682" t="s">
        <v>28</v>
      </c>
      <c r="J1682" t="s">
        <v>24</v>
      </c>
      <c r="K1682" s="6">
        <f t="shared" ca="1" si="112"/>
        <v>32559</v>
      </c>
      <c r="L1682">
        <v>-13202</v>
      </c>
      <c r="M1682" s="7">
        <f t="shared" ca="1" si="110"/>
        <v>36.145106091717999</v>
      </c>
      <c r="N1682" s="5" t="str">
        <f ca="1">VLOOKUP(Data!M1682,temp!$B$3:$C$9,2,1)</f>
        <v>30-40</v>
      </c>
      <c r="O1682">
        <v>-2646</v>
      </c>
      <c r="P1682" s="8">
        <f t="shared" si="111"/>
        <v>7.2443531827515404</v>
      </c>
      <c r="Q1682" s="5" t="str">
        <f t="shared" si="113"/>
        <v>Employed</v>
      </c>
      <c r="R1682">
        <v>1</v>
      </c>
      <c r="S1682">
        <v>1</v>
      </c>
      <c r="T1682">
        <v>0</v>
      </c>
      <c r="U1682">
        <v>0</v>
      </c>
      <c r="V1682" t="s">
        <v>29</v>
      </c>
      <c r="W1682">
        <v>2</v>
      </c>
    </row>
    <row r="1683" spans="1:23" x14ac:dyDescent="0.2">
      <c r="A1683">
        <v>5054160</v>
      </c>
      <c r="B1683" t="s">
        <v>18</v>
      </c>
      <c r="C1683" t="s">
        <v>20</v>
      </c>
      <c r="D1683" t="s">
        <v>19</v>
      </c>
      <c r="E1683">
        <v>0</v>
      </c>
      <c r="F1683">
        <v>315000</v>
      </c>
      <c r="G1683" t="s">
        <v>26</v>
      </c>
      <c r="H1683" t="s">
        <v>27</v>
      </c>
      <c r="I1683" t="s">
        <v>37</v>
      </c>
      <c r="J1683" t="s">
        <v>24</v>
      </c>
      <c r="K1683" s="6">
        <f t="shared" ca="1" si="112"/>
        <v>31859</v>
      </c>
      <c r="L1683">
        <v>-13902</v>
      </c>
      <c r="M1683" s="7">
        <f t="shared" ca="1" si="110"/>
        <v>38.061601642710471</v>
      </c>
      <c r="N1683" s="5" t="str">
        <f ca="1">VLOOKUP(Data!M1683,temp!$B$3:$C$9,2,1)</f>
        <v>30-40</v>
      </c>
      <c r="O1683">
        <v>-1703</v>
      </c>
      <c r="P1683" s="8">
        <f t="shared" si="111"/>
        <v>4.6625598904859684</v>
      </c>
      <c r="Q1683" s="5" t="str">
        <f t="shared" si="113"/>
        <v>Employed</v>
      </c>
      <c r="R1683">
        <v>1</v>
      </c>
      <c r="S1683">
        <v>1</v>
      </c>
      <c r="T1683">
        <v>0</v>
      </c>
      <c r="U1683">
        <v>0</v>
      </c>
      <c r="V1683" t="s">
        <v>47</v>
      </c>
      <c r="W1683">
        <v>2</v>
      </c>
    </row>
    <row r="1684" spans="1:23" x14ac:dyDescent="0.2">
      <c r="A1684">
        <v>5054172</v>
      </c>
      <c r="B1684" t="s">
        <v>18</v>
      </c>
      <c r="C1684" t="s">
        <v>20</v>
      </c>
      <c r="D1684" t="s">
        <v>19</v>
      </c>
      <c r="E1684">
        <v>1</v>
      </c>
      <c r="F1684">
        <v>292500</v>
      </c>
      <c r="G1684" t="s">
        <v>31</v>
      </c>
      <c r="H1684" t="s">
        <v>22</v>
      </c>
      <c r="I1684" t="s">
        <v>28</v>
      </c>
      <c r="J1684" t="s">
        <v>24</v>
      </c>
      <c r="K1684" s="6">
        <f t="shared" ca="1" si="112"/>
        <v>28556</v>
      </c>
      <c r="L1684">
        <v>-17205</v>
      </c>
      <c r="M1684" s="7">
        <f t="shared" ca="1" si="110"/>
        <v>47.104722792607802</v>
      </c>
      <c r="N1684" s="5" t="str">
        <f ca="1">VLOOKUP(Data!M1684,temp!$B$3:$C$9,2,1)</f>
        <v>40-50</v>
      </c>
      <c r="O1684">
        <v>-1946</v>
      </c>
      <c r="P1684" s="8">
        <f t="shared" si="111"/>
        <v>5.3278576317590689</v>
      </c>
      <c r="Q1684" s="5" t="str">
        <f t="shared" si="113"/>
        <v>Employed</v>
      </c>
      <c r="R1684">
        <v>1</v>
      </c>
      <c r="S1684">
        <v>1</v>
      </c>
      <c r="T1684">
        <v>1</v>
      </c>
      <c r="U1684">
        <v>0</v>
      </c>
      <c r="V1684" t="s">
        <v>44</v>
      </c>
      <c r="W1684">
        <v>3</v>
      </c>
    </row>
    <row r="1685" spans="1:23" x14ac:dyDescent="0.2">
      <c r="A1685">
        <v>5054176</v>
      </c>
      <c r="B1685" t="s">
        <v>25</v>
      </c>
      <c r="C1685" t="s">
        <v>20</v>
      </c>
      <c r="D1685" t="s">
        <v>19</v>
      </c>
      <c r="E1685">
        <v>1</v>
      </c>
      <c r="F1685">
        <v>135000</v>
      </c>
      <c r="G1685" t="s">
        <v>31</v>
      </c>
      <c r="H1685" t="s">
        <v>22</v>
      </c>
      <c r="I1685" t="s">
        <v>28</v>
      </c>
      <c r="J1685" t="s">
        <v>24</v>
      </c>
      <c r="K1685" s="6">
        <f t="shared" ca="1" si="112"/>
        <v>33520</v>
      </c>
      <c r="L1685">
        <v>-12241</v>
      </c>
      <c r="M1685" s="7">
        <f t="shared" ca="1" si="110"/>
        <v>33.51403148528405</v>
      </c>
      <c r="N1685" s="5" t="str">
        <f ca="1">VLOOKUP(Data!M1685,temp!$B$3:$C$9,2,1)</f>
        <v>30-40</v>
      </c>
      <c r="O1685">
        <v>-1581</v>
      </c>
      <c r="P1685" s="8">
        <f t="shared" si="111"/>
        <v>4.3285420944558526</v>
      </c>
      <c r="Q1685" s="5" t="str">
        <f t="shared" si="113"/>
        <v>Employed</v>
      </c>
      <c r="R1685">
        <v>1</v>
      </c>
      <c r="S1685">
        <v>1</v>
      </c>
      <c r="T1685">
        <v>0</v>
      </c>
      <c r="U1685">
        <v>0</v>
      </c>
      <c r="V1685" t="s">
        <v>32</v>
      </c>
      <c r="W1685">
        <v>3</v>
      </c>
    </row>
    <row r="1686" spans="1:23" x14ac:dyDescent="0.2">
      <c r="A1686">
        <v>5054177</v>
      </c>
      <c r="B1686" t="s">
        <v>25</v>
      </c>
      <c r="C1686" t="s">
        <v>20</v>
      </c>
      <c r="D1686" t="s">
        <v>19</v>
      </c>
      <c r="E1686">
        <v>1</v>
      </c>
      <c r="F1686">
        <v>135000</v>
      </c>
      <c r="G1686" t="s">
        <v>31</v>
      </c>
      <c r="H1686" t="s">
        <v>22</v>
      </c>
      <c r="I1686" t="s">
        <v>28</v>
      </c>
      <c r="J1686" t="s">
        <v>24</v>
      </c>
      <c r="K1686" s="6">
        <f t="shared" ca="1" si="112"/>
        <v>33520</v>
      </c>
      <c r="L1686">
        <v>-12241</v>
      </c>
      <c r="M1686" s="7">
        <f t="shared" ca="1" si="110"/>
        <v>33.51403148528405</v>
      </c>
      <c r="N1686" s="5" t="str">
        <f ca="1">VLOOKUP(Data!M1686,temp!$B$3:$C$9,2,1)</f>
        <v>30-40</v>
      </c>
      <c r="O1686">
        <v>-1581</v>
      </c>
      <c r="P1686" s="8">
        <f t="shared" si="111"/>
        <v>4.3285420944558526</v>
      </c>
      <c r="Q1686" s="5" t="str">
        <f t="shared" si="113"/>
        <v>Employed</v>
      </c>
      <c r="R1686">
        <v>1</v>
      </c>
      <c r="S1686">
        <v>1</v>
      </c>
      <c r="T1686">
        <v>0</v>
      </c>
      <c r="U1686">
        <v>0</v>
      </c>
      <c r="V1686" t="s">
        <v>32</v>
      </c>
      <c r="W1686">
        <v>3</v>
      </c>
    </row>
    <row r="1687" spans="1:23" x14ac:dyDescent="0.2">
      <c r="A1687">
        <v>5054192</v>
      </c>
      <c r="B1687" t="s">
        <v>18</v>
      </c>
      <c r="C1687" t="s">
        <v>19</v>
      </c>
      <c r="D1687" t="s">
        <v>19</v>
      </c>
      <c r="E1687">
        <v>0</v>
      </c>
      <c r="F1687">
        <v>135000</v>
      </c>
      <c r="G1687" t="s">
        <v>31</v>
      </c>
      <c r="H1687" t="s">
        <v>27</v>
      </c>
      <c r="I1687" t="s">
        <v>28</v>
      </c>
      <c r="J1687" t="s">
        <v>24</v>
      </c>
      <c r="K1687" s="6">
        <f t="shared" ca="1" si="112"/>
        <v>34371</v>
      </c>
      <c r="L1687">
        <v>-11390</v>
      </c>
      <c r="M1687" s="7">
        <f t="shared" ca="1" si="110"/>
        <v>31.184120465434635</v>
      </c>
      <c r="N1687" s="5" t="str">
        <f ca="1">VLOOKUP(Data!M1687,temp!$B$3:$C$9,2,1)</f>
        <v>30-40</v>
      </c>
      <c r="O1687">
        <v>-515</v>
      </c>
      <c r="P1687" s="8">
        <f t="shared" si="111"/>
        <v>1.4099931553730323</v>
      </c>
      <c r="Q1687" s="5" t="str">
        <f t="shared" si="113"/>
        <v>Employed</v>
      </c>
      <c r="R1687">
        <v>1</v>
      </c>
      <c r="S1687">
        <v>0</v>
      </c>
      <c r="T1687">
        <v>1</v>
      </c>
      <c r="U1687">
        <v>0</v>
      </c>
      <c r="V1687" t="s">
        <v>39</v>
      </c>
      <c r="W1687">
        <v>2</v>
      </c>
    </row>
    <row r="1688" spans="1:23" x14ac:dyDescent="0.2">
      <c r="A1688">
        <v>5054202</v>
      </c>
      <c r="B1688" t="s">
        <v>18</v>
      </c>
      <c r="C1688" t="s">
        <v>20</v>
      </c>
      <c r="D1688" t="s">
        <v>19</v>
      </c>
      <c r="E1688">
        <v>2</v>
      </c>
      <c r="F1688">
        <v>112500</v>
      </c>
      <c r="G1688" t="s">
        <v>31</v>
      </c>
      <c r="H1688" t="s">
        <v>27</v>
      </c>
      <c r="I1688" t="s">
        <v>28</v>
      </c>
      <c r="J1688" t="s">
        <v>24</v>
      </c>
      <c r="K1688" s="6">
        <f t="shared" ca="1" si="112"/>
        <v>33491</v>
      </c>
      <c r="L1688">
        <v>-12270</v>
      </c>
      <c r="M1688" s="7">
        <f t="shared" ca="1" si="110"/>
        <v>33.593429158110879</v>
      </c>
      <c r="N1688" s="5" t="str">
        <f ca="1">VLOOKUP(Data!M1688,temp!$B$3:$C$9,2,1)</f>
        <v>30-40</v>
      </c>
      <c r="O1688">
        <v>-150</v>
      </c>
      <c r="P1688" s="8">
        <f t="shared" si="111"/>
        <v>0.41067761806981518</v>
      </c>
      <c r="Q1688" s="5" t="str">
        <f t="shared" si="113"/>
        <v>Employed</v>
      </c>
      <c r="R1688">
        <v>1</v>
      </c>
      <c r="S1688">
        <v>0</v>
      </c>
      <c r="T1688">
        <v>1</v>
      </c>
      <c r="U1688">
        <v>0</v>
      </c>
      <c r="V1688" t="s">
        <v>40</v>
      </c>
      <c r="W1688">
        <v>4</v>
      </c>
    </row>
    <row r="1689" spans="1:23" x14ac:dyDescent="0.2">
      <c r="A1689">
        <v>5054231</v>
      </c>
      <c r="B1689" t="s">
        <v>25</v>
      </c>
      <c r="C1689" t="s">
        <v>19</v>
      </c>
      <c r="D1689" t="s">
        <v>19</v>
      </c>
      <c r="E1689">
        <v>0</v>
      </c>
      <c r="F1689">
        <v>135000</v>
      </c>
      <c r="G1689" t="s">
        <v>31</v>
      </c>
      <c r="H1689" t="s">
        <v>27</v>
      </c>
      <c r="I1689" t="s">
        <v>28</v>
      </c>
      <c r="J1689" t="s">
        <v>24</v>
      </c>
      <c r="K1689" s="6">
        <f t="shared" ca="1" si="112"/>
        <v>34077</v>
      </c>
      <c r="L1689">
        <v>-11684</v>
      </c>
      <c r="M1689" s="7">
        <f t="shared" ca="1" si="110"/>
        <v>31.989048596851472</v>
      </c>
      <c r="N1689" s="5" t="str">
        <f ca="1">VLOOKUP(Data!M1689,temp!$B$3:$C$9,2,1)</f>
        <v>30-40</v>
      </c>
      <c r="O1689">
        <v>-1611</v>
      </c>
      <c r="P1689" s="8">
        <f t="shared" si="111"/>
        <v>4.4106776180698155</v>
      </c>
      <c r="Q1689" s="5" t="str">
        <f t="shared" si="113"/>
        <v>Employed</v>
      </c>
      <c r="R1689">
        <v>1</v>
      </c>
      <c r="S1689">
        <v>0</v>
      </c>
      <c r="T1689">
        <v>0</v>
      </c>
      <c r="U1689">
        <v>0</v>
      </c>
      <c r="V1689" t="s">
        <v>40</v>
      </c>
      <c r="W1689">
        <v>2</v>
      </c>
    </row>
    <row r="1690" spans="1:23" x14ac:dyDescent="0.2">
      <c r="A1690">
        <v>5054251</v>
      </c>
      <c r="B1690" t="s">
        <v>25</v>
      </c>
      <c r="C1690" t="s">
        <v>19</v>
      </c>
      <c r="D1690" t="s">
        <v>19</v>
      </c>
      <c r="E1690">
        <v>0</v>
      </c>
      <c r="F1690">
        <v>202500</v>
      </c>
      <c r="G1690" t="s">
        <v>31</v>
      </c>
      <c r="H1690" t="s">
        <v>27</v>
      </c>
      <c r="I1690" t="s">
        <v>28</v>
      </c>
      <c r="J1690" t="s">
        <v>24</v>
      </c>
      <c r="K1690" s="6">
        <f t="shared" ca="1" si="112"/>
        <v>35609</v>
      </c>
      <c r="L1690">
        <v>-10152</v>
      </c>
      <c r="M1690" s="7">
        <f t="shared" ca="1" si="110"/>
        <v>27.794661190965094</v>
      </c>
      <c r="N1690" s="5" t="str">
        <f ca="1">VLOOKUP(Data!M1690,temp!$B$3:$C$9,2,1)</f>
        <v>20-30</v>
      </c>
      <c r="O1690">
        <v>-2585</v>
      </c>
      <c r="P1690" s="8">
        <f t="shared" si="111"/>
        <v>7.0773442847364816</v>
      </c>
      <c r="Q1690" s="5" t="str">
        <f t="shared" si="113"/>
        <v>Employed</v>
      </c>
      <c r="R1690">
        <v>1</v>
      </c>
      <c r="S1690">
        <v>1</v>
      </c>
      <c r="T1690">
        <v>0</v>
      </c>
      <c r="U1690">
        <v>0</v>
      </c>
      <c r="V1690" t="s">
        <v>29</v>
      </c>
      <c r="W1690">
        <v>2</v>
      </c>
    </row>
    <row r="1691" spans="1:23" x14ac:dyDescent="0.2">
      <c r="A1691">
        <v>5054254</v>
      </c>
      <c r="B1691" t="s">
        <v>25</v>
      </c>
      <c r="C1691" t="s">
        <v>19</v>
      </c>
      <c r="D1691" t="s">
        <v>19</v>
      </c>
      <c r="E1691">
        <v>0</v>
      </c>
      <c r="F1691">
        <v>202500</v>
      </c>
      <c r="G1691" t="s">
        <v>31</v>
      </c>
      <c r="H1691" t="s">
        <v>27</v>
      </c>
      <c r="I1691" t="s">
        <v>28</v>
      </c>
      <c r="J1691" t="s">
        <v>24</v>
      </c>
      <c r="K1691" s="6">
        <f t="shared" ca="1" si="112"/>
        <v>35609</v>
      </c>
      <c r="L1691">
        <v>-10152</v>
      </c>
      <c r="M1691" s="7">
        <f t="shared" ca="1" si="110"/>
        <v>27.794661190965094</v>
      </c>
      <c r="N1691" s="5" t="str">
        <f ca="1">VLOOKUP(Data!M1691,temp!$B$3:$C$9,2,1)</f>
        <v>20-30</v>
      </c>
      <c r="O1691">
        <v>-2585</v>
      </c>
      <c r="P1691" s="8">
        <f t="shared" si="111"/>
        <v>7.0773442847364816</v>
      </c>
      <c r="Q1691" s="5" t="str">
        <f t="shared" si="113"/>
        <v>Employed</v>
      </c>
      <c r="R1691">
        <v>1</v>
      </c>
      <c r="S1691">
        <v>1</v>
      </c>
      <c r="T1691">
        <v>0</v>
      </c>
      <c r="U1691">
        <v>0</v>
      </c>
      <c r="V1691" t="s">
        <v>29</v>
      </c>
      <c r="W1691">
        <v>2</v>
      </c>
    </row>
    <row r="1692" spans="1:23" x14ac:dyDescent="0.2">
      <c r="A1692">
        <v>5054257</v>
      </c>
      <c r="B1692" t="s">
        <v>25</v>
      </c>
      <c r="C1692" t="s">
        <v>19</v>
      </c>
      <c r="D1692" t="s">
        <v>19</v>
      </c>
      <c r="E1692">
        <v>0</v>
      </c>
      <c r="F1692">
        <v>202500</v>
      </c>
      <c r="G1692" t="s">
        <v>31</v>
      </c>
      <c r="H1692" t="s">
        <v>27</v>
      </c>
      <c r="I1692" t="s">
        <v>28</v>
      </c>
      <c r="J1692" t="s">
        <v>24</v>
      </c>
      <c r="K1692" s="6">
        <f t="shared" ca="1" si="112"/>
        <v>35609</v>
      </c>
      <c r="L1692">
        <v>-10152</v>
      </c>
      <c r="M1692" s="7">
        <f t="shared" ca="1" si="110"/>
        <v>27.794661190965094</v>
      </c>
      <c r="N1692" s="5" t="str">
        <f ca="1">VLOOKUP(Data!M1692,temp!$B$3:$C$9,2,1)</f>
        <v>20-30</v>
      </c>
      <c r="O1692">
        <v>-2585</v>
      </c>
      <c r="P1692" s="8">
        <f t="shared" si="111"/>
        <v>7.0773442847364816</v>
      </c>
      <c r="Q1692" s="5" t="str">
        <f t="shared" si="113"/>
        <v>Employed</v>
      </c>
      <c r="R1692">
        <v>1</v>
      </c>
      <c r="S1692">
        <v>1</v>
      </c>
      <c r="T1692">
        <v>0</v>
      </c>
      <c r="U1692">
        <v>0</v>
      </c>
      <c r="V1692" t="s">
        <v>29</v>
      </c>
      <c r="W1692">
        <v>2</v>
      </c>
    </row>
    <row r="1693" spans="1:23" x14ac:dyDescent="0.2">
      <c r="A1693">
        <v>5054292</v>
      </c>
      <c r="B1693" t="s">
        <v>18</v>
      </c>
      <c r="C1693" t="s">
        <v>19</v>
      </c>
      <c r="D1693" t="s">
        <v>19</v>
      </c>
      <c r="E1693">
        <v>1</v>
      </c>
      <c r="F1693">
        <v>121500</v>
      </c>
      <c r="G1693" t="s">
        <v>31</v>
      </c>
      <c r="H1693" t="s">
        <v>27</v>
      </c>
      <c r="I1693" t="s">
        <v>37</v>
      </c>
      <c r="J1693" t="s">
        <v>24</v>
      </c>
      <c r="K1693" s="6">
        <f t="shared" ca="1" si="112"/>
        <v>33045</v>
      </c>
      <c r="L1693">
        <v>-12716</v>
      </c>
      <c r="M1693" s="7">
        <f t="shared" ca="1" si="110"/>
        <v>34.814510609171798</v>
      </c>
      <c r="N1693" s="5" t="str">
        <f ca="1">VLOOKUP(Data!M1693,temp!$B$3:$C$9,2,1)</f>
        <v>30-40</v>
      </c>
      <c r="O1693">
        <v>-393</v>
      </c>
      <c r="P1693" s="8">
        <f t="shared" si="111"/>
        <v>1.0759753593429158</v>
      </c>
      <c r="Q1693" s="5" t="str">
        <f t="shared" si="113"/>
        <v>Employed</v>
      </c>
      <c r="R1693">
        <v>1</v>
      </c>
      <c r="S1693">
        <v>1</v>
      </c>
      <c r="T1693">
        <v>0</v>
      </c>
      <c r="U1693">
        <v>0</v>
      </c>
      <c r="V1693" t="s">
        <v>38</v>
      </c>
      <c r="W1693">
        <v>3</v>
      </c>
    </row>
    <row r="1694" spans="1:23" x14ac:dyDescent="0.2">
      <c r="A1694">
        <v>5054293</v>
      </c>
      <c r="B1694" t="s">
        <v>18</v>
      </c>
      <c r="C1694" t="s">
        <v>19</v>
      </c>
      <c r="D1694" t="s">
        <v>19</v>
      </c>
      <c r="E1694">
        <v>1</v>
      </c>
      <c r="F1694">
        <v>121500</v>
      </c>
      <c r="G1694" t="s">
        <v>31</v>
      </c>
      <c r="H1694" t="s">
        <v>27</v>
      </c>
      <c r="I1694" t="s">
        <v>37</v>
      </c>
      <c r="J1694" t="s">
        <v>24</v>
      </c>
      <c r="K1694" s="6">
        <f t="shared" ca="1" si="112"/>
        <v>33045</v>
      </c>
      <c r="L1694">
        <v>-12716</v>
      </c>
      <c r="M1694" s="7">
        <f t="shared" ca="1" si="110"/>
        <v>34.814510609171798</v>
      </c>
      <c r="N1694" s="5" t="str">
        <f ca="1">VLOOKUP(Data!M1694,temp!$B$3:$C$9,2,1)</f>
        <v>30-40</v>
      </c>
      <c r="O1694">
        <v>-393</v>
      </c>
      <c r="P1694" s="8">
        <f t="shared" si="111"/>
        <v>1.0759753593429158</v>
      </c>
      <c r="Q1694" s="5" t="str">
        <f t="shared" si="113"/>
        <v>Employed</v>
      </c>
      <c r="R1694">
        <v>1</v>
      </c>
      <c r="S1694">
        <v>1</v>
      </c>
      <c r="T1694">
        <v>0</v>
      </c>
      <c r="U1694">
        <v>0</v>
      </c>
      <c r="V1694" t="s">
        <v>38</v>
      </c>
      <c r="W1694">
        <v>3</v>
      </c>
    </row>
    <row r="1695" spans="1:23" x14ac:dyDescent="0.2">
      <c r="A1695">
        <v>5054302</v>
      </c>
      <c r="B1695" t="s">
        <v>18</v>
      </c>
      <c r="C1695" t="s">
        <v>20</v>
      </c>
      <c r="D1695" t="s">
        <v>19</v>
      </c>
      <c r="E1695">
        <v>0</v>
      </c>
      <c r="F1695">
        <v>112500</v>
      </c>
      <c r="G1695" t="s">
        <v>31</v>
      </c>
      <c r="H1695" t="s">
        <v>27</v>
      </c>
      <c r="I1695" t="s">
        <v>28</v>
      </c>
      <c r="J1695" t="s">
        <v>24</v>
      </c>
      <c r="K1695" s="6">
        <f t="shared" ca="1" si="112"/>
        <v>31701</v>
      </c>
      <c r="L1695">
        <v>-14060</v>
      </c>
      <c r="M1695" s="7">
        <f t="shared" ca="1" si="110"/>
        <v>38.494182067077347</v>
      </c>
      <c r="N1695" s="5" t="str">
        <f ca="1">VLOOKUP(Data!M1695,temp!$B$3:$C$9,2,1)</f>
        <v>30-40</v>
      </c>
      <c r="O1695">
        <v>-7364</v>
      </c>
      <c r="P1695" s="8">
        <f t="shared" si="111"/>
        <v>20.161533196440793</v>
      </c>
      <c r="Q1695" s="5" t="str">
        <f t="shared" si="113"/>
        <v>Employed</v>
      </c>
      <c r="R1695">
        <v>1</v>
      </c>
      <c r="S1695">
        <v>1</v>
      </c>
      <c r="T1695">
        <v>0</v>
      </c>
      <c r="U1695">
        <v>0</v>
      </c>
      <c r="V1695" t="s">
        <v>55</v>
      </c>
      <c r="W1695">
        <v>2</v>
      </c>
    </row>
    <row r="1696" spans="1:23" x14ac:dyDescent="0.2">
      <c r="A1696">
        <v>5054311</v>
      </c>
      <c r="B1696" t="s">
        <v>18</v>
      </c>
      <c r="C1696" t="s">
        <v>19</v>
      </c>
      <c r="D1696" t="s">
        <v>19</v>
      </c>
      <c r="E1696">
        <v>0</v>
      </c>
      <c r="F1696">
        <v>112500</v>
      </c>
      <c r="G1696" t="s">
        <v>26</v>
      </c>
      <c r="H1696" t="s">
        <v>27</v>
      </c>
      <c r="I1696" t="s">
        <v>28</v>
      </c>
      <c r="J1696" t="s">
        <v>24</v>
      </c>
      <c r="K1696" s="6">
        <f t="shared" ca="1" si="112"/>
        <v>25476</v>
      </c>
      <c r="L1696">
        <v>-20285</v>
      </c>
      <c r="M1696" s="7">
        <f t="shared" ca="1" si="110"/>
        <v>55.537303216974678</v>
      </c>
      <c r="N1696" s="5" t="str">
        <f ca="1">VLOOKUP(Data!M1696,temp!$B$3:$C$9,2,1)</f>
        <v>50-60</v>
      </c>
      <c r="O1696">
        <v>-1734</v>
      </c>
      <c r="P1696" s="8">
        <f t="shared" si="111"/>
        <v>4.7474332648870634</v>
      </c>
      <c r="Q1696" s="5" t="str">
        <f t="shared" si="113"/>
        <v>Employed</v>
      </c>
      <c r="R1696">
        <v>1</v>
      </c>
      <c r="S1696">
        <v>1</v>
      </c>
      <c r="T1696">
        <v>1</v>
      </c>
      <c r="U1696">
        <v>0</v>
      </c>
      <c r="V1696" t="s">
        <v>47</v>
      </c>
      <c r="W1696">
        <v>2</v>
      </c>
    </row>
    <row r="1697" spans="1:23" x14ac:dyDescent="0.2">
      <c r="A1697">
        <v>5054316</v>
      </c>
      <c r="B1697" t="s">
        <v>18</v>
      </c>
      <c r="C1697" t="s">
        <v>19</v>
      </c>
      <c r="D1697" t="s">
        <v>19</v>
      </c>
      <c r="E1697">
        <v>2</v>
      </c>
      <c r="F1697">
        <v>67500</v>
      </c>
      <c r="G1697" t="s">
        <v>31</v>
      </c>
      <c r="H1697" t="s">
        <v>27</v>
      </c>
      <c r="I1697" t="s">
        <v>37</v>
      </c>
      <c r="J1697" t="s">
        <v>24</v>
      </c>
      <c r="K1697" s="6">
        <f t="shared" ca="1" si="112"/>
        <v>36586</v>
      </c>
      <c r="L1697">
        <v>-9175</v>
      </c>
      <c r="M1697" s="7">
        <f t="shared" ca="1" si="110"/>
        <v>25.119780971937029</v>
      </c>
      <c r="N1697" s="5" t="str">
        <f ca="1">VLOOKUP(Data!M1697,temp!$B$3:$C$9,2,1)</f>
        <v>20-30</v>
      </c>
      <c r="O1697">
        <v>-1399</v>
      </c>
      <c r="P1697" s="8">
        <f t="shared" si="111"/>
        <v>3.8302532511978096</v>
      </c>
      <c r="Q1697" s="5" t="str">
        <f t="shared" si="113"/>
        <v>Employed</v>
      </c>
      <c r="R1697">
        <v>1</v>
      </c>
      <c r="S1697">
        <v>0</v>
      </c>
      <c r="T1697">
        <v>0</v>
      </c>
      <c r="U1697">
        <v>0</v>
      </c>
      <c r="V1697" t="s">
        <v>32</v>
      </c>
      <c r="W1697">
        <v>4</v>
      </c>
    </row>
    <row r="1698" spans="1:23" x14ac:dyDescent="0.2">
      <c r="A1698">
        <v>5054344</v>
      </c>
      <c r="B1698" t="s">
        <v>18</v>
      </c>
      <c r="C1698" t="s">
        <v>20</v>
      </c>
      <c r="D1698" t="s">
        <v>19</v>
      </c>
      <c r="E1698">
        <v>0</v>
      </c>
      <c r="F1698">
        <v>225000</v>
      </c>
      <c r="G1698" t="s">
        <v>31</v>
      </c>
      <c r="H1698" t="s">
        <v>27</v>
      </c>
      <c r="I1698" t="s">
        <v>28</v>
      </c>
      <c r="J1698" t="s">
        <v>24</v>
      </c>
      <c r="K1698" s="6">
        <f t="shared" ca="1" si="112"/>
        <v>25120</v>
      </c>
      <c r="L1698">
        <v>-20641</v>
      </c>
      <c r="M1698" s="7">
        <f t="shared" ca="1" si="110"/>
        <v>56.511978097193705</v>
      </c>
      <c r="N1698" s="5" t="str">
        <f ca="1">VLOOKUP(Data!M1698,temp!$B$3:$C$9,2,1)</f>
        <v>50-60</v>
      </c>
      <c r="O1698">
        <v>-1064</v>
      </c>
      <c r="P1698" s="8">
        <f t="shared" si="111"/>
        <v>2.9130732375085557</v>
      </c>
      <c r="Q1698" s="5" t="str">
        <f t="shared" si="113"/>
        <v>Employed</v>
      </c>
      <c r="R1698">
        <v>1</v>
      </c>
      <c r="S1698">
        <v>0</v>
      </c>
      <c r="T1698">
        <v>1</v>
      </c>
      <c r="U1698">
        <v>0</v>
      </c>
      <c r="V1698" t="s">
        <v>39</v>
      </c>
      <c r="W1698">
        <v>2</v>
      </c>
    </row>
    <row r="1699" spans="1:23" x14ac:dyDescent="0.2">
      <c r="A1699">
        <v>5054350</v>
      </c>
      <c r="B1699" t="s">
        <v>18</v>
      </c>
      <c r="C1699" t="s">
        <v>19</v>
      </c>
      <c r="D1699" t="s">
        <v>19</v>
      </c>
      <c r="E1699">
        <v>0</v>
      </c>
      <c r="F1699">
        <v>157500</v>
      </c>
      <c r="G1699" t="s">
        <v>31</v>
      </c>
      <c r="H1699" t="s">
        <v>22</v>
      </c>
      <c r="I1699" t="s">
        <v>33</v>
      </c>
      <c r="J1699" t="s">
        <v>24</v>
      </c>
      <c r="K1699" s="6">
        <f t="shared" ca="1" si="112"/>
        <v>32891</v>
      </c>
      <c r="L1699">
        <v>-12870</v>
      </c>
      <c r="M1699" s="7">
        <f t="shared" ca="1" si="110"/>
        <v>35.236139630390142</v>
      </c>
      <c r="N1699" s="5" t="str">
        <f ca="1">VLOOKUP(Data!M1699,temp!$B$3:$C$9,2,1)</f>
        <v>30-40</v>
      </c>
      <c r="O1699">
        <v>-515</v>
      </c>
      <c r="P1699" s="8">
        <f t="shared" si="111"/>
        <v>1.4099931553730323</v>
      </c>
      <c r="Q1699" s="5" t="str">
        <f t="shared" si="113"/>
        <v>Employed</v>
      </c>
      <c r="R1699">
        <v>1</v>
      </c>
      <c r="S1699">
        <v>0</v>
      </c>
      <c r="T1699">
        <v>0</v>
      </c>
      <c r="U1699">
        <v>1</v>
      </c>
      <c r="V1699" t="s">
        <v>39</v>
      </c>
      <c r="W1699">
        <v>1</v>
      </c>
    </row>
    <row r="1700" spans="1:23" x14ac:dyDescent="0.2">
      <c r="A1700">
        <v>5054378</v>
      </c>
      <c r="B1700" t="s">
        <v>18</v>
      </c>
      <c r="C1700" t="s">
        <v>19</v>
      </c>
      <c r="D1700" t="s">
        <v>19</v>
      </c>
      <c r="E1700">
        <v>0</v>
      </c>
      <c r="F1700">
        <v>157500</v>
      </c>
      <c r="G1700" t="s">
        <v>21</v>
      </c>
      <c r="H1700" t="s">
        <v>27</v>
      </c>
      <c r="I1700" t="s">
        <v>28</v>
      </c>
      <c r="J1700" t="s">
        <v>24</v>
      </c>
      <c r="K1700" s="6">
        <f t="shared" ca="1" si="112"/>
        <v>27238</v>
      </c>
      <c r="L1700">
        <v>-18523</v>
      </c>
      <c r="M1700" s="7">
        <f t="shared" ca="1" si="110"/>
        <v>50.713210130047912</v>
      </c>
      <c r="N1700" s="5" t="str">
        <f ca="1">VLOOKUP(Data!M1700,temp!$B$3:$C$9,2,1)</f>
        <v>50-60</v>
      </c>
      <c r="O1700">
        <v>365243</v>
      </c>
      <c r="P1700" s="8">
        <f t="shared" si="111"/>
        <v>0</v>
      </c>
      <c r="Q1700" s="5" t="str">
        <f t="shared" si="113"/>
        <v>Unemployed</v>
      </c>
      <c r="R1700">
        <v>1</v>
      </c>
      <c r="S1700">
        <v>0</v>
      </c>
      <c r="T1700">
        <v>0</v>
      </c>
      <c r="U1700">
        <v>0</v>
      </c>
      <c r="W1700">
        <v>2</v>
      </c>
    </row>
    <row r="1701" spans="1:23" x14ac:dyDescent="0.2">
      <c r="A1701">
        <v>5054381</v>
      </c>
      <c r="B1701" t="s">
        <v>18</v>
      </c>
      <c r="C1701" t="s">
        <v>19</v>
      </c>
      <c r="D1701" t="s">
        <v>19</v>
      </c>
      <c r="E1701">
        <v>0</v>
      </c>
      <c r="F1701">
        <v>157500</v>
      </c>
      <c r="G1701" t="s">
        <v>21</v>
      </c>
      <c r="H1701" t="s">
        <v>27</v>
      </c>
      <c r="I1701" t="s">
        <v>28</v>
      </c>
      <c r="J1701" t="s">
        <v>24</v>
      </c>
      <c r="K1701" s="6">
        <f t="shared" ca="1" si="112"/>
        <v>27238</v>
      </c>
      <c r="L1701">
        <v>-18523</v>
      </c>
      <c r="M1701" s="7">
        <f t="shared" ca="1" si="110"/>
        <v>50.713210130047912</v>
      </c>
      <c r="N1701" s="5" t="str">
        <f ca="1">VLOOKUP(Data!M1701,temp!$B$3:$C$9,2,1)</f>
        <v>50-60</v>
      </c>
      <c r="O1701">
        <v>365243</v>
      </c>
      <c r="P1701" s="8">
        <f t="shared" si="111"/>
        <v>0</v>
      </c>
      <c r="Q1701" s="5" t="str">
        <f t="shared" si="113"/>
        <v>Unemployed</v>
      </c>
      <c r="R1701">
        <v>1</v>
      </c>
      <c r="S1701">
        <v>0</v>
      </c>
      <c r="T1701">
        <v>0</v>
      </c>
      <c r="U1701">
        <v>0</v>
      </c>
      <c r="W1701">
        <v>2</v>
      </c>
    </row>
    <row r="1702" spans="1:23" x14ac:dyDescent="0.2">
      <c r="A1702">
        <v>5054389</v>
      </c>
      <c r="B1702" t="s">
        <v>25</v>
      </c>
      <c r="C1702" t="s">
        <v>19</v>
      </c>
      <c r="D1702" t="s">
        <v>19</v>
      </c>
      <c r="E1702">
        <v>3</v>
      </c>
      <c r="F1702">
        <v>90000</v>
      </c>
      <c r="G1702" t="s">
        <v>35</v>
      </c>
      <c r="H1702" t="s">
        <v>27</v>
      </c>
      <c r="I1702" t="s">
        <v>28</v>
      </c>
      <c r="J1702" t="s">
        <v>24</v>
      </c>
      <c r="K1702" s="6">
        <f t="shared" ca="1" si="112"/>
        <v>31413</v>
      </c>
      <c r="L1702">
        <v>-14348</v>
      </c>
      <c r="M1702" s="7">
        <f t="shared" ca="1" si="110"/>
        <v>39.282683093771389</v>
      </c>
      <c r="N1702" s="5" t="str">
        <f ca="1">VLOOKUP(Data!M1702,temp!$B$3:$C$9,2,1)</f>
        <v>30-40</v>
      </c>
      <c r="O1702">
        <v>-727</v>
      </c>
      <c r="P1702" s="8">
        <f t="shared" si="111"/>
        <v>1.9904175222450375</v>
      </c>
      <c r="Q1702" s="5" t="str">
        <f t="shared" si="113"/>
        <v>Employed</v>
      </c>
      <c r="R1702">
        <v>1</v>
      </c>
      <c r="S1702">
        <v>0</v>
      </c>
      <c r="T1702">
        <v>0</v>
      </c>
      <c r="U1702">
        <v>1</v>
      </c>
      <c r="W1702">
        <v>5</v>
      </c>
    </row>
    <row r="1703" spans="1:23" x14ac:dyDescent="0.2">
      <c r="A1703">
        <v>5054405</v>
      </c>
      <c r="B1703" t="s">
        <v>25</v>
      </c>
      <c r="C1703" t="s">
        <v>19</v>
      </c>
      <c r="D1703" t="s">
        <v>19</v>
      </c>
      <c r="E1703">
        <v>0</v>
      </c>
      <c r="F1703">
        <v>225000</v>
      </c>
      <c r="G1703" t="s">
        <v>26</v>
      </c>
      <c r="H1703" t="s">
        <v>22</v>
      </c>
      <c r="I1703" t="s">
        <v>28</v>
      </c>
      <c r="J1703" t="s">
        <v>41</v>
      </c>
      <c r="K1703" s="6">
        <f t="shared" ca="1" si="112"/>
        <v>32740</v>
      </c>
      <c r="L1703">
        <v>-13021</v>
      </c>
      <c r="M1703" s="7">
        <f t="shared" ca="1" si="110"/>
        <v>35.649555099247088</v>
      </c>
      <c r="N1703" s="5" t="str">
        <f ca="1">VLOOKUP(Data!M1703,temp!$B$3:$C$9,2,1)</f>
        <v>30-40</v>
      </c>
      <c r="O1703">
        <v>-5082</v>
      </c>
      <c r="P1703" s="8">
        <f t="shared" si="111"/>
        <v>13.913757700205339</v>
      </c>
      <c r="Q1703" s="5" t="str">
        <f t="shared" si="113"/>
        <v>Employed</v>
      </c>
      <c r="R1703">
        <v>1</v>
      </c>
      <c r="S1703">
        <v>1</v>
      </c>
      <c r="T1703">
        <v>0</v>
      </c>
      <c r="U1703">
        <v>0</v>
      </c>
      <c r="V1703" t="s">
        <v>32</v>
      </c>
      <c r="W1703">
        <v>2</v>
      </c>
    </row>
    <row r="1704" spans="1:23" x14ac:dyDescent="0.2">
      <c r="A1704">
        <v>5054421</v>
      </c>
      <c r="B1704" t="s">
        <v>25</v>
      </c>
      <c r="C1704" t="s">
        <v>20</v>
      </c>
      <c r="D1704" t="s">
        <v>19</v>
      </c>
      <c r="E1704">
        <v>2</v>
      </c>
      <c r="F1704">
        <v>157500</v>
      </c>
      <c r="G1704" t="s">
        <v>21</v>
      </c>
      <c r="H1704" t="s">
        <v>27</v>
      </c>
      <c r="I1704" t="s">
        <v>28</v>
      </c>
      <c r="J1704" t="s">
        <v>24</v>
      </c>
      <c r="K1704" s="6">
        <f t="shared" ca="1" si="112"/>
        <v>25495</v>
      </c>
      <c r="L1704">
        <v>-20266</v>
      </c>
      <c r="M1704" s="7">
        <f t="shared" ca="1" si="110"/>
        <v>55.485284052019168</v>
      </c>
      <c r="N1704" s="5" t="str">
        <f ca="1">VLOOKUP(Data!M1704,temp!$B$3:$C$9,2,1)</f>
        <v>50-60</v>
      </c>
      <c r="O1704">
        <v>365243</v>
      </c>
      <c r="P1704" s="8">
        <f t="shared" si="111"/>
        <v>0</v>
      </c>
      <c r="Q1704" s="5" t="str">
        <f t="shared" si="113"/>
        <v>Unemployed</v>
      </c>
      <c r="R1704">
        <v>1</v>
      </c>
      <c r="S1704">
        <v>0</v>
      </c>
      <c r="T1704">
        <v>0</v>
      </c>
      <c r="U1704">
        <v>0</v>
      </c>
      <c r="W1704">
        <v>4</v>
      </c>
    </row>
    <row r="1705" spans="1:23" x14ac:dyDescent="0.2">
      <c r="A1705">
        <v>5054438</v>
      </c>
      <c r="B1705" t="s">
        <v>25</v>
      </c>
      <c r="C1705" t="s">
        <v>19</v>
      </c>
      <c r="D1705" t="s">
        <v>20</v>
      </c>
      <c r="E1705">
        <v>0</v>
      </c>
      <c r="F1705">
        <v>180000</v>
      </c>
      <c r="G1705" t="s">
        <v>21</v>
      </c>
      <c r="H1705" t="s">
        <v>22</v>
      </c>
      <c r="I1705" t="s">
        <v>28</v>
      </c>
      <c r="J1705" t="s">
        <v>24</v>
      </c>
      <c r="K1705" s="6">
        <f t="shared" ca="1" si="112"/>
        <v>26142</v>
      </c>
      <c r="L1705">
        <v>-19619</v>
      </c>
      <c r="M1705" s="7">
        <f t="shared" ca="1" si="110"/>
        <v>53.713894592744694</v>
      </c>
      <c r="N1705" s="5" t="str">
        <f ca="1">VLOOKUP(Data!M1705,temp!$B$3:$C$9,2,1)</f>
        <v>50-60</v>
      </c>
      <c r="O1705">
        <v>365243</v>
      </c>
      <c r="P1705" s="8">
        <f t="shared" si="111"/>
        <v>0</v>
      </c>
      <c r="Q1705" s="5" t="str">
        <f t="shared" si="113"/>
        <v>Unemployed</v>
      </c>
      <c r="R1705">
        <v>1</v>
      </c>
      <c r="S1705">
        <v>0</v>
      </c>
      <c r="T1705">
        <v>0</v>
      </c>
      <c r="U1705">
        <v>0</v>
      </c>
      <c r="W1705">
        <v>2</v>
      </c>
    </row>
    <row r="1706" spans="1:23" x14ac:dyDescent="0.2">
      <c r="A1706">
        <v>5054454</v>
      </c>
      <c r="B1706" t="s">
        <v>25</v>
      </c>
      <c r="C1706" t="s">
        <v>20</v>
      </c>
      <c r="D1706" t="s">
        <v>20</v>
      </c>
      <c r="E1706">
        <v>0</v>
      </c>
      <c r="F1706">
        <v>157500</v>
      </c>
      <c r="G1706" t="s">
        <v>31</v>
      </c>
      <c r="H1706" t="s">
        <v>27</v>
      </c>
      <c r="I1706" t="s">
        <v>33</v>
      </c>
      <c r="J1706" t="s">
        <v>24</v>
      </c>
      <c r="K1706" s="6">
        <f t="shared" ca="1" si="112"/>
        <v>37453</v>
      </c>
      <c r="L1706">
        <v>-8308</v>
      </c>
      <c r="M1706" s="7">
        <f t="shared" ca="1" si="110"/>
        <v>22.746064339493497</v>
      </c>
      <c r="N1706" s="5" t="str">
        <f ca="1">VLOOKUP(Data!M1706,temp!$B$3:$C$9,2,1)</f>
        <v>20-30</v>
      </c>
      <c r="O1706">
        <v>-1308</v>
      </c>
      <c r="P1706" s="8">
        <f t="shared" si="111"/>
        <v>3.5811088295687883</v>
      </c>
      <c r="Q1706" s="5" t="str">
        <f t="shared" si="113"/>
        <v>Employed</v>
      </c>
      <c r="R1706">
        <v>1</v>
      </c>
      <c r="S1706">
        <v>1</v>
      </c>
      <c r="T1706">
        <v>1</v>
      </c>
      <c r="U1706">
        <v>0</v>
      </c>
      <c r="W1706">
        <v>1</v>
      </c>
    </row>
    <row r="1707" spans="1:23" x14ac:dyDescent="0.2">
      <c r="A1707">
        <v>5054471</v>
      </c>
      <c r="B1707" t="s">
        <v>25</v>
      </c>
      <c r="C1707" t="s">
        <v>20</v>
      </c>
      <c r="D1707" t="s">
        <v>20</v>
      </c>
      <c r="E1707">
        <v>0</v>
      </c>
      <c r="F1707">
        <v>135000</v>
      </c>
      <c r="G1707" t="s">
        <v>31</v>
      </c>
      <c r="H1707" t="s">
        <v>27</v>
      </c>
      <c r="I1707" t="s">
        <v>33</v>
      </c>
      <c r="J1707" t="s">
        <v>41</v>
      </c>
      <c r="K1707" s="6">
        <f t="shared" ca="1" si="112"/>
        <v>35417</v>
      </c>
      <c r="L1707">
        <v>-10344</v>
      </c>
      <c r="M1707" s="7">
        <f t="shared" ca="1" si="110"/>
        <v>28.320328542094455</v>
      </c>
      <c r="N1707" s="5" t="str">
        <f ca="1">VLOOKUP(Data!M1707,temp!$B$3:$C$9,2,1)</f>
        <v>20-30</v>
      </c>
      <c r="O1707">
        <v>-3072</v>
      </c>
      <c r="P1707" s="8">
        <f t="shared" si="111"/>
        <v>8.4106776180698155</v>
      </c>
      <c r="Q1707" s="5" t="str">
        <f t="shared" si="113"/>
        <v>Employed</v>
      </c>
      <c r="R1707">
        <v>1</v>
      </c>
      <c r="S1707">
        <v>1</v>
      </c>
      <c r="T1707">
        <v>1</v>
      </c>
      <c r="U1707">
        <v>0</v>
      </c>
      <c r="V1707" t="s">
        <v>47</v>
      </c>
      <c r="W1707">
        <v>1</v>
      </c>
    </row>
    <row r="1708" spans="1:23" x14ac:dyDescent="0.2">
      <c r="A1708">
        <v>5054477</v>
      </c>
      <c r="B1708" t="s">
        <v>18</v>
      </c>
      <c r="C1708" t="s">
        <v>20</v>
      </c>
      <c r="D1708" t="s">
        <v>20</v>
      </c>
      <c r="E1708">
        <v>1</v>
      </c>
      <c r="F1708">
        <v>225000</v>
      </c>
      <c r="G1708" t="s">
        <v>31</v>
      </c>
      <c r="H1708" t="s">
        <v>27</v>
      </c>
      <c r="I1708" t="s">
        <v>37</v>
      </c>
      <c r="J1708" t="s">
        <v>24</v>
      </c>
      <c r="K1708" s="6">
        <f t="shared" ca="1" si="112"/>
        <v>33197</v>
      </c>
      <c r="L1708">
        <v>-12564</v>
      </c>
      <c r="M1708" s="7">
        <f t="shared" ca="1" si="110"/>
        <v>34.398357289527723</v>
      </c>
      <c r="N1708" s="5" t="str">
        <f ca="1">VLOOKUP(Data!M1708,temp!$B$3:$C$9,2,1)</f>
        <v>30-40</v>
      </c>
      <c r="O1708">
        <v>-819</v>
      </c>
      <c r="P1708" s="8">
        <f t="shared" si="111"/>
        <v>2.2422997946611911</v>
      </c>
      <c r="Q1708" s="5" t="str">
        <f t="shared" si="113"/>
        <v>Employed</v>
      </c>
      <c r="R1708">
        <v>1</v>
      </c>
      <c r="S1708">
        <v>1</v>
      </c>
      <c r="T1708">
        <v>1</v>
      </c>
      <c r="U1708">
        <v>0</v>
      </c>
      <c r="V1708" t="s">
        <v>49</v>
      </c>
      <c r="W1708">
        <v>3</v>
      </c>
    </row>
    <row r="1709" spans="1:23" x14ac:dyDescent="0.2">
      <c r="A1709">
        <v>5054507</v>
      </c>
      <c r="B1709" t="s">
        <v>18</v>
      </c>
      <c r="C1709" t="s">
        <v>19</v>
      </c>
      <c r="D1709" t="s">
        <v>20</v>
      </c>
      <c r="E1709">
        <v>0</v>
      </c>
      <c r="F1709">
        <v>243000</v>
      </c>
      <c r="G1709" t="s">
        <v>21</v>
      </c>
      <c r="H1709" t="s">
        <v>27</v>
      </c>
      <c r="I1709" t="s">
        <v>28</v>
      </c>
      <c r="J1709" t="s">
        <v>24</v>
      </c>
      <c r="K1709" s="6">
        <f t="shared" ca="1" si="112"/>
        <v>23059</v>
      </c>
      <c r="L1709">
        <v>-22702</v>
      </c>
      <c r="M1709" s="7">
        <f t="shared" ca="1" si="110"/>
        <v>62.154688569472967</v>
      </c>
      <c r="N1709" s="5" t="str">
        <f ca="1">VLOOKUP(Data!M1709,temp!$B$3:$C$9,2,1)</f>
        <v>60-70</v>
      </c>
      <c r="O1709">
        <v>365243</v>
      </c>
      <c r="P1709" s="8">
        <f t="shared" si="111"/>
        <v>0</v>
      </c>
      <c r="Q1709" s="5" t="str">
        <f t="shared" si="113"/>
        <v>Unemployed</v>
      </c>
      <c r="R1709">
        <v>1</v>
      </c>
      <c r="S1709">
        <v>0</v>
      </c>
      <c r="T1709">
        <v>0</v>
      </c>
      <c r="U1709">
        <v>0</v>
      </c>
      <c r="W1709">
        <v>2</v>
      </c>
    </row>
    <row r="1710" spans="1:23" x14ac:dyDescent="0.2">
      <c r="A1710">
        <v>5054508</v>
      </c>
      <c r="B1710" t="s">
        <v>18</v>
      </c>
      <c r="C1710" t="s">
        <v>19</v>
      </c>
      <c r="D1710" t="s">
        <v>20</v>
      </c>
      <c r="E1710">
        <v>0</v>
      </c>
      <c r="F1710">
        <v>243000</v>
      </c>
      <c r="G1710" t="s">
        <v>21</v>
      </c>
      <c r="H1710" t="s">
        <v>27</v>
      </c>
      <c r="I1710" t="s">
        <v>28</v>
      </c>
      <c r="J1710" t="s">
        <v>24</v>
      </c>
      <c r="K1710" s="6">
        <f t="shared" ca="1" si="112"/>
        <v>23059</v>
      </c>
      <c r="L1710">
        <v>-22702</v>
      </c>
      <c r="M1710" s="7">
        <f t="shared" ca="1" si="110"/>
        <v>62.154688569472967</v>
      </c>
      <c r="N1710" s="5" t="str">
        <f ca="1">VLOOKUP(Data!M1710,temp!$B$3:$C$9,2,1)</f>
        <v>60-70</v>
      </c>
      <c r="O1710">
        <v>365243</v>
      </c>
      <c r="P1710" s="8">
        <f t="shared" si="111"/>
        <v>0</v>
      </c>
      <c r="Q1710" s="5" t="str">
        <f t="shared" si="113"/>
        <v>Unemployed</v>
      </c>
      <c r="R1710">
        <v>1</v>
      </c>
      <c r="S1710">
        <v>0</v>
      </c>
      <c r="T1710">
        <v>0</v>
      </c>
      <c r="U1710">
        <v>0</v>
      </c>
      <c r="W1710">
        <v>2</v>
      </c>
    </row>
    <row r="1711" spans="1:23" x14ac:dyDescent="0.2">
      <c r="A1711">
        <v>5054510</v>
      </c>
      <c r="B1711" t="s">
        <v>25</v>
      </c>
      <c r="C1711" t="s">
        <v>20</v>
      </c>
      <c r="D1711" t="s">
        <v>20</v>
      </c>
      <c r="E1711">
        <v>0</v>
      </c>
      <c r="F1711">
        <v>78750</v>
      </c>
      <c r="G1711" t="s">
        <v>31</v>
      </c>
      <c r="H1711" t="s">
        <v>27</v>
      </c>
      <c r="I1711" t="s">
        <v>33</v>
      </c>
      <c r="J1711" t="s">
        <v>24</v>
      </c>
      <c r="K1711" s="6">
        <f t="shared" ca="1" si="112"/>
        <v>37510</v>
      </c>
      <c r="L1711">
        <v>-8251</v>
      </c>
      <c r="M1711" s="7">
        <f t="shared" ca="1" si="110"/>
        <v>22.590006844626966</v>
      </c>
      <c r="N1711" s="5" t="str">
        <f ca="1">VLOOKUP(Data!M1711,temp!$B$3:$C$9,2,1)</f>
        <v>20-30</v>
      </c>
      <c r="O1711">
        <v>-181</v>
      </c>
      <c r="P1711" s="8">
        <f t="shared" si="111"/>
        <v>0.49555099247091033</v>
      </c>
      <c r="Q1711" s="5" t="str">
        <f t="shared" si="113"/>
        <v>Employed</v>
      </c>
      <c r="R1711">
        <v>1</v>
      </c>
      <c r="S1711">
        <v>1</v>
      </c>
      <c r="T1711">
        <v>0</v>
      </c>
      <c r="U1711">
        <v>0</v>
      </c>
      <c r="V1711" t="s">
        <v>39</v>
      </c>
      <c r="W1711">
        <v>1</v>
      </c>
    </row>
    <row r="1712" spans="1:23" x14ac:dyDescent="0.2">
      <c r="A1712">
        <v>5054516</v>
      </c>
      <c r="B1712" t="s">
        <v>18</v>
      </c>
      <c r="C1712" t="s">
        <v>20</v>
      </c>
      <c r="D1712" t="s">
        <v>20</v>
      </c>
      <c r="E1712">
        <v>1</v>
      </c>
      <c r="F1712">
        <v>135000</v>
      </c>
      <c r="G1712" t="s">
        <v>31</v>
      </c>
      <c r="H1712" t="s">
        <v>22</v>
      </c>
      <c r="I1712" t="s">
        <v>28</v>
      </c>
      <c r="J1712" t="s">
        <v>24</v>
      </c>
      <c r="K1712" s="6">
        <f t="shared" ca="1" si="112"/>
        <v>35747</v>
      </c>
      <c r="L1712">
        <v>-10014</v>
      </c>
      <c r="M1712" s="7">
        <f t="shared" ca="1" si="110"/>
        <v>27.416837782340863</v>
      </c>
      <c r="N1712" s="5" t="str">
        <f ca="1">VLOOKUP(Data!M1712,temp!$B$3:$C$9,2,1)</f>
        <v>20-30</v>
      </c>
      <c r="O1712">
        <v>-2311</v>
      </c>
      <c r="P1712" s="8">
        <f t="shared" si="111"/>
        <v>6.3271731690622861</v>
      </c>
      <c r="Q1712" s="5" t="str">
        <f t="shared" si="113"/>
        <v>Employed</v>
      </c>
      <c r="R1712">
        <v>1</v>
      </c>
      <c r="S1712">
        <v>0</v>
      </c>
      <c r="T1712">
        <v>0</v>
      </c>
      <c r="U1712">
        <v>0</v>
      </c>
      <c r="W1712">
        <v>3</v>
      </c>
    </row>
    <row r="1713" spans="1:23" x14ac:dyDescent="0.2">
      <c r="A1713">
        <v>5054526</v>
      </c>
      <c r="B1713" t="s">
        <v>18</v>
      </c>
      <c r="C1713" t="s">
        <v>19</v>
      </c>
      <c r="D1713" t="s">
        <v>20</v>
      </c>
      <c r="E1713">
        <v>2</v>
      </c>
      <c r="F1713">
        <v>90000</v>
      </c>
      <c r="G1713" t="s">
        <v>26</v>
      </c>
      <c r="H1713" t="s">
        <v>27</v>
      </c>
      <c r="I1713" t="s">
        <v>28</v>
      </c>
      <c r="J1713" t="s">
        <v>24</v>
      </c>
      <c r="K1713" s="6">
        <f t="shared" ca="1" si="112"/>
        <v>31897</v>
      </c>
      <c r="L1713">
        <v>-13864</v>
      </c>
      <c r="M1713" s="7">
        <f t="shared" ca="1" si="110"/>
        <v>37.957563312799451</v>
      </c>
      <c r="N1713" s="5" t="str">
        <f ca="1">VLOOKUP(Data!M1713,temp!$B$3:$C$9,2,1)</f>
        <v>30-40</v>
      </c>
      <c r="O1713">
        <v>-1399</v>
      </c>
      <c r="P1713" s="8">
        <f t="shared" si="111"/>
        <v>3.8302532511978096</v>
      </c>
      <c r="Q1713" s="5" t="str">
        <f t="shared" si="113"/>
        <v>Employed</v>
      </c>
      <c r="R1713">
        <v>1</v>
      </c>
      <c r="S1713">
        <v>0</v>
      </c>
      <c r="T1713">
        <v>0</v>
      </c>
      <c r="U1713">
        <v>0</v>
      </c>
      <c r="V1713" t="s">
        <v>49</v>
      </c>
      <c r="W1713">
        <v>4</v>
      </c>
    </row>
    <row r="1714" spans="1:23" x14ac:dyDescent="0.2">
      <c r="A1714">
        <v>5054527</v>
      </c>
      <c r="B1714" t="s">
        <v>18</v>
      </c>
      <c r="C1714" t="s">
        <v>19</v>
      </c>
      <c r="D1714" t="s">
        <v>20</v>
      </c>
      <c r="E1714">
        <v>2</v>
      </c>
      <c r="F1714">
        <v>90000</v>
      </c>
      <c r="G1714" t="s">
        <v>26</v>
      </c>
      <c r="H1714" t="s">
        <v>27</v>
      </c>
      <c r="I1714" t="s">
        <v>28</v>
      </c>
      <c r="J1714" t="s">
        <v>24</v>
      </c>
      <c r="K1714" s="6">
        <f t="shared" ca="1" si="112"/>
        <v>31897</v>
      </c>
      <c r="L1714">
        <v>-13864</v>
      </c>
      <c r="M1714" s="7">
        <f t="shared" ca="1" si="110"/>
        <v>37.957563312799451</v>
      </c>
      <c r="N1714" s="5" t="str">
        <f ca="1">VLOOKUP(Data!M1714,temp!$B$3:$C$9,2,1)</f>
        <v>30-40</v>
      </c>
      <c r="O1714">
        <v>-1399</v>
      </c>
      <c r="P1714" s="8">
        <f t="shared" si="111"/>
        <v>3.8302532511978096</v>
      </c>
      <c r="Q1714" s="5" t="str">
        <f t="shared" si="113"/>
        <v>Employed</v>
      </c>
      <c r="R1714">
        <v>1</v>
      </c>
      <c r="S1714">
        <v>0</v>
      </c>
      <c r="T1714">
        <v>0</v>
      </c>
      <c r="U1714">
        <v>0</v>
      </c>
      <c r="V1714" t="s">
        <v>49</v>
      </c>
      <c r="W1714">
        <v>4</v>
      </c>
    </row>
    <row r="1715" spans="1:23" x14ac:dyDescent="0.2">
      <c r="A1715">
        <v>5054541</v>
      </c>
      <c r="B1715" t="s">
        <v>18</v>
      </c>
      <c r="C1715" t="s">
        <v>19</v>
      </c>
      <c r="D1715" t="s">
        <v>20</v>
      </c>
      <c r="E1715">
        <v>0</v>
      </c>
      <c r="F1715">
        <v>189000</v>
      </c>
      <c r="G1715" t="s">
        <v>31</v>
      </c>
      <c r="H1715" t="s">
        <v>27</v>
      </c>
      <c r="I1715" t="s">
        <v>28</v>
      </c>
      <c r="J1715" t="s">
        <v>24</v>
      </c>
      <c r="K1715" s="6">
        <f t="shared" ca="1" si="112"/>
        <v>29974</v>
      </c>
      <c r="L1715">
        <v>-15787</v>
      </c>
      <c r="M1715" s="7">
        <f t="shared" ca="1" si="110"/>
        <v>43.222450376454482</v>
      </c>
      <c r="N1715" s="5" t="str">
        <f ca="1">VLOOKUP(Data!M1715,temp!$B$3:$C$9,2,1)</f>
        <v>40-50</v>
      </c>
      <c r="O1715">
        <v>-2188</v>
      </c>
      <c r="P1715" s="8">
        <f t="shared" si="111"/>
        <v>5.9904175222450373</v>
      </c>
      <c r="Q1715" s="5" t="str">
        <f t="shared" si="113"/>
        <v>Employed</v>
      </c>
      <c r="R1715">
        <v>1</v>
      </c>
      <c r="S1715">
        <v>1</v>
      </c>
      <c r="T1715">
        <v>0</v>
      </c>
      <c r="U1715">
        <v>0</v>
      </c>
      <c r="V1715" t="s">
        <v>44</v>
      </c>
      <c r="W1715">
        <v>2</v>
      </c>
    </row>
    <row r="1716" spans="1:23" x14ac:dyDescent="0.2">
      <c r="A1716">
        <v>5054558</v>
      </c>
      <c r="B1716" t="s">
        <v>25</v>
      </c>
      <c r="C1716" t="s">
        <v>20</v>
      </c>
      <c r="D1716" t="s">
        <v>20</v>
      </c>
      <c r="E1716">
        <v>3</v>
      </c>
      <c r="F1716">
        <v>180000</v>
      </c>
      <c r="G1716" t="s">
        <v>31</v>
      </c>
      <c r="H1716" t="s">
        <v>27</v>
      </c>
      <c r="I1716" t="s">
        <v>28</v>
      </c>
      <c r="J1716" t="s">
        <v>24</v>
      </c>
      <c r="K1716" s="6">
        <f t="shared" ca="1" si="112"/>
        <v>30725</v>
      </c>
      <c r="L1716">
        <v>-15036</v>
      </c>
      <c r="M1716" s="7">
        <f t="shared" ca="1" si="110"/>
        <v>41.166324435318273</v>
      </c>
      <c r="N1716" s="5" t="str">
        <f ca="1">VLOOKUP(Data!M1716,temp!$B$3:$C$9,2,1)</f>
        <v>40-50</v>
      </c>
      <c r="O1716">
        <v>-638</v>
      </c>
      <c r="P1716" s="8">
        <f t="shared" si="111"/>
        <v>1.7467488021902806</v>
      </c>
      <c r="Q1716" s="5" t="str">
        <f t="shared" si="113"/>
        <v>Employed</v>
      </c>
      <c r="R1716">
        <v>1</v>
      </c>
      <c r="S1716">
        <v>0</v>
      </c>
      <c r="T1716">
        <v>0</v>
      </c>
      <c r="U1716">
        <v>0</v>
      </c>
      <c r="V1716" t="s">
        <v>29</v>
      </c>
      <c r="W1716">
        <v>5</v>
      </c>
    </row>
    <row r="1717" spans="1:23" x14ac:dyDescent="0.2">
      <c r="A1717">
        <v>5054581</v>
      </c>
      <c r="B1717" t="s">
        <v>18</v>
      </c>
      <c r="C1717" t="s">
        <v>19</v>
      </c>
      <c r="D1717" t="s">
        <v>20</v>
      </c>
      <c r="E1717">
        <v>0</v>
      </c>
      <c r="F1717">
        <v>382500</v>
      </c>
      <c r="G1717" t="s">
        <v>31</v>
      </c>
      <c r="H1717" t="s">
        <v>27</v>
      </c>
      <c r="I1717" t="s">
        <v>42</v>
      </c>
      <c r="J1717" t="s">
        <v>24</v>
      </c>
      <c r="K1717" s="6">
        <f t="shared" ca="1" si="112"/>
        <v>27207</v>
      </c>
      <c r="L1717">
        <v>-18554</v>
      </c>
      <c r="M1717" s="7">
        <f t="shared" ca="1" si="110"/>
        <v>50.798083504449011</v>
      </c>
      <c r="N1717" s="5" t="str">
        <f ca="1">VLOOKUP(Data!M1717,temp!$B$3:$C$9,2,1)</f>
        <v>50-60</v>
      </c>
      <c r="O1717">
        <v>-5386</v>
      </c>
      <c r="P1717" s="8">
        <f t="shared" si="111"/>
        <v>14.746064339493497</v>
      </c>
      <c r="Q1717" s="5" t="str">
        <f t="shared" si="113"/>
        <v>Employed</v>
      </c>
      <c r="R1717">
        <v>1</v>
      </c>
      <c r="S1717">
        <v>1</v>
      </c>
      <c r="T1717">
        <v>0</v>
      </c>
      <c r="U1717">
        <v>0</v>
      </c>
      <c r="V1717" t="s">
        <v>49</v>
      </c>
      <c r="W1717">
        <v>1</v>
      </c>
    </row>
    <row r="1718" spans="1:23" x14ac:dyDescent="0.2">
      <c r="A1718">
        <v>5054585</v>
      </c>
      <c r="B1718" t="s">
        <v>25</v>
      </c>
      <c r="C1718" t="s">
        <v>20</v>
      </c>
      <c r="D1718" t="s">
        <v>20</v>
      </c>
      <c r="E1718">
        <v>0</v>
      </c>
      <c r="F1718">
        <v>103500</v>
      </c>
      <c r="G1718" t="s">
        <v>31</v>
      </c>
      <c r="H1718" t="s">
        <v>27</v>
      </c>
      <c r="I1718" t="s">
        <v>33</v>
      </c>
      <c r="J1718" t="s">
        <v>24</v>
      </c>
      <c r="K1718" s="6">
        <f t="shared" ca="1" si="112"/>
        <v>30372</v>
      </c>
      <c r="L1718">
        <v>-15389</v>
      </c>
      <c r="M1718" s="7">
        <f t="shared" ca="1" si="110"/>
        <v>42.13278576317591</v>
      </c>
      <c r="N1718" s="5" t="str">
        <f ca="1">VLOOKUP(Data!M1718,temp!$B$3:$C$9,2,1)</f>
        <v>40-50</v>
      </c>
      <c r="O1718">
        <v>-607</v>
      </c>
      <c r="P1718" s="8">
        <f t="shared" si="111"/>
        <v>1.6618754277891854</v>
      </c>
      <c r="Q1718" s="5" t="str">
        <f t="shared" si="113"/>
        <v>Employed</v>
      </c>
      <c r="R1718">
        <v>1</v>
      </c>
      <c r="S1718">
        <v>0</v>
      </c>
      <c r="T1718">
        <v>0</v>
      </c>
      <c r="U1718">
        <v>0</v>
      </c>
      <c r="V1718" t="s">
        <v>29</v>
      </c>
      <c r="W1718">
        <v>1</v>
      </c>
    </row>
    <row r="1719" spans="1:23" x14ac:dyDescent="0.2">
      <c r="A1719">
        <v>5054590</v>
      </c>
      <c r="B1719" t="s">
        <v>18</v>
      </c>
      <c r="C1719" t="s">
        <v>19</v>
      </c>
      <c r="D1719" t="s">
        <v>20</v>
      </c>
      <c r="E1719">
        <v>0</v>
      </c>
      <c r="F1719">
        <v>157500</v>
      </c>
      <c r="G1719" t="s">
        <v>21</v>
      </c>
      <c r="H1719" t="s">
        <v>27</v>
      </c>
      <c r="I1719" t="s">
        <v>28</v>
      </c>
      <c r="J1719" t="s">
        <v>24</v>
      </c>
      <c r="K1719" s="6">
        <f t="shared" ca="1" si="112"/>
        <v>23902</v>
      </c>
      <c r="L1719">
        <v>-21859</v>
      </c>
      <c r="M1719" s="7">
        <f t="shared" ca="1" si="110"/>
        <v>59.846680355920604</v>
      </c>
      <c r="N1719" s="5" t="str">
        <f ca="1">VLOOKUP(Data!M1719,temp!$B$3:$C$9,2,1)</f>
        <v>50-60</v>
      </c>
      <c r="O1719">
        <v>365243</v>
      </c>
      <c r="P1719" s="8">
        <f t="shared" si="111"/>
        <v>0</v>
      </c>
      <c r="Q1719" s="5" t="str">
        <f t="shared" si="113"/>
        <v>Unemployed</v>
      </c>
      <c r="R1719">
        <v>1</v>
      </c>
      <c r="S1719">
        <v>0</v>
      </c>
      <c r="T1719">
        <v>0</v>
      </c>
      <c r="U1719">
        <v>0</v>
      </c>
      <c r="W1719">
        <v>2</v>
      </c>
    </row>
    <row r="1720" spans="1:23" x14ac:dyDescent="0.2">
      <c r="A1720">
        <v>5054592</v>
      </c>
      <c r="B1720" t="s">
        <v>18</v>
      </c>
      <c r="C1720" t="s">
        <v>19</v>
      </c>
      <c r="D1720" t="s">
        <v>20</v>
      </c>
      <c r="E1720">
        <v>0</v>
      </c>
      <c r="F1720">
        <v>157500</v>
      </c>
      <c r="G1720" t="s">
        <v>21</v>
      </c>
      <c r="H1720" t="s">
        <v>27</v>
      </c>
      <c r="I1720" t="s">
        <v>28</v>
      </c>
      <c r="J1720" t="s">
        <v>24</v>
      </c>
      <c r="K1720" s="6">
        <f t="shared" ca="1" si="112"/>
        <v>23902</v>
      </c>
      <c r="L1720">
        <v>-21859</v>
      </c>
      <c r="M1720" s="7">
        <f t="shared" ca="1" si="110"/>
        <v>59.846680355920604</v>
      </c>
      <c r="N1720" s="5" t="str">
        <f ca="1">VLOOKUP(Data!M1720,temp!$B$3:$C$9,2,1)</f>
        <v>50-60</v>
      </c>
      <c r="O1720">
        <v>365243</v>
      </c>
      <c r="P1720" s="8">
        <f t="shared" si="111"/>
        <v>0</v>
      </c>
      <c r="Q1720" s="5" t="str">
        <f t="shared" si="113"/>
        <v>Unemployed</v>
      </c>
      <c r="R1720">
        <v>1</v>
      </c>
      <c r="S1720">
        <v>0</v>
      </c>
      <c r="T1720">
        <v>0</v>
      </c>
      <c r="U1720">
        <v>0</v>
      </c>
      <c r="W1720">
        <v>2</v>
      </c>
    </row>
    <row r="1721" spans="1:23" x14ac:dyDescent="0.2">
      <c r="A1721">
        <v>5054601</v>
      </c>
      <c r="B1721" t="s">
        <v>18</v>
      </c>
      <c r="C1721" t="s">
        <v>19</v>
      </c>
      <c r="D1721" t="s">
        <v>20</v>
      </c>
      <c r="E1721">
        <v>0</v>
      </c>
      <c r="F1721">
        <v>292500</v>
      </c>
      <c r="G1721" t="s">
        <v>21</v>
      </c>
      <c r="H1721" t="s">
        <v>27</v>
      </c>
      <c r="I1721" t="s">
        <v>28</v>
      </c>
      <c r="J1721" t="s">
        <v>24</v>
      </c>
      <c r="K1721" s="6">
        <f t="shared" ca="1" si="112"/>
        <v>24685</v>
      </c>
      <c r="L1721">
        <v>-21076</v>
      </c>
      <c r="M1721" s="7">
        <f t="shared" ca="1" si="110"/>
        <v>57.702943189596169</v>
      </c>
      <c r="N1721" s="5" t="str">
        <f ca="1">VLOOKUP(Data!M1721,temp!$B$3:$C$9,2,1)</f>
        <v>50-60</v>
      </c>
      <c r="O1721">
        <v>365243</v>
      </c>
      <c r="P1721" s="8">
        <f t="shared" si="111"/>
        <v>0</v>
      </c>
      <c r="Q1721" s="5" t="str">
        <f t="shared" si="113"/>
        <v>Unemployed</v>
      </c>
      <c r="R1721">
        <v>1</v>
      </c>
      <c r="S1721">
        <v>0</v>
      </c>
      <c r="T1721">
        <v>0</v>
      </c>
      <c r="U1721">
        <v>0</v>
      </c>
      <c r="W1721">
        <v>2</v>
      </c>
    </row>
    <row r="1722" spans="1:23" x14ac:dyDescent="0.2">
      <c r="A1722">
        <v>5054605</v>
      </c>
      <c r="B1722" t="s">
        <v>18</v>
      </c>
      <c r="C1722" t="s">
        <v>19</v>
      </c>
      <c r="D1722" t="s">
        <v>20</v>
      </c>
      <c r="E1722">
        <v>0</v>
      </c>
      <c r="F1722">
        <v>292500</v>
      </c>
      <c r="G1722" t="s">
        <v>21</v>
      </c>
      <c r="H1722" t="s">
        <v>27</v>
      </c>
      <c r="I1722" t="s">
        <v>28</v>
      </c>
      <c r="J1722" t="s">
        <v>24</v>
      </c>
      <c r="K1722" s="6">
        <f t="shared" ca="1" si="112"/>
        <v>24685</v>
      </c>
      <c r="L1722">
        <v>-21076</v>
      </c>
      <c r="M1722" s="7">
        <f t="shared" ca="1" si="110"/>
        <v>57.702943189596169</v>
      </c>
      <c r="N1722" s="5" t="str">
        <f ca="1">VLOOKUP(Data!M1722,temp!$B$3:$C$9,2,1)</f>
        <v>50-60</v>
      </c>
      <c r="O1722">
        <v>365243</v>
      </c>
      <c r="P1722" s="8">
        <f t="shared" si="111"/>
        <v>0</v>
      </c>
      <c r="Q1722" s="5" t="str">
        <f t="shared" si="113"/>
        <v>Unemployed</v>
      </c>
      <c r="R1722">
        <v>1</v>
      </c>
      <c r="S1722">
        <v>0</v>
      </c>
      <c r="T1722">
        <v>0</v>
      </c>
      <c r="U1722">
        <v>0</v>
      </c>
      <c r="W1722">
        <v>2</v>
      </c>
    </row>
    <row r="1723" spans="1:23" x14ac:dyDescent="0.2">
      <c r="A1723">
        <v>5054620</v>
      </c>
      <c r="B1723" t="s">
        <v>18</v>
      </c>
      <c r="C1723" t="s">
        <v>19</v>
      </c>
      <c r="D1723" t="s">
        <v>20</v>
      </c>
      <c r="E1723">
        <v>0</v>
      </c>
      <c r="F1723">
        <v>166500</v>
      </c>
      <c r="G1723" t="s">
        <v>31</v>
      </c>
      <c r="H1723" t="s">
        <v>22</v>
      </c>
      <c r="I1723" t="s">
        <v>37</v>
      </c>
      <c r="J1723" t="s">
        <v>41</v>
      </c>
      <c r="K1723" s="6">
        <f t="shared" ca="1" si="112"/>
        <v>34540</v>
      </c>
      <c r="L1723">
        <v>-11221</v>
      </c>
      <c r="M1723" s="7">
        <f t="shared" ca="1" si="110"/>
        <v>30.721423682409309</v>
      </c>
      <c r="N1723" s="5" t="str">
        <f ca="1">VLOOKUP(Data!M1723,temp!$B$3:$C$9,2,1)</f>
        <v>30-40</v>
      </c>
      <c r="O1723">
        <v>-393</v>
      </c>
      <c r="P1723" s="8">
        <f t="shared" si="111"/>
        <v>1.0759753593429158</v>
      </c>
      <c r="Q1723" s="5" t="str">
        <f t="shared" si="113"/>
        <v>Employed</v>
      </c>
      <c r="R1723">
        <v>1</v>
      </c>
      <c r="S1723">
        <v>1</v>
      </c>
      <c r="T1723">
        <v>0</v>
      </c>
      <c r="U1723">
        <v>0</v>
      </c>
      <c r="V1723" t="s">
        <v>38</v>
      </c>
      <c r="W1723">
        <v>2</v>
      </c>
    </row>
    <row r="1724" spans="1:23" x14ac:dyDescent="0.2">
      <c r="A1724">
        <v>5054663</v>
      </c>
      <c r="B1724" t="s">
        <v>25</v>
      </c>
      <c r="C1724" t="s">
        <v>19</v>
      </c>
      <c r="D1724" t="s">
        <v>19</v>
      </c>
      <c r="E1724">
        <v>0</v>
      </c>
      <c r="F1724">
        <v>103500</v>
      </c>
      <c r="G1724" t="s">
        <v>26</v>
      </c>
      <c r="H1724" t="s">
        <v>36</v>
      </c>
      <c r="I1724" t="s">
        <v>33</v>
      </c>
      <c r="J1724" t="s">
        <v>41</v>
      </c>
      <c r="K1724" s="6">
        <f t="shared" ca="1" si="112"/>
        <v>37349</v>
      </c>
      <c r="L1724">
        <v>-8412</v>
      </c>
      <c r="M1724" s="7">
        <f t="shared" ca="1" si="110"/>
        <v>23.030800821355236</v>
      </c>
      <c r="N1724" s="5" t="str">
        <f ca="1">VLOOKUP(Data!M1724,temp!$B$3:$C$9,2,1)</f>
        <v>20-30</v>
      </c>
      <c r="O1724">
        <v>-1033</v>
      </c>
      <c r="P1724" s="8">
        <f t="shared" si="111"/>
        <v>2.8281998631074607</v>
      </c>
      <c r="Q1724" s="5" t="str">
        <f t="shared" si="113"/>
        <v>Employed</v>
      </c>
      <c r="R1724">
        <v>1</v>
      </c>
      <c r="S1724">
        <v>0</v>
      </c>
      <c r="T1724">
        <v>0</v>
      </c>
      <c r="U1724">
        <v>0</v>
      </c>
      <c r="V1724" t="s">
        <v>29</v>
      </c>
      <c r="W1724">
        <v>1</v>
      </c>
    </row>
    <row r="1725" spans="1:23" x14ac:dyDescent="0.2">
      <c r="A1725">
        <v>5054665</v>
      </c>
      <c r="B1725" t="s">
        <v>18</v>
      </c>
      <c r="C1725" t="s">
        <v>19</v>
      </c>
      <c r="D1725" t="s">
        <v>20</v>
      </c>
      <c r="E1725">
        <v>0</v>
      </c>
      <c r="F1725">
        <v>135000</v>
      </c>
      <c r="G1725" t="s">
        <v>26</v>
      </c>
      <c r="H1725" t="s">
        <v>22</v>
      </c>
      <c r="I1725" t="s">
        <v>28</v>
      </c>
      <c r="J1725" t="s">
        <v>24</v>
      </c>
      <c r="K1725" s="6">
        <f t="shared" ca="1" si="112"/>
        <v>22639</v>
      </c>
      <c r="L1725">
        <v>-23122</v>
      </c>
      <c r="M1725" s="7">
        <f t="shared" ca="1" si="110"/>
        <v>63.304585900068446</v>
      </c>
      <c r="N1725" s="5" t="str">
        <f ca="1">VLOOKUP(Data!M1725,temp!$B$3:$C$9,2,1)</f>
        <v>60-70</v>
      </c>
      <c r="O1725">
        <v>-3621</v>
      </c>
      <c r="P1725" s="8">
        <f t="shared" si="111"/>
        <v>9.9137577002053394</v>
      </c>
      <c r="Q1725" s="5" t="str">
        <f t="shared" si="113"/>
        <v>Employed</v>
      </c>
      <c r="R1725">
        <v>1</v>
      </c>
      <c r="S1725">
        <v>0</v>
      </c>
      <c r="T1725">
        <v>0</v>
      </c>
      <c r="U1725">
        <v>0</v>
      </c>
      <c r="V1725" t="s">
        <v>39</v>
      </c>
      <c r="W1725">
        <v>2</v>
      </c>
    </row>
    <row r="1726" spans="1:23" x14ac:dyDescent="0.2">
      <c r="A1726">
        <v>5054670</v>
      </c>
      <c r="B1726" t="s">
        <v>25</v>
      </c>
      <c r="C1726" t="s">
        <v>19</v>
      </c>
      <c r="D1726" t="s">
        <v>20</v>
      </c>
      <c r="E1726">
        <v>0</v>
      </c>
      <c r="F1726">
        <v>225000</v>
      </c>
      <c r="G1726" t="s">
        <v>26</v>
      </c>
      <c r="H1726" t="s">
        <v>22</v>
      </c>
      <c r="I1726" t="s">
        <v>33</v>
      </c>
      <c r="J1726" t="s">
        <v>24</v>
      </c>
      <c r="K1726" s="6">
        <f t="shared" ca="1" si="112"/>
        <v>35579</v>
      </c>
      <c r="L1726">
        <v>-10182</v>
      </c>
      <c r="M1726" s="7">
        <f t="shared" ca="1" si="110"/>
        <v>27.876796714579054</v>
      </c>
      <c r="N1726" s="5" t="str">
        <f ca="1">VLOOKUP(Data!M1726,temp!$B$3:$C$9,2,1)</f>
        <v>20-30</v>
      </c>
      <c r="O1726">
        <v>-2403</v>
      </c>
      <c r="P1726" s="8">
        <f t="shared" si="111"/>
        <v>6.579055441478439</v>
      </c>
      <c r="Q1726" s="5" t="str">
        <f t="shared" si="113"/>
        <v>Employed</v>
      </c>
      <c r="R1726">
        <v>1</v>
      </c>
      <c r="S1726">
        <v>0</v>
      </c>
      <c r="T1726">
        <v>0</v>
      </c>
      <c r="U1726">
        <v>0</v>
      </c>
      <c r="V1726" t="s">
        <v>39</v>
      </c>
      <c r="W1726">
        <v>1</v>
      </c>
    </row>
    <row r="1727" spans="1:23" x14ac:dyDescent="0.2">
      <c r="A1727">
        <v>5054678</v>
      </c>
      <c r="B1727" t="s">
        <v>25</v>
      </c>
      <c r="C1727" t="s">
        <v>19</v>
      </c>
      <c r="D1727" t="s">
        <v>20</v>
      </c>
      <c r="E1727">
        <v>0</v>
      </c>
      <c r="F1727">
        <v>225000</v>
      </c>
      <c r="G1727" t="s">
        <v>26</v>
      </c>
      <c r="H1727" t="s">
        <v>22</v>
      </c>
      <c r="I1727" t="s">
        <v>33</v>
      </c>
      <c r="J1727" t="s">
        <v>24</v>
      </c>
      <c r="K1727" s="6">
        <f t="shared" ca="1" si="112"/>
        <v>35579</v>
      </c>
      <c r="L1727">
        <v>-10182</v>
      </c>
      <c r="M1727" s="7">
        <f t="shared" ca="1" si="110"/>
        <v>27.876796714579054</v>
      </c>
      <c r="N1727" s="5" t="str">
        <f ca="1">VLOOKUP(Data!M1727,temp!$B$3:$C$9,2,1)</f>
        <v>20-30</v>
      </c>
      <c r="O1727">
        <v>-2403</v>
      </c>
      <c r="P1727" s="8">
        <f t="shared" si="111"/>
        <v>6.579055441478439</v>
      </c>
      <c r="Q1727" s="5" t="str">
        <f t="shared" si="113"/>
        <v>Employed</v>
      </c>
      <c r="R1727">
        <v>1</v>
      </c>
      <c r="S1727">
        <v>0</v>
      </c>
      <c r="T1727">
        <v>0</v>
      </c>
      <c r="U1727">
        <v>0</v>
      </c>
      <c r="V1727" t="s">
        <v>39</v>
      </c>
      <c r="W1727">
        <v>1</v>
      </c>
    </row>
    <row r="1728" spans="1:23" x14ac:dyDescent="0.2">
      <c r="A1728">
        <v>5054679</v>
      </c>
      <c r="B1728" t="s">
        <v>25</v>
      </c>
      <c r="C1728" t="s">
        <v>19</v>
      </c>
      <c r="D1728" t="s">
        <v>20</v>
      </c>
      <c r="E1728">
        <v>0</v>
      </c>
      <c r="F1728">
        <v>225000</v>
      </c>
      <c r="G1728" t="s">
        <v>26</v>
      </c>
      <c r="H1728" t="s">
        <v>22</v>
      </c>
      <c r="I1728" t="s">
        <v>33</v>
      </c>
      <c r="J1728" t="s">
        <v>24</v>
      </c>
      <c r="K1728" s="6">
        <f t="shared" ca="1" si="112"/>
        <v>35579</v>
      </c>
      <c r="L1728">
        <v>-10182</v>
      </c>
      <c r="M1728" s="7">
        <f t="shared" ca="1" si="110"/>
        <v>27.876796714579054</v>
      </c>
      <c r="N1728" s="5" t="str">
        <f ca="1">VLOOKUP(Data!M1728,temp!$B$3:$C$9,2,1)</f>
        <v>20-30</v>
      </c>
      <c r="O1728">
        <v>-2403</v>
      </c>
      <c r="P1728" s="8">
        <f t="shared" si="111"/>
        <v>6.579055441478439</v>
      </c>
      <c r="Q1728" s="5" t="str">
        <f t="shared" si="113"/>
        <v>Employed</v>
      </c>
      <c r="R1728">
        <v>1</v>
      </c>
      <c r="S1728">
        <v>0</v>
      </c>
      <c r="T1728">
        <v>0</v>
      </c>
      <c r="U1728">
        <v>0</v>
      </c>
      <c r="V1728" t="s">
        <v>39</v>
      </c>
      <c r="W1728">
        <v>1</v>
      </c>
    </row>
    <row r="1729" spans="1:23" x14ac:dyDescent="0.2">
      <c r="A1729">
        <v>5054680</v>
      </c>
      <c r="B1729" t="s">
        <v>25</v>
      </c>
      <c r="C1729" t="s">
        <v>19</v>
      </c>
      <c r="D1729" t="s">
        <v>20</v>
      </c>
      <c r="E1729">
        <v>0</v>
      </c>
      <c r="F1729">
        <v>225000</v>
      </c>
      <c r="G1729" t="s">
        <v>26</v>
      </c>
      <c r="H1729" t="s">
        <v>22</v>
      </c>
      <c r="I1729" t="s">
        <v>33</v>
      </c>
      <c r="J1729" t="s">
        <v>24</v>
      </c>
      <c r="K1729" s="6">
        <f t="shared" ca="1" si="112"/>
        <v>35579</v>
      </c>
      <c r="L1729">
        <v>-10182</v>
      </c>
      <c r="M1729" s="7">
        <f t="shared" ca="1" si="110"/>
        <v>27.876796714579054</v>
      </c>
      <c r="N1729" s="5" t="str">
        <f ca="1">VLOOKUP(Data!M1729,temp!$B$3:$C$9,2,1)</f>
        <v>20-30</v>
      </c>
      <c r="O1729">
        <v>-2403</v>
      </c>
      <c r="P1729" s="8">
        <f t="shared" si="111"/>
        <v>6.579055441478439</v>
      </c>
      <c r="Q1729" s="5" t="str">
        <f t="shared" si="113"/>
        <v>Employed</v>
      </c>
      <c r="R1729">
        <v>1</v>
      </c>
      <c r="S1729">
        <v>0</v>
      </c>
      <c r="T1729">
        <v>0</v>
      </c>
      <c r="U1729">
        <v>0</v>
      </c>
      <c r="V1729" t="s">
        <v>39</v>
      </c>
      <c r="W1729">
        <v>1</v>
      </c>
    </row>
    <row r="1730" spans="1:23" x14ac:dyDescent="0.2">
      <c r="A1730">
        <v>5054682</v>
      </c>
      <c r="B1730" t="s">
        <v>25</v>
      </c>
      <c r="C1730" t="s">
        <v>19</v>
      </c>
      <c r="D1730" t="s">
        <v>20</v>
      </c>
      <c r="E1730">
        <v>0</v>
      </c>
      <c r="F1730">
        <v>225000</v>
      </c>
      <c r="G1730" t="s">
        <v>26</v>
      </c>
      <c r="H1730" t="s">
        <v>22</v>
      </c>
      <c r="I1730" t="s">
        <v>33</v>
      </c>
      <c r="J1730" t="s">
        <v>24</v>
      </c>
      <c r="K1730" s="6">
        <f t="shared" ca="1" si="112"/>
        <v>35579</v>
      </c>
      <c r="L1730">
        <v>-10182</v>
      </c>
      <c r="M1730" s="7">
        <f t="shared" ca="1" si="110"/>
        <v>27.876796714579054</v>
      </c>
      <c r="N1730" s="5" t="str">
        <f ca="1">VLOOKUP(Data!M1730,temp!$B$3:$C$9,2,1)</f>
        <v>20-30</v>
      </c>
      <c r="O1730">
        <v>-2403</v>
      </c>
      <c r="P1730" s="8">
        <f t="shared" si="111"/>
        <v>6.579055441478439</v>
      </c>
      <c r="Q1730" s="5" t="str">
        <f t="shared" si="113"/>
        <v>Employed</v>
      </c>
      <c r="R1730">
        <v>1</v>
      </c>
      <c r="S1730">
        <v>0</v>
      </c>
      <c r="T1730">
        <v>0</v>
      </c>
      <c r="U1730">
        <v>0</v>
      </c>
      <c r="V1730" t="s">
        <v>39</v>
      </c>
      <c r="W1730">
        <v>1</v>
      </c>
    </row>
    <row r="1731" spans="1:23" x14ac:dyDescent="0.2">
      <c r="A1731">
        <v>5054688</v>
      </c>
      <c r="B1731" t="s">
        <v>25</v>
      </c>
      <c r="C1731" t="s">
        <v>19</v>
      </c>
      <c r="D1731" t="s">
        <v>20</v>
      </c>
      <c r="E1731">
        <v>0</v>
      </c>
      <c r="F1731">
        <v>225000</v>
      </c>
      <c r="G1731" t="s">
        <v>26</v>
      </c>
      <c r="H1731" t="s">
        <v>22</v>
      </c>
      <c r="I1731" t="s">
        <v>33</v>
      </c>
      <c r="J1731" t="s">
        <v>24</v>
      </c>
      <c r="K1731" s="6">
        <f t="shared" ca="1" si="112"/>
        <v>35579</v>
      </c>
      <c r="L1731">
        <v>-10182</v>
      </c>
      <c r="M1731" s="7">
        <f t="shared" ref="M1731:M1794" ca="1" si="114">(TODAY()-K1731)/365.25</f>
        <v>27.876796714579054</v>
      </c>
      <c r="N1731" s="5" t="str">
        <f ca="1">VLOOKUP(Data!M1731,temp!$B$3:$C$9,2,1)</f>
        <v>20-30</v>
      </c>
      <c r="O1731">
        <v>-2403</v>
      </c>
      <c r="P1731" s="8">
        <f t="shared" ref="P1731:P1794" si="115">IF(O1731&lt;=0,ABS(O1731)/365.25,0)</f>
        <v>6.579055441478439</v>
      </c>
      <c r="Q1731" s="5" t="str">
        <f t="shared" si="113"/>
        <v>Employed</v>
      </c>
      <c r="R1731">
        <v>1</v>
      </c>
      <c r="S1731">
        <v>0</v>
      </c>
      <c r="T1731">
        <v>0</v>
      </c>
      <c r="U1731">
        <v>0</v>
      </c>
      <c r="V1731" t="s">
        <v>39</v>
      </c>
      <c r="W1731">
        <v>1</v>
      </c>
    </row>
    <row r="1732" spans="1:23" x14ac:dyDescent="0.2">
      <c r="A1732">
        <v>5054690</v>
      </c>
      <c r="B1732" t="s">
        <v>25</v>
      </c>
      <c r="C1732" t="s">
        <v>19</v>
      </c>
      <c r="D1732" t="s">
        <v>19</v>
      </c>
      <c r="E1732">
        <v>2</v>
      </c>
      <c r="F1732">
        <v>360000</v>
      </c>
      <c r="G1732" t="s">
        <v>31</v>
      </c>
      <c r="H1732" t="s">
        <v>22</v>
      </c>
      <c r="I1732" t="s">
        <v>28</v>
      </c>
      <c r="J1732" t="s">
        <v>34</v>
      </c>
      <c r="K1732" s="6">
        <f t="shared" ca="1" si="112"/>
        <v>30760</v>
      </c>
      <c r="L1732">
        <v>-15001</v>
      </c>
      <c r="M1732" s="7">
        <f t="shared" ca="1" si="114"/>
        <v>41.07049965776865</v>
      </c>
      <c r="N1732" s="5" t="str">
        <f ca="1">VLOOKUP(Data!M1732,temp!$B$3:$C$9,2,1)</f>
        <v>40-50</v>
      </c>
      <c r="O1732">
        <v>-1246</v>
      </c>
      <c r="P1732" s="8">
        <f t="shared" si="115"/>
        <v>3.4113620807665983</v>
      </c>
      <c r="Q1732" s="5" t="str">
        <f t="shared" si="113"/>
        <v>Employed</v>
      </c>
      <c r="R1732">
        <v>1</v>
      </c>
      <c r="S1732">
        <v>0</v>
      </c>
      <c r="T1732">
        <v>0</v>
      </c>
      <c r="U1732">
        <v>0</v>
      </c>
      <c r="V1732" t="s">
        <v>38</v>
      </c>
      <c r="W1732">
        <v>4</v>
      </c>
    </row>
    <row r="1733" spans="1:23" x14ac:dyDescent="0.2">
      <c r="A1733">
        <v>5054691</v>
      </c>
      <c r="B1733" t="s">
        <v>25</v>
      </c>
      <c r="C1733" t="s">
        <v>19</v>
      </c>
      <c r="D1733" t="s">
        <v>19</v>
      </c>
      <c r="E1733">
        <v>2</v>
      </c>
      <c r="F1733">
        <v>360000</v>
      </c>
      <c r="G1733" t="s">
        <v>31</v>
      </c>
      <c r="H1733" t="s">
        <v>22</v>
      </c>
      <c r="I1733" t="s">
        <v>28</v>
      </c>
      <c r="J1733" t="s">
        <v>34</v>
      </c>
      <c r="K1733" s="6">
        <f t="shared" ca="1" si="112"/>
        <v>30760</v>
      </c>
      <c r="L1733">
        <v>-15001</v>
      </c>
      <c r="M1733" s="7">
        <f t="shared" ca="1" si="114"/>
        <v>41.07049965776865</v>
      </c>
      <c r="N1733" s="5" t="str">
        <f ca="1">VLOOKUP(Data!M1733,temp!$B$3:$C$9,2,1)</f>
        <v>40-50</v>
      </c>
      <c r="O1733">
        <v>-1246</v>
      </c>
      <c r="P1733" s="8">
        <f t="shared" si="115"/>
        <v>3.4113620807665983</v>
      </c>
      <c r="Q1733" s="5" t="str">
        <f t="shared" si="113"/>
        <v>Employed</v>
      </c>
      <c r="R1733">
        <v>1</v>
      </c>
      <c r="S1733">
        <v>0</v>
      </c>
      <c r="T1733">
        <v>0</v>
      </c>
      <c r="U1733">
        <v>0</v>
      </c>
      <c r="V1733" t="s">
        <v>38</v>
      </c>
      <c r="W1733">
        <v>4</v>
      </c>
    </row>
    <row r="1734" spans="1:23" x14ac:dyDescent="0.2">
      <c r="A1734">
        <v>5054711</v>
      </c>
      <c r="B1734" t="s">
        <v>18</v>
      </c>
      <c r="C1734" t="s">
        <v>19</v>
      </c>
      <c r="D1734" t="s">
        <v>20</v>
      </c>
      <c r="E1734">
        <v>0</v>
      </c>
      <c r="F1734">
        <v>103500</v>
      </c>
      <c r="G1734" t="s">
        <v>26</v>
      </c>
      <c r="H1734" t="s">
        <v>27</v>
      </c>
      <c r="I1734" t="s">
        <v>28</v>
      </c>
      <c r="J1734" t="s">
        <v>24</v>
      </c>
      <c r="K1734" s="6">
        <f t="shared" ca="1" si="112"/>
        <v>27469</v>
      </c>
      <c r="L1734">
        <v>-18292</v>
      </c>
      <c r="M1734" s="7">
        <f t="shared" ca="1" si="114"/>
        <v>50.0807665982204</v>
      </c>
      <c r="N1734" s="5" t="str">
        <f ca="1">VLOOKUP(Data!M1734,temp!$B$3:$C$9,2,1)</f>
        <v>50-60</v>
      </c>
      <c r="O1734">
        <v>-638</v>
      </c>
      <c r="P1734" s="8">
        <f t="shared" si="115"/>
        <v>1.7467488021902806</v>
      </c>
      <c r="Q1734" s="5" t="str">
        <f t="shared" si="113"/>
        <v>Employed</v>
      </c>
      <c r="R1734">
        <v>1</v>
      </c>
      <c r="S1734">
        <v>1</v>
      </c>
      <c r="T1734">
        <v>1</v>
      </c>
      <c r="U1734">
        <v>0</v>
      </c>
      <c r="V1734" t="s">
        <v>29</v>
      </c>
      <c r="W1734">
        <v>2</v>
      </c>
    </row>
    <row r="1735" spans="1:23" x14ac:dyDescent="0.2">
      <c r="A1735">
        <v>5054714</v>
      </c>
      <c r="B1735" t="s">
        <v>18</v>
      </c>
      <c r="C1735" t="s">
        <v>19</v>
      </c>
      <c r="D1735" t="s">
        <v>20</v>
      </c>
      <c r="E1735">
        <v>0</v>
      </c>
      <c r="F1735">
        <v>103500</v>
      </c>
      <c r="G1735" t="s">
        <v>26</v>
      </c>
      <c r="H1735" t="s">
        <v>27</v>
      </c>
      <c r="I1735" t="s">
        <v>28</v>
      </c>
      <c r="J1735" t="s">
        <v>24</v>
      </c>
      <c r="K1735" s="6">
        <f t="shared" ca="1" si="112"/>
        <v>27469</v>
      </c>
      <c r="L1735">
        <v>-18292</v>
      </c>
      <c r="M1735" s="7">
        <f t="shared" ca="1" si="114"/>
        <v>50.0807665982204</v>
      </c>
      <c r="N1735" s="5" t="str">
        <f ca="1">VLOOKUP(Data!M1735,temp!$B$3:$C$9,2,1)</f>
        <v>50-60</v>
      </c>
      <c r="O1735">
        <v>-638</v>
      </c>
      <c r="P1735" s="8">
        <f t="shared" si="115"/>
        <v>1.7467488021902806</v>
      </c>
      <c r="Q1735" s="5" t="str">
        <f t="shared" si="113"/>
        <v>Employed</v>
      </c>
      <c r="R1735">
        <v>1</v>
      </c>
      <c r="S1735">
        <v>1</v>
      </c>
      <c r="T1735">
        <v>1</v>
      </c>
      <c r="U1735">
        <v>0</v>
      </c>
      <c r="V1735" t="s">
        <v>29</v>
      </c>
      <c r="W1735">
        <v>2</v>
      </c>
    </row>
    <row r="1736" spans="1:23" x14ac:dyDescent="0.2">
      <c r="A1736">
        <v>5054726</v>
      </c>
      <c r="B1736" t="s">
        <v>18</v>
      </c>
      <c r="C1736" t="s">
        <v>19</v>
      </c>
      <c r="D1736" t="s">
        <v>20</v>
      </c>
      <c r="E1736">
        <v>1</v>
      </c>
      <c r="F1736">
        <v>112500</v>
      </c>
      <c r="G1736" t="s">
        <v>35</v>
      </c>
      <c r="H1736" t="s">
        <v>27</v>
      </c>
      <c r="I1736" t="s">
        <v>28</v>
      </c>
      <c r="J1736" t="s">
        <v>24</v>
      </c>
      <c r="K1736" s="6">
        <f t="shared" ref="K1736:K1799" ca="1" si="116">TODAY()+($L1736)</f>
        <v>26970</v>
      </c>
      <c r="L1736">
        <v>-18791</v>
      </c>
      <c r="M1736" s="7">
        <f t="shared" ca="1" si="114"/>
        <v>51.446954140999317</v>
      </c>
      <c r="N1736" s="5" t="str">
        <f ca="1">VLOOKUP(Data!M1736,temp!$B$3:$C$9,2,1)</f>
        <v>50-60</v>
      </c>
      <c r="O1736">
        <v>-1003</v>
      </c>
      <c r="P1736" s="8">
        <f t="shared" si="115"/>
        <v>2.7460643394934978</v>
      </c>
      <c r="Q1736" s="5" t="str">
        <f t="shared" ref="Q1736:Q1799" si="117">IF($O1736&gt;0,"Unemployed","Employed")</f>
        <v>Employed</v>
      </c>
      <c r="R1736">
        <v>1</v>
      </c>
      <c r="S1736">
        <v>1</v>
      </c>
      <c r="T1736">
        <v>0</v>
      </c>
      <c r="U1736">
        <v>0</v>
      </c>
      <c r="V1736" t="s">
        <v>32</v>
      </c>
      <c r="W1736">
        <v>3</v>
      </c>
    </row>
    <row r="1737" spans="1:23" x14ac:dyDescent="0.2">
      <c r="A1737">
        <v>5054729</v>
      </c>
      <c r="B1737" t="s">
        <v>18</v>
      </c>
      <c r="C1737" t="s">
        <v>19</v>
      </c>
      <c r="D1737" t="s">
        <v>20</v>
      </c>
      <c r="E1737">
        <v>0</v>
      </c>
      <c r="F1737">
        <v>236250</v>
      </c>
      <c r="G1737" t="s">
        <v>21</v>
      </c>
      <c r="H1737" t="s">
        <v>27</v>
      </c>
      <c r="I1737" t="s">
        <v>42</v>
      </c>
      <c r="J1737" t="s">
        <v>24</v>
      </c>
      <c r="K1737" s="6">
        <f t="shared" ca="1" si="116"/>
        <v>20798</v>
      </c>
      <c r="L1737">
        <v>-24963</v>
      </c>
      <c r="M1737" s="7">
        <f t="shared" ca="1" si="114"/>
        <v>68.344969199178649</v>
      </c>
      <c r="N1737" s="5" t="str">
        <f ca="1">VLOOKUP(Data!M1737,temp!$B$3:$C$9,2,1)</f>
        <v>60-70</v>
      </c>
      <c r="O1737">
        <v>365243</v>
      </c>
      <c r="P1737" s="8">
        <f t="shared" si="115"/>
        <v>0</v>
      </c>
      <c r="Q1737" s="5" t="str">
        <f t="shared" si="117"/>
        <v>Unemployed</v>
      </c>
      <c r="R1737">
        <v>1</v>
      </c>
      <c r="S1737">
        <v>0</v>
      </c>
      <c r="T1737">
        <v>1</v>
      </c>
      <c r="U1737">
        <v>0</v>
      </c>
      <c r="W1737">
        <v>1</v>
      </c>
    </row>
    <row r="1738" spans="1:23" x14ac:dyDescent="0.2">
      <c r="A1738">
        <v>5054742</v>
      </c>
      <c r="B1738" t="s">
        <v>18</v>
      </c>
      <c r="C1738" t="s">
        <v>19</v>
      </c>
      <c r="D1738" t="s">
        <v>20</v>
      </c>
      <c r="E1738">
        <v>0</v>
      </c>
      <c r="F1738">
        <v>247500</v>
      </c>
      <c r="G1738" t="s">
        <v>26</v>
      </c>
      <c r="H1738" t="s">
        <v>27</v>
      </c>
      <c r="I1738" t="s">
        <v>37</v>
      </c>
      <c r="J1738" t="s">
        <v>24</v>
      </c>
      <c r="K1738" s="6">
        <f t="shared" ca="1" si="116"/>
        <v>27899</v>
      </c>
      <c r="L1738">
        <v>-17862</v>
      </c>
      <c r="M1738" s="7">
        <f t="shared" ca="1" si="114"/>
        <v>48.903490759753595</v>
      </c>
      <c r="N1738" s="5" t="str">
        <f ca="1">VLOOKUP(Data!M1738,temp!$B$3:$C$9,2,1)</f>
        <v>40-50</v>
      </c>
      <c r="O1738">
        <v>-212</v>
      </c>
      <c r="P1738" s="8">
        <f t="shared" si="115"/>
        <v>0.58042436687200549</v>
      </c>
      <c r="Q1738" s="5" t="str">
        <f t="shared" si="117"/>
        <v>Employed</v>
      </c>
      <c r="R1738">
        <v>1</v>
      </c>
      <c r="S1738">
        <v>0</v>
      </c>
      <c r="T1738">
        <v>0</v>
      </c>
      <c r="U1738">
        <v>0</v>
      </c>
      <c r="V1738" t="s">
        <v>29</v>
      </c>
      <c r="W1738">
        <v>2</v>
      </c>
    </row>
    <row r="1739" spans="1:23" x14ac:dyDescent="0.2">
      <c r="A1739">
        <v>5054747</v>
      </c>
      <c r="B1739" t="s">
        <v>18</v>
      </c>
      <c r="C1739" t="s">
        <v>19</v>
      </c>
      <c r="D1739" t="s">
        <v>20</v>
      </c>
      <c r="E1739">
        <v>0</v>
      </c>
      <c r="F1739">
        <v>247500</v>
      </c>
      <c r="G1739" t="s">
        <v>26</v>
      </c>
      <c r="H1739" t="s">
        <v>27</v>
      </c>
      <c r="I1739" t="s">
        <v>37</v>
      </c>
      <c r="J1739" t="s">
        <v>24</v>
      </c>
      <c r="K1739" s="6">
        <f t="shared" ca="1" si="116"/>
        <v>27899</v>
      </c>
      <c r="L1739">
        <v>-17862</v>
      </c>
      <c r="M1739" s="7">
        <f t="shared" ca="1" si="114"/>
        <v>48.903490759753595</v>
      </c>
      <c r="N1739" s="5" t="str">
        <f ca="1">VLOOKUP(Data!M1739,temp!$B$3:$C$9,2,1)</f>
        <v>40-50</v>
      </c>
      <c r="O1739">
        <v>-212</v>
      </c>
      <c r="P1739" s="8">
        <f t="shared" si="115"/>
        <v>0.58042436687200549</v>
      </c>
      <c r="Q1739" s="5" t="str">
        <f t="shared" si="117"/>
        <v>Employed</v>
      </c>
      <c r="R1739">
        <v>1</v>
      </c>
      <c r="S1739">
        <v>0</v>
      </c>
      <c r="T1739">
        <v>0</v>
      </c>
      <c r="U1739">
        <v>0</v>
      </c>
      <c r="V1739" t="s">
        <v>29</v>
      </c>
      <c r="W1739">
        <v>2</v>
      </c>
    </row>
    <row r="1740" spans="1:23" x14ac:dyDescent="0.2">
      <c r="A1740">
        <v>5054752</v>
      </c>
      <c r="B1740" t="s">
        <v>18</v>
      </c>
      <c r="C1740" t="s">
        <v>19</v>
      </c>
      <c r="D1740" t="s">
        <v>20</v>
      </c>
      <c r="E1740">
        <v>0</v>
      </c>
      <c r="F1740">
        <v>247500</v>
      </c>
      <c r="G1740" t="s">
        <v>26</v>
      </c>
      <c r="H1740" t="s">
        <v>27</v>
      </c>
      <c r="I1740" t="s">
        <v>37</v>
      </c>
      <c r="J1740" t="s">
        <v>24</v>
      </c>
      <c r="K1740" s="6">
        <f t="shared" ca="1" si="116"/>
        <v>27899</v>
      </c>
      <c r="L1740">
        <v>-17862</v>
      </c>
      <c r="M1740" s="7">
        <f t="shared" ca="1" si="114"/>
        <v>48.903490759753595</v>
      </c>
      <c r="N1740" s="5" t="str">
        <f ca="1">VLOOKUP(Data!M1740,temp!$B$3:$C$9,2,1)</f>
        <v>40-50</v>
      </c>
      <c r="O1740">
        <v>-212</v>
      </c>
      <c r="P1740" s="8">
        <f t="shared" si="115"/>
        <v>0.58042436687200549</v>
      </c>
      <c r="Q1740" s="5" t="str">
        <f t="shared" si="117"/>
        <v>Employed</v>
      </c>
      <c r="R1740">
        <v>1</v>
      </c>
      <c r="S1740">
        <v>0</v>
      </c>
      <c r="T1740">
        <v>0</v>
      </c>
      <c r="U1740">
        <v>0</v>
      </c>
      <c r="V1740" t="s">
        <v>29</v>
      </c>
      <c r="W1740">
        <v>2</v>
      </c>
    </row>
    <row r="1741" spans="1:23" x14ac:dyDescent="0.2">
      <c r="A1741">
        <v>5054754</v>
      </c>
      <c r="B1741" t="s">
        <v>18</v>
      </c>
      <c r="C1741" t="s">
        <v>19</v>
      </c>
      <c r="D1741" t="s">
        <v>20</v>
      </c>
      <c r="E1741">
        <v>0</v>
      </c>
      <c r="F1741">
        <v>45000</v>
      </c>
      <c r="G1741" t="s">
        <v>35</v>
      </c>
      <c r="H1741" t="s">
        <v>27</v>
      </c>
      <c r="I1741" t="s">
        <v>28</v>
      </c>
      <c r="J1741" t="s">
        <v>24</v>
      </c>
      <c r="K1741" s="6">
        <f t="shared" ca="1" si="116"/>
        <v>25561</v>
      </c>
      <c r="L1741">
        <v>-20200</v>
      </c>
      <c r="M1741" s="7">
        <f t="shared" ca="1" si="114"/>
        <v>55.304585900068446</v>
      </c>
      <c r="N1741" s="5" t="str">
        <f ca="1">VLOOKUP(Data!M1741,temp!$B$3:$C$9,2,1)</f>
        <v>50-60</v>
      </c>
      <c r="O1741">
        <v>-9404</v>
      </c>
      <c r="P1741" s="8">
        <f t="shared" si="115"/>
        <v>25.746748802190282</v>
      </c>
      <c r="Q1741" s="5" t="str">
        <f t="shared" si="117"/>
        <v>Employed</v>
      </c>
      <c r="R1741">
        <v>1</v>
      </c>
      <c r="S1741">
        <v>1</v>
      </c>
      <c r="T1741">
        <v>0</v>
      </c>
      <c r="U1741">
        <v>0</v>
      </c>
      <c r="V1741" t="s">
        <v>46</v>
      </c>
      <c r="W1741">
        <v>2</v>
      </c>
    </row>
    <row r="1742" spans="1:23" x14ac:dyDescent="0.2">
      <c r="A1742">
        <v>5054760</v>
      </c>
      <c r="B1742" t="s">
        <v>18</v>
      </c>
      <c r="C1742" t="s">
        <v>19</v>
      </c>
      <c r="D1742" t="s">
        <v>20</v>
      </c>
      <c r="E1742">
        <v>2</v>
      </c>
      <c r="F1742">
        <v>202500</v>
      </c>
      <c r="G1742" t="s">
        <v>31</v>
      </c>
      <c r="H1742" t="s">
        <v>27</v>
      </c>
      <c r="I1742" t="s">
        <v>28</v>
      </c>
      <c r="J1742" t="s">
        <v>24</v>
      </c>
      <c r="K1742" s="6">
        <f t="shared" ca="1" si="116"/>
        <v>29969</v>
      </c>
      <c r="L1742">
        <v>-15792</v>
      </c>
      <c r="M1742" s="7">
        <f t="shared" ca="1" si="114"/>
        <v>43.236139630390142</v>
      </c>
      <c r="N1742" s="5" t="str">
        <f ca="1">VLOOKUP(Data!M1742,temp!$B$3:$C$9,2,1)</f>
        <v>40-50</v>
      </c>
      <c r="O1742">
        <v>-6237</v>
      </c>
      <c r="P1742" s="8">
        <f t="shared" si="115"/>
        <v>17.075975359342916</v>
      </c>
      <c r="Q1742" s="5" t="str">
        <f t="shared" si="117"/>
        <v>Employed</v>
      </c>
      <c r="R1742">
        <v>1</v>
      </c>
      <c r="S1742">
        <v>1</v>
      </c>
      <c r="T1742">
        <v>1</v>
      </c>
      <c r="U1742">
        <v>0</v>
      </c>
      <c r="V1742" t="s">
        <v>50</v>
      </c>
      <c r="W1742">
        <v>4</v>
      </c>
    </row>
    <row r="1743" spans="1:23" x14ac:dyDescent="0.2">
      <c r="A1743">
        <v>5054767</v>
      </c>
      <c r="B1743" t="s">
        <v>18</v>
      </c>
      <c r="C1743" t="s">
        <v>19</v>
      </c>
      <c r="D1743" t="s">
        <v>20</v>
      </c>
      <c r="E1743">
        <v>2</v>
      </c>
      <c r="F1743">
        <v>202500</v>
      </c>
      <c r="G1743" t="s">
        <v>31</v>
      </c>
      <c r="H1743" t="s">
        <v>27</v>
      </c>
      <c r="I1743" t="s">
        <v>28</v>
      </c>
      <c r="J1743" t="s">
        <v>24</v>
      </c>
      <c r="K1743" s="6">
        <f t="shared" ca="1" si="116"/>
        <v>29969</v>
      </c>
      <c r="L1743">
        <v>-15792</v>
      </c>
      <c r="M1743" s="7">
        <f t="shared" ca="1" si="114"/>
        <v>43.236139630390142</v>
      </c>
      <c r="N1743" s="5" t="str">
        <f ca="1">VLOOKUP(Data!M1743,temp!$B$3:$C$9,2,1)</f>
        <v>40-50</v>
      </c>
      <c r="O1743">
        <v>-6237</v>
      </c>
      <c r="P1743" s="8">
        <f t="shared" si="115"/>
        <v>17.075975359342916</v>
      </c>
      <c r="Q1743" s="5" t="str">
        <f t="shared" si="117"/>
        <v>Employed</v>
      </c>
      <c r="R1743">
        <v>1</v>
      </c>
      <c r="S1743">
        <v>1</v>
      </c>
      <c r="T1743">
        <v>1</v>
      </c>
      <c r="U1743">
        <v>0</v>
      </c>
      <c r="V1743" t="s">
        <v>50</v>
      </c>
      <c r="W1743">
        <v>4</v>
      </c>
    </row>
    <row r="1744" spans="1:23" x14ac:dyDescent="0.2">
      <c r="A1744">
        <v>5054774</v>
      </c>
      <c r="B1744" t="s">
        <v>25</v>
      </c>
      <c r="C1744" t="s">
        <v>19</v>
      </c>
      <c r="D1744" t="s">
        <v>20</v>
      </c>
      <c r="E1744">
        <v>0</v>
      </c>
      <c r="F1744">
        <v>225000</v>
      </c>
      <c r="G1744" t="s">
        <v>31</v>
      </c>
      <c r="H1744" t="s">
        <v>27</v>
      </c>
      <c r="I1744" t="s">
        <v>28</v>
      </c>
      <c r="J1744" t="s">
        <v>24</v>
      </c>
      <c r="K1744" s="6">
        <f t="shared" ca="1" si="116"/>
        <v>24399</v>
      </c>
      <c r="L1744">
        <v>-21362</v>
      </c>
      <c r="M1744" s="7">
        <f t="shared" ca="1" si="114"/>
        <v>58.48596851471595</v>
      </c>
      <c r="N1744" s="5" t="str">
        <f ca="1">VLOOKUP(Data!M1744,temp!$B$3:$C$9,2,1)</f>
        <v>50-60</v>
      </c>
      <c r="O1744">
        <v>-1520</v>
      </c>
      <c r="P1744" s="8">
        <f t="shared" si="115"/>
        <v>4.1615331964407938</v>
      </c>
      <c r="Q1744" s="5" t="str">
        <f t="shared" si="117"/>
        <v>Employed</v>
      </c>
      <c r="R1744">
        <v>1</v>
      </c>
      <c r="S1744">
        <v>0</v>
      </c>
      <c r="T1744">
        <v>0</v>
      </c>
      <c r="U1744">
        <v>0</v>
      </c>
      <c r="V1744" t="s">
        <v>29</v>
      </c>
      <c r="W1744">
        <v>2</v>
      </c>
    </row>
    <row r="1745" spans="1:23" x14ac:dyDescent="0.2">
      <c r="A1745">
        <v>5055998</v>
      </c>
      <c r="B1745" t="s">
        <v>18</v>
      </c>
      <c r="C1745" t="s">
        <v>19</v>
      </c>
      <c r="D1745" t="s">
        <v>20</v>
      </c>
      <c r="E1745">
        <v>0</v>
      </c>
      <c r="F1745">
        <v>180000</v>
      </c>
      <c r="G1745" t="s">
        <v>31</v>
      </c>
      <c r="H1745" t="s">
        <v>22</v>
      </c>
      <c r="I1745" t="s">
        <v>28</v>
      </c>
      <c r="J1745" t="s">
        <v>24</v>
      </c>
      <c r="K1745" s="6">
        <f t="shared" ca="1" si="116"/>
        <v>29748</v>
      </c>
      <c r="L1745">
        <v>-16013</v>
      </c>
      <c r="M1745" s="7">
        <f t="shared" ca="1" si="114"/>
        <v>43.841204654346335</v>
      </c>
      <c r="N1745" s="5" t="str">
        <f ca="1">VLOOKUP(Data!M1745,temp!$B$3:$C$9,2,1)</f>
        <v>40-50</v>
      </c>
      <c r="O1745">
        <v>-1517</v>
      </c>
      <c r="P1745" s="8">
        <f t="shared" si="115"/>
        <v>4.1533196440793976</v>
      </c>
      <c r="Q1745" s="5" t="str">
        <f t="shared" si="117"/>
        <v>Employed</v>
      </c>
      <c r="R1745">
        <v>1</v>
      </c>
      <c r="S1745">
        <v>0</v>
      </c>
      <c r="T1745">
        <v>1</v>
      </c>
      <c r="U1745">
        <v>0</v>
      </c>
      <c r="V1745" t="s">
        <v>55</v>
      </c>
      <c r="W1745">
        <v>2</v>
      </c>
    </row>
    <row r="1746" spans="1:23" x14ac:dyDescent="0.2">
      <c r="A1746">
        <v>5056021</v>
      </c>
      <c r="B1746" t="s">
        <v>18</v>
      </c>
      <c r="C1746" t="s">
        <v>19</v>
      </c>
      <c r="D1746" t="s">
        <v>20</v>
      </c>
      <c r="E1746">
        <v>1</v>
      </c>
      <c r="F1746">
        <v>90000</v>
      </c>
      <c r="G1746" t="s">
        <v>31</v>
      </c>
      <c r="H1746" t="s">
        <v>22</v>
      </c>
      <c r="I1746" t="s">
        <v>28</v>
      </c>
      <c r="J1746" t="s">
        <v>24</v>
      </c>
      <c r="K1746" s="6">
        <f t="shared" ca="1" si="116"/>
        <v>32215</v>
      </c>
      <c r="L1746">
        <v>-13546</v>
      </c>
      <c r="M1746" s="7">
        <f t="shared" ca="1" si="114"/>
        <v>37.086926762491444</v>
      </c>
      <c r="N1746" s="5" t="str">
        <f ca="1">VLOOKUP(Data!M1746,temp!$B$3:$C$9,2,1)</f>
        <v>30-40</v>
      </c>
      <c r="O1746">
        <v>-3373</v>
      </c>
      <c r="P1746" s="8">
        <f t="shared" si="115"/>
        <v>9.2347707049965777</v>
      </c>
      <c r="Q1746" s="5" t="str">
        <f t="shared" si="117"/>
        <v>Employed</v>
      </c>
      <c r="R1746">
        <v>1</v>
      </c>
      <c r="S1746">
        <v>0</v>
      </c>
      <c r="T1746">
        <v>0</v>
      </c>
      <c r="U1746">
        <v>0</v>
      </c>
      <c r="V1746" t="s">
        <v>46</v>
      </c>
      <c r="W1746">
        <v>3</v>
      </c>
    </row>
    <row r="1747" spans="1:23" x14ac:dyDescent="0.2">
      <c r="A1747">
        <v>5056047</v>
      </c>
      <c r="B1747" t="s">
        <v>18</v>
      </c>
      <c r="C1747" t="s">
        <v>19</v>
      </c>
      <c r="D1747" t="s">
        <v>19</v>
      </c>
      <c r="E1747">
        <v>0</v>
      </c>
      <c r="F1747">
        <v>126000</v>
      </c>
      <c r="G1747" t="s">
        <v>35</v>
      </c>
      <c r="H1747" t="s">
        <v>22</v>
      </c>
      <c r="I1747" t="s">
        <v>28</v>
      </c>
      <c r="J1747" t="s">
        <v>24</v>
      </c>
      <c r="K1747" s="6">
        <f t="shared" ca="1" si="116"/>
        <v>30527</v>
      </c>
      <c r="L1747">
        <v>-15234</v>
      </c>
      <c r="M1747" s="7">
        <f t="shared" ca="1" si="114"/>
        <v>41.708418891170432</v>
      </c>
      <c r="N1747" s="5" t="str">
        <f ca="1">VLOOKUP(Data!M1747,temp!$B$3:$C$9,2,1)</f>
        <v>40-50</v>
      </c>
      <c r="O1747">
        <v>-7756</v>
      </c>
      <c r="P1747" s="8">
        <f t="shared" si="115"/>
        <v>21.234770704996578</v>
      </c>
      <c r="Q1747" s="5" t="str">
        <f t="shared" si="117"/>
        <v>Employed</v>
      </c>
      <c r="R1747">
        <v>1</v>
      </c>
      <c r="S1747">
        <v>0</v>
      </c>
      <c r="T1747">
        <v>0</v>
      </c>
      <c r="U1747">
        <v>0</v>
      </c>
      <c r="V1747" t="s">
        <v>38</v>
      </c>
      <c r="W1747">
        <v>2</v>
      </c>
    </row>
    <row r="1748" spans="1:23" x14ac:dyDescent="0.2">
      <c r="A1748">
        <v>5056056</v>
      </c>
      <c r="B1748" t="s">
        <v>25</v>
      </c>
      <c r="C1748" t="s">
        <v>20</v>
      </c>
      <c r="D1748" t="s">
        <v>20</v>
      </c>
      <c r="E1748">
        <v>0</v>
      </c>
      <c r="F1748">
        <v>135000</v>
      </c>
      <c r="G1748" t="s">
        <v>31</v>
      </c>
      <c r="H1748" t="s">
        <v>27</v>
      </c>
      <c r="I1748" t="s">
        <v>28</v>
      </c>
      <c r="J1748" t="s">
        <v>24</v>
      </c>
      <c r="K1748" s="6">
        <f t="shared" ca="1" si="116"/>
        <v>26951</v>
      </c>
      <c r="L1748">
        <v>-18810</v>
      </c>
      <c r="M1748" s="7">
        <f t="shared" ca="1" si="114"/>
        <v>51.498973305954827</v>
      </c>
      <c r="N1748" s="5" t="str">
        <f ca="1">VLOOKUP(Data!M1748,temp!$B$3:$C$9,2,1)</f>
        <v>50-60</v>
      </c>
      <c r="O1748">
        <v>-3830</v>
      </c>
      <c r="P1748" s="8">
        <f t="shared" si="115"/>
        <v>10.485968514715948</v>
      </c>
      <c r="Q1748" s="5" t="str">
        <f t="shared" si="117"/>
        <v>Employed</v>
      </c>
      <c r="R1748">
        <v>1</v>
      </c>
      <c r="S1748">
        <v>1</v>
      </c>
      <c r="T1748">
        <v>0</v>
      </c>
      <c r="U1748">
        <v>0</v>
      </c>
      <c r="V1748" t="s">
        <v>29</v>
      </c>
      <c r="W1748">
        <v>2</v>
      </c>
    </row>
    <row r="1749" spans="1:23" x14ac:dyDescent="0.2">
      <c r="A1749">
        <v>5056071</v>
      </c>
      <c r="B1749" t="s">
        <v>18</v>
      </c>
      <c r="C1749" t="s">
        <v>19</v>
      </c>
      <c r="D1749" t="s">
        <v>20</v>
      </c>
      <c r="E1749">
        <v>0</v>
      </c>
      <c r="F1749">
        <v>157500</v>
      </c>
      <c r="G1749" t="s">
        <v>31</v>
      </c>
      <c r="H1749" t="s">
        <v>27</v>
      </c>
      <c r="I1749" t="s">
        <v>28</v>
      </c>
      <c r="J1749" t="s">
        <v>24</v>
      </c>
      <c r="K1749" s="6">
        <f t="shared" ca="1" si="116"/>
        <v>31696</v>
      </c>
      <c r="L1749">
        <v>-14065</v>
      </c>
      <c r="M1749" s="7">
        <f t="shared" ca="1" si="114"/>
        <v>38.507871321013006</v>
      </c>
      <c r="N1749" s="5" t="str">
        <f ca="1">VLOOKUP(Data!M1749,temp!$B$3:$C$9,2,1)</f>
        <v>30-40</v>
      </c>
      <c r="O1749">
        <v>-786</v>
      </c>
      <c r="P1749" s="8">
        <f t="shared" si="115"/>
        <v>2.1519507186858315</v>
      </c>
      <c r="Q1749" s="5" t="str">
        <f t="shared" si="117"/>
        <v>Employed</v>
      </c>
      <c r="R1749">
        <v>1</v>
      </c>
      <c r="S1749">
        <v>1</v>
      </c>
      <c r="T1749">
        <v>0</v>
      </c>
      <c r="U1749">
        <v>0</v>
      </c>
      <c r="V1749" t="s">
        <v>29</v>
      </c>
      <c r="W1749">
        <v>2</v>
      </c>
    </row>
    <row r="1750" spans="1:23" x14ac:dyDescent="0.2">
      <c r="A1750">
        <v>5056072</v>
      </c>
      <c r="B1750" t="s">
        <v>25</v>
      </c>
      <c r="C1750" t="s">
        <v>20</v>
      </c>
      <c r="D1750" t="s">
        <v>20</v>
      </c>
      <c r="E1750">
        <v>0</v>
      </c>
      <c r="F1750">
        <v>157500</v>
      </c>
      <c r="G1750" t="s">
        <v>21</v>
      </c>
      <c r="H1750" t="s">
        <v>22</v>
      </c>
      <c r="I1750" t="s">
        <v>28</v>
      </c>
      <c r="J1750" t="s">
        <v>24</v>
      </c>
      <c r="K1750" s="6">
        <f t="shared" ca="1" si="116"/>
        <v>20943</v>
      </c>
      <c r="L1750">
        <v>-24818</v>
      </c>
      <c r="M1750" s="7">
        <f t="shared" ca="1" si="114"/>
        <v>67.94798083504449</v>
      </c>
      <c r="N1750" s="5" t="str">
        <f ca="1">VLOOKUP(Data!M1750,temp!$B$3:$C$9,2,1)</f>
        <v>60-70</v>
      </c>
      <c r="O1750">
        <v>365243</v>
      </c>
      <c r="P1750" s="8">
        <f t="shared" si="115"/>
        <v>0</v>
      </c>
      <c r="Q1750" s="5" t="str">
        <f t="shared" si="117"/>
        <v>Unemployed</v>
      </c>
      <c r="R1750">
        <v>1</v>
      </c>
      <c r="S1750">
        <v>0</v>
      </c>
      <c r="T1750">
        <v>0</v>
      </c>
      <c r="U1750">
        <v>0</v>
      </c>
      <c r="W1750">
        <v>2</v>
      </c>
    </row>
    <row r="1751" spans="1:23" x14ac:dyDescent="0.2">
      <c r="A1751">
        <v>5056087</v>
      </c>
      <c r="B1751" t="s">
        <v>18</v>
      </c>
      <c r="C1751" t="s">
        <v>19</v>
      </c>
      <c r="D1751" t="s">
        <v>20</v>
      </c>
      <c r="E1751">
        <v>3</v>
      </c>
      <c r="F1751">
        <v>180000</v>
      </c>
      <c r="G1751" t="s">
        <v>35</v>
      </c>
      <c r="H1751" t="s">
        <v>22</v>
      </c>
      <c r="I1751" t="s">
        <v>28</v>
      </c>
      <c r="J1751" t="s">
        <v>24</v>
      </c>
      <c r="K1751" s="6">
        <f t="shared" ca="1" si="116"/>
        <v>29761</v>
      </c>
      <c r="L1751">
        <v>-16000</v>
      </c>
      <c r="M1751" s="7">
        <f t="shared" ca="1" si="114"/>
        <v>43.805612594113619</v>
      </c>
      <c r="N1751" s="5" t="str">
        <f ca="1">VLOOKUP(Data!M1751,temp!$B$3:$C$9,2,1)</f>
        <v>40-50</v>
      </c>
      <c r="O1751">
        <v>-7401</v>
      </c>
      <c r="P1751" s="8">
        <f t="shared" si="115"/>
        <v>20.262833675564682</v>
      </c>
      <c r="Q1751" s="5" t="str">
        <f t="shared" si="117"/>
        <v>Employed</v>
      </c>
      <c r="R1751">
        <v>1</v>
      </c>
      <c r="S1751">
        <v>0</v>
      </c>
      <c r="T1751">
        <v>0</v>
      </c>
      <c r="U1751">
        <v>0</v>
      </c>
      <c r="V1751" t="s">
        <v>38</v>
      </c>
      <c r="W1751">
        <v>5</v>
      </c>
    </row>
    <row r="1752" spans="1:23" x14ac:dyDescent="0.2">
      <c r="A1752">
        <v>5056095</v>
      </c>
      <c r="B1752" t="s">
        <v>18</v>
      </c>
      <c r="C1752" t="s">
        <v>19</v>
      </c>
      <c r="D1752" t="s">
        <v>20</v>
      </c>
      <c r="E1752">
        <v>0</v>
      </c>
      <c r="F1752">
        <v>112500</v>
      </c>
      <c r="G1752" t="s">
        <v>21</v>
      </c>
      <c r="H1752" t="s">
        <v>27</v>
      </c>
      <c r="I1752" t="s">
        <v>28</v>
      </c>
      <c r="J1752" t="s">
        <v>24</v>
      </c>
      <c r="K1752" s="6">
        <f t="shared" ca="1" si="116"/>
        <v>23091</v>
      </c>
      <c r="L1752">
        <v>-22670</v>
      </c>
      <c r="M1752" s="7">
        <f t="shared" ca="1" si="114"/>
        <v>62.067077344284733</v>
      </c>
      <c r="N1752" s="5" t="str">
        <f ca="1">VLOOKUP(Data!M1752,temp!$B$3:$C$9,2,1)</f>
        <v>60-70</v>
      </c>
      <c r="O1752">
        <v>365243</v>
      </c>
      <c r="P1752" s="8">
        <f t="shared" si="115"/>
        <v>0</v>
      </c>
      <c r="Q1752" s="5" t="str">
        <f t="shared" si="117"/>
        <v>Unemployed</v>
      </c>
      <c r="R1752">
        <v>1</v>
      </c>
      <c r="S1752">
        <v>0</v>
      </c>
      <c r="T1752">
        <v>1</v>
      </c>
      <c r="U1752">
        <v>0</v>
      </c>
      <c r="W1752">
        <v>2</v>
      </c>
    </row>
    <row r="1753" spans="1:23" x14ac:dyDescent="0.2">
      <c r="A1753">
        <v>5056127</v>
      </c>
      <c r="B1753" t="s">
        <v>25</v>
      </c>
      <c r="C1753" t="s">
        <v>19</v>
      </c>
      <c r="D1753" t="s">
        <v>20</v>
      </c>
      <c r="E1753">
        <v>0</v>
      </c>
      <c r="F1753">
        <v>117000</v>
      </c>
      <c r="G1753" t="s">
        <v>31</v>
      </c>
      <c r="H1753" t="s">
        <v>27</v>
      </c>
      <c r="I1753" t="s">
        <v>37</v>
      </c>
      <c r="J1753" t="s">
        <v>24</v>
      </c>
      <c r="K1753" s="6">
        <f t="shared" ca="1" si="116"/>
        <v>28192</v>
      </c>
      <c r="L1753">
        <v>-17569</v>
      </c>
      <c r="M1753" s="7">
        <f t="shared" ca="1" si="114"/>
        <v>48.101300479123886</v>
      </c>
      <c r="N1753" s="5" t="str">
        <f ca="1">VLOOKUP(Data!M1753,temp!$B$3:$C$9,2,1)</f>
        <v>40-50</v>
      </c>
      <c r="O1753">
        <v>-5148</v>
      </c>
      <c r="P1753" s="8">
        <f t="shared" si="115"/>
        <v>14.094455852156058</v>
      </c>
      <c r="Q1753" s="5" t="str">
        <f t="shared" si="117"/>
        <v>Employed</v>
      </c>
      <c r="R1753">
        <v>1</v>
      </c>
      <c r="S1753">
        <v>0</v>
      </c>
      <c r="T1753">
        <v>0</v>
      </c>
      <c r="U1753">
        <v>0</v>
      </c>
      <c r="V1753" t="s">
        <v>29</v>
      </c>
      <c r="W1753">
        <v>2</v>
      </c>
    </row>
    <row r="1754" spans="1:23" x14ac:dyDescent="0.2">
      <c r="A1754">
        <v>5056135</v>
      </c>
      <c r="B1754" t="s">
        <v>25</v>
      </c>
      <c r="C1754" t="s">
        <v>20</v>
      </c>
      <c r="D1754" t="s">
        <v>20</v>
      </c>
      <c r="E1754">
        <v>0</v>
      </c>
      <c r="F1754">
        <v>202500</v>
      </c>
      <c r="G1754" t="s">
        <v>31</v>
      </c>
      <c r="H1754" t="s">
        <v>36</v>
      </c>
      <c r="I1754" t="s">
        <v>28</v>
      </c>
      <c r="J1754" t="s">
        <v>24</v>
      </c>
      <c r="K1754" s="6">
        <f t="shared" ca="1" si="116"/>
        <v>28519</v>
      </c>
      <c r="L1754">
        <v>-17242</v>
      </c>
      <c r="M1754" s="7">
        <f t="shared" ca="1" si="114"/>
        <v>47.206023271731688</v>
      </c>
      <c r="N1754" s="5" t="str">
        <f ca="1">VLOOKUP(Data!M1754,temp!$B$3:$C$9,2,1)</f>
        <v>40-50</v>
      </c>
      <c r="O1754">
        <v>-857</v>
      </c>
      <c r="P1754" s="8">
        <f t="shared" si="115"/>
        <v>2.346338124572211</v>
      </c>
      <c r="Q1754" s="5" t="str">
        <f t="shared" si="117"/>
        <v>Employed</v>
      </c>
      <c r="R1754">
        <v>1</v>
      </c>
      <c r="S1754">
        <v>0</v>
      </c>
      <c r="T1754">
        <v>1</v>
      </c>
      <c r="U1754">
        <v>0</v>
      </c>
      <c r="V1754" t="s">
        <v>40</v>
      </c>
      <c r="W1754">
        <v>2</v>
      </c>
    </row>
    <row r="1755" spans="1:23" x14ac:dyDescent="0.2">
      <c r="A1755">
        <v>5056142</v>
      </c>
      <c r="B1755" t="s">
        <v>25</v>
      </c>
      <c r="C1755" t="s">
        <v>20</v>
      </c>
      <c r="D1755" t="s">
        <v>19</v>
      </c>
      <c r="E1755">
        <v>0</v>
      </c>
      <c r="F1755">
        <v>157500</v>
      </c>
      <c r="G1755" t="s">
        <v>31</v>
      </c>
      <c r="H1755" t="s">
        <v>27</v>
      </c>
      <c r="I1755" t="s">
        <v>28</v>
      </c>
      <c r="J1755" t="s">
        <v>24</v>
      </c>
      <c r="K1755" s="6">
        <f t="shared" ca="1" si="116"/>
        <v>22337</v>
      </c>
      <c r="L1755">
        <v>-23424</v>
      </c>
      <c r="M1755" s="7">
        <f t="shared" ca="1" si="114"/>
        <v>64.131416837782339</v>
      </c>
      <c r="N1755" s="5" t="str">
        <f ca="1">VLOOKUP(Data!M1755,temp!$B$3:$C$9,2,1)</f>
        <v>60-70</v>
      </c>
      <c r="O1755">
        <v>-14887</v>
      </c>
      <c r="P1755" s="8">
        <f t="shared" si="115"/>
        <v>40.758384668035589</v>
      </c>
      <c r="Q1755" s="5" t="str">
        <f t="shared" si="117"/>
        <v>Employed</v>
      </c>
      <c r="R1755">
        <v>1</v>
      </c>
      <c r="S1755">
        <v>0</v>
      </c>
      <c r="T1755">
        <v>0</v>
      </c>
      <c r="U1755">
        <v>0</v>
      </c>
      <c r="V1755" t="s">
        <v>29</v>
      </c>
      <c r="W1755">
        <v>2</v>
      </c>
    </row>
    <row r="1756" spans="1:23" x14ac:dyDescent="0.2">
      <c r="A1756">
        <v>5056160</v>
      </c>
      <c r="B1756" t="s">
        <v>18</v>
      </c>
      <c r="C1756" t="s">
        <v>19</v>
      </c>
      <c r="D1756" t="s">
        <v>20</v>
      </c>
      <c r="E1756">
        <v>0</v>
      </c>
      <c r="F1756">
        <v>216000</v>
      </c>
      <c r="G1756" t="s">
        <v>31</v>
      </c>
      <c r="H1756" t="s">
        <v>27</v>
      </c>
      <c r="I1756" t="s">
        <v>28</v>
      </c>
      <c r="J1756" t="s">
        <v>24</v>
      </c>
      <c r="K1756" s="6">
        <f t="shared" ca="1" si="116"/>
        <v>27694</v>
      </c>
      <c r="L1756">
        <v>-18067</v>
      </c>
      <c r="M1756" s="7">
        <f t="shared" ca="1" si="114"/>
        <v>49.464750171115675</v>
      </c>
      <c r="N1756" s="5" t="str">
        <f ca="1">VLOOKUP(Data!M1756,temp!$B$3:$C$9,2,1)</f>
        <v>40-50</v>
      </c>
      <c r="O1756">
        <v>-6517</v>
      </c>
      <c r="P1756" s="8">
        <f t="shared" si="115"/>
        <v>17.842573579739906</v>
      </c>
      <c r="Q1756" s="5" t="str">
        <f t="shared" si="117"/>
        <v>Employed</v>
      </c>
      <c r="R1756">
        <v>1</v>
      </c>
      <c r="S1756">
        <v>1</v>
      </c>
      <c r="T1756">
        <v>1</v>
      </c>
      <c r="U1756">
        <v>1</v>
      </c>
      <c r="V1756" t="s">
        <v>47</v>
      </c>
      <c r="W1756">
        <v>2</v>
      </c>
    </row>
    <row r="1757" spans="1:23" x14ac:dyDescent="0.2">
      <c r="A1757">
        <v>5056176</v>
      </c>
      <c r="B1757" t="s">
        <v>18</v>
      </c>
      <c r="C1757" t="s">
        <v>19</v>
      </c>
      <c r="D1757" t="s">
        <v>20</v>
      </c>
      <c r="E1757">
        <v>2</v>
      </c>
      <c r="F1757">
        <v>85500</v>
      </c>
      <c r="G1757" t="s">
        <v>31</v>
      </c>
      <c r="H1757" t="s">
        <v>27</v>
      </c>
      <c r="I1757" t="s">
        <v>37</v>
      </c>
      <c r="J1757" t="s">
        <v>24</v>
      </c>
      <c r="K1757" s="6">
        <f t="shared" ca="1" si="116"/>
        <v>35680</v>
      </c>
      <c r="L1757">
        <v>-10081</v>
      </c>
      <c r="M1757" s="7">
        <f t="shared" ca="1" si="114"/>
        <v>27.600273785078713</v>
      </c>
      <c r="N1757" s="5" t="str">
        <f ca="1">VLOOKUP(Data!M1757,temp!$B$3:$C$9,2,1)</f>
        <v>20-30</v>
      </c>
      <c r="O1757">
        <v>-249</v>
      </c>
      <c r="P1757" s="8">
        <f t="shared" si="115"/>
        <v>0.68172484599589322</v>
      </c>
      <c r="Q1757" s="5" t="str">
        <f t="shared" si="117"/>
        <v>Employed</v>
      </c>
      <c r="R1757">
        <v>1</v>
      </c>
      <c r="S1757">
        <v>0</v>
      </c>
      <c r="T1757">
        <v>0</v>
      </c>
      <c r="U1757">
        <v>0</v>
      </c>
      <c r="V1757" t="s">
        <v>39</v>
      </c>
      <c r="W1757">
        <v>4</v>
      </c>
    </row>
    <row r="1758" spans="1:23" x14ac:dyDescent="0.2">
      <c r="A1758">
        <v>5056182</v>
      </c>
      <c r="B1758" t="s">
        <v>18</v>
      </c>
      <c r="C1758" t="s">
        <v>19</v>
      </c>
      <c r="D1758" t="s">
        <v>20</v>
      </c>
      <c r="E1758">
        <v>0</v>
      </c>
      <c r="F1758">
        <v>202500</v>
      </c>
      <c r="G1758" t="s">
        <v>26</v>
      </c>
      <c r="H1758" t="s">
        <v>22</v>
      </c>
      <c r="I1758" t="s">
        <v>28</v>
      </c>
      <c r="J1758" t="s">
        <v>24</v>
      </c>
      <c r="K1758" s="6">
        <f t="shared" ca="1" si="116"/>
        <v>36098</v>
      </c>
      <c r="L1758">
        <v>-9663</v>
      </c>
      <c r="M1758" s="7">
        <f t="shared" ca="1" si="114"/>
        <v>26.455852156057496</v>
      </c>
      <c r="N1758" s="5" t="str">
        <f ca="1">VLOOKUP(Data!M1758,temp!$B$3:$C$9,2,1)</f>
        <v>20-30</v>
      </c>
      <c r="O1758">
        <v>-218</v>
      </c>
      <c r="P1758" s="8">
        <f t="shared" si="115"/>
        <v>0.59685147159479812</v>
      </c>
      <c r="Q1758" s="5" t="str">
        <f t="shared" si="117"/>
        <v>Employed</v>
      </c>
      <c r="R1758">
        <v>1</v>
      </c>
      <c r="S1758">
        <v>0</v>
      </c>
      <c r="T1758">
        <v>0</v>
      </c>
      <c r="U1758">
        <v>0</v>
      </c>
      <c r="W1758">
        <v>2</v>
      </c>
    </row>
    <row r="1759" spans="1:23" x14ac:dyDescent="0.2">
      <c r="A1759">
        <v>5056187</v>
      </c>
      <c r="B1759" t="s">
        <v>25</v>
      </c>
      <c r="C1759" t="s">
        <v>19</v>
      </c>
      <c r="D1759" t="s">
        <v>20</v>
      </c>
      <c r="E1759">
        <v>0</v>
      </c>
      <c r="F1759">
        <v>157500</v>
      </c>
      <c r="G1759" t="s">
        <v>31</v>
      </c>
      <c r="H1759" t="s">
        <v>27</v>
      </c>
      <c r="I1759" t="s">
        <v>28</v>
      </c>
      <c r="J1759" t="s">
        <v>24</v>
      </c>
      <c r="K1759" s="6">
        <f t="shared" ca="1" si="116"/>
        <v>35729</v>
      </c>
      <c r="L1759">
        <v>-10032</v>
      </c>
      <c r="M1759" s="7">
        <f t="shared" ca="1" si="114"/>
        <v>27.466119096509239</v>
      </c>
      <c r="N1759" s="5" t="str">
        <f ca="1">VLOOKUP(Data!M1759,temp!$B$3:$C$9,2,1)</f>
        <v>20-30</v>
      </c>
      <c r="O1759">
        <v>-795</v>
      </c>
      <c r="P1759" s="8">
        <f t="shared" si="115"/>
        <v>2.1765913757700206</v>
      </c>
      <c r="Q1759" s="5" t="str">
        <f t="shared" si="117"/>
        <v>Employed</v>
      </c>
      <c r="R1759">
        <v>1</v>
      </c>
      <c r="S1759">
        <v>0</v>
      </c>
      <c r="T1759">
        <v>0</v>
      </c>
      <c r="U1759">
        <v>0</v>
      </c>
      <c r="V1759" t="s">
        <v>29</v>
      </c>
      <c r="W1759">
        <v>2</v>
      </c>
    </row>
    <row r="1760" spans="1:23" x14ac:dyDescent="0.2">
      <c r="A1760">
        <v>5056200</v>
      </c>
      <c r="B1760" t="s">
        <v>18</v>
      </c>
      <c r="C1760" t="s">
        <v>20</v>
      </c>
      <c r="D1760" t="s">
        <v>20</v>
      </c>
      <c r="E1760">
        <v>0</v>
      </c>
      <c r="F1760">
        <v>157500</v>
      </c>
      <c r="G1760" t="s">
        <v>31</v>
      </c>
      <c r="H1760" t="s">
        <v>22</v>
      </c>
      <c r="I1760" t="s">
        <v>28</v>
      </c>
      <c r="J1760" t="s">
        <v>24</v>
      </c>
      <c r="K1760" s="6">
        <f t="shared" ca="1" si="116"/>
        <v>23877</v>
      </c>
      <c r="L1760">
        <v>-21884</v>
      </c>
      <c r="M1760" s="7">
        <f t="shared" ca="1" si="114"/>
        <v>59.915126625598901</v>
      </c>
      <c r="N1760" s="5" t="str">
        <f ca="1">VLOOKUP(Data!M1760,temp!$B$3:$C$9,2,1)</f>
        <v>50-60</v>
      </c>
      <c r="O1760">
        <v>-1496</v>
      </c>
      <c r="P1760" s="8">
        <f t="shared" si="115"/>
        <v>4.0958247775496233</v>
      </c>
      <c r="Q1760" s="5" t="str">
        <f t="shared" si="117"/>
        <v>Employed</v>
      </c>
      <c r="R1760">
        <v>1</v>
      </c>
      <c r="S1760">
        <v>0</v>
      </c>
      <c r="T1760">
        <v>1</v>
      </c>
      <c r="U1760">
        <v>0</v>
      </c>
      <c r="V1760" t="s">
        <v>47</v>
      </c>
      <c r="W1760">
        <v>2</v>
      </c>
    </row>
    <row r="1761" spans="1:23" x14ac:dyDescent="0.2">
      <c r="A1761">
        <v>5056238</v>
      </c>
      <c r="B1761" t="s">
        <v>18</v>
      </c>
      <c r="C1761" t="s">
        <v>19</v>
      </c>
      <c r="D1761" t="s">
        <v>20</v>
      </c>
      <c r="E1761">
        <v>0</v>
      </c>
      <c r="F1761">
        <v>40500</v>
      </c>
      <c r="G1761" t="s">
        <v>31</v>
      </c>
      <c r="H1761" t="s">
        <v>27</v>
      </c>
      <c r="I1761" t="s">
        <v>28</v>
      </c>
      <c r="J1761" t="s">
        <v>24</v>
      </c>
      <c r="K1761" s="6">
        <f t="shared" ca="1" si="116"/>
        <v>33032</v>
      </c>
      <c r="L1761">
        <v>-12729</v>
      </c>
      <c r="M1761" s="7">
        <f t="shared" ca="1" si="114"/>
        <v>34.850102669404521</v>
      </c>
      <c r="N1761" s="5" t="str">
        <f ca="1">VLOOKUP(Data!M1761,temp!$B$3:$C$9,2,1)</f>
        <v>30-40</v>
      </c>
      <c r="O1761">
        <v>-4936</v>
      </c>
      <c r="P1761" s="8">
        <f t="shared" si="115"/>
        <v>13.514031485284052</v>
      </c>
      <c r="Q1761" s="5" t="str">
        <f t="shared" si="117"/>
        <v>Employed</v>
      </c>
      <c r="R1761">
        <v>1</v>
      </c>
      <c r="S1761">
        <v>1</v>
      </c>
      <c r="T1761">
        <v>0</v>
      </c>
      <c r="U1761">
        <v>0</v>
      </c>
      <c r="V1761" t="s">
        <v>46</v>
      </c>
      <c r="W1761">
        <v>2</v>
      </c>
    </row>
    <row r="1762" spans="1:23" x14ac:dyDescent="0.2">
      <c r="A1762">
        <v>5058254</v>
      </c>
      <c r="B1762" t="s">
        <v>25</v>
      </c>
      <c r="C1762" t="s">
        <v>19</v>
      </c>
      <c r="D1762" t="s">
        <v>20</v>
      </c>
      <c r="E1762">
        <v>1</v>
      </c>
      <c r="F1762">
        <v>157500</v>
      </c>
      <c r="G1762" t="s">
        <v>31</v>
      </c>
      <c r="H1762" t="s">
        <v>27</v>
      </c>
      <c r="I1762" t="s">
        <v>28</v>
      </c>
      <c r="J1762" t="s">
        <v>24</v>
      </c>
      <c r="K1762" s="6">
        <f t="shared" ca="1" si="116"/>
        <v>37196</v>
      </c>
      <c r="L1762">
        <v>-8565</v>
      </c>
      <c r="M1762" s="7">
        <f t="shared" ca="1" si="114"/>
        <v>23.449691991786448</v>
      </c>
      <c r="N1762" s="5" t="str">
        <f ca="1">VLOOKUP(Data!M1762,temp!$B$3:$C$9,2,1)</f>
        <v>20-30</v>
      </c>
      <c r="O1762">
        <v>-423</v>
      </c>
      <c r="P1762" s="8">
        <f t="shared" si="115"/>
        <v>1.1581108829568789</v>
      </c>
      <c r="Q1762" s="5" t="str">
        <f t="shared" si="117"/>
        <v>Employed</v>
      </c>
      <c r="R1762">
        <v>1</v>
      </c>
      <c r="S1762">
        <v>0</v>
      </c>
      <c r="T1762">
        <v>0</v>
      </c>
      <c r="U1762">
        <v>1</v>
      </c>
      <c r="V1762" t="s">
        <v>38</v>
      </c>
      <c r="W1762">
        <v>3</v>
      </c>
    </row>
    <row r="1763" spans="1:23" x14ac:dyDescent="0.2">
      <c r="A1763">
        <v>5058255</v>
      </c>
      <c r="B1763" t="s">
        <v>25</v>
      </c>
      <c r="C1763" t="s">
        <v>19</v>
      </c>
      <c r="D1763" t="s">
        <v>20</v>
      </c>
      <c r="E1763">
        <v>1</v>
      </c>
      <c r="F1763">
        <v>157500</v>
      </c>
      <c r="G1763" t="s">
        <v>31</v>
      </c>
      <c r="H1763" t="s">
        <v>27</v>
      </c>
      <c r="I1763" t="s">
        <v>28</v>
      </c>
      <c r="J1763" t="s">
        <v>24</v>
      </c>
      <c r="K1763" s="6">
        <f t="shared" ca="1" si="116"/>
        <v>37196</v>
      </c>
      <c r="L1763">
        <v>-8565</v>
      </c>
      <c r="M1763" s="7">
        <f t="shared" ca="1" si="114"/>
        <v>23.449691991786448</v>
      </c>
      <c r="N1763" s="5" t="str">
        <f ca="1">VLOOKUP(Data!M1763,temp!$B$3:$C$9,2,1)</f>
        <v>20-30</v>
      </c>
      <c r="O1763">
        <v>-423</v>
      </c>
      <c r="P1763" s="8">
        <f t="shared" si="115"/>
        <v>1.1581108829568789</v>
      </c>
      <c r="Q1763" s="5" t="str">
        <f t="shared" si="117"/>
        <v>Employed</v>
      </c>
      <c r="R1763">
        <v>1</v>
      </c>
      <c r="S1763">
        <v>0</v>
      </c>
      <c r="T1763">
        <v>0</v>
      </c>
      <c r="U1763">
        <v>1</v>
      </c>
      <c r="V1763" t="s">
        <v>38</v>
      </c>
      <c r="W1763">
        <v>3</v>
      </c>
    </row>
    <row r="1764" spans="1:23" x14ac:dyDescent="0.2">
      <c r="A1764">
        <v>5058256</v>
      </c>
      <c r="B1764" t="s">
        <v>25</v>
      </c>
      <c r="C1764" t="s">
        <v>19</v>
      </c>
      <c r="D1764" t="s">
        <v>20</v>
      </c>
      <c r="E1764">
        <v>1</v>
      </c>
      <c r="F1764">
        <v>157500</v>
      </c>
      <c r="G1764" t="s">
        <v>31</v>
      </c>
      <c r="H1764" t="s">
        <v>27</v>
      </c>
      <c r="I1764" t="s">
        <v>28</v>
      </c>
      <c r="J1764" t="s">
        <v>24</v>
      </c>
      <c r="K1764" s="6">
        <f t="shared" ca="1" si="116"/>
        <v>37196</v>
      </c>
      <c r="L1764">
        <v>-8565</v>
      </c>
      <c r="M1764" s="7">
        <f t="shared" ca="1" si="114"/>
        <v>23.449691991786448</v>
      </c>
      <c r="N1764" s="5" t="str">
        <f ca="1">VLOOKUP(Data!M1764,temp!$B$3:$C$9,2,1)</f>
        <v>20-30</v>
      </c>
      <c r="O1764">
        <v>-423</v>
      </c>
      <c r="P1764" s="8">
        <f t="shared" si="115"/>
        <v>1.1581108829568789</v>
      </c>
      <c r="Q1764" s="5" t="str">
        <f t="shared" si="117"/>
        <v>Employed</v>
      </c>
      <c r="R1764">
        <v>1</v>
      </c>
      <c r="S1764">
        <v>0</v>
      </c>
      <c r="T1764">
        <v>0</v>
      </c>
      <c r="U1764">
        <v>1</v>
      </c>
      <c r="V1764" t="s">
        <v>38</v>
      </c>
      <c r="W1764">
        <v>3</v>
      </c>
    </row>
    <row r="1765" spans="1:23" x14ac:dyDescent="0.2">
      <c r="A1765">
        <v>5058259</v>
      </c>
      <c r="B1765" t="s">
        <v>25</v>
      </c>
      <c r="C1765" t="s">
        <v>19</v>
      </c>
      <c r="D1765" t="s">
        <v>19</v>
      </c>
      <c r="E1765">
        <v>1</v>
      </c>
      <c r="F1765">
        <v>225000</v>
      </c>
      <c r="G1765" t="s">
        <v>26</v>
      </c>
      <c r="H1765" t="s">
        <v>27</v>
      </c>
      <c r="I1765" t="s">
        <v>28</v>
      </c>
      <c r="J1765" t="s">
        <v>41</v>
      </c>
      <c r="K1765" s="6">
        <f t="shared" ca="1" si="116"/>
        <v>27893</v>
      </c>
      <c r="L1765">
        <v>-17868</v>
      </c>
      <c r="M1765" s="7">
        <f t="shared" ca="1" si="114"/>
        <v>48.919917864476389</v>
      </c>
      <c r="N1765" s="5" t="str">
        <f ca="1">VLOOKUP(Data!M1765,temp!$B$3:$C$9,2,1)</f>
        <v>40-50</v>
      </c>
      <c r="O1765">
        <v>-1912</v>
      </c>
      <c r="P1765" s="8">
        <f t="shared" si="115"/>
        <v>5.2347707049965777</v>
      </c>
      <c r="Q1765" s="5" t="str">
        <f t="shared" si="117"/>
        <v>Employed</v>
      </c>
      <c r="R1765">
        <v>1</v>
      </c>
      <c r="S1765">
        <v>0</v>
      </c>
      <c r="T1765">
        <v>0</v>
      </c>
      <c r="U1765">
        <v>0</v>
      </c>
      <c r="V1765" t="s">
        <v>30</v>
      </c>
      <c r="W1765">
        <v>3</v>
      </c>
    </row>
    <row r="1766" spans="1:23" x14ac:dyDescent="0.2">
      <c r="A1766">
        <v>5058266</v>
      </c>
      <c r="B1766" t="s">
        <v>25</v>
      </c>
      <c r="C1766" t="s">
        <v>19</v>
      </c>
      <c r="D1766" t="s">
        <v>19</v>
      </c>
      <c r="E1766">
        <v>1</v>
      </c>
      <c r="F1766">
        <v>225000</v>
      </c>
      <c r="G1766" t="s">
        <v>26</v>
      </c>
      <c r="H1766" t="s">
        <v>27</v>
      </c>
      <c r="I1766" t="s">
        <v>28</v>
      </c>
      <c r="J1766" t="s">
        <v>41</v>
      </c>
      <c r="K1766" s="6">
        <f t="shared" ca="1" si="116"/>
        <v>27893</v>
      </c>
      <c r="L1766">
        <v>-17868</v>
      </c>
      <c r="M1766" s="7">
        <f t="shared" ca="1" si="114"/>
        <v>48.919917864476389</v>
      </c>
      <c r="N1766" s="5" t="str">
        <f ca="1">VLOOKUP(Data!M1766,temp!$B$3:$C$9,2,1)</f>
        <v>40-50</v>
      </c>
      <c r="O1766">
        <v>-1912</v>
      </c>
      <c r="P1766" s="8">
        <f t="shared" si="115"/>
        <v>5.2347707049965777</v>
      </c>
      <c r="Q1766" s="5" t="str">
        <f t="shared" si="117"/>
        <v>Employed</v>
      </c>
      <c r="R1766">
        <v>1</v>
      </c>
      <c r="S1766">
        <v>0</v>
      </c>
      <c r="T1766">
        <v>0</v>
      </c>
      <c r="U1766">
        <v>0</v>
      </c>
      <c r="V1766" t="s">
        <v>30</v>
      </c>
      <c r="W1766">
        <v>3</v>
      </c>
    </row>
    <row r="1767" spans="1:23" x14ac:dyDescent="0.2">
      <c r="A1767">
        <v>5058273</v>
      </c>
      <c r="B1767" t="s">
        <v>18</v>
      </c>
      <c r="C1767" t="s">
        <v>19</v>
      </c>
      <c r="D1767" t="s">
        <v>20</v>
      </c>
      <c r="E1767">
        <v>0</v>
      </c>
      <c r="F1767">
        <v>135000</v>
      </c>
      <c r="G1767" t="s">
        <v>31</v>
      </c>
      <c r="H1767" t="s">
        <v>27</v>
      </c>
      <c r="I1767" t="s">
        <v>28</v>
      </c>
      <c r="J1767" t="s">
        <v>24</v>
      </c>
      <c r="K1767" s="6">
        <f t="shared" ca="1" si="116"/>
        <v>26154</v>
      </c>
      <c r="L1767">
        <v>-19607</v>
      </c>
      <c r="M1767" s="7">
        <f t="shared" ca="1" si="114"/>
        <v>53.681040383299113</v>
      </c>
      <c r="N1767" s="5" t="str">
        <f ca="1">VLOOKUP(Data!M1767,temp!$B$3:$C$9,2,1)</f>
        <v>50-60</v>
      </c>
      <c r="O1767">
        <v>-4288</v>
      </c>
      <c r="P1767" s="8">
        <f t="shared" si="115"/>
        <v>11.739904175222451</v>
      </c>
      <c r="Q1767" s="5" t="str">
        <f t="shared" si="117"/>
        <v>Employed</v>
      </c>
      <c r="R1767">
        <v>1</v>
      </c>
      <c r="S1767">
        <v>0</v>
      </c>
      <c r="T1767">
        <v>0</v>
      </c>
      <c r="U1767">
        <v>0</v>
      </c>
      <c r="V1767" t="s">
        <v>48</v>
      </c>
      <c r="W1767">
        <v>2</v>
      </c>
    </row>
    <row r="1768" spans="1:23" x14ac:dyDescent="0.2">
      <c r="A1768">
        <v>5058280</v>
      </c>
      <c r="B1768" t="s">
        <v>18</v>
      </c>
      <c r="C1768" t="s">
        <v>19</v>
      </c>
      <c r="D1768" t="s">
        <v>20</v>
      </c>
      <c r="E1768">
        <v>0</v>
      </c>
      <c r="F1768">
        <v>306000</v>
      </c>
      <c r="G1768" t="s">
        <v>26</v>
      </c>
      <c r="H1768" t="s">
        <v>22</v>
      </c>
      <c r="I1768" t="s">
        <v>28</v>
      </c>
      <c r="J1768" t="s">
        <v>24</v>
      </c>
      <c r="K1768" s="6">
        <f t="shared" ca="1" si="116"/>
        <v>30864</v>
      </c>
      <c r="L1768">
        <v>-14897</v>
      </c>
      <c r="M1768" s="7">
        <f t="shared" ca="1" si="114"/>
        <v>40.785763175906915</v>
      </c>
      <c r="N1768" s="5" t="str">
        <f ca="1">VLOOKUP(Data!M1768,temp!$B$3:$C$9,2,1)</f>
        <v>40-50</v>
      </c>
      <c r="O1768">
        <v>-3435</v>
      </c>
      <c r="P1768" s="8">
        <f t="shared" si="115"/>
        <v>9.4045174537987677</v>
      </c>
      <c r="Q1768" s="5" t="str">
        <f t="shared" si="117"/>
        <v>Employed</v>
      </c>
      <c r="R1768">
        <v>1</v>
      </c>
      <c r="S1768">
        <v>1</v>
      </c>
      <c r="T1768">
        <v>1</v>
      </c>
      <c r="U1768">
        <v>1</v>
      </c>
      <c r="W1768">
        <v>2</v>
      </c>
    </row>
    <row r="1769" spans="1:23" x14ac:dyDescent="0.2">
      <c r="A1769">
        <v>5058299</v>
      </c>
      <c r="B1769" t="s">
        <v>18</v>
      </c>
      <c r="C1769" t="s">
        <v>19</v>
      </c>
      <c r="D1769" t="s">
        <v>20</v>
      </c>
      <c r="E1769">
        <v>0</v>
      </c>
      <c r="F1769">
        <v>135000</v>
      </c>
      <c r="G1769" t="s">
        <v>21</v>
      </c>
      <c r="H1769" t="s">
        <v>27</v>
      </c>
      <c r="I1769" t="s">
        <v>33</v>
      </c>
      <c r="J1769" t="s">
        <v>24</v>
      </c>
      <c r="K1769" s="6">
        <f t="shared" ca="1" si="116"/>
        <v>22615</v>
      </c>
      <c r="L1769">
        <v>-23146</v>
      </c>
      <c r="M1769" s="7">
        <f t="shared" ca="1" si="114"/>
        <v>63.370294318959616</v>
      </c>
      <c r="N1769" s="5" t="str">
        <f ca="1">VLOOKUP(Data!M1769,temp!$B$3:$C$9,2,1)</f>
        <v>60-70</v>
      </c>
      <c r="O1769">
        <v>365243</v>
      </c>
      <c r="P1769" s="8">
        <f t="shared" si="115"/>
        <v>0</v>
      </c>
      <c r="Q1769" s="5" t="str">
        <f t="shared" si="117"/>
        <v>Unemployed</v>
      </c>
      <c r="R1769">
        <v>1</v>
      </c>
      <c r="S1769">
        <v>0</v>
      </c>
      <c r="T1769">
        <v>0</v>
      </c>
      <c r="U1769">
        <v>0</v>
      </c>
      <c r="W1769">
        <v>1</v>
      </c>
    </row>
    <row r="1770" spans="1:23" x14ac:dyDescent="0.2">
      <c r="A1770">
        <v>5058308</v>
      </c>
      <c r="B1770" t="s">
        <v>25</v>
      </c>
      <c r="C1770" t="s">
        <v>20</v>
      </c>
      <c r="D1770" t="s">
        <v>20</v>
      </c>
      <c r="E1770">
        <v>0</v>
      </c>
      <c r="F1770">
        <v>202500</v>
      </c>
      <c r="G1770" t="s">
        <v>31</v>
      </c>
      <c r="H1770" t="s">
        <v>27</v>
      </c>
      <c r="I1770" t="s">
        <v>33</v>
      </c>
      <c r="J1770" t="s">
        <v>24</v>
      </c>
      <c r="K1770" s="6">
        <f t="shared" ca="1" si="116"/>
        <v>35759</v>
      </c>
      <c r="L1770">
        <v>-10002</v>
      </c>
      <c r="M1770" s="7">
        <f t="shared" ca="1" si="114"/>
        <v>27.383983572895279</v>
      </c>
      <c r="N1770" s="5" t="str">
        <f ca="1">VLOOKUP(Data!M1770,temp!$B$3:$C$9,2,1)</f>
        <v>20-30</v>
      </c>
      <c r="O1770">
        <v>-447</v>
      </c>
      <c r="P1770" s="8">
        <f t="shared" si="115"/>
        <v>1.2238193018480492</v>
      </c>
      <c r="Q1770" s="5" t="str">
        <f t="shared" si="117"/>
        <v>Employed</v>
      </c>
      <c r="R1770">
        <v>1</v>
      </c>
      <c r="S1770">
        <v>0</v>
      </c>
      <c r="T1770">
        <v>0</v>
      </c>
      <c r="U1770">
        <v>0</v>
      </c>
      <c r="V1770" t="s">
        <v>30</v>
      </c>
      <c r="W1770">
        <v>1</v>
      </c>
    </row>
    <row r="1771" spans="1:23" x14ac:dyDescent="0.2">
      <c r="A1771">
        <v>5058339</v>
      </c>
      <c r="B1771" t="s">
        <v>18</v>
      </c>
      <c r="C1771" t="s">
        <v>19</v>
      </c>
      <c r="D1771" t="s">
        <v>20</v>
      </c>
      <c r="E1771">
        <v>0</v>
      </c>
      <c r="F1771">
        <v>63000</v>
      </c>
      <c r="G1771" t="s">
        <v>31</v>
      </c>
      <c r="H1771" t="s">
        <v>27</v>
      </c>
      <c r="I1771" t="s">
        <v>28</v>
      </c>
      <c r="J1771" t="s">
        <v>24</v>
      </c>
      <c r="K1771" s="6">
        <f t="shared" ca="1" si="116"/>
        <v>25865</v>
      </c>
      <c r="L1771">
        <v>-19896</v>
      </c>
      <c r="M1771" s="7">
        <f t="shared" ca="1" si="114"/>
        <v>54.47227926078029</v>
      </c>
      <c r="N1771" s="5" t="str">
        <f ca="1">VLOOKUP(Data!M1771,temp!$B$3:$C$9,2,1)</f>
        <v>50-60</v>
      </c>
      <c r="O1771">
        <v>-1574</v>
      </c>
      <c r="P1771" s="8">
        <f t="shared" si="115"/>
        <v>4.3093771389459272</v>
      </c>
      <c r="Q1771" s="5" t="str">
        <f t="shared" si="117"/>
        <v>Employed</v>
      </c>
      <c r="R1771">
        <v>1</v>
      </c>
      <c r="S1771">
        <v>1</v>
      </c>
      <c r="T1771">
        <v>0</v>
      </c>
      <c r="U1771">
        <v>0</v>
      </c>
      <c r="V1771" t="s">
        <v>47</v>
      </c>
      <c r="W1771">
        <v>2</v>
      </c>
    </row>
    <row r="1772" spans="1:23" x14ac:dyDescent="0.2">
      <c r="A1772">
        <v>5058342</v>
      </c>
      <c r="B1772" t="s">
        <v>18</v>
      </c>
      <c r="C1772" t="s">
        <v>19</v>
      </c>
      <c r="D1772" t="s">
        <v>20</v>
      </c>
      <c r="E1772">
        <v>0</v>
      </c>
      <c r="F1772">
        <v>63000</v>
      </c>
      <c r="G1772" t="s">
        <v>31</v>
      </c>
      <c r="H1772" t="s">
        <v>27</v>
      </c>
      <c r="I1772" t="s">
        <v>28</v>
      </c>
      <c r="J1772" t="s">
        <v>24</v>
      </c>
      <c r="K1772" s="6">
        <f t="shared" ca="1" si="116"/>
        <v>25865</v>
      </c>
      <c r="L1772">
        <v>-19896</v>
      </c>
      <c r="M1772" s="7">
        <f t="shared" ca="1" si="114"/>
        <v>54.47227926078029</v>
      </c>
      <c r="N1772" s="5" t="str">
        <f ca="1">VLOOKUP(Data!M1772,temp!$B$3:$C$9,2,1)</f>
        <v>50-60</v>
      </c>
      <c r="O1772">
        <v>-1574</v>
      </c>
      <c r="P1772" s="8">
        <f t="shared" si="115"/>
        <v>4.3093771389459272</v>
      </c>
      <c r="Q1772" s="5" t="str">
        <f t="shared" si="117"/>
        <v>Employed</v>
      </c>
      <c r="R1772">
        <v>1</v>
      </c>
      <c r="S1772">
        <v>1</v>
      </c>
      <c r="T1772">
        <v>0</v>
      </c>
      <c r="U1772">
        <v>0</v>
      </c>
      <c r="V1772" t="s">
        <v>47</v>
      </c>
      <c r="W1772">
        <v>2</v>
      </c>
    </row>
    <row r="1773" spans="1:23" x14ac:dyDescent="0.2">
      <c r="A1773">
        <v>5058359</v>
      </c>
      <c r="B1773" t="s">
        <v>25</v>
      </c>
      <c r="C1773" t="s">
        <v>20</v>
      </c>
      <c r="D1773" t="s">
        <v>19</v>
      </c>
      <c r="E1773">
        <v>0</v>
      </c>
      <c r="F1773">
        <v>540000</v>
      </c>
      <c r="G1773" t="s">
        <v>26</v>
      </c>
      <c r="H1773" t="s">
        <v>27</v>
      </c>
      <c r="I1773" t="s">
        <v>33</v>
      </c>
      <c r="J1773" t="s">
        <v>34</v>
      </c>
      <c r="K1773" s="6">
        <f t="shared" ca="1" si="116"/>
        <v>35262</v>
      </c>
      <c r="L1773">
        <v>-10499</v>
      </c>
      <c r="M1773" s="7">
        <f t="shared" ca="1" si="114"/>
        <v>28.744695414099933</v>
      </c>
      <c r="N1773" s="5" t="str">
        <f ca="1">VLOOKUP(Data!M1773,temp!$B$3:$C$9,2,1)</f>
        <v>20-30</v>
      </c>
      <c r="O1773">
        <v>-1727</v>
      </c>
      <c r="P1773" s="8">
        <f t="shared" si="115"/>
        <v>4.7282683093771389</v>
      </c>
      <c r="Q1773" s="5" t="str">
        <f t="shared" si="117"/>
        <v>Employed</v>
      </c>
      <c r="R1773">
        <v>1</v>
      </c>
      <c r="S1773">
        <v>0</v>
      </c>
      <c r="T1773">
        <v>0</v>
      </c>
      <c r="U1773">
        <v>0</v>
      </c>
      <c r="V1773" t="s">
        <v>39</v>
      </c>
      <c r="W1773">
        <v>1</v>
      </c>
    </row>
    <row r="1774" spans="1:23" x14ac:dyDescent="0.2">
      <c r="A1774">
        <v>5058365</v>
      </c>
      <c r="B1774" t="s">
        <v>18</v>
      </c>
      <c r="C1774" t="s">
        <v>19</v>
      </c>
      <c r="D1774" t="s">
        <v>20</v>
      </c>
      <c r="E1774">
        <v>0</v>
      </c>
      <c r="F1774">
        <v>108000</v>
      </c>
      <c r="G1774" t="s">
        <v>21</v>
      </c>
      <c r="H1774" t="s">
        <v>27</v>
      </c>
      <c r="I1774" t="s">
        <v>23</v>
      </c>
      <c r="J1774" t="s">
        <v>24</v>
      </c>
      <c r="K1774" s="6">
        <f t="shared" ca="1" si="116"/>
        <v>24285</v>
      </c>
      <c r="L1774">
        <v>-21476</v>
      </c>
      <c r="M1774" s="7">
        <f t="shared" ca="1" si="114"/>
        <v>58.798083504449011</v>
      </c>
      <c r="N1774" s="5" t="str">
        <f ca="1">VLOOKUP(Data!M1774,temp!$B$3:$C$9,2,1)</f>
        <v>50-60</v>
      </c>
      <c r="O1774">
        <v>365243</v>
      </c>
      <c r="P1774" s="8">
        <f t="shared" si="115"/>
        <v>0</v>
      </c>
      <c r="Q1774" s="5" t="str">
        <f t="shared" si="117"/>
        <v>Unemployed</v>
      </c>
      <c r="R1774">
        <v>1</v>
      </c>
      <c r="S1774">
        <v>0</v>
      </c>
      <c r="T1774">
        <v>0</v>
      </c>
      <c r="U1774">
        <v>0</v>
      </c>
      <c r="W1774">
        <v>1</v>
      </c>
    </row>
    <row r="1775" spans="1:23" x14ac:dyDescent="0.2">
      <c r="A1775">
        <v>5058395</v>
      </c>
      <c r="B1775" t="s">
        <v>25</v>
      </c>
      <c r="C1775" t="s">
        <v>19</v>
      </c>
      <c r="D1775" t="s">
        <v>20</v>
      </c>
      <c r="E1775">
        <v>0</v>
      </c>
      <c r="F1775">
        <v>121500</v>
      </c>
      <c r="G1775" t="s">
        <v>21</v>
      </c>
      <c r="H1775" t="s">
        <v>22</v>
      </c>
      <c r="I1775" t="s">
        <v>28</v>
      </c>
      <c r="J1775" t="s">
        <v>24</v>
      </c>
      <c r="K1775" s="6">
        <f t="shared" ca="1" si="116"/>
        <v>24351</v>
      </c>
      <c r="L1775">
        <v>-21410</v>
      </c>
      <c r="M1775" s="7">
        <f t="shared" ca="1" si="114"/>
        <v>58.617385352498289</v>
      </c>
      <c r="N1775" s="5" t="str">
        <f ca="1">VLOOKUP(Data!M1775,temp!$B$3:$C$9,2,1)</f>
        <v>50-60</v>
      </c>
      <c r="O1775">
        <v>365243</v>
      </c>
      <c r="P1775" s="8">
        <f t="shared" si="115"/>
        <v>0</v>
      </c>
      <c r="Q1775" s="5" t="str">
        <f t="shared" si="117"/>
        <v>Unemployed</v>
      </c>
      <c r="R1775">
        <v>1</v>
      </c>
      <c r="S1775">
        <v>0</v>
      </c>
      <c r="T1775">
        <v>0</v>
      </c>
      <c r="U1775">
        <v>0</v>
      </c>
      <c r="W1775">
        <v>2</v>
      </c>
    </row>
    <row r="1776" spans="1:23" x14ac:dyDescent="0.2">
      <c r="A1776">
        <v>5058400</v>
      </c>
      <c r="B1776" t="s">
        <v>18</v>
      </c>
      <c r="C1776" t="s">
        <v>19</v>
      </c>
      <c r="D1776" t="s">
        <v>20</v>
      </c>
      <c r="E1776">
        <v>0</v>
      </c>
      <c r="F1776">
        <v>54000</v>
      </c>
      <c r="G1776" t="s">
        <v>31</v>
      </c>
      <c r="H1776" t="s">
        <v>27</v>
      </c>
      <c r="I1776" t="s">
        <v>28</v>
      </c>
      <c r="J1776" t="s">
        <v>24</v>
      </c>
      <c r="K1776" s="6">
        <f t="shared" ca="1" si="116"/>
        <v>27110</v>
      </c>
      <c r="L1776">
        <v>-18651</v>
      </c>
      <c r="M1776" s="7">
        <f t="shared" ca="1" si="114"/>
        <v>51.063655030800824</v>
      </c>
      <c r="N1776" s="5" t="str">
        <f ca="1">VLOOKUP(Data!M1776,temp!$B$3:$C$9,2,1)</f>
        <v>50-60</v>
      </c>
      <c r="O1776">
        <v>-7752</v>
      </c>
      <c r="P1776" s="8">
        <f t="shared" si="115"/>
        <v>21.223819301848049</v>
      </c>
      <c r="Q1776" s="5" t="str">
        <f t="shared" si="117"/>
        <v>Employed</v>
      </c>
      <c r="R1776">
        <v>1</v>
      </c>
      <c r="S1776">
        <v>1</v>
      </c>
      <c r="T1776">
        <v>1</v>
      </c>
      <c r="U1776">
        <v>0</v>
      </c>
      <c r="W1776">
        <v>2</v>
      </c>
    </row>
    <row r="1777" spans="1:23" x14ac:dyDescent="0.2">
      <c r="A1777">
        <v>5058403</v>
      </c>
      <c r="B1777" t="s">
        <v>18</v>
      </c>
      <c r="C1777" t="s">
        <v>19</v>
      </c>
      <c r="D1777" t="s">
        <v>20</v>
      </c>
      <c r="E1777">
        <v>0</v>
      </c>
      <c r="F1777">
        <v>54000</v>
      </c>
      <c r="G1777" t="s">
        <v>31</v>
      </c>
      <c r="H1777" t="s">
        <v>27</v>
      </c>
      <c r="I1777" t="s">
        <v>28</v>
      </c>
      <c r="J1777" t="s">
        <v>24</v>
      </c>
      <c r="K1777" s="6">
        <f t="shared" ca="1" si="116"/>
        <v>27110</v>
      </c>
      <c r="L1777">
        <v>-18651</v>
      </c>
      <c r="M1777" s="7">
        <f t="shared" ca="1" si="114"/>
        <v>51.063655030800824</v>
      </c>
      <c r="N1777" s="5" t="str">
        <f ca="1">VLOOKUP(Data!M1777,temp!$B$3:$C$9,2,1)</f>
        <v>50-60</v>
      </c>
      <c r="O1777">
        <v>-7752</v>
      </c>
      <c r="P1777" s="8">
        <f t="shared" si="115"/>
        <v>21.223819301848049</v>
      </c>
      <c r="Q1777" s="5" t="str">
        <f t="shared" si="117"/>
        <v>Employed</v>
      </c>
      <c r="R1777">
        <v>1</v>
      </c>
      <c r="S1777">
        <v>1</v>
      </c>
      <c r="T1777">
        <v>1</v>
      </c>
      <c r="U1777">
        <v>0</v>
      </c>
      <c r="W1777">
        <v>2</v>
      </c>
    </row>
    <row r="1778" spans="1:23" x14ac:dyDescent="0.2">
      <c r="A1778">
        <v>5058426</v>
      </c>
      <c r="B1778" t="s">
        <v>18</v>
      </c>
      <c r="C1778" t="s">
        <v>19</v>
      </c>
      <c r="D1778" t="s">
        <v>20</v>
      </c>
      <c r="E1778">
        <v>1</v>
      </c>
      <c r="F1778">
        <v>108000</v>
      </c>
      <c r="G1778" t="s">
        <v>35</v>
      </c>
      <c r="H1778" t="s">
        <v>27</v>
      </c>
      <c r="I1778" t="s">
        <v>28</v>
      </c>
      <c r="J1778" t="s">
        <v>24</v>
      </c>
      <c r="K1778" s="6">
        <f t="shared" ca="1" si="116"/>
        <v>31733</v>
      </c>
      <c r="L1778">
        <v>-14028</v>
      </c>
      <c r="M1778" s="7">
        <f t="shared" ca="1" si="114"/>
        <v>38.406570841889121</v>
      </c>
      <c r="N1778" s="5" t="str">
        <f ca="1">VLOOKUP(Data!M1778,temp!$B$3:$C$9,2,1)</f>
        <v>30-40</v>
      </c>
      <c r="O1778">
        <v>-3277</v>
      </c>
      <c r="P1778" s="8">
        <f t="shared" si="115"/>
        <v>8.9719370294318956</v>
      </c>
      <c r="Q1778" s="5" t="str">
        <f t="shared" si="117"/>
        <v>Employed</v>
      </c>
      <c r="R1778">
        <v>1</v>
      </c>
      <c r="S1778">
        <v>0</v>
      </c>
      <c r="T1778">
        <v>0</v>
      </c>
      <c r="U1778">
        <v>0</v>
      </c>
      <c r="V1778" t="s">
        <v>38</v>
      </c>
      <c r="W1778">
        <v>3</v>
      </c>
    </row>
    <row r="1779" spans="1:23" x14ac:dyDescent="0.2">
      <c r="A1779">
        <v>5058429</v>
      </c>
      <c r="B1779" t="s">
        <v>18</v>
      </c>
      <c r="C1779" t="s">
        <v>20</v>
      </c>
      <c r="D1779" t="s">
        <v>19</v>
      </c>
      <c r="E1779">
        <v>1</v>
      </c>
      <c r="F1779">
        <v>315000</v>
      </c>
      <c r="G1779" t="s">
        <v>26</v>
      </c>
      <c r="H1779" t="s">
        <v>22</v>
      </c>
      <c r="I1779" t="s">
        <v>28</v>
      </c>
      <c r="J1779" t="s">
        <v>24</v>
      </c>
      <c r="K1779" s="6">
        <f t="shared" ca="1" si="116"/>
        <v>31257</v>
      </c>
      <c r="L1779">
        <v>-14504</v>
      </c>
      <c r="M1779" s="7">
        <f t="shared" ca="1" si="114"/>
        <v>39.709787816563995</v>
      </c>
      <c r="N1779" s="5" t="str">
        <f ca="1">VLOOKUP(Data!M1779,temp!$B$3:$C$9,2,1)</f>
        <v>30-40</v>
      </c>
      <c r="O1779">
        <v>-2518</v>
      </c>
      <c r="P1779" s="8">
        <f t="shared" si="115"/>
        <v>6.8939082819986313</v>
      </c>
      <c r="Q1779" s="5" t="str">
        <f t="shared" si="117"/>
        <v>Employed</v>
      </c>
      <c r="R1779">
        <v>1</v>
      </c>
      <c r="S1779">
        <v>0</v>
      </c>
      <c r="T1779">
        <v>0</v>
      </c>
      <c r="U1779">
        <v>0</v>
      </c>
      <c r="V1779" t="s">
        <v>44</v>
      </c>
      <c r="W1779">
        <v>3</v>
      </c>
    </row>
    <row r="1780" spans="1:23" x14ac:dyDescent="0.2">
      <c r="A1780">
        <v>5058439</v>
      </c>
      <c r="B1780" t="s">
        <v>18</v>
      </c>
      <c r="C1780" t="s">
        <v>20</v>
      </c>
      <c r="D1780" t="s">
        <v>20</v>
      </c>
      <c r="E1780">
        <v>0</v>
      </c>
      <c r="F1780">
        <v>135000</v>
      </c>
      <c r="G1780" t="s">
        <v>26</v>
      </c>
      <c r="H1780" t="s">
        <v>22</v>
      </c>
      <c r="I1780" t="s">
        <v>28</v>
      </c>
      <c r="J1780" t="s">
        <v>24</v>
      </c>
      <c r="K1780" s="6">
        <f t="shared" ca="1" si="116"/>
        <v>24840</v>
      </c>
      <c r="L1780">
        <v>-20921</v>
      </c>
      <c r="M1780" s="7">
        <f t="shared" ca="1" si="114"/>
        <v>57.278576317590691</v>
      </c>
      <c r="N1780" s="5" t="str">
        <f ca="1">VLOOKUP(Data!M1780,temp!$B$3:$C$9,2,1)</f>
        <v>50-60</v>
      </c>
      <c r="O1780">
        <v>-113</v>
      </c>
      <c r="P1780" s="8">
        <f t="shared" si="115"/>
        <v>0.30937713894592744</v>
      </c>
      <c r="Q1780" s="5" t="str">
        <f t="shared" si="117"/>
        <v>Employed</v>
      </c>
      <c r="R1780">
        <v>1</v>
      </c>
      <c r="S1780">
        <v>0</v>
      </c>
      <c r="T1780">
        <v>0</v>
      </c>
      <c r="U1780">
        <v>0</v>
      </c>
      <c r="V1780" t="s">
        <v>39</v>
      </c>
      <c r="W1780">
        <v>2</v>
      </c>
    </row>
    <row r="1781" spans="1:23" x14ac:dyDescent="0.2">
      <c r="A1781">
        <v>5058450</v>
      </c>
      <c r="B1781" t="s">
        <v>18</v>
      </c>
      <c r="C1781" t="s">
        <v>19</v>
      </c>
      <c r="D1781" t="s">
        <v>20</v>
      </c>
      <c r="E1781">
        <v>0</v>
      </c>
      <c r="F1781">
        <v>85500</v>
      </c>
      <c r="G1781" t="s">
        <v>35</v>
      </c>
      <c r="H1781" t="s">
        <v>27</v>
      </c>
      <c r="I1781" t="s">
        <v>28</v>
      </c>
      <c r="J1781" t="s">
        <v>24</v>
      </c>
      <c r="K1781" s="6">
        <f t="shared" ca="1" si="116"/>
        <v>31867</v>
      </c>
      <c r="L1781">
        <v>-13894</v>
      </c>
      <c r="M1781" s="7">
        <f t="shared" ca="1" si="114"/>
        <v>38.039698836413415</v>
      </c>
      <c r="N1781" s="5" t="str">
        <f ca="1">VLOOKUP(Data!M1781,temp!$B$3:$C$9,2,1)</f>
        <v>30-40</v>
      </c>
      <c r="O1781">
        <v>-2457</v>
      </c>
      <c r="P1781" s="8">
        <f t="shared" si="115"/>
        <v>6.7268993839835725</v>
      </c>
      <c r="Q1781" s="5" t="str">
        <f t="shared" si="117"/>
        <v>Employed</v>
      </c>
      <c r="R1781">
        <v>1</v>
      </c>
      <c r="S1781">
        <v>0</v>
      </c>
      <c r="T1781">
        <v>0</v>
      </c>
      <c r="U1781">
        <v>0</v>
      </c>
      <c r="V1781" t="s">
        <v>38</v>
      </c>
      <c r="W1781">
        <v>2</v>
      </c>
    </row>
    <row r="1782" spans="1:23" x14ac:dyDescent="0.2">
      <c r="A1782">
        <v>5058464</v>
      </c>
      <c r="B1782" t="s">
        <v>18</v>
      </c>
      <c r="C1782" t="s">
        <v>19</v>
      </c>
      <c r="D1782" t="s">
        <v>20</v>
      </c>
      <c r="E1782">
        <v>2</v>
      </c>
      <c r="F1782">
        <v>225000</v>
      </c>
      <c r="G1782" t="s">
        <v>26</v>
      </c>
      <c r="H1782" t="s">
        <v>27</v>
      </c>
      <c r="I1782" t="s">
        <v>37</v>
      </c>
      <c r="J1782" t="s">
        <v>24</v>
      </c>
      <c r="K1782" s="6">
        <f t="shared" ca="1" si="116"/>
        <v>33275</v>
      </c>
      <c r="L1782">
        <v>-12486</v>
      </c>
      <c r="M1782" s="7">
        <f t="shared" ca="1" si="114"/>
        <v>34.18480492813142</v>
      </c>
      <c r="N1782" s="5" t="str">
        <f ca="1">VLOOKUP(Data!M1782,temp!$B$3:$C$9,2,1)</f>
        <v>30-40</v>
      </c>
      <c r="O1782">
        <v>-1816</v>
      </c>
      <c r="P1782" s="8">
        <f t="shared" si="115"/>
        <v>4.9719370294318956</v>
      </c>
      <c r="Q1782" s="5" t="str">
        <f t="shared" si="117"/>
        <v>Employed</v>
      </c>
      <c r="R1782">
        <v>1</v>
      </c>
      <c r="S1782">
        <v>0</v>
      </c>
      <c r="T1782">
        <v>0</v>
      </c>
      <c r="U1782">
        <v>0</v>
      </c>
      <c r="V1782" t="s">
        <v>29</v>
      </c>
      <c r="W1782">
        <v>4</v>
      </c>
    </row>
    <row r="1783" spans="1:23" x14ac:dyDescent="0.2">
      <c r="A1783">
        <v>5058484</v>
      </c>
      <c r="B1783" t="s">
        <v>25</v>
      </c>
      <c r="C1783" t="s">
        <v>19</v>
      </c>
      <c r="D1783" t="s">
        <v>19</v>
      </c>
      <c r="E1783">
        <v>0</v>
      </c>
      <c r="F1783">
        <v>270000</v>
      </c>
      <c r="G1783" t="s">
        <v>31</v>
      </c>
      <c r="H1783" t="s">
        <v>27</v>
      </c>
      <c r="I1783" t="s">
        <v>33</v>
      </c>
      <c r="J1783" t="s">
        <v>24</v>
      </c>
      <c r="K1783" s="6">
        <f t="shared" ca="1" si="116"/>
        <v>30548</v>
      </c>
      <c r="L1783">
        <v>-15213</v>
      </c>
      <c r="M1783" s="7">
        <f t="shared" ca="1" si="114"/>
        <v>41.650924024640659</v>
      </c>
      <c r="N1783" s="5" t="str">
        <f ca="1">VLOOKUP(Data!M1783,temp!$B$3:$C$9,2,1)</f>
        <v>40-50</v>
      </c>
      <c r="O1783">
        <v>-1331</v>
      </c>
      <c r="P1783" s="8">
        <f t="shared" si="115"/>
        <v>3.6440793976728267</v>
      </c>
      <c r="Q1783" s="5" t="str">
        <f t="shared" si="117"/>
        <v>Employed</v>
      </c>
      <c r="R1783">
        <v>1</v>
      </c>
      <c r="S1783">
        <v>0</v>
      </c>
      <c r="T1783">
        <v>0</v>
      </c>
      <c r="U1783">
        <v>0</v>
      </c>
      <c r="V1783" t="s">
        <v>30</v>
      </c>
      <c r="W1783">
        <v>1</v>
      </c>
    </row>
    <row r="1784" spans="1:23" x14ac:dyDescent="0.2">
      <c r="A1784">
        <v>5058529</v>
      </c>
      <c r="B1784" t="s">
        <v>25</v>
      </c>
      <c r="C1784" t="s">
        <v>19</v>
      </c>
      <c r="D1784" t="s">
        <v>19</v>
      </c>
      <c r="E1784">
        <v>0</v>
      </c>
      <c r="F1784">
        <v>391500</v>
      </c>
      <c r="G1784" t="s">
        <v>31</v>
      </c>
      <c r="H1784" t="s">
        <v>27</v>
      </c>
      <c r="I1784" t="s">
        <v>33</v>
      </c>
      <c r="J1784" t="s">
        <v>45</v>
      </c>
      <c r="K1784" s="6">
        <f t="shared" ca="1" si="116"/>
        <v>36519</v>
      </c>
      <c r="L1784">
        <v>-9242</v>
      </c>
      <c r="M1784" s="7">
        <f t="shared" ca="1" si="114"/>
        <v>25.303216974674879</v>
      </c>
      <c r="N1784" s="5" t="str">
        <f ca="1">VLOOKUP(Data!M1784,temp!$B$3:$C$9,2,1)</f>
        <v>20-30</v>
      </c>
      <c r="O1784">
        <v>-508</v>
      </c>
      <c r="P1784" s="8">
        <f t="shared" si="115"/>
        <v>1.3908281998631074</v>
      </c>
      <c r="Q1784" s="5" t="str">
        <f t="shared" si="117"/>
        <v>Employed</v>
      </c>
      <c r="R1784">
        <v>1</v>
      </c>
      <c r="S1784">
        <v>0</v>
      </c>
      <c r="T1784">
        <v>0</v>
      </c>
      <c r="U1784">
        <v>0</v>
      </c>
      <c r="V1784" t="s">
        <v>39</v>
      </c>
      <c r="W1784">
        <v>1</v>
      </c>
    </row>
    <row r="1785" spans="1:23" x14ac:dyDescent="0.2">
      <c r="A1785">
        <v>5058544</v>
      </c>
      <c r="B1785" t="s">
        <v>25</v>
      </c>
      <c r="C1785" t="s">
        <v>20</v>
      </c>
      <c r="D1785" t="s">
        <v>20</v>
      </c>
      <c r="E1785">
        <v>0</v>
      </c>
      <c r="F1785">
        <v>135000</v>
      </c>
      <c r="G1785" t="s">
        <v>21</v>
      </c>
      <c r="H1785" t="s">
        <v>27</v>
      </c>
      <c r="I1785" t="s">
        <v>28</v>
      </c>
      <c r="J1785" t="s">
        <v>24</v>
      </c>
      <c r="K1785" s="6">
        <f t="shared" ca="1" si="116"/>
        <v>22198</v>
      </c>
      <c r="L1785">
        <v>-23563</v>
      </c>
      <c r="M1785" s="7">
        <f t="shared" ca="1" si="114"/>
        <v>64.511978097193705</v>
      </c>
      <c r="N1785" s="5" t="str">
        <f ca="1">VLOOKUP(Data!M1785,temp!$B$3:$C$9,2,1)</f>
        <v>60-70</v>
      </c>
      <c r="O1785">
        <v>365243</v>
      </c>
      <c r="P1785" s="8">
        <f t="shared" si="115"/>
        <v>0</v>
      </c>
      <c r="Q1785" s="5" t="str">
        <f t="shared" si="117"/>
        <v>Unemployed</v>
      </c>
      <c r="R1785">
        <v>1</v>
      </c>
      <c r="S1785">
        <v>0</v>
      </c>
      <c r="T1785">
        <v>1</v>
      </c>
      <c r="U1785">
        <v>0</v>
      </c>
      <c r="W1785">
        <v>2</v>
      </c>
    </row>
    <row r="1786" spans="1:23" x14ac:dyDescent="0.2">
      <c r="A1786">
        <v>5058545</v>
      </c>
      <c r="B1786" t="s">
        <v>25</v>
      </c>
      <c r="C1786" t="s">
        <v>20</v>
      </c>
      <c r="D1786" t="s">
        <v>20</v>
      </c>
      <c r="E1786">
        <v>0</v>
      </c>
      <c r="F1786">
        <v>135000</v>
      </c>
      <c r="G1786" t="s">
        <v>21</v>
      </c>
      <c r="H1786" t="s">
        <v>27</v>
      </c>
      <c r="I1786" t="s">
        <v>28</v>
      </c>
      <c r="J1786" t="s">
        <v>24</v>
      </c>
      <c r="K1786" s="6">
        <f t="shared" ca="1" si="116"/>
        <v>22198</v>
      </c>
      <c r="L1786">
        <v>-23563</v>
      </c>
      <c r="M1786" s="7">
        <f t="shared" ca="1" si="114"/>
        <v>64.511978097193705</v>
      </c>
      <c r="N1786" s="5" t="str">
        <f ca="1">VLOOKUP(Data!M1786,temp!$B$3:$C$9,2,1)</f>
        <v>60-70</v>
      </c>
      <c r="O1786">
        <v>365243</v>
      </c>
      <c r="P1786" s="8">
        <f t="shared" si="115"/>
        <v>0</v>
      </c>
      <c r="Q1786" s="5" t="str">
        <f t="shared" si="117"/>
        <v>Unemployed</v>
      </c>
      <c r="R1786">
        <v>1</v>
      </c>
      <c r="S1786">
        <v>0</v>
      </c>
      <c r="T1786">
        <v>1</v>
      </c>
      <c r="U1786">
        <v>0</v>
      </c>
      <c r="W1786">
        <v>2</v>
      </c>
    </row>
    <row r="1787" spans="1:23" x14ac:dyDescent="0.2">
      <c r="A1787">
        <v>5061068</v>
      </c>
      <c r="B1787" t="s">
        <v>25</v>
      </c>
      <c r="C1787" t="s">
        <v>20</v>
      </c>
      <c r="D1787" t="s">
        <v>19</v>
      </c>
      <c r="E1787">
        <v>0</v>
      </c>
      <c r="F1787">
        <v>256500</v>
      </c>
      <c r="G1787" t="s">
        <v>21</v>
      </c>
      <c r="H1787" t="s">
        <v>22</v>
      </c>
      <c r="I1787" t="s">
        <v>28</v>
      </c>
      <c r="J1787" t="s">
        <v>24</v>
      </c>
      <c r="K1787" s="6">
        <f t="shared" ca="1" si="116"/>
        <v>23848</v>
      </c>
      <c r="L1787">
        <v>-21913</v>
      </c>
      <c r="M1787" s="7">
        <f t="shared" ca="1" si="114"/>
        <v>59.994524298425738</v>
      </c>
      <c r="N1787" s="5" t="str">
        <f ca="1">VLOOKUP(Data!M1787,temp!$B$3:$C$9,2,1)</f>
        <v>50-60</v>
      </c>
      <c r="O1787">
        <v>365243</v>
      </c>
      <c r="P1787" s="8">
        <f t="shared" si="115"/>
        <v>0</v>
      </c>
      <c r="Q1787" s="5" t="str">
        <f t="shared" si="117"/>
        <v>Unemployed</v>
      </c>
      <c r="R1787">
        <v>1</v>
      </c>
      <c r="S1787">
        <v>0</v>
      </c>
      <c r="T1787">
        <v>1</v>
      </c>
      <c r="U1787">
        <v>0</v>
      </c>
      <c r="W1787">
        <v>2</v>
      </c>
    </row>
    <row r="1788" spans="1:23" x14ac:dyDescent="0.2">
      <c r="A1788">
        <v>5061081</v>
      </c>
      <c r="B1788" t="s">
        <v>25</v>
      </c>
      <c r="C1788" t="s">
        <v>19</v>
      </c>
      <c r="D1788" t="s">
        <v>19</v>
      </c>
      <c r="E1788">
        <v>0</v>
      </c>
      <c r="F1788">
        <v>270000</v>
      </c>
      <c r="G1788" t="s">
        <v>31</v>
      </c>
      <c r="H1788" t="s">
        <v>22</v>
      </c>
      <c r="I1788" t="s">
        <v>28</v>
      </c>
      <c r="J1788" t="s">
        <v>24</v>
      </c>
      <c r="K1788" s="6">
        <f t="shared" ca="1" si="116"/>
        <v>35027</v>
      </c>
      <c r="L1788">
        <v>-10734</v>
      </c>
      <c r="M1788" s="7">
        <f t="shared" ca="1" si="114"/>
        <v>29.388090349075977</v>
      </c>
      <c r="N1788" s="5" t="str">
        <f ca="1">VLOOKUP(Data!M1788,temp!$B$3:$C$9,2,1)</f>
        <v>20-30</v>
      </c>
      <c r="O1788">
        <v>-2511</v>
      </c>
      <c r="P1788" s="8">
        <f t="shared" si="115"/>
        <v>6.8747433264887068</v>
      </c>
      <c r="Q1788" s="5" t="str">
        <f t="shared" si="117"/>
        <v>Employed</v>
      </c>
      <c r="R1788">
        <v>1</v>
      </c>
      <c r="S1788">
        <v>0</v>
      </c>
      <c r="T1788">
        <v>1</v>
      </c>
      <c r="U1788">
        <v>0</v>
      </c>
      <c r="W1788">
        <v>2</v>
      </c>
    </row>
    <row r="1789" spans="1:23" x14ac:dyDescent="0.2">
      <c r="A1789">
        <v>5061082</v>
      </c>
      <c r="B1789" t="s">
        <v>25</v>
      </c>
      <c r="C1789" t="s">
        <v>19</v>
      </c>
      <c r="D1789" t="s">
        <v>19</v>
      </c>
      <c r="E1789">
        <v>0</v>
      </c>
      <c r="F1789">
        <v>270000</v>
      </c>
      <c r="G1789" t="s">
        <v>31</v>
      </c>
      <c r="H1789" t="s">
        <v>22</v>
      </c>
      <c r="I1789" t="s">
        <v>28</v>
      </c>
      <c r="J1789" t="s">
        <v>24</v>
      </c>
      <c r="K1789" s="6">
        <f t="shared" ca="1" si="116"/>
        <v>35027</v>
      </c>
      <c r="L1789">
        <v>-10734</v>
      </c>
      <c r="M1789" s="7">
        <f t="shared" ca="1" si="114"/>
        <v>29.388090349075977</v>
      </c>
      <c r="N1789" s="5" t="str">
        <f ca="1">VLOOKUP(Data!M1789,temp!$B$3:$C$9,2,1)</f>
        <v>20-30</v>
      </c>
      <c r="O1789">
        <v>-2511</v>
      </c>
      <c r="P1789" s="8">
        <f t="shared" si="115"/>
        <v>6.8747433264887068</v>
      </c>
      <c r="Q1789" s="5" t="str">
        <f t="shared" si="117"/>
        <v>Employed</v>
      </c>
      <c r="R1789">
        <v>1</v>
      </c>
      <c r="S1789">
        <v>0</v>
      </c>
      <c r="T1789">
        <v>1</v>
      </c>
      <c r="U1789">
        <v>0</v>
      </c>
      <c r="W1789">
        <v>2</v>
      </c>
    </row>
    <row r="1790" spans="1:23" x14ac:dyDescent="0.2">
      <c r="A1790">
        <v>5061083</v>
      </c>
      <c r="B1790" t="s">
        <v>18</v>
      </c>
      <c r="C1790" t="s">
        <v>19</v>
      </c>
      <c r="D1790" t="s">
        <v>19</v>
      </c>
      <c r="E1790">
        <v>0</v>
      </c>
      <c r="F1790">
        <v>157500</v>
      </c>
      <c r="G1790" t="s">
        <v>35</v>
      </c>
      <c r="H1790" t="s">
        <v>27</v>
      </c>
      <c r="I1790" t="s">
        <v>42</v>
      </c>
      <c r="J1790" t="s">
        <v>24</v>
      </c>
      <c r="K1790" s="6">
        <f t="shared" ca="1" si="116"/>
        <v>25398</v>
      </c>
      <c r="L1790">
        <v>-20363</v>
      </c>
      <c r="M1790" s="7">
        <f t="shared" ca="1" si="114"/>
        <v>55.750855578370981</v>
      </c>
      <c r="N1790" s="5" t="str">
        <f ca="1">VLOOKUP(Data!M1790,temp!$B$3:$C$9,2,1)</f>
        <v>50-60</v>
      </c>
      <c r="O1790">
        <v>-6679</v>
      </c>
      <c r="P1790" s="8">
        <f t="shared" si="115"/>
        <v>18.286105407255306</v>
      </c>
      <c r="Q1790" s="5" t="str">
        <f t="shared" si="117"/>
        <v>Employed</v>
      </c>
      <c r="R1790">
        <v>1</v>
      </c>
      <c r="S1790">
        <v>1</v>
      </c>
      <c r="T1790">
        <v>0</v>
      </c>
      <c r="U1790">
        <v>0</v>
      </c>
      <c r="V1790" t="s">
        <v>46</v>
      </c>
      <c r="W1790">
        <v>1</v>
      </c>
    </row>
    <row r="1791" spans="1:23" x14ac:dyDescent="0.2">
      <c r="A1791">
        <v>5061084</v>
      </c>
      <c r="B1791" t="s">
        <v>18</v>
      </c>
      <c r="C1791" t="s">
        <v>19</v>
      </c>
      <c r="D1791" t="s">
        <v>19</v>
      </c>
      <c r="E1791">
        <v>0</v>
      </c>
      <c r="F1791">
        <v>157500</v>
      </c>
      <c r="G1791" t="s">
        <v>35</v>
      </c>
      <c r="H1791" t="s">
        <v>27</v>
      </c>
      <c r="I1791" t="s">
        <v>42</v>
      </c>
      <c r="J1791" t="s">
        <v>24</v>
      </c>
      <c r="K1791" s="6">
        <f t="shared" ca="1" si="116"/>
        <v>25398</v>
      </c>
      <c r="L1791">
        <v>-20363</v>
      </c>
      <c r="M1791" s="7">
        <f t="shared" ca="1" si="114"/>
        <v>55.750855578370981</v>
      </c>
      <c r="N1791" s="5" t="str">
        <f ca="1">VLOOKUP(Data!M1791,temp!$B$3:$C$9,2,1)</f>
        <v>50-60</v>
      </c>
      <c r="O1791">
        <v>-6679</v>
      </c>
      <c r="P1791" s="8">
        <f t="shared" si="115"/>
        <v>18.286105407255306</v>
      </c>
      <c r="Q1791" s="5" t="str">
        <f t="shared" si="117"/>
        <v>Employed</v>
      </c>
      <c r="R1791">
        <v>1</v>
      </c>
      <c r="S1791">
        <v>1</v>
      </c>
      <c r="T1791">
        <v>0</v>
      </c>
      <c r="U1791">
        <v>0</v>
      </c>
      <c r="V1791" t="s">
        <v>46</v>
      </c>
      <c r="W1791">
        <v>1</v>
      </c>
    </row>
    <row r="1792" spans="1:23" x14ac:dyDescent="0.2">
      <c r="A1792">
        <v>5061095</v>
      </c>
      <c r="B1792" t="s">
        <v>18</v>
      </c>
      <c r="C1792" t="s">
        <v>19</v>
      </c>
      <c r="D1792" t="s">
        <v>20</v>
      </c>
      <c r="E1792">
        <v>1</v>
      </c>
      <c r="F1792">
        <v>180000</v>
      </c>
      <c r="G1792" t="s">
        <v>31</v>
      </c>
      <c r="H1792" t="s">
        <v>27</v>
      </c>
      <c r="I1792" t="s">
        <v>37</v>
      </c>
      <c r="J1792" t="s">
        <v>24</v>
      </c>
      <c r="K1792" s="6">
        <f t="shared" ca="1" si="116"/>
        <v>30784</v>
      </c>
      <c r="L1792">
        <v>-14977</v>
      </c>
      <c r="M1792" s="7">
        <f t="shared" ca="1" si="114"/>
        <v>41.00479123887748</v>
      </c>
      <c r="N1792" s="5" t="str">
        <f ca="1">VLOOKUP(Data!M1792,temp!$B$3:$C$9,2,1)</f>
        <v>40-50</v>
      </c>
      <c r="O1792">
        <v>-6772</v>
      </c>
      <c r="P1792" s="8">
        <f t="shared" si="115"/>
        <v>18.540725530458591</v>
      </c>
      <c r="Q1792" s="5" t="str">
        <f t="shared" si="117"/>
        <v>Employed</v>
      </c>
      <c r="R1792">
        <v>1</v>
      </c>
      <c r="S1792">
        <v>0</v>
      </c>
      <c r="T1792">
        <v>0</v>
      </c>
      <c r="U1792">
        <v>1</v>
      </c>
      <c r="V1792" t="s">
        <v>29</v>
      </c>
      <c r="W1792">
        <v>3</v>
      </c>
    </row>
    <row r="1793" spans="1:23" x14ac:dyDescent="0.2">
      <c r="A1793">
        <v>5061099</v>
      </c>
      <c r="B1793" t="s">
        <v>25</v>
      </c>
      <c r="C1793" t="s">
        <v>20</v>
      </c>
      <c r="D1793" t="s">
        <v>20</v>
      </c>
      <c r="E1793">
        <v>0</v>
      </c>
      <c r="F1793">
        <v>112500</v>
      </c>
      <c r="G1793" t="s">
        <v>26</v>
      </c>
      <c r="H1793" t="s">
        <v>27</v>
      </c>
      <c r="I1793" t="s">
        <v>33</v>
      </c>
      <c r="J1793" t="s">
        <v>24</v>
      </c>
      <c r="K1793" s="6">
        <f t="shared" ca="1" si="116"/>
        <v>36209</v>
      </c>
      <c r="L1793">
        <v>-9552</v>
      </c>
      <c r="M1793" s="7">
        <f t="shared" ca="1" si="114"/>
        <v>26.151950718685832</v>
      </c>
      <c r="N1793" s="5" t="str">
        <f ca="1">VLOOKUP(Data!M1793,temp!$B$3:$C$9,2,1)</f>
        <v>20-30</v>
      </c>
      <c r="O1793">
        <v>-1567</v>
      </c>
      <c r="P1793" s="8">
        <f t="shared" si="115"/>
        <v>4.2902121834360027</v>
      </c>
      <c r="Q1793" s="5" t="str">
        <f t="shared" si="117"/>
        <v>Employed</v>
      </c>
      <c r="R1793">
        <v>1</v>
      </c>
      <c r="S1793">
        <v>0</v>
      </c>
      <c r="T1793">
        <v>0</v>
      </c>
      <c r="U1793">
        <v>0</v>
      </c>
      <c r="V1793" t="s">
        <v>55</v>
      </c>
      <c r="W1793">
        <v>1</v>
      </c>
    </row>
    <row r="1794" spans="1:23" x14ac:dyDescent="0.2">
      <c r="A1794">
        <v>5061101</v>
      </c>
      <c r="B1794" t="s">
        <v>25</v>
      </c>
      <c r="C1794" t="s">
        <v>20</v>
      </c>
      <c r="D1794" t="s">
        <v>20</v>
      </c>
      <c r="E1794">
        <v>0</v>
      </c>
      <c r="F1794">
        <v>112500</v>
      </c>
      <c r="G1794" t="s">
        <v>26</v>
      </c>
      <c r="H1794" t="s">
        <v>27</v>
      </c>
      <c r="I1794" t="s">
        <v>33</v>
      </c>
      <c r="J1794" t="s">
        <v>24</v>
      </c>
      <c r="K1794" s="6">
        <f t="shared" ca="1" si="116"/>
        <v>36209</v>
      </c>
      <c r="L1794">
        <v>-9552</v>
      </c>
      <c r="M1794" s="7">
        <f t="shared" ca="1" si="114"/>
        <v>26.151950718685832</v>
      </c>
      <c r="N1794" s="5" t="str">
        <f ca="1">VLOOKUP(Data!M1794,temp!$B$3:$C$9,2,1)</f>
        <v>20-30</v>
      </c>
      <c r="O1794">
        <v>-1567</v>
      </c>
      <c r="P1794" s="8">
        <f t="shared" si="115"/>
        <v>4.2902121834360027</v>
      </c>
      <c r="Q1794" s="5" t="str">
        <f t="shared" si="117"/>
        <v>Employed</v>
      </c>
      <c r="R1794">
        <v>1</v>
      </c>
      <c r="S1794">
        <v>0</v>
      </c>
      <c r="T1794">
        <v>0</v>
      </c>
      <c r="U1794">
        <v>0</v>
      </c>
      <c r="V1794" t="s">
        <v>55</v>
      </c>
      <c r="W1794">
        <v>1</v>
      </c>
    </row>
    <row r="1795" spans="1:23" x14ac:dyDescent="0.2">
      <c r="A1795">
        <v>5061102</v>
      </c>
      <c r="B1795" t="s">
        <v>25</v>
      </c>
      <c r="C1795" t="s">
        <v>20</v>
      </c>
      <c r="D1795" t="s">
        <v>19</v>
      </c>
      <c r="E1795">
        <v>2</v>
      </c>
      <c r="F1795">
        <v>139500</v>
      </c>
      <c r="G1795" t="s">
        <v>31</v>
      </c>
      <c r="H1795" t="s">
        <v>27</v>
      </c>
      <c r="I1795" t="s">
        <v>28</v>
      </c>
      <c r="J1795" t="s">
        <v>24</v>
      </c>
      <c r="K1795" s="6">
        <f t="shared" ca="1" si="116"/>
        <v>32772</v>
      </c>
      <c r="L1795">
        <v>-12989</v>
      </c>
      <c r="M1795" s="7">
        <f t="shared" ref="M1795:M1858" ca="1" si="118">(TODAY()-K1795)/365.25</f>
        <v>35.561943874058862</v>
      </c>
      <c r="N1795" s="5" t="str">
        <f ca="1">VLOOKUP(Data!M1795,temp!$B$3:$C$9,2,1)</f>
        <v>30-40</v>
      </c>
      <c r="O1795">
        <v>-1598</v>
      </c>
      <c r="P1795" s="8">
        <f t="shared" ref="P1795:P1858" si="119">IF(O1795&lt;=0,ABS(O1795)/365.25,0)</f>
        <v>4.3750855578370977</v>
      </c>
      <c r="Q1795" s="5" t="str">
        <f t="shared" si="117"/>
        <v>Employed</v>
      </c>
      <c r="R1795">
        <v>1</v>
      </c>
      <c r="S1795">
        <v>1</v>
      </c>
      <c r="T1795">
        <v>1</v>
      </c>
      <c r="U1795">
        <v>0</v>
      </c>
      <c r="V1795" t="s">
        <v>38</v>
      </c>
      <c r="W1795">
        <v>4</v>
      </c>
    </row>
    <row r="1796" spans="1:23" x14ac:dyDescent="0.2">
      <c r="A1796">
        <v>5061110</v>
      </c>
      <c r="B1796" t="s">
        <v>25</v>
      </c>
      <c r="C1796" t="s">
        <v>19</v>
      </c>
      <c r="D1796" t="s">
        <v>20</v>
      </c>
      <c r="E1796">
        <v>0</v>
      </c>
      <c r="F1796">
        <v>112500</v>
      </c>
      <c r="G1796" t="s">
        <v>31</v>
      </c>
      <c r="H1796" t="s">
        <v>22</v>
      </c>
      <c r="I1796" t="s">
        <v>37</v>
      </c>
      <c r="J1796" t="s">
        <v>24</v>
      </c>
      <c r="K1796" s="6">
        <f t="shared" ca="1" si="116"/>
        <v>25753</v>
      </c>
      <c r="L1796">
        <v>-20008</v>
      </c>
      <c r="M1796" s="7">
        <f t="shared" ca="1" si="118"/>
        <v>54.778918548939082</v>
      </c>
      <c r="N1796" s="5" t="str">
        <f ca="1">VLOOKUP(Data!M1796,temp!$B$3:$C$9,2,1)</f>
        <v>50-60</v>
      </c>
      <c r="O1796">
        <v>-5585</v>
      </c>
      <c r="P1796" s="8">
        <f t="shared" si="119"/>
        <v>15.290896646132786</v>
      </c>
      <c r="Q1796" s="5" t="str">
        <f t="shared" si="117"/>
        <v>Employed</v>
      </c>
      <c r="R1796">
        <v>1</v>
      </c>
      <c r="S1796">
        <v>0</v>
      </c>
      <c r="T1796">
        <v>0</v>
      </c>
      <c r="U1796">
        <v>0</v>
      </c>
      <c r="V1796" t="s">
        <v>40</v>
      </c>
      <c r="W1796">
        <v>2</v>
      </c>
    </row>
    <row r="1797" spans="1:23" x14ac:dyDescent="0.2">
      <c r="A1797">
        <v>5061115</v>
      </c>
      <c r="B1797" t="s">
        <v>25</v>
      </c>
      <c r="C1797" t="s">
        <v>19</v>
      </c>
      <c r="D1797" t="s">
        <v>20</v>
      </c>
      <c r="E1797">
        <v>0</v>
      </c>
      <c r="F1797">
        <v>112500</v>
      </c>
      <c r="G1797" t="s">
        <v>31</v>
      </c>
      <c r="H1797" t="s">
        <v>22</v>
      </c>
      <c r="I1797" t="s">
        <v>37</v>
      </c>
      <c r="J1797" t="s">
        <v>24</v>
      </c>
      <c r="K1797" s="6">
        <f t="shared" ca="1" si="116"/>
        <v>25753</v>
      </c>
      <c r="L1797">
        <v>-20008</v>
      </c>
      <c r="M1797" s="7">
        <f t="shared" ca="1" si="118"/>
        <v>54.778918548939082</v>
      </c>
      <c r="N1797" s="5" t="str">
        <f ca="1">VLOOKUP(Data!M1797,temp!$B$3:$C$9,2,1)</f>
        <v>50-60</v>
      </c>
      <c r="O1797">
        <v>-5585</v>
      </c>
      <c r="P1797" s="8">
        <f t="shared" si="119"/>
        <v>15.290896646132786</v>
      </c>
      <c r="Q1797" s="5" t="str">
        <f t="shared" si="117"/>
        <v>Employed</v>
      </c>
      <c r="R1797">
        <v>1</v>
      </c>
      <c r="S1797">
        <v>0</v>
      </c>
      <c r="T1797">
        <v>0</v>
      </c>
      <c r="U1797">
        <v>0</v>
      </c>
      <c r="V1797" t="s">
        <v>40</v>
      </c>
      <c r="W1797">
        <v>2</v>
      </c>
    </row>
    <row r="1798" spans="1:23" x14ac:dyDescent="0.2">
      <c r="A1798">
        <v>5061117</v>
      </c>
      <c r="B1798" t="s">
        <v>25</v>
      </c>
      <c r="C1798" t="s">
        <v>19</v>
      </c>
      <c r="D1798" t="s">
        <v>20</v>
      </c>
      <c r="E1798">
        <v>0</v>
      </c>
      <c r="F1798">
        <v>112500</v>
      </c>
      <c r="G1798" t="s">
        <v>31</v>
      </c>
      <c r="H1798" t="s">
        <v>22</v>
      </c>
      <c r="I1798" t="s">
        <v>37</v>
      </c>
      <c r="J1798" t="s">
        <v>24</v>
      </c>
      <c r="K1798" s="6">
        <f t="shared" ca="1" si="116"/>
        <v>25753</v>
      </c>
      <c r="L1798">
        <v>-20008</v>
      </c>
      <c r="M1798" s="7">
        <f t="shared" ca="1" si="118"/>
        <v>54.778918548939082</v>
      </c>
      <c r="N1798" s="5" t="str">
        <f ca="1">VLOOKUP(Data!M1798,temp!$B$3:$C$9,2,1)</f>
        <v>50-60</v>
      </c>
      <c r="O1798">
        <v>-5585</v>
      </c>
      <c r="P1798" s="8">
        <f t="shared" si="119"/>
        <v>15.290896646132786</v>
      </c>
      <c r="Q1798" s="5" t="str">
        <f t="shared" si="117"/>
        <v>Employed</v>
      </c>
      <c r="R1798">
        <v>1</v>
      </c>
      <c r="S1798">
        <v>0</v>
      </c>
      <c r="T1798">
        <v>0</v>
      </c>
      <c r="U1798">
        <v>0</v>
      </c>
      <c r="V1798" t="s">
        <v>40</v>
      </c>
      <c r="W1798">
        <v>2</v>
      </c>
    </row>
    <row r="1799" spans="1:23" x14ac:dyDescent="0.2">
      <c r="A1799">
        <v>5061132</v>
      </c>
      <c r="B1799" t="s">
        <v>25</v>
      </c>
      <c r="C1799" t="s">
        <v>19</v>
      </c>
      <c r="D1799" t="s">
        <v>20</v>
      </c>
      <c r="E1799">
        <v>0</v>
      </c>
      <c r="F1799">
        <v>135000</v>
      </c>
      <c r="G1799" t="s">
        <v>35</v>
      </c>
      <c r="H1799" t="s">
        <v>22</v>
      </c>
      <c r="I1799" t="s">
        <v>28</v>
      </c>
      <c r="J1799" t="s">
        <v>24</v>
      </c>
      <c r="K1799" s="6">
        <f t="shared" ca="1" si="116"/>
        <v>26648</v>
      </c>
      <c r="L1799">
        <v>-19113</v>
      </c>
      <c r="M1799" s="7">
        <f t="shared" ca="1" si="118"/>
        <v>52.328542094455855</v>
      </c>
      <c r="N1799" s="5" t="str">
        <f ca="1">VLOOKUP(Data!M1799,temp!$B$3:$C$9,2,1)</f>
        <v>50-60</v>
      </c>
      <c r="O1799">
        <v>-2816</v>
      </c>
      <c r="P1799" s="8">
        <f t="shared" si="119"/>
        <v>7.7097878165639973</v>
      </c>
      <c r="Q1799" s="5" t="str">
        <f t="shared" si="117"/>
        <v>Employed</v>
      </c>
      <c r="R1799">
        <v>1</v>
      </c>
      <c r="S1799">
        <v>0</v>
      </c>
      <c r="T1799">
        <v>1</v>
      </c>
      <c r="U1799">
        <v>0</v>
      </c>
      <c r="V1799" t="s">
        <v>38</v>
      </c>
      <c r="W1799">
        <v>2</v>
      </c>
    </row>
    <row r="1800" spans="1:23" x14ac:dyDescent="0.2">
      <c r="A1800">
        <v>5061136</v>
      </c>
      <c r="B1800" t="s">
        <v>18</v>
      </c>
      <c r="C1800" t="s">
        <v>19</v>
      </c>
      <c r="D1800" t="s">
        <v>20</v>
      </c>
      <c r="E1800">
        <v>2</v>
      </c>
      <c r="F1800">
        <v>58500</v>
      </c>
      <c r="G1800" t="s">
        <v>31</v>
      </c>
      <c r="H1800" t="s">
        <v>22</v>
      </c>
      <c r="I1800" t="s">
        <v>28</v>
      </c>
      <c r="J1800" t="s">
        <v>24</v>
      </c>
      <c r="K1800" s="6">
        <f t="shared" ref="K1800:K1863" ca="1" si="120">TODAY()+($L1800)</f>
        <v>31533</v>
      </c>
      <c r="L1800">
        <v>-14228</v>
      </c>
      <c r="M1800" s="7">
        <f t="shared" ca="1" si="118"/>
        <v>38.954140999315534</v>
      </c>
      <c r="N1800" s="5" t="str">
        <f ca="1">VLOOKUP(Data!M1800,temp!$B$3:$C$9,2,1)</f>
        <v>30-40</v>
      </c>
      <c r="O1800">
        <v>-5950</v>
      </c>
      <c r="P1800" s="8">
        <f t="shared" si="119"/>
        <v>16.290212183436001</v>
      </c>
      <c r="Q1800" s="5" t="str">
        <f t="shared" ref="Q1800:Q1863" si="121">IF($O1800&gt;0,"Unemployed","Employed")</f>
        <v>Employed</v>
      </c>
      <c r="R1800">
        <v>1</v>
      </c>
      <c r="S1800">
        <v>0</v>
      </c>
      <c r="T1800">
        <v>0</v>
      </c>
      <c r="U1800">
        <v>0</v>
      </c>
      <c r="V1800" t="s">
        <v>38</v>
      </c>
      <c r="W1800">
        <v>4</v>
      </c>
    </row>
    <row r="1801" spans="1:23" x14ac:dyDescent="0.2">
      <c r="A1801">
        <v>5061140</v>
      </c>
      <c r="B1801" t="s">
        <v>18</v>
      </c>
      <c r="C1801" t="s">
        <v>20</v>
      </c>
      <c r="D1801" t="s">
        <v>20</v>
      </c>
      <c r="E1801">
        <v>0</v>
      </c>
      <c r="F1801">
        <v>90000</v>
      </c>
      <c r="G1801" t="s">
        <v>21</v>
      </c>
      <c r="H1801" t="s">
        <v>27</v>
      </c>
      <c r="I1801" t="s">
        <v>28</v>
      </c>
      <c r="J1801" t="s">
        <v>24</v>
      </c>
      <c r="K1801" s="6">
        <f t="shared" ca="1" si="120"/>
        <v>24307</v>
      </c>
      <c r="L1801">
        <v>-21454</v>
      </c>
      <c r="M1801" s="7">
        <f t="shared" ca="1" si="118"/>
        <v>58.737850787132103</v>
      </c>
      <c r="N1801" s="5" t="str">
        <f ca="1">VLOOKUP(Data!M1801,temp!$B$3:$C$9,2,1)</f>
        <v>50-60</v>
      </c>
      <c r="O1801">
        <v>365243</v>
      </c>
      <c r="P1801" s="8">
        <f t="shared" si="119"/>
        <v>0</v>
      </c>
      <c r="Q1801" s="5" t="str">
        <f t="shared" si="121"/>
        <v>Unemployed</v>
      </c>
      <c r="R1801">
        <v>1</v>
      </c>
      <c r="S1801">
        <v>0</v>
      </c>
      <c r="T1801">
        <v>0</v>
      </c>
      <c r="U1801">
        <v>0</v>
      </c>
      <c r="W1801">
        <v>2</v>
      </c>
    </row>
    <row r="1802" spans="1:23" x14ac:dyDescent="0.2">
      <c r="A1802">
        <v>5061142</v>
      </c>
      <c r="B1802" t="s">
        <v>18</v>
      </c>
      <c r="C1802" t="s">
        <v>20</v>
      </c>
      <c r="D1802" t="s">
        <v>20</v>
      </c>
      <c r="E1802">
        <v>0</v>
      </c>
      <c r="F1802">
        <v>90000</v>
      </c>
      <c r="G1802" t="s">
        <v>21</v>
      </c>
      <c r="H1802" t="s">
        <v>27</v>
      </c>
      <c r="I1802" t="s">
        <v>28</v>
      </c>
      <c r="J1802" t="s">
        <v>24</v>
      </c>
      <c r="K1802" s="6">
        <f t="shared" ca="1" si="120"/>
        <v>24307</v>
      </c>
      <c r="L1802">
        <v>-21454</v>
      </c>
      <c r="M1802" s="7">
        <f t="shared" ca="1" si="118"/>
        <v>58.737850787132103</v>
      </c>
      <c r="N1802" s="5" t="str">
        <f ca="1">VLOOKUP(Data!M1802,temp!$B$3:$C$9,2,1)</f>
        <v>50-60</v>
      </c>
      <c r="O1802">
        <v>365243</v>
      </c>
      <c r="P1802" s="8">
        <f t="shared" si="119"/>
        <v>0</v>
      </c>
      <c r="Q1802" s="5" t="str">
        <f t="shared" si="121"/>
        <v>Unemployed</v>
      </c>
      <c r="R1802">
        <v>1</v>
      </c>
      <c r="S1802">
        <v>0</v>
      </c>
      <c r="T1802">
        <v>0</v>
      </c>
      <c r="U1802">
        <v>0</v>
      </c>
      <c r="W1802">
        <v>2</v>
      </c>
    </row>
    <row r="1803" spans="1:23" x14ac:dyDescent="0.2">
      <c r="A1803">
        <v>5061169</v>
      </c>
      <c r="B1803" t="s">
        <v>25</v>
      </c>
      <c r="C1803" t="s">
        <v>20</v>
      </c>
      <c r="D1803" t="s">
        <v>20</v>
      </c>
      <c r="E1803">
        <v>3</v>
      </c>
      <c r="F1803">
        <v>202500</v>
      </c>
      <c r="G1803" t="s">
        <v>31</v>
      </c>
      <c r="H1803" t="s">
        <v>27</v>
      </c>
      <c r="I1803" t="s">
        <v>28</v>
      </c>
      <c r="J1803" t="s">
        <v>24</v>
      </c>
      <c r="K1803" s="6">
        <f t="shared" ca="1" si="120"/>
        <v>32461</v>
      </c>
      <c r="L1803">
        <v>-13300</v>
      </c>
      <c r="M1803" s="7">
        <f t="shared" ca="1" si="118"/>
        <v>36.413415468856947</v>
      </c>
      <c r="N1803" s="5" t="str">
        <f ca="1">VLOOKUP(Data!M1803,temp!$B$3:$C$9,2,1)</f>
        <v>30-40</v>
      </c>
      <c r="O1803">
        <v>-3668</v>
      </c>
      <c r="P1803" s="8">
        <f t="shared" si="119"/>
        <v>10.042436687200547</v>
      </c>
      <c r="Q1803" s="5" t="str">
        <f t="shared" si="121"/>
        <v>Employed</v>
      </c>
      <c r="R1803">
        <v>1</v>
      </c>
      <c r="S1803">
        <v>0</v>
      </c>
      <c r="T1803">
        <v>1</v>
      </c>
      <c r="U1803">
        <v>0</v>
      </c>
      <c r="W1803">
        <v>5</v>
      </c>
    </row>
    <row r="1804" spans="1:23" x14ac:dyDescent="0.2">
      <c r="A1804">
        <v>5061182</v>
      </c>
      <c r="B1804" t="s">
        <v>25</v>
      </c>
      <c r="C1804" t="s">
        <v>20</v>
      </c>
      <c r="D1804" t="s">
        <v>20</v>
      </c>
      <c r="E1804">
        <v>0</v>
      </c>
      <c r="F1804">
        <v>135000</v>
      </c>
      <c r="G1804" t="s">
        <v>31</v>
      </c>
      <c r="H1804" t="s">
        <v>27</v>
      </c>
      <c r="I1804" t="s">
        <v>28</v>
      </c>
      <c r="J1804" t="s">
        <v>24</v>
      </c>
      <c r="K1804" s="6">
        <f t="shared" ca="1" si="120"/>
        <v>33145</v>
      </c>
      <c r="L1804">
        <v>-12616</v>
      </c>
      <c r="M1804" s="7">
        <f t="shared" ca="1" si="118"/>
        <v>34.540725530458587</v>
      </c>
      <c r="N1804" s="5" t="str">
        <f ca="1">VLOOKUP(Data!M1804,temp!$B$3:$C$9,2,1)</f>
        <v>30-40</v>
      </c>
      <c r="O1804">
        <v>-777</v>
      </c>
      <c r="P1804" s="8">
        <f t="shared" si="119"/>
        <v>2.1273100616016429</v>
      </c>
      <c r="Q1804" s="5" t="str">
        <f t="shared" si="121"/>
        <v>Employed</v>
      </c>
      <c r="R1804">
        <v>1</v>
      </c>
      <c r="S1804">
        <v>0</v>
      </c>
      <c r="T1804">
        <v>0</v>
      </c>
      <c r="U1804">
        <v>0</v>
      </c>
      <c r="V1804" t="s">
        <v>29</v>
      </c>
      <c r="W1804">
        <v>2</v>
      </c>
    </row>
    <row r="1805" spans="1:23" x14ac:dyDescent="0.2">
      <c r="A1805">
        <v>5061187</v>
      </c>
      <c r="B1805" t="s">
        <v>18</v>
      </c>
      <c r="C1805" t="s">
        <v>19</v>
      </c>
      <c r="D1805" t="s">
        <v>20</v>
      </c>
      <c r="E1805">
        <v>1</v>
      </c>
      <c r="F1805">
        <v>180000</v>
      </c>
      <c r="G1805" t="s">
        <v>35</v>
      </c>
      <c r="H1805" t="s">
        <v>22</v>
      </c>
      <c r="I1805" t="s">
        <v>28</v>
      </c>
      <c r="J1805" t="s">
        <v>24</v>
      </c>
      <c r="K1805" s="6">
        <f t="shared" ca="1" si="120"/>
        <v>34792</v>
      </c>
      <c r="L1805">
        <v>-10969</v>
      </c>
      <c r="M1805" s="7">
        <f t="shared" ca="1" si="118"/>
        <v>30.031485284052017</v>
      </c>
      <c r="N1805" s="5" t="str">
        <f ca="1">VLOOKUP(Data!M1805,temp!$B$3:$C$9,2,1)</f>
        <v>30-40</v>
      </c>
      <c r="O1805">
        <v>-3485</v>
      </c>
      <c r="P1805" s="8">
        <f t="shared" si="119"/>
        <v>9.5414099931553729</v>
      </c>
      <c r="Q1805" s="5" t="str">
        <f t="shared" si="121"/>
        <v>Employed</v>
      </c>
      <c r="R1805">
        <v>1</v>
      </c>
      <c r="S1805">
        <v>0</v>
      </c>
      <c r="T1805">
        <v>0</v>
      </c>
      <c r="U1805">
        <v>1</v>
      </c>
      <c r="V1805" t="s">
        <v>47</v>
      </c>
      <c r="W1805">
        <v>3</v>
      </c>
    </row>
    <row r="1806" spans="1:23" x14ac:dyDescent="0.2">
      <c r="A1806">
        <v>5061190</v>
      </c>
      <c r="B1806" t="s">
        <v>18</v>
      </c>
      <c r="C1806" t="s">
        <v>19</v>
      </c>
      <c r="D1806" t="s">
        <v>20</v>
      </c>
      <c r="E1806">
        <v>1</v>
      </c>
      <c r="F1806">
        <v>180000</v>
      </c>
      <c r="G1806" t="s">
        <v>35</v>
      </c>
      <c r="H1806" t="s">
        <v>22</v>
      </c>
      <c r="I1806" t="s">
        <v>28</v>
      </c>
      <c r="J1806" t="s">
        <v>24</v>
      </c>
      <c r="K1806" s="6">
        <f t="shared" ca="1" si="120"/>
        <v>34792</v>
      </c>
      <c r="L1806">
        <v>-10969</v>
      </c>
      <c r="M1806" s="7">
        <f t="shared" ca="1" si="118"/>
        <v>30.031485284052017</v>
      </c>
      <c r="N1806" s="5" t="str">
        <f ca="1">VLOOKUP(Data!M1806,temp!$B$3:$C$9,2,1)</f>
        <v>30-40</v>
      </c>
      <c r="O1806">
        <v>-3485</v>
      </c>
      <c r="P1806" s="8">
        <f t="shared" si="119"/>
        <v>9.5414099931553729</v>
      </c>
      <c r="Q1806" s="5" t="str">
        <f t="shared" si="121"/>
        <v>Employed</v>
      </c>
      <c r="R1806">
        <v>1</v>
      </c>
      <c r="S1806">
        <v>0</v>
      </c>
      <c r="T1806">
        <v>0</v>
      </c>
      <c r="U1806">
        <v>1</v>
      </c>
      <c r="V1806" t="s">
        <v>47</v>
      </c>
      <c r="W1806">
        <v>3</v>
      </c>
    </row>
    <row r="1807" spans="1:23" x14ac:dyDescent="0.2">
      <c r="A1807">
        <v>5061191</v>
      </c>
      <c r="B1807" t="s">
        <v>18</v>
      </c>
      <c r="C1807" t="s">
        <v>19</v>
      </c>
      <c r="D1807" t="s">
        <v>20</v>
      </c>
      <c r="E1807">
        <v>1</v>
      </c>
      <c r="F1807">
        <v>180000</v>
      </c>
      <c r="G1807" t="s">
        <v>35</v>
      </c>
      <c r="H1807" t="s">
        <v>22</v>
      </c>
      <c r="I1807" t="s">
        <v>28</v>
      </c>
      <c r="J1807" t="s">
        <v>24</v>
      </c>
      <c r="K1807" s="6">
        <f t="shared" ca="1" si="120"/>
        <v>34792</v>
      </c>
      <c r="L1807">
        <v>-10969</v>
      </c>
      <c r="M1807" s="7">
        <f t="shared" ca="1" si="118"/>
        <v>30.031485284052017</v>
      </c>
      <c r="N1807" s="5" t="str">
        <f ca="1">VLOOKUP(Data!M1807,temp!$B$3:$C$9,2,1)</f>
        <v>30-40</v>
      </c>
      <c r="O1807">
        <v>-3485</v>
      </c>
      <c r="P1807" s="8">
        <f t="shared" si="119"/>
        <v>9.5414099931553729</v>
      </c>
      <c r="Q1807" s="5" t="str">
        <f t="shared" si="121"/>
        <v>Employed</v>
      </c>
      <c r="R1807">
        <v>1</v>
      </c>
      <c r="S1807">
        <v>0</v>
      </c>
      <c r="T1807">
        <v>0</v>
      </c>
      <c r="U1807">
        <v>1</v>
      </c>
      <c r="V1807" t="s">
        <v>47</v>
      </c>
      <c r="W1807">
        <v>3</v>
      </c>
    </row>
    <row r="1808" spans="1:23" x14ac:dyDescent="0.2">
      <c r="A1808">
        <v>5061196</v>
      </c>
      <c r="B1808" t="s">
        <v>18</v>
      </c>
      <c r="C1808" t="s">
        <v>19</v>
      </c>
      <c r="D1808" t="s">
        <v>20</v>
      </c>
      <c r="E1808">
        <v>1</v>
      </c>
      <c r="F1808">
        <v>135000</v>
      </c>
      <c r="G1808" t="s">
        <v>31</v>
      </c>
      <c r="H1808" t="s">
        <v>27</v>
      </c>
      <c r="I1808" t="s">
        <v>37</v>
      </c>
      <c r="J1808" t="s">
        <v>41</v>
      </c>
      <c r="K1808" s="6">
        <f t="shared" ca="1" si="120"/>
        <v>34194</v>
      </c>
      <c r="L1808">
        <v>-11567</v>
      </c>
      <c r="M1808" s="7">
        <f t="shared" ca="1" si="118"/>
        <v>31.668720054757017</v>
      </c>
      <c r="N1808" s="5" t="str">
        <f ca="1">VLOOKUP(Data!M1808,temp!$B$3:$C$9,2,1)</f>
        <v>30-40</v>
      </c>
      <c r="O1808">
        <v>-655</v>
      </c>
      <c r="P1808" s="8">
        <f t="shared" si="119"/>
        <v>1.7932922655715264</v>
      </c>
      <c r="Q1808" s="5" t="str">
        <f t="shared" si="121"/>
        <v>Employed</v>
      </c>
      <c r="R1808">
        <v>1</v>
      </c>
      <c r="S1808">
        <v>0</v>
      </c>
      <c r="T1808">
        <v>0</v>
      </c>
      <c r="U1808">
        <v>1</v>
      </c>
      <c r="V1808" t="s">
        <v>39</v>
      </c>
      <c r="W1808">
        <v>3</v>
      </c>
    </row>
    <row r="1809" spans="1:23" x14ac:dyDescent="0.2">
      <c r="A1809">
        <v>5061220</v>
      </c>
      <c r="B1809" t="s">
        <v>18</v>
      </c>
      <c r="C1809" t="s">
        <v>20</v>
      </c>
      <c r="D1809" t="s">
        <v>20</v>
      </c>
      <c r="E1809">
        <v>0</v>
      </c>
      <c r="F1809">
        <v>157500</v>
      </c>
      <c r="G1809" t="s">
        <v>31</v>
      </c>
      <c r="H1809" t="s">
        <v>27</v>
      </c>
      <c r="I1809" t="s">
        <v>28</v>
      </c>
      <c r="J1809" t="s">
        <v>24</v>
      </c>
      <c r="K1809" s="6">
        <f t="shared" ca="1" si="120"/>
        <v>24930</v>
      </c>
      <c r="L1809">
        <v>-20831</v>
      </c>
      <c r="M1809" s="7">
        <f t="shared" ca="1" si="118"/>
        <v>57.032169746748799</v>
      </c>
      <c r="N1809" s="5" t="str">
        <f ca="1">VLOOKUP(Data!M1809,temp!$B$3:$C$9,2,1)</f>
        <v>50-60</v>
      </c>
      <c r="O1809">
        <v>-1142</v>
      </c>
      <c r="P1809" s="8">
        <f t="shared" si="119"/>
        <v>3.1266255989048597</v>
      </c>
      <c r="Q1809" s="5" t="str">
        <f t="shared" si="121"/>
        <v>Employed</v>
      </c>
      <c r="R1809">
        <v>1</v>
      </c>
      <c r="S1809">
        <v>0</v>
      </c>
      <c r="T1809">
        <v>0</v>
      </c>
      <c r="U1809">
        <v>1</v>
      </c>
      <c r="V1809" t="s">
        <v>46</v>
      </c>
      <c r="W1809">
        <v>2</v>
      </c>
    </row>
    <row r="1810" spans="1:23" x14ac:dyDescent="0.2">
      <c r="A1810">
        <v>5061222</v>
      </c>
      <c r="B1810" t="s">
        <v>18</v>
      </c>
      <c r="C1810" t="s">
        <v>20</v>
      </c>
      <c r="D1810" t="s">
        <v>20</v>
      </c>
      <c r="E1810">
        <v>0</v>
      </c>
      <c r="F1810">
        <v>157500</v>
      </c>
      <c r="G1810" t="s">
        <v>31</v>
      </c>
      <c r="H1810" t="s">
        <v>27</v>
      </c>
      <c r="I1810" t="s">
        <v>28</v>
      </c>
      <c r="J1810" t="s">
        <v>24</v>
      </c>
      <c r="K1810" s="6">
        <f t="shared" ca="1" si="120"/>
        <v>24930</v>
      </c>
      <c r="L1810">
        <v>-20831</v>
      </c>
      <c r="M1810" s="7">
        <f t="shared" ca="1" si="118"/>
        <v>57.032169746748799</v>
      </c>
      <c r="N1810" s="5" t="str">
        <f ca="1">VLOOKUP(Data!M1810,temp!$B$3:$C$9,2,1)</f>
        <v>50-60</v>
      </c>
      <c r="O1810">
        <v>-1142</v>
      </c>
      <c r="P1810" s="8">
        <f t="shared" si="119"/>
        <v>3.1266255989048597</v>
      </c>
      <c r="Q1810" s="5" t="str">
        <f t="shared" si="121"/>
        <v>Employed</v>
      </c>
      <c r="R1810">
        <v>1</v>
      </c>
      <c r="S1810">
        <v>0</v>
      </c>
      <c r="T1810">
        <v>0</v>
      </c>
      <c r="U1810">
        <v>1</v>
      </c>
      <c r="V1810" t="s">
        <v>46</v>
      </c>
      <c r="W1810">
        <v>2</v>
      </c>
    </row>
    <row r="1811" spans="1:23" x14ac:dyDescent="0.2">
      <c r="A1811">
        <v>5061224</v>
      </c>
      <c r="B1811" t="s">
        <v>18</v>
      </c>
      <c r="C1811" t="s">
        <v>20</v>
      </c>
      <c r="D1811" t="s">
        <v>20</v>
      </c>
      <c r="E1811">
        <v>0</v>
      </c>
      <c r="F1811">
        <v>157500</v>
      </c>
      <c r="G1811" t="s">
        <v>31</v>
      </c>
      <c r="H1811" t="s">
        <v>27</v>
      </c>
      <c r="I1811" t="s">
        <v>28</v>
      </c>
      <c r="J1811" t="s">
        <v>24</v>
      </c>
      <c r="K1811" s="6">
        <f t="shared" ca="1" si="120"/>
        <v>24930</v>
      </c>
      <c r="L1811">
        <v>-20831</v>
      </c>
      <c r="M1811" s="7">
        <f t="shared" ca="1" si="118"/>
        <v>57.032169746748799</v>
      </c>
      <c r="N1811" s="5" t="str">
        <f ca="1">VLOOKUP(Data!M1811,temp!$B$3:$C$9,2,1)</f>
        <v>50-60</v>
      </c>
      <c r="O1811">
        <v>-1142</v>
      </c>
      <c r="P1811" s="8">
        <f t="shared" si="119"/>
        <v>3.1266255989048597</v>
      </c>
      <c r="Q1811" s="5" t="str">
        <f t="shared" si="121"/>
        <v>Employed</v>
      </c>
      <c r="R1811">
        <v>1</v>
      </c>
      <c r="S1811">
        <v>0</v>
      </c>
      <c r="T1811">
        <v>0</v>
      </c>
      <c r="U1811">
        <v>1</v>
      </c>
      <c r="V1811" t="s">
        <v>46</v>
      </c>
      <c r="W1811">
        <v>2</v>
      </c>
    </row>
    <row r="1812" spans="1:23" x14ac:dyDescent="0.2">
      <c r="A1812">
        <v>5061232</v>
      </c>
      <c r="B1812" t="s">
        <v>25</v>
      </c>
      <c r="C1812" t="s">
        <v>20</v>
      </c>
      <c r="D1812" t="s">
        <v>20</v>
      </c>
      <c r="E1812">
        <v>0</v>
      </c>
      <c r="F1812">
        <v>222750</v>
      </c>
      <c r="G1812" t="s">
        <v>31</v>
      </c>
      <c r="H1812" t="s">
        <v>22</v>
      </c>
      <c r="I1812" t="s">
        <v>28</v>
      </c>
      <c r="J1812" t="s">
        <v>24</v>
      </c>
      <c r="K1812" s="6">
        <f t="shared" ca="1" si="120"/>
        <v>28817</v>
      </c>
      <c r="L1812">
        <v>-16944</v>
      </c>
      <c r="M1812" s="7">
        <f t="shared" ca="1" si="118"/>
        <v>46.390143737166326</v>
      </c>
      <c r="N1812" s="5" t="str">
        <f ca="1">VLOOKUP(Data!M1812,temp!$B$3:$C$9,2,1)</f>
        <v>40-50</v>
      </c>
      <c r="O1812">
        <v>-1324</v>
      </c>
      <c r="P1812" s="8">
        <f t="shared" si="119"/>
        <v>3.6249144421629023</v>
      </c>
      <c r="Q1812" s="5" t="str">
        <f t="shared" si="121"/>
        <v>Employed</v>
      </c>
      <c r="R1812">
        <v>1</v>
      </c>
      <c r="S1812">
        <v>0</v>
      </c>
      <c r="T1812">
        <v>0</v>
      </c>
      <c r="U1812">
        <v>0</v>
      </c>
      <c r="V1812" t="s">
        <v>30</v>
      </c>
      <c r="W1812">
        <v>2</v>
      </c>
    </row>
    <row r="1813" spans="1:23" x14ac:dyDescent="0.2">
      <c r="A1813">
        <v>5061244</v>
      </c>
      <c r="B1813" t="s">
        <v>18</v>
      </c>
      <c r="C1813" t="s">
        <v>19</v>
      </c>
      <c r="D1813" t="s">
        <v>20</v>
      </c>
      <c r="E1813">
        <v>0</v>
      </c>
      <c r="F1813">
        <v>180000</v>
      </c>
      <c r="G1813" t="s">
        <v>21</v>
      </c>
      <c r="H1813" t="s">
        <v>22</v>
      </c>
      <c r="I1813" t="s">
        <v>28</v>
      </c>
      <c r="J1813" t="s">
        <v>24</v>
      </c>
      <c r="K1813" s="6">
        <f t="shared" ca="1" si="120"/>
        <v>23880</v>
      </c>
      <c r="L1813">
        <v>-21881</v>
      </c>
      <c r="M1813" s="7">
        <f t="shared" ca="1" si="118"/>
        <v>59.906913073237511</v>
      </c>
      <c r="N1813" s="5" t="str">
        <f ca="1">VLOOKUP(Data!M1813,temp!$B$3:$C$9,2,1)</f>
        <v>50-60</v>
      </c>
      <c r="O1813">
        <v>365243</v>
      </c>
      <c r="P1813" s="8">
        <f t="shared" si="119"/>
        <v>0</v>
      </c>
      <c r="Q1813" s="5" t="str">
        <f t="shared" si="121"/>
        <v>Unemployed</v>
      </c>
      <c r="R1813">
        <v>1</v>
      </c>
      <c r="S1813">
        <v>0</v>
      </c>
      <c r="T1813">
        <v>0</v>
      </c>
      <c r="U1813">
        <v>0</v>
      </c>
      <c r="W1813">
        <v>2</v>
      </c>
    </row>
    <row r="1814" spans="1:23" x14ac:dyDescent="0.2">
      <c r="A1814">
        <v>5061261</v>
      </c>
      <c r="B1814" t="s">
        <v>25</v>
      </c>
      <c r="C1814" t="s">
        <v>19</v>
      </c>
      <c r="D1814" t="s">
        <v>20</v>
      </c>
      <c r="E1814">
        <v>1</v>
      </c>
      <c r="F1814">
        <v>225000</v>
      </c>
      <c r="G1814" t="s">
        <v>31</v>
      </c>
      <c r="H1814" t="s">
        <v>27</v>
      </c>
      <c r="I1814" t="s">
        <v>37</v>
      </c>
      <c r="J1814" t="s">
        <v>24</v>
      </c>
      <c r="K1814" s="6">
        <f t="shared" ca="1" si="120"/>
        <v>34578</v>
      </c>
      <c r="L1814">
        <v>-11183</v>
      </c>
      <c r="M1814" s="7">
        <f t="shared" ca="1" si="118"/>
        <v>30.617385352498289</v>
      </c>
      <c r="N1814" s="5" t="str">
        <f ca="1">VLOOKUP(Data!M1814,temp!$B$3:$C$9,2,1)</f>
        <v>30-40</v>
      </c>
      <c r="O1814">
        <v>-320</v>
      </c>
      <c r="P1814" s="8">
        <f t="shared" si="119"/>
        <v>0.87611225188227237</v>
      </c>
      <c r="Q1814" s="5" t="str">
        <f t="shared" si="121"/>
        <v>Employed</v>
      </c>
      <c r="R1814">
        <v>1</v>
      </c>
      <c r="S1814">
        <v>1</v>
      </c>
      <c r="T1814">
        <v>1</v>
      </c>
      <c r="U1814">
        <v>0</v>
      </c>
      <c r="V1814" t="s">
        <v>30</v>
      </c>
      <c r="W1814">
        <v>3</v>
      </c>
    </row>
    <row r="1815" spans="1:23" x14ac:dyDescent="0.2">
      <c r="A1815">
        <v>5061280</v>
      </c>
      <c r="B1815" t="s">
        <v>25</v>
      </c>
      <c r="C1815" t="s">
        <v>19</v>
      </c>
      <c r="D1815" t="s">
        <v>19</v>
      </c>
      <c r="E1815">
        <v>0</v>
      </c>
      <c r="F1815">
        <v>157500</v>
      </c>
      <c r="G1815" t="s">
        <v>31</v>
      </c>
      <c r="H1815" t="s">
        <v>27</v>
      </c>
      <c r="I1815" t="s">
        <v>28</v>
      </c>
      <c r="J1815" t="s">
        <v>24</v>
      </c>
      <c r="K1815" s="6">
        <f t="shared" ca="1" si="120"/>
        <v>31631</v>
      </c>
      <c r="L1815">
        <v>-14130</v>
      </c>
      <c r="M1815" s="7">
        <f t="shared" ca="1" si="118"/>
        <v>38.685831622176593</v>
      </c>
      <c r="N1815" s="5" t="str">
        <f ca="1">VLOOKUP(Data!M1815,temp!$B$3:$C$9,2,1)</f>
        <v>30-40</v>
      </c>
      <c r="O1815">
        <v>-2877</v>
      </c>
      <c r="P1815" s="8">
        <f t="shared" si="119"/>
        <v>7.8767967145790552</v>
      </c>
      <c r="Q1815" s="5" t="str">
        <f t="shared" si="121"/>
        <v>Employed</v>
      </c>
      <c r="R1815">
        <v>1</v>
      </c>
      <c r="S1815">
        <v>1</v>
      </c>
      <c r="T1815">
        <v>1</v>
      </c>
      <c r="U1815">
        <v>1</v>
      </c>
      <c r="V1815" t="s">
        <v>49</v>
      </c>
      <c r="W1815">
        <v>2</v>
      </c>
    </row>
    <row r="1816" spans="1:23" x14ac:dyDescent="0.2">
      <c r="A1816">
        <v>5061306</v>
      </c>
      <c r="B1816" t="s">
        <v>18</v>
      </c>
      <c r="C1816" t="s">
        <v>19</v>
      </c>
      <c r="D1816" t="s">
        <v>19</v>
      </c>
      <c r="E1816">
        <v>0</v>
      </c>
      <c r="F1816">
        <v>67500</v>
      </c>
      <c r="G1816" t="s">
        <v>31</v>
      </c>
      <c r="H1816" t="s">
        <v>27</v>
      </c>
      <c r="I1816" t="s">
        <v>28</v>
      </c>
      <c r="J1816" t="s">
        <v>41</v>
      </c>
      <c r="K1816" s="6">
        <f t="shared" ca="1" si="120"/>
        <v>30086</v>
      </c>
      <c r="L1816">
        <v>-15675</v>
      </c>
      <c r="M1816" s="7">
        <f t="shared" ca="1" si="118"/>
        <v>42.91581108829569</v>
      </c>
      <c r="N1816" s="5" t="str">
        <f ca="1">VLOOKUP(Data!M1816,temp!$B$3:$C$9,2,1)</f>
        <v>40-50</v>
      </c>
      <c r="O1816">
        <v>-8691</v>
      </c>
      <c r="P1816" s="8">
        <f t="shared" si="119"/>
        <v>23.794661190965094</v>
      </c>
      <c r="Q1816" s="5" t="str">
        <f t="shared" si="121"/>
        <v>Employed</v>
      </c>
      <c r="R1816">
        <v>1</v>
      </c>
      <c r="S1816">
        <v>1</v>
      </c>
      <c r="T1816">
        <v>1</v>
      </c>
      <c r="U1816">
        <v>0</v>
      </c>
      <c r="V1816" t="s">
        <v>50</v>
      </c>
      <c r="W1816">
        <v>2</v>
      </c>
    </row>
    <row r="1817" spans="1:23" x14ac:dyDescent="0.2">
      <c r="A1817">
        <v>5061311</v>
      </c>
      <c r="B1817" t="s">
        <v>18</v>
      </c>
      <c r="C1817" t="s">
        <v>19</v>
      </c>
      <c r="D1817" t="s">
        <v>20</v>
      </c>
      <c r="E1817">
        <v>0</v>
      </c>
      <c r="F1817">
        <v>202500</v>
      </c>
      <c r="G1817" t="s">
        <v>31</v>
      </c>
      <c r="H1817" t="s">
        <v>27</v>
      </c>
      <c r="I1817" t="s">
        <v>28</v>
      </c>
      <c r="J1817" t="s">
        <v>24</v>
      </c>
      <c r="K1817" s="6">
        <f t="shared" ca="1" si="120"/>
        <v>26444</v>
      </c>
      <c r="L1817">
        <v>-19317</v>
      </c>
      <c r="M1817" s="7">
        <f t="shared" ca="1" si="118"/>
        <v>52.887063655030801</v>
      </c>
      <c r="N1817" s="5" t="str">
        <f ca="1">VLOOKUP(Data!M1817,temp!$B$3:$C$9,2,1)</f>
        <v>50-60</v>
      </c>
      <c r="O1817">
        <v>-6590</v>
      </c>
      <c r="P1817" s="8">
        <f t="shared" si="119"/>
        <v>18.042436687200549</v>
      </c>
      <c r="Q1817" s="5" t="str">
        <f t="shared" si="121"/>
        <v>Employed</v>
      </c>
      <c r="R1817">
        <v>1</v>
      </c>
      <c r="S1817">
        <v>1</v>
      </c>
      <c r="T1817">
        <v>1</v>
      </c>
      <c r="U1817">
        <v>1</v>
      </c>
      <c r="V1817" t="s">
        <v>29</v>
      </c>
      <c r="W1817">
        <v>2</v>
      </c>
    </row>
    <row r="1818" spans="1:23" x14ac:dyDescent="0.2">
      <c r="A1818">
        <v>5061315</v>
      </c>
      <c r="B1818" t="s">
        <v>18</v>
      </c>
      <c r="C1818" t="s">
        <v>19</v>
      </c>
      <c r="D1818" t="s">
        <v>20</v>
      </c>
      <c r="E1818">
        <v>0</v>
      </c>
      <c r="F1818">
        <v>202500</v>
      </c>
      <c r="G1818" t="s">
        <v>31</v>
      </c>
      <c r="H1818" t="s">
        <v>27</v>
      </c>
      <c r="I1818" t="s">
        <v>28</v>
      </c>
      <c r="J1818" t="s">
        <v>24</v>
      </c>
      <c r="K1818" s="6">
        <f t="shared" ca="1" si="120"/>
        <v>26444</v>
      </c>
      <c r="L1818">
        <v>-19317</v>
      </c>
      <c r="M1818" s="7">
        <f t="shared" ca="1" si="118"/>
        <v>52.887063655030801</v>
      </c>
      <c r="N1818" s="5" t="str">
        <f ca="1">VLOOKUP(Data!M1818,temp!$B$3:$C$9,2,1)</f>
        <v>50-60</v>
      </c>
      <c r="O1818">
        <v>-6590</v>
      </c>
      <c r="P1818" s="8">
        <f t="shared" si="119"/>
        <v>18.042436687200549</v>
      </c>
      <c r="Q1818" s="5" t="str">
        <f t="shared" si="121"/>
        <v>Employed</v>
      </c>
      <c r="R1818">
        <v>1</v>
      </c>
      <c r="S1818">
        <v>1</v>
      </c>
      <c r="T1818">
        <v>1</v>
      </c>
      <c r="U1818">
        <v>1</v>
      </c>
      <c r="V1818" t="s">
        <v>29</v>
      </c>
      <c r="W1818">
        <v>2</v>
      </c>
    </row>
    <row r="1819" spans="1:23" x14ac:dyDescent="0.2">
      <c r="A1819">
        <v>5061320</v>
      </c>
      <c r="B1819" t="s">
        <v>18</v>
      </c>
      <c r="C1819" t="s">
        <v>20</v>
      </c>
      <c r="D1819" t="s">
        <v>20</v>
      </c>
      <c r="E1819">
        <v>1</v>
      </c>
      <c r="F1819">
        <v>261000</v>
      </c>
      <c r="G1819" t="s">
        <v>35</v>
      </c>
      <c r="H1819" t="s">
        <v>22</v>
      </c>
      <c r="I1819" t="s">
        <v>28</v>
      </c>
      <c r="J1819" t="s">
        <v>24</v>
      </c>
      <c r="K1819" s="6">
        <f t="shared" ca="1" si="120"/>
        <v>30711</v>
      </c>
      <c r="L1819">
        <v>-15050</v>
      </c>
      <c r="M1819" s="7">
        <f t="shared" ca="1" si="118"/>
        <v>41.204654346338124</v>
      </c>
      <c r="N1819" s="5" t="str">
        <f ca="1">VLOOKUP(Data!M1819,temp!$B$3:$C$9,2,1)</f>
        <v>40-50</v>
      </c>
      <c r="O1819">
        <v>-1628</v>
      </c>
      <c r="P1819" s="8">
        <f t="shared" si="119"/>
        <v>4.4572210814510607</v>
      </c>
      <c r="Q1819" s="5" t="str">
        <f t="shared" si="121"/>
        <v>Employed</v>
      </c>
      <c r="R1819">
        <v>1</v>
      </c>
      <c r="S1819">
        <v>0</v>
      </c>
      <c r="T1819">
        <v>0</v>
      </c>
      <c r="U1819">
        <v>0</v>
      </c>
      <c r="V1819" t="s">
        <v>32</v>
      </c>
      <c r="W1819">
        <v>3</v>
      </c>
    </row>
    <row r="1820" spans="1:23" x14ac:dyDescent="0.2">
      <c r="A1820">
        <v>5061359</v>
      </c>
      <c r="B1820" t="s">
        <v>25</v>
      </c>
      <c r="C1820" t="s">
        <v>19</v>
      </c>
      <c r="D1820" t="s">
        <v>20</v>
      </c>
      <c r="E1820">
        <v>0</v>
      </c>
      <c r="F1820">
        <v>65250</v>
      </c>
      <c r="G1820" t="s">
        <v>21</v>
      </c>
      <c r="H1820" t="s">
        <v>22</v>
      </c>
      <c r="I1820" t="s">
        <v>28</v>
      </c>
      <c r="J1820" t="s">
        <v>24</v>
      </c>
      <c r="K1820" s="6">
        <f t="shared" ca="1" si="120"/>
        <v>24889</v>
      </c>
      <c r="L1820">
        <v>-20872</v>
      </c>
      <c r="M1820" s="7">
        <f t="shared" ca="1" si="118"/>
        <v>57.144421629021217</v>
      </c>
      <c r="N1820" s="5" t="str">
        <f ca="1">VLOOKUP(Data!M1820,temp!$B$3:$C$9,2,1)</f>
        <v>50-60</v>
      </c>
      <c r="O1820">
        <v>365243</v>
      </c>
      <c r="P1820" s="8">
        <f t="shared" si="119"/>
        <v>0</v>
      </c>
      <c r="Q1820" s="5" t="str">
        <f t="shared" si="121"/>
        <v>Unemployed</v>
      </c>
      <c r="R1820">
        <v>1</v>
      </c>
      <c r="S1820">
        <v>0</v>
      </c>
      <c r="T1820">
        <v>0</v>
      </c>
      <c r="U1820">
        <v>0</v>
      </c>
      <c r="W1820">
        <v>2</v>
      </c>
    </row>
    <row r="1821" spans="1:23" x14ac:dyDescent="0.2">
      <c r="A1821">
        <v>5061363</v>
      </c>
      <c r="B1821" t="s">
        <v>25</v>
      </c>
      <c r="C1821" t="s">
        <v>20</v>
      </c>
      <c r="D1821" t="s">
        <v>20</v>
      </c>
      <c r="E1821">
        <v>0</v>
      </c>
      <c r="F1821">
        <v>180000</v>
      </c>
      <c r="G1821" t="s">
        <v>31</v>
      </c>
      <c r="H1821" t="s">
        <v>22</v>
      </c>
      <c r="I1821" t="s">
        <v>33</v>
      </c>
      <c r="J1821" t="s">
        <v>24</v>
      </c>
      <c r="K1821" s="6">
        <f t="shared" ca="1" si="120"/>
        <v>36326</v>
      </c>
      <c r="L1821">
        <v>-9435</v>
      </c>
      <c r="M1821" s="7">
        <f t="shared" ca="1" si="118"/>
        <v>25.831622176591377</v>
      </c>
      <c r="N1821" s="5" t="str">
        <f ca="1">VLOOKUP(Data!M1821,temp!$B$3:$C$9,2,1)</f>
        <v>20-30</v>
      </c>
      <c r="O1821">
        <v>-532</v>
      </c>
      <c r="P1821" s="8">
        <f t="shared" si="119"/>
        <v>1.4565366187542779</v>
      </c>
      <c r="Q1821" s="5" t="str">
        <f t="shared" si="121"/>
        <v>Employed</v>
      </c>
      <c r="R1821">
        <v>1</v>
      </c>
      <c r="S1821">
        <v>0</v>
      </c>
      <c r="T1821">
        <v>0</v>
      </c>
      <c r="U1821">
        <v>0</v>
      </c>
      <c r="V1821" t="s">
        <v>30</v>
      </c>
      <c r="W1821">
        <v>1</v>
      </c>
    </row>
    <row r="1822" spans="1:23" x14ac:dyDescent="0.2">
      <c r="A1822">
        <v>5061371</v>
      </c>
      <c r="B1822" t="s">
        <v>18</v>
      </c>
      <c r="C1822" t="s">
        <v>19</v>
      </c>
      <c r="D1822" t="s">
        <v>20</v>
      </c>
      <c r="E1822">
        <v>1</v>
      </c>
      <c r="F1822">
        <v>135000</v>
      </c>
      <c r="G1822" t="s">
        <v>31</v>
      </c>
      <c r="H1822" t="s">
        <v>27</v>
      </c>
      <c r="I1822" t="s">
        <v>33</v>
      </c>
      <c r="J1822" t="s">
        <v>24</v>
      </c>
      <c r="K1822" s="6">
        <f t="shared" ca="1" si="120"/>
        <v>28693</v>
      </c>
      <c r="L1822">
        <v>-17068</v>
      </c>
      <c r="M1822" s="7">
        <f t="shared" ca="1" si="118"/>
        <v>46.729637234770706</v>
      </c>
      <c r="N1822" s="5" t="str">
        <f ca="1">VLOOKUP(Data!M1822,temp!$B$3:$C$9,2,1)</f>
        <v>40-50</v>
      </c>
      <c r="O1822">
        <v>-8325</v>
      </c>
      <c r="P1822" s="8">
        <f t="shared" si="119"/>
        <v>22.792607802874745</v>
      </c>
      <c r="Q1822" s="5" t="str">
        <f t="shared" si="121"/>
        <v>Employed</v>
      </c>
      <c r="R1822">
        <v>1</v>
      </c>
      <c r="S1822">
        <v>0</v>
      </c>
      <c r="T1822">
        <v>0</v>
      </c>
      <c r="U1822">
        <v>0</v>
      </c>
      <c r="V1822" t="s">
        <v>29</v>
      </c>
      <c r="W1822">
        <v>2</v>
      </c>
    </row>
    <row r="1823" spans="1:23" x14ac:dyDescent="0.2">
      <c r="A1823">
        <v>5061388</v>
      </c>
      <c r="B1823" t="s">
        <v>18</v>
      </c>
      <c r="C1823" t="s">
        <v>20</v>
      </c>
      <c r="D1823" t="s">
        <v>20</v>
      </c>
      <c r="E1823">
        <v>1</v>
      </c>
      <c r="F1823">
        <v>225000</v>
      </c>
      <c r="G1823" t="s">
        <v>35</v>
      </c>
      <c r="H1823" t="s">
        <v>27</v>
      </c>
      <c r="I1823" t="s">
        <v>28</v>
      </c>
      <c r="J1823" t="s">
        <v>24</v>
      </c>
      <c r="K1823" s="6">
        <f t="shared" ca="1" si="120"/>
        <v>32112</v>
      </c>
      <c r="L1823">
        <v>-13649</v>
      </c>
      <c r="M1823" s="7">
        <f t="shared" ca="1" si="118"/>
        <v>37.368925393566052</v>
      </c>
      <c r="N1823" s="5" t="str">
        <f ca="1">VLOOKUP(Data!M1823,temp!$B$3:$C$9,2,1)</f>
        <v>30-40</v>
      </c>
      <c r="O1823">
        <v>-1477</v>
      </c>
      <c r="P1823" s="8">
        <f t="shared" si="119"/>
        <v>4.043805612594114</v>
      </c>
      <c r="Q1823" s="5" t="str">
        <f t="shared" si="121"/>
        <v>Employed</v>
      </c>
      <c r="R1823">
        <v>1</v>
      </c>
      <c r="S1823">
        <v>0</v>
      </c>
      <c r="T1823">
        <v>0</v>
      </c>
      <c r="U1823">
        <v>1</v>
      </c>
      <c r="V1823" t="s">
        <v>50</v>
      </c>
      <c r="W1823">
        <v>3</v>
      </c>
    </row>
    <row r="1824" spans="1:23" x14ac:dyDescent="0.2">
      <c r="A1824">
        <v>5061391</v>
      </c>
      <c r="B1824" t="s">
        <v>18</v>
      </c>
      <c r="C1824" t="s">
        <v>19</v>
      </c>
      <c r="D1824" t="s">
        <v>20</v>
      </c>
      <c r="E1824">
        <v>0</v>
      </c>
      <c r="F1824">
        <v>90000</v>
      </c>
      <c r="G1824" t="s">
        <v>21</v>
      </c>
      <c r="H1824" t="s">
        <v>27</v>
      </c>
      <c r="I1824" t="s">
        <v>42</v>
      </c>
      <c r="J1824" t="s">
        <v>24</v>
      </c>
      <c r="K1824" s="6">
        <f t="shared" ca="1" si="120"/>
        <v>24705</v>
      </c>
      <c r="L1824">
        <v>-21056</v>
      </c>
      <c r="M1824" s="7">
        <f t="shared" ca="1" si="118"/>
        <v>57.648186173853524</v>
      </c>
      <c r="N1824" s="5" t="str">
        <f ca="1">VLOOKUP(Data!M1824,temp!$B$3:$C$9,2,1)</f>
        <v>50-60</v>
      </c>
      <c r="O1824">
        <v>365243</v>
      </c>
      <c r="P1824" s="8">
        <f t="shared" si="119"/>
        <v>0</v>
      </c>
      <c r="Q1824" s="5" t="str">
        <f t="shared" si="121"/>
        <v>Unemployed</v>
      </c>
      <c r="R1824">
        <v>1</v>
      </c>
      <c r="S1824">
        <v>0</v>
      </c>
      <c r="T1824">
        <v>1</v>
      </c>
      <c r="U1824">
        <v>0</v>
      </c>
      <c r="W1824">
        <v>1</v>
      </c>
    </row>
    <row r="1825" spans="1:23" x14ac:dyDescent="0.2">
      <c r="A1825">
        <v>5061393</v>
      </c>
      <c r="B1825" t="s">
        <v>18</v>
      </c>
      <c r="C1825" t="s">
        <v>19</v>
      </c>
      <c r="D1825" t="s">
        <v>20</v>
      </c>
      <c r="E1825">
        <v>0</v>
      </c>
      <c r="F1825">
        <v>90000</v>
      </c>
      <c r="G1825" t="s">
        <v>21</v>
      </c>
      <c r="H1825" t="s">
        <v>27</v>
      </c>
      <c r="I1825" t="s">
        <v>42</v>
      </c>
      <c r="J1825" t="s">
        <v>24</v>
      </c>
      <c r="K1825" s="6">
        <f t="shared" ca="1" si="120"/>
        <v>24705</v>
      </c>
      <c r="L1825">
        <v>-21056</v>
      </c>
      <c r="M1825" s="7">
        <f t="shared" ca="1" si="118"/>
        <v>57.648186173853524</v>
      </c>
      <c r="N1825" s="5" t="str">
        <f ca="1">VLOOKUP(Data!M1825,temp!$B$3:$C$9,2,1)</f>
        <v>50-60</v>
      </c>
      <c r="O1825">
        <v>365243</v>
      </c>
      <c r="P1825" s="8">
        <f t="shared" si="119"/>
        <v>0</v>
      </c>
      <c r="Q1825" s="5" t="str">
        <f t="shared" si="121"/>
        <v>Unemployed</v>
      </c>
      <c r="R1825">
        <v>1</v>
      </c>
      <c r="S1825">
        <v>0</v>
      </c>
      <c r="T1825">
        <v>1</v>
      </c>
      <c r="U1825">
        <v>0</v>
      </c>
      <c r="W1825">
        <v>1</v>
      </c>
    </row>
    <row r="1826" spans="1:23" x14ac:dyDescent="0.2">
      <c r="A1826">
        <v>5061396</v>
      </c>
      <c r="B1826" t="s">
        <v>25</v>
      </c>
      <c r="C1826" t="s">
        <v>19</v>
      </c>
      <c r="D1826" t="s">
        <v>20</v>
      </c>
      <c r="E1826">
        <v>0</v>
      </c>
      <c r="F1826">
        <v>72900</v>
      </c>
      <c r="G1826" t="s">
        <v>21</v>
      </c>
      <c r="H1826" t="s">
        <v>51</v>
      </c>
      <c r="I1826" t="s">
        <v>28</v>
      </c>
      <c r="J1826" t="s">
        <v>24</v>
      </c>
      <c r="K1826" s="6">
        <f t="shared" ca="1" si="120"/>
        <v>22338</v>
      </c>
      <c r="L1826">
        <v>-23423</v>
      </c>
      <c r="M1826" s="7">
        <f t="shared" ca="1" si="118"/>
        <v>64.128678986995212</v>
      </c>
      <c r="N1826" s="5" t="str">
        <f ca="1">VLOOKUP(Data!M1826,temp!$B$3:$C$9,2,1)</f>
        <v>60-70</v>
      </c>
      <c r="O1826">
        <v>365243</v>
      </c>
      <c r="P1826" s="8">
        <f t="shared" si="119"/>
        <v>0</v>
      </c>
      <c r="Q1826" s="5" t="str">
        <f t="shared" si="121"/>
        <v>Unemployed</v>
      </c>
      <c r="R1826">
        <v>1</v>
      </c>
      <c r="S1826">
        <v>0</v>
      </c>
      <c r="T1826">
        <v>0</v>
      </c>
      <c r="U1826">
        <v>0</v>
      </c>
      <c r="W1826">
        <v>2</v>
      </c>
    </row>
    <row r="1827" spans="1:23" x14ac:dyDescent="0.2">
      <c r="A1827">
        <v>5061405</v>
      </c>
      <c r="B1827" t="s">
        <v>18</v>
      </c>
      <c r="C1827" t="s">
        <v>20</v>
      </c>
      <c r="D1827" t="s">
        <v>20</v>
      </c>
      <c r="E1827">
        <v>2</v>
      </c>
      <c r="F1827">
        <v>180000</v>
      </c>
      <c r="G1827" t="s">
        <v>31</v>
      </c>
      <c r="H1827" t="s">
        <v>27</v>
      </c>
      <c r="I1827" t="s">
        <v>28</v>
      </c>
      <c r="J1827" t="s">
        <v>24</v>
      </c>
      <c r="K1827" s="6">
        <f t="shared" ca="1" si="120"/>
        <v>32747</v>
      </c>
      <c r="L1827">
        <v>-13014</v>
      </c>
      <c r="M1827" s="7">
        <f t="shared" ca="1" si="118"/>
        <v>35.630390143737166</v>
      </c>
      <c r="N1827" s="5" t="str">
        <f ca="1">VLOOKUP(Data!M1827,temp!$B$3:$C$9,2,1)</f>
        <v>30-40</v>
      </c>
      <c r="O1827">
        <v>-1386</v>
      </c>
      <c r="P1827" s="8">
        <f t="shared" si="119"/>
        <v>3.7946611909650922</v>
      </c>
      <c r="Q1827" s="5" t="str">
        <f t="shared" si="121"/>
        <v>Employed</v>
      </c>
      <c r="R1827">
        <v>1</v>
      </c>
      <c r="S1827">
        <v>0</v>
      </c>
      <c r="T1827">
        <v>0</v>
      </c>
      <c r="U1827">
        <v>1</v>
      </c>
      <c r="V1827" t="s">
        <v>29</v>
      </c>
      <c r="W1827">
        <v>4</v>
      </c>
    </row>
    <row r="1828" spans="1:23" x14ac:dyDescent="0.2">
      <c r="A1828">
        <v>5061412</v>
      </c>
      <c r="B1828" t="s">
        <v>18</v>
      </c>
      <c r="C1828" t="s">
        <v>19</v>
      </c>
      <c r="D1828" t="s">
        <v>20</v>
      </c>
      <c r="E1828">
        <v>0</v>
      </c>
      <c r="F1828">
        <v>162000</v>
      </c>
      <c r="G1828" t="s">
        <v>31</v>
      </c>
      <c r="H1828" t="s">
        <v>27</v>
      </c>
      <c r="I1828" t="s">
        <v>37</v>
      </c>
      <c r="J1828" t="s">
        <v>24</v>
      </c>
      <c r="K1828" s="6">
        <f t="shared" ca="1" si="120"/>
        <v>31273</v>
      </c>
      <c r="L1828">
        <v>-14488</v>
      </c>
      <c r="M1828" s="7">
        <f t="shared" ca="1" si="118"/>
        <v>39.665982203969882</v>
      </c>
      <c r="N1828" s="5" t="str">
        <f ca="1">VLOOKUP(Data!M1828,temp!$B$3:$C$9,2,1)</f>
        <v>30-40</v>
      </c>
      <c r="O1828">
        <v>-7168</v>
      </c>
      <c r="P1828" s="8">
        <f t="shared" si="119"/>
        <v>19.6249144421629</v>
      </c>
      <c r="Q1828" s="5" t="str">
        <f t="shared" si="121"/>
        <v>Employed</v>
      </c>
      <c r="R1828">
        <v>1</v>
      </c>
      <c r="S1828">
        <v>1</v>
      </c>
      <c r="T1828">
        <v>1</v>
      </c>
      <c r="U1828">
        <v>0</v>
      </c>
      <c r="V1828" t="s">
        <v>55</v>
      </c>
      <c r="W1828">
        <v>2</v>
      </c>
    </row>
    <row r="1829" spans="1:23" x14ac:dyDescent="0.2">
      <c r="A1829">
        <v>5061423</v>
      </c>
      <c r="B1829" t="s">
        <v>18</v>
      </c>
      <c r="C1829" t="s">
        <v>19</v>
      </c>
      <c r="D1829" t="s">
        <v>20</v>
      </c>
      <c r="E1829">
        <v>0</v>
      </c>
      <c r="F1829">
        <v>202500</v>
      </c>
      <c r="G1829" t="s">
        <v>31</v>
      </c>
      <c r="H1829" t="s">
        <v>27</v>
      </c>
      <c r="I1829" t="s">
        <v>28</v>
      </c>
      <c r="J1829" t="s">
        <v>24</v>
      </c>
      <c r="K1829" s="6">
        <f t="shared" ca="1" si="120"/>
        <v>29534</v>
      </c>
      <c r="L1829">
        <v>-16227</v>
      </c>
      <c r="M1829" s="7">
        <f t="shared" ca="1" si="118"/>
        <v>44.427104722792606</v>
      </c>
      <c r="N1829" s="5" t="str">
        <f ca="1">VLOOKUP(Data!M1829,temp!$B$3:$C$9,2,1)</f>
        <v>40-50</v>
      </c>
      <c r="O1829">
        <v>-4854</v>
      </c>
      <c r="P1829" s="8">
        <f t="shared" si="119"/>
        <v>13.289527720739219</v>
      </c>
      <c r="Q1829" s="5" t="str">
        <f t="shared" si="121"/>
        <v>Employed</v>
      </c>
      <c r="R1829">
        <v>1</v>
      </c>
      <c r="S1829">
        <v>0</v>
      </c>
      <c r="T1829">
        <v>0</v>
      </c>
      <c r="U1829">
        <v>0</v>
      </c>
      <c r="V1829" t="s">
        <v>39</v>
      </c>
      <c r="W1829">
        <v>2</v>
      </c>
    </row>
    <row r="1830" spans="1:23" x14ac:dyDescent="0.2">
      <c r="A1830">
        <v>5061428</v>
      </c>
      <c r="B1830" t="s">
        <v>25</v>
      </c>
      <c r="C1830" t="s">
        <v>19</v>
      </c>
      <c r="D1830" t="s">
        <v>20</v>
      </c>
      <c r="E1830">
        <v>0</v>
      </c>
      <c r="F1830">
        <v>225000</v>
      </c>
      <c r="G1830" t="s">
        <v>35</v>
      </c>
      <c r="H1830" t="s">
        <v>27</v>
      </c>
      <c r="I1830" t="s">
        <v>28</v>
      </c>
      <c r="J1830" t="s">
        <v>24</v>
      </c>
      <c r="K1830" s="6">
        <f t="shared" ca="1" si="120"/>
        <v>31997</v>
      </c>
      <c r="L1830">
        <v>-13764</v>
      </c>
      <c r="M1830" s="7">
        <f t="shared" ca="1" si="118"/>
        <v>37.68377823408624</v>
      </c>
      <c r="N1830" s="5" t="str">
        <f ca="1">VLOOKUP(Data!M1830,temp!$B$3:$C$9,2,1)</f>
        <v>30-40</v>
      </c>
      <c r="O1830">
        <v>-1111</v>
      </c>
      <c r="P1830" s="8">
        <f t="shared" si="119"/>
        <v>3.0417522245037647</v>
      </c>
      <c r="Q1830" s="5" t="str">
        <f t="shared" si="121"/>
        <v>Employed</v>
      </c>
      <c r="R1830">
        <v>1</v>
      </c>
      <c r="S1830">
        <v>0</v>
      </c>
      <c r="T1830">
        <v>0</v>
      </c>
      <c r="U1830">
        <v>0</v>
      </c>
      <c r="W1830">
        <v>2</v>
      </c>
    </row>
    <row r="1831" spans="1:23" x14ac:dyDescent="0.2">
      <c r="A1831">
        <v>5061436</v>
      </c>
      <c r="B1831" t="s">
        <v>18</v>
      </c>
      <c r="C1831" t="s">
        <v>19</v>
      </c>
      <c r="D1831" t="s">
        <v>20</v>
      </c>
      <c r="E1831">
        <v>0</v>
      </c>
      <c r="F1831">
        <v>292500</v>
      </c>
      <c r="G1831" t="s">
        <v>31</v>
      </c>
      <c r="H1831" t="s">
        <v>27</v>
      </c>
      <c r="I1831" t="s">
        <v>33</v>
      </c>
      <c r="J1831" t="s">
        <v>24</v>
      </c>
      <c r="K1831" s="6">
        <f t="shared" ca="1" si="120"/>
        <v>32327</v>
      </c>
      <c r="L1831">
        <v>-13434</v>
      </c>
      <c r="M1831" s="7">
        <f t="shared" ca="1" si="118"/>
        <v>36.780287474332646</v>
      </c>
      <c r="N1831" s="5" t="str">
        <f ca="1">VLOOKUP(Data!M1831,temp!$B$3:$C$9,2,1)</f>
        <v>30-40</v>
      </c>
      <c r="O1831">
        <v>-3515</v>
      </c>
      <c r="P1831" s="8">
        <f t="shared" si="119"/>
        <v>9.6235455167693367</v>
      </c>
      <c r="Q1831" s="5" t="str">
        <f t="shared" si="121"/>
        <v>Employed</v>
      </c>
      <c r="R1831">
        <v>1</v>
      </c>
      <c r="S1831">
        <v>0</v>
      </c>
      <c r="T1831">
        <v>0</v>
      </c>
      <c r="U1831">
        <v>1</v>
      </c>
      <c r="W1831">
        <v>1</v>
      </c>
    </row>
    <row r="1832" spans="1:23" x14ac:dyDescent="0.2">
      <c r="A1832">
        <v>5061455</v>
      </c>
      <c r="B1832" t="s">
        <v>18</v>
      </c>
      <c r="C1832" t="s">
        <v>19</v>
      </c>
      <c r="D1832" t="s">
        <v>20</v>
      </c>
      <c r="E1832">
        <v>0</v>
      </c>
      <c r="F1832">
        <v>270000</v>
      </c>
      <c r="G1832" t="s">
        <v>31</v>
      </c>
      <c r="H1832" t="s">
        <v>27</v>
      </c>
      <c r="I1832" t="s">
        <v>28</v>
      </c>
      <c r="J1832" t="s">
        <v>24</v>
      </c>
      <c r="K1832" s="6">
        <f t="shared" ca="1" si="120"/>
        <v>27647</v>
      </c>
      <c r="L1832">
        <v>-18114</v>
      </c>
      <c r="M1832" s="7">
        <f t="shared" ca="1" si="118"/>
        <v>49.593429158110879</v>
      </c>
      <c r="N1832" s="5" t="str">
        <f ca="1">VLOOKUP(Data!M1832,temp!$B$3:$C$9,2,1)</f>
        <v>40-50</v>
      </c>
      <c r="O1832">
        <v>-10121</v>
      </c>
      <c r="P1832" s="8">
        <f t="shared" si="119"/>
        <v>27.709787816563999</v>
      </c>
      <c r="Q1832" s="5" t="str">
        <f t="shared" si="121"/>
        <v>Employed</v>
      </c>
      <c r="R1832">
        <v>1</v>
      </c>
      <c r="S1832">
        <v>0</v>
      </c>
      <c r="T1832">
        <v>0</v>
      </c>
      <c r="U1832">
        <v>0</v>
      </c>
      <c r="V1832" t="s">
        <v>47</v>
      </c>
      <c r="W1832">
        <v>2</v>
      </c>
    </row>
    <row r="1833" spans="1:23" x14ac:dyDescent="0.2">
      <c r="A1833">
        <v>5061495</v>
      </c>
      <c r="B1833" t="s">
        <v>18</v>
      </c>
      <c r="C1833" t="s">
        <v>19</v>
      </c>
      <c r="D1833" t="s">
        <v>20</v>
      </c>
      <c r="E1833">
        <v>1</v>
      </c>
      <c r="F1833">
        <v>135000</v>
      </c>
      <c r="G1833" t="s">
        <v>31</v>
      </c>
      <c r="H1833" t="s">
        <v>36</v>
      </c>
      <c r="I1833" t="s">
        <v>28</v>
      </c>
      <c r="J1833" t="s">
        <v>24</v>
      </c>
      <c r="K1833" s="6">
        <f t="shared" ca="1" si="120"/>
        <v>29813</v>
      </c>
      <c r="L1833">
        <v>-15948</v>
      </c>
      <c r="M1833" s="7">
        <f t="shared" ca="1" si="118"/>
        <v>43.663244353182755</v>
      </c>
      <c r="N1833" s="5" t="str">
        <f ca="1">VLOOKUP(Data!M1833,temp!$B$3:$C$9,2,1)</f>
        <v>40-50</v>
      </c>
      <c r="O1833">
        <v>-9359</v>
      </c>
      <c r="P1833" s="8">
        <f t="shared" si="119"/>
        <v>25.623545516769337</v>
      </c>
      <c r="Q1833" s="5" t="str">
        <f t="shared" si="121"/>
        <v>Employed</v>
      </c>
      <c r="R1833">
        <v>1</v>
      </c>
      <c r="S1833">
        <v>0</v>
      </c>
      <c r="T1833">
        <v>0</v>
      </c>
      <c r="U1833">
        <v>0</v>
      </c>
      <c r="W1833">
        <v>3</v>
      </c>
    </row>
    <row r="1834" spans="1:23" x14ac:dyDescent="0.2">
      <c r="A1834">
        <v>5061497</v>
      </c>
      <c r="B1834" t="s">
        <v>18</v>
      </c>
      <c r="C1834" t="s">
        <v>19</v>
      </c>
      <c r="D1834" t="s">
        <v>20</v>
      </c>
      <c r="E1834">
        <v>1</v>
      </c>
      <c r="F1834">
        <v>135000</v>
      </c>
      <c r="G1834" t="s">
        <v>31</v>
      </c>
      <c r="H1834" t="s">
        <v>36</v>
      </c>
      <c r="I1834" t="s">
        <v>28</v>
      </c>
      <c r="J1834" t="s">
        <v>24</v>
      </c>
      <c r="K1834" s="6">
        <f t="shared" ca="1" si="120"/>
        <v>29813</v>
      </c>
      <c r="L1834">
        <v>-15948</v>
      </c>
      <c r="M1834" s="7">
        <f t="shared" ca="1" si="118"/>
        <v>43.663244353182755</v>
      </c>
      <c r="N1834" s="5" t="str">
        <f ca="1">VLOOKUP(Data!M1834,temp!$B$3:$C$9,2,1)</f>
        <v>40-50</v>
      </c>
      <c r="O1834">
        <v>-9359</v>
      </c>
      <c r="P1834" s="8">
        <f t="shared" si="119"/>
        <v>25.623545516769337</v>
      </c>
      <c r="Q1834" s="5" t="str">
        <f t="shared" si="121"/>
        <v>Employed</v>
      </c>
      <c r="R1834">
        <v>1</v>
      </c>
      <c r="S1834">
        <v>0</v>
      </c>
      <c r="T1834">
        <v>0</v>
      </c>
      <c r="U1834">
        <v>0</v>
      </c>
      <c r="W1834">
        <v>3</v>
      </c>
    </row>
    <row r="1835" spans="1:23" x14ac:dyDescent="0.2">
      <c r="A1835">
        <v>5061506</v>
      </c>
      <c r="B1835" t="s">
        <v>18</v>
      </c>
      <c r="C1835" t="s">
        <v>19</v>
      </c>
      <c r="D1835" t="s">
        <v>20</v>
      </c>
      <c r="E1835">
        <v>0</v>
      </c>
      <c r="F1835">
        <v>202500</v>
      </c>
      <c r="G1835" t="s">
        <v>21</v>
      </c>
      <c r="H1835" t="s">
        <v>27</v>
      </c>
      <c r="I1835" t="s">
        <v>28</v>
      </c>
      <c r="J1835" t="s">
        <v>24</v>
      </c>
      <c r="K1835" s="6">
        <f t="shared" ca="1" si="120"/>
        <v>24297</v>
      </c>
      <c r="L1835">
        <v>-21464</v>
      </c>
      <c r="M1835" s="7">
        <f t="shared" ca="1" si="118"/>
        <v>58.765229295003422</v>
      </c>
      <c r="N1835" s="5" t="str">
        <f ca="1">VLOOKUP(Data!M1835,temp!$B$3:$C$9,2,1)</f>
        <v>50-60</v>
      </c>
      <c r="O1835">
        <v>365243</v>
      </c>
      <c r="P1835" s="8">
        <f t="shared" si="119"/>
        <v>0</v>
      </c>
      <c r="Q1835" s="5" t="str">
        <f t="shared" si="121"/>
        <v>Unemployed</v>
      </c>
      <c r="R1835">
        <v>1</v>
      </c>
      <c r="S1835">
        <v>0</v>
      </c>
      <c r="T1835">
        <v>0</v>
      </c>
      <c r="U1835">
        <v>0</v>
      </c>
      <c r="W1835">
        <v>2</v>
      </c>
    </row>
    <row r="1836" spans="1:23" x14ac:dyDescent="0.2">
      <c r="A1836">
        <v>5061510</v>
      </c>
      <c r="B1836" t="s">
        <v>18</v>
      </c>
      <c r="C1836" t="s">
        <v>19</v>
      </c>
      <c r="D1836" t="s">
        <v>20</v>
      </c>
      <c r="E1836">
        <v>0</v>
      </c>
      <c r="F1836">
        <v>202500</v>
      </c>
      <c r="G1836" t="s">
        <v>21</v>
      </c>
      <c r="H1836" t="s">
        <v>27</v>
      </c>
      <c r="I1836" t="s">
        <v>28</v>
      </c>
      <c r="J1836" t="s">
        <v>24</v>
      </c>
      <c r="K1836" s="6">
        <f t="shared" ca="1" si="120"/>
        <v>24297</v>
      </c>
      <c r="L1836">
        <v>-21464</v>
      </c>
      <c r="M1836" s="7">
        <f t="shared" ca="1" si="118"/>
        <v>58.765229295003422</v>
      </c>
      <c r="N1836" s="5" t="str">
        <f ca="1">VLOOKUP(Data!M1836,temp!$B$3:$C$9,2,1)</f>
        <v>50-60</v>
      </c>
      <c r="O1836">
        <v>365243</v>
      </c>
      <c r="P1836" s="8">
        <f t="shared" si="119"/>
        <v>0</v>
      </c>
      <c r="Q1836" s="5" t="str">
        <f t="shared" si="121"/>
        <v>Unemployed</v>
      </c>
      <c r="R1836">
        <v>1</v>
      </c>
      <c r="S1836">
        <v>0</v>
      </c>
      <c r="T1836">
        <v>0</v>
      </c>
      <c r="U1836">
        <v>0</v>
      </c>
      <c r="W1836">
        <v>2</v>
      </c>
    </row>
    <row r="1837" spans="1:23" x14ac:dyDescent="0.2">
      <c r="A1837">
        <v>5061512</v>
      </c>
      <c r="B1837" t="s">
        <v>18</v>
      </c>
      <c r="C1837" t="s">
        <v>19</v>
      </c>
      <c r="D1837" t="s">
        <v>20</v>
      </c>
      <c r="E1837">
        <v>0</v>
      </c>
      <c r="F1837">
        <v>180000</v>
      </c>
      <c r="G1837" t="s">
        <v>31</v>
      </c>
      <c r="H1837" t="s">
        <v>27</v>
      </c>
      <c r="I1837" t="s">
        <v>28</v>
      </c>
      <c r="J1837" t="s">
        <v>24</v>
      </c>
      <c r="K1837" s="6">
        <f t="shared" ca="1" si="120"/>
        <v>26994</v>
      </c>
      <c r="L1837">
        <v>-18767</v>
      </c>
      <c r="M1837" s="7">
        <f t="shared" ca="1" si="118"/>
        <v>51.381245722108147</v>
      </c>
      <c r="N1837" s="5" t="str">
        <f ca="1">VLOOKUP(Data!M1837,temp!$B$3:$C$9,2,1)</f>
        <v>50-60</v>
      </c>
      <c r="O1837">
        <v>-1842</v>
      </c>
      <c r="P1837" s="8">
        <f t="shared" si="119"/>
        <v>5.0431211498973303</v>
      </c>
      <c r="Q1837" s="5" t="str">
        <f t="shared" si="121"/>
        <v>Employed</v>
      </c>
      <c r="R1837">
        <v>1</v>
      </c>
      <c r="S1837">
        <v>0</v>
      </c>
      <c r="T1837">
        <v>0</v>
      </c>
      <c r="U1837">
        <v>0</v>
      </c>
      <c r="V1837" t="s">
        <v>46</v>
      </c>
      <c r="W1837">
        <v>2</v>
      </c>
    </row>
    <row r="1838" spans="1:23" x14ac:dyDescent="0.2">
      <c r="A1838">
        <v>5061513</v>
      </c>
      <c r="B1838" t="s">
        <v>18</v>
      </c>
      <c r="C1838" t="s">
        <v>19</v>
      </c>
      <c r="D1838" t="s">
        <v>20</v>
      </c>
      <c r="E1838">
        <v>0</v>
      </c>
      <c r="F1838">
        <v>180000</v>
      </c>
      <c r="G1838" t="s">
        <v>31</v>
      </c>
      <c r="H1838" t="s">
        <v>27</v>
      </c>
      <c r="I1838" t="s">
        <v>28</v>
      </c>
      <c r="J1838" t="s">
        <v>24</v>
      </c>
      <c r="K1838" s="6">
        <f t="shared" ca="1" si="120"/>
        <v>26994</v>
      </c>
      <c r="L1838">
        <v>-18767</v>
      </c>
      <c r="M1838" s="7">
        <f t="shared" ca="1" si="118"/>
        <v>51.381245722108147</v>
      </c>
      <c r="N1838" s="5" t="str">
        <f ca="1">VLOOKUP(Data!M1838,temp!$B$3:$C$9,2,1)</f>
        <v>50-60</v>
      </c>
      <c r="O1838">
        <v>-1842</v>
      </c>
      <c r="P1838" s="8">
        <f t="shared" si="119"/>
        <v>5.0431211498973303</v>
      </c>
      <c r="Q1838" s="5" t="str">
        <f t="shared" si="121"/>
        <v>Employed</v>
      </c>
      <c r="R1838">
        <v>1</v>
      </c>
      <c r="S1838">
        <v>0</v>
      </c>
      <c r="T1838">
        <v>0</v>
      </c>
      <c r="U1838">
        <v>0</v>
      </c>
      <c r="V1838" t="s">
        <v>46</v>
      </c>
      <c r="W1838">
        <v>2</v>
      </c>
    </row>
    <row r="1839" spans="1:23" x14ac:dyDescent="0.2">
      <c r="A1839">
        <v>5061522</v>
      </c>
      <c r="B1839" t="s">
        <v>18</v>
      </c>
      <c r="C1839" t="s">
        <v>19</v>
      </c>
      <c r="D1839" t="s">
        <v>20</v>
      </c>
      <c r="E1839">
        <v>0</v>
      </c>
      <c r="F1839">
        <v>180000</v>
      </c>
      <c r="G1839" t="s">
        <v>31</v>
      </c>
      <c r="H1839" t="s">
        <v>27</v>
      </c>
      <c r="I1839" t="s">
        <v>28</v>
      </c>
      <c r="J1839" t="s">
        <v>24</v>
      </c>
      <c r="K1839" s="6">
        <f t="shared" ca="1" si="120"/>
        <v>26994</v>
      </c>
      <c r="L1839">
        <v>-18767</v>
      </c>
      <c r="M1839" s="7">
        <f t="shared" ca="1" si="118"/>
        <v>51.381245722108147</v>
      </c>
      <c r="N1839" s="5" t="str">
        <f ca="1">VLOOKUP(Data!M1839,temp!$B$3:$C$9,2,1)</f>
        <v>50-60</v>
      </c>
      <c r="O1839">
        <v>-1842</v>
      </c>
      <c r="P1839" s="8">
        <f t="shared" si="119"/>
        <v>5.0431211498973303</v>
      </c>
      <c r="Q1839" s="5" t="str">
        <f t="shared" si="121"/>
        <v>Employed</v>
      </c>
      <c r="R1839">
        <v>1</v>
      </c>
      <c r="S1839">
        <v>0</v>
      </c>
      <c r="T1839">
        <v>0</v>
      </c>
      <c r="U1839">
        <v>0</v>
      </c>
      <c r="V1839" t="s">
        <v>46</v>
      </c>
      <c r="W1839">
        <v>2</v>
      </c>
    </row>
    <row r="1840" spans="1:23" x14ac:dyDescent="0.2">
      <c r="A1840">
        <v>5061530</v>
      </c>
      <c r="B1840" t="s">
        <v>18</v>
      </c>
      <c r="C1840" t="s">
        <v>19</v>
      </c>
      <c r="D1840" t="s">
        <v>20</v>
      </c>
      <c r="E1840">
        <v>1</v>
      </c>
      <c r="F1840">
        <v>202500</v>
      </c>
      <c r="G1840" t="s">
        <v>31</v>
      </c>
      <c r="H1840" t="s">
        <v>27</v>
      </c>
      <c r="I1840" t="s">
        <v>28</v>
      </c>
      <c r="J1840" t="s">
        <v>24</v>
      </c>
      <c r="K1840" s="6">
        <f t="shared" ca="1" si="120"/>
        <v>31609</v>
      </c>
      <c r="L1840">
        <v>-14152</v>
      </c>
      <c r="M1840" s="7">
        <f t="shared" ca="1" si="118"/>
        <v>38.7460643394935</v>
      </c>
      <c r="N1840" s="5" t="str">
        <f ca="1">VLOOKUP(Data!M1840,temp!$B$3:$C$9,2,1)</f>
        <v>30-40</v>
      </c>
      <c r="O1840">
        <v>-4673</v>
      </c>
      <c r="P1840" s="8">
        <f t="shared" si="119"/>
        <v>12.793976728268309</v>
      </c>
      <c r="Q1840" s="5" t="str">
        <f t="shared" si="121"/>
        <v>Employed</v>
      </c>
      <c r="R1840">
        <v>1</v>
      </c>
      <c r="S1840">
        <v>0</v>
      </c>
      <c r="T1840">
        <v>0</v>
      </c>
      <c r="U1840">
        <v>0</v>
      </c>
      <c r="W1840">
        <v>3</v>
      </c>
    </row>
    <row r="1841" spans="1:23" x14ac:dyDescent="0.2">
      <c r="A1841">
        <v>5061532</v>
      </c>
      <c r="B1841" t="s">
        <v>18</v>
      </c>
      <c r="C1841" t="s">
        <v>19</v>
      </c>
      <c r="D1841" t="s">
        <v>20</v>
      </c>
      <c r="E1841">
        <v>1</v>
      </c>
      <c r="F1841">
        <v>202500</v>
      </c>
      <c r="G1841" t="s">
        <v>31</v>
      </c>
      <c r="H1841" t="s">
        <v>27</v>
      </c>
      <c r="I1841" t="s">
        <v>28</v>
      </c>
      <c r="J1841" t="s">
        <v>24</v>
      </c>
      <c r="K1841" s="6">
        <f t="shared" ca="1" si="120"/>
        <v>31609</v>
      </c>
      <c r="L1841">
        <v>-14152</v>
      </c>
      <c r="M1841" s="7">
        <f t="shared" ca="1" si="118"/>
        <v>38.7460643394935</v>
      </c>
      <c r="N1841" s="5" t="str">
        <f ca="1">VLOOKUP(Data!M1841,temp!$B$3:$C$9,2,1)</f>
        <v>30-40</v>
      </c>
      <c r="O1841">
        <v>-4673</v>
      </c>
      <c r="P1841" s="8">
        <f t="shared" si="119"/>
        <v>12.793976728268309</v>
      </c>
      <c r="Q1841" s="5" t="str">
        <f t="shared" si="121"/>
        <v>Employed</v>
      </c>
      <c r="R1841">
        <v>1</v>
      </c>
      <c r="S1841">
        <v>0</v>
      </c>
      <c r="T1841">
        <v>0</v>
      </c>
      <c r="U1841">
        <v>0</v>
      </c>
      <c r="W1841">
        <v>3</v>
      </c>
    </row>
    <row r="1842" spans="1:23" x14ac:dyDescent="0.2">
      <c r="A1842">
        <v>5061555</v>
      </c>
      <c r="B1842" t="s">
        <v>18</v>
      </c>
      <c r="C1842" t="s">
        <v>20</v>
      </c>
      <c r="D1842" t="s">
        <v>20</v>
      </c>
      <c r="E1842">
        <v>0</v>
      </c>
      <c r="F1842">
        <v>180000</v>
      </c>
      <c r="G1842" t="s">
        <v>21</v>
      </c>
      <c r="H1842" t="s">
        <v>27</v>
      </c>
      <c r="I1842" t="s">
        <v>28</v>
      </c>
      <c r="J1842" t="s">
        <v>24</v>
      </c>
      <c r="K1842" s="6">
        <f t="shared" ca="1" si="120"/>
        <v>21640</v>
      </c>
      <c r="L1842">
        <v>-24121</v>
      </c>
      <c r="M1842" s="7">
        <f t="shared" ca="1" si="118"/>
        <v>66.039698836413422</v>
      </c>
      <c r="N1842" s="5" t="str">
        <f ca="1">VLOOKUP(Data!M1842,temp!$B$3:$C$9,2,1)</f>
        <v>60-70</v>
      </c>
      <c r="O1842">
        <v>365243</v>
      </c>
      <c r="P1842" s="8">
        <f t="shared" si="119"/>
        <v>0</v>
      </c>
      <c r="Q1842" s="5" t="str">
        <f t="shared" si="121"/>
        <v>Unemployed</v>
      </c>
      <c r="R1842">
        <v>1</v>
      </c>
      <c r="S1842">
        <v>0</v>
      </c>
      <c r="T1842">
        <v>0</v>
      </c>
      <c r="U1842">
        <v>0</v>
      </c>
      <c r="W1842">
        <v>2</v>
      </c>
    </row>
    <row r="1843" spans="1:23" x14ac:dyDescent="0.2">
      <c r="A1843">
        <v>5061559</v>
      </c>
      <c r="B1843" t="s">
        <v>18</v>
      </c>
      <c r="C1843" t="s">
        <v>19</v>
      </c>
      <c r="D1843" t="s">
        <v>20</v>
      </c>
      <c r="E1843">
        <v>0</v>
      </c>
      <c r="F1843">
        <v>202500</v>
      </c>
      <c r="G1843" t="s">
        <v>31</v>
      </c>
      <c r="H1843" t="s">
        <v>27</v>
      </c>
      <c r="I1843" t="s">
        <v>28</v>
      </c>
      <c r="J1843" t="s">
        <v>24</v>
      </c>
      <c r="K1843" s="6">
        <f t="shared" ca="1" si="120"/>
        <v>30714</v>
      </c>
      <c r="L1843">
        <v>-15047</v>
      </c>
      <c r="M1843" s="7">
        <f t="shared" ca="1" si="118"/>
        <v>41.196440793976727</v>
      </c>
      <c r="N1843" s="5" t="str">
        <f ca="1">VLOOKUP(Data!M1843,temp!$B$3:$C$9,2,1)</f>
        <v>40-50</v>
      </c>
      <c r="O1843">
        <v>-1720</v>
      </c>
      <c r="P1843" s="8">
        <f t="shared" si="119"/>
        <v>4.7091033538672145</v>
      </c>
      <c r="Q1843" s="5" t="str">
        <f t="shared" si="121"/>
        <v>Employed</v>
      </c>
      <c r="R1843">
        <v>1</v>
      </c>
      <c r="S1843">
        <v>1</v>
      </c>
      <c r="T1843">
        <v>0</v>
      </c>
      <c r="U1843">
        <v>0</v>
      </c>
      <c r="V1843" t="s">
        <v>29</v>
      </c>
      <c r="W1843">
        <v>2</v>
      </c>
    </row>
    <row r="1844" spans="1:23" x14ac:dyDescent="0.2">
      <c r="A1844">
        <v>5061581</v>
      </c>
      <c r="B1844" t="s">
        <v>18</v>
      </c>
      <c r="C1844" t="s">
        <v>19</v>
      </c>
      <c r="D1844" t="s">
        <v>20</v>
      </c>
      <c r="E1844">
        <v>0</v>
      </c>
      <c r="F1844">
        <v>495000</v>
      </c>
      <c r="G1844" t="s">
        <v>26</v>
      </c>
      <c r="H1844" t="s">
        <v>22</v>
      </c>
      <c r="I1844" t="s">
        <v>28</v>
      </c>
      <c r="J1844" t="s">
        <v>24</v>
      </c>
      <c r="K1844" s="6">
        <f t="shared" ca="1" si="120"/>
        <v>26079</v>
      </c>
      <c r="L1844">
        <v>-19682</v>
      </c>
      <c r="M1844" s="7">
        <f t="shared" ca="1" si="118"/>
        <v>53.886379192334019</v>
      </c>
      <c r="N1844" s="5" t="str">
        <f ca="1">VLOOKUP(Data!M1844,temp!$B$3:$C$9,2,1)</f>
        <v>50-60</v>
      </c>
      <c r="O1844">
        <v>-3880</v>
      </c>
      <c r="P1844" s="8">
        <f t="shared" si="119"/>
        <v>10.622861054072553</v>
      </c>
      <c r="Q1844" s="5" t="str">
        <f t="shared" si="121"/>
        <v>Employed</v>
      </c>
      <c r="R1844">
        <v>1</v>
      </c>
      <c r="S1844">
        <v>0</v>
      </c>
      <c r="T1844">
        <v>1</v>
      </c>
      <c r="U1844">
        <v>1</v>
      </c>
      <c r="V1844" t="s">
        <v>32</v>
      </c>
      <c r="W1844">
        <v>2</v>
      </c>
    </row>
    <row r="1845" spans="1:23" x14ac:dyDescent="0.2">
      <c r="A1845">
        <v>5061582</v>
      </c>
      <c r="B1845" t="s">
        <v>18</v>
      </c>
      <c r="C1845" t="s">
        <v>19</v>
      </c>
      <c r="D1845" t="s">
        <v>20</v>
      </c>
      <c r="E1845">
        <v>0</v>
      </c>
      <c r="F1845">
        <v>495000</v>
      </c>
      <c r="G1845" t="s">
        <v>26</v>
      </c>
      <c r="H1845" t="s">
        <v>22</v>
      </c>
      <c r="I1845" t="s">
        <v>28</v>
      </c>
      <c r="J1845" t="s">
        <v>24</v>
      </c>
      <c r="K1845" s="6">
        <f t="shared" ca="1" si="120"/>
        <v>26079</v>
      </c>
      <c r="L1845">
        <v>-19682</v>
      </c>
      <c r="M1845" s="7">
        <f t="shared" ca="1" si="118"/>
        <v>53.886379192334019</v>
      </c>
      <c r="N1845" s="5" t="str">
        <f ca="1">VLOOKUP(Data!M1845,temp!$B$3:$C$9,2,1)</f>
        <v>50-60</v>
      </c>
      <c r="O1845">
        <v>-3880</v>
      </c>
      <c r="P1845" s="8">
        <f t="shared" si="119"/>
        <v>10.622861054072553</v>
      </c>
      <c r="Q1845" s="5" t="str">
        <f t="shared" si="121"/>
        <v>Employed</v>
      </c>
      <c r="R1845">
        <v>1</v>
      </c>
      <c r="S1845">
        <v>0</v>
      </c>
      <c r="T1845">
        <v>1</v>
      </c>
      <c r="U1845">
        <v>1</v>
      </c>
      <c r="V1845" t="s">
        <v>32</v>
      </c>
      <c r="W1845">
        <v>2</v>
      </c>
    </row>
    <row r="1846" spans="1:23" x14ac:dyDescent="0.2">
      <c r="A1846">
        <v>5061613</v>
      </c>
      <c r="B1846" t="s">
        <v>25</v>
      </c>
      <c r="C1846" t="s">
        <v>20</v>
      </c>
      <c r="D1846" t="s">
        <v>20</v>
      </c>
      <c r="E1846">
        <v>1</v>
      </c>
      <c r="F1846">
        <v>225000</v>
      </c>
      <c r="G1846" t="s">
        <v>31</v>
      </c>
      <c r="H1846" t="s">
        <v>27</v>
      </c>
      <c r="I1846" t="s">
        <v>28</v>
      </c>
      <c r="J1846" t="s">
        <v>24</v>
      </c>
      <c r="K1846" s="6">
        <f t="shared" ca="1" si="120"/>
        <v>34383</v>
      </c>
      <c r="L1846">
        <v>-11378</v>
      </c>
      <c r="M1846" s="7">
        <f t="shared" ca="1" si="118"/>
        <v>31.15126625598905</v>
      </c>
      <c r="N1846" s="5" t="str">
        <f ca="1">VLOOKUP(Data!M1846,temp!$B$3:$C$9,2,1)</f>
        <v>30-40</v>
      </c>
      <c r="O1846">
        <v>-867</v>
      </c>
      <c r="P1846" s="8">
        <f t="shared" si="119"/>
        <v>2.3737166324435317</v>
      </c>
      <c r="Q1846" s="5" t="str">
        <f t="shared" si="121"/>
        <v>Employed</v>
      </c>
      <c r="R1846">
        <v>1</v>
      </c>
      <c r="S1846">
        <v>0</v>
      </c>
      <c r="T1846">
        <v>1</v>
      </c>
      <c r="U1846">
        <v>0</v>
      </c>
      <c r="V1846" t="s">
        <v>30</v>
      </c>
      <c r="W1846">
        <v>3</v>
      </c>
    </row>
    <row r="1847" spans="1:23" x14ac:dyDescent="0.2">
      <c r="A1847">
        <v>5061615</v>
      </c>
      <c r="B1847" t="s">
        <v>25</v>
      </c>
      <c r="C1847" t="s">
        <v>20</v>
      </c>
      <c r="D1847" t="s">
        <v>20</v>
      </c>
      <c r="E1847">
        <v>1</v>
      </c>
      <c r="F1847">
        <v>225000</v>
      </c>
      <c r="G1847" t="s">
        <v>31</v>
      </c>
      <c r="H1847" t="s">
        <v>27</v>
      </c>
      <c r="I1847" t="s">
        <v>28</v>
      </c>
      <c r="J1847" t="s">
        <v>24</v>
      </c>
      <c r="K1847" s="6">
        <f t="shared" ca="1" si="120"/>
        <v>34383</v>
      </c>
      <c r="L1847">
        <v>-11378</v>
      </c>
      <c r="M1847" s="7">
        <f t="shared" ca="1" si="118"/>
        <v>31.15126625598905</v>
      </c>
      <c r="N1847" s="5" t="str">
        <f ca="1">VLOOKUP(Data!M1847,temp!$B$3:$C$9,2,1)</f>
        <v>30-40</v>
      </c>
      <c r="O1847">
        <v>-867</v>
      </c>
      <c r="P1847" s="8">
        <f t="shared" si="119"/>
        <v>2.3737166324435317</v>
      </c>
      <c r="Q1847" s="5" t="str">
        <f t="shared" si="121"/>
        <v>Employed</v>
      </c>
      <c r="R1847">
        <v>1</v>
      </c>
      <c r="S1847">
        <v>0</v>
      </c>
      <c r="T1847">
        <v>1</v>
      </c>
      <c r="U1847">
        <v>0</v>
      </c>
      <c r="V1847" t="s">
        <v>30</v>
      </c>
      <c r="W1847">
        <v>3</v>
      </c>
    </row>
    <row r="1848" spans="1:23" x14ac:dyDescent="0.2">
      <c r="A1848">
        <v>5061620</v>
      </c>
      <c r="B1848" t="s">
        <v>25</v>
      </c>
      <c r="C1848" t="s">
        <v>20</v>
      </c>
      <c r="D1848" t="s">
        <v>20</v>
      </c>
      <c r="E1848">
        <v>0</v>
      </c>
      <c r="F1848">
        <v>427500</v>
      </c>
      <c r="G1848" t="s">
        <v>35</v>
      </c>
      <c r="H1848" t="s">
        <v>36</v>
      </c>
      <c r="I1848" t="s">
        <v>33</v>
      </c>
      <c r="J1848" t="s">
        <v>34</v>
      </c>
      <c r="K1848" s="6">
        <f t="shared" ca="1" si="120"/>
        <v>33818</v>
      </c>
      <c r="L1848">
        <v>-11943</v>
      </c>
      <c r="M1848" s="7">
        <f t="shared" ca="1" si="118"/>
        <v>32.698151950718689</v>
      </c>
      <c r="N1848" s="5" t="str">
        <f ca="1">VLOOKUP(Data!M1848,temp!$B$3:$C$9,2,1)</f>
        <v>30-40</v>
      </c>
      <c r="O1848">
        <v>-3150</v>
      </c>
      <c r="P1848" s="8">
        <f t="shared" si="119"/>
        <v>8.6242299794661186</v>
      </c>
      <c r="Q1848" s="5" t="str">
        <f t="shared" si="121"/>
        <v>Employed</v>
      </c>
      <c r="R1848">
        <v>1</v>
      </c>
      <c r="S1848">
        <v>0</v>
      </c>
      <c r="T1848">
        <v>1</v>
      </c>
      <c r="U1848">
        <v>0</v>
      </c>
      <c r="V1848" t="s">
        <v>47</v>
      </c>
      <c r="W1848">
        <v>1</v>
      </c>
    </row>
    <row r="1849" spans="1:23" x14ac:dyDescent="0.2">
      <c r="A1849">
        <v>5061624</v>
      </c>
      <c r="B1849" t="s">
        <v>18</v>
      </c>
      <c r="C1849" t="s">
        <v>20</v>
      </c>
      <c r="D1849" t="s">
        <v>20</v>
      </c>
      <c r="E1849">
        <v>0</v>
      </c>
      <c r="F1849">
        <v>112500</v>
      </c>
      <c r="G1849" t="s">
        <v>31</v>
      </c>
      <c r="H1849" t="s">
        <v>27</v>
      </c>
      <c r="I1849" t="s">
        <v>33</v>
      </c>
      <c r="J1849" t="s">
        <v>41</v>
      </c>
      <c r="K1849" s="6">
        <f t="shared" ca="1" si="120"/>
        <v>36580</v>
      </c>
      <c r="L1849">
        <v>-9181</v>
      </c>
      <c r="M1849" s="7">
        <f t="shared" ca="1" si="118"/>
        <v>25.136208076659823</v>
      </c>
      <c r="N1849" s="5" t="str">
        <f ca="1">VLOOKUP(Data!M1849,temp!$B$3:$C$9,2,1)</f>
        <v>20-30</v>
      </c>
      <c r="O1849">
        <v>-320</v>
      </c>
      <c r="P1849" s="8">
        <f t="shared" si="119"/>
        <v>0.87611225188227237</v>
      </c>
      <c r="Q1849" s="5" t="str">
        <f t="shared" si="121"/>
        <v>Employed</v>
      </c>
      <c r="R1849">
        <v>1</v>
      </c>
      <c r="S1849">
        <v>0</v>
      </c>
      <c r="T1849">
        <v>0</v>
      </c>
      <c r="U1849">
        <v>0</v>
      </c>
      <c r="V1849" t="s">
        <v>50</v>
      </c>
      <c r="W1849">
        <v>1</v>
      </c>
    </row>
    <row r="1850" spans="1:23" x14ac:dyDescent="0.2">
      <c r="A1850">
        <v>5061632</v>
      </c>
      <c r="B1850" t="s">
        <v>18</v>
      </c>
      <c r="C1850" t="s">
        <v>19</v>
      </c>
      <c r="D1850" t="s">
        <v>20</v>
      </c>
      <c r="E1850">
        <v>0</v>
      </c>
      <c r="F1850">
        <v>90000</v>
      </c>
      <c r="G1850" t="s">
        <v>21</v>
      </c>
      <c r="H1850" t="s">
        <v>27</v>
      </c>
      <c r="I1850" t="s">
        <v>33</v>
      </c>
      <c r="J1850" t="s">
        <v>24</v>
      </c>
      <c r="K1850" s="6">
        <f t="shared" ca="1" si="120"/>
        <v>23475</v>
      </c>
      <c r="L1850">
        <v>-22286</v>
      </c>
      <c r="M1850" s="7">
        <f t="shared" ca="1" si="118"/>
        <v>61.015742642026012</v>
      </c>
      <c r="N1850" s="5" t="str">
        <f ca="1">VLOOKUP(Data!M1850,temp!$B$3:$C$9,2,1)</f>
        <v>60-70</v>
      </c>
      <c r="O1850">
        <v>365243</v>
      </c>
      <c r="P1850" s="8">
        <f t="shared" si="119"/>
        <v>0</v>
      </c>
      <c r="Q1850" s="5" t="str">
        <f t="shared" si="121"/>
        <v>Unemployed</v>
      </c>
      <c r="R1850">
        <v>1</v>
      </c>
      <c r="S1850">
        <v>0</v>
      </c>
      <c r="T1850">
        <v>0</v>
      </c>
      <c r="U1850">
        <v>0</v>
      </c>
      <c r="W1850">
        <v>1</v>
      </c>
    </row>
    <row r="1851" spans="1:23" x14ac:dyDescent="0.2">
      <c r="A1851">
        <v>5061633</v>
      </c>
      <c r="B1851" t="s">
        <v>18</v>
      </c>
      <c r="C1851" t="s">
        <v>19</v>
      </c>
      <c r="D1851" t="s">
        <v>20</v>
      </c>
      <c r="E1851">
        <v>0</v>
      </c>
      <c r="F1851">
        <v>90000</v>
      </c>
      <c r="G1851" t="s">
        <v>21</v>
      </c>
      <c r="H1851" t="s">
        <v>27</v>
      </c>
      <c r="I1851" t="s">
        <v>33</v>
      </c>
      <c r="J1851" t="s">
        <v>24</v>
      </c>
      <c r="K1851" s="6">
        <f t="shared" ca="1" si="120"/>
        <v>23475</v>
      </c>
      <c r="L1851">
        <v>-22286</v>
      </c>
      <c r="M1851" s="7">
        <f t="shared" ca="1" si="118"/>
        <v>61.015742642026012</v>
      </c>
      <c r="N1851" s="5" t="str">
        <f ca="1">VLOOKUP(Data!M1851,temp!$B$3:$C$9,2,1)</f>
        <v>60-70</v>
      </c>
      <c r="O1851">
        <v>365243</v>
      </c>
      <c r="P1851" s="8">
        <f t="shared" si="119"/>
        <v>0</v>
      </c>
      <c r="Q1851" s="5" t="str">
        <f t="shared" si="121"/>
        <v>Unemployed</v>
      </c>
      <c r="R1851">
        <v>1</v>
      </c>
      <c r="S1851">
        <v>0</v>
      </c>
      <c r="T1851">
        <v>0</v>
      </c>
      <c r="U1851">
        <v>0</v>
      </c>
      <c r="W1851">
        <v>1</v>
      </c>
    </row>
    <row r="1852" spans="1:23" x14ac:dyDescent="0.2">
      <c r="A1852">
        <v>5061654</v>
      </c>
      <c r="B1852" t="s">
        <v>25</v>
      </c>
      <c r="C1852" t="s">
        <v>20</v>
      </c>
      <c r="D1852" t="s">
        <v>20</v>
      </c>
      <c r="E1852">
        <v>0</v>
      </c>
      <c r="F1852">
        <v>135000</v>
      </c>
      <c r="G1852" t="s">
        <v>31</v>
      </c>
      <c r="H1852" t="s">
        <v>27</v>
      </c>
      <c r="I1852" t="s">
        <v>28</v>
      </c>
      <c r="J1852" t="s">
        <v>24</v>
      </c>
      <c r="K1852" s="6">
        <f t="shared" ca="1" si="120"/>
        <v>28902</v>
      </c>
      <c r="L1852">
        <v>-16859</v>
      </c>
      <c r="M1852" s="7">
        <f t="shared" ca="1" si="118"/>
        <v>46.157426420260094</v>
      </c>
      <c r="N1852" s="5" t="str">
        <f ca="1">VLOOKUP(Data!M1852,temp!$B$3:$C$9,2,1)</f>
        <v>40-50</v>
      </c>
      <c r="O1852">
        <v>-1659</v>
      </c>
      <c r="P1852" s="8">
        <f t="shared" si="119"/>
        <v>4.5420944558521557</v>
      </c>
      <c r="Q1852" s="5" t="str">
        <f t="shared" si="121"/>
        <v>Employed</v>
      </c>
      <c r="R1852">
        <v>1</v>
      </c>
      <c r="S1852">
        <v>1</v>
      </c>
      <c r="T1852">
        <v>1</v>
      </c>
      <c r="U1852">
        <v>0</v>
      </c>
      <c r="V1852" t="s">
        <v>30</v>
      </c>
      <c r="W1852">
        <v>2</v>
      </c>
    </row>
    <row r="1853" spans="1:23" x14ac:dyDescent="0.2">
      <c r="A1853">
        <v>5061661</v>
      </c>
      <c r="B1853" t="s">
        <v>18</v>
      </c>
      <c r="C1853" t="s">
        <v>19</v>
      </c>
      <c r="D1853" t="s">
        <v>19</v>
      </c>
      <c r="E1853">
        <v>0</v>
      </c>
      <c r="F1853">
        <v>252000</v>
      </c>
      <c r="G1853" t="s">
        <v>21</v>
      </c>
      <c r="H1853" t="s">
        <v>27</v>
      </c>
      <c r="I1853" t="s">
        <v>42</v>
      </c>
      <c r="J1853" t="s">
        <v>24</v>
      </c>
      <c r="K1853" s="6">
        <f t="shared" ca="1" si="120"/>
        <v>22996</v>
      </c>
      <c r="L1853">
        <v>-22765</v>
      </c>
      <c r="M1853" s="7">
        <f t="shared" ca="1" si="118"/>
        <v>62.327173169062284</v>
      </c>
      <c r="N1853" s="5" t="str">
        <f ca="1">VLOOKUP(Data!M1853,temp!$B$3:$C$9,2,1)</f>
        <v>60-70</v>
      </c>
      <c r="O1853">
        <v>365243</v>
      </c>
      <c r="P1853" s="8">
        <f t="shared" si="119"/>
        <v>0</v>
      </c>
      <c r="Q1853" s="5" t="str">
        <f t="shared" si="121"/>
        <v>Unemployed</v>
      </c>
      <c r="R1853">
        <v>1</v>
      </c>
      <c r="S1853">
        <v>0</v>
      </c>
      <c r="T1853">
        <v>0</v>
      </c>
      <c r="U1853">
        <v>0</v>
      </c>
      <c r="W1853">
        <v>1</v>
      </c>
    </row>
    <row r="1854" spans="1:23" x14ac:dyDescent="0.2">
      <c r="A1854">
        <v>5061665</v>
      </c>
      <c r="B1854" t="s">
        <v>18</v>
      </c>
      <c r="C1854" t="s">
        <v>19</v>
      </c>
      <c r="D1854" t="s">
        <v>19</v>
      </c>
      <c r="E1854">
        <v>0</v>
      </c>
      <c r="F1854">
        <v>252000</v>
      </c>
      <c r="G1854" t="s">
        <v>21</v>
      </c>
      <c r="H1854" t="s">
        <v>27</v>
      </c>
      <c r="I1854" t="s">
        <v>42</v>
      </c>
      <c r="J1854" t="s">
        <v>24</v>
      </c>
      <c r="K1854" s="6">
        <f t="shared" ca="1" si="120"/>
        <v>22996</v>
      </c>
      <c r="L1854">
        <v>-22765</v>
      </c>
      <c r="M1854" s="7">
        <f t="shared" ca="1" si="118"/>
        <v>62.327173169062284</v>
      </c>
      <c r="N1854" s="5" t="str">
        <f ca="1">VLOOKUP(Data!M1854,temp!$B$3:$C$9,2,1)</f>
        <v>60-70</v>
      </c>
      <c r="O1854">
        <v>365243</v>
      </c>
      <c r="P1854" s="8">
        <f t="shared" si="119"/>
        <v>0</v>
      </c>
      <c r="Q1854" s="5" t="str">
        <f t="shared" si="121"/>
        <v>Unemployed</v>
      </c>
      <c r="R1854">
        <v>1</v>
      </c>
      <c r="S1854">
        <v>0</v>
      </c>
      <c r="T1854">
        <v>0</v>
      </c>
      <c r="U1854">
        <v>0</v>
      </c>
      <c r="W1854">
        <v>1</v>
      </c>
    </row>
    <row r="1855" spans="1:23" x14ac:dyDescent="0.2">
      <c r="A1855">
        <v>5061670</v>
      </c>
      <c r="B1855" t="s">
        <v>18</v>
      </c>
      <c r="C1855" t="s">
        <v>20</v>
      </c>
      <c r="D1855" t="s">
        <v>20</v>
      </c>
      <c r="E1855">
        <v>0</v>
      </c>
      <c r="F1855">
        <v>279000</v>
      </c>
      <c r="G1855" t="s">
        <v>21</v>
      </c>
      <c r="H1855" t="s">
        <v>27</v>
      </c>
      <c r="I1855" t="s">
        <v>28</v>
      </c>
      <c r="J1855" t="s">
        <v>24</v>
      </c>
      <c r="K1855" s="6">
        <f t="shared" ca="1" si="120"/>
        <v>24584</v>
      </c>
      <c r="L1855">
        <v>-21177</v>
      </c>
      <c r="M1855" s="7">
        <f t="shared" ca="1" si="118"/>
        <v>57.979466119096507</v>
      </c>
      <c r="N1855" s="5" t="str">
        <f ca="1">VLOOKUP(Data!M1855,temp!$B$3:$C$9,2,1)</f>
        <v>50-60</v>
      </c>
      <c r="O1855">
        <v>365243</v>
      </c>
      <c r="P1855" s="8">
        <f t="shared" si="119"/>
        <v>0</v>
      </c>
      <c r="Q1855" s="5" t="str">
        <f t="shared" si="121"/>
        <v>Unemployed</v>
      </c>
      <c r="R1855">
        <v>1</v>
      </c>
      <c r="S1855">
        <v>0</v>
      </c>
      <c r="T1855">
        <v>0</v>
      </c>
      <c r="U1855">
        <v>0</v>
      </c>
      <c r="W1855">
        <v>2</v>
      </c>
    </row>
    <row r="1856" spans="1:23" x14ac:dyDescent="0.2">
      <c r="A1856">
        <v>5061671</v>
      </c>
      <c r="B1856" t="s">
        <v>18</v>
      </c>
      <c r="C1856" t="s">
        <v>20</v>
      </c>
      <c r="D1856" t="s">
        <v>20</v>
      </c>
      <c r="E1856">
        <v>0</v>
      </c>
      <c r="F1856">
        <v>279000</v>
      </c>
      <c r="G1856" t="s">
        <v>21</v>
      </c>
      <c r="H1856" t="s">
        <v>27</v>
      </c>
      <c r="I1856" t="s">
        <v>28</v>
      </c>
      <c r="J1856" t="s">
        <v>24</v>
      </c>
      <c r="K1856" s="6">
        <f t="shared" ca="1" si="120"/>
        <v>24584</v>
      </c>
      <c r="L1856">
        <v>-21177</v>
      </c>
      <c r="M1856" s="7">
        <f t="shared" ca="1" si="118"/>
        <v>57.979466119096507</v>
      </c>
      <c r="N1856" s="5" t="str">
        <f ca="1">VLOOKUP(Data!M1856,temp!$B$3:$C$9,2,1)</f>
        <v>50-60</v>
      </c>
      <c r="O1856">
        <v>365243</v>
      </c>
      <c r="P1856" s="8">
        <f t="shared" si="119"/>
        <v>0</v>
      </c>
      <c r="Q1856" s="5" t="str">
        <f t="shared" si="121"/>
        <v>Unemployed</v>
      </c>
      <c r="R1856">
        <v>1</v>
      </c>
      <c r="S1856">
        <v>0</v>
      </c>
      <c r="T1856">
        <v>0</v>
      </c>
      <c r="U1856">
        <v>0</v>
      </c>
      <c r="W1856">
        <v>2</v>
      </c>
    </row>
    <row r="1857" spans="1:23" x14ac:dyDescent="0.2">
      <c r="A1857">
        <v>5061672</v>
      </c>
      <c r="B1857" t="s">
        <v>18</v>
      </c>
      <c r="C1857" t="s">
        <v>20</v>
      </c>
      <c r="D1857" t="s">
        <v>20</v>
      </c>
      <c r="E1857">
        <v>0</v>
      </c>
      <c r="F1857">
        <v>279000</v>
      </c>
      <c r="G1857" t="s">
        <v>21</v>
      </c>
      <c r="H1857" t="s">
        <v>27</v>
      </c>
      <c r="I1857" t="s">
        <v>28</v>
      </c>
      <c r="J1857" t="s">
        <v>24</v>
      </c>
      <c r="K1857" s="6">
        <f t="shared" ca="1" si="120"/>
        <v>24584</v>
      </c>
      <c r="L1857">
        <v>-21177</v>
      </c>
      <c r="M1857" s="7">
        <f t="shared" ca="1" si="118"/>
        <v>57.979466119096507</v>
      </c>
      <c r="N1857" s="5" t="str">
        <f ca="1">VLOOKUP(Data!M1857,temp!$B$3:$C$9,2,1)</f>
        <v>50-60</v>
      </c>
      <c r="O1857">
        <v>365243</v>
      </c>
      <c r="P1857" s="8">
        <f t="shared" si="119"/>
        <v>0</v>
      </c>
      <c r="Q1857" s="5" t="str">
        <f t="shared" si="121"/>
        <v>Unemployed</v>
      </c>
      <c r="R1857">
        <v>1</v>
      </c>
      <c r="S1857">
        <v>0</v>
      </c>
      <c r="T1857">
        <v>0</v>
      </c>
      <c r="U1857">
        <v>0</v>
      </c>
      <c r="W1857">
        <v>2</v>
      </c>
    </row>
    <row r="1858" spans="1:23" x14ac:dyDescent="0.2">
      <c r="A1858">
        <v>5061676</v>
      </c>
      <c r="B1858" t="s">
        <v>25</v>
      </c>
      <c r="C1858" t="s">
        <v>19</v>
      </c>
      <c r="D1858" t="s">
        <v>19</v>
      </c>
      <c r="E1858">
        <v>0</v>
      </c>
      <c r="F1858">
        <v>270000</v>
      </c>
      <c r="G1858" t="s">
        <v>31</v>
      </c>
      <c r="H1858" t="s">
        <v>27</v>
      </c>
      <c r="I1858" t="s">
        <v>28</v>
      </c>
      <c r="J1858" t="s">
        <v>24</v>
      </c>
      <c r="K1858" s="6">
        <f t="shared" ca="1" si="120"/>
        <v>33939</v>
      </c>
      <c r="L1858">
        <v>-11822</v>
      </c>
      <c r="M1858" s="7">
        <f t="shared" ca="1" si="118"/>
        <v>32.366872005475699</v>
      </c>
      <c r="N1858" s="5" t="str">
        <f ca="1">VLOOKUP(Data!M1858,temp!$B$3:$C$9,2,1)</f>
        <v>30-40</v>
      </c>
      <c r="O1858">
        <v>-4246</v>
      </c>
      <c r="P1858" s="8">
        <f t="shared" si="119"/>
        <v>11.624914442162902</v>
      </c>
      <c r="Q1858" s="5" t="str">
        <f t="shared" si="121"/>
        <v>Employed</v>
      </c>
      <c r="R1858">
        <v>1</v>
      </c>
      <c r="S1858">
        <v>0</v>
      </c>
      <c r="T1858">
        <v>0</v>
      </c>
      <c r="U1858">
        <v>0</v>
      </c>
      <c r="W1858">
        <v>2</v>
      </c>
    </row>
    <row r="1859" spans="1:23" x14ac:dyDescent="0.2">
      <c r="A1859">
        <v>5061677</v>
      </c>
      <c r="B1859" t="s">
        <v>25</v>
      </c>
      <c r="C1859" t="s">
        <v>19</v>
      </c>
      <c r="D1859" t="s">
        <v>19</v>
      </c>
      <c r="E1859">
        <v>0</v>
      </c>
      <c r="F1859">
        <v>270000</v>
      </c>
      <c r="G1859" t="s">
        <v>31</v>
      </c>
      <c r="H1859" t="s">
        <v>27</v>
      </c>
      <c r="I1859" t="s">
        <v>28</v>
      </c>
      <c r="J1859" t="s">
        <v>24</v>
      </c>
      <c r="K1859" s="6">
        <f t="shared" ca="1" si="120"/>
        <v>33939</v>
      </c>
      <c r="L1859">
        <v>-11822</v>
      </c>
      <c r="M1859" s="7">
        <f t="shared" ref="M1859:M1922" ca="1" si="122">(TODAY()-K1859)/365.25</f>
        <v>32.366872005475699</v>
      </c>
      <c r="N1859" s="5" t="str">
        <f ca="1">VLOOKUP(Data!M1859,temp!$B$3:$C$9,2,1)</f>
        <v>30-40</v>
      </c>
      <c r="O1859">
        <v>-4246</v>
      </c>
      <c r="P1859" s="8">
        <f t="shared" ref="P1859:P1922" si="123">IF(O1859&lt;=0,ABS(O1859)/365.25,0)</f>
        <v>11.624914442162902</v>
      </c>
      <c r="Q1859" s="5" t="str">
        <f t="shared" si="121"/>
        <v>Employed</v>
      </c>
      <c r="R1859">
        <v>1</v>
      </c>
      <c r="S1859">
        <v>0</v>
      </c>
      <c r="T1859">
        <v>0</v>
      </c>
      <c r="U1859">
        <v>0</v>
      </c>
      <c r="W1859">
        <v>2</v>
      </c>
    </row>
    <row r="1860" spans="1:23" x14ac:dyDescent="0.2">
      <c r="A1860">
        <v>5061678</v>
      </c>
      <c r="B1860" t="s">
        <v>25</v>
      </c>
      <c r="C1860" t="s">
        <v>19</v>
      </c>
      <c r="D1860" t="s">
        <v>19</v>
      </c>
      <c r="E1860">
        <v>0</v>
      </c>
      <c r="F1860">
        <v>270000</v>
      </c>
      <c r="G1860" t="s">
        <v>31</v>
      </c>
      <c r="H1860" t="s">
        <v>27</v>
      </c>
      <c r="I1860" t="s">
        <v>28</v>
      </c>
      <c r="J1860" t="s">
        <v>24</v>
      </c>
      <c r="K1860" s="6">
        <f t="shared" ca="1" si="120"/>
        <v>33939</v>
      </c>
      <c r="L1860">
        <v>-11822</v>
      </c>
      <c r="M1860" s="7">
        <f t="shared" ca="1" si="122"/>
        <v>32.366872005475699</v>
      </c>
      <c r="N1860" s="5" t="str">
        <f ca="1">VLOOKUP(Data!M1860,temp!$B$3:$C$9,2,1)</f>
        <v>30-40</v>
      </c>
      <c r="O1860">
        <v>-4246</v>
      </c>
      <c r="P1860" s="8">
        <f t="shared" si="123"/>
        <v>11.624914442162902</v>
      </c>
      <c r="Q1860" s="5" t="str">
        <f t="shared" si="121"/>
        <v>Employed</v>
      </c>
      <c r="R1860">
        <v>1</v>
      </c>
      <c r="S1860">
        <v>0</v>
      </c>
      <c r="T1860">
        <v>0</v>
      </c>
      <c r="U1860">
        <v>0</v>
      </c>
      <c r="W1860">
        <v>2</v>
      </c>
    </row>
    <row r="1861" spans="1:23" x14ac:dyDescent="0.2">
      <c r="A1861">
        <v>5061701</v>
      </c>
      <c r="B1861" t="s">
        <v>18</v>
      </c>
      <c r="C1861" t="s">
        <v>20</v>
      </c>
      <c r="D1861" t="s">
        <v>20</v>
      </c>
      <c r="E1861">
        <v>0</v>
      </c>
      <c r="F1861">
        <v>135000</v>
      </c>
      <c r="G1861" t="s">
        <v>26</v>
      </c>
      <c r="H1861" t="s">
        <v>27</v>
      </c>
      <c r="I1861" t="s">
        <v>28</v>
      </c>
      <c r="J1861" t="s">
        <v>24</v>
      </c>
      <c r="K1861" s="6">
        <f t="shared" ca="1" si="120"/>
        <v>27921</v>
      </c>
      <c r="L1861">
        <v>-17840</v>
      </c>
      <c r="M1861" s="7">
        <f t="shared" ca="1" si="122"/>
        <v>48.843258042436688</v>
      </c>
      <c r="N1861" s="5" t="str">
        <f ca="1">VLOOKUP(Data!M1861,temp!$B$3:$C$9,2,1)</f>
        <v>40-50</v>
      </c>
      <c r="O1861">
        <v>-1993</v>
      </c>
      <c r="P1861" s="8">
        <f t="shared" si="123"/>
        <v>5.4565366187542779</v>
      </c>
      <c r="Q1861" s="5" t="str">
        <f t="shared" si="121"/>
        <v>Employed</v>
      </c>
      <c r="R1861">
        <v>1</v>
      </c>
      <c r="S1861">
        <v>0</v>
      </c>
      <c r="T1861">
        <v>1</v>
      </c>
      <c r="U1861">
        <v>1</v>
      </c>
      <c r="V1861" t="s">
        <v>47</v>
      </c>
      <c r="W1861">
        <v>2</v>
      </c>
    </row>
    <row r="1862" spans="1:23" x14ac:dyDescent="0.2">
      <c r="A1862">
        <v>5061748</v>
      </c>
      <c r="B1862" t="s">
        <v>18</v>
      </c>
      <c r="C1862" t="s">
        <v>19</v>
      </c>
      <c r="D1862" t="s">
        <v>20</v>
      </c>
      <c r="E1862">
        <v>0</v>
      </c>
      <c r="F1862">
        <v>135000</v>
      </c>
      <c r="G1862" t="s">
        <v>21</v>
      </c>
      <c r="H1862" t="s">
        <v>27</v>
      </c>
      <c r="I1862" t="s">
        <v>33</v>
      </c>
      <c r="J1862" t="s">
        <v>24</v>
      </c>
      <c r="K1862" s="6">
        <f t="shared" ca="1" si="120"/>
        <v>21832</v>
      </c>
      <c r="L1862">
        <v>-23929</v>
      </c>
      <c r="M1862" s="7">
        <f t="shared" ca="1" si="122"/>
        <v>65.51403148528405</v>
      </c>
      <c r="N1862" s="5" t="str">
        <f ca="1">VLOOKUP(Data!M1862,temp!$B$3:$C$9,2,1)</f>
        <v>60-70</v>
      </c>
      <c r="O1862">
        <v>365243</v>
      </c>
      <c r="P1862" s="8">
        <f t="shared" si="123"/>
        <v>0</v>
      </c>
      <c r="Q1862" s="5" t="str">
        <f t="shared" si="121"/>
        <v>Unemployed</v>
      </c>
      <c r="R1862">
        <v>1</v>
      </c>
      <c r="S1862">
        <v>0</v>
      </c>
      <c r="T1862">
        <v>1</v>
      </c>
      <c r="U1862">
        <v>0</v>
      </c>
      <c r="W1862">
        <v>1</v>
      </c>
    </row>
    <row r="1863" spans="1:23" x14ac:dyDescent="0.2">
      <c r="A1863">
        <v>5061761</v>
      </c>
      <c r="B1863" t="s">
        <v>18</v>
      </c>
      <c r="C1863" t="s">
        <v>20</v>
      </c>
      <c r="D1863" t="s">
        <v>19</v>
      </c>
      <c r="E1863">
        <v>1</v>
      </c>
      <c r="F1863">
        <v>135000</v>
      </c>
      <c r="G1863" t="s">
        <v>31</v>
      </c>
      <c r="H1863" t="s">
        <v>22</v>
      </c>
      <c r="I1863" t="s">
        <v>28</v>
      </c>
      <c r="J1863" t="s">
        <v>34</v>
      </c>
      <c r="K1863" s="6">
        <f t="shared" ca="1" si="120"/>
        <v>34499</v>
      </c>
      <c r="L1863">
        <v>-11262</v>
      </c>
      <c r="M1863" s="7">
        <f t="shared" ca="1" si="122"/>
        <v>30.833675564681723</v>
      </c>
      <c r="N1863" s="5" t="str">
        <f ca="1">VLOOKUP(Data!M1863,temp!$B$3:$C$9,2,1)</f>
        <v>30-40</v>
      </c>
      <c r="O1863">
        <v>-563</v>
      </c>
      <c r="P1863" s="8">
        <f t="shared" si="123"/>
        <v>1.5414099931553731</v>
      </c>
      <c r="Q1863" s="5" t="str">
        <f t="shared" si="121"/>
        <v>Employed</v>
      </c>
      <c r="R1863">
        <v>1</v>
      </c>
      <c r="S1863">
        <v>0</v>
      </c>
      <c r="T1863">
        <v>0</v>
      </c>
      <c r="U1863">
        <v>1</v>
      </c>
      <c r="V1863" t="s">
        <v>44</v>
      </c>
      <c r="W1863">
        <v>3</v>
      </c>
    </row>
    <row r="1864" spans="1:23" x14ac:dyDescent="0.2">
      <c r="A1864">
        <v>5061793</v>
      </c>
      <c r="B1864" t="s">
        <v>25</v>
      </c>
      <c r="C1864" t="s">
        <v>19</v>
      </c>
      <c r="D1864" t="s">
        <v>20</v>
      </c>
      <c r="E1864">
        <v>0</v>
      </c>
      <c r="F1864">
        <v>112500</v>
      </c>
      <c r="G1864" t="s">
        <v>26</v>
      </c>
      <c r="H1864" t="s">
        <v>27</v>
      </c>
      <c r="I1864" t="s">
        <v>33</v>
      </c>
      <c r="J1864" t="s">
        <v>24</v>
      </c>
      <c r="K1864" s="6">
        <f t="shared" ref="K1864:K1927" ca="1" si="124">TODAY()+($L1864)</f>
        <v>35167</v>
      </c>
      <c r="L1864">
        <v>-10594</v>
      </c>
      <c r="M1864" s="7">
        <f t="shared" ca="1" si="122"/>
        <v>29.00479123887748</v>
      </c>
      <c r="N1864" s="5" t="str">
        <f ca="1">VLOOKUP(Data!M1864,temp!$B$3:$C$9,2,1)</f>
        <v>20-30</v>
      </c>
      <c r="O1864">
        <v>-2116</v>
      </c>
      <c r="P1864" s="8">
        <f t="shared" si="123"/>
        <v>5.7932922655715267</v>
      </c>
      <c r="Q1864" s="5" t="str">
        <f t="shared" ref="Q1864:Q1927" si="125">IF($O1864&gt;0,"Unemployed","Employed")</f>
        <v>Employed</v>
      </c>
      <c r="R1864">
        <v>1</v>
      </c>
      <c r="S1864">
        <v>0</v>
      </c>
      <c r="T1864">
        <v>0</v>
      </c>
      <c r="U1864">
        <v>1</v>
      </c>
      <c r="V1864" t="s">
        <v>40</v>
      </c>
      <c r="W1864">
        <v>1</v>
      </c>
    </row>
    <row r="1865" spans="1:23" x14ac:dyDescent="0.2">
      <c r="A1865">
        <v>5061803</v>
      </c>
      <c r="B1865" t="s">
        <v>18</v>
      </c>
      <c r="C1865" t="s">
        <v>19</v>
      </c>
      <c r="D1865" t="s">
        <v>20</v>
      </c>
      <c r="E1865">
        <v>0</v>
      </c>
      <c r="F1865">
        <v>225000</v>
      </c>
      <c r="G1865" t="s">
        <v>26</v>
      </c>
      <c r="H1865" t="s">
        <v>27</v>
      </c>
      <c r="I1865" t="s">
        <v>42</v>
      </c>
      <c r="J1865" t="s">
        <v>24</v>
      </c>
      <c r="K1865" s="6">
        <f t="shared" ca="1" si="124"/>
        <v>24837</v>
      </c>
      <c r="L1865">
        <v>-20924</v>
      </c>
      <c r="M1865" s="7">
        <f t="shared" ca="1" si="122"/>
        <v>57.286789869952088</v>
      </c>
      <c r="N1865" s="5" t="str">
        <f ca="1">VLOOKUP(Data!M1865,temp!$B$3:$C$9,2,1)</f>
        <v>50-60</v>
      </c>
      <c r="O1865">
        <v>-1050</v>
      </c>
      <c r="P1865" s="8">
        <f t="shared" si="123"/>
        <v>2.8747433264887063</v>
      </c>
      <c r="Q1865" s="5" t="str">
        <f t="shared" si="125"/>
        <v>Employed</v>
      </c>
      <c r="R1865">
        <v>1</v>
      </c>
      <c r="S1865">
        <v>0</v>
      </c>
      <c r="T1865">
        <v>0</v>
      </c>
      <c r="U1865">
        <v>0</v>
      </c>
      <c r="V1865" t="s">
        <v>46</v>
      </c>
      <c r="W1865">
        <v>1</v>
      </c>
    </row>
    <row r="1866" spans="1:23" x14ac:dyDescent="0.2">
      <c r="A1866">
        <v>5061807</v>
      </c>
      <c r="B1866" t="s">
        <v>18</v>
      </c>
      <c r="C1866" t="s">
        <v>19</v>
      </c>
      <c r="D1866" t="s">
        <v>20</v>
      </c>
      <c r="E1866">
        <v>0</v>
      </c>
      <c r="F1866">
        <v>225000</v>
      </c>
      <c r="G1866" t="s">
        <v>26</v>
      </c>
      <c r="H1866" t="s">
        <v>27</v>
      </c>
      <c r="I1866" t="s">
        <v>42</v>
      </c>
      <c r="J1866" t="s">
        <v>24</v>
      </c>
      <c r="K1866" s="6">
        <f t="shared" ca="1" si="124"/>
        <v>24837</v>
      </c>
      <c r="L1866">
        <v>-20924</v>
      </c>
      <c r="M1866" s="7">
        <f t="shared" ca="1" si="122"/>
        <v>57.286789869952088</v>
      </c>
      <c r="N1866" s="5" t="str">
        <f ca="1">VLOOKUP(Data!M1866,temp!$B$3:$C$9,2,1)</f>
        <v>50-60</v>
      </c>
      <c r="O1866">
        <v>-1050</v>
      </c>
      <c r="P1866" s="8">
        <f t="shared" si="123"/>
        <v>2.8747433264887063</v>
      </c>
      <c r="Q1866" s="5" t="str">
        <f t="shared" si="125"/>
        <v>Employed</v>
      </c>
      <c r="R1866">
        <v>1</v>
      </c>
      <c r="S1866">
        <v>0</v>
      </c>
      <c r="T1866">
        <v>0</v>
      </c>
      <c r="U1866">
        <v>0</v>
      </c>
      <c r="V1866" t="s">
        <v>46</v>
      </c>
      <c r="W1866">
        <v>1</v>
      </c>
    </row>
    <row r="1867" spans="1:23" x14ac:dyDescent="0.2">
      <c r="A1867">
        <v>5061813</v>
      </c>
      <c r="B1867" t="s">
        <v>18</v>
      </c>
      <c r="C1867" t="s">
        <v>19</v>
      </c>
      <c r="D1867" t="s">
        <v>20</v>
      </c>
      <c r="E1867">
        <v>0</v>
      </c>
      <c r="F1867">
        <v>112500</v>
      </c>
      <c r="G1867" t="s">
        <v>31</v>
      </c>
      <c r="H1867" t="s">
        <v>36</v>
      </c>
      <c r="I1867" t="s">
        <v>33</v>
      </c>
      <c r="J1867" t="s">
        <v>34</v>
      </c>
      <c r="K1867" s="6">
        <f t="shared" ca="1" si="124"/>
        <v>37414</v>
      </c>
      <c r="L1867">
        <v>-8347</v>
      </c>
      <c r="M1867" s="7">
        <f t="shared" ca="1" si="122"/>
        <v>22.852840520191648</v>
      </c>
      <c r="N1867" s="5" t="str">
        <f ca="1">VLOOKUP(Data!M1867,temp!$B$3:$C$9,2,1)</f>
        <v>20-30</v>
      </c>
      <c r="O1867">
        <v>-1598</v>
      </c>
      <c r="P1867" s="8">
        <f t="shared" si="123"/>
        <v>4.3750855578370977</v>
      </c>
      <c r="Q1867" s="5" t="str">
        <f t="shared" si="125"/>
        <v>Employed</v>
      </c>
      <c r="R1867">
        <v>1</v>
      </c>
      <c r="S1867">
        <v>0</v>
      </c>
      <c r="T1867">
        <v>0</v>
      </c>
      <c r="U1867">
        <v>0</v>
      </c>
      <c r="V1867" t="s">
        <v>29</v>
      </c>
      <c r="W1867">
        <v>1</v>
      </c>
    </row>
    <row r="1868" spans="1:23" x14ac:dyDescent="0.2">
      <c r="A1868">
        <v>5061819</v>
      </c>
      <c r="B1868" t="s">
        <v>18</v>
      </c>
      <c r="C1868" t="s">
        <v>19</v>
      </c>
      <c r="D1868" t="s">
        <v>20</v>
      </c>
      <c r="E1868">
        <v>0</v>
      </c>
      <c r="F1868">
        <v>112500</v>
      </c>
      <c r="G1868" t="s">
        <v>31</v>
      </c>
      <c r="H1868" t="s">
        <v>36</v>
      </c>
      <c r="I1868" t="s">
        <v>33</v>
      </c>
      <c r="J1868" t="s">
        <v>34</v>
      </c>
      <c r="K1868" s="6">
        <f t="shared" ca="1" si="124"/>
        <v>37414</v>
      </c>
      <c r="L1868">
        <v>-8347</v>
      </c>
      <c r="M1868" s="7">
        <f t="shared" ca="1" si="122"/>
        <v>22.852840520191648</v>
      </c>
      <c r="N1868" s="5" t="str">
        <f ca="1">VLOOKUP(Data!M1868,temp!$B$3:$C$9,2,1)</f>
        <v>20-30</v>
      </c>
      <c r="O1868">
        <v>-1598</v>
      </c>
      <c r="P1868" s="8">
        <f t="shared" si="123"/>
        <v>4.3750855578370977</v>
      </c>
      <c r="Q1868" s="5" t="str">
        <f t="shared" si="125"/>
        <v>Employed</v>
      </c>
      <c r="R1868">
        <v>1</v>
      </c>
      <c r="S1868">
        <v>0</v>
      </c>
      <c r="T1868">
        <v>0</v>
      </c>
      <c r="U1868">
        <v>0</v>
      </c>
      <c r="V1868" t="s">
        <v>29</v>
      </c>
      <c r="W1868">
        <v>1</v>
      </c>
    </row>
    <row r="1869" spans="1:23" x14ac:dyDescent="0.2">
      <c r="A1869">
        <v>5061856</v>
      </c>
      <c r="B1869" t="s">
        <v>18</v>
      </c>
      <c r="C1869" t="s">
        <v>19</v>
      </c>
      <c r="D1869" t="s">
        <v>20</v>
      </c>
      <c r="E1869">
        <v>0</v>
      </c>
      <c r="F1869">
        <v>112500</v>
      </c>
      <c r="G1869" t="s">
        <v>31</v>
      </c>
      <c r="H1869" t="s">
        <v>27</v>
      </c>
      <c r="I1869" t="s">
        <v>33</v>
      </c>
      <c r="J1869" t="s">
        <v>24</v>
      </c>
      <c r="K1869" s="6">
        <f t="shared" ca="1" si="124"/>
        <v>36806</v>
      </c>
      <c r="L1869">
        <v>-8955</v>
      </c>
      <c r="M1869" s="7">
        <f t="shared" ca="1" si="122"/>
        <v>24.517453798767967</v>
      </c>
      <c r="N1869" s="5" t="str">
        <f ca="1">VLOOKUP(Data!M1869,temp!$B$3:$C$9,2,1)</f>
        <v>20-30</v>
      </c>
      <c r="O1869">
        <v>-1171</v>
      </c>
      <c r="P1869" s="8">
        <f t="shared" si="123"/>
        <v>3.2060232717316905</v>
      </c>
      <c r="Q1869" s="5" t="str">
        <f t="shared" si="125"/>
        <v>Employed</v>
      </c>
      <c r="R1869">
        <v>1</v>
      </c>
      <c r="S1869">
        <v>1</v>
      </c>
      <c r="T1869">
        <v>0</v>
      </c>
      <c r="U1869">
        <v>0</v>
      </c>
      <c r="V1869" t="s">
        <v>39</v>
      </c>
      <c r="W1869">
        <v>1</v>
      </c>
    </row>
    <row r="1870" spans="1:23" x14ac:dyDescent="0.2">
      <c r="A1870">
        <v>5061868</v>
      </c>
      <c r="B1870" t="s">
        <v>25</v>
      </c>
      <c r="C1870" t="s">
        <v>20</v>
      </c>
      <c r="D1870" t="s">
        <v>20</v>
      </c>
      <c r="E1870">
        <v>0</v>
      </c>
      <c r="F1870">
        <v>225000</v>
      </c>
      <c r="G1870" t="s">
        <v>21</v>
      </c>
      <c r="H1870" t="s">
        <v>27</v>
      </c>
      <c r="I1870" t="s">
        <v>28</v>
      </c>
      <c r="J1870" t="s">
        <v>24</v>
      </c>
      <c r="K1870" s="6">
        <f t="shared" ca="1" si="124"/>
        <v>27318</v>
      </c>
      <c r="L1870">
        <v>-18443</v>
      </c>
      <c r="M1870" s="7">
        <f t="shared" ca="1" si="122"/>
        <v>50.494182067077347</v>
      </c>
      <c r="N1870" s="5" t="str">
        <f ca="1">VLOOKUP(Data!M1870,temp!$B$3:$C$9,2,1)</f>
        <v>50-60</v>
      </c>
      <c r="O1870">
        <v>365243</v>
      </c>
      <c r="P1870" s="8">
        <f t="shared" si="123"/>
        <v>0</v>
      </c>
      <c r="Q1870" s="5" t="str">
        <f t="shared" si="125"/>
        <v>Unemployed</v>
      </c>
      <c r="R1870">
        <v>1</v>
      </c>
      <c r="S1870">
        <v>0</v>
      </c>
      <c r="T1870">
        <v>0</v>
      </c>
      <c r="U1870">
        <v>0</v>
      </c>
      <c r="W1870">
        <v>2</v>
      </c>
    </row>
    <row r="1871" spans="1:23" x14ac:dyDescent="0.2">
      <c r="A1871">
        <v>5061870</v>
      </c>
      <c r="B1871" t="s">
        <v>25</v>
      </c>
      <c r="C1871" t="s">
        <v>19</v>
      </c>
      <c r="D1871" t="s">
        <v>20</v>
      </c>
      <c r="E1871">
        <v>0</v>
      </c>
      <c r="F1871">
        <v>157500</v>
      </c>
      <c r="G1871" t="s">
        <v>31</v>
      </c>
      <c r="H1871" t="s">
        <v>27</v>
      </c>
      <c r="I1871" t="s">
        <v>33</v>
      </c>
      <c r="J1871" t="s">
        <v>24</v>
      </c>
      <c r="K1871" s="6">
        <f t="shared" ca="1" si="124"/>
        <v>34497</v>
      </c>
      <c r="L1871">
        <v>-11264</v>
      </c>
      <c r="M1871" s="7">
        <f t="shared" ca="1" si="122"/>
        <v>30.839151266255989</v>
      </c>
      <c r="N1871" s="5" t="str">
        <f ca="1">VLOOKUP(Data!M1871,temp!$B$3:$C$9,2,1)</f>
        <v>30-40</v>
      </c>
      <c r="O1871">
        <v>-563</v>
      </c>
      <c r="P1871" s="8">
        <f t="shared" si="123"/>
        <v>1.5414099931553731</v>
      </c>
      <c r="Q1871" s="5" t="str">
        <f t="shared" si="125"/>
        <v>Employed</v>
      </c>
      <c r="R1871">
        <v>1</v>
      </c>
      <c r="S1871">
        <v>1</v>
      </c>
      <c r="T1871">
        <v>0</v>
      </c>
      <c r="U1871">
        <v>1</v>
      </c>
      <c r="V1871" t="s">
        <v>30</v>
      </c>
      <c r="W1871">
        <v>1</v>
      </c>
    </row>
    <row r="1872" spans="1:23" x14ac:dyDescent="0.2">
      <c r="A1872">
        <v>5061871</v>
      </c>
      <c r="B1872" t="s">
        <v>25</v>
      </c>
      <c r="C1872" t="s">
        <v>19</v>
      </c>
      <c r="D1872" t="s">
        <v>20</v>
      </c>
      <c r="E1872">
        <v>0</v>
      </c>
      <c r="F1872">
        <v>157500</v>
      </c>
      <c r="G1872" t="s">
        <v>31</v>
      </c>
      <c r="H1872" t="s">
        <v>27</v>
      </c>
      <c r="I1872" t="s">
        <v>33</v>
      </c>
      <c r="J1872" t="s">
        <v>24</v>
      </c>
      <c r="K1872" s="6">
        <f t="shared" ca="1" si="124"/>
        <v>34497</v>
      </c>
      <c r="L1872">
        <v>-11264</v>
      </c>
      <c r="M1872" s="7">
        <f t="shared" ca="1" si="122"/>
        <v>30.839151266255989</v>
      </c>
      <c r="N1872" s="5" t="str">
        <f ca="1">VLOOKUP(Data!M1872,temp!$B$3:$C$9,2,1)</f>
        <v>30-40</v>
      </c>
      <c r="O1872">
        <v>-563</v>
      </c>
      <c r="P1872" s="8">
        <f t="shared" si="123"/>
        <v>1.5414099931553731</v>
      </c>
      <c r="Q1872" s="5" t="str">
        <f t="shared" si="125"/>
        <v>Employed</v>
      </c>
      <c r="R1872">
        <v>1</v>
      </c>
      <c r="S1872">
        <v>1</v>
      </c>
      <c r="T1872">
        <v>0</v>
      </c>
      <c r="U1872">
        <v>1</v>
      </c>
      <c r="V1872" t="s">
        <v>30</v>
      </c>
      <c r="W1872">
        <v>1</v>
      </c>
    </row>
    <row r="1873" spans="1:23" x14ac:dyDescent="0.2">
      <c r="A1873">
        <v>5061872</v>
      </c>
      <c r="B1873" t="s">
        <v>25</v>
      </c>
      <c r="C1873" t="s">
        <v>19</v>
      </c>
      <c r="D1873" t="s">
        <v>20</v>
      </c>
      <c r="E1873">
        <v>0</v>
      </c>
      <c r="F1873">
        <v>157500</v>
      </c>
      <c r="G1873" t="s">
        <v>31</v>
      </c>
      <c r="H1873" t="s">
        <v>27</v>
      </c>
      <c r="I1873" t="s">
        <v>33</v>
      </c>
      <c r="J1873" t="s">
        <v>24</v>
      </c>
      <c r="K1873" s="6">
        <f t="shared" ca="1" si="124"/>
        <v>34497</v>
      </c>
      <c r="L1873">
        <v>-11264</v>
      </c>
      <c r="M1873" s="7">
        <f t="shared" ca="1" si="122"/>
        <v>30.839151266255989</v>
      </c>
      <c r="N1873" s="5" t="str">
        <f ca="1">VLOOKUP(Data!M1873,temp!$B$3:$C$9,2,1)</f>
        <v>30-40</v>
      </c>
      <c r="O1873">
        <v>-563</v>
      </c>
      <c r="P1873" s="8">
        <f t="shared" si="123"/>
        <v>1.5414099931553731</v>
      </c>
      <c r="Q1873" s="5" t="str">
        <f t="shared" si="125"/>
        <v>Employed</v>
      </c>
      <c r="R1873">
        <v>1</v>
      </c>
      <c r="S1873">
        <v>1</v>
      </c>
      <c r="T1873">
        <v>0</v>
      </c>
      <c r="U1873">
        <v>1</v>
      </c>
      <c r="V1873" t="s">
        <v>30</v>
      </c>
      <c r="W1873">
        <v>1</v>
      </c>
    </row>
    <row r="1874" spans="1:23" x14ac:dyDescent="0.2">
      <c r="A1874">
        <v>5061899</v>
      </c>
      <c r="B1874" t="s">
        <v>25</v>
      </c>
      <c r="C1874" t="s">
        <v>19</v>
      </c>
      <c r="D1874" t="s">
        <v>20</v>
      </c>
      <c r="E1874">
        <v>1</v>
      </c>
      <c r="F1874">
        <v>292500</v>
      </c>
      <c r="G1874" t="s">
        <v>35</v>
      </c>
      <c r="H1874" t="s">
        <v>22</v>
      </c>
      <c r="I1874" t="s">
        <v>28</v>
      </c>
      <c r="J1874" t="s">
        <v>24</v>
      </c>
      <c r="K1874" s="6">
        <f t="shared" ca="1" si="124"/>
        <v>28928</v>
      </c>
      <c r="L1874">
        <v>-16833</v>
      </c>
      <c r="M1874" s="7">
        <f t="shared" ca="1" si="122"/>
        <v>46.086242299794662</v>
      </c>
      <c r="N1874" s="5" t="str">
        <f ca="1">VLOOKUP(Data!M1874,temp!$B$3:$C$9,2,1)</f>
        <v>40-50</v>
      </c>
      <c r="O1874">
        <v>-3515</v>
      </c>
      <c r="P1874" s="8">
        <f t="shared" si="123"/>
        <v>9.6235455167693367</v>
      </c>
      <c r="Q1874" s="5" t="str">
        <f t="shared" si="125"/>
        <v>Employed</v>
      </c>
      <c r="R1874">
        <v>1</v>
      </c>
      <c r="S1874">
        <v>0</v>
      </c>
      <c r="T1874">
        <v>0</v>
      </c>
      <c r="U1874">
        <v>1</v>
      </c>
      <c r="V1874" t="s">
        <v>38</v>
      </c>
      <c r="W1874">
        <v>3</v>
      </c>
    </row>
    <row r="1875" spans="1:23" x14ac:dyDescent="0.2">
      <c r="A1875">
        <v>5061901</v>
      </c>
      <c r="B1875" t="s">
        <v>25</v>
      </c>
      <c r="C1875" t="s">
        <v>19</v>
      </c>
      <c r="D1875" t="s">
        <v>20</v>
      </c>
      <c r="E1875">
        <v>1</v>
      </c>
      <c r="F1875">
        <v>292500</v>
      </c>
      <c r="G1875" t="s">
        <v>35</v>
      </c>
      <c r="H1875" t="s">
        <v>22</v>
      </c>
      <c r="I1875" t="s">
        <v>28</v>
      </c>
      <c r="J1875" t="s">
        <v>24</v>
      </c>
      <c r="K1875" s="6">
        <f t="shared" ca="1" si="124"/>
        <v>28928</v>
      </c>
      <c r="L1875">
        <v>-16833</v>
      </c>
      <c r="M1875" s="7">
        <f t="shared" ca="1" si="122"/>
        <v>46.086242299794662</v>
      </c>
      <c r="N1875" s="5" t="str">
        <f ca="1">VLOOKUP(Data!M1875,temp!$B$3:$C$9,2,1)</f>
        <v>40-50</v>
      </c>
      <c r="O1875">
        <v>-3515</v>
      </c>
      <c r="P1875" s="8">
        <f t="shared" si="123"/>
        <v>9.6235455167693367</v>
      </c>
      <c r="Q1875" s="5" t="str">
        <f t="shared" si="125"/>
        <v>Employed</v>
      </c>
      <c r="R1875">
        <v>1</v>
      </c>
      <c r="S1875">
        <v>0</v>
      </c>
      <c r="T1875">
        <v>0</v>
      </c>
      <c r="U1875">
        <v>1</v>
      </c>
      <c r="V1875" t="s">
        <v>38</v>
      </c>
      <c r="W1875">
        <v>3</v>
      </c>
    </row>
    <row r="1876" spans="1:23" x14ac:dyDescent="0.2">
      <c r="A1876">
        <v>5061910</v>
      </c>
      <c r="B1876" t="s">
        <v>18</v>
      </c>
      <c r="C1876" t="s">
        <v>19</v>
      </c>
      <c r="D1876" t="s">
        <v>20</v>
      </c>
      <c r="E1876">
        <v>0</v>
      </c>
      <c r="F1876">
        <v>81000</v>
      </c>
      <c r="G1876" t="s">
        <v>31</v>
      </c>
      <c r="H1876" t="s">
        <v>27</v>
      </c>
      <c r="I1876" t="s">
        <v>28</v>
      </c>
      <c r="J1876" t="s">
        <v>24</v>
      </c>
      <c r="K1876" s="6">
        <f t="shared" ca="1" si="124"/>
        <v>28821</v>
      </c>
      <c r="L1876">
        <v>-16940</v>
      </c>
      <c r="M1876" s="7">
        <f t="shared" ca="1" si="122"/>
        <v>46.379192334017795</v>
      </c>
      <c r="N1876" s="5" t="str">
        <f ca="1">VLOOKUP(Data!M1876,temp!$B$3:$C$9,2,1)</f>
        <v>40-50</v>
      </c>
      <c r="O1876">
        <v>-563</v>
      </c>
      <c r="P1876" s="8">
        <f t="shared" si="123"/>
        <v>1.5414099931553731</v>
      </c>
      <c r="Q1876" s="5" t="str">
        <f t="shared" si="125"/>
        <v>Employed</v>
      </c>
      <c r="R1876">
        <v>1</v>
      </c>
      <c r="S1876">
        <v>0</v>
      </c>
      <c r="T1876">
        <v>0</v>
      </c>
      <c r="U1876">
        <v>0</v>
      </c>
      <c r="V1876" t="s">
        <v>29</v>
      </c>
      <c r="W1876">
        <v>2</v>
      </c>
    </row>
    <row r="1877" spans="1:23" x14ac:dyDescent="0.2">
      <c r="A1877">
        <v>5061914</v>
      </c>
      <c r="B1877" t="s">
        <v>18</v>
      </c>
      <c r="C1877" t="s">
        <v>19</v>
      </c>
      <c r="D1877" t="s">
        <v>20</v>
      </c>
      <c r="E1877">
        <v>0</v>
      </c>
      <c r="F1877">
        <v>54000</v>
      </c>
      <c r="G1877" t="s">
        <v>21</v>
      </c>
      <c r="H1877" t="s">
        <v>27</v>
      </c>
      <c r="I1877" t="s">
        <v>42</v>
      </c>
      <c r="J1877" t="s">
        <v>24</v>
      </c>
      <c r="K1877" s="6">
        <f t="shared" ca="1" si="124"/>
        <v>22863</v>
      </c>
      <c r="L1877">
        <v>-22898</v>
      </c>
      <c r="M1877" s="7">
        <f t="shared" ca="1" si="122"/>
        <v>62.691307323750856</v>
      </c>
      <c r="N1877" s="5" t="str">
        <f ca="1">VLOOKUP(Data!M1877,temp!$B$3:$C$9,2,1)</f>
        <v>60-70</v>
      </c>
      <c r="O1877">
        <v>365243</v>
      </c>
      <c r="P1877" s="8">
        <f t="shared" si="123"/>
        <v>0</v>
      </c>
      <c r="Q1877" s="5" t="str">
        <f t="shared" si="125"/>
        <v>Unemployed</v>
      </c>
      <c r="R1877">
        <v>1</v>
      </c>
      <c r="S1877">
        <v>0</v>
      </c>
      <c r="T1877">
        <v>0</v>
      </c>
      <c r="U1877">
        <v>1</v>
      </c>
      <c r="W1877">
        <v>1</v>
      </c>
    </row>
    <row r="1878" spans="1:23" x14ac:dyDescent="0.2">
      <c r="A1878">
        <v>5061923</v>
      </c>
      <c r="B1878" t="s">
        <v>25</v>
      </c>
      <c r="C1878" t="s">
        <v>20</v>
      </c>
      <c r="D1878" t="s">
        <v>20</v>
      </c>
      <c r="E1878">
        <v>0</v>
      </c>
      <c r="F1878">
        <v>63000</v>
      </c>
      <c r="G1878" t="s">
        <v>21</v>
      </c>
      <c r="H1878" t="s">
        <v>27</v>
      </c>
      <c r="I1878" t="s">
        <v>28</v>
      </c>
      <c r="J1878" t="s">
        <v>24</v>
      </c>
      <c r="K1878" s="6">
        <f t="shared" ca="1" si="124"/>
        <v>21761</v>
      </c>
      <c r="L1878">
        <v>-24000</v>
      </c>
      <c r="M1878" s="7">
        <f t="shared" ca="1" si="122"/>
        <v>65.708418891170425</v>
      </c>
      <c r="N1878" s="5" t="str">
        <f ca="1">VLOOKUP(Data!M1878,temp!$B$3:$C$9,2,1)</f>
        <v>60-70</v>
      </c>
      <c r="O1878">
        <v>365243</v>
      </c>
      <c r="P1878" s="8">
        <f t="shared" si="123"/>
        <v>0</v>
      </c>
      <c r="Q1878" s="5" t="str">
        <f t="shared" si="125"/>
        <v>Unemployed</v>
      </c>
      <c r="R1878">
        <v>1</v>
      </c>
      <c r="S1878">
        <v>0</v>
      </c>
      <c r="T1878">
        <v>0</v>
      </c>
      <c r="U1878">
        <v>0</v>
      </c>
      <c r="W1878">
        <v>2</v>
      </c>
    </row>
    <row r="1879" spans="1:23" x14ac:dyDescent="0.2">
      <c r="A1879">
        <v>5061927</v>
      </c>
      <c r="B1879" t="s">
        <v>25</v>
      </c>
      <c r="C1879" t="s">
        <v>20</v>
      </c>
      <c r="D1879" t="s">
        <v>20</v>
      </c>
      <c r="E1879">
        <v>0</v>
      </c>
      <c r="F1879">
        <v>202500</v>
      </c>
      <c r="G1879" t="s">
        <v>21</v>
      </c>
      <c r="H1879" t="s">
        <v>27</v>
      </c>
      <c r="I1879" t="s">
        <v>28</v>
      </c>
      <c r="J1879" t="s">
        <v>24</v>
      </c>
      <c r="K1879" s="6">
        <f t="shared" ca="1" si="124"/>
        <v>25217</v>
      </c>
      <c r="L1879">
        <v>-20544</v>
      </c>
      <c r="M1879" s="7">
        <f t="shared" ca="1" si="122"/>
        <v>56.246406570841891</v>
      </c>
      <c r="N1879" s="5" t="str">
        <f ca="1">VLOOKUP(Data!M1879,temp!$B$3:$C$9,2,1)</f>
        <v>50-60</v>
      </c>
      <c r="O1879">
        <v>365243</v>
      </c>
      <c r="P1879" s="8">
        <f t="shared" si="123"/>
        <v>0</v>
      </c>
      <c r="Q1879" s="5" t="str">
        <f t="shared" si="125"/>
        <v>Unemployed</v>
      </c>
      <c r="R1879">
        <v>1</v>
      </c>
      <c r="S1879">
        <v>0</v>
      </c>
      <c r="T1879">
        <v>0</v>
      </c>
      <c r="U1879">
        <v>0</v>
      </c>
      <c r="W1879">
        <v>2</v>
      </c>
    </row>
    <row r="1880" spans="1:23" x14ac:dyDescent="0.2">
      <c r="A1880">
        <v>5061935</v>
      </c>
      <c r="B1880" t="s">
        <v>25</v>
      </c>
      <c r="C1880" t="s">
        <v>20</v>
      </c>
      <c r="D1880" t="s">
        <v>20</v>
      </c>
      <c r="E1880">
        <v>0</v>
      </c>
      <c r="F1880">
        <v>202500</v>
      </c>
      <c r="G1880" t="s">
        <v>21</v>
      </c>
      <c r="H1880" t="s">
        <v>27</v>
      </c>
      <c r="I1880" t="s">
        <v>28</v>
      </c>
      <c r="J1880" t="s">
        <v>24</v>
      </c>
      <c r="K1880" s="6">
        <f t="shared" ca="1" si="124"/>
        <v>25217</v>
      </c>
      <c r="L1880">
        <v>-20544</v>
      </c>
      <c r="M1880" s="7">
        <f t="shared" ca="1" si="122"/>
        <v>56.246406570841891</v>
      </c>
      <c r="N1880" s="5" t="str">
        <f ca="1">VLOOKUP(Data!M1880,temp!$B$3:$C$9,2,1)</f>
        <v>50-60</v>
      </c>
      <c r="O1880">
        <v>365243</v>
      </c>
      <c r="P1880" s="8">
        <f t="shared" si="123"/>
        <v>0</v>
      </c>
      <c r="Q1880" s="5" t="str">
        <f t="shared" si="125"/>
        <v>Unemployed</v>
      </c>
      <c r="R1880">
        <v>1</v>
      </c>
      <c r="S1880">
        <v>0</v>
      </c>
      <c r="T1880">
        <v>0</v>
      </c>
      <c r="U1880">
        <v>0</v>
      </c>
      <c r="W1880">
        <v>2</v>
      </c>
    </row>
    <row r="1881" spans="1:23" x14ac:dyDescent="0.2">
      <c r="A1881">
        <v>5061945</v>
      </c>
      <c r="B1881" t="s">
        <v>18</v>
      </c>
      <c r="C1881" t="s">
        <v>19</v>
      </c>
      <c r="D1881" t="s">
        <v>20</v>
      </c>
      <c r="E1881">
        <v>0</v>
      </c>
      <c r="F1881">
        <v>135000</v>
      </c>
      <c r="G1881" t="s">
        <v>21</v>
      </c>
      <c r="H1881" t="s">
        <v>27</v>
      </c>
      <c r="I1881" t="s">
        <v>42</v>
      </c>
      <c r="J1881" t="s">
        <v>24</v>
      </c>
      <c r="K1881" s="6">
        <f t="shared" ca="1" si="124"/>
        <v>22578</v>
      </c>
      <c r="L1881">
        <v>-23183</v>
      </c>
      <c r="M1881" s="7">
        <f t="shared" ca="1" si="122"/>
        <v>63.471594798083501</v>
      </c>
      <c r="N1881" s="5" t="str">
        <f ca="1">VLOOKUP(Data!M1881,temp!$B$3:$C$9,2,1)</f>
        <v>60-70</v>
      </c>
      <c r="O1881">
        <v>365243</v>
      </c>
      <c r="P1881" s="8">
        <f t="shared" si="123"/>
        <v>0</v>
      </c>
      <c r="Q1881" s="5" t="str">
        <f t="shared" si="125"/>
        <v>Unemployed</v>
      </c>
      <c r="R1881">
        <v>1</v>
      </c>
      <c r="S1881">
        <v>0</v>
      </c>
      <c r="T1881">
        <v>1</v>
      </c>
      <c r="U1881">
        <v>0</v>
      </c>
      <c r="W1881">
        <v>1</v>
      </c>
    </row>
    <row r="1882" spans="1:23" x14ac:dyDescent="0.2">
      <c r="A1882">
        <v>5061950</v>
      </c>
      <c r="B1882" t="s">
        <v>25</v>
      </c>
      <c r="C1882" t="s">
        <v>20</v>
      </c>
      <c r="D1882" t="s">
        <v>19</v>
      </c>
      <c r="E1882">
        <v>0</v>
      </c>
      <c r="F1882">
        <v>135000</v>
      </c>
      <c r="G1882" t="s">
        <v>31</v>
      </c>
      <c r="H1882" t="s">
        <v>27</v>
      </c>
      <c r="I1882" t="s">
        <v>33</v>
      </c>
      <c r="J1882" t="s">
        <v>45</v>
      </c>
      <c r="K1882" s="6">
        <f t="shared" ca="1" si="124"/>
        <v>33662</v>
      </c>
      <c r="L1882">
        <v>-12099</v>
      </c>
      <c r="M1882" s="7">
        <f t="shared" ca="1" si="122"/>
        <v>33.125256673511295</v>
      </c>
      <c r="N1882" s="5" t="str">
        <f ca="1">VLOOKUP(Data!M1882,temp!$B$3:$C$9,2,1)</f>
        <v>30-40</v>
      </c>
      <c r="O1882">
        <v>-1567</v>
      </c>
      <c r="P1882" s="8">
        <f t="shared" si="123"/>
        <v>4.2902121834360027</v>
      </c>
      <c r="Q1882" s="5" t="str">
        <f t="shared" si="125"/>
        <v>Employed</v>
      </c>
      <c r="R1882">
        <v>1</v>
      </c>
      <c r="S1882">
        <v>0</v>
      </c>
      <c r="T1882">
        <v>0</v>
      </c>
      <c r="U1882">
        <v>0</v>
      </c>
      <c r="V1882" t="s">
        <v>29</v>
      </c>
      <c r="W1882">
        <v>1</v>
      </c>
    </row>
    <row r="1883" spans="1:23" x14ac:dyDescent="0.2">
      <c r="A1883">
        <v>5061978</v>
      </c>
      <c r="B1883" t="s">
        <v>18</v>
      </c>
      <c r="C1883" t="s">
        <v>19</v>
      </c>
      <c r="D1883" t="s">
        <v>20</v>
      </c>
      <c r="E1883">
        <v>0</v>
      </c>
      <c r="F1883">
        <v>135000</v>
      </c>
      <c r="G1883" t="s">
        <v>31</v>
      </c>
      <c r="H1883" t="s">
        <v>22</v>
      </c>
      <c r="I1883" t="s">
        <v>28</v>
      </c>
      <c r="J1883" t="s">
        <v>24</v>
      </c>
      <c r="K1883" s="6">
        <f t="shared" ca="1" si="124"/>
        <v>32462</v>
      </c>
      <c r="L1883">
        <v>-13299</v>
      </c>
      <c r="M1883" s="7">
        <f t="shared" ca="1" si="122"/>
        <v>36.410677618069812</v>
      </c>
      <c r="N1883" s="5" t="str">
        <f ca="1">VLOOKUP(Data!M1883,temp!$B$3:$C$9,2,1)</f>
        <v>30-40</v>
      </c>
      <c r="O1883">
        <v>-1628</v>
      </c>
      <c r="P1883" s="8">
        <f t="shared" si="123"/>
        <v>4.4572210814510607</v>
      </c>
      <c r="Q1883" s="5" t="str">
        <f t="shared" si="125"/>
        <v>Employed</v>
      </c>
      <c r="R1883">
        <v>1</v>
      </c>
      <c r="S1883">
        <v>0</v>
      </c>
      <c r="T1883">
        <v>0</v>
      </c>
      <c r="U1883">
        <v>0</v>
      </c>
      <c r="V1883" t="s">
        <v>29</v>
      </c>
      <c r="W1883">
        <v>2</v>
      </c>
    </row>
    <row r="1884" spans="1:23" x14ac:dyDescent="0.2">
      <c r="A1884">
        <v>5061987</v>
      </c>
      <c r="B1884" t="s">
        <v>18</v>
      </c>
      <c r="C1884" t="s">
        <v>19</v>
      </c>
      <c r="D1884" t="s">
        <v>20</v>
      </c>
      <c r="E1884">
        <v>0</v>
      </c>
      <c r="F1884">
        <v>135000</v>
      </c>
      <c r="G1884" t="s">
        <v>31</v>
      </c>
      <c r="H1884" t="s">
        <v>22</v>
      </c>
      <c r="I1884" t="s">
        <v>28</v>
      </c>
      <c r="J1884" t="s">
        <v>24</v>
      </c>
      <c r="K1884" s="6">
        <f t="shared" ca="1" si="124"/>
        <v>32462</v>
      </c>
      <c r="L1884">
        <v>-13299</v>
      </c>
      <c r="M1884" s="7">
        <f t="shared" ca="1" si="122"/>
        <v>36.410677618069812</v>
      </c>
      <c r="N1884" s="5" t="str">
        <f ca="1">VLOOKUP(Data!M1884,temp!$B$3:$C$9,2,1)</f>
        <v>30-40</v>
      </c>
      <c r="O1884">
        <v>-1628</v>
      </c>
      <c r="P1884" s="8">
        <f t="shared" si="123"/>
        <v>4.4572210814510607</v>
      </c>
      <c r="Q1884" s="5" t="str">
        <f t="shared" si="125"/>
        <v>Employed</v>
      </c>
      <c r="R1884">
        <v>1</v>
      </c>
      <c r="S1884">
        <v>0</v>
      </c>
      <c r="T1884">
        <v>0</v>
      </c>
      <c r="U1884">
        <v>0</v>
      </c>
      <c r="V1884" t="s">
        <v>29</v>
      </c>
      <c r="W1884">
        <v>2</v>
      </c>
    </row>
    <row r="1885" spans="1:23" x14ac:dyDescent="0.2">
      <c r="A1885">
        <v>5062007</v>
      </c>
      <c r="B1885" t="s">
        <v>18</v>
      </c>
      <c r="C1885" t="s">
        <v>19</v>
      </c>
      <c r="D1885" t="s">
        <v>20</v>
      </c>
      <c r="E1885">
        <v>0</v>
      </c>
      <c r="F1885">
        <v>180000</v>
      </c>
      <c r="G1885" t="s">
        <v>21</v>
      </c>
      <c r="H1885" t="s">
        <v>27</v>
      </c>
      <c r="I1885" t="s">
        <v>28</v>
      </c>
      <c r="J1885" t="s">
        <v>24</v>
      </c>
      <c r="K1885" s="6">
        <f t="shared" ca="1" si="124"/>
        <v>24098</v>
      </c>
      <c r="L1885">
        <v>-21663</v>
      </c>
      <c r="M1885" s="7">
        <f t="shared" ca="1" si="122"/>
        <v>59.310061601642708</v>
      </c>
      <c r="N1885" s="5" t="str">
        <f ca="1">VLOOKUP(Data!M1885,temp!$B$3:$C$9,2,1)</f>
        <v>50-60</v>
      </c>
      <c r="O1885">
        <v>365243</v>
      </c>
      <c r="P1885" s="8">
        <f t="shared" si="123"/>
        <v>0</v>
      </c>
      <c r="Q1885" s="5" t="str">
        <f t="shared" si="125"/>
        <v>Unemployed</v>
      </c>
      <c r="R1885">
        <v>1</v>
      </c>
      <c r="S1885">
        <v>0</v>
      </c>
      <c r="T1885">
        <v>0</v>
      </c>
      <c r="U1885">
        <v>1</v>
      </c>
      <c r="W1885">
        <v>2</v>
      </c>
    </row>
    <row r="1886" spans="1:23" x14ac:dyDescent="0.2">
      <c r="A1886">
        <v>5062023</v>
      </c>
      <c r="B1886" t="s">
        <v>18</v>
      </c>
      <c r="C1886" t="s">
        <v>19</v>
      </c>
      <c r="D1886" t="s">
        <v>20</v>
      </c>
      <c r="E1886">
        <v>0</v>
      </c>
      <c r="F1886">
        <v>139500</v>
      </c>
      <c r="G1886" t="s">
        <v>26</v>
      </c>
      <c r="H1886" t="s">
        <v>27</v>
      </c>
      <c r="I1886" t="s">
        <v>28</v>
      </c>
      <c r="J1886" t="s">
        <v>24</v>
      </c>
      <c r="K1886" s="6">
        <f t="shared" ca="1" si="124"/>
        <v>25247</v>
      </c>
      <c r="L1886">
        <v>-20514</v>
      </c>
      <c r="M1886" s="7">
        <f t="shared" ca="1" si="122"/>
        <v>56.164271047227928</v>
      </c>
      <c r="N1886" s="5" t="str">
        <f ca="1">VLOOKUP(Data!M1886,temp!$B$3:$C$9,2,1)</f>
        <v>50-60</v>
      </c>
      <c r="O1886">
        <v>-5707</v>
      </c>
      <c r="P1886" s="8">
        <f t="shared" si="123"/>
        <v>15.624914442162902</v>
      </c>
      <c r="Q1886" s="5" t="str">
        <f t="shared" si="125"/>
        <v>Employed</v>
      </c>
      <c r="R1886">
        <v>1</v>
      </c>
      <c r="S1886">
        <v>0</v>
      </c>
      <c r="T1886">
        <v>1</v>
      </c>
      <c r="U1886">
        <v>0</v>
      </c>
      <c r="W1886">
        <v>2</v>
      </c>
    </row>
    <row r="1887" spans="1:23" x14ac:dyDescent="0.2">
      <c r="A1887">
        <v>5062058</v>
      </c>
      <c r="B1887" t="s">
        <v>18</v>
      </c>
      <c r="C1887" t="s">
        <v>19</v>
      </c>
      <c r="D1887" t="s">
        <v>20</v>
      </c>
      <c r="E1887">
        <v>1</v>
      </c>
      <c r="F1887">
        <v>315000</v>
      </c>
      <c r="G1887" t="s">
        <v>26</v>
      </c>
      <c r="H1887" t="s">
        <v>27</v>
      </c>
      <c r="I1887" t="s">
        <v>23</v>
      </c>
      <c r="J1887" t="s">
        <v>45</v>
      </c>
      <c r="K1887" s="6">
        <f t="shared" ca="1" si="124"/>
        <v>26967</v>
      </c>
      <c r="L1887">
        <v>-18794</v>
      </c>
      <c r="M1887" s="7">
        <f t="shared" ca="1" si="122"/>
        <v>51.455167693360714</v>
      </c>
      <c r="N1887" s="5" t="str">
        <f ca="1">VLOOKUP(Data!M1887,temp!$B$3:$C$9,2,1)</f>
        <v>50-60</v>
      </c>
      <c r="O1887">
        <v>-1842</v>
      </c>
      <c r="P1887" s="8">
        <f t="shared" si="123"/>
        <v>5.0431211498973303</v>
      </c>
      <c r="Q1887" s="5" t="str">
        <f t="shared" si="125"/>
        <v>Employed</v>
      </c>
      <c r="R1887">
        <v>1</v>
      </c>
      <c r="S1887">
        <v>0</v>
      </c>
      <c r="T1887">
        <v>1</v>
      </c>
      <c r="U1887">
        <v>0</v>
      </c>
      <c r="V1887" t="s">
        <v>46</v>
      </c>
      <c r="W1887">
        <v>2</v>
      </c>
    </row>
    <row r="1888" spans="1:23" x14ac:dyDescent="0.2">
      <c r="A1888">
        <v>5062062</v>
      </c>
      <c r="B1888" t="s">
        <v>18</v>
      </c>
      <c r="C1888" t="s">
        <v>19</v>
      </c>
      <c r="D1888" t="s">
        <v>20</v>
      </c>
      <c r="E1888">
        <v>1</v>
      </c>
      <c r="F1888">
        <v>157500</v>
      </c>
      <c r="G1888" t="s">
        <v>31</v>
      </c>
      <c r="H1888" t="s">
        <v>27</v>
      </c>
      <c r="I1888" t="s">
        <v>42</v>
      </c>
      <c r="J1888" t="s">
        <v>24</v>
      </c>
      <c r="K1888" s="6">
        <f t="shared" ca="1" si="124"/>
        <v>27776</v>
      </c>
      <c r="L1888">
        <v>-17985</v>
      </c>
      <c r="M1888" s="7">
        <f t="shared" ca="1" si="122"/>
        <v>49.24024640657084</v>
      </c>
      <c r="N1888" s="5" t="str">
        <f ca="1">VLOOKUP(Data!M1888,temp!$B$3:$C$9,2,1)</f>
        <v>40-50</v>
      </c>
      <c r="O1888">
        <v>-1812</v>
      </c>
      <c r="P1888" s="8">
        <f t="shared" si="123"/>
        <v>4.9609856262833674</v>
      </c>
      <c r="Q1888" s="5" t="str">
        <f t="shared" si="125"/>
        <v>Employed</v>
      </c>
      <c r="R1888">
        <v>1</v>
      </c>
      <c r="S1888">
        <v>0</v>
      </c>
      <c r="T1888">
        <v>0</v>
      </c>
      <c r="U1888">
        <v>0</v>
      </c>
      <c r="V1888" t="s">
        <v>39</v>
      </c>
      <c r="W1888">
        <v>2</v>
      </c>
    </row>
    <row r="1889" spans="1:23" x14ac:dyDescent="0.2">
      <c r="A1889">
        <v>5062063</v>
      </c>
      <c r="B1889" t="s">
        <v>18</v>
      </c>
      <c r="C1889" t="s">
        <v>19</v>
      </c>
      <c r="D1889" t="s">
        <v>20</v>
      </c>
      <c r="E1889">
        <v>1</v>
      </c>
      <c r="F1889">
        <v>112500</v>
      </c>
      <c r="G1889" t="s">
        <v>31</v>
      </c>
      <c r="H1889" t="s">
        <v>27</v>
      </c>
      <c r="I1889" t="s">
        <v>28</v>
      </c>
      <c r="J1889" t="s">
        <v>24</v>
      </c>
      <c r="K1889" s="6">
        <f t="shared" ca="1" si="124"/>
        <v>32914</v>
      </c>
      <c r="L1889">
        <v>-12847</v>
      </c>
      <c r="M1889" s="7">
        <f t="shared" ca="1" si="122"/>
        <v>35.173169062286107</v>
      </c>
      <c r="N1889" s="5" t="str">
        <f ca="1">VLOOKUP(Data!M1889,temp!$B$3:$C$9,2,1)</f>
        <v>30-40</v>
      </c>
      <c r="O1889">
        <v>-1111</v>
      </c>
      <c r="P1889" s="8">
        <f t="shared" si="123"/>
        <v>3.0417522245037647</v>
      </c>
      <c r="Q1889" s="5" t="str">
        <f t="shared" si="125"/>
        <v>Employed</v>
      </c>
      <c r="R1889">
        <v>1</v>
      </c>
      <c r="S1889">
        <v>1</v>
      </c>
      <c r="T1889">
        <v>1</v>
      </c>
      <c r="U1889">
        <v>0</v>
      </c>
      <c r="V1889" t="s">
        <v>39</v>
      </c>
      <c r="W1889">
        <v>3</v>
      </c>
    </row>
    <row r="1890" spans="1:23" x14ac:dyDescent="0.2">
      <c r="A1890">
        <v>5062067</v>
      </c>
      <c r="B1890" t="s">
        <v>18</v>
      </c>
      <c r="C1890" t="s">
        <v>19</v>
      </c>
      <c r="D1890" t="s">
        <v>20</v>
      </c>
      <c r="E1890">
        <v>0</v>
      </c>
      <c r="F1890">
        <v>92250</v>
      </c>
      <c r="G1890" t="s">
        <v>21</v>
      </c>
      <c r="H1890" t="s">
        <v>27</v>
      </c>
      <c r="I1890" t="s">
        <v>42</v>
      </c>
      <c r="J1890" t="s">
        <v>24</v>
      </c>
      <c r="K1890" s="6">
        <f t="shared" ca="1" si="124"/>
        <v>22656</v>
      </c>
      <c r="L1890">
        <v>-23105</v>
      </c>
      <c r="M1890" s="7">
        <f t="shared" ca="1" si="122"/>
        <v>63.258042436687198</v>
      </c>
      <c r="N1890" s="5" t="str">
        <f ca="1">VLOOKUP(Data!M1890,temp!$B$3:$C$9,2,1)</f>
        <v>60-70</v>
      </c>
      <c r="O1890">
        <v>365243</v>
      </c>
      <c r="P1890" s="8">
        <f t="shared" si="123"/>
        <v>0</v>
      </c>
      <c r="Q1890" s="5" t="str">
        <f t="shared" si="125"/>
        <v>Unemployed</v>
      </c>
      <c r="R1890">
        <v>1</v>
      </c>
      <c r="S1890">
        <v>0</v>
      </c>
      <c r="T1890">
        <v>0</v>
      </c>
      <c r="U1890">
        <v>0</v>
      </c>
      <c r="W1890">
        <v>1</v>
      </c>
    </row>
    <row r="1891" spans="1:23" x14ac:dyDescent="0.2">
      <c r="A1891">
        <v>5062072</v>
      </c>
      <c r="B1891" t="s">
        <v>25</v>
      </c>
      <c r="C1891" t="s">
        <v>19</v>
      </c>
      <c r="D1891" t="s">
        <v>19</v>
      </c>
      <c r="E1891">
        <v>0</v>
      </c>
      <c r="F1891">
        <v>135000</v>
      </c>
      <c r="G1891" t="s">
        <v>31</v>
      </c>
      <c r="H1891" t="s">
        <v>27</v>
      </c>
      <c r="I1891" t="s">
        <v>37</v>
      </c>
      <c r="J1891" t="s">
        <v>24</v>
      </c>
      <c r="K1891" s="6">
        <f t="shared" ca="1" si="124"/>
        <v>33046</v>
      </c>
      <c r="L1891">
        <v>-12715</v>
      </c>
      <c r="M1891" s="7">
        <f t="shared" ca="1" si="122"/>
        <v>34.81177275838467</v>
      </c>
      <c r="N1891" s="5" t="str">
        <f ca="1">VLOOKUP(Data!M1891,temp!$B$3:$C$9,2,1)</f>
        <v>30-40</v>
      </c>
      <c r="O1891">
        <v>-5707</v>
      </c>
      <c r="P1891" s="8">
        <f t="shared" si="123"/>
        <v>15.624914442162902</v>
      </c>
      <c r="Q1891" s="5" t="str">
        <f t="shared" si="125"/>
        <v>Employed</v>
      </c>
      <c r="R1891">
        <v>1</v>
      </c>
      <c r="S1891">
        <v>1</v>
      </c>
      <c r="T1891">
        <v>1</v>
      </c>
      <c r="U1891">
        <v>0</v>
      </c>
      <c r="W1891">
        <v>2</v>
      </c>
    </row>
    <row r="1892" spans="1:23" x14ac:dyDescent="0.2">
      <c r="A1892">
        <v>5062075</v>
      </c>
      <c r="B1892" t="s">
        <v>18</v>
      </c>
      <c r="C1892" t="s">
        <v>19</v>
      </c>
      <c r="D1892" t="s">
        <v>20</v>
      </c>
      <c r="E1892">
        <v>0</v>
      </c>
      <c r="F1892">
        <v>112500</v>
      </c>
      <c r="G1892" t="s">
        <v>21</v>
      </c>
      <c r="H1892" t="s">
        <v>27</v>
      </c>
      <c r="I1892" t="s">
        <v>28</v>
      </c>
      <c r="J1892" t="s">
        <v>24</v>
      </c>
      <c r="K1892" s="6">
        <f t="shared" ca="1" si="124"/>
        <v>24369</v>
      </c>
      <c r="L1892">
        <v>-21392</v>
      </c>
      <c r="M1892" s="7">
        <f t="shared" ca="1" si="122"/>
        <v>58.568104038329913</v>
      </c>
      <c r="N1892" s="5" t="str">
        <f ca="1">VLOOKUP(Data!M1892,temp!$B$3:$C$9,2,1)</f>
        <v>50-60</v>
      </c>
      <c r="O1892">
        <v>365243</v>
      </c>
      <c r="P1892" s="8">
        <f t="shared" si="123"/>
        <v>0</v>
      </c>
      <c r="Q1892" s="5" t="str">
        <f t="shared" si="125"/>
        <v>Unemployed</v>
      </c>
      <c r="R1892">
        <v>1</v>
      </c>
      <c r="S1892">
        <v>0</v>
      </c>
      <c r="T1892">
        <v>0</v>
      </c>
      <c r="U1892">
        <v>0</v>
      </c>
      <c r="W1892">
        <v>2</v>
      </c>
    </row>
    <row r="1893" spans="1:23" x14ac:dyDescent="0.2">
      <c r="A1893">
        <v>5062083</v>
      </c>
      <c r="B1893" t="s">
        <v>18</v>
      </c>
      <c r="C1893" t="s">
        <v>19</v>
      </c>
      <c r="D1893" t="s">
        <v>20</v>
      </c>
      <c r="E1893">
        <v>0</v>
      </c>
      <c r="F1893">
        <v>112500</v>
      </c>
      <c r="G1893" t="s">
        <v>31</v>
      </c>
      <c r="H1893" t="s">
        <v>27</v>
      </c>
      <c r="I1893" t="s">
        <v>28</v>
      </c>
      <c r="J1893" t="s">
        <v>24</v>
      </c>
      <c r="K1893" s="6">
        <f t="shared" ca="1" si="124"/>
        <v>35226</v>
      </c>
      <c r="L1893">
        <v>-10535</v>
      </c>
      <c r="M1893" s="7">
        <f t="shared" ca="1" si="122"/>
        <v>28.843258042436688</v>
      </c>
      <c r="N1893" s="5" t="str">
        <f ca="1">VLOOKUP(Data!M1893,temp!$B$3:$C$9,2,1)</f>
        <v>20-30</v>
      </c>
      <c r="O1893">
        <v>-3819</v>
      </c>
      <c r="P1893" s="8">
        <f t="shared" si="123"/>
        <v>10.455852156057494</v>
      </c>
      <c r="Q1893" s="5" t="str">
        <f t="shared" si="125"/>
        <v>Employed</v>
      </c>
      <c r="R1893">
        <v>1</v>
      </c>
      <c r="S1893">
        <v>1</v>
      </c>
      <c r="T1893">
        <v>1</v>
      </c>
      <c r="U1893">
        <v>0</v>
      </c>
      <c r="V1893" t="s">
        <v>29</v>
      </c>
      <c r="W1893">
        <v>2</v>
      </c>
    </row>
    <row r="1894" spans="1:23" x14ac:dyDescent="0.2">
      <c r="A1894">
        <v>5062095</v>
      </c>
      <c r="B1894" t="s">
        <v>25</v>
      </c>
      <c r="C1894" t="s">
        <v>20</v>
      </c>
      <c r="D1894" t="s">
        <v>19</v>
      </c>
      <c r="E1894">
        <v>0</v>
      </c>
      <c r="F1894">
        <v>180000</v>
      </c>
      <c r="G1894" t="s">
        <v>31</v>
      </c>
      <c r="H1894" t="s">
        <v>27</v>
      </c>
      <c r="I1894" t="s">
        <v>33</v>
      </c>
      <c r="J1894" t="s">
        <v>24</v>
      </c>
      <c r="K1894" s="6">
        <f t="shared" ca="1" si="124"/>
        <v>35590</v>
      </c>
      <c r="L1894">
        <v>-10171</v>
      </c>
      <c r="M1894" s="7">
        <f t="shared" ca="1" si="122"/>
        <v>27.846680355920601</v>
      </c>
      <c r="N1894" s="5" t="str">
        <f ca="1">VLOOKUP(Data!M1894,temp!$B$3:$C$9,2,1)</f>
        <v>20-30</v>
      </c>
      <c r="O1894">
        <v>-1812</v>
      </c>
      <c r="P1894" s="8">
        <f t="shared" si="123"/>
        <v>4.9609856262833674</v>
      </c>
      <c r="Q1894" s="5" t="str">
        <f t="shared" si="125"/>
        <v>Employed</v>
      </c>
      <c r="R1894">
        <v>1</v>
      </c>
      <c r="S1894">
        <v>1</v>
      </c>
      <c r="T1894">
        <v>1</v>
      </c>
      <c r="U1894">
        <v>0</v>
      </c>
      <c r="V1894" t="s">
        <v>47</v>
      </c>
      <c r="W1894">
        <v>1</v>
      </c>
    </row>
    <row r="1895" spans="1:23" x14ac:dyDescent="0.2">
      <c r="A1895">
        <v>5062096</v>
      </c>
      <c r="B1895" t="s">
        <v>25</v>
      </c>
      <c r="C1895" t="s">
        <v>20</v>
      </c>
      <c r="D1895" t="s">
        <v>20</v>
      </c>
      <c r="E1895">
        <v>0</v>
      </c>
      <c r="F1895">
        <v>67500</v>
      </c>
      <c r="G1895" t="s">
        <v>31</v>
      </c>
      <c r="H1895" t="s">
        <v>27</v>
      </c>
      <c r="I1895" t="s">
        <v>28</v>
      </c>
      <c r="J1895" t="s">
        <v>24</v>
      </c>
      <c r="K1895" s="6">
        <f t="shared" ca="1" si="124"/>
        <v>26750</v>
      </c>
      <c r="L1895">
        <v>-19011</v>
      </c>
      <c r="M1895" s="7">
        <f t="shared" ca="1" si="122"/>
        <v>52.049281314168375</v>
      </c>
      <c r="N1895" s="5" t="str">
        <f ca="1">VLOOKUP(Data!M1895,temp!$B$3:$C$9,2,1)</f>
        <v>50-60</v>
      </c>
      <c r="O1895">
        <v>-3273</v>
      </c>
      <c r="P1895" s="8">
        <f t="shared" si="123"/>
        <v>8.9609856262833674</v>
      </c>
      <c r="Q1895" s="5" t="str">
        <f t="shared" si="125"/>
        <v>Employed</v>
      </c>
      <c r="R1895">
        <v>1</v>
      </c>
      <c r="S1895">
        <v>0</v>
      </c>
      <c r="T1895">
        <v>0</v>
      </c>
      <c r="U1895">
        <v>0</v>
      </c>
      <c r="V1895" t="s">
        <v>30</v>
      </c>
      <c r="W1895">
        <v>2</v>
      </c>
    </row>
    <row r="1896" spans="1:23" x14ac:dyDescent="0.2">
      <c r="A1896">
        <v>5062106</v>
      </c>
      <c r="B1896" t="s">
        <v>25</v>
      </c>
      <c r="C1896" t="s">
        <v>20</v>
      </c>
      <c r="D1896" t="s">
        <v>20</v>
      </c>
      <c r="E1896">
        <v>0</v>
      </c>
      <c r="F1896">
        <v>135000</v>
      </c>
      <c r="G1896" t="s">
        <v>26</v>
      </c>
      <c r="H1896" t="s">
        <v>27</v>
      </c>
      <c r="I1896" t="s">
        <v>28</v>
      </c>
      <c r="J1896" t="s">
        <v>24</v>
      </c>
      <c r="K1896" s="6">
        <f t="shared" ca="1" si="124"/>
        <v>26753</v>
      </c>
      <c r="L1896">
        <v>-19008</v>
      </c>
      <c r="M1896" s="7">
        <f t="shared" ca="1" si="122"/>
        <v>52.041067761806978</v>
      </c>
      <c r="N1896" s="5" t="str">
        <f ca="1">VLOOKUP(Data!M1896,temp!$B$3:$C$9,2,1)</f>
        <v>50-60</v>
      </c>
      <c r="O1896">
        <v>-3607</v>
      </c>
      <c r="P1896" s="8">
        <f t="shared" si="123"/>
        <v>9.8754277891854887</v>
      </c>
      <c r="Q1896" s="5" t="str">
        <f t="shared" si="125"/>
        <v>Employed</v>
      </c>
      <c r="R1896">
        <v>1</v>
      </c>
      <c r="S1896">
        <v>0</v>
      </c>
      <c r="T1896">
        <v>0</v>
      </c>
      <c r="U1896">
        <v>0</v>
      </c>
      <c r="V1896" t="s">
        <v>32</v>
      </c>
      <c r="W1896">
        <v>2</v>
      </c>
    </row>
    <row r="1897" spans="1:23" x14ac:dyDescent="0.2">
      <c r="A1897">
        <v>5062120</v>
      </c>
      <c r="B1897" t="s">
        <v>18</v>
      </c>
      <c r="C1897" t="s">
        <v>19</v>
      </c>
      <c r="D1897" t="s">
        <v>20</v>
      </c>
      <c r="E1897">
        <v>0</v>
      </c>
      <c r="F1897">
        <v>157500</v>
      </c>
      <c r="G1897" t="s">
        <v>26</v>
      </c>
      <c r="H1897" t="s">
        <v>27</v>
      </c>
      <c r="I1897" t="s">
        <v>23</v>
      </c>
      <c r="J1897" t="s">
        <v>41</v>
      </c>
      <c r="K1897" s="6">
        <f t="shared" ca="1" si="124"/>
        <v>26238</v>
      </c>
      <c r="L1897">
        <v>-19523</v>
      </c>
      <c r="M1897" s="7">
        <f t="shared" ca="1" si="122"/>
        <v>53.451060917180016</v>
      </c>
      <c r="N1897" s="5" t="str">
        <f ca="1">VLOOKUP(Data!M1897,temp!$B$3:$C$9,2,1)</f>
        <v>50-60</v>
      </c>
      <c r="O1897">
        <v>-259</v>
      </c>
      <c r="P1897" s="8">
        <f t="shared" si="123"/>
        <v>0.70910335386721424</v>
      </c>
      <c r="Q1897" s="5" t="str">
        <f t="shared" si="125"/>
        <v>Employed</v>
      </c>
      <c r="R1897">
        <v>1</v>
      </c>
      <c r="S1897">
        <v>0</v>
      </c>
      <c r="T1897">
        <v>0</v>
      </c>
      <c r="U1897">
        <v>0</v>
      </c>
      <c r="W1897">
        <v>1</v>
      </c>
    </row>
    <row r="1898" spans="1:23" x14ac:dyDescent="0.2">
      <c r="A1898">
        <v>5062136</v>
      </c>
      <c r="B1898" t="s">
        <v>25</v>
      </c>
      <c r="C1898" t="s">
        <v>19</v>
      </c>
      <c r="D1898" t="s">
        <v>19</v>
      </c>
      <c r="E1898">
        <v>1</v>
      </c>
      <c r="F1898">
        <v>180000</v>
      </c>
      <c r="G1898" t="s">
        <v>31</v>
      </c>
      <c r="H1898" t="s">
        <v>27</v>
      </c>
      <c r="I1898" t="s">
        <v>33</v>
      </c>
      <c r="J1898" t="s">
        <v>24</v>
      </c>
      <c r="K1898" s="6">
        <f t="shared" ca="1" si="124"/>
        <v>32814</v>
      </c>
      <c r="L1898">
        <v>-12947</v>
      </c>
      <c r="M1898" s="7">
        <f t="shared" ca="1" si="122"/>
        <v>35.446954140999317</v>
      </c>
      <c r="N1898" s="5" t="str">
        <f ca="1">VLOOKUP(Data!M1898,temp!$B$3:$C$9,2,1)</f>
        <v>30-40</v>
      </c>
      <c r="O1898">
        <v>-137</v>
      </c>
      <c r="P1898" s="8">
        <f t="shared" si="123"/>
        <v>0.3750855578370979</v>
      </c>
      <c r="Q1898" s="5" t="str">
        <f t="shared" si="125"/>
        <v>Employed</v>
      </c>
      <c r="R1898">
        <v>1</v>
      </c>
      <c r="S1898">
        <v>0</v>
      </c>
      <c r="T1898">
        <v>0</v>
      </c>
      <c r="U1898">
        <v>0</v>
      </c>
      <c r="V1898" t="s">
        <v>29</v>
      </c>
      <c r="W1898">
        <v>2</v>
      </c>
    </row>
    <row r="1899" spans="1:23" x14ac:dyDescent="0.2">
      <c r="A1899">
        <v>5062141</v>
      </c>
      <c r="B1899" t="s">
        <v>25</v>
      </c>
      <c r="C1899" t="s">
        <v>20</v>
      </c>
      <c r="D1899" t="s">
        <v>20</v>
      </c>
      <c r="E1899">
        <v>1</v>
      </c>
      <c r="F1899">
        <v>135000</v>
      </c>
      <c r="G1899" t="s">
        <v>26</v>
      </c>
      <c r="H1899" t="s">
        <v>22</v>
      </c>
      <c r="I1899" t="s">
        <v>28</v>
      </c>
      <c r="J1899" t="s">
        <v>24</v>
      </c>
      <c r="K1899" s="6">
        <f t="shared" ca="1" si="124"/>
        <v>34378</v>
      </c>
      <c r="L1899">
        <v>-11383</v>
      </c>
      <c r="M1899" s="7">
        <f t="shared" ca="1" si="122"/>
        <v>31.16495550992471</v>
      </c>
      <c r="N1899" s="5" t="str">
        <f ca="1">VLOOKUP(Data!M1899,temp!$B$3:$C$9,2,1)</f>
        <v>30-40</v>
      </c>
      <c r="O1899">
        <v>-777</v>
      </c>
      <c r="P1899" s="8">
        <f t="shared" si="123"/>
        <v>2.1273100616016429</v>
      </c>
      <c r="Q1899" s="5" t="str">
        <f t="shared" si="125"/>
        <v>Employed</v>
      </c>
      <c r="R1899">
        <v>1</v>
      </c>
      <c r="S1899">
        <v>1</v>
      </c>
      <c r="T1899">
        <v>0</v>
      </c>
      <c r="U1899">
        <v>0</v>
      </c>
      <c r="W1899">
        <v>3</v>
      </c>
    </row>
    <row r="1900" spans="1:23" x14ac:dyDescent="0.2">
      <c r="A1900">
        <v>5062145</v>
      </c>
      <c r="B1900" t="s">
        <v>25</v>
      </c>
      <c r="C1900" t="s">
        <v>19</v>
      </c>
      <c r="D1900" t="s">
        <v>20</v>
      </c>
      <c r="E1900">
        <v>1</v>
      </c>
      <c r="F1900">
        <v>360000</v>
      </c>
      <c r="G1900" t="s">
        <v>31</v>
      </c>
      <c r="H1900" t="s">
        <v>27</v>
      </c>
      <c r="I1900" t="s">
        <v>37</v>
      </c>
      <c r="J1900" t="s">
        <v>24</v>
      </c>
      <c r="K1900" s="6">
        <f t="shared" ca="1" si="124"/>
        <v>33149</v>
      </c>
      <c r="L1900">
        <v>-12612</v>
      </c>
      <c r="M1900" s="7">
        <f t="shared" ca="1" si="122"/>
        <v>34.529774127310063</v>
      </c>
      <c r="N1900" s="5" t="str">
        <f ca="1">VLOOKUP(Data!M1900,temp!$B$3:$C$9,2,1)</f>
        <v>30-40</v>
      </c>
      <c r="O1900">
        <v>-2877</v>
      </c>
      <c r="P1900" s="8">
        <f t="shared" si="123"/>
        <v>7.8767967145790552</v>
      </c>
      <c r="Q1900" s="5" t="str">
        <f t="shared" si="125"/>
        <v>Employed</v>
      </c>
      <c r="R1900">
        <v>1</v>
      </c>
      <c r="S1900">
        <v>0</v>
      </c>
      <c r="T1900">
        <v>1</v>
      </c>
      <c r="U1900">
        <v>0</v>
      </c>
      <c r="W1900">
        <v>3</v>
      </c>
    </row>
    <row r="1901" spans="1:23" x14ac:dyDescent="0.2">
      <c r="A1901">
        <v>5062151</v>
      </c>
      <c r="B1901" t="s">
        <v>18</v>
      </c>
      <c r="C1901" t="s">
        <v>20</v>
      </c>
      <c r="D1901" t="s">
        <v>20</v>
      </c>
      <c r="E1901">
        <v>0</v>
      </c>
      <c r="F1901">
        <v>202500</v>
      </c>
      <c r="G1901" t="s">
        <v>31</v>
      </c>
      <c r="H1901" t="s">
        <v>22</v>
      </c>
      <c r="I1901" t="s">
        <v>28</v>
      </c>
      <c r="J1901" t="s">
        <v>24</v>
      </c>
      <c r="K1901" s="6">
        <f t="shared" ca="1" si="124"/>
        <v>31524</v>
      </c>
      <c r="L1901">
        <v>-14237</v>
      </c>
      <c r="M1901" s="7">
        <f t="shared" ca="1" si="122"/>
        <v>38.978781656399725</v>
      </c>
      <c r="N1901" s="5" t="str">
        <f ca="1">VLOOKUP(Data!M1901,temp!$B$3:$C$9,2,1)</f>
        <v>30-40</v>
      </c>
      <c r="O1901">
        <v>-958</v>
      </c>
      <c r="P1901" s="8">
        <f t="shared" si="123"/>
        <v>2.622861054072553</v>
      </c>
      <c r="Q1901" s="5" t="str">
        <f t="shared" si="125"/>
        <v>Employed</v>
      </c>
      <c r="R1901">
        <v>1</v>
      </c>
      <c r="S1901">
        <v>0</v>
      </c>
      <c r="T1901">
        <v>0</v>
      </c>
      <c r="U1901">
        <v>1</v>
      </c>
      <c r="V1901" t="s">
        <v>39</v>
      </c>
      <c r="W1901">
        <v>2</v>
      </c>
    </row>
    <row r="1902" spans="1:23" x14ac:dyDescent="0.2">
      <c r="A1902">
        <v>5062157</v>
      </c>
      <c r="B1902" t="s">
        <v>18</v>
      </c>
      <c r="C1902" t="s">
        <v>19</v>
      </c>
      <c r="D1902" t="s">
        <v>20</v>
      </c>
      <c r="E1902">
        <v>0</v>
      </c>
      <c r="F1902">
        <v>166500</v>
      </c>
      <c r="G1902" t="s">
        <v>26</v>
      </c>
      <c r="H1902" t="s">
        <v>22</v>
      </c>
      <c r="I1902" t="s">
        <v>42</v>
      </c>
      <c r="J1902" t="s">
        <v>24</v>
      </c>
      <c r="K1902" s="6">
        <f t="shared" ca="1" si="124"/>
        <v>25339</v>
      </c>
      <c r="L1902">
        <v>-20422</v>
      </c>
      <c r="M1902" s="7">
        <f t="shared" ca="1" si="122"/>
        <v>55.912388774811774</v>
      </c>
      <c r="N1902" s="5" t="str">
        <f ca="1">VLOOKUP(Data!M1902,temp!$B$3:$C$9,2,1)</f>
        <v>50-60</v>
      </c>
      <c r="O1902">
        <v>-2328</v>
      </c>
      <c r="P1902" s="8">
        <f t="shared" si="123"/>
        <v>6.3737166324435321</v>
      </c>
      <c r="Q1902" s="5" t="str">
        <f t="shared" si="125"/>
        <v>Employed</v>
      </c>
      <c r="R1902">
        <v>1</v>
      </c>
      <c r="S1902">
        <v>0</v>
      </c>
      <c r="T1902">
        <v>0</v>
      </c>
      <c r="U1902">
        <v>0</v>
      </c>
      <c r="V1902" t="s">
        <v>46</v>
      </c>
      <c r="W1902">
        <v>1</v>
      </c>
    </row>
    <row r="1903" spans="1:23" x14ac:dyDescent="0.2">
      <c r="A1903">
        <v>5062167</v>
      </c>
      <c r="B1903" t="s">
        <v>18</v>
      </c>
      <c r="C1903" t="s">
        <v>19</v>
      </c>
      <c r="D1903" t="s">
        <v>20</v>
      </c>
      <c r="E1903">
        <v>0</v>
      </c>
      <c r="F1903">
        <v>135000</v>
      </c>
      <c r="G1903" t="s">
        <v>21</v>
      </c>
      <c r="H1903" t="s">
        <v>27</v>
      </c>
      <c r="I1903" t="s">
        <v>42</v>
      </c>
      <c r="J1903" t="s">
        <v>24</v>
      </c>
      <c r="K1903" s="6">
        <f t="shared" ca="1" si="124"/>
        <v>21437</v>
      </c>
      <c r="L1903">
        <v>-24324</v>
      </c>
      <c r="M1903" s="7">
        <f t="shared" ca="1" si="122"/>
        <v>66.595482546201225</v>
      </c>
      <c r="N1903" s="5" t="str">
        <f ca="1">VLOOKUP(Data!M1903,temp!$B$3:$C$9,2,1)</f>
        <v>60-70</v>
      </c>
      <c r="O1903">
        <v>365243</v>
      </c>
      <c r="P1903" s="8">
        <f t="shared" si="123"/>
        <v>0</v>
      </c>
      <c r="Q1903" s="5" t="str">
        <f t="shared" si="125"/>
        <v>Unemployed</v>
      </c>
      <c r="R1903">
        <v>1</v>
      </c>
      <c r="S1903">
        <v>0</v>
      </c>
      <c r="T1903">
        <v>0</v>
      </c>
      <c r="U1903">
        <v>0</v>
      </c>
      <c r="W1903">
        <v>1</v>
      </c>
    </row>
    <row r="1904" spans="1:23" x14ac:dyDescent="0.2">
      <c r="A1904">
        <v>5062170</v>
      </c>
      <c r="B1904" t="s">
        <v>18</v>
      </c>
      <c r="C1904" t="s">
        <v>19</v>
      </c>
      <c r="D1904" t="s">
        <v>20</v>
      </c>
      <c r="E1904">
        <v>0</v>
      </c>
      <c r="F1904">
        <v>135000</v>
      </c>
      <c r="G1904" t="s">
        <v>21</v>
      </c>
      <c r="H1904" t="s">
        <v>27</v>
      </c>
      <c r="I1904" t="s">
        <v>42</v>
      </c>
      <c r="J1904" t="s">
        <v>24</v>
      </c>
      <c r="K1904" s="6">
        <f t="shared" ca="1" si="124"/>
        <v>21437</v>
      </c>
      <c r="L1904">
        <v>-24324</v>
      </c>
      <c r="M1904" s="7">
        <f t="shared" ca="1" si="122"/>
        <v>66.595482546201225</v>
      </c>
      <c r="N1904" s="5" t="str">
        <f ca="1">VLOOKUP(Data!M1904,temp!$B$3:$C$9,2,1)</f>
        <v>60-70</v>
      </c>
      <c r="O1904">
        <v>365243</v>
      </c>
      <c r="P1904" s="8">
        <f t="shared" si="123"/>
        <v>0</v>
      </c>
      <c r="Q1904" s="5" t="str">
        <f t="shared" si="125"/>
        <v>Unemployed</v>
      </c>
      <c r="R1904">
        <v>1</v>
      </c>
      <c r="S1904">
        <v>0</v>
      </c>
      <c r="T1904">
        <v>0</v>
      </c>
      <c r="U1904">
        <v>0</v>
      </c>
      <c r="W1904">
        <v>1</v>
      </c>
    </row>
    <row r="1905" spans="1:23" x14ac:dyDescent="0.2">
      <c r="A1905">
        <v>5062173</v>
      </c>
      <c r="B1905" t="s">
        <v>18</v>
      </c>
      <c r="C1905" t="s">
        <v>19</v>
      </c>
      <c r="D1905" t="s">
        <v>20</v>
      </c>
      <c r="E1905">
        <v>2</v>
      </c>
      <c r="F1905">
        <v>135000</v>
      </c>
      <c r="G1905" t="s">
        <v>26</v>
      </c>
      <c r="H1905" t="s">
        <v>27</v>
      </c>
      <c r="I1905" t="s">
        <v>28</v>
      </c>
      <c r="J1905" t="s">
        <v>24</v>
      </c>
      <c r="K1905" s="6">
        <f t="shared" ca="1" si="124"/>
        <v>30399</v>
      </c>
      <c r="L1905">
        <v>-15362</v>
      </c>
      <c r="M1905" s="7">
        <f t="shared" ca="1" si="122"/>
        <v>42.058863791923343</v>
      </c>
      <c r="N1905" s="5" t="str">
        <f ca="1">VLOOKUP(Data!M1905,temp!$B$3:$C$9,2,1)</f>
        <v>40-50</v>
      </c>
      <c r="O1905">
        <v>-897</v>
      </c>
      <c r="P1905" s="8">
        <f t="shared" si="123"/>
        <v>2.4558521560574951</v>
      </c>
      <c r="Q1905" s="5" t="str">
        <f t="shared" si="125"/>
        <v>Employed</v>
      </c>
      <c r="R1905">
        <v>1</v>
      </c>
      <c r="S1905">
        <v>0</v>
      </c>
      <c r="T1905">
        <v>0</v>
      </c>
      <c r="U1905">
        <v>0</v>
      </c>
      <c r="V1905" t="s">
        <v>39</v>
      </c>
      <c r="W1905">
        <v>4</v>
      </c>
    </row>
    <row r="1906" spans="1:23" x14ac:dyDescent="0.2">
      <c r="A1906">
        <v>5062175</v>
      </c>
      <c r="B1906" t="s">
        <v>18</v>
      </c>
      <c r="C1906" t="s">
        <v>19</v>
      </c>
      <c r="D1906" t="s">
        <v>20</v>
      </c>
      <c r="E1906">
        <v>2</v>
      </c>
      <c r="F1906">
        <v>135000</v>
      </c>
      <c r="G1906" t="s">
        <v>26</v>
      </c>
      <c r="H1906" t="s">
        <v>27</v>
      </c>
      <c r="I1906" t="s">
        <v>28</v>
      </c>
      <c r="J1906" t="s">
        <v>24</v>
      </c>
      <c r="K1906" s="6">
        <f t="shared" ca="1" si="124"/>
        <v>30399</v>
      </c>
      <c r="L1906">
        <v>-15362</v>
      </c>
      <c r="M1906" s="7">
        <f t="shared" ca="1" si="122"/>
        <v>42.058863791923343</v>
      </c>
      <c r="N1906" s="5" t="str">
        <f ca="1">VLOOKUP(Data!M1906,temp!$B$3:$C$9,2,1)</f>
        <v>40-50</v>
      </c>
      <c r="O1906">
        <v>-897</v>
      </c>
      <c r="P1906" s="8">
        <f t="shared" si="123"/>
        <v>2.4558521560574951</v>
      </c>
      <c r="Q1906" s="5" t="str">
        <f t="shared" si="125"/>
        <v>Employed</v>
      </c>
      <c r="R1906">
        <v>1</v>
      </c>
      <c r="S1906">
        <v>0</v>
      </c>
      <c r="T1906">
        <v>0</v>
      </c>
      <c r="U1906">
        <v>0</v>
      </c>
      <c r="V1906" t="s">
        <v>39</v>
      </c>
      <c r="W1906">
        <v>4</v>
      </c>
    </row>
    <row r="1907" spans="1:23" x14ac:dyDescent="0.2">
      <c r="A1907">
        <v>5062176</v>
      </c>
      <c r="B1907" t="s">
        <v>18</v>
      </c>
      <c r="C1907" t="s">
        <v>19</v>
      </c>
      <c r="D1907" t="s">
        <v>20</v>
      </c>
      <c r="E1907">
        <v>2</v>
      </c>
      <c r="F1907">
        <v>135000</v>
      </c>
      <c r="G1907" t="s">
        <v>26</v>
      </c>
      <c r="H1907" t="s">
        <v>27</v>
      </c>
      <c r="I1907" t="s">
        <v>28</v>
      </c>
      <c r="J1907" t="s">
        <v>24</v>
      </c>
      <c r="K1907" s="6">
        <f t="shared" ca="1" si="124"/>
        <v>30399</v>
      </c>
      <c r="L1907">
        <v>-15362</v>
      </c>
      <c r="M1907" s="7">
        <f t="shared" ca="1" si="122"/>
        <v>42.058863791923343</v>
      </c>
      <c r="N1907" s="5" t="str">
        <f ca="1">VLOOKUP(Data!M1907,temp!$B$3:$C$9,2,1)</f>
        <v>40-50</v>
      </c>
      <c r="O1907">
        <v>-897</v>
      </c>
      <c r="P1907" s="8">
        <f t="shared" si="123"/>
        <v>2.4558521560574951</v>
      </c>
      <c r="Q1907" s="5" t="str">
        <f t="shared" si="125"/>
        <v>Employed</v>
      </c>
      <c r="R1907">
        <v>1</v>
      </c>
      <c r="S1907">
        <v>0</v>
      </c>
      <c r="T1907">
        <v>0</v>
      </c>
      <c r="U1907">
        <v>0</v>
      </c>
      <c r="V1907" t="s">
        <v>39</v>
      </c>
      <c r="W1907">
        <v>4</v>
      </c>
    </row>
    <row r="1908" spans="1:23" x14ac:dyDescent="0.2">
      <c r="A1908">
        <v>5062182</v>
      </c>
      <c r="B1908" t="s">
        <v>18</v>
      </c>
      <c r="C1908" t="s">
        <v>20</v>
      </c>
      <c r="D1908" t="s">
        <v>20</v>
      </c>
      <c r="E1908">
        <v>2</v>
      </c>
      <c r="F1908">
        <v>144000</v>
      </c>
      <c r="G1908" t="s">
        <v>31</v>
      </c>
      <c r="H1908" t="s">
        <v>22</v>
      </c>
      <c r="I1908" t="s">
        <v>28</v>
      </c>
      <c r="J1908" t="s">
        <v>24</v>
      </c>
      <c r="K1908" s="6">
        <f t="shared" ca="1" si="124"/>
        <v>31470</v>
      </c>
      <c r="L1908">
        <v>-14291</v>
      </c>
      <c r="M1908" s="7">
        <f t="shared" ca="1" si="122"/>
        <v>39.126625598904859</v>
      </c>
      <c r="N1908" s="5" t="str">
        <f ca="1">VLOOKUP(Data!M1908,temp!$B$3:$C$9,2,1)</f>
        <v>30-40</v>
      </c>
      <c r="O1908">
        <v>-532</v>
      </c>
      <c r="P1908" s="8">
        <f t="shared" si="123"/>
        <v>1.4565366187542779</v>
      </c>
      <c r="Q1908" s="5" t="str">
        <f t="shared" si="125"/>
        <v>Employed</v>
      </c>
      <c r="R1908">
        <v>1</v>
      </c>
      <c r="S1908">
        <v>0</v>
      </c>
      <c r="T1908">
        <v>0</v>
      </c>
      <c r="U1908">
        <v>1</v>
      </c>
      <c r="V1908" t="s">
        <v>44</v>
      </c>
      <c r="W1908">
        <v>4</v>
      </c>
    </row>
    <row r="1909" spans="1:23" x14ac:dyDescent="0.2">
      <c r="A1909">
        <v>5062184</v>
      </c>
      <c r="B1909" t="s">
        <v>18</v>
      </c>
      <c r="C1909" t="s">
        <v>20</v>
      </c>
      <c r="D1909" t="s">
        <v>20</v>
      </c>
      <c r="E1909">
        <v>2</v>
      </c>
      <c r="F1909">
        <v>144000</v>
      </c>
      <c r="G1909" t="s">
        <v>31</v>
      </c>
      <c r="H1909" t="s">
        <v>22</v>
      </c>
      <c r="I1909" t="s">
        <v>28</v>
      </c>
      <c r="J1909" t="s">
        <v>24</v>
      </c>
      <c r="K1909" s="6">
        <f t="shared" ca="1" si="124"/>
        <v>31470</v>
      </c>
      <c r="L1909">
        <v>-14291</v>
      </c>
      <c r="M1909" s="7">
        <f t="shared" ca="1" si="122"/>
        <v>39.126625598904859</v>
      </c>
      <c r="N1909" s="5" t="str">
        <f ca="1">VLOOKUP(Data!M1909,temp!$B$3:$C$9,2,1)</f>
        <v>30-40</v>
      </c>
      <c r="O1909">
        <v>-532</v>
      </c>
      <c r="P1909" s="8">
        <f t="shared" si="123"/>
        <v>1.4565366187542779</v>
      </c>
      <c r="Q1909" s="5" t="str">
        <f t="shared" si="125"/>
        <v>Employed</v>
      </c>
      <c r="R1909">
        <v>1</v>
      </c>
      <c r="S1909">
        <v>0</v>
      </c>
      <c r="T1909">
        <v>0</v>
      </c>
      <c r="U1909">
        <v>1</v>
      </c>
      <c r="V1909" t="s">
        <v>44</v>
      </c>
      <c r="W1909">
        <v>4</v>
      </c>
    </row>
    <row r="1910" spans="1:23" x14ac:dyDescent="0.2">
      <c r="A1910">
        <v>5062185</v>
      </c>
      <c r="B1910" t="s">
        <v>18</v>
      </c>
      <c r="C1910" t="s">
        <v>20</v>
      </c>
      <c r="D1910" t="s">
        <v>20</v>
      </c>
      <c r="E1910">
        <v>2</v>
      </c>
      <c r="F1910">
        <v>144000</v>
      </c>
      <c r="G1910" t="s">
        <v>31</v>
      </c>
      <c r="H1910" t="s">
        <v>22</v>
      </c>
      <c r="I1910" t="s">
        <v>28</v>
      </c>
      <c r="J1910" t="s">
        <v>24</v>
      </c>
      <c r="K1910" s="6">
        <f t="shared" ca="1" si="124"/>
        <v>31470</v>
      </c>
      <c r="L1910">
        <v>-14291</v>
      </c>
      <c r="M1910" s="7">
        <f t="shared" ca="1" si="122"/>
        <v>39.126625598904859</v>
      </c>
      <c r="N1910" s="5" t="str">
        <f ca="1">VLOOKUP(Data!M1910,temp!$B$3:$C$9,2,1)</f>
        <v>30-40</v>
      </c>
      <c r="O1910">
        <v>-532</v>
      </c>
      <c r="P1910" s="8">
        <f t="shared" si="123"/>
        <v>1.4565366187542779</v>
      </c>
      <c r="Q1910" s="5" t="str">
        <f t="shared" si="125"/>
        <v>Employed</v>
      </c>
      <c r="R1910">
        <v>1</v>
      </c>
      <c r="S1910">
        <v>0</v>
      </c>
      <c r="T1910">
        <v>0</v>
      </c>
      <c r="U1910">
        <v>1</v>
      </c>
      <c r="V1910" t="s">
        <v>44</v>
      </c>
      <c r="W1910">
        <v>4</v>
      </c>
    </row>
    <row r="1911" spans="1:23" x14ac:dyDescent="0.2">
      <c r="A1911">
        <v>5062199</v>
      </c>
      <c r="B1911" t="s">
        <v>18</v>
      </c>
      <c r="C1911" t="s">
        <v>19</v>
      </c>
      <c r="D1911" t="s">
        <v>20</v>
      </c>
      <c r="E1911">
        <v>0</v>
      </c>
      <c r="F1911">
        <v>112500</v>
      </c>
      <c r="G1911" t="s">
        <v>26</v>
      </c>
      <c r="H1911" t="s">
        <v>22</v>
      </c>
      <c r="I1911" t="s">
        <v>28</v>
      </c>
      <c r="J1911" t="s">
        <v>24</v>
      </c>
      <c r="K1911" s="6">
        <f t="shared" ca="1" si="124"/>
        <v>28289</v>
      </c>
      <c r="L1911">
        <v>-17472</v>
      </c>
      <c r="M1911" s="7">
        <f t="shared" ca="1" si="122"/>
        <v>47.835728952772072</v>
      </c>
      <c r="N1911" s="5" t="str">
        <f ca="1">VLOOKUP(Data!M1911,temp!$B$3:$C$9,2,1)</f>
        <v>40-50</v>
      </c>
      <c r="O1911">
        <v>-1202</v>
      </c>
      <c r="P1911" s="8">
        <f t="shared" si="123"/>
        <v>3.2908966461327855</v>
      </c>
      <c r="Q1911" s="5" t="str">
        <f t="shared" si="125"/>
        <v>Employed</v>
      </c>
      <c r="R1911">
        <v>1</v>
      </c>
      <c r="S1911">
        <v>1</v>
      </c>
      <c r="T1911">
        <v>1</v>
      </c>
      <c r="U1911">
        <v>0</v>
      </c>
      <c r="W1911">
        <v>2</v>
      </c>
    </row>
    <row r="1912" spans="1:23" x14ac:dyDescent="0.2">
      <c r="A1912">
        <v>5062201</v>
      </c>
      <c r="B1912" t="s">
        <v>18</v>
      </c>
      <c r="C1912" t="s">
        <v>19</v>
      </c>
      <c r="D1912" t="s">
        <v>20</v>
      </c>
      <c r="E1912">
        <v>0</v>
      </c>
      <c r="F1912">
        <v>112500</v>
      </c>
      <c r="G1912" t="s">
        <v>26</v>
      </c>
      <c r="H1912" t="s">
        <v>22</v>
      </c>
      <c r="I1912" t="s">
        <v>28</v>
      </c>
      <c r="J1912" t="s">
        <v>24</v>
      </c>
      <c r="K1912" s="6">
        <f t="shared" ca="1" si="124"/>
        <v>28289</v>
      </c>
      <c r="L1912">
        <v>-17472</v>
      </c>
      <c r="M1912" s="7">
        <f t="shared" ca="1" si="122"/>
        <v>47.835728952772072</v>
      </c>
      <c r="N1912" s="5" t="str">
        <f ca="1">VLOOKUP(Data!M1912,temp!$B$3:$C$9,2,1)</f>
        <v>40-50</v>
      </c>
      <c r="O1912">
        <v>-1202</v>
      </c>
      <c r="P1912" s="8">
        <f t="shared" si="123"/>
        <v>3.2908966461327855</v>
      </c>
      <c r="Q1912" s="5" t="str">
        <f t="shared" si="125"/>
        <v>Employed</v>
      </c>
      <c r="R1912">
        <v>1</v>
      </c>
      <c r="S1912">
        <v>1</v>
      </c>
      <c r="T1912">
        <v>1</v>
      </c>
      <c r="U1912">
        <v>0</v>
      </c>
      <c r="W1912">
        <v>2</v>
      </c>
    </row>
    <row r="1913" spans="1:23" x14ac:dyDescent="0.2">
      <c r="A1913">
        <v>5062213</v>
      </c>
      <c r="B1913" t="s">
        <v>18</v>
      </c>
      <c r="C1913" t="s">
        <v>19</v>
      </c>
      <c r="D1913" t="s">
        <v>20</v>
      </c>
      <c r="E1913">
        <v>2</v>
      </c>
      <c r="F1913">
        <v>153000</v>
      </c>
      <c r="G1913" t="s">
        <v>26</v>
      </c>
      <c r="H1913" t="s">
        <v>22</v>
      </c>
      <c r="I1913" t="s">
        <v>28</v>
      </c>
      <c r="J1913" t="s">
        <v>24</v>
      </c>
      <c r="K1913" s="6">
        <f t="shared" ca="1" si="124"/>
        <v>32478</v>
      </c>
      <c r="L1913">
        <v>-13283</v>
      </c>
      <c r="M1913" s="7">
        <f t="shared" ca="1" si="122"/>
        <v>36.366872005475699</v>
      </c>
      <c r="N1913" s="5" t="str">
        <f ca="1">VLOOKUP(Data!M1913,temp!$B$3:$C$9,2,1)</f>
        <v>30-40</v>
      </c>
      <c r="O1913">
        <v>-1324</v>
      </c>
      <c r="P1913" s="8">
        <f t="shared" si="123"/>
        <v>3.6249144421629023</v>
      </c>
      <c r="Q1913" s="5" t="str">
        <f t="shared" si="125"/>
        <v>Employed</v>
      </c>
      <c r="R1913">
        <v>1</v>
      </c>
      <c r="S1913">
        <v>0</v>
      </c>
      <c r="T1913">
        <v>0</v>
      </c>
      <c r="U1913">
        <v>0</v>
      </c>
      <c r="V1913" t="s">
        <v>44</v>
      </c>
      <c r="W1913">
        <v>4</v>
      </c>
    </row>
    <row r="1914" spans="1:23" x14ac:dyDescent="0.2">
      <c r="A1914">
        <v>5062214</v>
      </c>
      <c r="B1914" t="s">
        <v>18</v>
      </c>
      <c r="C1914" t="s">
        <v>19</v>
      </c>
      <c r="D1914" t="s">
        <v>20</v>
      </c>
      <c r="E1914">
        <v>2</v>
      </c>
      <c r="F1914">
        <v>153000</v>
      </c>
      <c r="G1914" t="s">
        <v>26</v>
      </c>
      <c r="H1914" t="s">
        <v>22</v>
      </c>
      <c r="I1914" t="s">
        <v>28</v>
      </c>
      <c r="J1914" t="s">
        <v>24</v>
      </c>
      <c r="K1914" s="6">
        <f t="shared" ca="1" si="124"/>
        <v>32478</v>
      </c>
      <c r="L1914">
        <v>-13283</v>
      </c>
      <c r="M1914" s="7">
        <f t="shared" ca="1" si="122"/>
        <v>36.366872005475699</v>
      </c>
      <c r="N1914" s="5" t="str">
        <f ca="1">VLOOKUP(Data!M1914,temp!$B$3:$C$9,2,1)</f>
        <v>30-40</v>
      </c>
      <c r="O1914">
        <v>-1324</v>
      </c>
      <c r="P1914" s="8">
        <f t="shared" si="123"/>
        <v>3.6249144421629023</v>
      </c>
      <c r="Q1914" s="5" t="str">
        <f t="shared" si="125"/>
        <v>Employed</v>
      </c>
      <c r="R1914">
        <v>1</v>
      </c>
      <c r="S1914">
        <v>0</v>
      </c>
      <c r="T1914">
        <v>0</v>
      </c>
      <c r="U1914">
        <v>0</v>
      </c>
      <c r="V1914" t="s">
        <v>44</v>
      </c>
      <c r="W1914">
        <v>4</v>
      </c>
    </row>
    <row r="1915" spans="1:23" x14ac:dyDescent="0.2">
      <c r="A1915">
        <v>5062218</v>
      </c>
      <c r="B1915" t="s">
        <v>18</v>
      </c>
      <c r="C1915" t="s">
        <v>19</v>
      </c>
      <c r="D1915" t="s">
        <v>20</v>
      </c>
      <c r="E1915">
        <v>2</v>
      </c>
      <c r="F1915">
        <v>153000</v>
      </c>
      <c r="G1915" t="s">
        <v>26</v>
      </c>
      <c r="H1915" t="s">
        <v>22</v>
      </c>
      <c r="I1915" t="s">
        <v>28</v>
      </c>
      <c r="J1915" t="s">
        <v>24</v>
      </c>
      <c r="K1915" s="6">
        <f t="shared" ca="1" si="124"/>
        <v>32478</v>
      </c>
      <c r="L1915">
        <v>-13283</v>
      </c>
      <c r="M1915" s="7">
        <f t="shared" ca="1" si="122"/>
        <v>36.366872005475699</v>
      </c>
      <c r="N1915" s="5" t="str">
        <f ca="1">VLOOKUP(Data!M1915,temp!$B$3:$C$9,2,1)</f>
        <v>30-40</v>
      </c>
      <c r="O1915">
        <v>-1324</v>
      </c>
      <c r="P1915" s="8">
        <f t="shared" si="123"/>
        <v>3.6249144421629023</v>
      </c>
      <c r="Q1915" s="5" t="str">
        <f t="shared" si="125"/>
        <v>Employed</v>
      </c>
      <c r="R1915">
        <v>1</v>
      </c>
      <c r="S1915">
        <v>0</v>
      </c>
      <c r="T1915">
        <v>0</v>
      </c>
      <c r="U1915">
        <v>0</v>
      </c>
      <c r="V1915" t="s">
        <v>44</v>
      </c>
      <c r="W1915">
        <v>4</v>
      </c>
    </row>
    <row r="1916" spans="1:23" x14ac:dyDescent="0.2">
      <c r="A1916">
        <v>5062221</v>
      </c>
      <c r="B1916" t="s">
        <v>25</v>
      </c>
      <c r="C1916" t="s">
        <v>19</v>
      </c>
      <c r="D1916" t="s">
        <v>20</v>
      </c>
      <c r="E1916">
        <v>0</v>
      </c>
      <c r="F1916">
        <v>180000</v>
      </c>
      <c r="G1916" t="s">
        <v>26</v>
      </c>
      <c r="H1916" t="s">
        <v>22</v>
      </c>
      <c r="I1916" t="s">
        <v>33</v>
      </c>
      <c r="J1916" t="s">
        <v>24</v>
      </c>
      <c r="K1916" s="6">
        <f t="shared" ca="1" si="124"/>
        <v>33442</v>
      </c>
      <c r="L1916">
        <v>-12319</v>
      </c>
      <c r="M1916" s="7">
        <f t="shared" ca="1" si="122"/>
        <v>33.727583846680353</v>
      </c>
      <c r="N1916" s="5" t="str">
        <f ca="1">VLOOKUP(Data!M1916,temp!$B$3:$C$9,2,1)</f>
        <v>30-40</v>
      </c>
      <c r="O1916">
        <v>-1689</v>
      </c>
      <c r="P1916" s="8">
        <f t="shared" si="123"/>
        <v>4.6242299794661195</v>
      </c>
      <c r="Q1916" s="5" t="str">
        <f t="shared" si="125"/>
        <v>Employed</v>
      </c>
      <c r="R1916">
        <v>1</v>
      </c>
      <c r="S1916">
        <v>0</v>
      </c>
      <c r="T1916">
        <v>0</v>
      </c>
      <c r="U1916">
        <v>0</v>
      </c>
      <c r="W1916">
        <v>1</v>
      </c>
    </row>
    <row r="1917" spans="1:23" x14ac:dyDescent="0.2">
      <c r="A1917">
        <v>5062241</v>
      </c>
      <c r="B1917" t="s">
        <v>18</v>
      </c>
      <c r="C1917" t="s">
        <v>20</v>
      </c>
      <c r="D1917" t="s">
        <v>19</v>
      </c>
      <c r="E1917">
        <v>0</v>
      </c>
      <c r="F1917">
        <v>315000</v>
      </c>
      <c r="G1917" t="s">
        <v>31</v>
      </c>
      <c r="H1917" t="s">
        <v>27</v>
      </c>
      <c r="I1917" t="s">
        <v>28</v>
      </c>
      <c r="J1917" t="s">
        <v>24</v>
      </c>
      <c r="K1917" s="6">
        <f t="shared" ca="1" si="124"/>
        <v>26320</v>
      </c>
      <c r="L1917">
        <v>-19441</v>
      </c>
      <c r="M1917" s="7">
        <f t="shared" ca="1" si="122"/>
        <v>53.226557152635181</v>
      </c>
      <c r="N1917" s="5" t="str">
        <f ca="1">VLOOKUP(Data!M1917,temp!$B$3:$C$9,2,1)</f>
        <v>50-60</v>
      </c>
      <c r="O1917">
        <v>-4064</v>
      </c>
      <c r="P1917" s="8">
        <f t="shared" si="123"/>
        <v>11.126625598904859</v>
      </c>
      <c r="Q1917" s="5" t="str">
        <f t="shared" si="125"/>
        <v>Employed</v>
      </c>
      <c r="R1917">
        <v>1</v>
      </c>
      <c r="S1917">
        <v>0</v>
      </c>
      <c r="T1917">
        <v>0</v>
      </c>
      <c r="U1917">
        <v>0</v>
      </c>
      <c r="V1917" t="s">
        <v>32</v>
      </c>
      <c r="W1917">
        <v>2</v>
      </c>
    </row>
    <row r="1918" spans="1:23" x14ac:dyDescent="0.2">
      <c r="A1918">
        <v>5062243</v>
      </c>
      <c r="B1918" t="s">
        <v>18</v>
      </c>
      <c r="C1918" t="s">
        <v>20</v>
      </c>
      <c r="D1918" t="s">
        <v>19</v>
      </c>
      <c r="E1918">
        <v>0</v>
      </c>
      <c r="F1918">
        <v>315000</v>
      </c>
      <c r="G1918" t="s">
        <v>31</v>
      </c>
      <c r="H1918" t="s">
        <v>27</v>
      </c>
      <c r="I1918" t="s">
        <v>28</v>
      </c>
      <c r="J1918" t="s">
        <v>24</v>
      </c>
      <c r="K1918" s="6">
        <f t="shared" ca="1" si="124"/>
        <v>26320</v>
      </c>
      <c r="L1918">
        <v>-19441</v>
      </c>
      <c r="M1918" s="7">
        <f t="shared" ca="1" si="122"/>
        <v>53.226557152635181</v>
      </c>
      <c r="N1918" s="5" t="str">
        <f ca="1">VLOOKUP(Data!M1918,temp!$B$3:$C$9,2,1)</f>
        <v>50-60</v>
      </c>
      <c r="O1918">
        <v>-4064</v>
      </c>
      <c r="P1918" s="8">
        <f t="shared" si="123"/>
        <v>11.126625598904859</v>
      </c>
      <c r="Q1918" s="5" t="str">
        <f t="shared" si="125"/>
        <v>Employed</v>
      </c>
      <c r="R1918">
        <v>1</v>
      </c>
      <c r="S1918">
        <v>0</v>
      </c>
      <c r="T1918">
        <v>0</v>
      </c>
      <c r="U1918">
        <v>0</v>
      </c>
      <c r="V1918" t="s">
        <v>32</v>
      </c>
      <c r="W1918">
        <v>2</v>
      </c>
    </row>
    <row r="1919" spans="1:23" x14ac:dyDescent="0.2">
      <c r="A1919">
        <v>5062245</v>
      </c>
      <c r="B1919" t="s">
        <v>18</v>
      </c>
      <c r="C1919" t="s">
        <v>20</v>
      </c>
      <c r="D1919" t="s">
        <v>19</v>
      </c>
      <c r="E1919">
        <v>0</v>
      </c>
      <c r="F1919">
        <v>315000</v>
      </c>
      <c r="G1919" t="s">
        <v>31</v>
      </c>
      <c r="H1919" t="s">
        <v>27</v>
      </c>
      <c r="I1919" t="s">
        <v>28</v>
      </c>
      <c r="J1919" t="s">
        <v>24</v>
      </c>
      <c r="K1919" s="6">
        <f t="shared" ca="1" si="124"/>
        <v>26320</v>
      </c>
      <c r="L1919">
        <v>-19441</v>
      </c>
      <c r="M1919" s="7">
        <f t="shared" ca="1" si="122"/>
        <v>53.226557152635181</v>
      </c>
      <c r="N1919" s="5" t="str">
        <f ca="1">VLOOKUP(Data!M1919,temp!$B$3:$C$9,2,1)</f>
        <v>50-60</v>
      </c>
      <c r="O1919">
        <v>-4064</v>
      </c>
      <c r="P1919" s="8">
        <f t="shared" si="123"/>
        <v>11.126625598904859</v>
      </c>
      <c r="Q1919" s="5" t="str">
        <f t="shared" si="125"/>
        <v>Employed</v>
      </c>
      <c r="R1919">
        <v>1</v>
      </c>
      <c r="S1919">
        <v>0</v>
      </c>
      <c r="T1919">
        <v>0</v>
      </c>
      <c r="U1919">
        <v>0</v>
      </c>
      <c r="V1919" t="s">
        <v>32</v>
      </c>
      <c r="W1919">
        <v>2</v>
      </c>
    </row>
    <row r="1920" spans="1:23" x14ac:dyDescent="0.2">
      <c r="A1920">
        <v>5062248</v>
      </c>
      <c r="B1920" t="s">
        <v>18</v>
      </c>
      <c r="C1920" t="s">
        <v>20</v>
      </c>
      <c r="D1920" t="s">
        <v>19</v>
      </c>
      <c r="E1920">
        <v>0</v>
      </c>
      <c r="F1920">
        <v>315000</v>
      </c>
      <c r="G1920" t="s">
        <v>31</v>
      </c>
      <c r="H1920" t="s">
        <v>27</v>
      </c>
      <c r="I1920" t="s">
        <v>28</v>
      </c>
      <c r="J1920" t="s">
        <v>24</v>
      </c>
      <c r="K1920" s="6">
        <f t="shared" ca="1" si="124"/>
        <v>26320</v>
      </c>
      <c r="L1920">
        <v>-19441</v>
      </c>
      <c r="M1920" s="7">
        <f t="shared" ca="1" si="122"/>
        <v>53.226557152635181</v>
      </c>
      <c r="N1920" s="5" t="str">
        <f ca="1">VLOOKUP(Data!M1920,temp!$B$3:$C$9,2,1)</f>
        <v>50-60</v>
      </c>
      <c r="O1920">
        <v>-4064</v>
      </c>
      <c r="P1920" s="8">
        <f t="shared" si="123"/>
        <v>11.126625598904859</v>
      </c>
      <c r="Q1920" s="5" t="str">
        <f t="shared" si="125"/>
        <v>Employed</v>
      </c>
      <c r="R1920">
        <v>1</v>
      </c>
      <c r="S1920">
        <v>0</v>
      </c>
      <c r="T1920">
        <v>0</v>
      </c>
      <c r="U1920">
        <v>0</v>
      </c>
      <c r="V1920" t="s">
        <v>32</v>
      </c>
      <c r="W1920">
        <v>2</v>
      </c>
    </row>
    <row r="1921" spans="1:23" x14ac:dyDescent="0.2">
      <c r="A1921">
        <v>5062254</v>
      </c>
      <c r="B1921" t="s">
        <v>18</v>
      </c>
      <c r="C1921" t="s">
        <v>19</v>
      </c>
      <c r="D1921" t="s">
        <v>19</v>
      </c>
      <c r="E1921">
        <v>1</v>
      </c>
      <c r="F1921">
        <v>157500</v>
      </c>
      <c r="G1921" t="s">
        <v>31</v>
      </c>
      <c r="H1921" t="s">
        <v>27</v>
      </c>
      <c r="I1921" t="s">
        <v>28</v>
      </c>
      <c r="J1921" t="s">
        <v>24</v>
      </c>
      <c r="K1921" s="6">
        <f t="shared" ca="1" si="124"/>
        <v>30633</v>
      </c>
      <c r="L1921">
        <v>-15128</v>
      </c>
      <c r="M1921" s="7">
        <f t="shared" ca="1" si="122"/>
        <v>41.418206707734427</v>
      </c>
      <c r="N1921" s="5" t="str">
        <f ca="1">VLOOKUP(Data!M1921,temp!$B$3:$C$9,2,1)</f>
        <v>40-50</v>
      </c>
      <c r="O1921">
        <v>-1628</v>
      </c>
      <c r="P1921" s="8">
        <f t="shared" si="123"/>
        <v>4.4572210814510607</v>
      </c>
      <c r="Q1921" s="5" t="str">
        <f t="shared" si="125"/>
        <v>Employed</v>
      </c>
      <c r="R1921">
        <v>1</v>
      </c>
      <c r="S1921">
        <v>0</v>
      </c>
      <c r="T1921">
        <v>0</v>
      </c>
      <c r="U1921">
        <v>1</v>
      </c>
      <c r="V1921" t="s">
        <v>49</v>
      </c>
      <c r="W1921">
        <v>3</v>
      </c>
    </row>
    <row r="1922" spans="1:23" x14ac:dyDescent="0.2">
      <c r="A1922">
        <v>5062286</v>
      </c>
      <c r="B1922" t="s">
        <v>25</v>
      </c>
      <c r="C1922" t="s">
        <v>19</v>
      </c>
      <c r="D1922" t="s">
        <v>20</v>
      </c>
      <c r="E1922">
        <v>0</v>
      </c>
      <c r="F1922">
        <v>202500</v>
      </c>
      <c r="G1922" t="s">
        <v>26</v>
      </c>
      <c r="H1922" t="s">
        <v>27</v>
      </c>
      <c r="I1922" t="s">
        <v>28</v>
      </c>
      <c r="J1922" t="s">
        <v>24</v>
      </c>
      <c r="K1922" s="6">
        <f t="shared" ca="1" si="124"/>
        <v>37408</v>
      </c>
      <c r="L1922">
        <v>-8353</v>
      </c>
      <c r="M1922" s="7">
        <f t="shared" ca="1" si="122"/>
        <v>22.869267624914443</v>
      </c>
      <c r="N1922" s="5" t="str">
        <f ca="1">VLOOKUP(Data!M1922,temp!$B$3:$C$9,2,1)</f>
        <v>20-30</v>
      </c>
      <c r="O1922">
        <v>-1081</v>
      </c>
      <c r="P1922" s="8">
        <f t="shared" si="123"/>
        <v>2.9596167008898013</v>
      </c>
      <c r="Q1922" s="5" t="str">
        <f t="shared" si="125"/>
        <v>Employed</v>
      </c>
      <c r="R1922">
        <v>1</v>
      </c>
      <c r="S1922">
        <v>1</v>
      </c>
      <c r="T1922">
        <v>0</v>
      </c>
      <c r="U1922">
        <v>1</v>
      </c>
      <c r="V1922" t="s">
        <v>38</v>
      </c>
      <c r="W1922">
        <v>2</v>
      </c>
    </row>
    <row r="1923" spans="1:23" x14ac:dyDescent="0.2">
      <c r="A1923">
        <v>5062304</v>
      </c>
      <c r="B1923" t="s">
        <v>18</v>
      </c>
      <c r="C1923" t="s">
        <v>19</v>
      </c>
      <c r="D1923" t="s">
        <v>20</v>
      </c>
      <c r="E1923">
        <v>0</v>
      </c>
      <c r="F1923">
        <v>121500</v>
      </c>
      <c r="G1923" t="s">
        <v>26</v>
      </c>
      <c r="H1923" t="s">
        <v>27</v>
      </c>
      <c r="I1923" t="s">
        <v>28</v>
      </c>
      <c r="J1923" t="s">
        <v>24</v>
      </c>
      <c r="K1923" s="6">
        <f t="shared" ca="1" si="124"/>
        <v>27926</v>
      </c>
      <c r="L1923">
        <v>-17835</v>
      </c>
      <c r="M1923" s="7">
        <f t="shared" ref="M1923:M1986" ca="1" si="126">(TODAY()-K1923)/365.25</f>
        <v>48.829568788501028</v>
      </c>
      <c r="N1923" s="5" t="str">
        <f ca="1">VLOOKUP(Data!M1923,temp!$B$3:$C$9,2,1)</f>
        <v>40-50</v>
      </c>
      <c r="O1923">
        <v>-3273</v>
      </c>
      <c r="P1923" s="8">
        <f t="shared" ref="P1923:P1986" si="127">IF(O1923&lt;=0,ABS(O1923)/365.25,0)</f>
        <v>8.9609856262833674</v>
      </c>
      <c r="Q1923" s="5" t="str">
        <f t="shared" si="125"/>
        <v>Employed</v>
      </c>
      <c r="R1923">
        <v>1</v>
      </c>
      <c r="S1923">
        <v>0</v>
      </c>
      <c r="T1923">
        <v>0</v>
      </c>
      <c r="U1923">
        <v>0</v>
      </c>
      <c r="V1923" t="s">
        <v>38</v>
      </c>
      <c r="W1923">
        <v>2</v>
      </c>
    </row>
    <row r="1924" spans="1:23" x14ac:dyDescent="0.2">
      <c r="A1924">
        <v>5062337</v>
      </c>
      <c r="B1924" t="s">
        <v>25</v>
      </c>
      <c r="C1924" t="s">
        <v>19</v>
      </c>
      <c r="D1924" t="s">
        <v>20</v>
      </c>
      <c r="E1924">
        <v>1</v>
      </c>
      <c r="F1924">
        <v>202500</v>
      </c>
      <c r="G1924" t="s">
        <v>26</v>
      </c>
      <c r="H1924" t="s">
        <v>27</v>
      </c>
      <c r="I1924" t="s">
        <v>28</v>
      </c>
      <c r="J1924" t="s">
        <v>24</v>
      </c>
      <c r="K1924" s="6">
        <f t="shared" ca="1" si="124"/>
        <v>30676</v>
      </c>
      <c r="L1924">
        <v>-15085</v>
      </c>
      <c r="M1924" s="7">
        <f t="shared" ca="1" si="126"/>
        <v>41.300479123887747</v>
      </c>
      <c r="N1924" s="5" t="str">
        <f ca="1">VLOOKUP(Data!M1924,temp!$B$3:$C$9,2,1)</f>
        <v>40-50</v>
      </c>
      <c r="O1924">
        <v>-4033</v>
      </c>
      <c r="P1924" s="8">
        <f t="shared" si="127"/>
        <v>11.041752224503764</v>
      </c>
      <c r="Q1924" s="5" t="str">
        <f t="shared" si="125"/>
        <v>Employed</v>
      </c>
      <c r="R1924">
        <v>1</v>
      </c>
      <c r="S1924">
        <v>0</v>
      </c>
      <c r="T1924">
        <v>0</v>
      </c>
      <c r="U1924">
        <v>1</v>
      </c>
      <c r="W1924">
        <v>3</v>
      </c>
    </row>
    <row r="1925" spans="1:23" x14ac:dyDescent="0.2">
      <c r="A1925">
        <v>5062342</v>
      </c>
      <c r="B1925" t="s">
        <v>25</v>
      </c>
      <c r="C1925" t="s">
        <v>20</v>
      </c>
      <c r="D1925" t="s">
        <v>20</v>
      </c>
      <c r="E1925">
        <v>0</v>
      </c>
      <c r="F1925">
        <v>112500</v>
      </c>
      <c r="G1925" t="s">
        <v>31</v>
      </c>
      <c r="H1925" t="s">
        <v>27</v>
      </c>
      <c r="I1925" t="s">
        <v>33</v>
      </c>
      <c r="J1925" t="s">
        <v>24</v>
      </c>
      <c r="K1925" s="6">
        <f t="shared" ca="1" si="124"/>
        <v>37026</v>
      </c>
      <c r="L1925">
        <v>-8735</v>
      </c>
      <c r="M1925" s="7">
        <f t="shared" ca="1" si="126"/>
        <v>23.915126625598905</v>
      </c>
      <c r="N1925" s="5" t="str">
        <f ca="1">VLOOKUP(Data!M1925,temp!$B$3:$C$9,2,1)</f>
        <v>20-30</v>
      </c>
      <c r="O1925">
        <v>-198</v>
      </c>
      <c r="P1925" s="8">
        <f t="shared" si="127"/>
        <v>0.5420944558521561</v>
      </c>
      <c r="Q1925" s="5" t="str">
        <f t="shared" si="125"/>
        <v>Employed</v>
      </c>
      <c r="R1925">
        <v>1</v>
      </c>
      <c r="S1925">
        <v>0</v>
      </c>
      <c r="T1925">
        <v>0</v>
      </c>
      <c r="U1925">
        <v>1</v>
      </c>
      <c r="W1925">
        <v>1</v>
      </c>
    </row>
    <row r="1926" spans="1:23" x14ac:dyDescent="0.2">
      <c r="A1926">
        <v>5062364</v>
      </c>
      <c r="B1926" t="s">
        <v>18</v>
      </c>
      <c r="C1926" t="s">
        <v>20</v>
      </c>
      <c r="D1926" t="s">
        <v>20</v>
      </c>
      <c r="E1926">
        <v>0</v>
      </c>
      <c r="F1926">
        <v>202500</v>
      </c>
      <c r="G1926" t="s">
        <v>31</v>
      </c>
      <c r="H1926" t="s">
        <v>27</v>
      </c>
      <c r="I1926" t="s">
        <v>28</v>
      </c>
      <c r="J1926" t="s">
        <v>24</v>
      </c>
      <c r="K1926" s="6">
        <f t="shared" ca="1" si="124"/>
        <v>35197</v>
      </c>
      <c r="L1926">
        <v>-10564</v>
      </c>
      <c r="M1926" s="7">
        <f t="shared" ca="1" si="126"/>
        <v>28.922655715263517</v>
      </c>
      <c r="N1926" s="5" t="str">
        <f ca="1">VLOOKUP(Data!M1926,temp!$B$3:$C$9,2,1)</f>
        <v>20-30</v>
      </c>
      <c r="O1926">
        <v>-897</v>
      </c>
      <c r="P1926" s="8">
        <f t="shared" si="127"/>
        <v>2.4558521560574951</v>
      </c>
      <c r="Q1926" s="5" t="str">
        <f t="shared" si="125"/>
        <v>Employed</v>
      </c>
      <c r="R1926">
        <v>1</v>
      </c>
      <c r="S1926">
        <v>1</v>
      </c>
      <c r="T1926">
        <v>1</v>
      </c>
      <c r="U1926">
        <v>0</v>
      </c>
      <c r="V1926" t="s">
        <v>38</v>
      </c>
      <c r="W1926">
        <v>2</v>
      </c>
    </row>
    <row r="1927" spans="1:23" x14ac:dyDescent="0.2">
      <c r="A1927">
        <v>5062374</v>
      </c>
      <c r="B1927" t="s">
        <v>18</v>
      </c>
      <c r="C1927" t="s">
        <v>19</v>
      </c>
      <c r="D1927" t="s">
        <v>20</v>
      </c>
      <c r="E1927">
        <v>0</v>
      </c>
      <c r="F1927">
        <v>121500</v>
      </c>
      <c r="G1927" t="s">
        <v>35</v>
      </c>
      <c r="H1927" t="s">
        <v>22</v>
      </c>
      <c r="I1927" t="s">
        <v>42</v>
      </c>
      <c r="J1927" t="s">
        <v>24</v>
      </c>
      <c r="K1927" s="6">
        <f t="shared" ca="1" si="124"/>
        <v>26335</v>
      </c>
      <c r="L1927">
        <v>-19426</v>
      </c>
      <c r="M1927" s="7">
        <f t="shared" ca="1" si="126"/>
        <v>53.185489390828202</v>
      </c>
      <c r="N1927" s="5" t="str">
        <f ca="1">VLOOKUP(Data!M1927,temp!$B$3:$C$9,2,1)</f>
        <v>50-60</v>
      </c>
      <c r="O1927">
        <v>-1598</v>
      </c>
      <c r="P1927" s="8">
        <f t="shared" si="127"/>
        <v>4.3750855578370977</v>
      </c>
      <c r="Q1927" s="5" t="str">
        <f t="shared" si="125"/>
        <v>Employed</v>
      </c>
      <c r="R1927">
        <v>1</v>
      </c>
      <c r="S1927">
        <v>1</v>
      </c>
      <c r="T1927">
        <v>1</v>
      </c>
      <c r="U1927">
        <v>0</v>
      </c>
      <c r="V1927" t="s">
        <v>44</v>
      </c>
      <c r="W1927">
        <v>1</v>
      </c>
    </row>
    <row r="1928" spans="1:23" x14ac:dyDescent="0.2">
      <c r="A1928">
        <v>5062411</v>
      </c>
      <c r="B1928" t="s">
        <v>18</v>
      </c>
      <c r="C1928" t="s">
        <v>19</v>
      </c>
      <c r="D1928" t="s">
        <v>20</v>
      </c>
      <c r="E1928">
        <v>0</v>
      </c>
      <c r="F1928">
        <v>103500</v>
      </c>
      <c r="G1928" t="s">
        <v>21</v>
      </c>
      <c r="H1928" t="s">
        <v>27</v>
      </c>
      <c r="I1928" t="s">
        <v>42</v>
      </c>
      <c r="J1928" t="s">
        <v>24</v>
      </c>
      <c r="K1928" s="6">
        <f t="shared" ref="K1928:K1991" ca="1" si="128">TODAY()+($L1928)</f>
        <v>21667</v>
      </c>
      <c r="L1928">
        <v>-24094</v>
      </c>
      <c r="M1928" s="7">
        <f t="shared" ca="1" si="126"/>
        <v>65.965776865160848</v>
      </c>
      <c r="N1928" s="5" t="str">
        <f ca="1">VLOOKUP(Data!M1928,temp!$B$3:$C$9,2,1)</f>
        <v>60-70</v>
      </c>
      <c r="O1928">
        <v>365243</v>
      </c>
      <c r="P1928" s="8">
        <f t="shared" si="127"/>
        <v>0</v>
      </c>
      <c r="Q1928" s="5" t="str">
        <f t="shared" ref="Q1928:Q1991" si="129">IF($O1928&gt;0,"Unemployed","Employed")</f>
        <v>Unemployed</v>
      </c>
      <c r="R1928">
        <v>1</v>
      </c>
      <c r="S1928">
        <v>0</v>
      </c>
      <c r="T1928">
        <v>1</v>
      </c>
      <c r="U1928">
        <v>0</v>
      </c>
      <c r="W1928">
        <v>1</v>
      </c>
    </row>
    <row r="1929" spans="1:23" x14ac:dyDescent="0.2">
      <c r="A1929">
        <v>5062414</v>
      </c>
      <c r="B1929" t="s">
        <v>18</v>
      </c>
      <c r="C1929" t="s">
        <v>19</v>
      </c>
      <c r="D1929" t="s">
        <v>20</v>
      </c>
      <c r="E1929">
        <v>0</v>
      </c>
      <c r="F1929">
        <v>103500</v>
      </c>
      <c r="G1929" t="s">
        <v>21</v>
      </c>
      <c r="H1929" t="s">
        <v>27</v>
      </c>
      <c r="I1929" t="s">
        <v>42</v>
      </c>
      <c r="J1929" t="s">
        <v>24</v>
      </c>
      <c r="K1929" s="6">
        <f t="shared" ca="1" si="128"/>
        <v>21667</v>
      </c>
      <c r="L1929">
        <v>-24094</v>
      </c>
      <c r="M1929" s="7">
        <f t="shared" ca="1" si="126"/>
        <v>65.965776865160848</v>
      </c>
      <c r="N1929" s="5" t="str">
        <f ca="1">VLOOKUP(Data!M1929,temp!$B$3:$C$9,2,1)</f>
        <v>60-70</v>
      </c>
      <c r="O1929">
        <v>365243</v>
      </c>
      <c r="P1929" s="8">
        <f t="shared" si="127"/>
        <v>0</v>
      </c>
      <c r="Q1929" s="5" t="str">
        <f t="shared" si="129"/>
        <v>Unemployed</v>
      </c>
      <c r="R1929">
        <v>1</v>
      </c>
      <c r="S1929">
        <v>0</v>
      </c>
      <c r="T1929">
        <v>1</v>
      </c>
      <c r="U1929">
        <v>0</v>
      </c>
      <c r="W1929">
        <v>1</v>
      </c>
    </row>
    <row r="1930" spans="1:23" x14ac:dyDescent="0.2">
      <c r="A1930">
        <v>5062416</v>
      </c>
      <c r="B1930" t="s">
        <v>18</v>
      </c>
      <c r="C1930" t="s">
        <v>19</v>
      </c>
      <c r="D1930" t="s">
        <v>20</v>
      </c>
      <c r="E1930">
        <v>0</v>
      </c>
      <c r="F1930">
        <v>103500</v>
      </c>
      <c r="G1930" t="s">
        <v>21</v>
      </c>
      <c r="H1930" t="s">
        <v>27</v>
      </c>
      <c r="I1930" t="s">
        <v>42</v>
      </c>
      <c r="J1930" t="s">
        <v>24</v>
      </c>
      <c r="K1930" s="6">
        <f t="shared" ca="1" si="128"/>
        <v>21667</v>
      </c>
      <c r="L1930">
        <v>-24094</v>
      </c>
      <c r="M1930" s="7">
        <f t="shared" ca="1" si="126"/>
        <v>65.965776865160848</v>
      </c>
      <c r="N1930" s="5" t="str">
        <f ca="1">VLOOKUP(Data!M1930,temp!$B$3:$C$9,2,1)</f>
        <v>60-70</v>
      </c>
      <c r="O1930">
        <v>365243</v>
      </c>
      <c r="P1930" s="8">
        <f t="shared" si="127"/>
        <v>0</v>
      </c>
      <c r="Q1930" s="5" t="str">
        <f t="shared" si="129"/>
        <v>Unemployed</v>
      </c>
      <c r="R1930">
        <v>1</v>
      </c>
      <c r="S1930">
        <v>0</v>
      </c>
      <c r="T1930">
        <v>1</v>
      </c>
      <c r="U1930">
        <v>0</v>
      </c>
      <c r="W1930">
        <v>1</v>
      </c>
    </row>
    <row r="1931" spans="1:23" x14ac:dyDescent="0.2">
      <c r="A1931">
        <v>5062425</v>
      </c>
      <c r="B1931" t="s">
        <v>18</v>
      </c>
      <c r="C1931" t="s">
        <v>19</v>
      </c>
      <c r="D1931" t="s">
        <v>20</v>
      </c>
      <c r="E1931">
        <v>0</v>
      </c>
      <c r="F1931">
        <v>112500</v>
      </c>
      <c r="G1931" t="s">
        <v>21</v>
      </c>
      <c r="H1931" t="s">
        <v>27</v>
      </c>
      <c r="I1931" t="s">
        <v>28</v>
      </c>
      <c r="J1931" t="s">
        <v>24</v>
      </c>
      <c r="K1931" s="6">
        <f t="shared" ca="1" si="128"/>
        <v>25125</v>
      </c>
      <c r="L1931">
        <v>-20636</v>
      </c>
      <c r="M1931" s="7">
        <f t="shared" ca="1" si="126"/>
        <v>56.498288843258045</v>
      </c>
      <c r="N1931" s="5" t="str">
        <f ca="1">VLOOKUP(Data!M1931,temp!$B$3:$C$9,2,1)</f>
        <v>50-60</v>
      </c>
      <c r="O1931">
        <v>365243</v>
      </c>
      <c r="P1931" s="8">
        <f t="shared" si="127"/>
        <v>0</v>
      </c>
      <c r="Q1931" s="5" t="str">
        <f t="shared" si="129"/>
        <v>Unemployed</v>
      </c>
      <c r="R1931">
        <v>1</v>
      </c>
      <c r="S1931">
        <v>0</v>
      </c>
      <c r="T1931">
        <v>0</v>
      </c>
      <c r="U1931">
        <v>0</v>
      </c>
      <c r="W1931">
        <v>2</v>
      </c>
    </row>
    <row r="1932" spans="1:23" x14ac:dyDescent="0.2">
      <c r="A1932">
        <v>5062443</v>
      </c>
      <c r="B1932" t="s">
        <v>18</v>
      </c>
      <c r="C1932" t="s">
        <v>19</v>
      </c>
      <c r="D1932" t="s">
        <v>20</v>
      </c>
      <c r="E1932">
        <v>0</v>
      </c>
      <c r="F1932">
        <v>67500</v>
      </c>
      <c r="G1932" t="s">
        <v>35</v>
      </c>
      <c r="H1932" t="s">
        <v>27</v>
      </c>
      <c r="I1932" t="s">
        <v>28</v>
      </c>
      <c r="J1932" t="s">
        <v>24</v>
      </c>
      <c r="K1932" s="6">
        <f t="shared" ca="1" si="128"/>
        <v>25943</v>
      </c>
      <c r="L1932">
        <v>-19818</v>
      </c>
      <c r="M1932" s="7">
        <f t="shared" ca="1" si="126"/>
        <v>54.258726899383987</v>
      </c>
      <c r="N1932" s="5" t="str">
        <f ca="1">VLOOKUP(Data!M1932,temp!$B$3:$C$9,2,1)</f>
        <v>50-60</v>
      </c>
      <c r="O1932">
        <v>-11398</v>
      </c>
      <c r="P1932" s="8">
        <f t="shared" si="127"/>
        <v>31.206023271731691</v>
      </c>
      <c r="Q1932" s="5" t="str">
        <f t="shared" si="129"/>
        <v>Employed</v>
      </c>
      <c r="R1932">
        <v>1</v>
      </c>
      <c r="S1932">
        <v>0</v>
      </c>
      <c r="T1932">
        <v>0</v>
      </c>
      <c r="U1932">
        <v>0</v>
      </c>
      <c r="W1932">
        <v>2</v>
      </c>
    </row>
    <row r="1933" spans="1:23" x14ac:dyDescent="0.2">
      <c r="A1933">
        <v>5062446</v>
      </c>
      <c r="B1933" t="s">
        <v>18</v>
      </c>
      <c r="C1933" t="s">
        <v>19</v>
      </c>
      <c r="D1933" t="s">
        <v>20</v>
      </c>
      <c r="E1933">
        <v>0</v>
      </c>
      <c r="F1933">
        <v>67500</v>
      </c>
      <c r="G1933" t="s">
        <v>35</v>
      </c>
      <c r="H1933" t="s">
        <v>27</v>
      </c>
      <c r="I1933" t="s">
        <v>28</v>
      </c>
      <c r="J1933" t="s">
        <v>24</v>
      </c>
      <c r="K1933" s="6">
        <f t="shared" ca="1" si="128"/>
        <v>25943</v>
      </c>
      <c r="L1933">
        <v>-19818</v>
      </c>
      <c r="M1933" s="7">
        <f t="shared" ca="1" si="126"/>
        <v>54.258726899383987</v>
      </c>
      <c r="N1933" s="5" t="str">
        <f ca="1">VLOOKUP(Data!M1933,temp!$B$3:$C$9,2,1)</f>
        <v>50-60</v>
      </c>
      <c r="O1933">
        <v>-11398</v>
      </c>
      <c r="P1933" s="8">
        <f t="shared" si="127"/>
        <v>31.206023271731691</v>
      </c>
      <c r="Q1933" s="5" t="str">
        <f t="shared" si="129"/>
        <v>Employed</v>
      </c>
      <c r="R1933">
        <v>1</v>
      </c>
      <c r="S1933">
        <v>0</v>
      </c>
      <c r="T1933">
        <v>0</v>
      </c>
      <c r="U1933">
        <v>0</v>
      </c>
      <c r="W1933">
        <v>2</v>
      </c>
    </row>
    <row r="1934" spans="1:23" x14ac:dyDescent="0.2">
      <c r="A1934">
        <v>5062484</v>
      </c>
      <c r="B1934" t="s">
        <v>18</v>
      </c>
      <c r="C1934" t="s">
        <v>19</v>
      </c>
      <c r="D1934" t="s">
        <v>20</v>
      </c>
      <c r="E1934">
        <v>1</v>
      </c>
      <c r="F1934">
        <v>67500</v>
      </c>
      <c r="G1934" t="s">
        <v>31</v>
      </c>
      <c r="H1934" t="s">
        <v>36</v>
      </c>
      <c r="I1934" t="s">
        <v>28</v>
      </c>
      <c r="J1934" t="s">
        <v>24</v>
      </c>
      <c r="K1934" s="6">
        <f t="shared" ca="1" si="128"/>
        <v>32667</v>
      </c>
      <c r="L1934">
        <v>-13094</v>
      </c>
      <c r="M1934" s="7">
        <f t="shared" ca="1" si="126"/>
        <v>35.849418206707732</v>
      </c>
      <c r="N1934" s="5" t="str">
        <f ca="1">VLOOKUP(Data!M1934,temp!$B$3:$C$9,2,1)</f>
        <v>30-40</v>
      </c>
      <c r="O1934">
        <v>-3454</v>
      </c>
      <c r="P1934" s="8">
        <f t="shared" si="127"/>
        <v>9.4565366187542779</v>
      </c>
      <c r="Q1934" s="5" t="str">
        <f t="shared" si="129"/>
        <v>Employed</v>
      </c>
      <c r="R1934">
        <v>1</v>
      </c>
      <c r="S1934">
        <v>0</v>
      </c>
      <c r="T1934">
        <v>0</v>
      </c>
      <c r="U1934">
        <v>0</v>
      </c>
      <c r="W1934">
        <v>3</v>
      </c>
    </row>
    <row r="1935" spans="1:23" x14ac:dyDescent="0.2">
      <c r="A1935">
        <v>5062495</v>
      </c>
      <c r="B1935" t="s">
        <v>25</v>
      </c>
      <c r="C1935" t="s">
        <v>19</v>
      </c>
      <c r="D1935" t="s">
        <v>20</v>
      </c>
      <c r="E1935">
        <v>1</v>
      </c>
      <c r="F1935">
        <v>225000</v>
      </c>
      <c r="G1935" t="s">
        <v>35</v>
      </c>
      <c r="H1935" t="s">
        <v>27</v>
      </c>
      <c r="I1935" t="s">
        <v>28</v>
      </c>
      <c r="J1935" t="s">
        <v>24</v>
      </c>
      <c r="K1935" s="6">
        <f t="shared" ca="1" si="128"/>
        <v>36578</v>
      </c>
      <c r="L1935">
        <v>-9183</v>
      </c>
      <c r="M1935" s="7">
        <f t="shared" ca="1" si="126"/>
        <v>25.141683778234086</v>
      </c>
      <c r="N1935" s="5" t="str">
        <f ca="1">VLOOKUP(Data!M1935,temp!$B$3:$C$9,2,1)</f>
        <v>20-30</v>
      </c>
      <c r="O1935">
        <v>-2054</v>
      </c>
      <c r="P1935" s="8">
        <f t="shared" si="127"/>
        <v>5.6235455167693358</v>
      </c>
      <c r="Q1935" s="5" t="str">
        <f t="shared" si="129"/>
        <v>Employed</v>
      </c>
      <c r="R1935">
        <v>1</v>
      </c>
      <c r="S1935">
        <v>0</v>
      </c>
      <c r="T1935">
        <v>0</v>
      </c>
      <c r="U1935">
        <v>0</v>
      </c>
      <c r="V1935" t="s">
        <v>30</v>
      </c>
      <c r="W1935">
        <v>3</v>
      </c>
    </row>
    <row r="1936" spans="1:23" x14ac:dyDescent="0.2">
      <c r="A1936">
        <v>5062500</v>
      </c>
      <c r="B1936" t="s">
        <v>25</v>
      </c>
      <c r="C1936" t="s">
        <v>19</v>
      </c>
      <c r="D1936" t="s">
        <v>19</v>
      </c>
      <c r="E1936">
        <v>1</v>
      </c>
      <c r="F1936">
        <v>202500</v>
      </c>
      <c r="G1936" t="s">
        <v>31</v>
      </c>
      <c r="H1936" t="s">
        <v>27</v>
      </c>
      <c r="I1936" t="s">
        <v>28</v>
      </c>
      <c r="J1936" t="s">
        <v>24</v>
      </c>
      <c r="K1936" s="6">
        <f t="shared" ca="1" si="128"/>
        <v>30932</v>
      </c>
      <c r="L1936">
        <v>-14829</v>
      </c>
      <c r="M1936" s="7">
        <f t="shared" ca="1" si="126"/>
        <v>40.599589322381931</v>
      </c>
      <c r="N1936" s="5" t="str">
        <f ca="1">VLOOKUP(Data!M1936,temp!$B$3:$C$9,2,1)</f>
        <v>40-50</v>
      </c>
      <c r="O1936">
        <v>-685</v>
      </c>
      <c r="P1936" s="8">
        <f t="shared" si="127"/>
        <v>1.8754277891854894</v>
      </c>
      <c r="Q1936" s="5" t="str">
        <f t="shared" si="129"/>
        <v>Employed</v>
      </c>
      <c r="R1936">
        <v>1</v>
      </c>
      <c r="S1936">
        <v>0</v>
      </c>
      <c r="T1936">
        <v>1</v>
      </c>
      <c r="U1936">
        <v>0</v>
      </c>
      <c r="V1936" t="s">
        <v>29</v>
      </c>
      <c r="W1936">
        <v>3</v>
      </c>
    </row>
    <row r="1937" spans="1:23" x14ac:dyDescent="0.2">
      <c r="A1937">
        <v>5062501</v>
      </c>
      <c r="B1937" t="s">
        <v>25</v>
      </c>
      <c r="C1937" t="s">
        <v>19</v>
      </c>
      <c r="D1937" t="s">
        <v>19</v>
      </c>
      <c r="E1937">
        <v>1</v>
      </c>
      <c r="F1937">
        <v>202500</v>
      </c>
      <c r="G1937" t="s">
        <v>31</v>
      </c>
      <c r="H1937" t="s">
        <v>27</v>
      </c>
      <c r="I1937" t="s">
        <v>28</v>
      </c>
      <c r="J1937" t="s">
        <v>24</v>
      </c>
      <c r="K1937" s="6">
        <f t="shared" ca="1" si="128"/>
        <v>30932</v>
      </c>
      <c r="L1937">
        <v>-14829</v>
      </c>
      <c r="M1937" s="7">
        <f t="shared" ca="1" si="126"/>
        <v>40.599589322381931</v>
      </c>
      <c r="N1937" s="5" t="str">
        <f ca="1">VLOOKUP(Data!M1937,temp!$B$3:$C$9,2,1)</f>
        <v>40-50</v>
      </c>
      <c r="O1937">
        <v>-685</v>
      </c>
      <c r="P1937" s="8">
        <f t="shared" si="127"/>
        <v>1.8754277891854894</v>
      </c>
      <c r="Q1937" s="5" t="str">
        <f t="shared" si="129"/>
        <v>Employed</v>
      </c>
      <c r="R1937">
        <v>1</v>
      </c>
      <c r="S1937">
        <v>0</v>
      </c>
      <c r="T1937">
        <v>1</v>
      </c>
      <c r="U1937">
        <v>0</v>
      </c>
      <c r="V1937" t="s">
        <v>29</v>
      </c>
      <c r="W1937">
        <v>3</v>
      </c>
    </row>
    <row r="1938" spans="1:23" x14ac:dyDescent="0.2">
      <c r="A1938">
        <v>5062514</v>
      </c>
      <c r="B1938" t="s">
        <v>18</v>
      </c>
      <c r="C1938" t="s">
        <v>19</v>
      </c>
      <c r="D1938" t="s">
        <v>20</v>
      </c>
      <c r="E1938">
        <v>1</v>
      </c>
      <c r="F1938">
        <v>112500</v>
      </c>
      <c r="G1938" t="s">
        <v>31</v>
      </c>
      <c r="H1938" t="s">
        <v>22</v>
      </c>
      <c r="I1938" t="s">
        <v>28</v>
      </c>
      <c r="J1938" t="s">
        <v>24</v>
      </c>
      <c r="K1938" s="6">
        <f t="shared" ca="1" si="128"/>
        <v>32105</v>
      </c>
      <c r="L1938">
        <v>-13656</v>
      </c>
      <c r="M1938" s="7">
        <f t="shared" ca="1" si="126"/>
        <v>37.388090349075974</v>
      </c>
      <c r="N1938" s="5" t="str">
        <f ca="1">VLOOKUP(Data!M1938,temp!$B$3:$C$9,2,1)</f>
        <v>30-40</v>
      </c>
      <c r="O1938">
        <v>-2207</v>
      </c>
      <c r="P1938" s="8">
        <f t="shared" si="127"/>
        <v>6.0424366872005475</v>
      </c>
      <c r="Q1938" s="5" t="str">
        <f t="shared" si="129"/>
        <v>Employed</v>
      </c>
      <c r="R1938">
        <v>1</v>
      </c>
      <c r="S1938">
        <v>0</v>
      </c>
      <c r="T1938">
        <v>1</v>
      </c>
      <c r="U1938">
        <v>0</v>
      </c>
      <c r="V1938" t="s">
        <v>39</v>
      </c>
      <c r="W1938">
        <v>3</v>
      </c>
    </row>
    <row r="1939" spans="1:23" x14ac:dyDescent="0.2">
      <c r="A1939">
        <v>5062517</v>
      </c>
      <c r="B1939" t="s">
        <v>18</v>
      </c>
      <c r="C1939" t="s">
        <v>19</v>
      </c>
      <c r="D1939" t="s">
        <v>20</v>
      </c>
      <c r="E1939">
        <v>1</v>
      </c>
      <c r="F1939">
        <v>112500</v>
      </c>
      <c r="G1939" t="s">
        <v>31</v>
      </c>
      <c r="H1939" t="s">
        <v>22</v>
      </c>
      <c r="I1939" t="s">
        <v>28</v>
      </c>
      <c r="J1939" t="s">
        <v>24</v>
      </c>
      <c r="K1939" s="6">
        <f t="shared" ca="1" si="128"/>
        <v>32105</v>
      </c>
      <c r="L1939">
        <v>-13656</v>
      </c>
      <c r="M1939" s="7">
        <f t="shared" ca="1" si="126"/>
        <v>37.388090349075974</v>
      </c>
      <c r="N1939" s="5" t="str">
        <f ca="1">VLOOKUP(Data!M1939,temp!$B$3:$C$9,2,1)</f>
        <v>30-40</v>
      </c>
      <c r="O1939">
        <v>-2207</v>
      </c>
      <c r="P1939" s="8">
        <f t="shared" si="127"/>
        <v>6.0424366872005475</v>
      </c>
      <c r="Q1939" s="5" t="str">
        <f t="shared" si="129"/>
        <v>Employed</v>
      </c>
      <c r="R1939">
        <v>1</v>
      </c>
      <c r="S1939">
        <v>0</v>
      </c>
      <c r="T1939">
        <v>1</v>
      </c>
      <c r="U1939">
        <v>0</v>
      </c>
      <c r="V1939" t="s">
        <v>39</v>
      </c>
      <c r="W1939">
        <v>3</v>
      </c>
    </row>
    <row r="1940" spans="1:23" x14ac:dyDescent="0.2">
      <c r="A1940">
        <v>5062519</v>
      </c>
      <c r="B1940" t="s">
        <v>18</v>
      </c>
      <c r="C1940" t="s">
        <v>19</v>
      </c>
      <c r="D1940" t="s">
        <v>20</v>
      </c>
      <c r="E1940">
        <v>1</v>
      </c>
      <c r="F1940">
        <v>112500</v>
      </c>
      <c r="G1940" t="s">
        <v>31</v>
      </c>
      <c r="H1940" t="s">
        <v>22</v>
      </c>
      <c r="I1940" t="s">
        <v>28</v>
      </c>
      <c r="J1940" t="s">
        <v>24</v>
      </c>
      <c r="K1940" s="6">
        <f t="shared" ca="1" si="128"/>
        <v>32105</v>
      </c>
      <c r="L1940">
        <v>-13656</v>
      </c>
      <c r="M1940" s="7">
        <f t="shared" ca="1" si="126"/>
        <v>37.388090349075974</v>
      </c>
      <c r="N1940" s="5" t="str">
        <f ca="1">VLOOKUP(Data!M1940,temp!$B$3:$C$9,2,1)</f>
        <v>30-40</v>
      </c>
      <c r="O1940">
        <v>-2207</v>
      </c>
      <c r="P1940" s="8">
        <f t="shared" si="127"/>
        <v>6.0424366872005475</v>
      </c>
      <c r="Q1940" s="5" t="str">
        <f t="shared" si="129"/>
        <v>Employed</v>
      </c>
      <c r="R1940">
        <v>1</v>
      </c>
      <c r="S1940">
        <v>0</v>
      </c>
      <c r="T1940">
        <v>1</v>
      </c>
      <c r="U1940">
        <v>0</v>
      </c>
      <c r="V1940" t="s">
        <v>39</v>
      </c>
      <c r="W1940">
        <v>3</v>
      </c>
    </row>
    <row r="1941" spans="1:23" x14ac:dyDescent="0.2">
      <c r="A1941">
        <v>5062525</v>
      </c>
      <c r="B1941" t="s">
        <v>18</v>
      </c>
      <c r="C1941" t="s">
        <v>19</v>
      </c>
      <c r="D1941" t="s">
        <v>20</v>
      </c>
      <c r="E1941">
        <v>1</v>
      </c>
      <c r="F1941">
        <v>112500</v>
      </c>
      <c r="G1941" t="s">
        <v>31</v>
      </c>
      <c r="H1941" t="s">
        <v>22</v>
      </c>
      <c r="I1941" t="s">
        <v>28</v>
      </c>
      <c r="J1941" t="s">
        <v>24</v>
      </c>
      <c r="K1941" s="6">
        <f t="shared" ca="1" si="128"/>
        <v>32105</v>
      </c>
      <c r="L1941">
        <v>-13656</v>
      </c>
      <c r="M1941" s="7">
        <f t="shared" ca="1" si="126"/>
        <v>37.388090349075974</v>
      </c>
      <c r="N1941" s="5" t="str">
        <f ca="1">VLOOKUP(Data!M1941,temp!$B$3:$C$9,2,1)</f>
        <v>30-40</v>
      </c>
      <c r="O1941">
        <v>-2207</v>
      </c>
      <c r="P1941" s="8">
        <f t="shared" si="127"/>
        <v>6.0424366872005475</v>
      </c>
      <c r="Q1941" s="5" t="str">
        <f t="shared" si="129"/>
        <v>Employed</v>
      </c>
      <c r="R1941">
        <v>1</v>
      </c>
      <c r="S1941">
        <v>0</v>
      </c>
      <c r="T1941">
        <v>1</v>
      </c>
      <c r="U1941">
        <v>0</v>
      </c>
      <c r="V1941" t="s">
        <v>39</v>
      </c>
      <c r="W1941">
        <v>3</v>
      </c>
    </row>
    <row r="1942" spans="1:23" x14ac:dyDescent="0.2">
      <c r="A1942">
        <v>5062527</v>
      </c>
      <c r="B1942" t="s">
        <v>18</v>
      </c>
      <c r="C1942" t="s">
        <v>19</v>
      </c>
      <c r="D1942" t="s">
        <v>20</v>
      </c>
      <c r="E1942">
        <v>1</v>
      </c>
      <c r="F1942">
        <v>112500</v>
      </c>
      <c r="G1942" t="s">
        <v>31</v>
      </c>
      <c r="H1942" t="s">
        <v>22</v>
      </c>
      <c r="I1942" t="s">
        <v>28</v>
      </c>
      <c r="J1942" t="s">
        <v>24</v>
      </c>
      <c r="K1942" s="6">
        <f t="shared" ca="1" si="128"/>
        <v>32105</v>
      </c>
      <c r="L1942">
        <v>-13656</v>
      </c>
      <c r="M1942" s="7">
        <f t="shared" ca="1" si="126"/>
        <v>37.388090349075974</v>
      </c>
      <c r="N1942" s="5" t="str">
        <f ca="1">VLOOKUP(Data!M1942,temp!$B$3:$C$9,2,1)</f>
        <v>30-40</v>
      </c>
      <c r="O1942">
        <v>-2207</v>
      </c>
      <c r="P1942" s="8">
        <f t="shared" si="127"/>
        <v>6.0424366872005475</v>
      </c>
      <c r="Q1942" s="5" t="str">
        <f t="shared" si="129"/>
        <v>Employed</v>
      </c>
      <c r="R1942">
        <v>1</v>
      </c>
      <c r="S1942">
        <v>0</v>
      </c>
      <c r="T1942">
        <v>1</v>
      </c>
      <c r="U1942">
        <v>0</v>
      </c>
      <c r="V1942" t="s">
        <v>39</v>
      </c>
      <c r="W1942">
        <v>3</v>
      </c>
    </row>
    <row r="1943" spans="1:23" x14ac:dyDescent="0.2">
      <c r="A1943">
        <v>5062536</v>
      </c>
      <c r="B1943" t="s">
        <v>18</v>
      </c>
      <c r="C1943" t="s">
        <v>20</v>
      </c>
      <c r="D1943" t="s">
        <v>20</v>
      </c>
      <c r="E1943">
        <v>0</v>
      </c>
      <c r="F1943">
        <v>135000</v>
      </c>
      <c r="G1943" t="s">
        <v>26</v>
      </c>
      <c r="H1943" t="s">
        <v>22</v>
      </c>
      <c r="I1943" t="s">
        <v>37</v>
      </c>
      <c r="J1943" t="s">
        <v>24</v>
      </c>
      <c r="K1943" s="6">
        <f t="shared" ca="1" si="128"/>
        <v>32647</v>
      </c>
      <c r="L1943">
        <v>-13114</v>
      </c>
      <c r="M1943" s="7">
        <f t="shared" ca="1" si="126"/>
        <v>35.904175222450377</v>
      </c>
      <c r="N1943" s="5" t="str">
        <f ca="1">VLOOKUP(Data!M1943,temp!$B$3:$C$9,2,1)</f>
        <v>30-40</v>
      </c>
      <c r="O1943">
        <v>-1812</v>
      </c>
      <c r="P1943" s="8">
        <f t="shared" si="127"/>
        <v>4.9609856262833674</v>
      </c>
      <c r="Q1943" s="5" t="str">
        <f t="shared" si="129"/>
        <v>Employed</v>
      </c>
      <c r="R1943">
        <v>1</v>
      </c>
      <c r="S1943">
        <v>0</v>
      </c>
      <c r="T1943">
        <v>0</v>
      </c>
      <c r="U1943">
        <v>1</v>
      </c>
      <c r="V1943" t="s">
        <v>50</v>
      </c>
      <c r="W1943">
        <v>2</v>
      </c>
    </row>
    <row r="1944" spans="1:23" x14ac:dyDescent="0.2">
      <c r="A1944">
        <v>5062544</v>
      </c>
      <c r="B1944" t="s">
        <v>18</v>
      </c>
      <c r="C1944" t="s">
        <v>19</v>
      </c>
      <c r="D1944" t="s">
        <v>20</v>
      </c>
      <c r="E1944">
        <v>1</v>
      </c>
      <c r="F1944">
        <v>225000</v>
      </c>
      <c r="G1944" t="s">
        <v>26</v>
      </c>
      <c r="H1944" t="s">
        <v>27</v>
      </c>
      <c r="I1944" t="s">
        <v>28</v>
      </c>
      <c r="J1944" t="s">
        <v>24</v>
      </c>
      <c r="K1944" s="6">
        <f t="shared" ca="1" si="128"/>
        <v>33516</v>
      </c>
      <c r="L1944">
        <v>-12245</v>
      </c>
      <c r="M1944" s="7">
        <f t="shared" ca="1" si="126"/>
        <v>33.524982888432582</v>
      </c>
      <c r="N1944" s="5" t="str">
        <f ca="1">VLOOKUP(Data!M1944,temp!$B$3:$C$9,2,1)</f>
        <v>30-40</v>
      </c>
      <c r="O1944">
        <v>-137</v>
      </c>
      <c r="P1944" s="8">
        <f t="shared" si="127"/>
        <v>0.3750855578370979</v>
      </c>
      <c r="Q1944" s="5" t="str">
        <f t="shared" si="129"/>
        <v>Employed</v>
      </c>
      <c r="R1944">
        <v>1</v>
      </c>
      <c r="S1944">
        <v>0</v>
      </c>
      <c r="T1944">
        <v>0</v>
      </c>
      <c r="U1944">
        <v>0</v>
      </c>
      <c r="W1944">
        <v>3</v>
      </c>
    </row>
    <row r="1945" spans="1:23" x14ac:dyDescent="0.2">
      <c r="A1945">
        <v>5062550</v>
      </c>
      <c r="B1945" t="s">
        <v>18</v>
      </c>
      <c r="C1945" t="s">
        <v>19</v>
      </c>
      <c r="D1945" t="s">
        <v>20</v>
      </c>
      <c r="E1945">
        <v>3</v>
      </c>
      <c r="F1945">
        <v>247500</v>
      </c>
      <c r="G1945" t="s">
        <v>26</v>
      </c>
      <c r="H1945" t="s">
        <v>36</v>
      </c>
      <c r="I1945" t="s">
        <v>28</v>
      </c>
      <c r="J1945" t="s">
        <v>24</v>
      </c>
      <c r="K1945" s="6">
        <f t="shared" ca="1" si="128"/>
        <v>33662</v>
      </c>
      <c r="L1945">
        <v>-12099</v>
      </c>
      <c r="M1945" s="7">
        <f t="shared" ca="1" si="126"/>
        <v>33.125256673511295</v>
      </c>
      <c r="N1945" s="5" t="str">
        <f ca="1">VLOOKUP(Data!M1945,temp!$B$3:$C$9,2,1)</f>
        <v>30-40</v>
      </c>
      <c r="O1945">
        <v>-2207</v>
      </c>
      <c r="P1945" s="8">
        <f t="shared" si="127"/>
        <v>6.0424366872005475</v>
      </c>
      <c r="Q1945" s="5" t="str">
        <f t="shared" si="129"/>
        <v>Employed</v>
      </c>
      <c r="R1945">
        <v>1</v>
      </c>
      <c r="S1945">
        <v>0</v>
      </c>
      <c r="T1945">
        <v>0</v>
      </c>
      <c r="U1945">
        <v>1</v>
      </c>
      <c r="W1945">
        <v>5</v>
      </c>
    </row>
    <row r="1946" spans="1:23" x14ac:dyDescent="0.2">
      <c r="A1946">
        <v>5062562</v>
      </c>
      <c r="B1946" t="s">
        <v>18</v>
      </c>
      <c r="C1946" t="s">
        <v>19</v>
      </c>
      <c r="D1946" t="s">
        <v>19</v>
      </c>
      <c r="E1946">
        <v>0</v>
      </c>
      <c r="F1946">
        <v>180000</v>
      </c>
      <c r="G1946" t="s">
        <v>31</v>
      </c>
      <c r="H1946" t="s">
        <v>27</v>
      </c>
      <c r="I1946" t="s">
        <v>42</v>
      </c>
      <c r="J1946" t="s">
        <v>24</v>
      </c>
      <c r="K1946" s="6">
        <f t="shared" ca="1" si="128"/>
        <v>21385</v>
      </c>
      <c r="L1946">
        <v>-24376</v>
      </c>
      <c r="M1946" s="7">
        <f t="shared" ca="1" si="126"/>
        <v>66.737850787132103</v>
      </c>
      <c r="N1946" s="5" t="str">
        <f ca="1">VLOOKUP(Data!M1946,temp!$B$3:$C$9,2,1)</f>
        <v>60-70</v>
      </c>
      <c r="O1946">
        <v>-4369</v>
      </c>
      <c r="P1946" s="8">
        <f t="shared" si="127"/>
        <v>11.961670088980151</v>
      </c>
      <c r="Q1946" s="5" t="str">
        <f t="shared" si="129"/>
        <v>Employed</v>
      </c>
      <c r="R1946">
        <v>1</v>
      </c>
      <c r="S1946">
        <v>0</v>
      </c>
      <c r="T1946">
        <v>0</v>
      </c>
      <c r="U1946">
        <v>0</v>
      </c>
      <c r="W1946">
        <v>1</v>
      </c>
    </row>
    <row r="1947" spans="1:23" x14ac:dyDescent="0.2">
      <c r="A1947">
        <v>5062586</v>
      </c>
      <c r="B1947" t="s">
        <v>18</v>
      </c>
      <c r="C1947" t="s">
        <v>19</v>
      </c>
      <c r="D1947" t="s">
        <v>20</v>
      </c>
      <c r="E1947">
        <v>0</v>
      </c>
      <c r="F1947">
        <v>180000</v>
      </c>
      <c r="G1947" t="s">
        <v>21</v>
      </c>
      <c r="H1947" t="s">
        <v>27</v>
      </c>
      <c r="I1947" t="s">
        <v>28</v>
      </c>
      <c r="J1947" t="s">
        <v>24</v>
      </c>
      <c r="K1947" s="6">
        <f t="shared" ca="1" si="128"/>
        <v>24291</v>
      </c>
      <c r="L1947">
        <v>-21470</v>
      </c>
      <c r="M1947" s="7">
        <f t="shared" ca="1" si="126"/>
        <v>58.781656399726216</v>
      </c>
      <c r="N1947" s="5" t="str">
        <f ca="1">VLOOKUP(Data!M1947,temp!$B$3:$C$9,2,1)</f>
        <v>50-60</v>
      </c>
      <c r="O1947">
        <v>365243</v>
      </c>
      <c r="P1947" s="8">
        <f t="shared" si="127"/>
        <v>0</v>
      </c>
      <c r="Q1947" s="5" t="str">
        <f t="shared" si="129"/>
        <v>Unemployed</v>
      </c>
      <c r="R1947">
        <v>1</v>
      </c>
      <c r="S1947">
        <v>0</v>
      </c>
      <c r="T1947">
        <v>0</v>
      </c>
      <c r="U1947">
        <v>0</v>
      </c>
      <c r="W1947">
        <v>2</v>
      </c>
    </row>
    <row r="1948" spans="1:23" x14ac:dyDescent="0.2">
      <c r="A1948">
        <v>5062591</v>
      </c>
      <c r="B1948" t="s">
        <v>25</v>
      </c>
      <c r="C1948" t="s">
        <v>20</v>
      </c>
      <c r="D1948" t="s">
        <v>20</v>
      </c>
      <c r="E1948">
        <v>1</v>
      </c>
      <c r="F1948">
        <v>135000</v>
      </c>
      <c r="G1948" t="s">
        <v>35</v>
      </c>
      <c r="H1948" t="s">
        <v>22</v>
      </c>
      <c r="I1948" t="s">
        <v>28</v>
      </c>
      <c r="J1948" t="s">
        <v>24</v>
      </c>
      <c r="K1948" s="6">
        <f t="shared" ca="1" si="128"/>
        <v>36789</v>
      </c>
      <c r="L1948">
        <v>-8972</v>
      </c>
      <c r="M1948" s="7">
        <f t="shared" ca="1" si="126"/>
        <v>24.563997262149211</v>
      </c>
      <c r="N1948" s="5" t="str">
        <f ca="1">VLOOKUP(Data!M1948,temp!$B$3:$C$9,2,1)</f>
        <v>20-30</v>
      </c>
      <c r="O1948">
        <v>-145</v>
      </c>
      <c r="P1948" s="8">
        <f t="shared" si="127"/>
        <v>0.39698836413415467</v>
      </c>
      <c r="Q1948" s="5" t="str">
        <f t="shared" si="129"/>
        <v>Employed</v>
      </c>
      <c r="R1948">
        <v>1</v>
      </c>
      <c r="S1948">
        <v>0</v>
      </c>
      <c r="T1948">
        <v>0</v>
      </c>
      <c r="U1948">
        <v>1</v>
      </c>
      <c r="V1948" t="s">
        <v>38</v>
      </c>
      <c r="W1948">
        <v>3</v>
      </c>
    </row>
    <row r="1949" spans="1:23" x14ac:dyDescent="0.2">
      <c r="A1949">
        <v>5062605</v>
      </c>
      <c r="B1949" t="s">
        <v>18</v>
      </c>
      <c r="C1949" t="s">
        <v>20</v>
      </c>
      <c r="D1949" t="s">
        <v>20</v>
      </c>
      <c r="E1949">
        <v>0</v>
      </c>
      <c r="F1949">
        <v>360000</v>
      </c>
      <c r="G1949" t="s">
        <v>31</v>
      </c>
      <c r="H1949" t="s">
        <v>27</v>
      </c>
      <c r="I1949" t="s">
        <v>28</v>
      </c>
      <c r="J1949" t="s">
        <v>24</v>
      </c>
      <c r="K1949" s="6">
        <f t="shared" ca="1" si="128"/>
        <v>27405</v>
      </c>
      <c r="L1949">
        <v>-18356</v>
      </c>
      <c r="M1949" s="7">
        <f t="shared" ca="1" si="126"/>
        <v>50.255989048596852</v>
      </c>
      <c r="N1949" s="5" t="str">
        <f ca="1">VLOOKUP(Data!M1949,temp!$B$3:$C$9,2,1)</f>
        <v>50-60</v>
      </c>
      <c r="O1949">
        <v>-1820</v>
      </c>
      <c r="P1949" s="8">
        <f t="shared" si="127"/>
        <v>4.9828884325804248</v>
      </c>
      <c r="Q1949" s="5" t="str">
        <f t="shared" si="129"/>
        <v>Employed</v>
      </c>
      <c r="R1949">
        <v>1</v>
      </c>
      <c r="S1949">
        <v>0</v>
      </c>
      <c r="T1949">
        <v>0</v>
      </c>
      <c r="U1949">
        <v>0</v>
      </c>
      <c r="V1949" t="s">
        <v>47</v>
      </c>
      <c r="W1949">
        <v>2</v>
      </c>
    </row>
    <row r="1950" spans="1:23" x14ac:dyDescent="0.2">
      <c r="A1950">
        <v>5062614</v>
      </c>
      <c r="B1950" t="s">
        <v>18</v>
      </c>
      <c r="C1950" t="s">
        <v>19</v>
      </c>
      <c r="D1950" t="s">
        <v>19</v>
      </c>
      <c r="E1950">
        <v>1</v>
      </c>
      <c r="F1950">
        <v>135000</v>
      </c>
      <c r="G1950" t="s">
        <v>26</v>
      </c>
      <c r="H1950" t="s">
        <v>27</v>
      </c>
      <c r="I1950" t="s">
        <v>23</v>
      </c>
      <c r="J1950" t="s">
        <v>24</v>
      </c>
      <c r="K1950" s="6">
        <f t="shared" ca="1" si="128"/>
        <v>35036</v>
      </c>
      <c r="L1950">
        <v>-10725</v>
      </c>
      <c r="M1950" s="7">
        <f t="shared" ca="1" si="126"/>
        <v>29.363449691991786</v>
      </c>
      <c r="N1950" s="5" t="str">
        <f ca="1">VLOOKUP(Data!M1950,temp!$B$3:$C$9,2,1)</f>
        <v>20-30</v>
      </c>
      <c r="O1950">
        <v>-2802</v>
      </c>
      <c r="P1950" s="8">
        <f t="shared" si="127"/>
        <v>7.6714579055441474</v>
      </c>
      <c r="Q1950" s="5" t="str">
        <f t="shared" si="129"/>
        <v>Employed</v>
      </c>
      <c r="R1950">
        <v>1</v>
      </c>
      <c r="S1950">
        <v>0</v>
      </c>
      <c r="T1950">
        <v>0</v>
      </c>
      <c r="U1950">
        <v>0</v>
      </c>
      <c r="V1950" t="s">
        <v>49</v>
      </c>
      <c r="W1950">
        <v>2</v>
      </c>
    </row>
    <row r="1951" spans="1:23" x14ac:dyDescent="0.2">
      <c r="A1951">
        <v>5062651</v>
      </c>
      <c r="B1951" t="s">
        <v>18</v>
      </c>
      <c r="C1951" t="s">
        <v>19</v>
      </c>
      <c r="D1951" t="s">
        <v>20</v>
      </c>
      <c r="E1951">
        <v>1</v>
      </c>
      <c r="F1951">
        <v>202500</v>
      </c>
      <c r="G1951" t="s">
        <v>26</v>
      </c>
      <c r="H1951" t="s">
        <v>27</v>
      </c>
      <c r="I1951" t="s">
        <v>28</v>
      </c>
      <c r="J1951" t="s">
        <v>24</v>
      </c>
      <c r="K1951" s="6">
        <f t="shared" ca="1" si="128"/>
        <v>32835</v>
      </c>
      <c r="L1951">
        <v>-12926</v>
      </c>
      <c r="M1951" s="7">
        <f t="shared" ca="1" si="126"/>
        <v>35.389459274469544</v>
      </c>
      <c r="N1951" s="5" t="str">
        <f ca="1">VLOOKUP(Data!M1951,temp!$B$3:$C$9,2,1)</f>
        <v>30-40</v>
      </c>
      <c r="O1951">
        <v>-1241</v>
      </c>
      <c r="P1951" s="8">
        <f t="shared" si="127"/>
        <v>3.3976728268309375</v>
      </c>
      <c r="Q1951" s="5" t="str">
        <f t="shared" si="129"/>
        <v>Employed</v>
      </c>
      <c r="R1951">
        <v>1</v>
      </c>
      <c r="S1951">
        <v>0</v>
      </c>
      <c r="T1951">
        <v>0</v>
      </c>
      <c r="U1951">
        <v>0</v>
      </c>
      <c r="W1951">
        <v>3</v>
      </c>
    </row>
    <row r="1952" spans="1:23" x14ac:dyDescent="0.2">
      <c r="A1952">
        <v>5062653</v>
      </c>
      <c r="B1952" t="s">
        <v>18</v>
      </c>
      <c r="C1952" t="s">
        <v>19</v>
      </c>
      <c r="D1952" t="s">
        <v>20</v>
      </c>
      <c r="E1952">
        <v>1</v>
      </c>
      <c r="F1952">
        <v>202500</v>
      </c>
      <c r="G1952" t="s">
        <v>26</v>
      </c>
      <c r="H1952" t="s">
        <v>27</v>
      </c>
      <c r="I1952" t="s">
        <v>28</v>
      </c>
      <c r="J1952" t="s">
        <v>24</v>
      </c>
      <c r="K1952" s="6">
        <f t="shared" ca="1" si="128"/>
        <v>32835</v>
      </c>
      <c r="L1952">
        <v>-12926</v>
      </c>
      <c r="M1952" s="7">
        <f t="shared" ca="1" si="126"/>
        <v>35.389459274469544</v>
      </c>
      <c r="N1952" s="5" t="str">
        <f ca="1">VLOOKUP(Data!M1952,temp!$B$3:$C$9,2,1)</f>
        <v>30-40</v>
      </c>
      <c r="O1952">
        <v>-1241</v>
      </c>
      <c r="P1952" s="8">
        <f t="shared" si="127"/>
        <v>3.3976728268309375</v>
      </c>
      <c r="Q1952" s="5" t="str">
        <f t="shared" si="129"/>
        <v>Employed</v>
      </c>
      <c r="R1952">
        <v>1</v>
      </c>
      <c r="S1952">
        <v>0</v>
      </c>
      <c r="T1952">
        <v>0</v>
      </c>
      <c r="U1952">
        <v>0</v>
      </c>
      <c r="W1952">
        <v>3</v>
      </c>
    </row>
    <row r="1953" spans="1:23" x14ac:dyDescent="0.2">
      <c r="A1953">
        <v>5062655</v>
      </c>
      <c r="B1953" t="s">
        <v>25</v>
      </c>
      <c r="C1953" t="s">
        <v>20</v>
      </c>
      <c r="D1953" t="s">
        <v>20</v>
      </c>
      <c r="E1953">
        <v>1</v>
      </c>
      <c r="F1953">
        <v>144000</v>
      </c>
      <c r="G1953" t="s">
        <v>31</v>
      </c>
      <c r="H1953" t="s">
        <v>27</v>
      </c>
      <c r="I1953" t="s">
        <v>28</v>
      </c>
      <c r="J1953" t="s">
        <v>24</v>
      </c>
      <c r="K1953" s="6">
        <f t="shared" ca="1" si="128"/>
        <v>32252</v>
      </c>
      <c r="L1953">
        <v>-13509</v>
      </c>
      <c r="M1953" s="7">
        <f t="shared" ca="1" si="126"/>
        <v>36.985626283367559</v>
      </c>
      <c r="N1953" s="5" t="str">
        <f ca="1">VLOOKUP(Data!M1953,temp!$B$3:$C$9,2,1)</f>
        <v>30-40</v>
      </c>
      <c r="O1953">
        <v>-1028</v>
      </c>
      <c r="P1953" s="8">
        <f t="shared" si="127"/>
        <v>2.8145106091718</v>
      </c>
      <c r="Q1953" s="5" t="str">
        <f t="shared" si="129"/>
        <v>Employed</v>
      </c>
      <c r="R1953">
        <v>1</v>
      </c>
      <c r="S1953">
        <v>0</v>
      </c>
      <c r="T1953">
        <v>0</v>
      </c>
      <c r="U1953">
        <v>0</v>
      </c>
      <c r="V1953" t="s">
        <v>29</v>
      </c>
      <c r="W1953">
        <v>3</v>
      </c>
    </row>
    <row r="1954" spans="1:23" x14ac:dyDescent="0.2">
      <c r="A1954">
        <v>5062674</v>
      </c>
      <c r="B1954" t="s">
        <v>18</v>
      </c>
      <c r="C1954" t="s">
        <v>20</v>
      </c>
      <c r="D1954" t="s">
        <v>20</v>
      </c>
      <c r="E1954">
        <v>1</v>
      </c>
      <c r="F1954">
        <v>135000</v>
      </c>
      <c r="G1954" t="s">
        <v>31</v>
      </c>
      <c r="H1954" t="s">
        <v>22</v>
      </c>
      <c r="I1954" t="s">
        <v>28</v>
      </c>
      <c r="J1954" t="s">
        <v>24</v>
      </c>
      <c r="K1954" s="6">
        <f t="shared" ca="1" si="128"/>
        <v>30898</v>
      </c>
      <c r="L1954">
        <v>-14863</v>
      </c>
      <c r="M1954" s="7">
        <f t="shared" ca="1" si="126"/>
        <v>40.692676249144419</v>
      </c>
      <c r="N1954" s="5" t="str">
        <f ca="1">VLOOKUP(Data!M1954,temp!$B$3:$C$9,2,1)</f>
        <v>40-50</v>
      </c>
      <c r="O1954">
        <v>-4407</v>
      </c>
      <c r="P1954" s="8">
        <f t="shared" si="127"/>
        <v>12.06570841889117</v>
      </c>
      <c r="Q1954" s="5" t="str">
        <f t="shared" si="129"/>
        <v>Employed</v>
      </c>
      <c r="R1954">
        <v>1</v>
      </c>
      <c r="S1954">
        <v>0</v>
      </c>
      <c r="T1954">
        <v>0</v>
      </c>
      <c r="U1954">
        <v>0</v>
      </c>
      <c r="V1954" t="s">
        <v>32</v>
      </c>
      <c r="W1954">
        <v>3</v>
      </c>
    </row>
    <row r="1955" spans="1:23" x14ac:dyDescent="0.2">
      <c r="A1955">
        <v>5062690</v>
      </c>
      <c r="B1955" t="s">
        <v>25</v>
      </c>
      <c r="C1955" t="s">
        <v>20</v>
      </c>
      <c r="D1955" t="s">
        <v>20</v>
      </c>
      <c r="E1955">
        <v>0</v>
      </c>
      <c r="F1955">
        <v>247500</v>
      </c>
      <c r="G1955" t="s">
        <v>35</v>
      </c>
      <c r="H1955" t="s">
        <v>27</v>
      </c>
      <c r="I1955" t="s">
        <v>28</v>
      </c>
      <c r="J1955" t="s">
        <v>45</v>
      </c>
      <c r="K1955" s="6">
        <f t="shared" ca="1" si="128"/>
        <v>25649</v>
      </c>
      <c r="L1955">
        <v>-20112</v>
      </c>
      <c r="M1955" s="7">
        <f t="shared" ca="1" si="126"/>
        <v>55.063655030800824</v>
      </c>
      <c r="N1955" s="5" t="str">
        <f ca="1">VLOOKUP(Data!M1955,temp!$B$3:$C$9,2,1)</f>
        <v>50-60</v>
      </c>
      <c r="O1955">
        <v>-875</v>
      </c>
      <c r="P1955" s="8">
        <f t="shared" si="127"/>
        <v>2.3956194387405887</v>
      </c>
      <c r="Q1955" s="5" t="str">
        <f t="shared" si="129"/>
        <v>Employed</v>
      </c>
      <c r="R1955">
        <v>1</v>
      </c>
      <c r="S1955">
        <v>1</v>
      </c>
      <c r="T1955">
        <v>0</v>
      </c>
      <c r="U1955">
        <v>1</v>
      </c>
      <c r="V1955" t="s">
        <v>47</v>
      </c>
      <c r="W1955">
        <v>2</v>
      </c>
    </row>
    <row r="1956" spans="1:23" x14ac:dyDescent="0.2">
      <c r="A1956">
        <v>5062712</v>
      </c>
      <c r="B1956" t="s">
        <v>18</v>
      </c>
      <c r="C1956" t="s">
        <v>19</v>
      </c>
      <c r="D1956" t="s">
        <v>20</v>
      </c>
      <c r="E1956">
        <v>1</v>
      </c>
      <c r="F1956">
        <v>157500</v>
      </c>
      <c r="G1956" t="s">
        <v>31</v>
      </c>
      <c r="H1956" t="s">
        <v>27</v>
      </c>
      <c r="I1956" t="s">
        <v>28</v>
      </c>
      <c r="J1956" t="s">
        <v>24</v>
      </c>
      <c r="K1956" s="6">
        <f t="shared" ca="1" si="128"/>
        <v>31251</v>
      </c>
      <c r="L1956">
        <v>-14510</v>
      </c>
      <c r="M1956" s="7">
        <f t="shared" ca="1" si="126"/>
        <v>39.72621492128679</v>
      </c>
      <c r="N1956" s="5" t="str">
        <f ca="1">VLOOKUP(Data!M1956,temp!$B$3:$C$9,2,1)</f>
        <v>30-40</v>
      </c>
      <c r="O1956">
        <v>-3805</v>
      </c>
      <c r="P1956" s="8">
        <f t="shared" si="127"/>
        <v>10.417522245037645</v>
      </c>
      <c r="Q1956" s="5" t="str">
        <f t="shared" si="129"/>
        <v>Employed</v>
      </c>
      <c r="R1956">
        <v>1</v>
      </c>
      <c r="S1956">
        <v>0</v>
      </c>
      <c r="T1956">
        <v>0</v>
      </c>
      <c r="U1956">
        <v>0</v>
      </c>
      <c r="V1956" t="s">
        <v>38</v>
      </c>
      <c r="W1956">
        <v>3</v>
      </c>
    </row>
    <row r="1957" spans="1:23" x14ac:dyDescent="0.2">
      <c r="A1957">
        <v>5062714</v>
      </c>
      <c r="B1957" t="s">
        <v>18</v>
      </c>
      <c r="C1957" t="s">
        <v>19</v>
      </c>
      <c r="D1957" t="s">
        <v>20</v>
      </c>
      <c r="E1957">
        <v>1</v>
      </c>
      <c r="F1957">
        <v>157500</v>
      </c>
      <c r="G1957" t="s">
        <v>31</v>
      </c>
      <c r="H1957" t="s">
        <v>27</v>
      </c>
      <c r="I1957" t="s">
        <v>28</v>
      </c>
      <c r="J1957" t="s">
        <v>24</v>
      </c>
      <c r="K1957" s="6">
        <f t="shared" ca="1" si="128"/>
        <v>31251</v>
      </c>
      <c r="L1957">
        <v>-14510</v>
      </c>
      <c r="M1957" s="7">
        <f t="shared" ca="1" si="126"/>
        <v>39.72621492128679</v>
      </c>
      <c r="N1957" s="5" t="str">
        <f ca="1">VLOOKUP(Data!M1957,temp!$B$3:$C$9,2,1)</f>
        <v>30-40</v>
      </c>
      <c r="O1957">
        <v>-3805</v>
      </c>
      <c r="P1957" s="8">
        <f t="shared" si="127"/>
        <v>10.417522245037645</v>
      </c>
      <c r="Q1957" s="5" t="str">
        <f t="shared" si="129"/>
        <v>Employed</v>
      </c>
      <c r="R1957">
        <v>1</v>
      </c>
      <c r="S1957">
        <v>0</v>
      </c>
      <c r="T1957">
        <v>0</v>
      </c>
      <c r="U1957">
        <v>0</v>
      </c>
      <c r="V1957" t="s">
        <v>38</v>
      </c>
      <c r="W1957">
        <v>3</v>
      </c>
    </row>
    <row r="1958" spans="1:23" x14ac:dyDescent="0.2">
      <c r="A1958">
        <v>5062723</v>
      </c>
      <c r="B1958" t="s">
        <v>25</v>
      </c>
      <c r="C1958" t="s">
        <v>19</v>
      </c>
      <c r="D1958" t="s">
        <v>20</v>
      </c>
      <c r="E1958">
        <v>0</v>
      </c>
      <c r="F1958">
        <v>135000</v>
      </c>
      <c r="G1958" t="s">
        <v>31</v>
      </c>
      <c r="H1958" t="s">
        <v>22</v>
      </c>
      <c r="I1958" t="s">
        <v>28</v>
      </c>
      <c r="J1958" t="s">
        <v>24</v>
      </c>
      <c r="K1958" s="6">
        <f t="shared" ca="1" si="128"/>
        <v>28784</v>
      </c>
      <c r="L1958">
        <v>-16977</v>
      </c>
      <c r="M1958" s="7">
        <f t="shared" ca="1" si="126"/>
        <v>46.480492813141687</v>
      </c>
      <c r="N1958" s="5" t="str">
        <f ca="1">VLOOKUP(Data!M1958,temp!$B$3:$C$9,2,1)</f>
        <v>40-50</v>
      </c>
      <c r="O1958">
        <v>-92</v>
      </c>
      <c r="P1958" s="8">
        <f t="shared" si="127"/>
        <v>0.2518822724161533</v>
      </c>
      <c r="Q1958" s="5" t="str">
        <f t="shared" si="129"/>
        <v>Employed</v>
      </c>
      <c r="R1958">
        <v>1</v>
      </c>
      <c r="S1958">
        <v>0</v>
      </c>
      <c r="T1958">
        <v>0</v>
      </c>
      <c r="U1958">
        <v>0</v>
      </c>
      <c r="V1958" t="s">
        <v>32</v>
      </c>
      <c r="W1958">
        <v>2</v>
      </c>
    </row>
    <row r="1959" spans="1:23" x14ac:dyDescent="0.2">
      <c r="A1959">
        <v>5062755</v>
      </c>
      <c r="B1959" t="s">
        <v>18</v>
      </c>
      <c r="C1959" t="s">
        <v>19</v>
      </c>
      <c r="D1959" t="s">
        <v>19</v>
      </c>
      <c r="E1959">
        <v>0</v>
      </c>
      <c r="F1959">
        <v>112500</v>
      </c>
      <c r="G1959" t="s">
        <v>31</v>
      </c>
      <c r="H1959" t="s">
        <v>27</v>
      </c>
      <c r="I1959" t="s">
        <v>33</v>
      </c>
      <c r="J1959" t="s">
        <v>24</v>
      </c>
      <c r="K1959" s="6">
        <f t="shared" ca="1" si="128"/>
        <v>34330</v>
      </c>
      <c r="L1959">
        <v>-11431</v>
      </c>
      <c r="M1959" s="7">
        <f t="shared" ca="1" si="126"/>
        <v>31.296372347707049</v>
      </c>
      <c r="N1959" s="5" t="str">
        <f ca="1">VLOOKUP(Data!M1959,temp!$B$3:$C$9,2,1)</f>
        <v>30-40</v>
      </c>
      <c r="O1959">
        <v>-306</v>
      </c>
      <c r="P1959" s="8">
        <f t="shared" si="127"/>
        <v>0.83778234086242298</v>
      </c>
      <c r="Q1959" s="5" t="str">
        <f t="shared" si="129"/>
        <v>Employed</v>
      </c>
      <c r="R1959">
        <v>1</v>
      </c>
      <c r="S1959">
        <v>0</v>
      </c>
      <c r="T1959">
        <v>0</v>
      </c>
      <c r="U1959">
        <v>0</v>
      </c>
      <c r="V1959" t="s">
        <v>38</v>
      </c>
      <c r="W1959">
        <v>1</v>
      </c>
    </row>
    <row r="1960" spans="1:23" x14ac:dyDescent="0.2">
      <c r="A1960">
        <v>5065313</v>
      </c>
      <c r="B1960" t="s">
        <v>18</v>
      </c>
      <c r="C1960" t="s">
        <v>19</v>
      </c>
      <c r="D1960" t="s">
        <v>20</v>
      </c>
      <c r="E1960">
        <v>1</v>
      </c>
      <c r="F1960">
        <v>157500</v>
      </c>
      <c r="G1960" t="s">
        <v>35</v>
      </c>
      <c r="H1960" t="s">
        <v>22</v>
      </c>
      <c r="I1960" t="s">
        <v>28</v>
      </c>
      <c r="J1960" t="s">
        <v>24</v>
      </c>
      <c r="K1960" s="6">
        <f t="shared" ca="1" si="128"/>
        <v>30116</v>
      </c>
      <c r="L1960">
        <v>-15645</v>
      </c>
      <c r="M1960" s="7">
        <f t="shared" ca="1" si="126"/>
        <v>42.833675564681727</v>
      </c>
      <c r="N1960" s="5" t="str">
        <f ca="1">VLOOKUP(Data!M1960,temp!$B$3:$C$9,2,1)</f>
        <v>40-50</v>
      </c>
      <c r="O1960">
        <v>-4280</v>
      </c>
      <c r="P1960" s="8">
        <f t="shared" si="127"/>
        <v>11.718001368925394</v>
      </c>
      <c r="Q1960" s="5" t="str">
        <f t="shared" si="129"/>
        <v>Employed</v>
      </c>
      <c r="R1960">
        <v>1</v>
      </c>
      <c r="S1960">
        <v>0</v>
      </c>
      <c r="T1960">
        <v>0</v>
      </c>
      <c r="U1960">
        <v>0</v>
      </c>
      <c r="V1960" t="s">
        <v>38</v>
      </c>
      <c r="W1960">
        <v>3</v>
      </c>
    </row>
    <row r="1961" spans="1:23" x14ac:dyDescent="0.2">
      <c r="A1961">
        <v>5065356</v>
      </c>
      <c r="B1961" t="s">
        <v>25</v>
      </c>
      <c r="C1961" t="s">
        <v>19</v>
      </c>
      <c r="D1961" t="s">
        <v>20</v>
      </c>
      <c r="E1961">
        <v>0</v>
      </c>
      <c r="F1961">
        <v>157500</v>
      </c>
      <c r="G1961" t="s">
        <v>31</v>
      </c>
      <c r="H1961" t="s">
        <v>27</v>
      </c>
      <c r="I1961" t="s">
        <v>28</v>
      </c>
      <c r="J1961" t="s">
        <v>24</v>
      </c>
      <c r="K1961" s="6">
        <f t="shared" ca="1" si="128"/>
        <v>24562</v>
      </c>
      <c r="L1961">
        <v>-21199</v>
      </c>
      <c r="M1961" s="7">
        <f t="shared" ca="1" si="126"/>
        <v>58.039698836413415</v>
      </c>
      <c r="N1961" s="5" t="str">
        <f ca="1">VLOOKUP(Data!M1961,temp!$B$3:$C$9,2,1)</f>
        <v>50-60</v>
      </c>
      <c r="O1961">
        <v>-5069</v>
      </c>
      <c r="P1961" s="8">
        <f t="shared" si="127"/>
        <v>13.878165639972622</v>
      </c>
      <c r="Q1961" s="5" t="str">
        <f t="shared" si="129"/>
        <v>Employed</v>
      </c>
      <c r="R1961">
        <v>1</v>
      </c>
      <c r="S1961">
        <v>0</v>
      </c>
      <c r="T1961">
        <v>0</v>
      </c>
      <c r="U1961">
        <v>1</v>
      </c>
      <c r="V1961" t="s">
        <v>32</v>
      </c>
      <c r="W1961">
        <v>2</v>
      </c>
    </row>
    <row r="1962" spans="1:23" x14ac:dyDescent="0.2">
      <c r="A1962">
        <v>5065357</v>
      </c>
      <c r="B1962" t="s">
        <v>25</v>
      </c>
      <c r="C1962" t="s">
        <v>19</v>
      </c>
      <c r="D1962" t="s">
        <v>20</v>
      </c>
      <c r="E1962">
        <v>0</v>
      </c>
      <c r="F1962">
        <v>157500</v>
      </c>
      <c r="G1962" t="s">
        <v>31</v>
      </c>
      <c r="H1962" t="s">
        <v>27</v>
      </c>
      <c r="I1962" t="s">
        <v>28</v>
      </c>
      <c r="J1962" t="s">
        <v>24</v>
      </c>
      <c r="K1962" s="6">
        <f t="shared" ca="1" si="128"/>
        <v>24562</v>
      </c>
      <c r="L1962">
        <v>-21199</v>
      </c>
      <c r="M1962" s="7">
        <f t="shared" ca="1" si="126"/>
        <v>58.039698836413415</v>
      </c>
      <c r="N1962" s="5" t="str">
        <f ca="1">VLOOKUP(Data!M1962,temp!$B$3:$C$9,2,1)</f>
        <v>50-60</v>
      </c>
      <c r="O1962">
        <v>-5069</v>
      </c>
      <c r="P1962" s="8">
        <f t="shared" si="127"/>
        <v>13.878165639972622</v>
      </c>
      <c r="Q1962" s="5" t="str">
        <f t="shared" si="129"/>
        <v>Employed</v>
      </c>
      <c r="R1962">
        <v>1</v>
      </c>
      <c r="S1962">
        <v>0</v>
      </c>
      <c r="T1962">
        <v>0</v>
      </c>
      <c r="U1962">
        <v>1</v>
      </c>
      <c r="V1962" t="s">
        <v>32</v>
      </c>
      <c r="W1962">
        <v>2</v>
      </c>
    </row>
    <row r="1963" spans="1:23" x14ac:dyDescent="0.2">
      <c r="A1963">
        <v>5065358</v>
      </c>
      <c r="B1963" t="s">
        <v>18</v>
      </c>
      <c r="C1963" t="s">
        <v>19</v>
      </c>
      <c r="D1963" t="s">
        <v>20</v>
      </c>
      <c r="E1963">
        <v>1</v>
      </c>
      <c r="F1963">
        <v>216000</v>
      </c>
      <c r="G1963" t="s">
        <v>31</v>
      </c>
      <c r="H1963" t="s">
        <v>22</v>
      </c>
      <c r="I1963" t="s">
        <v>33</v>
      </c>
      <c r="J1963" t="s">
        <v>24</v>
      </c>
      <c r="K1963" s="6">
        <f t="shared" ca="1" si="128"/>
        <v>35249</v>
      </c>
      <c r="L1963">
        <v>-10512</v>
      </c>
      <c r="M1963" s="7">
        <f t="shared" ca="1" si="126"/>
        <v>28.780287474332649</v>
      </c>
      <c r="N1963" s="5" t="str">
        <f ca="1">VLOOKUP(Data!M1963,temp!$B$3:$C$9,2,1)</f>
        <v>20-30</v>
      </c>
      <c r="O1963">
        <v>-1782</v>
      </c>
      <c r="P1963" s="8">
        <f t="shared" si="127"/>
        <v>4.8788501026694044</v>
      </c>
      <c r="Q1963" s="5" t="str">
        <f t="shared" si="129"/>
        <v>Employed</v>
      </c>
      <c r="R1963">
        <v>1</v>
      </c>
      <c r="S1963">
        <v>0</v>
      </c>
      <c r="T1963">
        <v>1</v>
      </c>
      <c r="U1963">
        <v>0</v>
      </c>
      <c r="V1963" t="s">
        <v>38</v>
      </c>
      <c r="W1963">
        <v>2</v>
      </c>
    </row>
    <row r="1964" spans="1:23" x14ac:dyDescent="0.2">
      <c r="A1964">
        <v>5065361</v>
      </c>
      <c r="B1964" t="s">
        <v>18</v>
      </c>
      <c r="C1964" t="s">
        <v>19</v>
      </c>
      <c r="D1964" t="s">
        <v>20</v>
      </c>
      <c r="E1964">
        <v>1</v>
      </c>
      <c r="F1964">
        <v>216000</v>
      </c>
      <c r="G1964" t="s">
        <v>31</v>
      </c>
      <c r="H1964" t="s">
        <v>22</v>
      </c>
      <c r="I1964" t="s">
        <v>33</v>
      </c>
      <c r="J1964" t="s">
        <v>24</v>
      </c>
      <c r="K1964" s="6">
        <f t="shared" ca="1" si="128"/>
        <v>35249</v>
      </c>
      <c r="L1964">
        <v>-10512</v>
      </c>
      <c r="M1964" s="7">
        <f t="shared" ca="1" si="126"/>
        <v>28.780287474332649</v>
      </c>
      <c r="N1964" s="5" t="str">
        <f ca="1">VLOOKUP(Data!M1964,temp!$B$3:$C$9,2,1)</f>
        <v>20-30</v>
      </c>
      <c r="O1964">
        <v>-1782</v>
      </c>
      <c r="P1964" s="8">
        <f t="shared" si="127"/>
        <v>4.8788501026694044</v>
      </c>
      <c r="Q1964" s="5" t="str">
        <f t="shared" si="129"/>
        <v>Employed</v>
      </c>
      <c r="R1964">
        <v>1</v>
      </c>
      <c r="S1964">
        <v>0</v>
      </c>
      <c r="T1964">
        <v>1</v>
      </c>
      <c r="U1964">
        <v>0</v>
      </c>
      <c r="V1964" t="s">
        <v>38</v>
      </c>
      <c r="W1964">
        <v>2</v>
      </c>
    </row>
    <row r="1965" spans="1:23" x14ac:dyDescent="0.2">
      <c r="A1965">
        <v>5065369</v>
      </c>
      <c r="B1965" t="s">
        <v>18</v>
      </c>
      <c r="C1965" t="s">
        <v>19</v>
      </c>
      <c r="D1965" t="s">
        <v>20</v>
      </c>
      <c r="E1965">
        <v>1</v>
      </c>
      <c r="F1965">
        <v>216000</v>
      </c>
      <c r="G1965" t="s">
        <v>31</v>
      </c>
      <c r="H1965" t="s">
        <v>22</v>
      </c>
      <c r="I1965" t="s">
        <v>33</v>
      </c>
      <c r="J1965" t="s">
        <v>24</v>
      </c>
      <c r="K1965" s="6">
        <f t="shared" ca="1" si="128"/>
        <v>35249</v>
      </c>
      <c r="L1965">
        <v>-10512</v>
      </c>
      <c r="M1965" s="7">
        <f t="shared" ca="1" si="126"/>
        <v>28.780287474332649</v>
      </c>
      <c r="N1965" s="5" t="str">
        <f ca="1">VLOOKUP(Data!M1965,temp!$B$3:$C$9,2,1)</f>
        <v>20-30</v>
      </c>
      <c r="O1965">
        <v>-1782</v>
      </c>
      <c r="P1965" s="8">
        <f t="shared" si="127"/>
        <v>4.8788501026694044</v>
      </c>
      <c r="Q1965" s="5" t="str">
        <f t="shared" si="129"/>
        <v>Employed</v>
      </c>
      <c r="R1965">
        <v>1</v>
      </c>
      <c r="S1965">
        <v>0</v>
      </c>
      <c r="T1965">
        <v>1</v>
      </c>
      <c r="U1965">
        <v>0</v>
      </c>
      <c r="V1965" t="s">
        <v>38</v>
      </c>
      <c r="W1965">
        <v>2</v>
      </c>
    </row>
    <row r="1966" spans="1:23" x14ac:dyDescent="0.2">
      <c r="A1966">
        <v>5065380</v>
      </c>
      <c r="B1966" t="s">
        <v>18</v>
      </c>
      <c r="C1966" t="s">
        <v>20</v>
      </c>
      <c r="D1966" t="s">
        <v>20</v>
      </c>
      <c r="E1966">
        <v>0</v>
      </c>
      <c r="F1966">
        <v>135000</v>
      </c>
      <c r="G1966" t="s">
        <v>31</v>
      </c>
      <c r="H1966" t="s">
        <v>22</v>
      </c>
      <c r="I1966" t="s">
        <v>37</v>
      </c>
      <c r="J1966" t="s">
        <v>24</v>
      </c>
      <c r="K1966" s="6">
        <f t="shared" ca="1" si="128"/>
        <v>29082</v>
      </c>
      <c r="L1966">
        <v>-16679</v>
      </c>
      <c r="M1966" s="7">
        <f t="shared" ca="1" si="126"/>
        <v>45.664613278576319</v>
      </c>
      <c r="N1966" s="5" t="str">
        <f ca="1">VLOOKUP(Data!M1966,temp!$B$3:$C$9,2,1)</f>
        <v>40-50</v>
      </c>
      <c r="O1966">
        <v>-443</v>
      </c>
      <c r="P1966" s="8">
        <f t="shared" si="127"/>
        <v>1.2128678986995209</v>
      </c>
      <c r="Q1966" s="5" t="str">
        <f t="shared" si="129"/>
        <v>Employed</v>
      </c>
      <c r="R1966">
        <v>1</v>
      </c>
      <c r="S1966">
        <v>0</v>
      </c>
      <c r="T1966">
        <v>0</v>
      </c>
      <c r="U1966">
        <v>0</v>
      </c>
      <c r="W1966">
        <v>2</v>
      </c>
    </row>
    <row r="1967" spans="1:23" x14ac:dyDescent="0.2">
      <c r="A1967">
        <v>5065395</v>
      </c>
      <c r="B1967" t="s">
        <v>25</v>
      </c>
      <c r="C1967" t="s">
        <v>20</v>
      </c>
      <c r="D1967" t="s">
        <v>19</v>
      </c>
      <c r="E1967">
        <v>0</v>
      </c>
      <c r="F1967">
        <v>396000</v>
      </c>
      <c r="G1967" t="s">
        <v>26</v>
      </c>
      <c r="H1967" t="s">
        <v>22</v>
      </c>
      <c r="I1967" t="s">
        <v>28</v>
      </c>
      <c r="J1967" t="s">
        <v>24</v>
      </c>
      <c r="K1967" s="6">
        <f t="shared" ca="1" si="128"/>
        <v>33187</v>
      </c>
      <c r="L1967">
        <v>-12574</v>
      </c>
      <c r="M1967" s="7">
        <f t="shared" ca="1" si="126"/>
        <v>34.425735797399042</v>
      </c>
      <c r="N1967" s="5" t="str">
        <f ca="1">VLOOKUP(Data!M1967,temp!$B$3:$C$9,2,1)</f>
        <v>30-40</v>
      </c>
      <c r="O1967">
        <v>-2453</v>
      </c>
      <c r="P1967" s="8">
        <f t="shared" si="127"/>
        <v>6.7159479808350442</v>
      </c>
      <c r="Q1967" s="5" t="str">
        <f t="shared" si="129"/>
        <v>Employed</v>
      </c>
      <c r="R1967">
        <v>1</v>
      </c>
      <c r="S1967">
        <v>1</v>
      </c>
      <c r="T1967">
        <v>1</v>
      </c>
      <c r="U1967">
        <v>0</v>
      </c>
      <c r="V1967" t="s">
        <v>32</v>
      </c>
      <c r="W1967">
        <v>2</v>
      </c>
    </row>
    <row r="1968" spans="1:23" x14ac:dyDescent="0.2">
      <c r="A1968">
        <v>5065399</v>
      </c>
      <c r="B1968" t="s">
        <v>18</v>
      </c>
      <c r="C1968" t="s">
        <v>20</v>
      </c>
      <c r="D1968" t="s">
        <v>20</v>
      </c>
      <c r="E1968">
        <v>0</v>
      </c>
      <c r="F1968">
        <v>157500</v>
      </c>
      <c r="G1968" t="s">
        <v>21</v>
      </c>
      <c r="H1968" t="s">
        <v>22</v>
      </c>
      <c r="I1968" t="s">
        <v>23</v>
      </c>
      <c r="J1968" t="s">
        <v>24</v>
      </c>
      <c r="K1968" s="6">
        <f t="shared" ca="1" si="128"/>
        <v>22520</v>
      </c>
      <c r="L1968">
        <v>-23241</v>
      </c>
      <c r="M1968" s="7">
        <f t="shared" ca="1" si="126"/>
        <v>63.630390143737166</v>
      </c>
      <c r="N1968" s="5" t="str">
        <f ca="1">VLOOKUP(Data!M1968,temp!$B$3:$C$9,2,1)</f>
        <v>60-70</v>
      </c>
      <c r="O1968">
        <v>365243</v>
      </c>
      <c r="P1968" s="8">
        <f t="shared" si="127"/>
        <v>0</v>
      </c>
      <c r="Q1968" s="5" t="str">
        <f t="shared" si="129"/>
        <v>Unemployed</v>
      </c>
      <c r="R1968">
        <v>1</v>
      </c>
      <c r="S1968">
        <v>0</v>
      </c>
      <c r="T1968">
        <v>0</v>
      </c>
      <c r="U1968">
        <v>0</v>
      </c>
      <c r="W1968">
        <v>1</v>
      </c>
    </row>
    <row r="1969" spans="1:23" x14ac:dyDescent="0.2">
      <c r="A1969">
        <v>5065407</v>
      </c>
      <c r="B1969" t="s">
        <v>18</v>
      </c>
      <c r="C1969" t="s">
        <v>19</v>
      </c>
      <c r="D1969" t="s">
        <v>20</v>
      </c>
      <c r="E1969">
        <v>1</v>
      </c>
      <c r="F1969">
        <v>135000</v>
      </c>
      <c r="G1969" t="s">
        <v>26</v>
      </c>
      <c r="H1969" t="s">
        <v>27</v>
      </c>
      <c r="I1969" t="s">
        <v>28</v>
      </c>
      <c r="J1969" t="s">
        <v>24</v>
      </c>
      <c r="K1969" s="6">
        <f t="shared" ca="1" si="128"/>
        <v>30270</v>
      </c>
      <c r="L1969">
        <v>-15491</v>
      </c>
      <c r="M1969" s="7">
        <f t="shared" ca="1" si="126"/>
        <v>42.412046543463383</v>
      </c>
      <c r="N1969" s="5" t="str">
        <f ca="1">VLOOKUP(Data!M1969,temp!$B$3:$C$9,2,1)</f>
        <v>40-50</v>
      </c>
      <c r="O1969">
        <v>-1539</v>
      </c>
      <c r="P1969" s="8">
        <f t="shared" si="127"/>
        <v>4.213552361396304</v>
      </c>
      <c r="Q1969" s="5" t="str">
        <f t="shared" si="129"/>
        <v>Employed</v>
      </c>
      <c r="R1969">
        <v>1</v>
      </c>
      <c r="S1969">
        <v>0</v>
      </c>
      <c r="T1969">
        <v>0</v>
      </c>
      <c r="U1969">
        <v>0</v>
      </c>
      <c r="W1969">
        <v>3</v>
      </c>
    </row>
    <row r="1970" spans="1:23" x14ac:dyDescent="0.2">
      <c r="A1970">
        <v>5065419</v>
      </c>
      <c r="B1970" t="s">
        <v>18</v>
      </c>
      <c r="C1970" t="s">
        <v>19</v>
      </c>
      <c r="D1970" t="s">
        <v>20</v>
      </c>
      <c r="E1970">
        <v>0</v>
      </c>
      <c r="F1970">
        <v>265500</v>
      </c>
      <c r="G1970" t="s">
        <v>31</v>
      </c>
      <c r="H1970" t="s">
        <v>27</v>
      </c>
      <c r="I1970" t="s">
        <v>28</v>
      </c>
      <c r="J1970" t="s">
        <v>24</v>
      </c>
      <c r="K1970" s="6">
        <f t="shared" ca="1" si="128"/>
        <v>29836</v>
      </c>
      <c r="L1970">
        <v>-15925</v>
      </c>
      <c r="M1970" s="7">
        <f t="shared" ca="1" si="126"/>
        <v>43.600273785078713</v>
      </c>
      <c r="N1970" s="5" t="str">
        <f ca="1">VLOOKUP(Data!M1970,temp!$B$3:$C$9,2,1)</f>
        <v>40-50</v>
      </c>
      <c r="O1970">
        <v>-3335</v>
      </c>
      <c r="P1970" s="8">
        <f t="shared" si="127"/>
        <v>9.1307323750855574</v>
      </c>
      <c r="Q1970" s="5" t="str">
        <f t="shared" si="129"/>
        <v>Employed</v>
      </c>
      <c r="R1970">
        <v>1</v>
      </c>
      <c r="S1970">
        <v>1</v>
      </c>
      <c r="T1970">
        <v>1</v>
      </c>
      <c r="U1970">
        <v>0</v>
      </c>
      <c r="V1970" t="s">
        <v>39</v>
      </c>
      <c r="W1970">
        <v>2</v>
      </c>
    </row>
    <row r="1971" spans="1:23" x14ac:dyDescent="0.2">
      <c r="A1971">
        <v>5065421</v>
      </c>
      <c r="B1971" t="s">
        <v>18</v>
      </c>
      <c r="C1971" t="s">
        <v>19</v>
      </c>
      <c r="D1971" t="s">
        <v>20</v>
      </c>
      <c r="E1971">
        <v>0</v>
      </c>
      <c r="F1971">
        <v>265500</v>
      </c>
      <c r="G1971" t="s">
        <v>31</v>
      </c>
      <c r="H1971" t="s">
        <v>27</v>
      </c>
      <c r="I1971" t="s">
        <v>28</v>
      </c>
      <c r="J1971" t="s">
        <v>24</v>
      </c>
      <c r="K1971" s="6">
        <f t="shared" ca="1" si="128"/>
        <v>29836</v>
      </c>
      <c r="L1971">
        <v>-15925</v>
      </c>
      <c r="M1971" s="7">
        <f t="shared" ca="1" si="126"/>
        <v>43.600273785078713</v>
      </c>
      <c r="N1971" s="5" t="str">
        <f ca="1">VLOOKUP(Data!M1971,temp!$B$3:$C$9,2,1)</f>
        <v>40-50</v>
      </c>
      <c r="O1971">
        <v>-3335</v>
      </c>
      <c r="P1971" s="8">
        <f t="shared" si="127"/>
        <v>9.1307323750855574</v>
      </c>
      <c r="Q1971" s="5" t="str">
        <f t="shared" si="129"/>
        <v>Employed</v>
      </c>
      <c r="R1971">
        <v>1</v>
      </c>
      <c r="S1971">
        <v>1</v>
      </c>
      <c r="T1971">
        <v>1</v>
      </c>
      <c r="U1971">
        <v>0</v>
      </c>
      <c r="V1971" t="s">
        <v>39</v>
      </c>
      <c r="W1971">
        <v>2</v>
      </c>
    </row>
    <row r="1972" spans="1:23" x14ac:dyDescent="0.2">
      <c r="A1972">
        <v>5065423</v>
      </c>
      <c r="B1972" t="s">
        <v>18</v>
      </c>
      <c r="C1972" t="s">
        <v>19</v>
      </c>
      <c r="D1972" t="s">
        <v>20</v>
      </c>
      <c r="E1972">
        <v>0</v>
      </c>
      <c r="F1972">
        <v>265500</v>
      </c>
      <c r="G1972" t="s">
        <v>31</v>
      </c>
      <c r="H1972" t="s">
        <v>27</v>
      </c>
      <c r="I1972" t="s">
        <v>28</v>
      </c>
      <c r="J1972" t="s">
        <v>24</v>
      </c>
      <c r="K1972" s="6">
        <f t="shared" ca="1" si="128"/>
        <v>29836</v>
      </c>
      <c r="L1972">
        <v>-15925</v>
      </c>
      <c r="M1972" s="7">
        <f t="shared" ca="1" si="126"/>
        <v>43.600273785078713</v>
      </c>
      <c r="N1972" s="5" t="str">
        <f ca="1">VLOOKUP(Data!M1972,temp!$B$3:$C$9,2,1)</f>
        <v>40-50</v>
      </c>
      <c r="O1972">
        <v>-3335</v>
      </c>
      <c r="P1972" s="8">
        <f t="shared" si="127"/>
        <v>9.1307323750855574</v>
      </c>
      <c r="Q1972" s="5" t="str">
        <f t="shared" si="129"/>
        <v>Employed</v>
      </c>
      <c r="R1972">
        <v>1</v>
      </c>
      <c r="S1972">
        <v>1</v>
      </c>
      <c r="T1972">
        <v>1</v>
      </c>
      <c r="U1972">
        <v>0</v>
      </c>
      <c r="V1972" t="s">
        <v>39</v>
      </c>
      <c r="W1972">
        <v>2</v>
      </c>
    </row>
    <row r="1973" spans="1:23" x14ac:dyDescent="0.2">
      <c r="A1973">
        <v>5065443</v>
      </c>
      <c r="B1973" t="s">
        <v>18</v>
      </c>
      <c r="C1973" t="s">
        <v>20</v>
      </c>
      <c r="D1973" t="s">
        <v>19</v>
      </c>
      <c r="E1973">
        <v>2</v>
      </c>
      <c r="F1973">
        <v>270000</v>
      </c>
      <c r="G1973" t="s">
        <v>31</v>
      </c>
      <c r="H1973" t="s">
        <v>27</v>
      </c>
      <c r="I1973" t="s">
        <v>28</v>
      </c>
      <c r="J1973" t="s">
        <v>41</v>
      </c>
      <c r="K1973" s="6">
        <f t="shared" ca="1" si="128"/>
        <v>32503</v>
      </c>
      <c r="L1973">
        <v>-13258</v>
      </c>
      <c r="M1973" s="7">
        <f t="shared" ca="1" si="126"/>
        <v>36.298425735797402</v>
      </c>
      <c r="N1973" s="5" t="str">
        <f ca="1">VLOOKUP(Data!M1973,temp!$B$3:$C$9,2,1)</f>
        <v>30-40</v>
      </c>
      <c r="O1973">
        <v>-2300</v>
      </c>
      <c r="P1973" s="8">
        <f t="shared" si="127"/>
        <v>6.2970568104038334</v>
      </c>
      <c r="Q1973" s="5" t="str">
        <f t="shared" si="129"/>
        <v>Employed</v>
      </c>
      <c r="R1973">
        <v>1</v>
      </c>
      <c r="S1973">
        <v>0</v>
      </c>
      <c r="T1973">
        <v>0</v>
      </c>
      <c r="U1973">
        <v>0</v>
      </c>
      <c r="V1973" t="s">
        <v>32</v>
      </c>
      <c r="W1973">
        <v>4</v>
      </c>
    </row>
    <row r="1974" spans="1:23" x14ac:dyDescent="0.2">
      <c r="A1974">
        <v>5065452</v>
      </c>
      <c r="B1974" t="s">
        <v>25</v>
      </c>
      <c r="C1974" t="s">
        <v>19</v>
      </c>
      <c r="D1974" t="s">
        <v>20</v>
      </c>
      <c r="E1974">
        <v>0</v>
      </c>
      <c r="F1974">
        <v>180000</v>
      </c>
      <c r="G1974" t="s">
        <v>31</v>
      </c>
      <c r="H1974" t="s">
        <v>36</v>
      </c>
      <c r="I1974" t="s">
        <v>28</v>
      </c>
      <c r="J1974" t="s">
        <v>24</v>
      </c>
      <c r="K1974" s="6">
        <f t="shared" ca="1" si="128"/>
        <v>28615</v>
      </c>
      <c r="L1974">
        <v>-17146</v>
      </c>
      <c r="M1974" s="7">
        <f t="shared" ca="1" si="126"/>
        <v>46.943189596167009</v>
      </c>
      <c r="N1974" s="5" t="str">
        <f ca="1">VLOOKUP(Data!M1974,temp!$B$3:$C$9,2,1)</f>
        <v>40-50</v>
      </c>
      <c r="O1974">
        <v>-5680</v>
      </c>
      <c r="P1974" s="8">
        <f t="shared" si="127"/>
        <v>15.550992470910336</v>
      </c>
      <c r="Q1974" s="5" t="str">
        <f t="shared" si="129"/>
        <v>Employed</v>
      </c>
      <c r="R1974">
        <v>1</v>
      </c>
      <c r="S1974">
        <v>0</v>
      </c>
      <c r="T1974">
        <v>1</v>
      </c>
      <c r="U1974">
        <v>0</v>
      </c>
      <c r="V1974" t="s">
        <v>29</v>
      </c>
      <c r="W1974">
        <v>2</v>
      </c>
    </row>
    <row r="1975" spans="1:23" x14ac:dyDescent="0.2">
      <c r="A1975">
        <v>5065457</v>
      </c>
      <c r="B1975" t="s">
        <v>18</v>
      </c>
      <c r="C1975" t="s">
        <v>20</v>
      </c>
      <c r="D1975" t="s">
        <v>20</v>
      </c>
      <c r="E1975">
        <v>1</v>
      </c>
      <c r="F1975">
        <v>180000</v>
      </c>
      <c r="G1975" t="s">
        <v>31</v>
      </c>
      <c r="H1975" t="s">
        <v>22</v>
      </c>
      <c r="I1975" t="s">
        <v>37</v>
      </c>
      <c r="J1975" t="s">
        <v>41</v>
      </c>
      <c r="K1975" s="6">
        <f t="shared" ca="1" si="128"/>
        <v>32326</v>
      </c>
      <c r="L1975">
        <v>-13435</v>
      </c>
      <c r="M1975" s="7">
        <f t="shared" ca="1" si="126"/>
        <v>36.78302532511978</v>
      </c>
      <c r="N1975" s="5" t="str">
        <f ca="1">VLOOKUP(Data!M1975,temp!$B$3:$C$9,2,1)</f>
        <v>30-40</v>
      </c>
      <c r="O1975">
        <v>-1297</v>
      </c>
      <c r="P1975" s="8">
        <f t="shared" si="127"/>
        <v>3.5509924709103355</v>
      </c>
      <c r="Q1975" s="5" t="str">
        <f t="shared" si="129"/>
        <v>Employed</v>
      </c>
      <c r="R1975">
        <v>1</v>
      </c>
      <c r="S1975">
        <v>0</v>
      </c>
      <c r="T1975">
        <v>0</v>
      </c>
      <c r="U1975">
        <v>0</v>
      </c>
      <c r="W1975">
        <v>3</v>
      </c>
    </row>
    <row r="1976" spans="1:23" x14ac:dyDescent="0.2">
      <c r="A1976">
        <v>5065475</v>
      </c>
      <c r="B1976" t="s">
        <v>18</v>
      </c>
      <c r="C1976" t="s">
        <v>19</v>
      </c>
      <c r="D1976" t="s">
        <v>19</v>
      </c>
      <c r="E1976">
        <v>1</v>
      </c>
      <c r="F1976">
        <v>112500</v>
      </c>
      <c r="G1976" t="s">
        <v>26</v>
      </c>
      <c r="H1976" t="s">
        <v>27</v>
      </c>
      <c r="I1976" t="s">
        <v>28</v>
      </c>
      <c r="J1976" t="s">
        <v>24</v>
      </c>
      <c r="K1976" s="6">
        <f t="shared" ca="1" si="128"/>
        <v>36179</v>
      </c>
      <c r="L1976">
        <v>-9582</v>
      </c>
      <c r="M1976" s="7">
        <f t="shared" ca="1" si="126"/>
        <v>26.234086242299796</v>
      </c>
      <c r="N1976" s="5" t="str">
        <f ca="1">VLOOKUP(Data!M1976,temp!$B$3:$C$9,2,1)</f>
        <v>20-30</v>
      </c>
      <c r="O1976">
        <v>-747</v>
      </c>
      <c r="P1976" s="8">
        <f t="shared" si="127"/>
        <v>2.0451745379876796</v>
      </c>
      <c r="Q1976" s="5" t="str">
        <f t="shared" si="129"/>
        <v>Employed</v>
      </c>
      <c r="R1976">
        <v>1</v>
      </c>
      <c r="S1976">
        <v>0</v>
      </c>
      <c r="T1976">
        <v>0</v>
      </c>
      <c r="U1976">
        <v>0</v>
      </c>
      <c r="V1976" t="s">
        <v>39</v>
      </c>
      <c r="W1976">
        <v>3</v>
      </c>
    </row>
    <row r="1977" spans="1:23" x14ac:dyDescent="0.2">
      <c r="A1977">
        <v>5065479</v>
      </c>
      <c r="B1977" t="s">
        <v>25</v>
      </c>
      <c r="C1977" t="s">
        <v>19</v>
      </c>
      <c r="D1977" t="s">
        <v>19</v>
      </c>
      <c r="E1977">
        <v>1</v>
      </c>
      <c r="F1977">
        <v>148500</v>
      </c>
      <c r="G1977" t="s">
        <v>31</v>
      </c>
      <c r="H1977" t="s">
        <v>27</v>
      </c>
      <c r="I1977" t="s">
        <v>28</v>
      </c>
      <c r="J1977" t="s">
        <v>24</v>
      </c>
      <c r="K1977" s="6">
        <f t="shared" ca="1" si="128"/>
        <v>32187</v>
      </c>
      <c r="L1977">
        <v>-13574</v>
      </c>
      <c r="M1977" s="7">
        <f t="shared" ca="1" si="126"/>
        <v>37.163586584531146</v>
      </c>
      <c r="N1977" s="5" t="str">
        <f ca="1">VLOOKUP(Data!M1977,temp!$B$3:$C$9,2,1)</f>
        <v>30-40</v>
      </c>
      <c r="O1977">
        <v>-109</v>
      </c>
      <c r="P1977" s="8">
        <f t="shared" si="127"/>
        <v>0.29842573579739906</v>
      </c>
      <c r="Q1977" s="5" t="str">
        <f t="shared" si="129"/>
        <v>Employed</v>
      </c>
      <c r="R1977">
        <v>1</v>
      </c>
      <c r="S1977">
        <v>0</v>
      </c>
      <c r="T1977">
        <v>0</v>
      </c>
      <c r="U1977">
        <v>0</v>
      </c>
      <c r="V1977" t="s">
        <v>29</v>
      </c>
      <c r="W1977">
        <v>3</v>
      </c>
    </row>
    <row r="1978" spans="1:23" x14ac:dyDescent="0.2">
      <c r="A1978">
        <v>5065486</v>
      </c>
      <c r="B1978" t="s">
        <v>18</v>
      </c>
      <c r="C1978" t="s">
        <v>19</v>
      </c>
      <c r="D1978" t="s">
        <v>19</v>
      </c>
      <c r="E1978">
        <v>2</v>
      </c>
      <c r="F1978">
        <v>189000</v>
      </c>
      <c r="G1978" t="s">
        <v>31</v>
      </c>
      <c r="H1978" t="s">
        <v>27</v>
      </c>
      <c r="I1978" t="s">
        <v>23</v>
      </c>
      <c r="J1978" t="s">
        <v>45</v>
      </c>
      <c r="K1978" s="6">
        <f t="shared" ca="1" si="128"/>
        <v>35661</v>
      </c>
      <c r="L1978">
        <v>-10100</v>
      </c>
      <c r="M1978" s="7">
        <f t="shared" ca="1" si="126"/>
        <v>27.652292950034223</v>
      </c>
      <c r="N1978" s="5" t="str">
        <f ca="1">VLOOKUP(Data!M1978,temp!$B$3:$C$9,2,1)</f>
        <v>20-30</v>
      </c>
      <c r="O1978">
        <v>-596</v>
      </c>
      <c r="P1978" s="8">
        <f t="shared" si="127"/>
        <v>1.6317590691307324</v>
      </c>
      <c r="Q1978" s="5" t="str">
        <f t="shared" si="129"/>
        <v>Employed</v>
      </c>
      <c r="R1978">
        <v>1</v>
      </c>
      <c r="S1978">
        <v>0</v>
      </c>
      <c r="T1978">
        <v>0</v>
      </c>
      <c r="U1978">
        <v>0</v>
      </c>
      <c r="W1978">
        <v>3</v>
      </c>
    </row>
    <row r="1979" spans="1:23" x14ac:dyDescent="0.2">
      <c r="A1979">
        <v>5065489</v>
      </c>
      <c r="B1979" t="s">
        <v>18</v>
      </c>
      <c r="C1979" t="s">
        <v>19</v>
      </c>
      <c r="D1979" t="s">
        <v>20</v>
      </c>
      <c r="E1979">
        <v>0</v>
      </c>
      <c r="F1979">
        <v>112500</v>
      </c>
      <c r="G1979" t="s">
        <v>26</v>
      </c>
      <c r="H1979" t="s">
        <v>27</v>
      </c>
      <c r="I1979" t="s">
        <v>37</v>
      </c>
      <c r="J1979" t="s">
        <v>24</v>
      </c>
      <c r="K1979" s="6">
        <f t="shared" ca="1" si="128"/>
        <v>33323</v>
      </c>
      <c r="L1979">
        <v>-12438</v>
      </c>
      <c r="M1979" s="7">
        <f t="shared" ca="1" si="126"/>
        <v>34.053388090349074</v>
      </c>
      <c r="N1979" s="5" t="str">
        <f ca="1">VLOOKUP(Data!M1979,temp!$B$3:$C$9,2,1)</f>
        <v>30-40</v>
      </c>
      <c r="O1979">
        <v>-747</v>
      </c>
      <c r="P1979" s="8">
        <f t="shared" si="127"/>
        <v>2.0451745379876796</v>
      </c>
      <c r="Q1979" s="5" t="str">
        <f t="shared" si="129"/>
        <v>Employed</v>
      </c>
      <c r="R1979">
        <v>1</v>
      </c>
      <c r="S1979">
        <v>1</v>
      </c>
      <c r="T1979">
        <v>1</v>
      </c>
      <c r="U1979">
        <v>0</v>
      </c>
      <c r="V1979" t="s">
        <v>50</v>
      </c>
      <c r="W1979">
        <v>2</v>
      </c>
    </row>
    <row r="1980" spans="1:23" x14ac:dyDescent="0.2">
      <c r="A1980">
        <v>5065500</v>
      </c>
      <c r="B1980" t="s">
        <v>18</v>
      </c>
      <c r="C1980" t="s">
        <v>20</v>
      </c>
      <c r="D1980" t="s">
        <v>19</v>
      </c>
      <c r="E1980">
        <v>1</v>
      </c>
      <c r="F1980">
        <v>135000</v>
      </c>
      <c r="G1980" t="s">
        <v>31</v>
      </c>
      <c r="H1980" t="s">
        <v>22</v>
      </c>
      <c r="I1980" t="s">
        <v>28</v>
      </c>
      <c r="J1980" t="s">
        <v>45</v>
      </c>
      <c r="K1980" s="6">
        <f t="shared" ca="1" si="128"/>
        <v>33238</v>
      </c>
      <c r="L1980">
        <v>-12523</v>
      </c>
      <c r="M1980" s="7">
        <f t="shared" ca="1" si="126"/>
        <v>34.286105407255306</v>
      </c>
      <c r="N1980" s="5" t="str">
        <f ca="1">VLOOKUP(Data!M1980,temp!$B$3:$C$9,2,1)</f>
        <v>30-40</v>
      </c>
      <c r="O1980">
        <v>-2482</v>
      </c>
      <c r="P1980" s="8">
        <f t="shared" si="127"/>
        <v>6.795345653661875</v>
      </c>
      <c r="Q1980" s="5" t="str">
        <f t="shared" si="129"/>
        <v>Employed</v>
      </c>
      <c r="R1980">
        <v>1</v>
      </c>
      <c r="S1980">
        <v>0</v>
      </c>
      <c r="T1980">
        <v>0</v>
      </c>
      <c r="U1980">
        <v>0</v>
      </c>
      <c r="V1980" t="s">
        <v>32</v>
      </c>
      <c r="W1980">
        <v>3</v>
      </c>
    </row>
    <row r="1981" spans="1:23" x14ac:dyDescent="0.2">
      <c r="A1981">
        <v>5065501</v>
      </c>
      <c r="B1981" t="s">
        <v>18</v>
      </c>
      <c r="C1981" t="s">
        <v>20</v>
      </c>
      <c r="D1981" t="s">
        <v>19</v>
      </c>
      <c r="E1981">
        <v>1</v>
      </c>
      <c r="F1981">
        <v>135000</v>
      </c>
      <c r="G1981" t="s">
        <v>31</v>
      </c>
      <c r="H1981" t="s">
        <v>22</v>
      </c>
      <c r="I1981" t="s">
        <v>28</v>
      </c>
      <c r="J1981" t="s">
        <v>45</v>
      </c>
      <c r="K1981" s="6">
        <f t="shared" ca="1" si="128"/>
        <v>33238</v>
      </c>
      <c r="L1981">
        <v>-12523</v>
      </c>
      <c r="M1981" s="7">
        <f t="shared" ca="1" si="126"/>
        <v>34.286105407255306</v>
      </c>
      <c r="N1981" s="5" t="str">
        <f ca="1">VLOOKUP(Data!M1981,temp!$B$3:$C$9,2,1)</f>
        <v>30-40</v>
      </c>
      <c r="O1981">
        <v>-2482</v>
      </c>
      <c r="P1981" s="8">
        <f t="shared" si="127"/>
        <v>6.795345653661875</v>
      </c>
      <c r="Q1981" s="5" t="str">
        <f t="shared" si="129"/>
        <v>Employed</v>
      </c>
      <c r="R1981">
        <v>1</v>
      </c>
      <c r="S1981">
        <v>0</v>
      </c>
      <c r="T1981">
        <v>0</v>
      </c>
      <c r="U1981">
        <v>0</v>
      </c>
      <c r="V1981" t="s">
        <v>32</v>
      </c>
      <c r="W1981">
        <v>3</v>
      </c>
    </row>
    <row r="1982" spans="1:23" x14ac:dyDescent="0.2">
      <c r="A1982">
        <v>5065505</v>
      </c>
      <c r="B1982" t="s">
        <v>18</v>
      </c>
      <c r="C1982" t="s">
        <v>20</v>
      </c>
      <c r="D1982" t="s">
        <v>19</v>
      </c>
      <c r="E1982">
        <v>1</v>
      </c>
      <c r="F1982">
        <v>135000</v>
      </c>
      <c r="G1982" t="s">
        <v>31</v>
      </c>
      <c r="H1982" t="s">
        <v>22</v>
      </c>
      <c r="I1982" t="s">
        <v>28</v>
      </c>
      <c r="J1982" t="s">
        <v>45</v>
      </c>
      <c r="K1982" s="6">
        <f t="shared" ca="1" si="128"/>
        <v>33238</v>
      </c>
      <c r="L1982">
        <v>-12523</v>
      </c>
      <c r="M1982" s="7">
        <f t="shared" ca="1" si="126"/>
        <v>34.286105407255306</v>
      </c>
      <c r="N1982" s="5" t="str">
        <f ca="1">VLOOKUP(Data!M1982,temp!$B$3:$C$9,2,1)</f>
        <v>30-40</v>
      </c>
      <c r="O1982">
        <v>-2482</v>
      </c>
      <c r="P1982" s="8">
        <f t="shared" si="127"/>
        <v>6.795345653661875</v>
      </c>
      <c r="Q1982" s="5" t="str">
        <f t="shared" si="129"/>
        <v>Employed</v>
      </c>
      <c r="R1982">
        <v>1</v>
      </c>
      <c r="S1982">
        <v>0</v>
      </c>
      <c r="T1982">
        <v>0</v>
      </c>
      <c r="U1982">
        <v>0</v>
      </c>
      <c r="V1982" t="s">
        <v>32</v>
      </c>
      <c r="W1982">
        <v>3</v>
      </c>
    </row>
    <row r="1983" spans="1:23" x14ac:dyDescent="0.2">
      <c r="A1983">
        <v>5065515</v>
      </c>
      <c r="B1983" t="s">
        <v>18</v>
      </c>
      <c r="C1983" t="s">
        <v>19</v>
      </c>
      <c r="D1983" t="s">
        <v>20</v>
      </c>
      <c r="E1983">
        <v>0</v>
      </c>
      <c r="F1983">
        <v>315000</v>
      </c>
      <c r="G1983" t="s">
        <v>26</v>
      </c>
      <c r="H1983" t="s">
        <v>22</v>
      </c>
      <c r="I1983" t="s">
        <v>28</v>
      </c>
      <c r="J1983" t="s">
        <v>24</v>
      </c>
      <c r="K1983" s="6">
        <f t="shared" ca="1" si="128"/>
        <v>26108</v>
      </c>
      <c r="L1983">
        <v>-19653</v>
      </c>
      <c r="M1983" s="7">
        <f t="shared" ca="1" si="126"/>
        <v>53.80698151950719</v>
      </c>
      <c r="N1983" s="5" t="str">
        <f ca="1">VLOOKUP(Data!M1983,temp!$B$3:$C$9,2,1)</f>
        <v>50-60</v>
      </c>
      <c r="O1983">
        <v>-5953</v>
      </c>
      <c r="P1983" s="8">
        <f t="shared" si="127"/>
        <v>16.298425735797398</v>
      </c>
      <c r="Q1983" s="5" t="str">
        <f t="shared" si="129"/>
        <v>Employed</v>
      </c>
      <c r="R1983">
        <v>1</v>
      </c>
      <c r="S1983">
        <v>0</v>
      </c>
      <c r="T1983">
        <v>0</v>
      </c>
      <c r="U1983">
        <v>0</v>
      </c>
      <c r="W1983">
        <v>2</v>
      </c>
    </row>
    <row r="1984" spans="1:23" x14ac:dyDescent="0.2">
      <c r="A1984">
        <v>5065518</v>
      </c>
      <c r="B1984" t="s">
        <v>18</v>
      </c>
      <c r="C1984" t="s">
        <v>20</v>
      </c>
      <c r="D1984" t="s">
        <v>19</v>
      </c>
      <c r="E1984">
        <v>1</v>
      </c>
      <c r="F1984">
        <v>202500</v>
      </c>
      <c r="G1984" t="s">
        <v>31</v>
      </c>
      <c r="H1984" t="s">
        <v>22</v>
      </c>
      <c r="I1984" t="s">
        <v>28</v>
      </c>
      <c r="J1984" t="s">
        <v>34</v>
      </c>
      <c r="K1984" s="6">
        <f t="shared" ca="1" si="128"/>
        <v>36251</v>
      </c>
      <c r="L1984">
        <v>-9510</v>
      </c>
      <c r="M1984" s="7">
        <f t="shared" ca="1" si="126"/>
        <v>26.036960985626283</v>
      </c>
      <c r="N1984" s="5" t="str">
        <f ca="1">VLOOKUP(Data!M1984,temp!$B$3:$C$9,2,1)</f>
        <v>20-30</v>
      </c>
      <c r="O1984">
        <v>-2878</v>
      </c>
      <c r="P1984" s="8">
        <f t="shared" si="127"/>
        <v>7.8795345653661872</v>
      </c>
      <c r="Q1984" s="5" t="str">
        <f t="shared" si="129"/>
        <v>Employed</v>
      </c>
      <c r="R1984">
        <v>1</v>
      </c>
      <c r="S1984">
        <v>0</v>
      </c>
      <c r="T1984">
        <v>0</v>
      </c>
      <c r="U1984">
        <v>0</v>
      </c>
      <c r="V1984" t="s">
        <v>29</v>
      </c>
      <c r="W1984">
        <v>3</v>
      </c>
    </row>
    <row r="1985" spans="1:23" x14ac:dyDescent="0.2">
      <c r="A1985">
        <v>5065520</v>
      </c>
      <c r="B1985" t="s">
        <v>18</v>
      </c>
      <c r="C1985" t="s">
        <v>20</v>
      </c>
      <c r="D1985" t="s">
        <v>19</v>
      </c>
      <c r="E1985">
        <v>1</v>
      </c>
      <c r="F1985">
        <v>202500</v>
      </c>
      <c r="G1985" t="s">
        <v>31</v>
      </c>
      <c r="H1985" t="s">
        <v>22</v>
      </c>
      <c r="I1985" t="s">
        <v>28</v>
      </c>
      <c r="J1985" t="s">
        <v>34</v>
      </c>
      <c r="K1985" s="6">
        <f t="shared" ca="1" si="128"/>
        <v>36251</v>
      </c>
      <c r="L1985">
        <v>-9510</v>
      </c>
      <c r="M1985" s="7">
        <f t="shared" ca="1" si="126"/>
        <v>26.036960985626283</v>
      </c>
      <c r="N1985" s="5" t="str">
        <f ca="1">VLOOKUP(Data!M1985,temp!$B$3:$C$9,2,1)</f>
        <v>20-30</v>
      </c>
      <c r="O1985">
        <v>-2878</v>
      </c>
      <c r="P1985" s="8">
        <f t="shared" si="127"/>
        <v>7.8795345653661872</v>
      </c>
      <c r="Q1985" s="5" t="str">
        <f t="shared" si="129"/>
        <v>Employed</v>
      </c>
      <c r="R1985">
        <v>1</v>
      </c>
      <c r="S1985">
        <v>0</v>
      </c>
      <c r="T1985">
        <v>0</v>
      </c>
      <c r="U1985">
        <v>0</v>
      </c>
      <c r="V1985" t="s">
        <v>29</v>
      </c>
      <c r="W1985">
        <v>3</v>
      </c>
    </row>
    <row r="1986" spans="1:23" x14ac:dyDescent="0.2">
      <c r="A1986">
        <v>5065536</v>
      </c>
      <c r="B1986" t="s">
        <v>25</v>
      </c>
      <c r="C1986" t="s">
        <v>19</v>
      </c>
      <c r="D1986" t="s">
        <v>20</v>
      </c>
      <c r="E1986">
        <v>2</v>
      </c>
      <c r="F1986">
        <v>207000</v>
      </c>
      <c r="G1986" t="s">
        <v>26</v>
      </c>
      <c r="H1986" t="s">
        <v>27</v>
      </c>
      <c r="I1986" t="s">
        <v>28</v>
      </c>
      <c r="J1986" t="s">
        <v>24</v>
      </c>
      <c r="K1986" s="6">
        <f t="shared" ca="1" si="128"/>
        <v>32766</v>
      </c>
      <c r="L1986">
        <v>-12995</v>
      </c>
      <c r="M1986" s="7">
        <f t="shared" ca="1" si="126"/>
        <v>35.578370978781656</v>
      </c>
      <c r="N1986" s="5" t="str">
        <f ca="1">VLOOKUP(Data!M1986,temp!$B$3:$C$9,2,1)</f>
        <v>30-40</v>
      </c>
      <c r="O1986">
        <v>-1509</v>
      </c>
      <c r="P1986" s="8">
        <f t="shared" si="127"/>
        <v>4.131416837782341</v>
      </c>
      <c r="Q1986" s="5" t="str">
        <f t="shared" si="129"/>
        <v>Employed</v>
      </c>
      <c r="R1986">
        <v>1</v>
      </c>
      <c r="S1986">
        <v>0</v>
      </c>
      <c r="T1986">
        <v>0</v>
      </c>
      <c r="U1986">
        <v>0</v>
      </c>
      <c r="V1986" t="s">
        <v>32</v>
      </c>
      <c r="W1986">
        <v>4</v>
      </c>
    </row>
    <row r="1987" spans="1:23" x14ac:dyDescent="0.2">
      <c r="A1987">
        <v>5065548</v>
      </c>
      <c r="B1987" t="s">
        <v>18</v>
      </c>
      <c r="C1987" t="s">
        <v>19</v>
      </c>
      <c r="D1987" t="s">
        <v>20</v>
      </c>
      <c r="E1987">
        <v>0</v>
      </c>
      <c r="F1987">
        <v>157500</v>
      </c>
      <c r="G1987" t="s">
        <v>31</v>
      </c>
      <c r="H1987" t="s">
        <v>27</v>
      </c>
      <c r="I1987" t="s">
        <v>28</v>
      </c>
      <c r="J1987" t="s">
        <v>45</v>
      </c>
      <c r="K1987" s="6">
        <f t="shared" ca="1" si="128"/>
        <v>28360</v>
      </c>
      <c r="L1987">
        <v>-17401</v>
      </c>
      <c r="M1987" s="7">
        <f t="shared" ref="M1987:M2050" ca="1" si="130">(TODAY()-K1987)/365.25</f>
        <v>47.641341546885698</v>
      </c>
      <c r="N1987" s="5" t="str">
        <f ca="1">VLOOKUP(Data!M1987,temp!$B$3:$C$9,2,1)</f>
        <v>40-50</v>
      </c>
      <c r="O1987">
        <v>-1144</v>
      </c>
      <c r="P1987" s="8">
        <f t="shared" ref="P1987:P2050" si="131">IF(O1987&lt;=0,ABS(O1987)/365.25,0)</f>
        <v>3.1321013004791238</v>
      </c>
      <c r="Q1987" s="5" t="str">
        <f t="shared" si="129"/>
        <v>Employed</v>
      </c>
      <c r="R1987">
        <v>1</v>
      </c>
      <c r="S1987">
        <v>0</v>
      </c>
      <c r="T1987">
        <v>1</v>
      </c>
      <c r="U1987">
        <v>0</v>
      </c>
      <c r="W1987">
        <v>2</v>
      </c>
    </row>
    <row r="1988" spans="1:23" x14ac:dyDescent="0.2">
      <c r="A1988">
        <v>5065566</v>
      </c>
      <c r="B1988" t="s">
        <v>18</v>
      </c>
      <c r="C1988" t="s">
        <v>19</v>
      </c>
      <c r="D1988" t="s">
        <v>19</v>
      </c>
      <c r="E1988">
        <v>1</v>
      </c>
      <c r="F1988">
        <v>135000</v>
      </c>
      <c r="G1988" t="s">
        <v>31</v>
      </c>
      <c r="H1988" t="s">
        <v>27</v>
      </c>
      <c r="I1988" t="s">
        <v>42</v>
      </c>
      <c r="J1988" t="s">
        <v>24</v>
      </c>
      <c r="K1988" s="6">
        <f t="shared" ca="1" si="128"/>
        <v>32042</v>
      </c>
      <c r="L1988">
        <v>-13719</v>
      </c>
      <c r="M1988" s="7">
        <f t="shared" ca="1" si="130"/>
        <v>37.560574948665298</v>
      </c>
      <c r="N1988" s="5" t="str">
        <f ca="1">VLOOKUP(Data!M1988,temp!$B$3:$C$9,2,1)</f>
        <v>30-40</v>
      </c>
      <c r="O1988">
        <v>-17</v>
      </c>
      <c r="P1988" s="8">
        <f t="shared" si="131"/>
        <v>4.6543463381245723E-2</v>
      </c>
      <c r="Q1988" s="5" t="str">
        <f t="shared" si="129"/>
        <v>Employed</v>
      </c>
      <c r="R1988">
        <v>1</v>
      </c>
      <c r="S1988">
        <v>0</v>
      </c>
      <c r="T1988">
        <v>0</v>
      </c>
      <c r="U1988">
        <v>0</v>
      </c>
      <c r="V1988" t="s">
        <v>39</v>
      </c>
      <c r="W1988">
        <v>2</v>
      </c>
    </row>
    <row r="1989" spans="1:23" x14ac:dyDescent="0.2">
      <c r="A1989">
        <v>5065571</v>
      </c>
      <c r="B1989" t="s">
        <v>25</v>
      </c>
      <c r="C1989" t="s">
        <v>20</v>
      </c>
      <c r="D1989" t="s">
        <v>20</v>
      </c>
      <c r="E1989">
        <v>0</v>
      </c>
      <c r="F1989">
        <v>270000</v>
      </c>
      <c r="G1989" t="s">
        <v>26</v>
      </c>
      <c r="H1989" t="s">
        <v>27</v>
      </c>
      <c r="I1989" t="s">
        <v>28</v>
      </c>
      <c r="J1989" t="s">
        <v>24</v>
      </c>
      <c r="K1989" s="6">
        <f t="shared" ca="1" si="128"/>
        <v>27543</v>
      </c>
      <c r="L1989">
        <v>-18218</v>
      </c>
      <c r="M1989" s="7">
        <f t="shared" ca="1" si="130"/>
        <v>49.878165639972622</v>
      </c>
      <c r="N1989" s="5" t="str">
        <f ca="1">VLOOKUP(Data!M1989,temp!$B$3:$C$9,2,1)</f>
        <v>40-50</v>
      </c>
      <c r="O1989">
        <v>-1539</v>
      </c>
      <c r="P1989" s="8">
        <f t="shared" si="131"/>
        <v>4.213552361396304</v>
      </c>
      <c r="Q1989" s="5" t="str">
        <f t="shared" si="129"/>
        <v>Employed</v>
      </c>
      <c r="R1989">
        <v>1</v>
      </c>
      <c r="S1989">
        <v>0</v>
      </c>
      <c r="T1989">
        <v>0</v>
      </c>
      <c r="U1989">
        <v>0</v>
      </c>
      <c r="V1989" t="s">
        <v>30</v>
      </c>
      <c r="W1989">
        <v>2</v>
      </c>
    </row>
    <row r="1990" spans="1:23" x14ac:dyDescent="0.2">
      <c r="A1990">
        <v>5065579</v>
      </c>
      <c r="B1990" t="s">
        <v>18</v>
      </c>
      <c r="C1990" t="s">
        <v>19</v>
      </c>
      <c r="D1990" t="s">
        <v>20</v>
      </c>
      <c r="E1990">
        <v>2</v>
      </c>
      <c r="F1990">
        <v>144000</v>
      </c>
      <c r="G1990" t="s">
        <v>31</v>
      </c>
      <c r="H1990" t="s">
        <v>27</v>
      </c>
      <c r="I1990" t="s">
        <v>28</v>
      </c>
      <c r="J1990" t="s">
        <v>24</v>
      </c>
      <c r="K1990" s="6">
        <f t="shared" ca="1" si="128"/>
        <v>34614</v>
      </c>
      <c r="L1990">
        <v>-11147</v>
      </c>
      <c r="M1990" s="7">
        <f t="shared" ca="1" si="130"/>
        <v>30.518822724161534</v>
      </c>
      <c r="N1990" s="5" t="str">
        <f ca="1">VLOOKUP(Data!M1990,temp!$B$3:$C$9,2,1)</f>
        <v>30-40</v>
      </c>
      <c r="O1990">
        <v>-262</v>
      </c>
      <c r="P1990" s="8">
        <f t="shared" si="131"/>
        <v>0.71731690622861055</v>
      </c>
      <c r="Q1990" s="5" t="str">
        <f t="shared" si="129"/>
        <v>Employed</v>
      </c>
      <c r="R1990">
        <v>1</v>
      </c>
      <c r="S1990">
        <v>0</v>
      </c>
      <c r="T1990">
        <v>0</v>
      </c>
      <c r="U1990">
        <v>0</v>
      </c>
      <c r="V1990" t="s">
        <v>46</v>
      </c>
      <c r="W1990">
        <v>4</v>
      </c>
    </row>
    <row r="1991" spans="1:23" x14ac:dyDescent="0.2">
      <c r="A1991">
        <v>5065581</v>
      </c>
      <c r="B1991" t="s">
        <v>18</v>
      </c>
      <c r="C1991" t="s">
        <v>19</v>
      </c>
      <c r="D1991" t="s">
        <v>20</v>
      </c>
      <c r="E1991">
        <v>2</v>
      </c>
      <c r="F1991">
        <v>144000</v>
      </c>
      <c r="G1991" t="s">
        <v>31</v>
      </c>
      <c r="H1991" t="s">
        <v>27</v>
      </c>
      <c r="I1991" t="s">
        <v>28</v>
      </c>
      <c r="J1991" t="s">
        <v>24</v>
      </c>
      <c r="K1991" s="6">
        <f t="shared" ca="1" si="128"/>
        <v>34614</v>
      </c>
      <c r="L1991">
        <v>-11147</v>
      </c>
      <c r="M1991" s="7">
        <f t="shared" ca="1" si="130"/>
        <v>30.518822724161534</v>
      </c>
      <c r="N1991" s="5" t="str">
        <f ca="1">VLOOKUP(Data!M1991,temp!$B$3:$C$9,2,1)</f>
        <v>30-40</v>
      </c>
      <c r="O1991">
        <v>-262</v>
      </c>
      <c r="P1991" s="8">
        <f t="shared" si="131"/>
        <v>0.71731690622861055</v>
      </c>
      <c r="Q1991" s="5" t="str">
        <f t="shared" si="129"/>
        <v>Employed</v>
      </c>
      <c r="R1991">
        <v>1</v>
      </c>
      <c r="S1991">
        <v>0</v>
      </c>
      <c r="T1991">
        <v>0</v>
      </c>
      <c r="U1991">
        <v>0</v>
      </c>
      <c r="V1991" t="s">
        <v>46</v>
      </c>
      <c r="W1991">
        <v>4</v>
      </c>
    </row>
    <row r="1992" spans="1:23" x14ac:dyDescent="0.2">
      <c r="A1992">
        <v>5065585</v>
      </c>
      <c r="B1992" t="s">
        <v>18</v>
      </c>
      <c r="C1992" t="s">
        <v>20</v>
      </c>
      <c r="D1992" t="s">
        <v>19</v>
      </c>
      <c r="E1992">
        <v>1</v>
      </c>
      <c r="F1992">
        <v>90000</v>
      </c>
      <c r="G1992" t="s">
        <v>35</v>
      </c>
      <c r="H1992" t="s">
        <v>27</v>
      </c>
      <c r="I1992" t="s">
        <v>28</v>
      </c>
      <c r="J1992" t="s">
        <v>45</v>
      </c>
      <c r="K1992" s="6">
        <f t="shared" ref="K1992:K2055" ca="1" si="132">TODAY()+($L1992)</f>
        <v>31870</v>
      </c>
      <c r="L1992">
        <v>-13891</v>
      </c>
      <c r="M1992" s="7">
        <f t="shared" ca="1" si="130"/>
        <v>38.031485284052017</v>
      </c>
      <c r="N1992" s="5" t="str">
        <f ca="1">VLOOKUP(Data!M1992,temp!$B$3:$C$9,2,1)</f>
        <v>30-40</v>
      </c>
      <c r="O1992">
        <v>-7080</v>
      </c>
      <c r="P1992" s="8">
        <f t="shared" si="131"/>
        <v>19.383983572895279</v>
      </c>
      <c r="Q1992" s="5" t="str">
        <f t="shared" ref="Q1992:Q2055" si="133">IF($O1992&gt;0,"Unemployed","Employed")</f>
        <v>Employed</v>
      </c>
      <c r="R1992">
        <v>1</v>
      </c>
      <c r="S1992">
        <v>1</v>
      </c>
      <c r="T1992">
        <v>1</v>
      </c>
      <c r="U1992">
        <v>0</v>
      </c>
      <c r="V1992" t="s">
        <v>50</v>
      </c>
      <c r="W1992">
        <v>3</v>
      </c>
    </row>
    <row r="1993" spans="1:23" x14ac:dyDescent="0.2">
      <c r="A1993">
        <v>5065598</v>
      </c>
      <c r="B1993" t="s">
        <v>18</v>
      </c>
      <c r="C1993" t="s">
        <v>19</v>
      </c>
      <c r="D1993" t="s">
        <v>20</v>
      </c>
      <c r="E1993">
        <v>0</v>
      </c>
      <c r="F1993">
        <v>180000</v>
      </c>
      <c r="G1993" t="s">
        <v>21</v>
      </c>
      <c r="H1993" t="s">
        <v>27</v>
      </c>
      <c r="I1993" t="s">
        <v>42</v>
      </c>
      <c r="J1993" t="s">
        <v>24</v>
      </c>
      <c r="K1993" s="6">
        <f t="shared" ca="1" si="132"/>
        <v>25239</v>
      </c>
      <c r="L1993">
        <v>-20522</v>
      </c>
      <c r="M1993" s="7">
        <f t="shared" ca="1" si="130"/>
        <v>56.186173853524984</v>
      </c>
      <c r="N1993" s="5" t="str">
        <f ca="1">VLOOKUP(Data!M1993,temp!$B$3:$C$9,2,1)</f>
        <v>50-60</v>
      </c>
      <c r="O1993">
        <v>365243</v>
      </c>
      <c r="P1993" s="8">
        <f t="shared" si="131"/>
        <v>0</v>
      </c>
      <c r="Q1993" s="5" t="str">
        <f t="shared" si="133"/>
        <v>Unemployed</v>
      </c>
      <c r="R1993">
        <v>1</v>
      </c>
      <c r="S1993">
        <v>0</v>
      </c>
      <c r="T1993">
        <v>1</v>
      </c>
      <c r="U1993">
        <v>0</v>
      </c>
      <c r="W1993">
        <v>1</v>
      </c>
    </row>
    <row r="1994" spans="1:23" x14ac:dyDescent="0.2">
      <c r="A1994">
        <v>5065608</v>
      </c>
      <c r="B1994" t="s">
        <v>18</v>
      </c>
      <c r="C1994" t="s">
        <v>19</v>
      </c>
      <c r="D1994" t="s">
        <v>20</v>
      </c>
      <c r="E1994">
        <v>0</v>
      </c>
      <c r="F1994">
        <v>202500</v>
      </c>
      <c r="G1994" t="s">
        <v>31</v>
      </c>
      <c r="H1994" t="s">
        <v>27</v>
      </c>
      <c r="I1994" t="s">
        <v>28</v>
      </c>
      <c r="J1994" t="s">
        <v>24</v>
      </c>
      <c r="K1994" s="6">
        <f t="shared" ca="1" si="132"/>
        <v>29462</v>
      </c>
      <c r="L1994">
        <v>-16299</v>
      </c>
      <c r="M1994" s="7">
        <f t="shared" ca="1" si="130"/>
        <v>44.624229979466122</v>
      </c>
      <c r="N1994" s="5" t="str">
        <f ca="1">VLOOKUP(Data!M1994,temp!$B$3:$C$9,2,1)</f>
        <v>40-50</v>
      </c>
      <c r="O1994">
        <v>-655</v>
      </c>
      <c r="P1994" s="8">
        <f t="shared" si="131"/>
        <v>1.7932922655715264</v>
      </c>
      <c r="Q1994" s="5" t="str">
        <f t="shared" si="133"/>
        <v>Employed</v>
      </c>
      <c r="R1994">
        <v>1</v>
      </c>
      <c r="S1994">
        <v>0</v>
      </c>
      <c r="T1994">
        <v>0</v>
      </c>
      <c r="U1994">
        <v>0</v>
      </c>
      <c r="V1994" t="s">
        <v>32</v>
      </c>
      <c r="W1994">
        <v>2</v>
      </c>
    </row>
    <row r="1995" spans="1:23" x14ac:dyDescent="0.2">
      <c r="A1995">
        <v>5065642</v>
      </c>
      <c r="B1995" t="s">
        <v>25</v>
      </c>
      <c r="C1995" t="s">
        <v>20</v>
      </c>
      <c r="D1995" t="s">
        <v>20</v>
      </c>
      <c r="E1995">
        <v>2</v>
      </c>
      <c r="F1995">
        <v>225000</v>
      </c>
      <c r="G1995" t="s">
        <v>31</v>
      </c>
      <c r="H1995" t="s">
        <v>27</v>
      </c>
      <c r="I1995" t="s">
        <v>28</v>
      </c>
      <c r="J1995" t="s">
        <v>24</v>
      </c>
      <c r="K1995" s="6">
        <f t="shared" ca="1" si="132"/>
        <v>29540</v>
      </c>
      <c r="L1995">
        <v>-16221</v>
      </c>
      <c r="M1995" s="7">
        <f t="shared" ca="1" si="130"/>
        <v>44.410677618069812</v>
      </c>
      <c r="N1995" s="5" t="str">
        <f ca="1">VLOOKUP(Data!M1995,temp!$B$3:$C$9,2,1)</f>
        <v>40-50</v>
      </c>
      <c r="O1995">
        <v>-6903</v>
      </c>
      <c r="P1995" s="8">
        <f t="shared" si="131"/>
        <v>18.899383983572896</v>
      </c>
      <c r="Q1995" s="5" t="str">
        <f t="shared" si="133"/>
        <v>Employed</v>
      </c>
      <c r="R1995">
        <v>1</v>
      </c>
      <c r="S1995">
        <v>1</v>
      </c>
      <c r="T1995">
        <v>1</v>
      </c>
      <c r="U1995">
        <v>0</v>
      </c>
      <c r="V1995" t="s">
        <v>29</v>
      </c>
      <c r="W1995">
        <v>4</v>
      </c>
    </row>
    <row r="1996" spans="1:23" x14ac:dyDescent="0.2">
      <c r="A1996">
        <v>5065645</v>
      </c>
      <c r="B1996" t="s">
        <v>25</v>
      </c>
      <c r="C1996" t="s">
        <v>20</v>
      </c>
      <c r="D1996" t="s">
        <v>20</v>
      </c>
      <c r="E1996">
        <v>2</v>
      </c>
      <c r="F1996">
        <v>225000</v>
      </c>
      <c r="G1996" t="s">
        <v>31</v>
      </c>
      <c r="H1996" t="s">
        <v>27</v>
      </c>
      <c r="I1996" t="s">
        <v>28</v>
      </c>
      <c r="J1996" t="s">
        <v>24</v>
      </c>
      <c r="K1996" s="6">
        <f t="shared" ca="1" si="132"/>
        <v>29540</v>
      </c>
      <c r="L1996">
        <v>-16221</v>
      </c>
      <c r="M1996" s="7">
        <f t="shared" ca="1" si="130"/>
        <v>44.410677618069812</v>
      </c>
      <c r="N1996" s="5" t="str">
        <f ca="1">VLOOKUP(Data!M1996,temp!$B$3:$C$9,2,1)</f>
        <v>40-50</v>
      </c>
      <c r="O1996">
        <v>-6903</v>
      </c>
      <c r="P1996" s="8">
        <f t="shared" si="131"/>
        <v>18.899383983572896</v>
      </c>
      <c r="Q1996" s="5" t="str">
        <f t="shared" si="133"/>
        <v>Employed</v>
      </c>
      <c r="R1996">
        <v>1</v>
      </c>
      <c r="S1996">
        <v>1</v>
      </c>
      <c r="T1996">
        <v>1</v>
      </c>
      <c r="U1996">
        <v>0</v>
      </c>
      <c r="V1996" t="s">
        <v>29</v>
      </c>
      <c r="W1996">
        <v>4</v>
      </c>
    </row>
    <row r="1997" spans="1:23" x14ac:dyDescent="0.2">
      <c r="A1997">
        <v>5065667</v>
      </c>
      <c r="B1997" t="s">
        <v>18</v>
      </c>
      <c r="C1997" t="s">
        <v>20</v>
      </c>
      <c r="D1997" t="s">
        <v>20</v>
      </c>
      <c r="E1997">
        <v>0</v>
      </c>
      <c r="F1997">
        <v>216000</v>
      </c>
      <c r="G1997" t="s">
        <v>26</v>
      </c>
      <c r="H1997" t="s">
        <v>27</v>
      </c>
      <c r="I1997" t="s">
        <v>28</v>
      </c>
      <c r="J1997" t="s">
        <v>24</v>
      </c>
      <c r="K1997" s="6">
        <f t="shared" ca="1" si="132"/>
        <v>32359</v>
      </c>
      <c r="L1997">
        <v>-13402</v>
      </c>
      <c r="M1997" s="7">
        <f t="shared" ca="1" si="130"/>
        <v>36.692676249144419</v>
      </c>
      <c r="N1997" s="5" t="str">
        <f ca="1">VLOOKUP(Data!M1997,temp!$B$3:$C$9,2,1)</f>
        <v>30-40</v>
      </c>
      <c r="O1997">
        <v>-542</v>
      </c>
      <c r="P1997" s="8">
        <f t="shared" si="131"/>
        <v>1.483915126625599</v>
      </c>
      <c r="Q1997" s="5" t="str">
        <f t="shared" si="133"/>
        <v>Employed</v>
      </c>
      <c r="R1997">
        <v>1</v>
      </c>
      <c r="S1997">
        <v>0</v>
      </c>
      <c r="T1997">
        <v>0</v>
      </c>
      <c r="U1997">
        <v>0</v>
      </c>
      <c r="W1997">
        <v>2</v>
      </c>
    </row>
    <row r="1998" spans="1:23" x14ac:dyDescent="0.2">
      <c r="A1998">
        <v>5065668</v>
      </c>
      <c r="B1998" t="s">
        <v>18</v>
      </c>
      <c r="C1998" t="s">
        <v>20</v>
      </c>
      <c r="D1998" t="s">
        <v>20</v>
      </c>
      <c r="E1998">
        <v>0</v>
      </c>
      <c r="F1998">
        <v>216000</v>
      </c>
      <c r="G1998" t="s">
        <v>26</v>
      </c>
      <c r="H1998" t="s">
        <v>27</v>
      </c>
      <c r="I1998" t="s">
        <v>28</v>
      </c>
      <c r="J1998" t="s">
        <v>24</v>
      </c>
      <c r="K1998" s="6">
        <f t="shared" ca="1" si="132"/>
        <v>32359</v>
      </c>
      <c r="L1998">
        <v>-13402</v>
      </c>
      <c r="M1998" s="7">
        <f t="shared" ca="1" si="130"/>
        <v>36.692676249144419</v>
      </c>
      <c r="N1998" s="5" t="str">
        <f ca="1">VLOOKUP(Data!M1998,temp!$B$3:$C$9,2,1)</f>
        <v>30-40</v>
      </c>
      <c r="O1998">
        <v>-542</v>
      </c>
      <c r="P1998" s="8">
        <f t="shared" si="131"/>
        <v>1.483915126625599</v>
      </c>
      <c r="Q1998" s="5" t="str">
        <f t="shared" si="133"/>
        <v>Employed</v>
      </c>
      <c r="R1998">
        <v>1</v>
      </c>
      <c r="S1998">
        <v>0</v>
      </c>
      <c r="T1998">
        <v>0</v>
      </c>
      <c r="U1998">
        <v>0</v>
      </c>
      <c r="W1998">
        <v>2</v>
      </c>
    </row>
    <row r="1999" spans="1:23" x14ac:dyDescent="0.2">
      <c r="A1999">
        <v>5065669</v>
      </c>
      <c r="B1999" t="s">
        <v>18</v>
      </c>
      <c r="C1999" t="s">
        <v>20</v>
      </c>
      <c r="D1999" t="s">
        <v>20</v>
      </c>
      <c r="E1999">
        <v>0</v>
      </c>
      <c r="F1999">
        <v>216000</v>
      </c>
      <c r="G1999" t="s">
        <v>26</v>
      </c>
      <c r="H1999" t="s">
        <v>27</v>
      </c>
      <c r="I1999" t="s">
        <v>28</v>
      </c>
      <c r="J1999" t="s">
        <v>24</v>
      </c>
      <c r="K1999" s="6">
        <f t="shared" ca="1" si="132"/>
        <v>32359</v>
      </c>
      <c r="L1999">
        <v>-13402</v>
      </c>
      <c r="M1999" s="7">
        <f t="shared" ca="1" si="130"/>
        <v>36.692676249144419</v>
      </c>
      <c r="N1999" s="5" t="str">
        <f ca="1">VLOOKUP(Data!M1999,temp!$B$3:$C$9,2,1)</f>
        <v>30-40</v>
      </c>
      <c r="O1999">
        <v>-542</v>
      </c>
      <c r="P1999" s="8">
        <f t="shared" si="131"/>
        <v>1.483915126625599</v>
      </c>
      <c r="Q1999" s="5" t="str">
        <f t="shared" si="133"/>
        <v>Employed</v>
      </c>
      <c r="R1999">
        <v>1</v>
      </c>
      <c r="S1999">
        <v>0</v>
      </c>
      <c r="T1999">
        <v>0</v>
      </c>
      <c r="U1999">
        <v>0</v>
      </c>
      <c r="W1999">
        <v>2</v>
      </c>
    </row>
    <row r="2000" spans="1:23" x14ac:dyDescent="0.2">
      <c r="A2000">
        <v>5065674</v>
      </c>
      <c r="B2000" t="s">
        <v>18</v>
      </c>
      <c r="C2000" t="s">
        <v>19</v>
      </c>
      <c r="D2000" t="s">
        <v>19</v>
      </c>
      <c r="E2000">
        <v>0</v>
      </c>
      <c r="F2000">
        <v>135000</v>
      </c>
      <c r="G2000" t="s">
        <v>31</v>
      </c>
      <c r="H2000" t="s">
        <v>27</v>
      </c>
      <c r="I2000" t="s">
        <v>33</v>
      </c>
      <c r="J2000" t="s">
        <v>24</v>
      </c>
      <c r="K2000" s="6">
        <f t="shared" ca="1" si="132"/>
        <v>34249</v>
      </c>
      <c r="L2000">
        <v>-11512</v>
      </c>
      <c r="M2000" s="7">
        <f t="shared" ca="1" si="130"/>
        <v>31.518138261464749</v>
      </c>
      <c r="N2000" s="5" t="str">
        <f ca="1">VLOOKUP(Data!M2000,temp!$B$3:$C$9,2,1)</f>
        <v>30-40</v>
      </c>
      <c r="O2000">
        <v>-4711</v>
      </c>
      <c r="P2000" s="8">
        <f t="shared" si="131"/>
        <v>12.898015058179329</v>
      </c>
      <c r="Q2000" s="5" t="str">
        <f t="shared" si="133"/>
        <v>Employed</v>
      </c>
      <c r="R2000">
        <v>1</v>
      </c>
      <c r="S2000">
        <v>0</v>
      </c>
      <c r="T2000">
        <v>0</v>
      </c>
      <c r="U2000">
        <v>0</v>
      </c>
      <c r="W2000">
        <v>1</v>
      </c>
    </row>
    <row r="2001" spans="1:23" x14ac:dyDescent="0.2">
      <c r="A2001">
        <v>5065675</v>
      </c>
      <c r="B2001" t="s">
        <v>18</v>
      </c>
      <c r="C2001" t="s">
        <v>19</v>
      </c>
      <c r="D2001" t="s">
        <v>19</v>
      </c>
      <c r="E2001">
        <v>0</v>
      </c>
      <c r="F2001">
        <v>135000</v>
      </c>
      <c r="G2001" t="s">
        <v>31</v>
      </c>
      <c r="H2001" t="s">
        <v>27</v>
      </c>
      <c r="I2001" t="s">
        <v>33</v>
      </c>
      <c r="J2001" t="s">
        <v>24</v>
      </c>
      <c r="K2001" s="6">
        <f t="shared" ca="1" si="132"/>
        <v>34249</v>
      </c>
      <c r="L2001">
        <v>-11512</v>
      </c>
      <c r="M2001" s="7">
        <f t="shared" ca="1" si="130"/>
        <v>31.518138261464749</v>
      </c>
      <c r="N2001" s="5" t="str">
        <f ca="1">VLOOKUP(Data!M2001,temp!$B$3:$C$9,2,1)</f>
        <v>30-40</v>
      </c>
      <c r="O2001">
        <v>-4711</v>
      </c>
      <c r="P2001" s="8">
        <f t="shared" si="131"/>
        <v>12.898015058179329</v>
      </c>
      <c r="Q2001" s="5" t="str">
        <f t="shared" si="133"/>
        <v>Employed</v>
      </c>
      <c r="R2001">
        <v>1</v>
      </c>
      <c r="S2001">
        <v>0</v>
      </c>
      <c r="T2001">
        <v>0</v>
      </c>
      <c r="U2001">
        <v>0</v>
      </c>
      <c r="W2001">
        <v>1</v>
      </c>
    </row>
    <row r="2002" spans="1:23" x14ac:dyDescent="0.2">
      <c r="A2002">
        <v>5065685</v>
      </c>
      <c r="B2002" t="s">
        <v>18</v>
      </c>
      <c r="C2002" t="s">
        <v>20</v>
      </c>
      <c r="D2002" t="s">
        <v>20</v>
      </c>
      <c r="E2002">
        <v>2</v>
      </c>
      <c r="F2002">
        <v>450000</v>
      </c>
      <c r="G2002" t="s">
        <v>26</v>
      </c>
      <c r="H2002" t="s">
        <v>22</v>
      </c>
      <c r="I2002" t="s">
        <v>28</v>
      </c>
      <c r="J2002" t="s">
        <v>24</v>
      </c>
      <c r="K2002" s="6">
        <f t="shared" ca="1" si="132"/>
        <v>30624</v>
      </c>
      <c r="L2002">
        <v>-15137</v>
      </c>
      <c r="M2002" s="7">
        <f t="shared" ca="1" si="130"/>
        <v>41.442847364818618</v>
      </c>
      <c r="N2002" s="5" t="str">
        <f ca="1">VLOOKUP(Data!M2002,temp!$B$3:$C$9,2,1)</f>
        <v>40-50</v>
      </c>
      <c r="O2002">
        <v>-2734</v>
      </c>
      <c r="P2002" s="8">
        <f t="shared" si="131"/>
        <v>7.485284052019165</v>
      </c>
      <c r="Q2002" s="5" t="str">
        <f t="shared" si="133"/>
        <v>Employed</v>
      </c>
      <c r="R2002">
        <v>1</v>
      </c>
      <c r="S2002">
        <v>0</v>
      </c>
      <c r="T2002">
        <v>1</v>
      </c>
      <c r="U2002">
        <v>0</v>
      </c>
      <c r="W2002">
        <v>4</v>
      </c>
    </row>
    <row r="2003" spans="1:23" x14ac:dyDescent="0.2">
      <c r="A2003">
        <v>5065690</v>
      </c>
      <c r="B2003" t="s">
        <v>25</v>
      </c>
      <c r="C2003" t="s">
        <v>20</v>
      </c>
      <c r="D2003" t="s">
        <v>20</v>
      </c>
      <c r="E2003">
        <v>0</v>
      </c>
      <c r="F2003">
        <v>315000</v>
      </c>
      <c r="G2003" t="s">
        <v>31</v>
      </c>
      <c r="H2003" t="s">
        <v>27</v>
      </c>
      <c r="I2003" t="s">
        <v>28</v>
      </c>
      <c r="J2003" t="s">
        <v>24</v>
      </c>
      <c r="K2003" s="6">
        <f t="shared" ca="1" si="132"/>
        <v>27548</v>
      </c>
      <c r="L2003">
        <v>-18213</v>
      </c>
      <c r="M2003" s="7">
        <f t="shared" ca="1" si="130"/>
        <v>49.864476386036962</v>
      </c>
      <c r="N2003" s="5" t="str">
        <f ca="1">VLOOKUP(Data!M2003,temp!$B$3:$C$9,2,1)</f>
        <v>40-50</v>
      </c>
      <c r="O2003">
        <v>-1151</v>
      </c>
      <c r="P2003" s="8">
        <f t="shared" si="131"/>
        <v>3.1512662559890487</v>
      </c>
      <c r="Q2003" s="5" t="str">
        <f t="shared" si="133"/>
        <v>Employed</v>
      </c>
      <c r="R2003">
        <v>1</v>
      </c>
      <c r="S2003">
        <v>1</v>
      </c>
      <c r="T2003">
        <v>0</v>
      </c>
      <c r="U2003">
        <v>0</v>
      </c>
      <c r="V2003" t="s">
        <v>32</v>
      </c>
      <c r="W2003">
        <v>2</v>
      </c>
    </row>
    <row r="2004" spans="1:23" x14ac:dyDescent="0.2">
      <c r="A2004">
        <v>5065695</v>
      </c>
      <c r="B2004" t="s">
        <v>25</v>
      </c>
      <c r="C2004" t="s">
        <v>20</v>
      </c>
      <c r="D2004" t="s">
        <v>20</v>
      </c>
      <c r="E2004">
        <v>0</v>
      </c>
      <c r="F2004">
        <v>315000</v>
      </c>
      <c r="G2004" t="s">
        <v>31</v>
      </c>
      <c r="H2004" t="s">
        <v>27</v>
      </c>
      <c r="I2004" t="s">
        <v>28</v>
      </c>
      <c r="J2004" t="s">
        <v>24</v>
      </c>
      <c r="K2004" s="6">
        <f t="shared" ca="1" si="132"/>
        <v>27548</v>
      </c>
      <c r="L2004">
        <v>-18213</v>
      </c>
      <c r="M2004" s="7">
        <f t="shared" ca="1" si="130"/>
        <v>49.864476386036962</v>
      </c>
      <c r="N2004" s="5" t="str">
        <f ca="1">VLOOKUP(Data!M2004,temp!$B$3:$C$9,2,1)</f>
        <v>40-50</v>
      </c>
      <c r="O2004">
        <v>-1151</v>
      </c>
      <c r="P2004" s="8">
        <f t="shared" si="131"/>
        <v>3.1512662559890487</v>
      </c>
      <c r="Q2004" s="5" t="str">
        <f t="shared" si="133"/>
        <v>Employed</v>
      </c>
      <c r="R2004">
        <v>1</v>
      </c>
      <c r="S2004">
        <v>1</v>
      </c>
      <c r="T2004">
        <v>0</v>
      </c>
      <c r="U2004">
        <v>0</v>
      </c>
      <c r="V2004" t="s">
        <v>32</v>
      </c>
      <c r="W2004">
        <v>2</v>
      </c>
    </row>
    <row r="2005" spans="1:23" x14ac:dyDescent="0.2">
      <c r="A2005">
        <v>5065697</v>
      </c>
      <c r="B2005" t="s">
        <v>25</v>
      </c>
      <c r="C2005" t="s">
        <v>20</v>
      </c>
      <c r="D2005" t="s">
        <v>20</v>
      </c>
      <c r="E2005">
        <v>0</v>
      </c>
      <c r="F2005">
        <v>315000</v>
      </c>
      <c r="G2005" t="s">
        <v>31</v>
      </c>
      <c r="H2005" t="s">
        <v>27</v>
      </c>
      <c r="I2005" t="s">
        <v>28</v>
      </c>
      <c r="J2005" t="s">
        <v>24</v>
      </c>
      <c r="K2005" s="6">
        <f t="shared" ca="1" si="132"/>
        <v>27548</v>
      </c>
      <c r="L2005">
        <v>-18213</v>
      </c>
      <c r="M2005" s="7">
        <f t="shared" ca="1" si="130"/>
        <v>49.864476386036962</v>
      </c>
      <c r="N2005" s="5" t="str">
        <f ca="1">VLOOKUP(Data!M2005,temp!$B$3:$C$9,2,1)</f>
        <v>40-50</v>
      </c>
      <c r="O2005">
        <v>-1151</v>
      </c>
      <c r="P2005" s="8">
        <f t="shared" si="131"/>
        <v>3.1512662559890487</v>
      </c>
      <c r="Q2005" s="5" t="str">
        <f t="shared" si="133"/>
        <v>Employed</v>
      </c>
      <c r="R2005">
        <v>1</v>
      </c>
      <c r="S2005">
        <v>1</v>
      </c>
      <c r="T2005">
        <v>0</v>
      </c>
      <c r="U2005">
        <v>0</v>
      </c>
      <c r="V2005" t="s">
        <v>32</v>
      </c>
      <c r="W2005">
        <v>2</v>
      </c>
    </row>
    <row r="2006" spans="1:23" x14ac:dyDescent="0.2">
      <c r="A2006">
        <v>5065748</v>
      </c>
      <c r="B2006" t="s">
        <v>18</v>
      </c>
      <c r="C2006" t="s">
        <v>20</v>
      </c>
      <c r="D2006" t="s">
        <v>20</v>
      </c>
      <c r="E2006">
        <v>0</v>
      </c>
      <c r="F2006">
        <v>225000</v>
      </c>
      <c r="G2006" t="s">
        <v>21</v>
      </c>
      <c r="H2006" t="s">
        <v>22</v>
      </c>
      <c r="I2006" t="s">
        <v>28</v>
      </c>
      <c r="J2006" t="s">
        <v>24</v>
      </c>
      <c r="K2006" s="6">
        <f t="shared" ca="1" si="132"/>
        <v>23806</v>
      </c>
      <c r="L2006">
        <v>-21955</v>
      </c>
      <c r="M2006" s="7">
        <f t="shared" ca="1" si="130"/>
        <v>60.109514031485283</v>
      </c>
      <c r="N2006" s="5" t="str">
        <f ca="1">VLOOKUP(Data!M2006,temp!$B$3:$C$9,2,1)</f>
        <v>60-70</v>
      </c>
      <c r="O2006">
        <v>365243</v>
      </c>
      <c r="P2006" s="8">
        <f t="shared" si="131"/>
        <v>0</v>
      </c>
      <c r="Q2006" s="5" t="str">
        <f t="shared" si="133"/>
        <v>Unemployed</v>
      </c>
      <c r="R2006">
        <v>1</v>
      </c>
      <c r="S2006">
        <v>0</v>
      </c>
      <c r="T2006">
        <v>1</v>
      </c>
      <c r="U2006">
        <v>0</v>
      </c>
      <c r="W2006">
        <v>2</v>
      </c>
    </row>
    <row r="2007" spans="1:23" x14ac:dyDescent="0.2">
      <c r="A2007">
        <v>5065750</v>
      </c>
      <c r="B2007" t="s">
        <v>25</v>
      </c>
      <c r="C2007" t="s">
        <v>20</v>
      </c>
      <c r="D2007" t="s">
        <v>20</v>
      </c>
      <c r="E2007">
        <v>0</v>
      </c>
      <c r="F2007">
        <v>189000</v>
      </c>
      <c r="G2007" t="s">
        <v>31</v>
      </c>
      <c r="H2007" t="s">
        <v>27</v>
      </c>
      <c r="I2007" t="s">
        <v>28</v>
      </c>
      <c r="J2007" t="s">
        <v>24</v>
      </c>
      <c r="K2007" s="6">
        <f t="shared" ca="1" si="132"/>
        <v>29855</v>
      </c>
      <c r="L2007">
        <v>-15906</v>
      </c>
      <c r="M2007" s="7">
        <f t="shared" ca="1" si="130"/>
        <v>43.548254620123203</v>
      </c>
      <c r="N2007" s="5" t="str">
        <f ca="1">VLOOKUP(Data!M2007,temp!$B$3:$C$9,2,1)</f>
        <v>40-50</v>
      </c>
      <c r="O2007">
        <v>-1881</v>
      </c>
      <c r="P2007" s="8">
        <f t="shared" si="131"/>
        <v>5.1498973305954827</v>
      </c>
      <c r="Q2007" s="5" t="str">
        <f t="shared" si="133"/>
        <v>Employed</v>
      </c>
      <c r="R2007">
        <v>1</v>
      </c>
      <c r="S2007">
        <v>0</v>
      </c>
      <c r="T2007">
        <v>0</v>
      </c>
      <c r="U2007">
        <v>0</v>
      </c>
      <c r="V2007" t="s">
        <v>47</v>
      </c>
      <c r="W2007">
        <v>2</v>
      </c>
    </row>
    <row r="2008" spans="1:23" x14ac:dyDescent="0.2">
      <c r="A2008">
        <v>5065754</v>
      </c>
      <c r="B2008" t="s">
        <v>18</v>
      </c>
      <c r="C2008" t="s">
        <v>20</v>
      </c>
      <c r="D2008" t="s">
        <v>20</v>
      </c>
      <c r="E2008">
        <v>0</v>
      </c>
      <c r="F2008">
        <v>225000</v>
      </c>
      <c r="G2008" t="s">
        <v>31</v>
      </c>
      <c r="H2008" t="s">
        <v>27</v>
      </c>
      <c r="I2008" t="s">
        <v>37</v>
      </c>
      <c r="J2008" t="s">
        <v>24</v>
      </c>
      <c r="K2008" s="6">
        <f t="shared" ca="1" si="132"/>
        <v>25875</v>
      </c>
      <c r="L2008">
        <v>-19886</v>
      </c>
      <c r="M2008" s="7">
        <f t="shared" ca="1" si="130"/>
        <v>54.444900752908964</v>
      </c>
      <c r="N2008" s="5" t="str">
        <f ca="1">VLOOKUP(Data!M2008,temp!$B$3:$C$9,2,1)</f>
        <v>50-60</v>
      </c>
      <c r="O2008">
        <v>-1577</v>
      </c>
      <c r="P2008" s="8">
        <f t="shared" si="131"/>
        <v>4.3175906913073234</v>
      </c>
      <c r="Q2008" s="5" t="str">
        <f t="shared" si="133"/>
        <v>Employed</v>
      </c>
      <c r="R2008">
        <v>1</v>
      </c>
      <c r="S2008">
        <v>1</v>
      </c>
      <c r="T2008">
        <v>0</v>
      </c>
      <c r="U2008">
        <v>0</v>
      </c>
      <c r="V2008" t="s">
        <v>44</v>
      </c>
      <c r="W2008">
        <v>2</v>
      </c>
    </row>
    <row r="2009" spans="1:23" x14ac:dyDescent="0.2">
      <c r="A2009">
        <v>5065758</v>
      </c>
      <c r="B2009" t="s">
        <v>25</v>
      </c>
      <c r="C2009" t="s">
        <v>20</v>
      </c>
      <c r="D2009" t="s">
        <v>20</v>
      </c>
      <c r="E2009">
        <v>1</v>
      </c>
      <c r="F2009">
        <v>157500</v>
      </c>
      <c r="G2009" t="s">
        <v>31</v>
      </c>
      <c r="H2009" t="s">
        <v>27</v>
      </c>
      <c r="I2009" t="s">
        <v>28</v>
      </c>
      <c r="J2009" t="s">
        <v>24</v>
      </c>
      <c r="K2009" s="6">
        <f t="shared" ca="1" si="132"/>
        <v>28859</v>
      </c>
      <c r="L2009">
        <v>-16902</v>
      </c>
      <c r="M2009" s="7">
        <f t="shared" ca="1" si="130"/>
        <v>46.275154004106774</v>
      </c>
      <c r="N2009" s="5" t="str">
        <f ca="1">VLOOKUP(Data!M2009,temp!$B$3:$C$9,2,1)</f>
        <v>40-50</v>
      </c>
      <c r="O2009">
        <v>-1699</v>
      </c>
      <c r="P2009" s="8">
        <f t="shared" si="131"/>
        <v>4.6516084873374401</v>
      </c>
      <c r="Q2009" s="5" t="str">
        <f t="shared" si="133"/>
        <v>Employed</v>
      </c>
      <c r="R2009">
        <v>1</v>
      </c>
      <c r="S2009">
        <v>0</v>
      </c>
      <c r="T2009">
        <v>0</v>
      </c>
      <c r="U2009">
        <v>0</v>
      </c>
      <c r="V2009" t="s">
        <v>29</v>
      </c>
      <c r="W2009">
        <v>3</v>
      </c>
    </row>
    <row r="2010" spans="1:23" x14ac:dyDescent="0.2">
      <c r="A2010">
        <v>5065766</v>
      </c>
      <c r="B2010" t="s">
        <v>18</v>
      </c>
      <c r="C2010" t="s">
        <v>19</v>
      </c>
      <c r="D2010" t="s">
        <v>20</v>
      </c>
      <c r="E2010">
        <v>0</v>
      </c>
      <c r="F2010">
        <v>189000</v>
      </c>
      <c r="G2010" t="s">
        <v>31</v>
      </c>
      <c r="H2010" t="s">
        <v>27</v>
      </c>
      <c r="I2010" t="s">
        <v>28</v>
      </c>
      <c r="J2010" t="s">
        <v>24</v>
      </c>
      <c r="K2010" s="6">
        <f t="shared" ca="1" si="132"/>
        <v>31359</v>
      </c>
      <c r="L2010">
        <v>-14402</v>
      </c>
      <c r="M2010" s="7">
        <f t="shared" ca="1" si="130"/>
        <v>39.430527036276523</v>
      </c>
      <c r="N2010" s="5" t="str">
        <f ca="1">VLOOKUP(Data!M2010,temp!$B$3:$C$9,2,1)</f>
        <v>30-40</v>
      </c>
      <c r="O2010">
        <v>-1059</v>
      </c>
      <c r="P2010" s="8">
        <f t="shared" si="131"/>
        <v>2.8993839835728954</v>
      </c>
      <c r="Q2010" s="5" t="str">
        <f t="shared" si="133"/>
        <v>Employed</v>
      </c>
      <c r="R2010">
        <v>1</v>
      </c>
      <c r="S2010">
        <v>0</v>
      </c>
      <c r="T2010">
        <v>0</v>
      </c>
      <c r="U2010">
        <v>1</v>
      </c>
      <c r="V2010" t="s">
        <v>39</v>
      </c>
      <c r="W2010">
        <v>2</v>
      </c>
    </row>
    <row r="2011" spans="1:23" x14ac:dyDescent="0.2">
      <c r="A2011">
        <v>5065772</v>
      </c>
      <c r="B2011" t="s">
        <v>18</v>
      </c>
      <c r="C2011" t="s">
        <v>19</v>
      </c>
      <c r="D2011" t="s">
        <v>20</v>
      </c>
      <c r="E2011">
        <v>0</v>
      </c>
      <c r="F2011">
        <v>292500</v>
      </c>
      <c r="G2011" t="s">
        <v>21</v>
      </c>
      <c r="H2011" t="s">
        <v>27</v>
      </c>
      <c r="I2011" t="s">
        <v>28</v>
      </c>
      <c r="J2011" t="s">
        <v>24</v>
      </c>
      <c r="K2011" s="6">
        <f t="shared" ca="1" si="132"/>
        <v>24682</v>
      </c>
      <c r="L2011">
        <v>-21079</v>
      </c>
      <c r="M2011" s="7">
        <f t="shared" ca="1" si="130"/>
        <v>57.711156741957566</v>
      </c>
      <c r="N2011" s="5" t="str">
        <f ca="1">VLOOKUP(Data!M2011,temp!$B$3:$C$9,2,1)</f>
        <v>50-60</v>
      </c>
      <c r="O2011">
        <v>365243</v>
      </c>
      <c r="P2011" s="8">
        <f t="shared" si="131"/>
        <v>0</v>
      </c>
      <c r="Q2011" s="5" t="str">
        <f t="shared" si="133"/>
        <v>Unemployed</v>
      </c>
      <c r="R2011">
        <v>1</v>
      </c>
      <c r="S2011">
        <v>0</v>
      </c>
      <c r="T2011">
        <v>0</v>
      </c>
      <c r="U2011">
        <v>0</v>
      </c>
      <c r="W2011">
        <v>2</v>
      </c>
    </row>
    <row r="2012" spans="1:23" x14ac:dyDescent="0.2">
      <c r="A2012">
        <v>5065779</v>
      </c>
      <c r="B2012" t="s">
        <v>18</v>
      </c>
      <c r="C2012" t="s">
        <v>19</v>
      </c>
      <c r="D2012" t="s">
        <v>20</v>
      </c>
      <c r="E2012">
        <v>0</v>
      </c>
      <c r="F2012">
        <v>472500</v>
      </c>
      <c r="G2012" t="s">
        <v>21</v>
      </c>
      <c r="H2012" t="s">
        <v>27</v>
      </c>
      <c r="I2012" t="s">
        <v>28</v>
      </c>
      <c r="J2012" t="s">
        <v>24</v>
      </c>
      <c r="K2012" s="6">
        <f t="shared" ca="1" si="132"/>
        <v>23824</v>
      </c>
      <c r="L2012">
        <v>-21937</v>
      </c>
      <c r="M2012" s="7">
        <f t="shared" ca="1" si="130"/>
        <v>60.060232717316907</v>
      </c>
      <c r="N2012" s="5" t="str">
        <f ca="1">VLOOKUP(Data!M2012,temp!$B$3:$C$9,2,1)</f>
        <v>60-70</v>
      </c>
      <c r="O2012">
        <v>365243</v>
      </c>
      <c r="P2012" s="8">
        <f t="shared" si="131"/>
        <v>0</v>
      </c>
      <c r="Q2012" s="5" t="str">
        <f t="shared" si="133"/>
        <v>Unemployed</v>
      </c>
      <c r="R2012">
        <v>1</v>
      </c>
      <c r="S2012">
        <v>0</v>
      </c>
      <c r="T2012">
        <v>0</v>
      </c>
      <c r="U2012">
        <v>0</v>
      </c>
      <c r="W2012">
        <v>2</v>
      </c>
    </row>
    <row r="2013" spans="1:23" x14ac:dyDescent="0.2">
      <c r="A2013">
        <v>5065781</v>
      </c>
      <c r="B2013" t="s">
        <v>18</v>
      </c>
      <c r="C2013" t="s">
        <v>19</v>
      </c>
      <c r="D2013" t="s">
        <v>20</v>
      </c>
      <c r="E2013">
        <v>0</v>
      </c>
      <c r="F2013">
        <v>157500</v>
      </c>
      <c r="G2013" t="s">
        <v>31</v>
      </c>
      <c r="H2013" t="s">
        <v>27</v>
      </c>
      <c r="I2013" t="s">
        <v>28</v>
      </c>
      <c r="J2013" t="s">
        <v>24</v>
      </c>
      <c r="K2013" s="6">
        <f t="shared" ca="1" si="132"/>
        <v>28418</v>
      </c>
      <c r="L2013">
        <v>-17343</v>
      </c>
      <c r="M2013" s="7">
        <f t="shared" ca="1" si="130"/>
        <v>47.482546201232033</v>
      </c>
      <c r="N2013" s="5" t="str">
        <f ca="1">VLOOKUP(Data!M2013,temp!$B$3:$C$9,2,1)</f>
        <v>40-50</v>
      </c>
      <c r="O2013">
        <v>-938</v>
      </c>
      <c r="P2013" s="8">
        <f t="shared" si="131"/>
        <v>2.5681040383299112</v>
      </c>
      <c r="Q2013" s="5" t="str">
        <f t="shared" si="133"/>
        <v>Employed</v>
      </c>
      <c r="R2013">
        <v>1</v>
      </c>
      <c r="S2013">
        <v>0</v>
      </c>
      <c r="T2013">
        <v>0</v>
      </c>
      <c r="U2013">
        <v>0</v>
      </c>
      <c r="V2013" t="s">
        <v>39</v>
      </c>
      <c r="W2013">
        <v>2</v>
      </c>
    </row>
    <row r="2014" spans="1:23" x14ac:dyDescent="0.2">
      <c r="A2014">
        <v>5065791</v>
      </c>
      <c r="B2014" t="s">
        <v>25</v>
      </c>
      <c r="C2014" t="s">
        <v>20</v>
      </c>
      <c r="D2014" t="s">
        <v>20</v>
      </c>
      <c r="E2014">
        <v>0</v>
      </c>
      <c r="F2014">
        <v>315000</v>
      </c>
      <c r="G2014" t="s">
        <v>31</v>
      </c>
      <c r="H2014" t="s">
        <v>27</v>
      </c>
      <c r="I2014" t="s">
        <v>33</v>
      </c>
      <c r="J2014" t="s">
        <v>24</v>
      </c>
      <c r="K2014" s="6">
        <f t="shared" ca="1" si="132"/>
        <v>32849</v>
      </c>
      <c r="L2014">
        <v>-12912</v>
      </c>
      <c r="M2014" s="7">
        <f t="shared" ca="1" si="130"/>
        <v>35.351129363449694</v>
      </c>
      <c r="N2014" s="5" t="str">
        <f ca="1">VLOOKUP(Data!M2014,temp!$B$3:$C$9,2,1)</f>
        <v>30-40</v>
      </c>
      <c r="O2014">
        <v>-3403</v>
      </c>
      <c r="P2014" s="8">
        <f t="shared" si="131"/>
        <v>9.3169062286105415</v>
      </c>
      <c r="Q2014" s="5" t="str">
        <f t="shared" si="133"/>
        <v>Employed</v>
      </c>
      <c r="R2014">
        <v>1</v>
      </c>
      <c r="S2014">
        <v>0</v>
      </c>
      <c r="T2014">
        <v>0</v>
      </c>
      <c r="U2014">
        <v>1</v>
      </c>
      <c r="V2014" t="s">
        <v>30</v>
      </c>
      <c r="W2014">
        <v>1</v>
      </c>
    </row>
    <row r="2015" spans="1:23" x14ac:dyDescent="0.2">
      <c r="A2015">
        <v>5065800</v>
      </c>
      <c r="B2015" t="s">
        <v>18</v>
      </c>
      <c r="C2015" t="s">
        <v>19</v>
      </c>
      <c r="D2015" t="s">
        <v>20</v>
      </c>
      <c r="E2015">
        <v>0</v>
      </c>
      <c r="F2015">
        <v>135000</v>
      </c>
      <c r="G2015" t="s">
        <v>21</v>
      </c>
      <c r="H2015" t="s">
        <v>27</v>
      </c>
      <c r="I2015" t="s">
        <v>42</v>
      </c>
      <c r="J2015" t="s">
        <v>24</v>
      </c>
      <c r="K2015" s="6">
        <f t="shared" ca="1" si="132"/>
        <v>21587</v>
      </c>
      <c r="L2015">
        <v>-24174</v>
      </c>
      <c r="M2015" s="7">
        <f t="shared" ca="1" si="130"/>
        <v>66.184804928131413</v>
      </c>
      <c r="N2015" s="5" t="str">
        <f ca="1">VLOOKUP(Data!M2015,temp!$B$3:$C$9,2,1)</f>
        <v>60-70</v>
      </c>
      <c r="O2015">
        <v>365243</v>
      </c>
      <c r="P2015" s="8">
        <f t="shared" si="131"/>
        <v>0</v>
      </c>
      <c r="Q2015" s="5" t="str">
        <f t="shared" si="133"/>
        <v>Unemployed</v>
      </c>
      <c r="R2015">
        <v>1</v>
      </c>
      <c r="S2015">
        <v>0</v>
      </c>
      <c r="T2015">
        <v>0</v>
      </c>
      <c r="U2015">
        <v>0</v>
      </c>
      <c r="W2015">
        <v>1</v>
      </c>
    </row>
    <row r="2016" spans="1:23" x14ac:dyDescent="0.2">
      <c r="A2016">
        <v>5065804</v>
      </c>
      <c r="B2016" t="s">
        <v>18</v>
      </c>
      <c r="C2016" t="s">
        <v>19</v>
      </c>
      <c r="D2016" t="s">
        <v>20</v>
      </c>
      <c r="E2016">
        <v>0</v>
      </c>
      <c r="F2016">
        <v>135000</v>
      </c>
      <c r="G2016" t="s">
        <v>21</v>
      </c>
      <c r="H2016" t="s">
        <v>27</v>
      </c>
      <c r="I2016" t="s">
        <v>42</v>
      </c>
      <c r="J2016" t="s">
        <v>24</v>
      </c>
      <c r="K2016" s="6">
        <f t="shared" ca="1" si="132"/>
        <v>21587</v>
      </c>
      <c r="L2016">
        <v>-24174</v>
      </c>
      <c r="M2016" s="7">
        <f t="shared" ca="1" si="130"/>
        <v>66.184804928131413</v>
      </c>
      <c r="N2016" s="5" t="str">
        <f ca="1">VLOOKUP(Data!M2016,temp!$B$3:$C$9,2,1)</f>
        <v>60-70</v>
      </c>
      <c r="O2016">
        <v>365243</v>
      </c>
      <c r="P2016" s="8">
        <f t="shared" si="131"/>
        <v>0</v>
      </c>
      <c r="Q2016" s="5" t="str">
        <f t="shared" si="133"/>
        <v>Unemployed</v>
      </c>
      <c r="R2016">
        <v>1</v>
      </c>
      <c r="S2016">
        <v>0</v>
      </c>
      <c r="T2016">
        <v>0</v>
      </c>
      <c r="U2016">
        <v>0</v>
      </c>
      <c r="W2016">
        <v>1</v>
      </c>
    </row>
    <row r="2017" spans="1:23" x14ac:dyDescent="0.2">
      <c r="A2017">
        <v>5065805</v>
      </c>
      <c r="B2017" t="s">
        <v>18</v>
      </c>
      <c r="C2017" t="s">
        <v>19</v>
      </c>
      <c r="D2017" t="s">
        <v>19</v>
      </c>
      <c r="E2017">
        <v>1</v>
      </c>
      <c r="F2017">
        <v>76500</v>
      </c>
      <c r="G2017" t="s">
        <v>31</v>
      </c>
      <c r="H2017" t="s">
        <v>22</v>
      </c>
      <c r="I2017" t="s">
        <v>28</v>
      </c>
      <c r="J2017" t="s">
        <v>24</v>
      </c>
      <c r="K2017" s="6">
        <f t="shared" ca="1" si="132"/>
        <v>29846</v>
      </c>
      <c r="L2017">
        <v>-15915</v>
      </c>
      <c r="M2017" s="7">
        <f t="shared" ca="1" si="130"/>
        <v>43.572895277207394</v>
      </c>
      <c r="N2017" s="5" t="str">
        <f ca="1">VLOOKUP(Data!M2017,temp!$B$3:$C$9,2,1)</f>
        <v>40-50</v>
      </c>
      <c r="O2017">
        <v>-785</v>
      </c>
      <c r="P2017" s="8">
        <f t="shared" si="131"/>
        <v>2.1492128678986995</v>
      </c>
      <c r="Q2017" s="5" t="str">
        <f t="shared" si="133"/>
        <v>Employed</v>
      </c>
      <c r="R2017">
        <v>1</v>
      </c>
      <c r="S2017">
        <v>1</v>
      </c>
      <c r="T2017">
        <v>1</v>
      </c>
      <c r="U2017">
        <v>0</v>
      </c>
      <c r="V2017" t="s">
        <v>39</v>
      </c>
      <c r="W2017">
        <v>3</v>
      </c>
    </row>
    <row r="2018" spans="1:23" x14ac:dyDescent="0.2">
      <c r="A2018">
        <v>5065835</v>
      </c>
      <c r="B2018" t="s">
        <v>18</v>
      </c>
      <c r="C2018" t="s">
        <v>19</v>
      </c>
      <c r="D2018" t="s">
        <v>20</v>
      </c>
      <c r="E2018">
        <v>0</v>
      </c>
      <c r="F2018">
        <v>67500</v>
      </c>
      <c r="G2018" t="s">
        <v>21</v>
      </c>
      <c r="H2018" t="s">
        <v>27</v>
      </c>
      <c r="I2018" t="s">
        <v>23</v>
      </c>
      <c r="J2018" t="s">
        <v>24</v>
      </c>
      <c r="K2018" s="6">
        <f t="shared" ca="1" si="132"/>
        <v>26024</v>
      </c>
      <c r="L2018">
        <v>-19737</v>
      </c>
      <c r="M2018" s="7">
        <f t="shared" ca="1" si="130"/>
        <v>54.036960985626287</v>
      </c>
      <c r="N2018" s="5" t="str">
        <f ca="1">VLOOKUP(Data!M2018,temp!$B$3:$C$9,2,1)</f>
        <v>50-60</v>
      </c>
      <c r="O2018">
        <v>365243</v>
      </c>
      <c r="P2018" s="8">
        <f t="shared" si="131"/>
        <v>0</v>
      </c>
      <c r="Q2018" s="5" t="str">
        <f t="shared" si="133"/>
        <v>Unemployed</v>
      </c>
      <c r="R2018">
        <v>1</v>
      </c>
      <c r="S2018">
        <v>0</v>
      </c>
      <c r="T2018">
        <v>0</v>
      </c>
      <c r="U2018">
        <v>0</v>
      </c>
      <c r="W2018">
        <v>1</v>
      </c>
    </row>
    <row r="2019" spans="1:23" x14ac:dyDescent="0.2">
      <c r="A2019">
        <v>5066380</v>
      </c>
      <c r="B2019" t="s">
        <v>18</v>
      </c>
      <c r="C2019" t="s">
        <v>19</v>
      </c>
      <c r="D2019" t="s">
        <v>20</v>
      </c>
      <c r="E2019">
        <v>0</v>
      </c>
      <c r="F2019">
        <v>157500</v>
      </c>
      <c r="G2019" t="s">
        <v>31</v>
      </c>
      <c r="H2019" t="s">
        <v>27</v>
      </c>
      <c r="I2019" t="s">
        <v>23</v>
      </c>
      <c r="J2019" t="s">
        <v>24</v>
      </c>
      <c r="K2019" s="6">
        <f t="shared" ca="1" si="132"/>
        <v>27613</v>
      </c>
      <c r="L2019">
        <v>-18148</v>
      </c>
      <c r="M2019" s="7">
        <f t="shared" ca="1" si="130"/>
        <v>49.686516084873375</v>
      </c>
      <c r="N2019" s="5" t="str">
        <f ca="1">VLOOKUP(Data!M2019,temp!$B$3:$C$9,2,1)</f>
        <v>40-50</v>
      </c>
      <c r="O2019">
        <v>-8376</v>
      </c>
      <c r="P2019" s="8">
        <f t="shared" si="131"/>
        <v>22.932238193018481</v>
      </c>
      <c r="Q2019" s="5" t="str">
        <f t="shared" si="133"/>
        <v>Employed</v>
      </c>
      <c r="R2019">
        <v>1</v>
      </c>
      <c r="S2019">
        <v>0</v>
      </c>
      <c r="T2019">
        <v>0</v>
      </c>
      <c r="U2019">
        <v>0</v>
      </c>
      <c r="W2019">
        <v>1</v>
      </c>
    </row>
    <row r="2020" spans="1:23" x14ac:dyDescent="0.2">
      <c r="A2020">
        <v>5066402</v>
      </c>
      <c r="B2020" t="s">
        <v>18</v>
      </c>
      <c r="C2020" t="s">
        <v>19</v>
      </c>
      <c r="D2020" t="s">
        <v>20</v>
      </c>
      <c r="E2020">
        <v>1</v>
      </c>
      <c r="F2020">
        <v>675000</v>
      </c>
      <c r="G2020" t="s">
        <v>26</v>
      </c>
      <c r="H2020" t="s">
        <v>22</v>
      </c>
      <c r="I2020" t="s">
        <v>28</v>
      </c>
      <c r="J2020" t="s">
        <v>24</v>
      </c>
      <c r="K2020" s="6">
        <f t="shared" ca="1" si="132"/>
        <v>29817</v>
      </c>
      <c r="L2020">
        <v>-15944</v>
      </c>
      <c r="M2020" s="7">
        <f t="shared" ca="1" si="130"/>
        <v>43.652292950034223</v>
      </c>
      <c r="N2020" s="5" t="str">
        <f ca="1">VLOOKUP(Data!M2020,temp!$B$3:$C$9,2,1)</f>
        <v>40-50</v>
      </c>
      <c r="O2020">
        <v>-1467</v>
      </c>
      <c r="P2020" s="8">
        <f t="shared" si="131"/>
        <v>4.0164271047227924</v>
      </c>
      <c r="Q2020" s="5" t="str">
        <f t="shared" si="133"/>
        <v>Employed</v>
      </c>
      <c r="R2020">
        <v>1</v>
      </c>
      <c r="S2020">
        <v>0</v>
      </c>
      <c r="T2020">
        <v>1</v>
      </c>
      <c r="U2020">
        <v>0</v>
      </c>
      <c r="W2020">
        <v>3</v>
      </c>
    </row>
    <row r="2021" spans="1:23" x14ac:dyDescent="0.2">
      <c r="A2021">
        <v>5066411</v>
      </c>
      <c r="B2021" t="s">
        <v>18</v>
      </c>
      <c r="C2021" t="s">
        <v>19</v>
      </c>
      <c r="D2021" t="s">
        <v>20</v>
      </c>
      <c r="E2021">
        <v>1</v>
      </c>
      <c r="F2021">
        <v>292500</v>
      </c>
      <c r="G2021" t="s">
        <v>31</v>
      </c>
      <c r="H2021" t="s">
        <v>36</v>
      </c>
      <c r="I2021" t="s">
        <v>33</v>
      </c>
      <c r="J2021" t="s">
        <v>24</v>
      </c>
      <c r="K2021" s="6">
        <f t="shared" ca="1" si="132"/>
        <v>33096</v>
      </c>
      <c r="L2021">
        <v>-12665</v>
      </c>
      <c r="M2021" s="7">
        <f t="shared" ca="1" si="130"/>
        <v>34.674880219028061</v>
      </c>
      <c r="N2021" s="5" t="str">
        <f ca="1">VLOOKUP(Data!M2021,temp!$B$3:$C$9,2,1)</f>
        <v>30-40</v>
      </c>
      <c r="O2021">
        <v>-2593</v>
      </c>
      <c r="P2021" s="8">
        <f t="shared" si="131"/>
        <v>7.099247091033539</v>
      </c>
      <c r="Q2021" s="5" t="str">
        <f t="shared" si="133"/>
        <v>Employed</v>
      </c>
      <c r="R2021">
        <v>1</v>
      </c>
      <c r="S2021">
        <v>0</v>
      </c>
      <c r="T2021">
        <v>0</v>
      </c>
      <c r="U2021">
        <v>0</v>
      </c>
      <c r="V2021" t="s">
        <v>38</v>
      </c>
      <c r="W2021">
        <v>2</v>
      </c>
    </row>
    <row r="2022" spans="1:23" x14ac:dyDescent="0.2">
      <c r="A2022">
        <v>5066428</v>
      </c>
      <c r="B2022" t="s">
        <v>18</v>
      </c>
      <c r="C2022" t="s">
        <v>19</v>
      </c>
      <c r="D2022" t="s">
        <v>20</v>
      </c>
      <c r="E2022">
        <v>1</v>
      </c>
      <c r="F2022">
        <v>225000</v>
      </c>
      <c r="G2022" t="s">
        <v>26</v>
      </c>
      <c r="H2022" t="s">
        <v>22</v>
      </c>
      <c r="I2022" t="s">
        <v>28</v>
      </c>
      <c r="J2022" t="s">
        <v>24</v>
      </c>
      <c r="K2022" s="6">
        <f t="shared" ca="1" si="132"/>
        <v>32750</v>
      </c>
      <c r="L2022">
        <v>-13011</v>
      </c>
      <c r="M2022" s="7">
        <f t="shared" ca="1" si="130"/>
        <v>35.622176591375769</v>
      </c>
      <c r="N2022" s="5" t="str">
        <f ca="1">VLOOKUP(Data!M2022,temp!$B$3:$C$9,2,1)</f>
        <v>30-40</v>
      </c>
      <c r="O2022">
        <v>-1953</v>
      </c>
      <c r="P2022" s="8">
        <f t="shared" si="131"/>
        <v>5.3470225872689943</v>
      </c>
      <c r="Q2022" s="5" t="str">
        <f t="shared" si="133"/>
        <v>Employed</v>
      </c>
      <c r="R2022">
        <v>1</v>
      </c>
      <c r="S2022">
        <v>0</v>
      </c>
      <c r="T2022">
        <v>0</v>
      </c>
      <c r="U2022">
        <v>0</v>
      </c>
      <c r="V2022" t="s">
        <v>39</v>
      </c>
      <c r="W2022">
        <v>3</v>
      </c>
    </row>
    <row r="2023" spans="1:23" x14ac:dyDescent="0.2">
      <c r="A2023">
        <v>5066430</v>
      </c>
      <c r="B2023" t="s">
        <v>18</v>
      </c>
      <c r="C2023" t="s">
        <v>19</v>
      </c>
      <c r="D2023" t="s">
        <v>20</v>
      </c>
      <c r="E2023">
        <v>1</v>
      </c>
      <c r="F2023">
        <v>225000</v>
      </c>
      <c r="G2023" t="s">
        <v>26</v>
      </c>
      <c r="H2023" t="s">
        <v>22</v>
      </c>
      <c r="I2023" t="s">
        <v>28</v>
      </c>
      <c r="J2023" t="s">
        <v>24</v>
      </c>
      <c r="K2023" s="6">
        <f t="shared" ca="1" si="132"/>
        <v>32750</v>
      </c>
      <c r="L2023">
        <v>-13011</v>
      </c>
      <c r="M2023" s="7">
        <f t="shared" ca="1" si="130"/>
        <v>35.622176591375769</v>
      </c>
      <c r="N2023" s="5" t="str">
        <f ca="1">VLOOKUP(Data!M2023,temp!$B$3:$C$9,2,1)</f>
        <v>30-40</v>
      </c>
      <c r="O2023">
        <v>-1953</v>
      </c>
      <c r="P2023" s="8">
        <f t="shared" si="131"/>
        <v>5.3470225872689943</v>
      </c>
      <c r="Q2023" s="5" t="str">
        <f t="shared" si="133"/>
        <v>Employed</v>
      </c>
      <c r="R2023">
        <v>1</v>
      </c>
      <c r="S2023">
        <v>0</v>
      </c>
      <c r="T2023">
        <v>0</v>
      </c>
      <c r="U2023">
        <v>0</v>
      </c>
      <c r="V2023" t="s">
        <v>39</v>
      </c>
      <c r="W2023">
        <v>3</v>
      </c>
    </row>
    <row r="2024" spans="1:23" x14ac:dyDescent="0.2">
      <c r="A2024">
        <v>5066435</v>
      </c>
      <c r="B2024" t="s">
        <v>25</v>
      </c>
      <c r="C2024" t="s">
        <v>20</v>
      </c>
      <c r="D2024" t="s">
        <v>20</v>
      </c>
      <c r="E2024">
        <v>0</v>
      </c>
      <c r="F2024">
        <v>157500</v>
      </c>
      <c r="G2024" t="s">
        <v>31</v>
      </c>
      <c r="H2024" t="s">
        <v>27</v>
      </c>
      <c r="I2024" t="s">
        <v>28</v>
      </c>
      <c r="J2024" t="s">
        <v>24</v>
      </c>
      <c r="K2024" s="6">
        <f t="shared" ca="1" si="132"/>
        <v>28417</v>
      </c>
      <c r="L2024">
        <v>-17344</v>
      </c>
      <c r="M2024" s="7">
        <f t="shared" ca="1" si="130"/>
        <v>47.485284052019168</v>
      </c>
      <c r="N2024" s="5" t="str">
        <f ca="1">VLOOKUP(Data!M2024,temp!$B$3:$C$9,2,1)</f>
        <v>40-50</v>
      </c>
      <c r="O2024">
        <v>-553</v>
      </c>
      <c r="P2024" s="8">
        <f t="shared" si="131"/>
        <v>1.514031485284052</v>
      </c>
      <c r="Q2024" s="5" t="str">
        <f t="shared" si="133"/>
        <v>Employed</v>
      </c>
      <c r="R2024">
        <v>1</v>
      </c>
      <c r="S2024">
        <v>0</v>
      </c>
      <c r="T2024">
        <v>0</v>
      </c>
      <c r="U2024">
        <v>1</v>
      </c>
      <c r="V2024" t="s">
        <v>30</v>
      </c>
      <c r="W2024">
        <v>2</v>
      </c>
    </row>
    <row r="2025" spans="1:23" x14ac:dyDescent="0.2">
      <c r="A2025">
        <v>5066458</v>
      </c>
      <c r="B2025" t="s">
        <v>18</v>
      </c>
      <c r="C2025" t="s">
        <v>20</v>
      </c>
      <c r="D2025" t="s">
        <v>20</v>
      </c>
      <c r="E2025">
        <v>0</v>
      </c>
      <c r="F2025">
        <v>135000</v>
      </c>
      <c r="G2025" t="s">
        <v>31</v>
      </c>
      <c r="H2025" t="s">
        <v>27</v>
      </c>
      <c r="I2025" t="s">
        <v>23</v>
      </c>
      <c r="J2025" t="s">
        <v>24</v>
      </c>
      <c r="K2025" s="6">
        <f t="shared" ca="1" si="132"/>
        <v>29550</v>
      </c>
      <c r="L2025">
        <v>-16211</v>
      </c>
      <c r="M2025" s="7">
        <f t="shared" ca="1" si="130"/>
        <v>44.383299110198493</v>
      </c>
      <c r="N2025" s="5" t="str">
        <f ca="1">VLOOKUP(Data!M2025,temp!$B$3:$C$9,2,1)</f>
        <v>40-50</v>
      </c>
      <c r="O2025">
        <v>-1406</v>
      </c>
      <c r="P2025" s="8">
        <f t="shared" si="131"/>
        <v>3.8494182067077345</v>
      </c>
      <c r="Q2025" s="5" t="str">
        <f t="shared" si="133"/>
        <v>Employed</v>
      </c>
      <c r="R2025">
        <v>1</v>
      </c>
      <c r="S2025">
        <v>0</v>
      </c>
      <c r="T2025">
        <v>0</v>
      </c>
      <c r="U2025">
        <v>0</v>
      </c>
      <c r="V2025" t="s">
        <v>29</v>
      </c>
      <c r="W2025">
        <v>1</v>
      </c>
    </row>
    <row r="2026" spans="1:23" x14ac:dyDescent="0.2">
      <c r="A2026">
        <v>5066477</v>
      </c>
      <c r="B2026" t="s">
        <v>18</v>
      </c>
      <c r="C2026" t="s">
        <v>19</v>
      </c>
      <c r="D2026" t="s">
        <v>20</v>
      </c>
      <c r="E2026">
        <v>0</v>
      </c>
      <c r="F2026">
        <v>135000</v>
      </c>
      <c r="G2026" t="s">
        <v>26</v>
      </c>
      <c r="H2026" t="s">
        <v>27</v>
      </c>
      <c r="I2026" t="s">
        <v>28</v>
      </c>
      <c r="J2026" t="s">
        <v>24</v>
      </c>
      <c r="K2026" s="6">
        <f t="shared" ca="1" si="132"/>
        <v>29264</v>
      </c>
      <c r="L2026">
        <v>-16497</v>
      </c>
      <c r="M2026" s="7">
        <f t="shared" ca="1" si="130"/>
        <v>45.166324435318273</v>
      </c>
      <c r="N2026" s="5" t="str">
        <f ca="1">VLOOKUP(Data!M2026,temp!$B$3:$C$9,2,1)</f>
        <v>40-50</v>
      </c>
      <c r="O2026">
        <v>-430</v>
      </c>
      <c r="P2026" s="8">
        <f t="shared" si="131"/>
        <v>1.1772758384668036</v>
      </c>
      <c r="Q2026" s="5" t="str">
        <f t="shared" si="133"/>
        <v>Employed</v>
      </c>
      <c r="R2026">
        <v>1</v>
      </c>
      <c r="S2026">
        <v>0</v>
      </c>
      <c r="T2026">
        <v>0</v>
      </c>
      <c r="U2026">
        <v>0</v>
      </c>
      <c r="W2026">
        <v>2</v>
      </c>
    </row>
    <row r="2027" spans="1:23" x14ac:dyDescent="0.2">
      <c r="A2027">
        <v>5066482</v>
      </c>
      <c r="B2027" t="s">
        <v>18</v>
      </c>
      <c r="C2027" t="s">
        <v>19</v>
      </c>
      <c r="D2027" t="s">
        <v>20</v>
      </c>
      <c r="E2027">
        <v>0</v>
      </c>
      <c r="F2027">
        <v>180000</v>
      </c>
      <c r="G2027" t="s">
        <v>26</v>
      </c>
      <c r="H2027" t="s">
        <v>22</v>
      </c>
      <c r="I2027" t="s">
        <v>28</v>
      </c>
      <c r="J2027" t="s">
        <v>41</v>
      </c>
      <c r="K2027" s="6">
        <f t="shared" ca="1" si="132"/>
        <v>36137</v>
      </c>
      <c r="L2027">
        <v>-9624</v>
      </c>
      <c r="M2027" s="7">
        <f t="shared" ca="1" si="130"/>
        <v>26.349075975359344</v>
      </c>
      <c r="N2027" s="5" t="str">
        <f ca="1">VLOOKUP(Data!M2027,temp!$B$3:$C$9,2,1)</f>
        <v>20-30</v>
      </c>
      <c r="O2027">
        <v>-2775</v>
      </c>
      <c r="P2027" s="8">
        <f t="shared" si="131"/>
        <v>7.5975359342915807</v>
      </c>
      <c r="Q2027" s="5" t="str">
        <f t="shared" si="133"/>
        <v>Employed</v>
      </c>
      <c r="R2027">
        <v>1</v>
      </c>
      <c r="S2027">
        <v>0</v>
      </c>
      <c r="T2027">
        <v>0</v>
      </c>
      <c r="U2027">
        <v>0</v>
      </c>
      <c r="V2027" t="s">
        <v>29</v>
      </c>
      <c r="W2027">
        <v>2</v>
      </c>
    </row>
    <row r="2028" spans="1:23" x14ac:dyDescent="0.2">
      <c r="A2028">
        <v>5066498</v>
      </c>
      <c r="B2028" t="s">
        <v>18</v>
      </c>
      <c r="C2028" t="s">
        <v>19</v>
      </c>
      <c r="D2028" t="s">
        <v>19</v>
      </c>
      <c r="E2028">
        <v>1</v>
      </c>
      <c r="F2028">
        <v>112500</v>
      </c>
      <c r="G2028" t="s">
        <v>31</v>
      </c>
      <c r="H2028" t="s">
        <v>22</v>
      </c>
      <c r="I2028" t="s">
        <v>37</v>
      </c>
      <c r="J2028" t="s">
        <v>41</v>
      </c>
      <c r="K2028" s="6">
        <f t="shared" ca="1" si="132"/>
        <v>33685</v>
      </c>
      <c r="L2028">
        <v>-12076</v>
      </c>
      <c r="M2028" s="7">
        <f t="shared" ca="1" si="130"/>
        <v>33.062286105407253</v>
      </c>
      <c r="N2028" s="5" t="str">
        <f ca="1">VLOOKUP(Data!M2028,temp!$B$3:$C$9,2,1)</f>
        <v>30-40</v>
      </c>
      <c r="O2028">
        <v>-5362</v>
      </c>
      <c r="P2028" s="8">
        <f t="shared" si="131"/>
        <v>14.680355920602327</v>
      </c>
      <c r="Q2028" s="5" t="str">
        <f t="shared" si="133"/>
        <v>Employed</v>
      </c>
      <c r="R2028">
        <v>1</v>
      </c>
      <c r="S2028">
        <v>0</v>
      </c>
      <c r="T2028">
        <v>1</v>
      </c>
      <c r="U2028">
        <v>1</v>
      </c>
      <c r="V2028" t="s">
        <v>29</v>
      </c>
      <c r="W2028">
        <v>3</v>
      </c>
    </row>
    <row r="2029" spans="1:23" x14ac:dyDescent="0.2">
      <c r="A2029">
        <v>5066501</v>
      </c>
      <c r="B2029" t="s">
        <v>25</v>
      </c>
      <c r="C2029" t="s">
        <v>19</v>
      </c>
      <c r="D2029" t="s">
        <v>20</v>
      </c>
      <c r="E2029">
        <v>0</v>
      </c>
      <c r="F2029">
        <v>225000</v>
      </c>
      <c r="G2029" t="s">
        <v>26</v>
      </c>
      <c r="H2029" t="s">
        <v>27</v>
      </c>
      <c r="I2029" t="s">
        <v>28</v>
      </c>
      <c r="J2029" t="s">
        <v>24</v>
      </c>
      <c r="K2029" s="6">
        <f t="shared" ca="1" si="132"/>
        <v>35184</v>
      </c>
      <c r="L2029">
        <v>-10577</v>
      </c>
      <c r="M2029" s="7">
        <f t="shared" ca="1" si="130"/>
        <v>28.958247775496236</v>
      </c>
      <c r="N2029" s="5" t="str">
        <f ca="1">VLOOKUP(Data!M2029,temp!$B$3:$C$9,2,1)</f>
        <v>20-30</v>
      </c>
      <c r="O2029">
        <v>-2653</v>
      </c>
      <c r="P2029" s="8">
        <f t="shared" si="131"/>
        <v>7.2635181382614649</v>
      </c>
      <c r="Q2029" s="5" t="str">
        <f t="shared" si="133"/>
        <v>Employed</v>
      </c>
      <c r="R2029">
        <v>1</v>
      </c>
      <c r="S2029">
        <v>0</v>
      </c>
      <c r="T2029">
        <v>0</v>
      </c>
      <c r="U2029">
        <v>0</v>
      </c>
      <c r="W2029">
        <v>2</v>
      </c>
    </row>
    <row r="2030" spans="1:23" x14ac:dyDescent="0.2">
      <c r="A2030">
        <v>5066507</v>
      </c>
      <c r="B2030" t="s">
        <v>18</v>
      </c>
      <c r="C2030" t="s">
        <v>19</v>
      </c>
      <c r="D2030" t="s">
        <v>20</v>
      </c>
      <c r="E2030">
        <v>0</v>
      </c>
      <c r="F2030">
        <v>157500</v>
      </c>
      <c r="G2030" t="s">
        <v>31</v>
      </c>
      <c r="H2030" t="s">
        <v>27</v>
      </c>
      <c r="I2030" t="s">
        <v>33</v>
      </c>
      <c r="J2030" t="s">
        <v>24</v>
      </c>
      <c r="K2030" s="6">
        <f t="shared" ca="1" si="132"/>
        <v>28223</v>
      </c>
      <c r="L2030">
        <v>-17538</v>
      </c>
      <c r="M2030" s="7">
        <f t="shared" ca="1" si="130"/>
        <v>48.016427104722794</v>
      </c>
      <c r="N2030" s="5" t="str">
        <f ca="1">VLOOKUP(Data!M2030,temp!$B$3:$C$9,2,1)</f>
        <v>40-50</v>
      </c>
      <c r="O2030">
        <v>-7676</v>
      </c>
      <c r="P2030" s="8">
        <f t="shared" si="131"/>
        <v>21.015742642026009</v>
      </c>
      <c r="Q2030" s="5" t="str">
        <f t="shared" si="133"/>
        <v>Employed</v>
      </c>
      <c r="R2030">
        <v>1</v>
      </c>
      <c r="S2030">
        <v>0</v>
      </c>
      <c r="T2030">
        <v>1</v>
      </c>
      <c r="U2030">
        <v>0</v>
      </c>
      <c r="V2030" t="s">
        <v>49</v>
      </c>
      <c r="W2030">
        <v>1</v>
      </c>
    </row>
    <row r="2031" spans="1:23" x14ac:dyDescent="0.2">
      <c r="A2031">
        <v>5066509</v>
      </c>
      <c r="B2031" t="s">
        <v>18</v>
      </c>
      <c r="C2031" t="s">
        <v>19</v>
      </c>
      <c r="D2031" t="s">
        <v>20</v>
      </c>
      <c r="E2031">
        <v>0</v>
      </c>
      <c r="F2031">
        <v>157500</v>
      </c>
      <c r="G2031" t="s">
        <v>31</v>
      </c>
      <c r="H2031" t="s">
        <v>27</v>
      </c>
      <c r="I2031" t="s">
        <v>33</v>
      </c>
      <c r="J2031" t="s">
        <v>24</v>
      </c>
      <c r="K2031" s="6">
        <f t="shared" ca="1" si="132"/>
        <v>28223</v>
      </c>
      <c r="L2031">
        <v>-17538</v>
      </c>
      <c r="M2031" s="7">
        <f t="shared" ca="1" si="130"/>
        <v>48.016427104722794</v>
      </c>
      <c r="N2031" s="5" t="str">
        <f ca="1">VLOOKUP(Data!M2031,temp!$B$3:$C$9,2,1)</f>
        <v>40-50</v>
      </c>
      <c r="O2031">
        <v>-7676</v>
      </c>
      <c r="P2031" s="8">
        <f t="shared" si="131"/>
        <v>21.015742642026009</v>
      </c>
      <c r="Q2031" s="5" t="str">
        <f t="shared" si="133"/>
        <v>Employed</v>
      </c>
      <c r="R2031">
        <v>1</v>
      </c>
      <c r="S2031">
        <v>0</v>
      </c>
      <c r="T2031">
        <v>1</v>
      </c>
      <c r="U2031">
        <v>0</v>
      </c>
      <c r="V2031" t="s">
        <v>49</v>
      </c>
      <c r="W2031">
        <v>1</v>
      </c>
    </row>
    <row r="2032" spans="1:23" x14ac:dyDescent="0.2">
      <c r="A2032">
        <v>5066513</v>
      </c>
      <c r="B2032" t="s">
        <v>18</v>
      </c>
      <c r="C2032" t="s">
        <v>19</v>
      </c>
      <c r="D2032" t="s">
        <v>20</v>
      </c>
      <c r="E2032">
        <v>0</v>
      </c>
      <c r="F2032">
        <v>157500</v>
      </c>
      <c r="G2032" t="s">
        <v>31</v>
      </c>
      <c r="H2032" t="s">
        <v>27</v>
      </c>
      <c r="I2032" t="s">
        <v>33</v>
      </c>
      <c r="J2032" t="s">
        <v>24</v>
      </c>
      <c r="K2032" s="6">
        <f t="shared" ca="1" si="132"/>
        <v>28223</v>
      </c>
      <c r="L2032">
        <v>-17538</v>
      </c>
      <c r="M2032" s="7">
        <f t="shared" ca="1" si="130"/>
        <v>48.016427104722794</v>
      </c>
      <c r="N2032" s="5" t="str">
        <f ca="1">VLOOKUP(Data!M2032,temp!$B$3:$C$9,2,1)</f>
        <v>40-50</v>
      </c>
      <c r="O2032">
        <v>-7676</v>
      </c>
      <c r="P2032" s="8">
        <f t="shared" si="131"/>
        <v>21.015742642026009</v>
      </c>
      <c r="Q2032" s="5" t="str">
        <f t="shared" si="133"/>
        <v>Employed</v>
      </c>
      <c r="R2032">
        <v>1</v>
      </c>
      <c r="S2032">
        <v>0</v>
      </c>
      <c r="T2032">
        <v>1</v>
      </c>
      <c r="U2032">
        <v>0</v>
      </c>
      <c r="V2032" t="s">
        <v>49</v>
      </c>
      <c r="W2032">
        <v>1</v>
      </c>
    </row>
    <row r="2033" spans="1:23" x14ac:dyDescent="0.2">
      <c r="A2033">
        <v>5066514</v>
      </c>
      <c r="B2033" t="s">
        <v>18</v>
      </c>
      <c r="C2033" t="s">
        <v>19</v>
      </c>
      <c r="D2033" t="s">
        <v>20</v>
      </c>
      <c r="E2033">
        <v>0</v>
      </c>
      <c r="F2033">
        <v>157500</v>
      </c>
      <c r="G2033" t="s">
        <v>31</v>
      </c>
      <c r="H2033" t="s">
        <v>27</v>
      </c>
      <c r="I2033" t="s">
        <v>33</v>
      </c>
      <c r="J2033" t="s">
        <v>24</v>
      </c>
      <c r="K2033" s="6">
        <f t="shared" ca="1" si="132"/>
        <v>28223</v>
      </c>
      <c r="L2033">
        <v>-17538</v>
      </c>
      <c r="M2033" s="7">
        <f t="shared" ca="1" si="130"/>
        <v>48.016427104722794</v>
      </c>
      <c r="N2033" s="5" t="str">
        <f ca="1">VLOOKUP(Data!M2033,temp!$B$3:$C$9,2,1)</f>
        <v>40-50</v>
      </c>
      <c r="O2033">
        <v>-7676</v>
      </c>
      <c r="P2033" s="8">
        <f t="shared" si="131"/>
        <v>21.015742642026009</v>
      </c>
      <c r="Q2033" s="5" t="str">
        <f t="shared" si="133"/>
        <v>Employed</v>
      </c>
      <c r="R2033">
        <v>1</v>
      </c>
      <c r="S2033">
        <v>0</v>
      </c>
      <c r="T2033">
        <v>1</v>
      </c>
      <c r="U2033">
        <v>0</v>
      </c>
      <c r="V2033" t="s">
        <v>49</v>
      </c>
      <c r="W2033">
        <v>1</v>
      </c>
    </row>
    <row r="2034" spans="1:23" x14ac:dyDescent="0.2">
      <c r="A2034">
        <v>5066522</v>
      </c>
      <c r="B2034" t="s">
        <v>18</v>
      </c>
      <c r="C2034" t="s">
        <v>19</v>
      </c>
      <c r="D2034" t="s">
        <v>20</v>
      </c>
      <c r="E2034">
        <v>0</v>
      </c>
      <c r="F2034">
        <v>144000</v>
      </c>
      <c r="G2034" t="s">
        <v>31</v>
      </c>
      <c r="H2034" t="s">
        <v>27</v>
      </c>
      <c r="I2034" t="s">
        <v>28</v>
      </c>
      <c r="J2034" t="s">
        <v>24</v>
      </c>
      <c r="K2034" s="6">
        <f t="shared" ca="1" si="132"/>
        <v>25786</v>
      </c>
      <c r="L2034">
        <v>-19975</v>
      </c>
      <c r="M2034" s="7">
        <f t="shared" ca="1" si="130"/>
        <v>54.688569472963721</v>
      </c>
      <c r="N2034" s="5" t="str">
        <f ca="1">VLOOKUP(Data!M2034,temp!$B$3:$C$9,2,1)</f>
        <v>50-60</v>
      </c>
      <c r="O2034">
        <v>-10780</v>
      </c>
      <c r="P2034" s="8">
        <f t="shared" si="131"/>
        <v>29.51403148528405</v>
      </c>
      <c r="Q2034" s="5" t="str">
        <f t="shared" si="133"/>
        <v>Employed</v>
      </c>
      <c r="R2034">
        <v>1</v>
      </c>
      <c r="S2034">
        <v>1</v>
      </c>
      <c r="T2034">
        <v>1</v>
      </c>
      <c r="U2034">
        <v>0</v>
      </c>
      <c r="V2034" t="s">
        <v>29</v>
      </c>
      <c r="W2034">
        <v>2</v>
      </c>
    </row>
    <row r="2035" spans="1:23" x14ac:dyDescent="0.2">
      <c r="A2035">
        <v>5066533</v>
      </c>
      <c r="B2035" t="s">
        <v>18</v>
      </c>
      <c r="C2035" t="s">
        <v>19</v>
      </c>
      <c r="D2035" t="s">
        <v>20</v>
      </c>
      <c r="E2035">
        <v>0</v>
      </c>
      <c r="F2035">
        <v>247500</v>
      </c>
      <c r="G2035" t="s">
        <v>31</v>
      </c>
      <c r="H2035" t="s">
        <v>27</v>
      </c>
      <c r="I2035" t="s">
        <v>42</v>
      </c>
      <c r="J2035" t="s">
        <v>24</v>
      </c>
      <c r="K2035" s="6">
        <f t="shared" ca="1" si="132"/>
        <v>27721</v>
      </c>
      <c r="L2035">
        <v>-18040</v>
      </c>
      <c r="M2035" s="7">
        <f t="shared" ca="1" si="130"/>
        <v>49.390828199863108</v>
      </c>
      <c r="N2035" s="5" t="str">
        <f ca="1">VLOOKUP(Data!M2035,temp!$B$3:$C$9,2,1)</f>
        <v>40-50</v>
      </c>
      <c r="O2035">
        <v>-4813</v>
      </c>
      <c r="P2035" s="8">
        <f t="shared" si="131"/>
        <v>13.177275838466803</v>
      </c>
      <c r="Q2035" s="5" t="str">
        <f t="shared" si="133"/>
        <v>Employed</v>
      </c>
      <c r="R2035">
        <v>1</v>
      </c>
      <c r="S2035">
        <v>0</v>
      </c>
      <c r="T2035">
        <v>0</v>
      </c>
      <c r="U2035">
        <v>0</v>
      </c>
      <c r="W2035">
        <v>1</v>
      </c>
    </row>
    <row r="2036" spans="1:23" x14ac:dyDescent="0.2">
      <c r="A2036">
        <v>5066539</v>
      </c>
      <c r="B2036" t="s">
        <v>25</v>
      </c>
      <c r="C2036" t="s">
        <v>20</v>
      </c>
      <c r="D2036" t="s">
        <v>20</v>
      </c>
      <c r="E2036">
        <v>1</v>
      </c>
      <c r="F2036">
        <v>900000</v>
      </c>
      <c r="G2036" t="s">
        <v>31</v>
      </c>
      <c r="H2036" t="s">
        <v>27</v>
      </c>
      <c r="I2036" t="s">
        <v>28</v>
      </c>
      <c r="J2036" t="s">
        <v>43</v>
      </c>
      <c r="K2036" s="6">
        <f t="shared" ca="1" si="132"/>
        <v>30417</v>
      </c>
      <c r="L2036">
        <v>-15344</v>
      </c>
      <c r="M2036" s="7">
        <f t="shared" ca="1" si="130"/>
        <v>42.009582477754961</v>
      </c>
      <c r="N2036" s="5" t="str">
        <f ca="1">VLOOKUP(Data!M2036,temp!$B$3:$C$9,2,1)</f>
        <v>40-50</v>
      </c>
      <c r="O2036">
        <v>-1101</v>
      </c>
      <c r="P2036" s="8">
        <f t="shared" si="131"/>
        <v>3.0143737166324436</v>
      </c>
      <c r="Q2036" s="5" t="str">
        <f t="shared" si="133"/>
        <v>Employed</v>
      </c>
      <c r="R2036">
        <v>1</v>
      </c>
      <c r="S2036">
        <v>0</v>
      </c>
      <c r="T2036">
        <v>0</v>
      </c>
      <c r="U2036">
        <v>0</v>
      </c>
      <c r="V2036" t="s">
        <v>32</v>
      </c>
      <c r="W2036">
        <v>3</v>
      </c>
    </row>
    <row r="2037" spans="1:23" x14ac:dyDescent="0.2">
      <c r="A2037">
        <v>5066558</v>
      </c>
      <c r="B2037" t="s">
        <v>18</v>
      </c>
      <c r="C2037" t="s">
        <v>20</v>
      </c>
      <c r="D2037" t="s">
        <v>19</v>
      </c>
      <c r="E2037">
        <v>1</v>
      </c>
      <c r="F2037">
        <v>180000</v>
      </c>
      <c r="G2037" t="s">
        <v>35</v>
      </c>
      <c r="H2037" t="s">
        <v>27</v>
      </c>
      <c r="I2037" t="s">
        <v>28</v>
      </c>
      <c r="J2037" t="s">
        <v>45</v>
      </c>
      <c r="K2037" s="6">
        <f t="shared" ca="1" si="132"/>
        <v>28203</v>
      </c>
      <c r="L2037">
        <v>-17558</v>
      </c>
      <c r="M2037" s="7">
        <f t="shared" ca="1" si="130"/>
        <v>48.071184120465432</v>
      </c>
      <c r="N2037" s="5" t="str">
        <f ca="1">VLOOKUP(Data!M2037,temp!$B$3:$C$9,2,1)</f>
        <v>40-50</v>
      </c>
      <c r="O2037">
        <v>-1802</v>
      </c>
      <c r="P2037" s="8">
        <f t="shared" si="131"/>
        <v>4.9336071184120467</v>
      </c>
      <c r="Q2037" s="5" t="str">
        <f t="shared" si="133"/>
        <v>Employed</v>
      </c>
      <c r="R2037">
        <v>1</v>
      </c>
      <c r="S2037">
        <v>0</v>
      </c>
      <c r="T2037">
        <v>0</v>
      </c>
      <c r="U2037">
        <v>0</v>
      </c>
      <c r="V2037" t="s">
        <v>38</v>
      </c>
      <c r="W2037">
        <v>3</v>
      </c>
    </row>
    <row r="2038" spans="1:23" x14ac:dyDescent="0.2">
      <c r="A2038">
        <v>5066574</v>
      </c>
      <c r="B2038" t="s">
        <v>18</v>
      </c>
      <c r="C2038" t="s">
        <v>20</v>
      </c>
      <c r="D2038" t="s">
        <v>20</v>
      </c>
      <c r="E2038">
        <v>1</v>
      </c>
      <c r="F2038">
        <v>315000</v>
      </c>
      <c r="G2038" t="s">
        <v>31</v>
      </c>
      <c r="H2038" t="s">
        <v>36</v>
      </c>
      <c r="I2038" t="s">
        <v>33</v>
      </c>
      <c r="J2038" t="s">
        <v>24</v>
      </c>
      <c r="K2038" s="6">
        <f t="shared" ca="1" si="132"/>
        <v>34036</v>
      </c>
      <c r="L2038">
        <v>-11725</v>
      </c>
      <c r="M2038" s="7">
        <f t="shared" ca="1" si="130"/>
        <v>32.101300479123886</v>
      </c>
      <c r="N2038" s="5" t="str">
        <f ca="1">VLOOKUP(Data!M2038,temp!$B$3:$C$9,2,1)</f>
        <v>30-40</v>
      </c>
      <c r="O2038">
        <v>-2044</v>
      </c>
      <c r="P2038" s="8">
        <f t="shared" si="131"/>
        <v>5.5961670088980151</v>
      </c>
      <c r="Q2038" s="5" t="str">
        <f t="shared" si="133"/>
        <v>Employed</v>
      </c>
      <c r="R2038">
        <v>1</v>
      </c>
      <c r="S2038">
        <v>0</v>
      </c>
      <c r="T2038">
        <v>0</v>
      </c>
      <c r="U2038">
        <v>0</v>
      </c>
      <c r="V2038" t="s">
        <v>38</v>
      </c>
      <c r="W2038">
        <v>2</v>
      </c>
    </row>
    <row r="2039" spans="1:23" x14ac:dyDescent="0.2">
      <c r="A2039">
        <v>5066588</v>
      </c>
      <c r="B2039" t="s">
        <v>18</v>
      </c>
      <c r="C2039" t="s">
        <v>20</v>
      </c>
      <c r="D2039" t="s">
        <v>20</v>
      </c>
      <c r="E2039">
        <v>0</v>
      </c>
      <c r="F2039">
        <v>76500</v>
      </c>
      <c r="G2039" t="s">
        <v>31</v>
      </c>
      <c r="H2039" t="s">
        <v>27</v>
      </c>
      <c r="I2039" t="s">
        <v>28</v>
      </c>
      <c r="J2039" t="s">
        <v>24</v>
      </c>
      <c r="K2039" s="6">
        <f t="shared" ca="1" si="132"/>
        <v>33381</v>
      </c>
      <c r="L2039">
        <v>-12380</v>
      </c>
      <c r="M2039" s="7">
        <f t="shared" ca="1" si="130"/>
        <v>33.894592744695416</v>
      </c>
      <c r="N2039" s="5" t="str">
        <f ca="1">VLOOKUP(Data!M2039,temp!$B$3:$C$9,2,1)</f>
        <v>30-40</v>
      </c>
      <c r="O2039">
        <v>-2287</v>
      </c>
      <c r="P2039" s="8">
        <f t="shared" si="131"/>
        <v>6.2614647501711156</v>
      </c>
      <c r="Q2039" s="5" t="str">
        <f t="shared" si="133"/>
        <v>Employed</v>
      </c>
      <c r="R2039">
        <v>1</v>
      </c>
      <c r="S2039">
        <v>1</v>
      </c>
      <c r="T2039">
        <v>1</v>
      </c>
      <c r="U2039">
        <v>0</v>
      </c>
      <c r="V2039" t="s">
        <v>47</v>
      </c>
      <c r="W2039">
        <v>2</v>
      </c>
    </row>
    <row r="2040" spans="1:23" x14ac:dyDescent="0.2">
      <c r="A2040">
        <v>5066589</v>
      </c>
      <c r="B2040" t="s">
        <v>18</v>
      </c>
      <c r="C2040" t="s">
        <v>19</v>
      </c>
      <c r="D2040" t="s">
        <v>19</v>
      </c>
      <c r="E2040">
        <v>1</v>
      </c>
      <c r="F2040">
        <v>360000</v>
      </c>
      <c r="G2040" t="s">
        <v>26</v>
      </c>
      <c r="H2040" t="s">
        <v>22</v>
      </c>
      <c r="I2040" t="s">
        <v>37</v>
      </c>
      <c r="J2040" t="s">
        <v>24</v>
      </c>
      <c r="K2040" s="6">
        <f t="shared" ca="1" si="132"/>
        <v>30956</v>
      </c>
      <c r="L2040">
        <v>-14805</v>
      </c>
      <c r="M2040" s="7">
        <f t="shared" ca="1" si="130"/>
        <v>40.533880903490761</v>
      </c>
      <c r="N2040" s="5" t="str">
        <f ca="1">VLOOKUP(Data!M2040,temp!$B$3:$C$9,2,1)</f>
        <v>40-50</v>
      </c>
      <c r="O2040">
        <v>-1922</v>
      </c>
      <c r="P2040" s="8">
        <f t="shared" si="131"/>
        <v>5.2621492128678984</v>
      </c>
      <c r="Q2040" s="5" t="str">
        <f t="shared" si="133"/>
        <v>Employed</v>
      </c>
      <c r="R2040">
        <v>1</v>
      </c>
      <c r="S2040">
        <v>0</v>
      </c>
      <c r="T2040">
        <v>0</v>
      </c>
      <c r="U2040">
        <v>0</v>
      </c>
      <c r="V2040" t="s">
        <v>39</v>
      </c>
      <c r="W2040">
        <v>3</v>
      </c>
    </row>
    <row r="2041" spans="1:23" x14ac:dyDescent="0.2">
      <c r="A2041">
        <v>5066598</v>
      </c>
      <c r="B2041" t="s">
        <v>18</v>
      </c>
      <c r="C2041" t="s">
        <v>19</v>
      </c>
      <c r="D2041" t="s">
        <v>19</v>
      </c>
      <c r="E2041">
        <v>1</v>
      </c>
      <c r="F2041">
        <v>360000</v>
      </c>
      <c r="G2041" t="s">
        <v>26</v>
      </c>
      <c r="H2041" t="s">
        <v>22</v>
      </c>
      <c r="I2041" t="s">
        <v>37</v>
      </c>
      <c r="J2041" t="s">
        <v>24</v>
      </c>
      <c r="K2041" s="6">
        <f t="shared" ca="1" si="132"/>
        <v>30956</v>
      </c>
      <c r="L2041">
        <v>-14805</v>
      </c>
      <c r="M2041" s="7">
        <f t="shared" ca="1" si="130"/>
        <v>40.533880903490761</v>
      </c>
      <c r="N2041" s="5" t="str">
        <f ca="1">VLOOKUP(Data!M2041,temp!$B$3:$C$9,2,1)</f>
        <v>40-50</v>
      </c>
      <c r="O2041">
        <v>-1922</v>
      </c>
      <c r="P2041" s="8">
        <f t="shared" si="131"/>
        <v>5.2621492128678984</v>
      </c>
      <c r="Q2041" s="5" t="str">
        <f t="shared" si="133"/>
        <v>Employed</v>
      </c>
      <c r="R2041">
        <v>1</v>
      </c>
      <c r="S2041">
        <v>0</v>
      </c>
      <c r="T2041">
        <v>0</v>
      </c>
      <c r="U2041">
        <v>0</v>
      </c>
      <c r="V2041" t="s">
        <v>39</v>
      </c>
      <c r="W2041">
        <v>3</v>
      </c>
    </row>
    <row r="2042" spans="1:23" x14ac:dyDescent="0.2">
      <c r="A2042">
        <v>5066601</v>
      </c>
      <c r="B2042" t="s">
        <v>18</v>
      </c>
      <c r="C2042" t="s">
        <v>19</v>
      </c>
      <c r="D2042" t="s">
        <v>19</v>
      </c>
      <c r="E2042">
        <v>1</v>
      </c>
      <c r="F2042">
        <v>360000</v>
      </c>
      <c r="G2042" t="s">
        <v>26</v>
      </c>
      <c r="H2042" t="s">
        <v>22</v>
      </c>
      <c r="I2042" t="s">
        <v>37</v>
      </c>
      <c r="J2042" t="s">
        <v>24</v>
      </c>
      <c r="K2042" s="6">
        <f t="shared" ca="1" si="132"/>
        <v>30956</v>
      </c>
      <c r="L2042">
        <v>-14805</v>
      </c>
      <c r="M2042" s="7">
        <f t="shared" ca="1" si="130"/>
        <v>40.533880903490761</v>
      </c>
      <c r="N2042" s="5" t="str">
        <f ca="1">VLOOKUP(Data!M2042,temp!$B$3:$C$9,2,1)</f>
        <v>40-50</v>
      </c>
      <c r="O2042">
        <v>-1922</v>
      </c>
      <c r="P2042" s="8">
        <f t="shared" si="131"/>
        <v>5.2621492128678984</v>
      </c>
      <c r="Q2042" s="5" t="str">
        <f t="shared" si="133"/>
        <v>Employed</v>
      </c>
      <c r="R2042">
        <v>1</v>
      </c>
      <c r="S2042">
        <v>0</v>
      </c>
      <c r="T2042">
        <v>0</v>
      </c>
      <c r="U2042">
        <v>0</v>
      </c>
      <c r="V2042" t="s">
        <v>39</v>
      </c>
      <c r="W2042">
        <v>3</v>
      </c>
    </row>
    <row r="2043" spans="1:23" x14ac:dyDescent="0.2">
      <c r="A2043">
        <v>5066604</v>
      </c>
      <c r="B2043" t="s">
        <v>18</v>
      </c>
      <c r="C2043" t="s">
        <v>19</v>
      </c>
      <c r="D2043" t="s">
        <v>20</v>
      </c>
      <c r="E2043">
        <v>0</v>
      </c>
      <c r="F2043">
        <v>85500</v>
      </c>
      <c r="G2043" t="s">
        <v>21</v>
      </c>
      <c r="H2043" t="s">
        <v>27</v>
      </c>
      <c r="I2043" t="s">
        <v>28</v>
      </c>
      <c r="J2043" t="s">
        <v>24</v>
      </c>
      <c r="K2043" s="6">
        <f t="shared" ca="1" si="132"/>
        <v>24230</v>
      </c>
      <c r="L2043">
        <v>-21531</v>
      </c>
      <c r="M2043" s="7">
        <f t="shared" ca="1" si="130"/>
        <v>58.948665297741272</v>
      </c>
      <c r="N2043" s="5" t="str">
        <f ca="1">VLOOKUP(Data!M2043,temp!$B$3:$C$9,2,1)</f>
        <v>50-60</v>
      </c>
      <c r="O2043">
        <v>365243</v>
      </c>
      <c r="P2043" s="8">
        <f t="shared" si="131"/>
        <v>0</v>
      </c>
      <c r="Q2043" s="5" t="str">
        <f t="shared" si="133"/>
        <v>Unemployed</v>
      </c>
      <c r="R2043">
        <v>1</v>
      </c>
      <c r="S2043">
        <v>0</v>
      </c>
      <c r="T2043">
        <v>0</v>
      </c>
      <c r="U2043">
        <v>0</v>
      </c>
      <c r="W2043">
        <v>2</v>
      </c>
    </row>
    <row r="2044" spans="1:23" x14ac:dyDescent="0.2">
      <c r="A2044">
        <v>5066607</v>
      </c>
      <c r="B2044" t="s">
        <v>18</v>
      </c>
      <c r="C2044" t="s">
        <v>19</v>
      </c>
      <c r="D2044" t="s">
        <v>20</v>
      </c>
      <c r="E2044">
        <v>0</v>
      </c>
      <c r="F2044">
        <v>85500</v>
      </c>
      <c r="G2044" t="s">
        <v>21</v>
      </c>
      <c r="H2044" t="s">
        <v>27</v>
      </c>
      <c r="I2044" t="s">
        <v>28</v>
      </c>
      <c r="J2044" t="s">
        <v>24</v>
      </c>
      <c r="K2044" s="6">
        <f t="shared" ca="1" si="132"/>
        <v>24230</v>
      </c>
      <c r="L2044">
        <v>-21531</v>
      </c>
      <c r="M2044" s="7">
        <f t="shared" ca="1" si="130"/>
        <v>58.948665297741272</v>
      </c>
      <c r="N2044" s="5" t="str">
        <f ca="1">VLOOKUP(Data!M2044,temp!$B$3:$C$9,2,1)</f>
        <v>50-60</v>
      </c>
      <c r="O2044">
        <v>365243</v>
      </c>
      <c r="P2044" s="8">
        <f t="shared" si="131"/>
        <v>0</v>
      </c>
      <c r="Q2044" s="5" t="str">
        <f t="shared" si="133"/>
        <v>Unemployed</v>
      </c>
      <c r="R2044">
        <v>1</v>
      </c>
      <c r="S2044">
        <v>0</v>
      </c>
      <c r="T2044">
        <v>0</v>
      </c>
      <c r="U2044">
        <v>0</v>
      </c>
      <c r="W2044">
        <v>2</v>
      </c>
    </row>
    <row r="2045" spans="1:23" x14ac:dyDescent="0.2">
      <c r="A2045">
        <v>5066617</v>
      </c>
      <c r="B2045" t="s">
        <v>18</v>
      </c>
      <c r="C2045" t="s">
        <v>19</v>
      </c>
      <c r="D2045" t="s">
        <v>20</v>
      </c>
      <c r="E2045">
        <v>0</v>
      </c>
      <c r="F2045">
        <v>139500</v>
      </c>
      <c r="G2045" t="s">
        <v>31</v>
      </c>
      <c r="H2045" t="s">
        <v>27</v>
      </c>
      <c r="I2045" t="s">
        <v>28</v>
      </c>
      <c r="J2045" t="s">
        <v>24</v>
      </c>
      <c r="K2045" s="6">
        <f t="shared" ca="1" si="132"/>
        <v>27031</v>
      </c>
      <c r="L2045">
        <v>-18730</v>
      </c>
      <c r="M2045" s="7">
        <f t="shared" ca="1" si="130"/>
        <v>51.279945242984255</v>
      </c>
      <c r="N2045" s="5" t="str">
        <f ca="1">VLOOKUP(Data!M2045,temp!$B$3:$C$9,2,1)</f>
        <v>50-60</v>
      </c>
      <c r="O2045">
        <v>-157</v>
      </c>
      <c r="P2045" s="8">
        <f t="shared" si="131"/>
        <v>0.42984257357973993</v>
      </c>
      <c r="Q2045" s="5" t="str">
        <f t="shared" si="133"/>
        <v>Employed</v>
      </c>
      <c r="R2045">
        <v>1</v>
      </c>
      <c r="S2045">
        <v>0</v>
      </c>
      <c r="T2045">
        <v>0</v>
      </c>
      <c r="U2045">
        <v>1</v>
      </c>
      <c r="V2045" t="s">
        <v>55</v>
      </c>
      <c r="W2045">
        <v>2</v>
      </c>
    </row>
    <row r="2046" spans="1:23" x14ac:dyDescent="0.2">
      <c r="A2046">
        <v>5066646</v>
      </c>
      <c r="B2046" t="s">
        <v>18</v>
      </c>
      <c r="C2046" t="s">
        <v>19</v>
      </c>
      <c r="D2046" t="s">
        <v>19</v>
      </c>
      <c r="E2046">
        <v>4</v>
      </c>
      <c r="F2046">
        <v>67500</v>
      </c>
      <c r="G2046" t="s">
        <v>26</v>
      </c>
      <c r="H2046" t="s">
        <v>27</v>
      </c>
      <c r="I2046" t="s">
        <v>28</v>
      </c>
      <c r="J2046" t="s">
        <v>24</v>
      </c>
      <c r="K2046" s="6">
        <f t="shared" ca="1" si="132"/>
        <v>32481</v>
      </c>
      <c r="L2046">
        <v>-13280</v>
      </c>
      <c r="M2046" s="7">
        <f t="shared" ca="1" si="130"/>
        <v>36.358658453114302</v>
      </c>
      <c r="N2046" s="5" t="str">
        <f ca="1">VLOOKUP(Data!M2046,temp!$B$3:$C$9,2,1)</f>
        <v>30-40</v>
      </c>
      <c r="O2046">
        <v>-280</v>
      </c>
      <c r="P2046" s="8">
        <f t="shared" si="131"/>
        <v>0.76659822039698833</v>
      </c>
      <c r="Q2046" s="5" t="str">
        <f t="shared" si="133"/>
        <v>Employed</v>
      </c>
      <c r="R2046">
        <v>1</v>
      </c>
      <c r="S2046">
        <v>1</v>
      </c>
      <c r="T2046">
        <v>0</v>
      </c>
      <c r="U2046">
        <v>0</v>
      </c>
      <c r="V2046" t="s">
        <v>39</v>
      </c>
      <c r="W2046">
        <v>6</v>
      </c>
    </row>
    <row r="2047" spans="1:23" x14ac:dyDescent="0.2">
      <c r="A2047">
        <v>5066655</v>
      </c>
      <c r="B2047" t="s">
        <v>25</v>
      </c>
      <c r="C2047" t="s">
        <v>20</v>
      </c>
      <c r="D2047" t="s">
        <v>20</v>
      </c>
      <c r="E2047">
        <v>0</v>
      </c>
      <c r="F2047">
        <v>90000</v>
      </c>
      <c r="G2047" t="s">
        <v>31</v>
      </c>
      <c r="H2047" t="s">
        <v>27</v>
      </c>
      <c r="I2047" t="s">
        <v>28</v>
      </c>
      <c r="J2047" t="s">
        <v>41</v>
      </c>
      <c r="K2047" s="6">
        <f t="shared" ca="1" si="132"/>
        <v>34585</v>
      </c>
      <c r="L2047">
        <v>-11176</v>
      </c>
      <c r="M2047" s="7">
        <f t="shared" ca="1" si="130"/>
        <v>30.598220396988363</v>
      </c>
      <c r="N2047" s="5" t="str">
        <f ca="1">VLOOKUP(Data!M2047,temp!$B$3:$C$9,2,1)</f>
        <v>30-40</v>
      </c>
      <c r="O2047">
        <v>-3079</v>
      </c>
      <c r="P2047" s="8">
        <f t="shared" si="131"/>
        <v>8.4298425735797391</v>
      </c>
      <c r="Q2047" s="5" t="str">
        <f t="shared" si="133"/>
        <v>Employed</v>
      </c>
      <c r="R2047">
        <v>1</v>
      </c>
      <c r="S2047">
        <v>1</v>
      </c>
      <c r="T2047">
        <v>0</v>
      </c>
      <c r="U2047">
        <v>0</v>
      </c>
      <c r="W2047">
        <v>2</v>
      </c>
    </row>
    <row r="2048" spans="1:23" x14ac:dyDescent="0.2">
      <c r="A2048">
        <v>5066676</v>
      </c>
      <c r="B2048" t="s">
        <v>18</v>
      </c>
      <c r="C2048" t="s">
        <v>19</v>
      </c>
      <c r="D2048" t="s">
        <v>20</v>
      </c>
      <c r="E2048">
        <v>2</v>
      </c>
      <c r="F2048">
        <v>81000</v>
      </c>
      <c r="G2048" t="s">
        <v>31</v>
      </c>
      <c r="H2048" t="s">
        <v>27</v>
      </c>
      <c r="I2048" t="s">
        <v>28</v>
      </c>
      <c r="J2048" t="s">
        <v>24</v>
      </c>
      <c r="K2048" s="6">
        <f t="shared" ca="1" si="132"/>
        <v>29326</v>
      </c>
      <c r="L2048">
        <v>-16435</v>
      </c>
      <c r="M2048" s="7">
        <f t="shared" ca="1" si="130"/>
        <v>44.996577686516083</v>
      </c>
      <c r="N2048" s="5" t="str">
        <f ca="1">VLOOKUP(Data!M2048,temp!$B$3:$C$9,2,1)</f>
        <v>40-50</v>
      </c>
      <c r="O2048">
        <v>-9745</v>
      </c>
      <c r="P2048" s="8">
        <f t="shared" si="131"/>
        <v>26.680355920602327</v>
      </c>
      <c r="Q2048" s="5" t="str">
        <f t="shared" si="133"/>
        <v>Employed</v>
      </c>
      <c r="R2048">
        <v>1</v>
      </c>
      <c r="S2048">
        <v>0</v>
      </c>
      <c r="T2048">
        <v>1</v>
      </c>
      <c r="U2048">
        <v>0</v>
      </c>
      <c r="W2048">
        <v>4</v>
      </c>
    </row>
    <row r="2049" spans="1:23" x14ac:dyDescent="0.2">
      <c r="A2049">
        <v>5066691</v>
      </c>
      <c r="B2049" t="s">
        <v>18</v>
      </c>
      <c r="C2049" t="s">
        <v>19</v>
      </c>
      <c r="D2049" t="s">
        <v>20</v>
      </c>
      <c r="E2049">
        <v>0</v>
      </c>
      <c r="F2049">
        <v>180000</v>
      </c>
      <c r="G2049" t="s">
        <v>26</v>
      </c>
      <c r="H2049" t="s">
        <v>22</v>
      </c>
      <c r="I2049" t="s">
        <v>37</v>
      </c>
      <c r="J2049" t="s">
        <v>24</v>
      </c>
      <c r="K2049" s="6">
        <f t="shared" ca="1" si="132"/>
        <v>32815</v>
      </c>
      <c r="L2049">
        <v>-12946</v>
      </c>
      <c r="M2049" s="7">
        <f t="shared" ca="1" si="130"/>
        <v>35.444216290212182</v>
      </c>
      <c r="N2049" s="5" t="str">
        <f ca="1">VLOOKUP(Data!M2049,temp!$B$3:$C$9,2,1)</f>
        <v>30-40</v>
      </c>
      <c r="O2049">
        <v>-341</v>
      </c>
      <c r="P2049" s="8">
        <f t="shared" si="131"/>
        <v>0.93360711841204658</v>
      </c>
      <c r="Q2049" s="5" t="str">
        <f t="shared" si="133"/>
        <v>Employed</v>
      </c>
      <c r="R2049">
        <v>1</v>
      </c>
      <c r="S2049">
        <v>0</v>
      </c>
      <c r="T2049">
        <v>1</v>
      </c>
      <c r="U2049">
        <v>1</v>
      </c>
      <c r="V2049" t="s">
        <v>39</v>
      </c>
      <c r="W2049">
        <v>2</v>
      </c>
    </row>
    <row r="2050" spans="1:23" x14ac:dyDescent="0.2">
      <c r="A2050">
        <v>5066693</v>
      </c>
      <c r="B2050" t="s">
        <v>18</v>
      </c>
      <c r="C2050" t="s">
        <v>19</v>
      </c>
      <c r="D2050" t="s">
        <v>20</v>
      </c>
      <c r="E2050">
        <v>0</v>
      </c>
      <c r="F2050">
        <v>180000</v>
      </c>
      <c r="G2050" t="s">
        <v>26</v>
      </c>
      <c r="H2050" t="s">
        <v>22</v>
      </c>
      <c r="I2050" t="s">
        <v>37</v>
      </c>
      <c r="J2050" t="s">
        <v>24</v>
      </c>
      <c r="K2050" s="6">
        <f t="shared" ca="1" si="132"/>
        <v>32815</v>
      </c>
      <c r="L2050">
        <v>-12946</v>
      </c>
      <c r="M2050" s="7">
        <f t="shared" ca="1" si="130"/>
        <v>35.444216290212182</v>
      </c>
      <c r="N2050" s="5" t="str">
        <f ca="1">VLOOKUP(Data!M2050,temp!$B$3:$C$9,2,1)</f>
        <v>30-40</v>
      </c>
      <c r="O2050">
        <v>-341</v>
      </c>
      <c r="P2050" s="8">
        <f t="shared" si="131"/>
        <v>0.93360711841204658</v>
      </c>
      <c r="Q2050" s="5" t="str">
        <f t="shared" si="133"/>
        <v>Employed</v>
      </c>
      <c r="R2050">
        <v>1</v>
      </c>
      <c r="S2050">
        <v>0</v>
      </c>
      <c r="T2050">
        <v>1</v>
      </c>
      <c r="U2050">
        <v>1</v>
      </c>
      <c r="V2050" t="s">
        <v>39</v>
      </c>
      <c r="W2050">
        <v>2</v>
      </c>
    </row>
    <row r="2051" spans="1:23" x14ac:dyDescent="0.2">
      <c r="A2051">
        <v>5066705</v>
      </c>
      <c r="B2051" t="s">
        <v>25</v>
      </c>
      <c r="C2051" t="s">
        <v>20</v>
      </c>
      <c r="D2051" t="s">
        <v>19</v>
      </c>
      <c r="E2051">
        <v>0</v>
      </c>
      <c r="F2051">
        <v>180000</v>
      </c>
      <c r="G2051" t="s">
        <v>26</v>
      </c>
      <c r="H2051" t="s">
        <v>27</v>
      </c>
      <c r="I2051" t="s">
        <v>33</v>
      </c>
      <c r="J2051" t="s">
        <v>53</v>
      </c>
      <c r="K2051" s="6">
        <f t="shared" ca="1" si="132"/>
        <v>36051</v>
      </c>
      <c r="L2051">
        <v>-9710</v>
      </c>
      <c r="M2051" s="7">
        <f t="shared" ref="M2051:M2114" ca="1" si="134">(TODAY()-K2051)/365.25</f>
        <v>26.584531143052704</v>
      </c>
      <c r="N2051" s="5" t="str">
        <f ca="1">VLOOKUP(Data!M2051,temp!$B$3:$C$9,2,1)</f>
        <v>20-30</v>
      </c>
      <c r="O2051">
        <v>-1376</v>
      </c>
      <c r="P2051" s="8">
        <f t="shared" ref="P2051:P2114" si="135">IF(O2051&lt;=0,ABS(O2051)/365.25,0)</f>
        <v>3.7672826830937716</v>
      </c>
      <c r="Q2051" s="5" t="str">
        <f t="shared" si="133"/>
        <v>Employed</v>
      </c>
      <c r="R2051">
        <v>1</v>
      </c>
      <c r="S2051">
        <v>1</v>
      </c>
      <c r="T2051">
        <v>1</v>
      </c>
      <c r="U2051">
        <v>0</v>
      </c>
      <c r="V2051" t="s">
        <v>30</v>
      </c>
      <c r="W2051">
        <v>1</v>
      </c>
    </row>
    <row r="2052" spans="1:23" x14ac:dyDescent="0.2">
      <c r="A2052">
        <v>5066727</v>
      </c>
      <c r="B2052" t="s">
        <v>25</v>
      </c>
      <c r="C2052" t="s">
        <v>20</v>
      </c>
      <c r="D2052" t="s">
        <v>20</v>
      </c>
      <c r="E2052">
        <v>0</v>
      </c>
      <c r="F2052">
        <v>161100</v>
      </c>
      <c r="G2052" t="s">
        <v>21</v>
      </c>
      <c r="H2052" t="s">
        <v>27</v>
      </c>
      <c r="I2052" t="s">
        <v>28</v>
      </c>
      <c r="J2052" t="s">
        <v>24</v>
      </c>
      <c r="K2052" s="6">
        <f t="shared" ca="1" si="132"/>
        <v>25936</v>
      </c>
      <c r="L2052">
        <v>-19825</v>
      </c>
      <c r="M2052" s="7">
        <f t="shared" ca="1" si="134"/>
        <v>54.277891854893909</v>
      </c>
      <c r="N2052" s="5" t="str">
        <f ca="1">VLOOKUP(Data!M2052,temp!$B$3:$C$9,2,1)</f>
        <v>50-60</v>
      </c>
      <c r="O2052">
        <v>365243</v>
      </c>
      <c r="P2052" s="8">
        <f t="shared" si="135"/>
        <v>0</v>
      </c>
      <c r="Q2052" s="5" t="str">
        <f t="shared" si="133"/>
        <v>Unemployed</v>
      </c>
      <c r="R2052">
        <v>1</v>
      </c>
      <c r="S2052">
        <v>0</v>
      </c>
      <c r="T2052">
        <v>0</v>
      </c>
      <c r="U2052">
        <v>0</v>
      </c>
      <c r="W2052">
        <v>2</v>
      </c>
    </row>
    <row r="2053" spans="1:23" x14ac:dyDescent="0.2">
      <c r="A2053">
        <v>5066731</v>
      </c>
      <c r="B2053" t="s">
        <v>18</v>
      </c>
      <c r="C2053" t="s">
        <v>19</v>
      </c>
      <c r="D2053" t="s">
        <v>20</v>
      </c>
      <c r="E2053">
        <v>0</v>
      </c>
      <c r="F2053">
        <v>216000</v>
      </c>
      <c r="G2053" t="s">
        <v>21</v>
      </c>
      <c r="H2053" t="s">
        <v>27</v>
      </c>
      <c r="I2053" t="s">
        <v>28</v>
      </c>
      <c r="J2053" t="s">
        <v>24</v>
      </c>
      <c r="K2053" s="6">
        <f t="shared" ca="1" si="132"/>
        <v>23046</v>
      </c>
      <c r="L2053">
        <v>-22715</v>
      </c>
      <c r="M2053" s="7">
        <f t="shared" ca="1" si="134"/>
        <v>62.190280629705683</v>
      </c>
      <c r="N2053" s="5" t="str">
        <f ca="1">VLOOKUP(Data!M2053,temp!$B$3:$C$9,2,1)</f>
        <v>60-70</v>
      </c>
      <c r="O2053">
        <v>365243</v>
      </c>
      <c r="P2053" s="8">
        <f t="shared" si="135"/>
        <v>0</v>
      </c>
      <c r="Q2053" s="5" t="str">
        <f t="shared" si="133"/>
        <v>Unemployed</v>
      </c>
      <c r="R2053">
        <v>1</v>
      </c>
      <c r="S2053">
        <v>0</v>
      </c>
      <c r="T2053">
        <v>0</v>
      </c>
      <c r="U2053">
        <v>0</v>
      </c>
      <c r="W2053">
        <v>2</v>
      </c>
    </row>
    <row r="2054" spans="1:23" x14ac:dyDescent="0.2">
      <c r="A2054">
        <v>5066734</v>
      </c>
      <c r="B2054" t="s">
        <v>18</v>
      </c>
      <c r="C2054" t="s">
        <v>19</v>
      </c>
      <c r="D2054" t="s">
        <v>20</v>
      </c>
      <c r="E2054">
        <v>0</v>
      </c>
      <c r="F2054">
        <v>216000</v>
      </c>
      <c r="G2054" t="s">
        <v>21</v>
      </c>
      <c r="H2054" t="s">
        <v>27</v>
      </c>
      <c r="I2054" t="s">
        <v>28</v>
      </c>
      <c r="J2054" t="s">
        <v>24</v>
      </c>
      <c r="K2054" s="6">
        <f t="shared" ca="1" si="132"/>
        <v>23046</v>
      </c>
      <c r="L2054">
        <v>-22715</v>
      </c>
      <c r="M2054" s="7">
        <f t="shared" ca="1" si="134"/>
        <v>62.190280629705683</v>
      </c>
      <c r="N2054" s="5" t="str">
        <f ca="1">VLOOKUP(Data!M2054,temp!$B$3:$C$9,2,1)</f>
        <v>60-70</v>
      </c>
      <c r="O2054">
        <v>365243</v>
      </c>
      <c r="P2054" s="8">
        <f t="shared" si="135"/>
        <v>0</v>
      </c>
      <c r="Q2054" s="5" t="str">
        <f t="shared" si="133"/>
        <v>Unemployed</v>
      </c>
      <c r="R2054">
        <v>1</v>
      </c>
      <c r="S2054">
        <v>0</v>
      </c>
      <c r="T2054">
        <v>0</v>
      </c>
      <c r="U2054">
        <v>0</v>
      </c>
      <c r="W2054">
        <v>2</v>
      </c>
    </row>
    <row r="2055" spans="1:23" x14ac:dyDescent="0.2">
      <c r="A2055">
        <v>5066735</v>
      </c>
      <c r="B2055" t="s">
        <v>18</v>
      </c>
      <c r="C2055" t="s">
        <v>19</v>
      </c>
      <c r="D2055" t="s">
        <v>20</v>
      </c>
      <c r="E2055">
        <v>0</v>
      </c>
      <c r="F2055">
        <v>216000</v>
      </c>
      <c r="G2055" t="s">
        <v>21</v>
      </c>
      <c r="H2055" t="s">
        <v>27</v>
      </c>
      <c r="I2055" t="s">
        <v>28</v>
      </c>
      <c r="J2055" t="s">
        <v>24</v>
      </c>
      <c r="K2055" s="6">
        <f t="shared" ca="1" si="132"/>
        <v>23046</v>
      </c>
      <c r="L2055">
        <v>-22715</v>
      </c>
      <c r="M2055" s="7">
        <f t="shared" ca="1" si="134"/>
        <v>62.190280629705683</v>
      </c>
      <c r="N2055" s="5" t="str">
        <f ca="1">VLOOKUP(Data!M2055,temp!$B$3:$C$9,2,1)</f>
        <v>60-70</v>
      </c>
      <c r="O2055">
        <v>365243</v>
      </c>
      <c r="P2055" s="8">
        <f t="shared" si="135"/>
        <v>0</v>
      </c>
      <c r="Q2055" s="5" t="str">
        <f t="shared" si="133"/>
        <v>Unemployed</v>
      </c>
      <c r="R2055">
        <v>1</v>
      </c>
      <c r="S2055">
        <v>0</v>
      </c>
      <c r="T2055">
        <v>0</v>
      </c>
      <c r="U2055">
        <v>0</v>
      </c>
      <c r="W2055">
        <v>2</v>
      </c>
    </row>
    <row r="2056" spans="1:23" x14ac:dyDescent="0.2">
      <c r="A2056">
        <v>5066736</v>
      </c>
      <c r="B2056" t="s">
        <v>18</v>
      </c>
      <c r="C2056" t="s">
        <v>19</v>
      </c>
      <c r="D2056" t="s">
        <v>20</v>
      </c>
      <c r="E2056">
        <v>0</v>
      </c>
      <c r="F2056">
        <v>216000</v>
      </c>
      <c r="G2056" t="s">
        <v>21</v>
      </c>
      <c r="H2056" t="s">
        <v>27</v>
      </c>
      <c r="I2056" t="s">
        <v>28</v>
      </c>
      <c r="J2056" t="s">
        <v>24</v>
      </c>
      <c r="K2056" s="6">
        <f t="shared" ref="K2056:K2119" ca="1" si="136">TODAY()+($L2056)</f>
        <v>23046</v>
      </c>
      <c r="L2056">
        <v>-22715</v>
      </c>
      <c r="M2056" s="7">
        <f t="shared" ca="1" si="134"/>
        <v>62.190280629705683</v>
      </c>
      <c r="N2056" s="5" t="str">
        <f ca="1">VLOOKUP(Data!M2056,temp!$B$3:$C$9,2,1)</f>
        <v>60-70</v>
      </c>
      <c r="O2056">
        <v>365243</v>
      </c>
      <c r="P2056" s="8">
        <f t="shared" si="135"/>
        <v>0</v>
      </c>
      <c r="Q2056" s="5" t="str">
        <f t="shared" ref="Q2056:Q2119" si="137">IF($O2056&gt;0,"Unemployed","Employed")</f>
        <v>Unemployed</v>
      </c>
      <c r="R2056">
        <v>1</v>
      </c>
      <c r="S2056">
        <v>0</v>
      </c>
      <c r="T2056">
        <v>0</v>
      </c>
      <c r="U2056">
        <v>0</v>
      </c>
      <c r="W2056">
        <v>2</v>
      </c>
    </row>
    <row r="2057" spans="1:23" x14ac:dyDescent="0.2">
      <c r="A2057">
        <v>5066742</v>
      </c>
      <c r="B2057" t="s">
        <v>18</v>
      </c>
      <c r="C2057" t="s">
        <v>19</v>
      </c>
      <c r="D2057" t="s">
        <v>20</v>
      </c>
      <c r="E2057">
        <v>0</v>
      </c>
      <c r="F2057">
        <v>112500</v>
      </c>
      <c r="G2057" t="s">
        <v>31</v>
      </c>
      <c r="H2057" t="s">
        <v>27</v>
      </c>
      <c r="I2057" t="s">
        <v>33</v>
      </c>
      <c r="J2057" t="s">
        <v>24</v>
      </c>
      <c r="K2057" s="6">
        <f t="shared" ca="1" si="136"/>
        <v>26832</v>
      </c>
      <c r="L2057">
        <v>-18929</v>
      </c>
      <c r="M2057" s="7">
        <f t="shared" ca="1" si="134"/>
        <v>51.824777549623548</v>
      </c>
      <c r="N2057" s="5" t="str">
        <f ca="1">VLOOKUP(Data!M2057,temp!$B$3:$C$9,2,1)</f>
        <v>50-60</v>
      </c>
      <c r="O2057">
        <v>-1376</v>
      </c>
      <c r="P2057" s="8">
        <f t="shared" si="135"/>
        <v>3.7672826830937716</v>
      </c>
      <c r="Q2057" s="5" t="str">
        <f t="shared" si="137"/>
        <v>Employed</v>
      </c>
      <c r="R2057">
        <v>1</v>
      </c>
      <c r="S2057">
        <v>0</v>
      </c>
      <c r="T2057">
        <v>0</v>
      </c>
      <c r="U2057">
        <v>0</v>
      </c>
      <c r="V2057" t="s">
        <v>39</v>
      </c>
      <c r="W2057">
        <v>1</v>
      </c>
    </row>
    <row r="2058" spans="1:23" x14ac:dyDescent="0.2">
      <c r="A2058">
        <v>5066794</v>
      </c>
      <c r="B2058" t="s">
        <v>25</v>
      </c>
      <c r="C2058" t="s">
        <v>20</v>
      </c>
      <c r="D2058" t="s">
        <v>19</v>
      </c>
      <c r="E2058">
        <v>1</v>
      </c>
      <c r="F2058">
        <v>180000</v>
      </c>
      <c r="G2058" t="s">
        <v>21</v>
      </c>
      <c r="H2058" t="s">
        <v>27</v>
      </c>
      <c r="I2058" t="s">
        <v>28</v>
      </c>
      <c r="J2058" t="s">
        <v>24</v>
      </c>
      <c r="K2058" s="6">
        <f t="shared" ca="1" si="136"/>
        <v>30251</v>
      </c>
      <c r="L2058">
        <v>-15510</v>
      </c>
      <c r="M2058" s="7">
        <f t="shared" ca="1" si="134"/>
        <v>42.464065708418893</v>
      </c>
      <c r="N2058" s="5" t="str">
        <f ca="1">VLOOKUP(Data!M2058,temp!$B$3:$C$9,2,1)</f>
        <v>40-50</v>
      </c>
      <c r="O2058">
        <v>365243</v>
      </c>
      <c r="P2058" s="8">
        <f t="shared" si="135"/>
        <v>0</v>
      </c>
      <c r="Q2058" s="5" t="str">
        <f t="shared" si="137"/>
        <v>Unemployed</v>
      </c>
      <c r="R2058">
        <v>1</v>
      </c>
      <c r="S2058">
        <v>0</v>
      </c>
      <c r="T2058">
        <v>0</v>
      </c>
      <c r="U2058">
        <v>0</v>
      </c>
      <c r="W2058">
        <v>3</v>
      </c>
    </row>
    <row r="2059" spans="1:23" x14ac:dyDescent="0.2">
      <c r="A2059">
        <v>5066810</v>
      </c>
      <c r="B2059" t="s">
        <v>18</v>
      </c>
      <c r="C2059" t="s">
        <v>20</v>
      </c>
      <c r="D2059" t="s">
        <v>19</v>
      </c>
      <c r="E2059">
        <v>1</v>
      </c>
      <c r="F2059">
        <v>360000</v>
      </c>
      <c r="G2059" t="s">
        <v>31</v>
      </c>
      <c r="H2059" t="s">
        <v>22</v>
      </c>
      <c r="I2059" t="s">
        <v>42</v>
      </c>
      <c r="J2059" t="s">
        <v>24</v>
      </c>
      <c r="K2059" s="6">
        <f t="shared" ca="1" si="136"/>
        <v>29281</v>
      </c>
      <c r="L2059">
        <v>-16480</v>
      </c>
      <c r="M2059" s="7">
        <f t="shared" ca="1" si="134"/>
        <v>45.119780971937033</v>
      </c>
      <c r="N2059" s="5" t="str">
        <f ca="1">VLOOKUP(Data!M2059,temp!$B$3:$C$9,2,1)</f>
        <v>40-50</v>
      </c>
      <c r="O2059">
        <v>-4023</v>
      </c>
      <c r="P2059" s="8">
        <f t="shared" si="135"/>
        <v>11.014373716632443</v>
      </c>
      <c r="Q2059" s="5" t="str">
        <f t="shared" si="137"/>
        <v>Employed</v>
      </c>
      <c r="R2059">
        <v>1</v>
      </c>
      <c r="S2059">
        <v>0</v>
      </c>
      <c r="T2059">
        <v>0</v>
      </c>
      <c r="U2059">
        <v>1</v>
      </c>
      <c r="V2059" t="s">
        <v>32</v>
      </c>
      <c r="W2059">
        <v>2</v>
      </c>
    </row>
    <row r="2060" spans="1:23" x14ac:dyDescent="0.2">
      <c r="A2060">
        <v>5066816</v>
      </c>
      <c r="B2060" t="s">
        <v>18</v>
      </c>
      <c r="C2060" t="s">
        <v>20</v>
      </c>
      <c r="D2060" t="s">
        <v>19</v>
      </c>
      <c r="E2060">
        <v>1</v>
      </c>
      <c r="F2060">
        <v>360000</v>
      </c>
      <c r="G2060" t="s">
        <v>31</v>
      </c>
      <c r="H2060" t="s">
        <v>22</v>
      </c>
      <c r="I2060" t="s">
        <v>42</v>
      </c>
      <c r="J2060" t="s">
        <v>24</v>
      </c>
      <c r="K2060" s="6">
        <f t="shared" ca="1" si="136"/>
        <v>29281</v>
      </c>
      <c r="L2060">
        <v>-16480</v>
      </c>
      <c r="M2060" s="7">
        <f t="shared" ca="1" si="134"/>
        <v>45.119780971937033</v>
      </c>
      <c r="N2060" s="5" t="str">
        <f ca="1">VLOOKUP(Data!M2060,temp!$B$3:$C$9,2,1)</f>
        <v>40-50</v>
      </c>
      <c r="O2060">
        <v>-4023</v>
      </c>
      <c r="P2060" s="8">
        <f t="shared" si="135"/>
        <v>11.014373716632443</v>
      </c>
      <c r="Q2060" s="5" t="str">
        <f t="shared" si="137"/>
        <v>Employed</v>
      </c>
      <c r="R2060">
        <v>1</v>
      </c>
      <c r="S2060">
        <v>0</v>
      </c>
      <c r="T2060">
        <v>0</v>
      </c>
      <c r="U2060">
        <v>1</v>
      </c>
      <c r="V2060" t="s">
        <v>32</v>
      </c>
      <c r="W2060">
        <v>2</v>
      </c>
    </row>
    <row r="2061" spans="1:23" x14ac:dyDescent="0.2">
      <c r="A2061">
        <v>5066840</v>
      </c>
      <c r="B2061" t="s">
        <v>25</v>
      </c>
      <c r="C2061" t="s">
        <v>20</v>
      </c>
      <c r="D2061" t="s">
        <v>20</v>
      </c>
      <c r="E2061">
        <v>1</v>
      </c>
      <c r="F2061">
        <v>112500</v>
      </c>
      <c r="G2061" t="s">
        <v>31</v>
      </c>
      <c r="H2061" t="s">
        <v>27</v>
      </c>
      <c r="I2061" t="s">
        <v>28</v>
      </c>
      <c r="J2061" t="s">
        <v>24</v>
      </c>
      <c r="K2061" s="6">
        <f t="shared" ca="1" si="136"/>
        <v>29611</v>
      </c>
      <c r="L2061">
        <v>-16150</v>
      </c>
      <c r="M2061" s="7">
        <f t="shared" ca="1" si="134"/>
        <v>44.216290212183438</v>
      </c>
      <c r="N2061" s="5" t="str">
        <f ca="1">VLOOKUP(Data!M2061,temp!$B$3:$C$9,2,1)</f>
        <v>40-50</v>
      </c>
      <c r="O2061">
        <v>-1618</v>
      </c>
      <c r="P2061" s="8">
        <f t="shared" si="135"/>
        <v>4.42984257357974</v>
      </c>
      <c r="Q2061" s="5" t="str">
        <f t="shared" si="137"/>
        <v>Employed</v>
      </c>
      <c r="R2061">
        <v>1</v>
      </c>
      <c r="S2061">
        <v>0</v>
      </c>
      <c r="T2061">
        <v>0</v>
      </c>
      <c r="U2061">
        <v>1</v>
      </c>
      <c r="V2061" t="s">
        <v>30</v>
      </c>
      <c r="W2061">
        <v>3</v>
      </c>
    </row>
    <row r="2062" spans="1:23" x14ac:dyDescent="0.2">
      <c r="A2062">
        <v>5066866</v>
      </c>
      <c r="B2062" t="s">
        <v>18</v>
      </c>
      <c r="C2062" t="s">
        <v>19</v>
      </c>
      <c r="D2062" t="s">
        <v>20</v>
      </c>
      <c r="E2062">
        <v>2</v>
      </c>
      <c r="F2062">
        <v>54000</v>
      </c>
      <c r="G2062" t="s">
        <v>31</v>
      </c>
      <c r="H2062" t="s">
        <v>27</v>
      </c>
      <c r="I2062" t="s">
        <v>28</v>
      </c>
      <c r="J2062" t="s">
        <v>24</v>
      </c>
      <c r="K2062" s="6">
        <f t="shared" ca="1" si="136"/>
        <v>35856</v>
      </c>
      <c r="L2062">
        <v>-9905</v>
      </c>
      <c r="M2062" s="7">
        <f t="shared" ca="1" si="134"/>
        <v>27.118412046543462</v>
      </c>
      <c r="N2062" s="5" t="str">
        <f ca="1">VLOOKUP(Data!M2062,temp!$B$3:$C$9,2,1)</f>
        <v>20-30</v>
      </c>
      <c r="O2062">
        <v>-795</v>
      </c>
      <c r="P2062" s="8">
        <f t="shared" si="135"/>
        <v>2.1765913757700206</v>
      </c>
      <c r="Q2062" s="5" t="str">
        <f t="shared" si="137"/>
        <v>Employed</v>
      </c>
      <c r="R2062">
        <v>1</v>
      </c>
      <c r="S2062">
        <v>0</v>
      </c>
      <c r="T2062">
        <v>0</v>
      </c>
      <c r="U2062">
        <v>0</v>
      </c>
      <c r="V2062" t="s">
        <v>39</v>
      </c>
      <c r="W2062">
        <v>4</v>
      </c>
    </row>
    <row r="2063" spans="1:23" x14ac:dyDescent="0.2">
      <c r="A2063">
        <v>5066868</v>
      </c>
      <c r="B2063" t="s">
        <v>25</v>
      </c>
      <c r="C2063" t="s">
        <v>20</v>
      </c>
      <c r="D2063" t="s">
        <v>20</v>
      </c>
      <c r="E2063">
        <v>0</v>
      </c>
      <c r="F2063">
        <v>270000</v>
      </c>
      <c r="G2063" t="s">
        <v>31</v>
      </c>
      <c r="H2063" t="s">
        <v>27</v>
      </c>
      <c r="I2063" t="s">
        <v>33</v>
      </c>
      <c r="J2063" t="s">
        <v>24</v>
      </c>
      <c r="K2063" s="6">
        <f t="shared" ca="1" si="136"/>
        <v>31956</v>
      </c>
      <c r="L2063">
        <v>-13805</v>
      </c>
      <c r="M2063" s="7">
        <f t="shared" ca="1" si="134"/>
        <v>37.796030116358658</v>
      </c>
      <c r="N2063" s="5" t="str">
        <f ca="1">VLOOKUP(Data!M2063,temp!$B$3:$C$9,2,1)</f>
        <v>30-40</v>
      </c>
      <c r="O2063">
        <v>-1557</v>
      </c>
      <c r="P2063" s="8">
        <f t="shared" si="135"/>
        <v>4.2628336755646821</v>
      </c>
      <c r="Q2063" s="5" t="str">
        <f t="shared" si="137"/>
        <v>Employed</v>
      </c>
      <c r="R2063">
        <v>1</v>
      </c>
      <c r="S2063">
        <v>0</v>
      </c>
      <c r="T2063">
        <v>0</v>
      </c>
      <c r="U2063">
        <v>0</v>
      </c>
      <c r="V2063" t="s">
        <v>29</v>
      </c>
      <c r="W2063">
        <v>1</v>
      </c>
    </row>
    <row r="2064" spans="1:23" x14ac:dyDescent="0.2">
      <c r="A2064">
        <v>5066873</v>
      </c>
      <c r="B2064" t="s">
        <v>25</v>
      </c>
      <c r="C2064" t="s">
        <v>20</v>
      </c>
      <c r="D2064" t="s">
        <v>20</v>
      </c>
      <c r="E2064">
        <v>0</v>
      </c>
      <c r="F2064">
        <v>270000</v>
      </c>
      <c r="G2064" t="s">
        <v>31</v>
      </c>
      <c r="H2064" t="s">
        <v>27</v>
      </c>
      <c r="I2064" t="s">
        <v>33</v>
      </c>
      <c r="J2064" t="s">
        <v>24</v>
      </c>
      <c r="K2064" s="6">
        <f t="shared" ca="1" si="136"/>
        <v>31956</v>
      </c>
      <c r="L2064">
        <v>-13805</v>
      </c>
      <c r="M2064" s="7">
        <f t="shared" ca="1" si="134"/>
        <v>37.796030116358658</v>
      </c>
      <c r="N2064" s="5" t="str">
        <f ca="1">VLOOKUP(Data!M2064,temp!$B$3:$C$9,2,1)</f>
        <v>30-40</v>
      </c>
      <c r="O2064">
        <v>-1557</v>
      </c>
      <c r="P2064" s="8">
        <f t="shared" si="135"/>
        <v>4.2628336755646821</v>
      </c>
      <c r="Q2064" s="5" t="str">
        <f t="shared" si="137"/>
        <v>Employed</v>
      </c>
      <c r="R2064">
        <v>1</v>
      </c>
      <c r="S2064">
        <v>0</v>
      </c>
      <c r="T2064">
        <v>0</v>
      </c>
      <c r="U2064">
        <v>0</v>
      </c>
      <c r="V2064" t="s">
        <v>29</v>
      </c>
      <c r="W2064">
        <v>1</v>
      </c>
    </row>
    <row r="2065" spans="1:23" x14ac:dyDescent="0.2">
      <c r="A2065">
        <v>5066911</v>
      </c>
      <c r="B2065" t="s">
        <v>25</v>
      </c>
      <c r="C2065" t="s">
        <v>20</v>
      </c>
      <c r="D2065" t="s">
        <v>20</v>
      </c>
      <c r="E2065">
        <v>0</v>
      </c>
      <c r="F2065">
        <v>180000</v>
      </c>
      <c r="G2065" t="s">
        <v>31</v>
      </c>
      <c r="H2065" t="s">
        <v>22</v>
      </c>
      <c r="I2065" t="s">
        <v>28</v>
      </c>
      <c r="J2065" t="s">
        <v>41</v>
      </c>
      <c r="K2065" s="6">
        <f t="shared" ca="1" si="136"/>
        <v>34672</v>
      </c>
      <c r="L2065">
        <v>-11089</v>
      </c>
      <c r="M2065" s="7">
        <f t="shared" ca="1" si="134"/>
        <v>30.360027378507873</v>
      </c>
      <c r="N2065" s="5" t="str">
        <f ca="1">VLOOKUP(Data!M2065,temp!$B$3:$C$9,2,1)</f>
        <v>30-40</v>
      </c>
      <c r="O2065">
        <v>-1467</v>
      </c>
      <c r="P2065" s="8">
        <f t="shared" si="135"/>
        <v>4.0164271047227924</v>
      </c>
      <c r="Q2065" s="5" t="str">
        <f t="shared" si="137"/>
        <v>Employed</v>
      </c>
      <c r="R2065">
        <v>1</v>
      </c>
      <c r="S2065">
        <v>0</v>
      </c>
      <c r="T2065">
        <v>0</v>
      </c>
      <c r="U2065">
        <v>0</v>
      </c>
      <c r="V2065" t="s">
        <v>29</v>
      </c>
      <c r="W2065">
        <v>2</v>
      </c>
    </row>
    <row r="2066" spans="1:23" x14ac:dyDescent="0.2">
      <c r="A2066">
        <v>5066914</v>
      </c>
      <c r="B2066" t="s">
        <v>25</v>
      </c>
      <c r="C2066" t="s">
        <v>20</v>
      </c>
      <c r="D2066" t="s">
        <v>20</v>
      </c>
      <c r="E2066">
        <v>0</v>
      </c>
      <c r="F2066">
        <v>180000</v>
      </c>
      <c r="G2066" t="s">
        <v>31</v>
      </c>
      <c r="H2066" t="s">
        <v>22</v>
      </c>
      <c r="I2066" t="s">
        <v>28</v>
      </c>
      <c r="J2066" t="s">
        <v>41</v>
      </c>
      <c r="K2066" s="6">
        <f t="shared" ca="1" si="136"/>
        <v>34672</v>
      </c>
      <c r="L2066">
        <v>-11089</v>
      </c>
      <c r="M2066" s="7">
        <f t="shared" ca="1" si="134"/>
        <v>30.360027378507873</v>
      </c>
      <c r="N2066" s="5" t="str">
        <f ca="1">VLOOKUP(Data!M2066,temp!$B$3:$C$9,2,1)</f>
        <v>30-40</v>
      </c>
      <c r="O2066">
        <v>-1467</v>
      </c>
      <c r="P2066" s="8">
        <f t="shared" si="135"/>
        <v>4.0164271047227924</v>
      </c>
      <c r="Q2066" s="5" t="str">
        <f t="shared" si="137"/>
        <v>Employed</v>
      </c>
      <c r="R2066">
        <v>1</v>
      </c>
      <c r="S2066">
        <v>0</v>
      </c>
      <c r="T2066">
        <v>0</v>
      </c>
      <c r="U2066">
        <v>0</v>
      </c>
      <c r="V2066" t="s">
        <v>29</v>
      </c>
      <c r="W2066">
        <v>2</v>
      </c>
    </row>
    <row r="2067" spans="1:23" x14ac:dyDescent="0.2">
      <c r="A2067">
        <v>5066932</v>
      </c>
      <c r="B2067" t="s">
        <v>25</v>
      </c>
      <c r="C2067" t="s">
        <v>19</v>
      </c>
      <c r="D2067" t="s">
        <v>20</v>
      </c>
      <c r="E2067">
        <v>0</v>
      </c>
      <c r="F2067">
        <v>391500</v>
      </c>
      <c r="G2067" t="s">
        <v>31</v>
      </c>
      <c r="H2067" t="s">
        <v>27</v>
      </c>
      <c r="I2067" t="s">
        <v>23</v>
      </c>
      <c r="J2067" t="s">
        <v>24</v>
      </c>
      <c r="K2067" s="6">
        <f t="shared" ca="1" si="136"/>
        <v>28239</v>
      </c>
      <c r="L2067">
        <v>-17522</v>
      </c>
      <c r="M2067" s="7">
        <f t="shared" ca="1" si="134"/>
        <v>47.972621492128681</v>
      </c>
      <c r="N2067" s="5" t="str">
        <f ca="1">VLOOKUP(Data!M2067,temp!$B$3:$C$9,2,1)</f>
        <v>40-50</v>
      </c>
      <c r="O2067">
        <v>-1526</v>
      </c>
      <c r="P2067" s="8">
        <f t="shared" si="135"/>
        <v>4.1779603011635862</v>
      </c>
      <c r="Q2067" s="5" t="str">
        <f t="shared" si="137"/>
        <v>Employed</v>
      </c>
      <c r="R2067">
        <v>1</v>
      </c>
      <c r="S2067">
        <v>0</v>
      </c>
      <c r="T2067">
        <v>0</v>
      </c>
      <c r="U2067">
        <v>0</v>
      </c>
      <c r="V2067" t="s">
        <v>40</v>
      </c>
      <c r="W2067">
        <v>1</v>
      </c>
    </row>
    <row r="2068" spans="1:23" x14ac:dyDescent="0.2">
      <c r="A2068">
        <v>5066953</v>
      </c>
      <c r="B2068" t="s">
        <v>18</v>
      </c>
      <c r="C2068" t="s">
        <v>19</v>
      </c>
      <c r="D2068" t="s">
        <v>20</v>
      </c>
      <c r="E2068">
        <v>0</v>
      </c>
      <c r="F2068">
        <v>90000</v>
      </c>
      <c r="G2068" t="s">
        <v>21</v>
      </c>
      <c r="H2068" t="s">
        <v>27</v>
      </c>
      <c r="I2068" t="s">
        <v>28</v>
      </c>
      <c r="J2068" t="s">
        <v>24</v>
      </c>
      <c r="K2068" s="6">
        <f t="shared" ca="1" si="136"/>
        <v>22641</v>
      </c>
      <c r="L2068">
        <v>-23120</v>
      </c>
      <c r="M2068" s="7">
        <f t="shared" ca="1" si="134"/>
        <v>63.299110198494184</v>
      </c>
      <c r="N2068" s="5" t="str">
        <f ca="1">VLOOKUP(Data!M2068,temp!$B$3:$C$9,2,1)</f>
        <v>60-70</v>
      </c>
      <c r="O2068">
        <v>365243</v>
      </c>
      <c r="P2068" s="8">
        <f t="shared" si="135"/>
        <v>0</v>
      </c>
      <c r="Q2068" s="5" t="str">
        <f t="shared" si="137"/>
        <v>Unemployed</v>
      </c>
      <c r="R2068">
        <v>1</v>
      </c>
      <c r="S2068">
        <v>0</v>
      </c>
      <c r="T2068">
        <v>0</v>
      </c>
      <c r="U2068">
        <v>0</v>
      </c>
      <c r="W2068">
        <v>2</v>
      </c>
    </row>
    <row r="2069" spans="1:23" x14ac:dyDescent="0.2">
      <c r="A2069">
        <v>5066956</v>
      </c>
      <c r="B2069" t="s">
        <v>18</v>
      </c>
      <c r="C2069" t="s">
        <v>19</v>
      </c>
      <c r="D2069" t="s">
        <v>20</v>
      </c>
      <c r="E2069">
        <v>0</v>
      </c>
      <c r="F2069">
        <v>90000</v>
      </c>
      <c r="G2069" t="s">
        <v>21</v>
      </c>
      <c r="H2069" t="s">
        <v>27</v>
      </c>
      <c r="I2069" t="s">
        <v>28</v>
      </c>
      <c r="J2069" t="s">
        <v>24</v>
      </c>
      <c r="K2069" s="6">
        <f t="shared" ca="1" si="136"/>
        <v>22641</v>
      </c>
      <c r="L2069">
        <v>-23120</v>
      </c>
      <c r="M2069" s="7">
        <f t="shared" ca="1" si="134"/>
        <v>63.299110198494184</v>
      </c>
      <c r="N2069" s="5" t="str">
        <f ca="1">VLOOKUP(Data!M2069,temp!$B$3:$C$9,2,1)</f>
        <v>60-70</v>
      </c>
      <c r="O2069">
        <v>365243</v>
      </c>
      <c r="P2069" s="8">
        <f t="shared" si="135"/>
        <v>0</v>
      </c>
      <c r="Q2069" s="5" t="str">
        <f t="shared" si="137"/>
        <v>Unemployed</v>
      </c>
      <c r="R2069">
        <v>1</v>
      </c>
      <c r="S2069">
        <v>0</v>
      </c>
      <c r="T2069">
        <v>0</v>
      </c>
      <c r="U2069">
        <v>0</v>
      </c>
      <c r="W2069">
        <v>2</v>
      </c>
    </row>
    <row r="2070" spans="1:23" x14ac:dyDescent="0.2">
      <c r="A2070">
        <v>5066980</v>
      </c>
      <c r="B2070" t="s">
        <v>25</v>
      </c>
      <c r="C2070" t="s">
        <v>20</v>
      </c>
      <c r="D2070" t="s">
        <v>19</v>
      </c>
      <c r="E2070">
        <v>0</v>
      </c>
      <c r="F2070">
        <v>119250</v>
      </c>
      <c r="G2070" t="s">
        <v>31</v>
      </c>
      <c r="H2070" t="s">
        <v>27</v>
      </c>
      <c r="I2070" t="s">
        <v>37</v>
      </c>
      <c r="J2070" t="s">
        <v>24</v>
      </c>
      <c r="K2070" s="6">
        <f t="shared" ca="1" si="136"/>
        <v>28219</v>
      </c>
      <c r="L2070">
        <v>-17542</v>
      </c>
      <c r="M2070" s="7">
        <f t="shared" ca="1" si="134"/>
        <v>48.027378507871319</v>
      </c>
      <c r="N2070" s="5" t="str">
        <f ca="1">VLOOKUP(Data!M2070,temp!$B$3:$C$9,2,1)</f>
        <v>40-50</v>
      </c>
      <c r="O2070">
        <v>-645</v>
      </c>
      <c r="P2070" s="8">
        <f t="shared" si="135"/>
        <v>1.7659137577002053</v>
      </c>
      <c r="Q2070" s="5" t="str">
        <f t="shared" si="137"/>
        <v>Employed</v>
      </c>
      <c r="R2070">
        <v>1</v>
      </c>
      <c r="S2070">
        <v>0</v>
      </c>
      <c r="T2070">
        <v>0</v>
      </c>
      <c r="U2070">
        <v>1</v>
      </c>
      <c r="V2070" t="s">
        <v>30</v>
      </c>
      <c r="W2070">
        <v>2</v>
      </c>
    </row>
    <row r="2071" spans="1:23" x14ac:dyDescent="0.2">
      <c r="A2071">
        <v>5066986</v>
      </c>
      <c r="B2071" t="s">
        <v>25</v>
      </c>
      <c r="C2071" t="s">
        <v>19</v>
      </c>
      <c r="D2071" t="s">
        <v>20</v>
      </c>
      <c r="E2071">
        <v>0</v>
      </c>
      <c r="F2071">
        <v>180000</v>
      </c>
      <c r="G2071" t="s">
        <v>31</v>
      </c>
      <c r="H2071" t="s">
        <v>27</v>
      </c>
      <c r="I2071" t="s">
        <v>23</v>
      </c>
      <c r="J2071" t="s">
        <v>24</v>
      </c>
      <c r="K2071" s="6">
        <f t="shared" ca="1" si="136"/>
        <v>27796</v>
      </c>
      <c r="L2071">
        <v>-17965</v>
      </c>
      <c r="M2071" s="7">
        <f t="shared" ca="1" si="134"/>
        <v>49.185489390828202</v>
      </c>
      <c r="N2071" s="5" t="str">
        <f ca="1">VLOOKUP(Data!M2071,temp!$B$3:$C$9,2,1)</f>
        <v>40-50</v>
      </c>
      <c r="O2071">
        <v>-218</v>
      </c>
      <c r="P2071" s="8">
        <f t="shared" si="135"/>
        <v>0.59685147159479812</v>
      </c>
      <c r="Q2071" s="5" t="str">
        <f t="shared" si="137"/>
        <v>Employed</v>
      </c>
      <c r="R2071">
        <v>1</v>
      </c>
      <c r="S2071">
        <v>0</v>
      </c>
      <c r="T2071">
        <v>0</v>
      </c>
      <c r="U2071">
        <v>0</v>
      </c>
      <c r="V2071" t="s">
        <v>29</v>
      </c>
      <c r="W2071">
        <v>1</v>
      </c>
    </row>
    <row r="2072" spans="1:23" x14ac:dyDescent="0.2">
      <c r="A2072">
        <v>5066993</v>
      </c>
      <c r="B2072" t="s">
        <v>18</v>
      </c>
      <c r="C2072" t="s">
        <v>20</v>
      </c>
      <c r="D2072" t="s">
        <v>20</v>
      </c>
      <c r="E2072">
        <v>0</v>
      </c>
      <c r="F2072">
        <v>225000</v>
      </c>
      <c r="G2072" t="s">
        <v>31</v>
      </c>
      <c r="H2072" t="s">
        <v>27</v>
      </c>
      <c r="I2072" t="s">
        <v>28</v>
      </c>
      <c r="J2072" t="s">
        <v>24</v>
      </c>
      <c r="K2072" s="6">
        <f t="shared" ca="1" si="136"/>
        <v>24544</v>
      </c>
      <c r="L2072">
        <v>-21217</v>
      </c>
      <c r="M2072" s="7">
        <f t="shared" ca="1" si="134"/>
        <v>58.08898015058179</v>
      </c>
      <c r="N2072" s="5" t="str">
        <f ca="1">VLOOKUP(Data!M2072,temp!$B$3:$C$9,2,1)</f>
        <v>50-60</v>
      </c>
      <c r="O2072">
        <v>-1557</v>
      </c>
      <c r="P2072" s="8">
        <f t="shared" si="135"/>
        <v>4.2628336755646821</v>
      </c>
      <c r="Q2072" s="5" t="str">
        <f t="shared" si="137"/>
        <v>Employed</v>
      </c>
      <c r="R2072">
        <v>1</v>
      </c>
      <c r="S2072">
        <v>0</v>
      </c>
      <c r="T2072">
        <v>0</v>
      </c>
      <c r="U2072">
        <v>1</v>
      </c>
      <c r="V2072" t="s">
        <v>44</v>
      </c>
      <c r="W2072">
        <v>2</v>
      </c>
    </row>
    <row r="2073" spans="1:23" x14ac:dyDescent="0.2">
      <c r="A2073">
        <v>5067017</v>
      </c>
      <c r="B2073" t="s">
        <v>25</v>
      </c>
      <c r="C2073" t="s">
        <v>19</v>
      </c>
      <c r="D2073" t="s">
        <v>20</v>
      </c>
      <c r="E2073">
        <v>0</v>
      </c>
      <c r="F2073">
        <v>225000</v>
      </c>
      <c r="G2073" t="s">
        <v>31</v>
      </c>
      <c r="H2073" t="s">
        <v>27</v>
      </c>
      <c r="I2073" t="s">
        <v>33</v>
      </c>
      <c r="J2073" t="s">
        <v>24</v>
      </c>
      <c r="K2073" s="6">
        <f t="shared" ca="1" si="136"/>
        <v>35835</v>
      </c>
      <c r="L2073">
        <v>-9926</v>
      </c>
      <c r="M2073" s="7">
        <f t="shared" ca="1" si="134"/>
        <v>27.175906913073238</v>
      </c>
      <c r="N2073" s="5" t="str">
        <f ca="1">VLOOKUP(Data!M2073,temp!$B$3:$C$9,2,1)</f>
        <v>20-30</v>
      </c>
      <c r="O2073">
        <v>-461</v>
      </c>
      <c r="P2073" s="8">
        <f t="shared" si="135"/>
        <v>1.2621492128678986</v>
      </c>
      <c r="Q2073" s="5" t="str">
        <f t="shared" si="137"/>
        <v>Employed</v>
      </c>
      <c r="R2073">
        <v>1</v>
      </c>
      <c r="S2073">
        <v>0</v>
      </c>
      <c r="T2073">
        <v>0</v>
      </c>
      <c r="U2073">
        <v>0</v>
      </c>
      <c r="V2073" t="s">
        <v>30</v>
      </c>
      <c r="W2073">
        <v>1</v>
      </c>
    </row>
    <row r="2074" spans="1:23" x14ac:dyDescent="0.2">
      <c r="A2074">
        <v>5067025</v>
      </c>
      <c r="B2074" t="s">
        <v>18</v>
      </c>
      <c r="C2074" t="s">
        <v>19</v>
      </c>
      <c r="D2074" t="s">
        <v>20</v>
      </c>
      <c r="E2074">
        <v>1</v>
      </c>
      <c r="F2074">
        <v>135000</v>
      </c>
      <c r="G2074" t="s">
        <v>31</v>
      </c>
      <c r="H2074" t="s">
        <v>27</v>
      </c>
      <c r="I2074" t="s">
        <v>28</v>
      </c>
      <c r="J2074" t="s">
        <v>24</v>
      </c>
      <c r="K2074" s="6">
        <f t="shared" ca="1" si="136"/>
        <v>32172</v>
      </c>
      <c r="L2074">
        <v>-13589</v>
      </c>
      <c r="M2074" s="7">
        <f t="shared" ca="1" si="134"/>
        <v>37.204654346338124</v>
      </c>
      <c r="N2074" s="5" t="str">
        <f ca="1">VLOOKUP(Data!M2074,temp!$B$3:$C$9,2,1)</f>
        <v>30-40</v>
      </c>
      <c r="O2074">
        <v>-1649</v>
      </c>
      <c r="P2074" s="8">
        <f t="shared" si="135"/>
        <v>4.514715947980835</v>
      </c>
      <c r="Q2074" s="5" t="str">
        <f t="shared" si="137"/>
        <v>Employed</v>
      </c>
      <c r="R2074">
        <v>1</v>
      </c>
      <c r="S2074">
        <v>0</v>
      </c>
      <c r="T2074">
        <v>0</v>
      </c>
      <c r="U2074">
        <v>0</v>
      </c>
      <c r="V2074" t="s">
        <v>54</v>
      </c>
      <c r="W2074">
        <v>3</v>
      </c>
    </row>
    <row r="2075" spans="1:23" x14ac:dyDescent="0.2">
      <c r="A2075">
        <v>5067026</v>
      </c>
      <c r="B2075" t="s">
        <v>18</v>
      </c>
      <c r="C2075" t="s">
        <v>19</v>
      </c>
      <c r="D2075" t="s">
        <v>20</v>
      </c>
      <c r="E2075">
        <v>1</v>
      </c>
      <c r="F2075">
        <v>135000</v>
      </c>
      <c r="G2075" t="s">
        <v>31</v>
      </c>
      <c r="H2075" t="s">
        <v>27</v>
      </c>
      <c r="I2075" t="s">
        <v>28</v>
      </c>
      <c r="J2075" t="s">
        <v>24</v>
      </c>
      <c r="K2075" s="6">
        <f t="shared" ca="1" si="136"/>
        <v>32172</v>
      </c>
      <c r="L2075">
        <v>-13589</v>
      </c>
      <c r="M2075" s="7">
        <f t="shared" ca="1" si="134"/>
        <v>37.204654346338124</v>
      </c>
      <c r="N2075" s="5" t="str">
        <f ca="1">VLOOKUP(Data!M2075,temp!$B$3:$C$9,2,1)</f>
        <v>30-40</v>
      </c>
      <c r="O2075">
        <v>-1649</v>
      </c>
      <c r="P2075" s="8">
        <f t="shared" si="135"/>
        <v>4.514715947980835</v>
      </c>
      <c r="Q2075" s="5" t="str">
        <f t="shared" si="137"/>
        <v>Employed</v>
      </c>
      <c r="R2075">
        <v>1</v>
      </c>
      <c r="S2075">
        <v>0</v>
      </c>
      <c r="T2075">
        <v>0</v>
      </c>
      <c r="U2075">
        <v>0</v>
      </c>
      <c r="V2075" t="s">
        <v>54</v>
      </c>
      <c r="W2075">
        <v>3</v>
      </c>
    </row>
    <row r="2076" spans="1:23" x14ac:dyDescent="0.2">
      <c r="A2076">
        <v>5067029</v>
      </c>
      <c r="B2076" t="s">
        <v>25</v>
      </c>
      <c r="C2076" t="s">
        <v>19</v>
      </c>
      <c r="D2076" t="s">
        <v>19</v>
      </c>
      <c r="E2076">
        <v>0</v>
      </c>
      <c r="F2076">
        <v>270000</v>
      </c>
      <c r="G2076" t="s">
        <v>31</v>
      </c>
      <c r="H2076" t="s">
        <v>36</v>
      </c>
      <c r="I2076" t="s">
        <v>33</v>
      </c>
      <c r="J2076" t="s">
        <v>24</v>
      </c>
      <c r="K2076" s="6">
        <f t="shared" ca="1" si="136"/>
        <v>37077</v>
      </c>
      <c r="L2076">
        <v>-8684</v>
      </c>
      <c r="M2076" s="7">
        <f t="shared" ca="1" si="134"/>
        <v>23.775496235455169</v>
      </c>
      <c r="N2076" s="5" t="str">
        <f ca="1">VLOOKUP(Data!M2076,temp!$B$3:$C$9,2,1)</f>
        <v>20-30</v>
      </c>
      <c r="O2076">
        <v>-218</v>
      </c>
      <c r="P2076" s="8">
        <f t="shared" si="135"/>
        <v>0.59685147159479812</v>
      </c>
      <c r="Q2076" s="5" t="str">
        <f t="shared" si="137"/>
        <v>Employed</v>
      </c>
      <c r="R2076">
        <v>1</v>
      </c>
      <c r="S2076">
        <v>0</v>
      </c>
      <c r="T2076">
        <v>0</v>
      </c>
      <c r="U2076">
        <v>0</v>
      </c>
      <c r="W2076">
        <v>1</v>
      </c>
    </row>
    <row r="2077" spans="1:23" x14ac:dyDescent="0.2">
      <c r="A2077">
        <v>5067030</v>
      </c>
      <c r="B2077" t="s">
        <v>25</v>
      </c>
      <c r="C2077" t="s">
        <v>19</v>
      </c>
      <c r="D2077" t="s">
        <v>19</v>
      </c>
      <c r="E2077">
        <v>0</v>
      </c>
      <c r="F2077">
        <v>270000</v>
      </c>
      <c r="G2077" t="s">
        <v>31</v>
      </c>
      <c r="H2077" t="s">
        <v>36</v>
      </c>
      <c r="I2077" t="s">
        <v>33</v>
      </c>
      <c r="J2077" t="s">
        <v>24</v>
      </c>
      <c r="K2077" s="6">
        <f t="shared" ca="1" si="136"/>
        <v>37077</v>
      </c>
      <c r="L2077">
        <v>-8684</v>
      </c>
      <c r="M2077" s="7">
        <f t="shared" ca="1" si="134"/>
        <v>23.775496235455169</v>
      </c>
      <c r="N2077" s="5" t="str">
        <f ca="1">VLOOKUP(Data!M2077,temp!$B$3:$C$9,2,1)</f>
        <v>20-30</v>
      </c>
      <c r="O2077">
        <v>-218</v>
      </c>
      <c r="P2077" s="8">
        <f t="shared" si="135"/>
        <v>0.59685147159479812</v>
      </c>
      <c r="Q2077" s="5" t="str">
        <f t="shared" si="137"/>
        <v>Employed</v>
      </c>
      <c r="R2077">
        <v>1</v>
      </c>
      <c r="S2077">
        <v>0</v>
      </c>
      <c r="T2077">
        <v>0</v>
      </c>
      <c r="U2077">
        <v>0</v>
      </c>
      <c r="W2077">
        <v>1</v>
      </c>
    </row>
    <row r="2078" spans="1:23" x14ac:dyDescent="0.2">
      <c r="A2078">
        <v>5067044</v>
      </c>
      <c r="B2078" t="s">
        <v>18</v>
      </c>
      <c r="C2078" t="s">
        <v>19</v>
      </c>
      <c r="D2078" t="s">
        <v>20</v>
      </c>
      <c r="E2078">
        <v>0</v>
      </c>
      <c r="F2078">
        <v>189000</v>
      </c>
      <c r="G2078" t="s">
        <v>31</v>
      </c>
      <c r="H2078" t="s">
        <v>27</v>
      </c>
      <c r="I2078" t="s">
        <v>28</v>
      </c>
      <c r="J2078" t="s">
        <v>24</v>
      </c>
      <c r="K2078" s="6">
        <f t="shared" ca="1" si="136"/>
        <v>29266</v>
      </c>
      <c r="L2078">
        <v>-16495</v>
      </c>
      <c r="M2078" s="7">
        <f t="shared" ca="1" si="134"/>
        <v>45.160848733744011</v>
      </c>
      <c r="N2078" s="5" t="str">
        <f ca="1">VLOOKUP(Data!M2078,temp!$B$3:$C$9,2,1)</f>
        <v>40-50</v>
      </c>
      <c r="O2078">
        <v>-1437</v>
      </c>
      <c r="P2078" s="8">
        <f t="shared" si="135"/>
        <v>3.9342915811088295</v>
      </c>
      <c r="Q2078" s="5" t="str">
        <f t="shared" si="137"/>
        <v>Employed</v>
      </c>
      <c r="R2078">
        <v>1</v>
      </c>
      <c r="S2078">
        <v>0</v>
      </c>
      <c r="T2078">
        <v>0</v>
      </c>
      <c r="U2078">
        <v>0</v>
      </c>
      <c r="V2078" t="s">
        <v>39</v>
      </c>
      <c r="W2078">
        <v>2</v>
      </c>
    </row>
    <row r="2079" spans="1:23" x14ac:dyDescent="0.2">
      <c r="A2079">
        <v>5067055</v>
      </c>
      <c r="B2079" t="s">
        <v>18</v>
      </c>
      <c r="C2079" t="s">
        <v>20</v>
      </c>
      <c r="D2079" t="s">
        <v>20</v>
      </c>
      <c r="E2079">
        <v>0</v>
      </c>
      <c r="F2079">
        <v>144000</v>
      </c>
      <c r="G2079" t="s">
        <v>31</v>
      </c>
      <c r="H2079" t="s">
        <v>27</v>
      </c>
      <c r="I2079" t="s">
        <v>28</v>
      </c>
      <c r="J2079" t="s">
        <v>24</v>
      </c>
      <c r="K2079" s="6">
        <f t="shared" ca="1" si="136"/>
        <v>30367</v>
      </c>
      <c r="L2079">
        <v>-15394</v>
      </c>
      <c r="M2079" s="7">
        <f t="shared" ca="1" si="134"/>
        <v>42.14647501711157</v>
      </c>
      <c r="N2079" s="5" t="str">
        <f ca="1">VLOOKUP(Data!M2079,temp!$B$3:$C$9,2,1)</f>
        <v>40-50</v>
      </c>
      <c r="O2079">
        <v>-2959</v>
      </c>
      <c r="P2079" s="8">
        <f t="shared" si="135"/>
        <v>8.1013004791238874</v>
      </c>
      <c r="Q2079" s="5" t="str">
        <f t="shared" si="137"/>
        <v>Employed</v>
      </c>
      <c r="R2079">
        <v>1</v>
      </c>
      <c r="S2079">
        <v>0</v>
      </c>
      <c r="T2079">
        <v>1</v>
      </c>
      <c r="U2079">
        <v>0</v>
      </c>
      <c r="V2079" t="s">
        <v>38</v>
      </c>
      <c r="W2079">
        <v>2</v>
      </c>
    </row>
    <row r="2080" spans="1:23" x14ac:dyDescent="0.2">
      <c r="A2080">
        <v>5067067</v>
      </c>
      <c r="B2080" t="s">
        <v>18</v>
      </c>
      <c r="C2080" t="s">
        <v>20</v>
      </c>
      <c r="D2080" t="s">
        <v>20</v>
      </c>
      <c r="E2080">
        <v>2</v>
      </c>
      <c r="F2080">
        <v>450000</v>
      </c>
      <c r="G2080" t="s">
        <v>31</v>
      </c>
      <c r="H2080" t="s">
        <v>27</v>
      </c>
      <c r="I2080" t="s">
        <v>28</v>
      </c>
      <c r="J2080" t="s">
        <v>24</v>
      </c>
      <c r="K2080" s="6">
        <f t="shared" ca="1" si="136"/>
        <v>30887</v>
      </c>
      <c r="L2080">
        <v>-14874</v>
      </c>
      <c r="M2080" s="7">
        <f t="shared" ca="1" si="134"/>
        <v>40.722792607802873</v>
      </c>
      <c r="N2080" s="5" t="str">
        <f ca="1">VLOOKUP(Data!M2080,temp!$B$3:$C$9,2,1)</f>
        <v>40-50</v>
      </c>
      <c r="O2080">
        <v>-4693</v>
      </c>
      <c r="P2080" s="8">
        <f t="shared" si="135"/>
        <v>12.848733744010952</v>
      </c>
      <c r="Q2080" s="5" t="str">
        <f t="shared" si="137"/>
        <v>Employed</v>
      </c>
      <c r="R2080">
        <v>1</v>
      </c>
      <c r="S2080">
        <v>0</v>
      </c>
      <c r="T2080">
        <v>0</v>
      </c>
      <c r="U2080">
        <v>0</v>
      </c>
      <c r="V2080" t="s">
        <v>38</v>
      </c>
      <c r="W2080">
        <v>4</v>
      </c>
    </row>
    <row r="2081" spans="1:23" x14ac:dyDescent="0.2">
      <c r="A2081">
        <v>5067081</v>
      </c>
      <c r="B2081" t="s">
        <v>18</v>
      </c>
      <c r="C2081" t="s">
        <v>19</v>
      </c>
      <c r="D2081" t="s">
        <v>19</v>
      </c>
      <c r="E2081">
        <v>1</v>
      </c>
      <c r="F2081">
        <v>225000</v>
      </c>
      <c r="G2081" t="s">
        <v>35</v>
      </c>
      <c r="H2081" t="s">
        <v>27</v>
      </c>
      <c r="I2081" t="s">
        <v>37</v>
      </c>
      <c r="J2081" t="s">
        <v>24</v>
      </c>
      <c r="K2081" s="6">
        <f t="shared" ca="1" si="136"/>
        <v>28145</v>
      </c>
      <c r="L2081">
        <v>-17616</v>
      </c>
      <c r="M2081" s="7">
        <f t="shared" ca="1" si="134"/>
        <v>48.229979466119097</v>
      </c>
      <c r="N2081" s="5" t="str">
        <f ca="1">VLOOKUP(Data!M2081,temp!$B$3:$C$9,2,1)</f>
        <v>40-50</v>
      </c>
      <c r="O2081">
        <v>-7189</v>
      </c>
      <c r="P2081" s="8">
        <f t="shared" si="135"/>
        <v>19.682409308692677</v>
      </c>
      <c r="Q2081" s="5" t="str">
        <f t="shared" si="137"/>
        <v>Employed</v>
      </c>
      <c r="R2081">
        <v>1</v>
      </c>
      <c r="S2081">
        <v>1</v>
      </c>
      <c r="T2081">
        <v>1</v>
      </c>
      <c r="U2081">
        <v>0</v>
      </c>
      <c r="V2081" t="s">
        <v>32</v>
      </c>
      <c r="W2081">
        <v>3</v>
      </c>
    </row>
    <row r="2082" spans="1:23" x14ac:dyDescent="0.2">
      <c r="A2082">
        <v>5067088</v>
      </c>
      <c r="B2082" t="s">
        <v>25</v>
      </c>
      <c r="C2082" t="s">
        <v>19</v>
      </c>
      <c r="D2082" t="s">
        <v>19</v>
      </c>
      <c r="E2082">
        <v>0</v>
      </c>
      <c r="F2082">
        <v>180000</v>
      </c>
      <c r="G2082" t="s">
        <v>31</v>
      </c>
      <c r="H2082" t="s">
        <v>27</v>
      </c>
      <c r="I2082" t="s">
        <v>28</v>
      </c>
      <c r="J2082" t="s">
        <v>24</v>
      </c>
      <c r="K2082" s="6">
        <f t="shared" ca="1" si="136"/>
        <v>32118</v>
      </c>
      <c r="L2082">
        <v>-13643</v>
      </c>
      <c r="M2082" s="7">
        <f t="shared" ca="1" si="134"/>
        <v>37.352498288843258</v>
      </c>
      <c r="N2082" s="5" t="str">
        <f ca="1">VLOOKUP(Data!M2082,temp!$B$3:$C$9,2,1)</f>
        <v>30-40</v>
      </c>
      <c r="O2082">
        <v>-4663</v>
      </c>
      <c r="P2082" s="8">
        <f t="shared" si="135"/>
        <v>12.766598220396988</v>
      </c>
      <c r="Q2082" s="5" t="str">
        <f t="shared" si="137"/>
        <v>Employed</v>
      </c>
      <c r="R2082">
        <v>1</v>
      </c>
      <c r="S2082">
        <v>0</v>
      </c>
      <c r="T2082">
        <v>1</v>
      </c>
      <c r="U2082">
        <v>0</v>
      </c>
      <c r="V2082" t="s">
        <v>29</v>
      </c>
      <c r="W2082">
        <v>2</v>
      </c>
    </row>
    <row r="2083" spans="1:23" x14ac:dyDescent="0.2">
      <c r="A2083">
        <v>5067095</v>
      </c>
      <c r="B2083" t="s">
        <v>25</v>
      </c>
      <c r="C2083" t="s">
        <v>20</v>
      </c>
      <c r="D2083" t="s">
        <v>20</v>
      </c>
      <c r="E2083">
        <v>0</v>
      </c>
      <c r="F2083">
        <v>202500</v>
      </c>
      <c r="G2083" t="s">
        <v>31</v>
      </c>
      <c r="H2083" t="s">
        <v>22</v>
      </c>
      <c r="I2083" t="s">
        <v>28</v>
      </c>
      <c r="J2083" t="s">
        <v>24</v>
      </c>
      <c r="K2083" s="6">
        <f t="shared" ca="1" si="136"/>
        <v>31115</v>
      </c>
      <c r="L2083">
        <v>-14646</v>
      </c>
      <c r="M2083" s="7">
        <f t="shared" ca="1" si="134"/>
        <v>40.098562628336758</v>
      </c>
      <c r="N2083" s="5" t="str">
        <f ca="1">VLOOKUP(Data!M2083,temp!$B$3:$C$9,2,1)</f>
        <v>40-50</v>
      </c>
      <c r="O2083">
        <v>-1953</v>
      </c>
      <c r="P2083" s="8">
        <f t="shared" si="135"/>
        <v>5.3470225872689943</v>
      </c>
      <c r="Q2083" s="5" t="str">
        <f t="shared" si="137"/>
        <v>Employed</v>
      </c>
      <c r="R2083">
        <v>1</v>
      </c>
      <c r="S2083">
        <v>0</v>
      </c>
      <c r="T2083">
        <v>0</v>
      </c>
      <c r="U2083">
        <v>0</v>
      </c>
      <c r="V2083" t="s">
        <v>32</v>
      </c>
      <c r="W2083">
        <v>2</v>
      </c>
    </row>
    <row r="2084" spans="1:23" x14ac:dyDescent="0.2">
      <c r="A2084">
        <v>5067099</v>
      </c>
      <c r="B2084" t="s">
        <v>18</v>
      </c>
      <c r="C2084" t="s">
        <v>19</v>
      </c>
      <c r="D2084" t="s">
        <v>20</v>
      </c>
      <c r="E2084">
        <v>0</v>
      </c>
      <c r="F2084">
        <v>121500</v>
      </c>
      <c r="G2084" t="s">
        <v>31</v>
      </c>
      <c r="H2084" t="s">
        <v>27</v>
      </c>
      <c r="I2084" t="s">
        <v>33</v>
      </c>
      <c r="J2084" t="s">
        <v>24</v>
      </c>
      <c r="K2084" s="6">
        <f t="shared" ca="1" si="136"/>
        <v>23694</v>
      </c>
      <c r="L2084">
        <v>-22067</v>
      </c>
      <c r="M2084" s="7">
        <f t="shared" ca="1" si="134"/>
        <v>60.416153319644081</v>
      </c>
      <c r="N2084" s="5" t="str">
        <f ca="1">VLOOKUP(Data!M2084,temp!$B$3:$C$9,2,1)</f>
        <v>60-70</v>
      </c>
      <c r="O2084">
        <v>-1625</v>
      </c>
      <c r="P2084" s="8">
        <f t="shared" si="135"/>
        <v>4.4490075290896645</v>
      </c>
      <c r="Q2084" s="5" t="str">
        <f t="shared" si="137"/>
        <v>Employed</v>
      </c>
      <c r="R2084">
        <v>1</v>
      </c>
      <c r="S2084">
        <v>0</v>
      </c>
      <c r="T2084">
        <v>0</v>
      </c>
      <c r="U2084">
        <v>0</v>
      </c>
      <c r="V2084" t="s">
        <v>29</v>
      </c>
      <c r="W2084">
        <v>1</v>
      </c>
    </row>
    <row r="2085" spans="1:23" x14ac:dyDescent="0.2">
      <c r="A2085">
        <v>5067127</v>
      </c>
      <c r="B2085" t="s">
        <v>18</v>
      </c>
      <c r="C2085" t="s">
        <v>20</v>
      </c>
      <c r="D2085" t="s">
        <v>20</v>
      </c>
      <c r="E2085">
        <v>4</v>
      </c>
      <c r="F2085">
        <v>112500</v>
      </c>
      <c r="G2085" t="s">
        <v>31</v>
      </c>
      <c r="H2085" t="s">
        <v>27</v>
      </c>
      <c r="I2085" t="s">
        <v>28</v>
      </c>
      <c r="J2085" t="s">
        <v>24</v>
      </c>
      <c r="K2085" s="6">
        <f t="shared" ca="1" si="136"/>
        <v>32007</v>
      </c>
      <c r="L2085">
        <v>-13754</v>
      </c>
      <c r="M2085" s="7">
        <f t="shared" ca="1" si="134"/>
        <v>37.656399726214921</v>
      </c>
      <c r="N2085" s="5" t="str">
        <f ca="1">VLOOKUP(Data!M2085,temp!$B$3:$C$9,2,1)</f>
        <v>30-40</v>
      </c>
      <c r="O2085">
        <v>-4169</v>
      </c>
      <c r="P2085" s="8">
        <f t="shared" si="135"/>
        <v>11.41409993155373</v>
      </c>
      <c r="Q2085" s="5" t="str">
        <f t="shared" si="137"/>
        <v>Employed</v>
      </c>
      <c r="R2085">
        <v>1</v>
      </c>
      <c r="S2085">
        <v>0</v>
      </c>
      <c r="T2085">
        <v>0</v>
      </c>
      <c r="U2085">
        <v>0</v>
      </c>
      <c r="V2085" t="s">
        <v>50</v>
      </c>
      <c r="W2085">
        <v>6</v>
      </c>
    </row>
    <row r="2086" spans="1:23" x14ac:dyDescent="0.2">
      <c r="A2086">
        <v>5067129</v>
      </c>
      <c r="B2086" t="s">
        <v>25</v>
      </c>
      <c r="C2086" t="s">
        <v>19</v>
      </c>
      <c r="D2086" t="s">
        <v>19</v>
      </c>
      <c r="E2086">
        <v>0</v>
      </c>
      <c r="F2086">
        <v>180000</v>
      </c>
      <c r="G2086" t="s">
        <v>26</v>
      </c>
      <c r="H2086" t="s">
        <v>22</v>
      </c>
      <c r="I2086" t="s">
        <v>37</v>
      </c>
      <c r="J2086" t="s">
        <v>24</v>
      </c>
      <c r="K2086" s="6">
        <f t="shared" ca="1" si="136"/>
        <v>26396</v>
      </c>
      <c r="L2086">
        <v>-19365</v>
      </c>
      <c r="M2086" s="7">
        <f t="shared" ca="1" si="134"/>
        <v>53.01848049281314</v>
      </c>
      <c r="N2086" s="5" t="str">
        <f ca="1">VLOOKUP(Data!M2086,temp!$B$3:$C$9,2,1)</f>
        <v>50-60</v>
      </c>
      <c r="O2086">
        <v>-243</v>
      </c>
      <c r="P2086" s="8">
        <f t="shared" si="135"/>
        <v>0.6652977412731006</v>
      </c>
      <c r="Q2086" s="5" t="str">
        <f t="shared" si="137"/>
        <v>Employed</v>
      </c>
      <c r="R2086">
        <v>1</v>
      </c>
      <c r="S2086">
        <v>0</v>
      </c>
      <c r="T2086">
        <v>0</v>
      </c>
      <c r="U2086">
        <v>1</v>
      </c>
      <c r="V2086" t="s">
        <v>29</v>
      </c>
      <c r="W2086">
        <v>2</v>
      </c>
    </row>
    <row r="2087" spans="1:23" x14ac:dyDescent="0.2">
      <c r="A2087">
        <v>5067140</v>
      </c>
      <c r="B2087" t="s">
        <v>18</v>
      </c>
      <c r="C2087" t="s">
        <v>19</v>
      </c>
      <c r="D2087" t="s">
        <v>20</v>
      </c>
      <c r="E2087">
        <v>0</v>
      </c>
      <c r="F2087">
        <v>112500</v>
      </c>
      <c r="G2087" t="s">
        <v>21</v>
      </c>
      <c r="H2087" t="s">
        <v>27</v>
      </c>
      <c r="I2087" t="s">
        <v>33</v>
      </c>
      <c r="J2087" t="s">
        <v>24</v>
      </c>
      <c r="K2087" s="6">
        <f t="shared" ca="1" si="136"/>
        <v>22361</v>
      </c>
      <c r="L2087">
        <v>-23400</v>
      </c>
      <c r="M2087" s="7">
        <f t="shared" ca="1" si="134"/>
        <v>64.065708418891177</v>
      </c>
      <c r="N2087" s="5" t="str">
        <f ca="1">VLOOKUP(Data!M2087,temp!$B$3:$C$9,2,1)</f>
        <v>60-70</v>
      </c>
      <c r="O2087">
        <v>365243</v>
      </c>
      <c r="P2087" s="8">
        <f t="shared" si="135"/>
        <v>0</v>
      </c>
      <c r="Q2087" s="5" t="str">
        <f t="shared" si="137"/>
        <v>Unemployed</v>
      </c>
      <c r="R2087">
        <v>1</v>
      </c>
      <c r="S2087">
        <v>0</v>
      </c>
      <c r="T2087">
        <v>1</v>
      </c>
      <c r="U2087">
        <v>1</v>
      </c>
      <c r="W2087">
        <v>1</v>
      </c>
    </row>
    <row r="2088" spans="1:23" x14ac:dyDescent="0.2">
      <c r="A2088">
        <v>5067147</v>
      </c>
      <c r="B2088" t="s">
        <v>25</v>
      </c>
      <c r="C2088" t="s">
        <v>19</v>
      </c>
      <c r="D2088" t="s">
        <v>19</v>
      </c>
      <c r="E2088">
        <v>2</v>
      </c>
      <c r="F2088">
        <v>225000</v>
      </c>
      <c r="G2088" t="s">
        <v>31</v>
      </c>
      <c r="H2088" t="s">
        <v>36</v>
      </c>
      <c r="I2088" t="s">
        <v>28</v>
      </c>
      <c r="J2088" t="s">
        <v>24</v>
      </c>
      <c r="K2088" s="6">
        <f t="shared" ca="1" si="136"/>
        <v>31792</v>
      </c>
      <c r="L2088">
        <v>-13969</v>
      </c>
      <c r="M2088" s="7">
        <f t="shared" ca="1" si="134"/>
        <v>38.245037645448321</v>
      </c>
      <c r="N2088" s="5" t="str">
        <f ca="1">VLOOKUP(Data!M2088,temp!$B$3:$C$9,2,1)</f>
        <v>30-40</v>
      </c>
      <c r="O2088">
        <v>-263</v>
      </c>
      <c r="P2088" s="8">
        <f t="shared" si="135"/>
        <v>0.72005475701574262</v>
      </c>
      <c r="Q2088" s="5" t="str">
        <f t="shared" si="137"/>
        <v>Employed</v>
      </c>
      <c r="R2088">
        <v>1</v>
      </c>
      <c r="S2088">
        <v>0</v>
      </c>
      <c r="T2088">
        <v>0</v>
      </c>
      <c r="U2088">
        <v>0</v>
      </c>
      <c r="W2088">
        <v>4</v>
      </c>
    </row>
    <row r="2089" spans="1:23" x14ac:dyDescent="0.2">
      <c r="A2089">
        <v>5067152</v>
      </c>
      <c r="B2089" t="s">
        <v>18</v>
      </c>
      <c r="C2089" t="s">
        <v>19</v>
      </c>
      <c r="D2089" t="s">
        <v>20</v>
      </c>
      <c r="E2089">
        <v>0</v>
      </c>
      <c r="F2089">
        <v>67500</v>
      </c>
      <c r="G2089" t="s">
        <v>31</v>
      </c>
      <c r="H2089" t="s">
        <v>27</v>
      </c>
      <c r="I2089" t="s">
        <v>33</v>
      </c>
      <c r="J2089" t="s">
        <v>24</v>
      </c>
      <c r="K2089" s="6">
        <f t="shared" ca="1" si="136"/>
        <v>24289</v>
      </c>
      <c r="L2089">
        <v>-21472</v>
      </c>
      <c r="M2089" s="7">
        <f t="shared" ca="1" si="134"/>
        <v>58.787132101300479</v>
      </c>
      <c r="N2089" s="5" t="str">
        <f ca="1">VLOOKUP(Data!M2089,temp!$B$3:$C$9,2,1)</f>
        <v>50-60</v>
      </c>
      <c r="O2089">
        <v>-9575</v>
      </c>
      <c r="P2089" s="8">
        <f t="shared" si="135"/>
        <v>26.21492128678987</v>
      </c>
      <c r="Q2089" s="5" t="str">
        <f t="shared" si="137"/>
        <v>Employed</v>
      </c>
      <c r="R2089">
        <v>1</v>
      </c>
      <c r="S2089">
        <v>1</v>
      </c>
      <c r="T2089">
        <v>0</v>
      </c>
      <c r="U2089">
        <v>0</v>
      </c>
      <c r="W2089">
        <v>1</v>
      </c>
    </row>
    <row r="2090" spans="1:23" x14ac:dyDescent="0.2">
      <c r="A2090">
        <v>5067154</v>
      </c>
      <c r="B2090" t="s">
        <v>18</v>
      </c>
      <c r="C2090" t="s">
        <v>19</v>
      </c>
      <c r="D2090" t="s">
        <v>20</v>
      </c>
      <c r="E2090">
        <v>0</v>
      </c>
      <c r="F2090">
        <v>67500</v>
      </c>
      <c r="G2090" t="s">
        <v>31</v>
      </c>
      <c r="H2090" t="s">
        <v>27</v>
      </c>
      <c r="I2090" t="s">
        <v>33</v>
      </c>
      <c r="J2090" t="s">
        <v>24</v>
      </c>
      <c r="K2090" s="6">
        <f t="shared" ca="1" si="136"/>
        <v>24289</v>
      </c>
      <c r="L2090">
        <v>-21472</v>
      </c>
      <c r="M2090" s="7">
        <f t="shared" ca="1" si="134"/>
        <v>58.787132101300479</v>
      </c>
      <c r="N2090" s="5" t="str">
        <f ca="1">VLOOKUP(Data!M2090,temp!$B$3:$C$9,2,1)</f>
        <v>50-60</v>
      </c>
      <c r="O2090">
        <v>-9575</v>
      </c>
      <c r="P2090" s="8">
        <f t="shared" si="135"/>
        <v>26.21492128678987</v>
      </c>
      <c r="Q2090" s="5" t="str">
        <f t="shared" si="137"/>
        <v>Employed</v>
      </c>
      <c r="R2090">
        <v>1</v>
      </c>
      <c r="S2090">
        <v>1</v>
      </c>
      <c r="T2090">
        <v>0</v>
      </c>
      <c r="U2090">
        <v>0</v>
      </c>
      <c r="W2090">
        <v>1</v>
      </c>
    </row>
    <row r="2091" spans="1:23" x14ac:dyDescent="0.2">
      <c r="A2091">
        <v>5067157</v>
      </c>
      <c r="B2091" t="s">
        <v>25</v>
      </c>
      <c r="C2091" t="s">
        <v>20</v>
      </c>
      <c r="D2091" t="s">
        <v>19</v>
      </c>
      <c r="E2091">
        <v>0</v>
      </c>
      <c r="F2091">
        <v>157500</v>
      </c>
      <c r="G2091" t="s">
        <v>31</v>
      </c>
      <c r="H2091" t="s">
        <v>27</v>
      </c>
      <c r="I2091" t="s">
        <v>33</v>
      </c>
      <c r="J2091" t="s">
        <v>24</v>
      </c>
      <c r="K2091" s="6">
        <f t="shared" ca="1" si="136"/>
        <v>34037</v>
      </c>
      <c r="L2091">
        <v>-11724</v>
      </c>
      <c r="M2091" s="7">
        <f t="shared" ca="1" si="134"/>
        <v>32.098562628336758</v>
      </c>
      <c r="N2091" s="5" t="str">
        <f ca="1">VLOOKUP(Data!M2091,temp!$B$3:$C$9,2,1)</f>
        <v>30-40</v>
      </c>
      <c r="O2091">
        <v>-3703</v>
      </c>
      <c r="P2091" s="8">
        <f t="shared" si="135"/>
        <v>10.138261464750171</v>
      </c>
      <c r="Q2091" s="5" t="str">
        <f t="shared" si="137"/>
        <v>Employed</v>
      </c>
      <c r="R2091">
        <v>1</v>
      </c>
      <c r="S2091">
        <v>1</v>
      </c>
      <c r="T2091">
        <v>0</v>
      </c>
      <c r="U2091">
        <v>1</v>
      </c>
      <c r="V2091" t="s">
        <v>29</v>
      </c>
      <c r="W2091">
        <v>1</v>
      </c>
    </row>
    <row r="2092" spans="1:23" x14ac:dyDescent="0.2">
      <c r="A2092">
        <v>5067158</v>
      </c>
      <c r="B2092" t="s">
        <v>25</v>
      </c>
      <c r="C2092" t="s">
        <v>20</v>
      </c>
      <c r="D2092" t="s">
        <v>19</v>
      </c>
      <c r="E2092">
        <v>0</v>
      </c>
      <c r="F2092">
        <v>157500</v>
      </c>
      <c r="G2092" t="s">
        <v>31</v>
      </c>
      <c r="H2092" t="s">
        <v>27</v>
      </c>
      <c r="I2092" t="s">
        <v>33</v>
      </c>
      <c r="J2092" t="s">
        <v>24</v>
      </c>
      <c r="K2092" s="6">
        <f t="shared" ca="1" si="136"/>
        <v>34037</v>
      </c>
      <c r="L2092">
        <v>-11724</v>
      </c>
      <c r="M2092" s="7">
        <f t="shared" ca="1" si="134"/>
        <v>32.098562628336758</v>
      </c>
      <c r="N2092" s="5" t="str">
        <f ca="1">VLOOKUP(Data!M2092,temp!$B$3:$C$9,2,1)</f>
        <v>30-40</v>
      </c>
      <c r="O2092">
        <v>-3703</v>
      </c>
      <c r="P2092" s="8">
        <f t="shared" si="135"/>
        <v>10.138261464750171</v>
      </c>
      <c r="Q2092" s="5" t="str">
        <f t="shared" si="137"/>
        <v>Employed</v>
      </c>
      <c r="R2092">
        <v>1</v>
      </c>
      <c r="S2092">
        <v>1</v>
      </c>
      <c r="T2092">
        <v>0</v>
      </c>
      <c r="U2092">
        <v>1</v>
      </c>
      <c r="V2092" t="s">
        <v>29</v>
      </c>
      <c r="W2092">
        <v>1</v>
      </c>
    </row>
    <row r="2093" spans="1:23" x14ac:dyDescent="0.2">
      <c r="A2093">
        <v>5067165</v>
      </c>
      <c r="B2093" t="s">
        <v>18</v>
      </c>
      <c r="C2093" t="s">
        <v>19</v>
      </c>
      <c r="D2093" t="s">
        <v>19</v>
      </c>
      <c r="E2093">
        <v>0</v>
      </c>
      <c r="F2093">
        <v>122400</v>
      </c>
      <c r="G2093" t="s">
        <v>31</v>
      </c>
      <c r="H2093" t="s">
        <v>27</v>
      </c>
      <c r="I2093" t="s">
        <v>28</v>
      </c>
      <c r="J2093" t="s">
        <v>24</v>
      </c>
      <c r="K2093" s="6">
        <f t="shared" ca="1" si="136"/>
        <v>24809</v>
      </c>
      <c r="L2093">
        <v>-20952</v>
      </c>
      <c r="M2093" s="7">
        <f t="shared" ca="1" si="134"/>
        <v>57.363449691991789</v>
      </c>
      <c r="N2093" s="5" t="str">
        <f ca="1">VLOOKUP(Data!M2093,temp!$B$3:$C$9,2,1)</f>
        <v>50-60</v>
      </c>
      <c r="O2093">
        <v>-1155</v>
      </c>
      <c r="P2093" s="8">
        <f t="shared" si="135"/>
        <v>3.162217659137577</v>
      </c>
      <c r="Q2093" s="5" t="str">
        <f t="shared" si="137"/>
        <v>Employed</v>
      </c>
      <c r="R2093">
        <v>1</v>
      </c>
      <c r="S2093">
        <v>1</v>
      </c>
      <c r="T2093">
        <v>0</v>
      </c>
      <c r="U2093">
        <v>1</v>
      </c>
      <c r="V2093" t="s">
        <v>50</v>
      </c>
      <c r="W2093">
        <v>2</v>
      </c>
    </row>
    <row r="2094" spans="1:23" x14ac:dyDescent="0.2">
      <c r="A2094">
        <v>5067166</v>
      </c>
      <c r="B2094" t="s">
        <v>18</v>
      </c>
      <c r="C2094" t="s">
        <v>19</v>
      </c>
      <c r="D2094" t="s">
        <v>19</v>
      </c>
      <c r="E2094">
        <v>0</v>
      </c>
      <c r="F2094">
        <v>122400</v>
      </c>
      <c r="G2094" t="s">
        <v>31</v>
      </c>
      <c r="H2094" t="s">
        <v>27</v>
      </c>
      <c r="I2094" t="s">
        <v>28</v>
      </c>
      <c r="J2094" t="s">
        <v>24</v>
      </c>
      <c r="K2094" s="6">
        <f t="shared" ca="1" si="136"/>
        <v>24809</v>
      </c>
      <c r="L2094">
        <v>-20952</v>
      </c>
      <c r="M2094" s="7">
        <f t="shared" ca="1" si="134"/>
        <v>57.363449691991789</v>
      </c>
      <c r="N2094" s="5" t="str">
        <f ca="1">VLOOKUP(Data!M2094,temp!$B$3:$C$9,2,1)</f>
        <v>50-60</v>
      </c>
      <c r="O2094">
        <v>-1155</v>
      </c>
      <c r="P2094" s="8">
        <f t="shared" si="135"/>
        <v>3.162217659137577</v>
      </c>
      <c r="Q2094" s="5" t="str">
        <f t="shared" si="137"/>
        <v>Employed</v>
      </c>
      <c r="R2094">
        <v>1</v>
      </c>
      <c r="S2094">
        <v>1</v>
      </c>
      <c r="T2094">
        <v>0</v>
      </c>
      <c r="U2094">
        <v>1</v>
      </c>
      <c r="V2094" t="s">
        <v>50</v>
      </c>
      <c r="W2094">
        <v>2</v>
      </c>
    </row>
    <row r="2095" spans="1:23" x14ac:dyDescent="0.2">
      <c r="A2095">
        <v>5067191</v>
      </c>
      <c r="B2095" t="s">
        <v>25</v>
      </c>
      <c r="C2095" t="s">
        <v>20</v>
      </c>
      <c r="D2095" t="s">
        <v>20</v>
      </c>
      <c r="E2095">
        <v>0</v>
      </c>
      <c r="F2095">
        <v>180000</v>
      </c>
      <c r="G2095" t="s">
        <v>31</v>
      </c>
      <c r="H2095" t="s">
        <v>51</v>
      </c>
      <c r="I2095" t="s">
        <v>33</v>
      </c>
      <c r="J2095" t="s">
        <v>24</v>
      </c>
      <c r="K2095" s="6">
        <f t="shared" ca="1" si="136"/>
        <v>33773</v>
      </c>
      <c r="L2095">
        <v>-11988</v>
      </c>
      <c r="M2095" s="7">
        <f t="shared" ca="1" si="134"/>
        <v>32.821355236139631</v>
      </c>
      <c r="N2095" s="5" t="str">
        <f ca="1">VLOOKUP(Data!M2095,temp!$B$3:$C$9,2,1)</f>
        <v>30-40</v>
      </c>
      <c r="O2095">
        <v>-2495</v>
      </c>
      <c r="P2095" s="8">
        <f t="shared" si="135"/>
        <v>6.8309377138945928</v>
      </c>
      <c r="Q2095" s="5" t="str">
        <f t="shared" si="137"/>
        <v>Employed</v>
      </c>
      <c r="R2095">
        <v>1</v>
      </c>
      <c r="S2095">
        <v>0</v>
      </c>
      <c r="T2095">
        <v>0</v>
      </c>
      <c r="U2095">
        <v>0</v>
      </c>
      <c r="V2095" t="s">
        <v>29</v>
      </c>
      <c r="W2095">
        <v>1</v>
      </c>
    </row>
    <row r="2096" spans="1:23" x14ac:dyDescent="0.2">
      <c r="A2096">
        <v>5067200</v>
      </c>
      <c r="B2096" t="s">
        <v>25</v>
      </c>
      <c r="C2096" t="s">
        <v>19</v>
      </c>
      <c r="D2096" t="s">
        <v>19</v>
      </c>
      <c r="E2096">
        <v>1</v>
      </c>
      <c r="F2096">
        <v>405000</v>
      </c>
      <c r="G2096" t="s">
        <v>31</v>
      </c>
      <c r="H2096" t="s">
        <v>27</v>
      </c>
      <c r="I2096" t="s">
        <v>28</v>
      </c>
      <c r="J2096" t="s">
        <v>41</v>
      </c>
      <c r="K2096" s="6">
        <f t="shared" ca="1" si="136"/>
        <v>33086</v>
      </c>
      <c r="L2096">
        <v>-12675</v>
      </c>
      <c r="M2096" s="7">
        <f t="shared" ca="1" si="134"/>
        <v>34.702258726899387</v>
      </c>
      <c r="N2096" s="5" t="str">
        <f ca="1">VLOOKUP(Data!M2096,temp!$B$3:$C$9,2,1)</f>
        <v>30-40</v>
      </c>
      <c r="O2096">
        <v>-1328</v>
      </c>
      <c r="P2096" s="8">
        <f t="shared" si="135"/>
        <v>3.6358658453114305</v>
      </c>
      <c r="Q2096" s="5" t="str">
        <f t="shared" si="137"/>
        <v>Employed</v>
      </c>
      <c r="R2096">
        <v>1</v>
      </c>
      <c r="S2096">
        <v>0</v>
      </c>
      <c r="T2096">
        <v>0</v>
      </c>
      <c r="U2096">
        <v>0</v>
      </c>
      <c r="V2096" t="s">
        <v>30</v>
      </c>
      <c r="W2096">
        <v>3</v>
      </c>
    </row>
    <row r="2097" spans="1:23" x14ac:dyDescent="0.2">
      <c r="A2097">
        <v>5067203</v>
      </c>
      <c r="B2097" t="s">
        <v>25</v>
      </c>
      <c r="C2097" t="s">
        <v>19</v>
      </c>
      <c r="D2097" t="s">
        <v>19</v>
      </c>
      <c r="E2097">
        <v>1</v>
      </c>
      <c r="F2097">
        <v>405000</v>
      </c>
      <c r="G2097" t="s">
        <v>31</v>
      </c>
      <c r="H2097" t="s">
        <v>27</v>
      </c>
      <c r="I2097" t="s">
        <v>28</v>
      </c>
      <c r="J2097" t="s">
        <v>41</v>
      </c>
      <c r="K2097" s="6">
        <f t="shared" ca="1" si="136"/>
        <v>33086</v>
      </c>
      <c r="L2097">
        <v>-12675</v>
      </c>
      <c r="M2097" s="7">
        <f t="shared" ca="1" si="134"/>
        <v>34.702258726899387</v>
      </c>
      <c r="N2097" s="5" t="str">
        <f ca="1">VLOOKUP(Data!M2097,temp!$B$3:$C$9,2,1)</f>
        <v>30-40</v>
      </c>
      <c r="O2097">
        <v>-1328</v>
      </c>
      <c r="P2097" s="8">
        <f t="shared" si="135"/>
        <v>3.6358658453114305</v>
      </c>
      <c r="Q2097" s="5" t="str">
        <f t="shared" si="137"/>
        <v>Employed</v>
      </c>
      <c r="R2097">
        <v>1</v>
      </c>
      <c r="S2097">
        <v>0</v>
      </c>
      <c r="T2097">
        <v>0</v>
      </c>
      <c r="U2097">
        <v>0</v>
      </c>
      <c r="V2097" t="s">
        <v>30</v>
      </c>
      <c r="W2097">
        <v>3</v>
      </c>
    </row>
    <row r="2098" spans="1:23" x14ac:dyDescent="0.2">
      <c r="A2098">
        <v>5067209</v>
      </c>
      <c r="B2098" t="s">
        <v>18</v>
      </c>
      <c r="C2098" t="s">
        <v>19</v>
      </c>
      <c r="D2098" t="s">
        <v>19</v>
      </c>
      <c r="E2098">
        <v>0</v>
      </c>
      <c r="F2098">
        <v>103500</v>
      </c>
      <c r="G2098" t="s">
        <v>21</v>
      </c>
      <c r="H2098" t="s">
        <v>27</v>
      </c>
      <c r="I2098" t="s">
        <v>28</v>
      </c>
      <c r="J2098" t="s">
        <v>24</v>
      </c>
      <c r="K2098" s="6">
        <f t="shared" ca="1" si="136"/>
        <v>23027</v>
      </c>
      <c r="L2098">
        <v>-22734</v>
      </c>
      <c r="M2098" s="7">
        <f t="shared" ca="1" si="134"/>
        <v>62.242299794661193</v>
      </c>
      <c r="N2098" s="5" t="str">
        <f ca="1">VLOOKUP(Data!M2098,temp!$B$3:$C$9,2,1)</f>
        <v>60-70</v>
      </c>
      <c r="O2098">
        <v>365243</v>
      </c>
      <c r="P2098" s="8">
        <f t="shared" si="135"/>
        <v>0</v>
      </c>
      <c r="Q2098" s="5" t="str">
        <f t="shared" si="137"/>
        <v>Unemployed</v>
      </c>
      <c r="R2098">
        <v>1</v>
      </c>
      <c r="S2098">
        <v>0</v>
      </c>
      <c r="T2098">
        <v>0</v>
      </c>
      <c r="U2098">
        <v>0</v>
      </c>
      <c r="W2098">
        <v>2</v>
      </c>
    </row>
    <row r="2099" spans="1:23" x14ac:dyDescent="0.2">
      <c r="A2099">
        <v>5067237</v>
      </c>
      <c r="B2099" t="s">
        <v>18</v>
      </c>
      <c r="C2099" t="s">
        <v>20</v>
      </c>
      <c r="D2099" t="s">
        <v>20</v>
      </c>
      <c r="E2099">
        <v>0</v>
      </c>
      <c r="F2099">
        <v>391500</v>
      </c>
      <c r="G2099" t="s">
        <v>31</v>
      </c>
      <c r="H2099" t="s">
        <v>27</v>
      </c>
      <c r="I2099" t="s">
        <v>28</v>
      </c>
      <c r="J2099" t="s">
        <v>24</v>
      </c>
      <c r="K2099" s="6">
        <f t="shared" ca="1" si="136"/>
        <v>28766</v>
      </c>
      <c r="L2099">
        <v>-16995</v>
      </c>
      <c r="M2099" s="7">
        <f t="shared" ca="1" si="134"/>
        <v>46.529774127310063</v>
      </c>
      <c r="N2099" s="5" t="str">
        <f ca="1">VLOOKUP(Data!M2099,temp!$B$3:$C$9,2,1)</f>
        <v>40-50</v>
      </c>
      <c r="O2099">
        <v>-7264</v>
      </c>
      <c r="P2099" s="8">
        <f t="shared" si="135"/>
        <v>19.887748117727583</v>
      </c>
      <c r="Q2099" s="5" t="str">
        <f t="shared" si="137"/>
        <v>Employed</v>
      </c>
      <c r="R2099">
        <v>1</v>
      </c>
      <c r="S2099">
        <v>0</v>
      </c>
      <c r="T2099">
        <v>0</v>
      </c>
      <c r="U2099">
        <v>0</v>
      </c>
      <c r="V2099" t="s">
        <v>38</v>
      </c>
      <c r="W2099">
        <v>2</v>
      </c>
    </row>
    <row r="2100" spans="1:23" x14ac:dyDescent="0.2">
      <c r="A2100">
        <v>5067240</v>
      </c>
      <c r="B2100" t="s">
        <v>18</v>
      </c>
      <c r="C2100" t="s">
        <v>20</v>
      </c>
      <c r="D2100" t="s">
        <v>20</v>
      </c>
      <c r="E2100">
        <v>0</v>
      </c>
      <c r="F2100">
        <v>391500</v>
      </c>
      <c r="G2100" t="s">
        <v>31</v>
      </c>
      <c r="H2100" t="s">
        <v>27</v>
      </c>
      <c r="I2100" t="s">
        <v>28</v>
      </c>
      <c r="J2100" t="s">
        <v>24</v>
      </c>
      <c r="K2100" s="6">
        <f t="shared" ca="1" si="136"/>
        <v>28766</v>
      </c>
      <c r="L2100">
        <v>-16995</v>
      </c>
      <c r="M2100" s="7">
        <f t="shared" ca="1" si="134"/>
        <v>46.529774127310063</v>
      </c>
      <c r="N2100" s="5" t="str">
        <f ca="1">VLOOKUP(Data!M2100,temp!$B$3:$C$9,2,1)</f>
        <v>40-50</v>
      </c>
      <c r="O2100">
        <v>-7264</v>
      </c>
      <c r="P2100" s="8">
        <f t="shared" si="135"/>
        <v>19.887748117727583</v>
      </c>
      <c r="Q2100" s="5" t="str">
        <f t="shared" si="137"/>
        <v>Employed</v>
      </c>
      <c r="R2100">
        <v>1</v>
      </c>
      <c r="S2100">
        <v>0</v>
      </c>
      <c r="T2100">
        <v>0</v>
      </c>
      <c r="U2100">
        <v>0</v>
      </c>
      <c r="V2100" t="s">
        <v>38</v>
      </c>
      <c r="W2100">
        <v>2</v>
      </c>
    </row>
    <row r="2101" spans="1:23" x14ac:dyDescent="0.2">
      <c r="A2101">
        <v>5067249</v>
      </c>
      <c r="B2101" t="s">
        <v>18</v>
      </c>
      <c r="C2101" t="s">
        <v>20</v>
      </c>
      <c r="D2101" t="s">
        <v>20</v>
      </c>
      <c r="E2101">
        <v>0</v>
      </c>
      <c r="F2101">
        <v>391500</v>
      </c>
      <c r="G2101" t="s">
        <v>31</v>
      </c>
      <c r="H2101" t="s">
        <v>27</v>
      </c>
      <c r="I2101" t="s">
        <v>28</v>
      </c>
      <c r="J2101" t="s">
        <v>24</v>
      </c>
      <c r="K2101" s="6">
        <f t="shared" ca="1" si="136"/>
        <v>28766</v>
      </c>
      <c r="L2101">
        <v>-16995</v>
      </c>
      <c r="M2101" s="7">
        <f t="shared" ca="1" si="134"/>
        <v>46.529774127310063</v>
      </c>
      <c r="N2101" s="5" t="str">
        <f ca="1">VLOOKUP(Data!M2101,temp!$B$3:$C$9,2,1)</f>
        <v>40-50</v>
      </c>
      <c r="O2101">
        <v>-7264</v>
      </c>
      <c r="P2101" s="8">
        <f t="shared" si="135"/>
        <v>19.887748117727583</v>
      </c>
      <c r="Q2101" s="5" t="str">
        <f t="shared" si="137"/>
        <v>Employed</v>
      </c>
      <c r="R2101">
        <v>1</v>
      </c>
      <c r="S2101">
        <v>0</v>
      </c>
      <c r="T2101">
        <v>0</v>
      </c>
      <c r="U2101">
        <v>0</v>
      </c>
      <c r="V2101" t="s">
        <v>38</v>
      </c>
      <c r="W2101">
        <v>2</v>
      </c>
    </row>
    <row r="2102" spans="1:23" x14ac:dyDescent="0.2">
      <c r="A2102">
        <v>5067255</v>
      </c>
      <c r="B2102" t="s">
        <v>25</v>
      </c>
      <c r="C2102" t="s">
        <v>20</v>
      </c>
      <c r="D2102" t="s">
        <v>20</v>
      </c>
      <c r="E2102">
        <v>0</v>
      </c>
      <c r="F2102">
        <v>360000</v>
      </c>
      <c r="G2102" t="s">
        <v>21</v>
      </c>
      <c r="H2102" t="s">
        <v>27</v>
      </c>
      <c r="I2102" t="s">
        <v>28</v>
      </c>
      <c r="J2102" t="s">
        <v>24</v>
      </c>
      <c r="K2102" s="6">
        <f t="shared" ca="1" si="136"/>
        <v>24902</v>
      </c>
      <c r="L2102">
        <v>-20859</v>
      </c>
      <c r="M2102" s="7">
        <f t="shared" ca="1" si="134"/>
        <v>57.108829568788501</v>
      </c>
      <c r="N2102" s="5" t="str">
        <f ca="1">VLOOKUP(Data!M2102,temp!$B$3:$C$9,2,1)</f>
        <v>50-60</v>
      </c>
      <c r="O2102">
        <v>365243</v>
      </c>
      <c r="P2102" s="8">
        <f t="shared" si="135"/>
        <v>0</v>
      </c>
      <c r="Q2102" s="5" t="str">
        <f t="shared" si="137"/>
        <v>Unemployed</v>
      </c>
      <c r="R2102">
        <v>1</v>
      </c>
      <c r="S2102">
        <v>0</v>
      </c>
      <c r="T2102">
        <v>0</v>
      </c>
      <c r="U2102">
        <v>1</v>
      </c>
      <c r="W2102">
        <v>2</v>
      </c>
    </row>
    <row r="2103" spans="1:23" x14ac:dyDescent="0.2">
      <c r="A2103">
        <v>5067260</v>
      </c>
      <c r="B2103" t="s">
        <v>18</v>
      </c>
      <c r="C2103" t="s">
        <v>20</v>
      </c>
      <c r="D2103" t="s">
        <v>20</v>
      </c>
      <c r="E2103">
        <v>0</v>
      </c>
      <c r="F2103">
        <v>270000</v>
      </c>
      <c r="G2103" t="s">
        <v>31</v>
      </c>
      <c r="H2103" t="s">
        <v>27</v>
      </c>
      <c r="I2103" t="s">
        <v>28</v>
      </c>
      <c r="J2103" t="s">
        <v>24</v>
      </c>
      <c r="K2103" s="6">
        <f t="shared" ca="1" si="136"/>
        <v>25779</v>
      </c>
      <c r="L2103">
        <v>-19982</v>
      </c>
      <c r="M2103" s="7">
        <f t="shared" ca="1" si="134"/>
        <v>54.70773442847365</v>
      </c>
      <c r="N2103" s="5" t="str">
        <f ca="1">VLOOKUP(Data!M2103,temp!$B$3:$C$9,2,1)</f>
        <v>50-60</v>
      </c>
      <c r="O2103">
        <v>-1724</v>
      </c>
      <c r="P2103" s="8">
        <f t="shared" si="135"/>
        <v>4.7200547570157427</v>
      </c>
      <c r="Q2103" s="5" t="str">
        <f t="shared" si="137"/>
        <v>Employed</v>
      </c>
      <c r="R2103">
        <v>1</v>
      </c>
      <c r="S2103">
        <v>0</v>
      </c>
      <c r="T2103">
        <v>1</v>
      </c>
      <c r="U2103">
        <v>0</v>
      </c>
      <c r="W2103">
        <v>2</v>
      </c>
    </row>
    <row r="2104" spans="1:23" x14ac:dyDescent="0.2">
      <c r="A2104">
        <v>5067263</v>
      </c>
      <c r="B2104" t="s">
        <v>18</v>
      </c>
      <c r="C2104" t="s">
        <v>20</v>
      </c>
      <c r="D2104" t="s">
        <v>20</v>
      </c>
      <c r="E2104">
        <v>0</v>
      </c>
      <c r="F2104">
        <v>270000</v>
      </c>
      <c r="G2104" t="s">
        <v>31</v>
      </c>
      <c r="H2104" t="s">
        <v>27</v>
      </c>
      <c r="I2104" t="s">
        <v>28</v>
      </c>
      <c r="J2104" t="s">
        <v>24</v>
      </c>
      <c r="K2104" s="6">
        <f t="shared" ca="1" si="136"/>
        <v>25779</v>
      </c>
      <c r="L2104">
        <v>-19982</v>
      </c>
      <c r="M2104" s="7">
        <f t="shared" ca="1" si="134"/>
        <v>54.70773442847365</v>
      </c>
      <c r="N2104" s="5" t="str">
        <f ca="1">VLOOKUP(Data!M2104,temp!$B$3:$C$9,2,1)</f>
        <v>50-60</v>
      </c>
      <c r="O2104">
        <v>-1724</v>
      </c>
      <c r="P2104" s="8">
        <f t="shared" si="135"/>
        <v>4.7200547570157427</v>
      </c>
      <c r="Q2104" s="5" t="str">
        <f t="shared" si="137"/>
        <v>Employed</v>
      </c>
      <c r="R2104">
        <v>1</v>
      </c>
      <c r="S2104">
        <v>0</v>
      </c>
      <c r="T2104">
        <v>1</v>
      </c>
      <c r="U2104">
        <v>0</v>
      </c>
      <c r="W2104">
        <v>2</v>
      </c>
    </row>
    <row r="2105" spans="1:23" x14ac:dyDescent="0.2">
      <c r="A2105">
        <v>5067265</v>
      </c>
      <c r="B2105" t="s">
        <v>18</v>
      </c>
      <c r="C2105" t="s">
        <v>20</v>
      </c>
      <c r="D2105" t="s">
        <v>20</v>
      </c>
      <c r="E2105">
        <v>0</v>
      </c>
      <c r="F2105">
        <v>270000</v>
      </c>
      <c r="G2105" t="s">
        <v>31</v>
      </c>
      <c r="H2105" t="s">
        <v>27</v>
      </c>
      <c r="I2105" t="s">
        <v>28</v>
      </c>
      <c r="J2105" t="s">
        <v>24</v>
      </c>
      <c r="K2105" s="6">
        <f t="shared" ca="1" si="136"/>
        <v>25779</v>
      </c>
      <c r="L2105">
        <v>-19982</v>
      </c>
      <c r="M2105" s="7">
        <f t="shared" ca="1" si="134"/>
        <v>54.70773442847365</v>
      </c>
      <c r="N2105" s="5" t="str">
        <f ca="1">VLOOKUP(Data!M2105,temp!$B$3:$C$9,2,1)</f>
        <v>50-60</v>
      </c>
      <c r="O2105">
        <v>-1724</v>
      </c>
      <c r="P2105" s="8">
        <f t="shared" si="135"/>
        <v>4.7200547570157427</v>
      </c>
      <c r="Q2105" s="5" t="str">
        <f t="shared" si="137"/>
        <v>Employed</v>
      </c>
      <c r="R2105">
        <v>1</v>
      </c>
      <c r="S2105">
        <v>0</v>
      </c>
      <c r="T2105">
        <v>1</v>
      </c>
      <c r="U2105">
        <v>0</v>
      </c>
      <c r="W2105">
        <v>2</v>
      </c>
    </row>
    <row r="2106" spans="1:23" x14ac:dyDescent="0.2">
      <c r="A2106">
        <v>5067266</v>
      </c>
      <c r="B2106" t="s">
        <v>18</v>
      </c>
      <c r="C2106" t="s">
        <v>20</v>
      </c>
      <c r="D2106" t="s">
        <v>20</v>
      </c>
      <c r="E2106">
        <v>0</v>
      </c>
      <c r="F2106">
        <v>270000</v>
      </c>
      <c r="G2106" t="s">
        <v>31</v>
      </c>
      <c r="H2106" t="s">
        <v>27</v>
      </c>
      <c r="I2106" t="s">
        <v>28</v>
      </c>
      <c r="J2106" t="s">
        <v>24</v>
      </c>
      <c r="K2106" s="6">
        <f t="shared" ca="1" si="136"/>
        <v>25779</v>
      </c>
      <c r="L2106">
        <v>-19982</v>
      </c>
      <c r="M2106" s="7">
        <f t="shared" ca="1" si="134"/>
        <v>54.70773442847365</v>
      </c>
      <c r="N2106" s="5" t="str">
        <f ca="1">VLOOKUP(Data!M2106,temp!$B$3:$C$9,2,1)</f>
        <v>50-60</v>
      </c>
      <c r="O2106">
        <v>-1724</v>
      </c>
      <c r="P2106" s="8">
        <f t="shared" si="135"/>
        <v>4.7200547570157427</v>
      </c>
      <c r="Q2106" s="5" t="str">
        <f t="shared" si="137"/>
        <v>Employed</v>
      </c>
      <c r="R2106">
        <v>1</v>
      </c>
      <c r="S2106">
        <v>0</v>
      </c>
      <c r="T2106">
        <v>1</v>
      </c>
      <c r="U2106">
        <v>0</v>
      </c>
      <c r="W2106">
        <v>2</v>
      </c>
    </row>
    <row r="2107" spans="1:23" x14ac:dyDescent="0.2">
      <c r="A2107">
        <v>5067277</v>
      </c>
      <c r="B2107" t="s">
        <v>18</v>
      </c>
      <c r="C2107" t="s">
        <v>19</v>
      </c>
      <c r="D2107" t="s">
        <v>20</v>
      </c>
      <c r="E2107">
        <v>0</v>
      </c>
      <c r="F2107">
        <v>135000</v>
      </c>
      <c r="G2107" t="s">
        <v>31</v>
      </c>
      <c r="H2107" t="s">
        <v>27</v>
      </c>
      <c r="I2107" t="s">
        <v>37</v>
      </c>
      <c r="J2107" t="s">
        <v>24</v>
      </c>
      <c r="K2107" s="6">
        <f t="shared" ca="1" si="136"/>
        <v>31964</v>
      </c>
      <c r="L2107">
        <v>-13797</v>
      </c>
      <c r="M2107" s="7">
        <f t="shared" ca="1" si="134"/>
        <v>37.774127310061601</v>
      </c>
      <c r="N2107" s="5" t="str">
        <f ca="1">VLOOKUP(Data!M2107,temp!$B$3:$C$9,2,1)</f>
        <v>30-40</v>
      </c>
      <c r="O2107">
        <v>-4230</v>
      </c>
      <c r="P2107" s="8">
        <f t="shared" si="135"/>
        <v>11.581108829568789</v>
      </c>
      <c r="Q2107" s="5" t="str">
        <f t="shared" si="137"/>
        <v>Employed</v>
      </c>
      <c r="R2107">
        <v>1</v>
      </c>
      <c r="S2107">
        <v>0</v>
      </c>
      <c r="T2107">
        <v>0</v>
      </c>
      <c r="U2107">
        <v>0</v>
      </c>
      <c r="V2107" t="s">
        <v>38</v>
      </c>
      <c r="W2107">
        <v>2</v>
      </c>
    </row>
    <row r="2108" spans="1:23" x14ac:dyDescent="0.2">
      <c r="A2108">
        <v>5067285</v>
      </c>
      <c r="B2108" t="s">
        <v>18</v>
      </c>
      <c r="C2108" t="s">
        <v>19</v>
      </c>
      <c r="D2108" t="s">
        <v>20</v>
      </c>
      <c r="E2108">
        <v>0</v>
      </c>
      <c r="F2108">
        <v>90000</v>
      </c>
      <c r="G2108" t="s">
        <v>26</v>
      </c>
      <c r="H2108" t="s">
        <v>27</v>
      </c>
      <c r="I2108" t="s">
        <v>23</v>
      </c>
      <c r="J2108" t="s">
        <v>24</v>
      </c>
      <c r="K2108" s="6">
        <f t="shared" ca="1" si="136"/>
        <v>25894</v>
      </c>
      <c r="L2108">
        <v>-19867</v>
      </c>
      <c r="M2108" s="7">
        <f t="shared" ca="1" si="134"/>
        <v>54.392881587953454</v>
      </c>
      <c r="N2108" s="5" t="str">
        <f ca="1">VLOOKUP(Data!M2108,temp!$B$3:$C$9,2,1)</f>
        <v>50-60</v>
      </c>
      <c r="O2108">
        <v>-720</v>
      </c>
      <c r="P2108" s="8">
        <f t="shared" si="135"/>
        <v>1.9712525667351128</v>
      </c>
      <c r="Q2108" s="5" t="str">
        <f t="shared" si="137"/>
        <v>Employed</v>
      </c>
      <c r="R2108">
        <v>1</v>
      </c>
      <c r="S2108">
        <v>0</v>
      </c>
      <c r="T2108">
        <v>0</v>
      </c>
      <c r="U2108">
        <v>1</v>
      </c>
      <c r="W2108">
        <v>1</v>
      </c>
    </row>
    <row r="2109" spans="1:23" x14ac:dyDescent="0.2">
      <c r="A2109">
        <v>5067292</v>
      </c>
      <c r="B2109" t="s">
        <v>18</v>
      </c>
      <c r="C2109" t="s">
        <v>19</v>
      </c>
      <c r="D2109" t="s">
        <v>20</v>
      </c>
      <c r="E2109">
        <v>0</v>
      </c>
      <c r="F2109">
        <v>90000</v>
      </c>
      <c r="G2109" t="s">
        <v>26</v>
      </c>
      <c r="H2109" t="s">
        <v>27</v>
      </c>
      <c r="I2109" t="s">
        <v>23</v>
      </c>
      <c r="J2109" t="s">
        <v>24</v>
      </c>
      <c r="K2109" s="6">
        <f t="shared" ca="1" si="136"/>
        <v>25894</v>
      </c>
      <c r="L2109">
        <v>-19867</v>
      </c>
      <c r="M2109" s="7">
        <f t="shared" ca="1" si="134"/>
        <v>54.392881587953454</v>
      </c>
      <c r="N2109" s="5" t="str">
        <f ca="1">VLOOKUP(Data!M2109,temp!$B$3:$C$9,2,1)</f>
        <v>50-60</v>
      </c>
      <c r="O2109">
        <v>-720</v>
      </c>
      <c r="P2109" s="8">
        <f t="shared" si="135"/>
        <v>1.9712525667351128</v>
      </c>
      <c r="Q2109" s="5" t="str">
        <f t="shared" si="137"/>
        <v>Employed</v>
      </c>
      <c r="R2109">
        <v>1</v>
      </c>
      <c r="S2109">
        <v>0</v>
      </c>
      <c r="T2109">
        <v>0</v>
      </c>
      <c r="U2109">
        <v>1</v>
      </c>
      <c r="W2109">
        <v>1</v>
      </c>
    </row>
    <row r="2110" spans="1:23" x14ac:dyDescent="0.2">
      <c r="A2110">
        <v>5067315</v>
      </c>
      <c r="B2110" t="s">
        <v>25</v>
      </c>
      <c r="C2110" t="s">
        <v>20</v>
      </c>
      <c r="D2110" t="s">
        <v>19</v>
      </c>
      <c r="E2110">
        <v>0</v>
      </c>
      <c r="F2110">
        <v>315000</v>
      </c>
      <c r="G2110" t="s">
        <v>26</v>
      </c>
      <c r="H2110" t="s">
        <v>36</v>
      </c>
      <c r="I2110" t="s">
        <v>33</v>
      </c>
      <c r="J2110" t="s">
        <v>24</v>
      </c>
      <c r="K2110" s="6">
        <f t="shared" ca="1" si="136"/>
        <v>28654</v>
      </c>
      <c r="L2110">
        <v>-17107</v>
      </c>
      <c r="M2110" s="7">
        <f t="shared" ca="1" si="134"/>
        <v>46.836413415468854</v>
      </c>
      <c r="N2110" s="5" t="str">
        <f ca="1">VLOOKUP(Data!M2110,temp!$B$3:$C$9,2,1)</f>
        <v>40-50</v>
      </c>
      <c r="O2110">
        <v>-781</v>
      </c>
      <c r="P2110" s="8">
        <f t="shared" si="135"/>
        <v>2.1382614647501712</v>
      </c>
      <c r="Q2110" s="5" t="str">
        <f t="shared" si="137"/>
        <v>Employed</v>
      </c>
      <c r="R2110">
        <v>1</v>
      </c>
      <c r="S2110">
        <v>0</v>
      </c>
      <c r="T2110">
        <v>0</v>
      </c>
      <c r="U2110">
        <v>1</v>
      </c>
      <c r="W2110">
        <v>1</v>
      </c>
    </row>
    <row r="2111" spans="1:23" x14ac:dyDescent="0.2">
      <c r="A2111">
        <v>5067339</v>
      </c>
      <c r="B2111" t="s">
        <v>18</v>
      </c>
      <c r="C2111" t="s">
        <v>20</v>
      </c>
      <c r="D2111" t="s">
        <v>19</v>
      </c>
      <c r="E2111">
        <v>0</v>
      </c>
      <c r="F2111">
        <v>180000</v>
      </c>
      <c r="G2111" t="s">
        <v>26</v>
      </c>
      <c r="H2111" t="s">
        <v>27</v>
      </c>
      <c r="I2111" t="s">
        <v>28</v>
      </c>
      <c r="J2111" t="s">
        <v>24</v>
      </c>
      <c r="K2111" s="6">
        <f t="shared" ca="1" si="136"/>
        <v>29220</v>
      </c>
      <c r="L2111">
        <v>-16541</v>
      </c>
      <c r="M2111" s="7">
        <f t="shared" ca="1" si="134"/>
        <v>45.286789869952088</v>
      </c>
      <c r="N2111" s="5" t="str">
        <f ca="1">VLOOKUP(Data!M2111,temp!$B$3:$C$9,2,1)</f>
        <v>40-50</v>
      </c>
      <c r="O2111">
        <v>-1085</v>
      </c>
      <c r="P2111" s="8">
        <f t="shared" si="135"/>
        <v>2.97056810403833</v>
      </c>
      <c r="Q2111" s="5" t="str">
        <f t="shared" si="137"/>
        <v>Employed</v>
      </c>
      <c r="R2111">
        <v>1</v>
      </c>
      <c r="S2111">
        <v>0</v>
      </c>
      <c r="T2111">
        <v>1</v>
      </c>
      <c r="U2111">
        <v>0</v>
      </c>
      <c r="W2111">
        <v>2</v>
      </c>
    </row>
    <row r="2112" spans="1:23" x14ac:dyDescent="0.2">
      <c r="A2112">
        <v>5067346</v>
      </c>
      <c r="B2112" t="s">
        <v>25</v>
      </c>
      <c r="C2112" t="s">
        <v>20</v>
      </c>
      <c r="D2112" t="s">
        <v>20</v>
      </c>
      <c r="E2112">
        <v>1</v>
      </c>
      <c r="F2112">
        <v>90000</v>
      </c>
      <c r="G2112" t="s">
        <v>26</v>
      </c>
      <c r="H2112" t="s">
        <v>27</v>
      </c>
      <c r="I2112" t="s">
        <v>28</v>
      </c>
      <c r="J2112" t="s">
        <v>24</v>
      </c>
      <c r="K2112" s="6">
        <f t="shared" ca="1" si="136"/>
        <v>35969</v>
      </c>
      <c r="L2112">
        <v>-9792</v>
      </c>
      <c r="M2112" s="7">
        <f t="shared" ca="1" si="134"/>
        <v>26.809034907597535</v>
      </c>
      <c r="N2112" s="5" t="str">
        <f ca="1">VLOOKUP(Data!M2112,temp!$B$3:$C$9,2,1)</f>
        <v>20-30</v>
      </c>
      <c r="O2112">
        <v>-365</v>
      </c>
      <c r="P2112" s="8">
        <f t="shared" si="135"/>
        <v>0.99931553730321698</v>
      </c>
      <c r="Q2112" s="5" t="str">
        <f t="shared" si="137"/>
        <v>Employed</v>
      </c>
      <c r="R2112">
        <v>1</v>
      </c>
      <c r="S2112">
        <v>0</v>
      </c>
      <c r="T2112">
        <v>0</v>
      </c>
      <c r="U2112">
        <v>0</v>
      </c>
      <c r="V2112" t="s">
        <v>39</v>
      </c>
      <c r="W2112">
        <v>3</v>
      </c>
    </row>
    <row r="2113" spans="1:23" x14ac:dyDescent="0.2">
      <c r="A2113">
        <v>5067357</v>
      </c>
      <c r="B2113" t="s">
        <v>18</v>
      </c>
      <c r="C2113" t="s">
        <v>19</v>
      </c>
      <c r="D2113" t="s">
        <v>20</v>
      </c>
      <c r="E2113">
        <v>0</v>
      </c>
      <c r="F2113">
        <v>99000</v>
      </c>
      <c r="G2113" t="s">
        <v>35</v>
      </c>
      <c r="H2113" t="s">
        <v>22</v>
      </c>
      <c r="I2113" t="s">
        <v>28</v>
      </c>
      <c r="J2113" t="s">
        <v>45</v>
      </c>
      <c r="K2113" s="6">
        <f t="shared" ca="1" si="136"/>
        <v>22366</v>
      </c>
      <c r="L2113">
        <v>-23395</v>
      </c>
      <c r="M2113" s="7">
        <f t="shared" ca="1" si="134"/>
        <v>64.05201916495551</v>
      </c>
      <c r="N2113" s="5" t="str">
        <f ca="1">VLOOKUP(Data!M2113,temp!$B$3:$C$9,2,1)</f>
        <v>60-70</v>
      </c>
      <c r="O2113">
        <v>-151</v>
      </c>
      <c r="P2113" s="8">
        <f t="shared" si="135"/>
        <v>0.4134154688569473</v>
      </c>
      <c r="Q2113" s="5" t="str">
        <f t="shared" si="137"/>
        <v>Employed</v>
      </c>
      <c r="R2113">
        <v>1</v>
      </c>
      <c r="S2113">
        <v>0</v>
      </c>
      <c r="T2113">
        <v>1</v>
      </c>
      <c r="U2113">
        <v>0</v>
      </c>
      <c r="V2113" t="s">
        <v>38</v>
      </c>
      <c r="W2113">
        <v>2</v>
      </c>
    </row>
    <row r="2114" spans="1:23" x14ac:dyDescent="0.2">
      <c r="A2114">
        <v>5067371</v>
      </c>
      <c r="B2114" t="s">
        <v>18</v>
      </c>
      <c r="C2114" t="s">
        <v>20</v>
      </c>
      <c r="D2114" t="s">
        <v>20</v>
      </c>
      <c r="E2114">
        <v>0</v>
      </c>
      <c r="F2114">
        <v>315000</v>
      </c>
      <c r="G2114" t="s">
        <v>26</v>
      </c>
      <c r="H2114" t="s">
        <v>36</v>
      </c>
      <c r="I2114" t="s">
        <v>33</v>
      </c>
      <c r="J2114" t="s">
        <v>24</v>
      </c>
      <c r="K2114" s="6">
        <f t="shared" ca="1" si="136"/>
        <v>36631</v>
      </c>
      <c r="L2114">
        <v>-9130</v>
      </c>
      <c r="M2114" s="7">
        <f t="shared" ca="1" si="134"/>
        <v>24.996577686516083</v>
      </c>
      <c r="N2114" s="5" t="str">
        <f ca="1">VLOOKUP(Data!M2114,temp!$B$3:$C$9,2,1)</f>
        <v>20-30</v>
      </c>
      <c r="O2114">
        <v>-1390</v>
      </c>
      <c r="P2114" s="8">
        <f t="shared" si="135"/>
        <v>3.805612594113621</v>
      </c>
      <c r="Q2114" s="5" t="str">
        <f t="shared" si="137"/>
        <v>Employed</v>
      </c>
      <c r="R2114">
        <v>1</v>
      </c>
      <c r="S2114">
        <v>0</v>
      </c>
      <c r="T2114">
        <v>1</v>
      </c>
      <c r="U2114">
        <v>0</v>
      </c>
      <c r="V2114" t="s">
        <v>38</v>
      </c>
      <c r="W2114">
        <v>1</v>
      </c>
    </row>
    <row r="2115" spans="1:23" x14ac:dyDescent="0.2">
      <c r="A2115">
        <v>5067375</v>
      </c>
      <c r="B2115" t="s">
        <v>18</v>
      </c>
      <c r="C2115" t="s">
        <v>20</v>
      </c>
      <c r="D2115" t="s">
        <v>20</v>
      </c>
      <c r="E2115">
        <v>0</v>
      </c>
      <c r="F2115">
        <v>315000</v>
      </c>
      <c r="G2115" t="s">
        <v>26</v>
      </c>
      <c r="H2115" t="s">
        <v>36</v>
      </c>
      <c r="I2115" t="s">
        <v>33</v>
      </c>
      <c r="J2115" t="s">
        <v>24</v>
      </c>
      <c r="K2115" s="6">
        <f t="shared" ca="1" si="136"/>
        <v>36631</v>
      </c>
      <c r="L2115">
        <v>-9130</v>
      </c>
      <c r="M2115" s="7">
        <f t="shared" ref="M2115:M2178" ca="1" si="138">(TODAY()-K2115)/365.25</f>
        <v>24.996577686516083</v>
      </c>
      <c r="N2115" s="5" t="str">
        <f ca="1">VLOOKUP(Data!M2115,temp!$B$3:$C$9,2,1)</f>
        <v>20-30</v>
      </c>
      <c r="O2115">
        <v>-1390</v>
      </c>
      <c r="P2115" s="8">
        <f t="shared" ref="P2115:P2178" si="139">IF(O2115&lt;=0,ABS(O2115)/365.25,0)</f>
        <v>3.805612594113621</v>
      </c>
      <c r="Q2115" s="5" t="str">
        <f t="shared" si="137"/>
        <v>Employed</v>
      </c>
      <c r="R2115">
        <v>1</v>
      </c>
      <c r="S2115">
        <v>0</v>
      </c>
      <c r="T2115">
        <v>1</v>
      </c>
      <c r="U2115">
        <v>0</v>
      </c>
      <c r="V2115" t="s">
        <v>38</v>
      </c>
      <c r="W2115">
        <v>1</v>
      </c>
    </row>
    <row r="2116" spans="1:23" x14ac:dyDescent="0.2">
      <c r="A2116">
        <v>5067377</v>
      </c>
      <c r="B2116" t="s">
        <v>18</v>
      </c>
      <c r="C2116" t="s">
        <v>20</v>
      </c>
      <c r="D2116" t="s">
        <v>20</v>
      </c>
      <c r="E2116">
        <v>0</v>
      </c>
      <c r="F2116">
        <v>315000</v>
      </c>
      <c r="G2116" t="s">
        <v>26</v>
      </c>
      <c r="H2116" t="s">
        <v>36</v>
      </c>
      <c r="I2116" t="s">
        <v>33</v>
      </c>
      <c r="J2116" t="s">
        <v>24</v>
      </c>
      <c r="K2116" s="6">
        <f t="shared" ca="1" si="136"/>
        <v>36631</v>
      </c>
      <c r="L2116">
        <v>-9130</v>
      </c>
      <c r="M2116" s="7">
        <f t="shared" ca="1" si="138"/>
        <v>24.996577686516083</v>
      </c>
      <c r="N2116" s="5" t="str">
        <f ca="1">VLOOKUP(Data!M2116,temp!$B$3:$C$9,2,1)</f>
        <v>20-30</v>
      </c>
      <c r="O2116">
        <v>-1390</v>
      </c>
      <c r="P2116" s="8">
        <f t="shared" si="139"/>
        <v>3.805612594113621</v>
      </c>
      <c r="Q2116" s="5" t="str">
        <f t="shared" si="137"/>
        <v>Employed</v>
      </c>
      <c r="R2116">
        <v>1</v>
      </c>
      <c r="S2116">
        <v>0</v>
      </c>
      <c r="T2116">
        <v>1</v>
      </c>
      <c r="U2116">
        <v>0</v>
      </c>
      <c r="V2116" t="s">
        <v>38</v>
      </c>
      <c r="W2116">
        <v>1</v>
      </c>
    </row>
    <row r="2117" spans="1:23" x14ac:dyDescent="0.2">
      <c r="A2117">
        <v>5067379</v>
      </c>
      <c r="B2117" t="s">
        <v>18</v>
      </c>
      <c r="C2117" t="s">
        <v>20</v>
      </c>
      <c r="D2117" t="s">
        <v>20</v>
      </c>
      <c r="E2117">
        <v>0</v>
      </c>
      <c r="F2117">
        <v>315000</v>
      </c>
      <c r="G2117" t="s">
        <v>26</v>
      </c>
      <c r="H2117" t="s">
        <v>36</v>
      </c>
      <c r="I2117" t="s">
        <v>33</v>
      </c>
      <c r="J2117" t="s">
        <v>24</v>
      </c>
      <c r="K2117" s="6">
        <f t="shared" ca="1" si="136"/>
        <v>36631</v>
      </c>
      <c r="L2117">
        <v>-9130</v>
      </c>
      <c r="M2117" s="7">
        <f t="shared" ca="1" si="138"/>
        <v>24.996577686516083</v>
      </c>
      <c r="N2117" s="5" t="str">
        <f ca="1">VLOOKUP(Data!M2117,temp!$B$3:$C$9,2,1)</f>
        <v>20-30</v>
      </c>
      <c r="O2117">
        <v>-1390</v>
      </c>
      <c r="P2117" s="8">
        <f t="shared" si="139"/>
        <v>3.805612594113621</v>
      </c>
      <c r="Q2117" s="5" t="str">
        <f t="shared" si="137"/>
        <v>Employed</v>
      </c>
      <c r="R2117">
        <v>1</v>
      </c>
      <c r="S2117">
        <v>0</v>
      </c>
      <c r="T2117">
        <v>1</v>
      </c>
      <c r="U2117">
        <v>0</v>
      </c>
      <c r="V2117" t="s">
        <v>38</v>
      </c>
      <c r="W2117">
        <v>1</v>
      </c>
    </row>
    <row r="2118" spans="1:23" x14ac:dyDescent="0.2">
      <c r="A2118">
        <v>5067412</v>
      </c>
      <c r="B2118" t="s">
        <v>25</v>
      </c>
      <c r="C2118" t="s">
        <v>20</v>
      </c>
      <c r="D2118" t="s">
        <v>20</v>
      </c>
      <c r="E2118">
        <v>0</v>
      </c>
      <c r="F2118">
        <v>225000</v>
      </c>
      <c r="G2118" t="s">
        <v>26</v>
      </c>
      <c r="H2118" t="s">
        <v>27</v>
      </c>
      <c r="I2118" t="s">
        <v>28</v>
      </c>
      <c r="J2118" t="s">
        <v>24</v>
      </c>
      <c r="K2118" s="6">
        <f t="shared" ca="1" si="136"/>
        <v>33798</v>
      </c>
      <c r="L2118">
        <v>-11963</v>
      </c>
      <c r="M2118" s="7">
        <f t="shared" ca="1" si="138"/>
        <v>32.752908966461327</v>
      </c>
      <c r="N2118" s="5" t="str">
        <f ca="1">VLOOKUP(Data!M2118,temp!$B$3:$C$9,2,1)</f>
        <v>30-40</v>
      </c>
      <c r="O2118">
        <v>-3742</v>
      </c>
      <c r="P2118" s="8">
        <f t="shared" si="139"/>
        <v>10.245037645448322</v>
      </c>
      <c r="Q2118" s="5" t="str">
        <f t="shared" si="137"/>
        <v>Employed</v>
      </c>
      <c r="R2118">
        <v>1</v>
      </c>
      <c r="S2118">
        <v>0</v>
      </c>
      <c r="T2118">
        <v>0</v>
      </c>
      <c r="U2118">
        <v>1</v>
      </c>
      <c r="V2118" t="s">
        <v>32</v>
      </c>
      <c r="W2118">
        <v>2</v>
      </c>
    </row>
    <row r="2119" spans="1:23" x14ac:dyDescent="0.2">
      <c r="A2119">
        <v>5067431</v>
      </c>
      <c r="B2119" t="s">
        <v>18</v>
      </c>
      <c r="C2119" t="s">
        <v>19</v>
      </c>
      <c r="D2119" t="s">
        <v>20</v>
      </c>
      <c r="E2119">
        <v>0</v>
      </c>
      <c r="F2119">
        <v>112500</v>
      </c>
      <c r="G2119" t="s">
        <v>21</v>
      </c>
      <c r="H2119" t="s">
        <v>27</v>
      </c>
      <c r="I2119" t="s">
        <v>42</v>
      </c>
      <c r="J2119" t="s">
        <v>24</v>
      </c>
      <c r="K2119" s="6">
        <f t="shared" ca="1" si="136"/>
        <v>25225</v>
      </c>
      <c r="L2119">
        <v>-20536</v>
      </c>
      <c r="M2119" s="7">
        <f t="shared" ca="1" si="138"/>
        <v>56.224503764544835</v>
      </c>
      <c r="N2119" s="5" t="str">
        <f ca="1">VLOOKUP(Data!M2119,temp!$B$3:$C$9,2,1)</f>
        <v>50-60</v>
      </c>
      <c r="O2119">
        <v>365243</v>
      </c>
      <c r="P2119" s="8">
        <f t="shared" si="139"/>
        <v>0</v>
      </c>
      <c r="Q2119" s="5" t="str">
        <f t="shared" si="137"/>
        <v>Unemployed</v>
      </c>
      <c r="R2119">
        <v>1</v>
      </c>
      <c r="S2119">
        <v>0</v>
      </c>
      <c r="T2119">
        <v>0</v>
      </c>
      <c r="U2119">
        <v>0</v>
      </c>
      <c r="W2119">
        <v>1</v>
      </c>
    </row>
    <row r="2120" spans="1:23" x14ac:dyDescent="0.2">
      <c r="A2120">
        <v>5067433</v>
      </c>
      <c r="B2120" t="s">
        <v>18</v>
      </c>
      <c r="C2120" t="s">
        <v>19</v>
      </c>
      <c r="D2120" t="s">
        <v>20</v>
      </c>
      <c r="E2120">
        <v>0</v>
      </c>
      <c r="F2120">
        <v>112500</v>
      </c>
      <c r="G2120" t="s">
        <v>21</v>
      </c>
      <c r="H2120" t="s">
        <v>27</v>
      </c>
      <c r="I2120" t="s">
        <v>42</v>
      </c>
      <c r="J2120" t="s">
        <v>24</v>
      </c>
      <c r="K2120" s="6">
        <f t="shared" ref="K2120:K2183" ca="1" si="140">TODAY()+($L2120)</f>
        <v>25225</v>
      </c>
      <c r="L2120">
        <v>-20536</v>
      </c>
      <c r="M2120" s="7">
        <f t="shared" ca="1" si="138"/>
        <v>56.224503764544835</v>
      </c>
      <c r="N2120" s="5" t="str">
        <f ca="1">VLOOKUP(Data!M2120,temp!$B$3:$C$9,2,1)</f>
        <v>50-60</v>
      </c>
      <c r="O2120">
        <v>365243</v>
      </c>
      <c r="P2120" s="8">
        <f t="shared" si="139"/>
        <v>0</v>
      </c>
      <c r="Q2120" s="5" t="str">
        <f t="shared" ref="Q2120:Q2183" si="141">IF($O2120&gt;0,"Unemployed","Employed")</f>
        <v>Unemployed</v>
      </c>
      <c r="R2120">
        <v>1</v>
      </c>
      <c r="S2120">
        <v>0</v>
      </c>
      <c r="T2120">
        <v>0</v>
      </c>
      <c r="U2120">
        <v>0</v>
      </c>
      <c r="W2120">
        <v>1</v>
      </c>
    </row>
    <row r="2121" spans="1:23" x14ac:dyDescent="0.2">
      <c r="A2121">
        <v>5067444</v>
      </c>
      <c r="B2121" t="s">
        <v>18</v>
      </c>
      <c r="C2121" t="s">
        <v>20</v>
      </c>
      <c r="D2121" t="s">
        <v>20</v>
      </c>
      <c r="E2121">
        <v>0</v>
      </c>
      <c r="F2121">
        <v>135000</v>
      </c>
      <c r="G2121" t="s">
        <v>21</v>
      </c>
      <c r="H2121" t="s">
        <v>27</v>
      </c>
      <c r="I2121" t="s">
        <v>28</v>
      </c>
      <c r="J2121" t="s">
        <v>24</v>
      </c>
      <c r="K2121" s="6">
        <f t="shared" ca="1" si="140"/>
        <v>22881</v>
      </c>
      <c r="L2121">
        <v>-22880</v>
      </c>
      <c r="M2121" s="7">
        <f t="shared" ca="1" si="138"/>
        <v>62.64202600958248</v>
      </c>
      <c r="N2121" s="5" t="str">
        <f ca="1">VLOOKUP(Data!M2121,temp!$B$3:$C$9,2,1)</f>
        <v>60-70</v>
      </c>
      <c r="O2121">
        <v>365243</v>
      </c>
      <c r="P2121" s="8">
        <f t="shared" si="139"/>
        <v>0</v>
      </c>
      <c r="Q2121" s="5" t="str">
        <f t="shared" si="141"/>
        <v>Unemployed</v>
      </c>
      <c r="R2121">
        <v>1</v>
      </c>
      <c r="S2121">
        <v>0</v>
      </c>
      <c r="T2121">
        <v>0</v>
      </c>
      <c r="U2121">
        <v>0</v>
      </c>
      <c r="W2121">
        <v>2</v>
      </c>
    </row>
    <row r="2122" spans="1:23" x14ac:dyDescent="0.2">
      <c r="A2122">
        <v>5067461</v>
      </c>
      <c r="B2122" t="s">
        <v>18</v>
      </c>
      <c r="C2122" t="s">
        <v>19</v>
      </c>
      <c r="D2122" t="s">
        <v>20</v>
      </c>
      <c r="E2122">
        <v>1</v>
      </c>
      <c r="F2122">
        <v>247500</v>
      </c>
      <c r="G2122" t="s">
        <v>26</v>
      </c>
      <c r="H2122" t="s">
        <v>27</v>
      </c>
      <c r="I2122" t="s">
        <v>37</v>
      </c>
      <c r="J2122" t="s">
        <v>24</v>
      </c>
      <c r="K2122" s="6">
        <f t="shared" ca="1" si="140"/>
        <v>34381</v>
      </c>
      <c r="L2122">
        <v>-11380</v>
      </c>
      <c r="M2122" s="7">
        <f t="shared" ca="1" si="138"/>
        <v>31.156741957563312</v>
      </c>
      <c r="N2122" s="5" t="str">
        <f ca="1">VLOOKUP(Data!M2122,temp!$B$3:$C$9,2,1)</f>
        <v>30-40</v>
      </c>
      <c r="O2122">
        <v>-1540</v>
      </c>
      <c r="P2122" s="8">
        <f t="shared" si="139"/>
        <v>4.216290212183436</v>
      </c>
      <c r="Q2122" s="5" t="str">
        <f t="shared" si="141"/>
        <v>Employed</v>
      </c>
      <c r="R2122">
        <v>1</v>
      </c>
      <c r="S2122">
        <v>0</v>
      </c>
      <c r="T2122">
        <v>0</v>
      </c>
      <c r="U2122">
        <v>1</v>
      </c>
      <c r="V2122" t="s">
        <v>29</v>
      </c>
      <c r="W2122">
        <v>3</v>
      </c>
    </row>
    <row r="2123" spans="1:23" x14ac:dyDescent="0.2">
      <c r="A2123">
        <v>5067470</v>
      </c>
      <c r="B2123" t="s">
        <v>18</v>
      </c>
      <c r="C2123" t="s">
        <v>19</v>
      </c>
      <c r="D2123" t="s">
        <v>20</v>
      </c>
      <c r="E2123">
        <v>1</v>
      </c>
      <c r="F2123">
        <v>247500</v>
      </c>
      <c r="G2123" t="s">
        <v>26</v>
      </c>
      <c r="H2123" t="s">
        <v>27</v>
      </c>
      <c r="I2123" t="s">
        <v>37</v>
      </c>
      <c r="J2123" t="s">
        <v>24</v>
      </c>
      <c r="K2123" s="6">
        <f t="shared" ca="1" si="140"/>
        <v>34381</v>
      </c>
      <c r="L2123">
        <v>-11380</v>
      </c>
      <c r="M2123" s="7">
        <f t="shared" ca="1" si="138"/>
        <v>31.156741957563312</v>
      </c>
      <c r="N2123" s="5" t="str">
        <f ca="1">VLOOKUP(Data!M2123,temp!$B$3:$C$9,2,1)</f>
        <v>30-40</v>
      </c>
      <c r="O2123">
        <v>-1540</v>
      </c>
      <c r="P2123" s="8">
        <f t="shared" si="139"/>
        <v>4.216290212183436</v>
      </c>
      <c r="Q2123" s="5" t="str">
        <f t="shared" si="141"/>
        <v>Employed</v>
      </c>
      <c r="R2123">
        <v>1</v>
      </c>
      <c r="S2123">
        <v>0</v>
      </c>
      <c r="T2123">
        <v>0</v>
      </c>
      <c r="U2123">
        <v>1</v>
      </c>
      <c r="V2123" t="s">
        <v>29</v>
      </c>
      <c r="W2123">
        <v>3</v>
      </c>
    </row>
    <row r="2124" spans="1:23" x14ac:dyDescent="0.2">
      <c r="A2124">
        <v>5067473</v>
      </c>
      <c r="B2124" t="s">
        <v>25</v>
      </c>
      <c r="C2124" t="s">
        <v>19</v>
      </c>
      <c r="D2124" t="s">
        <v>20</v>
      </c>
      <c r="E2124">
        <v>0</v>
      </c>
      <c r="F2124">
        <v>247500</v>
      </c>
      <c r="G2124" t="s">
        <v>31</v>
      </c>
      <c r="H2124" t="s">
        <v>22</v>
      </c>
      <c r="I2124" t="s">
        <v>28</v>
      </c>
      <c r="J2124" t="s">
        <v>24</v>
      </c>
      <c r="K2124" s="6">
        <f t="shared" ca="1" si="140"/>
        <v>35271</v>
      </c>
      <c r="L2124">
        <v>-10490</v>
      </c>
      <c r="M2124" s="7">
        <f t="shared" ca="1" si="138"/>
        <v>28.720054757015742</v>
      </c>
      <c r="N2124" s="5" t="str">
        <f ca="1">VLOOKUP(Data!M2124,temp!$B$3:$C$9,2,1)</f>
        <v>20-30</v>
      </c>
      <c r="O2124">
        <v>-3591</v>
      </c>
      <c r="P2124" s="8">
        <f t="shared" si="139"/>
        <v>9.8316221765913756</v>
      </c>
      <c r="Q2124" s="5" t="str">
        <f t="shared" si="141"/>
        <v>Employed</v>
      </c>
      <c r="R2124">
        <v>1</v>
      </c>
      <c r="S2124">
        <v>0</v>
      </c>
      <c r="T2124">
        <v>0</v>
      </c>
      <c r="U2124">
        <v>0</v>
      </c>
      <c r="V2124" t="s">
        <v>30</v>
      </c>
      <c r="W2124">
        <v>2</v>
      </c>
    </row>
    <row r="2125" spans="1:23" x14ac:dyDescent="0.2">
      <c r="A2125">
        <v>5067489</v>
      </c>
      <c r="B2125" t="s">
        <v>18</v>
      </c>
      <c r="C2125" t="s">
        <v>19</v>
      </c>
      <c r="D2125" t="s">
        <v>20</v>
      </c>
      <c r="E2125">
        <v>2</v>
      </c>
      <c r="F2125">
        <v>180000</v>
      </c>
      <c r="G2125" t="s">
        <v>31</v>
      </c>
      <c r="H2125" t="s">
        <v>22</v>
      </c>
      <c r="I2125" t="s">
        <v>28</v>
      </c>
      <c r="J2125" t="s">
        <v>24</v>
      </c>
      <c r="K2125" s="6">
        <f t="shared" ca="1" si="140"/>
        <v>32901</v>
      </c>
      <c r="L2125">
        <v>-12860</v>
      </c>
      <c r="M2125" s="7">
        <f t="shared" ca="1" si="138"/>
        <v>35.208761122518823</v>
      </c>
      <c r="N2125" s="5" t="str">
        <f ca="1">VLOOKUP(Data!M2125,temp!$B$3:$C$9,2,1)</f>
        <v>30-40</v>
      </c>
      <c r="O2125">
        <v>-4657</v>
      </c>
      <c r="P2125" s="8">
        <f t="shared" si="139"/>
        <v>12.750171115674195</v>
      </c>
      <c r="Q2125" s="5" t="str">
        <f t="shared" si="141"/>
        <v>Employed</v>
      </c>
      <c r="R2125">
        <v>1</v>
      </c>
      <c r="S2125">
        <v>1</v>
      </c>
      <c r="T2125">
        <v>1</v>
      </c>
      <c r="U2125">
        <v>0</v>
      </c>
      <c r="V2125" t="s">
        <v>47</v>
      </c>
      <c r="W2125">
        <v>4</v>
      </c>
    </row>
    <row r="2126" spans="1:23" x14ac:dyDescent="0.2">
      <c r="A2126">
        <v>5067490</v>
      </c>
      <c r="B2126" t="s">
        <v>18</v>
      </c>
      <c r="C2126" t="s">
        <v>19</v>
      </c>
      <c r="D2126" t="s">
        <v>20</v>
      </c>
      <c r="E2126">
        <v>2</v>
      </c>
      <c r="F2126">
        <v>180000</v>
      </c>
      <c r="G2126" t="s">
        <v>31</v>
      </c>
      <c r="H2126" t="s">
        <v>22</v>
      </c>
      <c r="I2126" t="s">
        <v>28</v>
      </c>
      <c r="J2126" t="s">
        <v>24</v>
      </c>
      <c r="K2126" s="6">
        <f t="shared" ca="1" si="140"/>
        <v>32901</v>
      </c>
      <c r="L2126">
        <v>-12860</v>
      </c>
      <c r="M2126" s="7">
        <f t="shared" ca="1" si="138"/>
        <v>35.208761122518823</v>
      </c>
      <c r="N2126" s="5" t="str">
        <f ca="1">VLOOKUP(Data!M2126,temp!$B$3:$C$9,2,1)</f>
        <v>30-40</v>
      </c>
      <c r="O2126">
        <v>-4657</v>
      </c>
      <c r="P2126" s="8">
        <f t="shared" si="139"/>
        <v>12.750171115674195</v>
      </c>
      <c r="Q2126" s="5" t="str">
        <f t="shared" si="141"/>
        <v>Employed</v>
      </c>
      <c r="R2126">
        <v>1</v>
      </c>
      <c r="S2126">
        <v>1</v>
      </c>
      <c r="T2126">
        <v>1</v>
      </c>
      <c r="U2126">
        <v>0</v>
      </c>
      <c r="V2126" t="s">
        <v>47</v>
      </c>
      <c r="W2126">
        <v>4</v>
      </c>
    </row>
    <row r="2127" spans="1:23" x14ac:dyDescent="0.2">
      <c r="A2127">
        <v>5067500</v>
      </c>
      <c r="B2127" t="s">
        <v>18</v>
      </c>
      <c r="C2127" t="s">
        <v>19</v>
      </c>
      <c r="D2127" t="s">
        <v>20</v>
      </c>
      <c r="E2127">
        <v>1</v>
      </c>
      <c r="F2127">
        <v>112500</v>
      </c>
      <c r="G2127" t="s">
        <v>35</v>
      </c>
      <c r="H2127" t="s">
        <v>27</v>
      </c>
      <c r="I2127" t="s">
        <v>28</v>
      </c>
      <c r="J2127" t="s">
        <v>24</v>
      </c>
      <c r="K2127" s="6">
        <f t="shared" ca="1" si="140"/>
        <v>27805</v>
      </c>
      <c r="L2127">
        <v>-17956</v>
      </c>
      <c r="M2127" s="7">
        <f t="shared" ca="1" si="138"/>
        <v>49.160848733744011</v>
      </c>
      <c r="N2127" s="5" t="str">
        <f ca="1">VLOOKUP(Data!M2127,temp!$B$3:$C$9,2,1)</f>
        <v>40-50</v>
      </c>
      <c r="O2127">
        <v>-9363</v>
      </c>
      <c r="P2127" s="8">
        <f t="shared" si="139"/>
        <v>25.634496919917865</v>
      </c>
      <c r="Q2127" s="5" t="str">
        <f t="shared" si="141"/>
        <v>Employed</v>
      </c>
      <c r="R2127">
        <v>1</v>
      </c>
      <c r="S2127">
        <v>0</v>
      </c>
      <c r="T2127">
        <v>0</v>
      </c>
      <c r="U2127">
        <v>0</v>
      </c>
      <c r="V2127" t="s">
        <v>38</v>
      </c>
      <c r="W2127">
        <v>3</v>
      </c>
    </row>
    <row r="2128" spans="1:23" x14ac:dyDescent="0.2">
      <c r="A2128">
        <v>5067518</v>
      </c>
      <c r="B2128" t="s">
        <v>18</v>
      </c>
      <c r="C2128" t="s">
        <v>19</v>
      </c>
      <c r="D2128" t="s">
        <v>20</v>
      </c>
      <c r="E2128">
        <v>0</v>
      </c>
      <c r="F2128">
        <v>675000</v>
      </c>
      <c r="G2128" t="s">
        <v>31</v>
      </c>
      <c r="H2128" t="s">
        <v>27</v>
      </c>
      <c r="I2128" t="s">
        <v>28</v>
      </c>
      <c r="J2128" t="s">
        <v>24</v>
      </c>
      <c r="K2128" s="6">
        <f t="shared" ca="1" si="140"/>
        <v>27797</v>
      </c>
      <c r="L2128">
        <v>-17964</v>
      </c>
      <c r="M2128" s="7">
        <f t="shared" ca="1" si="138"/>
        <v>49.182751540041068</v>
      </c>
      <c r="N2128" s="5" t="str">
        <f ca="1">VLOOKUP(Data!M2128,temp!$B$3:$C$9,2,1)</f>
        <v>40-50</v>
      </c>
      <c r="O2128">
        <v>-6594</v>
      </c>
      <c r="P2128" s="8">
        <f t="shared" si="139"/>
        <v>18.053388090349078</v>
      </c>
      <c r="Q2128" s="5" t="str">
        <f t="shared" si="141"/>
        <v>Employed</v>
      </c>
      <c r="R2128">
        <v>1</v>
      </c>
      <c r="S2128">
        <v>0</v>
      </c>
      <c r="T2128">
        <v>0</v>
      </c>
      <c r="U2128">
        <v>1</v>
      </c>
      <c r="W2128">
        <v>2</v>
      </c>
    </row>
    <row r="2129" spans="1:23" x14ac:dyDescent="0.2">
      <c r="A2129">
        <v>5067533</v>
      </c>
      <c r="B2129" t="s">
        <v>18</v>
      </c>
      <c r="C2129" t="s">
        <v>19</v>
      </c>
      <c r="D2129" t="s">
        <v>20</v>
      </c>
      <c r="E2129">
        <v>0</v>
      </c>
      <c r="F2129">
        <v>90000</v>
      </c>
      <c r="G2129" t="s">
        <v>21</v>
      </c>
      <c r="H2129" t="s">
        <v>27</v>
      </c>
      <c r="I2129" t="s">
        <v>33</v>
      </c>
      <c r="J2129" t="s">
        <v>24</v>
      </c>
      <c r="K2129" s="6">
        <f t="shared" ca="1" si="140"/>
        <v>23699</v>
      </c>
      <c r="L2129">
        <v>-22062</v>
      </c>
      <c r="M2129" s="7">
        <f t="shared" ca="1" si="138"/>
        <v>60.402464065708422</v>
      </c>
      <c r="N2129" s="5" t="str">
        <f ca="1">VLOOKUP(Data!M2129,temp!$B$3:$C$9,2,1)</f>
        <v>60-70</v>
      </c>
      <c r="O2129">
        <v>365243</v>
      </c>
      <c r="P2129" s="8">
        <f t="shared" si="139"/>
        <v>0</v>
      </c>
      <c r="Q2129" s="5" t="str">
        <f t="shared" si="141"/>
        <v>Unemployed</v>
      </c>
      <c r="R2129">
        <v>1</v>
      </c>
      <c r="S2129">
        <v>0</v>
      </c>
      <c r="T2129">
        <v>1</v>
      </c>
      <c r="U2129">
        <v>0</v>
      </c>
      <c r="W2129">
        <v>1</v>
      </c>
    </row>
    <row r="2130" spans="1:23" x14ac:dyDescent="0.2">
      <c r="A2130">
        <v>5067550</v>
      </c>
      <c r="B2130" t="s">
        <v>18</v>
      </c>
      <c r="C2130" t="s">
        <v>19</v>
      </c>
      <c r="D2130" t="s">
        <v>20</v>
      </c>
      <c r="E2130">
        <v>0</v>
      </c>
      <c r="F2130">
        <v>175500</v>
      </c>
      <c r="G2130" t="s">
        <v>21</v>
      </c>
      <c r="H2130" t="s">
        <v>27</v>
      </c>
      <c r="I2130" t="s">
        <v>28</v>
      </c>
      <c r="J2130" t="s">
        <v>24</v>
      </c>
      <c r="K2130" s="6">
        <f t="shared" ca="1" si="140"/>
        <v>22319</v>
      </c>
      <c r="L2130">
        <v>-23442</v>
      </c>
      <c r="M2130" s="7">
        <f t="shared" ca="1" si="138"/>
        <v>64.180698151950722</v>
      </c>
      <c r="N2130" s="5" t="str">
        <f ca="1">VLOOKUP(Data!M2130,temp!$B$3:$C$9,2,1)</f>
        <v>60-70</v>
      </c>
      <c r="O2130">
        <v>365243</v>
      </c>
      <c r="P2130" s="8">
        <f t="shared" si="139"/>
        <v>0</v>
      </c>
      <c r="Q2130" s="5" t="str">
        <f t="shared" si="141"/>
        <v>Unemployed</v>
      </c>
      <c r="R2130">
        <v>1</v>
      </c>
      <c r="S2130">
        <v>0</v>
      </c>
      <c r="T2130">
        <v>1</v>
      </c>
      <c r="U2130">
        <v>0</v>
      </c>
      <c r="W2130">
        <v>2</v>
      </c>
    </row>
    <row r="2131" spans="1:23" x14ac:dyDescent="0.2">
      <c r="A2131">
        <v>5067552</v>
      </c>
      <c r="B2131" t="s">
        <v>18</v>
      </c>
      <c r="C2131" t="s">
        <v>19</v>
      </c>
      <c r="D2131" t="s">
        <v>20</v>
      </c>
      <c r="E2131">
        <v>0</v>
      </c>
      <c r="F2131">
        <v>175500</v>
      </c>
      <c r="G2131" t="s">
        <v>21</v>
      </c>
      <c r="H2131" t="s">
        <v>27</v>
      </c>
      <c r="I2131" t="s">
        <v>28</v>
      </c>
      <c r="J2131" t="s">
        <v>24</v>
      </c>
      <c r="K2131" s="6">
        <f t="shared" ca="1" si="140"/>
        <v>22319</v>
      </c>
      <c r="L2131">
        <v>-23442</v>
      </c>
      <c r="M2131" s="7">
        <f t="shared" ca="1" si="138"/>
        <v>64.180698151950722</v>
      </c>
      <c r="N2131" s="5" t="str">
        <f ca="1">VLOOKUP(Data!M2131,temp!$B$3:$C$9,2,1)</f>
        <v>60-70</v>
      </c>
      <c r="O2131">
        <v>365243</v>
      </c>
      <c r="P2131" s="8">
        <f t="shared" si="139"/>
        <v>0</v>
      </c>
      <c r="Q2131" s="5" t="str">
        <f t="shared" si="141"/>
        <v>Unemployed</v>
      </c>
      <c r="R2131">
        <v>1</v>
      </c>
      <c r="S2131">
        <v>0</v>
      </c>
      <c r="T2131">
        <v>1</v>
      </c>
      <c r="U2131">
        <v>0</v>
      </c>
      <c r="W2131">
        <v>2</v>
      </c>
    </row>
    <row r="2132" spans="1:23" x14ac:dyDescent="0.2">
      <c r="A2132">
        <v>5067557</v>
      </c>
      <c r="B2132" t="s">
        <v>18</v>
      </c>
      <c r="C2132" t="s">
        <v>19</v>
      </c>
      <c r="D2132" t="s">
        <v>20</v>
      </c>
      <c r="E2132">
        <v>0</v>
      </c>
      <c r="F2132">
        <v>135000</v>
      </c>
      <c r="G2132" t="s">
        <v>26</v>
      </c>
      <c r="H2132" t="s">
        <v>27</v>
      </c>
      <c r="I2132" t="s">
        <v>28</v>
      </c>
      <c r="J2132" t="s">
        <v>24</v>
      </c>
      <c r="K2132" s="6">
        <f t="shared" ca="1" si="140"/>
        <v>26945</v>
      </c>
      <c r="L2132">
        <v>-18816</v>
      </c>
      <c r="M2132" s="7">
        <f t="shared" ca="1" si="138"/>
        <v>51.515400410677621</v>
      </c>
      <c r="N2132" s="5" t="str">
        <f ca="1">VLOOKUP(Data!M2132,temp!$B$3:$C$9,2,1)</f>
        <v>50-60</v>
      </c>
      <c r="O2132">
        <v>-11494</v>
      </c>
      <c r="P2132" s="8">
        <f t="shared" si="139"/>
        <v>31.468856947296374</v>
      </c>
      <c r="Q2132" s="5" t="str">
        <f t="shared" si="141"/>
        <v>Employed</v>
      </c>
      <c r="R2132">
        <v>1</v>
      </c>
      <c r="S2132">
        <v>0</v>
      </c>
      <c r="T2132">
        <v>0</v>
      </c>
      <c r="U2132">
        <v>0</v>
      </c>
      <c r="V2132" t="s">
        <v>29</v>
      </c>
      <c r="W2132">
        <v>2</v>
      </c>
    </row>
    <row r="2133" spans="1:23" x14ac:dyDescent="0.2">
      <c r="A2133">
        <v>5067559</v>
      </c>
      <c r="B2133" t="s">
        <v>18</v>
      </c>
      <c r="C2133" t="s">
        <v>19</v>
      </c>
      <c r="D2133" t="s">
        <v>20</v>
      </c>
      <c r="E2133">
        <v>1</v>
      </c>
      <c r="F2133">
        <v>225000</v>
      </c>
      <c r="G2133" t="s">
        <v>26</v>
      </c>
      <c r="H2133" t="s">
        <v>22</v>
      </c>
      <c r="I2133" t="s">
        <v>28</v>
      </c>
      <c r="J2133" t="s">
        <v>24</v>
      </c>
      <c r="K2133" s="6">
        <f t="shared" ca="1" si="140"/>
        <v>30603</v>
      </c>
      <c r="L2133">
        <v>-15158</v>
      </c>
      <c r="M2133" s="7">
        <f t="shared" ca="1" si="138"/>
        <v>41.500342231348391</v>
      </c>
      <c r="N2133" s="5" t="str">
        <f ca="1">VLOOKUP(Data!M2133,temp!$B$3:$C$9,2,1)</f>
        <v>40-50</v>
      </c>
      <c r="O2133">
        <v>-3642</v>
      </c>
      <c r="P2133" s="8">
        <f t="shared" si="139"/>
        <v>9.9712525667351137</v>
      </c>
      <c r="Q2133" s="5" t="str">
        <f t="shared" si="141"/>
        <v>Employed</v>
      </c>
      <c r="R2133">
        <v>1</v>
      </c>
      <c r="S2133">
        <v>0</v>
      </c>
      <c r="T2133">
        <v>0</v>
      </c>
      <c r="U2133">
        <v>0</v>
      </c>
      <c r="V2133" t="s">
        <v>38</v>
      </c>
      <c r="W2133">
        <v>3</v>
      </c>
    </row>
    <row r="2134" spans="1:23" x14ac:dyDescent="0.2">
      <c r="A2134">
        <v>5067568</v>
      </c>
      <c r="B2134" t="s">
        <v>25</v>
      </c>
      <c r="C2134" t="s">
        <v>19</v>
      </c>
      <c r="D2134" t="s">
        <v>20</v>
      </c>
      <c r="E2134">
        <v>0</v>
      </c>
      <c r="F2134">
        <v>157500</v>
      </c>
      <c r="G2134" t="s">
        <v>31</v>
      </c>
      <c r="H2134" t="s">
        <v>27</v>
      </c>
      <c r="I2134" t="s">
        <v>37</v>
      </c>
      <c r="J2134" t="s">
        <v>24</v>
      </c>
      <c r="K2134" s="6">
        <f t="shared" ca="1" si="140"/>
        <v>36449</v>
      </c>
      <c r="L2134">
        <v>-9312</v>
      </c>
      <c r="M2134" s="7">
        <f t="shared" ca="1" si="138"/>
        <v>25.494866529774129</v>
      </c>
      <c r="N2134" s="5" t="str">
        <f ca="1">VLOOKUP(Data!M2134,temp!$B$3:$C$9,2,1)</f>
        <v>20-30</v>
      </c>
      <c r="O2134">
        <v>-1095</v>
      </c>
      <c r="P2134" s="8">
        <f t="shared" si="139"/>
        <v>2.9979466119096507</v>
      </c>
      <c r="Q2134" s="5" t="str">
        <f t="shared" si="141"/>
        <v>Employed</v>
      </c>
      <c r="R2134">
        <v>1</v>
      </c>
      <c r="S2134">
        <v>0</v>
      </c>
      <c r="T2134">
        <v>0</v>
      </c>
      <c r="U2134">
        <v>1</v>
      </c>
      <c r="V2134" t="s">
        <v>29</v>
      </c>
      <c r="W2134">
        <v>2</v>
      </c>
    </row>
    <row r="2135" spans="1:23" x14ac:dyDescent="0.2">
      <c r="A2135">
        <v>5067575</v>
      </c>
      <c r="B2135" t="s">
        <v>25</v>
      </c>
      <c r="C2135" t="s">
        <v>20</v>
      </c>
      <c r="D2135" t="s">
        <v>20</v>
      </c>
      <c r="E2135">
        <v>1</v>
      </c>
      <c r="F2135">
        <v>270000</v>
      </c>
      <c r="G2135" t="s">
        <v>21</v>
      </c>
      <c r="H2135" t="s">
        <v>27</v>
      </c>
      <c r="I2135" t="s">
        <v>28</v>
      </c>
      <c r="J2135" t="s">
        <v>24</v>
      </c>
      <c r="K2135" s="6">
        <f t="shared" ca="1" si="140"/>
        <v>26813</v>
      </c>
      <c r="L2135">
        <v>-18948</v>
      </c>
      <c r="M2135" s="7">
        <f t="shared" ca="1" si="138"/>
        <v>51.876796714579058</v>
      </c>
      <c r="N2135" s="5" t="str">
        <f ca="1">VLOOKUP(Data!M2135,temp!$B$3:$C$9,2,1)</f>
        <v>50-60</v>
      </c>
      <c r="O2135">
        <v>365243</v>
      </c>
      <c r="P2135" s="8">
        <f t="shared" si="139"/>
        <v>0</v>
      </c>
      <c r="Q2135" s="5" t="str">
        <f t="shared" si="141"/>
        <v>Unemployed</v>
      </c>
      <c r="R2135">
        <v>1</v>
      </c>
      <c r="S2135">
        <v>0</v>
      </c>
      <c r="T2135">
        <v>0</v>
      </c>
      <c r="U2135">
        <v>0</v>
      </c>
      <c r="W2135">
        <v>3</v>
      </c>
    </row>
    <row r="2136" spans="1:23" x14ac:dyDescent="0.2">
      <c r="A2136">
        <v>5067576</v>
      </c>
      <c r="B2136" t="s">
        <v>25</v>
      </c>
      <c r="C2136" t="s">
        <v>20</v>
      </c>
      <c r="D2136" t="s">
        <v>20</v>
      </c>
      <c r="E2136">
        <v>1</v>
      </c>
      <c r="F2136">
        <v>270000</v>
      </c>
      <c r="G2136" t="s">
        <v>21</v>
      </c>
      <c r="H2136" t="s">
        <v>27</v>
      </c>
      <c r="I2136" t="s">
        <v>28</v>
      </c>
      <c r="J2136" t="s">
        <v>24</v>
      </c>
      <c r="K2136" s="6">
        <f t="shared" ca="1" si="140"/>
        <v>26813</v>
      </c>
      <c r="L2136">
        <v>-18948</v>
      </c>
      <c r="M2136" s="7">
        <f t="shared" ca="1" si="138"/>
        <v>51.876796714579058</v>
      </c>
      <c r="N2136" s="5" t="str">
        <f ca="1">VLOOKUP(Data!M2136,temp!$B$3:$C$9,2,1)</f>
        <v>50-60</v>
      </c>
      <c r="O2136">
        <v>365243</v>
      </c>
      <c r="P2136" s="8">
        <f t="shared" si="139"/>
        <v>0</v>
      </c>
      <c r="Q2136" s="5" t="str">
        <f t="shared" si="141"/>
        <v>Unemployed</v>
      </c>
      <c r="R2136">
        <v>1</v>
      </c>
      <c r="S2136">
        <v>0</v>
      </c>
      <c r="T2136">
        <v>0</v>
      </c>
      <c r="U2136">
        <v>0</v>
      </c>
      <c r="W2136">
        <v>3</v>
      </c>
    </row>
    <row r="2137" spans="1:23" x14ac:dyDescent="0.2">
      <c r="A2137">
        <v>5067578</v>
      </c>
      <c r="B2137" t="s">
        <v>25</v>
      </c>
      <c r="C2137" t="s">
        <v>20</v>
      </c>
      <c r="D2137" t="s">
        <v>20</v>
      </c>
      <c r="E2137">
        <v>1</v>
      </c>
      <c r="F2137">
        <v>270000</v>
      </c>
      <c r="G2137" t="s">
        <v>21</v>
      </c>
      <c r="H2137" t="s">
        <v>27</v>
      </c>
      <c r="I2137" t="s">
        <v>28</v>
      </c>
      <c r="J2137" t="s">
        <v>24</v>
      </c>
      <c r="K2137" s="6">
        <f t="shared" ca="1" si="140"/>
        <v>26813</v>
      </c>
      <c r="L2137">
        <v>-18948</v>
      </c>
      <c r="M2137" s="7">
        <f t="shared" ca="1" si="138"/>
        <v>51.876796714579058</v>
      </c>
      <c r="N2137" s="5" t="str">
        <f ca="1">VLOOKUP(Data!M2137,temp!$B$3:$C$9,2,1)</f>
        <v>50-60</v>
      </c>
      <c r="O2137">
        <v>365243</v>
      </c>
      <c r="P2137" s="8">
        <f t="shared" si="139"/>
        <v>0</v>
      </c>
      <c r="Q2137" s="5" t="str">
        <f t="shared" si="141"/>
        <v>Unemployed</v>
      </c>
      <c r="R2137">
        <v>1</v>
      </c>
      <c r="S2137">
        <v>0</v>
      </c>
      <c r="T2137">
        <v>0</v>
      </c>
      <c r="U2137">
        <v>0</v>
      </c>
      <c r="W2137">
        <v>3</v>
      </c>
    </row>
    <row r="2138" spans="1:23" x14ac:dyDescent="0.2">
      <c r="A2138">
        <v>5067581</v>
      </c>
      <c r="B2138" t="s">
        <v>25</v>
      </c>
      <c r="C2138" t="s">
        <v>20</v>
      </c>
      <c r="D2138" t="s">
        <v>20</v>
      </c>
      <c r="E2138">
        <v>1</v>
      </c>
      <c r="F2138">
        <v>270000</v>
      </c>
      <c r="G2138" t="s">
        <v>21</v>
      </c>
      <c r="H2138" t="s">
        <v>27</v>
      </c>
      <c r="I2138" t="s">
        <v>28</v>
      </c>
      <c r="J2138" t="s">
        <v>24</v>
      </c>
      <c r="K2138" s="6">
        <f t="shared" ca="1" si="140"/>
        <v>26813</v>
      </c>
      <c r="L2138">
        <v>-18948</v>
      </c>
      <c r="M2138" s="7">
        <f t="shared" ca="1" si="138"/>
        <v>51.876796714579058</v>
      </c>
      <c r="N2138" s="5" t="str">
        <f ca="1">VLOOKUP(Data!M2138,temp!$B$3:$C$9,2,1)</f>
        <v>50-60</v>
      </c>
      <c r="O2138">
        <v>365243</v>
      </c>
      <c r="P2138" s="8">
        <f t="shared" si="139"/>
        <v>0</v>
      </c>
      <c r="Q2138" s="5" t="str">
        <f t="shared" si="141"/>
        <v>Unemployed</v>
      </c>
      <c r="R2138">
        <v>1</v>
      </c>
      <c r="S2138">
        <v>0</v>
      </c>
      <c r="T2138">
        <v>0</v>
      </c>
      <c r="U2138">
        <v>0</v>
      </c>
      <c r="W2138">
        <v>3</v>
      </c>
    </row>
    <row r="2139" spans="1:23" x14ac:dyDescent="0.2">
      <c r="A2139">
        <v>5067584</v>
      </c>
      <c r="B2139" t="s">
        <v>25</v>
      </c>
      <c r="C2139" t="s">
        <v>20</v>
      </c>
      <c r="D2139" t="s">
        <v>20</v>
      </c>
      <c r="E2139">
        <v>0</v>
      </c>
      <c r="F2139">
        <v>247500</v>
      </c>
      <c r="G2139" t="s">
        <v>26</v>
      </c>
      <c r="H2139" t="s">
        <v>27</v>
      </c>
      <c r="I2139" t="s">
        <v>28</v>
      </c>
      <c r="J2139" t="s">
        <v>24</v>
      </c>
      <c r="K2139" s="6">
        <f t="shared" ca="1" si="140"/>
        <v>27874</v>
      </c>
      <c r="L2139">
        <v>-17887</v>
      </c>
      <c r="M2139" s="7">
        <f t="shared" ca="1" si="138"/>
        <v>48.971937029431899</v>
      </c>
      <c r="N2139" s="5" t="str">
        <f ca="1">VLOOKUP(Data!M2139,temp!$B$3:$C$9,2,1)</f>
        <v>40-50</v>
      </c>
      <c r="O2139">
        <v>-567</v>
      </c>
      <c r="P2139" s="8">
        <f t="shared" si="139"/>
        <v>1.5523613963039014</v>
      </c>
      <c r="Q2139" s="5" t="str">
        <f t="shared" si="141"/>
        <v>Employed</v>
      </c>
      <c r="R2139">
        <v>1</v>
      </c>
      <c r="S2139">
        <v>1</v>
      </c>
      <c r="T2139">
        <v>0</v>
      </c>
      <c r="U2139">
        <v>0</v>
      </c>
      <c r="V2139" t="s">
        <v>30</v>
      </c>
      <c r="W2139">
        <v>2</v>
      </c>
    </row>
    <row r="2140" spans="1:23" x14ac:dyDescent="0.2">
      <c r="A2140">
        <v>5067589</v>
      </c>
      <c r="B2140" t="s">
        <v>25</v>
      </c>
      <c r="C2140" t="s">
        <v>20</v>
      </c>
      <c r="D2140" t="s">
        <v>20</v>
      </c>
      <c r="E2140">
        <v>0</v>
      </c>
      <c r="F2140">
        <v>247500</v>
      </c>
      <c r="G2140" t="s">
        <v>26</v>
      </c>
      <c r="H2140" t="s">
        <v>27</v>
      </c>
      <c r="I2140" t="s">
        <v>28</v>
      </c>
      <c r="J2140" t="s">
        <v>24</v>
      </c>
      <c r="K2140" s="6">
        <f t="shared" ca="1" si="140"/>
        <v>27874</v>
      </c>
      <c r="L2140">
        <v>-17887</v>
      </c>
      <c r="M2140" s="7">
        <f t="shared" ca="1" si="138"/>
        <v>48.971937029431899</v>
      </c>
      <c r="N2140" s="5" t="str">
        <f ca="1">VLOOKUP(Data!M2140,temp!$B$3:$C$9,2,1)</f>
        <v>40-50</v>
      </c>
      <c r="O2140">
        <v>-567</v>
      </c>
      <c r="P2140" s="8">
        <f t="shared" si="139"/>
        <v>1.5523613963039014</v>
      </c>
      <c r="Q2140" s="5" t="str">
        <f t="shared" si="141"/>
        <v>Employed</v>
      </c>
      <c r="R2140">
        <v>1</v>
      </c>
      <c r="S2140">
        <v>1</v>
      </c>
      <c r="T2140">
        <v>0</v>
      </c>
      <c r="U2140">
        <v>0</v>
      </c>
      <c r="V2140" t="s">
        <v>30</v>
      </c>
      <c r="W2140">
        <v>2</v>
      </c>
    </row>
    <row r="2141" spans="1:23" x14ac:dyDescent="0.2">
      <c r="A2141">
        <v>5067594</v>
      </c>
      <c r="B2141" t="s">
        <v>18</v>
      </c>
      <c r="C2141" t="s">
        <v>20</v>
      </c>
      <c r="D2141" t="s">
        <v>20</v>
      </c>
      <c r="E2141">
        <v>0</v>
      </c>
      <c r="F2141">
        <v>135000</v>
      </c>
      <c r="G2141" t="s">
        <v>31</v>
      </c>
      <c r="H2141" t="s">
        <v>27</v>
      </c>
      <c r="I2141" t="s">
        <v>28</v>
      </c>
      <c r="J2141" t="s">
        <v>24</v>
      </c>
      <c r="K2141" s="6">
        <f t="shared" ca="1" si="140"/>
        <v>30835</v>
      </c>
      <c r="L2141">
        <v>-14926</v>
      </c>
      <c r="M2141" s="7">
        <f t="shared" ca="1" si="138"/>
        <v>40.865160848733744</v>
      </c>
      <c r="N2141" s="5" t="str">
        <f ca="1">VLOOKUP(Data!M2141,temp!$B$3:$C$9,2,1)</f>
        <v>40-50</v>
      </c>
      <c r="O2141">
        <v>-789</v>
      </c>
      <c r="P2141" s="8">
        <f t="shared" si="139"/>
        <v>2.1601642710472277</v>
      </c>
      <c r="Q2141" s="5" t="str">
        <f t="shared" si="141"/>
        <v>Employed</v>
      </c>
      <c r="R2141">
        <v>1</v>
      </c>
      <c r="S2141">
        <v>0</v>
      </c>
      <c r="T2141">
        <v>0</v>
      </c>
      <c r="U2141">
        <v>0</v>
      </c>
      <c r="V2141" t="s">
        <v>55</v>
      </c>
      <c r="W2141">
        <v>2</v>
      </c>
    </row>
    <row r="2142" spans="1:23" x14ac:dyDescent="0.2">
      <c r="A2142">
        <v>5067606</v>
      </c>
      <c r="B2142" t="s">
        <v>18</v>
      </c>
      <c r="C2142" t="s">
        <v>19</v>
      </c>
      <c r="D2142" t="s">
        <v>20</v>
      </c>
      <c r="E2142">
        <v>0</v>
      </c>
      <c r="F2142">
        <v>112500</v>
      </c>
      <c r="G2142" t="s">
        <v>31</v>
      </c>
      <c r="H2142" t="s">
        <v>27</v>
      </c>
      <c r="I2142" t="s">
        <v>28</v>
      </c>
      <c r="J2142" t="s">
        <v>24</v>
      </c>
      <c r="K2142" s="6">
        <f t="shared" ca="1" si="140"/>
        <v>30246</v>
      </c>
      <c r="L2142">
        <v>-15515</v>
      </c>
      <c r="M2142" s="7">
        <f t="shared" ca="1" si="138"/>
        <v>42.477754962354553</v>
      </c>
      <c r="N2142" s="5" t="str">
        <f ca="1">VLOOKUP(Data!M2142,temp!$B$3:$C$9,2,1)</f>
        <v>40-50</v>
      </c>
      <c r="O2142">
        <v>-2485</v>
      </c>
      <c r="P2142" s="8">
        <f t="shared" si="139"/>
        <v>6.8035592060232721</v>
      </c>
      <c r="Q2142" s="5" t="str">
        <f t="shared" si="141"/>
        <v>Employed</v>
      </c>
      <c r="R2142">
        <v>1</v>
      </c>
      <c r="S2142">
        <v>0</v>
      </c>
      <c r="T2142">
        <v>0</v>
      </c>
      <c r="U2142">
        <v>1</v>
      </c>
      <c r="V2142" t="s">
        <v>39</v>
      </c>
      <c r="W2142">
        <v>2</v>
      </c>
    </row>
    <row r="2143" spans="1:23" x14ac:dyDescent="0.2">
      <c r="A2143">
        <v>5067613</v>
      </c>
      <c r="B2143" t="s">
        <v>25</v>
      </c>
      <c r="C2143" t="s">
        <v>20</v>
      </c>
      <c r="D2143" t="s">
        <v>20</v>
      </c>
      <c r="E2143">
        <v>1</v>
      </c>
      <c r="F2143">
        <v>225000</v>
      </c>
      <c r="G2143" t="s">
        <v>35</v>
      </c>
      <c r="H2143" t="s">
        <v>22</v>
      </c>
      <c r="I2143" t="s">
        <v>28</v>
      </c>
      <c r="J2143" t="s">
        <v>24</v>
      </c>
      <c r="K2143" s="6">
        <f t="shared" ca="1" si="140"/>
        <v>34332</v>
      </c>
      <c r="L2143">
        <v>-11429</v>
      </c>
      <c r="M2143" s="7">
        <f t="shared" ca="1" si="138"/>
        <v>31.290896646132786</v>
      </c>
      <c r="N2143" s="5" t="str">
        <f ca="1">VLOOKUP(Data!M2143,temp!$B$3:$C$9,2,1)</f>
        <v>30-40</v>
      </c>
      <c r="O2143">
        <v>-3165</v>
      </c>
      <c r="P2143" s="8">
        <f t="shared" si="139"/>
        <v>8.6652977412731005</v>
      </c>
      <c r="Q2143" s="5" t="str">
        <f t="shared" si="141"/>
        <v>Employed</v>
      </c>
      <c r="R2143">
        <v>1</v>
      </c>
      <c r="S2143">
        <v>1</v>
      </c>
      <c r="T2143">
        <v>0</v>
      </c>
      <c r="U2143">
        <v>0</v>
      </c>
      <c r="W2143">
        <v>3</v>
      </c>
    </row>
    <row r="2144" spans="1:23" x14ac:dyDescent="0.2">
      <c r="A2144">
        <v>5067615</v>
      </c>
      <c r="B2144" t="s">
        <v>25</v>
      </c>
      <c r="C2144" t="s">
        <v>20</v>
      </c>
      <c r="D2144" t="s">
        <v>20</v>
      </c>
      <c r="E2144">
        <v>1</v>
      </c>
      <c r="F2144">
        <v>225000</v>
      </c>
      <c r="G2144" t="s">
        <v>35</v>
      </c>
      <c r="H2144" t="s">
        <v>22</v>
      </c>
      <c r="I2144" t="s">
        <v>28</v>
      </c>
      <c r="J2144" t="s">
        <v>24</v>
      </c>
      <c r="K2144" s="6">
        <f t="shared" ca="1" si="140"/>
        <v>34332</v>
      </c>
      <c r="L2144">
        <v>-11429</v>
      </c>
      <c r="M2144" s="7">
        <f t="shared" ca="1" si="138"/>
        <v>31.290896646132786</v>
      </c>
      <c r="N2144" s="5" t="str">
        <f ca="1">VLOOKUP(Data!M2144,temp!$B$3:$C$9,2,1)</f>
        <v>30-40</v>
      </c>
      <c r="O2144">
        <v>-3165</v>
      </c>
      <c r="P2144" s="8">
        <f t="shared" si="139"/>
        <v>8.6652977412731005</v>
      </c>
      <c r="Q2144" s="5" t="str">
        <f t="shared" si="141"/>
        <v>Employed</v>
      </c>
      <c r="R2144">
        <v>1</v>
      </c>
      <c r="S2144">
        <v>1</v>
      </c>
      <c r="T2144">
        <v>0</v>
      </c>
      <c r="U2144">
        <v>0</v>
      </c>
      <c r="W2144">
        <v>3</v>
      </c>
    </row>
    <row r="2145" spans="1:23" x14ac:dyDescent="0.2">
      <c r="A2145">
        <v>5067629</v>
      </c>
      <c r="B2145" t="s">
        <v>18</v>
      </c>
      <c r="C2145" t="s">
        <v>19</v>
      </c>
      <c r="D2145" t="s">
        <v>19</v>
      </c>
      <c r="E2145">
        <v>1</v>
      </c>
      <c r="F2145">
        <v>67500</v>
      </c>
      <c r="G2145" t="s">
        <v>31</v>
      </c>
      <c r="H2145" t="s">
        <v>27</v>
      </c>
      <c r="I2145" t="s">
        <v>28</v>
      </c>
      <c r="J2145" t="s">
        <v>24</v>
      </c>
      <c r="K2145" s="6">
        <f t="shared" ca="1" si="140"/>
        <v>29180</v>
      </c>
      <c r="L2145">
        <v>-16581</v>
      </c>
      <c r="M2145" s="7">
        <f t="shared" ca="1" si="138"/>
        <v>45.396303901437371</v>
      </c>
      <c r="N2145" s="5" t="str">
        <f ca="1">VLOOKUP(Data!M2145,temp!$B$3:$C$9,2,1)</f>
        <v>40-50</v>
      </c>
      <c r="O2145">
        <v>-6959</v>
      </c>
      <c r="P2145" s="8">
        <f t="shared" si="139"/>
        <v>19.052703627652292</v>
      </c>
      <c r="Q2145" s="5" t="str">
        <f t="shared" si="141"/>
        <v>Employed</v>
      </c>
      <c r="R2145">
        <v>1</v>
      </c>
      <c r="S2145">
        <v>0</v>
      </c>
      <c r="T2145">
        <v>0</v>
      </c>
      <c r="U2145">
        <v>0</v>
      </c>
      <c r="V2145" t="s">
        <v>29</v>
      </c>
      <c r="W2145">
        <v>3</v>
      </c>
    </row>
    <row r="2146" spans="1:23" x14ac:dyDescent="0.2">
      <c r="A2146">
        <v>5067632</v>
      </c>
      <c r="B2146" t="s">
        <v>18</v>
      </c>
      <c r="C2146" t="s">
        <v>19</v>
      </c>
      <c r="D2146" t="s">
        <v>20</v>
      </c>
      <c r="E2146">
        <v>1</v>
      </c>
      <c r="F2146">
        <v>126000</v>
      </c>
      <c r="G2146" t="s">
        <v>31</v>
      </c>
      <c r="H2146" t="s">
        <v>27</v>
      </c>
      <c r="I2146" t="s">
        <v>28</v>
      </c>
      <c r="J2146" t="s">
        <v>24</v>
      </c>
      <c r="K2146" s="6">
        <f t="shared" ca="1" si="140"/>
        <v>27946</v>
      </c>
      <c r="L2146">
        <v>-17815</v>
      </c>
      <c r="M2146" s="7">
        <f t="shared" ca="1" si="138"/>
        <v>48.774811772758383</v>
      </c>
      <c r="N2146" s="5" t="str">
        <f ca="1">VLOOKUP(Data!M2146,temp!$B$3:$C$9,2,1)</f>
        <v>40-50</v>
      </c>
      <c r="O2146">
        <v>-932</v>
      </c>
      <c r="P2146" s="8">
        <f t="shared" si="139"/>
        <v>2.5516769336071183</v>
      </c>
      <c r="Q2146" s="5" t="str">
        <f t="shared" si="141"/>
        <v>Employed</v>
      </c>
      <c r="R2146">
        <v>1</v>
      </c>
      <c r="S2146">
        <v>0</v>
      </c>
      <c r="T2146">
        <v>0</v>
      </c>
      <c r="U2146">
        <v>0</v>
      </c>
      <c r="V2146" t="s">
        <v>38</v>
      </c>
      <c r="W2146">
        <v>3</v>
      </c>
    </row>
    <row r="2147" spans="1:23" x14ac:dyDescent="0.2">
      <c r="A2147">
        <v>5067642</v>
      </c>
      <c r="B2147" t="s">
        <v>18</v>
      </c>
      <c r="C2147" t="s">
        <v>19</v>
      </c>
      <c r="D2147" t="s">
        <v>20</v>
      </c>
      <c r="E2147">
        <v>0</v>
      </c>
      <c r="F2147">
        <v>171000</v>
      </c>
      <c r="G2147" t="s">
        <v>21</v>
      </c>
      <c r="H2147" t="s">
        <v>22</v>
      </c>
      <c r="I2147" t="s">
        <v>28</v>
      </c>
      <c r="J2147" t="s">
        <v>24</v>
      </c>
      <c r="K2147" s="6">
        <f t="shared" ca="1" si="140"/>
        <v>25800</v>
      </c>
      <c r="L2147">
        <v>-19961</v>
      </c>
      <c r="M2147" s="7">
        <f t="shared" ca="1" si="138"/>
        <v>54.650239561943877</v>
      </c>
      <c r="N2147" s="5" t="str">
        <f ca="1">VLOOKUP(Data!M2147,temp!$B$3:$C$9,2,1)</f>
        <v>50-60</v>
      </c>
      <c r="O2147">
        <v>365243</v>
      </c>
      <c r="P2147" s="8">
        <f t="shared" si="139"/>
        <v>0</v>
      </c>
      <c r="Q2147" s="5" t="str">
        <f t="shared" si="141"/>
        <v>Unemployed</v>
      </c>
      <c r="R2147">
        <v>1</v>
      </c>
      <c r="S2147">
        <v>0</v>
      </c>
      <c r="T2147">
        <v>0</v>
      </c>
      <c r="U2147">
        <v>0</v>
      </c>
      <c r="W2147">
        <v>2</v>
      </c>
    </row>
    <row r="2148" spans="1:23" x14ac:dyDescent="0.2">
      <c r="A2148">
        <v>5067645</v>
      </c>
      <c r="B2148" t="s">
        <v>18</v>
      </c>
      <c r="C2148" t="s">
        <v>19</v>
      </c>
      <c r="D2148" t="s">
        <v>20</v>
      </c>
      <c r="E2148">
        <v>0</v>
      </c>
      <c r="F2148">
        <v>171000</v>
      </c>
      <c r="G2148" t="s">
        <v>21</v>
      </c>
      <c r="H2148" t="s">
        <v>22</v>
      </c>
      <c r="I2148" t="s">
        <v>28</v>
      </c>
      <c r="J2148" t="s">
        <v>24</v>
      </c>
      <c r="K2148" s="6">
        <f t="shared" ca="1" si="140"/>
        <v>25800</v>
      </c>
      <c r="L2148">
        <v>-19961</v>
      </c>
      <c r="M2148" s="7">
        <f t="shared" ca="1" si="138"/>
        <v>54.650239561943877</v>
      </c>
      <c r="N2148" s="5" t="str">
        <f ca="1">VLOOKUP(Data!M2148,temp!$B$3:$C$9,2,1)</f>
        <v>50-60</v>
      </c>
      <c r="O2148">
        <v>365243</v>
      </c>
      <c r="P2148" s="8">
        <f t="shared" si="139"/>
        <v>0</v>
      </c>
      <c r="Q2148" s="5" t="str">
        <f t="shared" si="141"/>
        <v>Unemployed</v>
      </c>
      <c r="R2148">
        <v>1</v>
      </c>
      <c r="S2148">
        <v>0</v>
      </c>
      <c r="T2148">
        <v>0</v>
      </c>
      <c r="U2148">
        <v>0</v>
      </c>
      <c r="W2148">
        <v>2</v>
      </c>
    </row>
    <row r="2149" spans="1:23" x14ac:dyDescent="0.2">
      <c r="A2149">
        <v>5067692</v>
      </c>
      <c r="B2149" t="s">
        <v>18</v>
      </c>
      <c r="C2149" t="s">
        <v>19</v>
      </c>
      <c r="D2149" t="s">
        <v>20</v>
      </c>
      <c r="E2149">
        <v>0</v>
      </c>
      <c r="F2149">
        <v>110250</v>
      </c>
      <c r="G2149" t="s">
        <v>35</v>
      </c>
      <c r="H2149" t="s">
        <v>27</v>
      </c>
      <c r="I2149" t="s">
        <v>28</v>
      </c>
      <c r="J2149" t="s">
        <v>24</v>
      </c>
      <c r="K2149" s="6">
        <f t="shared" ca="1" si="140"/>
        <v>27979</v>
      </c>
      <c r="L2149">
        <v>-17782</v>
      </c>
      <c r="M2149" s="7">
        <f t="shared" ca="1" si="138"/>
        <v>48.684462696783022</v>
      </c>
      <c r="N2149" s="5" t="str">
        <f ca="1">VLOOKUP(Data!M2149,temp!$B$3:$C$9,2,1)</f>
        <v>40-50</v>
      </c>
      <c r="O2149">
        <v>-2403</v>
      </c>
      <c r="P2149" s="8">
        <f t="shared" si="139"/>
        <v>6.579055441478439</v>
      </c>
      <c r="Q2149" s="5" t="str">
        <f t="shared" si="141"/>
        <v>Employed</v>
      </c>
      <c r="R2149">
        <v>1</v>
      </c>
      <c r="S2149">
        <v>0</v>
      </c>
      <c r="T2149">
        <v>0</v>
      </c>
      <c r="U2149">
        <v>1</v>
      </c>
      <c r="W2149">
        <v>2</v>
      </c>
    </row>
    <row r="2150" spans="1:23" x14ac:dyDescent="0.2">
      <c r="A2150">
        <v>5067702</v>
      </c>
      <c r="B2150" t="s">
        <v>25</v>
      </c>
      <c r="C2150" t="s">
        <v>20</v>
      </c>
      <c r="D2150" t="s">
        <v>20</v>
      </c>
      <c r="E2150">
        <v>0</v>
      </c>
      <c r="F2150">
        <v>450000</v>
      </c>
      <c r="G2150" t="s">
        <v>31</v>
      </c>
      <c r="H2150" t="s">
        <v>22</v>
      </c>
      <c r="I2150" t="s">
        <v>28</v>
      </c>
      <c r="J2150" t="s">
        <v>24</v>
      </c>
      <c r="K2150" s="6">
        <f t="shared" ca="1" si="140"/>
        <v>26674</v>
      </c>
      <c r="L2150">
        <v>-19087</v>
      </c>
      <c r="M2150" s="7">
        <f t="shared" ca="1" si="138"/>
        <v>52.257357973990416</v>
      </c>
      <c r="N2150" s="5" t="str">
        <f ca="1">VLOOKUP(Data!M2150,temp!$B$3:$C$9,2,1)</f>
        <v>50-60</v>
      </c>
      <c r="O2150">
        <v>-4434</v>
      </c>
      <c r="P2150" s="8">
        <f t="shared" si="139"/>
        <v>12.139630390143736</v>
      </c>
      <c r="Q2150" s="5" t="str">
        <f t="shared" si="141"/>
        <v>Employed</v>
      </c>
      <c r="R2150">
        <v>1</v>
      </c>
      <c r="S2150">
        <v>0</v>
      </c>
      <c r="T2150">
        <v>1</v>
      </c>
      <c r="U2150">
        <v>0</v>
      </c>
      <c r="V2150" t="s">
        <v>32</v>
      </c>
      <c r="W2150">
        <v>2</v>
      </c>
    </row>
    <row r="2151" spans="1:23" x14ac:dyDescent="0.2">
      <c r="A2151">
        <v>5067719</v>
      </c>
      <c r="B2151" t="s">
        <v>18</v>
      </c>
      <c r="C2151" t="s">
        <v>19</v>
      </c>
      <c r="D2151" t="s">
        <v>20</v>
      </c>
      <c r="E2151">
        <v>1</v>
      </c>
      <c r="F2151">
        <v>337500</v>
      </c>
      <c r="G2151" t="s">
        <v>31</v>
      </c>
      <c r="H2151" t="s">
        <v>60</v>
      </c>
      <c r="I2151" t="s">
        <v>33</v>
      </c>
      <c r="J2151" t="s">
        <v>24</v>
      </c>
      <c r="K2151" s="6">
        <f t="shared" ca="1" si="140"/>
        <v>33206</v>
      </c>
      <c r="L2151">
        <v>-12555</v>
      </c>
      <c r="M2151" s="7">
        <f t="shared" ca="1" si="138"/>
        <v>34.373716632443532</v>
      </c>
      <c r="N2151" s="5" t="str">
        <f ca="1">VLOOKUP(Data!M2151,temp!$B$3:$C$9,2,1)</f>
        <v>30-40</v>
      </c>
      <c r="O2151">
        <v>-2769</v>
      </c>
      <c r="P2151" s="8">
        <f t="shared" si="139"/>
        <v>7.5811088295687883</v>
      </c>
      <c r="Q2151" s="5" t="str">
        <f t="shared" si="141"/>
        <v>Employed</v>
      </c>
      <c r="R2151">
        <v>1</v>
      </c>
      <c r="S2151">
        <v>0</v>
      </c>
      <c r="T2151">
        <v>0</v>
      </c>
      <c r="U2151">
        <v>0</v>
      </c>
      <c r="W2151">
        <v>2</v>
      </c>
    </row>
    <row r="2152" spans="1:23" x14ac:dyDescent="0.2">
      <c r="A2152">
        <v>5067728</v>
      </c>
      <c r="B2152" t="s">
        <v>18</v>
      </c>
      <c r="C2152" t="s">
        <v>19</v>
      </c>
      <c r="D2152" t="s">
        <v>20</v>
      </c>
      <c r="E2152">
        <v>1</v>
      </c>
      <c r="F2152">
        <v>135000</v>
      </c>
      <c r="G2152" t="s">
        <v>26</v>
      </c>
      <c r="H2152" t="s">
        <v>36</v>
      </c>
      <c r="I2152" t="s">
        <v>28</v>
      </c>
      <c r="J2152" t="s">
        <v>24</v>
      </c>
      <c r="K2152" s="6">
        <f t="shared" ca="1" si="140"/>
        <v>35473</v>
      </c>
      <c r="L2152">
        <v>-10288</v>
      </c>
      <c r="M2152" s="7">
        <f t="shared" ca="1" si="138"/>
        <v>28.167008898015059</v>
      </c>
      <c r="N2152" s="5" t="str">
        <f ca="1">VLOOKUP(Data!M2152,temp!$B$3:$C$9,2,1)</f>
        <v>20-30</v>
      </c>
      <c r="O2152">
        <v>-2616</v>
      </c>
      <c r="P2152" s="8">
        <f t="shared" si="139"/>
        <v>7.1622176591375766</v>
      </c>
      <c r="Q2152" s="5" t="str">
        <f t="shared" si="141"/>
        <v>Employed</v>
      </c>
      <c r="R2152">
        <v>1</v>
      </c>
      <c r="S2152">
        <v>1</v>
      </c>
      <c r="T2152">
        <v>1</v>
      </c>
      <c r="U2152">
        <v>0</v>
      </c>
      <c r="V2152" t="s">
        <v>32</v>
      </c>
      <c r="W2152">
        <v>3</v>
      </c>
    </row>
    <row r="2153" spans="1:23" x14ac:dyDescent="0.2">
      <c r="A2153">
        <v>5067732</v>
      </c>
      <c r="B2153" t="s">
        <v>18</v>
      </c>
      <c r="C2153" t="s">
        <v>19</v>
      </c>
      <c r="D2153" t="s">
        <v>20</v>
      </c>
      <c r="E2153">
        <v>1</v>
      </c>
      <c r="F2153">
        <v>135000</v>
      </c>
      <c r="G2153" t="s">
        <v>26</v>
      </c>
      <c r="H2153" t="s">
        <v>36</v>
      </c>
      <c r="I2153" t="s">
        <v>28</v>
      </c>
      <c r="J2153" t="s">
        <v>24</v>
      </c>
      <c r="K2153" s="6">
        <f t="shared" ca="1" si="140"/>
        <v>35473</v>
      </c>
      <c r="L2153">
        <v>-10288</v>
      </c>
      <c r="M2153" s="7">
        <f t="shared" ca="1" si="138"/>
        <v>28.167008898015059</v>
      </c>
      <c r="N2153" s="5" t="str">
        <f ca="1">VLOOKUP(Data!M2153,temp!$B$3:$C$9,2,1)</f>
        <v>20-30</v>
      </c>
      <c r="O2153">
        <v>-2616</v>
      </c>
      <c r="P2153" s="8">
        <f t="shared" si="139"/>
        <v>7.1622176591375766</v>
      </c>
      <c r="Q2153" s="5" t="str">
        <f t="shared" si="141"/>
        <v>Employed</v>
      </c>
      <c r="R2153">
        <v>1</v>
      </c>
      <c r="S2153">
        <v>1</v>
      </c>
      <c r="T2153">
        <v>1</v>
      </c>
      <c r="U2153">
        <v>0</v>
      </c>
      <c r="V2153" t="s">
        <v>32</v>
      </c>
      <c r="W2153">
        <v>3</v>
      </c>
    </row>
    <row r="2154" spans="1:23" x14ac:dyDescent="0.2">
      <c r="A2154">
        <v>5067740</v>
      </c>
      <c r="B2154" t="s">
        <v>18</v>
      </c>
      <c r="C2154" t="s">
        <v>20</v>
      </c>
      <c r="D2154" t="s">
        <v>20</v>
      </c>
      <c r="E2154">
        <v>1</v>
      </c>
      <c r="F2154">
        <v>135000</v>
      </c>
      <c r="G2154" t="s">
        <v>31</v>
      </c>
      <c r="H2154" t="s">
        <v>22</v>
      </c>
      <c r="I2154" t="s">
        <v>28</v>
      </c>
      <c r="J2154" t="s">
        <v>24</v>
      </c>
      <c r="K2154" s="6">
        <f t="shared" ca="1" si="140"/>
        <v>36569</v>
      </c>
      <c r="L2154">
        <v>-9192</v>
      </c>
      <c r="M2154" s="7">
        <f t="shared" ca="1" si="138"/>
        <v>25.166324435318277</v>
      </c>
      <c r="N2154" s="5" t="str">
        <f ca="1">VLOOKUP(Data!M2154,temp!$B$3:$C$9,2,1)</f>
        <v>20-30</v>
      </c>
      <c r="O2154">
        <v>-1308</v>
      </c>
      <c r="P2154" s="8">
        <f t="shared" si="139"/>
        <v>3.5811088295687883</v>
      </c>
      <c r="Q2154" s="5" t="str">
        <f t="shared" si="141"/>
        <v>Employed</v>
      </c>
      <c r="R2154">
        <v>1</v>
      </c>
      <c r="S2154">
        <v>0</v>
      </c>
      <c r="T2154">
        <v>1</v>
      </c>
      <c r="U2154">
        <v>0</v>
      </c>
      <c r="V2154" t="s">
        <v>47</v>
      </c>
      <c r="W2154">
        <v>3</v>
      </c>
    </row>
    <row r="2155" spans="1:23" x14ac:dyDescent="0.2">
      <c r="A2155">
        <v>5067765</v>
      </c>
      <c r="B2155" t="s">
        <v>18</v>
      </c>
      <c r="C2155" t="s">
        <v>19</v>
      </c>
      <c r="D2155" t="s">
        <v>20</v>
      </c>
      <c r="E2155">
        <v>0</v>
      </c>
      <c r="F2155">
        <v>202500</v>
      </c>
      <c r="G2155" t="s">
        <v>35</v>
      </c>
      <c r="H2155" t="s">
        <v>27</v>
      </c>
      <c r="I2155" t="s">
        <v>33</v>
      </c>
      <c r="J2155" t="s">
        <v>24</v>
      </c>
      <c r="K2155" s="6">
        <f t="shared" ca="1" si="140"/>
        <v>22420</v>
      </c>
      <c r="L2155">
        <v>-23341</v>
      </c>
      <c r="M2155" s="7">
        <f t="shared" ca="1" si="138"/>
        <v>63.904175222450377</v>
      </c>
      <c r="N2155" s="5" t="str">
        <f ca="1">VLOOKUP(Data!M2155,temp!$B$3:$C$9,2,1)</f>
        <v>60-70</v>
      </c>
      <c r="O2155">
        <v>-5437</v>
      </c>
      <c r="P2155" s="8">
        <f t="shared" si="139"/>
        <v>14.885694729637235</v>
      </c>
      <c r="Q2155" s="5" t="str">
        <f t="shared" si="141"/>
        <v>Employed</v>
      </c>
      <c r="R2155">
        <v>1</v>
      </c>
      <c r="S2155">
        <v>0</v>
      </c>
      <c r="T2155">
        <v>0</v>
      </c>
      <c r="U2155">
        <v>0</v>
      </c>
      <c r="V2155" t="s">
        <v>50</v>
      </c>
      <c r="W2155">
        <v>1</v>
      </c>
    </row>
    <row r="2156" spans="1:23" x14ac:dyDescent="0.2">
      <c r="A2156">
        <v>5067779</v>
      </c>
      <c r="B2156" t="s">
        <v>18</v>
      </c>
      <c r="C2156" t="s">
        <v>20</v>
      </c>
      <c r="D2156" t="s">
        <v>20</v>
      </c>
      <c r="E2156">
        <v>1</v>
      </c>
      <c r="F2156">
        <v>225000</v>
      </c>
      <c r="G2156" t="s">
        <v>26</v>
      </c>
      <c r="H2156" t="s">
        <v>22</v>
      </c>
      <c r="I2156" t="s">
        <v>23</v>
      </c>
      <c r="J2156" t="s">
        <v>24</v>
      </c>
      <c r="K2156" s="6">
        <f t="shared" ca="1" si="140"/>
        <v>30090</v>
      </c>
      <c r="L2156">
        <v>-15671</v>
      </c>
      <c r="M2156" s="7">
        <f t="shared" ca="1" si="138"/>
        <v>42.904859685147159</v>
      </c>
      <c r="N2156" s="5" t="str">
        <f ca="1">VLOOKUP(Data!M2156,temp!$B$3:$C$9,2,1)</f>
        <v>40-50</v>
      </c>
      <c r="O2156">
        <v>-232</v>
      </c>
      <c r="P2156" s="8">
        <f t="shared" si="139"/>
        <v>0.63518138261464752</v>
      </c>
      <c r="Q2156" s="5" t="str">
        <f t="shared" si="141"/>
        <v>Employed</v>
      </c>
      <c r="R2156">
        <v>1</v>
      </c>
      <c r="S2156">
        <v>0</v>
      </c>
      <c r="T2156">
        <v>0</v>
      </c>
      <c r="U2156">
        <v>1</v>
      </c>
      <c r="V2156" t="s">
        <v>29</v>
      </c>
      <c r="W2156">
        <v>2</v>
      </c>
    </row>
    <row r="2157" spans="1:23" x14ac:dyDescent="0.2">
      <c r="A2157">
        <v>5067787</v>
      </c>
      <c r="B2157" t="s">
        <v>25</v>
      </c>
      <c r="C2157" t="s">
        <v>20</v>
      </c>
      <c r="D2157" t="s">
        <v>19</v>
      </c>
      <c r="E2157">
        <v>2</v>
      </c>
      <c r="F2157">
        <v>450000</v>
      </c>
      <c r="G2157" t="s">
        <v>31</v>
      </c>
      <c r="H2157" t="s">
        <v>27</v>
      </c>
      <c r="I2157" t="s">
        <v>28</v>
      </c>
      <c r="J2157" t="s">
        <v>24</v>
      </c>
      <c r="K2157" s="6">
        <f t="shared" ca="1" si="140"/>
        <v>30791</v>
      </c>
      <c r="L2157">
        <v>-14970</v>
      </c>
      <c r="M2157" s="7">
        <f t="shared" ca="1" si="138"/>
        <v>40.985626283367559</v>
      </c>
      <c r="N2157" s="5" t="str">
        <f ca="1">VLOOKUP(Data!M2157,temp!$B$3:$C$9,2,1)</f>
        <v>40-50</v>
      </c>
      <c r="O2157">
        <v>-7183</v>
      </c>
      <c r="P2157" s="8">
        <f t="shared" si="139"/>
        <v>19.665982203969882</v>
      </c>
      <c r="Q2157" s="5" t="str">
        <f t="shared" si="141"/>
        <v>Employed</v>
      </c>
      <c r="R2157">
        <v>1</v>
      </c>
      <c r="S2157">
        <v>0</v>
      </c>
      <c r="T2157">
        <v>0</v>
      </c>
      <c r="U2157">
        <v>1</v>
      </c>
      <c r="V2157" t="s">
        <v>30</v>
      </c>
      <c r="W2157">
        <v>4</v>
      </c>
    </row>
    <row r="2158" spans="1:23" x14ac:dyDescent="0.2">
      <c r="A2158">
        <v>5067791</v>
      </c>
      <c r="B2158" t="s">
        <v>25</v>
      </c>
      <c r="C2158" t="s">
        <v>20</v>
      </c>
      <c r="D2158" t="s">
        <v>19</v>
      </c>
      <c r="E2158">
        <v>2</v>
      </c>
      <c r="F2158">
        <v>450000</v>
      </c>
      <c r="G2158" t="s">
        <v>31</v>
      </c>
      <c r="H2158" t="s">
        <v>27</v>
      </c>
      <c r="I2158" t="s">
        <v>28</v>
      </c>
      <c r="J2158" t="s">
        <v>24</v>
      </c>
      <c r="K2158" s="6">
        <f t="shared" ca="1" si="140"/>
        <v>30791</v>
      </c>
      <c r="L2158">
        <v>-14970</v>
      </c>
      <c r="M2158" s="7">
        <f t="shared" ca="1" si="138"/>
        <v>40.985626283367559</v>
      </c>
      <c r="N2158" s="5" t="str">
        <f ca="1">VLOOKUP(Data!M2158,temp!$B$3:$C$9,2,1)</f>
        <v>40-50</v>
      </c>
      <c r="O2158">
        <v>-7183</v>
      </c>
      <c r="P2158" s="8">
        <f t="shared" si="139"/>
        <v>19.665982203969882</v>
      </c>
      <c r="Q2158" s="5" t="str">
        <f t="shared" si="141"/>
        <v>Employed</v>
      </c>
      <c r="R2158">
        <v>1</v>
      </c>
      <c r="S2158">
        <v>0</v>
      </c>
      <c r="T2158">
        <v>0</v>
      </c>
      <c r="U2158">
        <v>1</v>
      </c>
      <c r="V2158" t="s">
        <v>30</v>
      </c>
      <c r="W2158">
        <v>4</v>
      </c>
    </row>
    <row r="2159" spans="1:23" x14ac:dyDescent="0.2">
      <c r="A2159">
        <v>5067800</v>
      </c>
      <c r="B2159" t="s">
        <v>18</v>
      </c>
      <c r="C2159" t="s">
        <v>19</v>
      </c>
      <c r="D2159" t="s">
        <v>20</v>
      </c>
      <c r="E2159">
        <v>0</v>
      </c>
      <c r="F2159">
        <v>135000</v>
      </c>
      <c r="G2159" t="s">
        <v>26</v>
      </c>
      <c r="H2159" t="s">
        <v>22</v>
      </c>
      <c r="I2159" t="s">
        <v>33</v>
      </c>
      <c r="J2159" t="s">
        <v>24</v>
      </c>
      <c r="K2159" s="6">
        <f t="shared" ca="1" si="140"/>
        <v>26369</v>
      </c>
      <c r="L2159">
        <v>-19392</v>
      </c>
      <c r="M2159" s="7">
        <f t="shared" ca="1" si="138"/>
        <v>53.092402464065707</v>
      </c>
      <c r="N2159" s="5" t="str">
        <f ca="1">VLOOKUP(Data!M2159,temp!$B$3:$C$9,2,1)</f>
        <v>50-60</v>
      </c>
      <c r="O2159">
        <v>-121</v>
      </c>
      <c r="P2159" s="8">
        <f t="shared" si="139"/>
        <v>0.33127994524298426</v>
      </c>
      <c r="Q2159" s="5" t="str">
        <f t="shared" si="141"/>
        <v>Employed</v>
      </c>
      <c r="R2159">
        <v>1</v>
      </c>
      <c r="S2159">
        <v>0</v>
      </c>
      <c r="T2159">
        <v>1</v>
      </c>
      <c r="U2159">
        <v>0</v>
      </c>
      <c r="W2159">
        <v>1</v>
      </c>
    </row>
    <row r="2160" spans="1:23" x14ac:dyDescent="0.2">
      <c r="A2160">
        <v>5067824</v>
      </c>
      <c r="B2160" t="s">
        <v>25</v>
      </c>
      <c r="C2160" t="s">
        <v>19</v>
      </c>
      <c r="D2160" t="s">
        <v>20</v>
      </c>
      <c r="E2160">
        <v>0</v>
      </c>
      <c r="F2160">
        <v>180000</v>
      </c>
      <c r="G2160" t="s">
        <v>26</v>
      </c>
      <c r="H2160" t="s">
        <v>27</v>
      </c>
      <c r="I2160" t="s">
        <v>33</v>
      </c>
      <c r="J2160" t="s">
        <v>24</v>
      </c>
      <c r="K2160" s="6">
        <f t="shared" ca="1" si="140"/>
        <v>27917</v>
      </c>
      <c r="L2160">
        <v>-17844</v>
      </c>
      <c r="M2160" s="7">
        <f t="shared" ca="1" si="138"/>
        <v>48.854209445585212</v>
      </c>
      <c r="N2160" s="5" t="str">
        <f ca="1">VLOOKUP(Data!M2160,temp!$B$3:$C$9,2,1)</f>
        <v>40-50</v>
      </c>
      <c r="O2160">
        <v>-1095</v>
      </c>
      <c r="P2160" s="8">
        <f t="shared" si="139"/>
        <v>2.9979466119096507</v>
      </c>
      <c r="Q2160" s="5" t="str">
        <f t="shared" si="141"/>
        <v>Employed</v>
      </c>
      <c r="R2160">
        <v>1</v>
      </c>
      <c r="S2160">
        <v>0</v>
      </c>
      <c r="T2160">
        <v>0</v>
      </c>
      <c r="U2160">
        <v>0</v>
      </c>
      <c r="V2160" t="s">
        <v>39</v>
      </c>
      <c r="W2160">
        <v>1</v>
      </c>
    </row>
    <row r="2161" spans="1:23" x14ac:dyDescent="0.2">
      <c r="A2161">
        <v>5067838</v>
      </c>
      <c r="B2161" t="s">
        <v>18</v>
      </c>
      <c r="C2161" t="s">
        <v>20</v>
      </c>
      <c r="D2161" t="s">
        <v>20</v>
      </c>
      <c r="E2161">
        <v>0</v>
      </c>
      <c r="F2161">
        <v>315000</v>
      </c>
      <c r="G2161" t="s">
        <v>31</v>
      </c>
      <c r="H2161" t="s">
        <v>22</v>
      </c>
      <c r="I2161" t="s">
        <v>28</v>
      </c>
      <c r="J2161" t="s">
        <v>24</v>
      </c>
      <c r="K2161" s="6">
        <f t="shared" ca="1" si="140"/>
        <v>24384</v>
      </c>
      <c r="L2161">
        <v>-21377</v>
      </c>
      <c r="M2161" s="7">
        <f t="shared" ca="1" si="138"/>
        <v>58.527036276522928</v>
      </c>
      <c r="N2161" s="5" t="str">
        <f ca="1">VLOOKUP(Data!M2161,temp!$B$3:$C$9,2,1)</f>
        <v>50-60</v>
      </c>
      <c r="O2161">
        <v>-577</v>
      </c>
      <c r="P2161" s="8">
        <f t="shared" si="139"/>
        <v>1.5797399041752225</v>
      </c>
      <c r="Q2161" s="5" t="str">
        <f t="shared" si="141"/>
        <v>Employed</v>
      </c>
      <c r="R2161">
        <v>1</v>
      </c>
      <c r="S2161">
        <v>0</v>
      </c>
      <c r="T2161">
        <v>0</v>
      </c>
      <c r="U2161">
        <v>1</v>
      </c>
      <c r="W2161">
        <v>2</v>
      </c>
    </row>
    <row r="2162" spans="1:23" x14ac:dyDescent="0.2">
      <c r="A2162">
        <v>5067844</v>
      </c>
      <c r="B2162" t="s">
        <v>18</v>
      </c>
      <c r="C2162" t="s">
        <v>20</v>
      </c>
      <c r="D2162" t="s">
        <v>20</v>
      </c>
      <c r="E2162">
        <v>0</v>
      </c>
      <c r="F2162">
        <v>315000</v>
      </c>
      <c r="G2162" t="s">
        <v>31</v>
      </c>
      <c r="H2162" t="s">
        <v>22</v>
      </c>
      <c r="I2162" t="s">
        <v>28</v>
      </c>
      <c r="J2162" t="s">
        <v>24</v>
      </c>
      <c r="K2162" s="6">
        <f t="shared" ca="1" si="140"/>
        <v>24384</v>
      </c>
      <c r="L2162">
        <v>-21377</v>
      </c>
      <c r="M2162" s="7">
        <f t="shared" ca="1" si="138"/>
        <v>58.527036276522928</v>
      </c>
      <c r="N2162" s="5" t="str">
        <f ca="1">VLOOKUP(Data!M2162,temp!$B$3:$C$9,2,1)</f>
        <v>50-60</v>
      </c>
      <c r="O2162">
        <v>-577</v>
      </c>
      <c r="P2162" s="8">
        <f t="shared" si="139"/>
        <v>1.5797399041752225</v>
      </c>
      <c r="Q2162" s="5" t="str">
        <f t="shared" si="141"/>
        <v>Employed</v>
      </c>
      <c r="R2162">
        <v>1</v>
      </c>
      <c r="S2162">
        <v>0</v>
      </c>
      <c r="T2162">
        <v>0</v>
      </c>
      <c r="U2162">
        <v>1</v>
      </c>
      <c r="W2162">
        <v>2</v>
      </c>
    </row>
    <row r="2163" spans="1:23" x14ac:dyDescent="0.2">
      <c r="A2163">
        <v>5067847</v>
      </c>
      <c r="B2163" t="s">
        <v>18</v>
      </c>
      <c r="C2163" t="s">
        <v>19</v>
      </c>
      <c r="D2163" t="s">
        <v>20</v>
      </c>
      <c r="E2163">
        <v>0</v>
      </c>
      <c r="F2163">
        <v>180000</v>
      </c>
      <c r="G2163" t="s">
        <v>26</v>
      </c>
      <c r="H2163" t="s">
        <v>27</v>
      </c>
      <c r="I2163" t="s">
        <v>33</v>
      </c>
      <c r="J2163" t="s">
        <v>24</v>
      </c>
      <c r="K2163" s="6">
        <f t="shared" ca="1" si="140"/>
        <v>31005</v>
      </c>
      <c r="L2163">
        <v>-14756</v>
      </c>
      <c r="M2163" s="7">
        <f t="shared" ca="1" si="138"/>
        <v>40.399726214921287</v>
      </c>
      <c r="N2163" s="5" t="str">
        <f ca="1">VLOOKUP(Data!M2163,temp!$B$3:$C$9,2,1)</f>
        <v>40-50</v>
      </c>
      <c r="O2163">
        <v>-567</v>
      </c>
      <c r="P2163" s="8">
        <f t="shared" si="139"/>
        <v>1.5523613963039014</v>
      </c>
      <c r="Q2163" s="5" t="str">
        <f t="shared" si="141"/>
        <v>Employed</v>
      </c>
      <c r="R2163">
        <v>1</v>
      </c>
      <c r="S2163">
        <v>0</v>
      </c>
      <c r="T2163">
        <v>0</v>
      </c>
      <c r="U2163">
        <v>0</v>
      </c>
      <c r="W2163">
        <v>1</v>
      </c>
    </row>
    <row r="2164" spans="1:23" x14ac:dyDescent="0.2">
      <c r="A2164">
        <v>5067851</v>
      </c>
      <c r="B2164" t="s">
        <v>18</v>
      </c>
      <c r="C2164" t="s">
        <v>20</v>
      </c>
      <c r="D2164" t="s">
        <v>19</v>
      </c>
      <c r="E2164">
        <v>1</v>
      </c>
      <c r="F2164">
        <v>90000</v>
      </c>
      <c r="G2164" t="s">
        <v>31</v>
      </c>
      <c r="H2164" t="s">
        <v>22</v>
      </c>
      <c r="I2164" t="s">
        <v>28</v>
      </c>
      <c r="J2164" t="s">
        <v>24</v>
      </c>
      <c r="K2164" s="6">
        <f t="shared" ca="1" si="140"/>
        <v>33896</v>
      </c>
      <c r="L2164">
        <v>-11865</v>
      </c>
      <c r="M2164" s="7">
        <f t="shared" ca="1" si="138"/>
        <v>32.484599589322379</v>
      </c>
      <c r="N2164" s="5" t="str">
        <f ca="1">VLOOKUP(Data!M2164,temp!$B$3:$C$9,2,1)</f>
        <v>30-40</v>
      </c>
      <c r="O2164">
        <v>-3895</v>
      </c>
      <c r="P2164" s="8">
        <f t="shared" si="139"/>
        <v>10.663928815879535</v>
      </c>
      <c r="Q2164" s="5" t="str">
        <f t="shared" si="141"/>
        <v>Employed</v>
      </c>
      <c r="R2164">
        <v>1</v>
      </c>
      <c r="S2164">
        <v>0</v>
      </c>
      <c r="T2164">
        <v>1</v>
      </c>
      <c r="U2164">
        <v>0</v>
      </c>
      <c r="V2164" t="s">
        <v>38</v>
      </c>
      <c r="W2164">
        <v>3</v>
      </c>
    </row>
    <row r="2165" spans="1:23" x14ac:dyDescent="0.2">
      <c r="A2165">
        <v>5067857</v>
      </c>
      <c r="B2165" t="s">
        <v>18</v>
      </c>
      <c r="C2165" t="s">
        <v>19</v>
      </c>
      <c r="D2165" t="s">
        <v>20</v>
      </c>
      <c r="E2165">
        <v>0</v>
      </c>
      <c r="F2165">
        <v>112500</v>
      </c>
      <c r="G2165" t="s">
        <v>21</v>
      </c>
      <c r="H2165" t="s">
        <v>27</v>
      </c>
      <c r="I2165" t="s">
        <v>28</v>
      </c>
      <c r="J2165" t="s">
        <v>24</v>
      </c>
      <c r="K2165" s="6">
        <f t="shared" ca="1" si="140"/>
        <v>22522</v>
      </c>
      <c r="L2165">
        <v>-23239</v>
      </c>
      <c r="M2165" s="7">
        <f t="shared" ca="1" si="138"/>
        <v>63.624914442162904</v>
      </c>
      <c r="N2165" s="5" t="str">
        <f ca="1">VLOOKUP(Data!M2165,temp!$B$3:$C$9,2,1)</f>
        <v>60-70</v>
      </c>
      <c r="O2165">
        <v>365243</v>
      </c>
      <c r="P2165" s="8">
        <f t="shared" si="139"/>
        <v>0</v>
      </c>
      <c r="Q2165" s="5" t="str">
        <f t="shared" si="141"/>
        <v>Unemployed</v>
      </c>
      <c r="R2165">
        <v>1</v>
      </c>
      <c r="S2165">
        <v>0</v>
      </c>
      <c r="T2165">
        <v>0</v>
      </c>
      <c r="U2165">
        <v>0</v>
      </c>
      <c r="W2165">
        <v>2</v>
      </c>
    </row>
    <row r="2166" spans="1:23" x14ac:dyDescent="0.2">
      <c r="A2166">
        <v>5067858</v>
      </c>
      <c r="B2166" t="s">
        <v>18</v>
      </c>
      <c r="C2166" t="s">
        <v>19</v>
      </c>
      <c r="D2166" t="s">
        <v>20</v>
      </c>
      <c r="E2166">
        <v>1</v>
      </c>
      <c r="F2166">
        <v>193500</v>
      </c>
      <c r="G2166" t="s">
        <v>26</v>
      </c>
      <c r="H2166" t="s">
        <v>27</v>
      </c>
      <c r="I2166" t="s">
        <v>28</v>
      </c>
      <c r="J2166" t="s">
        <v>24</v>
      </c>
      <c r="K2166" s="6">
        <f t="shared" ca="1" si="140"/>
        <v>28840</v>
      </c>
      <c r="L2166">
        <v>-16921</v>
      </c>
      <c r="M2166" s="7">
        <f t="shared" ca="1" si="138"/>
        <v>46.327173169062284</v>
      </c>
      <c r="N2166" s="5" t="str">
        <f ca="1">VLOOKUP(Data!M2166,temp!$B$3:$C$9,2,1)</f>
        <v>40-50</v>
      </c>
      <c r="O2166">
        <v>-1095</v>
      </c>
      <c r="P2166" s="8">
        <f t="shared" si="139"/>
        <v>2.9979466119096507</v>
      </c>
      <c r="Q2166" s="5" t="str">
        <f t="shared" si="141"/>
        <v>Employed</v>
      </c>
      <c r="R2166">
        <v>1</v>
      </c>
      <c r="S2166">
        <v>0</v>
      </c>
      <c r="T2166">
        <v>0</v>
      </c>
      <c r="U2166">
        <v>1</v>
      </c>
      <c r="V2166" t="s">
        <v>29</v>
      </c>
      <c r="W2166">
        <v>3</v>
      </c>
    </row>
    <row r="2167" spans="1:23" x14ac:dyDescent="0.2">
      <c r="A2167">
        <v>5067864</v>
      </c>
      <c r="B2167" t="s">
        <v>18</v>
      </c>
      <c r="C2167" t="s">
        <v>19</v>
      </c>
      <c r="D2167" t="s">
        <v>20</v>
      </c>
      <c r="E2167">
        <v>0</v>
      </c>
      <c r="F2167">
        <v>144000</v>
      </c>
      <c r="G2167" t="s">
        <v>31</v>
      </c>
      <c r="H2167" t="s">
        <v>27</v>
      </c>
      <c r="I2167" t="s">
        <v>28</v>
      </c>
      <c r="J2167" t="s">
        <v>24</v>
      </c>
      <c r="K2167" s="6">
        <f t="shared" ca="1" si="140"/>
        <v>27056</v>
      </c>
      <c r="L2167">
        <v>-18705</v>
      </c>
      <c r="M2167" s="7">
        <f t="shared" ca="1" si="138"/>
        <v>51.211498973305957</v>
      </c>
      <c r="N2167" s="5" t="str">
        <f ca="1">VLOOKUP(Data!M2167,temp!$B$3:$C$9,2,1)</f>
        <v>50-60</v>
      </c>
      <c r="O2167">
        <v>-5345</v>
      </c>
      <c r="P2167" s="8">
        <f t="shared" si="139"/>
        <v>14.633812457221081</v>
      </c>
      <c r="Q2167" s="5" t="str">
        <f t="shared" si="141"/>
        <v>Employed</v>
      </c>
      <c r="R2167">
        <v>1</v>
      </c>
      <c r="S2167">
        <v>0</v>
      </c>
      <c r="T2167">
        <v>0</v>
      </c>
      <c r="U2167">
        <v>0</v>
      </c>
      <c r="V2167" t="s">
        <v>50</v>
      </c>
      <c r="W2167">
        <v>2</v>
      </c>
    </row>
    <row r="2168" spans="1:23" x14ac:dyDescent="0.2">
      <c r="A2168">
        <v>5067881</v>
      </c>
      <c r="B2168" t="s">
        <v>25</v>
      </c>
      <c r="C2168" t="s">
        <v>20</v>
      </c>
      <c r="D2168" t="s">
        <v>20</v>
      </c>
      <c r="E2168">
        <v>1</v>
      </c>
      <c r="F2168">
        <v>315000</v>
      </c>
      <c r="G2168" t="s">
        <v>31</v>
      </c>
      <c r="H2168" t="s">
        <v>27</v>
      </c>
      <c r="I2168" t="s">
        <v>28</v>
      </c>
      <c r="J2168" t="s">
        <v>24</v>
      </c>
      <c r="K2168" s="6">
        <f t="shared" ca="1" si="140"/>
        <v>28218</v>
      </c>
      <c r="L2168">
        <v>-17543</v>
      </c>
      <c r="M2168" s="7">
        <f t="shared" ca="1" si="138"/>
        <v>48.030116358658454</v>
      </c>
      <c r="N2168" s="5" t="str">
        <f ca="1">VLOOKUP(Data!M2168,temp!$B$3:$C$9,2,1)</f>
        <v>40-50</v>
      </c>
      <c r="O2168">
        <v>-2851</v>
      </c>
      <c r="P2168" s="8">
        <f t="shared" si="139"/>
        <v>7.8056125941136205</v>
      </c>
      <c r="Q2168" s="5" t="str">
        <f t="shared" si="141"/>
        <v>Employed</v>
      </c>
      <c r="R2168">
        <v>1</v>
      </c>
      <c r="S2168">
        <v>0</v>
      </c>
      <c r="T2168">
        <v>1</v>
      </c>
      <c r="U2168">
        <v>0</v>
      </c>
      <c r="V2168" t="s">
        <v>30</v>
      </c>
      <c r="W2168">
        <v>3</v>
      </c>
    </row>
    <row r="2169" spans="1:23" x14ac:dyDescent="0.2">
      <c r="A2169">
        <v>5067886</v>
      </c>
      <c r="B2169" t="s">
        <v>25</v>
      </c>
      <c r="C2169" t="s">
        <v>20</v>
      </c>
      <c r="D2169" t="s">
        <v>20</v>
      </c>
      <c r="E2169">
        <v>0</v>
      </c>
      <c r="F2169">
        <v>292500</v>
      </c>
      <c r="G2169" t="s">
        <v>31</v>
      </c>
      <c r="H2169" t="s">
        <v>27</v>
      </c>
      <c r="I2169" t="s">
        <v>28</v>
      </c>
      <c r="J2169" t="s">
        <v>34</v>
      </c>
      <c r="K2169" s="6">
        <f t="shared" ca="1" si="140"/>
        <v>28750</v>
      </c>
      <c r="L2169">
        <v>-17011</v>
      </c>
      <c r="M2169" s="7">
        <f t="shared" ca="1" si="138"/>
        <v>46.573579739904176</v>
      </c>
      <c r="N2169" s="5" t="str">
        <f ca="1">VLOOKUP(Data!M2169,temp!$B$3:$C$9,2,1)</f>
        <v>40-50</v>
      </c>
      <c r="O2169">
        <v>-901</v>
      </c>
      <c r="P2169" s="8">
        <f t="shared" si="139"/>
        <v>2.4668035592060233</v>
      </c>
      <c r="Q2169" s="5" t="str">
        <f t="shared" si="141"/>
        <v>Employed</v>
      </c>
      <c r="R2169">
        <v>1</v>
      </c>
      <c r="S2169">
        <v>0</v>
      </c>
      <c r="T2169">
        <v>0</v>
      </c>
      <c r="U2169">
        <v>0</v>
      </c>
      <c r="W2169">
        <v>2</v>
      </c>
    </row>
    <row r="2170" spans="1:23" x14ac:dyDescent="0.2">
      <c r="A2170">
        <v>5067893</v>
      </c>
      <c r="B2170" t="s">
        <v>25</v>
      </c>
      <c r="C2170" t="s">
        <v>20</v>
      </c>
      <c r="D2170" t="s">
        <v>20</v>
      </c>
      <c r="E2170">
        <v>0</v>
      </c>
      <c r="F2170">
        <v>292500</v>
      </c>
      <c r="G2170" t="s">
        <v>31</v>
      </c>
      <c r="H2170" t="s">
        <v>27</v>
      </c>
      <c r="I2170" t="s">
        <v>28</v>
      </c>
      <c r="J2170" t="s">
        <v>34</v>
      </c>
      <c r="K2170" s="6">
        <f t="shared" ca="1" si="140"/>
        <v>28750</v>
      </c>
      <c r="L2170">
        <v>-17011</v>
      </c>
      <c r="M2170" s="7">
        <f t="shared" ca="1" si="138"/>
        <v>46.573579739904176</v>
      </c>
      <c r="N2170" s="5" t="str">
        <f ca="1">VLOOKUP(Data!M2170,temp!$B$3:$C$9,2,1)</f>
        <v>40-50</v>
      </c>
      <c r="O2170">
        <v>-901</v>
      </c>
      <c r="P2170" s="8">
        <f t="shared" si="139"/>
        <v>2.4668035592060233</v>
      </c>
      <c r="Q2170" s="5" t="str">
        <f t="shared" si="141"/>
        <v>Employed</v>
      </c>
      <c r="R2170">
        <v>1</v>
      </c>
      <c r="S2170">
        <v>0</v>
      </c>
      <c r="T2170">
        <v>0</v>
      </c>
      <c r="U2170">
        <v>0</v>
      </c>
      <c r="W2170">
        <v>2</v>
      </c>
    </row>
    <row r="2171" spans="1:23" x14ac:dyDescent="0.2">
      <c r="A2171">
        <v>5067933</v>
      </c>
      <c r="B2171" t="s">
        <v>18</v>
      </c>
      <c r="C2171" t="s">
        <v>20</v>
      </c>
      <c r="D2171" t="s">
        <v>19</v>
      </c>
      <c r="E2171">
        <v>0</v>
      </c>
      <c r="F2171">
        <v>144000</v>
      </c>
      <c r="G2171" t="s">
        <v>26</v>
      </c>
      <c r="H2171" t="s">
        <v>22</v>
      </c>
      <c r="I2171" t="s">
        <v>28</v>
      </c>
      <c r="J2171" t="s">
        <v>24</v>
      </c>
      <c r="K2171" s="6">
        <f t="shared" ca="1" si="140"/>
        <v>28931</v>
      </c>
      <c r="L2171">
        <v>-16830</v>
      </c>
      <c r="M2171" s="7">
        <f t="shared" ca="1" si="138"/>
        <v>46.078028747433265</v>
      </c>
      <c r="N2171" s="5" t="str">
        <f ca="1">VLOOKUP(Data!M2171,temp!$B$3:$C$9,2,1)</f>
        <v>40-50</v>
      </c>
      <c r="O2171">
        <v>-3458</v>
      </c>
      <c r="P2171" s="8">
        <f t="shared" si="139"/>
        <v>9.4674880219028061</v>
      </c>
      <c r="Q2171" s="5" t="str">
        <f t="shared" si="141"/>
        <v>Employed</v>
      </c>
      <c r="R2171">
        <v>1</v>
      </c>
      <c r="S2171">
        <v>0</v>
      </c>
      <c r="T2171">
        <v>0</v>
      </c>
      <c r="U2171">
        <v>0</v>
      </c>
      <c r="W2171">
        <v>2</v>
      </c>
    </row>
    <row r="2172" spans="1:23" x14ac:dyDescent="0.2">
      <c r="A2172">
        <v>5067940</v>
      </c>
      <c r="B2172" t="s">
        <v>18</v>
      </c>
      <c r="C2172" t="s">
        <v>20</v>
      </c>
      <c r="D2172" t="s">
        <v>19</v>
      </c>
      <c r="E2172">
        <v>0</v>
      </c>
      <c r="F2172">
        <v>144000</v>
      </c>
      <c r="G2172" t="s">
        <v>26</v>
      </c>
      <c r="H2172" t="s">
        <v>22</v>
      </c>
      <c r="I2172" t="s">
        <v>28</v>
      </c>
      <c r="J2172" t="s">
        <v>24</v>
      </c>
      <c r="K2172" s="6">
        <f t="shared" ca="1" si="140"/>
        <v>28931</v>
      </c>
      <c r="L2172">
        <v>-16830</v>
      </c>
      <c r="M2172" s="7">
        <f t="shared" ca="1" si="138"/>
        <v>46.078028747433265</v>
      </c>
      <c r="N2172" s="5" t="str">
        <f ca="1">VLOOKUP(Data!M2172,temp!$B$3:$C$9,2,1)</f>
        <v>40-50</v>
      </c>
      <c r="O2172">
        <v>-3458</v>
      </c>
      <c r="P2172" s="8">
        <f t="shared" si="139"/>
        <v>9.4674880219028061</v>
      </c>
      <c r="Q2172" s="5" t="str">
        <f t="shared" si="141"/>
        <v>Employed</v>
      </c>
      <c r="R2172">
        <v>1</v>
      </c>
      <c r="S2172">
        <v>0</v>
      </c>
      <c r="T2172">
        <v>0</v>
      </c>
      <c r="U2172">
        <v>0</v>
      </c>
      <c r="W2172">
        <v>2</v>
      </c>
    </row>
    <row r="2173" spans="1:23" x14ac:dyDescent="0.2">
      <c r="A2173">
        <v>5067943</v>
      </c>
      <c r="B2173" t="s">
        <v>18</v>
      </c>
      <c r="C2173" t="s">
        <v>20</v>
      </c>
      <c r="D2173" t="s">
        <v>19</v>
      </c>
      <c r="E2173">
        <v>0</v>
      </c>
      <c r="F2173">
        <v>144000</v>
      </c>
      <c r="G2173" t="s">
        <v>26</v>
      </c>
      <c r="H2173" t="s">
        <v>22</v>
      </c>
      <c r="I2173" t="s">
        <v>28</v>
      </c>
      <c r="J2173" t="s">
        <v>24</v>
      </c>
      <c r="K2173" s="6">
        <f t="shared" ca="1" si="140"/>
        <v>28931</v>
      </c>
      <c r="L2173">
        <v>-16830</v>
      </c>
      <c r="M2173" s="7">
        <f t="shared" ca="1" si="138"/>
        <v>46.078028747433265</v>
      </c>
      <c r="N2173" s="5" t="str">
        <f ca="1">VLOOKUP(Data!M2173,temp!$B$3:$C$9,2,1)</f>
        <v>40-50</v>
      </c>
      <c r="O2173">
        <v>-3458</v>
      </c>
      <c r="P2173" s="8">
        <f t="shared" si="139"/>
        <v>9.4674880219028061</v>
      </c>
      <c r="Q2173" s="5" t="str">
        <f t="shared" si="141"/>
        <v>Employed</v>
      </c>
      <c r="R2173">
        <v>1</v>
      </c>
      <c r="S2173">
        <v>0</v>
      </c>
      <c r="T2173">
        <v>0</v>
      </c>
      <c r="U2173">
        <v>0</v>
      </c>
      <c r="W2173">
        <v>2</v>
      </c>
    </row>
    <row r="2174" spans="1:23" x14ac:dyDescent="0.2">
      <c r="A2174">
        <v>5067945</v>
      </c>
      <c r="B2174" t="s">
        <v>18</v>
      </c>
      <c r="C2174" t="s">
        <v>20</v>
      </c>
      <c r="D2174" t="s">
        <v>19</v>
      </c>
      <c r="E2174">
        <v>0</v>
      </c>
      <c r="F2174">
        <v>144000</v>
      </c>
      <c r="G2174" t="s">
        <v>26</v>
      </c>
      <c r="H2174" t="s">
        <v>22</v>
      </c>
      <c r="I2174" t="s">
        <v>28</v>
      </c>
      <c r="J2174" t="s">
        <v>24</v>
      </c>
      <c r="K2174" s="6">
        <f t="shared" ca="1" si="140"/>
        <v>28931</v>
      </c>
      <c r="L2174">
        <v>-16830</v>
      </c>
      <c r="M2174" s="7">
        <f t="shared" ca="1" si="138"/>
        <v>46.078028747433265</v>
      </c>
      <c r="N2174" s="5" t="str">
        <f ca="1">VLOOKUP(Data!M2174,temp!$B$3:$C$9,2,1)</f>
        <v>40-50</v>
      </c>
      <c r="O2174">
        <v>-3458</v>
      </c>
      <c r="P2174" s="8">
        <f t="shared" si="139"/>
        <v>9.4674880219028061</v>
      </c>
      <c r="Q2174" s="5" t="str">
        <f t="shared" si="141"/>
        <v>Employed</v>
      </c>
      <c r="R2174">
        <v>1</v>
      </c>
      <c r="S2174">
        <v>0</v>
      </c>
      <c r="T2174">
        <v>0</v>
      </c>
      <c r="U2174">
        <v>0</v>
      </c>
      <c r="W2174">
        <v>2</v>
      </c>
    </row>
    <row r="2175" spans="1:23" x14ac:dyDescent="0.2">
      <c r="A2175">
        <v>5067947</v>
      </c>
      <c r="B2175" t="s">
        <v>18</v>
      </c>
      <c r="C2175" t="s">
        <v>20</v>
      </c>
      <c r="D2175" t="s">
        <v>19</v>
      </c>
      <c r="E2175">
        <v>0</v>
      </c>
      <c r="F2175">
        <v>144000</v>
      </c>
      <c r="G2175" t="s">
        <v>26</v>
      </c>
      <c r="H2175" t="s">
        <v>22</v>
      </c>
      <c r="I2175" t="s">
        <v>28</v>
      </c>
      <c r="J2175" t="s">
        <v>24</v>
      </c>
      <c r="K2175" s="6">
        <f t="shared" ca="1" si="140"/>
        <v>28931</v>
      </c>
      <c r="L2175">
        <v>-16830</v>
      </c>
      <c r="M2175" s="7">
        <f t="shared" ca="1" si="138"/>
        <v>46.078028747433265</v>
      </c>
      <c r="N2175" s="5" t="str">
        <f ca="1">VLOOKUP(Data!M2175,temp!$B$3:$C$9,2,1)</f>
        <v>40-50</v>
      </c>
      <c r="O2175">
        <v>-3458</v>
      </c>
      <c r="P2175" s="8">
        <f t="shared" si="139"/>
        <v>9.4674880219028061</v>
      </c>
      <c r="Q2175" s="5" t="str">
        <f t="shared" si="141"/>
        <v>Employed</v>
      </c>
      <c r="R2175">
        <v>1</v>
      </c>
      <c r="S2175">
        <v>0</v>
      </c>
      <c r="T2175">
        <v>0</v>
      </c>
      <c r="U2175">
        <v>0</v>
      </c>
      <c r="W2175">
        <v>2</v>
      </c>
    </row>
    <row r="2176" spans="1:23" x14ac:dyDescent="0.2">
      <c r="A2176">
        <v>5067961</v>
      </c>
      <c r="B2176" t="s">
        <v>25</v>
      </c>
      <c r="C2176" t="s">
        <v>20</v>
      </c>
      <c r="D2176" t="s">
        <v>20</v>
      </c>
      <c r="E2176">
        <v>0</v>
      </c>
      <c r="F2176">
        <v>360000</v>
      </c>
      <c r="G2176" t="s">
        <v>31</v>
      </c>
      <c r="H2176" t="s">
        <v>22</v>
      </c>
      <c r="I2176" t="s">
        <v>28</v>
      </c>
      <c r="J2176" t="s">
        <v>24</v>
      </c>
      <c r="K2176" s="6">
        <f t="shared" ca="1" si="140"/>
        <v>23650</v>
      </c>
      <c r="L2176">
        <v>-22111</v>
      </c>
      <c r="M2176" s="7">
        <f t="shared" ca="1" si="138"/>
        <v>60.536618754277889</v>
      </c>
      <c r="N2176" s="5" t="str">
        <f ca="1">VLOOKUP(Data!M2176,temp!$B$3:$C$9,2,1)</f>
        <v>60-70</v>
      </c>
      <c r="O2176">
        <v>-3854</v>
      </c>
      <c r="P2176" s="8">
        <f t="shared" si="139"/>
        <v>10.551676933607119</v>
      </c>
      <c r="Q2176" s="5" t="str">
        <f t="shared" si="141"/>
        <v>Employed</v>
      </c>
      <c r="R2176">
        <v>1</v>
      </c>
      <c r="S2176">
        <v>0</v>
      </c>
      <c r="T2176">
        <v>0</v>
      </c>
      <c r="U2176">
        <v>0</v>
      </c>
      <c r="V2176" t="s">
        <v>32</v>
      </c>
      <c r="W2176">
        <v>2</v>
      </c>
    </row>
    <row r="2177" spans="1:23" x14ac:dyDescent="0.2">
      <c r="A2177">
        <v>5067975</v>
      </c>
      <c r="B2177" t="s">
        <v>18</v>
      </c>
      <c r="C2177" t="s">
        <v>19</v>
      </c>
      <c r="D2177" t="s">
        <v>19</v>
      </c>
      <c r="E2177">
        <v>0</v>
      </c>
      <c r="F2177">
        <v>108000</v>
      </c>
      <c r="G2177" t="s">
        <v>26</v>
      </c>
      <c r="H2177" t="s">
        <v>27</v>
      </c>
      <c r="I2177" t="s">
        <v>28</v>
      </c>
      <c r="J2177" t="s">
        <v>24</v>
      </c>
      <c r="K2177" s="6">
        <f t="shared" ca="1" si="140"/>
        <v>29958</v>
      </c>
      <c r="L2177">
        <v>-15803</v>
      </c>
      <c r="M2177" s="7">
        <f t="shared" ca="1" si="138"/>
        <v>43.266255989048595</v>
      </c>
      <c r="N2177" s="5" t="str">
        <f ca="1">VLOOKUP(Data!M2177,temp!$B$3:$C$9,2,1)</f>
        <v>40-50</v>
      </c>
      <c r="O2177">
        <v>-9029</v>
      </c>
      <c r="P2177" s="8">
        <f t="shared" si="139"/>
        <v>24.720054757015742</v>
      </c>
      <c r="Q2177" s="5" t="str">
        <f t="shared" si="141"/>
        <v>Employed</v>
      </c>
      <c r="R2177">
        <v>1</v>
      </c>
      <c r="S2177">
        <v>0</v>
      </c>
      <c r="T2177">
        <v>1</v>
      </c>
      <c r="U2177">
        <v>0</v>
      </c>
      <c r="V2177" t="s">
        <v>47</v>
      </c>
      <c r="W2177">
        <v>2</v>
      </c>
    </row>
    <row r="2178" spans="1:23" x14ac:dyDescent="0.2">
      <c r="A2178">
        <v>5068012</v>
      </c>
      <c r="B2178" t="s">
        <v>25</v>
      </c>
      <c r="C2178" t="s">
        <v>19</v>
      </c>
      <c r="D2178" t="s">
        <v>20</v>
      </c>
      <c r="E2178">
        <v>0</v>
      </c>
      <c r="F2178">
        <v>135000</v>
      </c>
      <c r="G2178" t="s">
        <v>26</v>
      </c>
      <c r="H2178" t="s">
        <v>27</v>
      </c>
      <c r="I2178" t="s">
        <v>28</v>
      </c>
      <c r="J2178" t="s">
        <v>24</v>
      </c>
      <c r="K2178" s="6">
        <f t="shared" ca="1" si="140"/>
        <v>22668</v>
      </c>
      <c r="L2178">
        <v>-23093</v>
      </c>
      <c r="M2178" s="7">
        <f t="shared" ca="1" si="138"/>
        <v>63.225188227241617</v>
      </c>
      <c r="N2178" s="5" t="str">
        <f ca="1">VLOOKUP(Data!M2178,temp!$B$3:$C$9,2,1)</f>
        <v>60-70</v>
      </c>
      <c r="O2178">
        <v>-659</v>
      </c>
      <c r="P2178" s="8">
        <f t="shared" si="139"/>
        <v>1.8042436687200547</v>
      </c>
      <c r="Q2178" s="5" t="str">
        <f t="shared" si="141"/>
        <v>Employed</v>
      </c>
      <c r="R2178">
        <v>1</v>
      </c>
      <c r="S2178">
        <v>1</v>
      </c>
      <c r="T2178">
        <v>0</v>
      </c>
      <c r="U2178">
        <v>0</v>
      </c>
      <c r="V2178" t="s">
        <v>40</v>
      </c>
      <c r="W2178">
        <v>2</v>
      </c>
    </row>
    <row r="2179" spans="1:23" x14ac:dyDescent="0.2">
      <c r="A2179">
        <v>5068028</v>
      </c>
      <c r="B2179" t="s">
        <v>18</v>
      </c>
      <c r="C2179" t="s">
        <v>19</v>
      </c>
      <c r="D2179" t="s">
        <v>19</v>
      </c>
      <c r="E2179">
        <v>0</v>
      </c>
      <c r="F2179">
        <v>135000</v>
      </c>
      <c r="G2179" t="s">
        <v>26</v>
      </c>
      <c r="H2179" t="s">
        <v>27</v>
      </c>
      <c r="I2179" t="s">
        <v>28</v>
      </c>
      <c r="J2179" t="s">
        <v>24</v>
      </c>
      <c r="K2179" s="6">
        <f t="shared" ca="1" si="140"/>
        <v>28147</v>
      </c>
      <c r="L2179">
        <v>-17614</v>
      </c>
      <c r="M2179" s="7">
        <f t="shared" ref="M2179:M2242" ca="1" si="142">(TODAY()-K2179)/365.25</f>
        <v>48.224503764544835</v>
      </c>
      <c r="N2179" s="5" t="str">
        <f ca="1">VLOOKUP(Data!M2179,temp!$B$3:$C$9,2,1)</f>
        <v>40-50</v>
      </c>
      <c r="O2179">
        <v>-4219</v>
      </c>
      <c r="P2179" s="8">
        <f t="shared" ref="P2179:P2242" si="143">IF(O2179&lt;=0,ABS(O2179)/365.25,0)</f>
        <v>11.550992470910336</v>
      </c>
      <c r="Q2179" s="5" t="str">
        <f t="shared" si="141"/>
        <v>Employed</v>
      </c>
      <c r="R2179">
        <v>1</v>
      </c>
      <c r="S2179">
        <v>0</v>
      </c>
      <c r="T2179">
        <v>0</v>
      </c>
      <c r="U2179">
        <v>0</v>
      </c>
      <c r="V2179" t="s">
        <v>39</v>
      </c>
      <c r="W2179">
        <v>2</v>
      </c>
    </row>
    <row r="2180" spans="1:23" x14ac:dyDescent="0.2">
      <c r="A2180">
        <v>5068037</v>
      </c>
      <c r="B2180" t="s">
        <v>18</v>
      </c>
      <c r="C2180" t="s">
        <v>19</v>
      </c>
      <c r="D2180" t="s">
        <v>19</v>
      </c>
      <c r="E2180">
        <v>0</v>
      </c>
      <c r="F2180">
        <v>135000</v>
      </c>
      <c r="G2180" t="s">
        <v>26</v>
      </c>
      <c r="H2180" t="s">
        <v>27</v>
      </c>
      <c r="I2180" t="s">
        <v>28</v>
      </c>
      <c r="J2180" t="s">
        <v>24</v>
      </c>
      <c r="K2180" s="6">
        <f t="shared" ca="1" si="140"/>
        <v>28147</v>
      </c>
      <c r="L2180">
        <v>-17614</v>
      </c>
      <c r="M2180" s="7">
        <f t="shared" ca="1" si="142"/>
        <v>48.224503764544835</v>
      </c>
      <c r="N2180" s="5" t="str">
        <f ca="1">VLOOKUP(Data!M2180,temp!$B$3:$C$9,2,1)</f>
        <v>40-50</v>
      </c>
      <c r="O2180">
        <v>-4219</v>
      </c>
      <c r="P2180" s="8">
        <f t="shared" si="143"/>
        <v>11.550992470910336</v>
      </c>
      <c r="Q2180" s="5" t="str">
        <f t="shared" si="141"/>
        <v>Employed</v>
      </c>
      <c r="R2180">
        <v>1</v>
      </c>
      <c r="S2180">
        <v>0</v>
      </c>
      <c r="T2180">
        <v>0</v>
      </c>
      <c r="U2180">
        <v>0</v>
      </c>
      <c r="V2180" t="s">
        <v>39</v>
      </c>
      <c r="W2180">
        <v>2</v>
      </c>
    </row>
    <row r="2181" spans="1:23" x14ac:dyDescent="0.2">
      <c r="A2181">
        <v>5068041</v>
      </c>
      <c r="B2181" t="s">
        <v>18</v>
      </c>
      <c r="C2181" t="s">
        <v>20</v>
      </c>
      <c r="D2181" t="s">
        <v>20</v>
      </c>
      <c r="E2181">
        <v>0</v>
      </c>
      <c r="F2181">
        <v>247500</v>
      </c>
      <c r="G2181" t="s">
        <v>31</v>
      </c>
      <c r="H2181" t="s">
        <v>27</v>
      </c>
      <c r="I2181" t="s">
        <v>28</v>
      </c>
      <c r="J2181" t="s">
        <v>24</v>
      </c>
      <c r="K2181" s="6">
        <f t="shared" ca="1" si="140"/>
        <v>29370</v>
      </c>
      <c r="L2181">
        <v>-16391</v>
      </c>
      <c r="M2181" s="7">
        <f t="shared" ca="1" si="142"/>
        <v>44.876112251882276</v>
      </c>
      <c r="N2181" s="5" t="str">
        <f ca="1">VLOOKUP(Data!M2181,temp!$B$3:$C$9,2,1)</f>
        <v>40-50</v>
      </c>
      <c r="O2181">
        <v>-1601</v>
      </c>
      <c r="P2181" s="8">
        <f t="shared" si="143"/>
        <v>4.3832991101984939</v>
      </c>
      <c r="Q2181" s="5" t="str">
        <f t="shared" si="141"/>
        <v>Employed</v>
      </c>
      <c r="R2181">
        <v>1</v>
      </c>
      <c r="S2181">
        <v>0</v>
      </c>
      <c r="T2181">
        <v>0</v>
      </c>
      <c r="U2181">
        <v>0</v>
      </c>
      <c r="V2181" t="s">
        <v>40</v>
      </c>
      <c r="W2181">
        <v>2</v>
      </c>
    </row>
    <row r="2182" spans="1:23" x14ac:dyDescent="0.2">
      <c r="A2182">
        <v>5068043</v>
      </c>
      <c r="B2182" t="s">
        <v>18</v>
      </c>
      <c r="C2182" t="s">
        <v>20</v>
      </c>
      <c r="D2182" t="s">
        <v>20</v>
      </c>
      <c r="E2182">
        <v>0</v>
      </c>
      <c r="F2182">
        <v>247500</v>
      </c>
      <c r="G2182" t="s">
        <v>31</v>
      </c>
      <c r="H2182" t="s">
        <v>27</v>
      </c>
      <c r="I2182" t="s">
        <v>28</v>
      </c>
      <c r="J2182" t="s">
        <v>24</v>
      </c>
      <c r="K2182" s="6">
        <f t="shared" ca="1" si="140"/>
        <v>29370</v>
      </c>
      <c r="L2182">
        <v>-16391</v>
      </c>
      <c r="M2182" s="7">
        <f t="shared" ca="1" si="142"/>
        <v>44.876112251882276</v>
      </c>
      <c r="N2182" s="5" t="str">
        <f ca="1">VLOOKUP(Data!M2182,temp!$B$3:$C$9,2,1)</f>
        <v>40-50</v>
      </c>
      <c r="O2182">
        <v>-1601</v>
      </c>
      <c r="P2182" s="8">
        <f t="shared" si="143"/>
        <v>4.3832991101984939</v>
      </c>
      <c r="Q2182" s="5" t="str">
        <f t="shared" si="141"/>
        <v>Employed</v>
      </c>
      <c r="R2182">
        <v>1</v>
      </c>
      <c r="S2182">
        <v>0</v>
      </c>
      <c r="T2182">
        <v>0</v>
      </c>
      <c r="U2182">
        <v>0</v>
      </c>
      <c r="V2182" t="s">
        <v>40</v>
      </c>
      <c r="W2182">
        <v>2</v>
      </c>
    </row>
    <row r="2183" spans="1:23" x14ac:dyDescent="0.2">
      <c r="A2183">
        <v>5068045</v>
      </c>
      <c r="B2183" t="s">
        <v>18</v>
      </c>
      <c r="C2183" t="s">
        <v>20</v>
      </c>
      <c r="D2183" t="s">
        <v>20</v>
      </c>
      <c r="E2183">
        <v>0</v>
      </c>
      <c r="F2183">
        <v>247500</v>
      </c>
      <c r="G2183" t="s">
        <v>31</v>
      </c>
      <c r="H2183" t="s">
        <v>27</v>
      </c>
      <c r="I2183" t="s">
        <v>28</v>
      </c>
      <c r="J2183" t="s">
        <v>24</v>
      </c>
      <c r="K2183" s="6">
        <f t="shared" ca="1" si="140"/>
        <v>29370</v>
      </c>
      <c r="L2183">
        <v>-16391</v>
      </c>
      <c r="M2183" s="7">
        <f t="shared" ca="1" si="142"/>
        <v>44.876112251882276</v>
      </c>
      <c r="N2183" s="5" t="str">
        <f ca="1">VLOOKUP(Data!M2183,temp!$B$3:$C$9,2,1)</f>
        <v>40-50</v>
      </c>
      <c r="O2183">
        <v>-1601</v>
      </c>
      <c r="P2183" s="8">
        <f t="shared" si="143"/>
        <v>4.3832991101984939</v>
      </c>
      <c r="Q2183" s="5" t="str">
        <f t="shared" si="141"/>
        <v>Employed</v>
      </c>
      <c r="R2183">
        <v>1</v>
      </c>
      <c r="S2183">
        <v>0</v>
      </c>
      <c r="T2183">
        <v>0</v>
      </c>
      <c r="U2183">
        <v>0</v>
      </c>
      <c r="V2183" t="s">
        <v>40</v>
      </c>
      <c r="W2183">
        <v>2</v>
      </c>
    </row>
    <row r="2184" spans="1:23" x14ac:dyDescent="0.2">
      <c r="A2184">
        <v>5068057</v>
      </c>
      <c r="B2184" t="s">
        <v>25</v>
      </c>
      <c r="C2184" t="s">
        <v>20</v>
      </c>
      <c r="D2184" t="s">
        <v>20</v>
      </c>
      <c r="E2184">
        <v>1</v>
      </c>
      <c r="F2184">
        <v>427500</v>
      </c>
      <c r="G2184" t="s">
        <v>31</v>
      </c>
      <c r="H2184" t="s">
        <v>22</v>
      </c>
      <c r="I2184" t="s">
        <v>28</v>
      </c>
      <c r="J2184" t="s">
        <v>24</v>
      </c>
      <c r="K2184" s="6">
        <f t="shared" ref="K2184:K2247" ca="1" si="144">TODAY()+($L2184)</f>
        <v>30676</v>
      </c>
      <c r="L2184">
        <v>-15085</v>
      </c>
      <c r="M2184" s="7">
        <f t="shared" ca="1" si="142"/>
        <v>41.300479123887747</v>
      </c>
      <c r="N2184" s="5" t="str">
        <f ca="1">VLOOKUP(Data!M2184,temp!$B$3:$C$9,2,1)</f>
        <v>40-50</v>
      </c>
      <c r="O2184">
        <v>-354</v>
      </c>
      <c r="P2184" s="8">
        <f t="shared" si="143"/>
        <v>0.9691991786447639</v>
      </c>
      <c r="Q2184" s="5" t="str">
        <f t="shared" ref="Q2184:Q2247" si="145">IF($O2184&gt;0,"Unemployed","Employed")</f>
        <v>Employed</v>
      </c>
      <c r="R2184">
        <v>1</v>
      </c>
      <c r="S2184">
        <v>0</v>
      </c>
      <c r="T2184">
        <v>0</v>
      </c>
      <c r="U2184">
        <v>0</v>
      </c>
      <c r="V2184" t="s">
        <v>32</v>
      </c>
      <c r="W2184">
        <v>3</v>
      </c>
    </row>
    <row r="2185" spans="1:23" x14ac:dyDescent="0.2">
      <c r="A2185">
        <v>5068060</v>
      </c>
      <c r="B2185" t="s">
        <v>25</v>
      </c>
      <c r="C2185" t="s">
        <v>20</v>
      </c>
      <c r="D2185" t="s">
        <v>20</v>
      </c>
      <c r="E2185">
        <v>1</v>
      </c>
      <c r="F2185">
        <v>427500</v>
      </c>
      <c r="G2185" t="s">
        <v>31</v>
      </c>
      <c r="H2185" t="s">
        <v>22</v>
      </c>
      <c r="I2185" t="s">
        <v>28</v>
      </c>
      <c r="J2185" t="s">
        <v>24</v>
      </c>
      <c r="K2185" s="6">
        <f t="shared" ca="1" si="144"/>
        <v>30676</v>
      </c>
      <c r="L2185">
        <v>-15085</v>
      </c>
      <c r="M2185" s="7">
        <f t="shared" ca="1" si="142"/>
        <v>41.300479123887747</v>
      </c>
      <c r="N2185" s="5" t="str">
        <f ca="1">VLOOKUP(Data!M2185,temp!$B$3:$C$9,2,1)</f>
        <v>40-50</v>
      </c>
      <c r="O2185">
        <v>-354</v>
      </c>
      <c r="P2185" s="8">
        <f t="shared" si="143"/>
        <v>0.9691991786447639</v>
      </c>
      <c r="Q2185" s="5" t="str">
        <f t="shared" si="145"/>
        <v>Employed</v>
      </c>
      <c r="R2185">
        <v>1</v>
      </c>
      <c r="S2185">
        <v>0</v>
      </c>
      <c r="T2185">
        <v>0</v>
      </c>
      <c r="U2185">
        <v>0</v>
      </c>
      <c r="V2185" t="s">
        <v>32</v>
      </c>
      <c r="W2185">
        <v>3</v>
      </c>
    </row>
    <row r="2186" spans="1:23" x14ac:dyDescent="0.2">
      <c r="A2186">
        <v>5068061</v>
      </c>
      <c r="B2186" t="s">
        <v>25</v>
      </c>
      <c r="C2186" t="s">
        <v>20</v>
      </c>
      <c r="D2186" t="s">
        <v>20</v>
      </c>
      <c r="E2186">
        <v>1</v>
      </c>
      <c r="F2186">
        <v>427500</v>
      </c>
      <c r="G2186" t="s">
        <v>31</v>
      </c>
      <c r="H2186" t="s">
        <v>22</v>
      </c>
      <c r="I2186" t="s">
        <v>28</v>
      </c>
      <c r="J2186" t="s">
        <v>24</v>
      </c>
      <c r="K2186" s="6">
        <f t="shared" ca="1" si="144"/>
        <v>30676</v>
      </c>
      <c r="L2186">
        <v>-15085</v>
      </c>
      <c r="M2186" s="7">
        <f t="shared" ca="1" si="142"/>
        <v>41.300479123887747</v>
      </c>
      <c r="N2186" s="5" t="str">
        <f ca="1">VLOOKUP(Data!M2186,temp!$B$3:$C$9,2,1)</f>
        <v>40-50</v>
      </c>
      <c r="O2186">
        <v>-354</v>
      </c>
      <c r="P2186" s="8">
        <f t="shared" si="143"/>
        <v>0.9691991786447639</v>
      </c>
      <c r="Q2186" s="5" t="str">
        <f t="shared" si="145"/>
        <v>Employed</v>
      </c>
      <c r="R2186">
        <v>1</v>
      </c>
      <c r="S2186">
        <v>0</v>
      </c>
      <c r="T2186">
        <v>0</v>
      </c>
      <c r="U2186">
        <v>0</v>
      </c>
      <c r="V2186" t="s">
        <v>32</v>
      </c>
      <c r="W2186">
        <v>3</v>
      </c>
    </row>
    <row r="2187" spans="1:23" x14ac:dyDescent="0.2">
      <c r="A2187">
        <v>5068098</v>
      </c>
      <c r="B2187" t="s">
        <v>18</v>
      </c>
      <c r="C2187" t="s">
        <v>20</v>
      </c>
      <c r="D2187" t="s">
        <v>20</v>
      </c>
      <c r="E2187">
        <v>1</v>
      </c>
      <c r="F2187">
        <v>234000</v>
      </c>
      <c r="G2187" t="s">
        <v>26</v>
      </c>
      <c r="H2187" t="s">
        <v>27</v>
      </c>
      <c r="I2187" t="s">
        <v>28</v>
      </c>
      <c r="J2187" t="s">
        <v>24</v>
      </c>
      <c r="K2187" s="6">
        <f t="shared" ca="1" si="144"/>
        <v>34896</v>
      </c>
      <c r="L2187">
        <v>-10865</v>
      </c>
      <c r="M2187" s="7">
        <f t="shared" ca="1" si="142"/>
        <v>29.746748802190282</v>
      </c>
      <c r="N2187" s="5" t="str">
        <f ca="1">VLOOKUP(Data!M2187,temp!$B$3:$C$9,2,1)</f>
        <v>20-30</v>
      </c>
      <c r="O2187">
        <v>-1481</v>
      </c>
      <c r="P2187" s="8">
        <f t="shared" si="143"/>
        <v>4.0547570157426422</v>
      </c>
      <c r="Q2187" s="5" t="str">
        <f t="shared" si="145"/>
        <v>Employed</v>
      </c>
      <c r="R2187">
        <v>1</v>
      </c>
      <c r="S2187">
        <v>0</v>
      </c>
      <c r="T2187">
        <v>0</v>
      </c>
      <c r="U2187">
        <v>0</v>
      </c>
      <c r="V2187" t="s">
        <v>39</v>
      </c>
      <c r="W2187">
        <v>3</v>
      </c>
    </row>
    <row r="2188" spans="1:23" x14ac:dyDescent="0.2">
      <c r="A2188">
        <v>5068103</v>
      </c>
      <c r="B2188" t="s">
        <v>18</v>
      </c>
      <c r="C2188" t="s">
        <v>20</v>
      </c>
      <c r="D2188" t="s">
        <v>20</v>
      </c>
      <c r="E2188">
        <v>1</v>
      </c>
      <c r="F2188">
        <v>234000</v>
      </c>
      <c r="G2188" t="s">
        <v>26</v>
      </c>
      <c r="H2188" t="s">
        <v>27</v>
      </c>
      <c r="I2188" t="s">
        <v>28</v>
      </c>
      <c r="J2188" t="s">
        <v>24</v>
      </c>
      <c r="K2188" s="6">
        <f t="shared" ca="1" si="144"/>
        <v>34896</v>
      </c>
      <c r="L2188">
        <v>-10865</v>
      </c>
      <c r="M2188" s="7">
        <f t="shared" ca="1" si="142"/>
        <v>29.746748802190282</v>
      </c>
      <c r="N2188" s="5" t="str">
        <f ca="1">VLOOKUP(Data!M2188,temp!$B$3:$C$9,2,1)</f>
        <v>20-30</v>
      </c>
      <c r="O2188">
        <v>-1481</v>
      </c>
      <c r="P2188" s="8">
        <f t="shared" si="143"/>
        <v>4.0547570157426422</v>
      </c>
      <c r="Q2188" s="5" t="str">
        <f t="shared" si="145"/>
        <v>Employed</v>
      </c>
      <c r="R2188">
        <v>1</v>
      </c>
      <c r="S2188">
        <v>0</v>
      </c>
      <c r="T2188">
        <v>0</v>
      </c>
      <c r="U2188">
        <v>0</v>
      </c>
      <c r="V2188" t="s">
        <v>39</v>
      </c>
      <c r="W2188">
        <v>3</v>
      </c>
    </row>
    <row r="2189" spans="1:23" x14ac:dyDescent="0.2">
      <c r="A2189">
        <v>5068105</v>
      </c>
      <c r="B2189" t="s">
        <v>18</v>
      </c>
      <c r="C2189" t="s">
        <v>20</v>
      </c>
      <c r="D2189" t="s">
        <v>20</v>
      </c>
      <c r="E2189">
        <v>1</v>
      </c>
      <c r="F2189">
        <v>234000</v>
      </c>
      <c r="G2189" t="s">
        <v>26</v>
      </c>
      <c r="H2189" t="s">
        <v>27</v>
      </c>
      <c r="I2189" t="s">
        <v>28</v>
      </c>
      <c r="J2189" t="s">
        <v>24</v>
      </c>
      <c r="K2189" s="6">
        <f t="shared" ca="1" si="144"/>
        <v>34896</v>
      </c>
      <c r="L2189">
        <v>-10865</v>
      </c>
      <c r="M2189" s="7">
        <f t="shared" ca="1" si="142"/>
        <v>29.746748802190282</v>
      </c>
      <c r="N2189" s="5" t="str">
        <f ca="1">VLOOKUP(Data!M2189,temp!$B$3:$C$9,2,1)</f>
        <v>20-30</v>
      </c>
      <c r="O2189">
        <v>-1481</v>
      </c>
      <c r="P2189" s="8">
        <f t="shared" si="143"/>
        <v>4.0547570157426422</v>
      </c>
      <c r="Q2189" s="5" t="str">
        <f t="shared" si="145"/>
        <v>Employed</v>
      </c>
      <c r="R2189">
        <v>1</v>
      </c>
      <c r="S2189">
        <v>0</v>
      </c>
      <c r="T2189">
        <v>0</v>
      </c>
      <c r="U2189">
        <v>0</v>
      </c>
      <c r="V2189" t="s">
        <v>39</v>
      </c>
      <c r="W2189">
        <v>3</v>
      </c>
    </row>
    <row r="2190" spans="1:23" x14ac:dyDescent="0.2">
      <c r="A2190">
        <v>5068110</v>
      </c>
      <c r="B2190" t="s">
        <v>18</v>
      </c>
      <c r="C2190" t="s">
        <v>19</v>
      </c>
      <c r="D2190" t="s">
        <v>20</v>
      </c>
      <c r="E2190">
        <v>0</v>
      </c>
      <c r="F2190">
        <v>450000</v>
      </c>
      <c r="G2190" t="s">
        <v>35</v>
      </c>
      <c r="H2190" t="s">
        <v>22</v>
      </c>
      <c r="I2190" t="s">
        <v>33</v>
      </c>
      <c r="J2190" t="s">
        <v>24</v>
      </c>
      <c r="K2190" s="6">
        <f t="shared" ca="1" si="144"/>
        <v>25619</v>
      </c>
      <c r="L2190">
        <v>-20142</v>
      </c>
      <c r="M2190" s="7">
        <f t="shared" ca="1" si="142"/>
        <v>55.145790554414788</v>
      </c>
      <c r="N2190" s="5" t="str">
        <f ca="1">VLOOKUP(Data!M2190,temp!$B$3:$C$9,2,1)</f>
        <v>50-60</v>
      </c>
      <c r="O2190">
        <v>-3093</v>
      </c>
      <c r="P2190" s="8">
        <f t="shared" si="143"/>
        <v>8.4681724845995898</v>
      </c>
      <c r="Q2190" s="5" t="str">
        <f t="shared" si="145"/>
        <v>Employed</v>
      </c>
      <c r="R2190">
        <v>1</v>
      </c>
      <c r="S2190">
        <v>0</v>
      </c>
      <c r="T2190">
        <v>1</v>
      </c>
      <c r="U2190">
        <v>1</v>
      </c>
      <c r="V2190" t="s">
        <v>38</v>
      </c>
      <c r="W2190">
        <v>1</v>
      </c>
    </row>
    <row r="2191" spans="1:23" x14ac:dyDescent="0.2">
      <c r="A2191">
        <v>5068141</v>
      </c>
      <c r="B2191" t="s">
        <v>18</v>
      </c>
      <c r="C2191" t="s">
        <v>19</v>
      </c>
      <c r="D2191" t="s">
        <v>20</v>
      </c>
      <c r="E2191">
        <v>0</v>
      </c>
      <c r="F2191">
        <v>157500</v>
      </c>
      <c r="G2191" t="s">
        <v>21</v>
      </c>
      <c r="H2191" t="s">
        <v>27</v>
      </c>
      <c r="I2191" t="s">
        <v>33</v>
      </c>
      <c r="J2191" t="s">
        <v>24</v>
      </c>
      <c r="K2191" s="6">
        <f t="shared" ca="1" si="144"/>
        <v>25320</v>
      </c>
      <c r="L2191">
        <v>-20441</v>
      </c>
      <c r="M2191" s="7">
        <f t="shared" ca="1" si="142"/>
        <v>55.964407939767284</v>
      </c>
      <c r="N2191" s="5" t="str">
        <f ca="1">VLOOKUP(Data!M2191,temp!$B$3:$C$9,2,1)</f>
        <v>50-60</v>
      </c>
      <c r="O2191">
        <v>365243</v>
      </c>
      <c r="P2191" s="8">
        <f t="shared" si="143"/>
        <v>0</v>
      </c>
      <c r="Q2191" s="5" t="str">
        <f t="shared" si="145"/>
        <v>Unemployed</v>
      </c>
      <c r="R2191">
        <v>1</v>
      </c>
      <c r="S2191">
        <v>0</v>
      </c>
      <c r="T2191">
        <v>0</v>
      </c>
      <c r="U2191">
        <v>0</v>
      </c>
      <c r="W2191">
        <v>1</v>
      </c>
    </row>
    <row r="2192" spans="1:23" x14ac:dyDescent="0.2">
      <c r="A2192">
        <v>5068144</v>
      </c>
      <c r="B2192" t="s">
        <v>18</v>
      </c>
      <c r="C2192" t="s">
        <v>19</v>
      </c>
      <c r="D2192" t="s">
        <v>20</v>
      </c>
      <c r="E2192">
        <v>0</v>
      </c>
      <c r="F2192">
        <v>157500</v>
      </c>
      <c r="G2192" t="s">
        <v>21</v>
      </c>
      <c r="H2192" t="s">
        <v>27</v>
      </c>
      <c r="I2192" t="s">
        <v>33</v>
      </c>
      <c r="J2192" t="s">
        <v>24</v>
      </c>
      <c r="K2192" s="6">
        <f t="shared" ca="1" si="144"/>
        <v>25320</v>
      </c>
      <c r="L2192">
        <v>-20441</v>
      </c>
      <c r="M2192" s="7">
        <f t="shared" ca="1" si="142"/>
        <v>55.964407939767284</v>
      </c>
      <c r="N2192" s="5" t="str">
        <f ca="1">VLOOKUP(Data!M2192,temp!$B$3:$C$9,2,1)</f>
        <v>50-60</v>
      </c>
      <c r="O2192">
        <v>365243</v>
      </c>
      <c r="P2192" s="8">
        <f t="shared" si="143"/>
        <v>0</v>
      </c>
      <c r="Q2192" s="5" t="str">
        <f t="shared" si="145"/>
        <v>Unemployed</v>
      </c>
      <c r="R2192">
        <v>1</v>
      </c>
      <c r="S2192">
        <v>0</v>
      </c>
      <c r="T2192">
        <v>0</v>
      </c>
      <c r="U2192">
        <v>0</v>
      </c>
      <c r="W2192">
        <v>1</v>
      </c>
    </row>
    <row r="2193" spans="1:23" x14ac:dyDescent="0.2">
      <c r="A2193">
        <v>5068153</v>
      </c>
      <c r="B2193" t="s">
        <v>25</v>
      </c>
      <c r="C2193" t="s">
        <v>20</v>
      </c>
      <c r="D2193" t="s">
        <v>20</v>
      </c>
      <c r="E2193">
        <v>0</v>
      </c>
      <c r="F2193">
        <v>180000</v>
      </c>
      <c r="G2193" t="s">
        <v>31</v>
      </c>
      <c r="H2193" t="s">
        <v>27</v>
      </c>
      <c r="I2193" t="s">
        <v>28</v>
      </c>
      <c r="J2193" t="s">
        <v>24</v>
      </c>
      <c r="K2193" s="6">
        <f t="shared" ca="1" si="144"/>
        <v>26196</v>
      </c>
      <c r="L2193">
        <v>-19565</v>
      </c>
      <c r="M2193" s="7">
        <f t="shared" ca="1" si="142"/>
        <v>53.566050650239561</v>
      </c>
      <c r="N2193" s="5" t="str">
        <f ca="1">VLOOKUP(Data!M2193,temp!$B$3:$C$9,2,1)</f>
        <v>50-60</v>
      </c>
      <c r="O2193">
        <v>-3246</v>
      </c>
      <c r="P2193" s="8">
        <f t="shared" si="143"/>
        <v>8.8870636550308006</v>
      </c>
      <c r="Q2193" s="5" t="str">
        <f t="shared" si="145"/>
        <v>Employed</v>
      </c>
      <c r="R2193">
        <v>1</v>
      </c>
      <c r="S2193">
        <v>0</v>
      </c>
      <c r="T2193">
        <v>0</v>
      </c>
      <c r="U2193">
        <v>0</v>
      </c>
      <c r="W2193">
        <v>2</v>
      </c>
    </row>
    <row r="2194" spans="1:23" x14ac:dyDescent="0.2">
      <c r="A2194">
        <v>5068162</v>
      </c>
      <c r="B2194" t="s">
        <v>25</v>
      </c>
      <c r="C2194" t="s">
        <v>20</v>
      </c>
      <c r="D2194" t="s">
        <v>19</v>
      </c>
      <c r="E2194">
        <v>0</v>
      </c>
      <c r="F2194">
        <v>247500</v>
      </c>
      <c r="G2194" t="s">
        <v>31</v>
      </c>
      <c r="H2194" t="s">
        <v>22</v>
      </c>
      <c r="I2194" t="s">
        <v>28</v>
      </c>
      <c r="J2194" t="s">
        <v>45</v>
      </c>
      <c r="K2194" s="6">
        <f t="shared" ca="1" si="144"/>
        <v>28686</v>
      </c>
      <c r="L2194">
        <v>-17075</v>
      </c>
      <c r="M2194" s="7">
        <f t="shared" ca="1" si="142"/>
        <v>46.748802190280628</v>
      </c>
      <c r="N2194" s="5" t="str">
        <f ca="1">VLOOKUP(Data!M2194,temp!$B$3:$C$9,2,1)</f>
        <v>40-50</v>
      </c>
      <c r="O2194">
        <v>-1815</v>
      </c>
      <c r="P2194" s="8">
        <f t="shared" si="143"/>
        <v>4.9691991786447636</v>
      </c>
      <c r="Q2194" s="5" t="str">
        <f t="shared" si="145"/>
        <v>Employed</v>
      </c>
      <c r="R2194">
        <v>1</v>
      </c>
      <c r="S2194">
        <v>0</v>
      </c>
      <c r="T2194">
        <v>0</v>
      </c>
      <c r="U2194">
        <v>1</v>
      </c>
      <c r="V2194" t="s">
        <v>40</v>
      </c>
      <c r="W2194">
        <v>2</v>
      </c>
    </row>
    <row r="2195" spans="1:23" x14ac:dyDescent="0.2">
      <c r="A2195">
        <v>5068171</v>
      </c>
      <c r="B2195" t="s">
        <v>25</v>
      </c>
      <c r="C2195" t="s">
        <v>20</v>
      </c>
      <c r="D2195" t="s">
        <v>20</v>
      </c>
      <c r="E2195">
        <v>1</v>
      </c>
      <c r="F2195">
        <v>310500</v>
      </c>
      <c r="G2195" t="s">
        <v>31</v>
      </c>
      <c r="H2195" t="s">
        <v>22</v>
      </c>
      <c r="I2195" t="s">
        <v>28</v>
      </c>
      <c r="J2195" t="s">
        <v>24</v>
      </c>
      <c r="K2195" s="6">
        <f t="shared" ca="1" si="144"/>
        <v>34738</v>
      </c>
      <c r="L2195">
        <v>-11023</v>
      </c>
      <c r="M2195" s="7">
        <f t="shared" ca="1" si="142"/>
        <v>30.179329226557151</v>
      </c>
      <c r="N2195" s="5" t="str">
        <f ca="1">VLOOKUP(Data!M2195,temp!$B$3:$C$9,2,1)</f>
        <v>30-40</v>
      </c>
      <c r="O2195">
        <v>-3093</v>
      </c>
      <c r="P2195" s="8">
        <f t="shared" si="143"/>
        <v>8.4681724845995898</v>
      </c>
      <c r="Q2195" s="5" t="str">
        <f t="shared" si="145"/>
        <v>Employed</v>
      </c>
      <c r="R2195">
        <v>1</v>
      </c>
      <c r="S2195">
        <v>0</v>
      </c>
      <c r="T2195">
        <v>0</v>
      </c>
      <c r="U2195">
        <v>1</v>
      </c>
      <c r="V2195" t="s">
        <v>56</v>
      </c>
      <c r="W2195">
        <v>3</v>
      </c>
    </row>
    <row r="2196" spans="1:23" x14ac:dyDescent="0.2">
      <c r="A2196">
        <v>5068176</v>
      </c>
      <c r="B2196" t="s">
        <v>18</v>
      </c>
      <c r="C2196" t="s">
        <v>20</v>
      </c>
      <c r="D2196" t="s">
        <v>20</v>
      </c>
      <c r="E2196">
        <v>2</v>
      </c>
      <c r="F2196">
        <v>112500</v>
      </c>
      <c r="G2196" t="s">
        <v>31</v>
      </c>
      <c r="H2196" t="s">
        <v>27</v>
      </c>
      <c r="I2196" t="s">
        <v>28</v>
      </c>
      <c r="J2196" t="s">
        <v>24</v>
      </c>
      <c r="K2196" s="6">
        <f t="shared" ca="1" si="144"/>
        <v>32466</v>
      </c>
      <c r="L2196">
        <v>-13295</v>
      </c>
      <c r="M2196" s="7">
        <f t="shared" ca="1" si="142"/>
        <v>36.399726214921287</v>
      </c>
      <c r="N2196" s="5" t="str">
        <f ca="1">VLOOKUP(Data!M2196,temp!$B$3:$C$9,2,1)</f>
        <v>30-40</v>
      </c>
      <c r="O2196">
        <v>-2454</v>
      </c>
      <c r="P2196" s="8">
        <f t="shared" si="143"/>
        <v>6.7186858316221763</v>
      </c>
      <c r="Q2196" s="5" t="str">
        <f t="shared" si="145"/>
        <v>Employed</v>
      </c>
      <c r="R2196">
        <v>1</v>
      </c>
      <c r="S2196">
        <v>0</v>
      </c>
      <c r="T2196">
        <v>0</v>
      </c>
      <c r="U2196">
        <v>1</v>
      </c>
      <c r="V2196" t="s">
        <v>39</v>
      </c>
      <c r="W2196">
        <v>4</v>
      </c>
    </row>
    <row r="2197" spans="1:23" x14ac:dyDescent="0.2">
      <c r="A2197">
        <v>5068183</v>
      </c>
      <c r="B2197" t="s">
        <v>25</v>
      </c>
      <c r="C2197" t="s">
        <v>20</v>
      </c>
      <c r="D2197" t="s">
        <v>20</v>
      </c>
      <c r="E2197">
        <v>3</v>
      </c>
      <c r="F2197">
        <v>148500</v>
      </c>
      <c r="G2197" t="s">
        <v>35</v>
      </c>
      <c r="H2197" t="s">
        <v>27</v>
      </c>
      <c r="I2197" t="s">
        <v>28</v>
      </c>
      <c r="J2197" t="s">
        <v>24</v>
      </c>
      <c r="K2197" s="6">
        <f t="shared" ca="1" si="144"/>
        <v>32801</v>
      </c>
      <c r="L2197">
        <v>-12960</v>
      </c>
      <c r="M2197" s="7">
        <f t="shared" ca="1" si="142"/>
        <v>35.482546201232033</v>
      </c>
      <c r="N2197" s="5" t="str">
        <f ca="1">VLOOKUP(Data!M2197,temp!$B$3:$C$9,2,1)</f>
        <v>30-40</v>
      </c>
      <c r="O2197">
        <v>-2027</v>
      </c>
      <c r="P2197" s="8">
        <f t="shared" si="143"/>
        <v>5.5496235455167691</v>
      </c>
      <c r="Q2197" s="5" t="str">
        <f t="shared" si="145"/>
        <v>Employed</v>
      </c>
      <c r="R2197">
        <v>1</v>
      </c>
      <c r="S2197">
        <v>0</v>
      </c>
      <c r="T2197">
        <v>1</v>
      </c>
      <c r="U2197">
        <v>0</v>
      </c>
      <c r="V2197" t="s">
        <v>30</v>
      </c>
      <c r="W2197">
        <v>5</v>
      </c>
    </row>
    <row r="2198" spans="1:23" x14ac:dyDescent="0.2">
      <c r="A2198">
        <v>5068184</v>
      </c>
      <c r="B2198" t="s">
        <v>25</v>
      </c>
      <c r="C2198" t="s">
        <v>20</v>
      </c>
      <c r="D2198" t="s">
        <v>20</v>
      </c>
      <c r="E2198">
        <v>3</v>
      </c>
      <c r="F2198">
        <v>148500</v>
      </c>
      <c r="G2198" t="s">
        <v>35</v>
      </c>
      <c r="H2198" t="s">
        <v>27</v>
      </c>
      <c r="I2198" t="s">
        <v>28</v>
      </c>
      <c r="J2198" t="s">
        <v>24</v>
      </c>
      <c r="K2198" s="6">
        <f t="shared" ca="1" si="144"/>
        <v>32801</v>
      </c>
      <c r="L2198">
        <v>-12960</v>
      </c>
      <c r="M2198" s="7">
        <f t="shared" ca="1" si="142"/>
        <v>35.482546201232033</v>
      </c>
      <c r="N2198" s="5" t="str">
        <f ca="1">VLOOKUP(Data!M2198,temp!$B$3:$C$9,2,1)</f>
        <v>30-40</v>
      </c>
      <c r="O2198">
        <v>-2027</v>
      </c>
      <c r="P2198" s="8">
        <f t="shared" si="143"/>
        <v>5.5496235455167691</v>
      </c>
      <c r="Q2198" s="5" t="str">
        <f t="shared" si="145"/>
        <v>Employed</v>
      </c>
      <c r="R2198">
        <v>1</v>
      </c>
      <c r="S2198">
        <v>0</v>
      </c>
      <c r="T2198">
        <v>1</v>
      </c>
      <c r="U2198">
        <v>0</v>
      </c>
      <c r="V2198" t="s">
        <v>30</v>
      </c>
      <c r="W2198">
        <v>5</v>
      </c>
    </row>
    <row r="2199" spans="1:23" x14ac:dyDescent="0.2">
      <c r="A2199">
        <v>5068195</v>
      </c>
      <c r="B2199" t="s">
        <v>25</v>
      </c>
      <c r="C2199" t="s">
        <v>20</v>
      </c>
      <c r="D2199" t="s">
        <v>19</v>
      </c>
      <c r="E2199">
        <v>0</v>
      </c>
      <c r="F2199">
        <v>270000</v>
      </c>
      <c r="G2199" t="s">
        <v>31</v>
      </c>
      <c r="H2199" t="s">
        <v>27</v>
      </c>
      <c r="I2199" t="s">
        <v>28</v>
      </c>
      <c r="J2199" t="s">
        <v>24</v>
      </c>
      <c r="K2199" s="6">
        <f t="shared" ca="1" si="144"/>
        <v>27860</v>
      </c>
      <c r="L2199">
        <v>-17901</v>
      </c>
      <c r="M2199" s="7">
        <f t="shared" ca="1" si="142"/>
        <v>49.010266940451743</v>
      </c>
      <c r="N2199" s="5" t="str">
        <f ca="1">VLOOKUP(Data!M2199,temp!$B$3:$C$9,2,1)</f>
        <v>40-50</v>
      </c>
      <c r="O2199">
        <v>-3611</v>
      </c>
      <c r="P2199" s="8">
        <f t="shared" si="143"/>
        <v>9.886379192334017</v>
      </c>
      <c r="Q2199" s="5" t="str">
        <f t="shared" si="145"/>
        <v>Employed</v>
      </c>
      <c r="R2199">
        <v>1</v>
      </c>
      <c r="S2199">
        <v>0</v>
      </c>
      <c r="T2199">
        <v>0</v>
      </c>
      <c r="U2199">
        <v>0</v>
      </c>
      <c r="V2199" t="s">
        <v>29</v>
      </c>
      <c r="W2199">
        <v>2</v>
      </c>
    </row>
    <row r="2200" spans="1:23" x14ac:dyDescent="0.2">
      <c r="A2200">
        <v>5068200</v>
      </c>
      <c r="B2200" t="s">
        <v>25</v>
      </c>
      <c r="C2200" t="s">
        <v>20</v>
      </c>
      <c r="D2200" t="s">
        <v>20</v>
      </c>
      <c r="E2200">
        <v>0</v>
      </c>
      <c r="F2200">
        <v>180000</v>
      </c>
      <c r="G2200" t="s">
        <v>31</v>
      </c>
      <c r="H2200" t="s">
        <v>27</v>
      </c>
      <c r="I2200" t="s">
        <v>28</v>
      </c>
      <c r="J2200" t="s">
        <v>24</v>
      </c>
      <c r="K2200" s="6">
        <f t="shared" ca="1" si="144"/>
        <v>29481</v>
      </c>
      <c r="L2200">
        <v>-16280</v>
      </c>
      <c r="M2200" s="7">
        <f t="shared" ca="1" si="142"/>
        <v>44.572210814510612</v>
      </c>
      <c r="N2200" s="5" t="str">
        <f ca="1">VLOOKUP(Data!M2200,temp!$B$3:$C$9,2,1)</f>
        <v>40-50</v>
      </c>
      <c r="O2200">
        <v>-3062</v>
      </c>
      <c r="P2200" s="8">
        <f t="shared" si="143"/>
        <v>8.3832991101984948</v>
      </c>
      <c r="Q2200" s="5" t="str">
        <f t="shared" si="145"/>
        <v>Employed</v>
      </c>
      <c r="R2200">
        <v>1</v>
      </c>
      <c r="S2200">
        <v>0</v>
      </c>
      <c r="T2200">
        <v>1</v>
      </c>
      <c r="U2200">
        <v>1</v>
      </c>
      <c r="V2200" t="s">
        <v>32</v>
      </c>
      <c r="W2200">
        <v>2</v>
      </c>
    </row>
    <row r="2201" spans="1:23" x14ac:dyDescent="0.2">
      <c r="A2201">
        <v>5068201</v>
      </c>
      <c r="B2201" t="s">
        <v>25</v>
      </c>
      <c r="C2201" t="s">
        <v>20</v>
      </c>
      <c r="D2201" t="s">
        <v>20</v>
      </c>
      <c r="E2201">
        <v>0</v>
      </c>
      <c r="F2201">
        <v>180000</v>
      </c>
      <c r="G2201" t="s">
        <v>31</v>
      </c>
      <c r="H2201" t="s">
        <v>27</v>
      </c>
      <c r="I2201" t="s">
        <v>28</v>
      </c>
      <c r="J2201" t="s">
        <v>24</v>
      </c>
      <c r="K2201" s="6">
        <f t="shared" ca="1" si="144"/>
        <v>29481</v>
      </c>
      <c r="L2201">
        <v>-16280</v>
      </c>
      <c r="M2201" s="7">
        <f t="shared" ca="1" si="142"/>
        <v>44.572210814510612</v>
      </c>
      <c r="N2201" s="5" t="str">
        <f ca="1">VLOOKUP(Data!M2201,temp!$B$3:$C$9,2,1)</f>
        <v>40-50</v>
      </c>
      <c r="O2201">
        <v>-3062</v>
      </c>
      <c r="P2201" s="8">
        <f t="shared" si="143"/>
        <v>8.3832991101984948</v>
      </c>
      <c r="Q2201" s="5" t="str">
        <f t="shared" si="145"/>
        <v>Employed</v>
      </c>
      <c r="R2201">
        <v>1</v>
      </c>
      <c r="S2201">
        <v>0</v>
      </c>
      <c r="T2201">
        <v>1</v>
      </c>
      <c r="U2201">
        <v>1</v>
      </c>
      <c r="V2201" t="s">
        <v>32</v>
      </c>
      <c r="W2201">
        <v>2</v>
      </c>
    </row>
    <row r="2202" spans="1:23" x14ac:dyDescent="0.2">
      <c r="A2202">
        <v>5068214</v>
      </c>
      <c r="B2202" t="s">
        <v>18</v>
      </c>
      <c r="C2202" t="s">
        <v>19</v>
      </c>
      <c r="D2202" t="s">
        <v>19</v>
      </c>
      <c r="E2202">
        <v>0</v>
      </c>
      <c r="F2202">
        <v>166500</v>
      </c>
      <c r="G2202" t="s">
        <v>31</v>
      </c>
      <c r="H2202" t="s">
        <v>27</v>
      </c>
      <c r="I2202" t="s">
        <v>28</v>
      </c>
      <c r="J2202" t="s">
        <v>24</v>
      </c>
      <c r="K2202" s="6">
        <f t="shared" ca="1" si="144"/>
        <v>23226</v>
      </c>
      <c r="L2202">
        <v>-22535</v>
      </c>
      <c r="M2202" s="7">
        <f t="shared" ca="1" si="142"/>
        <v>61.6974674880219</v>
      </c>
      <c r="N2202" s="5" t="str">
        <f ca="1">VLOOKUP(Data!M2202,temp!$B$3:$C$9,2,1)</f>
        <v>60-70</v>
      </c>
      <c r="O2202">
        <v>-5467</v>
      </c>
      <c r="P2202" s="8">
        <f t="shared" si="143"/>
        <v>14.967830253251197</v>
      </c>
      <c r="Q2202" s="5" t="str">
        <f t="shared" si="145"/>
        <v>Employed</v>
      </c>
      <c r="R2202">
        <v>1</v>
      </c>
      <c r="S2202">
        <v>0</v>
      </c>
      <c r="T2202">
        <v>1</v>
      </c>
      <c r="U2202">
        <v>0</v>
      </c>
      <c r="W2202">
        <v>2</v>
      </c>
    </row>
    <row r="2203" spans="1:23" x14ac:dyDescent="0.2">
      <c r="A2203">
        <v>5068236</v>
      </c>
      <c r="B2203" t="s">
        <v>25</v>
      </c>
      <c r="C2203" t="s">
        <v>20</v>
      </c>
      <c r="D2203" t="s">
        <v>19</v>
      </c>
      <c r="E2203">
        <v>0</v>
      </c>
      <c r="F2203">
        <v>225000</v>
      </c>
      <c r="G2203" t="s">
        <v>35</v>
      </c>
      <c r="H2203" t="s">
        <v>22</v>
      </c>
      <c r="I2203" t="s">
        <v>37</v>
      </c>
      <c r="J2203" t="s">
        <v>24</v>
      </c>
      <c r="K2203" s="6">
        <f t="shared" ca="1" si="144"/>
        <v>29729</v>
      </c>
      <c r="L2203">
        <v>-16032</v>
      </c>
      <c r="M2203" s="7">
        <f t="shared" ca="1" si="142"/>
        <v>43.893223819301845</v>
      </c>
      <c r="N2203" s="5" t="str">
        <f ca="1">VLOOKUP(Data!M2203,temp!$B$3:$C$9,2,1)</f>
        <v>40-50</v>
      </c>
      <c r="O2203">
        <v>-5406</v>
      </c>
      <c r="P2203" s="8">
        <f t="shared" si="143"/>
        <v>14.80082135523614</v>
      </c>
      <c r="Q2203" s="5" t="str">
        <f t="shared" si="145"/>
        <v>Employed</v>
      </c>
      <c r="R2203">
        <v>1</v>
      </c>
      <c r="S2203">
        <v>0</v>
      </c>
      <c r="T2203">
        <v>0</v>
      </c>
      <c r="U2203">
        <v>1</v>
      </c>
      <c r="V2203" t="s">
        <v>30</v>
      </c>
      <c r="W2203">
        <v>2</v>
      </c>
    </row>
    <row r="2204" spans="1:23" x14ac:dyDescent="0.2">
      <c r="A2204">
        <v>5068240</v>
      </c>
      <c r="B2204" t="s">
        <v>18</v>
      </c>
      <c r="C2204" t="s">
        <v>19</v>
      </c>
      <c r="D2204" t="s">
        <v>20</v>
      </c>
      <c r="E2204">
        <v>0</v>
      </c>
      <c r="F2204">
        <v>247500</v>
      </c>
      <c r="G2204" t="s">
        <v>31</v>
      </c>
      <c r="H2204" t="s">
        <v>27</v>
      </c>
      <c r="I2204" t="s">
        <v>28</v>
      </c>
      <c r="J2204" t="s">
        <v>24</v>
      </c>
      <c r="K2204" s="6">
        <f t="shared" ca="1" si="144"/>
        <v>34493</v>
      </c>
      <c r="L2204">
        <v>-11268</v>
      </c>
      <c r="M2204" s="7">
        <f t="shared" ca="1" si="142"/>
        <v>30.850102669404517</v>
      </c>
      <c r="N2204" s="5" t="str">
        <f ca="1">VLOOKUP(Data!M2204,temp!$B$3:$C$9,2,1)</f>
        <v>30-40</v>
      </c>
      <c r="O2204">
        <v>-2545</v>
      </c>
      <c r="P2204" s="8">
        <f t="shared" si="143"/>
        <v>6.967830253251198</v>
      </c>
      <c r="Q2204" s="5" t="str">
        <f t="shared" si="145"/>
        <v>Employed</v>
      </c>
      <c r="R2204">
        <v>1</v>
      </c>
      <c r="S2204">
        <v>1</v>
      </c>
      <c r="T2204">
        <v>1</v>
      </c>
      <c r="U2204">
        <v>0</v>
      </c>
      <c r="V2204" t="s">
        <v>29</v>
      </c>
      <c r="W2204">
        <v>2</v>
      </c>
    </row>
    <row r="2205" spans="1:23" x14ac:dyDescent="0.2">
      <c r="A2205">
        <v>5068255</v>
      </c>
      <c r="B2205" t="s">
        <v>25</v>
      </c>
      <c r="C2205" t="s">
        <v>19</v>
      </c>
      <c r="D2205" t="s">
        <v>20</v>
      </c>
      <c r="E2205">
        <v>2</v>
      </c>
      <c r="F2205">
        <v>90000</v>
      </c>
      <c r="G2205" t="s">
        <v>26</v>
      </c>
      <c r="H2205" t="s">
        <v>27</v>
      </c>
      <c r="I2205" t="s">
        <v>28</v>
      </c>
      <c r="J2205" t="s">
        <v>24</v>
      </c>
      <c r="K2205" s="6">
        <f t="shared" ca="1" si="144"/>
        <v>26735</v>
      </c>
      <c r="L2205">
        <v>-19026</v>
      </c>
      <c r="M2205" s="7">
        <f t="shared" ca="1" si="142"/>
        <v>52.090349075975361</v>
      </c>
      <c r="N2205" s="5" t="str">
        <f ca="1">VLOOKUP(Data!M2205,temp!$B$3:$C$9,2,1)</f>
        <v>50-60</v>
      </c>
      <c r="O2205">
        <v>-2881</v>
      </c>
      <c r="P2205" s="8">
        <f t="shared" si="143"/>
        <v>7.8877481177275834</v>
      </c>
      <c r="Q2205" s="5" t="str">
        <f t="shared" si="145"/>
        <v>Employed</v>
      </c>
      <c r="R2205">
        <v>1</v>
      </c>
      <c r="S2205">
        <v>0</v>
      </c>
      <c r="T2205">
        <v>0</v>
      </c>
      <c r="U2205">
        <v>0</v>
      </c>
      <c r="V2205" t="s">
        <v>39</v>
      </c>
      <c r="W2205">
        <v>4</v>
      </c>
    </row>
    <row r="2206" spans="1:23" x14ac:dyDescent="0.2">
      <c r="A2206">
        <v>5068266</v>
      </c>
      <c r="B2206" t="s">
        <v>18</v>
      </c>
      <c r="C2206" t="s">
        <v>19</v>
      </c>
      <c r="D2206" t="s">
        <v>19</v>
      </c>
      <c r="E2206">
        <v>2</v>
      </c>
      <c r="F2206">
        <v>157500</v>
      </c>
      <c r="G2206" t="s">
        <v>35</v>
      </c>
      <c r="H2206" t="s">
        <v>22</v>
      </c>
      <c r="I2206" t="s">
        <v>28</v>
      </c>
      <c r="J2206" t="s">
        <v>24</v>
      </c>
      <c r="K2206" s="6">
        <f t="shared" ca="1" si="144"/>
        <v>33125</v>
      </c>
      <c r="L2206">
        <v>-12636</v>
      </c>
      <c r="M2206" s="7">
        <f t="shared" ca="1" si="142"/>
        <v>34.595482546201232</v>
      </c>
      <c r="N2206" s="5" t="str">
        <f ca="1">VLOOKUP(Data!M2206,temp!$B$3:$C$9,2,1)</f>
        <v>30-40</v>
      </c>
      <c r="O2206">
        <v>-5345</v>
      </c>
      <c r="P2206" s="8">
        <f t="shared" si="143"/>
        <v>14.633812457221081</v>
      </c>
      <c r="Q2206" s="5" t="str">
        <f t="shared" si="145"/>
        <v>Employed</v>
      </c>
      <c r="R2206">
        <v>1</v>
      </c>
      <c r="S2206">
        <v>0</v>
      </c>
      <c r="T2206">
        <v>0</v>
      </c>
      <c r="U2206">
        <v>0</v>
      </c>
      <c r="V2206" t="s">
        <v>50</v>
      </c>
      <c r="W2206">
        <v>4</v>
      </c>
    </row>
    <row r="2207" spans="1:23" x14ac:dyDescent="0.2">
      <c r="A2207">
        <v>5068272</v>
      </c>
      <c r="B2207" t="s">
        <v>18</v>
      </c>
      <c r="C2207" t="s">
        <v>20</v>
      </c>
      <c r="D2207" t="s">
        <v>20</v>
      </c>
      <c r="E2207">
        <v>0</v>
      </c>
      <c r="F2207">
        <v>450000</v>
      </c>
      <c r="G2207" t="s">
        <v>26</v>
      </c>
      <c r="H2207" t="s">
        <v>27</v>
      </c>
      <c r="I2207" t="s">
        <v>33</v>
      </c>
      <c r="J2207" t="s">
        <v>24</v>
      </c>
      <c r="K2207" s="6">
        <f t="shared" ca="1" si="144"/>
        <v>29708</v>
      </c>
      <c r="L2207">
        <v>-16053</v>
      </c>
      <c r="M2207" s="7">
        <f t="shared" ca="1" si="142"/>
        <v>43.950718685831625</v>
      </c>
      <c r="N2207" s="5" t="str">
        <f ca="1">VLOOKUP(Data!M2207,temp!$B$3:$C$9,2,1)</f>
        <v>40-50</v>
      </c>
      <c r="O2207">
        <v>-1905</v>
      </c>
      <c r="P2207" s="8">
        <f t="shared" si="143"/>
        <v>5.2156057494866532</v>
      </c>
      <c r="Q2207" s="5" t="str">
        <f t="shared" si="145"/>
        <v>Employed</v>
      </c>
      <c r="R2207">
        <v>1</v>
      </c>
      <c r="S2207">
        <v>0</v>
      </c>
      <c r="T2207">
        <v>0</v>
      </c>
      <c r="U2207">
        <v>0</v>
      </c>
      <c r="V2207" t="s">
        <v>38</v>
      </c>
      <c r="W2207">
        <v>1</v>
      </c>
    </row>
    <row r="2208" spans="1:23" x14ac:dyDescent="0.2">
      <c r="A2208">
        <v>5068284</v>
      </c>
      <c r="B2208" t="s">
        <v>18</v>
      </c>
      <c r="C2208" t="s">
        <v>20</v>
      </c>
      <c r="D2208" t="s">
        <v>20</v>
      </c>
      <c r="E2208">
        <v>0</v>
      </c>
      <c r="F2208">
        <v>450000</v>
      </c>
      <c r="G2208" t="s">
        <v>26</v>
      </c>
      <c r="H2208" t="s">
        <v>27</v>
      </c>
      <c r="I2208" t="s">
        <v>33</v>
      </c>
      <c r="J2208" t="s">
        <v>24</v>
      </c>
      <c r="K2208" s="6">
        <f t="shared" ca="1" si="144"/>
        <v>29708</v>
      </c>
      <c r="L2208">
        <v>-16053</v>
      </c>
      <c r="M2208" s="7">
        <f t="shared" ca="1" si="142"/>
        <v>43.950718685831625</v>
      </c>
      <c r="N2208" s="5" t="str">
        <f ca="1">VLOOKUP(Data!M2208,temp!$B$3:$C$9,2,1)</f>
        <v>40-50</v>
      </c>
      <c r="O2208">
        <v>-1905</v>
      </c>
      <c r="P2208" s="8">
        <f t="shared" si="143"/>
        <v>5.2156057494866532</v>
      </c>
      <c r="Q2208" s="5" t="str">
        <f t="shared" si="145"/>
        <v>Employed</v>
      </c>
      <c r="R2208">
        <v>1</v>
      </c>
      <c r="S2208">
        <v>0</v>
      </c>
      <c r="T2208">
        <v>0</v>
      </c>
      <c r="U2208">
        <v>0</v>
      </c>
      <c r="V2208" t="s">
        <v>38</v>
      </c>
      <c r="W2208">
        <v>1</v>
      </c>
    </row>
    <row r="2209" spans="1:23" x14ac:dyDescent="0.2">
      <c r="A2209">
        <v>5068293</v>
      </c>
      <c r="B2209" t="s">
        <v>25</v>
      </c>
      <c r="C2209" t="s">
        <v>20</v>
      </c>
      <c r="D2209" t="s">
        <v>20</v>
      </c>
      <c r="E2209">
        <v>0</v>
      </c>
      <c r="F2209">
        <v>292500</v>
      </c>
      <c r="G2209" t="s">
        <v>31</v>
      </c>
      <c r="H2209" t="s">
        <v>27</v>
      </c>
      <c r="I2209" t="s">
        <v>28</v>
      </c>
      <c r="J2209" t="s">
        <v>24</v>
      </c>
      <c r="K2209" s="6">
        <f t="shared" ca="1" si="144"/>
        <v>30410</v>
      </c>
      <c r="L2209">
        <v>-15351</v>
      </c>
      <c r="M2209" s="7">
        <f t="shared" ca="1" si="142"/>
        <v>42.02874743326489</v>
      </c>
      <c r="N2209" s="5" t="str">
        <f ca="1">VLOOKUP(Data!M2209,temp!$B$3:$C$9,2,1)</f>
        <v>40-50</v>
      </c>
      <c r="O2209">
        <v>-566</v>
      </c>
      <c r="P2209" s="8">
        <f t="shared" si="143"/>
        <v>1.5496235455167693</v>
      </c>
      <c r="Q2209" s="5" t="str">
        <f t="shared" si="145"/>
        <v>Employed</v>
      </c>
      <c r="R2209">
        <v>1</v>
      </c>
      <c r="S2209">
        <v>0</v>
      </c>
      <c r="T2209">
        <v>0</v>
      </c>
      <c r="U2209">
        <v>0</v>
      </c>
      <c r="V2209" t="s">
        <v>30</v>
      </c>
      <c r="W2209">
        <v>2</v>
      </c>
    </row>
    <row r="2210" spans="1:23" x14ac:dyDescent="0.2">
      <c r="A2210">
        <v>5068296</v>
      </c>
      <c r="B2210" t="s">
        <v>25</v>
      </c>
      <c r="C2210" t="s">
        <v>20</v>
      </c>
      <c r="D2210" t="s">
        <v>20</v>
      </c>
      <c r="E2210">
        <v>0</v>
      </c>
      <c r="F2210">
        <v>292500</v>
      </c>
      <c r="G2210" t="s">
        <v>31</v>
      </c>
      <c r="H2210" t="s">
        <v>27</v>
      </c>
      <c r="I2210" t="s">
        <v>28</v>
      </c>
      <c r="J2210" t="s">
        <v>24</v>
      </c>
      <c r="K2210" s="6">
        <f t="shared" ca="1" si="144"/>
        <v>30410</v>
      </c>
      <c r="L2210">
        <v>-15351</v>
      </c>
      <c r="M2210" s="7">
        <f t="shared" ca="1" si="142"/>
        <v>42.02874743326489</v>
      </c>
      <c r="N2210" s="5" t="str">
        <f ca="1">VLOOKUP(Data!M2210,temp!$B$3:$C$9,2,1)</f>
        <v>40-50</v>
      </c>
      <c r="O2210">
        <v>-566</v>
      </c>
      <c r="P2210" s="8">
        <f t="shared" si="143"/>
        <v>1.5496235455167693</v>
      </c>
      <c r="Q2210" s="5" t="str">
        <f t="shared" si="145"/>
        <v>Employed</v>
      </c>
      <c r="R2210">
        <v>1</v>
      </c>
      <c r="S2210">
        <v>0</v>
      </c>
      <c r="T2210">
        <v>0</v>
      </c>
      <c r="U2210">
        <v>0</v>
      </c>
      <c r="V2210" t="s">
        <v>30</v>
      </c>
      <c r="W2210">
        <v>2</v>
      </c>
    </row>
    <row r="2211" spans="1:23" x14ac:dyDescent="0.2">
      <c r="A2211">
        <v>5068305</v>
      </c>
      <c r="B2211" t="s">
        <v>25</v>
      </c>
      <c r="C2211" t="s">
        <v>19</v>
      </c>
      <c r="D2211" t="s">
        <v>20</v>
      </c>
      <c r="E2211">
        <v>0</v>
      </c>
      <c r="F2211">
        <v>135000</v>
      </c>
      <c r="G2211" t="s">
        <v>31</v>
      </c>
      <c r="H2211" t="s">
        <v>27</v>
      </c>
      <c r="I2211" t="s">
        <v>33</v>
      </c>
      <c r="J2211" t="s">
        <v>24</v>
      </c>
      <c r="K2211" s="6">
        <f t="shared" ca="1" si="144"/>
        <v>32366</v>
      </c>
      <c r="L2211">
        <v>-13395</v>
      </c>
      <c r="M2211" s="7">
        <f t="shared" ca="1" si="142"/>
        <v>36.673511293634498</v>
      </c>
      <c r="N2211" s="5" t="str">
        <f ca="1">VLOOKUP(Data!M2211,temp!$B$3:$C$9,2,1)</f>
        <v>30-40</v>
      </c>
      <c r="O2211">
        <v>-413</v>
      </c>
      <c r="P2211" s="8">
        <f t="shared" si="143"/>
        <v>1.1307323750855578</v>
      </c>
      <c r="Q2211" s="5" t="str">
        <f t="shared" si="145"/>
        <v>Employed</v>
      </c>
      <c r="R2211">
        <v>1</v>
      </c>
      <c r="S2211">
        <v>0</v>
      </c>
      <c r="T2211">
        <v>0</v>
      </c>
      <c r="U2211">
        <v>0</v>
      </c>
      <c r="W2211">
        <v>1</v>
      </c>
    </row>
    <row r="2212" spans="1:23" x14ac:dyDescent="0.2">
      <c r="A2212">
        <v>5068331</v>
      </c>
      <c r="B2212" t="s">
        <v>18</v>
      </c>
      <c r="C2212" t="s">
        <v>19</v>
      </c>
      <c r="D2212" t="s">
        <v>20</v>
      </c>
      <c r="E2212">
        <v>1</v>
      </c>
      <c r="F2212">
        <v>135000</v>
      </c>
      <c r="G2212" t="s">
        <v>31</v>
      </c>
      <c r="H2212" t="s">
        <v>27</v>
      </c>
      <c r="I2212" t="s">
        <v>37</v>
      </c>
      <c r="J2212" t="s">
        <v>24</v>
      </c>
      <c r="K2212" s="6">
        <f t="shared" ca="1" si="144"/>
        <v>29438</v>
      </c>
      <c r="L2212">
        <v>-16323</v>
      </c>
      <c r="M2212" s="7">
        <f t="shared" ca="1" si="142"/>
        <v>44.689938398357292</v>
      </c>
      <c r="N2212" s="5" t="str">
        <f ca="1">VLOOKUP(Data!M2212,temp!$B$3:$C$9,2,1)</f>
        <v>40-50</v>
      </c>
      <c r="O2212">
        <v>-5467</v>
      </c>
      <c r="P2212" s="8">
        <f t="shared" si="143"/>
        <v>14.967830253251197</v>
      </c>
      <c r="Q2212" s="5" t="str">
        <f t="shared" si="145"/>
        <v>Employed</v>
      </c>
      <c r="R2212">
        <v>1</v>
      </c>
      <c r="S2212">
        <v>0</v>
      </c>
      <c r="T2212">
        <v>0</v>
      </c>
      <c r="U2212">
        <v>0</v>
      </c>
      <c r="V2212" t="s">
        <v>50</v>
      </c>
      <c r="W2212">
        <v>3</v>
      </c>
    </row>
    <row r="2213" spans="1:23" x14ac:dyDescent="0.2">
      <c r="A2213">
        <v>5068374</v>
      </c>
      <c r="B2213" t="s">
        <v>25</v>
      </c>
      <c r="C2213" t="s">
        <v>20</v>
      </c>
      <c r="D2213" t="s">
        <v>20</v>
      </c>
      <c r="E2213">
        <v>0</v>
      </c>
      <c r="F2213">
        <v>180000</v>
      </c>
      <c r="G2213" t="s">
        <v>31</v>
      </c>
      <c r="H2213" t="s">
        <v>27</v>
      </c>
      <c r="I2213" t="s">
        <v>28</v>
      </c>
      <c r="J2213" t="s">
        <v>24</v>
      </c>
      <c r="K2213" s="6">
        <f t="shared" ca="1" si="144"/>
        <v>26323</v>
      </c>
      <c r="L2213">
        <v>-19438</v>
      </c>
      <c r="M2213" s="7">
        <f t="shared" ca="1" si="142"/>
        <v>53.218343600273784</v>
      </c>
      <c r="N2213" s="5" t="str">
        <f ca="1">VLOOKUP(Data!M2213,temp!$B$3:$C$9,2,1)</f>
        <v>50-60</v>
      </c>
      <c r="O2213">
        <v>-5314</v>
      </c>
      <c r="P2213" s="8">
        <f t="shared" si="143"/>
        <v>14.548939082819986</v>
      </c>
      <c r="Q2213" s="5" t="str">
        <f t="shared" si="145"/>
        <v>Employed</v>
      </c>
      <c r="R2213">
        <v>1</v>
      </c>
      <c r="S2213">
        <v>0</v>
      </c>
      <c r="T2213">
        <v>0</v>
      </c>
      <c r="U2213">
        <v>0</v>
      </c>
      <c r="V2213" t="s">
        <v>30</v>
      </c>
      <c r="W2213">
        <v>2</v>
      </c>
    </row>
    <row r="2214" spans="1:23" x14ac:dyDescent="0.2">
      <c r="A2214">
        <v>5068380</v>
      </c>
      <c r="B2214" t="s">
        <v>18</v>
      </c>
      <c r="C2214" t="s">
        <v>19</v>
      </c>
      <c r="D2214" t="s">
        <v>20</v>
      </c>
      <c r="E2214">
        <v>1</v>
      </c>
      <c r="F2214">
        <v>126000</v>
      </c>
      <c r="G2214" t="s">
        <v>31</v>
      </c>
      <c r="H2214" t="s">
        <v>22</v>
      </c>
      <c r="I2214" t="s">
        <v>28</v>
      </c>
      <c r="J2214" t="s">
        <v>24</v>
      </c>
      <c r="K2214" s="6">
        <f t="shared" ca="1" si="144"/>
        <v>33099</v>
      </c>
      <c r="L2214">
        <v>-12662</v>
      </c>
      <c r="M2214" s="7">
        <f t="shared" ca="1" si="142"/>
        <v>34.666666666666664</v>
      </c>
      <c r="N2214" s="5" t="str">
        <f ca="1">VLOOKUP(Data!M2214,temp!$B$3:$C$9,2,1)</f>
        <v>30-40</v>
      </c>
      <c r="O2214">
        <v>-1359</v>
      </c>
      <c r="P2214" s="8">
        <f t="shared" si="143"/>
        <v>3.7207392197125255</v>
      </c>
      <c r="Q2214" s="5" t="str">
        <f t="shared" si="145"/>
        <v>Employed</v>
      </c>
      <c r="R2214">
        <v>1</v>
      </c>
      <c r="S2214">
        <v>1</v>
      </c>
      <c r="T2214">
        <v>1</v>
      </c>
      <c r="U2214">
        <v>1</v>
      </c>
      <c r="V2214" t="s">
        <v>39</v>
      </c>
      <c r="W2214">
        <v>3</v>
      </c>
    </row>
    <row r="2215" spans="1:23" x14ac:dyDescent="0.2">
      <c r="A2215">
        <v>5068382</v>
      </c>
      <c r="B2215" t="s">
        <v>18</v>
      </c>
      <c r="C2215" t="s">
        <v>19</v>
      </c>
      <c r="D2215" t="s">
        <v>20</v>
      </c>
      <c r="E2215">
        <v>1</v>
      </c>
      <c r="F2215">
        <v>126000</v>
      </c>
      <c r="G2215" t="s">
        <v>31</v>
      </c>
      <c r="H2215" t="s">
        <v>22</v>
      </c>
      <c r="I2215" t="s">
        <v>28</v>
      </c>
      <c r="J2215" t="s">
        <v>24</v>
      </c>
      <c r="K2215" s="6">
        <f t="shared" ca="1" si="144"/>
        <v>33099</v>
      </c>
      <c r="L2215">
        <v>-12662</v>
      </c>
      <c r="M2215" s="7">
        <f t="shared" ca="1" si="142"/>
        <v>34.666666666666664</v>
      </c>
      <c r="N2215" s="5" t="str">
        <f ca="1">VLOOKUP(Data!M2215,temp!$B$3:$C$9,2,1)</f>
        <v>30-40</v>
      </c>
      <c r="O2215">
        <v>-1359</v>
      </c>
      <c r="P2215" s="8">
        <f t="shared" si="143"/>
        <v>3.7207392197125255</v>
      </c>
      <c r="Q2215" s="5" t="str">
        <f t="shared" si="145"/>
        <v>Employed</v>
      </c>
      <c r="R2215">
        <v>1</v>
      </c>
      <c r="S2215">
        <v>1</v>
      </c>
      <c r="T2215">
        <v>1</v>
      </c>
      <c r="U2215">
        <v>1</v>
      </c>
      <c r="V2215" t="s">
        <v>39</v>
      </c>
      <c r="W2215">
        <v>3</v>
      </c>
    </row>
    <row r="2216" spans="1:23" x14ac:dyDescent="0.2">
      <c r="A2216">
        <v>5068395</v>
      </c>
      <c r="B2216" t="s">
        <v>18</v>
      </c>
      <c r="C2216" t="s">
        <v>19</v>
      </c>
      <c r="D2216" t="s">
        <v>20</v>
      </c>
      <c r="E2216">
        <v>0</v>
      </c>
      <c r="F2216">
        <v>202500</v>
      </c>
      <c r="G2216" t="s">
        <v>21</v>
      </c>
      <c r="H2216" t="s">
        <v>22</v>
      </c>
      <c r="I2216" t="s">
        <v>33</v>
      </c>
      <c r="J2216" t="s">
        <v>24</v>
      </c>
      <c r="K2216" s="6">
        <f t="shared" ca="1" si="144"/>
        <v>24417</v>
      </c>
      <c r="L2216">
        <v>-21344</v>
      </c>
      <c r="M2216" s="7">
        <f t="shared" ca="1" si="142"/>
        <v>58.436687200547567</v>
      </c>
      <c r="N2216" s="5" t="str">
        <f ca="1">VLOOKUP(Data!M2216,temp!$B$3:$C$9,2,1)</f>
        <v>50-60</v>
      </c>
      <c r="O2216">
        <v>365243</v>
      </c>
      <c r="P2216" s="8">
        <f t="shared" si="143"/>
        <v>0</v>
      </c>
      <c r="Q2216" s="5" t="str">
        <f t="shared" si="145"/>
        <v>Unemployed</v>
      </c>
      <c r="R2216">
        <v>1</v>
      </c>
      <c r="S2216">
        <v>0</v>
      </c>
      <c r="T2216">
        <v>1</v>
      </c>
      <c r="U2216">
        <v>1</v>
      </c>
      <c r="W2216">
        <v>1</v>
      </c>
    </row>
    <row r="2217" spans="1:23" x14ac:dyDescent="0.2">
      <c r="A2217">
        <v>5068397</v>
      </c>
      <c r="B2217" t="s">
        <v>18</v>
      </c>
      <c r="C2217" t="s">
        <v>19</v>
      </c>
      <c r="D2217" t="s">
        <v>20</v>
      </c>
      <c r="E2217">
        <v>0</v>
      </c>
      <c r="F2217">
        <v>202500</v>
      </c>
      <c r="G2217" t="s">
        <v>21</v>
      </c>
      <c r="H2217" t="s">
        <v>22</v>
      </c>
      <c r="I2217" t="s">
        <v>33</v>
      </c>
      <c r="J2217" t="s">
        <v>24</v>
      </c>
      <c r="K2217" s="6">
        <f t="shared" ca="1" si="144"/>
        <v>24417</v>
      </c>
      <c r="L2217">
        <v>-21344</v>
      </c>
      <c r="M2217" s="7">
        <f t="shared" ca="1" si="142"/>
        <v>58.436687200547567</v>
      </c>
      <c r="N2217" s="5" t="str">
        <f ca="1">VLOOKUP(Data!M2217,temp!$B$3:$C$9,2,1)</f>
        <v>50-60</v>
      </c>
      <c r="O2217">
        <v>365243</v>
      </c>
      <c r="P2217" s="8">
        <f t="shared" si="143"/>
        <v>0</v>
      </c>
      <c r="Q2217" s="5" t="str">
        <f t="shared" si="145"/>
        <v>Unemployed</v>
      </c>
      <c r="R2217">
        <v>1</v>
      </c>
      <c r="S2217">
        <v>0</v>
      </c>
      <c r="T2217">
        <v>1</v>
      </c>
      <c r="U2217">
        <v>1</v>
      </c>
      <c r="W2217">
        <v>1</v>
      </c>
    </row>
    <row r="2218" spans="1:23" x14ac:dyDescent="0.2">
      <c r="A2218">
        <v>5068398</v>
      </c>
      <c r="B2218" t="s">
        <v>18</v>
      </c>
      <c r="C2218" t="s">
        <v>19</v>
      </c>
      <c r="D2218" t="s">
        <v>20</v>
      </c>
      <c r="E2218">
        <v>0</v>
      </c>
      <c r="F2218">
        <v>202500</v>
      </c>
      <c r="G2218" t="s">
        <v>21</v>
      </c>
      <c r="H2218" t="s">
        <v>22</v>
      </c>
      <c r="I2218" t="s">
        <v>33</v>
      </c>
      <c r="J2218" t="s">
        <v>24</v>
      </c>
      <c r="K2218" s="6">
        <f t="shared" ca="1" si="144"/>
        <v>24417</v>
      </c>
      <c r="L2218">
        <v>-21344</v>
      </c>
      <c r="M2218" s="7">
        <f t="shared" ca="1" si="142"/>
        <v>58.436687200547567</v>
      </c>
      <c r="N2218" s="5" t="str">
        <f ca="1">VLOOKUP(Data!M2218,temp!$B$3:$C$9,2,1)</f>
        <v>50-60</v>
      </c>
      <c r="O2218">
        <v>365243</v>
      </c>
      <c r="P2218" s="8">
        <f t="shared" si="143"/>
        <v>0</v>
      </c>
      <c r="Q2218" s="5" t="str">
        <f t="shared" si="145"/>
        <v>Unemployed</v>
      </c>
      <c r="R2218">
        <v>1</v>
      </c>
      <c r="S2218">
        <v>0</v>
      </c>
      <c r="T2218">
        <v>1</v>
      </c>
      <c r="U2218">
        <v>1</v>
      </c>
      <c r="W2218">
        <v>1</v>
      </c>
    </row>
    <row r="2219" spans="1:23" x14ac:dyDescent="0.2">
      <c r="A2219">
        <v>5068411</v>
      </c>
      <c r="B2219" t="s">
        <v>18</v>
      </c>
      <c r="C2219" t="s">
        <v>19</v>
      </c>
      <c r="D2219" t="s">
        <v>20</v>
      </c>
      <c r="E2219">
        <v>0</v>
      </c>
      <c r="F2219">
        <v>157500</v>
      </c>
      <c r="G2219" t="s">
        <v>31</v>
      </c>
      <c r="H2219" t="s">
        <v>22</v>
      </c>
      <c r="I2219" t="s">
        <v>28</v>
      </c>
      <c r="J2219" t="s">
        <v>24</v>
      </c>
      <c r="K2219" s="6">
        <f t="shared" ca="1" si="144"/>
        <v>35885</v>
      </c>
      <c r="L2219">
        <v>-9876</v>
      </c>
      <c r="M2219" s="7">
        <f t="shared" ca="1" si="142"/>
        <v>27.039014373716633</v>
      </c>
      <c r="N2219" s="5" t="str">
        <f ca="1">VLOOKUP(Data!M2219,temp!$B$3:$C$9,2,1)</f>
        <v>20-30</v>
      </c>
      <c r="O2219">
        <v>-1571</v>
      </c>
      <c r="P2219" s="8">
        <f t="shared" si="143"/>
        <v>4.301163586584531</v>
      </c>
      <c r="Q2219" s="5" t="str">
        <f t="shared" si="145"/>
        <v>Employed</v>
      </c>
      <c r="R2219">
        <v>1</v>
      </c>
      <c r="S2219">
        <v>0</v>
      </c>
      <c r="T2219">
        <v>0</v>
      </c>
      <c r="U2219">
        <v>0</v>
      </c>
      <c r="V2219" t="s">
        <v>38</v>
      </c>
      <c r="W2219">
        <v>2</v>
      </c>
    </row>
    <row r="2220" spans="1:23" x14ac:dyDescent="0.2">
      <c r="A2220">
        <v>5068419</v>
      </c>
      <c r="B2220" t="s">
        <v>18</v>
      </c>
      <c r="C2220" t="s">
        <v>19</v>
      </c>
      <c r="D2220" t="s">
        <v>20</v>
      </c>
      <c r="E2220">
        <v>1</v>
      </c>
      <c r="F2220">
        <v>157500</v>
      </c>
      <c r="G2220" t="s">
        <v>35</v>
      </c>
      <c r="H2220" t="s">
        <v>27</v>
      </c>
      <c r="I2220" t="s">
        <v>28</v>
      </c>
      <c r="J2220" t="s">
        <v>24</v>
      </c>
      <c r="K2220" s="6">
        <f t="shared" ca="1" si="144"/>
        <v>33714</v>
      </c>
      <c r="L2220">
        <v>-12047</v>
      </c>
      <c r="M2220" s="7">
        <f t="shared" ca="1" si="142"/>
        <v>32.982888432580424</v>
      </c>
      <c r="N2220" s="5" t="str">
        <f ca="1">VLOOKUP(Data!M2220,temp!$B$3:$C$9,2,1)</f>
        <v>30-40</v>
      </c>
      <c r="O2220">
        <v>-4796</v>
      </c>
      <c r="P2220" s="8">
        <f t="shared" si="143"/>
        <v>13.130732375085557</v>
      </c>
      <c r="Q2220" s="5" t="str">
        <f t="shared" si="145"/>
        <v>Employed</v>
      </c>
      <c r="R2220">
        <v>1</v>
      </c>
      <c r="S2220">
        <v>0</v>
      </c>
      <c r="T2220">
        <v>0</v>
      </c>
      <c r="U2220">
        <v>0</v>
      </c>
      <c r="V2220" t="s">
        <v>50</v>
      </c>
      <c r="W2220">
        <v>3</v>
      </c>
    </row>
    <row r="2221" spans="1:23" x14ac:dyDescent="0.2">
      <c r="A2221">
        <v>5068427</v>
      </c>
      <c r="B2221" t="s">
        <v>18</v>
      </c>
      <c r="C2221" t="s">
        <v>19</v>
      </c>
      <c r="D2221" t="s">
        <v>20</v>
      </c>
      <c r="E2221">
        <v>0</v>
      </c>
      <c r="F2221">
        <v>360000</v>
      </c>
      <c r="G2221" t="s">
        <v>35</v>
      </c>
      <c r="H2221" t="s">
        <v>27</v>
      </c>
      <c r="I2221" t="s">
        <v>28</v>
      </c>
      <c r="J2221" t="s">
        <v>24</v>
      </c>
      <c r="K2221" s="6">
        <f t="shared" ca="1" si="144"/>
        <v>26691</v>
      </c>
      <c r="L2221">
        <v>-19070</v>
      </c>
      <c r="M2221" s="7">
        <f t="shared" ca="1" si="142"/>
        <v>52.210814510609168</v>
      </c>
      <c r="N2221" s="5" t="str">
        <f ca="1">VLOOKUP(Data!M2221,temp!$B$3:$C$9,2,1)</f>
        <v>50-60</v>
      </c>
      <c r="O2221">
        <v>-10490</v>
      </c>
      <c r="P2221" s="8">
        <f t="shared" si="143"/>
        <v>28.720054757015742</v>
      </c>
      <c r="Q2221" s="5" t="str">
        <f t="shared" si="145"/>
        <v>Employed</v>
      </c>
      <c r="R2221">
        <v>1</v>
      </c>
      <c r="S2221">
        <v>0</v>
      </c>
      <c r="T2221">
        <v>0</v>
      </c>
      <c r="U2221">
        <v>0</v>
      </c>
      <c r="V2221" t="s">
        <v>44</v>
      </c>
      <c r="W2221">
        <v>2</v>
      </c>
    </row>
    <row r="2222" spans="1:23" x14ac:dyDescent="0.2">
      <c r="A2222">
        <v>5068440</v>
      </c>
      <c r="B2222" t="s">
        <v>18</v>
      </c>
      <c r="C2222" t="s">
        <v>19</v>
      </c>
      <c r="D2222" t="s">
        <v>19</v>
      </c>
      <c r="E2222">
        <v>0</v>
      </c>
      <c r="F2222">
        <v>157500</v>
      </c>
      <c r="G2222" t="s">
        <v>21</v>
      </c>
      <c r="H2222" t="s">
        <v>22</v>
      </c>
      <c r="I2222" t="s">
        <v>28</v>
      </c>
      <c r="J2222" t="s">
        <v>24</v>
      </c>
      <c r="K2222" s="6">
        <f t="shared" ca="1" si="144"/>
        <v>24715</v>
      </c>
      <c r="L2222">
        <v>-21046</v>
      </c>
      <c r="M2222" s="7">
        <f t="shared" ca="1" si="142"/>
        <v>57.620807665982205</v>
      </c>
      <c r="N2222" s="5" t="str">
        <f ca="1">VLOOKUP(Data!M2222,temp!$B$3:$C$9,2,1)</f>
        <v>50-60</v>
      </c>
      <c r="O2222">
        <v>365243</v>
      </c>
      <c r="P2222" s="8">
        <f t="shared" si="143"/>
        <v>0</v>
      </c>
      <c r="Q2222" s="5" t="str">
        <f t="shared" si="145"/>
        <v>Unemployed</v>
      </c>
      <c r="R2222">
        <v>1</v>
      </c>
      <c r="S2222">
        <v>0</v>
      </c>
      <c r="T2222">
        <v>0</v>
      </c>
      <c r="U2222">
        <v>1</v>
      </c>
      <c r="W2222">
        <v>2</v>
      </c>
    </row>
    <row r="2223" spans="1:23" x14ac:dyDescent="0.2">
      <c r="A2223">
        <v>5068462</v>
      </c>
      <c r="B2223" t="s">
        <v>18</v>
      </c>
      <c r="C2223" t="s">
        <v>19</v>
      </c>
      <c r="D2223" t="s">
        <v>20</v>
      </c>
      <c r="E2223">
        <v>1</v>
      </c>
      <c r="F2223">
        <v>90000</v>
      </c>
      <c r="G2223" t="s">
        <v>26</v>
      </c>
      <c r="H2223" t="s">
        <v>27</v>
      </c>
      <c r="I2223" t="s">
        <v>28</v>
      </c>
      <c r="J2223" t="s">
        <v>24</v>
      </c>
      <c r="K2223" s="6">
        <f t="shared" ca="1" si="144"/>
        <v>35586</v>
      </c>
      <c r="L2223">
        <v>-10175</v>
      </c>
      <c r="M2223" s="7">
        <f t="shared" ca="1" si="142"/>
        <v>27.857631759069132</v>
      </c>
      <c r="N2223" s="5" t="str">
        <f ca="1">VLOOKUP(Data!M2223,temp!$B$3:$C$9,2,1)</f>
        <v>20-30</v>
      </c>
      <c r="O2223">
        <v>-1966</v>
      </c>
      <c r="P2223" s="8">
        <f t="shared" si="143"/>
        <v>5.3826146475017111</v>
      </c>
      <c r="Q2223" s="5" t="str">
        <f t="shared" si="145"/>
        <v>Employed</v>
      </c>
      <c r="R2223">
        <v>1</v>
      </c>
      <c r="S2223">
        <v>0</v>
      </c>
      <c r="T2223">
        <v>1</v>
      </c>
      <c r="U2223">
        <v>0</v>
      </c>
      <c r="V2223" t="s">
        <v>49</v>
      </c>
      <c r="W2223">
        <v>3</v>
      </c>
    </row>
    <row r="2224" spans="1:23" x14ac:dyDescent="0.2">
      <c r="A2224">
        <v>5068477</v>
      </c>
      <c r="B2224" t="s">
        <v>25</v>
      </c>
      <c r="C2224" t="s">
        <v>20</v>
      </c>
      <c r="D2224" t="s">
        <v>19</v>
      </c>
      <c r="E2224">
        <v>1</v>
      </c>
      <c r="F2224">
        <v>229500</v>
      </c>
      <c r="G2224" t="s">
        <v>35</v>
      </c>
      <c r="H2224" t="s">
        <v>27</v>
      </c>
      <c r="I2224" t="s">
        <v>28</v>
      </c>
      <c r="J2224" t="s">
        <v>24</v>
      </c>
      <c r="K2224" s="6">
        <f t="shared" ca="1" si="144"/>
        <v>24096</v>
      </c>
      <c r="L2224">
        <v>-21665</v>
      </c>
      <c r="M2224" s="7">
        <f t="shared" ca="1" si="142"/>
        <v>59.315537303216978</v>
      </c>
      <c r="N2224" s="5" t="str">
        <f ca="1">VLOOKUP(Data!M2224,temp!$B$3:$C$9,2,1)</f>
        <v>50-60</v>
      </c>
      <c r="O2224">
        <v>-4342</v>
      </c>
      <c r="P2224" s="8">
        <f t="shared" si="143"/>
        <v>11.887748117727584</v>
      </c>
      <c r="Q2224" s="5" t="str">
        <f t="shared" si="145"/>
        <v>Employed</v>
      </c>
      <c r="R2224">
        <v>1</v>
      </c>
      <c r="S2224">
        <v>0</v>
      </c>
      <c r="T2224">
        <v>0</v>
      </c>
      <c r="U2224">
        <v>0</v>
      </c>
      <c r="V2224" t="s">
        <v>32</v>
      </c>
      <c r="W2224">
        <v>3</v>
      </c>
    </row>
    <row r="2225" spans="1:23" x14ac:dyDescent="0.2">
      <c r="A2225">
        <v>5068489</v>
      </c>
      <c r="B2225" t="s">
        <v>25</v>
      </c>
      <c r="C2225" t="s">
        <v>19</v>
      </c>
      <c r="D2225" t="s">
        <v>19</v>
      </c>
      <c r="E2225">
        <v>1</v>
      </c>
      <c r="F2225">
        <v>315000</v>
      </c>
      <c r="G2225" t="s">
        <v>26</v>
      </c>
      <c r="H2225" t="s">
        <v>22</v>
      </c>
      <c r="I2225" t="s">
        <v>28</v>
      </c>
      <c r="J2225" t="s">
        <v>24</v>
      </c>
      <c r="K2225" s="6">
        <f t="shared" ca="1" si="144"/>
        <v>27440</v>
      </c>
      <c r="L2225">
        <v>-18321</v>
      </c>
      <c r="M2225" s="7">
        <f t="shared" ca="1" si="142"/>
        <v>50.160164271047229</v>
      </c>
      <c r="N2225" s="5" t="str">
        <f ca="1">VLOOKUP(Data!M2225,temp!$B$3:$C$9,2,1)</f>
        <v>50-60</v>
      </c>
      <c r="O2225">
        <v>-110</v>
      </c>
      <c r="P2225" s="8">
        <f t="shared" si="143"/>
        <v>0.30116358658453113</v>
      </c>
      <c r="Q2225" s="5" t="str">
        <f t="shared" si="145"/>
        <v>Employed</v>
      </c>
      <c r="R2225">
        <v>1</v>
      </c>
      <c r="S2225">
        <v>0</v>
      </c>
      <c r="T2225">
        <v>1</v>
      </c>
      <c r="U2225">
        <v>0</v>
      </c>
      <c r="W2225">
        <v>3</v>
      </c>
    </row>
    <row r="2226" spans="1:23" x14ac:dyDescent="0.2">
      <c r="A2226">
        <v>5068497</v>
      </c>
      <c r="B2226" t="s">
        <v>25</v>
      </c>
      <c r="C2226" t="s">
        <v>19</v>
      </c>
      <c r="D2226" t="s">
        <v>19</v>
      </c>
      <c r="E2226">
        <v>1</v>
      </c>
      <c r="F2226">
        <v>315000</v>
      </c>
      <c r="G2226" t="s">
        <v>26</v>
      </c>
      <c r="H2226" t="s">
        <v>22</v>
      </c>
      <c r="I2226" t="s">
        <v>28</v>
      </c>
      <c r="J2226" t="s">
        <v>24</v>
      </c>
      <c r="K2226" s="6">
        <f t="shared" ca="1" si="144"/>
        <v>27440</v>
      </c>
      <c r="L2226">
        <v>-18321</v>
      </c>
      <c r="M2226" s="7">
        <f t="shared" ca="1" si="142"/>
        <v>50.160164271047229</v>
      </c>
      <c r="N2226" s="5" t="str">
        <f ca="1">VLOOKUP(Data!M2226,temp!$B$3:$C$9,2,1)</f>
        <v>50-60</v>
      </c>
      <c r="O2226">
        <v>-110</v>
      </c>
      <c r="P2226" s="8">
        <f t="shared" si="143"/>
        <v>0.30116358658453113</v>
      </c>
      <c r="Q2226" s="5" t="str">
        <f t="shared" si="145"/>
        <v>Employed</v>
      </c>
      <c r="R2226">
        <v>1</v>
      </c>
      <c r="S2226">
        <v>0</v>
      </c>
      <c r="T2226">
        <v>1</v>
      </c>
      <c r="U2226">
        <v>0</v>
      </c>
      <c r="W2226">
        <v>3</v>
      </c>
    </row>
    <row r="2227" spans="1:23" x14ac:dyDescent="0.2">
      <c r="A2227">
        <v>5068498</v>
      </c>
      <c r="B2227" t="s">
        <v>25</v>
      </c>
      <c r="C2227" t="s">
        <v>19</v>
      </c>
      <c r="D2227" t="s">
        <v>19</v>
      </c>
      <c r="E2227">
        <v>1</v>
      </c>
      <c r="F2227">
        <v>315000</v>
      </c>
      <c r="G2227" t="s">
        <v>26</v>
      </c>
      <c r="H2227" t="s">
        <v>22</v>
      </c>
      <c r="I2227" t="s">
        <v>28</v>
      </c>
      <c r="J2227" t="s">
        <v>24</v>
      </c>
      <c r="K2227" s="6">
        <f t="shared" ca="1" si="144"/>
        <v>27440</v>
      </c>
      <c r="L2227">
        <v>-18321</v>
      </c>
      <c r="M2227" s="7">
        <f t="shared" ca="1" si="142"/>
        <v>50.160164271047229</v>
      </c>
      <c r="N2227" s="5" t="str">
        <f ca="1">VLOOKUP(Data!M2227,temp!$B$3:$C$9,2,1)</f>
        <v>50-60</v>
      </c>
      <c r="O2227">
        <v>-110</v>
      </c>
      <c r="P2227" s="8">
        <f t="shared" si="143"/>
        <v>0.30116358658453113</v>
      </c>
      <c r="Q2227" s="5" t="str">
        <f t="shared" si="145"/>
        <v>Employed</v>
      </c>
      <c r="R2227">
        <v>1</v>
      </c>
      <c r="S2227">
        <v>0</v>
      </c>
      <c r="T2227">
        <v>1</v>
      </c>
      <c r="U2227">
        <v>0</v>
      </c>
      <c r="W2227">
        <v>3</v>
      </c>
    </row>
    <row r="2228" spans="1:23" x14ac:dyDescent="0.2">
      <c r="A2228">
        <v>5068499</v>
      </c>
      <c r="B2228" t="s">
        <v>25</v>
      </c>
      <c r="C2228" t="s">
        <v>19</v>
      </c>
      <c r="D2228" t="s">
        <v>19</v>
      </c>
      <c r="E2228">
        <v>1</v>
      </c>
      <c r="F2228">
        <v>315000</v>
      </c>
      <c r="G2228" t="s">
        <v>26</v>
      </c>
      <c r="H2228" t="s">
        <v>22</v>
      </c>
      <c r="I2228" t="s">
        <v>28</v>
      </c>
      <c r="J2228" t="s">
        <v>24</v>
      </c>
      <c r="K2228" s="6">
        <f t="shared" ca="1" si="144"/>
        <v>27440</v>
      </c>
      <c r="L2228">
        <v>-18321</v>
      </c>
      <c r="M2228" s="7">
        <f t="shared" ca="1" si="142"/>
        <v>50.160164271047229</v>
      </c>
      <c r="N2228" s="5" t="str">
        <f ca="1">VLOOKUP(Data!M2228,temp!$B$3:$C$9,2,1)</f>
        <v>50-60</v>
      </c>
      <c r="O2228">
        <v>-110</v>
      </c>
      <c r="P2228" s="8">
        <f t="shared" si="143"/>
        <v>0.30116358658453113</v>
      </c>
      <c r="Q2228" s="5" t="str">
        <f t="shared" si="145"/>
        <v>Employed</v>
      </c>
      <c r="R2228">
        <v>1</v>
      </c>
      <c r="S2228">
        <v>0</v>
      </c>
      <c r="T2228">
        <v>1</v>
      </c>
      <c r="U2228">
        <v>0</v>
      </c>
      <c r="W2228">
        <v>3</v>
      </c>
    </row>
    <row r="2229" spans="1:23" x14ac:dyDescent="0.2">
      <c r="A2229">
        <v>5068500</v>
      </c>
      <c r="B2229" t="s">
        <v>25</v>
      </c>
      <c r="C2229" t="s">
        <v>19</v>
      </c>
      <c r="D2229" t="s">
        <v>19</v>
      </c>
      <c r="E2229">
        <v>1</v>
      </c>
      <c r="F2229">
        <v>315000</v>
      </c>
      <c r="G2229" t="s">
        <v>26</v>
      </c>
      <c r="H2229" t="s">
        <v>22</v>
      </c>
      <c r="I2229" t="s">
        <v>28</v>
      </c>
      <c r="J2229" t="s">
        <v>24</v>
      </c>
      <c r="K2229" s="6">
        <f t="shared" ca="1" si="144"/>
        <v>27440</v>
      </c>
      <c r="L2229">
        <v>-18321</v>
      </c>
      <c r="M2229" s="7">
        <f t="shared" ca="1" si="142"/>
        <v>50.160164271047229</v>
      </c>
      <c r="N2229" s="5" t="str">
        <f ca="1">VLOOKUP(Data!M2229,temp!$B$3:$C$9,2,1)</f>
        <v>50-60</v>
      </c>
      <c r="O2229">
        <v>-110</v>
      </c>
      <c r="P2229" s="8">
        <f t="shared" si="143"/>
        <v>0.30116358658453113</v>
      </c>
      <c r="Q2229" s="5" t="str">
        <f t="shared" si="145"/>
        <v>Employed</v>
      </c>
      <c r="R2229">
        <v>1</v>
      </c>
      <c r="S2229">
        <v>0</v>
      </c>
      <c r="T2229">
        <v>1</v>
      </c>
      <c r="U2229">
        <v>0</v>
      </c>
      <c r="W2229">
        <v>3</v>
      </c>
    </row>
    <row r="2230" spans="1:23" x14ac:dyDescent="0.2">
      <c r="A2230">
        <v>5068511</v>
      </c>
      <c r="B2230" t="s">
        <v>18</v>
      </c>
      <c r="C2230" t="s">
        <v>19</v>
      </c>
      <c r="D2230" t="s">
        <v>20</v>
      </c>
      <c r="E2230">
        <v>0</v>
      </c>
      <c r="F2230">
        <v>135000</v>
      </c>
      <c r="G2230" t="s">
        <v>26</v>
      </c>
      <c r="H2230" t="s">
        <v>27</v>
      </c>
      <c r="I2230" t="s">
        <v>28</v>
      </c>
      <c r="J2230" t="s">
        <v>24</v>
      </c>
      <c r="K2230" s="6">
        <f t="shared" ca="1" si="144"/>
        <v>29886</v>
      </c>
      <c r="L2230">
        <v>-15875</v>
      </c>
      <c r="M2230" s="7">
        <f t="shared" ca="1" si="142"/>
        <v>43.463381245722111</v>
      </c>
      <c r="N2230" s="5" t="str">
        <f ca="1">VLOOKUP(Data!M2230,temp!$B$3:$C$9,2,1)</f>
        <v>40-50</v>
      </c>
      <c r="O2230">
        <v>-2758</v>
      </c>
      <c r="P2230" s="8">
        <f t="shared" si="143"/>
        <v>7.5509924709103355</v>
      </c>
      <c r="Q2230" s="5" t="str">
        <f t="shared" si="145"/>
        <v>Employed</v>
      </c>
      <c r="R2230">
        <v>1</v>
      </c>
      <c r="S2230">
        <v>1</v>
      </c>
      <c r="T2230">
        <v>1</v>
      </c>
      <c r="U2230">
        <v>0</v>
      </c>
      <c r="V2230" t="s">
        <v>38</v>
      </c>
      <c r="W2230">
        <v>2</v>
      </c>
    </row>
    <row r="2231" spans="1:23" x14ac:dyDescent="0.2">
      <c r="A2231">
        <v>5068516</v>
      </c>
      <c r="B2231" t="s">
        <v>18</v>
      </c>
      <c r="C2231" t="s">
        <v>19</v>
      </c>
      <c r="D2231" t="s">
        <v>20</v>
      </c>
      <c r="E2231">
        <v>0</v>
      </c>
      <c r="F2231">
        <v>135000</v>
      </c>
      <c r="G2231" t="s">
        <v>26</v>
      </c>
      <c r="H2231" t="s">
        <v>27</v>
      </c>
      <c r="I2231" t="s">
        <v>28</v>
      </c>
      <c r="J2231" t="s">
        <v>24</v>
      </c>
      <c r="K2231" s="6">
        <f t="shared" ca="1" si="144"/>
        <v>29886</v>
      </c>
      <c r="L2231">
        <v>-15875</v>
      </c>
      <c r="M2231" s="7">
        <f t="shared" ca="1" si="142"/>
        <v>43.463381245722111</v>
      </c>
      <c r="N2231" s="5" t="str">
        <f ca="1">VLOOKUP(Data!M2231,temp!$B$3:$C$9,2,1)</f>
        <v>40-50</v>
      </c>
      <c r="O2231">
        <v>-2758</v>
      </c>
      <c r="P2231" s="8">
        <f t="shared" si="143"/>
        <v>7.5509924709103355</v>
      </c>
      <c r="Q2231" s="5" t="str">
        <f t="shared" si="145"/>
        <v>Employed</v>
      </c>
      <c r="R2231">
        <v>1</v>
      </c>
      <c r="S2231">
        <v>1</v>
      </c>
      <c r="T2231">
        <v>1</v>
      </c>
      <c r="U2231">
        <v>0</v>
      </c>
      <c r="V2231" t="s">
        <v>38</v>
      </c>
      <c r="W2231">
        <v>2</v>
      </c>
    </row>
    <row r="2232" spans="1:23" x14ac:dyDescent="0.2">
      <c r="A2232">
        <v>5068524</v>
      </c>
      <c r="B2232" t="s">
        <v>18</v>
      </c>
      <c r="C2232" t="s">
        <v>19</v>
      </c>
      <c r="D2232" t="s">
        <v>20</v>
      </c>
      <c r="E2232">
        <v>0</v>
      </c>
      <c r="F2232">
        <v>135000</v>
      </c>
      <c r="G2232" t="s">
        <v>31</v>
      </c>
      <c r="H2232" t="s">
        <v>27</v>
      </c>
      <c r="I2232" t="s">
        <v>33</v>
      </c>
      <c r="J2232" t="s">
        <v>24</v>
      </c>
      <c r="K2232" s="6">
        <f t="shared" ca="1" si="144"/>
        <v>33401</v>
      </c>
      <c r="L2232">
        <v>-12360</v>
      </c>
      <c r="M2232" s="7">
        <f t="shared" ca="1" si="142"/>
        <v>33.839835728952771</v>
      </c>
      <c r="N2232" s="5" t="str">
        <f ca="1">VLOOKUP(Data!M2232,temp!$B$3:$C$9,2,1)</f>
        <v>30-40</v>
      </c>
      <c r="O2232">
        <v>-385</v>
      </c>
      <c r="P2232" s="8">
        <f t="shared" si="143"/>
        <v>1.054072553045859</v>
      </c>
      <c r="Q2232" s="5" t="str">
        <f t="shared" si="145"/>
        <v>Employed</v>
      </c>
      <c r="R2232">
        <v>1</v>
      </c>
      <c r="S2232">
        <v>0</v>
      </c>
      <c r="T2232">
        <v>0</v>
      </c>
      <c r="U2232">
        <v>1</v>
      </c>
      <c r="V2232" t="s">
        <v>29</v>
      </c>
      <c r="W2232">
        <v>1</v>
      </c>
    </row>
    <row r="2233" spans="1:23" x14ac:dyDescent="0.2">
      <c r="A2233">
        <v>5068526</v>
      </c>
      <c r="B2233" t="s">
        <v>18</v>
      </c>
      <c r="C2233" t="s">
        <v>19</v>
      </c>
      <c r="D2233" t="s">
        <v>20</v>
      </c>
      <c r="E2233">
        <v>0</v>
      </c>
      <c r="F2233">
        <v>135000</v>
      </c>
      <c r="G2233" t="s">
        <v>31</v>
      </c>
      <c r="H2233" t="s">
        <v>27</v>
      </c>
      <c r="I2233" t="s">
        <v>33</v>
      </c>
      <c r="J2233" t="s">
        <v>24</v>
      </c>
      <c r="K2233" s="6">
        <f t="shared" ca="1" si="144"/>
        <v>33401</v>
      </c>
      <c r="L2233">
        <v>-12360</v>
      </c>
      <c r="M2233" s="7">
        <f t="shared" ca="1" si="142"/>
        <v>33.839835728952771</v>
      </c>
      <c r="N2233" s="5" t="str">
        <f ca="1">VLOOKUP(Data!M2233,temp!$B$3:$C$9,2,1)</f>
        <v>30-40</v>
      </c>
      <c r="O2233">
        <v>-385</v>
      </c>
      <c r="P2233" s="8">
        <f t="shared" si="143"/>
        <v>1.054072553045859</v>
      </c>
      <c r="Q2233" s="5" t="str">
        <f t="shared" si="145"/>
        <v>Employed</v>
      </c>
      <c r="R2233">
        <v>1</v>
      </c>
      <c r="S2233">
        <v>0</v>
      </c>
      <c r="T2233">
        <v>0</v>
      </c>
      <c r="U2233">
        <v>1</v>
      </c>
      <c r="V2233" t="s">
        <v>29</v>
      </c>
      <c r="W2233">
        <v>1</v>
      </c>
    </row>
    <row r="2234" spans="1:23" x14ac:dyDescent="0.2">
      <c r="A2234">
        <v>5068527</v>
      </c>
      <c r="B2234" t="s">
        <v>18</v>
      </c>
      <c r="C2234" t="s">
        <v>19</v>
      </c>
      <c r="D2234" t="s">
        <v>20</v>
      </c>
      <c r="E2234">
        <v>0</v>
      </c>
      <c r="F2234">
        <v>135000</v>
      </c>
      <c r="G2234" t="s">
        <v>31</v>
      </c>
      <c r="H2234" t="s">
        <v>22</v>
      </c>
      <c r="I2234" t="s">
        <v>28</v>
      </c>
      <c r="J2234" t="s">
        <v>24</v>
      </c>
      <c r="K2234" s="6">
        <f t="shared" ca="1" si="144"/>
        <v>37442</v>
      </c>
      <c r="L2234">
        <v>-8319</v>
      </c>
      <c r="M2234" s="7">
        <f t="shared" ca="1" si="142"/>
        <v>22.776180698151951</v>
      </c>
      <c r="N2234" s="5" t="str">
        <f ca="1">VLOOKUP(Data!M2234,temp!$B$3:$C$9,2,1)</f>
        <v>20-30</v>
      </c>
      <c r="O2234">
        <v>-689</v>
      </c>
      <c r="P2234" s="8">
        <f t="shared" si="143"/>
        <v>1.8863791923340179</v>
      </c>
      <c r="Q2234" s="5" t="str">
        <f t="shared" si="145"/>
        <v>Employed</v>
      </c>
      <c r="R2234">
        <v>1</v>
      </c>
      <c r="S2234">
        <v>1</v>
      </c>
      <c r="T2234">
        <v>0</v>
      </c>
      <c r="U2234">
        <v>0</v>
      </c>
      <c r="W2234">
        <v>2</v>
      </c>
    </row>
    <row r="2235" spans="1:23" x14ac:dyDescent="0.2">
      <c r="A2235">
        <v>5068532</v>
      </c>
      <c r="B2235" t="s">
        <v>18</v>
      </c>
      <c r="C2235" t="s">
        <v>19</v>
      </c>
      <c r="D2235" t="s">
        <v>20</v>
      </c>
      <c r="E2235">
        <v>0</v>
      </c>
      <c r="F2235">
        <v>135000</v>
      </c>
      <c r="G2235" t="s">
        <v>31</v>
      </c>
      <c r="H2235" t="s">
        <v>22</v>
      </c>
      <c r="I2235" t="s">
        <v>28</v>
      </c>
      <c r="J2235" t="s">
        <v>24</v>
      </c>
      <c r="K2235" s="6">
        <f t="shared" ca="1" si="144"/>
        <v>37442</v>
      </c>
      <c r="L2235">
        <v>-8319</v>
      </c>
      <c r="M2235" s="7">
        <f t="shared" ca="1" si="142"/>
        <v>22.776180698151951</v>
      </c>
      <c r="N2235" s="5" t="str">
        <f ca="1">VLOOKUP(Data!M2235,temp!$B$3:$C$9,2,1)</f>
        <v>20-30</v>
      </c>
      <c r="O2235">
        <v>-689</v>
      </c>
      <c r="P2235" s="8">
        <f t="shared" si="143"/>
        <v>1.8863791923340179</v>
      </c>
      <c r="Q2235" s="5" t="str">
        <f t="shared" si="145"/>
        <v>Employed</v>
      </c>
      <c r="R2235">
        <v>1</v>
      </c>
      <c r="S2235">
        <v>1</v>
      </c>
      <c r="T2235">
        <v>0</v>
      </c>
      <c r="U2235">
        <v>0</v>
      </c>
      <c r="W2235">
        <v>2</v>
      </c>
    </row>
    <row r="2236" spans="1:23" x14ac:dyDescent="0.2">
      <c r="A2236">
        <v>5068536</v>
      </c>
      <c r="B2236" t="s">
        <v>18</v>
      </c>
      <c r="C2236" t="s">
        <v>20</v>
      </c>
      <c r="D2236" t="s">
        <v>20</v>
      </c>
      <c r="E2236">
        <v>0</v>
      </c>
      <c r="F2236">
        <v>337500</v>
      </c>
      <c r="G2236" t="s">
        <v>31</v>
      </c>
      <c r="H2236" t="s">
        <v>27</v>
      </c>
      <c r="I2236" t="s">
        <v>33</v>
      </c>
      <c r="J2236" t="s">
        <v>24</v>
      </c>
      <c r="K2236" s="6">
        <f t="shared" ca="1" si="144"/>
        <v>25957</v>
      </c>
      <c r="L2236">
        <v>-19804</v>
      </c>
      <c r="M2236" s="7">
        <f t="shared" ca="1" si="142"/>
        <v>54.220396988364136</v>
      </c>
      <c r="N2236" s="5" t="str">
        <f ca="1">VLOOKUP(Data!M2236,temp!$B$3:$C$9,2,1)</f>
        <v>50-60</v>
      </c>
      <c r="O2236">
        <v>-3246</v>
      </c>
      <c r="P2236" s="8">
        <f t="shared" si="143"/>
        <v>8.8870636550308006</v>
      </c>
      <c r="Q2236" s="5" t="str">
        <f t="shared" si="145"/>
        <v>Employed</v>
      </c>
      <c r="R2236">
        <v>1</v>
      </c>
      <c r="S2236">
        <v>0</v>
      </c>
      <c r="T2236">
        <v>0</v>
      </c>
      <c r="U2236">
        <v>0</v>
      </c>
      <c r="V2236" t="s">
        <v>39</v>
      </c>
      <c r="W2236">
        <v>1</v>
      </c>
    </row>
    <row r="2237" spans="1:23" x14ac:dyDescent="0.2">
      <c r="A2237">
        <v>5068559</v>
      </c>
      <c r="B2237" t="s">
        <v>25</v>
      </c>
      <c r="C2237" t="s">
        <v>20</v>
      </c>
      <c r="D2237" t="s">
        <v>19</v>
      </c>
      <c r="E2237">
        <v>0</v>
      </c>
      <c r="F2237">
        <v>135000</v>
      </c>
      <c r="G2237" t="s">
        <v>31</v>
      </c>
      <c r="H2237" t="s">
        <v>27</v>
      </c>
      <c r="I2237" t="s">
        <v>28</v>
      </c>
      <c r="J2237" t="s">
        <v>24</v>
      </c>
      <c r="K2237" s="6">
        <f t="shared" ca="1" si="144"/>
        <v>26147</v>
      </c>
      <c r="L2237">
        <v>-19614</v>
      </c>
      <c r="M2237" s="7">
        <f t="shared" ca="1" si="142"/>
        <v>53.700205338809035</v>
      </c>
      <c r="N2237" s="5" t="str">
        <f ca="1">VLOOKUP(Data!M2237,temp!$B$3:$C$9,2,1)</f>
        <v>50-60</v>
      </c>
      <c r="O2237">
        <v>-385</v>
      </c>
      <c r="P2237" s="8">
        <f t="shared" si="143"/>
        <v>1.054072553045859</v>
      </c>
      <c r="Q2237" s="5" t="str">
        <f t="shared" si="145"/>
        <v>Employed</v>
      </c>
      <c r="R2237">
        <v>1</v>
      </c>
      <c r="S2237">
        <v>0</v>
      </c>
      <c r="T2237">
        <v>0</v>
      </c>
      <c r="U2237">
        <v>0</v>
      </c>
      <c r="V2237" t="s">
        <v>29</v>
      </c>
      <c r="W2237">
        <v>2</v>
      </c>
    </row>
    <row r="2238" spans="1:23" x14ac:dyDescent="0.2">
      <c r="A2238">
        <v>5068563</v>
      </c>
      <c r="B2238" t="s">
        <v>18</v>
      </c>
      <c r="C2238" t="s">
        <v>19</v>
      </c>
      <c r="D2238" t="s">
        <v>20</v>
      </c>
      <c r="E2238">
        <v>0</v>
      </c>
      <c r="F2238">
        <v>216000</v>
      </c>
      <c r="G2238" t="s">
        <v>31</v>
      </c>
      <c r="H2238" t="s">
        <v>27</v>
      </c>
      <c r="I2238" t="s">
        <v>28</v>
      </c>
      <c r="J2238" t="s">
        <v>24</v>
      </c>
      <c r="K2238" s="6">
        <f t="shared" ca="1" si="144"/>
        <v>27190</v>
      </c>
      <c r="L2238">
        <v>-18571</v>
      </c>
      <c r="M2238" s="7">
        <f t="shared" ca="1" si="142"/>
        <v>50.844626967830251</v>
      </c>
      <c r="N2238" s="5" t="str">
        <f ca="1">VLOOKUP(Data!M2238,temp!$B$3:$C$9,2,1)</f>
        <v>50-60</v>
      </c>
      <c r="O2238">
        <v>-2970</v>
      </c>
      <c r="P2238" s="8">
        <f t="shared" si="143"/>
        <v>8.131416837782341</v>
      </c>
      <c r="Q2238" s="5" t="str">
        <f t="shared" si="145"/>
        <v>Employed</v>
      </c>
      <c r="R2238">
        <v>1</v>
      </c>
      <c r="S2238">
        <v>0</v>
      </c>
      <c r="T2238">
        <v>0</v>
      </c>
      <c r="U2238">
        <v>0</v>
      </c>
      <c r="V2238" t="s">
        <v>50</v>
      </c>
      <c r="W2238">
        <v>2</v>
      </c>
    </row>
    <row r="2239" spans="1:23" x14ac:dyDescent="0.2">
      <c r="A2239">
        <v>5068577</v>
      </c>
      <c r="B2239" t="s">
        <v>18</v>
      </c>
      <c r="C2239" t="s">
        <v>19</v>
      </c>
      <c r="D2239" t="s">
        <v>20</v>
      </c>
      <c r="E2239">
        <v>3</v>
      </c>
      <c r="F2239">
        <v>140400</v>
      </c>
      <c r="G2239" t="s">
        <v>31</v>
      </c>
      <c r="H2239" t="s">
        <v>27</v>
      </c>
      <c r="I2239" t="s">
        <v>28</v>
      </c>
      <c r="J2239" t="s">
        <v>24</v>
      </c>
      <c r="K2239" s="6">
        <f t="shared" ca="1" si="144"/>
        <v>33389</v>
      </c>
      <c r="L2239">
        <v>-12372</v>
      </c>
      <c r="M2239" s="7">
        <f t="shared" ca="1" si="142"/>
        <v>33.872689938398359</v>
      </c>
      <c r="N2239" s="5" t="str">
        <f ca="1">VLOOKUP(Data!M2239,temp!$B$3:$C$9,2,1)</f>
        <v>30-40</v>
      </c>
      <c r="O2239">
        <v>-3246</v>
      </c>
      <c r="P2239" s="8">
        <f t="shared" si="143"/>
        <v>8.8870636550308006</v>
      </c>
      <c r="Q2239" s="5" t="str">
        <f t="shared" si="145"/>
        <v>Employed</v>
      </c>
      <c r="R2239">
        <v>1</v>
      </c>
      <c r="S2239">
        <v>0</v>
      </c>
      <c r="T2239">
        <v>0</v>
      </c>
      <c r="U2239">
        <v>0</v>
      </c>
      <c r="V2239" t="s">
        <v>38</v>
      </c>
      <c r="W2239">
        <v>5</v>
      </c>
    </row>
    <row r="2240" spans="1:23" x14ac:dyDescent="0.2">
      <c r="A2240">
        <v>5068582</v>
      </c>
      <c r="B2240" t="s">
        <v>18</v>
      </c>
      <c r="C2240" t="s">
        <v>19</v>
      </c>
      <c r="D2240" t="s">
        <v>20</v>
      </c>
      <c r="E2240">
        <v>3</v>
      </c>
      <c r="F2240">
        <v>140400</v>
      </c>
      <c r="G2240" t="s">
        <v>31</v>
      </c>
      <c r="H2240" t="s">
        <v>27</v>
      </c>
      <c r="I2240" t="s">
        <v>28</v>
      </c>
      <c r="J2240" t="s">
        <v>24</v>
      </c>
      <c r="K2240" s="6">
        <f t="shared" ca="1" si="144"/>
        <v>33389</v>
      </c>
      <c r="L2240">
        <v>-12372</v>
      </c>
      <c r="M2240" s="7">
        <f t="shared" ca="1" si="142"/>
        <v>33.872689938398359</v>
      </c>
      <c r="N2240" s="5" t="str">
        <f ca="1">VLOOKUP(Data!M2240,temp!$B$3:$C$9,2,1)</f>
        <v>30-40</v>
      </c>
      <c r="O2240">
        <v>-3246</v>
      </c>
      <c r="P2240" s="8">
        <f t="shared" si="143"/>
        <v>8.8870636550308006</v>
      </c>
      <c r="Q2240" s="5" t="str">
        <f t="shared" si="145"/>
        <v>Employed</v>
      </c>
      <c r="R2240">
        <v>1</v>
      </c>
      <c r="S2240">
        <v>0</v>
      </c>
      <c r="T2240">
        <v>0</v>
      </c>
      <c r="U2240">
        <v>0</v>
      </c>
      <c r="V2240" t="s">
        <v>38</v>
      </c>
      <c r="W2240">
        <v>5</v>
      </c>
    </row>
    <row r="2241" spans="1:23" x14ac:dyDescent="0.2">
      <c r="A2241">
        <v>5068583</v>
      </c>
      <c r="B2241" t="s">
        <v>18</v>
      </c>
      <c r="C2241" t="s">
        <v>19</v>
      </c>
      <c r="D2241" t="s">
        <v>20</v>
      </c>
      <c r="E2241">
        <v>1</v>
      </c>
      <c r="F2241">
        <v>121500</v>
      </c>
      <c r="G2241" t="s">
        <v>31</v>
      </c>
      <c r="H2241" t="s">
        <v>27</v>
      </c>
      <c r="I2241" t="s">
        <v>28</v>
      </c>
      <c r="J2241" t="s">
        <v>24</v>
      </c>
      <c r="K2241" s="6">
        <f t="shared" ca="1" si="144"/>
        <v>29386</v>
      </c>
      <c r="L2241">
        <v>-16375</v>
      </c>
      <c r="M2241" s="7">
        <f t="shared" ca="1" si="142"/>
        <v>44.832306639288156</v>
      </c>
      <c r="N2241" s="5" t="str">
        <f ca="1">VLOOKUP(Data!M2241,temp!$B$3:$C$9,2,1)</f>
        <v>40-50</v>
      </c>
      <c r="O2241">
        <v>-962</v>
      </c>
      <c r="P2241" s="8">
        <f t="shared" si="143"/>
        <v>2.6338124572210813</v>
      </c>
      <c r="Q2241" s="5" t="str">
        <f t="shared" si="145"/>
        <v>Employed</v>
      </c>
      <c r="R2241">
        <v>1</v>
      </c>
      <c r="S2241">
        <v>0</v>
      </c>
      <c r="T2241">
        <v>1</v>
      </c>
      <c r="U2241">
        <v>0</v>
      </c>
      <c r="V2241" t="s">
        <v>39</v>
      </c>
      <c r="W2241">
        <v>3</v>
      </c>
    </row>
    <row r="2242" spans="1:23" x14ac:dyDescent="0.2">
      <c r="A2242">
        <v>5068586</v>
      </c>
      <c r="B2242" t="s">
        <v>18</v>
      </c>
      <c r="C2242" t="s">
        <v>19</v>
      </c>
      <c r="D2242" t="s">
        <v>20</v>
      </c>
      <c r="E2242">
        <v>1</v>
      </c>
      <c r="F2242">
        <v>121500</v>
      </c>
      <c r="G2242" t="s">
        <v>31</v>
      </c>
      <c r="H2242" t="s">
        <v>27</v>
      </c>
      <c r="I2242" t="s">
        <v>28</v>
      </c>
      <c r="J2242" t="s">
        <v>24</v>
      </c>
      <c r="K2242" s="6">
        <f t="shared" ca="1" si="144"/>
        <v>29386</v>
      </c>
      <c r="L2242">
        <v>-16375</v>
      </c>
      <c r="M2242" s="7">
        <f t="shared" ca="1" si="142"/>
        <v>44.832306639288156</v>
      </c>
      <c r="N2242" s="5" t="str">
        <f ca="1">VLOOKUP(Data!M2242,temp!$B$3:$C$9,2,1)</f>
        <v>40-50</v>
      </c>
      <c r="O2242">
        <v>-962</v>
      </c>
      <c r="P2242" s="8">
        <f t="shared" si="143"/>
        <v>2.6338124572210813</v>
      </c>
      <c r="Q2242" s="5" t="str">
        <f t="shared" si="145"/>
        <v>Employed</v>
      </c>
      <c r="R2242">
        <v>1</v>
      </c>
      <c r="S2242">
        <v>0</v>
      </c>
      <c r="T2242">
        <v>1</v>
      </c>
      <c r="U2242">
        <v>0</v>
      </c>
      <c r="V2242" t="s">
        <v>39</v>
      </c>
      <c r="W2242">
        <v>3</v>
      </c>
    </row>
    <row r="2243" spans="1:23" x14ac:dyDescent="0.2">
      <c r="A2243">
        <v>5068603</v>
      </c>
      <c r="B2243" t="s">
        <v>18</v>
      </c>
      <c r="C2243" t="s">
        <v>19</v>
      </c>
      <c r="D2243" t="s">
        <v>20</v>
      </c>
      <c r="E2243">
        <v>1</v>
      </c>
      <c r="F2243">
        <v>225000</v>
      </c>
      <c r="G2243" t="s">
        <v>31</v>
      </c>
      <c r="H2243" t="s">
        <v>27</v>
      </c>
      <c r="I2243" t="s">
        <v>28</v>
      </c>
      <c r="J2243" t="s">
        <v>24</v>
      </c>
      <c r="K2243" s="6">
        <f t="shared" ca="1" si="144"/>
        <v>30505</v>
      </c>
      <c r="L2243">
        <v>-15256</v>
      </c>
      <c r="M2243" s="7">
        <f t="shared" ref="M2243:M2306" ca="1" si="146">(TODAY()-K2243)/365.25</f>
        <v>41.768651608487339</v>
      </c>
      <c r="N2243" s="5" t="str">
        <f ca="1">VLOOKUP(Data!M2243,temp!$B$3:$C$9,2,1)</f>
        <v>40-50</v>
      </c>
      <c r="O2243">
        <v>-8664</v>
      </c>
      <c r="P2243" s="8">
        <f t="shared" ref="P2243:P2306" si="147">IF(O2243&lt;=0,ABS(O2243)/365.25,0)</f>
        <v>23.720739219712527</v>
      </c>
      <c r="Q2243" s="5" t="str">
        <f t="shared" si="145"/>
        <v>Employed</v>
      </c>
      <c r="R2243">
        <v>1</v>
      </c>
      <c r="S2243">
        <v>0</v>
      </c>
      <c r="T2243">
        <v>0</v>
      </c>
      <c r="U2243">
        <v>0</v>
      </c>
      <c r="V2243" t="s">
        <v>32</v>
      </c>
      <c r="W2243">
        <v>3</v>
      </c>
    </row>
    <row r="2244" spans="1:23" x14ac:dyDescent="0.2">
      <c r="A2244">
        <v>5068619</v>
      </c>
      <c r="B2244" t="s">
        <v>18</v>
      </c>
      <c r="C2244" t="s">
        <v>20</v>
      </c>
      <c r="D2244" t="s">
        <v>20</v>
      </c>
      <c r="E2244">
        <v>0</v>
      </c>
      <c r="F2244">
        <v>157500</v>
      </c>
      <c r="G2244" t="s">
        <v>21</v>
      </c>
      <c r="H2244" t="s">
        <v>27</v>
      </c>
      <c r="I2244" t="s">
        <v>28</v>
      </c>
      <c r="J2244" t="s">
        <v>24</v>
      </c>
      <c r="K2244" s="6">
        <f t="shared" ca="1" si="144"/>
        <v>23038</v>
      </c>
      <c r="L2244">
        <v>-22723</v>
      </c>
      <c r="M2244" s="7">
        <f t="shared" ca="1" si="146"/>
        <v>62.212183436002739</v>
      </c>
      <c r="N2244" s="5" t="str">
        <f ca="1">VLOOKUP(Data!M2244,temp!$B$3:$C$9,2,1)</f>
        <v>60-70</v>
      </c>
      <c r="O2244">
        <v>365243</v>
      </c>
      <c r="P2244" s="8">
        <f t="shared" si="147"/>
        <v>0</v>
      </c>
      <c r="Q2244" s="5" t="str">
        <f t="shared" si="145"/>
        <v>Unemployed</v>
      </c>
      <c r="R2244">
        <v>1</v>
      </c>
      <c r="S2244">
        <v>0</v>
      </c>
      <c r="T2244">
        <v>0</v>
      </c>
      <c r="U2244">
        <v>0</v>
      </c>
      <c r="W2244">
        <v>2</v>
      </c>
    </row>
    <row r="2245" spans="1:23" x14ac:dyDescent="0.2">
      <c r="A2245">
        <v>5068647</v>
      </c>
      <c r="B2245" t="s">
        <v>25</v>
      </c>
      <c r="C2245" t="s">
        <v>19</v>
      </c>
      <c r="D2245" t="s">
        <v>20</v>
      </c>
      <c r="E2245">
        <v>0</v>
      </c>
      <c r="F2245">
        <v>135000</v>
      </c>
      <c r="G2245" t="s">
        <v>31</v>
      </c>
      <c r="H2245" t="s">
        <v>27</v>
      </c>
      <c r="I2245" t="s">
        <v>33</v>
      </c>
      <c r="J2245" t="s">
        <v>41</v>
      </c>
      <c r="K2245" s="6">
        <f t="shared" ca="1" si="144"/>
        <v>34417</v>
      </c>
      <c r="L2245">
        <v>-11344</v>
      </c>
      <c r="M2245" s="7">
        <f t="shared" ca="1" si="146"/>
        <v>31.058179329226558</v>
      </c>
      <c r="N2245" s="5" t="str">
        <f ca="1">VLOOKUP(Data!M2245,temp!$B$3:$C$9,2,1)</f>
        <v>30-40</v>
      </c>
      <c r="O2245">
        <v>-1054</v>
      </c>
      <c r="P2245" s="8">
        <f t="shared" si="147"/>
        <v>2.8856947296372346</v>
      </c>
      <c r="Q2245" s="5" t="str">
        <f t="shared" si="145"/>
        <v>Employed</v>
      </c>
      <c r="R2245">
        <v>1</v>
      </c>
      <c r="S2245">
        <v>0</v>
      </c>
      <c r="T2245">
        <v>0</v>
      </c>
      <c r="U2245">
        <v>0</v>
      </c>
      <c r="V2245" t="s">
        <v>30</v>
      </c>
      <c r="W2245">
        <v>1</v>
      </c>
    </row>
    <row r="2246" spans="1:23" x14ac:dyDescent="0.2">
      <c r="A2246">
        <v>5068665</v>
      </c>
      <c r="B2246" t="s">
        <v>18</v>
      </c>
      <c r="C2246" t="s">
        <v>20</v>
      </c>
      <c r="D2246" t="s">
        <v>20</v>
      </c>
      <c r="E2246">
        <v>0</v>
      </c>
      <c r="F2246">
        <v>360000</v>
      </c>
      <c r="G2246" t="s">
        <v>35</v>
      </c>
      <c r="H2246" t="s">
        <v>22</v>
      </c>
      <c r="I2246" t="s">
        <v>23</v>
      </c>
      <c r="J2246" t="s">
        <v>24</v>
      </c>
      <c r="K2246" s="6">
        <f t="shared" ca="1" si="144"/>
        <v>26456</v>
      </c>
      <c r="L2246">
        <v>-19305</v>
      </c>
      <c r="M2246" s="7">
        <f t="shared" ca="1" si="146"/>
        <v>52.854209445585212</v>
      </c>
      <c r="N2246" s="5" t="str">
        <f ca="1">VLOOKUP(Data!M2246,temp!$B$3:$C$9,2,1)</f>
        <v>50-60</v>
      </c>
      <c r="O2246">
        <v>-1905</v>
      </c>
      <c r="P2246" s="8">
        <f t="shared" si="147"/>
        <v>5.2156057494866532</v>
      </c>
      <c r="Q2246" s="5" t="str">
        <f t="shared" si="145"/>
        <v>Employed</v>
      </c>
      <c r="R2246">
        <v>1</v>
      </c>
      <c r="S2246">
        <v>0</v>
      </c>
      <c r="T2246">
        <v>0</v>
      </c>
      <c r="U2246">
        <v>0</v>
      </c>
      <c r="V2246" t="s">
        <v>38</v>
      </c>
      <c r="W2246">
        <v>1</v>
      </c>
    </row>
    <row r="2247" spans="1:23" x14ac:dyDescent="0.2">
      <c r="A2247">
        <v>5068667</v>
      </c>
      <c r="B2247" t="s">
        <v>18</v>
      </c>
      <c r="C2247" t="s">
        <v>20</v>
      </c>
      <c r="D2247" t="s">
        <v>20</v>
      </c>
      <c r="E2247">
        <v>0</v>
      </c>
      <c r="F2247">
        <v>360000</v>
      </c>
      <c r="G2247" t="s">
        <v>35</v>
      </c>
      <c r="H2247" t="s">
        <v>22</v>
      </c>
      <c r="I2247" t="s">
        <v>23</v>
      </c>
      <c r="J2247" t="s">
        <v>24</v>
      </c>
      <c r="K2247" s="6">
        <f t="shared" ca="1" si="144"/>
        <v>26456</v>
      </c>
      <c r="L2247">
        <v>-19305</v>
      </c>
      <c r="M2247" s="7">
        <f t="shared" ca="1" si="146"/>
        <v>52.854209445585212</v>
      </c>
      <c r="N2247" s="5" t="str">
        <f ca="1">VLOOKUP(Data!M2247,temp!$B$3:$C$9,2,1)</f>
        <v>50-60</v>
      </c>
      <c r="O2247">
        <v>-1905</v>
      </c>
      <c r="P2247" s="8">
        <f t="shared" si="147"/>
        <v>5.2156057494866532</v>
      </c>
      <c r="Q2247" s="5" t="str">
        <f t="shared" si="145"/>
        <v>Employed</v>
      </c>
      <c r="R2247">
        <v>1</v>
      </c>
      <c r="S2247">
        <v>0</v>
      </c>
      <c r="T2247">
        <v>0</v>
      </c>
      <c r="U2247">
        <v>0</v>
      </c>
      <c r="V2247" t="s">
        <v>38</v>
      </c>
      <c r="W2247">
        <v>1</v>
      </c>
    </row>
    <row r="2248" spans="1:23" x14ac:dyDescent="0.2">
      <c r="A2248">
        <v>5068670</v>
      </c>
      <c r="B2248" t="s">
        <v>25</v>
      </c>
      <c r="C2248" t="s">
        <v>19</v>
      </c>
      <c r="D2248" t="s">
        <v>20</v>
      </c>
      <c r="E2248">
        <v>0</v>
      </c>
      <c r="F2248">
        <v>247500</v>
      </c>
      <c r="G2248" t="s">
        <v>31</v>
      </c>
      <c r="H2248" t="s">
        <v>36</v>
      </c>
      <c r="I2248" t="s">
        <v>28</v>
      </c>
      <c r="J2248" t="s">
        <v>24</v>
      </c>
      <c r="K2248" s="6">
        <f t="shared" ref="K2248:K2311" ca="1" si="148">TODAY()+($L2248)</f>
        <v>36602</v>
      </c>
      <c r="L2248">
        <v>-9159</v>
      </c>
      <c r="M2248" s="7">
        <f t="shared" ca="1" si="146"/>
        <v>25.075975359342916</v>
      </c>
      <c r="N2248" s="5" t="str">
        <f ca="1">VLOOKUP(Data!M2248,temp!$B$3:$C$9,2,1)</f>
        <v>20-30</v>
      </c>
      <c r="O2248">
        <v>-413</v>
      </c>
      <c r="P2248" s="8">
        <f t="shared" si="147"/>
        <v>1.1307323750855578</v>
      </c>
      <c r="Q2248" s="5" t="str">
        <f t="shared" ref="Q2248:Q2311" si="149">IF($O2248&gt;0,"Unemployed","Employed")</f>
        <v>Employed</v>
      </c>
      <c r="R2248">
        <v>1</v>
      </c>
      <c r="S2248">
        <v>0</v>
      </c>
      <c r="T2248">
        <v>0</v>
      </c>
      <c r="U2248">
        <v>0</v>
      </c>
      <c r="V2248" t="s">
        <v>38</v>
      </c>
      <c r="W2248">
        <v>2</v>
      </c>
    </row>
    <row r="2249" spans="1:23" x14ac:dyDescent="0.2">
      <c r="A2249">
        <v>5068685</v>
      </c>
      <c r="B2249" t="s">
        <v>25</v>
      </c>
      <c r="C2249" t="s">
        <v>19</v>
      </c>
      <c r="D2249" t="s">
        <v>20</v>
      </c>
      <c r="E2249">
        <v>0</v>
      </c>
      <c r="F2249">
        <v>148500</v>
      </c>
      <c r="G2249" t="s">
        <v>31</v>
      </c>
      <c r="H2249" t="s">
        <v>27</v>
      </c>
      <c r="I2249" t="s">
        <v>33</v>
      </c>
      <c r="J2249" t="s">
        <v>24</v>
      </c>
      <c r="K2249" s="6">
        <f t="shared" ca="1" si="148"/>
        <v>33942</v>
      </c>
      <c r="L2249">
        <v>-11819</v>
      </c>
      <c r="M2249" s="7">
        <f t="shared" ca="1" si="146"/>
        <v>32.358658453114302</v>
      </c>
      <c r="N2249" s="5" t="str">
        <f ca="1">VLOOKUP(Data!M2249,temp!$B$3:$C$9,2,1)</f>
        <v>30-40</v>
      </c>
      <c r="O2249">
        <v>-962</v>
      </c>
      <c r="P2249" s="8">
        <f t="shared" si="147"/>
        <v>2.6338124572210813</v>
      </c>
      <c r="Q2249" s="5" t="str">
        <f t="shared" si="149"/>
        <v>Employed</v>
      </c>
      <c r="R2249">
        <v>1</v>
      </c>
      <c r="S2249">
        <v>0</v>
      </c>
      <c r="T2249">
        <v>0</v>
      </c>
      <c r="U2249">
        <v>0</v>
      </c>
      <c r="V2249" t="s">
        <v>29</v>
      </c>
      <c r="W2249">
        <v>1</v>
      </c>
    </row>
    <row r="2250" spans="1:23" x14ac:dyDescent="0.2">
      <c r="A2250">
        <v>5068712</v>
      </c>
      <c r="B2250" t="s">
        <v>18</v>
      </c>
      <c r="C2250" t="s">
        <v>20</v>
      </c>
      <c r="D2250" t="s">
        <v>20</v>
      </c>
      <c r="E2250">
        <v>0</v>
      </c>
      <c r="F2250">
        <v>90000</v>
      </c>
      <c r="G2250" t="s">
        <v>31</v>
      </c>
      <c r="H2250" t="s">
        <v>27</v>
      </c>
      <c r="I2250" t="s">
        <v>28</v>
      </c>
      <c r="J2250" t="s">
        <v>24</v>
      </c>
      <c r="K2250" s="6">
        <f t="shared" ca="1" si="148"/>
        <v>32278</v>
      </c>
      <c r="L2250">
        <v>-13483</v>
      </c>
      <c r="M2250" s="7">
        <f t="shared" ca="1" si="146"/>
        <v>36.91444216290212</v>
      </c>
      <c r="N2250" s="5" t="str">
        <f ca="1">VLOOKUP(Data!M2250,temp!$B$3:$C$9,2,1)</f>
        <v>30-40</v>
      </c>
      <c r="O2250">
        <v>-5345</v>
      </c>
      <c r="P2250" s="8">
        <f t="shared" si="147"/>
        <v>14.633812457221081</v>
      </c>
      <c r="Q2250" s="5" t="str">
        <f t="shared" si="149"/>
        <v>Employed</v>
      </c>
      <c r="R2250">
        <v>1</v>
      </c>
      <c r="S2250">
        <v>0</v>
      </c>
      <c r="T2250">
        <v>0</v>
      </c>
      <c r="U2250">
        <v>0</v>
      </c>
      <c r="V2250" t="s">
        <v>29</v>
      </c>
      <c r="W2250">
        <v>2</v>
      </c>
    </row>
    <row r="2251" spans="1:23" x14ac:dyDescent="0.2">
      <c r="A2251">
        <v>5068722</v>
      </c>
      <c r="B2251" t="s">
        <v>18</v>
      </c>
      <c r="C2251" t="s">
        <v>19</v>
      </c>
      <c r="D2251" t="s">
        <v>19</v>
      </c>
      <c r="E2251">
        <v>0</v>
      </c>
      <c r="F2251">
        <v>180000</v>
      </c>
      <c r="G2251" t="s">
        <v>31</v>
      </c>
      <c r="H2251" t="s">
        <v>27</v>
      </c>
      <c r="I2251" t="s">
        <v>33</v>
      </c>
      <c r="J2251" t="s">
        <v>24</v>
      </c>
      <c r="K2251" s="6">
        <f t="shared" ca="1" si="148"/>
        <v>30944</v>
      </c>
      <c r="L2251">
        <v>-14817</v>
      </c>
      <c r="M2251" s="7">
        <f t="shared" ca="1" si="146"/>
        <v>40.566735112936342</v>
      </c>
      <c r="N2251" s="5" t="str">
        <f ca="1">VLOOKUP(Data!M2251,temp!$B$3:$C$9,2,1)</f>
        <v>40-50</v>
      </c>
      <c r="O2251">
        <v>-1115</v>
      </c>
      <c r="P2251" s="8">
        <f t="shared" si="147"/>
        <v>3.052703627652293</v>
      </c>
      <c r="Q2251" s="5" t="str">
        <f t="shared" si="149"/>
        <v>Employed</v>
      </c>
      <c r="R2251">
        <v>1</v>
      </c>
      <c r="S2251">
        <v>0</v>
      </c>
      <c r="T2251">
        <v>0</v>
      </c>
      <c r="U2251">
        <v>1</v>
      </c>
      <c r="V2251" t="s">
        <v>55</v>
      </c>
      <c r="W2251">
        <v>1</v>
      </c>
    </row>
    <row r="2252" spans="1:23" x14ac:dyDescent="0.2">
      <c r="A2252">
        <v>5068746</v>
      </c>
      <c r="B2252" t="s">
        <v>18</v>
      </c>
      <c r="C2252" t="s">
        <v>19</v>
      </c>
      <c r="D2252" t="s">
        <v>20</v>
      </c>
      <c r="E2252">
        <v>3</v>
      </c>
      <c r="F2252">
        <v>225000</v>
      </c>
      <c r="G2252" t="s">
        <v>26</v>
      </c>
      <c r="H2252" t="s">
        <v>27</v>
      </c>
      <c r="I2252" t="s">
        <v>33</v>
      </c>
      <c r="J2252" t="s">
        <v>24</v>
      </c>
      <c r="K2252" s="6">
        <f t="shared" ca="1" si="148"/>
        <v>33891</v>
      </c>
      <c r="L2252">
        <v>-11870</v>
      </c>
      <c r="M2252" s="7">
        <f t="shared" ca="1" si="146"/>
        <v>32.498288843258045</v>
      </c>
      <c r="N2252" s="5" t="str">
        <f ca="1">VLOOKUP(Data!M2252,temp!$B$3:$C$9,2,1)</f>
        <v>30-40</v>
      </c>
      <c r="O2252">
        <v>-5072</v>
      </c>
      <c r="P2252" s="8">
        <f t="shared" si="147"/>
        <v>13.886379192334017</v>
      </c>
      <c r="Q2252" s="5" t="str">
        <f t="shared" si="149"/>
        <v>Employed</v>
      </c>
      <c r="R2252">
        <v>1</v>
      </c>
      <c r="S2252">
        <v>0</v>
      </c>
      <c r="T2252">
        <v>0</v>
      </c>
      <c r="U2252">
        <v>0</v>
      </c>
      <c r="V2252" t="s">
        <v>29</v>
      </c>
      <c r="W2252">
        <v>4</v>
      </c>
    </row>
    <row r="2253" spans="1:23" x14ac:dyDescent="0.2">
      <c r="A2253">
        <v>5068754</v>
      </c>
      <c r="B2253" t="s">
        <v>18</v>
      </c>
      <c r="C2253" t="s">
        <v>19</v>
      </c>
      <c r="D2253" t="s">
        <v>20</v>
      </c>
      <c r="E2253">
        <v>0</v>
      </c>
      <c r="F2253">
        <v>135000</v>
      </c>
      <c r="G2253" t="s">
        <v>26</v>
      </c>
      <c r="H2253" t="s">
        <v>27</v>
      </c>
      <c r="I2253" t="s">
        <v>28</v>
      </c>
      <c r="J2253" t="s">
        <v>24</v>
      </c>
      <c r="K2253" s="6">
        <f t="shared" ca="1" si="148"/>
        <v>28028</v>
      </c>
      <c r="L2253">
        <v>-17733</v>
      </c>
      <c r="M2253" s="7">
        <f t="shared" ca="1" si="146"/>
        <v>48.550308008213555</v>
      </c>
      <c r="N2253" s="5" t="str">
        <f ca="1">VLOOKUP(Data!M2253,temp!$B$3:$C$9,2,1)</f>
        <v>40-50</v>
      </c>
      <c r="O2253">
        <v>-2362</v>
      </c>
      <c r="P2253" s="8">
        <f t="shared" si="147"/>
        <v>6.4668035592060233</v>
      </c>
      <c r="Q2253" s="5" t="str">
        <f t="shared" si="149"/>
        <v>Employed</v>
      </c>
      <c r="R2253">
        <v>1</v>
      </c>
      <c r="S2253">
        <v>0</v>
      </c>
      <c r="T2253">
        <v>0</v>
      </c>
      <c r="U2253">
        <v>0</v>
      </c>
      <c r="V2253" t="s">
        <v>40</v>
      </c>
      <c r="W2253">
        <v>2</v>
      </c>
    </row>
    <row r="2254" spans="1:23" x14ac:dyDescent="0.2">
      <c r="A2254">
        <v>5068758</v>
      </c>
      <c r="B2254" t="s">
        <v>18</v>
      </c>
      <c r="C2254" t="s">
        <v>19</v>
      </c>
      <c r="D2254" t="s">
        <v>20</v>
      </c>
      <c r="E2254">
        <v>0</v>
      </c>
      <c r="F2254">
        <v>135000</v>
      </c>
      <c r="G2254" t="s">
        <v>26</v>
      </c>
      <c r="H2254" t="s">
        <v>27</v>
      </c>
      <c r="I2254" t="s">
        <v>28</v>
      </c>
      <c r="J2254" t="s">
        <v>24</v>
      </c>
      <c r="K2254" s="6">
        <f t="shared" ca="1" si="148"/>
        <v>28028</v>
      </c>
      <c r="L2254">
        <v>-17733</v>
      </c>
      <c r="M2254" s="7">
        <f t="shared" ca="1" si="146"/>
        <v>48.550308008213555</v>
      </c>
      <c r="N2254" s="5" t="str">
        <f ca="1">VLOOKUP(Data!M2254,temp!$B$3:$C$9,2,1)</f>
        <v>40-50</v>
      </c>
      <c r="O2254">
        <v>-2362</v>
      </c>
      <c r="P2254" s="8">
        <f t="shared" si="147"/>
        <v>6.4668035592060233</v>
      </c>
      <c r="Q2254" s="5" t="str">
        <f t="shared" si="149"/>
        <v>Employed</v>
      </c>
      <c r="R2254">
        <v>1</v>
      </c>
      <c r="S2254">
        <v>0</v>
      </c>
      <c r="T2254">
        <v>0</v>
      </c>
      <c r="U2254">
        <v>0</v>
      </c>
      <c r="V2254" t="s">
        <v>40</v>
      </c>
      <c r="W2254">
        <v>2</v>
      </c>
    </row>
    <row r="2255" spans="1:23" x14ac:dyDescent="0.2">
      <c r="A2255">
        <v>5068760</v>
      </c>
      <c r="B2255" t="s">
        <v>18</v>
      </c>
      <c r="C2255" t="s">
        <v>19</v>
      </c>
      <c r="D2255" t="s">
        <v>20</v>
      </c>
      <c r="E2255">
        <v>0</v>
      </c>
      <c r="F2255">
        <v>135000</v>
      </c>
      <c r="G2255" t="s">
        <v>26</v>
      </c>
      <c r="H2255" t="s">
        <v>27</v>
      </c>
      <c r="I2255" t="s">
        <v>28</v>
      </c>
      <c r="J2255" t="s">
        <v>24</v>
      </c>
      <c r="K2255" s="6">
        <f t="shared" ca="1" si="148"/>
        <v>28028</v>
      </c>
      <c r="L2255">
        <v>-17733</v>
      </c>
      <c r="M2255" s="7">
        <f t="shared" ca="1" si="146"/>
        <v>48.550308008213555</v>
      </c>
      <c r="N2255" s="5" t="str">
        <f ca="1">VLOOKUP(Data!M2255,temp!$B$3:$C$9,2,1)</f>
        <v>40-50</v>
      </c>
      <c r="O2255">
        <v>-2362</v>
      </c>
      <c r="P2255" s="8">
        <f t="shared" si="147"/>
        <v>6.4668035592060233</v>
      </c>
      <c r="Q2255" s="5" t="str">
        <f t="shared" si="149"/>
        <v>Employed</v>
      </c>
      <c r="R2255">
        <v>1</v>
      </c>
      <c r="S2255">
        <v>0</v>
      </c>
      <c r="T2255">
        <v>0</v>
      </c>
      <c r="U2255">
        <v>0</v>
      </c>
      <c r="V2255" t="s">
        <v>40</v>
      </c>
      <c r="W2255">
        <v>2</v>
      </c>
    </row>
    <row r="2256" spans="1:23" x14ac:dyDescent="0.2">
      <c r="A2256">
        <v>5068814</v>
      </c>
      <c r="B2256" t="s">
        <v>18</v>
      </c>
      <c r="C2256" t="s">
        <v>19</v>
      </c>
      <c r="D2256" t="s">
        <v>20</v>
      </c>
      <c r="E2256">
        <v>0</v>
      </c>
      <c r="F2256">
        <v>315000</v>
      </c>
      <c r="G2256" t="s">
        <v>26</v>
      </c>
      <c r="H2256" t="s">
        <v>27</v>
      </c>
      <c r="I2256" t="s">
        <v>28</v>
      </c>
      <c r="J2256" t="s">
        <v>24</v>
      </c>
      <c r="K2256" s="6">
        <f t="shared" ca="1" si="148"/>
        <v>31342</v>
      </c>
      <c r="L2256">
        <v>-14419</v>
      </c>
      <c r="M2256" s="7">
        <f t="shared" ca="1" si="146"/>
        <v>39.477070499657771</v>
      </c>
      <c r="N2256" s="5" t="str">
        <f ca="1">VLOOKUP(Data!M2256,temp!$B$3:$C$9,2,1)</f>
        <v>30-40</v>
      </c>
      <c r="O2256">
        <v>-2423</v>
      </c>
      <c r="P2256" s="8">
        <f t="shared" si="147"/>
        <v>6.6338124572210813</v>
      </c>
      <c r="Q2256" s="5" t="str">
        <f t="shared" si="149"/>
        <v>Employed</v>
      </c>
      <c r="R2256">
        <v>1</v>
      </c>
      <c r="S2256">
        <v>0</v>
      </c>
      <c r="T2256">
        <v>0</v>
      </c>
      <c r="U2256">
        <v>0</v>
      </c>
      <c r="W2256">
        <v>2</v>
      </c>
    </row>
    <row r="2257" spans="1:23" x14ac:dyDescent="0.2">
      <c r="A2257">
        <v>5068819</v>
      </c>
      <c r="B2257" t="s">
        <v>18</v>
      </c>
      <c r="C2257" t="s">
        <v>19</v>
      </c>
      <c r="D2257" t="s">
        <v>20</v>
      </c>
      <c r="E2257">
        <v>0</v>
      </c>
      <c r="F2257">
        <v>315000</v>
      </c>
      <c r="G2257" t="s">
        <v>26</v>
      </c>
      <c r="H2257" t="s">
        <v>27</v>
      </c>
      <c r="I2257" t="s">
        <v>28</v>
      </c>
      <c r="J2257" t="s">
        <v>24</v>
      </c>
      <c r="K2257" s="6">
        <f t="shared" ca="1" si="148"/>
        <v>31342</v>
      </c>
      <c r="L2257">
        <v>-14419</v>
      </c>
      <c r="M2257" s="7">
        <f t="shared" ca="1" si="146"/>
        <v>39.477070499657771</v>
      </c>
      <c r="N2257" s="5" t="str">
        <f ca="1">VLOOKUP(Data!M2257,temp!$B$3:$C$9,2,1)</f>
        <v>30-40</v>
      </c>
      <c r="O2257">
        <v>-2423</v>
      </c>
      <c r="P2257" s="8">
        <f t="shared" si="147"/>
        <v>6.6338124572210813</v>
      </c>
      <c r="Q2257" s="5" t="str">
        <f t="shared" si="149"/>
        <v>Employed</v>
      </c>
      <c r="R2257">
        <v>1</v>
      </c>
      <c r="S2257">
        <v>0</v>
      </c>
      <c r="T2257">
        <v>0</v>
      </c>
      <c r="U2257">
        <v>0</v>
      </c>
      <c r="W2257">
        <v>2</v>
      </c>
    </row>
    <row r="2258" spans="1:23" x14ac:dyDescent="0.2">
      <c r="A2258">
        <v>5068823</v>
      </c>
      <c r="B2258" t="s">
        <v>18</v>
      </c>
      <c r="C2258" t="s">
        <v>20</v>
      </c>
      <c r="D2258" t="s">
        <v>20</v>
      </c>
      <c r="E2258">
        <v>0</v>
      </c>
      <c r="F2258">
        <v>157500</v>
      </c>
      <c r="G2258" t="s">
        <v>31</v>
      </c>
      <c r="H2258" t="s">
        <v>22</v>
      </c>
      <c r="I2258" t="s">
        <v>28</v>
      </c>
      <c r="J2258" t="s">
        <v>24</v>
      </c>
      <c r="K2258" s="6">
        <f t="shared" ca="1" si="148"/>
        <v>30785</v>
      </c>
      <c r="L2258">
        <v>-14976</v>
      </c>
      <c r="M2258" s="7">
        <f t="shared" ca="1" si="146"/>
        <v>41.002053388090346</v>
      </c>
      <c r="N2258" s="5" t="str">
        <f ca="1">VLOOKUP(Data!M2258,temp!$B$3:$C$9,2,1)</f>
        <v>40-50</v>
      </c>
      <c r="O2258">
        <v>-3550</v>
      </c>
      <c r="P2258" s="8">
        <f t="shared" si="147"/>
        <v>9.7193702943189599</v>
      </c>
      <c r="Q2258" s="5" t="str">
        <f t="shared" si="149"/>
        <v>Employed</v>
      </c>
      <c r="R2258">
        <v>1</v>
      </c>
      <c r="S2258">
        <v>0</v>
      </c>
      <c r="T2258">
        <v>0</v>
      </c>
      <c r="U2258">
        <v>1</v>
      </c>
      <c r="V2258" t="s">
        <v>30</v>
      </c>
      <c r="W2258">
        <v>2</v>
      </c>
    </row>
    <row r="2259" spans="1:23" x14ac:dyDescent="0.2">
      <c r="A2259">
        <v>5068832</v>
      </c>
      <c r="B2259" t="s">
        <v>18</v>
      </c>
      <c r="C2259" t="s">
        <v>19</v>
      </c>
      <c r="D2259" t="s">
        <v>20</v>
      </c>
      <c r="E2259">
        <v>1</v>
      </c>
      <c r="F2259">
        <v>157500</v>
      </c>
      <c r="G2259" t="s">
        <v>26</v>
      </c>
      <c r="H2259" t="s">
        <v>27</v>
      </c>
      <c r="I2259" t="s">
        <v>28</v>
      </c>
      <c r="J2259" t="s">
        <v>45</v>
      </c>
      <c r="K2259" s="6">
        <f t="shared" ca="1" si="148"/>
        <v>32281</v>
      </c>
      <c r="L2259">
        <v>-13480</v>
      </c>
      <c r="M2259" s="7">
        <f t="shared" ca="1" si="146"/>
        <v>36.906228610540722</v>
      </c>
      <c r="N2259" s="5" t="str">
        <f ca="1">VLOOKUP(Data!M2259,temp!$B$3:$C$9,2,1)</f>
        <v>30-40</v>
      </c>
      <c r="O2259">
        <v>-1328</v>
      </c>
      <c r="P2259" s="8">
        <f t="shared" si="147"/>
        <v>3.6358658453114305</v>
      </c>
      <c r="Q2259" s="5" t="str">
        <f t="shared" si="149"/>
        <v>Employed</v>
      </c>
      <c r="R2259">
        <v>1</v>
      </c>
      <c r="S2259">
        <v>0</v>
      </c>
      <c r="T2259">
        <v>0</v>
      </c>
      <c r="U2259">
        <v>1</v>
      </c>
      <c r="V2259" t="s">
        <v>39</v>
      </c>
      <c r="W2259">
        <v>3</v>
      </c>
    </row>
    <row r="2260" spans="1:23" x14ac:dyDescent="0.2">
      <c r="A2260">
        <v>5068836</v>
      </c>
      <c r="B2260" t="s">
        <v>18</v>
      </c>
      <c r="C2260" t="s">
        <v>19</v>
      </c>
      <c r="D2260" t="s">
        <v>20</v>
      </c>
      <c r="E2260">
        <v>0</v>
      </c>
      <c r="F2260">
        <v>225000</v>
      </c>
      <c r="G2260" t="s">
        <v>21</v>
      </c>
      <c r="H2260" t="s">
        <v>27</v>
      </c>
      <c r="I2260" t="s">
        <v>42</v>
      </c>
      <c r="J2260" t="s">
        <v>24</v>
      </c>
      <c r="K2260" s="6">
        <f t="shared" ca="1" si="148"/>
        <v>24610</v>
      </c>
      <c r="L2260">
        <v>-21151</v>
      </c>
      <c r="M2260" s="7">
        <f t="shared" ca="1" si="146"/>
        <v>57.908281998631075</v>
      </c>
      <c r="N2260" s="5" t="str">
        <f ca="1">VLOOKUP(Data!M2260,temp!$B$3:$C$9,2,1)</f>
        <v>50-60</v>
      </c>
      <c r="O2260">
        <v>365243</v>
      </c>
      <c r="P2260" s="8">
        <f t="shared" si="147"/>
        <v>0</v>
      </c>
      <c r="Q2260" s="5" t="str">
        <f t="shared" si="149"/>
        <v>Unemployed</v>
      </c>
      <c r="R2260">
        <v>1</v>
      </c>
      <c r="S2260">
        <v>0</v>
      </c>
      <c r="T2260">
        <v>0</v>
      </c>
      <c r="U2260">
        <v>1</v>
      </c>
      <c r="W2260">
        <v>1</v>
      </c>
    </row>
    <row r="2261" spans="1:23" x14ac:dyDescent="0.2">
      <c r="A2261">
        <v>5068857</v>
      </c>
      <c r="B2261" t="s">
        <v>25</v>
      </c>
      <c r="C2261" t="s">
        <v>19</v>
      </c>
      <c r="D2261" t="s">
        <v>20</v>
      </c>
      <c r="E2261">
        <v>1</v>
      </c>
      <c r="F2261">
        <v>135000</v>
      </c>
      <c r="G2261" t="s">
        <v>26</v>
      </c>
      <c r="H2261" t="s">
        <v>27</v>
      </c>
      <c r="I2261" t="s">
        <v>23</v>
      </c>
      <c r="J2261" t="s">
        <v>24</v>
      </c>
      <c r="K2261" s="6">
        <f t="shared" ca="1" si="148"/>
        <v>31452</v>
      </c>
      <c r="L2261">
        <v>-14309</v>
      </c>
      <c r="M2261" s="7">
        <f t="shared" ca="1" si="146"/>
        <v>39.175906913073234</v>
      </c>
      <c r="N2261" s="5" t="str">
        <f ca="1">VLOOKUP(Data!M2261,temp!$B$3:$C$9,2,1)</f>
        <v>30-40</v>
      </c>
      <c r="O2261">
        <v>-1359</v>
      </c>
      <c r="P2261" s="8">
        <f t="shared" si="147"/>
        <v>3.7207392197125255</v>
      </c>
      <c r="Q2261" s="5" t="str">
        <f t="shared" si="149"/>
        <v>Employed</v>
      </c>
      <c r="R2261">
        <v>1</v>
      </c>
      <c r="S2261">
        <v>0</v>
      </c>
      <c r="T2261">
        <v>0</v>
      </c>
      <c r="U2261">
        <v>0</v>
      </c>
      <c r="V2261" t="s">
        <v>40</v>
      </c>
      <c r="W2261">
        <v>2</v>
      </c>
    </row>
    <row r="2262" spans="1:23" x14ac:dyDescent="0.2">
      <c r="A2262">
        <v>5068866</v>
      </c>
      <c r="B2262" t="s">
        <v>18</v>
      </c>
      <c r="C2262" t="s">
        <v>20</v>
      </c>
      <c r="D2262" t="s">
        <v>20</v>
      </c>
      <c r="E2262">
        <v>0</v>
      </c>
      <c r="F2262">
        <v>337500</v>
      </c>
      <c r="G2262" t="s">
        <v>21</v>
      </c>
      <c r="H2262" t="s">
        <v>27</v>
      </c>
      <c r="I2262" t="s">
        <v>28</v>
      </c>
      <c r="J2262" t="s">
        <v>24</v>
      </c>
      <c r="K2262" s="6">
        <f t="shared" ca="1" si="148"/>
        <v>25132</v>
      </c>
      <c r="L2262">
        <v>-20629</v>
      </c>
      <c r="M2262" s="7">
        <f t="shared" ca="1" si="146"/>
        <v>56.479123887748116</v>
      </c>
      <c r="N2262" s="5" t="str">
        <f ca="1">VLOOKUP(Data!M2262,temp!$B$3:$C$9,2,1)</f>
        <v>50-60</v>
      </c>
      <c r="O2262">
        <v>365243</v>
      </c>
      <c r="P2262" s="8">
        <f t="shared" si="147"/>
        <v>0</v>
      </c>
      <c r="Q2262" s="5" t="str">
        <f t="shared" si="149"/>
        <v>Unemployed</v>
      </c>
      <c r="R2262">
        <v>1</v>
      </c>
      <c r="S2262">
        <v>0</v>
      </c>
      <c r="T2262">
        <v>0</v>
      </c>
      <c r="U2262">
        <v>1</v>
      </c>
      <c r="W2262">
        <v>2</v>
      </c>
    </row>
    <row r="2263" spans="1:23" x14ac:dyDescent="0.2">
      <c r="A2263">
        <v>5068882</v>
      </c>
      <c r="B2263" t="s">
        <v>18</v>
      </c>
      <c r="C2263" t="s">
        <v>19</v>
      </c>
      <c r="D2263" t="s">
        <v>19</v>
      </c>
      <c r="E2263">
        <v>1</v>
      </c>
      <c r="F2263">
        <v>112500</v>
      </c>
      <c r="G2263" t="s">
        <v>31</v>
      </c>
      <c r="H2263" t="s">
        <v>27</v>
      </c>
      <c r="I2263" t="s">
        <v>28</v>
      </c>
      <c r="J2263" t="s">
        <v>41</v>
      </c>
      <c r="K2263" s="6">
        <f t="shared" ca="1" si="148"/>
        <v>34262</v>
      </c>
      <c r="L2263">
        <v>-11499</v>
      </c>
      <c r="M2263" s="7">
        <f t="shared" ca="1" si="146"/>
        <v>31.482546201232033</v>
      </c>
      <c r="N2263" s="5" t="str">
        <f ca="1">VLOOKUP(Data!M2263,temp!$B$3:$C$9,2,1)</f>
        <v>30-40</v>
      </c>
      <c r="O2263">
        <v>-4006</v>
      </c>
      <c r="P2263" s="8">
        <f t="shared" si="147"/>
        <v>10.967830253251197</v>
      </c>
      <c r="Q2263" s="5" t="str">
        <f t="shared" si="149"/>
        <v>Employed</v>
      </c>
      <c r="R2263">
        <v>1</v>
      </c>
      <c r="S2263">
        <v>0</v>
      </c>
      <c r="T2263">
        <v>1</v>
      </c>
      <c r="U2263">
        <v>1</v>
      </c>
      <c r="V2263" t="s">
        <v>38</v>
      </c>
      <c r="W2263">
        <v>3</v>
      </c>
    </row>
    <row r="2264" spans="1:23" x14ac:dyDescent="0.2">
      <c r="A2264">
        <v>5068895</v>
      </c>
      <c r="B2264" t="s">
        <v>25</v>
      </c>
      <c r="C2264" t="s">
        <v>20</v>
      </c>
      <c r="D2264" t="s">
        <v>20</v>
      </c>
      <c r="E2264">
        <v>0</v>
      </c>
      <c r="F2264">
        <v>126000</v>
      </c>
      <c r="G2264" t="s">
        <v>31</v>
      </c>
      <c r="H2264" t="s">
        <v>27</v>
      </c>
      <c r="I2264" t="s">
        <v>28</v>
      </c>
      <c r="J2264" t="s">
        <v>24</v>
      </c>
      <c r="K2264" s="6">
        <f t="shared" ca="1" si="148"/>
        <v>25648</v>
      </c>
      <c r="L2264">
        <v>-20113</v>
      </c>
      <c r="M2264" s="7">
        <f t="shared" ca="1" si="146"/>
        <v>55.066392881587952</v>
      </c>
      <c r="N2264" s="5" t="str">
        <f ca="1">VLOOKUP(Data!M2264,temp!$B$3:$C$9,2,1)</f>
        <v>50-60</v>
      </c>
      <c r="O2264">
        <v>-1754</v>
      </c>
      <c r="P2264" s="8">
        <f t="shared" si="147"/>
        <v>4.8021902806297057</v>
      </c>
      <c r="Q2264" s="5" t="str">
        <f t="shared" si="149"/>
        <v>Employed</v>
      </c>
      <c r="R2264">
        <v>1</v>
      </c>
      <c r="S2264">
        <v>1</v>
      </c>
      <c r="T2264">
        <v>0</v>
      </c>
      <c r="U2264">
        <v>0</v>
      </c>
      <c r="V2264" t="s">
        <v>29</v>
      </c>
      <c r="W2264">
        <v>2</v>
      </c>
    </row>
    <row r="2265" spans="1:23" x14ac:dyDescent="0.2">
      <c r="A2265">
        <v>5068902</v>
      </c>
      <c r="B2265" t="s">
        <v>25</v>
      </c>
      <c r="C2265" t="s">
        <v>19</v>
      </c>
      <c r="D2265" t="s">
        <v>19</v>
      </c>
      <c r="E2265">
        <v>0</v>
      </c>
      <c r="F2265">
        <v>225000</v>
      </c>
      <c r="G2265" t="s">
        <v>31</v>
      </c>
      <c r="H2265" t="s">
        <v>27</v>
      </c>
      <c r="I2265" t="s">
        <v>33</v>
      </c>
      <c r="J2265" t="s">
        <v>43</v>
      </c>
      <c r="K2265" s="6">
        <f t="shared" ca="1" si="148"/>
        <v>33999</v>
      </c>
      <c r="L2265">
        <v>-11762</v>
      </c>
      <c r="M2265" s="7">
        <f t="shared" ca="1" si="146"/>
        <v>32.202600958247778</v>
      </c>
      <c r="N2265" s="5" t="str">
        <f ca="1">VLOOKUP(Data!M2265,temp!$B$3:$C$9,2,1)</f>
        <v>30-40</v>
      </c>
      <c r="O2265">
        <v>-293</v>
      </c>
      <c r="P2265" s="8">
        <f t="shared" si="147"/>
        <v>0.80219028062970565</v>
      </c>
      <c r="Q2265" s="5" t="str">
        <f t="shared" si="149"/>
        <v>Employed</v>
      </c>
      <c r="R2265">
        <v>1</v>
      </c>
      <c r="S2265">
        <v>0</v>
      </c>
      <c r="T2265">
        <v>0</v>
      </c>
      <c r="U2265">
        <v>0</v>
      </c>
      <c r="V2265" t="s">
        <v>29</v>
      </c>
      <c r="W2265">
        <v>1</v>
      </c>
    </row>
    <row r="2266" spans="1:23" x14ac:dyDescent="0.2">
      <c r="A2266">
        <v>5068903</v>
      </c>
      <c r="B2266" t="s">
        <v>25</v>
      </c>
      <c r="C2266" t="s">
        <v>19</v>
      </c>
      <c r="D2266" t="s">
        <v>19</v>
      </c>
      <c r="E2266">
        <v>0</v>
      </c>
      <c r="F2266">
        <v>225000</v>
      </c>
      <c r="G2266" t="s">
        <v>31</v>
      </c>
      <c r="H2266" t="s">
        <v>27</v>
      </c>
      <c r="I2266" t="s">
        <v>33</v>
      </c>
      <c r="J2266" t="s">
        <v>43</v>
      </c>
      <c r="K2266" s="6">
        <f t="shared" ca="1" si="148"/>
        <v>33999</v>
      </c>
      <c r="L2266">
        <v>-11762</v>
      </c>
      <c r="M2266" s="7">
        <f t="shared" ca="1" si="146"/>
        <v>32.202600958247778</v>
      </c>
      <c r="N2266" s="5" t="str">
        <f ca="1">VLOOKUP(Data!M2266,temp!$B$3:$C$9,2,1)</f>
        <v>30-40</v>
      </c>
      <c r="O2266">
        <v>-293</v>
      </c>
      <c r="P2266" s="8">
        <f t="shared" si="147"/>
        <v>0.80219028062970565</v>
      </c>
      <c r="Q2266" s="5" t="str">
        <f t="shared" si="149"/>
        <v>Employed</v>
      </c>
      <c r="R2266">
        <v>1</v>
      </c>
      <c r="S2266">
        <v>0</v>
      </c>
      <c r="T2266">
        <v>0</v>
      </c>
      <c r="U2266">
        <v>0</v>
      </c>
      <c r="V2266" t="s">
        <v>29</v>
      </c>
      <c r="W2266">
        <v>1</v>
      </c>
    </row>
    <row r="2267" spans="1:23" x14ac:dyDescent="0.2">
      <c r="A2267">
        <v>5068905</v>
      </c>
      <c r="B2267" t="s">
        <v>18</v>
      </c>
      <c r="C2267" t="s">
        <v>20</v>
      </c>
      <c r="D2267" t="s">
        <v>20</v>
      </c>
      <c r="E2267">
        <v>1</v>
      </c>
      <c r="F2267">
        <v>157500</v>
      </c>
      <c r="G2267" t="s">
        <v>26</v>
      </c>
      <c r="H2267" t="s">
        <v>27</v>
      </c>
      <c r="I2267" t="s">
        <v>28</v>
      </c>
      <c r="J2267" t="s">
        <v>24</v>
      </c>
      <c r="K2267" s="6">
        <f t="shared" ca="1" si="148"/>
        <v>30406</v>
      </c>
      <c r="L2267">
        <v>-15355</v>
      </c>
      <c r="M2267" s="7">
        <f t="shared" ca="1" si="146"/>
        <v>42.039698836413415</v>
      </c>
      <c r="N2267" s="5" t="str">
        <f ca="1">VLOOKUP(Data!M2267,temp!$B$3:$C$9,2,1)</f>
        <v>40-50</v>
      </c>
      <c r="O2267">
        <v>-4403</v>
      </c>
      <c r="P2267" s="8">
        <f t="shared" si="147"/>
        <v>12.054757015742641</v>
      </c>
      <c r="Q2267" s="5" t="str">
        <f t="shared" si="149"/>
        <v>Employed</v>
      </c>
      <c r="R2267">
        <v>1</v>
      </c>
      <c r="S2267">
        <v>0</v>
      </c>
      <c r="T2267">
        <v>0</v>
      </c>
      <c r="U2267">
        <v>0</v>
      </c>
      <c r="V2267" t="s">
        <v>39</v>
      </c>
      <c r="W2267">
        <v>3</v>
      </c>
    </row>
    <row r="2268" spans="1:23" x14ac:dyDescent="0.2">
      <c r="A2268">
        <v>5068915</v>
      </c>
      <c r="B2268" t="s">
        <v>18</v>
      </c>
      <c r="C2268" t="s">
        <v>19</v>
      </c>
      <c r="D2268" t="s">
        <v>20</v>
      </c>
      <c r="E2268">
        <v>1</v>
      </c>
      <c r="F2268">
        <v>112500</v>
      </c>
      <c r="G2268" t="s">
        <v>31</v>
      </c>
      <c r="H2268" t="s">
        <v>27</v>
      </c>
      <c r="I2268" t="s">
        <v>37</v>
      </c>
      <c r="J2268" t="s">
        <v>24</v>
      </c>
      <c r="K2268" s="6">
        <f t="shared" ca="1" si="148"/>
        <v>32220</v>
      </c>
      <c r="L2268">
        <v>-13541</v>
      </c>
      <c r="M2268" s="7">
        <f t="shared" ca="1" si="146"/>
        <v>37.073237508555785</v>
      </c>
      <c r="N2268" s="5" t="str">
        <f ca="1">VLOOKUP(Data!M2268,temp!$B$3:$C$9,2,1)</f>
        <v>30-40</v>
      </c>
      <c r="O2268">
        <v>-3427</v>
      </c>
      <c r="P2268" s="8">
        <f t="shared" si="147"/>
        <v>9.3826146475017111</v>
      </c>
      <c r="Q2268" s="5" t="str">
        <f t="shared" si="149"/>
        <v>Employed</v>
      </c>
      <c r="R2268">
        <v>1</v>
      </c>
      <c r="S2268">
        <v>0</v>
      </c>
      <c r="T2268">
        <v>0</v>
      </c>
      <c r="U2268">
        <v>0</v>
      </c>
      <c r="V2268" t="s">
        <v>38</v>
      </c>
      <c r="W2268">
        <v>3</v>
      </c>
    </row>
    <row r="2269" spans="1:23" x14ac:dyDescent="0.2">
      <c r="A2269">
        <v>5068917</v>
      </c>
      <c r="B2269" t="s">
        <v>18</v>
      </c>
      <c r="C2269" t="s">
        <v>19</v>
      </c>
      <c r="D2269" t="s">
        <v>20</v>
      </c>
      <c r="E2269">
        <v>1</v>
      </c>
      <c r="F2269">
        <v>112500</v>
      </c>
      <c r="G2269" t="s">
        <v>31</v>
      </c>
      <c r="H2269" t="s">
        <v>27</v>
      </c>
      <c r="I2269" t="s">
        <v>37</v>
      </c>
      <c r="J2269" t="s">
        <v>24</v>
      </c>
      <c r="K2269" s="6">
        <f t="shared" ca="1" si="148"/>
        <v>32220</v>
      </c>
      <c r="L2269">
        <v>-13541</v>
      </c>
      <c r="M2269" s="7">
        <f t="shared" ca="1" si="146"/>
        <v>37.073237508555785</v>
      </c>
      <c r="N2269" s="5" t="str">
        <f ca="1">VLOOKUP(Data!M2269,temp!$B$3:$C$9,2,1)</f>
        <v>30-40</v>
      </c>
      <c r="O2269">
        <v>-3427</v>
      </c>
      <c r="P2269" s="8">
        <f t="shared" si="147"/>
        <v>9.3826146475017111</v>
      </c>
      <c r="Q2269" s="5" t="str">
        <f t="shared" si="149"/>
        <v>Employed</v>
      </c>
      <c r="R2269">
        <v>1</v>
      </c>
      <c r="S2269">
        <v>0</v>
      </c>
      <c r="T2269">
        <v>0</v>
      </c>
      <c r="U2269">
        <v>0</v>
      </c>
      <c r="V2269" t="s">
        <v>38</v>
      </c>
      <c r="W2269">
        <v>3</v>
      </c>
    </row>
    <row r="2270" spans="1:23" x14ac:dyDescent="0.2">
      <c r="A2270">
        <v>5068923</v>
      </c>
      <c r="B2270" t="s">
        <v>18</v>
      </c>
      <c r="C2270" t="s">
        <v>19</v>
      </c>
      <c r="D2270" t="s">
        <v>20</v>
      </c>
      <c r="E2270">
        <v>0</v>
      </c>
      <c r="F2270">
        <v>360000</v>
      </c>
      <c r="G2270" t="s">
        <v>31</v>
      </c>
      <c r="H2270" t="s">
        <v>27</v>
      </c>
      <c r="I2270" t="s">
        <v>28</v>
      </c>
      <c r="J2270" t="s">
        <v>24</v>
      </c>
      <c r="K2270" s="6">
        <f t="shared" ca="1" si="148"/>
        <v>28490</v>
      </c>
      <c r="L2270">
        <v>-17271</v>
      </c>
      <c r="M2270" s="7">
        <f t="shared" ca="1" si="146"/>
        <v>47.285420944558524</v>
      </c>
      <c r="N2270" s="5" t="str">
        <f ca="1">VLOOKUP(Data!M2270,temp!$B$3:$C$9,2,1)</f>
        <v>40-50</v>
      </c>
      <c r="O2270">
        <v>-993</v>
      </c>
      <c r="P2270" s="8">
        <f t="shared" si="147"/>
        <v>2.7186858316221767</v>
      </c>
      <c r="Q2270" s="5" t="str">
        <f t="shared" si="149"/>
        <v>Employed</v>
      </c>
      <c r="R2270">
        <v>1</v>
      </c>
      <c r="S2270">
        <v>0</v>
      </c>
      <c r="T2270">
        <v>0</v>
      </c>
      <c r="U2270">
        <v>0</v>
      </c>
      <c r="V2270" t="s">
        <v>47</v>
      </c>
      <c r="W2270">
        <v>2</v>
      </c>
    </row>
    <row r="2271" spans="1:23" x14ac:dyDescent="0.2">
      <c r="A2271">
        <v>5068932</v>
      </c>
      <c r="B2271" t="s">
        <v>18</v>
      </c>
      <c r="C2271" t="s">
        <v>19</v>
      </c>
      <c r="D2271" t="s">
        <v>19</v>
      </c>
      <c r="E2271">
        <v>0</v>
      </c>
      <c r="F2271">
        <v>270000</v>
      </c>
      <c r="G2271" t="s">
        <v>31</v>
      </c>
      <c r="H2271" t="s">
        <v>27</v>
      </c>
      <c r="I2271" t="s">
        <v>37</v>
      </c>
      <c r="J2271" t="s">
        <v>53</v>
      </c>
      <c r="K2271" s="6">
        <f t="shared" ca="1" si="148"/>
        <v>36577</v>
      </c>
      <c r="L2271">
        <v>-9184</v>
      </c>
      <c r="M2271" s="7">
        <f t="shared" ca="1" si="146"/>
        <v>25.144421629021217</v>
      </c>
      <c r="N2271" s="5" t="str">
        <f ca="1">VLOOKUP(Data!M2271,temp!$B$3:$C$9,2,1)</f>
        <v>20-30</v>
      </c>
      <c r="O2271">
        <v>-840</v>
      </c>
      <c r="P2271" s="8">
        <f t="shared" si="147"/>
        <v>2.299794661190965</v>
      </c>
      <c r="Q2271" s="5" t="str">
        <f t="shared" si="149"/>
        <v>Employed</v>
      </c>
      <c r="R2271">
        <v>1</v>
      </c>
      <c r="S2271">
        <v>1</v>
      </c>
      <c r="T2271">
        <v>1</v>
      </c>
      <c r="U2271">
        <v>0</v>
      </c>
      <c r="V2271" t="s">
        <v>39</v>
      </c>
      <c r="W2271">
        <v>2</v>
      </c>
    </row>
    <row r="2272" spans="1:23" x14ac:dyDescent="0.2">
      <c r="A2272">
        <v>5068934</v>
      </c>
      <c r="B2272" t="s">
        <v>25</v>
      </c>
      <c r="C2272" t="s">
        <v>20</v>
      </c>
      <c r="D2272" t="s">
        <v>20</v>
      </c>
      <c r="E2272">
        <v>2</v>
      </c>
      <c r="F2272">
        <v>225000</v>
      </c>
      <c r="G2272" t="s">
        <v>31</v>
      </c>
      <c r="H2272" t="s">
        <v>27</v>
      </c>
      <c r="I2272" t="s">
        <v>28</v>
      </c>
      <c r="J2272" t="s">
        <v>24</v>
      </c>
      <c r="K2272" s="6">
        <f t="shared" ca="1" si="148"/>
        <v>30551</v>
      </c>
      <c r="L2272">
        <v>-15210</v>
      </c>
      <c r="M2272" s="7">
        <f t="shared" ca="1" si="146"/>
        <v>41.642710472279262</v>
      </c>
      <c r="N2272" s="5" t="str">
        <f ca="1">VLOOKUP(Data!M2272,temp!$B$3:$C$9,2,1)</f>
        <v>40-50</v>
      </c>
      <c r="O2272">
        <v>-4707</v>
      </c>
      <c r="P2272" s="8">
        <f t="shared" si="147"/>
        <v>12.887063655030801</v>
      </c>
      <c r="Q2272" s="5" t="str">
        <f t="shared" si="149"/>
        <v>Employed</v>
      </c>
      <c r="R2272">
        <v>1</v>
      </c>
      <c r="S2272">
        <v>0</v>
      </c>
      <c r="T2272">
        <v>0</v>
      </c>
      <c r="U2272">
        <v>1</v>
      </c>
      <c r="V2272" t="s">
        <v>40</v>
      </c>
      <c r="W2272">
        <v>4</v>
      </c>
    </row>
    <row r="2273" spans="1:23" x14ac:dyDescent="0.2">
      <c r="A2273">
        <v>5068967</v>
      </c>
      <c r="B2273" t="s">
        <v>25</v>
      </c>
      <c r="C2273" t="s">
        <v>20</v>
      </c>
      <c r="D2273" t="s">
        <v>20</v>
      </c>
      <c r="E2273">
        <v>1</v>
      </c>
      <c r="F2273">
        <v>180000</v>
      </c>
      <c r="G2273" t="s">
        <v>31</v>
      </c>
      <c r="H2273" t="s">
        <v>27</v>
      </c>
      <c r="I2273" t="s">
        <v>28</v>
      </c>
      <c r="J2273" t="s">
        <v>24</v>
      </c>
      <c r="K2273" s="6">
        <f t="shared" ca="1" si="148"/>
        <v>30549</v>
      </c>
      <c r="L2273">
        <v>-15212</v>
      </c>
      <c r="M2273" s="7">
        <f t="shared" ca="1" si="146"/>
        <v>41.648186173853524</v>
      </c>
      <c r="N2273" s="5" t="str">
        <f ca="1">VLOOKUP(Data!M2273,temp!$B$3:$C$9,2,1)</f>
        <v>40-50</v>
      </c>
      <c r="O2273">
        <v>-1267</v>
      </c>
      <c r="P2273" s="8">
        <f t="shared" si="147"/>
        <v>3.4688569472963722</v>
      </c>
      <c r="Q2273" s="5" t="str">
        <f t="shared" si="149"/>
        <v>Employed</v>
      </c>
      <c r="R2273">
        <v>1</v>
      </c>
      <c r="S2273">
        <v>0</v>
      </c>
      <c r="T2273">
        <v>0</v>
      </c>
      <c r="U2273">
        <v>0</v>
      </c>
      <c r="V2273" t="s">
        <v>30</v>
      </c>
      <c r="W2273">
        <v>3</v>
      </c>
    </row>
    <row r="2274" spans="1:23" x14ac:dyDescent="0.2">
      <c r="A2274">
        <v>5068972</v>
      </c>
      <c r="B2274" t="s">
        <v>18</v>
      </c>
      <c r="C2274" t="s">
        <v>19</v>
      </c>
      <c r="D2274" t="s">
        <v>20</v>
      </c>
      <c r="E2274">
        <v>0</v>
      </c>
      <c r="F2274">
        <v>292500</v>
      </c>
      <c r="G2274" t="s">
        <v>31</v>
      </c>
      <c r="H2274" t="s">
        <v>22</v>
      </c>
      <c r="I2274" t="s">
        <v>33</v>
      </c>
      <c r="J2274" t="s">
        <v>24</v>
      </c>
      <c r="K2274" s="6">
        <f t="shared" ca="1" si="148"/>
        <v>28373</v>
      </c>
      <c r="L2274">
        <v>-17388</v>
      </c>
      <c r="M2274" s="7">
        <f t="shared" ca="1" si="146"/>
        <v>47.605749486652975</v>
      </c>
      <c r="N2274" s="5" t="str">
        <f ca="1">VLOOKUP(Data!M2274,temp!$B$3:$C$9,2,1)</f>
        <v>40-50</v>
      </c>
      <c r="O2274">
        <v>-1662</v>
      </c>
      <c r="P2274" s="8">
        <f t="shared" si="147"/>
        <v>4.5503080082135527</v>
      </c>
      <c r="Q2274" s="5" t="str">
        <f t="shared" si="149"/>
        <v>Employed</v>
      </c>
      <c r="R2274">
        <v>1</v>
      </c>
      <c r="S2274">
        <v>0</v>
      </c>
      <c r="T2274">
        <v>1</v>
      </c>
      <c r="U2274">
        <v>1</v>
      </c>
      <c r="V2274" t="s">
        <v>32</v>
      </c>
      <c r="W2274">
        <v>1</v>
      </c>
    </row>
    <row r="2275" spans="1:23" x14ac:dyDescent="0.2">
      <c r="A2275">
        <v>5068974</v>
      </c>
      <c r="B2275" t="s">
        <v>18</v>
      </c>
      <c r="C2275" t="s">
        <v>19</v>
      </c>
      <c r="D2275" t="s">
        <v>20</v>
      </c>
      <c r="E2275">
        <v>0</v>
      </c>
      <c r="F2275">
        <v>292500</v>
      </c>
      <c r="G2275" t="s">
        <v>31</v>
      </c>
      <c r="H2275" t="s">
        <v>22</v>
      </c>
      <c r="I2275" t="s">
        <v>33</v>
      </c>
      <c r="J2275" t="s">
        <v>24</v>
      </c>
      <c r="K2275" s="6">
        <f t="shared" ca="1" si="148"/>
        <v>28373</v>
      </c>
      <c r="L2275">
        <v>-17388</v>
      </c>
      <c r="M2275" s="7">
        <f t="shared" ca="1" si="146"/>
        <v>47.605749486652975</v>
      </c>
      <c r="N2275" s="5" t="str">
        <f ca="1">VLOOKUP(Data!M2275,temp!$B$3:$C$9,2,1)</f>
        <v>40-50</v>
      </c>
      <c r="O2275">
        <v>-1662</v>
      </c>
      <c r="P2275" s="8">
        <f t="shared" si="147"/>
        <v>4.5503080082135527</v>
      </c>
      <c r="Q2275" s="5" t="str">
        <f t="shared" si="149"/>
        <v>Employed</v>
      </c>
      <c r="R2275">
        <v>1</v>
      </c>
      <c r="S2275">
        <v>0</v>
      </c>
      <c r="T2275">
        <v>1</v>
      </c>
      <c r="U2275">
        <v>1</v>
      </c>
      <c r="V2275" t="s">
        <v>32</v>
      </c>
      <c r="W2275">
        <v>1</v>
      </c>
    </row>
    <row r="2276" spans="1:23" x14ac:dyDescent="0.2">
      <c r="A2276">
        <v>5068976</v>
      </c>
      <c r="B2276" t="s">
        <v>18</v>
      </c>
      <c r="C2276" t="s">
        <v>19</v>
      </c>
      <c r="D2276" t="s">
        <v>20</v>
      </c>
      <c r="E2276">
        <v>0</v>
      </c>
      <c r="F2276">
        <v>292500</v>
      </c>
      <c r="G2276" t="s">
        <v>31</v>
      </c>
      <c r="H2276" t="s">
        <v>22</v>
      </c>
      <c r="I2276" t="s">
        <v>33</v>
      </c>
      <c r="J2276" t="s">
        <v>24</v>
      </c>
      <c r="K2276" s="6">
        <f t="shared" ca="1" si="148"/>
        <v>28373</v>
      </c>
      <c r="L2276">
        <v>-17388</v>
      </c>
      <c r="M2276" s="7">
        <f t="shared" ca="1" si="146"/>
        <v>47.605749486652975</v>
      </c>
      <c r="N2276" s="5" t="str">
        <f ca="1">VLOOKUP(Data!M2276,temp!$B$3:$C$9,2,1)</f>
        <v>40-50</v>
      </c>
      <c r="O2276">
        <v>-1662</v>
      </c>
      <c r="P2276" s="8">
        <f t="shared" si="147"/>
        <v>4.5503080082135527</v>
      </c>
      <c r="Q2276" s="5" t="str">
        <f t="shared" si="149"/>
        <v>Employed</v>
      </c>
      <c r="R2276">
        <v>1</v>
      </c>
      <c r="S2276">
        <v>0</v>
      </c>
      <c r="T2276">
        <v>1</v>
      </c>
      <c r="U2276">
        <v>1</v>
      </c>
      <c r="V2276" t="s">
        <v>32</v>
      </c>
      <c r="W2276">
        <v>1</v>
      </c>
    </row>
    <row r="2277" spans="1:23" x14ac:dyDescent="0.2">
      <c r="A2277">
        <v>5068999</v>
      </c>
      <c r="B2277" t="s">
        <v>18</v>
      </c>
      <c r="C2277" t="s">
        <v>20</v>
      </c>
      <c r="D2277" t="s">
        <v>20</v>
      </c>
      <c r="E2277">
        <v>1</v>
      </c>
      <c r="F2277">
        <v>279000</v>
      </c>
      <c r="G2277" t="s">
        <v>31</v>
      </c>
      <c r="H2277" t="s">
        <v>22</v>
      </c>
      <c r="I2277" t="s">
        <v>37</v>
      </c>
      <c r="J2277" t="s">
        <v>24</v>
      </c>
      <c r="K2277" s="6">
        <f t="shared" ca="1" si="148"/>
        <v>29574</v>
      </c>
      <c r="L2277">
        <v>-16187</v>
      </c>
      <c r="M2277" s="7">
        <f t="shared" ca="1" si="146"/>
        <v>44.317590691307323</v>
      </c>
      <c r="N2277" s="5" t="str">
        <f ca="1">VLOOKUP(Data!M2277,temp!$B$3:$C$9,2,1)</f>
        <v>40-50</v>
      </c>
      <c r="O2277">
        <v>-3731</v>
      </c>
      <c r="P2277" s="8">
        <f t="shared" si="147"/>
        <v>10.21492128678987</v>
      </c>
      <c r="Q2277" s="5" t="str">
        <f t="shared" si="149"/>
        <v>Employed</v>
      </c>
      <c r="R2277">
        <v>1</v>
      </c>
      <c r="S2277">
        <v>1</v>
      </c>
      <c r="T2277">
        <v>1</v>
      </c>
      <c r="U2277">
        <v>0</v>
      </c>
      <c r="V2277" t="s">
        <v>32</v>
      </c>
      <c r="W2277">
        <v>3</v>
      </c>
    </row>
    <row r="2278" spans="1:23" x14ac:dyDescent="0.2">
      <c r="A2278">
        <v>5069004</v>
      </c>
      <c r="B2278" t="s">
        <v>25</v>
      </c>
      <c r="C2278" t="s">
        <v>20</v>
      </c>
      <c r="D2278" t="s">
        <v>20</v>
      </c>
      <c r="E2278">
        <v>0</v>
      </c>
      <c r="F2278">
        <v>337500</v>
      </c>
      <c r="G2278" t="s">
        <v>31</v>
      </c>
      <c r="H2278" t="s">
        <v>22</v>
      </c>
      <c r="I2278" t="s">
        <v>28</v>
      </c>
      <c r="J2278" t="s">
        <v>41</v>
      </c>
      <c r="K2278" s="6">
        <f t="shared" ca="1" si="148"/>
        <v>35139</v>
      </c>
      <c r="L2278">
        <v>-10622</v>
      </c>
      <c r="M2278" s="7">
        <f t="shared" ca="1" si="146"/>
        <v>29.081451060917178</v>
      </c>
      <c r="N2278" s="5" t="str">
        <f ca="1">VLOOKUP(Data!M2278,temp!$B$3:$C$9,2,1)</f>
        <v>20-30</v>
      </c>
      <c r="O2278">
        <v>-1175</v>
      </c>
      <c r="P2278" s="8">
        <f t="shared" si="147"/>
        <v>3.2169746748802188</v>
      </c>
      <c r="Q2278" s="5" t="str">
        <f t="shared" si="149"/>
        <v>Employed</v>
      </c>
      <c r="R2278">
        <v>1</v>
      </c>
      <c r="S2278">
        <v>0</v>
      </c>
      <c r="T2278">
        <v>0</v>
      </c>
      <c r="U2278">
        <v>0</v>
      </c>
      <c r="V2278" t="s">
        <v>29</v>
      </c>
      <c r="W2278">
        <v>2</v>
      </c>
    </row>
    <row r="2279" spans="1:23" x14ac:dyDescent="0.2">
      <c r="A2279">
        <v>5069007</v>
      </c>
      <c r="B2279" t="s">
        <v>25</v>
      </c>
      <c r="C2279" t="s">
        <v>20</v>
      </c>
      <c r="D2279" t="s">
        <v>20</v>
      </c>
      <c r="E2279">
        <v>0</v>
      </c>
      <c r="F2279">
        <v>337500</v>
      </c>
      <c r="G2279" t="s">
        <v>31</v>
      </c>
      <c r="H2279" t="s">
        <v>22</v>
      </c>
      <c r="I2279" t="s">
        <v>28</v>
      </c>
      <c r="J2279" t="s">
        <v>41</v>
      </c>
      <c r="K2279" s="6">
        <f t="shared" ca="1" si="148"/>
        <v>35139</v>
      </c>
      <c r="L2279">
        <v>-10622</v>
      </c>
      <c r="M2279" s="7">
        <f t="shared" ca="1" si="146"/>
        <v>29.081451060917178</v>
      </c>
      <c r="N2279" s="5" t="str">
        <f ca="1">VLOOKUP(Data!M2279,temp!$B$3:$C$9,2,1)</f>
        <v>20-30</v>
      </c>
      <c r="O2279">
        <v>-1175</v>
      </c>
      <c r="P2279" s="8">
        <f t="shared" si="147"/>
        <v>3.2169746748802188</v>
      </c>
      <c r="Q2279" s="5" t="str">
        <f t="shared" si="149"/>
        <v>Employed</v>
      </c>
      <c r="R2279">
        <v>1</v>
      </c>
      <c r="S2279">
        <v>0</v>
      </c>
      <c r="T2279">
        <v>0</v>
      </c>
      <c r="U2279">
        <v>0</v>
      </c>
      <c r="V2279" t="s">
        <v>29</v>
      </c>
      <c r="W2279">
        <v>2</v>
      </c>
    </row>
    <row r="2280" spans="1:23" x14ac:dyDescent="0.2">
      <c r="A2280">
        <v>5069010</v>
      </c>
      <c r="B2280" t="s">
        <v>25</v>
      </c>
      <c r="C2280" t="s">
        <v>19</v>
      </c>
      <c r="D2280" t="s">
        <v>20</v>
      </c>
      <c r="E2280">
        <v>0</v>
      </c>
      <c r="F2280">
        <v>157500</v>
      </c>
      <c r="G2280" t="s">
        <v>31</v>
      </c>
      <c r="H2280" t="s">
        <v>27</v>
      </c>
      <c r="I2280" t="s">
        <v>28</v>
      </c>
      <c r="J2280" t="s">
        <v>24</v>
      </c>
      <c r="K2280" s="6">
        <f t="shared" ca="1" si="148"/>
        <v>23894</v>
      </c>
      <c r="L2280">
        <v>-21867</v>
      </c>
      <c r="M2280" s="7">
        <f t="shared" ca="1" si="146"/>
        <v>59.868583162217661</v>
      </c>
      <c r="N2280" s="5" t="str">
        <f ca="1">VLOOKUP(Data!M2280,temp!$B$3:$C$9,2,1)</f>
        <v>50-60</v>
      </c>
      <c r="O2280">
        <v>-3611</v>
      </c>
      <c r="P2280" s="8">
        <f t="shared" si="147"/>
        <v>9.886379192334017</v>
      </c>
      <c r="Q2280" s="5" t="str">
        <f t="shared" si="149"/>
        <v>Employed</v>
      </c>
      <c r="R2280">
        <v>1</v>
      </c>
      <c r="S2280">
        <v>0</v>
      </c>
      <c r="T2280">
        <v>0</v>
      </c>
      <c r="U2280">
        <v>0</v>
      </c>
      <c r="V2280" t="s">
        <v>29</v>
      </c>
      <c r="W2280">
        <v>2</v>
      </c>
    </row>
    <row r="2281" spans="1:23" x14ac:dyDescent="0.2">
      <c r="A2281">
        <v>5069020</v>
      </c>
      <c r="B2281" t="s">
        <v>18</v>
      </c>
      <c r="C2281" t="s">
        <v>19</v>
      </c>
      <c r="D2281" t="s">
        <v>20</v>
      </c>
      <c r="E2281">
        <v>0</v>
      </c>
      <c r="F2281">
        <v>202500</v>
      </c>
      <c r="G2281" t="s">
        <v>31</v>
      </c>
      <c r="H2281" t="s">
        <v>27</v>
      </c>
      <c r="I2281" t="s">
        <v>28</v>
      </c>
      <c r="J2281" t="s">
        <v>24</v>
      </c>
      <c r="K2281" s="6">
        <f t="shared" ca="1" si="148"/>
        <v>25466</v>
      </c>
      <c r="L2281">
        <v>-20295</v>
      </c>
      <c r="M2281" s="7">
        <f t="shared" ca="1" si="146"/>
        <v>55.564681724845997</v>
      </c>
      <c r="N2281" s="5" t="str">
        <f ca="1">VLOOKUP(Data!M2281,temp!$B$3:$C$9,2,1)</f>
        <v>50-60</v>
      </c>
      <c r="O2281">
        <v>-3700</v>
      </c>
      <c r="P2281" s="8">
        <f t="shared" si="147"/>
        <v>10.130047912388775</v>
      </c>
      <c r="Q2281" s="5" t="str">
        <f t="shared" si="149"/>
        <v>Employed</v>
      </c>
      <c r="R2281">
        <v>1</v>
      </c>
      <c r="S2281">
        <v>0</v>
      </c>
      <c r="T2281">
        <v>0</v>
      </c>
      <c r="U2281">
        <v>0</v>
      </c>
      <c r="V2281" t="s">
        <v>29</v>
      </c>
      <c r="W2281">
        <v>2</v>
      </c>
    </row>
    <row r="2282" spans="1:23" x14ac:dyDescent="0.2">
      <c r="A2282">
        <v>5069026</v>
      </c>
      <c r="B2282" t="s">
        <v>25</v>
      </c>
      <c r="C2282" t="s">
        <v>20</v>
      </c>
      <c r="D2282" t="s">
        <v>20</v>
      </c>
      <c r="E2282">
        <v>0</v>
      </c>
      <c r="F2282">
        <v>202500</v>
      </c>
      <c r="G2282" t="s">
        <v>31</v>
      </c>
      <c r="H2282" t="s">
        <v>27</v>
      </c>
      <c r="I2282" t="s">
        <v>28</v>
      </c>
      <c r="J2282" t="s">
        <v>24</v>
      </c>
      <c r="K2282" s="6">
        <f t="shared" ca="1" si="148"/>
        <v>24993</v>
      </c>
      <c r="L2282">
        <v>-20768</v>
      </c>
      <c r="M2282" s="7">
        <f t="shared" ca="1" si="146"/>
        <v>56.859685147159482</v>
      </c>
      <c r="N2282" s="5" t="str">
        <f ca="1">VLOOKUP(Data!M2282,temp!$B$3:$C$9,2,1)</f>
        <v>50-60</v>
      </c>
      <c r="O2282">
        <v>-3519</v>
      </c>
      <c r="P2282" s="8">
        <f t="shared" si="147"/>
        <v>9.6344969199178649</v>
      </c>
      <c r="Q2282" s="5" t="str">
        <f t="shared" si="149"/>
        <v>Employed</v>
      </c>
      <c r="R2282">
        <v>1</v>
      </c>
      <c r="S2282">
        <v>0</v>
      </c>
      <c r="T2282">
        <v>1</v>
      </c>
      <c r="U2282">
        <v>1</v>
      </c>
      <c r="V2282" t="s">
        <v>29</v>
      </c>
      <c r="W2282">
        <v>2</v>
      </c>
    </row>
    <row r="2283" spans="1:23" x14ac:dyDescent="0.2">
      <c r="A2283">
        <v>5069035</v>
      </c>
      <c r="B2283" t="s">
        <v>25</v>
      </c>
      <c r="C2283" t="s">
        <v>20</v>
      </c>
      <c r="D2283" t="s">
        <v>19</v>
      </c>
      <c r="E2283">
        <v>0</v>
      </c>
      <c r="F2283">
        <v>157500</v>
      </c>
      <c r="G2283" t="s">
        <v>35</v>
      </c>
      <c r="H2283" t="s">
        <v>27</v>
      </c>
      <c r="I2283" t="s">
        <v>33</v>
      </c>
      <c r="J2283" t="s">
        <v>45</v>
      </c>
      <c r="K2283" s="6">
        <f t="shared" ca="1" si="148"/>
        <v>37295</v>
      </c>
      <c r="L2283">
        <v>-8466</v>
      </c>
      <c r="M2283" s="7">
        <f t="shared" ca="1" si="146"/>
        <v>23.178644763860369</v>
      </c>
      <c r="N2283" s="5" t="str">
        <f ca="1">VLOOKUP(Data!M2283,temp!$B$3:$C$9,2,1)</f>
        <v>20-30</v>
      </c>
      <c r="O2283">
        <v>-1236</v>
      </c>
      <c r="P2283" s="8">
        <f t="shared" si="147"/>
        <v>3.3839835728952772</v>
      </c>
      <c r="Q2283" s="5" t="str">
        <f t="shared" si="149"/>
        <v>Employed</v>
      </c>
      <c r="R2283">
        <v>1</v>
      </c>
      <c r="S2283">
        <v>0</v>
      </c>
      <c r="T2283">
        <v>0</v>
      </c>
      <c r="U2283">
        <v>0</v>
      </c>
      <c r="V2283" t="s">
        <v>29</v>
      </c>
      <c r="W2283">
        <v>1</v>
      </c>
    </row>
    <row r="2284" spans="1:23" x14ac:dyDescent="0.2">
      <c r="A2284">
        <v>5069055</v>
      </c>
      <c r="B2284" t="s">
        <v>25</v>
      </c>
      <c r="C2284" t="s">
        <v>20</v>
      </c>
      <c r="D2284" t="s">
        <v>19</v>
      </c>
      <c r="E2284">
        <v>0</v>
      </c>
      <c r="F2284">
        <v>225000</v>
      </c>
      <c r="G2284" t="s">
        <v>26</v>
      </c>
      <c r="H2284" t="s">
        <v>27</v>
      </c>
      <c r="I2284" t="s">
        <v>28</v>
      </c>
      <c r="J2284" t="s">
        <v>24</v>
      </c>
      <c r="K2284" s="6">
        <f t="shared" ca="1" si="148"/>
        <v>27999</v>
      </c>
      <c r="L2284">
        <v>-17762</v>
      </c>
      <c r="M2284" s="7">
        <f t="shared" ca="1" si="146"/>
        <v>48.629705681040384</v>
      </c>
      <c r="N2284" s="5" t="str">
        <f ca="1">VLOOKUP(Data!M2284,temp!$B$3:$C$9,2,1)</f>
        <v>40-50</v>
      </c>
      <c r="O2284">
        <v>-2484</v>
      </c>
      <c r="P2284" s="8">
        <f t="shared" si="147"/>
        <v>6.8008213552361401</v>
      </c>
      <c r="Q2284" s="5" t="str">
        <f t="shared" si="149"/>
        <v>Employed</v>
      </c>
      <c r="R2284">
        <v>1</v>
      </c>
      <c r="S2284">
        <v>0</v>
      </c>
      <c r="T2284">
        <v>0</v>
      </c>
      <c r="U2284">
        <v>0</v>
      </c>
      <c r="V2284" t="s">
        <v>29</v>
      </c>
      <c r="W2284">
        <v>2</v>
      </c>
    </row>
    <row r="2285" spans="1:23" x14ac:dyDescent="0.2">
      <c r="A2285">
        <v>5069057</v>
      </c>
      <c r="B2285" t="s">
        <v>25</v>
      </c>
      <c r="C2285" t="s">
        <v>20</v>
      </c>
      <c r="D2285" t="s">
        <v>19</v>
      </c>
      <c r="E2285">
        <v>0</v>
      </c>
      <c r="F2285">
        <v>225000</v>
      </c>
      <c r="G2285" t="s">
        <v>26</v>
      </c>
      <c r="H2285" t="s">
        <v>27</v>
      </c>
      <c r="I2285" t="s">
        <v>28</v>
      </c>
      <c r="J2285" t="s">
        <v>24</v>
      </c>
      <c r="K2285" s="6">
        <f t="shared" ca="1" si="148"/>
        <v>27999</v>
      </c>
      <c r="L2285">
        <v>-17762</v>
      </c>
      <c r="M2285" s="7">
        <f t="shared" ca="1" si="146"/>
        <v>48.629705681040384</v>
      </c>
      <c r="N2285" s="5" t="str">
        <f ca="1">VLOOKUP(Data!M2285,temp!$B$3:$C$9,2,1)</f>
        <v>40-50</v>
      </c>
      <c r="O2285">
        <v>-2484</v>
      </c>
      <c r="P2285" s="8">
        <f t="shared" si="147"/>
        <v>6.8008213552361401</v>
      </c>
      <c r="Q2285" s="5" t="str">
        <f t="shared" si="149"/>
        <v>Employed</v>
      </c>
      <c r="R2285">
        <v>1</v>
      </c>
      <c r="S2285">
        <v>0</v>
      </c>
      <c r="T2285">
        <v>0</v>
      </c>
      <c r="U2285">
        <v>0</v>
      </c>
      <c r="V2285" t="s">
        <v>29</v>
      </c>
      <c r="W2285">
        <v>2</v>
      </c>
    </row>
    <row r="2286" spans="1:23" x14ac:dyDescent="0.2">
      <c r="A2286">
        <v>5069066</v>
      </c>
      <c r="B2286" t="s">
        <v>25</v>
      </c>
      <c r="C2286" t="s">
        <v>19</v>
      </c>
      <c r="D2286" t="s">
        <v>20</v>
      </c>
      <c r="E2286">
        <v>0</v>
      </c>
      <c r="F2286">
        <v>202500</v>
      </c>
      <c r="G2286" t="s">
        <v>31</v>
      </c>
      <c r="H2286" t="s">
        <v>27</v>
      </c>
      <c r="I2286" t="s">
        <v>33</v>
      </c>
      <c r="J2286" t="s">
        <v>24</v>
      </c>
      <c r="K2286" s="6">
        <f t="shared" ca="1" si="148"/>
        <v>36018</v>
      </c>
      <c r="L2286">
        <v>-9743</v>
      </c>
      <c r="M2286" s="7">
        <f t="shared" ca="1" si="146"/>
        <v>26.674880219028061</v>
      </c>
      <c r="N2286" s="5" t="str">
        <f ca="1">VLOOKUP(Data!M2286,temp!$B$3:$C$9,2,1)</f>
        <v>20-30</v>
      </c>
      <c r="O2286">
        <v>-3093</v>
      </c>
      <c r="P2286" s="8">
        <f t="shared" si="147"/>
        <v>8.4681724845995898</v>
      </c>
      <c r="Q2286" s="5" t="str">
        <f t="shared" si="149"/>
        <v>Employed</v>
      </c>
      <c r="R2286">
        <v>1</v>
      </c>
      <c r="S2286">
        <v>0</v>
      </c>
      <c r="T2286">
        <v>0</v>
      </c>
      <c r="U2286">
        <v>0</v>
      </c>
      <c r="V2286" t="s">
        <v>29</v>
      </c>
      <c r="W2286">
        <v>1</v>
      </c>
    </row>
    <row r="2287" spans="1:23" x14ac:dyDescent="0.2">
      <c r="A2287">
        <v>5069073</v>
      </c>
      <c r="B2287" t="s">
        <v>18</v>
      </c>
      <c r="C2287" t="s">
        <v>20</v>
      </c>
      <c r="D2287" t="s">
        <v>20</v>
      </c>
      <c r="E2287">
        <v>0</v>
      </c>
      <c r="F2287">
        <v>157500</v>
      </c>
      <c r="G2287" t="s">
        <v>35</v>
      </c>
      <c r="H2287" t="s">
        <v>27</v>
      </c>
      <c r="I2287" t="s">
        <v>28</v>
      </c>
      <c r="J2287" t="s">
        <v>24</v>
      </c>
      <c r="K2287" s="6">
        <f t="shared" ca="1" si="148"/>
        <v>26868</v>
      </c>
      <c r="L2287">
        <v>-18893</v>
      </c>
      <c r="M2287" s="7">
        <f t="shared" ca="1" si="146"/>
        <v>51.72621492128679</v>
      </c>
      <c r="N2287" s="5" t="str">
        <f ca="1">VLOOKUP(Data!M2287,temp!$B$3:$C$9,2,1)</f>
        <v>50-60</v>
      </c>
      <c r="O2287">
        <v>-2423</v>
      </c>
      <c r="P2287" s="8">
        <f t="shared" si="147"/>
        <v>6.6338124572210813</v>
      </c>
      <c r="Q2287" s="5" t="str">
        <f t="shared" si="149"/>
        <v>Employed</v>
      </c>
      <c r="R2287">
        <v>1</v>
      </c>
      <c r="S2287">
        <v>0</v>
      </c>
      <c r="T2287">
        <v>0</v>
      </c>
      <c r="U2287">
        <v>0</v>
      </c>
      <c r="V2287" t="s">
        <v>38</v>
      </c>
      <c r="W2287">
        <v>2</v>
      </c>
    </row>
    <row r="2288" spans="1:23" x14ac:dyDescent="0.2">
      <c r="A2288">
        <v>5069078</v>
      </c>
      <c r="B2288" t="s">
        <v>18</v>
      </c>
      <c r="C2288" t="s">
        <v>19</v>
      </c>
      <c r="D2288" t="s">
        <v>20</v>
      </c>
      <c r="E2288">
        <v>1</v>
      </c>
      <c r="F2288">
        <v>202500</v>
      </c>
      <c r="G2288" t="s">
        <v>26</v>
      </c>
      <c r="H2288" t="s">
        <v>22</v>
      </c>
      <c r="I2288" t="s">
        <v>37</v>
      </c>
      <c r="J2288" t="s">
        <v>24</v>
      </c>
      <c r="K2288" s="6">
        <f t="shared" ca="1" si="148"/>
        <v>31692</v>
      </c>
      <c r="L2288">
        <v>-14069</v>
      </c>
      <c r="M2288" s="7">
        <f t="shared" ca="1" si="146"/>
        <v>38.518822724161531</v>
      </c>
      <c r="N2288" s="5" t="str">
        <f ca="1">VLOOKUP(Data!M2288,temp!$B$3:$C$9,2,1)</f>
        <v>30-40</v>
      </c>
      <c r="O2288">
        <v>-3093</v>
      </c>
      <c r="P2288" s="8">
        <f t="shared" si="147"/>
        <v>8.4681724845995898</v>
      </c>
      <c r="Q2288" s="5" t="str">
        <f t="shared" si="149"/>
        <v>Employed</v>
      </c>
      <c r="R2288">
        <v>1</v>
      </c>
      <c r="S2288">
        <v>0</v>
      </c>
      <c r="T2288">
        <v>0</v>
      </c>
      <c r="U2288">
        <v>1</v>
      </c>
      <c r="V2288" t="s">
        <v>44</v>
      </c>
      <c r="W2288">
        <v>3</v>
      </c>
    </row>
    <row r="2289" spans="1:23" x14ac:dyDescent="0.2">
      <c r="A2289">
        <v>5069084</v>
      </c>
      <c r="B2289" t="s">
        <v>18</v>
      </c>
      <c r="C2289" t="s">
        <v>20</v>
      </c>
      <c r="D2289" t="s">
        <v>20</v>
      </c>
      <c r="E2289">
        <v>2</v>
      </c>
      <c r="F2289">
        <v>135000</v>
      </c>
      <c r="G2289" t="s">
        <v>26</v>
      </c>
      <c r="H2289" t="s">
        <v>27</v>
      </c>
      <c r="I2289" t="s">
        <v>28</v>
      </c>
      <c r="J2289" t="s">
        <v>24</v>
      </c>
      <c r="K2289" s="6">
        <f t="shared" ca="1" si="148"/>
        <v>32513</v>
      </c>
      <c r="L2289">
        <v>-13248</v>
      </c>
      <c r="M2289" s="7">
        <f t="shared" ca="1" si="146"/>
        <v>36.271047227926076</v>
      </c>
      <c r="N2289" s="5" t="str">
        <f ca="1">VLOOKUP(Data!M2289,temp!$B$3:$C$9,2,1)</f>
        <v>30-40</v>
      </c>
      <c r="O2289">
        <v>-2605</v>
      </c>
      <c r="P2289" s="8">
        <f t="shared" si="147"/>
        <v>7.1321013004791238</v>
      </c>
      <c r="Q2289" s="5" t="str">
        <f t="shared" si="149"/>
        <v>Employed</v>
      </c>
      <c r="R2289">
        <v>1</v>
      </c>
      <c r="S2289">
        <v>0</v>
      </c>
      <c r="T2289">
        <v>1</v>
      </c>
      <c r="U2289">
        <v>0</v>
      </c>
      <c r="V2289" t="s">
        <v>44</v>
      </c>
      <c r="W2289">
        <v>4</v>
      </c>
    </row>
    <row r="2290" spans="1:23" x14ac:dyDescent="0.2">
      <c r="A2290">
        <v>5069118</v>
      </c>
      <c r="B2290" t="s">
        <v>18</v>
      </c>
      <c r="C2290" t="s">
        <v>19</v>
      </c>
      <c r="D2290" t="s">
        <v>20</v>
      </c>
      <c r="E2290">
        <v>0</v>
      </c>
      <c r="F2290">
        <v>180000</v>
      </c>
      <c r="G2290" t="s">
        <v>21</v>
      </c>
      <c r="H2290" t="s">
        <v>27</v>
      </c>
      <c r="I2290" t="s">
        <v>33</v>
      </c>
      <c r="J2290" t="s">
        <v>24</v>
      </c>
      <c r="K2290" s="6">
        <f t="shared" ca="1" si="148"/>
        <v>25184</v>
      </c>
      <c r="L2290">
        <v>-20577</v>
      </c>
      <c r="M2290" s="7">
        <f t="shared" ca="1" si="146"/>
        <v>56.336755646817245</v>
      </c>
      <c r="N2290" s="5" t="str">
        <f ca="1">VLOOKUP(Data!M2290,temp!$B$3:$C$9,2,1)</f>
        <v>50-60</v>
      </c>
      <c r="O2290">
        <v>365243</v>
      </c>
      <c r="P2290" s="8">
        <f t="shared" si="147"/>
        <v>0</v>
      </c>
      <c r="Q2290" s="5" t="str">
        <f t="shared" si="149"/>
        <v>Unemployed</v>
      </c>
      <c r="R2290">
        <v>1</v>
      </c>
      <c r="S2290">
        <v>0</v>
      </c>
      <c r="T2290">
        <v>0</v>
      </c>
      <c r="U2290">
        <v>0</v>
      </c>
      <c r="W2290">
        <v>1</v>
      </c>
    </row>
    <row r="2291" spans="1:23" x14ac:dyDescent="0.2">
      <c r="A2291">
        <v>5069122</v>
      </c>
      <c r="B2291" t="s">
        <v>18</v>
      </c>
      <c r="C2291" t="s">
        <v>20</v>
      </c>
      <c r="D2291" t="s">
        <v>20</v>
      </c>
      <c r="E2291">
        <v>0</v>
      </c>
      <c r="F2291">
        <v>103500</v>
      </c>
      <c r="G2291" t="s">
        <v>21</v>
      </c>
      <c r="H2291" t="s">
        <v>22</v>
      </c>
      <c r="I2291" t="s">
        <v>37</v>
      </c>
      <c r="J2291" t="s">
        <v>24</v>
      </c>
      <c r="K2291" s="6">
        <f t="shared" ca="1" si="148"/>
        <v>22759</v>
      </c>
      <c r="L2291">
        <v>-23002</v>
      </c>
      <c r="M2291" s="7">
        <f t="shared" ca="1" si="146"/>
        <v>62.976043805612591</v>
      </c>
      <c r="N2291" s="5" t="str">
        <f ca="1">VLOOKUP(Data!M2291,temp!$B$3:$C$9,2,1)</f>
        <v>60-70</v>
      </c>
      <c r="O2291">
        <v>365243</v>
      </c>
      <c r="P2291" s="8">
        <f t="shared" si="147"/>
        <v>0</v>
      </c>
      <c r="Q2291" s="5" t="str">
        <f t="shared" si="149"/>
        <v>Unemployed</v>
      </c>
      <c r="R2291">
        <v>1</v>
      </c>
      <c r="S2291">
        <v>0</v>
      </c>
      <c r="T2291">
        <v>1</v>
      </c>
      <c r="U2291">
        <v>0</v>
      </c>
      <c r="W2291">
        <v>2</v>
      </c>
    </row>
    <row r="2292" spans="1:23" x14ac:dyDescent="0.2">
      <c r="A2292">
        <v>5069134</v>
      </c>
      <c r="B2292" t="s">
        <v>18</v>
      </c>
      <c r="C2292" t="s">
        <v>19</v>
      </c>
      <c r="D2292" t="s">
        <v>19</v>
      </c>
      <c r="E2292">
        <v>0</v>
      </c>
      <c r="F2292">
        <v>135000</v>
      </c>
      <c r="G2292" t="s">
        <v>26</v>
      </c>
      <c r="H2292" t="s">
        <v>22</v>
      </c>
      <c r="I2292" t="s">
        <v>28</v>
      </c>
      <c r="J2292" t="s">
        <v>41</v>
      </c>
      <c r="K2292" s="6">
        <f t="shared" ca="1" si="148"/>
        <v>30401</v>
      </c>
      <c r="L2292">
        <v>-15360</v>
      </c>
      <c r="M2292" s="7">
        <f t="shared" ca="1" si="146"/>
        <v>42.053388090349074</v>
      </c>
      <c r="N2292" s="5" t="str">
        <f ca="1">VLOOKUP(Data!M2292,temp!$B$3:$C$9,2,1)</f>
        <v>40-50</v>
      </c>
      <c r="O2292">
        <v>-413</v>
      </c>
      <c r="P2292" s="8">
        <f t="shared" si="147"/>
        <v>1.1307323750855578</v>
      </c>
      <c r="Q2292" s="5" t="str">
        <f t="shared" si="149"/>
        <v>Employed</v>
      </c>
      <c r="R2292">
        <v>1</v>
      </c>
      <c r="S2292">
        <v>0</v>
      </c>
      <c r="T2292">
        <v>0</v>
      </c>
      <c r="U2292">
        <v>1</v>
      </c>
      <c r="V2292" t="s">
        <v>38</v>
      </c>
      <c r="W2292">
        <v>2</v>
      </c>
    </row>
    <row r="2293" spans="1:23" x14ac:dyDescent="0.2">
      <c r="A2293">
        <v>5069137</v>
      </c>
      <c r="B2293" t="s">
        <v>18</v>
      </c>
      <c r="C2293" t="s">
        <v>19</v>
      </c>
      <c r="D2293" t="s">
        <v>19</v>
      </c>
      <c r="E2293">
        <v>0</v>
      </c>
      <c r="F2293">
        <v>135000</v>
      </c>
      <c r="G2293" t="s">
        <v>26</v>
      </c>
      <c r="H2293" t="s">
        <v>22</v>
      </c>
      <c r="I2293" t="s">
        <v>28</v>
      </c>
      <c r="J2293" t="s">
        <v>41</v>
      </c>
      <c r="K2293" s="6">
        <f t="shared" ca="1" si="148"/>
        <v>30401</v>
      </c>
      <c r="L2293">
        <v>-15360</v>
      </c>
      <c r="M2293" s="7">
        <f t="shared" ca="1" si="146"/>
        <v>42.053388090349074</v>
      </c>
      <c r="N2293" s="5" t="str">
        <f ca="1">VLOOKUP(Data!M2293,temp!$B$3:$C$9,2,1)</f>
        <v>40-50</v>
      </c>
      <c r="O2293">
        <v>-413</v>
      </c>
      <c r="P2293" s="8">
        <f t="shared" si="147"/>
        <v>1.1307323750855578</v>
      </c>
      <c r="Q2293" s="5" t="str">
        <f t="shared" si="149"/>
        <v>Employed</v>
      </c>
      <c r="R2293">
        <v>1</v>
      </c>
      <c r="S2293">
        <v>0</v>
      </c>
      <c r="T2293">
        <v>0</v>
      </c>
      <c r="U2293">
        <v>1</v>
      </c>
      <c r="V2293" t="s">
        <v>38</v>
      </c>
      <c r="W2293">
        <v>2</v>
      </c>
    </row>
    <row r="2294" spans="1:23" x14ac:dyDescent="0.2">
      <c r="A2294">
        <v>5069141</v>
      </c>
      <c r="B2294" t="s">
        <v>18</v>
      </c>
      <c r="C2294" t="s">
        <v>19</v>
      </c>
      <c r="D2294" t="s">
        <v>19</v>
      </c>
      <c r="E2294">
        <v>0</v>
      </c>
      <c r="F2294">
        <v>135000</v>
      </c>
      <c r="G2294" t="s">
        <v>26</v>
      </c>
      <c r="H2294" t="s">
        <v>22</v>
      </c>
      <c r="I2294" t="s">
        <v>28</v>
      </c>
      <c r="J2294" t="s">
        <v>41</v>
      </c>
      <c r="K2294" s="6">
        <f t="shared" ca="1" si="148"/>
        <v>30401</v>
      </c>
      <c r="L2294">
        <v>-15360</v>
      </c>
      <c r="M2294" s="7">
        <f t="shared" ca="1" si="146"/>
        <v>42.053388090349074</v>
      </c>
      <c r="N2294" s="5" t="str">
        <f ca="1">VLOOKUP(Data!M2294,temp!$B$3:$C$9,2,1)</f>
        <v>40-50</v>
      </c>
      <c r="O2294">
        <v>-413</v>
      </c>
      <c r="P2294" s="8">
        <f t="shared" si="147"/>
        <v>1.1307323750855578</v>
      </c>
      <c r="Q2294" s="5" t="str">
        <f t="shared" si="149"/>
        <v>Employed</v>
      </c>
      <c r="R2294">
        <v>1</v>
      </c>
      <c r="S2294">
        <v>0</v>
      </c>
      <c r="T2294">
        <v>0</v>
      </c>
      <c r="U2294">
        <v>1</v>
      </c>
      <c r="V2294" t="s">
        <v>38</v>
      </c>
      <c r="W2294">
        <v>2</v>
      </c>
    </row>
    <row r="2295" spans="1:23" x14ac:dyDescent="0.2">
      <c r="A2295">
        <v>5069149</v>
      </c>
      <c r="B2295" t="s">
        <v>25</v>
      </c>
      <c r="C2295" t="s">
        <v>19</v>
      </c>
      <c r="D2295" t="s">
        <v>20</v>
      </c>
      <c r="E2295">
        <v>0</v>
      </c>
      <c r="F2295">
        <v>216000</v>
      </c>
      <c r="G2295" t="s">
        <v>26</v>
      </c>
      <c r="H2295" t="s">
        <v>22</v>
      </c>
      <c r="I2295" t="s">
        <v>28</v>
      </c>
      <c r="J2295" t="s">
        <v>24</v>
      </c>
      <c r="K2295" s="6">
        <f t="shared" ca="1" si="148"/>
        <v>26611</v>
      </c>
      <c r="L2295">
        <v>-19150</v>
      </c>
      <c r="M2295" s="7">
        <f t="shared" ca="1" si="146"/>
        <v>52.429842573579741</v>
      </c>
      <c r="N2295" s="5" t="str">
        <f ca="1">VLOOKUP(Data!M2295,temp!$B$3:$C$9,2,1)</f>
        <v>50-60</v>
      </c>
      <c r="O2295">
        <v>-7415</v>
      </c>
      <c r="P2295" s="8">
        <f t="shared" si="147"/>
        <v>20.301163586584533</v>
      </c>
      <c r="Q2295" s="5" t="str">
        <f t="shared" si="149"/>
        <v>Employed</v>
      </c>
      <c r="R2295">
        <v>1</v>
      </c>
      <c r="S2295">
        <v>0</v>
      </c>
      <c r="T2295">
        <v>0</v>
      </c>
      <c r="U2295">
        <v>1</v>
      </c>
      <c r="V2295" t="s">
        <v>32</v>
      </c>
      <c r="W2295">
        <v>2</v>
      </c>
    </row>
    <row r="2296" spans="1:23" x14ac:dyDescent="0.2">
      <c r="A2296">
        <v>5069159</v>
      </c>
      <c r="B2296" t="s">
        <v>25</v>
      </c>
      <c r="C2296" t="s">
        <v>19</v>
      </c>
      <c r="D2296" t="s">
        <v>20</v>
      </c>
      <c r="E2296">
        <v>0</v>
      </c>
      <c r="F2296">
        <v>216000</v>
      </c>
      <c r="G2296" t="s">
        <v>26</v>
      </c>
      <c r="H2296" t="s">
        <v>22</v>
      </c>
      <c r="I2296" t="s">
        <v>28</v>
      </c>
      <c r="J2296" t="s">
        <v>24</v>
      </c>
      <c r="K2296" s="6">
        <f t="shared" ca="1" si="148"/>
        <v>26611</v>
      </c>
      <c r="L2296">
        <v>-19150</v>
      </c>
      <c r="M2296" s="7">
        <f t="shared" ca="1" si="146"/>
        <v>52.429842573579741</v>
      </c>
      <c r="N2296" s="5" t="str">
        <f ca="1">VLOOKUP(Data!M2296,temp!$B$3:$C$9,2,1)</f>
        <v>50-60</v>
      </c>
      <c r="O2296">
        <v>-7415</v>
      </c>
      <c r="P2296" s="8">
        <f t="shared" si="147"/>
        <v>20.301163586584533</v>
      </c>
      <c r="Q2296" s="5" t="str">
        <f t="shared" si="149"/>
        <v>Employed</v>
      </c>
      <c r="R2296">
        <v>1</v>
      </c>
      <c r="S2296">
        <v>0</v>
      </c>
      <c r="T2296">
        <v>0</v>
      </c>
      <c r="U2296">
        <v>1</v>
      </c>
      <c r="V2296" t="s">
        <v>32</v>
      </c>
      <c r="W2296">
        <v>2</v>
      </c>
    </row>
    <row r="2297" spans="1:23" x14ac:dyDescent="0.2">
      <c r="A2297">
        <v>5069163</v>
      </c>
      <c r="B2297" t="s">
        <v>25</v>
      </c>
      <c r="C2297" t="s">
        <v>19</v>
      </c>
      <c r="D2297" t="s">
        <v>20</v>
      </c>
      <c r="E2297">
        <v>0</v>
      </c>
      <c r="F2297">
        <v>216000</v>
      </c>
      <c r="G2297" t="s">
        <v>26</v>
      </c>
      <c r="H2297" t="s">
        <v>22</v>
      </c>
      <c r="I2297" t="s">
        <v>28</v>
      </c>
      <c r="J2297" t="s">
        <v>24</v>
      </c>
      <c r="K2297" s="6">
        <f t="shared" ca="1" si="148"/>
        <v>26611</v>
      </c>
      <c r="L2297">
        <v>-19150</v>
      </c>
      <c r="M2297" s="7">
        <f t="shared" ca="1" si="146"/>
        <v>52.429842573579741</v>
      </c>
      <c r="N2297" s="5" t="str">
        <f ca="1">VLOOKUP(Data!M2297,temp!$B$3:$C$9,2,1)</f>
        <v>50-60</v>
      </c>
      <c r="O2297">
        <v>-7415</v>
      </c>
      <c r="P2297" s="8">
        <f t="shared" si="147"/>
        <v>20.301163586584533</v>
      </c>
      <c r="Q2297" s="5" t="str">
        <f t="shared" si="149"/>
        <v>Employed</v>
      </c>
      <c r="R2297">
        <v>1</v>
      </c>
      <c r="S2297">
        <v>0</v>
      </c>
      <c r="T2297">
        <v>0</v>
      </c>
      <c r="U2297">
        <v>1</v>
      </c>
      <c r="V2297" t="s">
        <v>32</v>
      </c>
      <c r="W2297">
        <v>2</v>
      </c>
    </row>
    <row r="2298" spans="1:23" x14ac:dyDescent="0.2">
      <c r="A2298">
        <v>5069192</v>
      </c>
      <c r="B2298" t="s">
        <v>18</v>
      </c>
      <c r="C2298" t="s">
        <v>19</v>
      </c>
      <c r="D2298" t="s">
        <v>20</v>
      </c>
      <c r="E2298">
        <v>0</v>
      </c>
      <c r="F2298">
        <v>135000</v>
      </c>
      <c r="G2298" t="s">
        <v>26</v>
      </c>
      <c r="H2298" t="s">
        <v>27</v>
      </c>
      <c r="I2298" t="s">
        <v>28</v>
      </c>
      <c r="J2298" t="s">
        <v>24</v>
      </c>
      <c r="K2298" s="6">
        <f t="shared" ca="1" si="148"/>
        <v>29737</v>
      </c>
      <c r="L2298">
        <v>-16024</v>
      </c>
      <c r="M2298" s="7">
        <f t="shared" ca="1" si="146"/>
        <v>43.871321013004788</v>
      </c>
      <c r="N2298" s="5" t="str">
        <f ca="1">VLOOKUP(Data!M2298,temp!$B$3:$C$9,2,1)</f>
        <v>40-50</v>
      </c>
      <c r="O2298">
        <v>-171</v>
      </c>
      <c r="P2298" s="8">
        <f t="shared" si="147"/>
        <v>0.46817248459958932</v>
      </c>
      <c r="Q2298" s="5" t="str">
        <f t="shared" si="149"/>
        <v>Employed</v>
      </c>
      <c r="R2298">
        <v>1</v>
      </c>
      <c r="S2298">
        <v>0</v>
      </c>
      <c r="T2298">
        <v>0</v>
      </c>
      <c r="U2298">
        <v>0</v>
      </c>
      <c r="V2298" t="s">
        <v>29</v>
      </c>
      <c r="W2298">
        <v>2</v>
      </c>
    </row>
    <row r="2299" spans="1:23" x14ac:dyDescent="0.2">
      <c r="A2299">
        <v>5069200</v>
      </c>
      <c r="B2299" t="s">
        <v>18</v>
      </c>
      <c r="C2299" t="s">
        <v>19</v>
      </c>
      <c r="D2299" t="s">
        <v>20</v>
      </c>
      <c r="E2299">
        <v>0</v>
      </c>
      <c r="F2299">
        <v>238500</v>
      </c>
      <c r="G2299" t="s">
        <v>26</v>
      </c>
      <c r="H2299" t="s">
        <v>27</v>
      </c>
      <c r="I2299" t="s">
        <v>28</v>
      </c>
      <c r="J2299" t="s">
        <v>24</v>
      </c>
      <c r="K2299" s="6">
        <f t="shared" ca="1" si="148"/>
        <v>28661</v>
      </c>
      <c r="L2299">
        <v>-17100</v>
      </c>
      <c r="M2299" s="7">
        <f t="shared" ca="1" si="146"/>
        <v>46.817248459958932</v>
      </c>
      <c r="N2299" s="5" t="str">
        <f ca="1">VLOOKUP(Data!M2299,temp!$B$3:$C$9,2,1)</f>
        <v>40-50</v>
      </c>
      <c r="O2299">
        <v>-1236</v>
      </c>
      <c r="P2299" s="8">
        <f t="shared" si="147"/>
        <v>3.3839835728952772</v>
      </c>
      <c r="Q2299" s="5" t="str">
        <f t="shared" si="149"/>
        <v>Employed</v>
      </c>
      <c r="R2299">
        <v>1</v>
      </c>
      <c r="S2299">
        <v>1</v>
      </c>
      <c r="T2299">
        <v>1</v>
      </c>
      <c r="U2299">
        <v>0</v>
      </c>
      <c r="V2299" t="s">
        <v>38</v>
      </c>
      <c r="W2299">
        <v>2</v>
      </c>
    </row>
    <row r="2300" spans="1:23" x14ac:dyDescent="0.2">
      <c r="A2300">
        <v>5069209</v>
      </c>
      <c r="B2300" t="s">
        <v>18</v>
      </c>
      <c r="C2300" t="s">
        <v>20</v>
      </c>
      <c r="D2300" t="s">
        <v>20</v>
      </c>
      <c r="E2300">
        <v>0</v>
      </c>
      <c r="F2300">
        <v>135000</v>
      </c>
      <c r="G2300" t="s">
        <v>21</v>
      </c>
      <c r="H2300" t="s">
        <v>22</v>
      </c>
      <c r="I2300" t="s">
        <v>28</v>
      </c>
      <c r="J2300" t="s">
        <v>24</v>
      </c>
      <c r="K2300" s="6">
        <f t="shared" ca="1" si="148"/>
        <v>25533</v>
      </c>
      <c r="L2300">
        <v>-20228</v>
      </c>
      <c r="M2300" s="7">
        <f t="shared" ca="1" si="146"/>
        <v>55.381245722108147</v>
      </c>
      <c r="N2300" s="5" t="str">
        <f ca="1">VLOOKUP(Data!M2300,temp!$B$3:$C$9,2,1)</f>
        <v>50-60</v>
      </c>
      <c r="O2300">
        <v>365243</v>
      </c>
      <c r="P2300" s="8">
        <f t="shared" si="147"/>
        <v>0</v>
      </c>
      <c r="Q2300" s="5" t="str">
        <f t="shared" si="149"/>
        <v>Unemployed</v>
      </c>
      <c r="R2300">
        <v>1</v>
      </c>
      <c r="S2300">
        <v>0</v>
      </c>
      <c r="T2300">
        <v>0</v>
      </c>
      <c r="U2300">
        <v>0</v>
      </c>
      <c r="W2300">
        <v>2</v>
      </c>
    </row>
    <row r="2301" spans="1:23" x14ac:dyDescent="0.2">
      <c r="A2301">
        <v>5069218</v>
      </c>
      <c r="B2301" t="s">
        <v>18</v>
      </c>
      <c r="C2301" t="s">
        <v>20</v>
      </c>
      <c r="D2301" t="s">
        <v>20</v>
      </c>
      <c r="E2301">
        <v>0</v>
      </c>
      <c r="F2301">
        <v>256500</v>
      </c>
      <c r="G2301" t="s">
        <v>26</v>
      </c>
      <c r="H2301" t="s">
        <v>22</v>
      </c>
      <c r="I2301" t="s">
        <v>33</v>
      </c>
      <c r="J2301" t="s">
        <v>24</v>
      </c>
      <c r="K2301" s="6">
        <f t="shared" ca="1" si="148"/>
        <v>34551</v>
      </c>
      <c r="L2301">
        <v>-11210</v>
      </c>
      <c r="M2301" s="7">
        <f t="shared" ca="1" si="146"/>
        <v>30.691307323750856</v>
      </c>
      <c r="N2301" s="5" t="str">
        <f ca="1">VLOOKUP(Data!M2301,temp!$B$3:$C$9,2,1)</f>
        <v>30-40</v>
      </c>
      <c r="O2301">
        <v>-1724</v>
      </c>
      <c r="P2301" s="8">
        <f t="shared" si="147"/>
        <v>4.7200547570157427</v>
      </c>
      <c r="Q2301" s="5" t="str">
        <f t="shared" si="149"/>
        <v>Employed</v>
      </c>
      <c r="R2301">
        <v>1</v>
      </c>
      <c r="S2301">
        <v>1</v>
      </c>
      <c r="T2301">
        <v>0</v>
      </c>
      <c r="U2301">
        <v>0</v>
      </c>
      <c r="V2301" t="s">
        <v>44</v>
      </c>
      <c r="W2301">
        <v>2</v>
      </c>
    </row>
    <row r="2302" spans="1:23" x14ac:dyDescent="0.2">
      <c r="A2302">
        <v>5069223</v>
      </c>
      <c r="B2302" t="s">
        <v>25</v>
      </c>
      <c r="C2302" t="s">
        <v>19</v>
      </c>
      <c r="D2302" t="s">
        <v>19</v>
      </c>
      <c r="E2302">
        <v>3</v>
      </c>
      <c r="F2302">
        <v>135000</v>
      </c>
      <c r="G2302" t="s">
        <v>31</v>
      </c>
      <c r="H2302" t="s">
        <v>27</v>
      </c>
      <c r="I2302" t="s">
        <v>28</v>
      </c>
      <c r="J2302" t="s">
        <v>41</v>
      </c>
      <c r="K2302" s="6">
        <f t="shared" ca="1" si="148"/>
        <v>34004</v>
      </c>
      <c r="L2302">
        <v>-11757</v>
      </c>
      <c r="M2302" s="7">
        <f t="shared" ca="1" si="146"/>
        <v>32.188911704312112</v>
      </c>
      <c r="N2302" s="5" t="str">
        <f ca="1">VLOOKUP(Data!M2302,temp!$B$3:$C$9,2,1)</f>
        <v>30-40</v>
      </c>
      <c r="O2302">
        <v>-658</v>
      </c>
      <c r="P2302" s="8">
        <f t="shared" si="147"/>
        <v>1.8015058179329226</v>
      </c>
      <c r="Q2302" s="5" t="str">
        <f t="shared" si="149"/>
        <v>Employed</v>
      </c>
      <c r="R2302">
        <v>1</v>
      </c>
      <c r="S2302">
        <v>0</v>
      </c>
      <c r="T2302">
        <v>0</v>
      </c>
      <c r="U2302">
        <v>0</v>
      </c>
      <c r="V2302" t="s">
        <v>29</v>
      </c>
      <c r="W2302">
        <v>5</v>
      </c>
    </row>
    <row r="2303" spans="1:23" x14ac:dyDescent="0.2">
      <c r="A2303">
        <v>5069233</v>
      </c>
      <c r="B2303" t="s">
        <v>18</v>
      </c>
      <c r="C2303" t="s">
        <v>19</v>
      </c>
      <c r="D2303" t="s">
        <v>19</v>
      </c>
      <c r="E2303">
        <v>1</v>
      </c>
      <c r="F2303">
        <v>67500</v>
      </c>
      <c r="G2303" t="s">
        <v>31</v>
      </c>
      <c r="H2303" t="s">
        <v>27</v>
      </c>
      <c r="I2303" t="s">
        <v>28</v>
      </c>
      <c r="J2303" t="s">
        <v>41</v>
      </c>
      <c r="K2303" s="6">
        <f t="shared" ca="1" si="148"/>
        <v>35196</v>
      </c>
      <c r="L2303">
        <v>-10565</v>
      </c>
      <c r="M2303" s="7">
        <f t="shared" ca="1" si="146"/>
        <v>28.925393566050651</v>
      </c>
      <c r="N2303" s="5" t="str">
        <f ca="1">VLOOKUP(Data!M2303,temp!$B$3:$C$9,2,1)</f>
        <v>20-30</v>
      </c>
      <c r="O2303">
        <v>-2970</v>
      </c>
      <c r="P2303" s="8">
        <f t="shared" si="147"/>
        <v>8.131416837782341</v>
      </c>
      <c r="Q2303" s="5" t="str">
        <f t="shared" si="149"/>
        <v>Employed</v>
      </c>
      <c r="R2303">
        <v>1</v>
      </c>
      <c r="S2303">
        <v>0</v>
      </c>
      <c r="T2303">
        <v>0</v>
      </c>
      <c r="U2303">
        <v>0</v>
      </c>
      <c r="V2303" t="s">
        <v>50</v>
      </c>
      <c r="W2303">
        <v>3</v>
      </c>
    </row>
    <row r="2304" spans="1:23" x14ac:dyDescent="0.2">
      <c r="A2304">
        <v>5069235</v>
      </c>
      <c r="B2304" t="s">
        <v>18</v>
      </c>
      <c r="C2304" t="s">
        <v>20</v>
      </c>
      <c r="D2304" t="s">
        <v>20</v>
      </c>
      <c r="E2304">
        <v>0</v>
      </c>
      <c r="F2304">
        <v>202500</v>
      </c>
      <c r="G2304" t="s">
        <v>35</v>
      </c>
      <c r="H2304" t="s">
        <v>27</v>
      </c>
      <c r="I2304" t="s">
        <v>28</v>
      </c>
      <c r="J2304" t="s">
        <v>24</v>
      </c>
      <c r="K2304" s="6">
        <f t="shared" ca="1" si="148"/>
        <v>33925</v>
      </c>
      <c r="L2304">
        <v>-11836</v>
      </c>
      <c r="M2304" s="7">
        <f t="shared" ca="1" si="146"/>
        <v>32.40520191649555</v>
      </c>
      <c r="N2304" s="5" t="str">
        <f ca="1">VLOOKUP(Data!M2304,temp!$B$3:$C$9,2,1)</f>
        <v>30-40</v>
      </c>
      <c r="O2304">
        <v>-4646</v>
      </c>
      <c r="P2304" s="8">
        <f t="shared" si="147"/>
        <v>12.720054757015742</v>
      </c>
      <c r="Q2304" s="5" t="str">
        <f t="shared" si="149"/>
        <v>Employed</v>
      </c>
      <c r="R2304">
        <v>1</v>
      </c>
      <c r="S2304">
        <v>0</v>
      </c>
      <c r="T2304">
        <v>0</v>
      </c>
      <c r="U2304">
        <v>1</v>
      </c>
      <c r="V2304" t="s">
        <v>50</v>
      </c>
      <c r="W2304">
        <v>2</v>
      </c>
    </row>
    <row r="2305" spans="1:23" x14ac:dyDescent="0.2">
      <c r="A2305">
        <v>5069257</v>
      </c>
      <c r="B2305" t="s">
        <v>18</v>
      </c>
      <c r="C2305" t="s">
        <v>20</v>
      </c>
      <c r="D2305" t="s">
        <v>20</v>
      </c>
      <c r="E2305">
        <v>1</v>
      </c>
      <c r="F2305">
        <v>67500</v>
      </c>
      <c r="G2305" t="s">
        <v>31</v>
      </c>
      <c r="H2305" t="s">
        <v>27</v>
      </c>
      <c r="I2305" t="s">
        <v>28</v>
      </c>
      <c r="J2305" t="s">
        <v>24</v>
      </c>
      <c r="K2305" s="6">
        <f t="shared" ca="1" si="148"/>
        <v>32940</v>
      </c>
      <c r="L2305">
        <v>-12821</v>
      </c>
      <c r="M2305" s="7">
        <f t="shared" ca="1" si="146"/>
        <v>35.101984941820668</v>
      </c>
      <c r="N2305" s="5" t="str">
        <f ca="1">VLOOKUP(Data!M2305,temp!$B$3:$C$9,2,1)</f>
        <v>30-40</v>
      </c>
      <c r="O2305">
        <v>-931</v>
      </c>
      <c r="P2305" s="8">
        <f t="shared" si="147"/>
        <v>2.5489390828199863</v>
      </c>
      <c r="Q2305" s="5" t="str">
        <f t="shared" si="149"/>
        <v>Employed</v>
      </c>
      <c r="R2305">
        <v>1</v>
      </c>
      <c r="S2305">
        <v>0</v>
      </c>
      <c r="T2305">
        <v>1</v>
      </c>
      <c r="U2305">
        <v>1</v>
      </c>
      <c r="V2305" t="s">
        <v>29</v>
      </c>
      <c r="W2305">
        <v>3</v>
      </c>
    </row>
    <row r="2306" spans="1:23" x14ac:dyDescent="0.2">
      <c r="A2306">
        <v>5069263</v>
      </c>
      <c r="B2306" t="s">
        <v>18</v>
      </c>
      <c r="C2306" t="s">
        <v>20</v>
      </c>
      <c r="D2306" t="s">
        <v>20</v>
      </c>
      <c r="E2306">
        <v>1</v>
      </c>
      <c r="F2306">
        <v>67500</v>
      </c>
      <c r="G2306" t="s">
        <v>31</v>
      </c>
      <c r="H2306" t="s">
        <v>27</v>
      </c>
      <c r="I2306" t="s">
        <v>28</v>
      </c>
      <c r="J2306" t="s">
        <v>24</v>
      </c>
      <c r="K2306" s="6">
        <f t="shared" ca="1" si="148"/>
        <v>32940</v>
      </c>
      <c r="L2306">
        <v>-12821</v>
      </c>
      <c r="M2306" s="7">
        <f t="shared" ca="1" si="146"/>
        <v>35.101984941820668</v>
      </c>
      <c r="N2306" s="5" t="str">
        <f ca="1">VLOOKUP(Data!M2306,temp!$B$3:$C$9,2,1)</f>
        <v>30-40</v>
      </c>
      <c r="O2306">
        <v>-931</v>
      </c>
      <c r="P2306" s="8">
        <f t="shared" si="147"/>
        <v>2.5489390828199863</v>
      </c>
      <c r="Q2306" s="5" t="str">
        <f t="shared" si="149"/>
        <v>Employed</v>
      </c>
      <c r="R2306">
        <v>1</v>
      </c>
      <c r="S2306">
        <v>0</v>
      </c>
      <c r="T2306">
        <v>1</v>
      </c>
      <c r="U2306">
        <v>1</v>
      </c>
      <c r="V2306" t="s">
        <v>29</v>
      </c>
      <c r="W2306">
        <v>3</v>
      </c>
    </row>
    <row r="2307" spans="1:23" x14ac:dyDescent="0.2">
      <c r="A2307">
        <v>5069286</v>
      </c>
      <c r="B2307" t="s">
        <v>18</v>
      </c>
      <c r="C2307" t="s">
        <v>19</v>
      </c>
      <c r="D2307" t="s">
        <v>19</v>
      </c>
      <c r="E2307">
        <v>0</v>
      </c>
      <c r="F2307">
        <v>225000</v>
      </c>
      <c r="G2307" t="s">
        <v>26</v>
      </c>
      <c r="H2307" t="s">
        <v>22</v>
      </c>
      <c r="I2307" t="s">
        <v>28</v>
      </c>
      <c r="J2307" t="s">
        <v>41</v>
      </c>
      <c r="K2307" s="6">
        <f t="shared" ca="1" si="148"/>
        <v>36026</v>
      </c>
      <c r="L2307">
        <v>-9735</v>
      </c>
      <c r="M2307" s="7">
        <f t="shared" ref="M2307:M2370" ca="1" si="150">(TODAY()-K2307)/365.25</f>
        <v>26.652977412731005</v>
      </c>
      <c r="N2307" s="5" t="str">
        <f ca="1">VLOOKUP(Data!M2307,temp!$B$3:$C$9,2,1)</f>
        <v>20-30</v>
      </c>
      <c r="O2307">
        <v>-901</v>
      </c>
      <c r="P2307" s="8">
        <f t="shared" ref="P2307:P2370" si="151">IF(O2307&lt;=0,ABS(O2307)/365.25,0)</f>
        <v>2.4668035592060233</v>
      </c>
      <c r="Q2307" s="5" t="str">
        <f t="shared" si="149"/>
        <v>Employed</v>
      </c>
      <c r="R2307">
        <v>1</v>
      </c>
      <c r="S2307">
        <v>0</v>
      </c>
      <c r="T2307">
        <v>0</v>
      </c>
      <c r="U2307">
        <v>0</v>
      </c>
      <c r="W2307">
        <v>2</v>
      </c>
    </row>
    <row r="2308" spans="1:23" x14ac:dyDescent="0.2">
      <c r="A2308">
        <v>5069301</v>
      </c>
      <c r="B2308" t="s">
        <v>18</v>
      </c>
      <c r="C2308" t="s">
        <v>19</v>
      </c>
      <c r="D2308" t="s">
        <v>20</v>
      </c>
      <c r="E2308">
        <v>0</v>
      </c>
      <c r="F2308">
        <v>225000</v>
      </c>
      <c r="G2308" t="s">
        <v>21</v>
      </c>
      <c r="H2308" t="s">
        <v>27</v>
      </c>
      <c r="I2308" t="s">
        <v>28</v>
      </c>
      <c r="J2308" t="s">
        <v>24</v>
      </c>
      <c r="K2308" s="6">
        <f t="shared" ca="1" si="148"/>
        <v>24772</v>
      </c>
      <c r="L2308">
        <v>-20989</v>
      </c>
      <c r="M2308" s="7">
        <f t="shared" ca="1" si="150"/>
        <v>57.464750171115675</v>
      </c>
      <c r="N2308" s="5" t="str">
        <f ca="1">VLOOKUP(Data!M2308,temp!$B$3:$C$9,2,1)</f>
        <v>50-60</v>
      </c>
      <c r="O2308">
        <v>365243</v>
      </c>
      <c r="P2308" s="8">
        <f t="shared" si="151"/>
        <v>0</v>
      </c>
      <c r="Q2308" s="5" t="str">
        <f t="shared" si="149"/>
        <v>Unemployed</v>
      </c>
      <c r="R2308">
        <v>1</v>
      </c>
      <c r="S2308">
        <v>0</v>
      </c>
      <c r="T2308">
        <v>0</v>
      </c>
      <c r="U2308">
        <v>0</v>
      </c>
      <c r="W2308">
        <v>2</v>
      </c>
    </row>
    <row r="2309" spans="1:23" x14ac:dyDescent="0.2">
      <c r="A2309">
        <v>5069313</v>
      </c>
      <c r="B2309" t="s">
        <v>25</v>
      </c>
      <c r="C2309" t="s">
        <v>19</v>
      </c>
      <c r="D2309" t="s">
        <v>20</v>
      </c>
      <c r="E2309">
        <v>0</v>
      </c>
      <c r="F2309">
        <v>495000</v>
      </c>
      <c r="G2309" t="s">
        <v>26</v>
      </c>
      <c r="H2309" t="s">
        <v>27</v>
      </c>
      <c r="I2309" t="s">
        <v>37</v>
      </c>
      <c r="J2309" t="s">
        <v>24</v>
      </c>
      <c r="K2309" s="6">
        <f t="shared" ca="1" si="148"/>
        <v>29020</v>
      </c>
      <c r="L2309">
        <v>-16741</v>
      </c>
      <c r="M2309" s="7">
        <f t="shared" ca="1" si="150"/>
        <v>45.834360027378509</v>
      </c>
      <c r="N2309" s="5" t="str">
        <f ca="1">VLOOKUP(Data!M2309,temp!$B$3:$C$9,2,1)</f>
        <v>40-50</v>
      </c>
      <c r="O2309">
        <v>-658</v>
      </c>
      <c r="P2309" s="8">
        <f t="shared" si="151"/>
        <v>1.8015058179329226</v>
      </c>
      <c r="Q2309" s="5" t="str">
        <f t="shared" si="149"/>
        <v>Employed</v>
      </c>
      <c r="R2309">
        <v>1</v>
      </c>
      <c r="S2309">
        <v>0</v>
      </c>
      <c r="T2309">
        <v>0</v>
      </c>
      <c r="U2309">
        <v>0</v>
      </c>
      <c r="V2309" t="s">
        <v>32</v>
      </c>
      <c r="W2309">
        <v>2</v>
      </c>
    </row>
    <row r="2310" spans="1:23" x14ac:dyDescent="0.2">
      <c r="A2310">
        <v>5069325</v>
      </c>
      <c r="B2310" t="s">
        <v>18</v>
      </c>
      <c r="C2310" t="s">
        <v>19</v>
      </c>
      <c r="D2310" t="s">
        <v>20</v>
      </c>
      <c r="E2310">
        <v>0</v>
      </c>
      <c r="F2310">
        <v>157500</v>
      </c>
      <c r="G2310" t="s">
        <v>31</v>
      </c>
      <c r="H2310" t="s">
        <v>27</v>
      </c>
      <c r="I2310" t="s">
        <v>28</v>
      </c>
      <c r="J2310" t="s">
        <v>24</v>
      </c>
      <c r="K2310" s="6">
        <f t="shared" ca="1" si="148"/>
        <v>25450</v>
      </c>
      <c r="L2310">
        <v>-20311</v>
      </c>
      <c r="M2310" s="7">
        <f t="shared" ca="1" si="150"/>
        <v>55.60848733744011</v>
      </c>
      <c r="N2310" s="5" t="str">
        <f ca="1">VLOOKUP(Data!M2310,temp!$B$3:$C$9,2,1)</f>
        <v>50-60</v>
      </c>
      <c r="O2310">
        <v>-597</v>
      </c>
      <c r="P2310" s="8">
        <f t="shared" si="151"/>
        <v>1.6344969199178645</v>
      </c>
      <c r="Q2310" s="5" t="str">
        <f t="shared" si="149"/>
        <v>Employed</v>
      </c>
      <c r="R2310">
        <v>1</v>
      </c>
      <c r="S2310">
        <v>0</v>
      </c>
      <c r="T2310">
        <v>0</v>
      </c>
      <c r="U2310">
        <v>0</v>
      </c>
      <c r="V2310" t="s">
        <v>46</v>
      </c>
      <c r="W2310">
        <v>2</v>
      </c>
    </row>
    <row r="2311" spans="1:23" x14ac:dyDescent="0.2">
      <c r="A2311">
        <v>5069334</v>
      </c>
      <c r="B2311" t="s">
        <v>25</v>
      </c>
      <c r="C2311" t="s">
        <v>20</v>
      </c>
      <c r="D2311" t="s">
        <v>20</v>
      </c>
      <c r="E2311">
        <v>1</v>
      </c>
      <c r="F2311">
        <v>247500</v>
      </c>
      <c r="G2311" t="s">
        <v>31</v>
      </c>
      <c r="H2311" t="s">
        <v>22</v>
      </c>
      <c r="I2311" t="s">
        <v>28</v>
      </c>
      <c r="J2311" t="s">
        <v>24</v>
      </c>
      <c r="K2311" s="6">
        <f t="shared" ca="1" si="148"/>
        <v>36336</v>
      </c>
      <c r="L2311">
        <v>-9425</v>
      </c>
      <c r="M2311" s="7">
        <f t="shared" ca="1" si="150"/>
        <v>25.804243668720055</v>
      </c>
      <c r="N2311" s="5" t="str">
        <f ca="1">VLOOKUP(Data!M2311,temp!$B$3:$C$9,2,1)</f>
        <v>20-30</v>
      </c>
      <c r="O2311">
        <v>-232</v>
      </c>
      <c r="P2311" s="8">
        <f t="shared" si="151"/>
        <v>0.63518138261464752</v>
      </c>
      <c r="Q2311" s="5" t="str">
        <f t="shared" si="149"/>
        <v>Employed</v>
      </c>
      <c r="R2311">
        <v>1</v>
      </c>
      <c r="S2311">
        <v>0</v>
      </c>
      <c r="T2311">
        <v>0</v>
      </c>
      <c r="U2311">
        <v>0</v>
      </c>
      <c r="V2311" t="s">
        <v>39</v>
      </c>
      <c r="W2311">
        <v>3</v>
      </c>
    </row>
    <row r="2312" spans="1:23" x14ac:dyDescent="0.2">
      <c r="A2312">
        <v>5069338</v>
      </c>
      <c r="B2312" t="s">
        <v>25</v>
      </c>
      <c r="C2312" t="s">
        <v>20</v>
      </c>
      <c r="D2312" t="s">
        <v>20</v>
      </c>
      <c r="E2312">
        <v>1</v>
      </c>
      <c r="F2312">
        <v>247500</v>
      </c>
      <c r="G2312" t="s">
        <v>31</v>
      </c>
      <c r="H2312" t="s">
        <v>22</v>
      </c>
      <c r="I2312" t="s">
        <v>28</v>
      </c>
      <c r="J2312" t="s">
        <v>24</v>
      </c>
      <c r="K2312" s="6">
        <f t="shared" ref="K2312:K2375" ca="1" si="152">TODAY()+($L2312)</f>
        <v>36336</v>
      </c>
      <c r="L2312">
        <v>-9425</v>
      </c>
      <c r="M2312" s="7">
        <f t="shared" ca="1" si="150"/>
        <v>25.804243668720055</v>
      </c>
      <c r="N2312" s="5" t="str">
        <f ca="1">VLOOKUP(Data!M2312,temp!$B$3:$C$9,2,1)</f>
        <v>20-30</v>
      </c>
      <c r="O2312">
        <v>-232</v>
      </c>
      <c r="P2312" s="8">
        <f t="shared" si="151"/>
        <v>0.63518138261464752</v>
      </c>
      <c r="Q2312" s="5" t="str">
        <f t="shared" ref="Q2312:Q2375" si="153">IF($O2312&gt;0,"Unemployed","Employed")</f>
        <v>Employed</v>
      </c>
      <c r="R2312">
        <v>1</v>
      </c>
      <c r="S2312">
        <v>0</v>
      </c>
      <c r="T2312">
        <v>0</v>
      </c>
      <c r="U2312">
        <v>0</v>
      </c>
      <c r="V2312" t="s">
        <v>39</v>
      </c>
      <c r="W2312">
        <v>3</v>
      </c>
    </row>
    <row r="2313" spans="1:23" x14ac:dyDescent="0.2">
      <c r="A2313">
        <v>5069346</v>
      </c>
      <c r="B2313" t="s">
        <v>18</v>
      </c>
      <c r="C2313" t="s">
        <v>20</v>
      </c>
      <c r="D2313" t="s">
        <v>20</v>
      </c>
      <c r="E2313">
        <v>0</v>
      </c>
      <c r="F2313">
        <v>225000</v>
      </c>
      <c r="G2313" t="s">
        <v>31</v>
      </c>
      <c r="H2313" t="s">
        <v>22</v>
      </c>
      <c r="I2313" t="s">
        <v>28</v>
      </c>
      <c r="J2313" t="s">
        <v>24</v>
      </c>
      <c r="K2313" s="6">
        <f t="shared" ca="1" si="152"/>
        <v>34079</v>
      </c>
      <c r="L2313">
        <v>-11682</v>
      </c>
      <c r="M2313" s="7">
        <f t="shared" ca="1" si="150"/>
        <v>31.983572895277206</v>
      </c>
      <c r="N2313" s="5" t="str">
        <f ca="1">VLOOKUP(Data!M2313,temp!$B$3:$C$9,2,1)</f>
        <v>30-40</v>
      </c>
      <c r="O2313">
        <v>-3488</v>
      </c>
      <c r="P2313" s="8">
        <f t="shared" si="151"/>
        <v>9.54962354551677</v>
      </c>
      <c r="Q2313" s="5" t="str">
        <f t="shared" si="153"/>
        <v>Employed</v>
      </c>
      <c r="R2313">
        <v>1</v>
      </c>
      <c r="S2313">
        <v>1</v>
      </c>
      <c r="T2313">
        <v>0</v>
      </c>
      <c r="U2313">
        <v>0</v>
      </c>
      <c r="W2313">
        <v>2</v>
      </c>
    </row>
    <row r="2314" spans="1:23" x14ac:dyDescent="0.2">
      <c r="A2314">
        <v>5069350</v>
      </c>
      <c r="B2314" t="s">
        <v>18</v>
      </c>
      <c r="C2314" t="s">
        <v>20</v>
      </c>
      <c r="D2314" t="s">
        <v>20</v>
      </c>
      <c r="E2314">
        <v>0</v>
      </c>
      <c r="F2314">
        <v>225000</v>
      </c>
      <c r="G2314" t="s">
        <v>31</v>
      </c>
      <c r="H2314" t="s">
        <v>22</v>
      </c>
      <c r="I2314" t="s">
        <v>28</v>
      </c>
      <c r="J2314" t="s">
        <v>24</v>
      </c>
      <c r="K2314" s="6">
        <f t="shared" ca="1" si="152"/>
        <v>34079</v>
      </c>
      <c r="L2314">
        <v>-11682</v>
      </c>
      <c r="M2314" s="7">
        <f t="shared" ca="1" si="150"/>
        <v>31.983572895277206</v>
      </c>
      <c r="N2314" s="5" t="str">
        <f ca="1">VLOOKUP(Data!M2314,temp!$B$3:$C$9,2,1)</f>
        <v>30-40</v>
      </c>
      <c r="O2314">
        <v>-3488</v>
      </c>
      <c r="P2314" s="8">
        <f t="shared" si="151"/>
        <v>9.54962354551677</v>
      </c>
      <c r="Q2314" s="5" t="str">
        <f t="shared" si="153"/>
        <v>Employed</v>
      </c>
      <c r="R2314">
        <v>1</v>
      </c>
      <c r="S2314">
        <v>1</v>
      </c>
      <c r="T2314">
        <v>0</v>
      </c>
      <c r="U2314">
        <v>0</v>
      </c>
      <c r="W2314">
        <v>2</v>
      </c>
    </row>
    <row r="2315" spans="1:23" x14ac:dyDescent="0.2">
      <c r="A2315">
        <v>5069377</v>
      </c>
      <c r="B2315" t="s">
        <v>25</v>
      </c>
      <c r="C2315" t="s">
        <v>20</v>
      </c>
      <c r="D2315" t="s">
        <v>19</v>
      </c>
      <c r="E2315">
        <v>2</v>
      </c>
      <c r="F2315">
        <v>337500</v>
      </c>
      <c r="G2315" t="s">
        <v>31</v>
      </c>
      <c r="H2315" t="s">
        <v>22</v>
      </c>
      <c r="I2315" t="s">
        <v>33</v>
      </c>
      <c r="J2315" t="s">
        <v>24</v>
      </c>
      <c r="K2315" s="6">
        <f t="shared" ca="1" si="152"/>
        <v>33951</v>
      </c>
      <c r="L2315">
        <v>-11810</v>
      </c>
      <c r="M2315" s="7">
        <f t="shared" ca="1" si="150"/>
        <v>32.334017796030118</v>
      </c>
      <c r="N2315" s="5" t="str">
        <f ca="1">VLOOKUP(Data!M2315,temp!$B$3:$C$9,2,1)</f>
        <v>30-40</v>
      </c>
      <c r="O2315">
        <v>-1662</v>
      </c>
      <c r="P2315" s="8">
        <f t="shared" si="151"/>
        <v>4.5503080082135527</v>
      </c>
      <c r="Q2315" s="5" t="str">
        <f t="shared" si="153"/>
        <v>Employed</v>
      </c>
      <c r="R2315">
        <v>1</v>
      </c>
      <c r="S2315">
        <v>1</v>
      </c>
      <c r="T2315">
        <v>0</v>
      </c>
      <c r="U2315">
        <v>0</v>
      </c>
      <c r="W2315">
        <v>4</v>
      </c>
    </row>
    <row r="2316" spans="1:23" x14ac:dyDescent="0.2">
      <c r="A2316">
        <v>5069379</v>
      </c>
      <c r="B2316" t="s">
        <v>25</v>
      </c>
      <c r="C2316" t="s">
        <v>19</v>
      </c>
      <c r="D2316" t="s">
        <v>20</v>
      </c>
      <c r="E2316">
        <v>0</v>
      </c>
      <c r="F2316">
        <v>337500</v>
      </c>
      <c r="G2316" t="s">
        <v>31</v>
      </c>
      <c r="H2316" t="s">
        <v>27</v>
      </c>
      <c r="I2316" t="s">
        <v>33</v>
      </c>
      <c r="J2316" t="s">
        <v>24</v>
      </c>
      <c r="K2316" s="6">
        <f t="shared" ca="1" si="152"/>
        <v>29044</v>
      </c>
      <c r="L2316">
        <v>-16717</v>
      </c>
      <c r="M2316" s="7">
        <f t="shared" ca="1" si="150"/>
        <v>45.768651608487339</v>
      </c>
      <c r="N2316" s="5" t="str">
        <f ca="1">VLOOKUP(Data!M2316,temp!$B$3:$C$9,2,1)</f>
        <v>40-50</v>
      </c>
      <c r="O2316">
        <v>-1267</v>
      </c>
      <c r="P2316" s="8">
        <f t="shared" si="151"/>
        <v>3.4688569472963722</v>
      </c>
      <c r="Q2316" s="5" t="str">
        <f t="shared" si="153"/>
        <v>Employed</v>
      </c>
      <c r="R2316">
        <v>1</v>
      </c>
      <c r="S2316">
        <v>0</v>
      </c>
      <c r="T2316">
        <v>0</v>
      </c>
      <c r="U2316">
        <v>0</v>
      </c>
      <c r="V2316" t="s">
        <v>47</v>
      </c>
      <c r="W2316">
        <v>1</v>
      </c>
    </row>
    <row r="2317" spans="1:23" x14ac:dyDescent="0.2">
      <c r="A2317">
        <v>5069394</v>
      </c>
      <c r="B2317" t="s">
        <v>18</v>
      </c>
      <c r="C2317" t="s">
        <v>19</v>
      </c>
      <c r="D2317" t="s">
        <v>20</v>
      </c>
      <c r="E2317">
        <v>1</v>
      </c>
      <c r="F2317">
        <v>270000</v>
      </c>
      <c r="G2317" t="s">
        <v>31</v>
      </c>
      <c r="H2317" t="s">
        <v>22</v>
      </c>
      <c r="I2317" t="s">
        <v>28</v>
      </c>
      <c r="J2317" t="s">
        <v>24</v>
      </c>
      <c r="K2317" s="6">
        <f t="shared" ca="1" si="152"/>
        <v>27350</v>
      </c>
      <c r="L2317">
        <v>-18411</v>
      </c>
      <c r="M2317" s="7">
        <f t="shared" ca="1" si="150"/>
        <v>50.406570841889121</v>
      </c>
      <c r="N2317" s="5" t="str">
        <f ca="1">VLOOKUP(Data!M2317,temp!$B$3:$C$9,2,1)</f>
        <v>50-60</v>
      </c>
      <c r="O2317">
        <v>-10094</v>
      </c>
      <c r="P2317" s="8">
        <f t="shared" si="151"/>
        <v>27.635865845311429</v>
      </c>
      <c r="Q2317" s="5" t="str">
        <f t="shared" si="153"/>
        <v>Employed</v>
      </c>
      <c r="R2317">
        <v>1</v>
      </c>
      <c r="S2317">
        <v>0</v>
      </c>
      <c r="T2317">
        <v>0</v>
      </c>
      <c r="U2317">
        <v>0</v>
      </c>
      <c r="V2317" t="s">
        <v>38</v>
      </c>
      <c r="W2317">
        <v>3</v>
      </c>
    </row>
    <row r="2318" spans="1:23" x14ac:dyDescent="0.2">
      <c r="A2318">
        <v>5069415</v>
      </c>
      <c r="B2318" t="s">
        <v>25</v>
      </c>
      <c r="C2318" t="s">
        <v>20</v>
      </c>
      <c r="D2318" t="s">
        <v>19</v>
      </c>
      <c r="E2318">
        <v>1</v>
      </c>
      <c r="F2318">
        <v>225000</v>
      </c>
      <c r="G2318" t="s">
        <v>31</v>
      </c>
      <c r="H2318" t="s">
        <v>27</v>
      </c>
      <c r="I2318" t="s">
        <v>28</v>
      </c>
      <c r="J2318" t="s">
        <v>24</v>
      </c>
      <c r="K2318" s="6">
        <f t="shared" ca="1" si="152"/>
        <v>27077</v>
      </c>
      <c r="L2318">
        <v>-18684</v>
      </c>
      <c r="M2318" s="7">
        <f t="shared" ca="1" si="150"/>
        <v>51.154004106776178</v>
      </c>
      <c r="N2318" s="5" t="str">
        <f ca="1">VLOOKUP(Data!M2318,temp!$B$3:$C$9,2,1)</f>
        <v>50-60</v>
      </c>
      <c r="O2318">
        <v>-2423</v>
      </c>
      <c r="P2318" s="8">
        <f t="shared" si="151"/>
        <v>6.6338124572210813</v>
      </c>
      <c r="Q2318" s="5" t="str">
        <f t="shared" si="153"/>
        <v>Employed</v>
      </c>
      <c r="R2318">
        <v>1</v>
      </c>
      <c r="S2318">
        <v>0</v>
      </c>
      <c r="T2318">
        <v>0</v>
      </c>
      <c r="U2318">
        <v>1</v>
      </c>
      <c r="V2318" t="s">
        <v>30</v>
      </c>
      <c r="W2318">
        <v>3</v>
      </c>
    </row>
    <row r="2319" spans="1:23" x14ac:dyDescent="0.2">
      <c r="A2319">
        <v>5069416</v>
      </c>
      <c r="B2319" t="s">
        <v>25</v>
      </c>
      <c r="C2319" t="s">
        <v>20</v>
      </c>
      <c r="D2319" t="s">
        <v>19</v>
      </c>
      <c r="E2319">
        <v>1</v>
      </c>
      <c r="F2319">
        <v>225000</v>
      </c>
      <c r="G2319" t="s">
        <v>31</v>
      </c>
      <c r="H2319" t="s">
        <v>27</v>
      </c>
      <c r="I2319" t="s">
        <v>28</v>
      </c>
      <c r="J2319" t="s">
        <v>24</v>
      </c>
      <c r="K2319" s="6">
        <f t="shared" ca="1" si="152"/>
        <v>27077</v>
      </c>
      <c r="L2319">
        <v>-18684</v>
      </c>
      <c r="M2319" s="7">
        <f t="shared" ca="1" si="150"/>
        <v>51.154004106776178</v>
      </c>
      <c r="N2319" s="5" t="str">
        <f ca="1">VLOOKUP(Data!M2319,temp!$B$3:$C$9,2,1)</f>
        <v>50-60</v>
      </c>
      <c r="O2319">
        <v>-2423</v>
      </c>
      <c r="P2319" s="8">
        <f t="shared" si="151"/>
        <v>6.6338124572210813</v>
      </c>
      <c r="Q2319" s="5" t="str">
        <f t="shared" si="153"/>
        <v>Employed</v>
      </c>
      <c r="R2319">
        <v>1</v>
      </c>
      <c r="S2319">
        <v>0</v>
      </c>
      <c r="T2319">
        <v>0</v>
      </c>
      <c r="U2319">
        <v>1</v>
      </c>
      <c r="V2319" t="s">
        <v>30</v>
      </c>
      <c r="W2319">
        <v>3</v>
      </c>
    </row>
    <row r="2320" spans="1:23" x14ac:dyDescent="0.2">
      <c r="A2320">
        <v>5069419</v>
      </c>
      <c r="B2320" t="s">
        <v>18</v>
      </c>
      <c r="C2320" t="s">
        <v>19</v>
      </c>
      <c r="D2320" t="s">
        <v>20</v>
      </c>
      <c r="E2320">
        <v>0</v>
      </c>
      <c r="F2320">
        <v>157500</v>
      </c>
      <c r="G2320" t="s">
        <v>31</v>
      </c>
      <c r="H2320" t="s">
        <v>36</v>
      </c>
      <c r="I2320" t="s">
        <v>33</v>
      </c>
      <c r="J2320" t="s">
        <v>24</v>
      </c>
      <c r="K2320" s="6">
        <f t="shared" ca="1" si="152"/>
        <v>36187</v>
      </c>
      <c r="L2320">
        <v>-9574</v>
      </c>
      <c r="M2320" s="7">
        <f t="shared" ca="1" si="150"/>
        <v>26.212183436002739</v>
      </c>
      <c r="N2320" s="5" t="str">
        <f ca="1">VLOOKUP(Data!M2320,temp!$B$3:$C$9,2,1)</f>
        <v>20-30</v>
      </c>
      <c r="O2320">
        <v>-171</v>
      </c>
      <c r="P2320" s="8">
        <f t="shared" si="151"/>
        <v>0.46817248459958932</v>
      </c>
      <c r="Q2320" s="5" t="str">
        <f t="shared" si="153"/>
        <v>Employed</v>
      </c>
      <c r="R2320">
        <v>1</v>
      </c>
      <c r="S2320">
        <v>1</v>
      </c>
      <c r="T2320">
        <v>1</v>
      </c>
      <c r="U2320">
        <v>0</v>
      </c>
      <c r="V2320" t="s">
        <v>50</v>
      </c>
      <c r="W2320">
        <v>1</v>
      </c>
    </row>
    <row r="2321" spans="1:23" x14ac:dyDescent="0.2">
      <c r="A2321">
        <v>5069426</v>
      </c>
      <c r="B2321" t="s">
        <v>25</v>
      </c>
      <c r="C2321" t="s">
        <v>20</v>
      </c>
      <c r="D2321" t="s">
        <v>20</v>
      </c>
      <c r="E2321">
        <v>0</v>
      </c>
      <c r="F2321">
        <v>202500</v>
      </c>
      <c r="G2321" t="s">
        <v>31</v>
      </c>
      <c r="H2321" t="s">
        <v>27</v>
      </c>
      <c r="I2321" t="s">
        <v>28</v>
      </c>
      <c r="J2321" t="s">
        <v>45</v>
      </c>
      <c r="K2321" s="6">
        <f t="shared" ca="1" si="152"/>
        <v>28865</v>
      </c>
      <c r="L2321">
        <v>-16896</v>
      </c>
      <c r="M2321" s="7">
        <f t="shared" ca="1" si="150"/>
        <v>46.258726899383987</v>
      </c>
      <c r="N2321" s="5" t="str">
        <f ca="1">VLOOKUP(Data!M2321,temp!$B$3:$C$9,2,1)</f>
        <v>40-50</v>
      </c>
      <c r="O2321">
        <v>-354</v>
      </c>
      <c r="P2321" s="8">
        <f t="shared" si="151"/>
        <v>0.9691991786447639</v>
      </c>
      <c r="Q2321" s="5" t="str">
        <f t="shared" si="153"/>
        <v>Employed</v>
      </c>
      <c r="R2321">
        <v>1</v>
      </c>
      <c r="S2321">
        <v>0</v>
      </c>
      <c r="T2321">
        <v>1</v>
      </c>
      <c r="U2321">
        <v>0</v>
      </c>
      <c r="V2321" t="s">
        <v>39</v>
      </c>
      <c r="W2321">
        <v>2</v>
      </c>
    </row>
    <row r="2322" spans="1:23" x14ac:dyDescent="0.2">
      <c r="A2322">
        <v>5069427</v>
      </c>
      <c r="B2322" t="s">
        <v>25</v>
      </c>
      <c r="C2322" t="s">
        <v>20</v>
      </c>
      <c r="D2322" t="s">
        <v>20</v>
      </c>
      <c r="E2322">
        <v>0</v>
      </c>
      <c r="F2322">
        <v>202500</v>
      </c>
      <c r="G2322" t="s">
        <v>31</v>
      </c>
      <c r="H2322" t="s">
        <v>27</v>
      </c>
      <c r="I2322" t="s">
        <v>28</v>
      </c>
      <c r="J2322" t="s">
        <v>45</v>
      </c>
      <c r="K2322" s="6">
        <f t="shared" ca="1" si="152"/>
        <v>28865</v>
      </c>
      <c r="L2322">
        <v>-16896</v>
      </c>
      <c r="M2322" s="7">
        <f t="shared" ca="1" si="150"/>
        <v>46.258726899383987</v>
      </c>
      <c r="N2322" s="5" t="str">
        <f ca="1">VLOOKUP(Data!M2322,temp!$B$3:$C$9,2,1)</f>
        <v>40-50</v>
      </c>
      <c r="O2322">
        <v>-354</v>
      </c>
      <c r="P2322" s="8">
        <f t="shared" si="151"/>
        <v>0.9691991786447639</v>
      </c>
      <c r="Q2322" s="5" t="str">
        <f t="shared" si="153"/>
        <v>Employed</v>
      </c>
      <c r="R2322">
        <v>1</v>
      </c>
      <c r="S2322">
        <v>0</v>
      </c>
      <c r="T2322">
        <v>1</v>
      </c>
      <c r="U2322">
        <v>0</v>
      </c>
      <c r="V2322" t="s">
        <v>39</v>
      </c>
      <c r="W2322">
        <v>2</v>
      </c>
    </row>
    <row r="2323" spans="1:23" x14ac:dyDescent="0.2">
      <c r="A2323">
        <v>5069435</v>
      </c>
      <c r="B2323" t="s">
        <v>25</v>
      </c>
      <c r="C2323" t="s">
        <v>20</v>
      </c>
      <c r="D2323" t="s">
        <v>20</v>
      </c>
      <c r="E2323">
        <v>0</v>
      </c>
      <c r="F2323">
        <v>202500</v>
      </c>
      <c r="G2323" t="s">
        <v>31</v>
      </c>
      <c r="H2323" t="s">
        <v>27</v>
      </c>
      <c r="I2323" t="s">
        <v>28</v>
      </c>
      <c r="J2323" t="s">
        <v>45</v>
      </c>
      <c r="K2323" s="6">
        <f t="shared" ca="1" si="152"/>
        <v>28865</v>
      </c>
      <c r="L2323">
        <v>-16896</v>
      </c>
      <c r="M2323" s="7">
        <f t="shared" ca="1" si="150"/>
        <v>46.258726899383987</v>
      </c>
      <c r="N2323" s="5" t="str">
        <f ca="1">VLOOKUP(Data!M2323,temp!$B$3:$C$9,2,1)</f>
        <v>40-50</v>
      </c>
      <c r="O2323">
        <v>-354</v>
      </c>
      <c r="P2323" s="8">
        <f t="shared" si="151"/>
        <v>0.9691991786447639</v>
      </c>
      <c r="Q2323" s="5" t="str">
        <f t="shared" si="153"/>
        <v>Employed</v>
      </c>
      <c r="R2323">
        <v>1</v>
      </c>
      <c r="S2323">
        <v>0</v>
      </c>
      <c r="T2323">
        <v>1</v>
      </c>
      <c r="U2323">
        <v>0</v>
      </c>
      <c r="V2323" t="s">
        <v>39</v>
      </c>
      <c r="W2323">
        <v>2</v>
      </c>
    </row>
    <row r="2324" spans="1:23" x14ac:dyDescent="0.2">
      <c r="A2324">
        <v>5069450</v>
      </c>
      <c r="B2324" t="s">
        <v>18</v>
      </c>
      <c r="C2324" t="s">
        <v>19</v>
      </c>
      <c r="D2324" t="s">
        <v>20</v>
      </c>
      <c r="E2324">
        <v>0</v>
      </c>
      <c r="F2324">
        <v>202500</v>
      </c>
      <c r="G2324" t="s">
        <v>35</v>
      </c>
      <c r="H2324" t="s">
        <v>22</v>
      </c>
      <c r="I2324" t="s">
        <v>42</v>
      </c>
      <c r="J2324" t="s">
        <v>24</v>
      </c>
      <c r="K2324" s="6">
        <f t="shared" ca="1" si="152"/>
        <v>29977</v>
      </c>
      <c r="L2324">
        <v>-15784</v>
      </c>
      <c r="M2324" s="7">
        <f t="shared" ca="1" si="150"/>
        <v>43.214236824093085</v>
      </c>
      <c r="N2324" s="5" t="str">
        <f ca="1">VLOOKUP(Data!M2324,temp!$B$3:$C$9,2,1)</f>
        <v>40-50</v>
      </c>
      <c r="O2324">
        <v>-4919</v>
      </c>
      <c r="P2324" s="8">
        <f t="shared" si="151"/>
        <v>13.467488021902806</v>
      </c>
      <c r="Q2324" s="5" t="str">
        <f t="shared" si="153"/>
        <v>Employed</v>
      </c>
      <c r="R2324">
        <v>1</v>
      </c>
      <c r="S2324">
        <v>0</v>
      </c>
      <c r="T2324">
        <v>0</v>
      </c>
      <c r="U2324">
        <v>0</v>
      </c>
      <c r="W2324">
        <v>1</v>
      </c>
    </row>
    <row r="2325" spans="1:23" x14ac:dyDescent="0.2">
      <c r="A2325">
        <v>5069453</v>
      </c>
      <c r="B2325" t="s">
        <v>18</v>
      </c>
      <c r="C2325" t="s">
        <v>19</v>
      </c>
      <c r="D2325" t="s">
        <v>20</v>
      </c>
      <c r="E2325">
        <v>0</v>
      </c>
      <c r="F2325">
        <v>202500</v>
      </c>
      <c r="G2325" t="s">
        <v>35</v>
      </c>
      <c r="H2325" t="s">
        <v>22</v>
      </c>
      <c r="I2325" t="s">
        <v>42</v>
      </c>
      <c r="J2325" t="s">
        <v>24</v>
      </c>
      <c r="K2325" s="6">
        <f t="shared" ca="1" si="152"/>
        <v>29977</v>
      </c>
      <c r="L2325">
        <v>-15784</v>
      </c>
      <c r="M2325" s="7">
        <f t="shared" ca="1" si="150"/>
        <v>43.214236824093085</v>
      </c>
      <c r="N2325" s="5" t="str">
        <f ca="1">VLOOKUP(Data!M2325,temp!$B$3:$C$9,2,1)</f>
        <v>40-50</v>
      </c>
      <c r="O2325">
        <v>-4919</v>
      </c>
      <c r="P2325" s="8">
        <f t="shared" si="151"/>
        <v>13.467488021902806</v>
      </c>
      <c r="Q2325" s="5" t="str">
        <f t="shared" si="153"/>
        <v>Employed</v>
      </c>
      <c r="R2325">
        <v>1</v>
      </c>
      <c r="S2325">
        <v>0</v>
      </c>
      <c r="T2325">
        <v>0</v>
      </c>
      <c r="U2325">
        <v>0</v>
      </c>
      <c r="W2325">
        <v>1</v>
      </c>
    </row>
    <row r="2326" spans="1:23" x14ac:dyDescent="0.2">
      <c r="A2326">
        <v>5069468</v>
      </c>
      <c r="B2326" t="s">
        <v>18</v>
      </c>
      <c r="C2326" t="s">
        <v>19</v>
      </c>
      <c r="D2326" t="s">
        <v>20</v>
      </c>
      <c r="E2326">
        <v>0</v>
      </c>
      <c r="F2326">
        <v>112500</v>
      </c>
      <c r="G2326" t="s">
        <v>26</v>
      </c>
      <c r="H2326" t="s">
        <v>22</v>
      </c>
      <c r="I2326" t="s">
        <v>28</v>
      </c>
      <c r="J2326" t="s">
        <v>24</v>
      </c>
      <c r="K2326" s="6">
        <f t="shared" ca="1" si="152"/>
        <v>35871</v>
      </c>
      <c r="L2326">
        <v>-9890</v>
      </c>
      <c r="M2326" s="7">
        <f t="shared" ca="1" si="150"/>
        <v>27.077344284736483</v>
      </c>
      <c r="N2326" s="5" t="str">
        <f ca="1">VLOOKUP(Data!M2326,temp!$B$3:$C$9,2,1)</f>
        <v>20-30</v>
      </c>
      <c r="O2326">
        <v>-719</v>
      </c>
      <c r="P2326" s="8">
        <f t="shared" si="151"/>
        <v>1.9685147159479808</v>
      </c>
      <c r="Q2326" s="5" t="str">
        <f t="shared" si="153"/>
        <v>Employed</v>
      </c>
      <c r="R2326">
        <v>1</v>
      </c>
      <c r="S2326">
        <v>0</v>
      </c>
      <c r="T2326">
        <v>0</v>
      </c>
      <c r="U2326">
        <v>0</v>
      </c>
      <c r="W2326">
        <v>2</v>
      </c>
    </row>
    <row r="2327" spans="1:23" x14ac:dyDescent="0.2">
      <c r="A2327">
        <v>5069474</v>
      </c>
      <c r="B2327" t="s">
        <v>18</v>
      </c>
      <c r="C2327" t="s">
        <v>19</v>
      </c>
      <c r="D2327" t="s">
        <v>20</v>
      </c>
      <c r="E2327">
        <v>2</v>
      </c>
      <c r="F2327">
        <v>225000</v>
      </c>
      <c r="G2327" t="s">
        <v>31</v>
      </c>
      <c r="H2327" t="s">
        <v>22</v>
      </c>
      <c r="I2327" t="s">
        <v>28</v>
      </c>
      <c r="J2327" t="s">
        <v>24</v>
      </c>
      <c r="K2327" s="6">
        <f t="shared" ca="1" si="152"/>
        <v>32161</v>
      </c>
      <c r="L2327">
        <v>-13600</v>
      </c>
      <c r="M2327" s="7">
        <f t="shared" ca="1" si="150"/>
        <v>37.234770704996578</v>
      </c>
      <c r="N2327" s="5" t="str">
        <f ca="1">VLOOKUP(Data!M2327,temp!$B$3:$C$9,2,1)</f>
        <v>30-40</v>
      </c>
      <c r="O2327">
        <v>-5711</v>
      </c>
      <c r="P2327" s="8">
        <f t="shared" si="151"/>
        <v>15.635865845311431</v>
      </c>
      <c r="Q2327" s="5" t="str">
        <f t="shared" si="153"/>
        <v>Employed</v>
      </c>
      <c r="R2327">
        <v>1</v>
      </c>
      <c r="S2327">
        <v>0</v>
      </c>
      <c r="T2327">
        <v>1</v>
      </c>
      <c r="U2327">
        <v>0</v>
      </c>
      <c r="V2327" t="s">
        <v>38</v>
      </c>
      <c r="W2327">
        <v>4</v>
      </c>
    </row>
    <row r="2328" spans="1:23" x14ac:dyDescent="0.2">
      <c r="A2328">
        <v>5069476</v>
      </c>
      <c r="B2328" t="s">
        <v>18</v>
      </c>
      <c r="C2328" t="s">
        <v>19</v>
      </c>
      <c r="D2328" t="s">
        <v>20</v>
      </c>
      <c r="E2328">
        <v>2</v>
      </c>
      <c r="F2328">
        <v>225000</v>
      </c>
      <c r="G2328" t="s">
        <v>31</v>
      </c>
      <c r="H2328" t="s">
        <v>22</v>
      </c>
      <c r="I2328" t="s">
        <v>28</v>
      </c>
      <c r="J2328" t="s">
        <v>24</v>
      </c>
      <c r="K2328" s="6">
        <f t="shared" ca="1" si="152"/>
        <v>32161</v>
      </c>
      <c r="L2328">
        <v>-13600</v>
      </c>
      <c r="M2328" s="7">
        <f t="shared" ca="1" si="150"/>
        <v>37.234770704996578</v>
      </c>
      <c r="N2328" s="5" t="str">
        <f ca="1">VLOOKUP(Data!M2328,temp!$B$3:$C$9,2,1)</f>
        <v>30-40</v>
      </c>
      <c r="O2328">
        <v>-5711</v>
      </c>
      <c r="P2328" s="8">
        <f t="shared" si="151"/>
        <v>15.635865845311431</v>
      </c>
      <c r="Q2328" s="5" t="str">
        <f t="shared" si="153"/>
        <v>Employed</v>
      </c>
      <c r="R2328">
        <v>1</v>
      </c>
      <c r="S2328">
        <v>0</v>
      </c>
      <c r="T2328">
        <v>1</v>
      </c>
      <c r="U2328">
        <v>0</v>
      </c>
      <c r="V2328" t="s">
        <v>38</v>
      </c>
      <c r="W2328">
        <v>4</v>
      </c>
    </row>
    <row r="2329" spans="1:23" x14ac:dyDescent="0.2">
      <c r="A2329">
        <v>5069480</v>
      </c>
      <c r="B2329" t="s">
        <v>18</v>
      </c>
      <c r="C2329" t="s">
        <v>19</v>
      </c>
      <c r="D2329" t="s">
        <v>20</v>
      </c>
      <c r="E2329">
        <v>0</v>
      </c>
      <c r="F2329">
        <v>157500</v>
      </c>
      <c r="G2329" t="s">
        <v>31</v>
      </c>
      <c r="H2329" t="s">
        <v>22</v>
      </c>
      <c r="I2329" t="s">
        <v>28</v>
      </c>
      <c r="J2329" t="s">
        <v>24</v>
      </c>
      <c r="K2329" s="6">
        <f t="shared" ca="1" si="152"/>
        <v>28705</v>
      </c>
      <c r="L2329">
        <v>-17056</v>
      </c>
      <c r="M2329" s="7">
        <f t="shared" ca="1" si="150"/>
        <v>46.696783025325118</v>
      </c>
      <c r="N2329" s="5" t="str">
        <f ca="1">VLOOKUP(Data!M2329,temp!$B$3:$C$9,2,1)</f>
        <v>40-50</v>
      </c>
      <c r="O2329">
        <v>-10094</v>
      </c>
      <c r="P2329" s="8">
        <f t="shared" si="151"/>
        <v>27.635865845311429</v>
      </c>
      <c r="Q2329" s="5" t="str">
        <f t="shared" si="153"/>
        <v>Employed</v>
      </c>
      <c r="R2329">
        <v>1</v>
      </c>
      <c r="S2329">
        <v>1</v>
      </c>
      <c r="T2329">
        <v>1</v>
      </c>
      <c r="U2329">
        <v>0</v>
      </c>
      <c r="V2329" t="s">
        <v>38</v>
      </c>
      <c r="W2329">
        <v>2</v>
      </c>
    </row>
    <row r="2330" spans="1:23" x14ac:dyDescent="0.2">
      <c r="A2330">
        <v>5069488</v>
      </c>
      <c r="B2330" t="s">
        <v>18</v>
      </c>
      <c r="C2330" t="s">
        <v>20</v>
      </c>
      <c r="D2330" t="s">
        <v>20</v>
      </c>
      <c r="E2330">
        <v>0</v>
      </c>
      <c r="F2330">
        <v>157500</v>
      </c>
      <c r="G2330" t="s">
        <v>26</v>
      </c>
      <c r="H2330" t="s">
        <v>27</v>
      </c>
      <c r="I2330" t="s">
        <v>28</v>
      </c>
      <c r="J2330" t="s">
        <v>24</v>
      </c>
      <c r="K2330" s="6">
        <f t="shared" ca="1" si="152"/>
        <v>31431</v>
      </c>
      <c r="L2330">
        <v>-14330</v>
      </c>
      <c r="M2330" s="7">
        <f t="shared" ca="1" si="150"/>
        <v>39.233401779603014</v>
      </c>
      <c r="N2330" s="5" t="str">
        <f ca="1">VLOOKUP(Data!M2330,temp!$B$3:$C$9,2,1)</f>
        <v>30-40</v>
      </c>
      <c r="O2330">
        <v>-1936</v>
      </c>
      <c r="P2330" s="8">
        <f t="shared" si="151"/>
        <v>5.3004791238877482</v>
      </c>
      <c r="Q2330" s="5" t="str">
        <f t="shared" si="153"/>
        <v>Employed</v>
      </c>
      <c r="R2330">
        <v>1</v>
      </c>
      <c r="S2330">
        <v>0</v>
      </c>
      <c r="T2330">
        <v>0</v>
      </c>
      <c r="U2330">
        <v>0</v>
      </c>
      <c r="V2330" t="s">
        <v>39</v>
      </c>
      <c r="W2330">
        <v>2</v>
      </c>
    </row>
    <row r="2331" spans="1:23" x14ac:dyDescent="0.2">
      <c r="A2331">
        <v>5069494</v>
      </c>
      <c r="B2331" t="s">
        <v>18</v>
      </c>
      <c r="C2331" t="s">
        <v>20</v>
      </c>
      <c r="D2331" t="s">
        <v>20</v>
      </c>
      <c r="E2331">
        <v>0</v>
      </c>
      <c r="F2331">
        <v>157500</v>
      </c>
      <c r="G2331" t="s">
        <v>26</v>
      </c>
      <c r="H2331" t="s">
        <v>27</v>
      </c>
      <c r="I2331" t="s">
        <v>28</v>
      </c>
      <c r="J2331" t="s">
        <v>24</v>
      </c>
      <c r="K2331" s="6">
        <f t="shared" ca="1" si="152"/>
        <v>31431</v>
      </c>
      <c r="L2331">
        <v>-14330</v>
      </c>
      <c r="M2331" s="7">
        <f t="shared" ca="1" si="150"/>
        <v>39.233401779603014</v>
      </c>
      <c r="N2331" s="5" t="str">
        <f ca="1">VLOOKUP(Data!M2331,temp!$B$3:$C$9,2,1)</f>
        <v>30-40</v>
      </c>
      <c r="O2331">
        <v>-1936</v>
      </c>
      <c r="P2331" s="8">
        <f t="shared" si="151"/>
        <v>5.3004791238877482</v>
      </c>
      <c r="Q2331" s="5" t="str">
        <f t="shared" si="153"/>
        <v>Employed</v>
      </c>
      <c r="R2331">
        <v>1</v>
      </c>
      <c r="S2331">
        <v>0</v>
      </c>
      <c r="T2331">
        <v>0</v>
      </c>
      <c r="U2331">
        <v>0</v>
      </c>
      <c r="V2331" t="s">
        <v>39</v>
      </c>
      <c r="W2331">
        <v>2</v>
      </c>
    </row>
    <row r="2332" spans="1:23" x14ac:dyDescent="0.2">
      <c r="A2332">
        <v>5069500</v>
      </c>
      <c r="B2332" t="s">
        <v>18</v>
      </c>
      <c r="C2332" t="s">
        <v>20</v>
      </c>
      <c r="D2332" t="s">
        <v>20</v>
      </c>
      <c r="E2332">
        <v>0</v>
      </c>
      <c r="F2332">
        <v>157500</v>
      </c>
      <c r="G2332" t="s">
        <v>26</v>
      </c>
      <c r="H2332" t="s">
        <v>27</v>
      </c>
      <c r="I2332" t="s">
        <v>28</v>
      </c>
      <c r="J2332" t="s">
        <v>24</v>
      </c>
      <c r="K2332" s="6">
        <f t="shared" ca="1" si="152"/>
        <v>31431</v>
      </c>
      <c r="L2332">
        <v>-14330</v>
      </c>
      <c r="M2332" s="7">
        <f t="shared" ca="1" si="150"/>
        <v>39.233401779603014</v>
      </c>
      <c r="N2332" s="5" t="str">
        <f ca="1">VLOOKUP(Data!M2332,temp!$B$3:$C$9,2,1)</f>
        <v>30-40</v>
      </c>
      <c r="O2332">
        <v>-1936</v>
      </c>
      <c r="P2332" s="8">
        <f t="shared" si="151"/>
        <v>5.3004791238877482</v>
      </c>
      <c r="Q2332" s="5" t="str">
        <f t="shared" si="153"/>
        <v>Employed</v>
      </c>
      <c r="R2332">
        <v>1</v>
      </c>
      <c r="S2332">
        <v>0</v>
      </c>
      <c r="T2332">
        <v>0</v>
      </c>
      <c r="U2332">
        <v>0</v>
      </c>
      <c r="V2332" t="s">
        <v>39</v>
      </c>
      <c r="W2332">
        <v>2</v>
      </c>
    </row>
    <row r="2333" spans="1:23" x14ac:dyDescent="0.2">
      <c r="A2333">
        <v>5069506</v>
      </c>
      <c r="B2333" t="s">
        <v>25</v>
      </c>
      <c r="C2333" t="s">
        <v>20</v>
      </c>
      <c r="D2333" t="s">
        <v>19</v>
      </c>
      <c r="E2333">
        <v>0</v>
      </c>
      <c r="F2333">
        <v>225000</v>
      </c>
      <c r="G2333" t="s">
        <v>31</v>
      </c>
      <c r="H2333" t="s">
        <v>27</v>
      </c>
      <c r="I2333" t="s">
        <v>28</v>
      </c>
      <c r="J2333" t="s">
        <v>45</v>
      </c>
      <c r="K2333" s="6">
        <f t="shared" ca="1" si="152"/>
        <v>31219</v>
      </c>
      <c r="L2333">
        <v>-14542</v>
      </c>
      <c r="M2333" s="7">
        <f t="shared" ca="1" si="150"/>
        <v>39.813826146475016</v>
      </c>
      <c r="N2333" s="5" t="str">
        <f ca="1">VLOOKUP(Data!M2333,temp!$B$3:$C$9,2,1)</f>
        <v>30-40</v>
      </c>
      <c r="O2333">
        <v>-444</v>
      </c>
      <c r="P2333" s="8">
        <f t="shared" si="151"/>
        <v>1.215605749486653</v>
      </c>
      <c r="Q2333" s="5" t="str">
        <f t="shared" si="153"/>
        <v>Employed</v>
      </c>
      <c r="R2333">
        <v>1</v>
      </c>
      <c r="S2333">
        <v>1</v>
      </c>
      <c r="T2333">
        <v>1</v>
      </c>
      <c r="U2333">
        <v>1</v>
      </c>
      <c r="W2333">
        <v>2</v>
      </c>
    </row>
    <row r="2334" spans="1:23" x14ac:dyDescent="0.2">
      <c r="A2334">
        <v>5069523</v>
      </c>
      <c r="B2334" t="s">
        <v>18</v>
      </c>
      <c r="C2334" t="s">
        <v>19</v>
      </c>
      <c r="D2334" t="s">
        <v>20</v>
      </c>
      <c r="E2334">
        <v>1</v>
      </c>
      <c r="F2334">
        <v>270000</v>
      </c>
      <c r="G2334" t="s">
        <v>26</v>
      </c>
      <c r="H2334" t="s">
        <v>22</v>
      </c>
      <c r="I2334" t="s">
        <v>28</v>
      </c>
      <c r="J2334" t="s">
        <v>24</v>
      </c>
      <c r="K2334" s="6">
        <f t="shared" ca="1" si="152"/>
        <v>30911</v>
      </c>
      <c r="L2334">
        <v>-14850</v>
      </c>
      <c r="M2334" s="7">
        <f t="shared" ca="1" si="150"/>
        <v>40.657084188911703</v>
      </c>
      <c r="N2334" s="5" t="str">
        <f ca="1">VLOOKUP(Data!M2334,temp!$B$3:$C$9,2,1)</f>
        <v>40-50</v>
      </c>
      <c r="O2334">
        <v>-232</v>
      </c>
      <c r="P2334" s="8">
        <f t="shared" si="151"/>
        <v>0.63518138261464752</v>
      </c>
      <c r="Q2334" s="5" t="str">
        <f t="shared" si="153"/>
        <v>Employed</v>
      </c>
      <c r="R2334">
        <v>1</v>
      </c>
      <c r="S2334">
        <v>0</v>
      </c>
      <c r="T2334">
        <v>0</v>
      </c>
      <c r="U2334">
        <v>1</v>
      </c>
      <c r="V2334" t="s">
        <v>38</v>
      </c>
      <c r="W2334">
        <v>3</v>
      </c>
    </row>
    <row r="2335" spans="1:23" x14ac:dyDescent="0.2">
      <c r="A2335">
        <v>5069530</v>
      </c>
      <c r="B2335" t="s">
        <v>18</v>
      </c>
      <c r="C2335" t="s">
        <v>19</v>
      </c>
      <c r="D2335" t="s">
        <v>20</v>
      </c>
      <c r="E2335">
        <v>0</v>
      </c>
      <c r="F2335">
        <v>162000</v>
      </c>
      <c r="G2335" t="s">
        <v>31</v>
      </c>
      <c r="H2335" t="s">
        <v>22</v>
      </c>
      <c r="I2335" t="s">
        <v>33</v>
      </c>
      <c r="J2335" t="s">
        <v>24</v>
      </c>
      <c r="K2335" s="6">
        <f t="shared" ca="1" si="152"/>
        <v>25667</v>
      </c>
      <c r="L2335">
        <v>-20094</v>
      </c>
      <c r="M2335" s="7">
        <f t="shared" ca="1" si="150"/>
        <v>55.014373716632441</v>
      </c>
      <c r="N2335" s="5" t="str">
        <f ca="1">VLOOKUP(Data!M2335,temp!$B$3:$C$9,2,1)</f>
        <v>50-60</v>
      </c>
      <c r="O2335">
        <v>-3488</v>
      </c>
      <c r="P2335" s="8">
        <f t="shared" si="151"/>
        <v>9.54962354551677</v>
      </c>
      <c r="Q2335" s="5" t="str">
        <f t="shared" si="153"/>
        <v>Employed</v>
      </c>
      <c r="R2335">
        <v>1</v>
      </c>
      <c r="S2335">
        <v>0</v>
      </c>
      <c r="T2335">
        <v>0</v>
      </c>
      <c r="U2335">
        <v>0</v>
      </c>
      <c r="W2335">
        <v>1</v>
      </c>
    </row>
    <row r="2336" spans="1:23" x14ac:dyDescent="0.2">
      <c r="A2336">
        <v>5074526</v>
      </c>
      <c r="B2336" t="s">
        <v>18</v>
      </c>
      <c r="C2336" t="s">
        <v>19</v>
      </c>
      <c r="D2336" t="s">
        <v>20</v>
      </c>
      <c r="E2336">
        <v>0</v>
      </c>
      <c r="F2336">
        <v>202500</v>
      </c>
      <c r="G2336" t="s">
        <v>26</v>
      </c>
      <c r="H2336" t="s">
        <v>27</v>
      </c>
      <c r="I2336" t="s">
        <v>33</v>
      </c>
      <c r="J2336" t="s">
        <v>24</v>
      </c>
      <c r="K2336" s="6">
        <f t="shared" ca="1" si="152"/>
        <v>26708</v>
      </c>
      <c r="L2336">
        <v>-19053</v>
      </c>
      <c r="M2336" s="7">
        <f t="shared" ca="1" si="150"/>
        <v>52.164271047227928</v>
      </c>
      <c r="N2336" s="5" t="str">
        <f ca="1">VLOOKUP(Data!M2336,temp!$B$3:$C$9,2,1)</f>
        <v>50-60</v>
      </c>
      <c r="O2336">
        <v>-3629</v>
      </c>
      <c r="P2336" s="8">
        <f t="shared" si="151"/>
        <v>9.935660506502396</v>
      </c>
      <c r="Q2336" s="5" t="str">
        <f t="shared" si="153"/>
        <v>Employed</v>
      </c>
      <c r="R2336">
        <v>1</v>
      </c>
      <c r="S2336">
        <v>0</v>
      </c>
      <c r="T2336">
        <v>0</v>
      </c>
      <c r="U2336">
        <v>0</v>
      </c>
      <c r="V2336" t="s">
        <v>47</v>
      </c>
      <c r="W2336">
        <v>1</v>
      </c>
    </row>
    <row r="2337" spans="1:23" x14ac:dyDescent="0.2">
      <c r="A2337">
        <v>5074591</v>
      </c>
      <c r="B2337" t="s">
        <v>18</v>
      </c>
      <c r="C2337" t="s">
        <v>20</v>
      </c>
      <c r="D2337" t="s">
        <v>20</v>
      </c>
      <c r="E2337">
        <v>0</v>
      </c>
      <c r="F2337">
        <v>90000</v>
      </c>
      <c r="G2337" t="s">
        <v>31</v>
      </c>
      <c r="H2337" t="s">
        <v>27</v>
      </c>
      <c r="I2337" t="s">
        <v>28</v>
      </c>
      <c r="J2337" t="s">
        <v>24</v>
      </c>
      <c r="K2337" s="6">
        <f t="shared" ca="1" si="152"/>
        <v>24198</v>
      </c>
      <c r="L2337">
        <v>-21563</v>
      </c>
      <c r="M2337" s="7">
        <f t="shared" ca="1" si="150"/>
        <v>59.036276522929498</v>
      </c>
      <c r="N2337" s="5" t="str">
        <f ca="1">VLOOKUP(Data!M2337,temp!$B$3:$C$9,2,1)</f>
        <v>50-60</v>
      </c>
      <c r="O2337">
        <v>-3509</v>
      </c>
      <c r="P2337" s="8">
        <f t="shared" si="151"/>
        <v>9.6071184120465443</v>
      </c>
      <c r="Q2337" s="5" t="str">
        <f t="shared" si="153"/>
        <v>Employed</v>
      </c>
      <c r="R2337">
        <v>1</v>
      </c>
      <c r="S2337">
        <v>1</v>
      </c>
      <c r="T2337">
        <v>1</v>
      </c>
      <c r="U2337">
        <v>0</v>
      </c>
      <c r="V2337" t="s">
        <v>39</v>
      </c>
      <c r="W2337">
        <v>2</v>
      </c>
    </row>
    <row r="2338" spans="1:23" x14ac:dyDescent="0.2">
      <c r="A2338">
        <v>5074615</v>
      </c>
      <c r="B2338" t="s">
        <v>18</v>
      </c>
      <c r="C2338" t="s">
        <v>19</v>
      </c>
      <c r="D2338" t="s">
        <v>20</v>
      </c>
      <c r="E2338">
        <v>0</v>
      </c>
      <c r="F2338">
        <v>211500</v>
      </c>
      <c r="G2338" t="s">
        <v>21</v>
      </c>
      <c r="H2338" t="s">
        <v>27</v>
      </c>
      <c r="I2338" t="s">
        <v>28</v>
      </c>
      <c r="J2338" t="s">
        <v>24</v>
      </c>
      <c r="K2338" s="6">
        <f t="shared" ca="1" si="152"/>
        <v>24133</v>
      </c>
      <c r="L2338">
        <v>-21628</v>
      </c>
      <c r="M2338" s="7">
        <f t="shared" ca="1" si="150"/>
        <v>59.214236824093085</v>
      </c>
      <c r="N2338" s="5" t="str">
        <f ca="1">VLOOKUP(Data!M2338,temp!$B$3:$C$9,2,1)</f>
        <v>50-60</v>
      </c>
      <c r="O2338">
        <v>365243</v>
      </c>
      <c r="P2338" s="8">
        <f t="shared" si="151"/>
        <v>0</v>
      </c>
      <c r="Q2338" s="5" t="str">
        <f t="shared" si="153"/>
        <v>Unemployed</v>
      </c>
      <c r="R2338">
        <v>1</v>
      </c>
      <c r="S2338">
        <v>0</v>
      </c>
      <c r="T2338">
        <v>0</v>
      </c>
      <c r="U2338">
        <v>0</v>
      </c>
      <c r="W2338">
        <v>2</v>
      </c>
    </row>
    <row r="2339" spans="1:23" x14ac:dyDescent="0.2">
      <c r="A2339">
        <v>5074661</v>
      </c>
      <c r="B2339" t="s">
        <v>25</v>
      </c>
      <c r="C2339" t="s">
        <v>19</v>
      </c>
      <c r="D2339" t="s">
        <v>20</v>
      </c>
      <c r="E2339">
        <v>0</v>
      </c>
      <c r="F2339">
        <v>135000</v>
      </c>
      <c r="G2339" t="s">
        <v>31</v>
      </c>
      <c r="H2339" t="s">
        <v>27</v>
      </c>
      <c r="I2339" t="s">
        <v>28</v>
      </c>
      <c r="J2339" t="s">
        <v>24</v>
      </c>
      <c r="K2339" s="6">
        <f t="shared" ca="1" si="152"/>
        <v>24019</v>
      </c>
      <c r="L2339">
        <v>-21742</v>
      </c>
      <c r="M2339" s="7">
        <f t="shared" ca="1" si="150"/>
        <v>59.526351813826146</v>
      </c>
      <c r="N2339" s="5" t="str">
        <f ca="1">VLOOKUP(Data!M2339,temp!$B$3:$C$9,2,1)</f>
        <v>50-60</v>
      </c>
      <c r="O2339">
        <v>-3144</v>
      </c>
      <c r="P2339" s="8">
        <f t="shared" si="151"/>
        <v>8.6078028747433262</v>
      </c>
      <c r="Q2339" s="5" t="str">
        <f t="shared" si="153"/>
        <v>Employed</v>
      </c>
      <c r="R2339">
        <v>1</v>
      </c>
      <c r="S2339">
        <v>0</v>
      </c>
      <c r="T2339">
        <v>0</v>
      </c>
      <c r="U2339">
        <v>0</v>
      </c>
      <c r="V2339" t="s">
        <v>29</v>
      </c>
      <c r="W2339">
        <v>2</v>
      </c>
    </row>
    <row r="2340" spans="1:23" x14ac:dyDescent="0.2">
      <c r="A2340">
        <v>5074684</v>
      </c>
      <c r="B2340" t="s">
        <v>18</v>
      </c>
      <c r="C2340" t="s">
        <v>20</v>
      </c>
      <c r="D2340" t="s">
        <v>19</v>
      </c>
      <c r="E2340">
        <v>0</v>
      </c>
      <c r="F2340">
        <v>135000</v>
      </c>
      <c r="G2340" t="s">
        <v>21</v>
      </c>
      <c r="H2340" t="s">
        <v>27</v>
      </c>
      <c r="I2340" t="s">
        <v>28</v>
      </c>
      <c r="J2340" t="s">
        <v>24</v>
      </c>
      <c r="K2340" s="6">
        <f t="shared" ca="1" si="152"/>
        <v>23747</v>
      </c>
      <c r="L2340">
        <v>-22014</v>
      </c>
      <c r="M2340" s="7">
        <f t="shared" ca="1" si="150"/>
        <v>60.271047227926076</v>
      </c>
      <c r="N2340" s="5" t="str">
        <f ca="1">VLOOKUP(Data!M2340,temp!$B$3:$C$9,2,1)</f>
        <v>60-70</v>
      </c>
      <c r="O2340">
        <v>365243</v>
      </c>
      <c r="P2340" s="8">
        <f t="shared" si="151"/>
        <v>0</v>
      </c>
      <c r="Q2340" s="5" t="str">
        <f t="shared" si="153"/>
        <v>Unemployed</v>
      </c>
      <c r="R2340">
        <v>1</v>
      </c>
      <c r="S2340">
        <v>0</v>
      </c>
      <c r="T2340">
        <v>0</v>
      </c>
      <c r="U2340">
        <v>0</v>
      </c>
      <c r="W2340">
        <v>2</v>
      </c>
    </row>
    <row r="2341" spans="1:23" x14ac:dyDescent="0.2">
      <c r="A2341">
        <v>5074698</v>
      </c>
      <c r="B2341" t="s">
        <v>18</v>
      </c>
      <c r="C2341" t="s">
        <v>19</v>
      </c>
      <c r="D2341" t="s">
        <v>20</v>
      </c>
      <c r="E2341">
        <v>0</v>
      </c>
      <c r="F2341">
        <v>157500</v>
      </c>
      <c r="G2341" t="s">
        <v>31</v>
      </c>
      <c r="H2341" t="s">
        <v>22</v>
      </c>
      <c r="I2341" t="s">
        <v>33</v>
      </c>
      <c r="J2341" t="s">
        <v>24</v>
      </c>
      <c r="K2341" s="6">
        <f t="shared" ca="1" si="152"/>
        <v>23526</v>
      </c>
      <c r="L2341">
        <v>-22235</v>
      </c>
      <c r="M2341" s="7">
        <f t="shared" ca="1" si="150"/>
        <v>60.876112251882276</v>
      </c>
      <c r="N2341" s="5" t="str">
        <f ca="1">VLOOKUP(Data!M2341,temp!$B$3:$C$9,2,1)</f>
        <v>60-70</v>
      </c>
      <c r="O2341">
        <v>-10600</v>
      </c>
      <c r="P2341" s="8">
        <f t="shared" si="151"/>
        <v>29.021218343600275</v>
      </c>
      <c r="Q2341" s="5" t="str">
        <f t="shared" si="153"/>
        <v>Employed</v>
      </c>
      <c r="R2341">
        <v>1</v>
      </c>
      <c r="S2341">
        <v>0</v>
      </c>
      <c r="T2341">
        <v>0</v>
      </c>
      <c r="U2341">
        <v>0</v>
      </c>
      <c r="V2341" t="s">
        <v>29</v>
      </c>
      <c r="W2341">
        <v>1</v>
      </c>
    </row>
    <row r="2342" spans="1:23" x14ac:dyDescent="0.2">
      <c r="A2342">
        <v>5074745</v>
      </c>
      <c r="B2342" t="s">
        <v>18</v>
      </c>
      <c r="C2342" t="s">
        <v>19</v>
      </c>
      <c r="D2342" t="s">
        <v>20</v>
      </c>
      <c r="E2342">
        <v>0</v>
      </c>
      <c r="F2342">
        <v>112500</v>
      </c>
      <c r="G2342" t="s">
        <v>21</v>
      </c>
      <c r="H2342" t="s">
        <v>27</v>
      </c>
      <c r="I2342" t="s">
        <v>28</v>
      </c>
      <c r="J2342" t="s">
        <v>24</v>
      </c>
      <c r="K2342" s="6">
        <f t="shared" ca="1" si="152"/>
        <v>22182</v>
      </c>
      <c r="L2342">
        <v>-23579</v>
      </c>
      <c r="M2342" s="7">
        <f t="shared" ca="1" si="150"/>
        <v>64.555783709787818</v>
      </c>
      <c r="N2342" s="5" t="str">
        <f ca="1">VLOOKUP(Data!M2342,temp!$B$3:$C$9,2,1)</f>
        <v>60-70</v>
      </c>
      <c r="O2342">
        <v>365243</v>
      </c>
      <c r="P2342" s="8">
        <f t="shared" si="151"/>
        <v>0</v>
      </c>
      <c r="Q2342" s="5" t="str">
        <f t="shared" si="153"/>
        <v>Unemployed</v>
      </c>
      <c r="R2342">
        <v>1</v>
      </c>
      <c r="S2342">
        <v>0</v>
      </c>
      <c r="T2342">
        <v>0</v>
      </c>
      <c r="U2342">
        <v>0</v>
      </c>
      <c r="W2342">
        <v>2</v>
      </c>
    </row>
    <row r="2343" spans="1:23" x14ac:dyDescent="0.2">
      <c r="A2343">
        <v>5074753</v>
      </c>
      <c r="B2343" t="s">
        <v>18</v>
      </c>
      <c r="C2343" t="s">
        <v>19</v>
      </c>
      <c r="D2343" t="s">
        <v>20</v>
      </c>
      <c r="E2343">
        <v>0</v>
      </c>
      <c r="F2343">
        <v>108000</v>
      </c>
      <c r="G2343" t="s">
        <v>21</v>
      </c>
      <c r="H2343" t="s">
        <v>27</v>
      </c>
      <c r="I2343" t="s">
        <v>37</v>
      </c>
      <c r="J2343" t="s">
        <v>24</v>
      </c>
      <c r="K2343" s="6">
        <f t="shared" ca="1" si="152"/>
        <v>22912</v>
      </c>
      <c r="L2343">
        <v>-22849</v>
      </c>
      <c r="M2343" s="7">
        <f t="shared" ca="1" si="150"/>
        <v>62.557152635181382</v>
      </c>
      <c r="N2343" s="5" t="str">
        <f ca="1">VLOOKUP(Data!M2343,temp!$B$3:$C$9,2,1)</f>
        <v>60-70</v>
      </c>
      <c r="O2343">
        <v>365243</v>
      </c>
      <c r="P2343" s="8">
        <f t="shared" si="151"/>
        <v>0</v>
      </c>
      <c r="Q2343" s="5" t="str">
        <f t="shared" si="153"/>
        <v>Unemployed</v>
      </c>
      <c r="R2343">
        <v>1</v>
      </c>
      <c r="S2343">
        <v>0</v>
      </c>
      <c r="T2343">
        <v>0</v>
      </c>
      <c r="U2343">
        <v>0</v>
      </c>
      <c r="W2343">
        <v>2</v>
      </c>
    </row>
    <row r="2344" spans="1:23" x14ac:dyDescent="0.2">
      <c r="A2344">
        <v>5074803</v>
      </c>
      <c r="B2344" t="s">
        <v>18</v>
      </c>
      <c r="C2344" t="s">
        <v>20</v>
      </c>
      <c r="D2344" t="s">
        <v>20</v>
      </c>
      <c r="E2344">
        <v>2</v>
      </c>
      <c r="F2344">
        <v>225000</v>
      </c>
      <c r="G2344" t="s">
        <v>31</v>
      </c>
      <c r="H2344" t="s">
        <v>27</v>
      </c>
      <c r="I2344" t="s">
        <v>28</v>
      </c>
      <c r="J2344" t="s">
        <v>24</v>
      </c>
      <c r="K2344" s="6">
        <f t="shared" ca="1" si="152"/>
        <v>32601</v>
      </c>
      <c r="L2344">
        <v>-13160</v>
      </c>
      <c r="M2344" s="7">
        <f t="shared" ca="1" si="150"/>
        <v>36.030116358658454</v>
      </c>
      <c r="N2344" s="5" t="str">
        <f ca="1">VLOOKUP(Data!M2344,temp!$B$3:$C$9,2,1)</f>
        <v>30-40</v>
      </c>
      <c r="O2344">
        <v>-6156</v>
      </c>
      <c r="P2344" s="8">
        <f t="shared" si="151"/>
        <v>16.854209445585216</v>
      </c>
      <c r="Q2344" s="5" t="str">
        <f t="shared" si="153"/>
        <v>Employed</v>
      </c>
      <c r="R2344">
        <v>1</v>
      </c>
      <c r="S2344">
        <v>0</v>
      </c>
      <c r="T2344">
        <v>0</v>
      </c>
      <c r="U2344">
        <v>0</v>
      </c>
      <c r="W2344">
        <v>4</v>
      </c>
    </row>
    <row r="2345" spans="1:23" x14ac:dyDescent="0.2">
      <c r="A2345">
        <v>5078781</v>
      </c>
      <c r="B2345" t="s">
        <v>18</v>
      </c>
      <c r="C2345" t="s">
        <v>19</v>
      </c>
      <c r="D2345" t="s">
        <v>20</v>
      </c>
      <c r="E2345">
        <v>2</v>
      </c>
      <c r="F2345">
        <v>103500</v>
      </c>
      <c r="G2345" t="s">
        <v>31</v>
      </c>
      <c r="H2345" t="s">
        <v>27</v>
      </c>
      <c r="I2345" t="s">
        <v>28</v>
      </c>
      <c r="J2345" t="s">
        <v>24</v>
      </c>
      <c r="K2345" s="6">
        <f t="shared" ca="1" si="152"/>
        <v>30194</v>
      </c>
      <c r="L2345">
        <v>-15567</v>
      </c>
      <c r="M2345" s="7">
        <f t="shared" ca="1" si="150"/>
        <v>42.620123203285424</v>
      </c>
      <c r="N2345" s="5" t="str">
        <f ca="1">VLOOKUP(Data!M2345,temp!$B$3:$C$9,2,1)</f>
        <v>40-50</v>
      </c>
      <c r="O2345">
        <v>-1882</v>
      </c>
      <c r="P2345" s="8">
        <f t="shared" si="151"/>
        <v>5.1526351813826148</v>
      </c>
      <c r="Q2345" s="5" t="str">
        <f t="shared" si="153"/>
        <v>Employed</v>
      </c>
      <c r="R2345">
        <v>1</v>
      </c>
      <c r="S2345">
        <v>1</v>
      </c>
      <c r="T2345">
        <v>1</v>
      </c>
      <c r="U2345">
        <v>0</v>
      </c>
      <c r="V2345" t="s">
        <v>29</v>
      </c>
      <c r="W2345">
        <v>4</v>
      </c>
    </row>
    <row r="2346" spans="1:23" x14ac:dyDescent="0.2">
      <c r="A2346">
        <v>5078817</v>
      </c>
      <c r="B2346" t="s">
        <v>18</v>
      </c>
      <c r="C2346" t="s">
        <v>19</v>
      </c>
      <c r="D2346" t="s">
        <v>19</v>
      </c>
      <c r="E2346">
        <v>2</v>
      </c>
      <c r="F2346">
        <v>225000</v>
      </c>
      <c r="G2346" t="s">
        <v>26</v>
      </c>
      <c r="H2346" t="s">
        <v>27</v>
      </c>
      <c r="I2346" t="s">
        <v>28</v>
      </c>
      <c r="J2346" t="s">
        <v>24</v>
      </c>
      <c r="K2346" s="6">
        <f t="shared" ca="1" si="152"/>
        <v>31285</v>
      </c>
      <c r="L2346">
        <v>-14476</v>
      </c>
      <c r="M2346" s="7">
        <f t="shared" ca="1" si="150"/>
        <v>39.633127994524301</v>
      </c>
      <c r="N2346" s="5" t="str">
        <f ca="1">VLOOKUP(Data!M2346,temp!$B$3:$C$9,2,1)</f>
        <v>30-40</v>
      </c>
      <c r="O2346">
        <v>-4987</v>
      </c>
      <c r="P2346" s="8">
        <f t="shared" si="151"/>
        <v>13.653661875427789</v>
      </c>
      <c r="Q2346" s="5" t="str">
        <f t="shared" si="153"/>
        <v>Employed</v>
      </c>
      <c r="R2346">
        <v>1</v>
      </c>
      <c r="S2346">
        <v>0</v>
      </c>
      <c r="T2346">
        <v>0</v>
      </c>
      <c r="U2346">
        <v>0</v>
      </c>
      <c r="V2346" t="s">
        <v>47</v>
      </c>
      <c r="W2346">
        <v>4</v>
      </c>
    </row>
    <row r="2347" spans="1:23" x14ac:dyDescent="0.2">
      <c r="A2347">
        <v>5078829</v>
      </c>
      <c r="B2347" t="s">
        <v>25</v>
      </c>
      <c r="C2347" t="s">
        <v>20</v>
      </c>
      <c r="D2347" t="s">
        <v>19</v>
      </c>
      <c r="E2347">
        <v>1</v>
      </c>
      <c r="F2347">
        <v>135000</v>
      </c>
      <c r="G2347" t="s">
        <v>26</v>
      </c>
      <c r="H2347" t="s">
        <v>27</v>
      </c>
      <c r="I2347" t="s">
        <v>33</v>
      </c>
      <c r="J2347" t="s">
        <v>24</v>
      </c>
      <c r="K2347" s="6">
        <f t="shared" ca="1" si="152"/>
        <v>28574</v>
      </c>
      <c r="L2347">
        <v>-17187</v>
      </c>
      <c r="M2347" s="7">
        <f t="shared" ca="1" si="150"/>
        <v>47.055441478439427</v>
      </c>
      <c r="N2347" s="5" t="str">
        <f ca="1">VLOOKUP(Data!M2347,temp!$B$3:$C$9,2,1)</f>
        <v>40-50</v>
      </c>
      <c r="O2347">
        <v>-178</v>
      </c>
      <c r="P2347" s="8">
        <f t="shared" si="151"/>
        <v>0.48733744010951402</v>
      </c>
      <c r="Q2347" s="5" t="str">
        <f t="shared" si="153"/>
        <v>Employed</v>
      </c>
      <c r="R2347">
        <v>1</v>
      </c>
      <c r="S2347">
        <v>0</v>
      </c>
      <c r="T2347">
        <v>0</v>
      </c>
      <c r="U2347">
        <v>0</v>
      </c>
      <c r="V2347" t="s">
        <v>30</v>
      </c>
      <c r="W2347">
        <v>2</v>
      </c>
    </row>
    <row r="2348" spans="1:23" x14ac:dyDescent="0.2">
      <c r="A2348">
        <v>5078852</v>
      </c>
      <c r="B2348" t="s">
        <v>25</v>
      </c>
      <c r="C2348" t="s">
        <v>20</v>
      </c>
      <c r="D2348" t="s">
        <v>20</v>
      </c>
      <c r="E2348">
        <v>0</v>
      </c>
      <c r="F2348">
        <v>135000</v>
      </c>
      <c r="G2348" t="s">
        <v>31</v>
      </c>
      <c r="H2348" t="s">
        <v>22</v>
      </c>
      <c r="I2348" t="s">
        <v>37</v>
      </c>
      <c r="J2348" t="s">
        <v>24</v>
      </c>
      <c r="K2348" s="6">
        <f t="shared" ca="1" si="152"/>
        <v>26439</v>
      </c>
      <c r="L2348">
        <v>-19322</v>
      </c>
      <c r="M2348" s="7">
        <f t="shared" ca="1" si="150"/>
        <v>52.90075290896646</v>
      </c>
      <c r="N2348" s="5" t="str">
        <f ca="1">VLOOKUP(Data!M2348,temp!$B$3:$C$9,2,1)</f>
        <v>50-60</v>
      </c>
      <c r="O2348">
        <v>-663</v>
      </c>
      <c r="P2348" s="8">
        <f t="shared" si="151"/>
        <v>1.8151950718685832</v>
      </c>
      <c r="Q2348" s="5" t="str">
        <f t="shared" si="153"/>
        <v>Employed</v>
      </c>
      <c r="R2348">
        <v>1</v>
      </c>
      <c r="S2348">
        <v>1</v>
      </c>
      <c r="T2348">
        <v>1</v>
      </c>
      <c r="U2348">
        <v>0</v>
      </c>
      <c r="V2348" t="s">
        <v>29</v>
      </c>
      <c r="W2348">
        <v>2</v>
      </c>
    </row>
    <row r="2349" spans="1:23" x14ac:dyDescent="0.2">
      <c r="A2349">
        <v>5078853</v>
      </c>
      <c r="B2349" t="s">
        <v>25</v>
      </c>
      <c r="C2349" t="s">
        <v>20</v>
      </c>
      <c r="D2349" t="s">
        <v>20</v>
      </c>
      <c r="E2349">
        <v>0</v>
      </c>
      <c r="F2349">
        <v>135000</v>
      </c>
      <c r="G2349" t="s">
        <v>31</v>
      </c>
      <c r="H2349" t="s">
        <v>22</v>
      </c>
      <c r="I2349" t="s">
        <v>37</v>
      </c>
      <c r="J2349" t="s">
        <v>24</v>
      </c>
      <c r="K2349" s="6">
        <f t="shared" ca="1" si="152"/>
        <v>26439</v>
      </c>
      <c r="L2349">
        <v>-19322</v>
      </c>
      <c r="M2349" s="7">
        <f t="shared" ca="1" si="150"/>
        <v>52.90075290896646</v>
      </c>
      <c r="N2349" s="5" t="str">
        <f ca="1">VLOOKUP(Data!M2349,temp!$B$3:$C$9,2,1)</f>
        <v>50-60</v>
      </c>
      <c r="O2349">
        <v>-663</v>
      </c>
      <c r="P2349" s="8">
        <f t="shared" si="151"/>
        <v>1.8151950718685832</v>
      </c>
      <c r="Q2349" s="5" t="str">
        <f t="shared" si="153"/>
        <v>Employed</v>
      </c>
      <c r="R2349">
        <v>1</v>
      </c>
      <c r="S2349">
        <v>1</v>
      </c>
      <c r="T2349">
        <v>1</v>
      </c>
      <c r="U2349">
        <v>0</v>
      </c>
      <c r="V2349" t="s">
        <v>29</v>
      </c>
      <c r="W2349">
        <v>2</v>
      </c>
    </row>
    <row r="2350" spans="1:23" x14ac:dyDescent="0.2">
      <c r="A2350">
        <v>5078857</v>
      </c>
      <c r="B2350" t="s">
        <v>25</v>
      </c>
      <c r="C2350" t="s">
        <v>19</v>
      </c>
      <c r="D2350" t="s">
        <v>19</v>
      </c>
      <c r="E2350">
        <v>0</v>
      </c>
      <c r="F2350">
        <v>360000</v>
      </c>
      <c r="G2350" t="s">
        <v>31</v>
      </c>
      <c r="H2350" t="s">
        <v>27</v>
      </c>
      <c r="I2350" t="s">
        <v>28</v>
      </c>
      <c r="J2350" t="s">
        <v>34</v>
      </c>
      <c r="K2350" s="6">
        <f t="shared" ca="1" si="152"/>
        <v>31803</v>
      </c>
      <c r="L2350">
        <v>-13958</v>
      </c>
      <c r="M2350" s="7">
        <f t="shared" ca="1" si="150"/>
        <v>38.214921286789867</v>
      </c>
      <c r="N2350" s="5" t="str">
        <f ca="1">VLOOKUP(Data!M2350,temp!$B$3:$C$9,2,1)</f>
        <v>30-40</v>
      </c>
      <c r="O2350">
        <v>-969</v>
      </c>
      <c r="P2350" s="8">
        <f t="shared" si="151"/>
        <v>2.6529774127310062</v>
      </c>
      <c r="Q2350" s="5" t="str">
        <f t="shared" si="153"/>
        <v>Employed</v>
      </c>
      <c r="R2350">
        <v>1</v>
      </c>
      <c r="S2350">
        <v>0</v>
      </c>
      <c r="T2350">
        <v>1</v>
      </c>
      <c r="U2350">
        <v>0</v>
      </c>
      <c r="V2350" t="s">
        <v>30</v>
      </c>
      <c r="W2350">
        <v>2</v>
      </c>
    </row>
    <row r="2351" spans="1:23" x14ac:dyDescent="0.2">
      <c r="A2351">
        <v>5078863</v>
      </c>
      <c r="B2351" t="s">
        <v>18</v>
      </c>
      <c r="C2351" t="s">
        <v>19</v>
      </c>
      <c r="D2351" t="s">
        <v>20</v>
      </c>
      <c r="E2351">
        <v>1</v>
      </c>
      <c r="F2351">
        <v>121500</v>
      </c>
      <c r="G2351" t="s">
        <v>31</v>
      </c>
      <c r="H2351" t="s">
        <v>27</v>
      </c>
      <c r="I2351" t="s">
        <v>28</v>
      </c>
      <c r="J2351" t="s">
        <v>24</v>
      </c>
      <c r="K2351" s="6">
        <f t="shared" ca="1" si="152"/>
        <v>32273</v>
      </c>
      <c r="L2351">
        <v>-13488</v>
      </c>
      <c r="M2351" s="7">
        <f t="shared" ca="1" si="150"/>
        <v>36.928131416837779</v>
      </c>
      <c r="N2351" s="5" t="str">
        <f ca="1">VLOOKUP(Data!M2351,temp!$B$3:$C$9,2,1)</f>
        <v>30-40</v>
      </c>
      <c r="O2351">
        <v>-1305</v>
      </c>
      <c r="P2351" s="8">
        <f t="shared" si="151"/>
        <v>3.5728952772073921</v>
      </c>
      <c r="Q2351" s="5" t="str">
        <f t="shared" si="153"/>
        <v>Employed</v>
      </c>
      <c r="R2351">
        <v>1</v>
      </c>
      <c r="S2351">
        <v>1</v>
      </c>
      <c r="T2351">
        <v>0</v>
      </c>
      <c r="U2351">
        <v>0</v>
      </c>
      <c r="V2351" t="s">
        <v>55</v>
      </c>
      <c r="W2351">
        <v>3</v>
      </c>
    </row>
    <row r="2352" spans="1:23" x14ac:dyDescent="0.2">
      <c r="A2352">
        <v>5078871</v>
      </c>
      <c r="B2352" t="s">
        <v>25</v>
      </c>
      <c r="C2352" t="s">
        <v>20</v>
      </c>
      <c r="D2352" t="s">
        <v>19</v>
      </c>
      <c r="E2352">
        <v>1</v>
      </c>
      <c r="F2352">
        <v>225000</v>
      </c>
      <c r="G2352" t="s">
        <v>26</v>
      </c>
      <c r="H2352" t="s">
        <v>27</v>
      </c>
      <c r="I2352" t="s">
        <v>28</v>
      </c>
      <c r="J2352" t="s">
        <v>24</v>
      </c>
      <c r="K2352" s="6">
        <f t="shared" ca="1" si="152"/>
        <v>33866</v>
      </c>
      <c r="L2352">
        <v>-11895</v>
      </c>
      <c r="M2352" s="7">
        <f t="shared" ca="1" si="150"/>
        <v>32.566735112936342</v>
      </c>
      <c r="N2352" s="5" t="str">
        <f ca="1">VLOOKUP(Data!M2352,temp!$B$3:$C$9,2,1)</f>
        <v>30-40</v>
      </c>
      <c r="O2352">
        <v>-663</v>
      </c>
      <c r="P2352" s="8">
        <f t="shared" si="151"/>
        <v>1.8151950718685832</v>
      </c>
      <c r="Q2352" s="5" t="str">
        <f t="shared" si="153"/>
        <v>Employed</v>
      </c>
      <c r="R2352">
        <v>1</v>
      </c>
      <c r="S2352">
        <v>0</v>
      </c>
      <c r="T2352">
        <v>0</v>
      </c>
      <c r="U2352">
        <v>0</v>
      </c>
      <c r="V2352" t="s">
        <v>29</v>
      </c>
      <c r="W2352">
        <v>3</v>
      </c>
    </row>
    <row r="2353" spans="1:23" x14ac:dyDescent="0.2">
      <c r="A2353">
        <v>5078877</v>
      </c>
      <c r="B2353" t="s">
        <v>18</v>
      </c>
      <c r="C2353" t="s">
        <v>19</v>
      </c>
      <c r="D2353" t="s">
        <v>20</v>
      </c>
      <c r="E2353">
        <v>0</v>
      </c>
      <c r="F2353">
        <v>121500</v>
      </c>
      <c r="G2353" t="s">
        <v>21</v>
      </c>
      <c r="H2353" t="s">
        <v>27</v>
      </c>
      <c r="I2353" t="s">
        <v>42</v>
      </c>
      <c r="J2353" t="s">
        <v>24</v>
      </c>
      <c r="K2353" s="6">
        <f t="shared" ca="1" si="152"/>
        <v>24395</v>
      </c>
      <c r="L2353">
        <v>-21366</v>
      </c>
      <c r="M2353" s="7">
        <f t="shared" ca="1" si="150"/>
        <v>58.496919917864474</v>
      </c>
      <c r="N2353" s="5" t="str">
        <f ca="1">VLOOKUP(Data!M2353,temp!$B$3:$C$9,2,1)</f>
        <v>50-60</v>
      </c>
      <c r="O2353">
        <v>365243</v>
      </c>
      <c r="P2353" s="8">
        <f t="shared" si="151"/>
        <v>0</v>
      </c>
      <c r="Q2353" s="5" t="str">
        <f t="shared" si="153"/>
        <v>Unemployed</v>
      </c>
      <c r="R2353">
        <v>1</v>
      </c>
      <c r="S2353">
        <v>0</v>
      </c>
      <c r="T2353">
        <v>0</v>
      </c>
      <c r="U2353">
        <v>0</v>
      </c>
      <c r="W2353">
        <v>1</v>
      </c>
    </row>
    <row r="2354" spans="1:23" x14ac:dyDescent="0.2">
      <c r="A2354">
        <v>5078882</v>
      </c>
      <c r="B2354" t="s">
        <v>18</v>
      </c>
      <c r="C2354" t="s">
        <v>19</v>
      </c>
      <c r="D2354" t="s">
        <v>20</v>
      </c>
      <c r="E2354">
        <v>0</v>
      </c>
      <c r="F2354">
        <v>121500</v>
      </c>
      <c r="G2354" t="s">
        <v>21</v>
      </c>
      <c r="H2354" t="s">
        <v>27</v>
      </c>
      <c r="I2354" t="s">
        <v>42</v>
      </c>
      <c r="J2354" t="s">
        <v>24</v>
      </c>
      <c r="K2354" s="6">
        <f t="shared" ca="1" si="152"/>
        <v>24395</v>
      </c>
      <c r="L2354">
        <v>-21366</v>
      </c>
      <c r="M2354" s="7">
        <f t="shared" ca="1" si="150"/>
        <v>58.496919917864474</v>
      </c>
      <c r="N2354" s="5" t="str">
        <f ca="1">VLOOKUP(Data!M2354,temp!$B$3:$C$9,2,1)</f>
        <v>50-60</v>
      </c>
      <c r="O2354">
        <v>365243</v>
      </c>
      <c r="P2354" s="8">
        <f t="shared" si="151"/>
        <v>0</v>
      </c>
      <c r="Q2354" s="5" t="str">
        <f t="shared" si="153"/>
        <v>Unemployed</v>
      </c>
      <c r="R2354">
        <v>1</v>
      </c>
      <c r="S2354">
        <v>0</v>
      </c>
      <c r="T2354">
        <v>0</v>
      </c>
      <c r="U2354">
        <v>0</v>
      </c>
      <c r="W2354">
        <v>1</v>
      </c>
    </row>
    <row r="2355" spans="1:23" x14ac:dyDescent="0.2">
      <c r="A2355">
        <v>5078889</v>
      </c>
      <c r="B2355" t="s">
        <v>18</v>
      </c>
      <c r="C2355" t="s">
        <v>20</v>
      </c>
      <c r="D2355" t="s">
        <v>20</v>
      </c>
      <c r="E2355">
        <v>0</v>
      </c>
      <c r="F2355">
        <v>148500</v>
      </c>
      <c r="G2355" t="s">
        <v>26</v>
      </c>
      <c r="H2355" t="s">
        <v>27</v>
      </c>
      <c r="I2355" t="s">
        <v>28</v>
      </c>
      <c r="J2355" t="s">
        <v>53</v>
      </c>
      <c r="K2355" s="6">
        <f t="shared" ca="1" si="152"/>
        <v>28654</v>
      </c>
      <c r="L2355">
        <v>-17107</v>
      </c>
      <c r="M2355" s="7">
        <f t="shared" ca="1" si="150"/>
        <v>46.836413415468854</v>
      </c>
      <c r="N2355" s="5" t="str">
        <f ca="1">VLOOKUP(Data!M2355,temp!$B$3:$C$9,2,1)</f>
        <v>40-50</v>
      </c>
      <c r="O2355">
        <v>-2277</v>
      </c>
      <c r="P2355" s="8">
        <f t="shared" si="151"/>
        <v>6.2340862422997949</v>
      </c>
      <c r="Q2355" s="5" t="str">
        <f t="shared" si="153"/>
        <v>Employed</v>
      </c>
      <c r="R2355">
        <v>1</v>
      </c>
      <c r="S2355">
        <v>0</v>
      </c>
      <c r="T2355">
        <v>0</v>
      </c>
      <c r="U2355">
        <v>0</v>
      </c>
      <c r="V2355" t="s">
        <v>38</v>
      </c>
      <c r="W2355">
        <v>2</v>
      </c>
    </row>
    <row r="2356" spans="1:23" x14ac:dyDescent="0.2">
      <c r="A2356">
        <v>5078900</v>
      </c>
      <c r="B2356" t="s">
        <v>18</v>
      </c>
      <c r="C2356" t="s">
        <v>19</v>
      </c>
      <c r="D2356" t="s">
        <v>20</v>
      </c>
      <c r="E2356">
        <v>1</v>
      </c>
      <c r="F2356">
        <v>180000</v>
      </c>
      <c r="G2356" t="s">
        <v>31</v>
      </c>
      <c r="H2356" t="s">
        <v>22</v>
      </c>
      <c r="I2356" t="s">
        <v>37</v>
      </c>
      <c r="J2356" t="s">
        <v>24</v>
      </c>
      <c r="K2356" s="6">
        <f t="shared" ca="1" si="152"/>
        <v>31994</v>
      </c>
      <c r="L2356">
        <v>-13767</v>
      </c>
      <c r="M2356" s="7">
        <f t="shared" ca="1" si="150"/>
        <v>37.691991786447637</v>
      </c>
      <c r="N2356" s="5" t="str">
        <f ca="1">VLOOKUP(Data!M2356,temp!$B$3:$C$9,2,1)</f>
        <v>30-40</v>
      </c>
      <c r="O2356">
        <v>-1882</v>
      </c>
      <c r="P2356" s="8">
        <f t="shared" si="151"/>
        <v>5.1526351813826148</v>
      </c>
      <c r="Q2356" s="5" t="str">
        <f t="shared" si="153"/>
        <v>Employed</v>
      </c>
      <c r="R2356">
        <v>1</v>
      </c>
      <c r="S2356">
        <v>0</v>
      </c>
      <c r="T2356">
        <v>0</v>
      </c>
      <c r="U2356">
        <v>0</v>
      </c>
      <c r="V2356" t="s">
        <v>39</v>
      </c>
      <c r="W2356">
        <v>3</v>
      </c>
    </row>
    <row r="2357" spans="1:23" x14ac:dyDescent="0.2">
      <c r="A2357">
        <v>5078901</v>
      </c>
      <c r="B2357" t="s">
        <v>18</v>
      </c>
      <c r="C2357" t="s">
        <v>19</v>
      </c>
      <c r="D2357" t="s">
        <v>20</v>
      </c>
      <c r="E2357">
        <v>1</v>
      </c>
      <c r="F2357">
        <v>180000</v>
      </c>
      <c r="G2357" t="s">
        <v>31</v>
      </c>
      <c r="H2357" t="s">
        <v>22</v>
      </c>
      <c r="I2357" t="s">
        <v>37</v>
      </c>
      <c r="J2357" t="s">
        <v>24</v>
      </c>
      <c r="K2357" s="6">
        <f t="shared" ca="1" si="152"/>
        <v>31994</v>
      </c>
      <c r="L2357">
        <v>-13767</v>
      </c>
      <c r="M2357" s="7">
        <f t="shared" ca="1" si="150"/>
        <v>37.691991786447637</v>
      </c>
      <c r="N2357" s="5" t="str">
        <f ca="1">VLOOKUP(Data!M2357,temp!$B$3:$C$9,2,1)</f>
        <v>30-40</v>
      </c>
      <c r="O2357">
        <v>-1882</v>
      </c>
      <c r="P2357" s="8">
        <f t="shared" si="151"/>
        <v>5.1526351813826148</v>
      </c>
      <c r="Q2357" s="5" t="str">
        <f t="shared" si="153"/>
        <v>Employed</v>
      </c>
      <c r="R2357">
        <v>1</v>
      </c>
      <c r="S2357">
        <v>0</v>
      </c>
      <c r="T2357">
        <v>0</v>
      </c>
      <c r="U2357">
        <v>0</v>
      </c>
      <c r="V2357" t="s">
        <v>39</v>
      </c>
      <c r="W2357">
        <v>3</v>
      </c>
    </row>
    <row r="2358" spans="1:23" x14ac:dyDescent="0.2">
      <c r="A2358">
        <v>5078905</v>
      </c>
      <c r="B2358" t="s">
        <v>18</v>
      </c>
      <c r="C2358" t="s">
        <v>19</v>
      </c>
      <c r="D2358" t="s">
        <v>20</v>
      </c>
      <c r="E2358">
        <v>1</v>
      </c>
      <c r="F2358">
        <v>180000</v>
      </c>
      <c r="G2358" t="s">
        <v>31</v>
      </c>
      <c r="H2358" t="s">
        <v>22</v>
      </c>
      <c r="I2358" t="s">
        <v>37</v>
      </c>
      <c r="J2358" t="s">
        <v>24</v>
      </c>
      <c r="K2358" s="6">
        <f t="shared" ca="1" si="152"/>
        <v>31994</v>
      </c>
      <c r="L2358">
        <v>-13767</v>
      </c>
      <c r="M2358" s="7">
        <f t="shared" ca="1" si="150"/>
        <v>37.691991786447637</v>
      </c>
      <c r="N2358" s="5" t="str">
        <f ca="1">VLOOKUP(Data!M2358,temp!$B$3:$C$9,2,1)</f>
        <v>30-40</v>
      </c>
      <c r="O2358">
        <v>-1882</v>
      </c>
      <c r="P2358" s="8">
        <f t="shared" si="151"/>
        <v>5.1526351813826148</v>
      </c>
      <c r="Q2358" s="5" t="str">
        <f t="shared" si="153"/>
        <v>Employed</v>
      </c>
      <c r="R2358">
        <v>1</v>
      </c>
      <c r="S2358">
        <v>0</v>
      </c>
      <c r="T2358">
        <v>0</v>
      </c>
      <c r="U2358">
        <v>0</v>
      </c>
      <c r="V2358" t="s">
        <v>39</v>
      </c>
      <c r="W2358">
        <v>3</v>
      </c>
    </row>
    <row r="2359" spans="1:23" x14ac:dyDescent="0.2">
      <c r="A2359">
        <v>5078906</v>
      </c>
      <c r="B2359" t="s">
        <v>18</v>
      </c>
      <c r="C2359" t="s">
        <v>19</v>
      </c>
      <c r="D2359" t="s">
        <v>20</v>
      </c>
      <c r="E2359">
        <v>1</v>
      </c>
      <c r="F2359">
        <v>180000</v>
      </c>
      <c r="G2359" t="s">
        <v>31</v>
      </c>
      <c r="H2359" t="s">
        <v>22</v>
      </c>
      <c r="I2359" t="s">
        <v>37</v>
      </c>
      <c r="J2359" t="s">
        <v>24</v>
      </c>
      <c r="K2359" s="6">
        <f t="shared" ca="1" si="152"/>
        <v>31994</v>
      </c>
      <c r="L2359">
        <v>-13767</v>
      </c>
      <c r="M2359" s="7">
        <f t="shared" ca="1" si="150"/>
        <v>37.691991786447637</v>
      </c>
      <c r="N2359" s="5" t="str">
        <f ca="1">VLOOKUP(Data!M2359,temp!$B$3:$C$9,2,1)</f>
        <v>30-40</v>
      </c>
      <c r="O2359">
        <v>-1882</v>
      </c>
      <c r="P2359" s="8">
        <f t="shared" si="151"/>
        <v>5.1526351813826148</v>
      </c>
      <c r="Q2359" s="5" t="str">
        <f t="shared" si="153"/>
        <v>Employed</v>
      </c>
      <c r="R2359">
        <v>1</v>
      </c>
      <c r="S2359">
        <v>0</v>
      </c>
      <c r="T2359">
        <v>0</v>
      </c>
      <c r="U2359">
        <v>0</v>
      </c>
      <c r="V2359" t="s">
        <v>39</v>
      </c>
      <c r="W2359">
        <v>3</v>
      </c>
    </row>
    <row r="2360" spans="1:23" x14ac:dyDescent="0.2">
      <c r="A2360">
        <v>5078932</v>
      </c>
      <c r="B2360" t="s">
        <v>25</v>
      </c>
      <c r="C2360" t="s">
        <v>19</v>
      </c>
      <c r="D2360" t="s">
        <v>19</v>
      </c>
      <c r="E2360">
        <v>0</v>
      </c>
      <c r="F2360">
        <v>112500</v>
      </c>
      <c r="G2360" t="s">
        <v>26</v>
      </c>
      <c r="H2360" t="s">
        <v>27</v>
      </c>
      <c r="I2360" t="s">
        <v>33</v>
      </c>
      <c r="J2360" t="s">
        <v>45</v>
      </c>
      <c r="K2360" s="6">
        <f t="shared" ca="1" si="152"/>
        <v>29908</v>
      </c>
      <c r="L2360">
        <v>-15853</v>
      </c>
      <c r="M2360" s="7">
        <f t="shared" ca="1" si="150"/>
        <v>43.403148528405204</v>
      </c>
      <c r="N2360" s="5" t="str">
        <f ca="1">VLOOKUP(Data!M2360,temp!$B$3:$C$9,2,1)</f>
        <v>40-50</v>
      </c>
      <c r="O2360">
        <v>-298</v>
      </c>
      <c r="P2360" s="8">
        <f t="shared" si="151"/>
        <v>0.81587953456536622</v>
      </c>
      <c r="Q2360" s="5" t="str">
        <f t="shared" si="153"/>
        <v>Employed</v>
      </c>
      <c r="R2360">
        <v>1</v>
      </c>
      <c r="S2360">
        <v>0</v>
      </c>
      <c r="T2360">
        <v>1</v>
      </c>
      <c r="U2360">
        <v>0</v>
      </c>
      <c r="V2360" t="s">
        <v>29</v>
      </c>
      <c r="W2360">
        <v>1</v>
      </c>
    </row>
    <row r="2361" spans="1:23" x14ac:dyDescent="0.2">
      <c r="A2361">
        <v>5078960</v>
      </c>
      <c r="B2361" t="s">
        <v>18</v>
      </c>
      <c r="C2361" t="s">
        <v>19</v>
      </c>
      <c r="D2361" t="s">
        <v>20</v>
      </c>
      <c r="E2361">
        <v>0</v>
      </c>
      <c r="F2361">
        <v>157500</v>
      </c>
      <c r="G2361" t="s">
        <v>26</v>
      </c>
      <c r="H2361" t="s">
        <v>27</v>
      </c>
      <c r="I2361" t="s">
        <v>23</v>
      </c>
      <c r="J2361" t="s">
        <v>24</v>
      </c>
      <c r="K2361" s="6">
        <f t="shared" ca="1" si="152"/>
        <v>33752</v>
      </c>
      <c r="L2361">
        <v>-12009</v>
      </c>
      <c r="M2361" s="7">
        <f t="shared" ca="1" si="150"/>
        <v>32.878850102669404</v>
      </c>
      <c r="N2361" s="5" t="str">
        <f ca="1">VLOOKUP(Data!M2361,temp!$B$3:$C$9,2,1)</f>
        <v>30-40</v>
      </c>
      <c r="O2361">
        <v>-1912</v>
      </c>
      <c r="P2361" s="8">
        <f t="shared" si="151"/>
        <v>5.2347707049965777</v>
      </c>
      <c r="Q2361" s="5" t="str">
        <f t="shared" si="153"/>
        <v>Employed</v>
      </c>
      <c r="R2361">
        <v>1</v>
      </c>
      <c r="S2361">
        <v>0</v>
      </c>
      <c r="T2361">
        <v>1</v>
      </c>
      <c r="U2361">
        <v>0</v>
      </c>
      <c r="V2361" t="s">
        <v>39</v>
      </c>
      <c r="W2361">
        <v>1</v>
      </c>
    </row>
    <row r="2362" spans="1:23" x14ac:dyDescent="0.2">
      <c r="A2362">
        <v>5079007</v>
      </c>
      <c r="B2362" t="s">
        <v>25</v>
      </c>
      <c r="C2362" t="s">
        <v>19</v>
      </c>
      <c r="D2362" t="s">
        <v>20</v>
      </c>
      <c r="E2362">
        <v>0</v>
      </c>
      <c r="F2362">
        <v>202500</v>
      </c>
      <c r="G2362" t="s">
        <v>26</v>
      </c>
      <c r="H2362" t="s">
        <v>22</v>
      </c>
      <c r="I2362" t="s">
        <v>28</v>
      </c>
      <c r="J2362" t="s">
        <v>45</v>
      </c>
      <c r="K2362" s="6">
        <f t="shared" ca="1" si="152"/>
        <v>24916</v>
      </c>
      <c r="L2362">
        <v>-20845</v>
      </c>
      <c r="M2362" s="7">
        <f t="shared" ca="1" si="150"/>
        <v>57.07049965776865</v>
      </c>
      <c r="N2362" s="5" t="str">
        <f ca="1">VLOOKUP(Data!M2362,temp!$B$3:$C$9,2,1)</f>
        <v>50-60</v>
      </c>
      <c r="O2362">
        <v>-847</v>
      </c>
      <c r="P2362" s="8">
        <f t="shared" si="151"/>
        <v>2.3189596167008899</v>
      </c>
      <c r="Q2362" s="5" t="str">
        <f t="shared" si="153"/>
        <v>Employed</v>
      </c>
      <c r="R2362">
        <v>1</v>
      </c>
      <c r="S2362">
        <v>0</v>
      </c>
      <c r="T2362">
        <v>0</v>
      </c>
      <c r="U2362">
        <v>0</v>
      </c>
      <c r="W2362">
        <v>2</v>
      </c>
    </row>
    <row r="2363" spans="1:23" x14ac:dyDescent="0.2">
      <c r="A2363">
        <v>5079008</v>
      </c>
      <c r="B2363" t="s">
        <v>25</v>
      </c>
      <c r="C2363" t="s">
        <v>20</v>
      </c>
      <c r="D2363" t="s">
        <v>20</v>
      </c>
      <c r="E2363">
        <v>1</v>
      </c>
      <c r="F2363">
        <v>225000</v>
      </c>
      <c r="G2363" t="s">
        <v>31</v>
      </c>
      <c r="H2363" t="s">
        <v>27</v>
      </c>
      <c r="I2363" t="s">
        <v>28</v>
      </c>
      <c r="J2363" t="s">
        <v>24</v>
      </c>
      <c r="K2363" s="6">
        <f t="shared" ca="1" si="152"/>
        <v>31478</v>
      </c>
      <c r="L2363">
        <v>-14283</v>
      </c>
      <c r="M2363" s="7">
        <f t="shared" ca="1" si="150"/>
        <v>39.104722792607802</v>
      </c>
      <c r="N2363" s="5" t="str">
        <f ca="1">VLOOKUP(Data!M2363,temp!$B$3:$C$9,2,1)</f>
        <v>30-40</v>
      </c>
      <c r="O2363">
        <v>-1609</v>
      </c>
      <c r="P2363" s="8">
        <f t="shared" si="151"/>
        <v>4.4052019164955514</v>
      </c>
      <c r="Q2363" s="5" t="str">
        <f t="shared" si="153"/>
        <v>Employed</v>
      </c>
      <c r="R2363">
        <v>1</v>
      </c>
      <c r="S2363">
        <v>0</v>
      </c>
      <c r="T2363">
        <v>0</v>
      </c>
      <c r="U2363">
        <v>0</v>
      </c>
      <c r="V2363" t="s">
        <v>32</v>
      </c>
      <c r="W2363">
        <v>3</v>
      </c>
    </row>
    <row r="2364" spans="1:23" x14ac:dyDescent="0.2">
      <c r="A2364">
        <v>5079013</v>
      </c>
      <c r="B2364" t="s">
        <v>25</v>
      </c>
      <c r="C2364" t="s">
        <v>20</v>
      </c>
      <c r="D2364" t="s">
        <v>20</v>
      </c>
      <c r="E2364">
        <v>2</v>
      </c>
      <c r="F2364">
        <v>900000</v>
      </c>
      <c r="G2364" t="s">
        <v>26</v>
      </c>
      <c r="H2364" t="s">
        <v>22</v>
      </c>
      <c r="I2364" t="s">
        <v>28</v>
      </c>
      <c r="J2364" t="s">
        <v>24</v>
      </c>
      <c r="K2364" s="6">
        <f t="shared" ca="1" si="152"/>
        <v>35872</v>
      </c>
      <c r="L2364">
        <v>-9889</v>
      </c>
      <c r="M2364" s="7">
        <f t="shared" ca="1" si="150"/>
        <v>27.074606433949349</v>
      </c>
      <c r="N2364" s="5" t="str">
        <f ca="1">VLOOKUP(Data!M2364,temp!$B$3:$C$9,2,1)</f>
        <v>20-30</v>
      </c>
      <c r="O2364">
        <v>-1000</v>
      </c>
      <c r="P2364" s="8">
        <f t="shared" si="151"/>
        <v>2.7378507871321012</v>
      </c>
      <c r="Q2364" s="5" t="str">
        <f t="shared" si="153"/>
        <v>Employed</v>
      </c>
      <c r="R2364">
        <v>1</v>
      </c>
      <c r="S2364">
        <v>0</v>
      </c>
      <c r="T2364">
        <v>0</v>
      </c>
      <c r="U2364">
        <v>0</v>
      </c>
      <c r="V2364" t="s">
        <v>32</v>
      </c>
      <c r="W2364">
        <v>4</v>
      </c>
    </row>
    <row r="2365" spans="1:23" x14ac:dyDescent="0.2">
      <c r="A2365">
        <v>5079024</v>
      </c>
      <c r="B2365" t="s">
        <v>18</v>
      </c>
      <c r="C2365" t="s">
        <v>19</v>
      </c>
      <c r="D2365" t="s">
        <v>20</v>
      </c>
      <c r="E2365">
        <v>0</v>
      </c>
      <c r="F2365">
        <v>135000</v>
      </c>
      <c r="G2365" t="s">
        <v>21</v>
      </c>
      <c r="H2365" t="s">
        <v>51</v>
      </c>
      <c r="I2365" t="s">
        <v>28</v>
      </c>
      <c r="J2365" t="s">
        <v>24</v>
      </c>
      <c r="K2365" s="6">
        <f t="shared" ca="1" si="152"/>
        <v>23192</v>
      </c>
      <c r="L2365">
        <v>-22569</v>
      </c>
      <c r="M2365" s="7">
        <f t="shared" ca="1" si="150"/>
        <v>61.790554414784395</v>
      </c>
      <c r="N2365" s="5" t="str">
        <f ca="1">VLOOKUP(Data!M2365,temp!$B$3:$C$9,2,1)</f>
        <v>60-70</v>
      </c>
      <c r="O2365">
        <v>365243</v>
      </c>
      <c r="P2365" s="8">
        <f t="shared" si="151"/>
        <v>0</v>
      </c>
      <c r="Q2365" s="5" t="str">
        <f t="shared" si="153"/>
        <v>Unemployed</v>
      </c>
      <c r="R2365">
        <v>1</v>
      </c>
      <c r="S2365">
        <v>0</v>
      </c>
      <c r="T2365">
        <v>0</v>
      </c>
      <c r="U2365">
        <v>0</v>
      </c>
      <c r="W2365">
        <v>2</v>
      </c>
    </row>
    <row r="2366" spans="1:23" x14ac:dyDescent="0.2">
      <c r="A2366">
        <v>5079028</v>
      </c>
      <c r="B2366" t="s">
        <v>18</v>
      </c>
      <c r="C2366" t="s">
        <v>19</v>
      </c>
      <c r="D2366" t="s">
        <v>20</v>
      </c>
      <c r="E2366">
        <v>0</v>
      </c>
      <c r="F2366">
        <v>135000</v>
      </c>
      <c r="G2366" t="s">
        <v>21</v>
      </c>
      <c r="H2366" t="s">
        <v>51</v>
      </c>
      <c r="I2366" t="s">
        <v>28</v>
      </c>
      <c r="J2366" t="s">
        <v>24</v>
      </c>
      <c r="K2366" s="6">
        <f t="shared" ca="1" si="152"/>
        <v>23192</v>
      </c>
      <c r="L2366">
        <v>-22569</v>
      </c>
      <c r="M2366" s="7">
        <f t="shared" ca="1" si="150"/>
        <v>61.790554414784395</v>
      </c>
      <c r="N2366" s="5" t="str">
        <f ca="1">VLOOKUP(Data!M2366,temp!$B$3:$C$9,2,1)</f>
        <v>60-70</v>
      </c>
      <c r="O2366">
        <v>365243</v>
      </c>
      <c r="P2366" s="8">
        <f t="shared" si="151"/>
        <v>0</v>
      </c>
      <c r="Q2366" s="5" t="str">
        <f t="shared" si="153"/>
        <v>Unemployed</v>
      </c>
      <c r="R2366">
        <v>1</v>
      </c>
      <c r="S2366">
        <v>0</v>
      </c>
      <c r="T2366">
        <v>0</v>
      </c>
      <c r="U2366">
        <v>0</v>
      </c>
      <c r="W2366">
        <v>2</v>
      </c>
    </row>
    <row r="2367" spans="1:23" x14ac:dyDescent="0.2">
      <c r="A2367">
        <v>5079060</v>
      </c>
      <c r="B2367" t="s">
        <v>25</v>
      </c>
      <c r="C2367" t="s">
        <v>20</v>
      </c>
      <c r="D2367" t="s">
        <v>19</v>
      </c>
      <c r="E2367">
        <v>0</v>
      </c>
      <c r="F2367">
        <v>121500</v>
      </c>
      <c r="G2367" t="s">
        <v>31</v>
      </c>
      <c r="H2367" t="s">
        <v>27</v>
      </c>
      <c r="I2367" t="s">
        <v>28</v>
      </c>
      <c r="J2367" t="s">
        <v>24</v>
      </c>
      <c r="K2367" s="6">
        <f t="shared" ca="1" si="152"/>
        <v>30892</v>
      </c>
      <c r="L2367">
        <v>-14869</v>
      </c>
      <c r="M2367" s="7">
        <f t="shared" ca="1" si="150"/>
        <v>40.709103353867214</v>
      </c>
      <c r="N2367" s="5" t="str">
        <f ca="1">VLOOKUP(Data!M2367,temp!$B$3:$C$9,2,1)</f>
        <v>40-50</v>
      </c>
      <c r="O2367">
        <v>-6904</v>
      </c>
      <c r="P2367" s="8">
        <f t="shared" si="151"/>
        <v>18.902121834360027</v>
      </c>
      <c r="Q2367" s="5" t="str">
        <f t="shared" si="153"/>
        <v>Employed</v>
      </c>
      <c r="R2367">
        <v>1</v>
      </c>
      <c r="S2367">
        <v>0</v>
      </c>
      <c r="T2367">
        <v>1</v>
      </c>
      <c r="U2367">
        <v>0</v>
      </c>
      <c r="V2367" t="s">
        <v>29</v>
      </c>
      <c r="W2367">
        <v>2</v>
      </c>
    </row>
    <row r="2368" spans="1:23" x14ac:dyDescent="0.2">
      <c r="A2368">
        <v>5079072</v>
      </c>
      <c r="B2368" t="s">
        <v>18</v>
      </c>
      <c r="C2368" t="s">
        <v>19</v>
      </c>
      <c r="D2368" t="s">
        <v>20</v>
      </c>
      <c r="E2368">
        <v>0</v>
      </c>
      <c r="F2368">
        <v>216000</v>
      </c>
      <c r="G2368" t="s">
        <v>31</v>
      </c>
      <c r="H2368" t="s">
        <v>27</v>
      </c>
      <c r="I2368" t="s">
        <v>28</v>
      </c>
      <c r="J2368" t="s">
        <v>24</v>
      </c>
      <c r="K2368" s="6">
        <f t="shared" ca="1" si="152"/>
        <v>30192</v>
      </c>
      <c r="L2368">
        <v>-15569</v>
      </c>
      <c r="M2368" s="7">
        <f t="shared" ca="1" si="150"/>
        <v>42.625598904859686</v>
      </c>
      <c r="N2368" s="5" t="str">
        <f ca="1">VLOOKUP(Data!M2368,temp!$B$3:$C$9,2,1)</f>
        <v>40-50</v>
      </c>
      <c r="O2368">
        <v>-1639</v>
      </c>
      <c r="P2368" s="8">
        <f t="shared" si="151"/>
        <v>4.4873374401095143</v>
      </c>
      <c r="Q2368" s="5" t="str">
        <f t="shared" si="153"/>
        <v>Employed</v>
      </c>
      <c r="R2368">
        <v>1</v>
      </c>
      <c r="S2368">
        <v>1</v>
      </c>
      <c r="T2368">
        <v>0</v>
      </c>
      <c r="U2368">
        <v>0</v>
      </c>
      <c r="V2368" t="s">
        <v>38</v>
      </c>
      <c r="W2368">
        <v>2</v>
      </c>
    </row>
    <row r="2369" spans="1:23" x14ac:dyDescent="0.2">
      <c r="A2369">
        <v>5079073</v>
      </c>
      <c r="B2369" t="s">
        <v>18</v>
      </c>
      <c r="C2369" t="s">
        <v>19</v>
      </c>
      <c r="D2369" t="s">
        <v>20</v>
      </c>
      <c r="E2369">
        <v>0</v>
      </c>
      <c r="F2369">
        <v>216000</v>
      </c>
      <c r="G2369" t="s">
        <v>31</v>
      </c>
      <c r="H2369" t="s">
        <v>27</v>
      </c>
      <c r="I2369" t="s">
        <v>28</v>
      </c>
      <c r="J2369" t="s">
        <v>24</v>
      </c>
      <c r="K2369" s="6">
        <f t="shared" ca="1" si="152"/>
        <v>30192</v>
      </c>
      <c r="L2369">
        <v>-15569</v>
      </c>
      <c r="M2369" s="7">
        <f t="shared" ca="1" si="150"/>
        <v>42.625598904859686</v>
      </c>
      <c r="N2369" s="5" t="str">
        <f ca="1">VLOOKUP(Data!M2369,temp!$B$3:$C$9,2,1)</f>
        <v>40-50</v>
      </c>
      <c r="O2369">
        <v>-1639</v>
      </c>
      <c r="P2369" s="8">
        <f t="shared" si="151"/>
        <v>4.4873374401095143</v>
      </c>
      <c r="Q2369" s="5" t="str">
        <f t="shared" si="153"/>
        <v>Employed</v>
      </c>
      <c r="R2369">
        <v>1</v>
      </c>
      <c r="S2369">
        <v>1</v>
      </c>
      <c r="T2369">
        <v>0</v>
      </c>
      <c r="U2369">
        <v>0</v>
      </c>
      <c r="V2369" t="s">
        <v>38</v>
      </c>
      <c r="W2369">
        <v>2</v>
      </c>
    </row>
    <row r="2370" spans="1:23" x14ac:dyDescent="0.2">
      <c r="A2370">
        <v>5079077</v>
      </c>
      <c r="B2370" t="s">
        <v>18</v>
      </c>
      <c r="C2370" t="s">
        <v>19</v>
      </c>
      <c r="D2370" t="s">
        <v>20</v>
      </c>
      <c r="E2370">
        <v>0</v>
      </c>
      <c r="F2370">
        <v>216000</v>
      </c>
      <c r="G2370" t="s">
        <v>31</v>
      </c>
      <c r="H2370" t="s">
        <v>27</v>
      </c>
      <c r="I2370" t="s">
        <v>28</v>
      </c>
      <c r="J2370" t="s">
        <v>24</v>
      </c>
      <c r="K2370" s="6">
        <f t="shared" ca="1" si="152"/>
        <v>30192</v>
      </c>
      <c r="L2370">
        <v>-15569</v>
      </c>
      <c r="M2370" s="7">
        <f t="shared" ca="1" si="150"/>
        <v>42.625598904859686</v>
      </c>
      <c r="N2370" s="5" t="str">
        <f ca="1">VLOOKUP(Data!M2370,temp!$B$3:$C$9,2,1)</f>
        <v>40-50</v>
      </c>
      <c r="O2370">
        <v>-1639</v>
      </c>
      <c r="P2370" s="8">
        <f t="shared" si="151"/>
        <v>4.4873374401095143</v>
      </c>
      <c r="Q2370" s="5" t="str">
        <f t="shared" si="153"/>
        <v>Employed</v>
      </c>
      <c r="R2370">
        <v>1</v>
      </c>
      <c r="S2370">
        <v>1</v>
      </c>
      <c r="T2370">
        <v>0</v>
      </c>
      <c r="U2370">
        <v>0</v>
      </c>
      <c r="V2370" t="s">
        <v>38</v>
      </c>
      <c r="W2370">
        <v>2</v>
      </c>
    </row>
    <row r="2371" spans="1:23" x14ac:dyDescent="0.2">
      <c r="A2371">
        <v>5079080</v>
      </c>
      <c r="B2371" t="s">
        <v>18</v>
      </c>
      <c r="C2371" t="s">
        <v>19</v>
      </c>
      <c r="D2371" t="s">
        <v>20</v>
      </c>
      <c r="E2371">
        <v>2</v>
      </c>
      <c r="F2371">
        <v>180000</v>
      </c>
      <c r="G2371" t="s">
        <v>26</v>
      </c>
      <c r="H2371" t="s">
        <v>27</v>
      </c>
      <c r="I2371" t="s">
        <v>28</v>
      </c>
      <c r="J2371" t="s">
        <v>24</v>
      </c>
      <c r="K2371" s="6">
        <f t="shared" ca="1" si="152"/>
        <v>32940</v>
      </c>
      <c r="L2371">
        <v>-12821</v>
      </c>
      <c r="M2371" s="7">
        <f t="shared" ref="M2371:M2434" ca="1" si="154">(TODAY()-K2371)/365.25</f>
        <v>35.101984941820668</v>
      </c>
      <c r="N2371" s="5" t="str">
        <f ca="1">VLOOKUP(Data!M2371,temp!$B$3:$C$9,2,1)</f>
        <v>30-40</v>
      </c>
      <c r="O2371">
        <v>-5657</v>
      </c>
      <c r="P2371" s="8">
        <f t="shared" ref="P2371:P2434" si="155">IF(O2371&lt;=0,ABS(O2371)/365.25,0)</f>
        <v>15.488021902806297</v>
      </c>
      <c r="Q2371" s="5" t="str">
        <f t="shared" si="153"/>
        <v>Employed</v>
      </c>
      <c r="R2371">
        <v>1</v>
      </c>
      <c r="S2371">
        <v>0</v>
      </c>
      <c r="T2371">
        <v>0</v>
      </c>
      <c r="U2371">
        <v>0</v>
      </c>
      <c r="V2371" t="s">
        <v>29</v>
      </c>
      <c r="W2371">
        <v>4</v>
      </c>
    </row>
    <row r="2372" spans="1:23" x14ac:dyDescent="0.2">
      <c r="A2372">
        <v>5079092</v>
      </c>
      <c r="B2372" t="s">
        <v>25</v>
      </c>
      <c r="C2372" t="s">
        <v>20</v>
      </c>
      <c r="D2372" t="s">
        <v>20</v>
      </c>
      <c r="E2372">
        <v>1</v>
      </c>
      <c r="F2372">
        <v>112500</v>
      </c>
      <c r="G2372" t="s">
        <v>31</v>
      </c>
      <c r="H2372" t="s">
        <v>27</v>
      </c>
      <c r="I2372" t="s">
        <v>28</v>
      </c>
      <c r="J2372" t="s">
        <v>24</v>
      </c>
      <c r="K2372" s="6">
        <f t="shared" ca="1" si="152"/>
        <v>33190</v>
      </c>
      <c r="L2372">
        <v>-12571</v>
      </c>
      <c r="M2372" s="7">
        <f t="shared" ca="1" si="154"/>
        <v>34.417522245037645</v>
      </c>
      <c r="N2372" s="5" t="str">
        <f ca="1">VLOOKUP(Data!M2372,temp!$B$3:$C$9,2,1)</f>
        <v>30-40</v>
      </c>
      <c r="O2372">
        <v>-451</v>
      </c>
      <c r="P2372" s="8">
        <f t="shared" si="155"/>
        <v>1.2347707049965777</v>
      </c>
      <c r="Q2372" s="5" t="str">
        <f t="shared" si="153"/>
        <v>Employed</v>
      </c>
      <c r="R2372">
        <v>1</v>
      </c>
      <c r="S2372">
        <v>1</v>
      </c>
      <c r="T2372">
        <v>0</v>
      </c>
      <c r="U2372">
        <v>1</v>
      </c>
      <c r="V2372" t="s">
        <v>30</v>
      </c>
      <c r="W2372">
        <v>3</v>
      </c>
    </row>
    <row r="2373" spans="1:23" x14ac:dyDescent="0.2">
      <c r="A2373">
        <v>5079111</v>
      </c>
      <c r="B2373" t="s">
        <v>25</v>
      </c>
      <c r="C2373" t="s">
        <v>20</v>
      </c>
      <c r="D2373" t="s">
        <v>20</v>
      </c>
      <c r="E2373">
        <v>1</v>
      </c>
      <c r="F2373">
        <v>157500</v>
      </c>
      <c r="G2373" t="s">
        <v>26</v>
      </c>
      <c r="H2373" t="s">
        <v>27</v>
      </c>
      <c r="I2373" t="s">
        <v>28</v>
      </c>
      <c r="J2373" t="s">
        <v>24</v>
      </c>
      <c r="K2373" s="6">
        <f t="shared" ca="1" si="152"/>
        <v>32515</v>
      </c>
      <c r="L2373">
        <v>-13246</v>
      </c>
      <c r="M2373" s="7">
        <f t="shared" ca="1" si="154"/>
        <v>36.265571526351813</v>
      </c>
      <c r="N2373" s="5" t="str">
        <f ca="1">VLOOKUP(Data!M2373,temp!$B$3:$C$9,2,1)</f>
        <v>30-40</v>
      </c>
      <c r="O2373">
        <v>-635</v>
      </c>
      <c r="P2373" s="8">
        <f t="shared" si="155"/>
        <v>1.7385352498288844</v>
      </c>
      <c r="Q2373" s="5" t="str">
        <f t="shared" si="153"/>
        <v>Employed</v>
      </c>
      <c r="R2373">
        <v>1</v>
      </c>
      <c r="S2373">
        <v>0</v>
      </c>
      <c r="T2373">
        <v>0</v>
      </c>
      <c r="U2373">
        <v>0</v>
      </c>
      <c r="V2373" t="s">
        <v>32</v>
      </c>
      <c r="W2373">
        <v>3</v>
      </c>
    </row>
    <row r="2374" spans="1:23" x14ac:dyDescent="0.2">
      <c r="A2374">
        <v>5079118</v>
      </c>
      <c r="B2374" t="s">
        <v>25</v>
      </c>
      <c r="C2374" t="s">
        <v>19</v>
      </c>
      <c r="D2374" t="s">
        <v>20</v>
      </c>
      <c r="E2374">
        <v>0</v>
      </c>
      <c r="F2374">
        <v>202500</v>
      </c>
      <c r="G2374" t="s">
        <v>31</v>
      </c>
      <c r="H2374" t="s">
        <v>27</v>
      </c>
      <c r="I2374" t="s">
        <v>28</v>
      </c>
      <c r="J2374" t="s">
        <v>24</v>
      </c>
      <c r="K2374" s="6">
        <f t="shared" ca="1" si="152"/>
        <v>28803</v>
      </c>
      <c r="L2374">
        <v>-16958</v>
      </c>
      <c r="M2374" s="7">
        <f t="shared" ca="1" si="154"/>
        <v>46.428473648186177</v>
      </c>
      <c r="N2374" s="5" t="str">
        <f ca="1">VLOOKUP(Data!M2374,temp!$B$3:$C$9,2,1)</f>
        <v>40-50</v>
      </c>
      <c r="O2374">
        <v>-298</v>
      </c>
      <c r="P2374" s="8">
        <f t="shared" si="155"/>
        <v>0.81587953456536622</v>
      </c>
      <c r="Q2374" s="5" t="str">
        <f t="shared" si="153"/>
        <v>Employed</v>
      </c>
      <c r="R2374">
        <v>1</v>
      </c>
      <c r="S2374">
        <v>0</v>
      </c>
      <c r="T2374">
        <v>0</v>
      </c>
      <c r="U2374">
        <v>0</v>
      </c>
      <c r="W2374">
        <v>2</v>
      </c>
    </row>
    <row r="2375" spans="1:23" x14ac:dyDescent="0.2">
      <c r="A2375">
        <v>5079120</v>
      </c>
      <c r="B2375" t="s">
        <v>25</v>
      </c>
      <c r="C2375" t="s">
        <v>19</v>
      </c>
      <c r="D2375" t="s">
        <v>20</v>
      </c>
      <c r="E2375">
        <v>0</v>
      </c>
      <c r="F2375">
        <v>202500</v>
      </c>
      <c r="G2375" t="s">
        <v>31</v>
      </c>
      <c r="H2375" t="s">
        <v>27</v>
      </c>
      <c r="I2375" t="s">
        <v>28</v>
      </c>
      <c r="J2375" t="s">
        <v>24</v>
      </c>
      <c r="K2375" s="6">
        <f t="shared" ca="1" si="152"/>
        <v>28803</v>
      </c>
      <c r="L2375">
        <v>-16958</v>
      </c>
      <c r="M2375" s="7">
        <f t="shared" ca="1" si="154"/>
        <v>46.428473648186177</v>
      </c>
      <c r="N2375" s="5" t="str">
        <f ca="1">VLOOKUP(Data!M2375,temp!$B$3:$C$9,2,1)</f>
        <v>40-50</v>
      </c>
      <c r="O2375">
        <v>-298</v>
      </c>
      <c r="P2375" s="8">
        <f t="shared" si="155"/>
        <v>0.81587953456536622</v>
      </c>
      <c r="Q2375" s="5" t="str">
        <f t="shared" si="153"/>
        <v>Employed</v>
      </c>
      <c r="R2375">
        <v>1</v>
      </c>
      <c r="S2375">
        <v>0</v>
      </c>
      <c r="T2375">
        <v>0</v>
      </c>
      <c r="U2375">
        <v>0</v>
      </c>
      <c r="W2375">
        <v>2</v>
      </c>
    </row>
    <row r="2376" spans="1:23" x14ac:dyDescent="0.2">
      <c r="A2376">
        <v>5079143</v>
      </c>
      <c r="B2376" t="s">
        <v>18</v>
      </c>
      <c r="C2376" t="s">
        <v>19</v>
      </c>
      <c r="D2376" t="s">
        <v>20</v>
      </c>
      <c r="E2376">
        <v>2</v>
      </c>
      <c r="F2376">
        <v>67500</v>
      </c>
      <c r="G2376" t="s">
        <v>31</v>
      </c>
      <c r="H2376" t="s">
        <v>27</v>
      </c>
      <c r="I2376" t="s">
        <v>23</v>
      </c>
      <c r="J2376" t="s">
        <v>24</v>
      </c>
      <c r="K2376" s="6">
        <f t="shared" ref="K2376:K2439" ca="1" si="156">TODAY()+($L2376)</f>
        <v>31893</v>
      </c>
      <c r="L2376">
        <v>-13868</v>
      </c>
      <c r="M2376" s="7">
        <f t="shared" ca="1" si="154"/>
        <v>37.968514715947983</v>
      </c>
      <c r="N2376" s="5" t="str">
        <f ca="1">VLOOKUP(Data!M2376,temp!$B$3:$C$9,2,1)</f>
        <v>30-40</v>
      </c>
      <c r="O2376">
        <v>-3008</v>
      </c>
      <c r="P2376" s="8">
        <f t="shared" si="155"/>
        <v>8.2354551676933614</v>
      </c>
      <c r="Q2376" s="5" t="str">
        <f t="shared" ref="Q2376:Q2439" si="157">IF($O2376&gt;0,"Unemployed","Employed")</f>
        <v>Employed</v>
      </c>
      <c r="R2376">
        <v>1</v>
      </c>
      <c r="S2376">
        <v>1</v>
      </c>
      <c r="T2376">
        <v>0</v>
      </c>
      <c r="U2376">
        <v>0</v>
      </c>
      <c r="V2376" t="s">
        <v>39</v>
      </c>
      <c r="W2376">
        <v>3</v>
      </c>
    </row>
    <row r="2377" spans="1:23" x14ac:dyDescent="0.2">
      <c r="A2377">
        <v>5079152</v>
      </c>
      <c r="B2377" t="s">
        <v>25</v>
      </c>
      <c r="C2377" t="s">
        <v>20</v>
      </c>
      <c r="D2377" t="s">
        <v>19</v>
      </c>
      <c r="E2377">
        <v>0</v>
      </c>
      <c r="F2377">
        <v>225000</v>
      </c>
      <c r="G2377" t="s">
        <v>31</v>
      </c>
      <c r="H2377" t="s">
        <v>22</v>
      </c>
      <c r="I2377" t="s">
        <v>28</v>
      </c>
      <c r="J2377" t="s">
        <v>24</v>
      </c>
      <c r="K2377" s="6">
        <f t="shared" ca="1" si="156"/>
        <v>31032</v>
      </c>
      <c r="L2377">
        <v>-14729</v>
      </c>
      <c r="M2377" s="7">
        <f t="shared" ca="1" si="154"/>
        <v>40.325804243668721</v>
      </c>
      <c r="N2377" s="5" t="str">
        <f ca="1">VLOOKUP(Data!M2377,temp!$B$3:$C$9,2,1)</f>
        <v>40-50</v>
      </c>
      <c r="O2377">
        <v>-3251</v>
      </c>
      <c r="P2377" s="8">
        <f t="shared" si="155"/>
        <v>8.9007529089664619</v>
      </c>
      <c r="Q2377" s="5" t="str">
        <f t="shared" si="157"/>
        <v>Employed</v>
      </c>
      <c r="R2377">
        <v>1</v>
      </c>
      <c r="S2377">
        <v>0</v>
      </c>
      <c r="T2377">
        <v>0</v>
      </c>
      <c r="U2377">
        <v>0</v>
      </c>
      <c r="V2377" t="s">
        <v>29</v>
      </c>
      <c r="W2377">
        <v>2</v>
      </c>
    </row>
    <row r="2378" spans="1:23" x14ac:dyDescent="0.2">
      <c r="A2378">
        <v>5079155</v>
      </c>
      <c r="B2378" t="s">
        <v>18</v>
      </c>
      <c r="C2378" t="s">
        <v>20</v>
      </c>
      <c r="D2378" t="s">
        <v>20</v>
      </c>
      <c r="E2378">
        <v>0</v>
      </c>
      <c r="F2378">
        <v>234000</v>
      </c>
      <c r="G2378" t="s">
        <v>31</v>
      </c>
      <c r="H2378" t="s">
        <v>27</v>
      </c>
      <c r="I2378" t="s">
        <v>37</v>
      </c>
      <c r="J2378" t="s">
        <v>24</v>
      </c>
      <c r="K2378" s="6">
        <f t="shared" ca="1" si="156"/>
        <v>31101</v>
      </c>
      <c r="L2378">
        <v>-14660</v>
      </c>
      <c r="M2378" s="7">
        <f t="shared" ca="1" si="154"/>
        <v>40.136892539356602</v>
      </c>
      <c r="N2378" s="5" t="str">
        <f ca="1">VLOOKUP(Data!M2378,temp!$B$3:$C$9,2,1)</f>
        <v>40-50</v>
      </c>
      <c r="O2378">
        <v>-1060</v>
      </c>
      <c r="P2378" s="8">
        <f t="shared" si="155"/>
        <v>2.9021218343600275</v>
      </c>
      <c r="Q2378" s="5" t="str">
        <f t="shared" si="157"/>
        <v>Employed</v>
      </c>
      <c r="R2378">
        <v>1</v>
      </c>
      <c r="S2378">
        <v>0</v>
      </c>
      <c r="T2378">
        <v>0</v>
      </c>
      <c r="U2378">
        <v>0</v>
      </c>
      <c r="V2378" t="s">
        <v>46</v>
      </c>
      <c r="W2378">
        <v>2</v>
      </c>
    </row>
    <row r="2379" spans="1:23" x14ac:dyDescent="0.2">
      <c r="A2379">
        <v>5079156</v>
      </c>
      <c r="B2379" t="s">
        <v>18</v>
      </c>
      <c r="C2379" t="s">
        <v>20</v>
      </c>
      <c r="D2379" t="s">
        <v>20</v>
      </c>
      <c r="E2379">
        <v>0</v>
      </c>
      <c r="F2379">
        <v>234000</v>
      </c>
      <c r="G2379" t="s">
        <v>31</v>
      </c>
      <c r="H2379" t="s">
        <v>27</v>
      </c>
      <c r="I2379" t="s">
        <v>37</v>
      </c>
      <c r="J2379" t="s">
        <v>24</v>
      </c>
      <c r="K2379" s="6">
        <f t="shared" ca="1" si="156"/>
        <v>31101</v>
      </c>
      <c r="L2379">
        <v>-14660</v>
      </c>
      <c r="M2379" s="7">
        <f t="shared" ca="1" si="154"/>
        <v>40.136892539356602</v>
      </c>
      <c r="N2379" s="5" t="str">
        <f ca="1">VLOOKUP(Data!M2379,temp!$B$3:$C$9,2,1)</f>
        <v>40-50</v>
      </c>
      <c r="O2379">
        <v>-1060</v>
      </c>
      <c r="P2379" s="8">
        <f t="shared" si="155"/>
        <v>2.9021218343600275</v>
      </c>
      <c r="Q2379" s="5" t="str">
        <f t="shared" si="157"/>
        <v>Employed</v>
      </c>
      <c r="R2379">
        <v>1</v>
      </c>
      <c r="S2379">
        <v>0</v>
      </c>
      <c r="T2379">
        <v>0</v>
      </c>
      <c r="U2379">
        <v>0</v>
      </c>
      <c r="V2379" t="s">
        <v>46</v>
      </c>
      <c r="W2379">
        <v>2</v>
      </c>
    </row>
    <row r="2380" spans="1:23" x14ac:dyDescent="0.2">
      <c r="A2380">
        <v>5079159</v>
      </c>
      <c r="B2380" t="s">
        <v>18</v>
      </c>
      <c r="C2380" t="s">
        <v>20</v>
      </c>
      <c r="D2380" t="s">
        <v>20</v>
      </c>
      <c r="E2380">
        <v>3</v>
      </c>
      <c r="F2380">
        <v>157500</v>
      </c>
      <c r="G2380" t="s">
        <v>31</v>
      </c>
      <c r="H2380" t="s">
        <v>22</v>
      </c>
      <c r="I2380" t="s">
        <v>28</v>
      </c>
      <c r="J2380" t="s">
        <v>24</v>
      </c>
      <c r="K2380" s="6">
        <f t="shared" ca="1" si="156"/>
        <v>32918</v>
      </c>
      <c r="L2380">
        <v>-12843</v>
      </c>
      <c r="M2380" s="7">
        <f t="shared" ca="1" si="154"/>
        <v>35.162217659137575</v>
      </c>
      <c r="N2380" s="5" t="str">
        <f ca="1">VLOOKUP(Data!M2380,temp!$B$3:$C$9,2,1)</f>
        <v>30-40</v>
      </c>
      <c r="O2380">
        <v>-755</v>
      </c>
      <c r="P2380" s="8">
        <f t="shared" si="155"/>
        <v>2.0670773442847366</v>
      </c>
      <c r="Q2380" s="5" t="str">
        <f t="shared" si="157"/>
        <v>Employed</v>
      </c>
      <c r="R2380">
        <v>1</v>
      </c>
      <c r="S2380">
        <v>0</v>
      </c>
      <c r="T2380">
        <v>0</v>
      </c>
      <c r="U2380">
        <v>0</v>
      </c>
      <c r="V2380" t="s">
        <v>38</v>
      </c>
      <c r="W2380">
        <v>5</v>
      </c>
    </row>
    <row r="2381" spans="1:23" x14ac:dyDescent="0.2">
      <c r="A2381">
        <v>5079171</v>
      </c>
      <c r="B2381" t="s">
        <v>18</v>
      </c>
      <c r="C2381" t="s">
        <v>19</v>
      </c>
      <c r="D2381" t="s">
        <v>20</v>
      </c>
      <c r="E2381">
        <v>0</v>
      </c>
      <c r="F2381">
        <v>270000</v>
      </c>
      <c r="G2381" t="s">
        <v>21</v>
      </c>
      <c r="H2381" t="s">
        <v>27</v>
      </c>
      <c r="I2381" t="s">
        <v>33</v>
      </c>
      <c r="J2381" t="s">
        <v>24</v>
      </c>
      <c r="K2381" s="6">
        <f t="shared" ca="1" si="156"/>
        <v>23731</v>
      </c>
      <c r="L2381">
        <v>-22030</v>
      </c>
      <c r="M2381" s="7">
        <f t="shared" ca="1" si="154"/>
        <v>60.314852840520189</v>
      </c>
      <c r="N2381" s="5" t="str">
        <f ca="1">VLOOKUP(Data!M2381,temp!$B$3:$C$9,2,1)</f>
        <v>60-70</v>
      </c>
      <c r="O2381">
        <v>365243</v>
      </c>
      <c r="P2381" s="8">
        <f t="shared" si="155"/>
        <v>0</v>
      </c>
      <c r="Q2381" s="5" t="str">
        <f t="shared" si="157"/>
        <v>Unemployed</v>
      </c>
      <c r="R2381">
        <v>1</v>
      </c>
      <c r="S2381">
        <v>0</v>
      </c>
      <c r="T2381">
        <v>0</v>
      </c>
      <c r="U2381">
        <v>0</v>
      </c>
      <c r="W2381">
        <v>1</v>
      </c>
    </row>
    <row r="2382" spans="1:23" x14ac:dyDescent="0.2">
      <c r="A2382">
        <v>5079197</v>
      </c>
      <c r="B2382" t="s">
        <v>18</v>
      </c>
      <c r="C2382" t="s">
        <v>19</v>
      </c>
      <c r="D2382" t="s">
        <v>20</v>
      </c>
      <c r="E2382">
        <v>0</v>
      </c>
      <c r="F2382">
        <v>67500</v>
      </c>
      <c r="G2382" t="s">
        <v>31</v>
      </c>
      <c r="H2382" t="s">
        <v>27</v>
      </c>
      <c r="I2382" t="s">
        <v>23</v>
      </c>
      <c r="J2382" t="s">
        <v>24</v>
      </c>
      <c r="K2382" s="6">
        <f t="shared" ca="1" si="156"/>
        <v>26169</v>
      </c>
      <c r="L2382">
        <v>-19592</v>
      </c>
      <c r="M2382" s="7">
        <f t="shared" ca="1" si="154"/>
        <v>53.639972621492127</v>
      </c>
      <c r="N2382" s="5" t="str">
        <f ca="1">VLOOKUP(Data!M2382,temp!$B$3:$C$9,2,1)</f>
        <v>50-60</v>
      </c>
      <c r="O2382">
        <v>-3131</v>
      </c>
      <c r="P2382" s="8">
        <f t="shared" si="155"/>
        <v>8.5722108145106084</v>
      </c>
      <c r="Q2382" s="5" t="str">
        <f t="shared" si="157"/>
        <v>Employed</v>
      </c>
      <c r="R2382">
        <v>1</v>
      </c>
      <c r="S2382">
        <v>0</v>
      </c>
      <c r="T2382">
        <v>0</v>
      </c>
      <c r="U2382">
        <v>0</v>
      </c>
      <c r="W2382">
        <v>1</v>
      </c>
    </row>
    <row r="2383" spans="1:23" x14ac:dyDescent="0.2">
      <c r="A2383">
        <v>5079199</v>
      </c>
      <c r="B2383" t="s">
        <v>25</v>
      </c>
      <c r="C2383" t="s">
        <v>19</v>
      </c>
      <c r="D2383" t="s">
        <v>20</v>
      </c>
      <c r="E2383">
        <v>1</v>
      </c>
      <c r="F2383">
        <v>157500</v>
      </c>
      <c r="G2383" t="s">
        <v>31</v>
      </c>
      <c r="H2383" t="s">
        <v>27</v>
      </c>
      <c r="I2383" t="s">
        <v>28</v>
      </c>
      <c r="J2383" t="s">
        <v>24</v>
      </c>
      <c r="K2383" s="6">
        <f t="shared" ca="1" si="156"/>
        <v>34733</v>
      </c>
      <c r="L2383">
        <v>-11028</v>
      </c>
      <c r="M2383" s="7">
        <f t="shared" ca="1" si="154"/>
        <v>30.193018480492814</v>
      </c>
      <c r="N2383" s="5" t="str">
        <f ca="1">VLOOKUP(Data!M2383,temp!$B$3:$C$9,2,1)</f>
        <v>30-40</v>
      </c>
      <c r="O2383">
        <v>-133</v>
      </c>
      <c r="P2383" s="8">
        <f t="shared" si="155"/>
        <v>0.36413415468856947</v>
      </c>
      <c r="Q2383" s="5" t="str">
        <f t="shared" si="157"/>
        <v>Employed</v>
      </c>
      <c r="R2383">
        <v>1</v>
      </c>
      <c r="S2383">
        <v>1</v>
      </c>
      <c r="T2383">
        <v>1</v>
      </c>
      <c r="U2383">
        <v>0</v>
      </c>
      <c r="V2383" t="s">
        <v>40</v>
      </c>
      <c r="W2383">
        <v>3</v>
      </c>
    </row>
    <row r="2384" spans="1:23" x14ac:dyDescent="0.2">
      <c r="A2384">
        <v>5079203</v>
      </c>
      <c r="B2384" t="s">
        <v>25</v>
      </c>
      <c r="C2384" t="s">
        <v>20</v>
      </c>
      <c r="D2384" t="s">
        <v>20</v>
      </c>
      <c r="E2384">
        <v>0</v>
      </c>
      <c r="F2384">
        <v>202500</v>
      </c>
      <c r="G2384" t="s">
        <v>31</v>
      </c>
      <c r="H2384" t="s">
        <v>27</v>
      </c>
      <c r="I2384" t="s">
        <v>28</v>
      </c>
      <c r="J2384" t="s">
        <v>24</v>
      </c>
      <c r="K2384" s="6">
        <f t="shared" ca="1" si="156"/>
        <v>27355</v>
      </c>
      <c r="L2384">
        <v>-18406</v>
      </c>
      <c r="M2384" s="7">
        <f t="shared" ca="1" si="154"/>
        <v>50.392881587953454</v>
      </c>
      <c r="N2384" s="5" t="str">
        <f ca="1">VLOOKUP(Data!M2384,temp!$B$3:$C$9,2,1)</f>
        <v>50-60</v>
      </c>
      <c r="O2384">
        <v>-5961</v>
      </c>
      <c r="P2384" s="8">
        <f t="shared" si="155"/>
        <v>16.320328542094455</v>
      </c>
      <c r="Q2384" s="5" t="str">
        <f t="shared" si="157"/>
        <v>Employed</v>
      </c>
      <c r="R2384">
        <v>1</v>
      </c>
      <c r="S2384">
        <v>1</v>
      </c>
      <c r="T2384">
        <v>1</v>
      </c>
      <c r="U2384">
        <v>0</v>
      </c>
      <c r="V2384" t="s">
        <v>30</v>
      </c>
      <c r="W2384">
        <v>2</v>
      </c>
    </row>
    <row r="2385" spans="1:23" x14ac:dyDescent="0.2">
      <c r="A2385">
        <v>5079211</v>
      </c>
      <c r="B2385" t="s">
        <v>25</v>
      </c>
      <c r="C2385" t="s">
        <v>19</v>
      </c>
      <c r="D2385" t="s">
        <v>20</v>
      </c>
      <c r="E2385">
        <v>0</v>
      </c>
      <c r="F2385">
        <v>157500</v>
      </c>
      <c r="G2385" t="s">
        <v>31</v>
      </c>
      <c r="H2385" t="s">
        <v>27</v>
      </c>
      <c r="I2385" t="s">
        <v>28</v>
      </c>
      <c r="J2385" t="s">
        <v>24</v>
      </c>
      <c r="K2385" s="6">
        <f t="shared" ca="1" si="156"/>
        <v>28287</v>
      </c>
      <c r="L2385">
        <v>-17474</v>
      </c>
      <c r="M2385" s="7">
        <f t="shared" ca="1" si="154"/>
        <v>47.841204654346335</v>
      </c>
      <c r="N2385" s="5" t="str">
        <f ca="1">VLOOKUP(Data!M2385,temp!$B$3:$C$9,2,1)</f>
        <v>40-50</v>
      </c>
      <c r="O2385">
        <v>-1152</v>
      </c>
      <c r="P2385" s="8">
        <f t="shared" si="155"/>
        <v>3.1540041067761808</v>
      </c>
      <c r="Q2385" s="5" t="str">
        <f t="shared" si="157"/>
        <v>Employed</v>
      </c>
      <c r="R2385">
        <v>1</v>
      </c>
      <c r="S2385">
        <v>0</v>
      </c>
      <c r="T2385">
        <v>0</v>
      </c>
      <c r="U2385">
        <v>0</v>
      </c>
      <c r="V2385" t="s">
        <v>29</v>
      </c>
      <c r="W2385">
        <v>2</v>
      </c>
    </row>
    <row r="2386" spans="1:23" x14ac:dyDescent="0.2">
      <c r="A2386">
        <v>5079224</v>
      </c>
      <c r="B2386" t="s">
        <v>25</v>
      </c>
      <c r="C2386" t="s">
        <v>19</v>
      </c>
      <c r="D2386" t="s">
        <v>20</v>
      </c>
      <c r="E2386">
        <v>0</v>
      </c>
      <c r="F2386">
        <v>99000</v>
      </c>
      <c r="G2386" t="s">
        <v>21</v>
      </c>
      <c r="H2386" t="s">
        <v>27</v>
      </c>
      <c r="I2386" t="s">
        <v>37</v>
      </c>
      <c r="J2386" t="s">
        <v>24</v>
      </c>
      <c r="K2386" s="6">
        <f t="shared" ca="1" si="156"/>
        <v>23161</v>
      </c>
      <c r="L2386">
        <v>-22600</v>
      </c>
      <c r="M2386" s="7">
        <f t="shared" ca="1" si="154"/>
        <v>61.875427789185487</v>
      </c>
      <c r="N2386" s="5" t="str">
        <f ca="1">VLOOKUP(Data!M2386,temp!$B$3:$C$9,2,1)</f>
        <v>60-70</v>
      </c>
      <c r="O2386">
        <v>365243</v>
      </c>
      <c r="P2386" s="8">
        <f t="shared" si="155"/>
        <v>0</v>
      </c>
      <c r="Q2386" s="5" t="str">
        <f t="shared" si="157"/>
        <v>Unemployed</v>
      </c>
      <c r="R2386">
        <v>1</v>
      </c>
      <c r="S2386">
        <v>0</v>
      </c>
      <c r="T2386">
        <v>0</v>
      </c>
      <c r="U2386">
        <v>0</v>
      </c>
      <c r="W2386">
        <v>2</v>
      </c>
    </row>
    <row r="2387" spans="1:23" x14ac:dyDescent="0.2">
      <c r="A2387">
        <v>5079230</v>
      </c>
      <c r="B2387" t="s">
        <v>18</v>
      </c>
      <c r="C2387" t="s">
        <v>19</v>
      </c>
      <c r="D2387" t="s">
        <v>20</v>
      </c>
      <c r="E2387">
        <v>2</v>
      </c>
      <c r="F2387">
        <v>121500</v>
      </c>
      <c r="G2387" t="s">
        <v>26</v>
      </c>
      <c r="H2387" t="s">
        <v>27</v>
      </c>
      <c r="I2387" t="s">
        <v>28</v>
      </c>
      <c r="J2387" t="s">
        <v>24</v>
      </c>
      <c r="K2387" s="6">
        <f t="shared" ca="1" si="156"/>
        <v>34822</v>
      </c>
      <c r="L2387">
        <v>-10939</v>
      </c>
      <c r="M2387" s="7">
        <f t="shared" ca="1" si="154"/>
        <v>29.949349760438057</v>
      </c>
      <c r="N2387" s="5" t="str">
        <f ca="1">VLOOKUP(Data!M2387,temp!$B$3:$C$9,2,1)</f>
        <v>20-30</v>
      </c>
      <c r="O2387">
        <v>-2247</v>
      </c>
      <c r="P2387" s="8">
        <f t="shared" si="155"/>
        <v>6.151950718685832</v>
      </c>
      <c r="Q2387" s="5" t="str">
        <f t="shared" si="157"/>
        <v>Employed</v>
      </c>
      <c r="R2387">
        <v>1</v>
      </c>
      <c r="S2387">
        <v>0</v>
      </c>
      <c r="T2387">
        <v>0</v>
      </c>
      <c r="U2387">
        <v>0</v>
      </c>
      <c r="V2387" t="s">
        <v>55</v>
      </c>
      <c r="W2387">
        <v>4</v>
      </c>
    </row>
    <row r="2388" spans="1:23" x14ac:dyDescent="0.2">
      <c r="A2388">
        <v>5079256</v>
      </c>
      <c r="B2388" t="s">
        <v>18</v>
      </c>
      <c r="C2388" t="s">
        <v>20</v>
      </c>
      <c r="D2388" t="s">
        <v>20</v>
      </c>
      <c r="E2388">
        <v>0</v>
      </c>
      <c r="F2388">
        <v>162000</v>
      </c>
      <c r="G2388" t="s">
        <v>31</v>
      </c>
      <c r="H2388" t="s">
        <v>22</v>
      </c>
      <c r="I2388" t="s">
        <v>23</v>
      </c>
      <c r="J2388" t="s">
        <v>24</v>
      </c>
      <c r="K2388" s="6">
        <f t="shared" ca="1" si="156"/>
        <v>30109</v>
      </c>
      <c r="L2388">
        <v>-15652</v>
      </c>
      <c r="M2388" s="7">
        <f t="shared" ca="1" si="154"/>
        <v>42.852840520191648</v>
      </c>
      <c r="N2388" s="5" t="str">
        <f ca="1">VLOOKUP(Data!M2388,temp!$B$3:$C$9,2,1)</f>
        <v>40-50</v>
      </c>
      <c r="O2388">
        <v>-3404</v>
      </c>
      <c r="P2388" s="8">
        <f t="shared" si="155"/>
        <v>9.3196440793976727</v>
      </c>
      <c r="Q2388" s="5" t="str">
        <f t="shared" si="157"/>
        <v>Employed</v>
      </c>
      <c r="R2388">
        <v>1</v>
      </c>
      <c r="S2388">
        <v>1</v>
      </c>
      <c r="T2388">
        <v>1</v>
      </c>
      <c r="U2388">
        <v>0</v>
      </c>
      <c r="V2388" t="s">
        <v>44</v>
      </c>
      <c r="W2388">
        <v>1</v>
      </c>
    </row>
    <row r="2389" spans="1:23" x14ac:dyDescent="0.2">
      <c r="A2389">
        <v>5079267</v>
      </c>
      <c r="B2389" t="s">
        <v>18</v>
      </c>
      <c r="C2389" t="s">
        <v>19</v>
      </c>
      <c r="D2389" t="s">
        <v>20</v>
      </c>
      <c r="E2389">
        <v>2</v>
      </c>
      <c r="F2389">
        <v>225000</v>
      </c>
      <c r="G2389" t="s">
        <v>31</v>
      </c>
      <c r="H2389" t="s">
        <v>22</v>
      </c>
      <c r="I2389" t="s">
        <v>28</v>
      </c>
      <c r="J2389" t="s">
        <v>24</v>
      </c>
      <c r="K2389" s="6">
        <f t="shared" ca="1" si="156"/>
        <v>35732</v>
      </c>
      <c r="L2389">
        <v>-10029</v>
      </c>
      <c r="M2389" s="7">
        <f t="shared" ca="1" si="154"/>
        <v>27.457905544147845</v>
      </c>
      <c r="N2389" s="5" t="str">
        <f ca="1">VLOOKUP(Data!M2389,temp!$B$3:$C$9,2,1)</f>
        <v>20-30</v>
      </c>
      <c r="O2389">
        <v>-2705</v>
      </c>
      <c r="P2389" s="8">
        <f t="shared" si="155"/>
        <v>7.4058863791923342</v>
      </c>
      <c r="Q2389" s="5" t="str">
        <f t="shared" si="157"/>
        <v>Employed</v>
      </c>
      <c r="R2389">
        <v>1</v>
      </c>
      <c r="S2389">
        <v>0</v>
      </c>
      <c r="T2389">
        <v>0</v>
      </c>
      <c r="U2389">
        <v>0</v>
      </c>
      <c r="W2389">
        <v>4</v>
      </c>
    </row>
    <row r="2390" spans="1:23" x14ac:dyDescent="0.2">
      <c r="A2390">
        <v>5079273</v>
      </c>
      <c r="B2390" t="s">
        <v>18</v>
      </c>
      <c r="C2390" t="s">
        <v>19</v>
      </c>
      <c r="D2390" t="s">
        <v>20</v>
      </c>
      <c r="E2390">
        <v>2</v>
      </c>
      <c r="F2390">
        <v>225000</v>
      </c>
      <c r="G2390" t="s">
        <v>31</v>
      </c>
      <c r="H2390" t="s">
        <v>22</v>
      </c>
      <c r="I2390" t="s">
        <v>28</v>
      </c>
      <c r="J2390" t="s">
        <v>24</v>
      </c>
      <c r="K2390" s="6">
        <f t="shared" ca="1" si="156"/>
        <v>35732</v>
      </c>
      <c r="L2390">
        <v>-10029</v>
      </c>
      <c r="M2390" s="7">
        <f t="shared" ca="1" si="154"/>
        <v>27.457905544147845</v>
      </c>
      <c r="N2390" s="5" t="str">
        <f ca="1">VLOOKUP(Data!M2390,temp!$B$3:$C$9,2,1)</f>
        <v>20-30</v>
      </c>
      <c r="O2390">
        <v>-2705</v>
      </c>
      <c r="P2390" s="8">
        <f t="shared" si="155"/>
        <v>7.4058863791923342</v>
      </c>
      <c r="Q2390" s="5" t="str">
        <f t="shared" si="157"/>
        <v>Employed</v>
      </c>
      <c r="R2390">
        <v>1</v>
      </c>
      <c r="S2390">
        <v>0</v>
      </c>
      <c r="T2390">
        <v>0</v>
      </c>
      <c r="U2390">
        <v>0</v>
      </c>
      <c r="W2390">
        <v>4</v>
      </c>
    </row>
    <row r="2391" spans="1:23" x14ac:dyDescent="0.2">
      <c r="A2391">
        <v>5079291</v>
      </c>
      <c r="B2391" t="s">
        <v>18</v>
      </c>
      <c r="C2391" t="s">
        <v>19</v>
      </c>
      <c r="D2391" t="s">
        <v>20</v>
      </c>
      <c r="E2391">
        <v>1</v>
      </c>
      <c r="F2391">
        <v>405000</v>
      </c>
      <c r="G2391" t="s">
        <v>26</v>
      </c>
      <c r="H2391" t="s">
        <v>22</v>
      </c>
      <c r="I2391" t="s">
        <v>42</v>
      </c>
      <c r="J2391" t="s">
        <v>24</v>
      </c>
      <c r="K2391" s="6">
        <f t="shared" ca="1" si="156"/>
        <v>32520</v>
      </c>
      <c r="L2391">
        <v>-13241</v>
      </c>
      <c r="M2391" s="7">
        <f t="shared" ca="1" si="154"/>
        <v>36.251882272416154</v>
      </c>
      <c r="N2391" s="5" t="str">
        <f ca="1">VLOOKUP(Data!M2391,temp!$B$3:$C$9,2,1)</f>
        <v>30-40</v>
      </c>
      <c r="O2391">
        <v>-1974</v>
      </c>
      <c r="P2391" s="8">
        <f t="shared" si="155"/>
        <v>5.4045174537987677</v>
      </c>
      <c r="Q2391" s="5" t="str">
        <f t="shared" si="157"/>
        <v>Employed</v>
      </c>
      <c r="R2391">
        <v>1</v>
      </c>
      <c r="S2391">
        <v>1</v>
      </c>
      <c r="T2391">
        <v>0</v>
      </c>
      <c r="U2391">
        <v>0</v>
      </c>
      <c r="V2391" t="s">
        <v>44</v>
      </c>
      <c r="W2391">
        <v>2</v>
      </c>
    </row>
    <row r="2392" spans="1:23" x14ac:dyDescent="0.2">
      <c r="A2392">
        <v>5085652</v>
      </c>
      <c r="B2392" t="s">
        <v>18</v>
      </c>
      <c r="C2392" t="s">
        <v>19</v>
      </c>
      <c r="D2392" t="s">
        <v>19</v>
      </c>
      <c r="E2392">
        <v>0</v>
      </c>
      <c r="F2392">
        <v>135000</v>
      </c>
      <c r="G2392" t="s">
        <v>31</v>
      </c>
      <c r="H2392" t="s">
        <v>27</v>
      </c>
      <c r="I2392" t="s">
        <v>33</v>
      </c>
      <c r="J2392" t="s">
        <v>34</v>
      </c>
      <c r="K2392" s="6">
        <f t="shared" ca="1" si="156"/>
        <v>32166</v>
      </c>
      <c r="L2392">
        <v>-13595</v>
      </c>
      <c r="M2392" s="7">
        <f t="shared" ca="1" si="154"/>
        <v>37.221081451060918</v>
      </c>
      <c r="N2392" s="5" t="str">
        <f ca="1">VLOOKUP(Data!M2392,temp!$B$3:$C$9,2,1)</f>
        <v>30-40</v>
      </c>
      <c r="O2392">
        <v>-1387</v>
      </c>
      <c r="P2392" s="8">
        <f t="shared" si="155"/>
        <v>3.7973990417522243</v>
      </c>
      <c r="Q2392" s="5" t="str">
        <f t="shared" si="157"/>
        <v>Employed</v>
      </c>
      <c r="R2392">
        <v>1</v>
      </c>
      <c r="S2392">
        <v>0</v>
      </c>
      <c r="T2392">
        <v>0</v>
      </c>
      <c r="U2392">
        <v>0</v>
      </c>
      <c r="V2392" t="s">
        <v>29</v>
      </c>
      <c r="W2392">
        <v>1</v>
      </c>
    </row>
    <row r="2393" spans="1:23" x14ac:dyDescent="0.2">
      <c r="A2393">
        <v>5085656</v>
      </c>
      <c r="B2393" t="s">
        <v>18</v>
      </c>
      <c r="C2393" t="s">
        <v>19</v>
      </c>
      <c r="D2393" t="s">
        <v>19</v>
      </c>
      <c r="E2393">
        <v>0</v>
      </c>
      <c r="F2393">
        <v>135000</v>
      </c>
      <c r="G2393" t="s">
        <v>31</v>
      </c>
      <c r="H2393" t="s">
        <v>27</v>
      </c>
      <c r="I2393" t="s">
        <v>33</v>
      </c>
      <c r="J2393" t="s">
        <v>34</v>
      </c>
      <c r="K2393" s="6">
        <f t="shared" ca="1" si="156"/>
        <v>32166</v>
      </c>
      <c r="L2393">
        <v>-13595</v>
      </c>
      <c r="M2393" s="7">
        <f t="shared" ca="1" si="154"/>
        <v>37.221081451060918</v>
      </c>
      <c r="N2393" s="5" t="str">
        <f ca="1">VLOOKUP(Data!M2393,temp!$B$3:$C$9,2,1)</f>
        <v>30-40</v>
      </c>
      <c r="O2393">
        <v>-1387</v>
      </c>
      <c r="P2393" s="8">
        <f t="shared" si="155"/>
        <v>3.7973990417522243</v>
      </c>
      <c r="Q2393" s="5" t="str">
        <f t="shared" si="157"/>
        <v>Employed</v>
      </c>
      <c r="R2393">
        <v>1</v>
      </c>
      <c r="S2393">
        <v>0</v>
      </c>
      <c r="T2393">
        <v>0</v>
      </c>
      <c r="U2393">
        <v>0</v>
      </c>
      <c r="V2393" t="s">
        <v>29</v>
      </c>
      <c r="W2393">
        <v>1</v>
      </c>
    </row>
    <row r="2394" spans="1:23" x14ac:dyDescent="0.2">
      <c r="A2394">
        <v>5085661</v>
      </c>
      <c r="B2394" t="s">
        <v>25</v>
      </c>
      <c r="C2394" t="s">
        <v>19</v>
      </c>
      <c r="D2394" t="s">
        <v>20</v>
      </c>
      <c r="E2394">
        <v>1</v>
      </c>
      <c r="F2394">
        <v>270000</v>
      </c>
      <c r="G2394" t="s">
        <v>31</v>
      </c>
      <c r="H2394" t="s">
        <v>27</v>
      </c>
      <c r="I2394" t="s">
        <v>28</v>
      </c>
      <c r="J2394" t="s">
        <v>24</v>
      </c>
      <c r="K2394" s="6">
        <f t="shared" ca="1" si="156"/>
        <v>32112</v>
      </c>
      <c r="L2394">
        <v>-13649</v>
      </c>
      <c r="M2394" s="7">
        <f t="shared" ca="1" si="154"/>
        <v>37.368925393566052</v>
      </c>
      <c r="N2394" s="5" t="str">
        <f ca="1">VLOOKUP(Data!M2394,temp!$B$3:$C$9,2,1)</f>
        <v>30-40</v>
      </c>
      <c r="O2394">
        <v>-412</v>
      </c>
      <c r="P2394" s="8">
        <f t="shared" si="155"/>
        <v>1.1279945242984257</v>
      </c>
      <c r="Q2394" s="5" t="str">
        <f t="shared" si="157"/>
        <v>Employed</v>
      </c>
      <c r="R2394">
        <v>1</v>
      </c>
      <c r="S2394">
        <v>0</v>
      </c>
      <c r="T2394">
        <v>0</v>
      </c>
      <c r="U2394">
        <v>0</v>
      </c>
      <c r="W2394">
        <v>3</v>
      </c>
    </row>
    <row r="2395" spans="1:23" x14ac:dyDescent="0.2">
      <c r="A2395">
        <v>5085664</v>
      </c>
      <c r="B2395" t="s">
        <v>25</v>
      </c>
      <c r="C2395" t="s">
        <v>20</v>
      </c>
      <c r="D2395" t="s">
        <v>20</v>
      </c>
      <c r="E2395">
        <v>0</v>
      </c>
      <c r="F2395">
        <v>202500</v>
      </c>
      <c r="G2395" t="s">
        <v>21</v>
      </c>
      <c r="H2395" t="s">
        <v>27</v>
      </c>
      <c r="I2395" t="s">
        <v>37</v>
      </c>
      <c r="J2395" t="s">
        <v>24</v>
      </c>
      <c r="K2395" s="6">
        <f t="shared" ca="1" si="156"/>
        <v>24697</v>
      </c>
      <c r="L2395">
        <v>-21064</v>
      </c>
      <c r="M2395" s="7">
        <f t="shared" ca="1" si="154"/>
        <v>57.670088980150581</v>
      </c>
      <c r="N2395" s="5" t="str">
        <f ca="1">VLOOKUP(Data!M2395,temp!$B$3:$C$9,2,1)</f>
        <v>50-60</v>
      </c>
      <c r="O2395">
        <v>365243</v>
      </c>
      <c r="P2395" s="8">
        <f t="shared" si="155"/>
        <v>0</v>
      </c>
      <c r="Q2395" s="5" t="str">
        <f t="shared" si="157"/>
        <v>Unemployed</v>
      </c>
      <c r="R2395">
        <v>1</v>
      </c>
      <c r="S2395">
        <v>0</v>
      </c>
      <c r="T2395">
        <v>0</v>
      </c>
      <c r="U2395">
        <v>0</v>
      </c>
      <c r="W2395">
        <v>2</v>
      </c>
    </row>
    <row r="2396" spans="1:23" x14ac:dyDescent="0.2">
      <c r="A2396">
        <v>5085668</v>
      </c>
      <c r="B2396" t="s">
        <v>18</v>
      </c>
      <c r="C2396" t="s">
        <v>19</v>
      </c>
      <c r="D2396" t="s">
        <v>20</v>
      </c>
      <c r="E2396">
        <v>0</v>
      </c>
      <c r="F2396">
        <v>180000</v>
      </c>
      <c r="G2396" t="s">
        <v>31</v>
      </c>
      <c r="H2396" t="s">
        <v>27</v>
      </c>
      <c r="I2396" t="s">
        <v>42</v>
      </c>
      <c r="J2396" t="s">
        <v>24</v>
      </c>
      <c r="K2396" s="6">
        <f t="shared" ca="1" si="156"/>
        <v>28036</v>
      </c>
      <c r="L2396">
        <v>-17725</v>
      </c>
      <c r="M2396" s="7">
        <f t="shared" ca="1" si="154"/>
        <v>48.528405201916499</v>
      </c>
      <c r="N2396" s="5" t="str">
        <f ca="1">VLOOKUP(Data!M2396,temp!$B$3:$C$9,2,1)</f>
        <v>40-50</v>
      </c>
      <c r="O2396">
        <v>-1783</v>
      </c>
      <c r="P2396" s="8">
        <f t="shared" si="155"/>
        <v>4.8815879534565365</v>
      </c>
      <c r="Q2396" s="5" t="str">
        <f t="shared" si="157"/>
        <v>Employed</v>
      </c>
      <c r="R2396">
        <v>1</v>
      </c>
      <c r="S2396">
        <v>0</v>
      </c>
      <c r="T2396">
        <v>0</v>
      </c>
      <c r="U2396">
        <v>0</v>
      </c>
      <c r="V2396" t="s">
        <v>44</v>
      </c>
      <c r="W2396">
        <v>1</v>
      </c>
    </row>
    <row r="2397" spans="1:23" x14ac:dyDescent="0.2">
      <c r="A2397">
        <v>5085671</v>
      </c>
      <c r="B2397" t="s">
        <v>18</v>
      </c>
      <c r="C2397" t="s">
        <v>19</v>
      </c>
      <c r="D2397" t="s">
        <v>20</v>
      </c>
      <c r="E2397">
        <v>0</v>
      </c>
      <c r="F2397">
        <v>180000</v>
      </c>
      <c r="G2397" t="s">
        <v>31</v>
      </c>
      <c r="H2397" t="s">
        <v>27</v>
      </c>
      <c r="I2397" t="s">
        <v>42</v>
      </c>
      <c r="J2397" t="s">
        <v>24</v>
      </c>
      <c r="K2397" s="6">
        <f t="shared" ca="1" si="156"/>
        <v>28036</v>
      </c>
      <c r="L2397">
        <v>-17725</v>
      </c>
      <c r="M2397" s="7">
        <f t="shared" ca="1" si="154"/>
        <v>48.528405201916499</v>
      </c>
      <c r="N2397" s="5" t="str">
        <f ca="1">VLOOKUP(Data!M2397,temp!$B$3:$C$9,2,1)</f>
        <v>40-50</v>
      </c>
      <c r="O2397">
        <v>-1783</v>
      </c>
      <c r="P2397" s="8">
        <f t="shared" si="155"/>
        <v>4.8815879534565365</v>
      </c>
      <c r="Q2397" s="5" t="str">
        <f t="shared" si="157"/>
        <v>Employed</v>
      </c>
      <c r="R2397">
        <v>1</v>
      </c>
      <c r="S2397">
        <v>0</v>
      </c>
      <c r="T2397">
        <v>0</v>
      </c>
      <c r="U2397">
        <v>0</v>
      </c>
      <c r="V2397" t="s">
        <v>44</v>
      </c>
      <c r="W2397">
        <v>1</v>
      </c>
    </row>
    <row r="2398" spans="1:23" x14ac:dyDescent="0.2">
      <c r="A2398">
        <v>5085678</v>
      </c>
      <c r="B2398" t="s">
        <v>18</v>
      </c>
      <c r="C2398" t="s">
        <v>19</v>
      </c>
      <c r="D2398" t="s">
        <v>20</v>
      </c>
      <c r="E2398">
        <v>0</v>
      </c>
      <c r="F2398">
        <v>103500</v>
      </c>
      <c r="G2398" t="s">
        <v>31</v>
      </c>
      <c r="H2398" t="s">
        <v>27</v>
      </c>
      <c r="I2398" t="s">
        <v>28</v>
      </c>
      <c r="J2398" t="s">
        <v>24</v>
      </c>
      <c r="K2398" s="6">
        <f t="shared" ca="1" si="156"/>
        <v>25469</v>
      </c>
      <c r="L2398">
        <v>-20292</v>
      </c>
      <c r="M2398" s="7">
        <f t="shared" ca="1" si="154"/>
        <v>55.5564681724846</v>
      </c>
      <c r="N2398" s="5" t="str">
        <f ca="1">VLOOKUP(Data!M2398,temp!$B$3:$C$9,2,1)</f>
        <v>50-60</v>
      </c>
      <c r="O2398">
        <v>-1691</v>
      </c>
      <c r="P2398" s="8">
        <f t="shared" si="155"/>
        <v>4.6297056810403836</v>
      </c>
      <c r="Q2398" s="5" t="str">
        <f t="shared" si="157"/>
        <v>Employed</v>
      </c>
      <c r="R2398">
        <v>1</v>
      </c>
      <c r="S2398">
        <v>0</v>
      </c>
      <c r="T2398">
        <v>0</v>
      </c>
      <c r="U2398">
        <v>0</v>
      </c>
      <c r="V2398" t="s">
        <v>29</v>
      </c>
      <c r="W2398">
        <v>2</v>
      </c>
    </row>
    <row r="2399" spans="1:23" x14ac:dyDescent="0.2">
      <c r="A2399">
        <v>5085682</v>
      </c>
      <c r="B2399" t="s">
        <v>25</v>
      </c>
      <c r="C2399" t="s">
        <v>20</v>
      </c>
      <c r="D2399" t="s">
        <v>20</v>
      </c>
      <c r="E2399">
        <v>0</v>
      </c>
      <c r="F2399">
        <v>337500</v>
      </c>
      <c r="G2399" t="s">
        <v>26</v>
      </c>
      <c r="H2399" t="s">
        <v>22</v>
      </c>
      <c r="I2399" t="s">
        <v>28</v>
      </c>
      <c r="J2399" t="s">
        <v>24</v>
      </c>
      <c r="K2399" s="6">
        <f t="shared" ca="1" si="156"/>
        <v>27165</v>
      </c>
      <c r="L2399">
        <v>-18596</v>
      </c>
      <c r="M2399" s="7">
        <f t="shared" ca="1" si="154"/>
        <v>50.913073237508556</v>
      </c>
      <c r="N2399" s="5" t="str">
        <f ca="1">VLOOKUP(Data!M2399,temp!$B$3:$C$9,2,1)</f>
        <v>50-60</v>
      </c>
      <c r="O2399">
        <v>-7566</v>
      </c>
      <c r="P2399" s="8">
        <f t="shared" si="155"/>
        <v>20.714579055441479</v>
      </c>
      <c r="Q2399" s="5" t="str">
        <f t="shared" si="157"/>
        <v>Employed</v>
      </c>
      <c r="R2399">
        <v>1</v>
      </c>
      <c r="S2399">
        <v>0</v>
      </c>
      <c r="T2399">
        <v>0</v>
      </c>
      <c r="U2399">
        <v>0</v>
      </c>
      <c r="V2399" t="s">
        <v>32</v>
      </c>
      <c r="W2399">
        <v>2</v>
      </c>
    </row>
    <row r="2400" spans="1:23" x14ac:dyDescent="0.2">
      <c r="A2400">
        <v>5085684</v>
      </c>
      <c r="B2400" t="s">
        <v>18</v>
      </c>
      <c r="C2400" t="s">
        <v>19</v>
      </c>
      <c r="D2400" t="s">
        <v>20</v>
      </c>
      <c r="E2400">
        <v>0</v>
      </c>
      <c r="F2400">
        <v>135000</v>
      </c>
      <c r="G2400" t="s">
        <v>31</v>
      </c>
      <c r="H2400" t="s">
        <v>27</v>
      </c>
      <c r="I2400" t="s">
        <v>33</v>
      </c>
      <c r="J2400" t="s">
        <v>24</v>
      </c>
      <c r="K2400" s="6">
        <f t="shared" ca="1" si="156"/>
        <v>24871</v>
      </c>
      <c r="L2400">
        <v>-20890</v>
      </c>
      <c r="M2400" s="7">
        <f t="shared" ca="1" si="154"/>
        <v>57.193702943189599</v>
      </c>
      <c r="N2400" s="5" t="str">
        <f ca="1">VLOOKUP(Data!M2400,temp!$B$3:$C$9,2,1)</f>
        <v>50-60</v>
      </c>
      <c r="O2400">
        <v>-3303</v>
      </c>
      <c r="P2400" s="8">
        <f t="shared" si="155"/>
        <v>9.0431211498973312</v>
      </c>
      <c r="Q2400" s="5" t="str">
        <f t="shared" si="157"/>
        <v>Employed</v>
      </c>
      <c r="R2400">
        <v>1</v>
      </c>
      <c r="S2400">
        <v>0</v>
      </c>
      <c r="T2400">
        <v>0</v>
      </c>
      <c r="U2400">
        <v>0</v>
      </c>
      <c r="V2400" t="s">
        <v>29</v>
      </c>
      <c r="W2400">
        <v>1</v>
      </c>
    </row>
    <row r="2401" spans="1:23" x14ac:dyDescent="0.2">
      <c r="A2401">
        <v>5085705</v>
      </c>
      <c r="B2401" t="s">
        <v>25</v>
      </c>
      <c r="C2401" t="s">
        <v>19</v>
      </c>
      <c r="D2401" t="s">
        <v>20</v>
      </c>
      <c r="E2401">
        <v>2</v>
      </c>
      <c r="F2401">
        <v>157500</v>
      </c>
      <c r="G2401" t="s">
        <v>31</v>
      </c>
      <c r="H2401" t="s">
        <v>27</v>
      </c>
      <c r="I2401" t="s">
        <v>28</v>
      </c>
      <c r="J2401" t="s">
        <v>24</v>
      </c>
      <c r="K2401" s="6">
        <f t="shared" ca="1" si="156"/>
        <v>32822</v>
      </c>
      <c r="L2401">
        <v>-12939</v>
      </c>
      <c r="M2401" s="7">
        <f t="shared" ca="1" si="154"/>
        <v>35.42505133470226</v>
      </c>
      <c r="N2401" s="5" t="str">
        <f ca="1">VLOOKUP(Data!M2401,temp!$B$3:$C$9,2,1)</f>
        <v>30-40</v>
      </c>
      <c r="O2401">
        <v>-200</v>
      </c>
      <c r="P2401" s="8">
        <f t="shared" si="155"/>
        <v>0.54757015742642023</v>
      </c>
      <c r="Q2401" s="5" t="str">
        <f t="shared" si="157"/>
        <v>Employed</v>
      </c>
      <c r="R2401">
        <v>1</v>
      </c>
      <c r="S2401">
        <v>0</v>
      </c>
      <c r="T2401">
        <v>0</v>
      </c>
      <c r="U2401">
        <v>0</v>
      </c>
      <c r="V2401" t="s">
        <v>38</v>
      </c>
      <c r="W2401">
        <v>4</v>
      </c>
    </row>
    <row r="2402" spans="1:23" x14ac:dyDescent="0.2">
      <c r="A2402">
        <v>5085717</v>
      </c>
      <c r="B2402" t="s">
        <v>18</v>
      </c>
      <c r="C2402" t="s">
        <v>19</v>
      </c>
      <c r="D2402" t="s">
        <v>19</v>
      </c>
      <c r="E2402">
        <v>0</v>
      </c>
      <c r="F2402">
        <v>225000</v>
      </c>
      <c r="G2402" t="s">
        <v>31</v>
      </c>
      <c r="H2402" t="s">
        <v>22</v>
      </c>
      <c r="I2402" t="s">
        <v>28</v>
      </c>
      <c r="J2402" t="s">
        <v>24</v>
      </c>
      <c r="K2402" s="6">
        <f t="shared" ca="1" si="156"/>
        <v>28924</v>
      </c>
      <c r="L2402">
        <v>-16837</v>
      </c>
      <c r="M2402" s="7">
        <f t="shared" ca="1" si="154"/>
        <v>46.097193702943187</v>
      </c>
      <c r="N2402" s="5" t="str">
        <f ca="1">VLOOKUP(Data!M2402,temp!$B$3:$C$9,2,1)</f>
        <v>40-50</v>
      </c>
      <c r="O2402">
        <v>-2848</v>
      </c>
      <c r="P2402" s="8">
        <f t="shared" si="155"/>
        <v>7.7973990417522243</v>
      </c>
      <c r="Q2402" s="5" t="str">
        <f t="shared" si="157"/>
        <v>Employed</v>
      </c>
      <c r="R2402">
        <v>1</v>
      </c>
      <c r="S2402">
        <v>0</v>
      </c>
      <c r="T2402">
        <v>0</v>
      </c>
      <c r="U2402">
        <v>0</v>
      </c>
      <c r="V2402" t="s">
        <v>32</v>
      </c>
      <c r="W2402">
        <v>2</v>
      </c>
    </row>
    <row r="2403" spans="1:23" x14ac:dyDescent="0.2">
      <c r="A2403">
        <v>5085718</v>
      </c>
      <c r="B2403" t="s">
        <v>18</v>
      </c>
      <c r="C2403" t="s">
        <v>19</v>
      </c>
      <c r="D2403" t="s">
        <v>20</v>
      </c>
      <c r="E2403">
        <v>0</v>
      </c>
      <c r="F2403">
        <v>162000</v>
      </c>
      <c r="G2403" t="s">
        <v>31</v>
      </c>
      <c r="H2403" t="s">
        <v>22</v>
      </c>
      <c r="I2403" t="s">
        <v>28</v>
      </c>
      <c r="J2403" t="s">
        <v>24</v>
      </c>
      <c r="K2403" s="6">
        <f t="shared" ca="1" si="156"/>
        <v>30990</v>
      </c>
      <c r="L2403">
        <v>-14771</v>
      </c>
      <c r="M2403" s="7">
        <f t="shared" ca="1" si="154"/>
        <v>40.440793976728266</v>
      </c>
      <c r="N2403" s="5" t="str">
        <f ca="1">VLOOKUP(Data!M2403,temp!$B$3:$C$9,2,1)</f>
        <v>40-50</v>
      </c>
      <c r="O2403">
        <v>-5921</v>
      </c>
      <c r="P2403" s="8">
        <f t="shared" si="155"/>
        <v>16.210814510609172</v>
      </c>
      <c r="Q2403" s="5" t="str">
        <f t="shared" si="157"/>
        <v>Employed</v>
      </c>
      <c r="R2403">
        <v>1</v>
      </c>
      <c r="S2403">
        <v>0</v>
      </c>
      <c r="T2403">
        <v>1</v>
      </c>
      <c r="U2403">
        <v>0</v>
      </c>
      <c r="W2403">
        <v>2</v>
      </c>
    </row>
    <row r="2404" spans="1:23" x14ac:dyDescent="0.2">
      <c r="A2404">
        <v>5085744</v>
      </c>
      <c r="B2404" t="s">
        <v>18</v>
      </c>
      <c r="C2404" t="s">
        <v>19</v>
      </c>
      <c r="D2404" t="s">
        <v>20</v>
      </c>
      <c r="E2404">
        <v>1</v>
      </c>
      <c r="F2404">
        <v>202500</v>
      </c>
      <c r="G2404" t="s">
        <v>31</v>
      </c>
      <c r="H2404" t="s">
        <v>27</v>
      </c>
      <c r="I2404" t="s">
        <v>28</v>
      </c>
      <c r="J2404" t="s">
        <v>24</v>
      </c>
      <c r="K2404" s="6">
        <f t="shared" ca="1" si="156"/>
        <v>31701</v>
      </c>
      <c r="L2404">
        <v>-14060</v>
      </c>
      <c r="M2404" s="7">
        <f t="shared" ca="1" si="154"/>
        <v>38.494182067077347</v>
      </c>
      <c r="N2404" s="5" t="str">
        <f ca="1">VLOOKUP(Data!M2404,temp!$B$3:$C$9,2,1)</f>
        <v>30-40</v>
      </c>
      <c r="O2404">
        <v>-261</v>
      </c>
      <c r="P2404" s="8">
        <f t="shared" si="155"/>
        <v>0.71457905544147848</v>
      </c>
      <c r="Q2404" s="5" t="str">
        <f t="shared" si="157"/>
        <v>Employed</v>
      </c>
      <c r="R2404">
        <v>1</v>
      </c>
      <c r="S2404">
        <v>0</v>
      </c>
      <c r="T2404">
        <v>0</v>
      </c>
      <c r="U2404">
        <v>0</v>
      </c>
      <c r="V2404" t="s">
        <v>50</v>
      </c>
      <c r="W2404">
        <v>3</v>
      </c>
    </row>
    <row r="2405" spans="1:23" x14ac:dyDescent="0.2">
      <c r="A2405">
        <v>5085745</v>
      </c>
      <c r="B2405" t="s">
        <v>18</v>
      </c>
      <c r="C2405" t="s">
        <v>19</v>
      </c>
      <c r="D2405" t="s">
        <v>20</v>
      </c>
      <c r="E2405">
        <v>1</v>
      </c>
      <c r="F2405">
        <v>202500</v>
      </c>
      <c r="G2405" t="s">
        <v>31</v>
      </c>
      <c r="H2405" t="s">
        <v>27</v>
      </c>
      <c r="I2405" t="s">
        <v>28</v>
      </c>
      <c r="J2405" t="s">
        <v>24</v>
      </c>
      <c r="K2405" s="6">
        <f t="shared" ca="1" si="156"/>
        <v>31701</v>
      </c>
      <c r="L2405">
        <v>-14060</v>
      </c>
      <c r="M2405" s="7">
        <f t="shared" ca="1" si="154"/>
        <v>38.494182067077347</v>
      </c>
      <c r="N2405" s="5" t="str">
        <f ca="1">VLOOKUP(Data!M2405,temp!$B$3:$C$9,2,1)</f>
        <v>30-40</v>
      </c>
      <c r="O2405">
        <v>-261</v>
      </c>
      <c r="P2405" s="8">
        <f t="shared" si="155"/>
        <v>0.71457905544147848</v>
      </c>
      <c r="Q2405" s="5" t="str">
        <f t="shared" si="157"/>
        <v>Employed</v>
      </c>
      <c r="R2405">
        <v>1</v>
      </c>
      <c r="S2405">
        <v>0</v>
      </c>
      <c r="T2405">
        <v>0</v>
      </c>
      <c r="U2405">
        <v>0</v>
      </c>
      <c r="V2405" t="s">
        <v>50</v>
      </c>
      <c r="W2405">
        <v>3</v>
      </c>
    </row>
    <row r="2406" spans="1:23" x14ac:dyDescent="0.2">
      <c r="A2406">
        <v>5085747</v>
      </c>
      <c r="B2406" t="s">
        <v>18</v>
      </c>
      <c r="C2406" t="s">
        <v>19</v>
      </c>
      <c r="D2406" t="s">
        <v>20</v>
      </c>
      <c r="E2406">
        <v>1</v>
      </c>
      <c r="F2406">
        <v>202500</v>
      </c>
      <c r="G2406" t="s">
        <v>31</v>
      </c>
      <c r="H2406" t="s">
        <v>27</v>
      </c>
      <c r="I2406" t="s">
        <v>28</v>
      </c>
      <c r="J2406" t="s">
        <v>24</v>
      </c>
      <c r="K2406" s="6">
        <f t="shared" ca="1" si="156"/>
        <v>31701</v>
      </c>
      <c r="L2406">
        <v>-14060</v>
      </c>
      <c r="M2406" s="7">
        <f t="shared" ca="1" si="154"/>
        <v>38.494182067077347</v>
      </c>
      <c r="N2406" s="5" t="str">
        <f ca="1">VLOOKUP(Data!M2406,temp!$B$3:$C$9,2,1)</f>
        <v>30-40</v>
      </c>
      <c r="O2406">
        <v>-261</v>
      </c>
      <c r="P2406" s="8">
        <f t="shared" si="155"/>
        <v>0.71457905544147848</v>
      </c>
      <c r="Q2406" s="5" t="str">
        <f t="shared" si="157"/>
        <v>Employed</v>
      </c>
      <c r="R2406">
        <v>1</v>
      </c>
      <c r="S2406">
        <v>0</v>
      </c>
      <c r="T2406">
        <v>0</v>
      </c>
      <c r="U2406">
        <v>0</v>
      </c>
      <c r="V2406" t="s">
        <v>50</v>
      </c>
      <c r="W2406">
        <v>3</v>
      </c>
    </row>
    <row r="2407" spans="1:23" x14ac:dyDescent="0.2">
      <c r="A2407">
        <v>5085757</v>
      </c>
      <c r="B2407" t="s">
        <v>18</v>
      </c>
      <c r="C2407" t="s">
        <v>20</v>
      </c>
      <c r="D2407" t="s">
        <v>20</v>
      </c>
      <c r="E2407">
        <v>1</v>
      </c>
      <c r="F2407">
        <v>112500</v>
      </c>
      <c r="G2407" t="s">
        <v>26</v>
      </c>
      <c r="H2407" t="s">
        <v>27</v>
      </c>
      <c r="I2407" t="s">
        <v>37</v>
      </c>
      <c r="J2407" t="s">
        <v>24</v>
      </c>
      <c r="K2407" s="6">
        <f t="shared" ca="1" si="156"/>
        <v>34101</v>
      </c>
      <c r="L2407">
        <v>-11660</v>
      </c>
      <c r="M2407" s="7">
        <f t="shared" ca="1" si="154"/>
        <v>31.923340177960302</v>
      </c>
      <c r="N2407" s="5" t="str">
        <f ca="1">VLOOKUP(Data!M2407,temp!$B$3:$C$9,2,1)</f>
        <v>30-40</v>
      </c>
      <c r="O2407">
        <v>-807</v>
      </c>
      <c r="P2407" s="8">
        <f t="shared" si="155"/>
        <v>2.2094455852156059</v>
      </c>
      <c r="Q2407" s="5" t="str">
        <f t="shared" si="157"/>
        <v>Employed</v>
      </c>
      <c r="R2407">
        <v>1</v>
      </c>
      <c r="S2407">
        <v>0</v>
      </c>
      <c r="T2407">
        <v>0</v>
      </c>
      <c r="U2407">
        <v>0</v>
      </c>
      <c r="V2407" t="s">
        <v>38</v>
      </c>
      <c r="W2407">
        <v>3</v>
      </c>
    </row>
    <row r="2408" spans="1:23" x14ac:dyDescent="0.2">
      <c r="A2408">
        <v>5085761</v>
      </c>
      <c r="B2408" t="s">
        <v>25</v>
      </c>
      <c r="C2408" t="s">
        <v>20</v>
      </c>
      <c r="D2408" t="s">
        <v>20</v>
      </c>
      <c r="E2408">
        <v>1</v>
      </c>
      <c r="F2408">
        <v>405000</v>
      </c>
      <c r="G2408" t="s">
        <v>35</v>
      </c>
      <c r="H2408" t="s">
        <v>22</v>
      </c>
      <c r="I2408" t="s">
        <v>28</v>
      </c>
      <c r="J2408" t="s">
        <v>24</v>
      </c>
      <c r="K2408" s="6">
        <f t="shared" ca="1" si="156"/>
        <v>34229</v>
      </c>
      <c r="L2408">
        <v>-11532</v>
      </c>
      <c r="M2408" s="7">
        <f t="shared" ca="1" si="154"/>
        <v>31.572895277207394</v>
      </c>
      <c r="N2408" s="5" t="str">
        <f ca="1">VLOOKUP(Data!M2408,temp!$B$3:$C$9,2,1)</f>
        <v>30-40</v>
      </c>
      <c r="O2408">
        <v>-4917</v>
      </c>
      <c r="P2408" s="8">
        <f t="shared" si="155"/>
        <v>13.462012320328542</v>
      </c>
      <c r="Q2408" s="5" t="str">
        <f t="shared" si="157"/>
        <v>Employed</v>
      </c>
      <c r="R2408">
        <v>1</v>
      </c>
      <c r="S2408">
        <v>0</v>
      </c>
      <c r="T2408">
        <v>0</v>
      </c>
      <c r="U2408">
        <v>0</v>
      </c>
      <c r="V2408" t="s">
        <v>32</v>
      </c>
      <c r="W2408">
        <v>3</v>
      </c>
    </row>
    <row r="2409" spans="1:23" x14ac:dyDescent="0.2">
      <c r="A2409">
        <v>5085763</v>
      </c>
      <c r="B2409" t="s">
        <v>25</v>
      </c>
      <c r="C2409" t="s">
        <v>20</v>
      </c>
      <c r="D2409" t="s">
        <v>20</v>
      </c>
      <c r="E2409">
        <v>1</v>
      </c>
      <c r="F2409">
        <v>405000</v>
      </c>
      <c r="G2409" t="s">
        <v>35</v>
      </c>
      <c r="H2409" t="s">
        <v>22</v>
      </c>
      <c r="I2409" t="s">
        <v>28</v>
      </c>
      <c r="J2409" t="s">
        <v>24</v>
      </c>
      <c r="K2409" s="6">
        <f t="shared" ca="1" si="156"/>
        <v>34229</v>
      </c>
      <c r="L2409">
        <v>-11532</v>
      </c>
      <c r="M2409" s="7">
        <f t="shared" ca="1" si="154"/>
        <v>31.572895277207394</v>
      </c>
      <c r="N2409" s="5" t="str">
        <f ca="1">VLOOKUP(Data!M2409,temp!$B$3:$C$9,2,1)</f>
        <v>30-40</v>
      </c>
      <c r="O2409">
        <v>-4917</v>
      </c>
      <c r="P2409" s="8">
        <f t="shared" si="155"/>
        <v>13.462012320328542</v>
      </c>
      <c r="Q2409" s="5" t="str">
        <f t="shared" si="157"/>
        <v>Employed</v>
      </c>
      <c r="R2409">
        <v>1</v>
      </c>
      <c r="S2409">
        <v>0</v>
      </c>
      <c r="T2409">
        <v>0</v>
      </c>
      <c r="U2409">
        <v>0</v>
      </c>
      <c r="V2409" t="s">
        <v>32</v>
      </c>
      <c r="W2409">
        <v>3</v>
      </c>
    </row>
    <row r="2410" spans="1:23" x14ac:dyDescent="0.2">
      <c r="A2410">
        <v>5085768</v>
      </c>
      <c r="B2410" t="s">
        <v>25</v>
      </c>
      <c r="C2410" t="s">
        <v>20</v>
      </c>
      <c r="D2410" t="s">
        <v>20</v>
      </c>
      <c r="E2410">
        <v>1</v>
      </c>
      <c r="F2410">
        <v>405000</v>
      </c>
      <c r="G2410" t="s">
        <v>35</v>
      </c>
      <c r="H2410" t="s">
        <v>22</v>
      </c>
      <c r="I2410" t="s">
        <v>28</v>
      </c>
      <c r="J2410" t="s">
        <v>24</v>
      </c>
      <c r="K2410" s="6">
        <f t="shared" ca="1" si="156"/>
        <v>34229</v>
      </c>
      <c r="L2410">
        <v>-11532</v>
      </c>
      <c r="M2410" s="7">
        <f t="shared" ca="1" si="154"/>
        <v>31.572895277207394</v>
      </c>
      <c r="N2410" s="5" t="str">
        <f ca="1">VLOOKUP(Data!M2410,temp!$B$3:$C$9,2,1)</f>
        <v>30-40</v>
      </c>
      <c r="O2410">
        <v>-4917</v>
      </c>
      <c r="P2410" s="8">
        <f t="shared" si="155"/>
        <v>13.462012320328542</v>
      </c>
      <c r="Q2410" s="5" t="str">
        <f t="shared" si="157"/>
        <v>Employed</v>
      </c>
      <c r="R2410">
        <v>1</v>
      </c>
      <c r="S2410">
        <v>0</v>
      </c>
      <c r="T2410">
        <v>0</v>
      </c>
      <c r="U2410">
        <v>0</v>
      </c>
      <c r="V2410" t="s">
        <v>32</v>
      </c>
      <c r="W2410">
        <v>3</v>
      </c>
    </row>
    <row r="2411" spans="1:23" x14ac:dyDescent="0.2">
      <c r="A2411">
        <v>5085786</v>
      </c>
      <c r="B2411" t="s">
        <v>25</v>
      </c>
      <c r="C2411" t="s">
        <v>20</v>
      </c>
      <c r="D2411" t="s">
        <v>19</v>
      </c>
      <c r="E2411">
        <v>0</v>
      </c>
      <c r="F2411">
        <v>157500</v>
      </c>
      <c r="G2411" t="s">
        <v>26</v>
      </c>
      <c r="H2411" t="s">
        <v>27</v>
      </c>
      <c r="I2411" t="s">
        <v>28</v>
      </c>
      <c r="J2411" t="s">
        <v>41</v>
      </c>
      <c r="K2411" s="6">
        <f t="shared" ca="1" si="156"/>
        <v>28722</v>
      </c>
      <c r="L2411">
        <v>-17039</v>
      </c>
      <c r="M2411" s="7">
        <f t="shared" ca="1" si="154"/>
        <v>46.650239561943877</v>
      </c>
      <c r="N2411" s="5" t="str">
        <f ca="1">VLOOKUP(Data!M2411,temp!$B$3:$C$9,2,1)</f>
        <v>40-50</v>
      </c>
      <c r="O2411">
        <v>-4156</v>
      </c>
      <c r="P2411" s="8">
        <f t="shared" si="155"/>
        <v>11.378507871321013</v>
      </c>
      <c r="Q2411" s="5" t="str">
        <f t="shared" si="157"/>
        <v>Employed</v>
      </c>
      <c r="R2411">
        <v>1</v>
      </c>
      <c r="S2411">
        <v>0</v>
      </c>
      <c r="T2411">
        <v>0</v>
      </c>
      <c r="U2411">
        <v>0</v>
      </c>
      <c r="V2411" t="s">
        <v>39</v>
      </c>
      <c r="W2411">
        <v>2</v>
      </c>
    </row>
    <row r="2412" spans="1:23" x14ac:dyDescent="0.2">
      <c r="A2412">
        <v>5085807</v>
      </c>
      <c r="B2412" t="s">
        <v>18</v>
      </c>
      <c r="C2412" t="s">
        <v>20</v>
      </c>
      <c r="D2412" t="s">
        <v>20</v>
      </c>
      <c r="E2412">
        <v>0</v>
      </c>
      <c r="F2412">
        <v>315000</v>
      </c>
      <c r="G2412" t="s">
        <v>35</v>
      </c>
      <c r="H2412" t="s">
        <v>22</v>
      </c>
      <c r="I2412" t="s">
        <v>28</v>
      </c>
      <c r="J2412" t="s">
        <v>24</v>
      </c>
      <c r="K2412" s="6">
        <f t="shared" ca="1" si="156"/>
        <v>26190</v>
      </c>
      <c r="L2412">
        <v>-19571</v>
      </c>
      <c r="M2412" s="7">
        <f t="shared" ca="1" si="154"/>
        <v>53.582477754962355</v>
      </c>
      <c r="N2412" s="5" t="str">
        <f ca="1">VLOOKUP(Data!M2412,temp!$B$3:$C$9,2,1)</f>
        <v>50-60</v>
      </c>
      <c r="O2412">
        <v>-1081</v>
      </c>
      <c r="P2412" s="8">
        <f t="shared" si="155"/>
        <v>2.9596167008898013</v>
      </c>
      <c r="Q2412" s="5" t="str">
        <f t="shared" si="157"/>
        <v>Employed</v>
      </c>
      <c r="R2412">
        <v>1</v>
      </c>
      <c r="S2412">
        <v>0</v>
      </c>
      <c r="T2412">
        <v>0</v>
      </c>
      <c r="U2412">
        <v>1</v>
      </c>
      <c r="V2412" t="s">
        <v>30</v>
      </c>
      <c r="W2412">
        <v>2</v>
      </c>
    </row>
    <row r="2413" spans="1:23" x14ac:dyDescent="0.2">
      <c r="A2413">
        <v>5085811</v>
      </c>
      <c r="B2413" t="s">
        <v>18</v>
      </c>
      <c r="C2413" t="s">
        <v>20</v>
      </c>
      <c r="D2413" t="s">
        <v>20</v>
      </c>
      <c r="E2413">
        <v>0</v>
      </c>
      <c r="F2413">
        <v>315000</v>
      </c>
      <c r="G2413" t="s">
        <v>35</v>
      </c>
      <c r="H2413" t="s">
        <v>22</v>
      </c>
      <c r="I2413" t="s">
        <v>28</v>
      </c>
      <c r="J2413" t="s">
        <v>24</v>
      </c>
      <c r="K2413" s="6">
        <f t="shared" ca="1" si="156"/>
        <v>26190</v>
      </c>
      <c r="L2413">
        <v>-19571</v>
      </c>
      <c r="M2413" s="7">
        <f t="shared" ca="1" si="154"/>
        <v>53.582477754962355</v>
      </c>
      <c r="N2413" s="5" t="str">
        <f ca="1">VLOOKUP(Data!M2413,temp!$B$3:$C$9,2,1)</f>
        <v>50-60</v>
      </c>
      <c r="O2413">
        <v>-1081</v>
      </c>
      <c r="P2413" s="8">
        <f t="shared" si="155"/>
        <v>2.9596167008898013</v>
      </c>
      <c r="Q2413" s="5" t="str">
        <f t="shared" si="157"/>
        <v>Employed</v>
      </c>
      <c r="R2413">
        <v>1</v>
      </c>
      <c r="S2413">
        <v>0</v>
      </c>
      <c r="T2413">
        <v>0</v>
      </c>
      <c r="U2413">
        <v>1</v>
      </c>
      <c r="V2413" t="s">
        <v>30</v>
      </c>
      <c r="W2413">
        <v>2</v>
      </c>
    </row>
    <row r="2414" spans="1:23" x14ac:dyDescent="0.2">
      <c r="A2414">
        <v>5085843</v>
      </c>
      <c r="B2414" t="s">
        <v>25</v>
      </c>
      <c r="C2414" t="s">
        <v>20</v>
      </c>
      <c r="D2414" t="s">
        <v>20</v>
      </c>
      <c r="E2414">
        <v>1</v>
      </c>
      <c r="F2414">
        <v>135000</v>
      </c>
      <c r="G2414" t="s">
        <v>31</v>
      </c>
      <c r="H2414" t="s">
        <v>36</v>
      </c>
      <c r="I2414" t="s">
        <v>28</v>
      </c>
      <c r="J2414" t="s">
        <v>24</v>
      </c>
      <c r="K2414" s="6">
        <f t="shared" ca="1" si="156"/>
        <v>34123</v>
      </c>
      <c r="L2414">
        <v>-11638</v>
      </c>
      <c r="M2414" s="7">
        <f t="shared" ca="1" si="154"/>
        <v>31.863107460643395</v>
      </c>
      <c r="N2414" s="5" t="str">
        <f ca="1">VLOOKUP(Data!M2414,temp!$B$3:$C$9,2,1)</f>
        <v>30-40</v>
      </c>
      <c r="O2414">
        <v>-5009</v>
      </c>
      <c r="P2414" s="8">
        <f t="shared" si="155"/>
        <v>13.713894592744696</v>
      </c>
      <c r="Q2414" s="5" t="str">
        <f t="shared" si="157"/>
        <v>Employed</v>
      </c>
      <c r="R2414">
        <v>1</v>
      </c>
      <c r="S2414">
        <v>0</v>
      </c>
      <c r="T2414">
        <v>1</v>
      </c>
      <c r="U2414">
        <v>0</v>
      </c>
      <c r="V2414" t="s">
        <v>29</v>
      </c>
      <c r="W2414">
        <v>3</v>
      </c>
    </row>
    <row r="2415" spans="1:23" x14ac:dyDescent="0.2">
      <c r="A2415">
        <v>5085851</v>
      </c>
      <c r="B2415" t="s">
        <v>18</v>
      </c>
      <c r="C2415" t="s">
        <v>19</v>
      </c>
      <c r="D2415" t="s">
        <v>20</v>
      </c>
      <c r="E2415">
        <v>0</v>
      </c>
      <c r="F2415">
        <v>112500</v>
      </c>
      <c r="G2415" t="s">
        <v>21</v>
      </c>
      <c r="H2415" t="s">
        <v>27</v>
      </c>
      <c r="I2415" t="s">
        <v>28</v>
      </c>
      <c r="J2415" t="s">
        <v>24</v>
      </c>
      <c r="K2415" s="6">
        <f t="shared" ca="1" si="156"/>
        <v>26287</v>
      </c>
      <c r="L2415">
        <v>-19474</v>
      </c>
      <c r="M2415" s="7">
        <f t="shared" ca="1" si="154"/>
        <v>53.316906228610542</v>
      </c>
      <c r="N2415" s="5" t="str">
        <f ca="1">VLOOKUP(Data!M2415,temp!$B$3:$C$9,2,1)</f>
        <v>50-60</v>
      </c>
      <c r="O2415">
        <v>365243</v>
      </c>
      <c r="P2415" s="8">
        <f t="shared" si="155"/>
        <v>0</v>
      </c>
      <c r="Q2415" s="5" t="str">
        <f t="shared" si="157"/>
        <v>Unemployed</v>
      </c>
      <c r="R2415">
        <v>1</v>
      </c>
      <c r="S2415">
        <v>0</v>
      </c>
      <c r="T2415">
        <v>1</v>
      </c>
      <c r="U2415">
        <v>0</v>
      </c>
      <c r="W2415">
        <v>2</v>
      </c>
    </row>
    <row r="2416" spans="1:23" x14ac:dyDescent="0.2">
      <c r="A2416">
        <v>5085860</v>
      </c>
      <c r="B2416" t="s">
        <v>18</v>
      </c>
      <c r="C2416" t="s">
        <v>19</v>
      </c>
      <c r="D2416" t="s">
        <v>20</v>
      </c>
      <c r="E2416">
        <v>1</v>
      </c>
      <c r="F2416">
        <v>121500</v>
      </c>
      <c r="G2416" t="s">
        <v>35</v>
      </c>
      <c r="H2416" t="s">
        <v>22</v>
      </c>
      <c r="I2416" t="s">
        <v>23</v>
      </c>
      <c r="J2416" t="s">
        <v>24</v>
      </c>
      <c r="K2416" s="6">
        <f t="shared" ca="1" si="156"/>
        <v>31623</v>
      </c>
      <c r="L2416">
        <v>-14138</v>
      </c>
      <c r="M2416" s="7">
        <f t="shared" ca="1" si="154"/>
        <v>38.70773442847365</v>
      </c>
      <c r="N2416" s="5" t="str">
        <f ca="1">VLOOKUP(Data!M2416,temp!$B$3:$C$9,2,1)</f>
        <v>30-40</v>
      </c>
      <c r="O2416">
        <v>-1418</v>
      </c>
      <c r="P2416" s="8">
        <f t="shared" si="155"/>
        <v>3.8822724161533197</v>
      </c>
      <c r="Q2416" s="5" t="str">
        <f t="shared" si="157"/>
        <v>Employed</v>
      </c>
      <c r="R2416">
        <v>1</v>
      </c>
      <c r="S2416">
        <v>0</v>
      </c>
      <c r="T2416">
        <v>1</v>
      </c>
      <c r="U2416">
        <v>0</v>
      </c>
      <c r="V2416" t="s">
        <v>50</v>
      </c>
      <c r="W2416">
        <v>2</v>
      </c>
    </row>
    <row r="2417" spans="1:23" x14ac:dyDescent="0.2">
      <c r="A2417">
        <v>5085864</v>
      </c>
      <c r="B2417" t="s">
        <v>18</v>
      </c>
      <c r="C2417" t="s">
        <v>19</v>
      </c>
      <c r="D2417" t="s">
        <v>20</v>
      </c>
      <c r="E2417">
        <v>0</v>
      </c>
      <c r="F2417">
        <v>135000</v>
      </c>
      <c r="G2417" t="s">
        <v>31</v>
      </c>
      <c r="H2417" t="s">
        <v>27</v>
      </c>
      <c r="I2417" t="s">
        <v>28</v>
      </c>
      <c r="J2417" t="s">
        <v>24</v>
      </c>
      <c r="K2417" s="6">
        <f t="shared" ca="1" si="156"/>
        <v>27562</v>
      </c>
      <c r="L2417">
        <v>-18199</v>
      </c>
      <c r="M2417" s="7">
        <f t="shared" ca="1" si="154"/>
        <v>49.826146475017111</v>
      </c>
      <c r="N2417" s="5" t="str">
        <f ca="1">VLOOKUP(Data!M2417,temp!$B$3:$C$9,2,1)</f>
        <v>40-50</v>
      </c>
      <c r="O2417">
        <v>-5190</v>
      </c>
      <c r="P2417" s="8">
        <f t="shared" si="155"/>
        <v>14.209445585215606</v>
      </c>
      <c r="Q2417" s="5" t="str">
        <f t="shared" si="157"/>
        <v>Employed</v>
      </c>
      <c r="R2417">
        <v>1</v>
      </c>
      <c r="S2417">
        <v>0</v>
      </c>
      <c r="T2417">
        <v>0</v>
      </c>
      <c r="U2417">
        <v>0</v>
      </c>
      <c r="V2417" t="s">
        <v>46</v>
      </c>
      <c r="W2417">
        <v>2</v>
      </c>
    </row>
    <row r="2418" spans="1:23" x14ac:dyDescent="0.2">
      <c r="A2418">
        <v>5085875</v>
      </c>
      <c r="B2418" t="s">
        <v>25</v>
      </c>
      <c r="C2418" t="s">
        <v>20</v>
      </c>
      <c r="D2418" t="s">
        <v>20</v>
      </c>
      <c r="E2418">
        <v>0</v>
      </c>
      <c r="F2418">
        <v>135000</v>
      </c>
      <c r="G2418" t="s">
        <v>26</v>
      </c>
      <c r="H2418" t="s">
        <v>36</v>
      </c>
      <c r="I2418" t="s">
        <v>37</v>
      </c>
      <c r="J2418" t="s">
        <v>24</v>
      </c>
      <c r="K2418" s="6">
        <f t="shared" ca="1" si="156"/>
        <v>36264</v>
      </c>
      <c r="L2418">
        <v>-9497</v>
      </c>
      <c r="M2418" s="7">
        <f t="shared" ca="1" si="154"/>
        <v>26.001368925393567</v>
      </c>
      <c r="N2418" s="5" t="str">
        <f ca="1">VLOOKUP(Data!M2418,temp!$B$3:$C$9,2,1)</f>
        <v>20-30</v>
      </c>
      <c r="O2418">
        <v>-1052</v>
      </c>
      <c r="P2418" s="8">
        <f t="shared" si="155"/>
        <v>2.8802190280629705</v>
      </c>
      <c r="Q2418" s="5" t="str">
        <f t="shared" si="157"/>
        <v>Employed</v>
      </c>
      <c r="R2418">
        <v>1</v>
      </c>
      <c r="S2418">
        <v>0</v>
      </c>
      <c r="T2418">
        <v>0</v>
      </c>
      <c r="U2418">
        <v>0</v>
      </c>
      <c r="V2418" t="s">
        <v>29</v>
      </c>
      <c r="W2418">
        <v>2</v>
      </c>
    </row>
    <row r="2419" spans="1:23" x14ac:dyDescent="0.2">
      <c r="A2419">
        <v>5085881</v>
      </c>
      <c r="B2419" t="s">
        <v>25</v>
      </c>
      <c r="C2419" t="s">
        <v>19</v>
      </c>
      <c r="D2419" t="s">
        <v>20</v>
      </c>
      <c r="E2419">
        <v>0</v>
      </c>
      <c r="F2419">
        <v>135000</v>
      </c>
      <c r="G2419" t="s">
        <v>26</v>
      </c>
      <c r="H2419" t="s">
        <v>27</v>
      </c>
      <c r="I2419" t="s">
        <v>28</v>
      </c>
      <c r="J2419" t="s">
        <v>24</v>
      </c>
      <c r="K2419" s="6">
        <f t="shared" ca="1" si="156"/>
        <v>28582</v>
      </c>
      <c r="L2419">
        <v>-17179</v>
      </c>
      <c r="M2419" s="7">
        <f t="shared" ca="1" si="154"/>
        <v>47.03353867214237</v>
      </c>
      <c r="N2419" s="5" t="str">
        <f ca="1">VLOOKUP(Data!M2419,temp!$B$3:$C$9,2,1)</f>
        <v>40-50</v>
      </c>
      <c r="O2419">
        <v>-7747</v>
      </c>
      <c r="P2419" s="8">
        <f t="shared" si="155"/>
        <v>21.21013004791239</v>
      </c>
      <c r="Q2419" s="5" t="str">
        <f t="shared" si="157"/>
        <v>Employed</v>
      </c>
      <c r="R2419">
        <v>1</v>
      </c>
      <c r="S2419">
        <v>0</v>
      </c>
      <c r="T2419">
        <v>0</v>
      </c>
      <c r="U2419">
        <v>0</v>
      </c>
      <c r="V2419" t="s">
        <v>29</v>
      </c>
      <c r="W2419">
        <v>2</v>
      </c>
    </row>
    <row r="2420" spans="1:23" x14ac:dyDescent="0.2">
      <c r="A2420">
        <v>5085894</v>
      </c>
      <c r="B2420" t="s">
        <v>18</v>
      </c>
      <c r="C2420" t="s">
        <v>19</v>
      </c>
      <c r="D2420" t="s">
        <v>20</v>
      </c>
      <c r="E2420">
        <v>0</v>
      </c>
      <c r="F2420">
        <v>112500</v>
      </c>
      <c r="G2420" t="s">
        <v>31</v>
      </c>
      <c r="H2420" t="s">
        <v>27</v>
      </c>
      <c r="I2420" t="s">
        <v>28</v>
      </c>
      <c r="J2420" t="s">
        <v>24</v>
      </c>
      <c r="K2420" s="6">
        <f t="shared" ca="1" si="156"/>
        <v>31160</v>
      </c>
      <c r="L2420">
        <v>-14601</v>
      </c>
      <c r="M2420" s="7">
        <f t="shared" ca="1" si="154"/>
        <v>39.975359342915809</v>
      </c>
      <c r="N2420" s="5" t="str">
        <f ca="1">VLOOKUP(Data!M2420,temp!$B$3:$C$9,2,1)</f>
        <v>30-40</v>
      </c>
      <c r="O2420">
        <v>-7900</v>
      </c>
      <c r="P2420" s="8">
        <f t="shared" si="155"/>
        <v>21.629021218343599</v>
      </c>
      <c r="Q2420" s="5" t="str">
        <f t="shared" si="157"/>
        <v>Employed</v>
      </c>
      <c r="R2420">
        <v>1</v>
      </c>
      <c r="S2420">
        <v>0</v>
      </c>
      <c r="T2420">
        <v>1</v>
      </c>
      <c r="U2420">
        <v>0</v>
      </c>
      <c r="V2420" t="s">
        <v>29</v>
      </c>
      <c r="W2420">
        <v>2</v>
      </c>
    </row>
    <row r="2421" spans="1:23" x14ac:dyDescent="0.2">
      <c r="A2421">
        <v>5085895</v>
      </c>
      <c r="B2421" t="s">
        <v>18</v>
      </c>
      <c r="C2421" t="s">
        <v>19</v>
      </c>
      <c r="D2421" t="s">
        <v>20</v>
      </c>
      <c r="E2421">
        <v>0</v>
      </c>
      <c r="F2421">
        <v>112500</v>
      </c>
      <c r="G2421" t="s">
        <v>31</v>
      </c>
      <c r="H2421" t="s">
        <v>27</v>
      </c>
      <c r="I2421" t="s">
        <v>28</v>
      </c>
      <c r="J2421" t="s">
        <v>24</v>
      </c>
      <c r="K2421" s="6">
        <f t="shared" ca="1" si="156"/>
        <v>31160</v>
      </c>
      <c r="L2421">
        <v>-14601</v>
      </c>
      <c r="M2421" s="7">
        <f t="shared" ca="1" si="154"/>
        <v>39.975359342915809</v>
      </c>
      <c r="N2421" s="5" t="str">
        <f ca="1">VLOOKUP(Data!M2421,temp!$B$3:$C$9,2,1)</f>
        <v>30-40</v>
      </c>
      <c r="O2421">
        <v>-7900</v>
      </c>
      <c r="P2421" s="8">
        <f t="shared" si="155"/>
        <v>21.629021218343599</v>
      </c>
      <c r="Q2421" s="5" t="str">
        <f t="shared" si="157"/>
        <v>Employed</v>
      </c>
      <c r="R2421">
        <v>1</v>
      </c>
      <c r="S2421">
        <v>0</v>
      </c>
      <c r="T2421">
        <v>1</v>
      </c>
      <c r="U2421">
        <v>0</v>
      </c>
      <c r="V2421" t="s">
        <v>29</v>
      </c>
      <c r="W2421">
        <v>2</v>
      </c>
    </row>
    <row r="2422" spans="1:23" x14ac:dyDescent="0.2">
      <c r="A2422">
        <v>5085900</v>
      </c>
      <c r="B2422" t="s">
        <v>18</v>
      </c>
      <c r="C2422" t="s">
        <v>19</v>
      </c>
      <c r="D2422" t="s">
        <v>20</v>
      </c>
      <c r="E2422">
        <v>0</v>
      </c>
      <c r="F2422">
        <v>225000</v>
      </c>
      <c r="G2422" t="s">
        <v>21</v>
      </c>
      <c r="H2422" t="s">
        <v>27</v>
      </c>
      <c r="I2422" t="s">
        <v>28</v>
      </c>
      <c r="J2422" t="s">
        <v>24</v>
      </c>
      <c r="K2422" s="6">
        <f t="shared" ca="1" si="156"/>
        <v>23188</v>
      </c>
      <c r="L2422">
        <v>-22573</v>
      </c>
      <c r="M2422" s="7">
        <f t="shared" ca="1" si="154"/>
        <v>61.80150581793292</v>
      </c>
      <c r="N2422" s="5" t="str">
        <f ca="1">VLOOKUP(Data!M2422,temp!$B$3:$C$9,2,1)</f>
        <v>60-70</v>
      </c>
      <c r="O2422">
        <v>365243</v>
      </c>
      <c r="P2422" s="8">
        <f t="shared" si="155"/>
        <v>0</v>
      </c>
      <c r="Q2422" s="5" t="str">
        <f t="shared" si="157"/>
        <v>Unemployed</v>
      </c>
      <c r="R2422">
        <v>1</v>
      </c>
      <c r="S2422">
        <v>0</v>
      </c>
      <c r="T2422">
        <v>0</v>
      </c>
      <c r="U2422">
        <v>0</v>
      </c>
      <c r="W2422">
        <v>2</v>
      </c>
    </row>
    <row r="2423" spans="1:23" x14ac:dyDescent="0.2">
      <c r="A2423">
        <v>5085922</v>
      </c>
      <c r="B2423" t="s">
        <v>18</v>
      </c>
      <c r="C2423" t="s">
        <v>19</v>
      </c>
      <c r="D2423" t="s">
        <v>20</v>
      </c>
      <c r="E2423">
        <v>0</v>
      </c>
      <c r="F2423">
        <v>225000</v>
      </c>
      <c r="G2423" t="s">
        <v>26</v>
      </c>
      <c r="H2423" t="s">
        <v>22</v>
      </c>
      <c r="I2423" t="s">
        <v>33</v>
      </c>
      <c r="J2423" t="s">
        <v>24</v>
      </c>
      <c r="K2423" s="6">
        <f t="shared" ca="1" si="156"/>
        <v>25291</v>
      </c>
      <c r="L2423">
        <v>-20470</v>
      </c>
      <c r="M2423" s="7">
        <f t="shared" ca="1" si="154"/>
        <v>56.043805612594113</v>
      </c>
      <c r="N2423" s="5" t="str">
        <f ca="1">VLOOKUP(Data!M2423,temp!$B$3:$C$9,2,1)</f>
        <v>50-60</v>
      </c>
      <c r="O2423">
        <v>-9269</v>
      </c>
      <c r="P2423" s="8">
        <f t="shared" si="155"/>
        <v>25.377138945927445</v>
      </c>
      <c r="Q2423" s="5" t="str">
        <f t="shared" si="157"/>
        <v>Employed</v>
      </c>
      <c r="R2423">
        <v>1</v>
      </c>
      <c r="S2423">
        <v>0</v>
      </c>
      <c r="T2423">
        <v>0</v>
      </c>
      <c r="U2423">
        <v>0</v>
      </c>
      <c r="V2423" t="s">
        <v>38</v>
      </c>
      <c r="W2423">
        <v>1</v>
      </c>
    </row>
    <row r="2424" spans="1:23" x14ac:dyDescent="0.2">
      <c r="A2424">
        <v>5085934</v>
      </c>
      <c r="B2424" t="s">
        <v>18</v>
      </c>
      <c r="C2424" t="s">
        <v>20</v>
      </c>
      <c r="D2424" t="s">
        <v>19</v>
      </c>
      <c r="E2424">
        <v>0</v>
      </c>
      <c r="F2424">
        <v>112500</v>
      </c>
      <c r="G2424" t="s">
        <v>31</v>
      </c>
      <c r="H2424" t="s">
        <v>27</v>
      </c>
      <c r="I2424" t="s">
        <v>28</v>
      </c>
      <c r="J2424" t="s">
        <v>45</v>
      </c>
      <c r="K2424" s="6">
        <f t="shared" ca="1" si="156"/>
        <v>27785</v>
      </c>
      <c r="L2424">
        <v>-17976</v>
      </c>
      <c r="M2424" s="7">
        <f t="shared" ca="1" si="154"/>
        <v>49.215605749486656</v>
      </c>
      <c r="N2424" s="5" t="str">
        <f ca="1">VLOOKUP(Data!M2424,temp!$B$3:$C$9,2,1)</f>
        <v>40-50</v>
      </c>
      <c r="O2424">
        <v>-6105</v>
      </c>
      <c r="P2424" s="8">
        <f t="shared" si="155"/>
        <v>16.714579055441479</v>
      </c>
      <c r="Q2424" s="5" t="str">
        <f t="shared" si="157"/>
        <v>Employed</v>
      </c>
      <c r="R2424">
        <v>1</v>
      </c>
      <c r="S2424">
        <v>0</v>
      </c>
      <c r="T2424">
        <v>0</v>
      </c>
      <c r="U2424">
        <v>0</v>
      </c>
      <c r="V2424" t="s">
        <v>39</v>
      </c>
      <c r="W2424">
        <v>2</v>
      </c>
    </row>
    <row r="2425" spans="1:23" x14ac:dyDescent="0.2">
      <c r="A2425">
        <v>5085944</v>
      </c>
      <c r="B2425" t="s">
        <v>18</v>
      </c>
      <c r="C2425" t="s">
        <v>19</v>
      </c>
      <c r="D2425" t="s">
        <v>20</v>
      </c>
      <c r="E2425">
        <v>0</v>
      </c>
      <c r="F2425">
        <v>261000</v>
      </c>
      <c r="G2425" t="s">
        <v>26</v>
      </c>
      <c r="H2425" t="s">
        <v>27</v>
      </c>
      <c r="I2425" t="s">
        <v>23</v>
      </c>
      <c r="J2425" t="s">
        <v>24</v>
      </c>
      <c r="K2425" s="6">
        <f t="shared" ca="1" si="156"/>
        <v>26003</v>
      </c>
      <c r="L2425">
        <v>-19758</v>
      </c>
      <c r="M2425" s="7">
        <f t="shared" ca="1" si="154"/>
        <v>54.094455852156059</v>
      </c>
      <c r="N2425" s="5" t="str">
        <f ca="1">VLOOKUP(Data!M2425,temp!$B$3:$C$9,2,1)</f>
        <v>50-60</v>
      </c>
      <c r="O2425">
        <v>-1842</v>
      </c>
      <c r="P2425" s="8">
        <f t="shared" si="155"/>
        <v>5.0431211498973303</v>
      </c>
      <c r="Q2425" s="5" t="str">
        <f t="shared" si="157"/>
        <v>Employed</v>
      </c>
      <c r="R2425">
        <v>1</v>
      </c>
      <c r="S2425">
        <v>0</v>
      </c>
      <c r="T2425">
        <v>1</v>
      </c>
      <c r="U2425">
        <v>0</v>
      </c>
      <c r="V2425" t="s">
        <v>47</v>
      </c>
      <c r="W2425">
        <v>1</v>
      </c>
    </row>
    <row r="2426" spans="1:23" x14ac:dyDescent="0.2">
      <c r="A2426">
        <v>5085946</v>
      </c>
      <c r="B2426" t="s">
        <v>18</v>
      </c>
      <c r="C2426" t="s">
        <v>19</v>
      </c>
      <c r="D2426" t="s">
        <v>20</v>
      </c>
      <c r="E2426">
        <v>0</v>
      </c>
      <c r="F2426">
        <v>261000</v>
      </c>
      <c r="G2426" t="s">
        <v>26</v>
      </c>
      <c r="H2426" t="s">
        <v>27</v>
      </c>
      <c r="I2426" t="s">
        <v>23</v>
      </c>
      <c r="J2426" t="s">
        <v>24</v>
      </c>
      <c r="K2426" s="6">
        <f t="shared" ca="1" si="156"/>
        <v>26003</v>
      </c>
      <c r="L2426">
        <v>-19758</v>
      </c>
      <c r="M2426" s="7">
        <f t="shared" ca="1" si="154"/>
        <v>54.094455852156059</v>
      </c>
      <c r="N2426" s="5" t="str">
        <f ca="1">VLOOKUP(Data!M2426,temp!$B$3:$C$9,2,1)</f>
        <v>50-60</v>
      </c>
      <c r="O2426">
        <v>-1842</v>
      </c>
      <c r="P2426" s="8">
        <f t="shared" si="155"/>
        <v>5.0431211498973303</v>
      </c>
      <c r="Q2426" s="5" t="str">
        <f t="shared" si="157"/>
        <v>Employed</v>
      </c>
      <c r="R2426">
        <v>1</v>
      </c>
      <c r="S2426">
        <v>0</v>
      </c>
      <c r="T2426">
        <v>1</v>
      </c>
      <c r="U2426">
        <v>0</v>
      </c>
      <c r="V2426" t="s">
        <v>47</v>
      </c>
      <c r="W2426">
        <v>1</v>
      </c>
    </row>
    <row r="2427" spans="1:23" x14ac:dyDescent="0.2">
      <c r="A2427">
        <v>5085962</v>
      </c>
      <c r="B2427" t="s">
        <v>25</v>
      </c>
      <c r="C2427" t="s">
        <v>19</v>
      </c>
      <c r="D2427" t="s">
        <v>20</v>
      </c>
      <c r="E2427">
        <v>0</v>
      </c>
      <c r="F2427">
        <v>225000</v>
      </c>
      <c r="G2427" t="s">
        <v>35</v>
      </c>
      <c r="H2427" t="s">
        <v>27</v>
      </c>
      <c r="I2427" t="s">
        <v>28</v>
      </c>
      <c r="J2427" t="s">
        <v>24</v>
      </c>
      <c r="K2427" s="6">
        <f t="shared" ca="1" si="156"/>
        <v>33367</v>
      </c>
      <c r="L2427">
        <v>-12394</v>
      </c>
      <c r="M2427" s="7">
        <f t="shared" ca="1" si="154"/>
        <v>33.932922655715267</v>
      </c>
      <c r="N2427" s="5" t="str">
        <f ca="1">VLOOKUP(Data!M2427,temp!$B$3:$C$9,2,1)</f>
        <v>30-40</v>
      </c>
      <c r="O2427">
        <v>-381</v>
      </c>
      <c r="P2427" s="8">
        <f t="shared" si="155"/>
        <v>1.0431211498973305</v>
      </c>
      <c r="Q2427" s="5" t="str">
        <f t="shared" si="157"/>
        <v>Employed</v>
      </c>
      <c r="R2427">
        <v>1</v>
      </c>
      <c r="S2427">
        <v>0</v>
      </c>
      <c r="T2427">
        <v>0</v>
      </c>
      <c r="U2427">
        <v>0</v>
      </c>
      <c r="V2427" t="s">
        <v>29</v>
      </c>
      <c r="W2427">
        <v>2</v>
      </c>
    </row>
    <row r="2428" spans="1:23" x14ac:dyDescent="0.2">
      <c r="A2428">
        <v>5085970</v>
      </c>
      <c r="B2428" t="s">
        <v>18</v>
      </c>
      <c r="C2428" t="s">
        <v>19</v>
      </c>
      <c r="D2428" t="s">
        <v>19</v>
      </c>
      <c r="E2428">
        <v>0</v>
      </c>
      <c r="F2428">
        <v>126000</v>
      </c>
      <c r="G2428" t="s">
        <v>35</v>
      </c>
      <c r="H2428" t="s">
        <v>27</v>
      </c>
      <c r="I2428" t="s">
        <v>23</v>
      </c>
      <c r="J2428" t="s">
        <v>24</v>
      </c>
      <c r="K2428" s="6">
        <f t="shared" ca="1" si="156"/>
        <v>24827</v>
      </c>
      <c r="L2428">
        <v>-20934</v>
      </c>
      <c r="M2428" s="7">
        <f t="shared" ca="1" si="154"/>
        <v>57.314168377823407</v>
      </c>
      <c r="N2428" s="5" t="str">
        <f ca="1">VLOOKUP(Data!M2428,temp!$B$3:$C$9,2,1)</f>
        <v>50-60</v>
      </c>
      <c r="O2428">
        <v>-2757</v>
      </c>
      <c r="P2428" s="8">
        <f t="shared" si="155"/>
        <v>7.5482546201232035</v>
      </c>
      <c r="Q2428" s="5" t="str">
        <f t="shared" si="157"/>
        <v>Employed</v>
      </c>
      <c r="R2428">
        <v>1</v>
      </c>
      <c r="S2428">
        <v>1</v>
      </c>
      <c r="T2428">
        <v>1</v>
      </c>
      <c r="U2428">
        <v>0</v>
      </c>
      <c r="V2428" t="s">
        <v>54</v>
      </c>
      <c r="W2428">
        <v>1</v>
      </c>
    </row>
    <row r="2429" spans="1:23" x14ac:dyDescent="0.2">
      <c r="A2429">
        <v>5085989</v>
      </c>
      <c r="B2429" t="s">
        <v>18</v>
      </c>
      <c r="C2429" t="s">
        <v>20</v>
      </c>
      <c r="D2429" t="s">
        <v>20</v>
      </c>
      <c r="E2429">
        <v>0</v>
      </c>
      <c r="F2429">
        <v>225000</v>
      </c>
      <c r="G2429" t="s">
        <v>21</v>
      </c>
      <c r="H2429" t="s">
        <v>27</v>
      </c>
      <c r="I2429" t="s">
        <v>28</v>
      </c>
      <c r="J2429" t="s">
        <v>24</v>
      </c>
      <c r="K2429" s="6">
        <f t="shared" ca="1" si="156"/>
        <v>24044</v>
      </c>
      <c r="L2429">
        <v>-21717</v>
      </c>
      <c r="M2429" s="7">
        <f t="shared" ca="1" si="154"/>
        <v>59.457905544147842</v>
      </c>
      <c r="N2429" s="5" t="str">
        <f ca="1">VLOOKUP(Data!M2429,temp!$B$3:$C$9,2,1)</f>
        <v>50-60</v>
      </c>
      <c r="O2429">
        <v>365243</v>
      </c>
      <c r="P2429" s="8">
        <f t="shared" si="155"/>
        <v>0</v>
      </c>
      <c r="Q2429" s="5" t="str">
        <f t="shared" si="157"/>
        <v>Unemployed</v>
      </c>
      <c r="R2429">
        <v>1</v>
      </c>
      <c r="S2429">
        <v>0</v>
      </c>
      <c r="T2429">
        <v>0</v>
      </c>
      <c r="U2429">
        <v>0</v>
      </c>
      <c r="W2429">
        <v>2</v>
      </c>
    </row>
    <row r="2430" spans="1:23" x14ac:dyDescent="0.2">
      <c r="A2430">
        <v>5086013</v>
      </c>
      <c r="B2430" t="s">
        <v>18</v>
      </c>
      <c r="C2430" t="s">
        <v>19</v>
      </c>
      <c r="D2430" t="s">
        <v>20</v>
      </c>
      <c r="E2430">
        <v>0</v>
      </c>
      <c r="F2430">
        <v>405000</v>
      </c>
      <c r="G2430" t="s">
        <v>31</v>
      </c>
      <c r="H2430" t="s">
        <v>22</v>
      </c>
      <c r="I2430" t="s">
        <v>28</v>
      </c>
      <c r="J2430" t="s">
        <v>24</v>
      </c>
      <c r="K2430" s="6">
        <f t="shared" ca="1" si="156"/>
        <v>28296</v>
      </c>
      <c r="L2430">
        <v>-17465</v>
      </c>
      <c r="M2430" s="7">
        <f t="shared" ca="1" si="154"/>
        <v>47.816563997262151</v>
      </c>
      <c r="N2430" s="5" t="str">
        <f ca="1">VLOOKUP(Data!M2430,temp!$B$3:$C$9,2,1)</f>
        <v>40-50</v>
      </c>
      <c r="O2430">
        <v>-7627</v>
      </c>
      <c r="P2430" s="8">
        <f t="shared" si="155"/>
        <v>20.881587953456538</v>
      </c>
      <c r="Q2430" s="5" t="str">
        <f t="shared" si="157"/>
        <v>Employed</v>
      </c>
      <c r="R2430">
        <v>1</v>
      </c>
      <c r="S2430">
        <v>0</v>
      </c>
      <c r="T2430">
        <v>0</v>
      </c>
      <c r="U2430">
        <v>0</v>
      </c>
      <c r="W2430">
        <v>2</v>
      </c>
    </row>
    <row r="2431" spans="1:23" x14ac:dyDescent="0.2">
      <c r="A2431">
        <v>5086016</v>
      </c>
      <c r="B2431" t="s">
        <v>18</v>
      </c>
      <c r="C2431" t="s">
        <v>19</v>
      </c>
      <c r="D2431" t="s">
        <v>20</v>
      </c>
      <c r="E2431">
        <v>0</v>
      </c>
      <c r="F2431">
        <v>405000</v>
      </c>
      <c r="G2431" t="s">
        <v>31</v>
      </c>
      <c r="H2431" t="s">
        <v>22</v>
      </c>
      <c r="I2431" t="s">
        <v>28</v>
      </c>
      <c r="J2431" t="s">
        <v>24</v>
      </c>
      <c r="K2431" s="6">
        <f t="shared" ca="1" si="156"/>
        <v>28296</v>
      </c>
      <c r="L2431">
        <v>-17465</v>
      </c>
      <c r="M2431" s="7">
        <f t="shared" ca="1" si="154"/>
        <v>47.816563997262151</v>
      </c>
      <c r="N2431" s="5" t="str">
        <f ca="1">VLOOKUP(Data!M2431,temp!$B$3:$C$9,2,1)</f>
        <v>40-50</v>
      </c>
      <c r="O2431">
        <v>-7627</v>
      </c>
      <c r="P2431" s="8">
        <f t="shared" si="155"/>
        <v>20.881587953456538</v>
      </c>
      <c r="Q2431" s="5" t="str">
        <f t="shared" si="157"/>
        <v>Employed</v>
      </c>
      <c r="R2431">
        <v>1</v>
      </c>
      <c r="S2431">
        <v>0</v>
      </c>
      <c r="T2431">
        <v>0</v>
      </c>
      <c r="U2431">
        <v>0</v>
      </c>
      <c r="W2431">
        <v>2</v>
      </c>
    </row>
    <row r="2432" spans="1:23" x14ac:dyDescent="0.2">
      <c r="A2432">
        <v>5086022</v>
      </c>
      <c r="B2432" t="s">
        <v>18</v>
      </c>
      <c r="C2432" t="s">
        <v>19</v>
      </c>
      <c r="D2432" t="s">
        <v>20</v>
      </c>
      <c r="E2432">
        <v>0</v>
      </c>
      <c r="F2432">
        <v>405000</v>
      </c>
      <c r="G2432" t="s">
        <v>31</v>
      </c>
      <c r="H2432" t="s">
        <v>22</v>
      </c>
      <c r="I2432" t="s">
        <v>28</v>
      </c>
      <c r="J2432" t="s">
        <v>24</v>
      </c>
      <c r="K2432" s="6">
        <f t="shared" ca="1" si="156"/>
        <v>28296</v>
      </c>
      <c r="L2432">
        <v>-17465</v>
      </c>
      <c r="M2432" s="7">
        <f t="shared" ca="1" si="154"/>
        <v>47.816563997262151</v>
      </c>
      <c r="N2432" s="5" t="str">
        <f ca="1">VLOOKUP(Data!M2432,temp!$B$3:$C$9,2,1)</f>
        <v>40-50</v>
      </c>
      <c r="O2432">
        <v>-7627</v>
      </c>
      <c r="P2432" s="8">
        <f t="shared" si="155"/>
        <v>20.881587953456538</v>
      </c>
      <c r="Q2432" s="5" t="str">
        <f t="shared" si="157"/>
        <v>Employed</v>
      </c>
      <c r="R2432">
        <v>1</v>
      </c>
      <c r="S2432">
        <v>0</v>
      </c>
      <c r="T2432">
        <v>0</v>
      </c>
      <c r="U2432">
        <v>0</v>
      </c>
      <c r="W2432">
        <v>2</v>
      </c>
    </row>
    <row r="2433" spans="1:23" x14ac:dyDescent="0.2">
      <c r="A2433">
        <v>5086024</v>
      </c>
      <c r="B2433" t="s">
        <v>18</v>
      </c>
      <c r="C2433" t="s">
        <v>19</v>
      </c>
      <c r="D2433" t="s">
        <v>20</v>
      </c>
      <c r="E2433">
        <v>0</v>
      </c>
      <c r="F2433">
        <v>405000</v>
      </c>
      <c r="G2433" t="s">
        <v>31</v>
      </c>
      <c r="H2433" t="s">
        <v>22</v>
      </c>
      <c r="I2433" t="s">
        <v>28</v>
      </c>
      <c r="J2433" t="s">
        <v>24</v>
      </c>
      <c r="K2433" s="6">
        <f t="shared" ca="1" si="156"/>
        <v>28296</v>
      </c>
      <c r="L2433">
        <v>-17465</v>
      </c>
      <c r="M2433" s="7">
        <f t="shared" ca="1" si="154"/>
        <v>47.816563997262151</v>
      </c>
      <c r="N2433" s="5" t="str">
        <f ca="1">VLOOKUP(Data!M2433,temp!$B$3:$C$9,2,1)</f>
        <v>40-50</v>
      </c>
      <c r="O2433">
        <v>-7627</v>
      </c>
      <c r="P2433" s="8">
        <f t="shared" si="155"/>
        <v>20.881587953456538</v>
      </c>
      <c r="Q2433" s="5" t="str">
        <f t="shared" si="157"/>
        <v>Employed</v>
      </c>
      <c r="R2433">
        <v>1</v>
      </c>
      <c r="S2433">
        <v>0</v>
      </c>
      <c r="T2433">
        <v>0</v>
      </c>
      <c r="U2433">
        <v>0</v>
      </c>
      <c r="W2433">
        <v>2</v>
      </c>
    </row>
    <row r="2434" spans="1:23" x14ac:dyDescent="0.2">
      <c r="A2434">
        <v>5086028</v>
      </c>
      <c r="B2434" t="s">
        <v>18</v>
      </c>
      <c r="C2434" t="s">
        <v>19</v>
      </c>
      <c r="D2434" t="s">
        <v>20</v>
      </c>
      <c r="E2434">
        <v>0</v>
      </c>
      <c r="F2434">
        <v>405000</v>
      </c>
      <c r="G2434" t="s">
        <v>31</v>
      </c>
      <c r="H2434" t="s">
        <v>22</v>
      </c>
      <c r="I2434" t="s">
        <v>28</v>
      </c>
      <c r="J2434" t="s">
        <v>24</v>
      </c>
      <c r="K2434" s="6">
        <f t="shared" ca="1" si="156"/>
        <v>28296</v>
      </c>
      <c r="L2434">
        <v>-17465</v>
      </c>
      <c r="M2434" s="7">
        <f t="shared" ca="1" si="154"/>
        <v>47.816563997262151</v>
      </c>
      <c r="N2434" s="5" t="str">
        <f ca="1">VLOOKUP(Data!M2434,temp!$B$3:$C$9,2,1)</f>
        <v>40-50</v>
      </c>
      <c r="O2434">
        <v>-7627</v>
      </c>
      <c r="P2434" s="8">
        <f t="shared" si="155"/>
        <v>20.881587953456538</v>
      </c>
      <c r="Q2434" s="5" t="str">
        <f t="shared" si="157"/>
        <v>Employed</v>
      </c>
      <c r="R2434">
        <v>1</v>
      </c>
      <c r="S2434">
        <v>0</v>
      </c>
      <c r="T2434">
        <v>0</v>
      </c>
      <c r="U2434">
        <v>0</v>
      </c>
      <c r="W2434">
        <v>2</v>
      </c>
    </row>
    <row r="2435" spans="1:23" x14ac:dyDescent="0.2">
      <c r="A2435">
        <v>5087477</v>
      </c>
      <c r="B2435" t="s">
        <v>25</v>
      </c>
      <c r="C2435" t="s">
        <v>20</v>
      </c>
      <c r="D2435" t="s">
        <v>20</v>
      </c>
      <c r="E2435">
        <v>0</v>
      </c>
      <c r="F2435">
        <v>157500</v>
      </c>
      <c r="G2435" t="s">
        <v>31</v>
      </c>
      <c r="H2435" t="s">
        <v>27</v>
      </c>
      <c r="I2435" t="s">
        <v>28</v>
      </c>
      <c r="J2435" t="s">
        <v>24</v>
      </c>
      <c r="K2435" s="6">
        <f t="shared" ca="1" si="156"/>
        <v>23538</v>
      </c>
      <c r="L2435">
        <v>-22223</v>
      </c>
      <c r="M2435" s="7">
        <f t="shared" ref="M2435:M2498" ca="1" si="158">(TODAY()-K2435)/365.25</f>
        <v>60.843258042436688</v>
      </c>
      <c r="N2435" s="5" t="str">
        <f ca="1">VLOOKUP(Data!M2435,temp!$B$3:$C$9,2,1)</f>
        <v>60-70</v>
      </c>
      <c r="O2435">
        <v>-7103</v>
      </c>
      <c r="P2435" s="8">
        <f t="shared" ref="P2435:P2498" si="159">IF(O2435&lt;=0,ABS(O2435)/365.25,0)</f>
        <v>19.446954140999317</v>
      </c>
      <c r="Q2435" s="5" t="str">
        <f t="shared" si="157"/>
        <v>Employed</v>
      </c>
      <c r="R2435">
        <v>1</v>
      </c>
      <c r="S2435">
        <v>1</v>
      </c>
      <c r="T2435">
        <v>1</v>
      </c>
      <c r="U2435">
        <v>0</v>
      </c>
      <c r="V2435" t="s">
        <v>47</v>
      </c>
      <c r="W2435">
        <v>2</v>
      </c>
    </row>
    <row r="2436" spans="1:23" x14ac:dyDescent="0.2">
      <c r="A2436">
        <v>5087486</v>
      </c>
      <c r="B2436" t="s">
        <v>18</v>
      </c>
      <c r="C2436" t="s">
        <v>20</v>
      </c>
      <c r="D2436" t="s">
        <v>19</v>
      </c>
      <c r="E2436">
        <v>1</v>
      </c>
      <c r="F2436">
        <v>135000</v>
      </c>
      <c r="G2436" t="s">
        <v>31</v>
      </c>
      <c r="H2436" t="s">
        <v>22</v>
      </c>
      <c r="I2436" t="s">
        <v>37</v>
      </c>
      <c r="J2436" t="s">
        <v>34</v>
      </c>
      <c r="K2436" s="6">
        <f t="shared" ca="1" si="156"/>
        <v>33182</v>
      </c>
      <c r="L2436">
        <v>-12579</v>
      </c>
      <c r="M2436" s="7">
        <f t="shared" ca="1" si="158"/>
        <v>34.439425051334702</v>
      </c>
      <c r="N2436" s="5" t="str">
        <f ca="1">VLOOKUP(Data!M2436,temp!$B$3:$C$9,2,1)</f>
        <v>30-40</v>
      </c>
      <c r="O2436">
        <v>-1654</v>
      </c>
      <c r="P2436" s="8">
        <f t="shared" si="159"/>
        <v>4.5284052019164953</v>
      </c>
      <c r="Q2436" s="5" t="str">
        <f t="shared" si="157"/>
        <v>Employed</v>
      </c>
      <c r="R2436">
        <v>1</v>
      </c>
      <c r="S2436">
        <v>0</v>
      </c>
      <c r="T2436">
        <v>0</v>
      </c>
      <c r="U2436">
        <v>0</v>
      </c>
      <c r="W2436">
        <v>3</v>
      </c>
    </row>
    <row r="2437" spans="1:23" x14ac:dyDescent="0.2">
      <c r="A2437">
        <v>5087497</v>
      </c>
      <c r="B2437" t="s">
        <v>18</v>
      </c>
      <c r="C2437" t="s">
        <v>20</v>
      </c>
      <c r="D2437" t="s">
        <v>20</v>
      </c>
      <c r="E2437">
        <v>0</v>
      </c>
      <c r="F2437">
        <v>157500</v>
      </c>
      <c r="G2437" t="s">
        <v>26</v>
      </c>
      <c r="H2437" t="s">
        <v>22</v>
      </c>
      <c r="I2437" t="s">
        <v>37</v>
      </c>
      <c r="J2437" t="s">
        <v>24</v>
      </c>
      <c r="K2437" s="6">
        <f t="shared" ca="1" si="156"/>
        <v>30431</v>
      </c>
      <c r="L2437">
        <v>-15330</v>
      </c>
      <c r="M2437" s="7">
        <f t="shared" ca="1" si="158"/>
        <v>41.97125256673511</v>
      </c>
      <c r="N2437" s="5" t="str">
        <f ca="1">VLOOKUP(Data!M2437,temp!$B$3:$C$9,2,1)</f>
        <v>40-50</v>
      </c>
      <c r="O2437">
        <v>-1014</v>
      </c>
      <c r="P2437" s="8">
        <f t="shared" si="159"/>
        <v>2.7761806981519506</v>
      </c>
      <c r="Q2437" s="5" t="str">
        <f t="shared" si="157"/>
        <v>Employed</v>
      </c>
      <c r="R2437">
        <v>1</v>
      </c>
      <c r="S2437">
        <v>1</v>
      </c>
      <c r="T2437">
        <v>1</v>
      </c>
      <c r="U2437">
        <v>0</v>
      </c>
      <c r="V2437" t="s">
        <v>32</v>
      </c>
      <c r="W2437">
        <v>2</v>
      </c>
    </row>
    <row r="2438" spans="1:23" x14ac:dyDescent="0.2">
      <c r="A2438">
        <v>5087499</v>
      </c>
      <c r="B2438" t="s">
        <v>18</v>
      </c>
      <c r="C2438" t="s">
        <v>20</v>
      </c>
      <c r="D2438" t="s">
        <v>20</v>
      </c>
      <c r="E2438">
        <v>0</v>
      </c>
      <c r="F2438">
        <v>157500</v>
      </c>
      <c r="G2438" t="s">
        <v>26</v>
      </c>
      <c r="H2438" t="s">
        <v>22</v>
      </c>
      <c r="I2438" t="s">
        <v>37</v>
      </c>
      <c r="J2438" t="s">
        <v>24</v>
      </c>
      <c r="K2438" s="6">
        <f t="shared" ca="1" si="156"/>
        <v>30431</v>
      </c>
      <c r="L2438">
        <v>-15330</v>
      </c>
      <c r="M2438" s="7">
        <f t="shared" ca="1" si="158"/>
        <v>41.97125256673511</v>
      </c>
      <c r="N2438" s="5" t="str">
        <f ca="1">VLOOKUP(Data!M2438,temp!$B$3:$C$9,2,1)</f>
        <v>40-50</v>
      </c>
      <c r="O2438">
        <v>-1014</v>
      </c>
      <c r="P2438" s="8">
        <f t="shared" si="159"/>
        <v>2.7761806981519506</v>
      </c>
      <c r="Q2438" s="5" t="str">
        <f t="shared" si="157"/>
        <v>Employed</v>
      </c>
      <c r="R2438">
        <v>1</v>
      </c>
      <c r="S2438">
        <v>1</v>
      </c>
      <c r="T2438">
        <v>1</v>
      </c>
      <c r="U2438">
        <v>0</v>
      </c>
      <c r="V2438" t="s">
        <v>32</v>
      </c>
      <c r="W2438">
        <v>2</v>
      </c>
    </row>
    <row r="2439" spans="1:23" x14ac:dyDescent="0.2">
      <c r="A2439">
        <v>5087532</v>
      </c>
      <c r="B2439" t="s">
        <v>25</v>
      </c>
      <c r="C2439" t="s">
        <v>19</v>
      </c>
      <c r="D2439" t="s">
        <v>20</v>
      </c>
      <c r="E2439">
        <v>0</v>
      </c>
      <c r="F2439">
        <v>81000</v>
      </c>
      <c r="G2439" t="s">
        <v>26</v>
      </c>
      <c r="H2439" t="s">
        <v>22</v>
      </c>
      <c r="I2439" t="s">
        <v>33</v>
      </c>
      <c r="J2439" t="s">
        <v>24</v>
      </c>
      <c r="K2439" s="6">
        <f t="shared" ca="1" si="156"/>
        <v>35887</v>
      </c>
      <c r="L2439">
        <v>-9874</v>
      </c>
      <c r="M2439" s="7">
        <f t="shared" ca="1" si="158"/>
        <v>27.033538672142367</v>
      </c>
      <c r="N2439" s="5" t="str">
        <f ca="1">VLOOKUP(Data!M2439,temp!$B$3:$C$9,2,1)</f>
        <v>20-30</v>
      </c>
      <c r="O2439">
        <v>-1928</v>
      </c>
      <c r="P2439" s="8">
        <f t="shared" si="159"/>
        <v>5.2785763175906917</v>
      </c>
      <c r="Q2439" s="5" t="str">
        <f t="shared" si="157"/>
        <v>Employed</v>
      </c>
      <c r="R2439">
        <v>1</v>
      </c>
      <c r="S2439">
        <v>0</v>
      </c>
      <c r="T2439">
        <v>1</v>
      </c>
      <c r="U2439">
        <v>0</v>
      </c>
      <c r="V2439" t="s">
        <v>29</v>
      </c>
      <c r="W2439">
        <v>1</v>
      </c>
    </row>
    <row r="2440" spans="1:23" x14ac:dyDescent="0.2">
      <c r="A2440">
        <v>5087550</v>
      </c>
      <c r="B2440" t="s">
        <v>25</v>
      </c>
      <c r="C2440" t="s">
        <v>20</v>
      </c>
      <c r="D2440" t="s">
        <v>20</v>
      </c>
      <c r="E2440">
        <v>0</v>
      </c>
      <c r="F2440">
        <v>126000</v>
      </c>
      <c r="G2440" t="s">
        <v>31</v>
      </c>
      <c r="H2440" t="s">
        <v>27</v>
      </c>
      <c r="I2440" t="s">
        <v>28</v>
      </c>
      <c r="J2440" t="s">
        <v>24</v>
      </c>
      <c r="K2440" s="6">
        <f t="shared" ref="K2440:K2503" ca="1" si="160">TODAY()+($L2440)</f>
        <v>30950</v>
      </c>
      <c r="L2440">
        <v>-14811</v>
      </c>
      <c r="M2440" s="7">
        <f t="shared" ca="1" si="158"/>
        <v>40.550308008213555</v>
      </c>
      <c r="N2440" s="5" t="str">
        <f ca="1">VLOOKUP(Data!M2440,temp!$B$3:$C$9,2,1)</f>
        <v>40-50</v>
      </c>
      <c r="O2440">
        <v>-2628</v>
      </c>
      <c r="P2440" s="8">
        <f t="shared" si="159"/>
        <v>7.1950718685831623</v>
      </c>
      <c r="Q2440" s="5" t="str">
        <f t="shared" ref="Q2440:Q2503" si="161">IF($O2440&gt;0,"Unemployed","Employed")</f>
        <v>Employed</v>
      </c>
      <c r="R2440">
        <v>1</v>
      </c>
      <c r="S2440">
        <v>0</v>
      </c>
      <c r="T2440">
        <v>0</v>
      </c>
      <c r="U2440">
        <v>0</v>
      </c>
      <c r="V2440" t="s">
        <v>29</v>
      </c>
      <c r="W2440">
        <v>2</v>
      </c>
    </row>
    <row r="2441" spans="1:23" x14ac:dyDescent="0.2">
      <c r="A2441">
        <v>5087553</v>
      </c>
      <c r="B2441" t="s">
        <v>25</v>
      </c>
      <c r="C2441" t="s">
        <v>20</v>
      </c>
      <c r="D2441" t="s">
        <v>20</v>
      </c>
      <c r="E2441">
        <v>0</v>
      </c>
      <c r="F2441">
        <v>126000</v>
      </c>
      <c r="G2441" t="s">
        <v>31</v>
      </c>
      <c r="H2441" t="s">
        <v>27</v>
      </c>
      <c r="I2441" t="s">
        <v>28</v>
      </c>
      <c r="J2441" t="s">
        <v>24</v>
      </c>
      <c r="K2441" s="6">
        <f t="shared" ca="1" si="160"/>
        <v>30950</v>
      </c>
      <c r="L2441">
        <v>-14811</v>
      </c>
      <c r="M2441" s="7">
        <f t="shared" ca="1" si="158"/>
        <v>40.550308008213555</v>
      </c>
      <c r="N2441" s="5" t="str">
        <f ca="1">VLOOKUP(Data!M2441,temp!$B$3:$C$9,2,1)</f>
        <v>40-50</v>
      </c>
      <c r="O2441">
        <v>-2628</v>
      </c>
      <c r="P2441" s="8">
        <f t="shared" si="159"/>
        <v>7.1950718685831623</v>
      </c>
      <c r="Q2441" s="5" t="str">
        <f t="shared" si="161"/>
        <v>Employed</v>
      </c>
      <c r="R2441">
        <v>1</v>
      </c>
      <c r="S2441">
        <v>0</v>
      </c>
      <c r="T2441">
        <v>0</v>
      </c>
      <c r="U2441">
        <v>0</v>
      </c>
      <c r="V2441" t="s">
        <v>29</v>
      </c>
      <c r="W2441">
        <v>2</v>
      </c>
    </row>
    <row r="2442" spans="1:23" x14ac:dyDescent="0.2">
      <c r="A2442">
        <v>5087554</v>
      </c>
      <c r="B2442" t="s">
        <v>25</v>
      </c>
      <c r="C2442" t="s">
        <v>20</v>
      </c>
      <c r="D2442" t="s">
        <v>20</v>
      </c>
      <c r="E2442">
        <v>0</v>
      </c>
      <c r="F2442">
        <v>126000</v>
      </c>
      <c r="G2442" t="s">
        <v>31</v>
      </c>
      <c r="H2442" t="s">
        <v>27</v>
      </c>
      <c r="I2442" t="s">
        <v>28</v>
      </c>
      <c r="J2442" t="s">
        <v>24</v>
      </c>
      <c r="K2442" s="6">
        <f t="shared" ca="1" si="160"/>
        <v>30950</v>
      </c>
      <c r="L2442">
        <v>-14811</v>
      </c>
      <c r="M2442" s="7">
        <f t="shared" ca="1" si="158"/>
        <v>40.550308008213555</v>
      </c>
      <c r="N2442" s="5" t="str">
        <f ca="1">VLOOKUP(Data!M2442,temp!$B$3:$C$9,2,1)</f>
        <v>40-50</v>
      </c>
      <c r="O2442">
        <v>-2628</v>
      </c>
      <c r="P2442" s="8">
        <f t="shared" si="159"/>
        <v>7.1950718685831623</v>
      </c>
      <c r="Q2442" s="5" t="str">
        <f t="shared" si="161"/>
        <v>Employed</v>
      </c>
      <c r="R2442">
        <v>1</v>
      </c>
      <c r="S2442">
        <v>0</v>
      </c>
      <c r="T2442">
        <v>0</v>
      </c>
      <c r="U2442">
        <v>0</v>
      </c>
      <c r="V2442" t="s">
        <v>29</v>
      </c>
      <c r="W2442">
        <v>2</v>
      </c>
    </row>
    <row r="2443" spans="1:23" x14ac:dyDescent="0.2">
      <c r="A2443">
        <v>5087562</v>
      </c>
      <c r="B2443" t="s">
        <v>18</v>
      </c>
      <c r="C2443" t="s">
        <v>19</v>
      </c>
      <c r="D2443" t="s">
        <v>20</v>
      </c>
      <c r="E2443">
        <v>1</v>
      </c>
      <c r="F2443">
        <v>225000</v>
      </c>
      <c r="G2443" t="s">
        <v>26</v>
      </c>
      <c r="H2443" t="s">
        <v>22</v>
      </c>
      <c r="I2443" t="s">
        <v>33</v>
      </c>
      <c r="J2443" t="s">
        <v>24</v>
      </c>
      <c r="K2443" s="6">
        <f t="shared" ca="1" si="160"/>
        <v>29835</v>
      </c>
      <c r="L2443">
        <v>-15926</v>
      </c>
      <c r="M2443" s="7">
        <f t="shared" ca="1" si="158"/>
        <v>43.603011635865847</v>
      </c>
      <c r="N2443" s="5" t="str">
        <f ca="1">VLOOKUP(Data!M2443,temp!$B$3:$C$9,2,1)</f>
        <v>40-50</v>
      </c>
      <c r="O2443">
        <v>-3327</v>
      </c>
      <c r="P2443" s="8">
        <f t="shared" si="159"/>
        <v>9.1088295687885008</v>
      </c>
      <c r="Q2443" s="5" t="str">
        <f t="shared" si="161"/>
        <v>Employed</v>
      </c>
      <c r="R2443">
        <v>1</v>
      </c>
      <c r="S2443">
        <v>0</v>
      </c>
      <c r="T2443">
        <v>0</v>
      </c>
      <c r="U2443">
        <v>0</v>
      </c>
      <c r="W2443">
        <v>2</v>
      </c>
    </row>
    <row r="2444" spans="1:23" x14ac:dyDescent="0.2">
      <c r="A2444">
        <v>5087571</v>
      </c>
      <c r="B2444" t="s">
        <v>18</v>
      </c>
      <c r="C2444" t="s">
        <v>19</v>
      </c>
      <c r="D2444" t="s">
        <v>20</v>
      </c>
      <c r="E2444">
        <v>1</v>
      </c>
      <c r="F2444">
        <v>225000</v>
      </c>
      <c r="G2444" t="s">
        <v>26</v>
      </c>
      <c r="H2444" t="s">
        <v>22</v>
      </c>
      <c r="I2444" t="s">
        <v>33</v>
      </c>
      <c r="J2444" t="s">
        <v>24</v>
      </c>
      <c r="K2444" s="6">
        <f t="shared" ca="1" si="160"/>
        <v>29835</v>
      </c>
      <c r="L2444">
        <v>-15926</v>
      </c>
      <c r="M2444" s="7">
        <f t="shared" ca="1" si="158"/>
        <v>43.603011635865847</v>
      </c>
      <c r="N2444" s="5" t="str">
        <f ca="1">VLOOKUP(Data!M2444,temp!$B$3:$C$9,2,1)</f>
        <v>40-50</v>
      </c>
      <c r="O2444">
        <v>-3327</v>
      </c>
      <c r="P2444" s="8">
        <f t="shared" si="159"/>
        <v>9.1088295687885008</v>
      </c>
      <c r="Q2444" s="5" t="str">
        <f t="shared" si="161"/>
        <v>Employed</v>
      </c>
      <c r="R2444">
        <v>1</v>
      </c>
      <c r="S2444">
        <v>0</v>
      </c>
      <c r="T2444">
        <v>0</v>
      </c>
      <c r="U2444">
        <v>0</v>
      </c>
      <c r="W2444">
        <v>2</v>
      </c>
    </row>
    <row r="2445" spans="1:23" x14ac:dyDescent="0.2">
      <c r="A2445">
        <v>5087613</v>
      </c>
      <c r="B2445" t="s">
        <v>18</v>
      </c>
      <c r="C2445" t="s">
        <v>19</v>
      </c>
      <c r="D2445" t="s">
        <v>20</v>
      </c>
      <c r="E2445">
        <v>0</v>
      </c>
      <c r="F2445">
        <v>157500</v>
      </c>
      <c r="G2445" t="s">
        <v>31</v>
      </c>
      <c r="H2445" t="s">
        <v>22</v>
      </c>
      <c r="I2445" t="s">
        <v>28</v>
      </c>
      <c r="J2445" t="s">
        <v>24</v>
      </c>
      <c r="K2445" s="6">
        <f t="shared" ca="1" si="160"/>
        <v>33080</v>
      </c>
      <c r="L2445">
        <v>-12681</v>
      </c>
      <c r="M2445" s="7">
        <f t="shared" ca="1" si="158"/>
        <v>34.718685831622174</v>
      </c>
      <c r="N2445" s="5" t="str">
        <f ca="1">VLOOKUP(Data!M2445,temp!$B$3:$C$9,2,1)</f>
        <v>30-40</v>
      </c>
      <c r="O2445">
        <v>-709</v>
      </c>
      <c r="P2445" s="8">
        <f t="shared" si="159"/>
        <v>1.9411362080766599</v>
      </c>
      <c r="Q2445" s="5" t="str">
        <f t="shared" si="161"/>
        <v>Employed</v>
      </c>
      <c r="R2445">
        <v>1</v>
      </c>
      <c r="S2445">
        <v>0</v>
      </c>
      <c r="T2445">
        <v>0</v>
      </c>
      <c r="U2445">
        <v>0</v>
      </c>
      <c r="V2445" t="s">
        <v>39</v>
      </c>
      <c r="W2445">
        <v>2</v>
      </c>
    </row>
    <row r="2446" spans="1:23" x14ac:dyDescent="0.2">
      <c r="A2446">
        <v>5087624</v>
      </c>
      <c r="B2446" t="s">
        <v>18</v>
      </c>
      <c r="C2446" t="s">
        <v>19</v>
      </c>
      <c r="D2446" t="s">
        <v>20</v>
      </c>
      <c r="E2446">
        <v>0</v>
      </c>
      <c r="F2446">
        <v>144000</v>
      </c>
      <c r="G2446" t="s">
        <v>35</v>
      </c>
      <c r="H2446" t="s">
        <v>27</v>
      </c>
      <c r="I2446" t="s">
        <v>28</v>
      </c>
      <c r="J2446" t="s">
        <v>24</v>
      </c>
      <c r="K2446" s="6">
        <f t="shared" ca="1" si="160"/>
        <v>27198</v>
      </c>
      <c r="L2446">
        <v>-18563</v>
      </c>
      <c r="M2446" s="7">
        <f t="shared" ca="1" si="158"/>
        <v>50.822724161533195</v>
      </c>
      <c r="N2446" s="5" t="str">
        <f ca="1">VLOOKUP(Data!M2446,temp!$B$3:$C$9,2,1)</f>
        <v>50-60</v>
      </c>
      <c r="O2446">
        <v>-1075</v>
      </c>
      <c r="P2446" s="8">
        <f t="shared" si="159"/>
        <v>2.9431895961670089</v>
      </c>
      <c r="Q2446" s="5" t="str">
        <f t="shared" si="161"/>
        <v>Employed</v>
      </c>
      <c r="R2446">
        <v>1</v>
      </c>
      <c r="S2446">
        <v>0</v>
      </c>
      <c r="T2446">
        <v>0</v>
      </c>
      <c r="U2446">
        <v>0</v>
      </c>
      <c r="V2446" t="s">
        <v>46</v>
      </c>
      <c r="W2446">
        <v>2</v>
      </c>
    </row>
    <row r="2447" spans="1:23" x14ac:dyDescent="0.2">
      <c r="A2447">
        <v>5087685</v>
      </c>
      <c r="B2447" t="s">
        <v>18</v>
      </c>
      <c r="C2447" t="s">
        <v>19</v>
      </c>
      <c r="D2447" t="s">
        <v>20</v>
      </c>
      <c r="E2447">
        <v>0</v>
      </c>
      <c r="F2447">
        <v>76500</v>
      </c>
      <c r="G2447" t="s">
        <v>21</v>
      </c>
      <c r="H2447" t="s">
        <v>22</v>
      </c>
      <c r="I2447" t="s">
        <v>42</v>
      </c>
      <c r="J2447" t="s">
        <v>24</v>
      </c>
      <c r="K2447" s="6">
        <f t="shared" ca="1" si="160"/>
        <v>22102</v>
      </c>
      <c r="L2447">
        <v>-23659</v>
      </c>
      <c r="M2447" s="7">
        <f t="shared" ca="1" si="158"/>
        <v>64.774811772758383</v>
      </c>
      <c r="N2447" s="5" t="str">
        <f ca="1">VLOOKUP(Data!M2447,temp!$B$3:$C$9,2,1)</f>
        <v>60-70</v>
      </c>
      <c r="O2447">
        <v>365243</v>
      </c>
      <c r="P2447" s="8">
        <f t="shared" si="159"/>
        <v>0</v>
      </c>
      <c r="Q2447" s="5" t="str">
        <f t="shared" si="161"/>
        <v>Unemployed</v>
      </c>
      <c r="R2447">
        <v>1</v>
      </c>
      <c r="S2447">
        <v>0</v>
      </c>
      <c r="T2447">
        <v>0</v>
      </c>
      <c r="U2447">
        <v>0</v>
      </c>
      <c r="W2447">
        <v>1</v>
      </c>
    </row>
    <row r="2448" spans="1:23" x14ac:dyDescent="0.2">
      <c r="A2448">
        <v>5087688</v>
      </c>
      <c r="B2448" t="s">
        <v>18</v>
      </c>
      <c r="C2448" t="s">
        <v>19</v>
      </c>
      <c r="D2448" t="s">
        <v>20</v>
      </c>
      <c r="E2448">
        <v>0</v>
      </c>
      <c r="F2448">
        <v>76500</v>
      </c>
      <c r="G2448" t="s">
        <v>21</v>
      </c>
      <c r="H2448" t="s">
        <v>22</v>
      </c>
      <c r="I2448" t="s">
        <v>42</v>
      </c>
      <c r="J2448" t="s">
        <v>24</v>
      </c>
      <c r="K2448" s="6">
        <f t="shared" ca="1" si="160"/>
        <v>22102</v>
      </c>
      <c r="L2448">
        <v>-23659</v>
      </c>
      <c r="M2448" s="7">
        <f t="shared" ca="1" si="158"/>
        <v>64.774811772758383</v>
      </c>
      <c r="N2448" s="5" t="str">
        <f ca="1">VLOOKUP(Data!M2448,temp!$B$3:$C$9,2,1)</f>
        <v>60-70</v>
      </c>
      <c r="O2448">
        <v>365243</v>
      </c>
      <c r="P2448" s="8">
        <f t="shared" si="159"/>
        <v>0</v>
      </c>
      <c r="Q2448" s="5" t="str">
        <f t="shared" si="161"/>
        <v>Unemployed</v>
      </c>
      <c r="R2448">
        <v>1</v>
      </c>
      <c r="S2448">
        <v>0</v>
      </c>
      <c r="T2448">
        <v>0</v>
      </c>
      <c r="U2448">
        <v>0</v>
      </c>
      <c r="W2448">
        <v>1</v>
      </c>
    </row>
    <row r="2449" spans="1:23" x14ac:dyDescent="0.2">
      <c r="A2449">
        <v>5087699</v>
      </c>
      <c r="B2449" t="s">
        <v>25</v>
      </c>
      <c r="C2449" t="s">
        <v>19</v>
      </c>
      <c r="D2449" t="s">
        <v>19</v>
      </c>
      <c r="E2449">
        <v>0</v>
      </c>
      <c r="F2449">
        <v>157500</v>
      </c>
      <c r="G2449" t="s">
        <v>31</v>
      </c>
      <c r="H2449" t="s">
        <v>27</v>
      </c>
      <c r="I2449" t="s">
        <v>28</v>
      </c>
      <c r="J2449" t="s">
        <v>24</v>
      </c>
      <c r="K2449" s="6">
        <f t="shared" ca="1" si="160"/>
        <v>24500</v>
      </c>
      <c r="L2449">
        <v>-21261</v>
      </c>
      <c r="M2449" s="7">
        <f t="shared" ca="1" si="158"/>
        <v>58.209445585215605</v>
      </c>
      <c r="N2449" s="5" t="str">
        <f ca="1">VLOOKUP(Data!M2449,temp!$B$3:$C$9,2,1)</f>
        <v>50-60</v>
      </c>
      <c r="O2449">
        <v>-405</v>
      </c>
      <c r="P2449" s="8">
        <f t="shared" si="159"/>
        <v>1.108829568788501</v>
      </c>
      <c r="Q2449" s="5" t="str">
        <f t="shared" si="161"/>
        <v>Employed</v>
      </c>
      <c r="R2449">
        <v>1</v>
      </c>
      <c r="S2449">
        <v>0</v>
      </c>
      <c r="T2449">
        <v>0</v>
      </c>
      <c r="U2449">
        <v>0</v>
      </c>
      <c r="V2449" t="s">
        <v>40</v>
      </c>
      <c r="W2449">
        <v>2</v>
      </c>
    </row>
    <row r="2450" spans="1:23" x14ac:dyDescent="0.2">
      <c r="A2450">
        <v>5087702</v>
      </c>
      <c r="B2450" t="s">
        <v>25</v>
      </c>
      <c r="C2450" t="s">
        <v>19</v>
      </c>
      <c r="D2450" t="s">
        <v>19</v>
      </c>
      <c r="E2450">
        <v>0</v>
      </c>
      <c r="F2450">
        <v>157500</v>
      </c>
      <c r="G2450" t="s">
        <v>31</v>
      </c>
      <c r="H2450" t="s">
        <v>27</v>
      </c>
      <c r="I2450" t="s">
        <v>28</v>
      </c>
      <c r="J2450" t="s">
        <v>24</v>
      </c>
      <c r="K2450" s="6">
        <f t="shared" ca="1" si="160"/>
        <v>24500</v>
      </c>
      <c r="L2450">
        <v>-21261</v>
      </c>
      <c r="M2450" s="7">
        <f t="shared" ca="1" si="158"/>
        <v>58.209445585215605</v>
      </c>
      <c r="N2450" s="5" t="str">
        <f ca="1">VLOOKUP(Data!M2450,temp!$B$3:$C$9,2,1)</f>
        <v>50-60</v>
      </c>
      <c r="O2450">
        <v>-405</v>
      </c>
      <c r="P2450" s="8">
        <f t="shared" si="159"/>
        <v>1.108829568788501</v>
      </c>
      <c r="Q2450" s="5" t="str">
        <f t="shared" si="161"/>
        <v>Employed</v>
      </c>
      <c r="R2450">
        <v>1</v>
      </c>
      <c r="S2450">
        <v>0</v>
      </c>
      <c r="T2450">
        <v>0</v>
      </c>
      <c r="U2450">
        <v>0</v>
      </c>
      <c r="V2450" t="s">
        <v>40</v>
      </c>
      <c r="W2450">
        <v>2</v>
      </c>
    </row>
    <row r="2451" spans="1:23" x14ac:dyDescent="0.2">
      <c r="A2451">
        <v>5087729</v>
      </c>
      <c r="B2451" t="s">
        <v>25</v>
      </c>
      <c r="C2451" t="s">
        <v>19</v>
      </c>
      <c r="D2451" t="s">
        <v>20</v>
      </c>
      <c r="E2451">
        <v>0</v>
      </c>
      <c r="F2451">
        <v>225000</v>
      </c>
      <c r="G2451" t="s">
        <v>21</v>
      </c>
      <c r="H2451" t="s">
        <v>22</v>
      </c>
      <c r="I2451" t="s">
        <v>37</v>
      </c>
      <c r="J2451" t="s">
        <v>24</v>
      </c>
      <c r="K2451" s="6">
        <f t="shared" ca="1" si="160"/>
        <v>29243</v>
      </c>
      <c r="L2451">
        <v>-16518</v>
      </c>
      <c r="M2451" s="7">
        <f t="shared" ca="1" si="158"/>
        <v>45.223819301848046</v>
      </c>
      <c r="N2451" s="5" t="str">
        <f ca="1">VLOOKUP(Data!M2451,temp!$B$3:$C$9,2,1)</f>
        <v>40-50</v>
      </c>
      <c r="O2451">
        <v>365243</v>
      </c>
      <c r="P2451" s="8">
        <f t="shared" si="159"/>
        <v>0</v>
      </c>
      <c r="Q2451" s="5" t="str">
        <f t="shared" si="161"/>
        <v>Unemployed</v>
      </c>
      <c r="R2451">
        <v>1</v>
      </c>
      <c r="S2451">
        <v>0</v>
      </c>
      <c r="T2451">
        <v>0</v>
      </c>
      <c r="U2451">
        <v>0</v>
      </c>
      <c r="W2451">
        <v>2</v>
      </c>
    </row>
    <row r="2452" spans="1:23" x14ac:dyDescent="0.2">
      <c r="A2452">
        <v>5087733</v>
      </c>
      <c r="B2452" t="s">
        <v>25</v>
      </c>
      <c r="C2452" t="s">
        <v>19</v>
      </c>
      <c r="D2452" t="s">
        <v>20</v>
      </c>
      <c r="E2452">
        <v>0</v>
      </c>
      <c r="F2452">
        <v>225000</v>
      </c>
      <c r="G2452" t="s">
        <v>21</v>
      </c>
      <c r="H2452" t="s">
        <v>22</v>
      </c>
      <c r="I2452" t="s">
        <v>37</v>
      </c>
      <c r="J2452" t="s">
        <v>24</v>
      </c>
      <c r="K2452" s="6">
        <f t="shared" ca="1" si="160"/>
        <v>29243</v>
      </c>
      <c r="L2452">
        <v>-16518</v>
      </c>
      <c r="M2452" s="7">
        <f t="shared" ca="1" si="158"/>
        <v>45.223819301848046</v>
      </c>
      <c r="N2452" s="5" t="str">
        <f ca="1">VLOOKUP(Data!M2452,temp!$B$3:$C$9,2,1)</f>
        <v>40-50</v>
      </c>
      <c r="O2452">
        <v>365243</v>
      </c>
      <c r="P2452" s="8">
        <f t="shared" si="159"/>
        <v>0</v>
      </c>
      <c r="Q2452" s="5" t="str">
        <f t="shared" si="161"/>
        <v>Unemployed</v>
      </c>
      <c r="R2452">
        <v>1</v>
      </c>
      <c r="S2452">
        <v>0</v>
      </c>
      <c r="T2452">
        <v>0</v>
      </c>
      <c r="U2452">
        <v>0</v>
      </c>
      <c r="W2452">
        <v>2</v>
      </c>
    </row>
    <row r="2453" spans="1:23" x14ac:dyDescent="0.2">
      <c r="A2453">
        <v>5087750</v>
      </c>
      <c r="B2453" t="s">
        <v>18</v>
      </c>
      <c r="C2453" t="s">
        <v>19</v>
      </c>
      <c r="D2453" t="s">
        <v>20</v>
      </c>
      <c r="E2453">
        <v>0</v>
      </c>
      <c r="F2453">
        <v>72000</v>
      </c>
      <c r="G2453" t="s">
        <v>21</v>
      </c>
      <c r="H2453" t="s">
        <v>27</v>
      </c>
      <c r="I2453" t="s">
        <v>28</v>
      </c>
      <c r="J2453" t="s">
        <v>24</v>
      </c>
      <c r="K2453" s="6">
        <f t="shared" ca="1" si="160"/>
        <v>27247</v>
      </c>
      <c r="L2453">
        <v>-18514</v>
      </c>
      <c r="M2453" s="7">
        <f t="shared" ca="1" si="158"/>
        <v>50.688569472963721</v>
      </c>
      <c r="N2453" s="5" t="str">
        <f ca="1">VLOOKUP(Data!M2453,temp!$B$3:$C$9,2,1)</f>
        <v>50-60</v>
      </c>
      <c r="O2453">
        <v>365243</v>
      </c>
      <c r="P2453" s="8">
        <f t="shared" si="159"/>
        <v>0</v>
      </c>
      <c r="Q2453" s="5" t="str">
        <f t="shared" si="161"/>
        <v>Unemployed</v>
      </c>
      <c r="R2453">
        <v>1</v>
      </c>
      <c r="S2453">
        <v>0</v>
      </c>
      <c r="T2453">
        <v>0</v>
      </c>
      <c r="U2453">
        <v>0</v>
      </c>
      <c r="W2453">
        <v>2</v>
      </c>
    </row>
    <row r="2454" spans="1:23" x14ac:dyDescent="0.2">
      <c r="A2454">
        <v>5087766</v>
      </c>
      <c r="B2454" t="s">
        <v>25</v>
      </c>
      <c r="C2454" t="s">
        <v>20</v>
      </c>
      <c r="D2454" t="s">
        <v>20</v>
      </c>
      <c r="E2454">
        <v>0</v>
      </c>
      <c r="F2454">
        <v>130500</v>
      </c>
      <c r="G2454" t="s">
        <v>31</v>
      </c>
      <c r="H2454" t="s">
        <v>27</v>
      </c>
      <c r="I2454" t="s">
        <v>28</v>
      </c>
      <c r="J2454" t="s">
        <v>24</v>
      </c>
      <c r="K2454" s="6">
        <f t="shared" ca="1" si="160"/>
        <v>26259</v>
      </c>
      <c r="L2454">
        <v>-19502</v>
      </c>
      <c r="M2454" s="7">
        <f t="shared" ca="1" si="158"/>
        <v>53.393566050650243</v>
      </c>
      <c r="N2454" s="5" t="str">
        <f ca="1">VLOOKUP(Data!M2454,temp!$B$3:$C$9,2,1)</f>
        <v>50-60</v>
      </c>
      <c r="O2454">
        <v>-1624</v>
      </c>
      <c r="P2454" s="8">
        <f t="shared" si="159"/>
        <v>4.4462696783025324</v>
      </c>
      <c r="Q2454" s="5" t="str">
        <f t="shared" si="161"/>
        <v>Employed</v>
      </c>
      <c r="R2454">
        <v>1</v>
      </c>
      <c r="S2454">
        <v>1</v>
      </c>
      <c r="T2454">
        <v>1</v>
      </c>
      <c r="U2454">
        <v>0</v>
      </c>
      <c r="V2454" t="s">
        <v>30</v>
      </c>
      <c r="W2454">
        <v>2</v>
      </c>
    </row>
    <row r="2455" spans="1:23" x14ac:dyDescent="0.2">
      <c r="A2455">
        <v>5087775</v>
      </c>
      <c r="B2455" t="s">
        <v>18</v>
      </c>
      <c r="C2455" t="s">
        <v>19</v>
      </c>
      <c r="D2455" t="s">
        <v>19</v>
      </c>
      <c r="E2455">
        <v>0</v>
      </c>
      <c r="F2455">
        <v>67500</v>
      </c>
      <c r="G2455" t="s">
        <v>26</v>
      </c>
      <c r="H2455" t="s">
        <v>27</v>
      </c>
      <c r="I2455" t="s">
        <v>28</v>
      </c>
      <c r="J2455" t="s">
        <v>24</v>
      </c>
      <c r="K2455" s="6">
        <f t="shared" ca="1" si="160"/>
        <v>31538</v>
      </c>
      <c r="L2455">
        <v>-14223</v>
      </c>
      <c r="M2455" s="7">
        <f t="shared" ca="1" si="158"/>
        <v>38.940451745379875</v>
      </c>
      <c r="N2455" s="5" t="str">
        <f ca="1">VLOOKUP(Data!M2455,temp!$B$3:$C$9,2,1)</f>
        <v>30-40</v>
      </c>
      <c r="O2455">
        <v>-1928</v>
      </c>
      <c r="P2455" s="8">
        <f t="shared" si="159"/>
        <v>5.2785763175906917</v>
      </c>
      <c r="Q2455" s="5" t="str">
        <f t="shared" si="161"/>
        <v>Employed</v>
      </c>
      <c r="R2455">
        <v>1</v>
      </c>
      <c r="S2455">
        <v>0</v>
      </c>
      <c r="T2455">
        <v>0</v>
      </c>
      <c r="U2455">
        <v>0</v>
      </c>
      <c r="V2455" t="s">
        <v>29</v>
      </c>
      <c r="W2455">
        <v>2</v>
      </c>
    </row>
    <row r="2456" spans="1:23" x14ac:dyDescent="0.2">
      <c r="A2456">
        <v>5087813</v>
      </c>
      <c r="B2456" t="s">
        <v>18</v>
      </c>
      <c r="C2456" t="s">
        <v>20</v>
      </c>
      <c r="D2456" t="s">
        <v>20</v>
      </c>
      <c r="E2456">
        <v>1</v>
      </c>
      <c r="F2456">
        <v>135000</v>
      </c>
      <c r="G2456" t="s">
        <v>31</v>
      </c>
      <c r="H2456" t="s">
        <v>27</v>
      </c>
      <c r="I2456" t="s">
        <v>23</v>
      </c>
      <c r="J2456" t="s">
        <v>24</v>
      </c>
      <c r="K2456" s="6">
        <f t="shared" ca="1" si="160"/>
        <v>33951</v>
      </c>
      <c r="L2456">
        <v>-11810</v>
      </c>
      <c r="M2456" s="7">
        <f t="shared" ca="1" si="158"/>
        <v>32.334017796030118</v>
      </c>
      <c r="N2456" s="5" t="str">
        <f ca="1">VLOOKUP(Data!M2456,temp!$B$3:$C$9,2,1)</f>
        <v>30-40</v>
      </c>
      <c r="O2456">
        <v>-648</v>
      </c>
      <c r="P2456" s="8">
        <f t="shared" si="159"/>
        <v>1.7741273100616017</v>
      </c>
      <c r="Q2456" s="5" t="str">
        <f t="shared" si="161"/>
        <v>Employed</v>
      </c>
      <c r="R2456">
        <v>1</v>
      </c>
      <c r="S2456">
        <v>1</v>
      </c>
      <c r="T2456">
        <v>1</v>
      </c>
      <c r="U2456">
        <v>0</v>
      </c>
      <c r="V2456" t="s">
        <v>39</v>
      </c>
      <c r="W2456">
        <v>2</v>
      </c>
    </row>
    <row r="2457" spans="1:23" x14ac:dyDescent="0.2">
      <c r="A2457">
        <v>5087821</v>
      </c>
      <c r="B2457" t="s">
        <v>25</v>
      </c>
      <c r="C2457" t="s">
        <v>19</v>
      </c>
      <c r="D2457" t="s">
        <v>20</v>
      </c>
      <c r="E2457">
        <v>2</v>
      </c>
      <c r="F2457">
        <v>112500</v>
      </c>
      <c r="G2457" t="s">
        <v>31</v>
      </c>
      <c r="H2457" t="s">
        <v>27</v>
      </c>
      <c r="I2457" t="s">
        <v>28</v>
      </c>
      <c r="J2457" t="s">
        <v>24</v>
      </c>
      <c r="K2457" s="6">
        <f t="shared" ca="1" si="160"/>
        <v>29973</v>
      </c>
      <c r="L2457">
        <v>-15788</v>
      </c>
      <c r="M2457" s="7">
        <f t="shared" ca="1" si="158"/>
        <v>43.225188227241617</v>
      </c>
      <c r="N2457" s="5" t="str">
        <f ca="1">VLOOKUP(Data!M2457,temp!$B$3:$C$9,2,1)</f>
        <v>40-50</v>
      </c>
      <c r="O2457">
        <v>-1563</v>
      </c>
      <c r="P2457" s="8">
        <f t="shared" si="159"/>
        <v>4.2792607802874745</v>
      </c>
      <c r="Q2457" s="5" t="str">
        <f t="shared" si="161"/>
        <v>Employed</v>
      </c>
      <c r="R2457">
        <v>1</v>
      </c>
      <c r="S2457">
        <v>0</v>
      </c>
      <c r="T2457">
        <v>0</v>
      </c>
      <c r="U2457">
        <v>0</v>
      </c>
      <c r="V2457" t="s">
        <v>40</v>
      </c>
      <c r="W2457">
        <v>4</v>
      </c>
    </row>
    <row r="2458" spans="1:23" x14ac:dyDescent="0.2">
      <c r="A2458">
        <v>5087830</v>
      </c>
      <c r="B2458" t="s">
        <v>25</v>
      </c>
      <c r="C2458" t="s">
        <v>19</v>
      </c>
      <c r="D2458" t="s">
        <v>20</v>
      </c>
      <c r="E2458">
        <v>0</v>
      </c>
      <c r="F2458">
        <v>135000</v>
      </c>
      <c r="G2458" t="s">
        <v>35</v>
      </c>
      <c r="H2458" t="s">
        <v>27</v>
      </c>
      <c r="I2458" t="s">
        <v>28</v>
      </c>
      <c r="J2458" t="s">
        <v>34</v>
      </c>
      <c r="K2458" s="6">
        <f t="shared" ca="1" si="160"/>
        <v>35313</v>
      </c>
      <c r="L2458">
        <v>-10448</v>
      </c>
      <c r="M2458" s="7">
        <f t="shared" ca="1" si="158"/>
        <v>28.605065023956193</v>
      </c>
      <c r="N2458" s="5" t="str">
        <f ca="1">VLOOKUP(Data!M2458,temp!$B$3:$C$9,2,1)</f>
        <v>20-30</v>
      </c>
      <c r="O2458">
        <v>-2323</v>
      </c>
      <c r="P2458" s="8">
        <f t="shared" si="159"/>
        <v>6.3600273785078709</v>
      </c>
      <c r="Q2458" s="5" t="str">
        <f t="shared" si="161"/>
        <v>Employed</v>
      </c>
      <c r="R2458">
        <v>1</v>
      </c>
      <c r="S2458">
        <v>1</v>
      </c>
      <c r="T2458">
        <v>0</v>
      </c>
      <c r="U2458">
        <v>1</v>
      </c>
      <c r="W2458">
        <v>2</v>
      </c>
    </row>
    <row r="2459" spans="1:23" x14ac:dyDescent="0.2">
      <c r="A2459">
        <v>5087835</v>
      </c>
      <c r="B2459" t="s">
        <v>25</v>
      </c>
      <c r="C2459" t="s">
        <v>19</v>
      </c>
      <c r="D2459" t="s">
        <v>20</v>
      </c>
      <c r="E2459">
        <v>0</v>
      </c>
      <c r="F2459">
        <v>135000</v>
      </c>
      <c r="G2459" t="s">
        <v>35</v>
      </c>
      <c r="H2459" t="s">
        <v>27</v>
      </c>
      <c r="I2459" t="s">
        <v>28</v>
      </c>
      <c r="J2459" t="s">
        <v>34</v>
      </c>
      <c r="K2459" s="6">
        <f t="shared" ca="1" si="160"/>
        <v>35313</v>
      </c>
      <c r="L2459">
        <v>-10448</v>
      </c>
      <c r="M2459" s="7">
        <f t="shared" ca="1" si="158"/>
        <v>28.605065023956193</v>
      </c>
      <c r="N2459" s="5" t="str">
        <f ca="1">VLOOKUP(Data!M2459,temp!$B$3:$C$9,2,1)</f>
        <v>20-30</v>
      </c>
      <c r="O2459">
        <v>-2323</v>
      </c>
      <c r="P2459" s="8">
        <f t="shared" si="159"/>
        <v>6.3600273785078709</v>
      </c>
      <c r="Q2459" s="5" t="str">
        <f t="shared" si="161"/>
        <v>Employed</v>
      </c>
      <c r="R2459">
        <v>1</v>
      </c>
      <c r="S2459">
        <v>1</v>
      </c>
      <c r="T2459">
        <v>0</v>
      </c>
      <c r="U2459">
        <v>1</v>
      </c>
      <c r="W2459">
        <v>2</v>
      </c>
    </row>
    <row r="2460" spans="1:23" x14ac:dyDescent="0.2">
      <c r="A2460">
        <v>5087840</v>
      </c>
      <c r="B2460" t="s">
        <v>25</v>
      </c>
      <c r="C2460" t="s">
        <v>19</v>
      </c>
      <c r="D2460" t="s">
        <v>20</v>
      </c>
      <c r="E2460">
        <v>0</v>
      </c>
      <c r="F2460">
        <v>135000</v>
      </c>
      <c r="G2460" t="s">
        <v>35</v>
      </c>
      <c r="H2460" t="s">
        <v>27</v>
      </c>
      <c r="I2460" t="s">
        <v>28</v>
      </c>
      <c r="J2460" t="s">
        <v>34</v>
      </c>
      <c r="K2460" s="6">
        <f t="shared" ca="1" si="160"/>
        <v>35313</v>
      </c>
      <c r="L2460">
        <v>-10448</v>
      </c>
      <c r="M2460" s="7">
        <f t="shared" ca="1" si="158"/>
        <v>28.605065023956193</v>
      </c>
      <c r="N2460" s="5" t="str">
        <f ca="1">VLOOKUP(Data!M2460,temp!$B$3:$C$9,2,1)</f>
        <v>20-30</v>
      </c>
      <c r="O2460">
        <v>-2323</v>
      </c>
      <c r="P2460" s="8">
        <f t="shared" si="159"/>
        <v>6.3600273785078709</v>
      </c>
      <c r="Q2460" s="5" t="str">
        <f t="shared" si="161"/>
        <v>Employed</v>
      </c>
      <c r="R2460">
        <v>1</v>
      </c>
      <c r="S2460">
        <v>1</v>
      </c>
      <c r="T2460">
        <v>0</v>
      </c>
      <c r="U2460">
        <v>1</v>
      </c>
      <c r="W2460">
        <v>2</v>
      </c>
    </row>
    <row r="2461" spans="1:23" x14ac:dyDescent="0.2">
      <c r="A2461">
        <v>5087850</v>
      </c>
      <c r="B2461" t="s">
        <v>18</v>
      </c>
      <c r="C2461" t="s">
        <v>20</v>
      </c>
      <c r="D2461" t="s">
        <v>19</v>
      </c>
      <c r="E2461">
        <v>0</v>
      </c>
      <c r="F2461">
        <v>202500</v>
      </c>
      <c r="G2461" t="s">
        <v>35</v>
      </c>
      <c r="H2461" t="s">
        <v>27</v>
      </c>
      <c r="I2461" t="s">
        <v>28</v>
      </c>
      <c r="J2461" t="s">
        <v>24</v>
      </c>
      <c r="K2461" s="6">
        <f t="shared" ca="1" si="160"/>
        <v>26163</v>
      </c>
      <c r="L2461">
        <v>-19598</v>
      </c>
      <c r="M2461" s="7">
        <f t="shared" ca="1" si="158"/>
        <v>53.656399726214921</v>
      </c>
      <c r="N2461" s="5" t="str">
        <f ca="1">VLOOKUP(Data!M2461,temp!$B$3:$C$9,2,1)</f>
        <v>50-60</v>
      </c>
      <c r="O2461">
        <v>-11940</v>
      </c>
      <c r="P2461" s="8">
        <f t="shared" si="159"/>
        <v>32.689938398357292</v>
      </c>
      <c r="Q2461" s="5" t="str">
        <f t="shared" si="161"/>
        <v>Employed</v>
      </c>
      <c r="R2461">
        <v>1</v>
      </c>
      <c r="S2461">
        <v>0</v>
      </c>
      <c r="T2461">
        <v>1</v>
      </c>
      <c r="U2461">
        <v>0</v>
      </c>
      <c r="V2461" t="s">
        <v>50</v>
      </c>
      <c r="W2461">
        <v>2</v>
      </c>
    </row>
    <row r="2462" spans="1:23" x14ac:dyDescent="0.2">
      <c r="A2462">
        <v>5087863</v>
      </c>
      <c r="B2462" t="s">
        <v>18</v>
      </c>
      <c r="C2462" t="s">
        <v>19</v>
      </c>
      <c r="D2462" t="s">
        <v>20</v>
      </c>
      <c r="E2462">
        <v>1</v>
      </c>
      <c r="F2462">
        <v>112500</v>
      </c>
      <c r="G2462" t="s">
        <v>31</v>
      </c>
      <c r="H2462" t="s">
        <v>27</v>
      </c>
      <c r="I2462" t="s">
        <v>28</v>
      </c>
      <c r="J2462" t="s">
        <v>24</v>
      </c>
      <c r="K2462" s="6">
        <f t="shared" ca="1" si="160"/>
        <v>34260</v>
      </c>
      <c r="L2462">
        <v>-11501</v>
      </c>
      <c r="M2462" s="7">
        <f t="shared" ca="1" si="158"/>
        <v>31.488021902806295</v>
      </c>
      <c r="N2462" s="5" t="str">
        <f ca="1">VLOOKUP(Data!M2462,temp!$B$3:$C$9,2,1)</f>
        <v>30-40</v>
      </c>
      <c r="O2462">
        <v>-1775</v>
      </c>
      <c r="P2462" s="8">
        <f t="shared" si="159"/>
        <v>4.85968514715948</v>
      </c>
      <c r="Q2462" s="5" t="str">
        <f t="shared" si="161"/>
        <v>Employed</v>
      </c>
      <c r="R2462">
        <v>1</v>
      </c>
      <c r="S2462">
        <v>0</v>
      </c>
      <c r="T2462">
        <v>0</v>
      </c>
      <c r="U2462">
        <v>0</v>
      </c>
      <c r="V2462" t="s">
        <v>49</v>
      </c>
      <c r="W2462">
        <v>3</v>
      </c>
    </row>
    <row r="2463" spans="1:23" x14ac:dyDescent="0.2">
      <c r="A2463">
        <v>5087919</v>
      </c>
      <c r="B2463" t="s">
        <v>18</v>
      </c>
      <c r="C2463" t="s">
        <v>20</v>
      </c>
      <c r="D2463" t="s">
        <v>19</v>
      </c>
      <c r="E2463">
        <v>1</v>
      </c>
      <c r="F2463">
        <v>90000</v>
      </c>
      <c r="G2463" t="s">
        <v>31</v>
      </c>
      <c r="H2463" t="s">
        <v>36</v>
      </c>
      <c r="I2463" t="s">
        <v>28</v>
      </c>
      <c r="J2463" t="s">
        <v>34</v>
      </c>
      <c r="K2463" s="6">
        <f t="shared" ca="1" si="160"/>
        <v>33378</v>
      </c>
      <c r="L2463">
        <v>-12383</v>
      </c>
      <c r="M2463" s="7">
        <f t="shared" ca="1" si="158"/>
        <v>33.902806297056813</v>
      </c>
      <c r="N2463" s="5" t="str">
        <f ca="1">VLOOKUP(Data!M2463,temp!$B$3:$C$9,2,1)</f>
        <v>30-40</v>
      </c>
      <c r="O2463">
        <v>-3480</v>
      </c>
      <c r="P2463" s="8">
        <f t="shared" si="159"/>
        <v>9.5277207392197134</v>
      </c>
      <c r="Q2463" s="5" t="str">
        <f t="shared" si="161"/>
        <v>Employed</v>
      </c>
      <c r="R2463">
        <v>1</v>
      </c>
      <c r="S2463">
        <v>0</v>
      </c>
      <c r="T2463">
        <v>0</v>
      </c>
      <c r="U2463">
        <v>0</v>
      </c>
      <c r="V2463" t="s">
        <v>29</v>
      </c>
      <c r="W2463">
        <v>3</v>
      </c>
    </row>
    <row r="2464" spans="1:23" x14ac:dyDescent="0.2">
      <c r="A2464">
        <v>5087933</v>
      </c>
      <c r="B2464" t="s">
        <v>18</v>
      </c>
      <c r="C2464" t="s">
        <v>20</v>
      </c>
      <c r="D2464" t="s">
        <v>19</v>
      </c>
      <c r="E2464">
        <v>2</v>
      </c>
      <c r="F2464">
        <v>157500</v>
      </c>
      <c r="G2464" t="s">
        <v>26</v>
      </c>
      <c r="H2464" t="s">
        <v>22</v>
      </c>
      <c r="I2464" t="s">
        <v>28</v>
      </c>
      <c r="J2464" t="s">
        <v>24</v>
      </c>
      <c r="K2464" s="6">
        <f t="shared" ca="1" si="160"/>
        <v>32273</v>
      </c>
      <c r="L2464">
        <v>-13488</v>
      </c>
      <c r="M2464" s="7">
        <f t="shared" ca="1" si="158"/>
        <v>36.928131416837779</v>
      </c>
      <c r="N2464" s="5" t="str">
        <f ca="1">VLOOKUP(Data!M2464,temp!$B$3:$C$9,2,1)</f>
        <v>30-40</v>
      </c>
      <c r="O2464">
        <v>-3723</v>
      </c>
      <c r="P2464" s="8">
        <f t="shared" si="159"/>
        <v>10.193018480492814</v>
      </c>
      <c r="Q2464" s="5" t="str">
        <f t="shared" si="161"/>
        <v>Employed</v>
      </c>
      <c r="R2464">
        <v>1</v>
      </c>
      <c r="S2464">
        <v>0</v>
      </c>
      <c r="T2464">
        <v>0</v>
      </c>
      <c r="U2464">
        <v>0</v>
      </c>
      <c r="W2464">
        <v>4</v>
      </c>
    </row>
    <row r="2465" spans="1:23" x14ac:dyDescent="0.2">
      <c r="A2465">
        <v>5087938</v>
      </c>
      <c r="B2465" t="s">
        <v>18</v>
      </c>
      <c r="C2465" t="s">
        <v>20</v>
      </c>
      <c r="D2465" t="s">
        <v>19</v>
      </c>
      <c r="E2465">
        <v>2</v>
      </c>
      <c r="F2465">
        <v>157500</v>
      </c>
      <c r="G2465" t="s">
        <v>26</v>
      </c>
      <c r="H2465" t="s">
        <v>22</v>
      </c>
      <c r="I2465" t="s">
        <v>28</v>
      </c>
      <c r="J2465" t="s">
        <v>24</v>
      </c>
      <c r="K2465" s="6">
        <f t="shared" ca="1" si="160"/>
        <v>32273</v>
      </c>
      <c r="L2465">
        <v>-13488</v>
      </c>
      <c r="M2465" s="7">
        <f t="shared" ca="1" si="158"/>
        <v>36.928131416837779</v>
      </c>
      <c r="N2465" s="5" t="str">
        <f ca="1">VLOOKUP(Data!M2465,temp!$B$3:$C$9,2,1)</f>
        <v>30-40</v>
      </c>
      <c r="O2465">
        <v>-3723</v>
      </c>
      <c r="P2465" s="8">
        <f t="shared" si="159"/>
        <v>10.193018480492814</v>
      </c>
      <c r="Q2465" s="5" t="str">
        <f t="shared" si="161"/>
        <v>Employed</v>
      </c>
      <c r="R2465">
        <v>1</v>
      </c>
      <c r="S2465">
        <v>0</v>
      </c>
      <c r="T2465">
        <v>0</v>
      </c>
      <c r="U2465">
        <v>0</v>
      </c>
      <c r="W2465">
        <v>4</v>
      </c>
    </row>
    <row r="2466" spans="1:23" x14ac:dyDescent="0.2">
      <c r="A2466">
        <v>5087939</v>
      </c>
      <c r="B2466" t="s">
        <v>18</v>
      </c>
      <c r="C2466" t="s">
        <v>19</v>
      </c>
      <c r="D2466" t="s">
        <v>20</v>
      </c>
      <c r="E2466">
        <v>0</v>
      </c>
      <c r="F2466">
        <v>360000</v>
      </c>
      <c r="G2466" t="s">
        <v>26</v>
      </c>
      <c r="H2466" t="s">
        <v>27</v>
      </c>
      <c r="I2466" t="s">
        <v>28</v>
      </c>
      <c r="J2466" t="s">
        <v>45</v>
      </c>
      <c r="K2466" s="6">
        <f t="shared" ca="1" si="160"/>
        <v>27666</v>
      </c>
      <c r="L2466">
        <v>-18095</v>
      </c>
      <c r="M2466" s="7">
        <f t="shared" ca="1" si="158"/>
        <v>49.541409993155376</v>
      </c>
      <c r="N2466" s="5" t="str">
        <f ca="1">VLOOKUP(Data!M2466,temp!$B$3:$C$9,2,1)</f>
        <v>40-50</v>
      </c>
      <c r="O2466">
        <v>-3205</v>
      </c>
      <c r="P2466" s="8">
        <f t="shared" si="159"/>
        <v>8.774811772758385</v>
      </c>
      <c r="Q2466" s="5" t="str">
        <f t="shared" si="161"/>
        <v>Employed</v>
      </c>
      <c r="R2466">
        <v>1</v>
      </c>
      <c r="S2466">
        <v>0</v>
      </c>
      <c r="T2466">
        <v>0</v>
      </c>
      <c r="U2466">
        <v>0</v>
      </c>
      <c r="V2466" t="s">
        <v>39</v>
      </c>
      <c r="W2466">
        <v>2</v>
      </c>
    </row>
    <row r="2467" spans="1:23" x14ac:dyDescent="0.2">
      <c r="A2467">
        <v>5087941</v>
      </c>
      <c r="B2467" t="s">
        <v>18</v>
      </c>
      <c r="C2467" t="s">
        <v>19</v>
      </c>
      <c r="D2467" t="s">
        <v>20</v>
      </c>
      <c r="E2467">
        <v>0</v>
      </c>
      <c r="F2467">
        <v>72000</v>
      </c>
      <c r="G2467" t="s">
        <v>31</v>
      </c>
      <c r="H2467" t="s">
        <v>27</v>
      </c>
      <c r="I2467" t="s">
        <v>42</v>
      </c>
      <c r="J2467" t="s">
        <v>24</v>
      </c>
      <c r="K2467" s="6">
        <f t="shared" ca="1" si="160"/>
        <v>25838</v>
      </c>
      <c r="L2467">
        <v>-19923</v>
      </c>
      <c r="M2467" s="7">
        <f t="shared" ca="1" si="158"/>
        <v>54.546201232032857</v>
      </c>
      <c r="N2467" s="5" t="str">
        <f ca="1">VLOOKUP(Data!M2467,temp!$B$3:$C$9,2,1)</f>
        <v>50-60</v>
      </c>
      <c r="O2467">
        <v>-2078</v>
      </c>
      <c r="P2467" s="8">
        <f t="shared" si="159"/>
        <v>5.6892539356605063</v>
      </c>
      <c r="Q2467" s="5" t="str">
        <f t="shared" si="161"/>
        <v>Employed</v>
      </c>
      <c r="R2467">
        <v>1</v>
      </c>
      <c r="S2467">
        <v>1</v>
      </c>
      <c r="T2467">
        <v>1</v>
      </c>
      <c r="U2467">
        <v>0</v>
      </c>
      <c r="V2467" t="s">
        <v>46</v>
      </c>
      <c r="W2467">
        <v>1</v>
      </c>
    </row>
    <row r="2468" spans="1:23" x14ac:dyDescent="0.2">
      <c r="A2468">
        <v>5087960</v>
      </c>
      <c r="B2468" t="s">
        <v>25</v>
      </c>
      <c r="C2468" t="s">
        <v>20</v>
      </c>
      <c r="D2468" t="s">
        <v>20</v>
      </c>
      <c r="E2468">
        <v>0</v>
      </c>
      <c r="F2468">
        <v>157500</v>
      </c>
      <c r="G2468" t="s">
        <v>31</v>
      </c>
      <c r="H2468" t="s">
        <v>27</v>
      </c>
      <c r="I2468" t="s">
        <v>28</v>
      </c>
      <c r="J2468" t="s">
        <v>24</v>
      </c>
      <c r="K2468" s="6">
        <f t="shared" ca="1" si="160"/>
        <v>30059</v>
      </c>
      <c r="L2468">
        <v>-15702</v>
      </c>
      <c r="M2468" s="7">
        <f t="shared" ca="1" si="158"/>
        <v>42.989733059548257</v>
      </c>
      <c r="N2468" s="5" t="str">
        <f ca="1">VLOOKUP(Data!M2468,temp!$B$3:$C$9,2,1)</f>
        <v>40-50</v>
      </c>
      <c r="O2468">
        <v>-2415</v>
      </c>
      <c r="P2468" s="8">
        <f t="shared" si="159"/>
        <v>6.6119096509240247</v>
      </c>
      <c r="Q2468" s="5" t="str">
        <f t="shared" si="161"/>
        <v>Employed</v>
      </c>
      <c r="R2468">
        <v>1</v>
      </c>
      <c r="S2468">
        <v>0</v>
      </c>
      <c r="T2468">
        <v>0</v>
      </c>
      <c r="U2468">
        <v>0</v>
      </c>
      <c r="V2468" t="s">
        <v>30</v>
      </c>
      <c r="W2468">
        <v>2</v>
      </c>
    </row>
    <row r="2469" spans="1:23" x14ac:dyDescent="0.2">
      <c r="A2469">
        <v>5087970</v>
      </c>
      <c r="B2469" t="s">
        <v>25</v>
      </c>
      <c r="C2469" t="s">
        <v>19</v>
      </c>
      <c r="D2469" t="s">
        <v>20</v>
      </c>
      <c r="E2469">
        <v>0</v>
      </c>
      <c r="F2469">
        <v>99000</v>
      </c>
      <c r="G2469" t="s">
        <v>31</v>
      </c>
      <c r="H2469" t="s">
        <v>22</v>
      </c>
      <c r="I2469" t="s">
        <v>28</v>
      </c>
      <c r="J2469" t="s">
        <v>43</v>
      </c>
      <c r="K2469" s="6">
        <f t="shared" ca="1" si="160"/>
        <v>35728</v>
      </c>
      <c r="L2469">
        <v>-10033</v>
      </c>
      <c r="M2469" s="7">
        <f t="shared" ca="1" si="158"/>
        <v>27.468856947296374</v>
      </c>
      <c r="N2469" s="5" t="str">
        <f ca="1">VLOOKUP(Data!M2469,temp!$B$3:$C$9,2,1)</f>
        <v>20-30</v>
      </c>
      <c r="O2469">
        <v>-558</v>
      </c>
      <c r="P2469" s="8">
        <f t="shared" si="159"/>
        <v>1.5277207392197125</v>
      </c>
      <c r="Q2469" s="5" t="str">
        <f t="shared" si="161"/>
        <v>Employed</v>
      </c>
      <c r="R2469">
        <v>1</v>
      </c>
      <c r="S2469">
        <v>0</v>
      </c>
      <c r="T2469">
        <v>0</v>
      </c>
      <c r="U2469">
        <v>0</v>
      </c>
      <c r="V2469" t="s">
        <v>32</v>
      </c>
      <c r="W2469">
        <v>2</v>
      </c>
    </row>
    <row r="2470" spans="1:23" x14ac:dyDescent="0.2">
      <c r="A2470">
        <v>5088020</v>
      </c>
      <c r="B2470" t="s">
        <v>18</v>
      </c>
      <c r="C2470" t="s">
        <v>19</v>
      </c>
      <c r="D2470" t="s">
        <v>20</v>
      </c>
      <c r="E2470">
        <v>1</v>
      </c>
      <c r="F2470">
        <v>202500</v>
      </c>
      <c r="G2470" t="s">
        <v>26</v>
      </c>
      <c r="H2470" t="s">
        <v>27</v>
      </c>
      <c r="I2470" t="s">
        <v>28</v>
      </c>
      <c r="J2470" t="s">
        <v>24</v>
      </c>
      <c r="K2470" s="6">
        <f t="shared" ca="1" si="160"/>
        <v>31537</v>
      </c>
      <c r="L2470">
        <v>-14224</v>
      </c>
      <c r="M2470" s="7">
        <f t="shared" ca="1" si="158"/>
        <v>38.943189596167009</v>
      </c>
      <c r="N2470" s="5" t="str">
        <f ca="1">VLOOKUP(Data!M2470,temp!$B$3:$C$9,2,1)</f>
        <v>30-40</v>
      </c>
      <c r="O2470">
        <v>-617</v>
      </c>
      <c r="P2470" s="8">
        <f t="shared" si="159"/>
        <v>1.6892539356605065</v>
      </c>
      <c r="Q2470" s="5" t="str">
        <f t="shared" si="161"/>
        <v>Employed</v>
      </c>
      <c r="R2470">
        <v>1</v>
      </c>
      <c r="S2470">
        <v>0</v>
      </c>
      <c r="T2470">
        <v>0</v>
      </c>
      <c r="U2470">
        <v>0</v>
      </c>
      <c r="W2470">
        <v>3</v>
      </c>
    </row>
    <row r="2471" spans="1:23" x14ac:dyDescent="0.2">
      <c r="A2471">
        <v>5088049</v>
      </c>
      <c r="B2471" t="s">
        <v>18</v>
      </c>
      <c r="C2471" t="s">
        <v>19</v>
      </c>
      <c r="D2471" t="s">
        <v>20</v>
      </c>
      <c r="E2471">
        <v>0</v>
      </c>
      <c r="F2471">
        <v>216000</v>
      </c>
      <c r="G2471" t="s">
        <v>31</v>
      </c>
      <c r="H2471" t="s">
        <v>27</v>
      </c>
      <c r="I2471" t="s">
        <v>33</v>
      </c>
      <c r="J2471" t="s">
        <v>24</v>
      </c>
      <c r="K2471" s="6">
        <f t="shared" ca="1" si="160"/>
        <v>27824</v>
      </c>
      <c r="L2471">
        <v>-17937</v>
      </c>
      <c r="M2471" s="7">
        <f t="shared" ca="1" si="158"/>
        <v>49.108829568788501</v>
      </c>
      <c r="N2471" s="5" t="str">
        <f ca="1">VLOOKUP(Data!M2471,temp!$B$3:$C$9,2,1)</f>
        <v>40-50</v>
      </c>
      <c r="O2471">
        <v>-3054</v>
      </c>
      <c r="P2471" s="8">
        <f t="shared" si="159"/>
        <v>8.3613963039014365</v>
      </c>
      <c r="Q2471" s="5" t="str">
        <f t="shared" si="161"/>
        <v>Employed</v>
      </c>
      <c r="R2471">
        <v>1</v>
      </c>
      <c r="S2471">
        <v>0</v>
      </c>
      <c r="T2471">
        <v>0</v>
      </c>
      <c r="U2471">
        <v>0</v>
      </c>
      <c r="V2471" t="s">
        <v>50</v>
      </c>
      <c r="W2471">
        <v>1</v>
      </c>
    </row>
    <row r="2472" spans="1:23" x14ac:dyDescent="0.2">
      <c r="A2472">
        <v>5088051</v>
      </c>
      <c r="B2472" t="s">
        <v>18</v>
      </c>
      <c r="C2472" t="s">
        <v>19</v>
      </c>
      <c r="D2472" t="s">
        <v>20</v>
      </c>
      <c r="E2472">
        <v>0</v>
      </c>
      <c r="F2472">
        <v>216000</v>
      </c>
      <c r="G2472" t="s">
        <v>31</v>
      </c>
      <c r="H2472" t="s">
        <v>27</v>
      </c>
      <c r="I2472" t="s">
        <v>33</v>
      </c>
      <c r="J2472" t="s">
        <v>24</v>
      </c>
      <c r="K2472" s="6">
        <f t="shared" ca="1" si="160"/>
        <v>27824</v>
      </c>
      <c r="L2472">
        <v>-17937</v>
      </c>
      <c r="M2472" s="7">
        <f t="shared" ca="1" si="158"/>
        <v>49.108829568788501</v>
      </c>
      <c r="N2472" s="5" t="str">
        <f ca="1">VLOOKUP(Data!M2472,temp!$B$3:$C$9,2,1)</f>
        <v>40-50</v>
      </c>
      <c r="O2472">
        <v>-3054</v>
      </c>
      <c r="P2472" s="8">
        <f t="shared" si="159"/>
        <v>8.3613963039014365</v>
      </c>
      <c r="Q2472" s="5" t="str">
        <f t="shared" si="161"/>
        <v>Employed</v>
      </c>
      <c r="R2472">
        <v>1</v>
      </c>
      <c r="S2472">
        <v>0</v>
      </c>
      <c r="T2472">
        <v>0</v>
      </c>
      <c r="U2472">
        <v>0</v>
      </c>
      <c r="V2472" t="s">
        <v>50</v>
      </c>
      <c r="W2472">
        <v>1</v>
      </c>
    </row>
    <row r="2473" spans="1:23" x14ac:dyDescent="0.2">
      <c r="A2473">
        <v>5088052</v>
      </c>
      <c r="B2473" t="s">
        <v>18</v>
      </c>
      <c r="C2473" t="s">
        <v>19</v>
      </c>
      <c r="D2473" t="s">
        <v>20</v>
      </c>
      <c r="E2473">
        <v>0</v>
      </c>
      <c r="F2473">
        <v>216000</v>
      </c>
      <c r="G2473" t="s">
        <v>31</v>
      </c>
      <c r="H2473" t="s">
        <v>27</v>
      </c>
      <c r="I2473" t="s">
        <v>33</v>
      </c>
      <c r="J2473" t="s">
        <v>24</v>
      </c>
      <c r="K2473" s="6">
        <f t="shared" ca="1" si="160"/>
        <v>27824</v>
      </c>
      <c r="L2473">
        <v>-17937</v>
      </c>
      <c r="M2473" s="7">
        <f t="shared" ca="1" si="158"/>
        <v>49.108829568788501</v>
      </c>
      <c r="N2473" s="5" t="str">
        <f ca="1">VLOOKUP(Data!M2473,temp!$B$3:$C$9,2,1)</f>
        <v>40-50</v>
      </c>
      <c r="O2473">
        <v>-3054</v>
      </c>
      <c r="P2473" s="8">
        <f t="shared" si="159"/>
        <v>8.3613963039014365</v>
      </c>
      <c r="Q2473" s="5" t="str">
        <f t="shared" si="161"/>
        <v>Employed</v>
      </c>
      <c r="R2473">
        <v>1</v>
      </c>
      <c r="S2473">
        <v>0</v>
      </c>
      <c r="T2473">
        <v>0</v>
      </c>
      <c r="U2473">
        <v>0</v>
      </c>
      <c r="V2473" t="s">
        <v>50</v>
      </c>
      <c r="W2473">
        <v>1</v>
      </c>
    </row>
    <row r="2474" spans="1:23" x14ac:dyDescent="0.2">
      <c r="A2474">
        <v>5088083</v>
      </c>
      <c r="B2474" t="s">
        <v>18</v>
      </c>
      <c r="C2474" t="s">
        <v>19</v>
      </c>
      <c r="D2474" t="s">
        <v>20</v>
      </c>
      <c r="E2474">
        <v>0</v>
      </c>
      <c r="F2474">
        <v>67500</v>
      </c>
      <c r="G2474" t="s">
        <v>21</v>
      </c>
      <c r="H2474" t="s">
        <v>27</v>
      </c>
      <c r="I2474" t="s">
        <v>37</v>
      </c>
      <c r="J2474" t="s">
        <v>24</v>
      </c>
      <c r="K2474" s="6">
        <f t="shared" ca="1" si="160"/>
        <v>23780</v>
      </c>
      <c r="L2474">
        <v>-21981</v>
      </c>
      <c r="M2474" s="7">
        <f t="shared" ca="1" si="158"/>
        <v>60.180698151950722</v>
      </c>
      <c r="N2474" s="5" t="str">
        <f ca="1">VLOOKUP(Data!M2474,temp!$B$3:$C$9,2,1)</f>
        <v>60-70</v>
      </c>
      <c r="O2474">
        <v>365243</v>
      </c>
      <c r="P2474" s="8">
        <f t="shared" si="159"/>
        <v>0</v>
      </c>
      <c r="Q2474" s="5" t="str">
        <f t="shared" si="161"/>
        <v>Unemployed</v>
      </c>
      <c r="R2474">
        <v>1</v>
      </c>
      <c r="S2474">
        <v>0</v>
      </c>
      <c r="T2474">
        <v>1</v>
      </c>
      <c r="U2474">
        <v>0</v>
      </c>
      <c r="W2474">
        <v>2</v>
      </c>
    </row>
    <row r="2475" spans="1:23" x14ac:dyDescent="0.2">
      <c r="A2475">
        <v>5088101</v>
      </c>
      <c r="B2475" t="s">
        <v>18</v>
      </c>
      <c r="C2475" t="s">
        <v>20</v>
      </c>
      <c r="D2475" t="s">
        <v>20</v>
      </c>
      <c r="E2475">
        <v>0</v>
      </c>
      <c r="F2475">
        <v>270000</v>
      </c>
      <c r="G2475" t="s">
        <v>31</v>
      </c>
      <c r="H2475" t="s">
        <v>27</v>
      </c>
      <c r="I2475" t="s">
        <v>23</v>
      </c>
      <c r="J2475" t="s">
        <v>24</v>
      </c>
      <c r="K2475" s="6">
        <f t="shared" ca="1" si="160"/>
        <v>28790</v>
      </c>
      <c r="L2475">
        <v>-16971</v>
      </c>
      <c r="M2475" s="7">
        <f t="shared" ca="1" si="158"/>
        <v>46.464065708418893</v>
      </c>
      <c r="N2475" s="5" t="str">
        <f ca="1">VLOOKUP(Data!M2475,temp!$B$3:$C$9,2,1)</f>
        <v>40-50</v>
      </c>
      <c r="O2475">
        <v>-375</v>
      </c>
      <c r="P2475" s="8">
        <f t="shared" si="159"/>
        <v>1.0266940451745379</v>
      </c>
      <c r="Q2475" s="5" t="str">
        <f t="shared" si="161"/>
        <v>Employed</v>
      </c>
      <c r="R2475">
        <v>1</v>
      </c>
      <c r="S2475">
        <v>0</v>
      </c>
      <c r="T2475">
        <v>0</v>
      </c>
      <c r="U2475">
        <v>0</v>
      </c>
      <c r="W2475">
        <v>1</v>
      </c>
    </row>
    <row r="2476" spans="1:23" x14ac:dyDescent="0.2">
      <c r="A2476">
        <v>5088112</v>
      </c>
      <c r="B2476" t="s">
        <v>25</v>
      </c>
      <c r="C2476" t="s">
        <v>20</v>
      </c>
      <c r="D2476" t="s">
        <v>20</v>
      </c>
      <c r="E2476">
        <v>1</v>
      </c>
      <c r="F2476">
        <v>180000</v>
      </c>
      <c r="G2476" t="s">
        <v>31</v>
      </c>
      <c r="H2476" t="s">
        <v>27</v>
      </c>
      <c r="I2476" t="s">
        <v>28</v>
      </c>
      <c r="J2476" t="s">
        <v>24</v>
      </c>
      <c r="K2476" s="6">
        <f t="shared" ca="1" si="160"/>
        <v>32324</v>
      </c>
      <c r="L2476">
        <v>-13437</v>
      </c>
      <c r="M2476" s="7">
        <f t="shared" ca="1" si="158"/>
        <v>36.788501026694043</v>
      </c>
      <c r="N2476" s="5" t="str">
        <f ca="1">VLOOKUP(Data!M2476,temp!$B$3:$C$9,2,1)</f>
        <v>30-40</v>
      </c>
      <c r="O2476">
        <v>-1713</v>
      </c>
      <c r="P2476" s="8">
        <f t="shared" si="159"/>
        <v>4.6899383983572891</v>
      </c>
      <c r="Q2476" s="5" t="str">
        <f t="shared" si="161"/>
        <v>Employed</v>
      </c>
      <c r="R2476">
        <v>1</v>
      </c>
      <c r="S2476">
        <v>0</v>
      </c>
      <c r="T2476">
        <v>0</v>
      </c>
      <c r="U2476">
        <v>0</v>
      </c>
      <c r="V2476" t="s">
        <v>30</v>
      </c>
      <c r="W2476">
        <v>3</v>
      </c>
    </row>
    <row r="2477" spans="1:23" x14ac:dyDescent="0.2">
      <c r="A2477">
        <v>5088132</v>
      </c>
      <c r="B2477" t="s">
        <v>18</v>
      </c>
      <c r="C2477" t="s">
        <v>19</v>
      </c>
      <c r="D2477" t="s">
        <v>19</v>
      </c>
      <c r="E2477">
        <v>1</v>
      </c>
      <c r="F2477">
        <v>270000</v>
      </c>
      <c r="G2477" t="s">
        <v>35</v>
      </c>
      <c r="H2477" t="s">
        <v>27</v>
      </c>
      <c r="I2477" t="s">
        <v>28</v>
      </c>
      <c r="J2477" t="s">
        <v>24</v>
      </c>
      <c r="K2477" s="6">
        <f t="shared" ca="1" si="160"/>
        <v>30316</v>
      </c>
      <c r="L2477">
        <v>-15445</v>
      </c>
      <c r="M2477" s="7">
        <f t="shared" ca="1" si="158"/>
        <v>42.286105407255306</v>
      </c>
      <c r="N2477" s="5" t="str">
        <f ca="1">VLOOKUP(Data!M2477,temp!$B$3:$C$9,2,1)</f>
        <v>40-50</v>
      </c>
      <c r="O2477">
        <v>-2750</v>
      </c>
      <c r="P2477" s="8">
        <f t="shared" si="159"/>
        <v>7.529089664613279</v>
      </c>
      <c r="Q2477" s="5" t="str">
        <f t="shared" si="161"/>
        <v>Employed</v>
      </c>
      <c r="R2477">
        <v>1</v>
      </c>
      <c r="S2477">
        <v>0</v>
      </c>
      <c r="T2477">
        <v>0</v>
      </c>
      <c r="U2477">
        <v>0</v>
      </c>
      <c r="V2477" t="s">
        <v>38</v>
      </c>
      <c r="W2477">
        <v>3</v>
      </c>
    </row>
    <row r="2478" spans="1:23" x14ac:dyDescent="0.2">
      <c r="A2478">
        <v>5088161</v>
      </c>
      <c r="B2478" t="s">
        <v>18</v>
      </c>
      <c r="C2478" t="s">
        <v>19</v>
      </c>
      <c r="D2478" t="s">
        <v>20</v>
      </c>
      <c r="E2478">
        <v>0</v>
      </c>
      <c r="F2478">
        <v>270000</v>
      </c>
      <c r="G2478" t="s">
        <v>31</v>
      </c>
      <c r="H2478" t="s">
        <v>27</v>
      </c>
      <c r="I2478" t="s">
        <v>33</v>
      </c>
      <c r="J2478" t="s">
        <v>24</v>
      </c>
      <c r="K2478" s="6">
        <f t="shared" ca="1" si="160"/>
        <v>32839</v>
      </c>
      <c r="L2478">
        <v>-12922</v>
      </c>
      <c r="M2478" s="7">
        <f t="shared" ca="1" si="158"/>
        <v>35.378507871321013</v>
      </c>
      <c r="N2478" s="5" t="str">
        <f ca="1">VLOOKUP(Data!M2478,temp!$B$3:$C$9,2,1)</f>
        <v>30-40</v>
      </c>
      <c r="O2478">
        <v>-923</v>
      </c>
      <c r="P2478" s="8">
        <f t="shared" si="159"/>
        <v>2.5270362765229293</v>
      </c>
      <c r="Q2478" s="5" t="str">
        <f t="shared" si="161"/>
        <v>Employed</v>
      </c>
      <c r="R2478">
        <v>1</v>
      </c>
      <c r="S2478">
        <v>0</v>
      </c>
      <c r="T2478">
        <v>0</v>
      </c>
      <c r="U2478">
        <v>0</v>
      </c>
      <c r="V2478" t="s">
        <v>38</v>
      </c>
      <c r="W2478">
        <v>1</v>
      </c>
    </row>
    <row r="2479" spans="1:23" x14ac:dyDescent="0.2">
      <c r="A2479">
        <v>5088180</v>
      </c>
      <c r="B2479" t="s">
        <v>18</v>
      </c>
      <c r="C2479" t="s">
        <v>19</v>
      </c>
      <c r="D2479" t="s">
        <v>19</v>
      </c>
      <c r="E2479">
        <v>0</v>
      </c>
      <c r="F2479">
        <v>180000</v>
      </c>
      <c r="G2479" t="s">
        <v>31</v>
      </c>
      <c r="H2479" t="s">
        <v>36</v>
      </c>
      <c r="I2479" t="s">
        <v>42</v>
      </c>
      <c r="J2479" t="s">
        <v>24</v>
      </c>
      <c r="K2479" s="6">
        <f t="shared" ca="1" si="160"/>
        <v>26132</v>
      </c>
      <c r="L2479">
        <v>-19629</v>
      </c>
      <c r="M2479" s="7">
        <f t="shared" ca="1" si="158"/>
        <v>53.741273100616013</v>
      </c>
      <c r="N2479" s="5" t="str">
        <f ca="1">VLOOKUP(Data!M2479,temp!$B$3:$C$9,2,1)</f>
        <v>50-60</v>
      </c>
      <c r="O2479">
        <v>-1897</v>
      </c>
      <c r="P2479" s="8">
        <f t="shared" si="159"/>
        <v>5.1937029431895958</v>
      </c>
      <c r="Q2479" s="5" t="str">
        <f t="shared" si="161"/>
        <v>Employed</v>
      </c>
      <c r="R2479">
        <v>1</v>
      </c>
      <c r="S2479">
        <v>1</v>
      </c>
      <c r="T2479">
        <v>1</v>
      </c>
      <c r="U2479">
        <v>0</v>
      </c>
      <c r="V2479" t="s">
        <v>38</v>
      </c>
      <c r="W2479">
        <v>1</v>
      </c>
    </row>
    <row r="2480" spans="1:23" x14ac:dyDescent="0.2">
      <c r="A2480">
        <v>5088204</v>
      </c>
      <c r="B2480" t="s">
        <v>18</v>
      </c>
      <c r="C2480" t="s">
        <v>19</v>
      </c>
      <c r="D2480" t="s">
        <v>20</v>
      </c>
      <c r="E2480">
        <v>0</v>
      </c>
      <c r="F2480">
        <v>153000</v>
      </c>
      <c r="G2480" t="s">
        <v>21</v>
      </c>
      <c r="H2480" t="s">
        <v>27</v>
      </c>
      <c r="I2480" t="s">
        <v>23</v>
      </c>
      <c r="J2480" t="s">
        <v>24</v>
      </c>
      <c r="K2480" s="6">
        <f t="shared" ca="1" si="160"/>
        <v>23983</v>
      </c>
      <c r="L2480">
        <v>-21778</v>
      </c>
      <c r="M2480" s="7">
        <f t="shared" ca="1" si="158"/>
        <v>59.624914442162904</v>
      </c>
      <c r="N2480" s="5" t="str">
        <f ca="1">VLOOKUP(Data!M2480,temp!$B$3:$C$9,2,1)</f>
        <v>50-60</v>
      </c>
      <c r="O2480">
        <v>365243</v>
      </c>
      <c r="P2480" s="8">
        <f t="shared" si="159"/>
        <v>0</v>
      </c>
      <c r="Q2480" s="5" t="str">
        <f t="shared" si="161"/>
        <v>Unemployed</v>
      </c>
      <c r="R2480">
        <v>1</v>
      </c>
      <c r="S2480">
        <v>0</v>
      </c>
      <c r="T2480">
        <v>1</v>
      </c>
      <c r="U2480">
        <v>0</v>
      </c>
      <c r="W2480">
        <v>1</v>
      </c>
    </row>
    <row r="2481" spans="1:23" x14ac:dyDescent="0.2">
      <c r="A2481">
        <v>5088230</v>
      </c>
      <c r="B2481" t="s">
        <v>18</v>
      </c>
      <c r="C2481" t="s">
        <v>19</v>
      </c>
      <c r="D2481" t="s">
        <v>20</v>
      </c>
      <c r="E2481">
        <v>0</v>
      </c>
      <c r="F2481">
        <v>135000</v>
      </c>
      <c r="G2481" t="s">
        <v>21</v>
      </c>
      <c r="H2481" t="s">
        <v>27</v>
      </c>
      <c r="I2481" t="s">
        <v>28</v>
      </c>
      <c r="J2481" t="s">
        <v>24</v>
      </c>
      <c r="K2481" s="6">
        <f t="shared" ca="1" si="160"/>
        <v>24114</v>
      </c>
      <c r="L2481">
        <v>-21647</v>
      </c>
      <c r="M2481" s="7">
        <f t="shared" ca="1" si="158"/>
        <v>59.266255989048595</v>
      </c>
      <c r="N2481" s="5" t="str">
        <f ca="1">VLOOKUP(Data!M2481,temp!$B$3:$C$9,2,1)</f>
        <v>50-60</v>
      </c>
      <c r="O2481">
        <v>365243</v>
      </c>
      <c r="P2481" s="8">
        <f t="shared" si="159"/>
        <v>0</v>
      </c>
      <c r="Q2481" s="5" t="str">
        <f t="shared" si="161"/>
        <v>Unemployed</v>
      </c>
      <c r="R2481">
        <v>1</v>
      </c>
      <c r="S2481">
        <v>0</v>
      </c>
      <c r="T2481">
        <v>0</v>
      </c>
      <c r="U2481">
        <v>0</v>
      </c>
      <c r="W2481">
        <v>2</v>
      </c>
    </row>
    <row r="2482" spans="1:23" x14ac:dyDescent="0.2">
      <c r="A2482">
        <v>5088266</v>
      </c>
      <c r="B2482" t="s">
        <v>18</v>
      </c>
      <c r="C2482" t="s">
        <v>19</v>
      </c>
      <c r="D2482" t="s">
        <v>20</v>
      </c>
      <c r="E2482">
        <v>0</v>
      </c>
      <c r="F2482">
        <v>270000</v>
      </c>
      <c r="G2482" t="s">
        <v>31</v>
      </c>
      <c r="H2482" t="s">
        <v>27</v>
      </c>
      <c r="I2482" t="s">
        <v>28</v>
      </c>
      <c r="J2482" t="s">
        <v>24</v>
      </c>
      <c r="K2482" s="6">
        <f t="shared" ca="1" si="160"/>
        <v>29068</v>
      </c>
      <c r="L2482">
        <v>-16693</v>
      </c>
      <c r="M2482" s="7">
        <f t="shared" ca="1" si="158"/>
        <v>45.702943189596169</v>
      </c>
      <c r="N2482" s="5" t="str">
        <f ca="1">VLOOKUP(Data!M2482,temp!$B$3:$C$9,2,1)</f>
        <v>40-50</v>
      </c>
      <c r="O2482">
        <v>-6678</v>
      </c>
      <c r="P2482" s="8">
        <f t="shared" si="159"/>
        <v>18.283367556468171</v>
      </c>
      <c r="Q2482" s="5" t="str">
        <f t="shared" si="161"/>
        <v>Employed</v>
      </c>
      <c r="R2482">
        <v>1</v>
      </c>
      <c r="S2482">
        <v>0</v>
      </c>
      <c r="T2482">
        <v>0</v>
      </c>
      <c r="U2482">
        <v>0</v>
      </c>
      <c r="W2482">
        <v>2</v>
      </c>
    </row>
    <row r="2483" spans="1:23" x14ac:dyDescent="0.2">
      <c r="A2483">
        <v>5088284</v>
      </c>
      <c r="B2483" t="s">
        <v>25</v>
      </c>
      <c r="C2483" t="s">
        <v>20</v>
      </c>
      <c r="D2483" t="s">
        <v>20</v>
      </c>
      <c r="E2483">
        <v>1</v>
      </c>
      <c r="F2483">
        <v>225000</v>
      </c>
      <c r="G2483" t="s">
        <v>26</v>
      </c>
      <c r="H2483" t="s">
        <v>27</v>
      </c>
      <c r="I2483" t="s">
        <v>28</v>
      </c>
      <c r="J2483" t="s">
        <v>24</v>
      </c>
      <c r="K2483" s="6">
        <f t="shared" ca="1" si="160"/>
        <v>28444</v>
      </c>
      <c r="L2483">
        <v>-17317</v>
      </c>
      <c r="M2483" s="7">
        <f t="shared" ca="1" si="158"/>
        <v>47.411362080766601</v>
      </c>
      <c r="N2483" s="5" t="str">
        <f ca="1">VLOOKUP(Data!M2483,temp!$B$3:$C$9,2,1)</f>
        <v>40-50</v>
      </c>
      <c r="O2483">
        <v>-285</v>
      </c>
      <c r="P2483" s="8">
        <f t="shared" si="159"/>
        <v>0.78028747433264889</v>
      </c>
      <c r="Q2483" s="5" t="str">
        <f t="shared" si="161"/>
        <v>Employed</v>
      </c>
      <c r="R2483">
        <v>1</v>
      </c>
      <c r="S2483">
        <v>0</v>
      </c>
      <c r="T2483">
        <v>0</v>
      </c>
      <c r="U2483">
        <v>0</v>
      </c>
      <c r="V2483" t="s">
        <v>30</v>
      </c>
      <c r="W2483">
        <v>3</v>
      </c>
    </row>
    <row r="2484" spans="1:23" x14ac:dyDescent="0.2">
      <c r="A2484">
        <v>5088290</v>
      </c>
      <c r="B2484" t="s">
        <v>25</v>
      </c>
      <c r="C2484" t="s">
        <v>20</v>
      </c>
      <c r="D2484" t="s">
        <v>20</v>
      </c>
      <c r="E2484">
        <v>1</v>
      </c>
      <c r="F2484">
        <v>225000</v>
      </c>
      <c r="G2484" t="s">
        <v>26</v>
      </c>
      <c r="H2484" t="s">
        <v>27</v>
      </c>
      <c r="I2484" t="s">
        <v>28</v>
      </c>
      <c r="J2484" t="s">
        <v>24</v>
      </c>
      <c r="K2484" s="6">
        <f t="shared" ca="1" si="160"/>
        <v>28444</v>
      </c>
      <c r="L2484">
        <v>-17317</v>
      </c>
      <c r="M2484" s="7">
        <f t="shared" ca="1" si="158"/>
        <v>47.411362080766601</v>
      </c>
      <c r="N2484" s="5" t="str">
        <f ca="1">VLOOKUP(Data!M2484,temp!$B$3:$C$9,2,1)</f>
        <v>40-50</v>
      </c>
      <c r="O2484">
        <v>-285</v>
      </c>
      <c r="P2484" s="8">
        <f t="shared" si="159"/>
        <v>0.78028747433264889</v>
      </c>
      <c r="Q2484" s="5" t="str">
        <f t="shared" si="161"/>
        <v>Employed</v>
      </c>
      <c r="R2484">
        <v>1</v>
      </c>
      <c r="S2484">
        <v>0</v>
      </c>
      <c r="T2484">
        <v>0</v>
      </c>
      <c r="U2484">
        <v>0</v>
      </c>
      <c r="V2484" t="s">
        <v>30</v>
      </c>
      <c r="W2484">
        <v>3</v>
      </c>
    </row>
    <row r="2485" spans="1:23" x14ac:dyDescent="0.2">
      <c r="A2485">
        <v>5088355</v>
      </c>
      <c r="B2485" t="s">
        <v>25</v>
      </c>
      <c r="C2485" t="s">
        <v>19</v>
      </c>
      <c r="D2485" t="s">
        <v>20</v>
      </c>
      <c r="E2485">
        <v>0</v>
      </c>
      <c r="F2485">
        <v>270000</v>
      </c>
      <c r="G2485" t="s">
        <v>31</v>
      </c>
      <c r="H2485" t="s">
        <v>27</v>
      </c>
      <c r="I2485" t="s">
        <v>28</v>
      </c>
      <c r="J2485" t="s">
        <v>24</v>
      </c>
      <c r="K2485" s="6">
        <f t="shared" ca="1" si="160"/>
        <v>32984</v>
      </c>
      <c r="L2485">
        <v>-12777</v>
      </c>
      <c r="M2485" s="7">
        <f t="shared" ca="1" si="158"/>
        <v>34.98151950718686</v>
      </c>
      <c r="N2485" s="5" t="str">
        <f ca="1">VLOOKUP(Data!M2485,temp!$B$3:$C$9,2,1)</f>
        <v>30-40</v>
      </c>
      <c r="O2485">
        <v>-3541</v>
      </c>
      <c r="P2485" s="8">
        <f t="shared" si="159"/>
        <v>9.6947296372347704</v>
      </c>
      <c r="Q2485" s="5" t="str">
        <f t="shared" si="161"/>
        <v>Employed</v>
      </c>
      <c r="R2485">
        <v>1</v>
      </c>
      <c r="S2485">
        <v>0</v>
      </c>
      <c r="T2485">
        <v>0</v>
      </c>
      <c r="U2485">
        <v>0</v>
      </c>
      <c r="V2485" t="s">
        <v>29</v>
      </c>
      <c r="W2485">
        <v>2</v>
      </c>
    </row>
    <row r="2486" spans="1:23" x14ac:dyDescent="0.2">
      <c r="A2486">
        <v>5088361</v>
      </c>
      <c r="B2486" t="s">
        <v>25</v>
      </c>
      <c r="C2486" t="s">
        <v>19</v>
      </c>
      <c r="D2486" t="s">
        <v>20</v>
      </c>
      <c r="E2486">
        <v>0</v>
      </c>
      <c r="F2486">
        <v>270000</v>
      </c>
      <c r="G2486" t="s">
        <v>31</v>
      </c>
      <c r="H2486" t="s">
        <v>27</v>
      </c>
      <c r="I2486" t="s">
        <v>28</v>
      </c>
      <c r="J2486" t="s">
        <v>24</v>
      </c>
      <c r="K2486" s="6">
        <f t="shared" ca="1" si="160"/>
        <v>32984</v>
      </c>
      <c r="L2486">
        <v>-12777</v>
      </c>
      <c r="M2486" s="7">
        <f t="shared" ca="1" si="158"/>
        <v>34.98151950718686</v>
      </c>
      <c r="N2486" s="5" t="str">
        <f ca="1">VLOOKUP(Data!M2486,temp!$B$3:$C$9,2,1)</f>
        <v>30-40</v>
      </c>
      <c r="O2486">
        <v>-3541</v>
      </c>
      <c r="P2486" s="8">
        <f t="shared" si="159"/>
        <v>9.6947296372347704</v>
      </c>
      <c r="Q2486" s="5" t="str">
        <f t="shared" si="161"/>
        <v>Employed</v>
      </c>
      <c r="R2486">
        <v>1</v>
      </c>
      <c r="S2486">
        <v>0</v>
      </c>
      <c r="T2486">
        <v>0</v>
      </c>
      <c r="U2486">
        <v>0</v>
      </c>
      <c r="V2486" t="s">
        <v>29</v>
      </c>
      <c r="W2486">
        <v>2</v>
      </c>
    </row>
    <row r="2487" spans="1:23" x14ac:dyDescent="0.2">
      <c r="A2487">
        <v>5088450</v>
      </c>
      <c r="B2487" t="s">
        <v>18</v>
      </c>
      <c r="C2487" t="s">
        <v>19</v>
      </c>
      <c r="D2487" t="s">
        <v>20</v>
      </c>
      <c r="E2487">
        <v>0</v>
      </c>
      <c r="F2487">
        <v>157500</v>
      </c>
      <c r="G2487" t="s">
        <v>35</v>
      </c>
      <c r="H2487" t="s">
        <v>27</v>
      </c>
      <c r="I2487" t="s">
        <v>42</v>
      </c>
      <c r="J2487" t="s">
        <v>24</v>
      </c>
      <c r="K2487" s="6">
        <f t="shared" ca="1" si="160"/>
        <v>22874</v>
      </c>
      <c r="L2487">
        <v>-22887</v>
      </c>
      <c r="M2487" s="7">
        <f t="shared" ca="1" si="158"/>
        <v>62.661190965092402</v>
      </c>
      <c r="N2487" s="5" t="str">
        <f ca="1">VLOOKUP(Data!M2487,temp!$B$3:$C$9,2,1)</f>
        <v>60-70</v>
      </c>
      <c r="O2487">
        <v>-2052</v>
      </c>
      <c r="P2487" s="8">
        <f t="shared" si="159"/>
        <v>5.6180698151950716</v>
      </c>
      <c r="Q2487" s="5" t="str">
        <f t="shared" si="161"/>
        <v>Employed</v>
      </c>
      <c r="R2487">
        <v>1</v>
      </c>
      <c r="S2487">
        <v>0</v>
      </c>
      <c r="T2487">
        <v>1</v>
      </c>
      <c r="U2487">
        <v>0</v>
      </c>
      <c r="V2487" t="s">
        <v>30</v>
      </c>
      <c r="W2487">
        <v>1</v>
      </c>
    </row>
    <row r="2488" spans="1:23" x14ac:dyDescent="0.2">
      <c r="A2488">
        <v>5088458</v>
      </c>
      <c r="B2488" t="s">
        <v>25</v>
      </c>
      <c r="C2488" t="s">
        <v>20</v>
      </c>
      <c r="D2488" t="s">
        <v>20</v>
      </c>
      <c r="E2488">
        <v>1</v>
      </c>
      <c r="F2488">
        <v>225000</v>
      </c>
      <c r="G2488" t="s">
        <v>26</v>
      </c>
      <c r="H2488" t="s">
        <v>27</v>
      </c>
      <c r="I2488" t="s">
        <v>28</v>
      </c>
      <c r="J2488" t="s">
        <v>24</v>
      </c>
      <c r="K2488" s="6">
        <f t="shared" ca="1" si="160"/>
        <v>30465</v>
      </c>
      <c r="L2488">
        <v>-15296</v>
      </c>
      <c r="M2488" s="7">
        <f t="shared" ca="1" si="158"/>
        <v>41.878165639972622</v>
      </c>
      <c r="N2488" s="5" t="str">
        <f ca="1">VLOOKUP(Data!M2488,temp!$B$3:$C$9,2,1)</f>
        <v>40-50</v>
      </c>
      <c r="O2488">
        <v>-4244</v>
      </c>
      <c r="P2488" s="8">
        <f t="shared" si="159"/>
        <v>11.619438740588638</v>
      </c>
      <c r="Q2488" s="5" t="str">
        <f t="shared" si="161"/>
        <v>Employed</v>
      </c>
      <c r="R2488">
        <v>1</v>
      </c>
      <c r="S2488">
        <v>1</v>
      </c>
      <c r="T2488">
        <v>0</v>
      </c>
      <c r="U2488">
        <v>0</v>
      </c>
      <c r="V2488" t="s">
        <v>30</v>
      </c>
      <c r="W2488">
        <v>3</v>
      </c>
    </row>
    <row r="2489" spans="1:23" x14ac:dyDescent="0.2">
      <c r="A2489">
        <v>5088498</v>
      </c>
      <c r="B2489" t="s">
        <v>18</v>
      </c>
      <c r="C2489" t="s">
        <v>19</v>
      </c>
      <c r="D2489" t="s">
        <v>19</v>
      </c>
      <c r="E2489">
        <v>0</v>
      </c>
      <c r="F2489">
        <v>189000</v>
      </c>
      <c r="G2489" t="s">
        <v>31</v>
      </c>
      <c r="H2489" t="s">
        <v>27</v>
      </c>
      <c r="I2489" t="s">
        <v>33</v>
      </c>
      <c r="J2489" t="s">
        <v>24</v>
      </c>
      <c r="K2489" s="6">
        <f t="shared" ca="1" si="160"/>
        <v>25060</v>
      </c>
      <c r="L2489">
        <v>-20701</v>
      </c>
      <c r="M2489" s="7">
        <f t="shared" ca="1" si="158"/>
        <v>56.676249144421632</v>
      </c>
      <c r="N2489" s="5" t="str">
        <f ca="1">VLOOKUP(Data!M2489,temp!$B$3:$C$9,2,1)</f>
        <v>50-60</v>
      </c>
      <c r="O2489">
        <v>-1746</v>
      </c>
      <c r="P2489" s="8">
        <f t="shared" si="159"/>
        <v>4.7802874743326491</v>
      </c>
      <c r="Q2489" s="5" t="str">
        <f t="shared" si="161"/>
        <v>Employed</v>
      </c>
      <c r="R2489">
        <v>1</v>
      </c>
      <c r="S2489">
        <v>0</v>
      </c>
      <c r="T2489">
        <v>0</v>
      </c>
      <c r="U2489">
        <v>0</v>
      </c>
      <c r="V2489" t="s">
        <v>39</v>
      </c>
      <c r="W2489">
        <v>1</v>
      </c>
    </row>
    <row r="2490" spans="1:23" x14ac:dyDescent="0.2">
      <c r="A2490">
        <v>5088516</v>
      </c>
      <c r="B2490" t="s">
        <v>18</v>
      </c>
      <c r="C2490" t="s">
        <v>19</v>
      </c>
      <c r="D2490" t="s">
        <v>20</v>
      </c>
      <c r="E2490">
        <v>0</v>
      </c>
      <c r="F2490">
        <v>103500</v>
      </c>
      <c r="G2490" t="s">
        <v>21</v>
      </c>
      <c r="H2490" t="s">
        <v>51</v>
      </c>
      <c r="I2490" t="s">
        <v>28</v>
      </c>
      <c r="J2490" t="s">
        <v>24</v>
      </c>
      <c r="K2490" s="6">
        <f t="shared" ca="1" si="160"/>
        <v>22746</v>
      </c>
      <c r="L2490">
        <v>-23015</v>
      </c>
      <c r="M2490" s="7">
        <f t="shared" ca="1" si="158"/>
        <v>63.011635865845314</v>
      </c>
      <c r="N2490" s="5" t="str">
        <f ca="1">VLOOKUP(Data!M2490,temp!$B$3:$C$9,2,1)</f>
        <v>60-70</v>
      </c>
      <c r="O2490">
        <v>365243</v>
      </c>
      <c r="P2490" s="8">
        <f t="shared" si="159"/>
        <v>0</v>
      </c>
      <c r="Q2490" s="5" t="str">
        <f t="shared" si="161"/>
        <v>Unemployed</v>
      </c>
      <c r="R2490">
        <v>1</v>
      </c>
      <c r="S2490">
        <v>0</v>
      </c>
      <c r="T2490">
        <v>0</v>
      </c>
      <c r="U2490">
        <v>0</v>
      </c>
      <c r="W2490">
        <v>2</v>
      </c>
    </row>
    <row r="2491" spans="1:23" x14ac:dyDescent="0.2">
      <c r="A2491">
        <v>5088534</v>
      </c>
      <c r="B2491" t="s">
        <v>18</v>
      </c>
      <c r="C2491" t="s">
        <v>19</v>
      </c>
      <c r="D2491" t="s">
        <v>20</v>
      </c>
      <c r="E2491">
        <v>0</v>
      </c>
      <c r="F2491">
        <v>58500</v>
      </c>
      <c r="G2491" t="s">
        <v>21</v>
      </c>
      <c r="H2491" t="s">
        <v>27</v>
      </c>
      <c r="I2491" t="s">
        <v>28</v>
      </c>
      <c r="J2491" t="s">
        <v>24</v>
      </c>
      <c r="K2491" s="6">
        <f t="shared" ca="1" si="160"/>
        <v>21735</v>
      </c>
      <c r="L2491">
        <v>-24026</v>
      </c>
      <c r="M2491" s="7">
        <f t="shared" ca="1" si="158"/>
        <v>65.779603011635871</v>
      </c>
      <c r="N2491" s="5" t="str">
        <f ca="1">VLOOKUP(Data!M2491,temp!$B$3:$C$9,2,1)</f>
        <v>60-70</v>
      </c>
      <c r="O2491">
        <v>365243</v>
      </c>
      <c r="P2491" s="8">
        <f t="shared" si="159"/>
        <v>0</v>
      </c>
      <c r="Q2491" s="5" t="str">
        <f t="shared" si="161"/>
        <v>Unemployed</v>
      </c>
      <c r="R2491">
        <v>1</v>
      </c>
      <c r="S2491">
        <v>0</v>
      </c>
      <c r="T2491">
        <v>0</v>
      </c>
      <c r="U2491">
        <v>0</v>
      </c>
      <c r="W2491">
        <v>2</v>
      </c>
    </row>
    <row r="2492" spans="1:23" x14ac:dyDescent="0.2">
      <c r="A2492">
        <v>5088554</v>
      </c>
      <c r="B2492" t="s">
        <v>18</v>
      </c>
      <c r="C2492" t="s">
        <v>19</v>
      </c>
      <c r="D2492" t="s">
        <v>20</v>
      </c>
      <c r="E2492">
        <v>0</v>
      </c>
      <c r="F2492">
        <v>90000</v>
      </c>
      <c r="G2492" t="s">
        <v>26</v>
      </c>
      <c r="H2492" t="s">
        <v>22</v>
      </c>
      <c r="I2492" t="s">
        <v>23</v>
      </c>
      <c r="J2492" t="s">
        <v>24</v>
      </c>
      <c r="K2492" s="6">
        <f t="shared" ca="1" si="160"/>
        <v>27375</v>
      </c>
      <c r="L2492">
        <v>-18386</v>
      </c>
      <c r="M2492" s="7">
        <f t="shared" ca="1" si="158"/>
        <v>50.338124572210816</v>
      </c>
      <c r="N2492" s="5" t="str">
        <f ca="1">VLOOKUP(Data!M2492,temp!$B$3:$C$9,2,1)</f>
        <v>50-60</v>
      </c>
      <c r="O2492">
        <v>-8808</v>
      </c>
      <c r="P2492" s="8">
        <f t="shared" si="159"/>
        <v>24.114989733059549</v>
      </c>
      <c r="Q2492" s="5" t="str">
        <f t="shared" si="161"/>
        <v>Employed</v>
      </c>
      <c r="R2492">
        <v>1</v>
      </c>
      <c r="S2492">
        <v>0</v>
      </c>
      <c r="T2492">
        <v>0</v>
      </c>
      <c r="U2492">
        <v>0</v>
      </c>
      <c r="V2492" t="s">
        <v>38</v>
      </c>
      <c r="W2492">
        <v>1</v>
      </c>
    </row>
    <row r="2493" spans="1:23" x14ac:dyDescent="0.2">
      <c r="A2493">
        <v>5088602</v>
      </c>
      <c r="B2493" t="s">
        <v>18</v>
      </c>
      <c r="C2493" t="s">
        <v>20</v>
      </c>
      <c r="D2493" t="s">
        <v>20</v>
      </c>
      <c r="E2493">
        <v>0</v>
      </c>
      <c r="F2493">
        <v>180000</v>
      </c>
      <c r="G2493" t="s">
        <v>31</v>
      </c>
      <c r="H2493" t="s">
        <v>27</v>
      </c>
      <c r="I2493" t="s">
        <v>28</v>
      </c>
      <c r="J2493" t="s">
        <v>24</v>
      </c>
      <c r="K2493" s="6">
        <f t="shared" ca="1" si="160"/>
        <v>32622</v>
      </c>
      <c r="L2493">
        <v>-13139</v>
      </c>
      <c r="M2493" s="7">
        <f t="shared" ca="1" si="158"/>
        <v>35.972621492128681</v>
      </c>
      <c r="N2493" s="5" t="str">
        <f ca="1">VLOOKUP(Data!M2493,temp!$B$3:$C$9,2,1)</f>
        <v>30-40</v>
      </c>
      <c r="O2493">
        <v>-1412</v>
      </c>
      <c r="P2493" s="8">
        <f t="shared" si="159"/>
        <v>3.8658453114305269</v>
      </c>
      <c r="Q2493" s="5" t="str">
        <f t="shared" si="161"/>
        <v>Employed</v>
      </c>
      <c r="R2493">
        <v>1</v>
      </c>
      <c r="S2493">
        <v>0</v>
      </c>
      <c r="T2493">
        <v>0</v>
      </c>
      <c r="U2493">
        <v>0</v>
      </c>
      <c r="V2493" t="s">
        <v>49</v>
      </c>
      <c r="W2493">
        <v>2</v>
      </c>
    </row>
    <row r="2494" spans="1:23" x14ac:dyDescent="0.2">
      <c r="A2494">
        <v>5088605</v>
      </c>
      <c r="B2494" t="s">
        <v>18</v>
      </c>
      <c r="C2494" t="s">
        <v>20</v>
      </c>
      <c r="D2494" t="s">
        <v>20</v>
      </c>
      <c r="E2494">
        <v>0</v>
      </c>
      <c r="F2494">
        <v>180000</v>
      </c>
      <c r="G2494" t="s">
        <v>31</v>
      </c>
      <c r="H2494" t="s">
        <v>27</v>
      </c>
      <c r="I2494" t="s">
        <v>28</v>
      </c>
      <c r="J2494" t="s">
        <v>24</v>
      </c>
      <c r="K2494" s="6">
        <f t="shared" ca="1" si="160"/>
        <v>32622</v>
      </c>
      <c r="L2494">
        <v>-13139</v>
      </c>
      <c r="M2494" s="7">
        <f t="shared" ca="1" si="158"/>
        <v>35.972621492128681</v>
      </c>
      <c r="N2494" s="5" t="str">
        <f ca="1">VLOOKUP(Data!M2494,temp!$B$3:$C$9,2,1)</f>
        <v>30-40</v>
      </c>
      <c r="O2494">
        <v>-1412</v>
      </c>
      <c r="P2494" s="8">
        <f t="shared" si="159"/>
        <v>3.8658453114305269</v>
      </c>
      <c r="Q2494" s="5" t="str">
        <f t="shared" si="161"/>
        <v>Employed</v>
      </c>
      <c r="R2494">
        <v>1</v>
      </c>
      <c r="S2494">
        <v>0</v>
      </c>
      <c r="T2494">
        <v>0</v>
      </c>
      <c r="U2494">
        <v>0</v>
      </c>
      <c r="V2494" t="s">
        <v>49</v>
      </c>
      <c r="W2494">
        <v>2</v>
      </c>
    </row>
    <row r="2495" spans="1:23" x14ac:dyDescent="0.2">
      <c r="A2495">
        <v>5088655</v>
      </c>
      <c r="B2495" t="s">
        <v>18</v>
      </c>
      <c r="C2495" t="s">
        <v>20</v>
      </c>
      <c r="D2495" t="s">
        <v>20</v>
      </c>
      <c r="E2495">
        <v>1</v>
      </c>
      <c r="F2495">
        <v>157500</v>
      </c>
      <c r="G2495" t="s">
        <v>31</v>
      </c>
      <c r="H2495" t="s">
        <v>22</v>
      </c>
      <c r="I2495" t="s">
        <v>28</v>
      </c>
      <c r="J2495" t="s">
        <v>24</v>
      </c>
      <c r="K2495" s="6">
        <f t="shared" ca="1" si="160"/>
        <v>29081</v>
      </c>
      <c r="L2495">
        <v>-16680</v>
      </c>
      <c r="M2495" s="7">
        <f t="shared" ca="1" si="158"/>
        <v>45.667351129363446</v>
      </c>
      <c r="N2495" s="5" t="str">
        <f ca="1">VLOOKUP(Data!M2495,temp!$B$3:$C$9,2,1)</f>
        <v>40-50</v>
      </c>
      <c r="O2495">
        <v>-2477</v>
      </c>
      <c r="P2495" s="8">
        <f t="shared" si="159"/>
        <v>6.7816563997262147</v>
      </c>
      <c r="Q2495" s="5" t="str">
        <f t="shared" si="161"/>
        <v>Employed</v>
      </c>
      <c r="R2495">
        <v>1</v>
      </c>
      <c r="S2495">
        <v>0</v>
      </c>
      <c r="T2495">
        <v>0</v>
      </c>
      <c r="U2495">
        <v>0</v>
      </c>
      <c r="V2495" t="s">
        <v>32</v>
      </c>
      <c r="W2495">
        <v>3</v>
      </c>
    </row>
    <row r="2496" spans="1:23" x14ac:dyDescent="0.2">
      <c r="A2496">
        <v>5088667</v>
      </c>
      <c r="B2496" t="s">
        <v>25</v>
      </c>
      <c r="C2496" t="s">
        <v>20</v>
      </c>
      <c r="D2496" t="s">
        <v>20</v>
      </c>
      <c r="E2496">
        <v>0</v>
      </c>
      <c r="F2496">
        <v>225000</v>
      </c>
      <c r="G2496" t="s">
        <v>26</v>
      </c>
      <c r="H2496" t="s">
        <v>22</v>
      </c>
      <c r="I2496" t="s">
        <v>33</v>
      </c>
      <c r="J2496" t="s">
        <v>24</v>
      </c>
      <c r="K2496" s="6">
        <f t="shared" ca="1" si="160"/>
        <v>36541</v>
      </c>
      <c r="L2496">
        <v>-9220</v>
      </c>
      <c r="M2496" s="7">
        <f t="shared" ca="1" si="158"/>
        <v>25.242984257357975</v>
      </c>
      <c r="N2496" s="5" t="str">
        <f ca="1">VLOOKUP(Data!M2496,temp!$B$3:$C$9,2,1)</f>
        <v>20-30</v>
      </c>
      <c r="O2496">
        <v>-1473</v>
      </c>
      <c r="P2496" s="8">
        <f t="shared" si="159"/>
        <v>4.0328542094455848</v>
      </c>
      <c r="Q2496" s="5" t="str">
        <f t="shared" si="161"/>
        <v>Employed</v>
      </c>
      <c r="R2496">
        <v>1</v>
      </c>
      <c r="S2496">
        <v>0</v>
      </c>
      <c r="T2496">
        <v>0</v>
      </c>
      <c r="U2496">
        <v>0</v>
      </c>
      <c r="V2496" t="s">
        <v>38</v>
      </c>
      <c r="W2496">
        <v>1</v>
      </c>
    </row>
    <row r="2497" spans="1:23" x14ac:dyDescent="0.2">
      <c r="A2497">
        <v>5088683</v>
      </c>
      <c r="B2497" t="s">
        <v>25</v>
      </c>
      <c r="C2497" t="s">
        <v>20</v>
      </c>
      <c r="D2497" t="s">
        <v>20</v>
      </c>
      <c r="E2497">
        <v>0</v>
      </c>
      <c r="F2497">
        <v>184500</v>
      </c>
      <c r="G2497" t="s">
        <v>26</v>
      </c>
      <c r="H2497" t="s">
        <v>27</v>
      </c>
      <c r="I2497" t="s">
        <v>28</v>
      </c>
      <c r="J2497" t="s">
        <v>41</v>
      </c>
      <c r="K2497" s="6">
        <f t="shared" ca="1" si="160"/>
        <v>25885</v>
      </c>
      <c r="L2497">
        <v>-19876</v>
      </c>
      <c r="M2497" s="7">
        <f t="shared" ca="1" si="158"/>
        <v>54.417522245037645</v>
      </c>
      <c r="N2497" s="5" t="str">
        <f ca="1">VLOOKUP(Data!M2497,temp!$B$3:$C$9,2,1)</f>
        <v>50-60</v>
      </c>
      <c r="O2497">
        <v>-499</v>
      </c>
      <c r="P2497" s="8">
        <f t="shared" si="159"/>
        <v>1.3661875427789185</v>
      </c>
      <c r="Q2497" s="5" t="str">
        <f t="shared" si="161"/>
        <v>Employed</v>
      </c>
      <c r="R2497">
        <v>1</v>
      </c>
      <c r="S2497">
        <v>0</v>
      </c>
      <c r="T2497">
        <v>0</v>
      </c>
      <c r="U2497">
        <v>0</v>
      </c>
      <c r="V2497" t="s">
        <v>40</v>
      </c>
      <c r="W2497">
        <v>2</v>
      </c>
    </row>
    <row r="2498" spans="1:23" x14ac:dyDescent="0.2">
      <c r="A2498">
        <v>5088690</v>
      </c>
      <c r="B2498" t="s">
        <v>25</v>
      </c>
      <c r="C2498" t="s">
        <v>19</v>
      </c>
      <c r="D2498" t="s">
        <v>20</v>
      </c>
      <c r="E2498">
        <v>1</v>
      </c>
      <c r="F2498">
        <v>135000</v>
      </c>
      <c r="G2498" t="s">
        <v>31</v>
      </c>
      <c r="H2498" t="s">
        <v>27</v>
      </c>
      <c r="I2498" t="s">
        <v>28</v>
      </c>
      <c r="J2498" t="s">
        <v>24</v>
      </c>
      <c r="K2498" s="6">
        <f t="shared" ca="1" si="160"/>
        <v>27042</v>
      </c>
      <c r="L2498">
        <v>-18719</v>
      </c>
      <c r="M2498" s="7">
        <f t="shared" ca="1" si="158"/>
        <v>51.249828884325801</v>
      </c>
      <c r="N2498" s="5" t="str">
        <f ca="1">VLOOKUP(Data!M2498,temp!$B$3:$C$9,2,1)</f>
        <v>50-60</v>
      </c>
      <c r="O2498">
        <v>-1473</v>
      </c>
      <c r="P2498" s="8">
        <f t="shared" si="159"/>
        <v>4.0328542094455848</v>
      </c>
      <c r="Q2498" s="5" t="str">
        <f t="shared" si="161"/>
        <v>Employed</v>
      </c>
      <c r="R2498">
        <v>1</v>
      </c>
      <c r="S2498">
        <v>1</v>
      </c>
      <c r="T2498">
        <v>1</v>
      </c>
      <c r="U2498">
        <v>0</v>
      </c>
      <c r="V2498" t="s">
        <v>29</v>
      </c>
      <c r="W2498">
        <v>3</v>
      </c>
    </row>
    <row r="2499" spans="1:23" x14ac:dyDescent="0.2">
      <c r="A2499">
        <v>5088699</v>
      </c>
      <c r="B2499" t="s">
        <v>18</v>
      </c>
      <c r="C2499" t="s">
        <v>20</v>
      </c>
      <c r="D2499" t="s">
        <v>20</v>
      </c>
      <c r="E2499">
        <v>0</v>
      </c>
      <c r="F2499">
        <v>252000</v>
      </c>
      <c r="G2499" t="s">
        <v>31</v>
      </c>
      <c r="H2499" t="s">
        <v>27</v>
      </c>
      <c r="I2499" t="s">
        <v>28</v>
      </c>
      <c r="J2499" t="s">
        <v>24</v>
      </c>
      <c r="K2499" s="6">
        <f t="shared" ca="1" si="160"/>
        <v>28199</v>
      </c>
      <c r="L2499">
        <v>-17562</v>
      </c>
      <c r="M2499" s="7">
        <f t="shared" ref="M2499:M2562" ca="1" si="162">(TODAY()-K2499)/365.25</f>
        <v>48.082135523613964</v>
      </c>
      <c r="N2499" s="5" t="str">
        <f ca="1">VLOOKUP(Data!M2499,temp!$B$3:$C$9,2,1)</f>
        <v>40-50</v>
      </c>
      <c r="O2499">
        <v>-1261</v>
      </c>
      <c r="P2499" s="8">
        <f t="shared" ref="P2499:P2562" si="163">IF(O2499&lt;=0,ABS(O2499)/365.25,0)</f>
        <v>3.4524298425735798</v>
      </c>
      <c r="Q2499" s="5" t="str">
        <f t="shared" si="161"/>
        <v>Employed</v>
      </c>
      <c r="R2499">
        <v>1</v>
      </c>
      <c r="S2499">
        <v>0</v>
      </c>
      <c r="T2499">
        <v>0</v>
      </c>
      <c r="U2499">
        <v>0</v>
      </c>
      <c r="V2499" t="s">
        <v>50</v>
      </c>
      <c r="W2499">
        <v>2</v>
      </c>
    </row>
    <row r="2500" spans="1:23" x14ac:dyDescent="0.2">
      <c r="A2500">
        <v>5088700</v>
      </c>
      <c r="B2500" t="s">
        <v>18</v>
      </c>
      <c r="C2500" t="s">
        <v>20</v>
      </c>
      <c r="D2500" t="s">
        <v>20</v>
      </c>
      <c r="E2500">
        <v>0</v>
      </c>
      <c r="F2500">
        <v>252000</v>
      </c>
      <c r="G2500" t="s">
        <v>31</v>
      </c>
      <c r="H2500" t="s">
        <v>27</v>
      </c>
      <c r="I2500" t="s">
        <v>28</v>
      </c>
      <c r="J2500" t="s">
        <v>24</v>
      </c>
      <c r="K2500" s="6">
        <f t="shared" ca="1" si="160"/>
        <v>28199</v>
      </c>
      <c r="L2500">
        <v>-17562</v>
      </c>
      <c r="M2500" s="7">
        <f t="shared" ca="1" si="162"/>
        <v>48.082135523613964</v>
      </c>
      <c r="N2500" s="5" t="str">
        <f ca="1">VLOOKUP(Data!M2500,temp!$B$3:$C$9,2,1)</f>
        <v>40-50</v>
      </c>
      <c r="O2500">
        <v>-1261</v>
      </c>
      <c r="P2500" s="8">
        <f t="shared" si="163"/>
        <v>3.4524298425735798</v>
      </c>
      <c r="Q2500" s="5" t="str">
        <f t="shared" si="161"/>
        <v>Employed</v>
      </c>
      <c r="R2500">
        <v>1</v>
      </c>
      <c r="S2500">
        <v>0</v>
      </c>
      <c r="T2500">
        <v>0</v>
      </c>
      <c r="U2500">
        <v>0</v>
      </c>
      <c r="V2500" t="s">
        <v>50</v>
      </c>
      <c r="W2500">
        <v>2</v>
      </c>
    </row>
    <row r="2501" spans="1:23" x14ac:dyDescent="0.2">
      <c r="A2501">
        <v>5088702</v>
      </c>
      <c r="B2501" t="s">
        <v>18</v>
      </c>
      <c r="C2501" t="s">
        <v>20</v>
      </c>
      <c r="D2501" t="s">
        <v>20</v>
      </c>
      <c r="E2501">
        <v>1</v>
      </c>
      <c r="F2501">
        <v>157500</v>
      </c>
      <c r="G2501" t="s">
        <v>31</v>
      </c>
      <c r="H2501" t="s">
        <v>22</v>
      </c>
      <c r="I2501" t="s">
        <v>33</v>
      </c>
      <c r="J2501" t="s">
        <v>24</v>
      </c>
      <c r="K2501" s="6">
        <f t="shared" ca="1" si="160"/>
        <v>31112</v>
      </c>
      <c r="L2501">
        <v>-14649</v>
      </c>
      <c r="M2501" s="7">
        <f t="shared" ca="1" si="162"/>
        <v>40.106776180698155</v>
      </c>
      <c r="N2501" s="5" t="str">
        <f ca="1">VLOOKUP(Data!M2501,temp!$B$3:$C$9,2,1)</f>
        <v>40-50</v>
      </c>
      <c r="O2501">
        <v>-1534</v>
      </c>
      <c r="P2501" s="8">
        <f t="shared" si="163"/>
        <v>4.1998631074606436</v>
      </c>
      <c r="Q2501" s="5" t="str">
        <f t="shared" si="161"/>
        <v>Employed</v>
      </c>
      <c r="R2501">
        <v>1</v>
      </c>
      <c r="S2501">
        <v>0</v>
      </c>
      <c r="T2501">
        <v>0</v>
      </c>
      <c r="U2501">
        <v>0</v>
      </c>
      <c r="W2501">
        <v>2</v>
      </c>
    </row>
    <row r="2502" spans="1:23" x14ac:dyDescent="0.2">
      <c r="A2502">
        <v>5088707</v>
      </c>
      <c r="B2502" t="s">
        <v>18</v>
      </c>
      <c r="C2502" t="s">
        <v>19</v>
      </c>
      <c r="D2502" t="s">
        <v>20</v>
      </c>
      <c r="E2502">
        <v>0</v>
      </c>
      <c r="F2502">
        <v>56250</v>
      </c>
      <c r="G2502" t="s">
        <v>21</v>
      </c>
      <c r="H2502" t="s">
        <v>27</v>
      </c>
      <c r="I2502" t="s">
        <v>28</v>
      </c>
      <c r="J2502" t="s">
        <v>24</v>
      </c>
      <c r="K2502" s="6">
        <f t="shared" ca="1" si="160"/>
        <v>21703</v>
      </c>
      <c r="L2502">
        <v>-24058</v>
      </c>
      <c r="M2502" s="7">
        <f t="shared" ca="1" si="162"/>
        <v>65.867214236824097</v>
      </c>
      <c r="N2502" s="5" t="str">
        <f ca="1">VLOOKUP(Data!M2502,temp!$B$3:$C$9,2,1)</f>
        <v>60-70</v>
      </c>
      <c r="O2502">
        <v>365243</v>
      </c>
      <c r="P2502" s="8">
        <f t="shared" si="163"/>
        <v>0</v>
      </c>
      <c r="Q2502" s="5" t="str">
        <f t="shared" si="161"/>
        <v>Unemployed</v>
      </c>
      <c r="R2502">
        <v>1</v>
      </c>
      <c r="S2502">
        <v>0</v>
      </c>
      <c r="T2502">
        <v>1</v>
      </c>
      <c r="U2502">
        <v>0</v>
      </c>
      <c r="W2502">
        <v>2</v>
      </c>
    </row>
    <row r="2503" spans="1:23" x14ac:dyDescent="0.2">
      <c r="A2503">
        <v>5088709</v>
      </c>
      <c r="B2503" t="s">
        <v>18</v>
      </c>
      <c r="C2503" t="s">
        <v>19</v>
      </c>
      <c r="D2503" t="s">
        <v>20</v>
      </c>
      <c r="E2503">
        <v>0</v>
      </c>
      <c r="F2503">
        <v>56250</v>
      </c>
      <c r="G2503" t="s">
        <v>21</v>
      </c>
      <c r="H2503" t="s">
        <v>27</v>
      </c>
      <c r="I2503" t="s">
        <v>28</v>
      </c>
      <c r="J2503" t="s">
        <v>24</v>
      </c>
      <c r="K2503" s="6">
        <f t="shared" ca="1" si="160"/>
        <v>21703</v>
      </c>
      <c r="L2503">
        <v>-24058</v>
      </c>
      <c r="M2503" s="7">
        <f t="shared" ca="1" si="162"/>
        <v>65.867214236824097</v>
      </c>
      <c r="N2503" s="5" t="str">
        <f ca="1">VLOOKUP(Data!M2503,temp!$B$3:$C$9,2,1)</f>
        <v>60-70</v>
      </c>
      <c r="O2503">
        <v>365243</v>
      </c>
      <c r="P2503" s="8">
        <f t="shared" si="163"/>
        <v>0</v>
      </c>
      <c r="Q2503" s="5" t="str">
        <f t="shared" si="161"/>
        <v>Unemployed</v>
      </c>
      <c r="R2503">
        <v>1</v>
      </c>
      <c r="S2503">
        <v>0</v>
      </c>
      <c r="T2503">
        <v>1</v>
      </c>
      <c r="U2503">
        <v>0</v>
      </c>
      <c r="W2503">
        <v>2</v>
      </c>
    </row>
    <row r="2504" spans="1:23" x14ac:dyDescent="0.2">
      <c r="A2504">
        <v>5088710</v>
      </c>
      <c r="B2504" t="s">
        <v>18</v>
      </c>
      <c r="C2504" t="s">
        <v>19</v>
      </c>
      <c r="D2504" t="s">
        <v>20</v>
      </c>
      <c r="E2504">
        <v>0</v>
      </c>
      <c r="F2504">
        <v>56250</v>
      </c>
      <c r="G2504" t="s">
        <v>21</v>
      </c>
      <c r="H2504" t="s">
        <v>27</v>
      </c>
      <c r="I2504" t="s">
        <v>28</v>
      </c>
      <c r="J2504" t="s">
        <v>24</v>
      </c>
      <c r="K2504" s="6">
        <f t="shared" ref="K2504:K2567" ca="1" si="164">TODAY()+($L2504)</f>
        <v>21703</v>
      </c>
      <c r="L2504">
        <v>-24058</v>
      </c>
      <c r="M2504" s="7">
        <f t="shared" ca="1" si="162"/>
        <v>65.867214236824097</v>
      </c>
      <c r="N2504" s="5" t="str">
        <f ca="1">VLOOKUP(Data!M2504,temp!$B$3:$C$9,2,1)</f>
        <v>60-70</v>
      </c>
      <c r="O2504">
        <v>365243</v>
      </c>
      <c r="P2504" s="8">
        <f t="shared" si="163"/>
        <v>0</v>
      </c>
      <c r="Q2504" s="5" t="str">
        <f t="shared" ref="Q2504:Q2567" si="165">IF($O2504&gt;0,"Unemployed","Employed")</f>
        <v>Unemployed</v>
      </c>
      <c r="R2504">
        <v>1</v>
      </c>
      <c r="S2504">
        <v>0</v>
      </c>
      <c r="T2504">
        <v>1</v>
      </c>
      <c r="U2504">
        <v>0</v>
      </c>
      <c r="W2504">
        <v>2</v>
      </c>
    </row>
    <row r="2505" spans="1:23" x14ac:dyDescent="0.2">
      <c r="A2505">
        <v>5088809</v>
      </c>
      <c r="B2505" t="s">
        <v>25</v>
      </c>
      <c r="C2505" t="s">
        <v>20</v>
      </c>
      <c r="D2505" t="s">
        <v>20</v>
      </c>
      <c r="E2505">
        <v>0</v>
      </c>
      <c r="F2505">
        <v>225000</v>
      </c>
      <c r="G2505" t="s">
        <v>35</v>
      </c>
      <c r="H2505" t="s">
        <v>27</v>
      </c>
      <c r="I2505" t="s">
        <v>28</v>
      </c>
      <c r="J2505" t="s">
        <v>24</v>
      </c>
      <c r="K2505" s="6">
        <f t="shared" ca="1" si="164"/>
        <v>32043</v>
      </c>
      <c r="L2505">
        <v>-13718</v>
      </c>
      <c r="M2505" s="7">
        <f t="shared" ca="1" si="162"/>
        <v>37.557837097878163</v>
      </c>
      <c r="N2505" s="5" t="str">
        <f ca="1">VLOOKUP(Data!M2505,temp!$B$3:$C$9,2,1)</f>
        <v>30-40</v>
      </c>
      <c r="O2505">
        <v>-3694</v>
      </c>
      <c r="P2505" s="8">
        <f t="shared" si="163"/>
        <v>10.113620807665983</v>
      </c>
      <c r="Q2505" s="5" t="str">
        <f t="shared" si="165"/>
        <v>Employed</v>
      </c>
      <c r="R2505">
        <v>1</v>
      </c>
      <c r="S2505">
        <v>1</v>
      </c>
      <c r="T2505">
        <v>1</v>
      </c>
      <c r="U2505">
        <v>0</v>
      </c>
      <c r="V2505" t="s">
        <v>47</v>
      </c>
      <c r="W2505">
        <v>2</v>
      </c>
    </row>
    <row r="2506" spans="1:23" x14ac:dyDescent="0.2">
      <c r="A2506">
        <v>5088819</v>
      </c>
      <c r="B2506" t="s">
        <v>18</v>
      </c>
      <c r="C2506" t="s">
        <v>19</v>
      </c>
      <c r="D2506" t="s">
        <v>20</v>
      </c>
      <c r="E2506">
        <v>0</v>
      </c>
      <c r="F2506">
        <v>202500</v>
      </c>
      <c r="G2506" t="s">
        <v>21</v>
      </c>
      <c r="H2506" t="s">
        <v>27</v>
      </c>
      <c r="I2506" t="s">
        <v>23</v>
      </c>
      <c r="J2506" t="s">
        <v>24</v>
      </c>
      <c r="K2506" s="6">
        <f t="shared" ca="1" si="164"/>
        <v>23144</v>
      </c>
      <c r="L2506">
        <v>-22617</v>
      </c>
      <c r="M2506" s="7">
        <f t="shared" ca="1" si="162"/>
        <v>61.921971252566735</v>
      </c>
      <c r="N2506" s="5" t="str">
        <f ca="1">VLOOKUP(Data!M2506,temp!$B$3:$C$9,2,1)</f>
        <v>60-70</v>
      </c>
      <c r="O2506">
        <v>365243</v>
      </c>
      <c r="P2506" s="8">
        <f t="shared" si="163"/>
        <v>0</v>
      </c>
      <c r="Q2506" s="5" t="str">
        <f t="shared" si="165"/>
        <v>Unemployed</v>
      </c>
      <c r="R2506">
        <v>1</v>
      </c>
      <c r="S2506">
        <v>0</v>
      </c>
      <c r="T2506">
        <v>1</v>
      </c>
      <c r="U2506">
        <v>0</v>
      </c>
      <c r="W2506">
        <v>1</v>
      </c>
    </row>
    <row r="2507" spans="1:23" x14ac:dyDescent="0.2">
      <c r="A2507">
        <v>5088832</v>
      </c>
      <c r="B2507" t="s">
        <v>18</v>
      </c>
      <c r="C2507" t="s">
        <v>19</v>
      </c>
      <c r="D2507" t="s">
        <v>20</v>
      </c>
      <c r="E2507">
        <v>0</v>
      </c>
      <c r="F2507">
        <v>612000</v>
      </c>
      <c r="G2507" t="s">
        <v>35</v>
      </c>
      <c r="H2507" t="s">
        <v>27</v>
      </c>
      <c r="I2507" t="s">
        <v>28</v>
      </c>
      <c r="J2507" t="s">
        <v>24</v>
      </c>
      <c r="K2507" s="6">
        <f t="shared" ca="1" si="164"/>
        <v>33198</v>
      </c>
      <c r="L2507">
        <v>-12563</v>
      </c>
      <c r="M2507" s="7">
        <f t="shared" ca="1" si="162"/>
        <v>34.395619438740589</v>
      </c>
      <c r="N2507" s="5" t="str">
        <f ca="1">VLOOKUP(Data!M2507,temp!$B$3:$C$9,2,1)</f>
        <v>30-40</v>
      </c>
      <c r="O2507">
        <v>-3715</v>
      </c>
      <c r="P2507" s="8">
        <f t="shared" si="163"/>
        <v>10.171115674195756</v>
      </c>
      <c r="Q2507" s="5" t="str">
        <f t="shared" si="165"/>
        <v>Employed</v>
      </c>
      <c r="R2507">
        <v>1</v>
      </c>
      <c r="S2507">
        <v>0</v>
      </c>
      <c r="T2507">
        <v>0</v>
      </c>
      <c r="U2507">
        <v>1</v>
      </c>
      <c r="V2507" t="s">
        <v>44</v>
      </c>
      <c r="W2507">
        <v>2</v>
      </c>
    </row>
    <row r="2508" spans="1:23" x14ac:dyDescent="0.2">
      <c r="A2508">
        <v>5088854</v>
      </c>
      <c r="B2508" t="s">
        <v>18</v>
      </c>
      <c r="C2508" t="s">
        <v>20</v>
      </c>
      <c r="D2508" t="s">
        <v>20</v>
      </c>
      <c r="E2508">
        <v>0</v>
      </c>
      <c r="F2508">
        <v>112500</v>
      </c>
      <c r="G2508" t="s">
        <v>31</v>
      </c>
      <c r="H2508" t="s">
        <v>22</v>
      </c>
      <c r="I2508" t="s">
        <v>28</v>
      </c>
      <c r="J2508" t="s">
        <v>24</v>
      </c>
      <c r="K2508" s="6">
        <f t="shared" ca="1" si="164"/>
        <v>34408</v>
      </c>
      <c r="L2508">
        <v>-11353</v>
      </c>
      <c r="M2508" s="7">
        <f t="shared" ca="1" si="162"/>
        <v>31.082819986310746</v>
      </c>
      <c r="N2508" s="5" t="str">
        <f ca="1">VLOOKUP(Data!M2508,temp!$B$3:$C$9,2,1)</f>
        <v>30-40</v>
      </c>
      <c r="O2508">
        <v>-2316</v>
      </c>
      <c r="P2508" s="8">
        <f t="shared" si="163"/>
        <v>6.3408624229979464</v>
      </c>
      <c r="Q2508" s="5" t="str">
        <f t="shared" si="165"/>
        <v>Employed</v>
      </c>
      <c r="R2508">
        <v>1</v>
      </c>
      <c r="S2508">
        <v>0</v>
      </c>
      <c r="T2508">
        <v>0</v>
      </c>
      <c r="U2508">
        <v>1</v>
      </c>
      <c r="V2508" t="s">
        <v>44</v>
      </c>
      <c r="W2508">
        <v>2</v>
      </c>
    </row>
    <row r="2509" spans="1:23" x14ac:dyDescent="0.2">
      <c r="A2509">
        <v>5088865</v>
      </c>
      <c r="B2509" t="s">
        <v>18</v>
      </c>
      <c r="C2509" t="s">
        <v>20</v>
      </c>
      <c r="D2509" t="s">
        <v>20</v>
      </c>
      <c r="E2509">
        <v>0</v>
      </c>
      <c r="F2509">
        <v>270000</v>
      </c>
      <c r="G2509" t="s">
        <v>31</v>
      </c>
      <c r="H2509" t="s">
        <v>22</v>
      </c>
      <c r="I2509" t="s">
        <v>28</v>
      </c>
      <c r="J2509" t="s">
        <v>24</v>
      </c>
      <c r="K2509" s="6">
        <f t="shared" ca="1" si="164"/>
        <v>25118</v>
      </c>
      <c r="L2509">
        <v>-20643</v>
      </c>
      <c r="M2509" s="7">
        <f t="shared" ca="1" si="162"/>
        <v>56.517453798767967</v>
      </c>
      <c r="N2509" s="5" t="str">
        <f ca="1">VLOOKUP(Data!M2509,temp!$B$3:$C$9,2,1)</f>
        <v>50-60</v>
      </c>
      <c r="O2509">
        <v>-6456</v>
      </c>
      <c r="P2509" s="8">
        <f t="shared" si="163"/>
        <v>17.675564681724847</v>
      </c>
      <c r="Q2509" s="5" t="str">
        <f t="shared" si="165"/>
        <v>Employed</v>
      </c>
      <c r="R2509">
        <v>1</v>
      </c>
      <c r="S2509">
        <v>0</v>
      </c>
      <c r="T2509">
        <v>0</v>
      </c>
      <c r="U2509">
        <v>1</v>
      </c>
      <c r="V2509" t="s">
        <v>38</v>
      </c>
      <c r="W2509">
        <v>2</v>
      </c>
    </row>
    <row r="2510" spans="1:23" x14ac:dyDescent="0.2">
      <c r="A2510">
        <v>5088870</v>
      </c>
      <c r="B2510" t="s">
        <v>18</v>
      </c>
      <c r="C2510" t="s">
        <v>19</v>
      </c>
      <c r="D2510" t="s">
        <v>20</v>
      </c>
      <c r="E2510">
        <v>0</v>
      </c>
      <c r="F2510">
        <v>166500</v>
      </c>
      <c r="G2510" t="s">
        <v>31</v>
      </c>
      <c r="H2510" t="s">
        <v>27</v>
      </c>
      <c r="I2510" t="s">
        <v>33</v>
      </c>
      <c r="J2510" t="s">
        <v>41</v>
      </c>
      <c r="K2510" s="6">
        <f t="shared" ca="1" si="164"/>
        <v>36121</v>
      </c>
      <c r="L2510">
        <v>-9640</v>
      </c>
      <c r="M2510" s="7">
        <f t="shared" ca="1" si="162"/>
        <v>26.392881587953458</v>
      </c>
      <c r="N2510" s="5" t="str">
        <f ca="1">VLOOKUP(Data!M2510,temp!$B$3:$C$9,2,1)</f>
        <v>20-30</v>
      </c>
      <c r="O2510">
        <v>-612</v>
      </c>
      <c r="P2510" s="8">
        <f t="shared" si="163"/>
        <v>1.675564681724846</v>
      </c>
      <c r="Q2510" s="5" t="str">
        <f t="shared" si="165"/>
        <v>Employed</v>
      </c>
      <c r="R2510">
        <v>1</v>
      </c>
      <c r="S2510">
        <v>0</v>
      </c>
      <c r="T2510">
        <v>0</v>
      </c>
      <c r="U2510">
        <v>1</v>
      </c>
      <c r="V2510" t="s">
        <v>39</v>
      </c>
      <c r="W2510">
        <v>1</v>
      </c>
    </row>
    <row r="2511" spans="1:23" x14ac:dyDescent="0.2">
      <c r="A2511">
        <v>5088880</v>
      </c>
      <c r="B2511" t="s">
        <v>18</v>
      </c>
      <c r="C2511" t="s">
        <v>20</v>
      </c>
      <c r="D2511" t="s">
        <v>20</v>
      </c>
      <c r="E2511">
        <v>0</v>
      </c>
      <c r="F2511">
        <v>292500</v>
      </c>
      <c r="G2511" t="s">
        <v>26</v>
      </c>
      <c r="H2511" t="s">
        <v>27</v>
      </c>
      <c r="I2511" t="s">
        <v>28</v>
      </c>
      <c r="J2511" t="s">
        <v>24</v>
      </c>
      <c r="K2511" s="6">
        <f t="shared" ca="1" si="164"/>
        <v>30386</v>
      </c>
      <c r="L2511">
        <v>-15375</v>
      </c>
      <c r="M2511" s="7">
        <f t="shared" ca="1" si="162"/>
        <v>42.094455852156059</v>
      </c>
      <c r="N2511" s="5" t="str">
        <f ca="1">VLOOKUP(Data!M2511,temp!$B$3:$C$9,2,1)</f>
        <v>40-50</v>
      </c>
      <c r="O2511">
        <v>-3200</v>
      </c>
      <c r="P2511" s="8">
        <f t="shared" si="163"/>
        <v>8.7611225188227237</v>
      </c>
      <c r="Q2511" s="5" t="str">
        <f t="shared" si="165"/>
        <v>Employed</v>
      </c>
      <c r="R2511">
        <v>1</v>
      </c>
      <c r="S2511">
        <v>0</v>
      </c>
      <c r="T2511">
        <v>0</v>
      </c>
      <c r="U2511">
        <v>1</v>
      </c>
      <c r="V2511" t="s">
        <v>29</v>
      </c>
      <c r="W2511">
        <v>2</v>
      </c>
    </row>
    <row r="2512" spans="1:23" x14ac:dyDescent="0.2">
      <c r="A2512">
        <v>5088882</v>
      </c>
      <c r="B2512" t="s">
        <v>18</v>
      </c>
      <c r="C2512" t="s">
        <v>20</v>
      </c>
      <c r="D2512" t="s">
        <v>20</v>
      </c>
      <c r="E2512">
        <v>0</v>
      </c>
      <c r="F2512">
        <v>292500</v>
      </c>
      <c r="G2512" t="s">
        <v>26</v>
      </c>
      <c r="H2512" t="s">
        <v>27</v>
      </c>
      <c r="I2512" t="s">
        <v>28</v>
      </c>
      <c r="J2512" t="s">
        <v>24</v>
      </c>
      <c r="K2512" s="6">
        <f t="shared" ca="1" si="164"/>
        <v>30386</v>
      </c>
      <c r="L2512">
        <v>-15375</v>
      </c>
      <c r="M2512" s="7">
        <f t="shared" ca="1" si="162"/>
        <v>42.094455852156059</v>
      </c>
      <c r="N2512" s="5" t="str">
        <f ca="1">VLOOKUP(Data!M2512,temp!$B$3:$C$9,2,1)</f>
        <v>40-50</v>
      </c>
      <c r="O2512">
        <v>-3200</v>
      </c>
      <c r="P2512" s="8">
        <f t="shared" si="163"/>
        <v>8.7611225188227237</v>
      </c>
      <c r="Q2512" s="5" t="str">
        <f t="shared" si="165"/>
        <v>Employed</v>
      </c>
      <c r="R2512">
        <v>1</v>
      </c>
      <c r="S2512">
        <v>0</v>
      </c>
      <c r="T2512">
        <v>0</v>
      </c>
      <c r="U2512">
        <v>1</v>
      </c>
      <c r="V2512" t="s">
        <v>29</v>
      </c>
      <c r="W2512">
        <v>2</v>
      </c>
    </row>
    <row r="2513" spans="1:23" x14ac:dyDescent="0.2">
      <c r="A2513">
        <v>5088886</v>
      </c>
      <c r="B2513" t="s">
        <v>18</v>
      </c>
      <c r="C2513" t="s">
        <v>19</v>
      </c>
      <c r="D2513" t="s">
        <v>20</v>
      </c>
      <c r="E2513">
        <v>0</v>
      </c>
      <c r="F2513">
        <v>171000</v>
      </c>
      <c r="G2513" t="s">
        <v>31</v>
      </c>
      <c r="H2513" t="s">
        <v>27</v>
      </c>
      <c r="I2513" t="s">
        <v>33</v>
      </c>
      <c r="J2513" t="s">
        <v>34</v>
      </c>
      <c r="K2513" s="6">
        <f t="shared" ca="1" si="164"/>
        <v>28823</v>
      </c>
      <c r="L2513">
        <v>-16938</v>
      </c>
      <c r="M2513" s="7">
        <f t="shared" ca="1" si="162"/>
        <v>46.373716632443532</v>
      </c>
      <c r="N2513" s="5" t="str">
        <f ca="1">VLOOKUP(Data!M2513,temp!$B$3:$C$9,2,1)</f>
        <v>40-50</v>
      </c>
      <c r="O2513">
        <v>-673</v>
      </c>
      <c r="P2513" s="8">
        <f t="shared" si="163"/>
        <v>1.8425735797399041</v>
      </c>
      <c r="Q2513" s="5" t="str">
        <f t="shared" si="165"/>
        <v>Employed</v>
      </c>
      <c r="R2513">
        <v>1</v>
      </c>
      <c r="S2513">
        <v>0</v>
      </c>
      <c r="T2513">
        <v>0</v>
      </c>
      <c r="U2513">
        <v>0</v>
      </c>
      <c r="V2513" t="s">
        <v>29</v>
      </c>
      <c r="W2513">
        <v>1</v>
      </c>
    </row>
    <row r="2514" spans="1:23" x14ac:dyDescent="0.2">
      <c r="A2514">
        <v>5088891</v>
      </c>
      <c r="B2514" t="s">
        <v>18</v>
      </c>
      <c r="C2514" t="s">
        <v>19</v>
      </c>
      <c r="D2514" t="s">
        <v>20</v>
      </c>
      <c r="E2514">
        <v>0</v>
      </c>
      <c r="F2514">
        <v>171000</v>
      </c>
      <c r="G2514" t="s">
        <v>31</v>
      </c>
      <c r="H2514" t="s">
        <v>27</v>
      </c>
      <c r="I2514" t="s">
        <v>33</v>
      </c>
      <c r="J2514" t="s">
        <v>34</v>
      </c>
      <c r="K2514" s="6">
        <f t="shared" ca="1" si="164"/>
        <v>28823</v>
      </c>
      <c r="L2514">
        <v>-16938</v>
      </c>
      <c r="M2514" s="7">
        <f t="shared" ca="1" si="162"/>
        <v>46.373716632443532</v>
      </c>
      <c r="N2514" s="5" t="str">
        <f ca="1">VLOOKUP(Data!M2514,temp!$B$3:$C$9,2,1)</f>
        <v>40-50</v>
      </c>
      <c r="O2514">
        <v>-673</v>
      </c>
      <c r="P2514" s="8">
        <f t="shared" si="163"/>
        <v>1.8425735797399041</v>
      </c>
      <c r="Q2514" s="5" t="str">
        <f t="shared" si="165"/>
        <v>Employed</v>
      </c>
      <c r="R2514">
        <v>1</v>
      </c>
      <c r="S2514">
        <v>0</v>
      </c>
      <c r="T2514">
        <v>0</v>
      </c>
      <c r="U2514">
        <v>0</v>
      </c>
      <c r="V2514" t="s">
        <v>29</v>
      </c>
      <c r="W2514">
        <v>1</v>
      </c>
    </row>
    <row r="2515" spans="1:23" x14ac:dyDescent="0.2">
      <c r="A2515">
        <v>5088923</v>
      </c>
      <c r="B2515" t="s">
        <v>18</v>
      </c>
      <c r="C2515" t="s">
        <v>19</v>
      </c>
      <c r="D2515" t="s">
        <v>20</v>
      </c>
      <c r="E2515">
        <v>0</v>
      </c>
      <c r="F2515">
        <v>180000</v>
      </c>
      <c r="G2515" t="s">
        <v>31</v>
      </c>
      <c r="H2515" t="s">
        <v>27</v>
      </c>
      <c r="I2515" t="s">
        <v>23</v>
      </c>
      <c r="J2515" t="s">
        <v>24</v>
      </c>
      <c r="K2515" s="6">
        <f t="shared" ca="1" si="164"/>
        <v>32847</v>
      </c>
      <c r="L2515">
        <v>-12914</v>
      </c>
      <c r="M2515" s="7">
        <f t="shared" ca="1" si="162"/>
        <v>35.356605065023956</v>
      </c>
      <c r="N2515" s="5" t="str">
        <f ca="1">VLOOKUP(Data!M2515,temp!$B$3:$C$9,2,1)</f>
        <v>30-40</v>
      </c>
      <c r="O2515">
        <v>-278</v>
      </c>
      <c r="P2515" s="8">
        <f t="shared" si="163"/>
        <v>0.76112251882272419</v>
      </c>
      <c r="Q2515" s="5" t="str">
        <f t="shared" si="165"/>
        <v>Employed</v>
      </c>
      <c r="R2515">
        <v>1</v>
      </c>
      <c r="S2515">
        <v>0</v>
      </c>
      <c r="T2515">
        <v>0</v>
      </c>
      <c r="U2515">
        <v>1</v>
      </c>
      <c r="V2515" t="s">
        <v>29</v>
      </c>
      <c r="W2515">
        <v>1</v>
      </c>
    </row>
    <row r="2516" spans="1:23" x14ac:dyDescent="0.2">
      <c r="A2516">
        <v>5088927</v>
      </c>
      <c r="B2516" t="s">
        <v>18</v>
      </c>
      <c r="C2516" t="s">
        <v>20</v>
      </c>
      <c r="D2516" t="s">
        <v>20</v>
      </c>
      <c r="E2516">
        <v>0</v>
      </c>
      <c r="F2516">
        <v>360000</v>
      </c>
      <c r="G2516" t="s">
        <v>31</v>
      </c>
      <c r="H2516" t="s">
        <v>22</v>
      </c>
      <c r="I2516" t="s">
        <v>37</v>
      </c>
      <c r="J2516" t="s">
        <v>24</v>
      </c>
      <c r="K2516" s="6">
        <f t="shared" ca="1" si="164"/>
        <v>34309</v>
      </c>
      <c r="L2516">
        <v>-11452</v>
      </c>
      <c r="M2516" s="7">
        <f t="shared" ca="1" si="162"/>
        <v>31.353867214236825</v>
      </c>
      <c r="N2516" s="5" t="str">
        <f ca="1">VLOOKUP(Data!M2516,temp!$B$3:$C$9,2,1)</f>
        <v>30-40</v>
      </c>
      <c r="O2516">
        <v>-2012</v>
      </c>
      <c r="P2516" s="8">
        <f t="shared" si="163"/>
        <v>5.508555783709788</v>
      </c>
      <c r="Q2516" s="5" t="str">
        <f t="shared" si="165"/>
        <v>Employed</v>
      </c>
      <c r="R2516">
        <v>1</v>
      </c>
      <c r="S2516">
        <v>0</v>
      </c>
      <c r="T2516">
        <v>0</v>
      </c>
      <c r="U2516">
        <v>0</v>
      </c>
      <c r="W2516">
        <v>2</v>
      </c>
    </row>
    <row r="2517" spans="1:23" x14ac:dyDescent="0.2">
      <c r="A2517">
        <v>5088928</v>
      </c>
      <c r="B2517" t="s">
        <v>18</v>
      </c>
      <c r="C2517" t="s">
        <v>20</v>
      </c>
      <c r="D2517" t="s">
        <v>20</v>
      </c>
      <c r="E2517">
        <v>0</v>
      </c>
      <c r="F2517">
        <v>360000</v>
      </c>
      <c r="G2517" t="s">
        <v>31</v>
      </c>
      <c r="H2517" t="s">
        <v>22</v>
      </c>
      <c r="I2517" t="s">
        <v>37</v>
      </c>
      <c r="J2517" t="s">
        <v>24</v>
      </c>
      <c r="K2517" s="6">
        <f t="shared" ca="1" si="164"/>
        <v>34309</v>
      </c>
      <c r="L2517">
        <v>-11452</v>
      </c>
      <c r="M2517" s="7">
        <f t="shared" ca="1" si="162"/>
        <v>31.353867214236825</v>
      </c>
      <c r="N2517" s="5" t="str">
        <f ca="1">VLOOKUP(Data!M2517,temp!$B$3:$C$9,2,1)</f>
        <v>30-40</v>
      </c>
      <c r="O2517">
        <v>-2012</v>
      </c>
      <c r="P2517" s="8">
        <f t="shared" si="163"/>
        <v>5.508555783709788</v>
      </c>
      <c r="Q2517" s="5" t="str">
        <f t="shared" si="165"/>
        <v>Employed</v>
      </c>
      <c r="R2517">
        <v>1</v>
      </c>
      <c r="S2517">
        <v>0</v>
      </c>
      <c r="T2517">
        <v>0</v>
      </c>
      <c r="U2517">
        <v>0</v>
      </c>
      <c r="W2517">
        <v>2</v>
      </c>
    </row>
    <row r="2518" spans="1:23" x14ac:dyDescent="0.2">
      <c r="A2518">
        <v>5088930</v>
      </c>
      <c r="B2518" t="s">
        <v>18</v>
      </c>
      <c r="C2518" t="s">
        <v>20</v>
      </c>
      <c r="D2518" t="s">
        <v>20</v>
      </c>
      <c r="E2518">
        <v>0</v>
      </c>
      <c r="F2518">
        <v>360000</v>
      </c>
      <c r="G2518" t="s">
        <v>31</v>
      </c>
      <c r="H2518" t="s">
        <v>22</v>
      </c>
      <c r="I2518" t="s">
        <v>37</v>
      </c>
      <c r="J2518" t="s">
        <v>24</v>
      </c>
      <c r="K2518" s="6">
        <f t="shared" ca="1" si="164"/>
        <v>34309</v>
      </c>
      <c r="L2518">
        <v>-11452</v>
      </c>
      <c r="M2518" s="7">
        <f t="shared" ca="1" si="162"/>
        <v>31.353867214236825</v>
      </c>
      <c r="N2518" s="5" t="str">
        <f ca="1">VLOOKUP(Data!M2518,temp!$B$3:$C$9,2,1)</f>
        <v>30-40</v>
      </c>
      <c r="O2518">
        <v>-2012</v>
      </c>
      <c r="P2518" s="8">
        <f t="shared" si="163"/>
        <v>5.508555783709788</v>
      </c>
      <c r="Q2518" s="5" t="str">
        <f t="shared" si="165"/>
        <v>Employed</v>
      </c>
      <c r="R2518">
        <v>1</v>
      </c>
      <c r="S2518">
        <v>0</v>
      </c>
      <c r="T2518">
        <v>0</v>
      </c>
      <c r="U2518">
        <v>0</v>
      </c>
      <c r="W2518">
        <v>2</v>
      </c>
    </row>
    <row r="2519" spans="1:23" x14ac:dyDescent="0.2">
      <c r="A2519">
        <v>5088939</v>
      </c>
      <c r="B2519" t="s">
        <v>18</v>
      </c>
      <c r="C2519" t="s">
        <v>19</v>
      </c>
      <c r="D2519" t="s">
        <v>20</v>
      </c>
      <c r="E2519">
        <v>0</v>
      </c>
      <c r="F2519">
        <v>112500</v>
      </c>
      <c r="G2519" t="s">
        <v>21</v>
      </c>
      <c r="H2519" t="s">
        <v>27</v>
      </c>
      <c r="I2519" t="s">
        <v>42</v>
      </c>
      <c r="J2519" t="s">
        <v>24</v>
      </c>
      <c r="K2519" s="6">
        <f t="shared" ca="1" si="164"/>
        <v>22684</v>
      </c>
      <c r="L2519">
        <v>-23077</v>
      </c>
      <c r="M2519" s="7">
        <f t="shared" ca="1" si="162"/>
        <v>63.181382614647504</v>
      </c>
      <c r="N2519" s="5" t="str">
        <f ca="1">VLOOKUP(Data!M2519,temp!$B$3:$C$9,2,1)</f>
        <v>60-70</v>
      </c>
      <c r="O2519">
        <v>365243</v>
      </c>
      <c r="P2519" s="8">
        <f t="shared" si="163"/>
        <v>0</v>
      </c>
      <c r="Q2519" s="5" t="str">
        <f t="shared" si="165"/>
        <v>Unemployed</v>
      </c>
      <c r="R2519">
        <v>1</v>
      </c>
      <c r="S2519">
        <v>0</v>
      </c>
      <c r="T2519">
        <v>0</v>
      </c>
      <c r="U2519">
        <v>0</v>
      </c>
      <c r="W2519">
        <v>1</v>
      </c>
    </row>
    <row r="2520" spans="1:23" x14ac:dyDescent="0.2">
      <c r="A2520">
        <v>5088976</v>
      </c>
      <c r="B2520" t="s">
        <v>18</v>
      </c>
      <c r="C2520" t="s">
        <v>20</v>
      </c>
      <c r="D2520" t="s">
        <v>19</v>
      </c>
      <c r="E2520">
        <v>0</v>
      </c>
      <c r="F2520">
        <v>31500</v>
      </c>
      <c r="G2520" t="s">
        <v>26</v>
      </c>
      <c r="H2520" t="s">
        <v>27</v>
      </c>
      <c r="I2520" t="s">
        <v>28</v>
      </c>
      <c r="J2520" t="s">
        <v>24</v>
      </c>
      <c r="K2520" s="6">
        <f t="shared" ca="1" si="164"/>
        <v>27999</v>
      </c>
      <c r="L2520">
        <v>-17762</v>
      </c>
      <c r="M2520" s="7">
        <f t="shared" ca="1" si="162"/>
        <v>48.629705681040384</v>
      </c>
      <c r="N2520" s="5" t="str">
        <f ca="1">VLOOKUP(Data!M2520,temp!$B$3:$C$9,2,1)</f>
        <v>40-50</v>
      </c>
      <c r="O2520">
        <v>-7734</v>
      </c>
      <c r="P2520" s="8">
        <f t="shared" si="163"/>
        <v>21.17453798767967</v>
      </c>
      <c r="Q2520" s="5" t="str">
        <f t="shared" si="165"/>
        <v>Employed</v>
      </c>
      <c r="R2520">
        <v>1</v>
      </c>
      <c r="S2520">
        <v>1</v>
      </c>
      <c r="T2520">
        <v>1</v>
      </c>
      <c r="U2520">
        <v>0</v>
      </c>
      <c r="V2520" t="s">
        <v>46</v>
      </c>
      <c r="W2520">
        <v>2</v>
      </c>
    </row>
    <row r="2521" spans="1:23" x14ac:dyDescent="0.2">
      <c r="A2521">
        <v>5089004</v>
      </c>
      <c r="B2521" t="s">
        <v>18</v>
      </c>
      <c r="C2521" t="s">
        <v>20</v>
      </c>
      <c r="D2521" t="s">
        <v>19</v>
      </c>
      <c r="E2521">
        <v>0</v>
      </c>
      <c r="F2521">
        <v>99000</v>
      </c>
      <c r="G2521" t="s">
        <v>31</v>
      </c>
      <c r="H2521" t="s">
        <v>27</v>
      </c>
      <c r="I2521" t="s">
        <v>28</v>
      </c>
      <c r="J2521" t="s">
        <v>24</v>
      </c>
      <c r="K2521" s="6">
        <f t="shared" ca="1" si="164"/>
        <v>26104</v>
      </c>
      <c r="L2521">
        <v>-19657</v>
      </c>
      <c r="M2521" s="7">
        <f t="shared" ca="1" si="162"/>
        <v>53.817932922655714</v>
      </c>
      <c r="N2521" s="5" t="str">
        <f ca="1">VLOOKUP(Data!M2521,temp!$B$3:$C$9,2,1)</f>
        <v>50-60</v>
      </c>
      <c r="O2521">
        <v>-2774</v>
      </c>
      <c r="P2521" s="8">
        <f t="shared" si="163"/>
        <v>7.5947980835044486</v>
      </c>
      <c r="Q2521" s="5" t="str">
        <f t="shared" si="165"/>
        <v>Employed</v>
      </c>
      <c r="R2521">
        <v>1</v>
      </c>
      <c r="S2521">
        <v>0</v>
      </c>
      <c r="T2521">
        <v>1</v>
      </c>
      <c r="U2521">
        <v>0</v>
      </c>
      <c r="W2521">
        <v>2</v>
      </c>
    </row>
    <row r="2522" spans="1:23" x14ac:dyDescent="0.2">
      <c r="A2522">
        <v>5089016</v>
      </c>
      <c r="B2522" t="s">
        <v>18</v>
      </c>
      <c r="C2522" t="s">
        <v>19</v>
      </c>
      <c r="D2522" t="s">
        <v>19</v>
      </c>
      <c r="E2522">
        <v>1</v>
      </c>
      <c r="F2522">
        <v>202500</v>
      </c>
      <c r="G2522" t="s">
        <v>26</v>
      </c>
      <c r="H2522" t="s">
        <v>22</v>
      </c>
      <c r="I2522" t="s">
        <v>23</v>
      </c>
      <c r="J2522" t="s">
        <v>24</v>
      </c>
      <c r="K2522" s="6">
        <f t="shared" ca="1" si="164"/>
        <v>30183</v>
      </c>
      <c r="L2522">
        <v>-15578</v>
      </c>
      <c r="M2522" s="7">
        <f t="shared" ca="1" si="162"/>
        <v>42.650239561943877</v>
      </c>
      <c r="N2522" s="5" t="str">
        <f ca="1">VLOOKUP(Data!M2522,temp!$B$3:$C$9,2,1)</f>
        <v>40-50</v>
      </c>
      <c r="O2522">
        <v>-7949</v>
      </c>
      <c r="P2522" s="8">
        <f t="shared" si="163"/>
        <v>21.763175906913073</v>
      </c>
      <c r="Q2522" s="5" t="str">
        <f t="shared" si="165"/>
        <v>Employed</v>
      </c>
      <c r="R2522">
        <v>1</v>
      </c>
      <c r="S2522">
        <v>1</v>
      </c>
      <c r="T2522">
        <v>1</v>
      </c>
      <c r="U2522">
        <v>0</v>
      </c>
      <c r="W2522">
        <v>2</v>
      </c>
    </row>
    <row r="2523" spans="1:23" x14ac:dyDescent="0.2">
      <c r="A2523">
        <v>5089028</v>
      </c>
      <c r="B2523" t="s">
        <v>18</v>
      </c>
      <c r="C2523" t="s">
        <v>19</v>
      </c>
      <c r="D2523" t="s">
        <v>19</v>
      </c>
      <c r="E2523">
        <v>0</v>
      </c>
      <c r="F2523">
        <v>171000</v>
      </c>
      <c r="G2523" t="s">
        <v>31</v>
      </c>
      <c r="H2523" t="s">
        <v>27</v>
      </c>
      <c r="I2523" t="s">
        <v>28</v>
      </c>
      <c r="J2523" t="s">
        <v>24</v>
      </c>
      <c r="K2523" s="6">
        <f t="shared" ca="1" si="164"/>
        <v>28253</v>
      </c>
      <c r="L2523">
        <v>-17508</v>
      </c>
      <c r="M2523" s="7">
        <f t="shared" ca="1" si="162"/>
        <v>47.93429158110883</v>
      </c>
      <c r="N2523" s="5" t="str">
        <f ca="1">VLOOKUP(Data!M2523,temp!$B$3:$C$9,2,1)</f>
        <v>40-50</v>
      </c>
      <c r="O2523">
        <v>-1648</v>
      </c>
      <c r="P2523" s="8">
        <f t="shared" si="163"/>
        <v>4.5119780971937029</v>
      </c>
      <c r="Q2523" s="5" t="str">
        <f t="shared" si="165"/>
        <v>Employed</v>
      </c>
      <c r="R2523">
        <v>1</v>
      </c>
      <c r="S2523">
        <v>0</v>
      </c>
      <c r="T2523">
        <v>0</v>
      </c>
      <c r="U2523">
        <v>0</v>
      </c>
      <c r="V2523" t="s">
        <v>29</v>
      </c>
      <c r="W2523">
        <v>2</v>
      </c>
    </row>
    <row r="2524" spans="1:23" x14ac:dyDescent="0.2">
      <c r="A2524">
        <v>5089030</v>
      </c>
      <c r="B2524" t="s">
        <v>18</v>
      </c>
      <c r="C2524" t="s">
        <v>19</v>
      </c>
      <c r="D2524" t="s">
        <v>19</v>
      </c>
      <c r="E2524">
        <v>0</v>
      </c>
      <c r="F2524">
        <v>171000</v>
      </c>
      <c r="G2524" t="s">
        <v>31</v>
      </c>
      <c r="H2524" t="s">
        <v>27</v>
      </c>
      <c r="I2524" t="s">
        <v>28</v>
      </c>
      <c r="J2524" t="s">
        <v>24</v>
      </c>
      <c r="K2524" s="6">
        <f t="shared" ca="1" si="164"/>
        <v>28253</v>
      </c>
      <c r="L2524">
        <v>-17508</v>
      </c>
      <c r="M2524" s="7">
        <f t="shared" ca="1" si="162"/>
        <v>47.93429158110883</v>
      </c>
      <c r="N2524" s="5" t="str">
        <f ca="1">VLOOKUP(Data!M2524,temp!$B$3:$C$9,2,1)</f>
        <v>40-50</v>
      </c>
      <c r="O2524">
        <v>-1648</v>
      </c>
      <c r="P2524" s="8">
        <f t="shared" si="163"/>
        <v>4.5119780971937029</v>
      </c>
      <c r="Q2524" s="5" t="str">
        <f t="shared" si="165"/>
        <v>Employed</v>
      </c>
      <c r="R2524">
        <v>1</v>
      </c>
      <c r="S2524">
        <v>0</v>
      </c>
      <c r="T2524">
        <v>0</v>
      </c>
      <c r="U2524">
        <v>0</v>
      </c>
      <c r="V2524" t="s">
        <v>29</v>
      </c>
      <c r="W2524">
        <v>2</v>
      </c>
    </row>
    <row r="2525" spans="1:23" x14ac:dyDescent="0.2">
      <c r="A2525">
        <v>5089034</v>
      </c>
      <c r="B2525" t="s">
        <v>18</v>
      </c>
      <c r="C2525" t="s">
        <v>19</v>
      </c>
      <c r="D2525" t="s">
        <v>19</v>
      </c>
      <c r="E2525">
        <v>0</v>
      </c>
      <c r="F2525">
        <v>171000</v>
      </c>
      <c r="G2525" t="s">
        <v>31</v>
      </c>
      <c r="H2525" t="s">
        <v>27</v>
      </c>
      <c r="I2525" t="s">
        <v>28</v>
      </c>
      <c r="J2525" t="s">
        <v>24</v>
      </c>
      <c r="K2525" s="6">
        <f t="shared" ca="1" si="164"/>
        <v>28253</v>
      </c>
      <c r="L2525">
        <v>-17508</v>
      </c>
      <c r="M2525" s="7">
        <f t="shared" ca="1" si="162"/>
        <v>47.93429158110883</v>
      </c>
      <c r="N2525" s="5" t="str">
        <f ca="1">VLOOKUP(Data!M2525,temp!$B$3:$C$9,2,1)</f>
        <v>40-50</v>
      </c>
      <c r="O2525">
        <v>-1648</v>
      </c>
      <c r="P2525" s="8">
        <f t="shared" si="163"/>
        <v>4.5119780971937029</v>
      </c>
      <c r="Q2525" s="5" t="str">
        <f t="shared" si="165"/>
        <v>Employed</v>
      </c>
      <c r="R2525">
        <v>1</v>
      </c>
      <c r="S2525">
        <v>0</v>
      </c>
      <c r="T2525">
        <v>0</v>
      </c>
      <c r="U2525">
        <v>0</v>
      </c>
      <c r="V2525" t="s">
        <v>29</v>
      </c>
      <c r="W2525">
        <v>2</v>
      </c>
    </row>
    <row r="2526" spans="1:23" x14ac:dyDescent="0.2">
      <c r="A2526">
        <v>5089037</v>
      </c>
      <c r="B2526" t="s">
        <v>18</v>
      </c>
      <c r="C2526" t="s">
        <v>19</v>
      </c>
      <c r="D2526" t="s">
        <v>19</v>
      </c>
      <c r="E2526">
        <v>0</v>
      </c>
      <c r="F2526">
        <v>117000</v>
      </c>
      <c r="G2526" t="s">
        <v>21</v>
      </c>
      <c r="H2526" t="s">
        <v>27</v>
      </c>
      <c r="I2526" t="s">
        <v>33</v>
      </c>
      <c r="J2526" t="s">
        <v>24</v>
      </c>
      <c r="K2526" s="6">
        <f t="shared" ca="1" si="164"/>
        <v>23709</v>
      </c>
      <c r="L2526">
        <v>-22052</v>
      </c>
      <c r="M2526" s="7">
        <f t="shared" ca="1" si="162"/>
        <v>60.375085557837096</v>
      </c>
      <c r="N2526" s="5" t="str">
        <f ca="1">VLOOKUP(Data!M2526,temp!$B$3:$C$9,2,1)</f>
        <v>60-70</v>
      </c>
      <c r="O2526">
        <v>365243</v>
      </c>
      <c r="P2526" s="8">
        <f t="shared" si="163"/>
        <v>0</v>
      </c>
      <c r="Q2526" s="5" t="str">
        <f t="shared" si="165"/>
        <v>Unemployed</v>
      </c>
      <c r="R2526">
        <v>1</v>
      </c>
      <c r="S2526">
        <v>0</v>
      </c>
      <c r="T2526">
        <v>1</v>
      </c>
      <c r="U2526">
        <v>0</v>
      </c>
      <c r="W2526">
        <v>1</v>
      </c>
    </row>
    <row r="2527" spans="1:23" x14ac:dyDescent="0.2">
      <c r="A2527">
        <v>5089039</v>
      </c>
      <c r="B2527" t="s">
        <v>18</v>
      </c>
      <c r="C2527" t="s">
        <v>20</v>
      </c>
      <c r="D2527" t="s">
        <v>19</v>
      </c>
      <c r="E2527">
        <v>0</v>
      </c>
      <c r="F2527">
        <v>225000</v>
      </c>
      <c r="G2527" t="s">
        <v>31</v>
      </c>
      <c r="H2527" t="s">
        <v>27</v>
      </c>
      <c r="I2527" t="s">
        <v>42</v>
      </c>
      <c r="J2527" t="s">
        <v>24</v>
      </c>
      <c r="K2527" s="6">
        <f t="shared" ca="1" si="164"/>
        <v>33239</v>
      </c>
      <c r="L2527">
        <v>-12522</v>
      </c>
      <c r="M2527" s="7">
        <f t="shared" ca="1" si="162"/>
        <v>34.283367556468171</v>
      </c>
      <c r="N2527" s="5" t="str">
        <f ca="1">VLOOKUP(Data!M2527,temp!$B$3:$C$9,2,1)</f>
        <v>30-40</v>
      </c>
      <c r="O2527">
        <v>-613</v>
      </c>
      <c r="P2527" s="8">
        <f t="shared" si="163"/>
        <v>1.678302532511978</v>
      </c>
      <c r="Q2527" s="5" t="str">
        <f t="shared" si="165"/>
        <v>Employed</v>
      </c>
      <c r="R2527">
        <v>1</v>
      </c>
      <c r="S2527">
        <v>1</v>
      </c>
      <c r="T2527">
        <v>0</v>
      </c>
      <c r="U2527">
        <v>0</v>
      </c>
      <c r="V2527" t="s">
        <v>29</v>
      </c>
      <c r="W2527">
        <v>1</v>
      </c>
    </row>
    <row r="2528" spans="1:23" x14ac:dyDescent="0.2">
      <c r="A2528">
        <v>5089048</v>
      </c>
      <c r="B2528" t="s">
        <v>18</v>
      </c>
      <c r="C2528" t="s">
        <v>20</v>
      </c>
      <c r="D2528" t="s">
        <v>19</v>
      </c>
      <c r="E2528">
        <v>0</v>
      </c>
      <c r="F2528">
        <v>225000</v>
      </c>
      <c r="G2528" t="s">
        <v>31</v>
      </c>
      <c r="H2528" t="s">
        <v>27</v>
      </c>
      <c r="I2528" t="s">
        <v>42</v>
      </c>
      <c r="J2528" t="s">
        <v>24</v>
      </c>
      <c r="K2528" s="6">
        <f t="shared" ca="1" si="164"/>
        <v>33239</v>
      </c>
      <c r="L2528">
        <v>-12522</v>
      </c>
      <c r="M2528" s="7">
        <f t="shared" ca="1" si="162"/>
        <v>34.283367556468171</v>
      </c>
      <c r="N2528" s="5" t="str">
        <f ca="1">VLOOKUP(Data!M2528,temp!$B$3:$C$9,2,1)</f>
        <v>30-40</v>
      </c>
      <c r="O2528">
        <v>-613</v>
      </c>
      <c r="P2528" s="8">
        <f t="shared" si="163"/>
        <v>1.678302532511978</v>
      </c>
      <c r="Q2528" s="5" t="str">
        <f t="shared" si="165"/>
        <v>Employed</v>
      </c>
      <c r="R2528">
        <v>1</v>
      </c>
      <c r="S2528">
        <v>1</v>
      </c>
      <c r="T2528">
        <v>0</v>
      </c>
      <c r="U2528">
        <v>0</v>
      </c>
      <c r="V2528" t="s">
        <v>29</v>
      </c>
      <c r="W2528">
        <v>1</v>
      </c>
    </row>
    <row r="2529" spans="1:23" x14ac:dyDescent="0.2">
      <c r="A2529">
        <v>5089050</v>
      </c>
      <c r="B2529" t="s">
        <v>25</v>
      </c>
      <c r="C2529" t="s">
        <v>19</v>
      </c>
      <c r="D2529" t="s">
        <v>19</v>
      </c>
      <c r="E2529">
        <v>0</v>
      </c>
      <c r="F2529">
        <v>225000</v>
      </c>
      <c r="G2529" t="s">
        <v>31</v>
      </c>
      <c r="H2529" t="s">
        <v>22</v>
      </c>
      <c r="I2529" t="s">
        <v>28</v>
      </c>
      <c r="J2529" t="s">
        <v>24</v>
      </c>
      <c r="K2529" s="6">
        <f t="shared" ca="1" si="164"/>
        <v>32530</v>
      </c>
      <c r="L2529">
        <v>-13231</v>
      </c>
      <c r="M2529" s="7">
        <f t="shared" ca="1" si="162"/>
        <v>36.224503764544835</v>
      </c>
      <c r="N2529" s="5" t="str">
        <f ca="1">VLOOKUP(Data!M2529,temp!$B$3:$C$9,2,1)</f>
        <v>30-40</v>
      </c>
      <c r="O2529">
        <v>-3139</v>
      </c>
      <c r="P2529" s="8">
        <f t="shared" si="163"/>
        <v>8.5941136208076667</v>
      </c>
      <c r="Q2529" s="5" t="str">
        <f t="shared" si="165"/>
        <v>Employed</v>
      </c>
      <c r="R2529">
        <v>1</v>
      </c>
      <c r="S2529">
        <v>1</v>
      </c>
      <c r="T2529">
        <v>1</v>
      </c>
      <c r="U2529">
        <v>0</v>
      </c>
      <c r="V2529" t="s">
        <v>39</v>
      </c>
      <c r="W2529">
        <v>2</v>
      </c>
    </row>
    <row r="2530" spans="1:23" x14ac:dyDescent="0.2">
      <c r="A2530">
        <v>5089057</v>
      </c>
      <c r="B2530" t="s">
        <v>18</v>
      </c>
      <c r="C2530" t="s">
        <v>20</v>
      </c>
      <c r="D2530" t="s">
        <v>19</v>
      </c>
      <c r="E2530">
        <v>0</v>
      </c>
      <c r="F2530">
        <v>157500</v>
      </c>
      <c r="G2530" t="s">
        <v>35</v>
      </c>
      <c r="H2530" t="s">
        <v>27</v>
      </c>
      <c r="I2530" t="s">
        <v>28</v>
      </c>
      <c r="J2530" t="s">
        <v>24</v>
      </c>
      <c r="K2530" s="6">
        <f t="shared" ca="1" si="164"/>
        <v>28680</v>
      </c>
      <c r="L2530">
        <v>-17081</v>
      </c>
      <c r="M2530" s="7">
        <f t="shared" ca="1" si="162"/>
        <v>46.765229295003422</v>
      </c>
      <c r="N2530" s="5" t="str">
        <f ca="1">VLOOKUP(Data!M2530,temp!$B$3:$C$9,2,1)</f>
        <v>40-50</v>
      </c>
      <c r="O2530">
        <v>-2927</v>
      </c>
      <c r="P2530" s="8">
        <f t="shared" si="163"/>
        <v>8.0136892539356612</v>
      </c>
      <c r="Q2530" s="5" t="str">
        <f t="shared" si="165"/>
        <v>Employed</v>
      </c>
      <c r="R2530">
        <v>1</v>
      </c>
      <c r="S2530">
        <v>0</v>
      </c>
      <c r="T2530">
        <v>1</v>
      </c>
      <c r="U2530">
        <v>0</v>
      </c>
      <c r="W2530">
        <v>2</v>
      </c>
    </row>
    <row r="2531" spans="1:23" x14ac:dyDescent="0.2">
      <c r="A2531">
        <v>5089058</v>
      </c>
      <c r="B2531" t="s">
        <v>18</v>
      </c>
      <c r="C2531" t="s">
        <v>20</v>
      </c>
      <c r="D2531" t="s">
        <v>19</v>
      </c>
      <c r="E2531">
        <v>0</v>
      </c>
      <c r="F2531">
        <v>157500</v>
      </c>
      <c r="G2531" t="s">
        <v>35</v>
      </c>
      <c r="H2531" t="s">
        <v>27</v>
      </c>
      <c r="I2531" t="s">
        <v>28</v>
      </c>
      <c r="J2531" t="s">
        <v>24</v>
      </c>
      <c r="K2531" s="6">
        <f t="shared" ca="1" si="164"/>
        <v>28680</v>
      </c>
      <c r="L2531">
        <v>-17081</v>
      </c>
      <c r="M2531" s="7">
        <f t="shared" ca="1" si="162"/>
        <v>46.765229295003422</v>
      </c>
      <c r="N2531" s="5" t="str">
        <f ca="1">VLOOKUP(Data!M2531,temp!$B$3:$C$9,2,1)</f>
        <v>40-50</v>
      </c>
      <c r="O2531">
        <v>-2927</v>
      </c>
      <c r="P2531" s="8">
        <f t="shared" si="163"/>
        <v>8.0136892539356612</v>
      </c>
      <c r="Q2531" s="5" t="str">
        <f t="shared" si="165"/>
        <v>Employed</v>
      </c>
      <c r="R2531">
        <v>1</v>
      </c>
      <c r="S2531">
        <v>0</v>
      </c>
      <c r="T2531">
        <v>1</v>
      </c>
      <c r="U2531">
        <v>0</v>
      </c>
      <c r="W2531">
        <v>2</v>
      </c>
    </row>
    <row r="2532" spans="1:23" x14ac:dyDescent="0.2">
      <c r="A2532">
        <v>5089065</v>
      </c>
      <c r="B2532" t="s">
        <v>18</v>
      </c>
      <c r="C2532" t="s">
        <v>20</v>
      </c>
      <c r="D2532" t="s">
        <v>19</v>
      </c>
      <c r="E2532">
        <v>0</v>
      </c>
      <c r="F2532">
        <v>225000</v>
      </c>
      <c r="G2532" t="s">
        <v>31</v>
      </c>
      <c r="H2532" t="s">
        <v>27</v>
      </c>
      <c r="I2532" t="s">
        <v>33</v>
      </c>
      <c r="J2532" t="s">
        <v>24</v>
      </c>
      <c r="K2532" s="6">
        <f t="shared" ca="1" si="164"/>
        <v>32344</v>
      </c>
      <c r="L2532">
        <v>-13417</v>
      </c>
      <c r="M2532" s="7">
        <f t="shared" ca="1" si="162"/>
        <v>36.733744010951405</v>
      </c>
      <c r="N2532" s="5" t="str">
        <f ca="1">VLOOKUP(Data!M2532,temp!$B$3:$C$9,2,1)</f>
        <v>30-40</v>
      </c>
      <c r="O2532">
        <v>-3931</v>
      </c>
      <c r="P2532" s="8">
        <f t="shared" si="163"/>
        <v>10.762491444216289</v>
      </c>
      <c r="Q2532" s="5" t="str">
        <f t="shared" si="165"/>
        <v>Employed</v>
      </c>
      <c r="R2532">
        <v>1</v>
      </c>
      <c r="S2532">
        <v>1</v>
      </c>
      <c r="T2532">
        <v>1</v>
      </c>
      <c r="U2532">
        <v>0</v>
      </c>
      <c r="V2532" t="s">
        <v>44</v>
      </c>
      <c r="W2532">
        <v>1</v>
      </c>
    </row>
    <row r="2533" spans="1:23" x14ac:dyDescent="0.2">
      <c r="A2533">
        <v>5089079</v>
      </c>
      <c r="B2533" t="s">
        <v>18</v>
      </c>
      <c r="C2533" t="s">
        <v>19</v>
      </c>
      <c r="D2533" t="s">
        <v>19</v>
      </c>
      <c r="E2533">
        <v>0</v>
      </c>
      <c r="F2533">
        <v>135000</v>
      </c>
      <c r="G2533" t="s">
        <v>26</v>
      </c>
      <c r="H2533" t="s">
        <v>27</v>
      </c>
      <c r="I2533" t="s">
        <v>42</v>
      </c>
      <c r="J2533" t="s">
        <v>24</v>
      </c>
      <c r="K2533" s="6">
        <f t="shared" ca="1" si="164"/>
        <v>27288</v>
      </c>
      <c r="L2533">
        <v>-18473</v>
      </c>
      <c r="M2533" s="7">
        <f t="shared" ca="1" si="162"/>
        <v>50.57631759069131</v>
      </c>
      <c r="N2533" s="5" t="str">
        <f ca="1">VLOOKUP(Data!M2533,temp!$B$3:$C$9,2,1)</f>
        <v>50-60</v>
      </c>
      <c r="O2533">
        <v>-2531</v>
      </c>
      <c r="P2533" s="8">
        <f t="shared" si="163"/>
        <v>6.9295003422313481</v>
      </c>
      <c r="Q2533" s="5" t="str">
        <f t="shared" si="165"/>
        <v>Employed</v>
      </c>
      <c r="R2533">
        <v>1</v>
      </c>
      <c r="S2533">
        <v>0</v>
      </c>
      <c r="T2533">
        <v>1</v>
      </c>
      <c r="U2533">
        <v>0</v>
      </c>
      <c r="V2533" t="s">
        <v>55</v>
      </c>
      <c r="W2533">
        <v>1</v>
      </c>
    </row>
    <row r="2534" spans="1:23" x14ac:dyDescent="0.2">
      <c r="A2534">
        <v>5089083</v>
      </c>
      <c r="B2534" t="s">
        <v>18</v>
      </c>
      <c r="C2534" t="s">
        <v>19</v>
      </c>
      <c r="D2534" t="s">
        <v>19</v>
      </c>
      <c r="E2534">
        <v>0</v>
      </c>
      <c r="F2534">
        <v>135000</v>
      </c>
      <c r="G2534" t="s">
        <v>26</v>
      </c>
      <c r="H2534" t="s">
        <v>27</v>
      </c>
      <c r="I2534" t="s">
        <v>42</v>
      </c>
      <c r="J2534" t="s">
        <v>24</v>
      </c>
      <c r="K2534" s="6">
        <f t="shared" ca="1" si="164"/>
        <v>27288</v>
      </c>
      <c r="L2534">
        <v>-18473</v>
      </c>
      <c r="M2534" s="7">
        <f t="shared" ca="1" si="162"/>
        <v>50.57631759069131</v>
      </c>
      <c r="N2534" s="5" t="str">
        <f ca="1">VLOOKUP(Data!M2534,temp!$B$3:$C$9,2,1)</f>
        <v>50-60</v>
      </c>
      <c r="O2534">
        <v>-2531</v>
      </c>
      <c r="P2534" s="8">
        <f t="shared" si="163"/>
        <v>6.9295003422313481</v>
      </c>
      <c r="Q2534" s="5" t="str">
        <f t="shared" si="165"/>
        <v>Employed</v>
      </c>
      <c r="R2534">
        <v>1</v>
      </c>
      <c r="S2534">
        <v>0</v>
      </c>
      <c r="T2534">
        <v>1</v>
      </c>
      <c r="U2534">
        <v>0</v>
      </c>
      <c r="V2534" t="s">
        <v>55</v>
      </c>
      <c r="W2534">
        <v>1</v>
      </c>
    </row>
    <row r="2535" spans="1:23" x14ac:dyDescent="0.2">
      <c r="A2535">
        <v>5089108</v>
      </c>
      <c r="B2535" t="s">
        <v>18</v>
      </c>
      <c r="C2535" t="s">
        <v>19</v>
      </c>
      <c r="D2535" t="s">
        <v>19</v>
      </c>
      <c r="E2535">
        <v>0</v>
      </c>
      <c r="F2535">
        <v>112500</v>
      </c>
      <c r="G2535" t="s">
        <v>31</v>
      </c>
      <c r="H2535" t="s">
        <v>27</v>
      </c>
      <c r="I2535" t="s">
        <v>28</v>
      </c>
      <c r="J2535" t="s">
        <v>41</v>
      </c>
      <c r="K2535" s="6">
        <f t="shared" ca="1" si="164"/>
        <v>26038</v>
      </c>
      <c r="L2535">
        <v>-19723</v>
      </c>
      <c r="M2535" s="7">
        <f t="shared" ca="1" si="162"/>
        <v>53.998631074606436</v>
      </c>
      <c r="N2535" s="5" t="str">
        <f ca="1">VLOOKUP(Data!M2535,temp!$B$3:$C$9,2,1)</f>
        <v>50-60</v>
      </c>
      <c r="O2535">
        <v>-1191</v>
      </c>
      <c r="P2535" s="8">
        <f t="shared" si="163"/>
        <v>3.2607802874743328</v>
      </c>
      <c r="Q2535" s="5" t="str">
        <f t="shared" si="165"/>
        <v>Employed</v>
      </c>
      <c r="R2535">
        <v>1</v>
      </c>
      <c r="S2535">
        <v>0</v>
      </c>
      <c r="T2535">
        <v>1</v>
      </c>
      <c r="U2535">
        <v>0</v>
      </c>
      <c r="W2535">
        <v>2</v>
      </c>
    </row>
    <row r="2536" spans="1:23" x14ac:dyDescent="0.2">
      <c r="A2536">
        <v>5089121</v>
      </c>
      <c r="B2536" t="s">
        <v>18</v>
      </c>
      <c r="C2536" t="s">
        <v>19</v>
      </c>
      <c r="D2536" t="s">
        <v>19</v>
      </c>
      <c r="E2536">
        <v>1</v>
      </c>
      <c r="F2536">
        <v>162000</v>
      </c>
      <c r="G2536" t="s">
        <v>31</v>
      </c>
      <c r="H2536" t="s">
        <v>36</v>
      </c>
      <c r="I2536" t="s">
        <v>37</v>
      </c>
      <c r="J2536" t="s">
        <v>24</v>
      </c>
      <c r="K2536" s="6">
        <f t="shared" ca="1" si="164"/>
        <v>33181</v>
      </c>
      <c r="L2536">
        <v>-12580</v>
      </c>
      <c r="M2536" s="7">
        <f t="shared" ca="1" si="162"/>
        <v>34.442162902121837</v>
      </c>
      <c r="N2536" s="5" t="str">
        <f ca="1">VLOOKUP(Data!M2536,temp!$B$3:$C$9,2,1)</f>
        <v>30-40</v>
      </c>
      <c r="O2536">
        <v>-3109</v>
      </c>
      <c r="P2536" s="8">
        <f t="shared" si="163"/>
        <v>8.5119780971937029</v>
      </c>
      <c r="Q2536" s="5" t="str">
        <f t="shared" si="165"/>
        <v>Employed</v>
      </c>
      <c r="R2536">
        <v>1</v>
      </c>
      <c r="S2536">
        <v>1</v>
      </c>
      <c r="T2536">
        <v>1</v>
      </c>
      <c r="U2536">
        <v>0</v>
      </c>
      <c r="V2536" t="s">
        <v>38</v>
      </c>
      <c r="W2536">
        <v>3</v>
      </c>
    </row>
    <row r="2537" spans="1:23" x14ac:dyDescent="0.2">
      <c r="A2537">
        <v>5089125</v>
      </c>
      <c r="B2537" t="s">
        <v>18</v>
      </c>
      <c r="C2537" t="s">
        <v>19</v>
      </c>
      <c r="D2537" t="s">
        <v>19</v>
      </c>
      <c r="E2537">
        <v>1</v>
      </c>
      <c r="F2537">
        <v>162000</v>
      </c>
      <c r="G2537" t="s">
        <v>31</v>
      </c>
      <c r="H2537" t="s">
        <v>36</v>
      </c>
      <c r="I2537" t="s">
        <v>37</v>
      </c>
      <c r="J2537" t="s">
        <v>24</v>
      </c>
      <c r="K2537" s="6">
        <f t="shared" ca="1" si="164"/>
        <v>33181</v>
      </c>
      <c r="L2537">
        <v>-12580</v>
      </c>
      <c r="M2537" s="7">
        <f t="shared" ca="1" si="162"/>
        <v>34.442162902121837</v>
      </c>
      <c r="N2537" s="5" t="str">
        <f ca="1">VLOOKUP(Data!M2537,temp!$B$3:$C$9,2,1)</f>
        <v>30-40</v>
      </c>
      <c r="O2537">
        <v>-3109</v>
      </c>
      <c r="P2537" s="8">
        <f t="shared" si="163"/>
        <v>8.5119780971937029</v>
      </c>
      <c r="Q2537" s="5" t="str">
        <f t="shared" si="165"/>
        <v>Employed</v>
      </c>
      <c r="R2537">
        <v>1</v>
      </c>
      <c r="S2537">
        <v>1</v>
      </c>
      <c r="T2537">
        <v>1</v>
      </c>
      <c r="U2537">
        <v>0</v>
      </c>
      <c r="V2537" t="s">
        <v>38</v>
      </c>
      <c r="W2537">
        <v>3</v>
      </c>
    </row>
    <row r="2538" spans="1:23" x14ac:dyDescent="0.2">
      <c r="A2538">
        <v>5089132</v>
      </c>
      <c r="B2538" t="s">
        <v>18</v>
      </c>
      <c r="C2538" t="s">
        <v>19</v>
      </c>
      <c r="D2538" t="s">
        <v>19</v>
      </c>
      <c r="E2538">
        <v>0</v>
      </c>
      <c r="F2538">
        <v>90000</v>
      </c>
      <c r="G2538" t="s">
        <v>31</v>
      </c>
      <c r="H2538" t="s">
        <v>27</v>
      </c>
      <c r="I2538" t="s">
        <v>28</v>
      </c>
      <c r="J2538" t="s">
        <v>45</v>
      </c>
      <c r="K2538" s="6">
        <f t="shared" ca="1" si="164"/>
        <v>26590</v>
      </c>
      <c r="L2538">
        <v>-19171</v>
      </c>
      <c r="M2538" s="7">
        <f t="shared" ca="1" si="162"/>
        <v>52.487337440109513</v>
      </c>
      <c r="N2538" s="5" t="str">
        <f ca="1">VLOOKUP(Data!M2538,temp!$B$3:$C$9,2,1)</f>
        <v>50-60</v>
      </c>
      <c r="O2538">
        <v>-429</v>
      </c>
      <c r="P2538" s="8">
        <f t="shared" si="163"/>
        <v>1.1745379876796715</v>
      </c>
      <c r="Q2538" s="5" t="str">
        <f t="shared" si="165"/>
        <v>Employed</v>
      </c>
      <c r="R2538">
        <v>1</v>
      </c>
      <c r="S2538">
        <v>0</v>
      </c>
      <c r="T2538">
        <v>0</v>
      </c>
      <c r="U2538">
        <v>0</v>
      </c>
      <c r="V2538" t="s">
        <v>29</v>
      </c>
      <c r="W2538">
        <v>2</v>
      </c>
    </row>
    <row r="2539" spans="1:23" x14ac:dyDescent="0.2">
      <c r="A2539">
        <v>5089139</v>
      </c>
      <c r="B2539" t="s">
        <v>18</v>
      </c>
      <c r="C2539" t="s">
        <v>20</v>
      </c>
      <c r="D2539" t="s">
        <v>19</v>
      </c>
      <c r="E2539">
        <v>0</v>
      </c>
      <c r="F2539">
        <v>202500</v>
      </c>
      <c r="G2539" t="s">
        <v>26</v>
      </c>
      <c r="H2539" t="s">
        <v>27</v>
      </c>
      <c r="I2539" t="s">
        <v>37</v>
      </c>
      <c r="J2539" t="s">
        <v>41</v>
      </c>
      <c r="K2539" s="6">
        <f t="shared" ca="1" si="164"/>
        <v>31533</v>
      </c>
      <c r="L2539">
        <v>-14228</v>
      </c>
      <c r="M2539" s="7">
        <f t="shared" ca="1" si="162"/>
        <v>38.954140999315534</v>
      </c>
      <c r="N2539" s="5" t="str">
        <f ca="1">VLOOKUP(Data!M2539,temp!$B$3:$C$9,2,1)</f>
        <v>30-40</v>
      </c>
      <c r="O2539">
        <v>-5330</v>
      </c>
      <c r="P2539" s="8">
        <f t="shared" si="163"/>
        <v>14.592744695414099</v>
      </c>
      <c r="Q2539" s="5" t="str">
        <f t="shared" si="165"/>
        <v>Employed</v>
      </c>
      <c r="R2539">
        <v>1</v>
      </c>
      <c r="S2539">
        <v>0</v>
      </c>
      <c r="T2539">
        <v>1</v>
      </c>
      <c r="U2539">
        <v>0</v>
      </c>
      <c r="W2539">
        <v>2</v>
      </c>
    </row>
    <row r="2540" spans="1:23" x14ac:dyDescent="0.2">
      <c r="A2540">
        <v>5089144</v>
      </c>
      <c r="B2540" t="s">
        <v>18</v>
      </c>
      <c r="C2540" t="s">
        <v>20</v>
      </c>
      <c r="D2540" t="s">
        <v>19</v>
      </c>
      <c r="E2540">
        <v>0</v>
      </c>
      <c r="F2540">
        <v>202500</v>
      </c>
      <c r="G2540" t="s">
        <v>26</v>
      </c>
      <c r="H2540" t="s">
        <v>27</v>
      </c>
      <c r="I2540" t="s">
        <v>37</v>
      </c>
      <c r="J2540" t="s">
        <v>41</v>
      </c>
      <c r="K2540" s="6">
        <f t="shared" ca="1" si="164"/>
        <v>31533</v>
      </c>
      <c r="L2540">
        <v>-14228</v>
      </c>
      <c r="M2540" s="7">
        <f t="shared" ca="1" si="162"/>
        <v>38.954140999315534</v>
      </c>
      <c r="N2540" s="5" t="str">
        <f ca="1">VLOOKUP(Data!M2540,temp!$B$3:$C$9,2,1)</f>
        <v>30-40</v>
      </c>
      <c r="O2540">
        <v>-5330</v>
      </c>
      <c r="P2540" s="8">
        <f t="shared" si="163"/>
        <v>14.592744695414099</v>
      </c>
      <c r="Q2540" s="5" t="str">
        <f t="shared" si="165"/>
        <v>Employed</v>
      </c>
      <c r="R2540">
        <v>1</v>
      </c>
      <c r="S2540">
        <v>0</v>
      </c>
      <c r="T2540">
        <v>1</v>
      </c>
      <c r="U2540">
        <v>0</v>
      </c>
      <c r="W2540">
        <v>2</v>
      </c>
    </row>
    <row r="2541" spans="1:23" x14ac:dyDescent="0.2">
      <c r="A2541">
        <v>5089151</v>
      </c>
      <c r="B2541" t="s">
        <v>25</v>
      </c>
      <c r="C2541" t="s">
        <v>20</v>
      </c>
      <c r="D2541" t="s">
        <v>19</v>
      </c>
      <c r="E2541">
        <v>2</v>
      </c>
      <c r="F2541">
        <v>292500</v>
      </c>
      <c r="G2541" t="s">
        <v>35</v>
      </c>
      <c r="H2541" t="s">
        <v>27</v>
      </c>
      <c r="I2541" t="s">
        <v>28</v>
      </c>
      <c r="J2541" t="s">
        <v>41</v>
      </c>
      <c r="K2541" s="6">
        <f t="shared" ca="1" si="164"/>
        <v>30178</v>
      </c>
      <c r="L2541">
        <v>-15583</v>
      </c>
      <c r="M2541" s="7">
        <f t="shared" ca="1" si="162"/>
        <v>42.663928815879537</v>
      </c>
      <c r="N2541" s="5" t="str">
        <f ca="1">VLOOKUP(Data!M2541,temp!$B$3:$C$9,2,1)</f>
        <v>40-50</v>
      </c>
      <c r="O2541">
        <v>-6031</v>
      </c>
      <c r="P2541" s="8">
        <f t="shared" si="163"/>
        <v>16.511978097193705</v>
      </c>
      <c r="Q2541" s="5" t="str">
        <f t="shared" si="165"/>
        <v>Employed</v>
      </c>
      <c r="R2541">
        <v>1</v>
      </c>
      <c r="S2541">
        <v>0</v>
      </c>
      <c r="T2541">
        <v>1</v>
      </c>
      <c r="U2541">
        <v>0</v>
      </c>
      <c r="V2541" t="s">
        <v>30</v>
      </c>
      <c r="W2541">
        <v>4</v>
      </c>
    </row>
    <row r="2542" spans="1:23" x14ac:dyDescent="0.2">
      <c r="A2542">
        <v>5089152</v>
      </c>
      <c r="B2542" t="s">
        <v>25</v>
      </c>
      <c r="C2542" t="s">
        <v>20</v>
      </c>
      <c r="D2542" t="s">
        <v>19</v>
      </c>
      <c r="E2542">
        <v>2</v>
      </c>
      <c r="F2542">
        <v>292500</v>
      </c>
      <c r="G2542" t="s">
        <v>35</v>
      </c>
      <c r="H2542" t="s">
        <v>27</v>
      </c>
      <c r="I2542" t="s">
        <v>28</v>
      </c>
      <c r="J2542" t="s">
        <v>41</v>
      </c>
      <c r="K2542" s="6">
        <f t="shared" ca="1" si="164"/>
        <v>30178</v>
      </c>
      <c r="L2542">
        <v>-15583</v>
      </c>
      <c r="M2542" s="7">
        <f t="shared" ca="1" si="162"/>
        <v>42.663928815879537</v>
      </c>
      <c r="N2542" s="5" t="str">
        <f ca="1">VLOOKUP(Data!M2542,temp!$B$3:$C$9,2,1)</f>
        <v>40-50</v>
      </c>
      <c r="O2542">
        <v>-6031</v>
      </c>
      <c r="P2542" s="8">
        <f t="shared" si="163"/>
        <v>16.511978097193705</v>
      </c>
      <c r="Q2542" s="5" t="str">
        <f t="shared" si="165"/>
        <v>Employed</v>
      </c>
      <c r="R2542">
        <v>1</v>
      </c>
      <c r="S2542">
        <v>0</v>
      </c>
      <c r="T2542">
        <v>1</v>
      </c>
      <c r="U2542">
        <v>0</v>
      </c>
      <c r="V2542" t="s">
        <v>30</v>
      </c>
      <c r="W2542">
        <v>4</v>
      </c>
    </row>
    <row r="2543" spans="1:23" x14ac:dyDescent="0.2">
      <c r="A2543">
        <v>5089156</v>
      </c>
      <c r="B2543" t="s">
        <v>25</v>
      </c>
      <c r="C2543" t="s">
        <v>20</v>
      </c>
      <c r="D2543" t="s">
        <v>19</v>
      </c>
      <c r="E2543">
        <v>2</v>
      </c>
      <c r="F2543">
        <v>292500</v>
      </c>
      <c r="G2543" t="s">
        <v>35</v>
      </c>
      <c r="H2543" t="s">
        <v>27</v>
      </c>
      <c r="I2543" t="s">
        <v>28</v>
      </c>
      <c r="J2543" t="s">
        <v>41</v>
      </c>
      <c r="K2543" s="6">
        <f t="shared" ca="1" si="164"/>
        <v>30178</v>
      </c>
      <c r="L2543">
        <v>-15583</v>
      </c>
      <c r="M2543" s="7">
        <f t="shared" ca="1" si="162"/>
        <v>42.663928815879537</v>
      </c>
      <c r="N2543" s="5" t="str">
        <f ca="1">VLOOKUP(Data!M2543,temp!$B$3:$C$9,2,1)</f>
        <v>40-50</v>
      </c>
      <c r="O2543">
        <v>-6031</v>
      </c>
      <c r="P2543" s="8">
        <f t="shared" si="163"/>
        <v>16.511978097193705</v>
      </c>
      <c r="Q2543" s="5" t="str">
        <f t="shared" si="165"/>
        <v>Employed</v>
      </c>
      <c r="R2543">
        <v>1</v>
      </c>
      <c r="S2543">
        <v>0</v>
      </c>
      <c r="T2543">
        <v>1</v>
      </c>
      <c r="U2543">
        <v>0</v>
      </c>
      <c r="V2543" t="s">
        <v>30</v>
      </c>
      <c r="W2543">
        <v>4</v>
      </c>
    </row>
    <row r="2544" spans="1:23" x14ac:dyDescent="0.2">
      <c r="A2544">
        <v>5089194</v>
      </c>
      <c r="B2544" t="s">
        <v>18</v>
      </c>
      <c r="C2544" t="s">
        <v>19</v>
      </c>
      <c r="D2544" t="s">
        <v>19</v>
      </c>
      <c r="E2544">
        <v>0</v>
      </c>
      <c r="F2544">
        <v>94500</v>
      </c>
      <c r="G2544" t="s">
        <v>21</v>
      </c>
      <c r="H2544" t="s">
        <v>22</v>
      </c>
      <c r="I2544" t="s">
        <v>28</v>
      </c>
      <c r="J2544" t="s">
        <v>24</v>
      </c>
      <c r="K2544" s="6">
        <f t="shared" ca="1" si="164"/>
        <v>24388</v>
      </c>
      <c r="L2544">
        <v>-21373</v>
      </c>
      <c r="M2544" s="7">
        <f t="shared" ca="1" si="162"/>
        <v>58.516084873374403</v>
      </c>
      <c r="N2544" s="5" t="str">
        <f ca="1">VLOOKUP(Data!M2544,temp!$B$3:$C$9,2,1)</f>
        <v>50-60</v>
      </c>
      <c r="O2544">
        <v>365243</v>
      </c>
      <c r="P2544" s="8">
        <f t="shared" si="163"/>
        <v>0</v>
      </c>
      <c r="Q2544" s="5" t="str">
        <f t="shared" si="165"/>
        <v>Unemployed</v>
      </c>
      <c r="R2544">
        <v>1</v>
      </c>
      <c r="S2544">
        <v>0</v>
      </c>
      <c r="T2544">
        <v>1</v>
      </c>
      <c r="U2544">
        <v>0</v>
      </c>
      <c r="W2544">
        <v>2</v>
      </c>
    </row>
    <row r="2545" spans="1:23" x14ac:dyDescent="0.2">
      <c r="A2545">
        <v>5089196</v>
      </c>
      <c r="B2545" t="s">
        <v>18</v>
      </c>
      <c r="C2545" t="s">
        <v>19</v>
      </c>
      <c r="D2545" t="s">
        <v>19</v>
      </c>
      <c r="E2545">
        <v>0</v>
      </c>
      <c r="F2545">
        <v>94500</v>
      </c>
      <c r="G2545" t="s">
        <v>21</v>
      </c>
      <c r="H2545" t="s">
        <v>22</v>
      </c>
      <c r="I2545" t="s">
        <v>28</v>
      </c>
      <c r="J2545" t="s">
        <v>24</v>
      </c>
      <c r="K2545" s="6">
        <f t="shared" ca="1" si="164"/>
        <v>24388</v>
      </c>
      <c r="L2545">
        <v>-21373</v>
      </c>
      <c r="M2545" s="7">
        <f t="shared" ca="1" si="162"/>
        <v>58.516084873374403</v>
      </c>
      <c r="N2545" s="5" t="str">
        <f ca="1">VLOOKUP(Data!M2545,temp!$B$3:$C$9,2,1)</f>
        <v>50-60</v>
      </c>
      <c r="O2545">
        <v>365243</v>
      </c>
      <c r="P2545" s="8">
        <f t="shared" si="163"/>
        <v>0</v>
      </c>
      <c r="Q2545" s="5" t="str">
        <f t="shared" si="165"/>
        <v>Unemployed</v>
      </c>
      <c r="R2545">
        <v>1</v>
      </c>
      <c r="S2545">
        <v>0</v>
      </c>
      <c r="T2545">
        <v>1</v>
      </c>
      <c r="U2545">
        <v>0</v>
      </c>
      <c r="W2545">
        <v>2</v>
      </c>
    </row>
    <row r="2546" spans="1:23" x14ac:dyDescent="0.2">
      <c r="A2546">
        <v>5089211</v>
      </c>
      <c r="B2546" t="s">
        <v>18</v>
      </c>
      <c r="C2546" t="s">
        <v>20</v>
      </c>
      <c r="D2546" t="s">
        <v>19</v>
      </c>
      <c r="E2546">
        <v>0</v>
      </c>
      <c r="F2546">
        <v>189000</v>
      </c>
      <c r="G2546" t="s">
        <v>26</v>
      </c>
      <c r="H2546" t="s">
        <v>27</v>
      </c>
      <c r="I2546" t="s">
        <v>28</v>
      </c>
      <c r="J2546" t="s">
        <v>24</v>
      </c>
      <c r="K2546" s="6">
        <f t="shared" ca="1" si="164"/>
        <v>27897</v>
      </c>
      <c r="L2546">
        <v>-17864</v>
      </c>
      <c r="M2546" s="7">
        <f t="shared" ca="1" si="162"/>
        <v>48.908966461327857</v>
      </c>
      <c r="N2546" s="5" t="str">
        <f ca="1">VLOOKUP(Data!M2546,temp!$B$3:$C$9,2,1)</f>
        <v>40-50</v>
      </c>
      <c r="O2546">
        <v>-705</v>
      </c>
      <c r="P2546" s="8">
        <f t="shared" si="163"/>
        <v>1.9301848049281314</v>
      </c>
      <c r="Q2546" s="5" t="str">
        <f t="shared" si="165"/>
        <v>Employed</v>
      </c>
      <c r="R2546">
        <v>1</v>
      </c>
      <c r="S2546">
        <v>1</v>
      </c>
      <c r="T2546">
        <v>0</v>
      </c>
      <c r="U2546">
        <v>0</v>
      </c>
      <c r="V2546" t="s">
        <v>47</v>
      </c>
      <c r="W2546">
        <v>2</v>
      </c>
    </row>
    <row r="2547" spans="1:23" x14ac:dyDescent="0.2">
      <c r="A2547">
        <v>5089212</v>
      </c>
      <c r="B2547" t="s">
        <v>18</v>
      </c>
      <c r="C2547" t="s">
        <v>20</v>
      </c>
      <c r="D2547" t="s">
        <v>19</v>
      </c>
      <c r="E2547">
        <v>0</v>
      </c>
      <c r="F2547">
        <v>189000</v>
      </c>
      <c r="G2547" t="s">
        <v>26</v>
      </c>
      <c r="H2547" t="s">
        <v>27</v>
      </c>
      <c r="I2547" t="s">
        <v>28</v>
      </c>
      <c r="J2547" t="s">
        <v>24</v>
      </c>
      <c r="K2547" s="6">
        <f t="shared" ca="1" si="164"/>
        <v>27897</v>
      </c>
      <c r="L2547">
        <v>-17864</v>
      </c>
      <c r="M2547" s="7">
        <f t="shared" ca="1" si="162"/>
        <v>48.908966461327857</v>
      </c>
      <c r="N2547" s="5" t="str">
        <f ca="1">VLOOKUP(Data!M2547,temp!$B$3:$C$9,2,1)</f>
        <v>40-50</v>
      </c>
      <c r="O2547">
        <v>-705</v>
      </c>
      <c r="P2547" s="8">
        <f t="shared" si="163"/>
        <v>1.9301848049281314</v>
      </c>
      <c r="Q2547" s="5" t="str">
        <f t="shared" si="165"/>
        <v>Employed</v>
      </c>
      <c r="R2547">
        <v>1</v>
      </c>
      <c r="S2547">
        <v>1</v>
      </c>
      <c r="T2547">
        <v>0</v>
      </c>
      <c r="U2547">
        <v>0</v>
      </c>
      <c r="V2547" t="s">
        <v>47</v>
      </c>
      <c r="W2547">
        <v>2</v>
      </c>
    </row>
    <row r="2548" spans="1:23" x14ac:dyDescent="0.2">
      <c r="A2548">
        <v>5089242</v>
      </c>
      <c r="B2548" t="s">
        <v>18</v>
      </c>
      <c r="C2548" t="s">
        <v>19</v>
      </c>
      <c r="D2548" t="s">
        <v>19</v>
      </c>
      <c r="E2548">
        <v>0</v>
      </c>
      <c r="F2548">
        <v>270000</v>
      </c>
      <c r="G2548" t="s">
        <v>35</v>
      </c>
      <c r="H2548" t="s">
        <v>27</v>
      </c>
      <c r="I2548" t="s">
        <v>23</v>
      </c>
      <c r="J2548" t="s">
        <v>24</v>
      </c>
      <c r="K2548" s="6">
        <f t="shared" ca="1" si="164"/>
        <v>26398</v>
      </c>
      <c r="L2548">
        <v>-19363</v>
      </c>
      <c r="M2548" s="7">
        <f t="shared" ca="1" si="162"/>
        <v>53.013004791238878</v>
      </c>
      <c r="N2548" s="5" t="str">
        <f ca="1">VLOOKUP(Data!M2548,temp!$B$3:$C$9,2,1)</f>
        <v>50-60</v>
      </c>
      <c r="O2548">
        <v>-12332</v>
      </c>
      <c r="P2548" s="8">
        <f t="shared" si="163"/>
        <v>33.763175906913077</v>
      </c>
      <c r="Q2548" s="5" t="str">
        <f t="shared" si="165"/>
        <v>Employed</v>
      </c>
      <c r="R2548">
        <v>1</v>
      </c>
      <c r="S2548">
        <v>0</v>
      </c>
      <c r="T2548">
        <v>1</v>
      </c>
      <c r="U2548">
        <v>1</v>
      </c>
      <c r="V2548" t="s">
        <v>50</v>
      </c>
      <c r="W2548">
        <v>1</v>
      </c>
    </row>
    <row r="2549" spans="1:23" x14ac:dyDescent="0.2">
      <c r="A2549">
        <v>5089244</v>
      </c>
      <c r="B2549" t="s">
        <v>18</v>
      </c>
      <c r="C2549" t="s">
        <v>19</v>
      </c>
      <c r="D2549" t="s">
        <v>19</v>
      </c>
      <c r="E2549">
        <v>0</v>
      </c>
      <c r="F2549">
        <v>270000</v>
      </c>
      <c r="G2549" t="s">
        <v>35</v>
      </c>
      <c r="H2549" t="s">
        <v>27</v>
      </c>
      <c r="I2549" t="s">
        <v>23</v>
      </c>
      <c r="J2549" t="s">
        <v>24</v>
      </c>
      <c r="K2549" s="6">
        <f t="shared" ca="1" si="164"/>
        <v>26398</v>
      </c>
      <c r="L2549">
        <v>-19363</v>
      </c>
      <c r="M2549" s="7">
        <f t="shared" ca="1" si="162"/>
        <v>53.013004791238878</v>
      </c>
      <c r="N2549" s="5" t="str">
        <f ca="1">VLOOKUP(Data!M2549,temp!$B$3:$C$9,2,1)</f>
        <v>50-60</v>
      </c>
      <c r="O2549">
        <v>-12332</v>
      </c>
      <c r="P2549" s="8">
        <f t="shared" si="163"/>
        <v>33.763175906913077</v>
      </c>
      <c r="Q2549" s="5" t="str">
        <f t="shared" si="165"/>
        <v>Employed</v>
      </c>
      <c r="R2549">
        <v>1</v>
      </c>
      <c r="S2549">
        <v>0</v>
      </c>
      <c r="T2549">
        <v>1</v>
      </c>
      <c r="U2549">
        <v>1</v>
      </c>
      <c r="V2549" t="s">
        <v>50</v>
      </c>
      <c r="W2549">
        <v>1</v>
      </c>
    </row>
    <row r="2550" spans="1:23" x14ac:dyDescent="0.2">
      <c r="A2550">
        <v>5089255</v>
      </c>
      <c r="B2550" t="s">
        <v>18</v>
      </c>
      <c r="C2550" t="s">
        <v>19</v>
      </c>
      <c r="D2550" t="s">
        <v>19</v>
      </c>
      <c r="E2550">
        <v>0</v>
      </c>
      <c r="F2550">
        <v>72000</v>
      </c>
      <c r="G2550" t="s">
        <v>31</v>
      </c>
      <c r="H2550" t="s">
        <v>27</v>
      </c>
      <c r="I2550" t="s">
        <v>33</v>
      </c>
      <c r="J2550" t="s">
        <v>24</v>
      </c>
      <c r="K2550" s="6">
        <f t="shared" ca="1" si="164"/>
        <v>26962</v>
      </c>
      <c r="L2550">
        <v>-18799</v>
      </c>
      <c r="M2550" s="7">
        <f t="shared" ca="1" si="162"/>
        <v>51.468856947296374</v>
      </c>
      <c r="N2550" s="5" t="str">
        <f ca="1">VLOOKUP(Data!M2550,temp!$B$3:$C$9,2,1)</f>
        <v>50-60</v>
      </c>
      <c r="O2550">
        <v>-1466</v>
      </c>
      <c r="P2550" s="8">
        <f t="shared" si="163"/>
        <v>4.0136892539356603</v>
      </c>
      <c r="Q2550" s="5" t="str">
        <f t="shared" si="165"/>
        <v>Employed</v>
      </c>
      <c r="R2550">
        <v>1</v>
      </c>
      <c r="S2550">
        <v>1</v>
      </c>
      <c r="T2550">
        <v>0</v>
      </c>
      <c r="U2550">
        <v>0</v>
      </c>
      <c r="V2550" t="s">
        <v>46</v>
      </c>
      <c r="W2550">
        <v>1</v>
      </c>
    </row>
    <row r="2551" spans="1:23" x14ac:dyDescent="0.2">
      <c r="A2551">
        <v>5089283</v>
      </c>
      <c r="B2551" t="s">
        <v>25</v>
      </c>
      <c r="C2551" t="s">
        <v>20</v>
      </c>
      <c r="D2551" t="s">
        <v>19</v>
      </c>
      <c r="E2551">
        <v>0</v>
      </c>
      <c r="F2551">
        <v>112500</v>
      </c>
      <c r="G2551" t="s">
        <v>31</v>
      </c>
      <c r="H2551" t="s">
        <v>27</v>
      </c>
      <c r="I2551" t="s">
        <v>28</v>
      </c>
      <c r="J2551" t="s">
        <v>24</v>
      </c>
      <c r="K2551" s="6">
        <f t="shared" ca="1" si="164"/>
        <v>28082</v>
      </c>
      <c r="L2551">
        <v>-17679</v>
      </c>
      <c r="M2551" s="7">
        <f t="shared" ca="1" si="162"/>
        <v>48.402464065708422</v>
      </c>
      <c r="N2551" s="5" t="str">
        <f ca="1">VLOOKUP(Data!M2551,temp!$B$3:$C$9,2,1)</f>
        <v>40-50</v>
      </c>
      <c r="O2551">
        <v>-2592</v>
      </c>
      <c r="P2551" s="8">
        <f t="shared" si="163"/>
        <v>7.0965092402464069</v>
      </c>
      <c r="Q2551" s="5" t="str">
        <f t="shared" si="165"/>
        <v>Employed</v>
      </c>
      <c r="R2551">
        <v>1</v>
      </c>
      <c r="S2551">
        <v>1</v>
      </c>
      <c r="T2551">
        <v>0</v>
      </c>
      <c r="U2551">
        <v>0</v>
      </c>
      <c r="V2551" t="s">
        <v>39</v>
      </c>
      <c r="W2551">
        <v>2</v>
      </c>
    </row>
    <row r="2552" spans="1:23" x14ac:dyDescent="0.2">
      <c r="A2552">
        <v>5089311</v>
      </c>
      <c r="B2552" t="s">
        <v>18</v>
      </c>
      <c r="C2552" t="s">
        <v>19</v>
      </c>
      <c r="D2552" t="s">
        <v>19</v>
      </c>
      <c r="E2552">
        <v>1</v>
      </c>
      <c r="F2552">
        <v>675000</v>
      </c>
      <c r="G2552" t="s">
        <v>26</v>
      </c>
      <c r="H2552" t="s">
        <v>22</v>
      </c>
      <c r="I2552" t="s">
        <v>28</v>
      </c>
      <c r="J2552" t="s">
        <v>24</v>
      </c>
      <c r="K2552" s="6">
        <f t="shared" ca="1" si="164"/>
        <v>34876</v>
      </c>
      <c r="L2552">
        <v>-10885</v>
      </c>
      <c r="M2552" s="7">
        <f t="shared" ca="1" si="162"/>
        <v>29.801505817932924</v>
      </c>
      <c r="N2552" s="5" t="str">
        <f ca="1">VLOOKUP(Data!M2552,temp!$B$3:$C$9,2,1)</f>
        <v>20-30</v>
      </c>
      <c r="O2552">
        <v>-1039</v>
      </c>
      <c r="P2552" s="8">
        <f t="shared" si="163"/>
        <v>2.8446269678302532</v>
      </c>
      <c r="Q2552" s="5" t="str">
        <f t="shared" si="165"/>
        <v>Employed</v>
      </c>
      <c r="R2552">
        <v>1</v>
      </c>
      <c r="S2552">
        <v>1</v>
      </c>
      <c r="T2552">
        <v>0</v>
      </c>
      <c r="U2552">
        <v>0</v>
      </c>
      <c r="V2552" t="s">
        <v>39</v>
      </c>
      <c r="W2552">
        <v>3</v>
      </c>
    </row>
    <row r="2553" spans="1:23" x14ac:dyDescent="0.2">
      <c r="A2553">
        <v>5089320</v>
      </c>
      <c r="B2553" t="s">
        <v>18</v>
      </c>
      <c r="C2553" t="s">
        <v>20</v>
      </c>
      <c r="D2553" t="s">
        <v>19</v>
      </c>
      <c r="E2553">
        <v>0</v>
      </c>
      <c r="F2553">
        <v>135000</v>
      </c>
      <c r="G2553" t="s">
        <v>26</v>
      </c>
      <c r="H2553" t="s">
        <v>22</v>
      </c>
      <c r="I2553" t="s">
        <v>28</v>
      </c>
      <c r="J2553" t="s">
        <v>24</v>
      </c>
      <c r="K2553" s="6">
        <f t="shared" ca="1" si="164"/>
        <v>34145</v>
      </c>
      <c r="L2553">
        <v>-11616</v>
      </c>
      <c r="M2553" s="7">
        <f t="shared" ca="1" si="162"/>
        <v>31.802874743326488</v>
      </c>
      <c r="N2553" s="5" t="str">
        <f ca="1">VLOOKUP(Data!M2553,temp!$B$3:$C$9,2,1)</f>
        <v>30-40</v>
      </c>
      <c r="O2553">
        <v>-825</v>
      </c>
      <c r="P2553" s="8">
        <f t="shared" si="163"/>
        <v>2.2587268993839835</v>
      </c>
      <c r="Q2553" s="5" t="str">
        <f t="shared" si="165"/>
        <v>Employed</v>
      </c>
      <c r="R2553">
        <v>1</v>
      </c>
      <c r="S2553">
        <v>1</v>
      </c>
      <c r="T2553">
        <v>1</v>
      </c>
      <c r="U2553">
        <v>1</v>
      </c>
      <c r="V2553" t="s">
        <v>47</v>
      </c>
      <c r="W2553">
        <v>2</v>
      </c>
    </row>
    <row r="2554" spans="1:23" x14ac:dyDescent="0.2">
      <c r="A2554">
        <v>5089327</v>
      </c>
      <c r="B2554" t="s">
        <v>18</v>
      </c>
      <c r="C2554" t="s">
        <v>19</v>
      </c>
      <c r="D2554" t="s">
        <v>19</v>
      </c>
      <c r="E2554">
        <v>0</v>
      </c>
      <c r="F2554">
        <v>72000</v>
      </c>
      <c r="G2554" t="s">
        <v>31</v>
      </c>
      <c r="H2554" t="s">
        <v>27</v>
      </c>
      <c r="I2554" t="s">
        <v>33</v>
      </c>
      <c r="J2554" t="s">
        <v>24</v>
      </c>
      <c r="K2554" s="6">
        <f t="shared" ca="1" si="164"/>
        <v>34793</v>
      </c>
      <c r="L2554">
        <v>-10968</v>
      </c>
      <c r="M2554" s="7">
        <f t="shared" ca="1" si="162"/>
        <v>30.028747433264886</v>
      </c>
      <c r="N2554" s="5" t="str">
        <f ca="1">VLOOKUP(Data!M2554,temp!$B$3:$C$9,2,1)</f>
        <v>30-40</v>
      </c>
      <c r="O2554">
        <v>-126</v>
      </c>
      <c r="P2554" s="8">
        <f t="shared" si="163"/>
        <v>0.34496919917864477</v>
      </c>
      <c r="Q2554" s="5" t="str">
        <f t="shared" si="165"/>
        <v>Employed</v>
      </c>
      <c r="R2554">
        <v>1</v>
      </c>
      <c r="S2554">
        <v>1</v>
      </c>
      <c r="T2554">
        <v>1</v>
      </c>
      <c r="U2554">
        <v>0</v>
      </c>
      <c r="V2554" t="s">
        <v>39</v>
      </c>
      <c r="W2554">
        <v>1</v>
      </c>
    </row>
    <row r="2555" spans="1:23" x14ac:dyDescent="0.2">
      <c r="A2555">
        <v>5089335</v>
      </c>
      <c r="B2555" t="s">
        <v>18</v>
      </c>
      <c r="C2555" t="s">
        <v>20</v>
      </c>
      <c r="D2555" t="s">
        <v>19</v>
      </c>
      <c r="E2555">
        <v>0</v>
      </c>
      <c r="F2555">
        <v>247500</v>
      </c>
      <c r="G2555" t="s">
        <v>35</v>
      </c>
      <c r="H2555" t="s">
        <v>22</v>
      </c>
      <c r="I2555" t="s">
        <v>33</v>
      </c>
      <c r="J2555" t="s">
        <v>24</v>
      </c>
      <c r="K2555" s="6">
        <f t="shared" ca="1" si="164"/>
        <v>28843</v>
      </c>
      <c r="L2555">
        <v>-16918</v>
      </c>
      <c r="M2555" s="7">
        <f t="shared" ca="1" si="162"/>
        <v>46.318959616700887</v>
      </c>
      <c r="N2555" s="5" t="str">
        <f ca="1">VLOOKUP(Data!M2555,temp!$B$3:$C$9,2,1)</f>
        <v>40-50</v>
      </c>
      <c r="O2555">
        <v>-4174</v>
      </c>
      <c r="P2555" s="8">
        <f t="shared" si="163"/>
        <v>11.427789185489392</v>
      </c>
      <c r="Q2555" s="5" t="str">
        <f t="shared" si="165"/>
        <v>Employed</v>
      </c>
      <c r="R2555">
        <v>1</v>
      </c>
      <c r="S2555">
        <v>1</v>
      </c>
      <c r="T2555">
        <v>0</v>
      </c>
      <c r="U2555">
        <v>0</v>
      </c>
      <c r="V2555" t="s">
        <v>32</v>
      </c>
      <c r="W2555">
        <v>1</v>
      </c>
    </row>
    <row r="2556" spans="1:23" x14ac:dyDescent="0.2">
      <c r="A2556">
        <v>5089341</v>
      </c>
      <c r="B2556" t="s">
        <v>18</v>
      </c>
      <c r="C2556" t="s">
        <v>19</v>
      </c>
      <c r="D2556" t="s">
        <v>19</v>
      </c>
      <c r="E2556">
        <v>0</v>
      </c>
      <c r="F2556">
        <v>112500</v>
      </c>
      <c r="G2556" t="s">
        <v>21</v>
      </c>
      <c r="H2556" t="s">
        <v>27</v>
      </c>
      <c r="I2556" t="s">
        <v>23</v>
      </c>
      <c r="J2556" t="s">
        <v>24</v>
      </c>
      <c r="K2556" s="6">
        <f t="shared" ca="1" si="164"/>
        <v>25156</v>
      </c>
      <c r="L2556">
        <v>-20605</v>
      </c>
      <c r="M2556" s="7">
        <f t="shared" ca="1" si="162"/>
        <v>56.413415468856947</v>
      </c>
      <c r="N2556" s="5" t="str">
        <f ca="1">VLOOKUP(Data!M2556,temp!$B$3:$C$9,2,1)</f>
        <v>50-60</v>
      </c>
      <c r="O2556">
        <v>365243</v>
      </c>
      <c r="P2556" s="8">
        <f t="shared" si="163"/>
        <v>0</v>
      </c>
      <c r="Q2556" s="5" t="str">
        <f t="shared" si="165"/>
        <v>Unemployed</v>
      </c>
      <c r="R2556">
        <v>1</v>
      </c>
      <c r="S2556">
        <v>0</v>
      </c>
      <c r="T2556">
        <v>0</v>
      </c>
      <c r="U2556">
        <v>0</v>
      </c>
      <c r="W2556">
        <v>1</v>
      </c>
    </row>
    <row r="2557" spans="1:23" x14ac:dyDescent="0.2">
      <c r="A2557">
        <v>5089349</v>
      </c>
      <c r="B2557" t="s">
        <v>18</v>
      </c>
      <c r="C2557" t="s">
        <v>19</v>
      </c>
      <c r="D2557" t="s">
        <v>19</v>
      </c>
      <c r="E2557">
        <v>0</v>
      </c>
      <c r="F2557">
        <v>121500</v>
      </c>
      <c r="G2557" t="s">
        <v>35</v>
      </c>
      <c r="H2557" t="s">
        <v>22</v>
      </c>
      <c r="I2557" t="s">
        <v>28</v>
      </c>
      <c r="J2557" t="s">
        <v>24</v>
      </c>
      <c r="K2557" s="6">
        <f t="shared" ca="1" si="164"/>
        <v>23747</v>
      </c>
      <c r="L2557">
        <v>-22014</v>
      </c>
      <c r="M2557" s="7">
        <f t="shared" ca="1" si="162"/>
        <v>60.271047227926076</v>
      </c>
      <c r="N2557" s="5" t="str">
        <f ca="1">VLOOKUP(Data!M2557,temp!$B$3:$C$9,2,1)</f>
        <v>60-70</v>
      </c>
      <c r="O2557">
        <v>-5239</v>
      </c>
      <c r="P2557" s="8">
        <f t="shared" si="163"/>
        <v>14.343600273785079</v>
      </c>
      <c r="Q2557" s="5" t="str">
        <f t="shared" si="165"/>
        <v>Employed</v>
      </c>
      <c r="R2557">
        <v>1</v>
      </c>
      <c r="S2557">
        <v>1</v>
      </c>
      <c r="T2557">
        <v>0</v>
      </c>
      <c r="U2557">
        <v>0</v>
      </c>
      <c r="V2557" t="s">
        <v>44</v>
      </c>
      <c r="W2557">
        <v>2</v>
      </c>
    </row>
    <row r="2558" spans="1:23" x14ac:dyDescent="0.2">
      <c r="A2558">
        <v>5089351</v>
      </c>
      <c r="B2558" t="s">
        <v>18</v>
      </c>
      <c r="C2558" t="s">
        <v>19</v>
      </c>
      <c r="D2558" t="s">
        <v>19</v>
      </c>
      <c r="E2558">
        <v>0</v>
      </c>
      <c r="F2558">
        <v>121500</v>
      </c>
      <c r="G2558" t="s">
        <v>35</v>
      </c>
      <c r="H2558" t="s">
        <v>22</v>
      </c>
      <c r="I2558" t="s">
        <v>28</v>
      </c>
      <c r="J2558" t="s">
        <v>24</v>
      </c>
      <c r="K2558" s="6">
        <f t="shared" ca="1" si="164"/>
        <v>23747</v>
      </c>
      <c r="L2558">
        <v>-22014</v>
      </c>
      <c r="M2558" s="7">
        <f t="shared" ca="1" si="162"/>
        <v>60.271047227926076</v>
      </c>
      <c r="N2558" s="5" t="str">
        <f ca="1">VLOOKUP(Data!M2558,temp!$B$3:$C$9,2,1)</f>
        <v>60-70</v>
      </c>
      <c r="O2558">
        <v>-5239</v>
      </c>
      <c r="P2558" s="8">
        <f t="shared" si="163"/>
        <v>14.343600273785079</v>
      </c>
      <c r="Q2558" s="5" t="str">
        <f t="shared" si="165"/>
        <v>Employed</v>
      </c>
      <c r="R2558">
        <v>1</v>
      </c>
      <c r="S2558">
        <v>1</v>
      </c>
      <c r="T2558">
        <v>0</v>
      </c>
      <c r="U2558">
        <v>0</v>
      </c>
      <c r="V2558" t="s">
        <v>44</v>
      </c>
      <c r="W2558">
        <v>2</v>
      </c>
    </row>
    <row r="2559" spans="1:23" x14ac:dyDescent="0.2">
      <c r="A2559">
        <v>5089353</v>
      </c>
      <c r="B2559" t="s">
        <v>18</v>
      </c>
      <c r="C2559" t="s">
        <v>19</v>
      </c>
      <c r="D2559" t="s">
        <v>19</v>
      </c>
      <c r="E2559">
        <v>0</v>
      </c>
      <c r="F2559">
        <v>121500</v>
      </c>
      <c r="G2559" t="s">
        <v>35</v>
      </c>
      <c r="H2559" t="s">
        <v>22</v>
      </c>
      <c r="I2559" t="s">
        <v>28</v>
      </c>
      <c r="J2559" t="s">
        <v>24</v>
      </c>
      <c r="K2559" s="6">
        <f t="shared" ca="1" si="164"/>
        <v>23747</v>
      </c>
      <c r="L2559">
        <v>-22014</v>
      </c>
      <c r="M2559" s="7">
        <f t="shared" ca="1" si="162"/>
        <v>60.271047227926076</v>
      </c>
      <c r="N2559" s="5" t="str">
        <f ca="1">VLOOKUP(Data!M2559,temp!$B$3:$C$9,2,1)</f>
        <v>60-70</v>
      </c>
      <c r="O2559">
        <v>-5239</v>
      </c>
      <c r="P2559" s="8">
        <f t="shared" si="163"/>
        <v>14.343600273785079</v>
      </c>
      <c r="Q2559" s="5" t="str">
        <f t="shared" si="165"/>
        <v>Employed</v>
      </c>
      <c r="R2559">
        <v>1</v>
      </c>
      <c r="S2559">
        <v>1</v>
      </c>
      <c r="T2559">
        <v>0</v>
      </c>
      <c r="U2559">
        <v>0</v>
      </c>
      <c r="V2559" t="s">
        <v>44</v>
      </c>
      <c r="W2559">
        <v>2</v>
      </c>
    </row>
    <row r="2560" spans="1:23" x14ac:dyDescent="0.2">
      <c r="A2560">
        <v>5089365</v>
      </c>
      <c r="B2560" t="s">
        <v>18</v>
      </c>
      <c r="C2560" t="s">
        <v>19</v>
      </c>
      <c r="D2560" t="s">
        <v>19</v>
      </c>
      <c r="E2560">
        <v>0</v>
      </c>
      <c r="F2560">
        <v>202500</v>
      </c>
      <c r="G2560" t="s">
        <v>21</v>
      </c>
      <c r="H2560" t="s">
        <v>27</v>
      </c>
      <c r="I2560" t="s">
        <v>33</v>
      </c>
      <c r="J2560" t="s">
        <v>24</v>
      </c>
      <c r="K2560" s="6">
        <f t="shared" ca="1" si="164"/>
        <v>23400</v>
      </c>
      <c r="L2560">
        <v>-22361</v>
      </c>
      <c r="M2560" s="7">
        <f t="shared" ca="1" si="162"/>
        <v>61.221081451060918</v>
      </c>
      <c r="N2560" s="5" t="str">
        <f ca="1">VLOOKUP(Data!M2560,temp!$B$3:$C$9,2,1)</f>
        <v>60-70</v>
      </c>
      <c r="O2560">
        <v>365243</v>
      </c>
      <c r="P2560" s="8">
        <f t="shared" si="163"/>
        <v>0</v>
      </c>
      <c r="Q2560" s="5" t="str">
        <f t="shared" si="165"/>
        <v>Unemployed</v>
      </c>
      <c r="R2560">
        <v>1</v>
      </c>
      <c r="S2560">
        <v>0</v>
      </c>
      <c r="T2560">
        <v>1</v>
      </c>
      <c r="U2560">
        <v>0</v>
      </c>
      <c r="W2560">
        <v>1</v>
      </c>
    </row>
    <row r="2561" spans="1:23" x14ac:dyDescent="0.2">
      <c r="A2561">
        <v>5089368</v>
      </c>
      <c r="B2561" t="s">
        <v>18</v>
      </c>
      <c r="C2561" t="s">
        <v>19</v>
      </c>
      <c r="D2561" t="s">
        <v>19</v>
      </c>
      <c r="E2561">
        <v>0</v>
      </c>
      <c r="F2561">
        <v>202500</v>
      </c>
      <c r="G2561" t="s">
        <v>21</v>
      </c>
      <c r="H2561" t="s">
        <v>27</v>
      </c>
      <c r="I2561" t="s">
        <v>33</v>
      </c>
      <c r="J2561" t="s">
        <v>24</v>
      </c>
      <c r="K2561" s="6">
        <f t="shared" ca="1" si="164"/>
        <v>23400</v>
      </c>
      <c r="L2561">
        <v>-22361</v>
      </c>
      <c r="M2561" s="7">
        <f t="shared" ca="1" si="162"/>
        <v>61.221081451060918</v>
      </c>
      <c r="N2561" s="5" t="str">
        <f ca="1">VLOOKUP(Data!M2561,temp!$B$3:$C$9,2,1)</f>
        <v>60-70</v>
      </c>
      <c r="O2561">
        <v>365243</v>
      </c>
      <c r="P2561" s="8">
        <f t="shared" si="163"/>
        <v>0</v>
      </c>
      <c r="Q2561" s="5" t="str">
        <f t="shared" si="165"/>
        <v>Unemployed</v>
      </c>
      <c r="R2561">
        <v>1</v>
      </c>
      <c r="S2561">
        <v>0</v>
      </c>
      <c r="T2561">
        <v>1</v>
      </c>
      <c r="U2561">
        <v>0</v>
      </c>
      <c r="W2561">
        <v>1</v>
      </c>
    </row>
    <row r="2562" spans="1:23" x14ac:dyDescent="0.2">
      <c r="A2562">
        <v>5089370</v>
      </c>
      <c r="B2562" t="s">
        <v>18</v>
      </c>
      <c r="C2562" t="s">
        <v>19</v>
      </c>
      <c r="D2562" t="s">
        <v>19</v>
      </c>
      <c r="E2562">
        <v>0</v>
      </c>
      <c r="F2562">
        <v>202500</v>
      </c>
      <c r="G2562" t="s">
        <v>21</v>
      </c>
      <c r="H2562" t="s">
        <v>27</v>
      </c>
      <c r="I2562" t="s">
        <v>33</v>
      </c>
      <c r="J2562" t="s">
        <v>24</v>
      </c>
      <c r="K2562" s="6">
        <f t="shared" ca="1" si="164"/>
        <v>23400</v>
      </c>
      <c r="L2562">
        <v>-22361</v>
      </c>
      <c r="M2562" s="7">
        <f t="shared" ca="1" si="162"/>
        <v>61.221081451060918</v>
      </c>
      <c r="N2562" s="5" t="str">
        <f ca="1">VLOOKUP(Data!M2562,temp!$B$3:$C$9,2,1)</f>
        <v>60-70</v>
      </c>
      <c r="O2562">
        <v>365243</v>
      </c>
      <c r="P2562" s="8">
        <f t="shared" si="163"/>
        <v>0</v>
      </c>
      <c r="Q2562" s="5" t="str">
        <f t="shared" si="165"/>
        <v>Unemployed</v>
      </c>
      <c r="R2562">
        <v>1</v>
      </c>
      <c r="S2562">
        <v>0</v>
      </c>
      <c r="T2562">
        <v>1</v>
      </c>
      <c r="U2562">
        <v>0</v>
      </c>
      <c r="W2562">
        <v>1</v>
      </c>
    </row>
    <row r="2563" spans="1:23" x14ac:dyDescent="0.2">
      <c r="A2563">
        <v>5089375</v>
      </c>
      <c r="B2563" t="s">
        <v>18</v>
      </c>
      <c r="C2563" t="s">
        <v>19</v>
      </c>
      <c r="D2563" t="s">
        <v>19</v>
      </c>
      <c r="E2563">
        <v>0</v>
      </c>
      <c r="F2563">
        <v>90000</v>
      </c>
      <c r="G2563" t="s">
        <v>35</v>
      </c>
      <c r="H2563" t="s">
        <v>22</v>
      </c>
      <c r="I2563" t="s">
        <v>37</v>
      </c>
      <c r="J2563" t="s">
        <v>53</v>
      </c>
      <c r="K2563" s="6">
        <f t="shared" ca="1" si="164"/>
        <v>25889</v>
      </c>
      <c r="L2563">
        <v>-19872</v>
      </c>
      <c r="M2563" s="7">
        <f t="shared" ref="M2563:M2626" ca="1" si="166">(TODAY()-K2563)/365.25</f>
        <v>54.406570841889121</v>
      </c>
      <c r="N2563" s="5" t="str">
        <f ca="1">VLOOKUP(Data!M2563,temp!$B$3:$C$9,2,1)</f>
        <v>50-60</v>
      </c>
      <c r="O2563">
        <v>-4509</v>
      </c>
      <c r="P2563" s="8">
        <f t="shared" ref="P2563:P2626" si="167">IF(O2563&lt;=0,ABS(O2563)/365.25,0)</f>
        <v>12.344969199178644</v>
      </c>
      <c r="Q2563" s="5" t="str">
        <f t="shared" si="165"/>
        <v>Employed</v>
      </c>
      <c r="R2563">
        <v>1</v>
      </c>
      <c r="S2563">
        <v>1</v>
      </c>
      <c r="T2563">
        <v>0</v>
      </c>
      <c r="U2563">
        <v>0</v>
      </c>
      <c r="W2563">
        <v>2</v>
      </c>
    </row>
    <row r="2564" spans="1:23" x14ac:dyDescent="0.2">
      <c r="A2564">
        <v>5089379</v>
      </c>
      <c r="B2564" t="s">
        <v>18</v>
      </c>
      <c r="C2564" t="s">
        <v>19</v>
      </c>
      <c r="D2564" t="s">
        <v>19</v>
      </c>
      <c r="E2564">
        <v>0</v>
      </c>
      <c r="F2564">
        <v>90000</v>
      </c>
      <c r="G2564" t="s">
        <v>35</v>
      </c>
      <c r="H2564" t="s">
        <v>22</v>
      </c>
      <c r="I2564" t="s">
        <v>37</v>
      </c>
      <c r="J2564" t="s">
        <v>53</v>
      </c>
      <c r="K2564" s="6">
        <f t="shared" ca="1" si="164"/>
        <v>25889</v>
      </c>
      <c r="L2564">
        <v>-19872</v>
      </c>
      <c r="M2564" s="7">
        <f t="shared" ca="1" si="166"/>
        <v>54.406570841889121</v>
      </c>
      <c r="N2564" s="5" t="str">
        <f ca="1">VLOOKUP(Data!M2564,temp!$B$3:$C$9,2,1)</f>
        <v>50-60</v>
      </c>
      <c r="O2564">
        <v>-4509</v>
      </c>
      <c r="P2564" s="8">
        <f t="shared" si="167"/>
        <v>12.344969199178644</v>
      </c>
      <c r="Q2564" s="5" t="str">
        <f t="shared" si="165"/>
        <v>Employed</v>
      </c>
      <c r="R2564">
        <v>1</v>
      </c>
      <c r="S2564">
        <v>1</v>
      </c>
      <c r="T2564">
        <v>0</v>
      </c>
      <c r="U2564">
        <v>0</v>
      </c>
      <c r="W2564">
        <v>2</v>
      </c>
    </row>
    <row r="2565" spans="1:23" x14ac:dyDescent="0.2">
      <c r="A2565">
        <v>5089393</v>
      </c>
      <c r="B2565" t="s">
        <v>18</v>
      </c>
      <c r="C2565" t="s">
        <v>20</v>
      </c>
      <c r="D2565" t="s">
        <v>19</v>
      </c>
      <c r="E2565">
        <v>0</v>
      </c>
      <c r="F2565">
        <v>562500</v>
      </c>
      <c r="G2565" t="s">
        <v>31</v>
      </c>
      <c r="H2565" t="s">
        <v>22</v>
      </c>
      <c r="I2565" t="s">
        <v>28</v>
      </c>
      <c r="J2565" t="s">
        <v>24</v>
      </c>
      <c r="K2565" s="6">
        <f t="shared" ca="1" si="164"/>
        <v>31107</v>
      </c>
      <c r="L2565">
        <v>-14654</v>
      </c>
      <c r="M2565" s="7">
        <f t="shared" ca="1" si="166"/>
        <v>40.120465434633815</v>
      </c>
      <c r="N2565" s="5" t="str">
        <f ca="1">VLOOKUP(Data!M2565,temp!$B$3:$C$9,2,1)</f>
        <v>40-50</v>
      </c>
      <c r="O2565">
        <v>-2836</v>
      </c>
      <c r="P2565" s="8">
        <f t="shared" si="167"/>
        <v>7.7645448323066395</v>
      </c>
      <c r="Q2565" s="5" t="str">
        <f t="shared" si="165"/>
        <v>Employed</v>
      </c>
      <c r="R2565">
        <v>1</v>
      </c>
      <c r="S2565">
        <v>1</v>
      </c>
      <c r="T2565">
        <v>0</v>
      </c>
      <c r="U2565">
        <v>0</v>
      </c>
      <c r="V2565" t="s">
        <v>32</v>
      </c>
      <c r="W2565">
        <v>2</v>
      </c>
    </row>
    <row r="2566" spans="1:23" x14ac:dyDescent="0.2">
      <c r="A2566">
        <v>5089403</v>
      </c>
      <c r="B2566" t="s">
        <v>18</v>
      </c>
      <c r="C2566" t="s">
        <v>20</v>
      </c>
      <c r="D2566" t="s">
        <v>19</v>
      </c>
      <c r="E2566">
        <v>0</v>
      </c>
      <c r="F2566">
        <v>562500</v>
      </c>
      <c r="G2566" t="s">
        <v>31</v>
      </c>
      <c r="H2566" t="s">
        <v>22</v>
      </c>
      <c r="I2566" t="s">
        <v>28</v>
      </c>
      <c r="J2566" t="s">
        <v>24</v>
      </c>
      <c r="K2566" s="6">
        <f t="shared" ca="1" si="164"/>
        <v>31107</v>
      </c>
      <c r="L2566">
        <v>-14654</v>
      </c>
      <c r="M2566" s="7">
        <f t="shared" ca="1" si="166"/>
        <v>40.120465434633815</v>
      </c>
      <c r="N2566" s="5" t="str">
        <f ca="1">VLOOKUP(Data!M2566,temp!$B$3:$C$9,2,1)</f>
        <v>40-50</v>
      </c>
      <c r="O2566">
        <v>-2836</v>
      </c>
      <c r="P2566" s="8">
        <f t="shared" si="167"/>
        <v>7.7645448323066395</v>
      </c>
      <c r="Q2566" s="5" t="str">
        <f t="shared" si="165"/>
        <v>Employed</v>
      </c>
      <c r="R2566">
        <v>1</v>
      </c>
      <c r="S2566">
        <v>1</v>
      </c>
      <c r="T2566">
        <v>0</v>
      </c>
      <c r="U2566">
        <v>0</v>
      </c>
      <c r="V2566" t="s">
        <v>32</v>
      </c>
      <c r="W2566">
        <v>2</v>
      </c>
    </row>
    <row r="2567" spans="1:23" x14ac:dyDescent="0.2">
      <c r="A2567">
        <v>5089407</v>
      </c>
      <c r="B2567" t="s">
        <v>18</v>
      </c>
      <c r="C2567" t="s">
        <v>19</v>
      </c>
      <c r="D2567" t="s">
        <v>19</v>
      </c>
      <c r="E2567">
        <v>0</v>
      </c>
      <c r="F2567">
        <v>94500</v>
      </c>
      <c r="G2567" t="s">
        <v>31</v>
      </c>
      <c r="H2567" t="s">
        <v>27</v>
      </c>
      <c r="I2567" t="s">
        <v>28</v>
      </c>
      <c r="J2567" t="s">
        <v>24</v>
      </c>
      <c r="K2567" s="6">
        <f t="shared" ca="1" si="164"/>
        <v>27048</v>
      </c>
      <c r="L2567">
        <v>-18713</v>
      </c>
      <c r="M2567" s="7">
        <f t="shared" ca="1" si="166"/>
        <v>51.233401779603014</v>
      </c>
      <c r="N2567" s="5" t="str">
        <f ca="1">VLOOKUP(Data!M2567,temp!$B$3:$C$9,2,1)</f>
        <v>50-60</v>
      </c>
      <c r="O2567">
        <v>-3627</v>
      </c>
      <c r="P2567" s="8">
        <f t="shared" si="167"/>
        <v>9.9301848049281318</v>
      </c>
      <c r="Q2567" s="5" t="str">
        <f t="shared" si="165"/>
        <v>Employed</v>
      </c>
      <c r="R2567">
        <v>1</v>
      </c>
      <c r="S2567">
        <v>1</v>
      </c>
      <c r="T2567">
        <v>0</v>
      </c>
      <c r="U2567">
        <v>0</v>
      </c>
      <c r="W2567">
        <v>2</v>
      </c>
    </row>
    <row r="2568" spans="1:23" x14ac:dyDescent="0.2">
      <c r="A2568">
        <v>5089410</v>
      </c>
      <c r="B2568" t="s">
        <v>18</v>
      </c>
      <c r="C2568" t="s">
        <v>19</v>
      </c>
      <c r="D2568" t="s">
        <v>19</v>
      </c>
      <c r="E2568">
        <v>0</v>
      </c>
      <c r="F2568">
        <v>94500</v>
      </c>
      <c r="G2568" t="s">
        <v>31</v>
      </c>
      <c r="H2568" t="s">
        <v>27</v>
      </c>
      <c r="I2568" t="s">
        <v>28</v>
      </c>
      <c r="J2568" t="s">
        <v>24</v>
      </c>
      <c r="K2568" s="6">
        <f t="shared" ref="K2568:K2631" ca="1" si="168">TODAY()+($L2568)</f>
        <v>27048</v>
      </c>
      <c r="L2568">
        <v>-18713</v>
      </c>
      <c r="M2568" s="7">
        <f t="shared" ca="1" si="166"/>
        <v>51.233401779603014</v>
      </c>
      <c r="N2568" s="5" t="str">
        <f ca="1">VLOOKUP(Data!M2568,temp!$B$3:$C$9,2,1)</f>
        <v>50-60</v>
      </c>
      <c r="O2568">
        <v>-3627</v>
      </c>
      <c r="P2568" s="8">
        <f t="shared" si="167"/>
        <v>9.9301848049281318</v>
      </c>
      <c r="Q2568" s="5" t="str">
        <f t="shared" ref="Q2568:Q2631" si="169">IF($O2568&gt;0,"Unemployed","Employed")</f>
        <v>Employed</v>
      </c>
      <c r="R2568">
        <v>1</v>
      </c>
      <c r="S2568">
        <v>1</v>
      </c>
      <c r="T2568">
        <v>0</v>
      </c>
      <c r="U2568">
        <v>0</v>
      </c>
      <c r="W2568">
        <v>2</v>
      </c>
    </row>
    <row r="2569" spans="1:23" x14ac:dyDescent="0.2">
      <c r="A2569">
        <v>5089422</v>
      </c>
      <c r="B2569" t="s">
        <v>18</v>
      </c>
      <c r="C2569" t="s">
        <v>20</v>
      </c>
      <c r="D2569" t="s">
        <v>19</v>
      </c>
      <c r="E2569">
        <v>0</v>
      </c>
      <c r="F2569">
        <v>112500</v>
      </c>
      <c r="G2569" t="s">
        <v>35</v>
      </c>
      <c r="H2569" t="s">
        <v>27</v>
      </c>
      <c r="I2569" t="s">
        <v>28</v>
      </c>
      <c r="J2569" t="s">
        <v>24</v>
      </c>
      <c r="K2569" s="6">
        <f t="shared" ca="1" si="168"/>
        <v>23919</v>
      </c>
      <c r="L2569">
        <v>-21842</v>
      </c>
      <c r="M2569" s="7">
        <f t="shared" ca="1" si="166"/>
        <v>59.800136892539356</v>
      </c>
      <c r="N2569" s="5" t="str">
        <f ca="1">VLOOKUP(Data!M2569,temp!$B$3:$C$9,2,1)</f>
        <v>50-60</v>
      </c>
      <c r="O2569">
        <v>-3869</v>
      </c>
      <c r="P2569" s="8">
        <f t="shared" si="167"/>
        <v>10.592744695414099</v>
      </c>
      <c r="Q2569" s="5" t="str">
        <f t="shared" si="169"/>
        <v>Employed</v>
      </c>
      <c r="R2569">
        <v>1</v>
      </c>
      <c r="S2569">
        <v>0</v>
      </c>
      <c r="T2569">
        <v>0</v>
      </c>
      <c r="U2569">
        <v>0</v>
      </c>
      <c r="V2569" t="s">
        <v>47</v>
      </c>
      <c r="W2569">
        <v>2</v>
      </c>
    </row>
    <row r="2570" spans="1:23" x14ac:dyDescent="0.2">
      <c r="A2570">
        <v>5089445</v>
      </c>
      <c r="B2570" t="s">
        <v>18</v>
      </c>
      <c r="C2570" t="s">
        <v>19</v>
      </c>
      <c r="D2570" t="s">
        <v>19</v>
      </c>
      <c r="E2570">
        <v>0</v>
      </c>
      <c r="F2570">
        <v>157500</v>
      </c>
      <c r="G2570" t="s">
        <v>31</v>
      </c>
      <c r="H2570" t="s">
        <v>22</v>
      </c>
      <c r="I2570" t="s">
        <v>23</v>
      </c>
      <c r="J2570" t="s">
        <v>24</v>
      </c>
      <c r="K2570" s="6">
        <f t="shared" ca="1" si="168"/>
        <v>26918</v>
      </c>
      <c r="L2570">
        <v>-18843</v>
      </c>
      <c r="M2570" s="7">
        <f t="shared" ca="1" si="166"/>
        <v>51.589322381930188</v>
      </c>
      <c r="N2570" s="5" t="str">
        <f ca="1">VLOOKUP(Data!M2570,temp!$B$3:$C$9,2,1)</f>
        <v>50-60</v>
      </c>
      <c r="O2570">
        <v>-3474</v>
      </c>
      <c r="P2570" s="8">
        <f t="shared" si="167"/>
        <v>9.5112936344969192</v>
      </c>
      <c r="Q2570" s="5" t="str">
        <f t="shared" si="169"/>
        <v>Employed</v>
      </c>
      <c r="R2570">
        <v>1</v>
      </c>
      <c r="S2570">
        <v>1</v>
      </c>
      <c r="T2570">
        <v>1</v>
      </c>
      <c r="U2570">
        <v>0</v>
      </c>
      <c r="V2570" t="s">
        <v>47</v>
      </c>
      <c r="W2570">
        <v>1</v>
      </c>
    </row>
    <row r="2571" spans="1:23" x14ac:dyDescent="0.2">
      <c r="A2571">
        <v>5089464</v>
      </c>
      <c r="B2571" t="s">
        <v>18</v>
      </c>
      <c r="C2571" t="s">
        <v>19</v>
      </c>
      <c r="D2571" t="s">
        <v>19</v>
      </c>
      <c r="E2571">
        <v>2</v>
      </c>
      <c r="F2571">
        <v>67500</v>
      </c>
      <c r="G2571" t="s">
        <v>31</v>
      </c>
      <c r="H2571" t="s">
        <v>27</v>
      </c>
      <c r="I2571" t="s">
        <v>28</v>
      </c>
      <c r="J2571" t="s">
        <v>45</v>
      </c>
      <c r="K2571" s="6">
        <f t="shared" ca="1" si="168"/>
        <v>31870</v>
      </c>
      <c r="L2571">
        <v>-13891</v>
      </c>
      <c r="M2571" s="7">
        <f t="shared" ca="1" si="166"/>
        <v>38.031485284052017</v>
      </c>
      <c r="N2571" s="5" t="str">
        <f ca="1">VLOOKUP(Data!M2571,temp!$B$3:$C$9,2,1)</f>
        <v>30-40</v>
      </c>
      <c r="O2571">
        <v>-248</v>
      </c>
      <c r="P2571" s="8">
        <f t="shared" si="167"/>
        <v>0.67898699520876116</v>
      </c>
      <c r="Q2571" s="5" t="str">
        <f t="shared" si="169"/>
        <v>Employed</v>
      </c>
      <c r="R2571">
        <v>1</v>
      </c>
      <c r="S2571">
        <v>1</v>
      </c>
      <c r="T2571">
        <v>1</v>
      </c>
      <c r="U2571">
        <v>0</v>
      </c>
      <c r="V2571" t="s">
        <v>38</v>
      </c>
      <c r="W2571">
        <v>4</v>
      </c>
    </row>
    <row r="2572" spans="1:23" x14ac:dyDescent="0.2">
      <c r="A2572">
        <v>5089476</v>
      </c>
      <c r="B2572" t="s">
        <v>25</v>
      </c>
      <c r="C2572" t="s">
        <v>19</v>
      </c>
      <c r="D2572" t="s">
        <v>19</v>
      </c>
      <c r="E2572">
        <v>0</v>
      </c>
      <c r="F2572">
        <v>180000</v>
      </c>
      <c r="G2572" t="s">
        <v>31</v>
      </c>
      <c r="H2572" t="s">
        <v>22</v>
      </c>
      <c r="I2572" t="s">
        <v>28</v>
      </c>
      <c r="J2572" t="s">
        <v>24</v>
      </c>
      <c r="K2572" s="6">
        <f t="shared" ca="1" si="168"/>
        <v>31417</v>
      </c>
      <c r="L2572">
        <v>-14344</v>
      </c>
      <c r="M2572" s="7">
        <f t="shared" ca="1" si="166"/>
        <v>39.271731690622858</v>
      </c>
      <c r="N2572" s="5" t="str">
        <f ca="1">VLOOKUP(Data!M2572,temp!$B$3:$C$9,2,1)</f>
        <v>30-40</v>
      </c>
      <c r="O2572">
        <v>-3443</v>
      </c>
      <c r="P2572" s="8">
        <f t="shared" si="167"/>
        <v>9.4264202600958242</v>
      </c>
      <c r="Q2572" s="5" t="str">
        <f t="shared" si="169"/>
        <v>Employed</v>
      </c>
      <c r="R2572">
        <v>1</v>
      </c>
      <c r="S2572">
        <v>0</v>
      </c>
      <c r="T2572">
        <v>0</v>
      </c>
      <c r="U2572">
        <v>0</v>
      </c>
      <c r="V2572" t="s">
        <v>29</v>
      </c>
      <c r="W2572">
        <v>2</v>
      </c>
    </row>
    <row r="2573" spans="1:23" x14ac:dyDescent="0.2">
      <c r="A2573">
        <v>5089486</v>
      </c>
      <c r="B2573" t="s">
        <v>18</v>
      </c>
      <c r="C2573" t="s">
        <v>19</v>
      </c>
      <c r="D2573" t="s">
        <v>19</v>
      </c>
      <c r="E2573">
        <v>2</v>
      </c>
      <c r="F2573">
        <v>315000</v>
      </c>
      <c r="G2573" t="s">
        <v>26</v>
      </c>
      <c r="H2573" t="s">
        <v>22</v>
      </c>
      <c r="I2573" t="s">
        <v>28</v>
      </c>
      <c r="J2573" t="s">
        <v>24</v>
      </c>
      <c r="K2573" s="6">
        <f t="shared" ca="1" si="168"/>
        <v>32829</v>
      </c>
      <c r="L2573">
        <v>-12932</v>
      </c>
      <c r="M2573" s="7">
        <f t="shared" ca="1" si="166"/>
        <v>35.405886379192332</v>
      </c>
      <c r="N2573" s="5" t="str">
        <f ca="1">VLOOKUP(Data!M2573,temp!$B$3:$C$9,2,1)</f>
        <v>30-40</v>
      </c>
      <c r="O2573">
        <v>-309</v>
      </c>
      <c r="P2573" s="8">
        <f t="shared" si="167"/>
        <v>0.8459958932238193</v>
      </c>
      <c r="Q2573" s="5" t="str">
        <f t="shared" si="169"/>
        <v>Employed</v>
      </c>
      <c r="R2573">
        <v>1</v>
      </c>
      <c r="S2573">
        <v>1</v>
      </c>
      <c r="T2573">
        <v>1</v>
      </c>
      <c r="U2573">
        <v>0</v>
      </c>
      <c r="V2573" t="s">
        <v>32</v>
      </c>
      <c r="W2573">
        <v>4</v>
      </c>
    </row>
    <row r="2574" spans="1:23" x14ac:dyDescent="0.2">
      <c r="A2574">
        <v>5089489</v>
      </c>
      <c r="B2574" t="s">
        <v>18</v>
      </c>
      <c r="C2574" t="s">
        <v>19</v>
      </c>
      <c r="D2574" t="s">
        <v>19</v>
      </c>
      <c r="E2574">
        <v>2</v>
      </c>
      <c r="F2574">
        <v>180000</v>
      </c>
      <c r="G2574" t="s">
        <v>31</v>
      </c>
      <c r="H2574" t="s">
        <v>22</v>
      </c>
      <c r="I2574" t="s">
        <v>23</v>
      </c>
      <c r="J2574" t="s">
        <v>24</v>
      </c>
      <c r="K2574" s="6">
        <f t="shared" ca="1" si="168"/>
        <v>29467</v>
      </c>
      <c r="L2574">
        <v>-16294</v>
      </c>
      <c r="M2574" s="7">
        <f t="shared" ca="1" si="166"/>
        <v>44.610540725530456</v>
      </c>
      <c r="N2574" s="5" t="str">
        <f ca="1">VLOOKUP(Data!M2574,temp!$B$3:$C$9,2,1)</f>
        <v>40-50</v>
      </c>
      <c r="O2574">
        <v>-217</v>
      </c>
      <c r="P2574" s="8">
        <f t="shared" si="167"/>
        <v>0.59411362080766594</v>
      </c>
      <c r="Q2574" s="5" t="str">
        <f t="shared" si="169"/>
        <v>Employed</v>
      </c>
      <c r="R2574">
        <v>1</v>
      </c>
      <c r="S2574">
        <v>1</v>
      </c>
      <c r="T2574">
        <v>1</v>
      </c>
      <c r="U2574">
        <v>0</v>
      </c>
      <c r="W2574">
        <v>3</v>
      </c>
    </row>
    <row r="2575" spans="1:23" x14ac:dyDescent="0.2">
      <c r="A2575">
        <v>5089534</v>
      </c>
      <c r="B2575" t="s">
        <v>18</v>
      </c>
      <c r="C2575" t="s">
        <v>20</v>
      </c>
      <c r="D2575" t="s">
        <v>19</v>
      </c>
      <c r="E2575">
        <v>0</v>
      </c>
      <c r="F2575">
        <v>180000</v>
      </c>
      <c r="G2575" t="s">
        <v>31</v>
      </c>
      <c r="H2575" t="s">
        <v>27</v>
      </c>
      <c r="I2575" t="s">
        <v>28</v>
      </c>
      <c r="J2575" t="s">
        <v>24</v>
      </c>
      <c r="K2575" s="6">
        <f t="shared" ca="1" si="168"/>
        <v>27420</v>
      </c>
      <c r="L2575">
        <v>-18341</v>
      </c>
      <c r="M2575" s="7">
        <f t="shared" ca="1" si="166"/>
        <v>50.214921286789867</v>
      </c>
      <c r="N2575" s="5" t="str">
        <f ca="1">VLOOKUP(Data!M2575,temp!$B$3:$C$9,2,1)</f>
        <v>50-60</v>
      </c>
      <c r="O2575">
        <v>-5574</v>
      </c>
      <c r="P2575" s="8">
        <f t="shared" si="167"/>
        <v>15.260780287474333</v>
      </c>
      <c r="Q2575" s="5" t="str">
        <f t="shared" si="169"/>
        <v>Employed</v>
      </c>
      <c r="R2575">
        <v>1</v>
      </c>
      <c r="S2575">
        <v>1</v>
      </c>
      <c r="T2575">
        <v>1</v>
      </c>
      <c r="U2575">
        <v>0</v>
      </c>
      <c r="V2575" t="s">
        <v>29</v>
      </c>
      <c r="W2575">
        <v>2</v>
      </c>
    </row>
    <row r="2576" spans="1:23" x14ac:dyDescent="0.2">
      <c r="A2576">
        <v>5089535</v>
      </c>
      <c r="B2576" t="s">
        <v>18</v>
      </c>
      <c r="C2576" t="s">
        <v>20</v>
      </c>
      <c r="D2576" t="s">
        <v>19</v>
      </c>
      <c r="E2576">
        <v>0</v>
      </c>
      <c r="F2576">
        <v>180000</v>
      </c>
      <c r="G2576" t="s">
        <v>31</v>
      </c>
      <c r="H2576" t="s">
        <v>27</v>
      </c>
      <c r="I2576" t="s">
        <v>28</v>
      </c>
      <c r="J2576" t="s">
        <v>24</v>
      </c>
      <c r="K2576" s="6">
        <f t="shared" ca="1" si="168"/>
        <v>27420</v>
      </c>
      <c r="L2576">
        <v>-18341</v>
      </c>
      <c r="M2576" s="7">
        <f t="shared" ca="1" si="166"/>
        <v>50.214921286789867</v>
      </c>
      <c r="N2576" s="5" t="str">
        <f ca="1">VLOOKUP(Data!M2576,temp!$B$3:$C$9,2,1)</f>
        <v>50-60</v>
      </c>
      <c r="O2576">
        <v>-5574</v>
      </c>
      <c r="P2576" s="8">
        <f t="shared" si="167"/>
        <v>15.260780287474333</v>
      </c>
      <c r="Q2576" s="5" t="str">
        <f t="shared" si="169"/>
        <v>Employed</v>
      </c>
      <c r="R2576">
        <v>1</v>
      </c>
      <c r="S2576">
        <v>1</v>
      </c>
      <c r="T2576">
        <v>1</v>
      </c>
      <c r="U2576">
        <v>0</v>
      </c>
      <c r="V2576" t="s">
        <v>29</v>
      </c>
      <c r="W2576">
        <v>2</v>
      </c>
    </row>
    <row r="2577" spans="1:23" x14ac:dyDescent="0.2">
      <c r="A2577">
        <v>5089539</v>
      </c>
      <c r="B2577" t="s">
        <v>18</v>
      </c>
      <c r="C2577" t="s">
        <v>20</v>
      </c>
      <c r="D2577" t="s">
        <v>19</v>
      </c>
      <c r="E2577">
        <v>0</v>
      </c>
      <c r="F2577">
        <v>180000</v>
      </c>
      <c r="G2577" t="s">
        <v>31</v>
      </c>
      <c r="H2577" t="s">
        <v>27</v>
      </c>
      <c r="I2577" t="s">
        <v>28</v>
      </c>
      <c r="J2577" t="s">
        <v>24</v>
      </c>
      <c r="K2577" s="6">
        <f t="shared" ca="1" si="168"/>
        <v>27420</v>
      </c>
      <c r="L2577">
        <v>-18341</v>
      </c>
      <c r="M2577" s="7">
        <f t="shared" ca="1" si="166"/>
        <v>50.214921286789867</v>
      </c>
      <c r="N2577" s="5" t="str">
        <f ca="1">VLOOKUP(Data!M2577,temp!$B$3:$C$9,2,1)</f>
        <v>50-60</v>
      </c>
      <c r="O2577">
        <v>-5574</v>
      </c>
      <c r="P2577" s="8">
        <f t="shared" si="167"/>
        <v>15.260780287474333</v>
      </c>
      <c r="Q2577" s="5" t="str">
        <f t="shared" si="169"/>
        <v>Employed</v>
      </c>
      <c r="R2577">
        <v>1</v>
      </c>
      <c r="S2577">
        <v>1</v>
      </c>
      <c r="T2577">
        <v>1</v>
      </c>
      <c r="U2577">
        <v>0</v>
      </c>
      <c r="V2577" t="s">
        <v>29</v>
      </c>
      <c r="W2577">
        <v>2</v>
      </c>
    </row>
    <row r="2578" spans="1:23" x14ac:dyDescent="0.2">
      <c r="A2578">
        <v>5089547</v>
      </c>
      <c r="B2578" t="s">
        <v>18</v>
      </c>
      <c r="C2578" t="s">
        <v>19</v>
      </c>
      <c r="D2578" t="s">
        <v>19</v>
      </c>
      <c r="E2578">
        <v>1</v>
      </c>
      <c r="F2578">
        <v>135000</v>
      </c>
      <c r="G2578" t="s">
        <v>31</v>
      </c>
      <c r="H2578" t="s">
        <v>22</v>
      </c>
      <c r="I2578" t="s">
        <v>23</v>
      </c>
      <c r="J2578" t="s">
        <v>24</v>
      </c>
      <c r="K2578" s="6">
        <f t="shared" ca="1" si="168"/>
        <v>32653</v>
      </c>
      <c r="L2578">
        <v>-13108</v>
      </c>
      <c r="M2578" s="7">
        <f t="shared" ca="1" si="166"/>
        <v>35.887748117727583</v>
      </c>
      <c r="N2578" s="5" t="str">
        <f ca="1">VLOOKUP(Data!M2578,temp!$B$3:$C$9,2,1)</f>
        <v>30-40</v>
      </c>
      <c r="O2578">
        <v>-2043</v>
      </c>
      <c r="P2578" s="8">
        <f t="shared" si="167"/>
        <v>5.593429158110883</v>
      </c>
      <c r="Q2578" s="5" t="str">
        <f t="shared" si="169"/>
        <v>Employed</v>
      </c>
      <c r="R2578">
        <v>1</v>
      </c>
      <c r="S2578">
        <v>0</v>
      </c>
      <c r="T2578">
        <v>1</v>
      </c>
      <c r="U2578">
        <v>0</v>
      </c>
      <c r="V2578" t="s">
        <v>38</v>
      </c>
      <c r="W2578">
        <v>2</v>
      </c>
    </row>
    <row r="2579" spans="1:23" x14ac:dyDescent="0.2">
      <c r="A2579">
        <v>5089550</v>
      </c>
      <c r="B2579" t="s">
        <v>18</v>
      </c>
      <c r="C2579" t="s">
        <v>19</v>
      </c>
      <c r="D2579" t="s">
        <v>19</v>
      </c>
      <c r="E2579">
        <v>1</v>
      </c>
      <c r="F2579">
        <v>135000</v>
      </c>
      <c r="G2579" t="s">
        <v>31</v>
      </c>
      <c r="H2579" t="s">
        <v>22</v>
      </c>
      <c r="I2579" t="s">
        <v>23</v>
      </c>
      <c r="J2579" t="s">
        <v>24</v>
      </c>
      <c r="K2579" s="6">
        <f t="shared" ca="1" si="168"/>
        <v>32653</v>
      </c>
      <c r="L2579">
        <v>-13108</v>
      </c>
      <c r="M2579" s="7">
        <f t="shared" ca="1" si="166"/>
        <v>35.887748117727583</v>
      </c>
      <c r="N2579" s="5" t="str">
        <f ca="1">VLOOKUP(Data!M2579,temp!$B$3:$C$9,2,1)</f>
        <v>30-40</v>
      </c>
      <c r="O2579">
        <v>-2043</v>
      </c>
      <c r="P2579" s="8">
        <f t="shared" si="167"/>
        <v>5.593429158110883</v>
      </c>
      <c r="Q2579" s="5" t="str">
        <f t="shared" si="169"/>
        <v>Employed</v>
      </c>
      <c r="R2579">
        <v>1</v>
      </c>
      <c r="S2579">
        <v>0</v>
      </c>
      <c r="T2579">
        <v>1</v>
      </c>
      <c r="U2579">
        <v>0</v>
      </c>
      <c r="V2579" t="s">
        <v>38</v>
      </c>
      <c r="W2579">
        <v>2</v>
      </c>
    </row>
    <row r="2580" spans="1:23" x14ac:dyDescent="0.2">
      <c r="A2580">
        <v>5089556</v>
      </c>
      <c r="B2580" t="s">
        <v>18</v>
      </c>
      <c r="C2580" t="s">
        <v>20</v>
      </c>
      <c r="D2580" t="s">
        <v>19</v>
      </c>
      <c r="E2580">
        <v>0</v>
      </c>
      <c r="F2580">
        <v>157500</v>
      </c>
      <c r="G2580" t="s">
        <v>31</v>
      </c>
      <c r="H2580" t="s">
        <v>36</v>
      </c>
      <c r="I2580" t="s">
        <v>33</v>
      </c>
      <c r="J2580" t="s">
        <v>24</v>
      </c>
      <c r="K2580" s="6">
        <f t="shared" ca="1" si="168"/>
        <v>34355</v>
      </c>
      <c r="L2580">
        <v>-11406</v>
      </c>
      <c r="M2580" s="7">
        <f t="shared" ca="1" si="166"/>
        <v>31.227926078028748</v>
      </c>
      <c r="N2580" s="5" t="str">
        <f ca="1">VLOOKUP(Data!M2580,temp!$B$3:$C$9,2,1)</f>
        <v>30-40</v>
      </c>
      <c r="O2580">
        <v>-3078</v>
      </c>
      <c r="P2580" s="8">
        <f t="shared" si="167"/>
        <v>8.4271047227926079</v>
      </c>
      <c r="Q2580" s="5" t="str">
        <f t="shared" si="169"/>
        <v>Employed</v>
      </c>
      <c r="R2580">
        <v>1</v>
      </c>
      <c r="S2580">
        <v>1</v>
      </c>
      <c r="T2580">
        <v>0</v>
      </c>
      <c r="U2580">
        <v>0</v>
      </c>
      <c r="V2580" t="s">
        <v>32</v>
      </c>
      <c r="W2580">
        <v>1</v>
      </c>
    </row>
    <row r="2581" spans="1:23" x14ac:dyDescent="0.2">
      <c r="A2581">
        <v>5089572</v>
      </c>
      <c r="B2581" t="s">
        <v>18</v>
      </c>
      <c r="C2581" t="s">
        <v>19</v>
      </c>
      <c r="D2581" t="s">
        <v>19</v>
      </c>
      <c r="E2581">
        <v>0</v>
      </c>
      <c r="F2581">
        <v>202500</v>
      </c>
      <c r="G2581" t="s">
        <v>26</v>
      </c>
      <c r="H2581" t="s">
        <v>22</v>
      </c>
      <c r="I2581" t="s">
        <v>28</v>
      </c>
      <c r="J2581" t="s">
        <v>24</v>
      </c>
      <c r="K2581" s="6">
        <f t="shared" ca="1" si="168"/>
        <v>34452</v>
      </c>
      <c r="L2581">
        <v>-11309</v>
      </c>
      <c r="M2581" s="7">
        <f t="shared" ca="1" si="166"/>
        <v>30.962354551676935</v>
      </c>
      <c r="N2581" s="5" t="str">
        <f ca="1">VLOOKUP(Data!M2581,temp!$B$3:$C$9,2,1)</f>
        <v>30-40</v>
      </c>
      <c r="O2581">
        <v>-2713</v>
      </c>
      <c r="P2581" s="8">
        <f t="shared" si="167"/>
        <v>7.4277891854893907</v>
      </c>
      <c r="Q2581" s="5" t="str">
        <f t="shared" si="169"/>
        <v>Employed</v>
      </c>
      <c r="R2581">
        <v>1</v>
      </c>
      <c r="S2581">
        <v>1</v>
      </c>
      <c r="T2581">
        <v>0</v>
      </c>
      <c r="U2581">
        <v>0</v>
      </c>
      <c r="V2581" t="s">
        <v>39</v>
      </c>
      <c r="W2581">
        <v>2</v>
      </c>
    </row>
    <row r="2582" spans="1:23" x14ac:dyDescent="0.2">
      <c r="A2582">
        <v>5089580</v>
      </c>
      <c r="B2582" t="s">
        <v>18</v>
      </c>
      <c r="C2582" t="s">
        <v>20</v>
      </c>
      <c r="D2582" t="s">
        <v>19</v>
      </c>
      <c r="E2582">
        <v>0</v>
      </c>
      <c r="F2582">
        <v>112500</v>
      </c>
      <c r="G2582" t="s">
        <v>35</v>
      </c>
      <c r="H2582" t="s">
        <v>27</v>
      </c>
      <c r="I2582" t="s">
        <v>28</v>
      </c>
      <c r="J2582" t="s">
        <v>24</v>
      </c>
      <c r="K2582" s="6">
        <f t="shared" ca="1" si="168"/>
        <v>34097</v>
      </c>
      <c r="L2582">
        <v>-11664</v>
      </c>
      <c r="M2582" s="7">
        <f t="shared" ca="1" si="166"/>
        <v>31.93429158110883</v>
      </c>
      <c r="N2582" s="5" t="str">
        <f ca="1">VLOOKUP(Data!M2582,temp!$B$3:$C$9,2,1)</f>
        <v>30-40</v>
      </c>
      <c r="O2582">
        <v>-460</v>
      </c>
      <c r="P2582" s="8">
        <f t="shared" si="167"/>
        <v>1.2594113620807665</v>
      </c>
      <c r="Q2582" s="5" t="str">
        <f t="shared" si="169"/>
        <v>Employed</v>
      </c>
      <c r="R2582">
        <v>1</v>
      </c>
      <c r="S2582">
        <v>1</v>
      </c>
      <c r="T2582">
        <v>1</v>
      </c>
      <c r="U2582">
        <v>0</v>
      </c>
      <c r="V2582" t="s">
        <v>38</v>
      </c>
      <c r="W2582">
        <v>2</v>
      </c>
    </row>
    <row r="2583" spans="1:23" x14ac:dyDescent="0.2">
      <c r="A2583">
        <v>5089581</v>
      </c>
      <c r="B2583" t="s">
        <v>18</v>
      </c>
      <c r="C2583" t="s">
        <v>20</v>
      </c>
      <c r="D2583" t="s">
        <v>19</v>
      </c>
      <c r="E2583">
        <v>0</v>
      </c>
      <c r="F2583">
        <v>112500</v>
      </c>
      <c r="G2583" t="s">
        <v>35</v>
      </c>
      <c r="H2583" t="s">
        <v>27</v>
      </c>
      <c r="I2583" t="s">
        <v>28</v>
      </c>
      <c r="J2583" t="s">
        <v>24</v>
      </c>
      <c r="K2583" s="6">
        <f t="shared" ca="1" si="168"/>
        <v>34097</v>
      </c>
      <c r="L2583">
        <v>-11664</v>
      </c>
      <c r="M2583" s="7">
        <f t="shared" ca="1" si="166"/>
        <v>31.93429158110883</v>
      </c>
      <c r="N2583" s="5" t="str">
        <f ca="1">VLOOKUP(Data!M2583,temp!$B$3:$C$9,2,1)</f>
        <v>30-40</v>
      </c>
      <c r="O2583">
        <v>-460</v>
      </c>
      <c r="P2583" s="8">
        <f t="shared" si="167"/>
        <v>1.2594113620807665</v>
      </c>
      <c r="Q2583" s="5" t="str">
        <f t="shared" si="169"/>
        <v>Employed</v>
      </c>
      <c r="R2583">
        <v>1</v>
      </c>
      <c r="S2583">
        <v>1</v>
      </c>
      <c r="T2583">
        <v>1</v>
      </c>
      <c r="U2583">
        <v>0</v>
      </c>
      <c r="V2583" t="s">
        <v>38</v>
      </c>
      <c r="W2583">
        <v>2</v>
      </c>
    </row>
    <row r="2584" spans="1:23" x14ac:dyDescent="0.2">
      <c r="A2584">
        <v>5089596</v>
      </c>
      <c r="B2584" t="s">
        <v>25</v>
      </c>
      <c r="C2584" t="s">
        <v>20</v>
      </c>
      <c r="D2584" t="s">
        <v>19</v>
      </c>
      <c r="E2584">
        <v>0</v>
      </c>
      <c r="F2584">
        <v>315000</v>
      </c>
      <c r="G2584" t="s">
        <v>26</v>
      </c>
      <c r="H2584" t="s">
        <v>27</v>
      </c>
      <c r="I2584" t="s">
        <v>37</v>
      </c>
      <c r="J2584" t="s">
        <v>24</v>
      </c>
      <c r="K2584" s="6">
        <f t="shared" ca="1" si="168"/>
        <v>31750</v>
      </c>
      <c r="L2584">
        <v>-14011</v>
      </c>
      <c r="M2584" s="7">
        <f t="shared" ca="1" si="166"/>
        <v>38.360027378507873</v>
      </c>
      <c r="N2584" s="5" t="str">
        <f ca="1">VLOOKUP(Data!M2584,temp!$B$3:$C$9,2,1)</f>
        <v>30-40</v>
      </c>
      <c r="O2584">
        <v>-978</v>
      </c>
      <c r="P2584" s="8">
        <f t="shared" si="167"/>
        <v>2.6776180698151952</v>
      </c>
      <c r="Q2584" s="5" t="str">
        <f t="shared" si="169"/>
        <v>Employed</v>
      </c>
      <c r="R2584">
        <v>1</v>
      </c>
      <c r="S2584">
        <v>0</v>
      </c>
      <c r="T2584">
        <v>0</v>
      </c>
      <c r="U2584">
        <v>0</v>
      </c>
      <c r="V2584" t="s">
        <v>32</v>
      </c>
      <c r="W2584">
        <v>2</v>
      </c>
    </row>
    <row r="2585" spans="1:23" x14ac:dyDescent="0.2">
      <c r="A2585">
        <v>5089611</v>
      </c>
      <c r="B2585" t="s">
        <v>18</v>
      </c>
      <c r="C2585" t="s">
        <v>20</v>
      </c>
      <c r="D2585" t="s">
        <v>19</v>
      </c>
      <c r="E2585">
        <v>0</v>
      </c>
      <c r="F2585">
        <v>247500</v>
      </c>
      <c r="G2585" t="s">
        <v>31</v>
      </c>
      <c r="H2585" t="s">
        <v>22</v>
      </c>
      <c r="I2585" t="s">
        <v>28</v>
      </c>
      <c r="J2585" t="s">
        <v>24</v>
      </c>
      <c r="K2585" s="6">
        <f t="shared" ca="1" si="168"/>
        <v>29903</v>
      </c>
      <c r="L2585">
        <v>-15858</v>
      </c>
      <c r="M2585" s="7">
        <f t="shared" ca="1" si="166"/>
        <v>43.416837782340863</v>
      </c>
      <c r="N2585" s="5" t="str">
        <f ca="1">VLOOKUP(Data!M2585,temp!$B$3:$C$9,2,1)</f>
        <v>40-50</v>
      </c>
      <c r="O2585">
        <v>-1801</v>
      </c>
      <c r="P2585" s="8">
        <f t="shared" si="167"/>
        <v>4.9308692676249146</v>
      </c>
      <c r="Q2585" s="5" t="str">
        <f t="shared" si="169"/>
        <v>Employed</v>
      </c>
      <c r="R2585">
        <v>1</v>
      </c>
      <c r="S2585">
        <v>1</v>
      </c>
      <c r="T2585">
        <v>0</v>
      </c>
      <c r="U2585">
        <v>0</v>
      </c>
      <c r="V2585" t="s">
        <v>29</v>
      </c>
      <c r="W2585">
        <v>2</v>
      </c>
    </row>
    <row r="2586" spans="1:23" x14ac:dyDescent="0.2">
      <c r="A2586">
        <v>5089623</v>
      </c>
      <c r="B2586" t="s">
        <v>18</v>
      </c>
      <c r="C2586" t="s">
        <v>19</v>
      </c>
      <c r="D2586" t="s">
        <v>19</v>
      </c>
      <c r="E2586">
        <v>0</v>
      </c>
      <c r="F2586">
        <v>315000</v>
      </c>
      <c r="G2586" t="s">
        <v>26</v>
      </c>
      <c r="H2586" t="s">
        <v>22</v>
      </c>
      <c r="I2586" t="s">
        <v>28</v>
      </c>
      <c r="J2586" t="s">
        <v>24</v>
      </c>
      <c r="K2586" s="6">
        <f t="shared" ca="1" si="168"/>
        <v>29573</v>
      </c>
      <c r="L2586">
        <v>-16188</v>
      </c>
      <c r="M2586" s="7">
        <f t="shared" ca="1" si="166"/>
        <v>44.320328542094458</v>
      </c>
      <c r="N2586" s="5" t="str">
        <f ca="1">VLOOKUP(Data!M2586,temp!$B$3:$C$9,2,1)</f>
        <v>40-50</v>
      </c>
      <c r="O2586">
        <v>-309</v>
      </c>
      <c r="P2586" s="8">
        <f t="shared" si="167"/>
        <v>0.8459958932238193</v>
      </c>
      <c r="Q2586" s="5" t="str">
        <f t="shared" si="169"/>
        <v>Employed</v>
      </c>
      <c r="R2586">
        <v>1</v>
      </c>
      <c r="S2586">
        <v>1</v>
      </c>
      <c r="T2586">
        <v>1</v>
      </c>
      <c r="U2586">
        <v>1</v>
      </c>
      <c r="V2586" t="s">
        <v>39</v>
      </c>
      <c r="W2586">
        <v>2</v>
      </c>
    </row>
    <row r="2587" spans="1:23" x14ac:dyDescent="0.2">
      <c r="A2587">
        <v>5089626</v>
      </c>
      <c r="B2587" t="s">
        <v>18</v>
      </c>
      <c r="C2587" t="s">
        <v>19</v>
      </c>
      <c r="D2587" t="s">
        <v>19</v>
      </c>
      <c r="E2587">
        <v>0</v>
      </c>
      <c r="F2587">
        <v>315000</v>
      </c>
      <c r="G2587" t="s">
        <v>26</v>
      </c>
      <c r="H2587" t="s">
        <v>22</v>
      </c>
      <c r="I2587" t="s">
        <v>28</v>
      </c>
      <c r="J2587" t="s">
        <v>24</v>
      </c>
      <c r="K2587" s="6">
        <f t="shared" ca="1" si="168"/>
        <v>29573</v>
      </c>
      <c r="L2587">
        <v>-16188</v>
      </c>
      <c r="M2587" s="7">
        <f t="shared" ca="1" si="166"/>
        <v>44.320328542094458</v>
      </c>
      <c r="N2587" s="5" t="str">
        <f ca="1">VLOOKUP(Data!M2587,temp!$B$3:$C$9,2,1)</f>
        <v>40-50</v>
      </c>
      <c r="O2587">
        <v>-309</v>
      </c>
      <c r="P2587" s="8">
        <f t="shared" si="167"/>
        <v>0.8459958932238193</v>
      </c>
      <c r="Q2587" s="5" t="str">
        <f t="shared" si="169"/>
        <v>Employed</v>
      </c>
      <c r="R2587">
        <v>1</v>
      </c>
      <c r="S2587">
        <v>1</v>
      </c>
      <c r="T2587">
        <v>1</v>
      </c>
      <c r="U2587">
        <v>1</v>
      </c>
      <c r="V2587" t="s">
        <v>39</v>
      </c>
      <c r="W2587">
        <v>2</v>
      </c>
    </row>
    <row r="2588" spans="1:23" x14ac:dyDescent="0.2">
      <c r="A2588">
        <v>5089632</v>
      </c>
      <c r="B2588" t="s">
        <v>18</v>
      </c>
      <c r="C2588" t="s">
        <v>19</v>
      </c>
      <c r="D2588" t="s">
        <v>19</v>
      </c>
      <c r="E2588">
        <v>0</v>
      </c>
      <c r="F2588">
        <v>315000</v>
      </c>
      <c r="G2588" t="s">
        <v>26</v>
      </c>
      <c r="H2588" t="s">
        <v>22</v>
      </c>
      <c r="I2588" t="s">
        <v>28</v>
      </c>
      <c r="J2588" t="s">
        <v>24</v>
      </c>
      <c r="K2588" s="6">
        <f t="shared" ca="1" si="168"/>
        <v>29573</v>
      </c>
      <c r="L2588">
        <v>-16188</v>
      </c>
      <c r="M2588" s="7">
        <f t="shared" ca="1" si="166"/>
        <v>44.320328542094458</v>
      </c>
      <c r="N2588" s="5" t="str">
        <f ca="1">VLOOKUP(Data!M2588,temp!$B$3:$C$9,2,1)</f>
        <v>40-50</v>
      </c>
      <c r="O2588">
        <v>-309</v>
      </c>
      <c r="P2588" s="8">
        <f t="shared" si="167"/>
        <v>0.8459958932238193</v>
      </c>
      <c r="Q2588" s="5" t="str">
        <f t="shared" si="169"/>
        <v>Employed</v>
      </c>
      <c r="R2588">
        <v>1</v>
      </c>
      <c r="S2588">
        <v>1</v>
      </c>
      <c r="T2588">
        <v>1</v>
      </c>
      <c r="U2588">
        <v>1</v>
      </c>
      <c r="V2588" t="s">
        <v>39</v>
      </c>
      <c r="W2588">
        <v>2</v>
      </c>
    </row>
    <row r="2589" spans="1:23" x14ac:dyDescent="0.2">
      <c r="A2589">
        <v>5089649</v>
      </c>
      <c r="B2589" t="s">
        <v>25</v>
      </c>
      <c r="C2589" t="s">
        <v>20</v>
      </c>
      <c r="D2589" t="s">
        <v>19</v>
      </c>
      <c r="E2589">
        <v>0</v>
      </c>
      <c r="F2589">
        <v>306000</v>
      </c>
      <c r="G2589" t="s">
        <v>31</v>
      </c>
      <c r="H2589" t="s">
        <v>22</v>
      </c>
      <c r="I2589" t="s">
        <v>28</v>
      </c>
      <c r="J2589" t="s">
        <v>24</v>
      </c>
      <c r="K2589" s="6">
        <f t="shared" ca="1" si="168"/>
        <v>32708</v>
      </c>
      <c r="L2589">
        <v>-13053</v>
      </c>
      <c r="M2589" s="7">
        <f t="shared" ca="1" si="166"/>
        <v>35.737166324435321</v>
      </c>
      <c r="N2589" s="5" t="str">
        <f ca="1">VLOOKUP(Data!M2589,temp!$B$3:$C$9,2,1)</f>
        <v>30-40</v>
      </c>
      <c r="O2589">
        <v>-2866</v>
      </c>
      <c r="P2589" s="8">
        <f t="shared" si="167"/>
        <v>7.8466803559206024</v>
      </c>
      <c r="Q2589" s="5" t="str">
        <f t="shared" si="169"/>
        <v>Employed</v>
      </c>
      <c r="R2589">
        <v>1</v>
      </c>
      <c r="S2589">
        <v>1</v>
      </c>
      <c r="T2589">
        <v>0</v>
      </c>
      <c r="U2589">
        <v>0</v>
      </c>
      <c r="V2589" t="s">
        <v>44</v>
      </c>
      <c r="W2589">
        <v>2</v>
      </c>
    </row>
    <row r="2590" spans="1:23" x14ac:dyDescent="0.2">
      <c r="A2590">
        <v>5089655</v>
      </c>
      <c r="B2590" t="s">
        <v>18</v>
      </c>
      <c r="C2590" t="s">
        <v>19</v>
      </c>
      <c r="D2590" t="s">
        <v>19</v>
      </c>
      <c r="E2590">
        <v>0</v>
      </c>
      <c r="F2590">
        <v>99000</v>
      </c>
      <c r="G2590" t="s">
        <v>26</v>
      </c>
      <c r="H2590" t="s">
        <v>27</v>
      </c>
      <c r="I2590" t="s">
        <v>33</v>
      </c>
      <c r="J2590" t="s">
        <v>24</v>
      </c>
      <c r="K2590" s="6">
        <f t="shared" ca="1" si="168"/>
        <v>29383</v>
      </c>
      <c r="L2590">
        <v>-16378</v>
      </c>
      <c r="M2590" s="7">
        <f t="shared" ca="1" si="166"/>
        <v>44.840520191649553</v>
      </c>
      <c r="N2590" s="5" t="str">
        <f ca="1">VLOOKUP(Data!M2590,temp!$B$3:$C$9,2,1)</f>
        <v>40-50</v>
      </c>
      <c r="O2590">
        <v>-370</v>
      </c>
      <c r="P2590" s="8">
        <f t="shared" si="167"/>
        <v>1.0130047912388775</v>
      </c>
      <c r="Q2590" s="5" t="str">
        <f t="shared" si="169"/>
        <v>Employed</v>
      </c>
      <c r="R2590">
        <v>1</v>
      </c>
      <c r="S2590">
        <v>1</v>
      </c>
      <c r="T2590">
        <v>0</v>
      </c>
      <c r="U2590">
        <v>0</v>
      </c>
      <c r="V2590" t="s">
        <v>38</v>
      </c>
      <c r="W2590">
        <v>1</v>
      </c>
    </row>
    <row r="2591" spans="1:23" x14ac:dyDescent="0.2">
      <c r="A2591">
        <v>5089657</v>
      </c>
      <c r="B2591" t="s">
        <v>18</v>
      </c>
      <c r="C2591" t="s">
        <v>19</v>
      </c>
      <c r="D2591" t="s">
        <v>19</v>
      </c>
      <c r="E2591">
        <v>0</v>
      </c>
      <c r="F2591">
        <v>99000</v>
      </c>
      <c r="G2591" t="s">
        <v>26</v>
      </c>
      <c r="H2591" t="s">
        <v>27</v>
      </c>
      <c r="I2591" t="s">
        <v>33</v>
      </c>
      <c r="J2591" t="s">
        <v>24</v>
      </c>
      <c r="K2591" s="6">
        <f t="shared" ca="1" si="168"/>
        <v>29383</v>
      </c>
      <c r="L2591">
        <v>-16378</v>
      </c>
      <c r="M2591" s="7">
        <f t="shared" ca="1" si="166"/>
        <v>44.840520191649553</v>
      </c>
      <c r="N2591" s="5" t="str">
        <f ca="1">VLOOKUP(Data!M2591,temp!$B$3:$C$9,2,1)</f>
        <v>40-50</v>
      </c>
      <c r="O2591">
        <v>-370</v>
      </c>
      <c r="P2591" s="8">
        <f t="shared" si="167"/>
        <v>1.0130047912388775</v>
      </c>
      <c r="Q2591" s="5" t="str">
        <f t="shared" si="169"/>
        <v>Employed</v>
      </c>
      <c r="R2591">
        <v>1</v>
      </c>
      <c r="S2591">
        <v>1</v>
      </c>
      <c r="T2591">
        <v>0</v>
      </c>
      <c r="U2591">
        <v>0</v>
      </c>
      <c r="V2591" t="s">
        <v>38</v>
      </c>
      <c r="W2591">
        <v>1</v>
      </c>
    </row>
    <row r="2592" spans="1:23" x14ac:dyDescent="0.2">
      <c r="A2592">
        <v>5089675</v>
      </c>
      <c r="B2592" t="s">
        <v>18</v>
      </c>
      <c r="C2592" t="s">
        <v>20</v>
      </c>
      <c r="D2592" t="s">
        <v>19</v>
      </c>
      <c r="E2592">
        <v>2</v>
      </c>
      <c r="F2592">
        <v>90000</v>
      </c>
      <c r="G2592" t="s">
        <v>31</v>
      </c>
      <c r="H2592" t="s">
        <v>27</v>
      </c>
      <c r="I2592" t="s">
        <v>28</v>
      </c>
      <c r="J2592" t="s">
        <v>24</v>
      </c>
      <c r="K2592" s="6">
        <f t="shared" ca="1" si="168"/>
        <v>32626</v>
      </c>
      <c r="L2592">
        <v>-13135</v>
      </c>
      <c r="M2592" s="7">
        <f t="shared" ca="1" si="166"/>
        <v>35.961670088980149</v>
      </c>
      <c r="N2592" s="5" t="str">
        <f ca="1">VLOOKUP(Data!M2592,temp!$B$3:$C$9,2,1)</f>
        <v>30-40</v>
      </c>
      <c r="O2592">
        <v>-3657</v>
      </c>
      <c r="P2592" s="8">
        <f t="shared" si="167"/>
        <v>10.012320328542094</v>
      </c>
      <c r="Q2592" s="5" t="str">
        <f t="shared" si="169"/>
        <v>Employed</v>
      </c>
      <c r="R2592">
        <v>1</v>
      </c>
      <c r="S2592">
        <v>1</v>
      </c>
      <c r="T2592">
        <v>1</v>
      </c>
      <c r="U2592">
        <v>0</v>
      </c>
      <c r="V2592" t="s">
        <v>47</v>
      </c>
      <c r="W2592">
        <v>4</v>
      </c>
    </row>
    <row r="2593" spans="1:23" x14ac:dyDescent="0.2">
      <c r="A2593">
        <v>5089683</v>
      </c>
      <c r="B2593" t="s">
        <v>25</v>
      </c>
      <c r="C2593" t="s">
        <v>20</v>
      </c>
      <c r="D2593" t="s">
        <v>19</v>
      </c>
      <c r="E2593">
        <v>0</v>
      </c>
      <c r="F2593">
        <v>144000</v>
      </c>
      <c r="G2593" t="s">
        <v>31</v>
      </c>
      <c r="H2593" t="s">
        <v>27</v>
      </c>
      <c r="I2593" t="s">
        <v>28</v>
      </c>
      <c r="J2593" t="s">
        <v>24</v>
      </c>
      <c r="K2593" s="6">
        <f t="shared" ca="1" si="168"/>
        <v>30994</v>
      </c>
      <c r="L2593">
        <v>-14767</v>
      </c>
      <c r="M2593" s="7">
        <f t="shared" ca="1" si="166"/>
        <v>40.429842573579741</v>
      </c>
      <c r="N2593" s="5" t="str">
        <f ca="1">VLOOKUP(Data!M2593,temp!$B$3:$C$9,2,1)</f>
        <v>40-50</v>
      </c>
      <c r="O2593">
        <v>-613</v>
      </c>
      <c r="P2593" s="8">
        <f t="shared" si="167"/>
        <v>1.678302532511978</v>
      </c>
      <c r="Q2593" s="5" t="str">
        <f t="shared" si="169"/>
        <v>Employed</v>
      </c>
      <c r="R2593">
        <v>1</v>
      </c>
      <c r="S2593">
        <v>1</v>
      </c>
      <c r="T2593">
        <v>0</v>
      </c>
      <c r="U2593">
        <v>0</v>
      </c>
      <c r="V2593" t="s">
        <v>30</v>
      </c>
      <c r="W2593">
        <v>2</v>
      </c>
    </row>
    <row r="2594" spans="1:23" x14ac:dyDescent="0.2">
      <c r="A2594">
        <v>5089685</v>
      </c>
      <c r="B2594" t="s">
        <v>25</v>
      </c>
      <c r="C2594" t="s">
        <v>19</v>
      </c>
      <c r="D2594" t="s">
        <v>19</v>
      </c>
      <c r="E2594">
        <v>0</v>
      </c>
      <c r="F2594">
        <v>90000</v>
      </c>
      <c r="G2594" t="s">
        <v>21</v>
      </c>
      <c r="H2594" t="s">
        <v>27</v>
      </c>
      <c r="I2594" t="s">
        <v>33</v>
      </c>
      <c r="J2594" t="s">
        <v>24</v>
      </c>
      <c r="K2594" s="6">
        <f t="shared" ca="1" si="168"/>
        <v>25117</v>
      </c>
      <c r="L2594">
        <v>-20644</v>
      </c>
      <c r="M2594" s="7">
        <f t="shared" ca="1" si="166"/>
        <v>56.520191649555102</v>
      </c>
      <c r="N2594" s="5" t="str">
        <f ca="1">VLOOKUP(Data!M2594,temp!$B$3:$C$9,2,1)</f>
        <v>50-60</v>
      </c>
      <c r="O2594">
        <v>365243</v>
      </c>
      <c r="P2594" s="8">
        <f t="shared" si="167"/>
        <v>0</v>
      </c>
      <c r="Q2594" s="5" t="str">
        <f t="shared" si="169"/>
        <v>Unemployed</v>
      </c>
      <c r="R2594">
        <v>1</v>
      </c>
      <c r="S2594">
        <v>0</v>
      </c>
      <c r="T2594">
        <v>0</v>
      </c>
      <c r="U2594">
        <v>0</v>
      </c>
      <c r="W2594">
        <v>1</v>
      </c>
    </row>
    <row r="2595" spans="1:23" x14ac:dyDescent="0.2">
      <c r="A2595">
        <v>5089691</v>
      </c>
      <c r="B2595" t="s">
        <v>18</v>
      </c>
      <c r="C2595" t="s">
        <v>19</v>
      </c>
      <c r="D2595" t="s">
        <v>19</v>
      </c>
      <c r="E2595">
        <v>0</v>
      </c>
      <c r="F2595">
        <v>67500</v>
      </c>
      <c r="G2595" t="s">
        <v>31</v>
      </c>
      <c r="H2595" t="s">
        <v>27</v>
      </c>
      <c r="I2595" t="s">
        <v>37</v>
      </c>
      <c r="J2595" t="s">
        <v>24</v>
      </c>
      <c r="K2595" s="6">
        <f t="shared" ca="1" si="168"/>
        <v>30198</v>
      </c>
      <c r="L2595">
        <v>-15563</v>
      </c>
      <c r="M2595" s="7">
        <f t="shared" ca="1" si="166"/>
        <v>42.609171800136892</v>
      </c>
      <c r="N2595" s="5" t="str">
        <f ca="1">VLOOKUP(Data!M2595,temp!$B$3:$C$9,2,1)</f>
        <v>40-50</v>
      </c>
      <c r="O2595">
        <v>-309</v>
      </c>
      <c r="P2595" s="8">
        <f t="shared" si="167"/>
        <v>0.8459958932238193</v>
      </c>
      <c r="Q2595" s="5" t="str">
        <f t="shared" si="169"/>
        <v>Employed</v>
      </c>
      <c r="R2595">
        <v>1</v>
      </c>
      <c r="S2595">
        <v>0</v>
      </c>
      <c r="T2595">
        <v>0</v>
      </c>
      <c r="U2595">
        <v>0</v>
      </c>
      <c r="V2595" t="s">
        <v>55</v>
      </c>
      <c r="W2595">
        <v>2</v>
      </c>
    </row>
    <row r="2596" spans="1:23" x14ac:dyDescent="0.2">
      <c r="A2596">
        <v>5089698</v>
      </c>
      <c r="B2596" t="s">
        <v>18</v>
      </c>
      <c r="C2596" t="s">
        <v>19</v>
      </c>
      <c r="D2596" t="s">
        <v>19</v>
      </c>
      <c r="E2596">
        <v>0</v>
      </c>
      <c r="F2596">
        <v>135000</v>
      </c>
      <c r="G2596" t="s">
        <v>21</v>
      </c>
      <c r="H2596" t="s">
        <v>27</v>
      </c>
      <c r="I2596" t="s">
        <v>28</v>
      </c>
      <c r="J2596" t="s">
        <v>24</v>
      </c>
      <c r="K2596" s="6">
        <f t="shared" ca="1" si="168"/>
        <v>22705</v>
      </c>
      <c r="L2596">
        <v>-23056</v>
      </c>
      <c r="M2596" s="7">
        <f t="shared" ca="1" si="166"/>
        <v>63.123887748117724</v>
      </c>
      <c r="N2596" s="5" t="str">
        <f ca="1">VLOOKUP(Data!M2596,temp!$B$3:$C$9,2,1)</f>
        <v>60-70</v>
      </c>
      <c r="O2596">
        <v>365243</v>
      </c>
      <c r="P2596" s="8">
        <f t="shared" si="167"/>
        <v>0</v>
      </c>
      <c r="Q2596" s="5" t="str">
        <f t="shared" si="169"/>
        <v>Unemployed</v>
      </c>
      <c r="R2596">
        <v>1</v>
      </c>
      <c r="S2596">
        <v>0</v>
      </c>
      <c r="T2596">
        <v>1</v>
      </c>
      <c r="U2596">
        <v>0</v>
      </c>
      <c r="W2596">
        <v>2</v>
      </c>
    </row>
    <row r="2597" spans="1:23" x14ac:dyDescent="0.2">
      <c r="A2597">
        <v>5089707</v>
      </c>
      <c r="B2597" t="s">
        <v>25</v>
      </c>
      <c r="C2597" t="s">
        <v>19</v>
      </c>
      <c r="D2597" t="s">
        <v>19</v>
      </c>
      <c r="E2597">
        <v>0</v>
      </c>
      <c r="F2597">
        <v>130500</v>
      </c>
      <c r="G2597" t="s">
        <v>31</v>
      </c>
      <c r="H2597" t="s">
        <v>27</v>
      </c>
      <c r="I2597" t="s">
        <v>33</v>
      </c>
      <c r="J2597" t="s">
        <v>41</v>
      </c>
      <c r="K2597" s="6">
        <f t="shared" ca="1" si="168"/>
        <v>33888</v>
      </c>
      <c r="L2597">
        <v>-11873</v>
      </c>
      <c r="M2597" s="7">
        <f t="shared" ca="1" si="166"/>
        <v>32.506502395619435</v>
      </c>
      <c r="N2597" s="5" t="str">
        <f ca="1">VLOOKUP(Data!M2597,temp!$B$3:$C$9,2,1)</f>
        <v>30-40</v>
      </c>
      <c r="O2597">
        <v>-3504</v>
      </c>
      <c r="P2597" s="8">
        <f t="shared" si="167"/>
        <v>9.593429158110883</v>
      </c>
      <c r="Q2597" s="5" t="str">
        <f t="shared" si="169"/>
        <v>Employed</v>
      </c>
      <c r="R2597">
        <v>1</v>
      </c>
      <c r="S2597">
        <v>0</v>
      </c>
      <c r="T2597">
        <v>0</v>
      </c>
      <c r="U2597">
        <v>0</v>
      </c>
      <c r="V2597" t="s">
        <v>29</v>
      </c>
      <c r="W2597">
        <v>1</v>
      </c>
    </row>
    <row r="2598" spans="1:23" x14ac:dyDescent="0.2">
      <c r="A2598">
        <v>5089710</v>
      </c>
      <c r="B2598" t="s">
        <v>25</v>
      </c>
      <c r="C2598" t="s">
        <v>19</v>
      </c>
      <c r="D2598" t="s">
        <v>19</v>
      </c>
      <c r="E2598">
        <v>0</v>
      </c>
      <c r="F2598">
        <v>130500</v>
      </c>
      <c r="G2598" t="s">
        <v>31</v>
      </c>
      <c r="H2598" t="s">
        <v>27</v>
      </c>
      <c r="I2598" t="s">
        <v>33</v>
      </c>
      <c r="J2598" t="s">
        <v>41</v>
      </c>
      <c r="K2598" s="6">
        <f t="shared" ca="1" si="168"/>
        <v>33888</v>
      </c>
      <c r="L2598">
        <v>-11873</v>
      </c>
      <c r="M2598" s="7">
        <f t="shared" ca="1" si="166"/>
        <v>32.506502395619435</v>
      </c>
      <c r="N2598" s="5" t="str">
        <f ca="1">VLOOKUP(Data!M2598,temp!$B$3:$C$9,2,1)</f>
        <v>30-40</v>
      </c>
      <c r="O2598">
        <v>-3504</v>
      </c>
      <c r="P2598" s="8">
        <f t="shared" si="167"/>
        <v>9.593429158110883</v>
      </c>
      <c r="Q2598" s="5" t="str">
        <f t="shared" si="169"/>
        <v>Employed</v>
      </c>
      <c r="R2598">
        <v>1</v>
      </c>
      <c r="S2598">
        <v>0</v>
      </c>
      <c r="T2598">
        <v>0</v>
      </c>
      <c r="U2598">
        <v>0</v>
      </c>
      <c r="V2598" t="s">
        <v>29</v>
      </c>
      <c r="W2598">
        <v>1</v>
      </c>
    </row>
    <row r="2599" spans="1:23" x14ac:dyDescent="0.2">
      <c r="A2599">
        <v>5089767</v>
      </c>
      <c r="B2599" t="s">
        <v>25</v>
      </c>
      <c r="C2599" t="s">
        <v>20</v>
      </c>
      <c r="D2599" t="s">
        <v>20</v>
      </c>
      <c r="E2599">
        <v>2</v>
      </c>
      <c r="F2599">
        <v>225000</v>
      </c>
      <c r="G2599" t="s">
        <v>31</v>
      </c>
      <c r="H2599" t="s">
        <v>27</v>
      </c>
      <c r="I2599" t="s">
        <v>28</v>
      </c>
      <c r="J2599" t="s">
        <v>24</v>
      </c>
      <c r="K2599" s="6">
        <f t="shared" ca="1" si="168"/>
        <v>34965</v>
      </c>
      <c r="L2599">
        <v>-10796</v>
      </c>
      <c r="M2599" s="7">
        <f t="shared" ca="1" si="166"/>
        <v>29.557837097878167</v>
      </c>
      <c r="N2599" s="5" t="str">
        <f ca="1">VLOOKUP(Data!M2599,temp!$B$3:$C$9,2,1)</f>
        <v>20-30</v>
      </c>
      <c r="O2599">
        <v>-2531</v>
      </c>
      <c r="P2599" s="8">
        <f t="shared" si="167"/>
        <v>6.9295003422313481</v>
      </c>
      <c r="Q2599" s="5" t="str">
        <f t="shared" si="169"/>
        <v>Employed</v>
      </c>
      <c r="R2599">
        <v>1</v>
      </c>
      <c r="S2599">
        <v>1</v>
      </c>
      <c r="T2599">
        <v>0</v>
      </c>
      <c r="U2599">
        <v>0</v>
      </c>
      <c r="V2599" t="s">
        <v>29</v>
      </c>
      <c r="W2599">
        <v>4</v>
      </c>
    </row>
    <row r="2600" spans="1:23" x14ac:dyDescent="0.2">
      <c r="A2600">
        <v>5089770</v>
      </c>
      <c r="B2600" t="s">
        <v>25</v>
      </c>
      <c r="C2600" t="s">
        <v>20</v>
      </c>
      <c r="D2600" t="s">
        <v>20</v>
      </c>
      <c r="E2600">
        <v>2</v>
      </c>
      <c r="F2600">
        <v>225000</v>
      </c>
      <c r="G2600" t="s">
        <v>31</v>
      </c>
      <c r="H2600" t="s">
        <v>27</v>
      </c>
      <c r="I2600" t="s">
        <v>28</v>
      </c>
      <c r="J2600" t="s">
        <v>24</v>
      </c>
      <c r="K2600" s="6">
        <f t="shared" ca="1" si="168"/>
        <v>34965</v>
      </c>
      <c r="L2600">
        <v>-10796</v>
      </c>
      <c r="M2600" s="7">
        <f t="shared" ca="1" si="166"/>
        <v>29.557837097878167</v>
      </c>
      <c r="N2600" s="5" t="str">
        <f ca="1">VLOOKUP(Data!M2600,temp!$B$3:$C$9,2,1)</f>
        <v>20-30</v>
      </c>
      <c r="O2600">
        <v>-2531</v>
      </c>
      <c r="P2600" s="8">
        <f t="shared" si="167"/>
        <v>6.9295003422313481</v>
      </c>
      <c r="Q2600" s="5" t="str">
        <f t="shared" si="169"/>
        <v>Employed</v>
      </c>
      <c r="R2600">
        <v>1</v>
      </c>
      <c r="S2600">
        <v>1</v>
      </c>
      <c r="T2600">
        <v>0</v>
      </c>
      <c r="U2600">
        <v>0</v>
      </c>
      <c r="V2600" t="s">
        <v>29</v>
      </c>
      <c r="W2600">
        <v>4</v>
      </c>
    </row>
    <row r="2601" spans="1:23" x14ac:dyDescent="0.2">
      <c r="A2601">
        <v>5089777</v>
      </c>
      <c r="B2601" t="s">
        <v>25</v>
      </c>
      <c r="C2601" t="s">
        <v>20</v>
      </c>
      <c r="D2601" t="s">
        <v>20</v>
      </c>
      <c r="E2601">
        <v>0</v>
      </c>
      <c r="F2601">
        <v>247500</v>
      </c>
      <c r="G2601" t="s">
        <v>31</v>
      </c>
      <c r="H2601" t="s">
        <v>27</v>
      </c>
      <c r="I2601" t="s">
        <v>28</v>
      </c>
      <c r="J2601" t="s">
        <v>24</v>
      </c>
      <c r="K2601" s="6">
        <f t="shared" ca="1" si="168"/>
        <v>31194</v>
      </c>
      <c r="L2601">
        <v>-14567</v>
      </c>
      <c r="M2601" s="7">
        <f t="shared" ca="1" si="166"/>
        <v>39.88227241615332</v>
      </c>
      <c r="N2601" s="5" t="str">
        <f ca="1">VLOOKUP(Data!M2601,temp!$B$3:$C$9,2,1)</f>
        <v>30-40</v>
      </c>
      <c r="O2601">
        <v>-7369</v>
      </c>
      <c r="P2601" s="8">
        <f t="shared" si="167"/>
        <v>20.175222450376456</v>
      </c>
      <c r="Q2601" s="5" t="str">
        <f t="shared" si="169"/>
        <v>Employed</v>
      </c>
      <c r="R2601">
        <v>1</v>
      </c>
      <c r="S2601">
        <v>1</v>
      </c>
      <c r="T2601">
        <v>0</v>
      </c>
      <c r="U2601">
        <v>0</v>
      </c>
      <c r="V2601" t="s">
        <v>29</v>
      </c>
      <c r="W2601">
        <v>2</v>
      </c>
    </row>
    <row r="2602" spans="1:23" x14ac:dyDescent="0.2">
      <c r="A2602">
        <v>5089781</v>
      </c>
      <c r="B2602" t="s">
        <v>25</v>
      </c>
      <c r="C2602" t="s">
        <v>20</v>
      </c>
      <c r="D2602" t="s">
        <v>20</v>
      </c>
      <c r="E2602">
        <v>0</v>
      </c>
      <c r="F2602">
        <v>247500</v>
      </c>
      <c r="G2602" t="s">
        <v>31</v>
      </c>
      <c r="H2602" t="s">
        <v>27</v>
      </c>
      <c r="I2602" t="s">
        <v>28</v>
      </c>
      <c r="J2602" t="s">
        <v>24</v>
      </c>
      <c r="K2602" s="6">
        <f t="shared" ca="1" si="168"/>
        <v>31194</v>
      </c>
      <c r="L2602">
        <v>-14567</v>
      </c>
      <c r="M2602" s="7">
        <f t="shared" ca="1" si="166"/>
        <v>39.88227241615332</v>
      </c>
      <c r="N2602" s="5" t="str">
        <f ca="1">VLOOKUP(Data!M2602,temp!$B$3:$C$9,2,1)</f>
        <v>30-40</v>
      </c>
      <c r="O2602">
        <v>-7369</v>
      </c>
      <c r="P2602" s="8">
        <f t="shared" si="167"/>
        <v>20.175222450376456</v>
      </c>
      <c r="Q2602" s="5" t="str">
        <f t="shared" si="169"/>
        <v>Employed</v>
      </c>
      <c r="R2602">
        <v>1</v>
      </c>
      <c r="S2602">
        <v>1</v>
      </c>
      <c r="T2602">
        <v>0</v>
      </c>
      <c r="U2602">
        <v>0</v>
      </c>
      <c r="V2602" t="s">
        <v>29</v>
      </c>
      <c r="W2602">
        <v>2</v>
      </c>
    </row>
    <row r="2603" spans="1:23" x14ac:dyDescent="0.2">
      <c r="A2603">
        <v>5089813</v>
      </c>
      <c r="B2603" t="s">
        <v>18</v>
      </c>
      <c r="C2603" t="s">
        <v>19</v>
      </c>
      <c r="D2603" t="s">
        <v>19</v>
      </c>
      <c r="E2603">
        <v>1</v>
      </c>
      <c r="F2603">
        <v>202500</v>
      </c>
      <c r="G2603" t="s">
        <v>31</v>
      </c>
      <c r="H2603" t="s">
        <v>27</v>
      </c>
      <c r="I2603" t="s">
        <v>28</v>
      </c>
      <c r="J2603" t="s">
        <v>24</v>
      </c>
      <c r="K2603" s="6">
        <f t="shared" ca="1" si="168"/>
        <v>33714</v>
      </c>
      <c r="L2603">
        <v>-12047</v>
      </c>
      <c r="M2603" s="7">
        <f t="shared" ca="1" si="166"/>
        <v>32.982888432580424</v>
      </c>
      <c r="N2603" s="5" t="str">
        <f ca="1">VLOOKUP(Data!M2603,temp!$B$3:$C$9,2,1)</f>
        <v>30-40</v>
      </c>
      <c r="O2603">
        <v>-3443</v>
      </c>
      <c r="P2603" s="8">
        <f t="shared" si="167"/>
        <v>9.4264202600958242</v>
      </c>
      <c r="Q2603" s="5" t="str">
        <f t="shared" si="169"/>
        <v>Employed</v>
      </c>
      <c r="R2603">
        <v>1</v>
      </c>
      <c r="S2603">
        <v>0</v>
      </c>
      <c r="T2603">
        <v>0</v>
      </c>
      <c r="U2603">
        <v>0</v>
      </c>
      <c r="V2603" t="s">
        <v>32</v>
      </c>
      <c r="W2603">
        <v>3</v>
      </c>
    </row>
    <row r="2604" spans="1:23" x14ac:dyDescent="0.2">
      <c r="A2604">
        <v>5089815</v>
      </c>
      <c r="B2604" t="s">
        <v>18</v>
      </c>
      <c r="C2604" t="s">
        <v>19</v>
      </c>
      <c r="D2604" t="s">
        <v>19</v>
      </c>
      <c r="E2604">
        <v>1</v>
      </c>
      <c r="F2604">
        <v>202500</v>
      </c>
      <c r="G2604" t="s">
        <v>31</v>
      </c>
      <c r="H2604" t="s">
        <v>27</v>
      </c>
      <c r="I2604" t="s">
        <v>28</v>
      </c>
      <c r="J2604" t="s">
        <v>24</v>
      </c>
      <c r="K2604" s="6">
        <f t="shared" ca="1" si="168"/>
        <v>33714</v>
      </c>
      <c r="L2604">
        <v>-12047</v>
      </c>
      <c r="M2604" s="7">
        <f t="shared" ca="1" si="166"/>
        <v>32.982888432580424</v>
      </c>
      <c r="N2604" s="5" t="str">
        <f ca="1">VLOOKUP(Data!M2604,temp!$B$3:$C$9,2,1)</f>
        <v>30-40</v>
      </c>
      <c r="O2604">
        <v>-3443</v>
      </c>
      <c r="P2604" s="8">
        <f t="shared" si="167"/>
        <v>9.4264202600958242</v>
      </c>
      <c r="Q2604" s="5" t="str">
        <f t="shared" si="169"/>
        <v>Employed</v>
      </c>
      <c r="R2604">
        <v>1</v>
      </c>
      <c r="S2604">
        <v>0</v>
      </c>
      <c r="T2604">
        <v>0</v>
      </c>
      <c r="U2604">
        <v>0</v>
      </c>
      <c r="V2604" t="s">
        <v>32</v>
      </c>
      <c r="W2604">
        <v>3</v>
      </c>
    </row>
    <row r="2605" spans="1:23" x14ac:dyDescent="0.2">
      <c r="A2605">
        <v>5089819</v>
      </c>
      <c r="B2605" t="s">
        <v>25</v>
      </c>
      <c r="C2605" t="s">
        <v>20</v>
      </c>
      <c r="D2605" t="s">
        <v>20</v>
      </c>
      <c r="E2605">
        <v>1</v>
      </c>
      <c r="F2605">
        <v>270000</v>
      </c>
      <c r="G2605" t="s">
        <v>31</v>
      </c>
      <c r="H2605" t="s">
        <v>27</v>
      </c>
      <c r="I2605" t="s">
        <v>28</v>
      </c>
      <c r="J2605" t="s">
        <v>24</v>
      </c>
      <c r="K2605" s="6">
        <f t="shared" ca="1" si="168"/>
        <v>33085</v>
      </c>
      <c r="L2605">
        <v>-12676</v>
      </c>
      <c r="M2605" s="7">
        <f t="shared" ca="1" si="166"/>
        <v>34.704996577686515</v>
      </c>
      <c r="N2605" s="5" t="str">
        <f ca="1">VLOOKUP(Data!M2605,temp!$B$3:$C$9,2,1)</f>
        <v>30-40</v>
      </c>
      <c r="O2605">
        <v>-917</v>
      </c>
      <c r="P2605" s="8">
        <f t="shared" si="167"/>
        <v>2.5106091718001369</v>
      </c>
      <c r="Q2605" s="5" t="str">
        <f t="shared" si="169"/>
        <v>Employed</v>
      </c>
      <c r="R2605">
        <v>1</v>
      </c>
      <c r="S2605">
        <v>0</v>
      </c>
      <c r="T2605">
        <v>1</v>
      </c>
      <c r="U2605">
        <v>0</v>
      </c>
      <c r="V2605" t="s">
        <v>30</v>
      </c>
      <c r="W2605">
        <v>3</v>
      </c>
    </row>
    <row r="2606" spans="1:23" x14ac:dyDescent="0.2">
      <c r="A2606">
        <v>5089827</v>
      </c>
      <c r="B2606" t="s">
        <v>18</v>
      </c>
      <c r="C2606" t="s">
        <v>19</v>
      </c>
      <c r="D2606" t="s">
        <v>20</v>
      </c>
      <c r="E2606">
        <v>0</v>
      </c>
      <c r="F2606">
        <v>225000</v>
      </c>
      <c r="G2606" t="s">
        <v>21</v>
      </c>
      <c r="H2606" t="s">
        <v>27</v>
      </c>
      <c r="I2606" t="s">
        <v>33</v>
      </c>
      <c r="J2606" t="s">
        <v>24</v>
      </c>
      <c r="K2606" s="6">
        <f t="shared" ca="1" si="168"/>
        <v>22785</v>
      </c>
      <c r="L2606">
        <v>-22976</v>
      </c>
      <c r="M2606" s="7">
        <f t="shared" ca="1" si="166"/>
        <v>62.904859685147159</v>
      </c>
      <c r="N2606" s="5" t="str">
        <f ca="1">VLOOKUP(Data!M2606,temp!$B$3:$C$9,2,1)</f>
        <v>60-70</v>
      </c>
      <c r="O2606">
        <v>365243</v>
      </c>
      <c r="P2606" s="8">
        <f t="shared" si="167"/>
        <v>0</v>
      </c>
      <c r="Q2606" s="5" t="str">
        <f t="shared" si="169"/>
        <v>Unemployed</v>
      </c>
      <c r="R2606">
        <v>1</v>
      </c>
      <c r="S2606">
        <v>0</v>
      </c>
      <c r="T2606">
        <v>0</v>
      </c>
      <c r="U2606">
        <v>0</v>
      </c>
      <c r="W2606">
        <v>1</v>
      </c>
    </row>
    <row r="2607" spans="1:23" x14ac:dyDescent="0.2">
      <c r="A2607">
        <v>5089834</v>
      </c>
      <c r="B2607" t="s">
        <v>18</v>
      </c>
      <c r="C2607" t="s">
        <v>19</v>
      </c>
      <c r="D2607" t="s">
        <v>20</v>
      </c>
      <c r="E2607">
        <v>0</v>
      </c>
      <c r="F2607">
        <v>225000</v>
      </c>
      <c r="G2607" t="s">
        <v>21</v>
      </c>
      <c r="H2607" t="s">
        <v>27</v>
      </c>
      <c r="I2607" t="s">
        <v>33</v>
      </c>
      <c r="J2607" t="s">
        <v>24</v>
      </c>
      <c r="K2607" s="6">
        <f t="shared" ca="1" si="168"/>
        <v>22785</v>
      </c>
      <c r="L2607">
        <v>-22976</v>
      </c>
      <c r="M2607" s="7">
        <f t="shared" ca="1" si="166"/>
        <v>62.904859685147159</v>
      </c>
      <c r="N2607" s="5" t="str">
        <f ca="1">VLOOKUP(Data!M2607,temp!$B$3:$C$9,2,1)</f>
        <v>60-70</v>
      </c>
      <c r="O2607">
        <v>365243</v>
      </c>
      <c r="P2607" s="8">
        <f t="shared" si="167"/>
        <v>0</v>
      </c>
      <c r="Q2607" s="5" t="str">
        <f t="shared" si="169"/>
        <v>Unemployed</v>
      </c>
      <c r="R2607">
        <v>1</v>
      </c>
      <c r="S2607">
        <v>0</v>
      </c>
      <c r="T2607">
        <v>0</v>
      </c>
      <c r="U2607">
        <v>0</v>
      </c>
      <c r="W2607">
        <v>1</v>
      </c>
    </row>
    <row r="2608" spans="1:23" x14ac:dyDescent="0.2">
      <c r="A2608">
        <v>5089836</v>
      </c>
      <c r="B2608" t="s">
        <v>18</v>
      </c>
      <c r="C2608" t="s">
        <v>19</v>
      </c>
      <c r="D2608" t="s">
        <v>20</v>
      </c>
      <c r="E2608">
        <v>0</v>
      </c>
      <c r="F2608">
        <v>225000</v>
      </c>
      <c r="G2608" t="s">
        <v>21</v>
      </c>
      <c r="H2608" t="s">
        <v>27</v>
      </c>
      <c r="I2608" t="s">
        <v>33</v>
      </c>
      <c r="J2608" t="s">
        <v>24</v>
      </c>
      <c r="K2608" s="6">
        <f t="shared" ca="1" si="168"/>
        <v>22785</v>
      </c>
      <c r="L2608">
        <v>-22976</v>
      </c>
      <c r="M2608" s="7">
        <f t="shared" ca="1" si="166"/>
        <v>62.904859685147159</v>
      </c>
      <c r="N2608" s="5" t="str">
        <f ca="1">VLOOKUP(Data!M2608,temp!$B$3:$C$9,2,1)</f>
        <v>60-70</v>
      </c>
      <c r="O2608">
        <v>365243</v>
      </c>
      <c r="P2608" s="8">
        <f t="shared" si="167"/>
        <v>0</v>
      </c>
      <c r="Q2608" s="5" t="str">
        <f t="shared" si="169"/>
        <v>Unemployed</v>
      </c>
      <c r="R2608">
        <v>1</v>
      </c>
      <c r="S2608">
        <v>0</v>
      </c>
      <c r="T2608">
        <v>0</v>
      </c>
      <c r="U2608">
        <v>0</v>
      </c>
      <c r="W2608">
        <v>1</v>
      </c>
    </row>
    <row r="2609" spans="1:23" x14ac:dyDescent="0.2">
      <c r="A2609">
        <v>5089838</v>
      </c>
      <c r="B2609" t="s">
        <v>18</v>
      </c>
      <c r="C2609" t="s">
        <v>19</v>
      </c>
      <c r="D2609" t="s">
        <v>20</v>
      </c>
      <c r="E2609">
        <v>0</v>
      </c>
      <c r="F2609">
        <v>225000</v>
      </c>
      <c r="G2609" t="s">
        <v>21</v>
      </c>
      <c r="H2609" t="s">
        <v>27</v>
      </c>
      <c r="I2609" t="s">
        <v>33</v>
      </c>
      <c r="J2609" t="s">
        <v>24</v>
      </c>
      <c r="K2609" s="6">
        <f t="shared" ca="1" si="168"/>
        <v>22785</v>
      </c>
      <c r="L2609">
        <v>-22976</v>
      </c>
      <c r="M2609" s="7">
        <f t="shared" ca="1" si="166"/>
        <v>62.904859685147159</v>
      </c>
      <c r="N2609" s="5" t="str">
        <f ca="1">VLOOKUP(Data!M2609,temp!$B$3:$C$9,2,1)</f>
        <v>60-70</v>
      </c>
      <c r="O2609">
        <v>365243</v>
      </c>
      <c r="P2609" s="8">
        <f t="shared" si="167"/>
        <v>0</v>
      </c>
      <c r="Q2609" s="5" t="str">
        <f t="shared" si="169"/>
        <v>Unemployed</v>
      </c>
      <c r="R2609">
        <v>1</v>
      </c>
      <c r="S2609">
        <v>0</v>
      </c>
      <c r="T2609">
        <v>0</v>
      </c>
      <c r="U2609">
        <v>0</v>
      </c>
      <c r="W2609">
        <v>1</v>
      </c>
    </row>
    <row r="2610" spans="1:23" x14ac:dyDescent="0.2">
      <c r="A2610">
        <v>5089845</v>
      </c>
      <c r="B2610" t="s">
        <v>18</v>
      </c>
      <c r="C2610" t="s">
        <v>19</v>
      </c>
      <c r="D2610" t="s">
        <v>20</v>
      </c>
      <c r="E2610">
        <v>1</v>
      </c>
      <c r="F2610">
        <v>225000</v>
      </c>
      <c r="G2610" t="s">
        <v>26</v>
      </c>
      <c r="H2610" t="s">
        <v>27</v>
      </c>
      <c r="I2610" t="s">
        <v>37</v>
      </c>
      <c r="J2610" t="s">
        <v>24</v>
      </c>
      <c r="K2610" s="6">
        <f t="shared" ca="1" si="168"/>
        <v>29256</v>
      </c>
      <c r="L2610">
        <v>-16505</v>
      </c>
      <c r="M2610" s="7">
        <f t="shared" ca="1" si="166"/>
        <v>45.18822724161533</v>
      </c>
      <c r="N2610" s="5" t="str">
        <f ca="1">VLOOKUP(Data!M2610,temp!$B$3:$C$9,2,1)</f>
        <v>40-50</v>
      </c>
      <c r="O2610">
        <v>-1862</v>
      </c>
      <c r="P2610" s="8">
        <f t="shared" si="167"/>
        <v>5.0978781656399725</v>
      </c>
      <c r="Q2610" s="5" t="str">
        <f t="shared" si="169"/>
        <v>Employed</v>
      </c>
      <c r="R2610">
        <v>1</v>
      </c>
      <c r="S2610">
        <v>0</v>
      </c>
      <c r="T2610">
        <v>1</v>
      </c>
      <c r="U2610">
        <v>1</v>
      </c>
      <c r="V2610" t="s">
        <v>38</v>
      </c>
      <c r="W2610">
        <v>3</v>
      </c>
    </row>
    <row r="2611" spans="1:23" x14ac:dyDescent="0.2">
      <c r="A2611">
        <v>5089858</v>
      </c>
      <c r="B2611" t="s">
        <v>18</v>
      </c>
      <c r="C2611" t="s">
        <v>20</v>
      </c>
      <c r="D2611" t="s">
        <v>19</v>
      </c>
      <c r="E2611">
        <v>1</v>
      </c>
      <c r="F2611">
        <v>108000</v>
      </c>
      <c r="G2611" t="s">
        <v>31</v>
      </c>
      <c r="H2611" t="s">
        <v>27</v>
      </c>
      <c r="I2611" t="s">
        <v>28</v>
      </c>
      <c r="J2611" t="s">
        <v>24</v>
      </c>
      <c r="K2611" s="6">
        <f t="shared" ca="1" si="168"/>
        <v>30029</v>
      </c>
      <c r="L2611">
        <v>-15732</v>
      </c>
      <c r="M2611" s="7">
        <f t="shared" ca="1" si="166"/>
        <v>43.071868583162221</v>
      </c>
      <c r="N2611" s="5" t="str">
        <f ca="1">VLOOKUP(Data!M2611,temp!$B$3:$C$9,2,1)</f>
        <v>40-50</v>
      </c>
      <c r="O2611">
        <v>-95</v>
      </c>
      <c r="P2611" s="8">
        <f t="shared" si="167"/>
        <v>0.26009582477754961</v>
      </c>
      <c r="Q2611" s="5" t="str">
        <f t="shared" si="169"/>
        <v>Employed</v>
      </c>
      <c r="R2611">
        <v>1</v>
      </c>
      <c r="S2611">
        <v>0</v>
      </c>
      <c r="T2611">
        <v>0</v>
      </c>
      <c r="U2611">
        <v>1</v>
      </c>
      <c r="V2611" t="s">
        <v>39</v>
      </c>
      <c r="W2611">
        <v>3</v>
      </c>
    </row>
    <row r="2612" spans="1:23" x14ac:dyDescent="0.2">
      <c r="A2612">
        <v>5089861</v>
      </c>
      <c r="B2612" t="s">
        <v>18</v>
      </c>
      <c r="C2612" t="s">
        <v>19</v>
      </c>
      <c r="D2612" t="s">
        <v>20</v>
      </c>
      <c r="E2612">
        <v>0</v>
      </c>
      <c r="F2612">
        <v>76500</v>
      </c>
      <c r="G2612" t="s">
        <v>21</v>
      </c>
      <c r="H2612" t="s">
        <v>27</v>
      </c>
      <c r="I2612" t="s">
        <v>28</v>
      </c>
      <c r="J2612" t="s">
        <v>24</v>
      </c>
      <c r="K2612" s="6">
        <f t="shared" ca="1" si="168"/>
        <v>24830</v>
      </c>
      <c r="L2612">
        <v>-20931</v>
      </c>
      <c r="M2612" s="7">
        <f t="shared" ca="1" si="166"/>
        <v>57.30595482546201</v>
      </c>
      <c r="N2612" s="5" t="str">
        <f ca="1">VLOOKUP(Data!M2612,temp!$B$3:$C$9,2,1)</f>
        <v>50-60</v>
      </c>
      <c r="O2612">
        <v>365243</v>
      </c>
      <c r="P2612" s="8">
        <f t="shared" si="167"/>
        <v>0</v>
      </c>
      <c r="Q2612" s="5" t="str">
        <f t="shared" si="169"/>
        <v>Unemployed</v>
      </c>
      <c r="R2612">
        <v>1</v>
      </c>
      <c r="S2612">
        <v>0</v>
      </c>
      <c r="T2612">
        <v>1</v>
      </c>
      <c r="U2612">
        <v>0</v>
      </c>
      <c r="W2612">
        <v>2</v>
      </c>
    </row>
    <row r="2613" spans="1:23" x14ac:dyDescent="0.2">
      <c r="A2613">
        <v>5089871</v>
      </c>
      <c r="B2613" t="s">
        <v>18</v>
      </c>
      <c r="C2613" t="s">
        <v>19</v>
      </c>
      <c r="D2613" t="s">
        <v>20</v>
      </c>
      <c r="E2613">
        <v>0</v>
      </c>
      <c r="F2613">
        <v>180000</v>
      </c>
      <c r="G2613" t="s">
        <v>21</v>
      </c>
      <c r="H2613" t="s">
        <v>27</v>
      </c>
      <c r="I2613" t="s">
        <v>28</v>
      </c>
      <c r="J2613" t="s">
        <v>24</v>
      </c>
      <c r="K2613" s="6">
        <f t="shared" ca="1" si="168"/>
        <v>24116</v>
      </c>
      <c r="L2613">
        <v>-21645</v>
      </c>
      <c r="M2613" s="7">
        <f t="shared" ca="1" si="166"/>
        <v>59.260780287474333</v>
      </c>
      <c r="N2613" s="5" t="str">
        <f ca="1">VLOOKUP(Data!M2613,temp!$B$3:$C$9,2,1)</f>
        <v>50-60</v>
      </c>
      <c r="O2613">
        <v>365243</v>
      </c>
      <c r="P2613" s="8">
        <f t="shared" si="167"/>
        <v>0</v>
      </c>
      <c r="Q2613" s="5" t="str">
        <f t="shared" si="169"/>
        <v>Unemployed</v>
      </c>
      <c r="R2613">
        <v>1</v>
      </c>
      <c r="S2613">
        <v>0</v>
      </c>
      <c r="T2613">
        <v>0</v>
      </c>
      <c r="U2613">
        <v>0</v>
      </c>
      <c r="W2613">
        <v>2</v>
      </c>
    </row>
    <row r="2614" spans="1:23" x14ac:dyDescent="0.2">
      <c r="A2614">
        <v>5089883</v>
      </c>
      <c r="B2614" t="s">
        <v>18</v>
      </c>
      <c r="C2614" t="s">
        <v>19</v>
      </c>
      <c r="D2614" t="s">
        <v>20</v>
      </c>
      <c r="E2614">
        <v>0</v>
      </c>
      <c r="F2614">
        <v>144000</v>
      </c>
      <c r="G2614" t="s">
        <v>21</v>
      </c>
      <c r="H2614" t="s">
        <v>27</v>
      </c>
      <c r="I2614" t="s">
        <v>28</v>
      </c>
      <c r="J2614" t="s">
        <v>24</v>
      </c>
      <c r="K2614" s="6">
        <f t="shared" ca="1" si="168"/>
        <v>26759</v>
      </c>
      <c r="L2614">
        <v>-19002</v>
      </c>
      <c r="M2614" s="7">
        <f t="shared" ca="1" si="166"/>
        <v>52.024640657084191</v>
      </c>
      <c r="N2614" s="5" t="str">
        <f ca="1">VLOOKUP(Data!M2614,temp!$B$3:$C$9,2,1)</f>
        <v>50-60</v>
      </c>
      <c r="O2614">
        <v>365243</v>
      </c>
      <c r="P2614" s="8">
        <f t="shared" si="167"/>
        <v>0</v>
      </c>
      <c r="Q2614" s="5" t="str">
        <f t="shared" si="169"/>
        <v>Unemployed</v>
      </c>
      <c r="R2614">
        <v>1</v>
      </c>
      <c r="S2614">
        <v>0</v>
      </c>
      <c r="T2614">
        <v>0</v>
      </c>
      <c r="U2614">
        <v>0</v>
      </c>
      <c r="W2614">
        <v>2</v>
      </c>
    </row>
    <row r="2615" spans="1:23" x14ac:dyDescent="0.2">
      <c r="A2615">
        <v>5089885</v>
      </c>
      <c r="B2615" t="s">
        <v>18</v>
      </c>
      <c r="C2615" t="s">
        <v>19</v>
      </c>
      <c r="D2615" t="s">
        <v>20</v>
      </c>
      <c r="E2615">
        <v>0</v>
      </c>
      <c r="F2615">
        <v>144000</v>
      </c>
      <c r="G2615" t="s">
        <v>21</v>
      </c>
      <c r="H2615" t="s">
        <v>27</v>
      </c>
      <c r="I2615" t="s">
        <v>28</v>
      </c>
      <c r="J2615" t="s">
        <v>24</v>
      </c>
      <c r="K2615" s="6">
        <f t="shared" ca="1" si="168"/>
        <v>26759</v>
      </c>
      <c r="L2615">
        <v>-19002</v>
      </c>
      <c r="M2615" s="7">
        <f t="shared" ca="1" si="166"/>
        <v>52.024640657084191</v>
      </c>
      <c r="N2615" s="5" t="str">
        <f ca="1">VLOOKUP(Data!M2615,temp!$B$3:$C$9,2,1)</f>
        <v>50-60</v>
      </c>
      <c r="O2615">
        <v>365243</v>
      </c>
      <c r="P2615" s="8">
        <f t="shared" si="167"/>
        <v>0</v>
      </c>
      <c r="Q2615" s="5" t="str">
        <f t="shared" si="169"/>
        <v>Unemployed</v>
      </c>
      <c r="R2615">
        <v>1</v>
      </c>
      <c r="S2615">
        <v>0</v>
      </c>
      <c r="T2615">
        <v>0</v>
      </c>
      <c r="U2615">
        <v>0</v>
      </c>
      <c r="W2615">
        <v>2</v>
      </c>
    </row>
    <row r="2616" spans="1:23" x14ac:dyDescent="0.2">
      <c r="A2616">
        <v>5089894</v>
      </c>
      <c r="B2616" t="s">
        <v>18</v>
      </c>
      <c r="C2616" t="s">
        <v>19</v>
      </c>
      <c r="D2616" t="s">
        <v>20</v>
      </c>
      <c r="E2616">
        <v>0</v>
      </c>
      <c r="F2616">
        <v>67500</v>
      </c>
      <c r="G2616" t="s">
        <v>21</v>
      </c>
      <c r="H2616" t="s">
        <v>22</v>
      </c>
      <c r="I2616" t="s">
        <v>33</v>
      </c>
      <c r="J2616" t="s">
        <v>45</v>
      </c>
      <c r="K2616" s="6">
        <f t="shared" ca="1" si="168"/>
        <v>22067</v>
      </c>
      <c r="L2616">
        <v>-23694</v>
      </c>
      <c r="M2616" s="7">
        <f t="shared" ca="1" si="166"/>
        <v>64.870636550308006</v>
      </c>
      <c r="N2616" s="5" t="str">
        <f ca="1">VLOOKUP(Data!M2616,temp!$B$3:$C$9,2,1)</f>
        <v>60-70</v>
      </c>
      <c r="O2616">
        <v>365243</v>
      </c>
      <c r="P2616" s="8">
        <f t="shared" si="167"/>
        <v>0</v>
      </c>
      <c r="Q2616" s="5" t="str">
        <f t="shared" si="169"/>
        <v>Unemployed</v>
      </c>
      <c r="R2616">
        <v>1</v>
      </c>
      <c r="S2616">
        <v>0</v>
      </c>
      <c r="T2616">
        <v>0</v>
      </c>
      <c r="U2616">
        <v>1</v>
      </c>
      <c r="W2616">
        <v>1</v>
      </c>
    </row>
    <row r="2617" spans="1:23" x14ac:dyDescent="0.2">
      <c r="A2617">
        <v>5089920</v>
      </c>
      <c r="B2617" t="s">
        <v>18</v>
      </c>
      <c r="C2617" t="s">
        <v>19</v>
      </c>
      <c r="D2617" t="s">
        <v>20</v>
      </c>
      <c r="E2617">
        <v>0</v>
      </c>
      <c r="F2617">
        <v>144000</v>
      </c>
      <c r="G2617" t="s">
        <v>21</v>
      </c>
      <c r="H2617" t="s">
        <v>27</v>
      </c>
      <c r="I2617" t="s">
        <v>28</v>
      </c>
      <c r="J2617" t="s">
        <v>24</v>
      </c>
      <c r="K2617" s="6">
        <f t="shared" ca="1" si="168"/>
        <v>23845</v>
      </c>
      <c r="L2617">
        <v>-21916</v>
      </c>
      <c r="M2617" s="7">
        <f t="shared" ca="1" si="166"/>
        <v>60.002737850787135</v>
      </c>
      <c r="N2617" s="5" t="str">
        <f ca="1">VLOOKUP(Data!M2617,temp!$B$3:$C$9,2,1)</f>
        <v>60-70</v>
      </c>
      <c r="O2617">
        <v>365243</v>
      </c>
      <c r="P2617" s="8">
        <f t="shared" si="167"/>
        <v>0</v>
      </c>
      <c r="Q2617" s="5" t="str">
        <f t="shared" si="169"/>
        <v>Unemployed</v>
      </c>
      <c r="R2617">
        <v>1</v>
      </c>
      <c r="S2617">
        <v>0</v>
      </c>
      <c r="T2617">
        <v>1</v>
      </c>
      <c r="U2617">
        <v>0</v>
      </c>
      <c r="W2617">
        <v>2</v>
      </c>
    </row>
    <row r="2618" spans="1:23" x14ac:dyDescent="0.2">
      <c r="A2618">
        <v>5089946</v>
      </c>
      <c r="B2618" t="s">
        <v>18</v>
      </c>
      <c r="C2618" t="s">
        <v>20</v>
      </c>
      <c r="D2618" t="s">
        <v>20</v>
      </c>
      <c r="E2618">
        <v>0</v>
      </c>
      <c r="F2618">
        <v>360000</v>
      </c>
      <c r="G2618" t="s">
        <v>35</v>
      </c>
      <c r="H2618" t="s">
        <v>22</v>
      </c>
      <c r="I2618" t="s">
        <v>28</v>
      </c>
      <c r="J2618" t="s">
        <v>24</v>
      </c>
      <c r="K2618" s="6">
        <f t="shared" ca="1" si="168"/>
        <v>31263</v>
      </c>
      <c r="L2618">
        <v>-14498</v>
      </c>
      <c r="M2618" s="7">
        <f t="shared" ca="1" si="166"/>
        <v>39.693360711841201</v>
      </c>
      <c r="N2618" s="5" t="str">
        <f ca="1">VLOOKUP(Data!M2618,temp!$B$3:$C$9,2,1)</f>
        <v>30-40</v>
      </c>
      <c r="O2618">
        <v>-6123</v>
      </c>
      <c r="P2618" s="8">
        <f t="shared" si="167"/>
        <v>16.763860369609855</v>
      </c>
      <c r="Q2618" s="5" t="str">
        <f t="shared" si="169"/>
        <v>Employed</v>
      </c>
      <c r="R2618">
        <v>1</v>
      </c>
      <c r="S2618">
        <v>0</v>
      </c>
      <c r="T2618">
        <v>0</v>
      </c>
      <c r="U2618">
        <v>1</v>
      </c>
      <c r="V2618" t="s">
        <v>38</v>
      </c>
      <c r="W2618">
        <v>2</v>
      </c>
    </row>
    <row r="2619" spans="1:23" x14ac:dyDescent="0.2">
      <c r="A2619">
        <v>5089950</v>
      </c>
      <c r="B2619" t="s">
        <v>18</v>
      </c>
      <c r="C2619" t="s">
        <v>19</v>
      </c>
      <c r="D2619" t="s">
        <v>20</v>
      </c>
      <c r="E2619">
        <v>0</v>
      </c>
      <c r="F2619">
        <v>202500</v>
      </c>
      <c r="G2619" t="s">
        <v>31</v>
      </c>
      <c r="H2619" t="s">
        <v>27</v>
      </c>
      <c r="I2619" t="s">
        <v>42</v>
      </c>
      <c r="J2619" t="s">
        <v>24</v>
      </c>
      <c r="K2619" s="6">
        <f t="shared" ca="1" si="168"/>
        <v>27121</v>
      </c>
      <c r="L2619">
        <v>-18640</v>
      </c>
      <c r="M2619" s="7">
        <f t="shared" ca="1" si="166"/>
        <v>51.03353867214237</v>
      </c>
      <c r="N2619" s="5" t="str">
        <f ca="1">VLOOKUP(Data!M2619,temp!$B$3:$C$9,2,1)</f>
        <v>50-60</v>
      </c>
      <c r="O2619">
        <v>-1100</v>
      </c>
      <c r="P2619" s="8">
        <f t="shared" si="167"/>
        <v>3.0116358658453115</v>
      </c>
      <c r="Q2619" s="5" t="str">
        <f t="shared" si="169"/>
        <v>Employed</v>
      </c>
      <c r="R2619">
        <v>1</v>
      </c>
      <c r="S2619">
        <v>0</v>
      </c>
      <c r="T2619">
        <v>0</v>
      </c>
      <c r="U2619">
        <v>0</v>
      </c>
      <c r="V2619" t="s">
        <v>39</v>
      </c>
      <c r="W2619">
        <v>1</v>
      </c>
    </row>
    <row r="2620" spans="1:23" x14ac:dyDescent="0.2">
      <c r="A2620">
        <v>5089951</v>
      </c>
      <c r="B2620" t="s">
        <v>18</v>
      </c>
      <c r="C2620" t="s">
        <v>19</v>
      </c>
      <c r="D2620" t="s">
        <v>20</v>
      </c>
      <c r="E2620">
        <v>0</v>
      </c>
      <c r="F2620">
        <v>202500</v>
      </c>
      <c r="G2620" t="s">
        <v>31</v>
      </c>
      <c r="H2620" t="s">
        <v>27</v>
      </c>
      <c r="I2620" t="s">
        <v>42</v>
      </c>
      <c r="J2620" t="s">
        <v>24</v>
      </c>
      <c r="K2620" s="6">
        <f t="shared" ca="1" si="168"/>
        <v>27121</v>
      </c>
      <c r="L2620">
        <v>-18640</v>
      </c>
      <c r="M2620" s="7">
        <f t="shared" ca="1" si="166"/>
        <v>51.03353867214237</v>
      </c>
      <c r="N2620" s="5" t="str">
        <f ca="1">VLOOKUP(Data!M2620,temp!$B$3:$C$9,2,1)</f>
        <v>50-60</v>
      </c>
      <c r="O2620">
        <v>-1100</v>
      </c>
      <c r="P2620" s="8">
        <f t="shared" si="167"/>
        <v>3.0116358658453115</v>
      </c>
      <c r="Q2620" s="5" t="str">
        <f t="shared" si="169"/>
        <v>Employed</v>
      </c>
      <c r="R2620">
        <v>1</v>
      </c>
      <c r="S2620">
        <v>0</v>
      </c>
      <c r="T2620">
        <v>0</v>
      </c>
      <c r="U2620">
        <v>0</v>
      </c>
      <c r="V2620" t="s">
        <v>39</v>
      </c>
      <c r="W2620">
        <v>1</v>
      </c>
    </row>
    <row r="2621" spans="1:23" x14ac:dyDescent="0.2">
      <c r="A2621">
        <v>5089956</v>
      </c>
      <c r="B2621" t="s">
        <v>25</v>
      </c>
      <c r="C2621" t="s">
        <v>19</v>
      </c>
      <c r="D2621" t="s">
        <v>20</v>
      </c>
      <c r="E2621">
        <v>1</v>
      </c>
      <c r="F2621">
        <v>126000</v>
      </c>
      <c r="G2621" t="s">
        <v>26</v>
      </c>
      <c r="H2621" t="s">
        <v>27</v>
      </c>
      <c r="I2621" t="s">
        <v>37</v>
      </c>
      <c r="J2621" t="s">
        <v>24</v>
      </c>
      <c r="K2621" s="6">
        <f t="shared" ca="1" si="168"/>
        <v>33006</v>
      </c>
      <c r="L2621">
        <v>-12755</v>
      </c>
      <c r="M2621" s="7">
        <f t="shared" ca="1" si="166"/>
        <v>34.921286789869953</v>
      </c>
      <c r="N2621" s="5" t="str">
        <f ca="1">VLOOKUP(Data!M2621,temp!$B$3:$C$9,2,1)</f>
        <v>30-40</v>
      </c>
      <c r="O2621">
        <v>-2105</v>
      </c>
      <c r="P2621" s="8">
        <f t="shared" si="167"/>
        <v>5.763175906913073</v>
      </c>
      <c r="Q2621" s="5" t="str">
        <f t="shared" si="169"/>
        <v>Employed</v>
      </c>
      <c r="R2621">
        <v>1</v>
      </c>
      <c r="S2621">
        <v>0</v>
      </c>
      <c r="T2621">
        <v>0</v>
      </c>
      <c r="U2621">
        <v>0</v>
      </c>
      <c r="W2621">
        <v>3</v>
      </c>
    </row>
    <row r="2622" spans="1:23" x14ac:dyDescent="0.2">
      <c r="A2622">
        <v>5089958</v>
      </c>
      <c r="B2622" t="s">
        <v>25</v>
      </c>
      <c r="C2622" t="s">
        <v>19</v>
      </c>
      <c r="D2622" t="s">
        <v>20</v>
      </c>
      <c r="E2622">
        <v>1</v>
      </c>
      <c r="F2622">
        <v>126000</v>
      </c>
      <c r="G2622" t="s">
        <v>26</v>
      </c>
      <c r="H2622" t="s">
        <v>27</v>
      </c>
      <c r="I2622" t="s">
        <v>37</v>
      </c>
      <c r="J2622" t="s">
        <v>24</v>
      </c>
      <c r="K2622" s="6">
        <f t="shared" ca="1" si="168"/>
        <v>33006</v>
      </c>
      <c r="L2622">
        <v>-12755</v>
      </c>
      <c r="M2622" s="7">
        <f t="shared" ca="1" si="166"/>
        <v>34.921286789869953</v>
      </c>
      <c r="N2622" s="5" t="str">
        <f ca="1">VLOOKUP(Data!M2622,temp!$B$3:$C$9,2,1)</f>
        <v>30-40</v>
      </c>
      <c r="O2622">
        <v>-2105</v>
      </c>
      <c r="P2622" s="8">
        <f t="shared" si="167"/>
        <v>5.763175906913073</v>
      </c>
      <c r="Q2622" s="5" t="str">
        <f t="shared" si="169"/>
        <v>Employed</v>
      </c>
      <c r="R2622">
        <v>1</v>
      </c>
      <c r="S2622">
        <v>0</v>
      </c>
      <c r="T2622">
        <v>0</v>
      </c>
      <c r="U2622">
        <v>0</v>
      </c>
      <c r="W2622">
        <v>3</v>
      </c>
    </row>
    <row r="2623" spans="1:23" x14ac:dyDescent="0.2">
      <c r="A2623">
        <v>5089967</v>
      </c>
      <c r="B2623" t="s">
        <v>25</v>
      </c>
      <c r="C2623" t="s">
        <v>19</v>
      </c>
      <c r="D2623" t="s">
        <v>19</v>
      </c>
      <c r="E2623">
        <v>0</v>
      </c>
      <c r="F2623">
        <v>135000</v>
      </c>
      <c r="G2623" t="s">
        <v>31</v>
      </c>
      <c r="H2623" t="s">
        <v>27</v>
      </c>
      <c r="I2623" t="s">
        <v>33</v>
      </c>
      <c r="J2623" t="s">
        <v>24</v>
      </c>
      <c r="K2623" s="6">
        <f t="shared" ca="1" si="168"/>
        <v>36594</v>
      </c>
      <c r="L2623">
        <v>-9167</v>
      </c>
      <c r="M2623" s="7">
        <f t="shared" ca="1" si="166"/>
        <v>25.097878165639973</v>
      </c>
      <c r="N2623" s="5" t="str">
        <f ca="1">VLOOKUP(Data!M2623,temp!$B$3:$C$9,2,1)</f>
        <v>20-30</v>
      </c>
      <c r="O2623">
        <v>-947</v>
      </c>
      <c r="P2623" s="8">
        <f t="shared" si="167"/>
        <v>2.5927446954140998</v>
      </c>
      <c r="Q2623" s="5" t="str">
        <f t="shared" si="169"/>
        <v>Employed</v>
      </c>
      <c r="R2623">
        <v>1</v>
      </c>
      <c r="S2623">
        <v>0</v>
      </c>
      <c r="T2623">
        <v>0</v>
      </c>
      <c r="U2623">
        <v>0</v>
      </c>
      <c r="V2623" t="s">
        <v>55</v>
      </c>
      <c r="W2623">
        <v>1</v>
      </c>
    </row>
    <row r="2624" spans="1:23" x14ac:dyDescent="0.2">
      <c r="A2624">
        <v>5089974</v>
      </c>
      <c r="B2624" t="s">
        <v>25</v>
      </c>
      <c r="C2624" t="s">
        <v>19</v>
      </c>
      <c r="D2624" t="s">
        <v>19</v>
      </c>
      <c r="E2624">
        <v>0</v>
      </c>
      <c r="F2624">
        <v>135000</v>
      </c>
      <c r="G2624" t="s">
        <v>31</v>
      </c>
      <c r="H2624" t="s">
        <v>27</v>
      </c>
      <c r="I2624" t="s">
        <v>33</v>
      </c>
      <c r="J2624" t="s">
        <v>24</v>
      </c>
      <c r="K2624" s="6">
        <f t="shared" ca="1" si="168"/>
        <v>36594</v>
      </c>
      <c r="L2624">
        <v>-9167</v>
      </c>
      <c r="M2624" s="7">
        <f t="shared" ca="1" si="166"/>
        <v>25.097878165639973</v>
      </c>
      <c r="N2624" s="5" t="str">
        <f ca="1">VLOOKUP(Data!M2624,temp!$B$3:$C$9,2,1)</f>
        <v>20-30</v>
      </c>
      <c r="O2624">
        <v>-947</v>
      </c>
      <c r="P2624" s="8">
        <f t="shared" si="167"/>
        <v>2.5927446954140998</v>
      </c>
      <c r="Q2624" s="5" t="str">
        <f t="shared" si="169"/>
        <v>Employed</v>
      </c>
      <c r="R2624">
        <v>1</v>
      </c>
      <c r="S2624">
        <v>0</v>
      </c>
      <c r="T2624">
        <v>0</v>
      </c>
      <c r="U2624">
        <v>0</v>
      </c>
      <c r="V2624" t="s">
        <v>55</v>
      </c>
      <c r="W2624">
        <v>1</v>
      </c>
    </row>
    <row r="2625" spans="1:23" x14ac:dyDescent="0.2">
      <c r="A2625">
        <v>5089995</v>
      </c>
      <c r="B2625" t="s">
        <v>18</v>
      </c>
      <c r="C2625" t="s">
        <v>19</v>
      </c>
      <c r="D2625" t="s">
        <v>20</v>
      </c>
      <c r="E2625">
        <v>0</v>
      </c>
      <c r="F2625">
        <v>180000</v>
      </c>
      <c r="G2625" t="s">
        <v>21</v>
      </c>
      <c r="H2625" t="s">
        <v>27</v>
      </c>
      <c r="I2625" t="s">
        <v>28</v>
      </c>
      <c r="J2625" t="s">
        <v>24</v>
      </c>
      <c r="K2625" s="6">
        <f t="shared" ca="1" si="168"/>
        <v>21991</v>
      </c>
      <c r="L2625">
        <v>-23770</v>
      </c>
      <c r="M2625" s="7">
        <f t="shared" ca="1" si="166"/>
        <v>65.078713210130047</v>
      </c>
      <c r="N2625" s="5" t="str">
        <f ca="1">VLOOKUP(Data!M2625,temp!$B$3:$C$9,2,1)</f>
        <v>60-70</v>
      </c>
      <c r="O2625">
        <v>365243</v>
      </c>
      <c r="P2625" s="8">
        <f t="shared" si="167"/>
        <v>0</v>
      </c>
      <c r="Q2625" s="5" t="str">
        <f t="shared" si="169"/>
        <v>Unemployed</v>
      </c>
      <c r="R2625">
        <v>1</v>
      </c>
      <c r="S2625">
        <v>0</v>
      </c>
      <c r="T2625">
        <v>0</v>
      </c>
      <c r="U2625">
        <v>0</v>
      </c>
      <c r="W2625">
        <v>2</v>
      </c>
    </row>
    <row r="2626" spans="1:23" x14ac:dyDescent="0.2">
      <c r="A2626">
        <v>5090009</v>
      </c>
      <c r="B2626" t="s">
        <v>18</v>
      </c>
      <c r="C2626" t="s">
        <v>19</v>
      </c>
      <c r="D2626" t="s">
        <v>20</v>
      </c>
      <c r="E2626">
        <v>0</v>
      </c>
      <c r="F2626">
        <v>148500</v>
      </c>
      <c r="G2626" t="s">
        <v>31</v>
      </c>
      <c r="H2626" t="s">
        <v>36</v>
      </c>
      <c r="I2626" t="s">
        <v>28</v>
      </c>
      <c r="J2626" t="s">
        <v>24</v>
      </c>
      <c r="K2626" s="6">
        <f t="shared" ca="1" si="168"/>
        <v>35852</v>
      </c>
      <c r="L2626">
        <v>-9909</v>
      </c>
      <c r="M2626" s="7">
        <f t="shared" ca="1" si="166"/>
        <v>27.129363449691994</v>
      </c>
      <c r="N2626" s="5" t="str">
        <f ca="1">VLOOKUP(Data!M2626,temp!$B$3:$C$9,2,1)</f>
        <v>20-30</v>
      </c>
      <c r="O2626">
        <v>-3048</v>
      </c>
      <c r="P2626" s="8">
        <f t="shared" si="167"/>
        <v>8.3449691991786441</v>
      </c>
      <c r="Q2626" s="5" t="str">
        <f t="shared" si="169"/>
        <v>Employed</v>
      </c>
      <c r="R2626">
        <v>1</v>
      </c>
      <c r="S2626">
        <v>1</v>
      </c>
      <c r="T2626">
        <v>0</v>
      </c>
      <c r="U2626">
        <v>0</v>
      </c>
      <c r="W2626">
        <v>2</v>
      </c>
    </row>
    <row r="2627" spans="1:23" x14ac:dyDescent="0.2">
      <c r="A2627">
        <v>5090035</v>
      </c>
      <c r="B2627" t="s">
        <v>18</v>
      </c>
      <c r="C2627" t="s">
        <v>19</v>
      </c>
      <c r="D2627" t="s">
        <v>20</v>
      </c>
      <c r="E2627">
        <v>0</v>
      </c>
      <c r="F2627">
        <v>157500</v>
      </c>
      <c r="G2627" t="s">
        <v>21</v>
      </c>
      <c r="H2627" t="s">
        <v>27</v>
      </c>
      <c r="I2627" t="s">
        <v>28</v>
      </c>
      <c r="J2627" t="s">
        <v>24</v>
      </c>
      <c r="K2627" s="6">
        <f t="shared" ca="1" si="168"/>
        <v>24259</v>
      </c>
      <c r="L2627">
        <v>-21502</v>
      </c>
      <c r="M2627" s="7">
        <f t="shared" ref="M2627:M2690" ca="1" si="170">(TODAY()-K2627)/365.25</f>
        <v>58.869267624914443</v>
      </c>
      <c r="N2627" s="5" t="str">
        <f ca="1">VLOOKUP(Data!M2627,temp!$B$3:$C$9,2,1)</f>
        <v>50-60</v>
      </c>
      <c r="O2627">
        <v>365243</v>
      </c>
      <c r="P2627" s="8">
        <f t="shared" ref="P2627:P2690" si="171">IF(O2627&lt;=0,ABS(O2627)/365.25,0)</f>
        <v>0</v>
      </c>
      <c r="Q2627" s="5" t="str">
        <f t="shared" si="169"/>
        <v>Unemployed</v>
      </c>
      <c r="R2627">
        <v>1</v>
      </c>
      <c r="S2627">
        <v>0</v>
      </c>
      <c r="T2627">
        <v>1</v>
      </c>
      <c r="U2627">
        <v>0</v>
      </c>
      <c r="W2627">
        <v>2</v>
      </c>
    </row>
    <row r="2628" spans="1:23" x14ac:dyDescent="0.2">
      <c r="A2628">
        <v>5090048</v>
      </c>
      <c r="B2628" t="s">
        <v>18</v>
      </c>
      <c r="C2628" t="s">
        <v>19</v>
      </c>
      <c r="D2628" t="s">
        <v>20</v>
      </c>
      <c r="E2628">
        <v>0</v>
      </c>
      <c r="F2628">
        <v>69372</v>
      </c>
      <c r="G2628" t="s">
        <v>31</v>
      </c>
      <c r="H2628" t="s">
        <v>27</v>
      </c>
      <c r="I2628" t="s">
        <v>28</v>
      </c>
      <c r="J2628" t="s">
        <v>24</v>
      </c>
      <c r="K2628" s="6">
        <f t="shared" ca="1" si="168"/>
        <v>29874</v>
      </c>
      <c r="L2628">
        <v>-15887</v>
      </c>
      <c r="M2628" s="7">
        <f t="shared" ca="1" si="170"/>
        <v>43.496235455167692</v>
      </c>
      <c r="N2628" s="5" t="str">
        <f ca="1">VLOOKUP(Data!M2628,temp!$B$3:$C$9,2,1)</f>
        <v>40-50</v>
      </c>
      <c r="O2628">
        <v>-217</v>
      </c>
      <c r="P2628" s="8">
        <f t="shared" si="171"/>
        <v>0.59411362080766594</v>
      </c>
      <c r="Q2628" s="5" t="str">
        <f t="shared" si="169"/>
        <v>Employed</v>
      </c>
      <c r="R2628">
        <v>1</v>
      </c>
      <c r="S2628">
        <v>1</v>
      </c>
      <c r="T2628">
        <v>1</v>
      </c>
      <c r="U2628">
        <v>0</v>
      </c>
      <c r="V2628" t="s">
        <v>29</v>
      </c>
      <c r="W2628">
        <v>2</v>
      </c>
    </row>
    <row r="2629" spans="1:23" x14ac:dyDescent="0.2">
      <c r="A2629">
        <v>5090049</v>
      </c>
      <c r="B2629" t="s">
        <v>18</v>
      </c>
      <c r="C2629" t="s">
        <v>19</v>
      </c>
      <c r="D2629" t="s">
        <v>20</v>
      </c>
      <c r="E2629">
        <v>0</v>
      </c>
      <c r="F2629">
        <v>69372</v>
      </c>
      <c r="G2629" t="s">
        <v>31</v>
      </c>
      <c r="H2629" t="s">
        <v>27</v>
      </c>
      <c r="I2629" t="s">
        <v>28</v>
      </c>
      <c r="J2629" t="s">
        <v>24</v>
      </c>
      <c r="K2629" s="6">
        <f t="shared" ca="1" si="168"/>
        <v>29874</v>
      </c>
      <c r="L2629">
        <v>-15887</v>
      </c>
      <c r="M2629" s="7">
        <f t="shared" ca="1" si="170"/>
        <v>43.496235455167692</v>
      </c>
      <c r="N2629" s="5" t="str">
        <f ca="1">VLOOKUP(Data!M2629,temp!$B$3:$C$9,2,1)</f>
        <v>40-50</v>
      </c>
      <c r="O2629">
        <v>-217</v>
      </c>
      <c r="P2629" s="8">
        <f t="shared" si="171"/>
        <v>0.59411362080766594</v>
      </c>
      <c r="Q2629" s="5" t="str">
        <f t="shared" si="169"/>
        <v>Employed</v>
      </c>
      <c r="R2629">
        <v>1</v>
      </c>
      <c r="S2629">
        <v>1</v>
      </c>
      <c r="T2629">
        <v>1</v>
      </c>
      <c r="U2629">
        <v>0</v>
      </c>
      <c r="V2629" t="s">
        <v>29</v>
      </c>
      <c r="W2629">
        <v>2</v>
      </c>
    </row>
    <row r="2630" spans="1:23" x14ac:dyDescent="0.2">
      <c r="A2630">
        <v>5090057</v>
      </c>
      <c r="B2630" t="s">
        <v>18</v>
      </c>
      <c r="C2630" t="s">
        <v>19</v>
      </c>
      <c r="D2630" t="s">
        <v>20</v>
      </c>
      <c r="E2630">
        <v>0</v>
      </c>
      <c r="F2630">
        <v>112500</v>
      </c>
      <c r="G2630" t="s">
        <v>31</v>
      </c>
      <c r="H2630" t="s">
        <v>27</v>
      </c>
      <c r="I2630" t="s">
        <v>28</v>
      </c>
      <c r="J2630" t="s">
        <v>24</v>
      </c>
      <c r="K2630" s="6">
        <f t="shared" ca="1" si="168"/>
        <v>27186</v>
      </c>
      <c r="L2630">
        <v>-18575</v>
      </c>
      <c r="M2630" s="7">
        <f t="shared" ca="1" si="170"/>
        <v>50.855578370978783</v>
      </c>
      <c r="N2630" s="5" t="str">
        <f ca="1">VLOOKUP(Data!M2630,temp!$B$3:$C$9,2,1)</f>
        <v>50-60</v>
      </c>
      <c r="O2630">
        <v>-4113</v>
      </c>
      <c r="P2630" s="8">
        <f t="shared" si="171"/>
        <v>11.260780287474333</v>
      </c>
      <c r="Q2630" s="5" t="str">
        <f t="shared" si="169"/>
        <v>Employed</v>
      </c>
      <c r="R2630">
        <v>1</v>
      </c>
      <c r="S2630">
        <v>0</v>
      </c>
      <c r="T2630">
        <v>0</v>
      </c>
      <c r="U2630">
        <v>0</v>
      </c>
      <c r="V2630" t="s">
        <v>44</v>
      </c>
      <c r="W2630">
        <v>2</v>
      </c>
    </row>
    <row r="2631" spans="1:23" x14ac:dyDescent="0.2">
      <c r="A2631">
        <v>5090062</v>
      </c>
      <c r="B2631" t="s">
        <v>18</v>
      </c>
      <c r="C2631" t="s">
        <v>19</v>
      </c>
      <c r="D2631" t="s">
        <v>20</v>
      </c>
      <c r="E2631">
        <v>0</v>
      </c>
      <c r="F2631">
        <v>112500</v>
      </c>
      <c r="G2631" t="s">
        <v>31</v>
      </c>
      <c r="H2631" t="s">
        <v>27</v>
      </c>
      <c r="I2631" t="s">
        <v>28</v>
      </c>
      <c r="J2631" t="s">
        <v>24</v>
      </c>
      <c r="K2631" s="6">
        <f t="shared" ca="1" si="168"/>
        <v>27186</v>
      </c>
      <c r="L2631">
        <v>-18575</v>
      </c>
      <c r="M2631" s="7">
        <f t="shared" ca="1" si="170"/>
        <v>50.855578370978783</v>
      </c>
      <c r="N2631" s="5" t="str">
        <f ca="1">VLOOKUP(Data!M2631,temp!$B$3:$C$9,2,1)</f>
        <v>50-60</v>
      </c>
      <c r="O2631">
        <v>-4113</v>
      </c>
      <c r="P2631" s="8">
        <f t="shared" si="171"/>
        <v>11.260780287474333</v>
      </c>
      <c r="Q2631" s="5" t="str">
        <f t="shared" si="169"/>
        <v>Employed</v>
      </c>
      <c r="R2631">
        <v>1</v>
      </c>
      <c r="S2631">
        <v>0</v>
      </c>
      <c r="T2631">
        <v>0</v>
      </c>
      <c r="U2631">
        <v>0</v>
      </c>
      <c r="V2631" t="s">
        <v>44</v>
      </c>
      <c r="W2631">
        <v>2</v>
      </c>
    </row>
    <row r="2632" spans="1:23" x14ac:dyDescent="0.2">
      <c r="A2632">
        <v>5090070</v>
      </c>
      <c r="B2632" t="s">
        <v>18</v>
      </c>
      <c r="C2632" t="s">
        <v>20</v>
      </c>
      <c r="D2632" t="s">
        <v>20</v>
      </c>
      <c r="E2632">
        <v>1</v>
      </c>
      <c r="F2632">
        <v>157500</v>
      </c>
      <c r="G2632" t="s">
        <v>31</v>
      </c>
      <c r="H2632" t="s">
        <v>27</v>
      </c>
      <c r="I2632" t="s">
        <v>37</v>
      </c>
      <c r="J2632" t="s">
        <v>24</v>
      </c>
      <c r="K2632" s="6">
        <f t="shared" ref="K2632:K2695" ca="1" si="172">TODAY()+($L2632)</f>
        <v>29910</v>
      </c>
      <c r="L2632">
        <v>-15851</v>
      </c>
      <c r="M2632" s="7">
        <f t="shared" ca="1" si="170"/>
        <v>43.397672826830934</v>
      </c>
      <c r="N2632" s="5" t="str">
        <f ca="1">VLOOKUP(Data!M2632,temp!$B$3:$C$9,2,1)</f>
        <v>40-50</v>
      </c>
      <c r="O2632">
        <v>-2317</v>
      </c>
      <c r="P2632" s="8">
        <f t="shared" si="171"/>
        <v>6.3436002737850785</v>
      </c>
      <c r="Q2632" s="5" t="str">
        <f t="shared" ref="Q2632:Q2695" si="173">IF($O2632&gt;0,"Unemployed","Employed")</f>
        <v>Employed</v>
      </c>
      <c r="R2632">
        <v>1</v>
      </c>
      <c r="S2632">
        <v>0</v>
      </c>
      <c r="T2632">
        <v>0</v>
      </c>
      <c r="U2632">
        <v>0</v>
      </c>
      <c r="V2632" t="s">
        <v>32</v>
      </c>
      <c r="W2632">
        <v>3</v>
      </c>
    </row>
    <row r="2633" spans="1:23" x14ac:dyDescent="0.2">
      <c r="A2633">
        <v>5090079</v>
      </c>
      <c r="B2633" t="s">
        <v>18</v>
      </c>
      <c r="C2633" t="s">
        <v>20</v>
      </c>
      <c r="D2633" t="s">
        <v>20</v>
      </c>
      <c r="E2633">
        <v>0</v>
      </c>
      <c r="F2633">
        <v>202500</v>
      </c>
      <c r="G2633" t="s">
        <v>31</v>
      </c>
      <c r="H2633" t="s">
        <v>22</v>
      </c>
      <c r="I2633" t="s">
        <v>42</v>
      </c>
      <c r="J2633" t="s">
        <v>24</v>
      </c>
      <c r="K2633" s="6">
        <f t="shared" ca="1" si="172"/>
        <v>33763</v>
      </c>
      <c r="L2633">
        <v>-11998</v>
      </c>
      <c r="M2633" s="7">
        <f t="shared" ca="1" si="170"/>
        <v>32.84873374401095</v>
      </c>
      <c r="N2633" s="5" t="str">
        <f ca="1">VLOOKUP(Data!M2633,temp!$B$3:$C$9,2,1)</f>
        <v>30-40</v>
      </c>
      <c r="O2633">
        <v>-1497</v>
      </c>
      <c r="P2633" s="8">
        <f t="shared" si="171"/>
        <v>4.0985626283367553</v>
      </c>
      <c r="Q2633" s="5" t="str">
        <f t="shared" si="173"/>
        <v>Employed</v>
      </c>
      <c r="R2633">
        <v>1</v>
      </c>
      <c r="S2633">
        <v>0</v>
      </c>
      <c r="T2633">
        <v>0</v>
      </c>
      <c r="U2633">
        <v>0</v>
      </c>
      <c r="V2633" t="s">
        <v>32</v>
      </c>
      <c r="W2633">
        <v>1</v>
      </c>
    </row>
    <row r="2634" spans="1:23" x14ac:dyDescent="0.2">
      <c r="A2634">
        <v>5090084</v>
      </c>
      <c r="B2634" t="s">
        <v>25</v>
      </c>
      <c r="C2634" t="s">
        <v>20</v>
      </c>
      <c r="D2634" t="s">
        <v>20</v>
      </c>
      <c r="E2634">
        <v>1</v>
      </c>
      <c r="F2634">
        <v>337500</v>
      </c>
      <c r="G2634" t="s">
        <v>26</v>
      </c>
      <c r="H2634" t="s">
        <v>22</v>
      </c>
      <c r="I2634" t="s">
        <v>28</v>
      </c>
      <c r="J2634" t="s">
        <v>24</v>
      </c>
      <c r="K2634" s="6">
        <f t="shared" ca="1" si="172"/>
        <v>34429</v>
      </c>
      <c r="L2634">
        <v>-11332</v>
      </c>
      <c r="M2634" s="7">
        <f t="shared" ca="1" si="170"/>
        <v>31.025325119780973</v>
      </c>
      <c r="N2634" s="5" t="str">
        <f ca="1">VLOOKUP(Data!M2634,temp!$B$3:$C$9,2,1)</f>
        <v>30-40</v>
      </c>
      <c r="O2634">
        <v>-429</v>
      </c>
      <c r="P2634" s="8">
        <f t="shared" si="171"/>
        <v>1.1745379876796715</v>
      </c>
      <c r="Q2634" s="5" t="str">
        <f t="shared" si="173"/>
        <v>Employed</v>
      </c>
      <c r="R2634">
        <v>1</v>
      </c>
      <c r="S2634">
        <v>0</v>
      </c>
      <c r="T2634">
        <v>0</v>
      </c>
      <c r="U2634">
        <v>0</v>
      </c>
      <c r="W2634">
        <v>3</v>
      </c>
    </row>
    <row r="2635" spans="1:23" x14ac:dyDescent="0.2">
      <c r="A2635">
        <v>5090092</v>
      </c>
      <c r="B2635" t="s">
        <v>18</v>
      </c>
      <c r="C2635" t="s">
        <v>20</v>
      </c>
      <c r="D2635" t="s">
        <v>20</v>
      </c>
      <c r="E2635">
        <v>1</v>
      </c>
      <c r="F2635">
        <v>103500</v>
      </c>
      <c r="G2635" t="s">
        <v>31</v>
      </c>
      <c r="H2635" t="s">
        <v>27</v>
      </c>
      <c r="I2635" t="s">
        <v>23</v>
      </c>
      <c r="J2635" t="s">
        <v>24</v>
      </c>
      <c r="K2635" s="6">
        <f t="shared" ca="1" si="172"/>
        <v>35316</v>
      </c>
      <c r="L2635">
        <v>-10445</v>
      </c>
      <c r="M2635" s="7">
        <f t="shared" ca="1" si="170"/>
        <v>28.5968514715948</v>
      </c>
      <c r="N2635" s="5" t="str">
        <f ca="1">VLOOKUP(Data!M2635,temp!$B$3:$C$9,2,1)</f>
        <v>20-30</v>
      </c>
      <c r="O2635">
        <v>-680</v>
      </c>
      <c r="P2635" s="8">
        <f t="shared" si="171"/>
        <v>1.8617385352498288</v>
      </c>
      <c r="Q2635" s="5" t="str">
        <f t="shared" si="173"/>
        <v>Employed</v>
      </c>
      <c r="R2635">
        <v>1</v>
      </c>
      <c r="S2635">
        <v>0</v>
      </c>
      <c r="T2635">
        <v>0</v>
      </c>
      <c r="U2635">
        <v>1</v>
      </c>
      <c r="V2635" t="s">
        <v>29</v>
      </c>
      <c r="W2635">
        <v>2</v>
      </c>
    </row>
    <row r="2636" spans="1:23" x14ac:dyDescent="0.2">
      <c r="A2636">
        <v>5090105</v>
      </c>
      <c r="B2636" t="s">
        <v>25</v>
      </c>
      <c r="C2636" t="s">
        <v>20</v>
      </c>
      <c r="D2636" t="s">
        <v>20</v>
      </c>
      <c r="E2636">
        <v>0</v>
      </c>
      <c r="F2636">
        <v>211500</v>
      </c>
      <c r="G2636" t="s">
        <v>26</v>
      </c>
      <c r="H2636" t="s">
        <v>27</v>
      </c>
      <c r="I2636" t="s">
        <v>28</v>
      </c>
      <c r="J2636" t="s">
        <v>24</v>
      </c>
      <c r="K2636" s="6">
        <f t="shared" ca="1" si="172"/>
        <v>24277</v>
      </c>
      <c r="L2636">
        <v>-21484</v>
      </c>
      <c r="M2636" s="7">
        <f t="shared" ca="1" si="170"/>
        <v>58.819986310746067</v>
      </c>
      <c r="N2636" s="5" t="str">
        <f ca="1">VLOOKUP(Data!M2636,temp!$B$3:$C$9,2,1)</f>
        <v>50-60</v>
      </c>
      <c r="O2636">
        <v>-1709</v>
      </c>
      <c r="P2636" s="8">
        <f t="shared" si="171"/>
        <v>4.6789869952087608</v>
      </c>
      <c r="Q2636" s="5" t="str">
        <f t="shared" si="173"/>
        <v>Employed</v>
      </c>
      <c r="R2636">
        <v>1</v>
      </c>
      <c r="S2636">
        <v>0</v>
      </c>
      <c r="T2636">
        <v>0</v>
      </c>
      <c r="U2636">
        <v>0</v>
      </c>
      <c r="V2636" t="s">
        <v>29</v>
      </c>
      <c r="W2636">
        <v>2</v>
      </c>
    </row>
    <row r="2637" spans="1:23" x14ac:dyDescent="0.2">
      <c r="A2637">
        <v>5090133</v>
      </c>
      <c r="B2637" t="s">
        <v>18</v>
      </c>
      <c r="C2637" t="s">
        <v>20</v>
      </c>
      <c r="D2637" t="s">
        <v>20</v>
      </c>
      <c r="E2637">
        <v>1</v>
      </c>
      <c r="F2637">
        <v>292500</v>
      </c>
      <c r="G2637" t="s">
        <v>26</v>
      </c>
      <c r="H2637" t="s">
        <v>27</v>
      </c>
      <c r="I2637" t="s">
        <v>28</v>
      </c>
      <c r="J2637" t="s">
        <v>24</v>
      </c>
      <c r="K2637" s="6">
        <f t="shared" ca="1" si="172"/>
        <v>32071</v>
      </c>
      <c r="L2637">
        <v>-13690</v>
      </c>
      <c r="M2637" s="7">
        <f t="shared" ca="1" si="170"/>
        <v>37.481177275838469</v>
      </c>
      <c r="N2637" s="5" t="str">
        <f ca="1">VLOOKUP(Data!M2637,temp!$B$3:$C$9,2,1)</f>
        <v>30-40</v>
      </c>
      <c r="O2637">
        <v>-133</v>
      </c>
      <c r="P2637" s="8">
        <f t="shared" si="171"/>
        <v>0.36413415468856947</v>
      </c>
      <c r="Q2637" s="5" t="str">
        <f t="shared" si="173"/>
        <v>Employed</v>
      </c>
      <c r="R2637">
        <v>1</v>
      </c>
      <c r="S2637">
        <v>0</v>
      </c>
      <c r="T2637">
        <v>0</v>
      </c>
      <c r="U2637">
        <v>1</v>
      </c>
      <c r="V2637" t="s">
        <v>50</v>
      </c>
      <c r="W2637">
        <v>3</v>
      </c>
    </row>
    <row r="2638" spans="1:23" x14ac:dyDescent="0.2">
      <c r="A2638">
        <v>5090134</v>
      </c>
      <c r="B2638" t="s">
        <v>18</v>
      </c>
      <c r="C2638" t="s">
        <v>20</v>
      </c>
      <c r="D2638" t="s">
        <v>20</v>
      </c>
      <c r="E2638">
        <v>0</v>
      </c>
      <c r="F2638">
        <v>256500</v>
      </c>
      <c r="G2638" t="s">
        <v>35</v>
      </c>
      <c r="H2638" t="s">
        <v>22</v>
      </c>
      <c r="I2638" t="s">
        <v>28</v>
      </c>
      <c r="J2638" t="s">
        <v>24</v>
      </c>
      <c r="K2638" s="6">
        <f t="shared" ca="1" si="172"/>
        <v>31549</v>
      </c>
      <c r="L2638">
        <v>-14212</v>
      </c>
      <c r="M2638" s="7">
        <f t="shared" ca="1" si="170"/>
        <v>38.910335386721421</v>
      </c>
      <c r="N2638" s="5" t="str">
        <f ca="1">VLOOKUP(Data!M2638,temp!$B$3:$C$9,2,1)</f>
        <v>30-40</v>
      </c>
      <c r="O2638">
        <v>-3330</v>
      </c>
      <c r="P2638" s="8">
        <f t="shared" si="171"/>
        <v>9.1170431211498979</v>
      </c>
      <c r="Q2638" s="5" t="str">
        <f t="shared" si="173"/>
        <v>Employed</v>
      </c>
      <c r="R2638">
        <v>1</v>
      </c>
      <c r="S2638">
        <v>0</v>
      </c>
      <c r="T2638">
        <v>0</v>
      </c>
      <c r="U2638">
        <v>0</v>
      </c>
      <c r="V2638" t="s">
        <v>32</v>
      </c>
      <c r="W2638">
        <v>2</v>
      </c>
    </row>
    <row r="2639" spans="1:23" x14ac:dyDescent="0.2">
      <c r="A2639">
        <v>5090144</v>
      </c>
      <c r="B2639" t="s">
        <v>18</v>
      </c>
      <c r="C2639" t="s">
        <v>19</v>
      </c>
      <c r="D2639" t="s">
        <v>19</v>
      </c>
      <c r="E2639">
        <v>0</v>
      </c>
      <c r="F2639">
        <v>103500</v>
      </c>
      <c r="G2639" t="s">
        <v>31</v>
      </c>
      <c r="H2639" t="s">
        <v>27</v>
      </c>
      <c r="I2639" t="s">
        <v>33</v>
      </c>
      <c r="J2639" t="s">
        <v>45</v>
      </c>
      <c r="K2639" s="6">
        <f t="shared" ca="1" si="172"/>
        <v>30840</v>
      </c>
      <c r="L2639">
        <v>-14921</v>
      </c>
      <c r="M2639" s="7">
        <f t="shared" ca="1" si="170"/>
        <v>40.851471594798085</v>
      </c>
      <c r="N2639" s="5" t="str">
        <f ca="1">VLOOKUP(Data!M2639,temp!$B$3:$C$9,2,1)</f>
        <v>40-50</v>
      </c>
      <c r="O2639">
        <v>-3844</v>
      </c>
      <c r="P2639" s="8">
        <f t="shared" si="171"/>
        <v>10.524298425735797</v>
      </c>
      <c r="Q2639" s="5" t="str">
        <f t="shared" si="173"/>
        <v>Employed</v>
      </c>
      <c r="R2639">
        <v>1</v>
      </c>
      <c r="S2639">
        <v>1</v>
      </c>
      <c r="T2639">
        <v>1</v>
      </c>
      <c r="U2639">
        <v>0</v>
      </c>
      <c r="W2639">
        <v>1</v>
      </c>
    </row>
    <row r="2640" spans="1:23" x14ac:dyDescent="0.2">
      <c r="A2640">
        <v>5090146</v>
      </c>
      <c r="B2640" t="s">
        <v>18</v>
      </c>
      <c r="C2640" t="s">
        <v>19</v>
      </c>
      <c r="D2640" t="s">
        <v>19</v>
      </c>
      <c r="E2640">
        <v>1</v>
      </c>
      <c r="F2640">
        <v>162000</v>
      </c>
      <c r="G2640" t="s">
        <v>35</v>
      </c>
      <c r="H2640" t="s">
        <v>22</v>
      </c>
      <c r="I2640" t="s">
        <v>37</v>
      </c>
      <c r="J2640" t="s">
        <v>24</v>
      </c>
      <c r="K2640" s="6">
        <f t="shared" ca="1" si="172"/>
        <v>35315</v>
      </c>
      <c r="L2640">
        <v>-10446</v>
      </c>
      <c r="M2640" s="7">
        <f t="shared" ca="1" si="170"/>
        <v>28.599589322381931</v>
      </c>
      <c r="N2640" s="5" t="str">
        <f ca="1">VLOOKUP(Data!M2640,temp!$B$3:$C$9,2,1)</f>
        <v>20-30</v>
      </c>
      <c r="O2640">
        <v>-1075</v>
      </c>
      <c r="P2640" s="8">
        <f t="shared" si="171"/>
        <v>2.9431895961670089</v>
      </c>
      <c r="Q2640" s="5" t="str">
        <f t="shared" si="173"/>
        <v>Employed</v>
      </c>
      <c r="R2640">
        <v>1</v>
      </c>
      <c r="S2640">
        <v>1</v>
      </c>
      <c r="T2640">
        <v>0</v>
      </c>
      <c r="U2640">
        <v>0</v>
      </c>
      <c r="V2640" t="s">
        <v>52</v>
      </c>
      <c r="W2640">
        <v>3</v>
      </c>
    </row>
    <row r="2641" spans="1:23" x14ac:dyDescent="0.2">
      <c r="A2641">
        <v>5090154</v>
      </c>
      <c r="B2641" t="s">
        <v>18</v>
      </c>
      <c r="C2641" t="s">
        <v>20</v>
      </c>
      <c r="D2641" t="s">
        <v>20</v>
      </c>
      <c r="E2641">
        <v>0</v>
      </c>
      <c r="F2641">
        <v>225000</v>
      </c>
      <c r="G2641" t="s">
        <v>31</v>
      </c>
      <c r="H2641" t="s">
        <v>22</v>
      </c>
      <c r="I2641" t="s">
        <v>37</v>
      </c>
      <c r="J2641" t="s">
        <v>24</v>
      </c>
      <c r="K2641" s="6">
        <f t="shared" ca="1" si="172"/>
        <v>34694</v>
      </c>
      <c r="L2641">
        <v>-11067</v>
      </c>
      <c r="M2641" s="7">
        <f t="shared" ca="1" si="170"/>
        <v>30.299794661190965</v>
      </c>
      <c r="N2641" s="5" t="str">
        <f ca="1">VLOOKUP(Data!M2641,temp!$B$3:$C$9,2,1)</f>
        <v>30-40</v>
      </c>
      <c r="O2641">
        <v>-492</v>
      </c>
      <c r="P2641" s="8">
        <f t="shared" si="171"/>
        <v>1.3470225872689938</v>
      </c>
      <c r="Q2641" s="5" t="str">
        <f t="shared" si="173"/>
        <v>Employed</v>
      </c>
      <c r="R2641">
        <v>1</v>
      </c>
      <c r="S2641">
        <v>0</v>
      </c>
      <c r="T2641">
        <v>0</v>
      </c>
      <c r="U2641">
        <v>0</v>
      </c>
      <c r="V2641" t="s">
        <v>39</v>
      </c>
      <c r="W2641">
        <v>2</v>
      </c>
    </row>
    <row r="2642" spans="1:23" x14ac:dyDescent="0.2">
      <c r="A2642">
        <v>5090232</v>
      </c>
      <c r="B2642" t="s">
        <v>18</v>
      </c>
      <c r="C2642" t="s">
        <v>19</v>
      </c>
      <c r="D2642" t="s">
        <v>20</v>
      </c>
      <c r="E2642">
        <v>0</v>
      </c>
      <c r="F2642">
        <v>135000</v>
      </c>
      <c r="G2642" t="s">
        <v>31</v>
      </c>
      <c r="H2642" t="s">
        <v>27</v>
      </c>
      <c r="I2642" t="s">
        <v>42</v>
      </c>
      <c r="J2642" t="s">
        <v>24</v>
      </c>
      <c r="K2642" s="6">
        <f t="shared" ca="1" si="172"/>
        <v>23784</v>
      </c>
      <c r="L2642">
        <v>-21977</v>
      </c>
      <c r="M2642" s="7">
        <f t="shared" ca="1" si="170"/>
        <v>60.16974674880219</v>
      </c>
      <c r="N2642" s="5" t="str">
        <f ca="1">VLOOKUP(Data!M2642,temp!$B$3:$C$9,2,1)</f>
        <v>60-70</v>
      </c>
      <c r="O2642">
        <v>-9447</v>
      </c>
      <c r="P2642" s="8">
        <f t="shared" si="171"/>
        <v>25.864476386036962</v>
      </c>
      <c r="Q2642" s="5" t="str">
        <f t="shared" si="173"/>
        <v>Employed</v>
      </c>
      <c r="R2642">
        <v>1</v>
      </c>
      <c r="S2642">
        <v>0</v>
      </c>
      <c r="T2642">
        <v>0</v>
      </c>
      <c r="U2642">
        <v>0</v>
      </c>
      <c r="V2642" t="s">
        <v>47</v>
      </c>
      <c r="W2642">
        <v>1</v>
      </c>
    </row>
    <row r="2643" spans="1:23" x14ac:dyDescent="0.2">
      <c r="A2643">
        <v>5090234</v>
      </c>
      <c r="B2643" t="s">
        <v>18</v>
      </c>
      <c r="C2643" t="s">
        <v>19</v>
      </c>
      <c r="D2643" t="s">
        <v>20</v>
      </c>
      <c r="E2643">
        <v>0</v>
      </c>
      <c r="F2643">
        <v>225000</v>
      </c>
      <c r="G2643" t="s">
        <v>26</v>
      </c>
      <c r="H2643" t="s">
        <v>27</v>
      </c>
      <c r="I2643" t="s">
        <v>28</v>
      </c>
      <c r="J2643" t="s">
        <v>24</v>
      </c>
      <c r="K2643" s="6">
        <f t="shared" ca="1" si="172"/>
        <v>28637</v>
      </c>
      <c r="L2643">
        <v>-17124</v>
      </c>
      <c r="M2643" s="7">
        <f t="shared" ca="1" si="170"/>
        <v>46.882956878850102</v>
      </c>
      <c r="N2643" s="5" t="str">
        <f ca="1">VLOOKUP(Data!M2643,temp!$B$3:$C$9,2,1)</f>
        <v>40-50</v>
      </c>
      <c r="O2643">
        <v>-3206</v>
      </c>
      <c r="P2643" s="8">
        <f t="shared" si="171"/>
        <v>8.7775496235455162</v>
      </c>
      <c r="Q2643" s="5" t="str">
        <f t="shared" si="173"/>
        <v>Employed</v>
      </c>
      <c r="R2643">
        <v>1</v>
      </c>
      <c r="S2643">
        <v>0</v>
      </c>
      <c r="T2643">
        <v>0</v>
      </c>
      <c r="U2643">
        <v>0</v>
      </c>
      <c r="V2643" t="s">
        <v>39</v>
      </c>
      <c r="W2643">
        <v>2</v>
      </c>
    </row>
    <row r="2644" spans="1:23" x14ac:dyDescent="0.2">
      <c r="A2644">
        <v>5090275</v>
      </c>
      <c r="B2644" t="s">
        <v>18</v>
      </c>
      <c r="C2644" t="s">
        <v>20</v>
      </c>
      <c r="D2644" t="s">
        <v>20</v>
      </c>
      <c r="E2644">
        <v>1</v>
      </c>
      <c r="F2644">
        <v>292500</v>
      </c>
      <c r="G2644" t="s">
        <v>31</v>
      </c>
      <c r="H2644" t="s">
        <v>27</v>
      </c>
      <c r="I2644" t="s">
        <v>28</v>
      </c>
      <c r="J2644" t="s">
        <v>24</v>
      </c>
      <c r="K2644" s="6">
        <f t="shared" ca="1" si="172"/>
        <v>33021</v>
      </c>
      <c r="L2644">
        <v>-12740</v>
      </c>
      <c r="M2644" s="7">
        <f t="shared" ca="1" si="170"/>
        <v>34.880219028062967</v>
      </c>
      <c r="N2644" s="5" t="str">
        <f ca="1">VLOOKUP(Data!M2644,temp!$B$3:$C$9,2,1)</f>
        <v>30-40</v>
      </c>
      <c r="O2644">
        <v>-3504</v>
      </c>
      <c r="P2644" s="8">
        <f t="shared" si="171"/>
        <v>9.593429158110883</v>
      </c>
      <c r="Q2644" s="5" t="str">
        <f t="shared" si="173"/>
        <v>Employed</v>
      </c>
      <c r="R2644">
        <v>1</v>
      </c>
      <c r="S2644">
        <v>0</v>
      </c>
      <c r="T2644">
        <v>0</v>
      </c>
      <c r="U2644">
        <v>0</v>
      </c>
      <c r="V2644" t="s">
        <v>38</v>
      </c>
      <c r="W2644">
        <v>3</v>
      </c>
    </row>
    <row r="2645" spans="1:23" x14ac:dyDescent="0.2">
      <c r="A2645">
        <v>5090277</v>
      </c>
      <c r="B2645" t="s">
        <v>25</v>
      </c>
      <c r="C2645" t="s">
        <v>19</v>
      </c>
      <c r="D2645" t="s">
        <v>20</v>
      </c>
      <c r="E2645">
        <v>3</v>
      </c>
      <c r="F2645">
        <v>135000</v>
      </c>
      <c r="G2645" t="s">
        <v>21</v>
      </c>
      <c r="H2645" t="s">
        <v>27</v>
      </c>
      <c r="I2645" t="s">
        <v>28</v>
      </c>
      <c r="J2645" t="s">
        <v>24</v>
      </c>
      <c r="K2645" s="6">
        <f t="shared" ca="1" si="172"/>
        <v>30662</v>
      </c>
      <c r="L2645">
        <v>-15099</v>
      </c>
      <c r="M2645" s="7">
        <f t="shared" ca="1" si="170"/>
        <v>41.338809034907598</v>
      </c>
      <c r="N2645" s="5" t="str">
        <f ca="1">VLOOKUP(Data!M2645,temp!$B$3:$C$9,2,1)</f>
        <v>40-50</v>
      </c>
      <c r="O2645">
        <v>365243</v>
      </c>
      <c r="P2645" s="8">
        <f t="shared" si="171"/>
        <v>0</v>
      </c>
      <c r="Q2645" s="5" t="str">
        <f t="shared" si="173"/>
        <v>Unemployed</v>
      </c>
      <c r="R2645">
        <v>1</v>
      </c>
      <c r="S2645">
        <v>0</v>
      </c>
      <c r="T2645">
        <v>0</v>
      </c>
      <c r="U2645">
        <v>0</v>
      </c>
      <c r="W2645">
        <v>5</v>
      </c>
    </row>
    <row r="2646" spans="1:23" x14ac:dyDescent="0.2">
      <c r="A2646">
        <v>5090286</v>
      </c>
      <c r="B2646" t="s">
        <v>25</v>
      </c>
      <c r="C2646" t="s">
        <v>19</v>
      </c>
      <c r="D2646" t="s">
        <v>19</v>
      </c>
      <c r="E2646">
        <v>1</v>
      </c>
      <c r="F2646">
        <v>292500</v>
      </c>
      <c r="G2646" t="s">
        <v>35</v>
      </c>
      <c r="H2646" t="s">
        <v>27</v>
      </c>
      <c r="I2646" t="s">
        <v>28</v>
      </c>
      <c r="J2646" t="s">
        <v>53</v>
      </c>
      <c r="K2646" s="6">
        <f t="shared" ca="1" si="172"/>
        <v>29660</v>
      </c>
      <c r="L2646">
        <v>-16101</v>
      </c>
      <c r="M2646" s="7">
        <f t="shared" ca="1" si="170"/>
        <v>44.082135523613964</v>
      </c>
      <c r="N2646" s="5" t="str">
        <f ca="1">VLOOKUP(Data!M2646,temp!$B$3:$C$9,2,1)</f>
        <v>40-50</v>
      </c>
      <c r="O2646">
        <v>-4935</v>
      </c>
      <c r="P2646" s="8">
        <f t="shared" si="171"/>
        <v>13.511293634496919</v>
      </c>
      <c r="Q2646" s="5" t="str">
        <f t="shared" si="173"/>
        <v>Employed</v>
      </c>
      <c r="R2646">
        <v>1</v>
      </c>
      <c r="S2646">
        <v>0</v>
      </c>
      <c r="T2646">
        <v>0</v>
      </c>
      <c r="U2646">
        <v>0</v>
      </c>
      <c r="V2646" t="s">
        <v>38</v>
      </c>
      <c r="W2646">
        <v>3</v>
      </c>
    </row>
    <row r="2647" spans="1:23" x14ac:dyDescent="0.2">
      <c r="A2647">
        <v>5090298</v>
      </c>
      <c r="B2647" t="s">
        <v>25</v>
      </c>
      <c r="C2647" t="s">
        <v>20</v>
      </c>
      <c r="D2647" t="s">
        <v>20</v>
      </c>
      <c r="E2647">
        <v>0</v>
      </c>
      <c r="F2647">
        <v>292500</v>
      </c>
      <c r="G2647" t="s">
        <v>21</v>
      </c>
      <c r="H2647" t="s">
        <v>27</v>
      </c>
      <c r="I2647" t="s">
        <v>33</v>
      </c>
      <c r="J2647" t="s">
        <v>24</v>
      </c>
      <c r="K2647" s="6">
        <f t="shared" ca="1" si="172"/>
        <v>25970</v>
      </c>
      <c r="L2647">
        <v>-19791</v>
      </c>
      <c r="M2647" s="7">
        <f t="shared" ca="1" si="170"/>
        <v>54.18480492813142</v>
      </c>
      <c r="N2647" s="5" t="str">
        <f ca="1">VLOOKUP(Data!M2647,temp!$B$3:$C$9,2,1)</f>
        <v>50-60</v>
      </c>
      <c r="O2647">
        <v>365243</v>
      </c>
      <c r="P2647" s="8">
        <f t="shared" si="171"/>
        <v>0</v>
      </c>
      <c r="Q2647" s="5" t="str">
        <f t="shared" si="173"/>
        <v>Unemployed</v>
      </c>
      <c r="R2647">
        <v>1</v>
      </c>
      <c r="S2647">
        <v>0</v>
      </c>
      <c r="T2647">
        <v>0</v>
      </c>
      <c r="U2647">
        <v>0</v>
      </c>
      <c r="W2647">
        <v>1</v>
      </c>
    </row>
    <row r="2648" spans="1:23" x14ac:dyDescent="0.2">
      <c r="A2648">
        <v>5090310</v>
      </c>
      <c r="B2648" t="s">
        <v>25</v>
      </c>
      <c r="C2648" t="s">
        <v>20</v>
      </c>
      <c r="D2648" t="s">
        <v>20</v>
      </c>
      <c r="E2648">
        <v>0</v>
      </c>
      <c r="F2648">
        <v>135000</v>
      </c>
      <c r="G2648" t="s">
        <v>21</v>
      </c>
      <c r="H2648" t="s">
        <v>27</v>
      </c>
      <c r="I2648" t="s">
        <v>28</v>
      </c>
      <c r="J2648" t="s">
        <v>24</v>
      </c>
      <c r="K2648" s="6">
        <f t="shared" ca="1" si="172"/>
        <v>21181</v>
      </c>
      <c r="L2648">
        <v>-24580</v>
      </c>
      <c r="M2648" s="7">
        <f t="shared" ca="1" si="170"/>
        <v>67.296372347707049</v>
      </c>
      <c r="N2648" s="5" t="str">
        <f ca="1">VLOOKUP(Data!M2648,temp!$B$3:$C$9,2,1)</f>
        <v>60-70</v>
      </c>
      <c r="O2648">
        <v>365243</v>
      </c>
      <c r="P2648" s="8">
        <f t="shared" si="171"/>
        <v>0</v>
      </c>
      <c r="Q2648" s="5" t="str">
        <f t="shared" si="173"/>
        <v>Unemployed</v>
      </c>
      <c r="R2648">
        <v>1</v>
      </c>
      <c r="S2648">
        <v>0</v>
      </c>
      <c r="T2648">
        <v>0</v>
      </c>
      <c r="U2648">
        <v>0</v>
      </c>
      <c r="W2648">
        <v>2</v>
      </c>
    </row>
    <row r="2649" spans="1:23" x14ac:dyDescent="0.2">
      <c r="A2649">
        <v>5090312</v>
      </c>
      <c r="B2649" t="s">
        <v>18</v>
      </c>
      <c r="C2649" t="s">
        <v>19</v>
      </c>
      <c r="D2649" t="s">
        <v>20</v>
      </c>
      <c r="E2649">
        <v>0</v>
      </c>
      <c r="F2649">
        <v>180000</v>
      </c>
      <c r="G2649" t="s">
        <v>21</v>
      </c>
      <c r="H2649" t="s">
        <v>27</v>
      </c>
      <c r="I2649" t="s">
        <v>28</v>
      </c>
      <c r="J2649" t="s">
        <v>24</v>
      </c>
      <c r="K2649" s="6">
        <f t="shared" ca="1" si="172"/>
        <v>23877</v>
      </c>
      <c r="L2649">
        <v>-21884</v>
      </c>
      <c r="M2649" s="7">
        <f t="shared" ca="1" si="170"/>
        <v>59.915126625598901</v>
      </c>
      <c r="N2649" s="5" t="str">
        <f ca="1">VLOOKUP(Data!M2649,temp!$B$3:$C$9,2,1)</f>
        <v>50-60</v>
      </c>
      <c r="O2649">
        <v>365243</v>
      </c>
      <c r="P2649" s="8">
        <f t="shared" si="171"/>
        <v>0</v>
      </c>
      <c r="Q2649" s="5" t="str">
        <f t="shared" si="173"/>
        <v>Unemployed</v>
      </c>
      <c r="R2649">
        <v>1</v>
      </c>
      <c r="S2649">
        <v>0</v>
      </c>
      <c r="T2649">
        <v>1</v>
      </c>
      <c r="U2649">
        <v>0</v>
      </c>
      <c r="W2649">
        <v>2</v>
      </c>
    </row>
    <row r="2650" spans="1:23" x14ac:dyDescent="0.2">
      <c r="A2650">
        <v>5090321</v>
      </c>
      <c r="B2650" t="s">
        <v>18</v>
      </c>
      <c r="C2650" t="s">
        <v>19</v>
      </c>
      <c r="D2650" t="s">
        <v>20</v>
      </c>
      <c r="E2650">
        <v>1</v>
      </c>
      <c r="F2650">
        <v>202500</v>
      </c>
      <c r="G2650" t="s">
        <v>31</v>
      </c>
      <c r="H2650" t="s">
        <v>27</v>
      </c>
      <c r="I2650" t="s">
        <v>23</v>
      </c>
      <c r="J2650" t="s">
        <v>24</v>
      </c>
      <c r="K2650" s="6">
        <f t="shared" ca="1" si="172"/>
        <v>26621</v>
      </c>
      <c r="L2650">
        <v>-19140</v>
      </c>
      <c r="M2650" s="7">
        <f t="shared" ca="1" si="170"/>
        <v>52.402464065708422</v>
      </c>
      <c r="N2650" s="5" t="str">
        <f ca="1">VLOOKUP(Data!M2650,temp!$B$3:$C$9,2,1)</f>
        <v>50-60</v>
      </c>
      <c r="O2650">
        <v>-887</v>
      </c>
      <c r="P2650" s="8">
        <f t="shared" si="171"/>
        <v>2.4284736481861739</v>
      </c>
      <c r="Q2650" s="5" t="str">
        <f t="shared" si="173"/>
        <v>Employed</v>
      </c>
      <c r="R2650">
        <v>1</v>
      </c>
      <c r="S2650">
        <v>0</v>
      </c>
      <c r="T2650">
        <v>0</v>
      </c>
      <c r="U2650">
        <v>0</v>
      </c>
      <c r="V2650" t="s">
        <v>47</v>
      </c>
      <c r="W2650">
        <v>2</v>
      </c>
    </row>
    <row r="2651" spans="1:23" x14ac:dyDescent="0.2">
      <c r="A2651">
        <v>5090347</v>
      </c>
      <c r="B2651" t="s">
        <v>18</v>
      </c>
      <c r="C2651" t="s">
        <v>19</v>
      </c>
      <c r="D2651" t="s">
        <v>19</v>
      </c>
      <c r="E2651">
        <v>0</v>
      </c>
      <c r="F2651">
        <v>67500</v>
      </c>
      <c r="G2651" t="s">
        <v>31</v>
      </c>
      <c r="H2651" t="s">
        <v>27</v>
      </c>
      <c r="I2651" t="s">
        <v>42</v>
      </c>
      <c r="J2651" t="s">
        <v>24</v>
      </c>
      <c r="K2651" s="6">
        <f t="shared" ca="1" si="172"/>
        <v>26397</v>
      </c>
      <c r="L2651">
        <v>-19364</v>
      </c>
      <c r="M2651" s="7">
        <f t="shared" ca="1" si="170"/>
        <v>53.015742642026012</v>
      </c>
      <c r="N2651" s="5" t="str">
        <f ca="1">VLOOKUP(Data!M2651,temp!$B$3:$C$9,2,1)</f>
        <v>50-60</v>
      </c>
      <c r="O2651">
        <v>-2539</v>
      </c>
      <c r="P2651" s="8">
        <f t="shared" si="171"/>
        <v>6.9514031485284056</v>
      </c>
      <c r="Q2651" s="5" t="str">
        <f t="shared" si="173"/>
        <v>Employed</v>
      </c>
      <c r="R2651">
        <v>1</v>
      </c>
      <c r="S2651">
        <v>0</v>
      </c>
      <c r="T2651">
        <v>0</v>
      </c>
      <c r="U2651">
        <v>0</v>
      </c>
      <c r="V2651" t="s">
        <v>55</v>
      </c>
      <c r="W2651">
        <v>1</v>
      </c>
    </row>
    <row r="2652" spans="1:23" x14ac:dyDescent="0.2">
      <c r="A2652">
        <v>5090348</v>
      </c>
      <c r="B2652" t="s">
        <v>18</v>
      </c>
      <c r="C2652" t="s">
        <v>20</v>
      </c>
      <c r="D2652" t="s">
        <v>19</v>
      </c>
      <c r="E2652">
        <v>0</v>
      </c>
      <c r="F2652">
        <v>247500</v>
      </c>
      <c r="G2652" t="s">
        <v>31</v>
      </c>
      <c r="H2652" t="s">
        <v>27</v>
      </c>
      <c r="I2652" t="s">
        <v>23</v>
      </c>
      <c r="J2652" t="s">
        <v>24</v>
      </c>
      <c r="K2652" s="6">
        <f t="shared" ca="1" si="172"/>
        <v>32215</v>
      </c>
      <c r="L2652">
        <v>-13546</v>
      </c>
      <c r="M2652" s="7">
        <f t="shared" ca="1" si="170"/>
        <v>37.086926762491444</v>
      </c>
      <c r="N2652" s="5" t="str">
        <f ca="1">VLOOKUP(Data!M2652,temp!$B$3:$C$9,2,1)</f>
        <v>30-40</v>
      </c>
      <c r="O2652">
        <v>-2142</v>
      </c>
      <c r="P2652" s="8">
        <f t="shared" si="171"/>
        <v>5.8644763860369613</v>
      </c>
      <c r="Q2652" s="5" t="str">
        <f t="shared" si="173"/>
        <v>Employed</v>
      </c>
      <c r="R2652">
        <v>1</v>
      </c>
      <c r="S2652">
        <v>0</v>
      </c>
      <c r="T2652">
        <v>0</v>
      </c>
      <c r="U2652">
        <v>0</v>
      </c>
      <c r="V2652" t="s">
        <v>29</v>
      </c>
      <c r="W2652">
        <v>1</v>
      </c>
    </row>
    <row r="2653" spans="1:23" x14ac:dyDescent="0.2">
      <c r="A2653">
        <v>5090354</v>
      </c>
      <c r="B2653" t="s">
        <v>18</v>
      </c>
      <c r="C2653" t="s">
        <v>19</v>
      </c>
      <c r="D2653" t="s">
        <v>20</v>
      </c>
      <c r="E2653">
        <v>1</v>
      </c>
      <c r="F2653">
        <v>121500</v>
      </c>
      <c r="G2653" t="s">
        <v>26</v>
      </c>
      <c r="H2653" t="s">
        <v>27</v>
      </c>
      <c r="I2653" t="s">
        <v>37</v>
      </c>
      <c r="J2653" t="s">
        <v>24</v>
      </c>
      <c r="K2653" s="6">
        <f t="shared" ca="1" si="172"/>
        <v>30320</v>
      </c>
      <c r="L2653">
        <v>-15441</v>
      </c>
      <c r="M2653" s="7">
        <f t="shared" ca="1" si="170"/>
        <v>42.275154004106774</v>
      </c>
      <c r="N2653" s="5" t="str">
        <f ca="1">VLOOKUP(Data!M2653,temp!$B$3:$C$9,2,1)</f>
        <v>40-50</v>
      </c>
      <c r="O2653">
        <v>-433</v>
      </c>
      <c r="P2653" s="8">
        <f t="shared" si="171"/>
        <v>1.1854893908281998</v>
      </c>
      <c r="Q2653" s="5" t="str">
        <f t="shared" si="173"/>
        <v>Employed</v>
      </c>
      <c r="R2653">
        <v>1</v>
      </c>
      <c r="S2653">
        <v>0</v>
      </c>
      <c r="T2653">
        <v>0</v>
      </c>
      <c r="U2653">
        <v>0</v>
      </c>
      <c r="W2653">
        <v>3</v>
      </c>
    </row>
    <row r="2654" spans="1:23" x14ac:dyDescent="0.2">
      <c r="A2654">
        <v>5090368</v>
      </c>
      <c r="B2654" t="s">
        <v>18</v>
      </c>
      <c r="C2654" t="s">
        <v>19</v>
      </c>
      <c r="D2654" t="s">
        <v>20</v>
      </c>
      <c r="E2654">
        <v>0</v>
      </c>
      <c r="F2654">
        <v>225000</v>
      </c>
      <c r="G2654" t="s">
        <v>31</v>
      </c>
      <c r="H2654" t="s">
        <v>27</v>
      </c>
      <c r="I2654" t="s">
        <v>37</v>
      </c>
      <c r="J2654" t="s">
        <v>24</v>
      </c>
      <c r="K2654" s="6">
        <f t="shared" ca="1" si="172"/>
        <v>32281</v>
      </c>
      <c r="L2654">
        <v>-13480</v>
      </c>
      <c r="M2654" s="7">
        <f t="shared" ca="1" si="170"/>
        <v>36.906228610540722</v>
      </c>
      <c r="N2654" s="5" t="str">
        <f ca="1">VLOOKUP(Data!M2654,temp!$B$3:$C$9,2,1)</f>
        <v>30-40</v>
      </c>
      <c r="O2654">
        <v>-5300</v>
      </c>
      <c r="P2654" s="8">
        <f t="shared" si="171"/>
        <v>14.510609171800137</v>
      </c>
      <c r="Q2654" s="5" t="str">
        <f t="shared" si="173"/>
        <v>Employed</v>
      </c>
      <c r="R2654">
        <v>1</v>
      </c>
      <c r="S2654">
        <v>1</v>
      </c>
      <c r="T2654">
        <v>1</v>
      </c>
      <c r="U2654">
        <v>0</v>
      </c>
      <c r="V2654" t="s">
        <v>50</v>
      </c>
      <c r="W2654">
        <v>2</v>
      </c>
    </row>
    <row r="2655" spans="1:23" x14ac:dyDescent="0.2">
      <c r="A2655">
        <v>5090393</v>
      </c>
      <c r="B2655" t="s">
        <v>18</v>
      </c>
      <c r="C2655" t="s">
        <v>20</v>
      </c>
      <c r="D2655" t="s">
        <v>20</v>
      </c>
      <c r="E2655">
        <v>0</v>
      </c>
      <c r="F2655">
        <v>76500</v>
      </c>
      <c r="G2655" t="s">
        <v>31</v>
      </c>
      <c r="H2655" t="s">
        <v>22</v>
      </c>
      <c r="I2655" t="s">
        <v>28</v>
      </c>
      <c r="J2655" t="s">
        <v>24</v>
      </c>
      <c r="K2655" s="6">
        <f t="shared" ca="1" si="172"/>
        <v>28018</v>
      </c>
      <c r="L2655">
        <v>-17743</v>
      </c>
      <c r="M2655" s="7">
        <f t="shared" ca="1" si="170"/>
        <v>48.577686516084874</v>
      </c>
      <c r="N2655" s="5" t="str">
        <f ca="1">VLOOKUP(Data!M2655,temp!$B$3:$C$9,2,1)</f>
        <v>40-50</v>
      </c>
      <c r="O2655">
        <v>-4205</v>
      </c>
      <c r="P2655" s="8">
        <f t="shared" si="171"/>
        <v>11.512662559890487</v>
      </c>
      <c r="Q2655" s="5" t="str">
        <f t="shared" si="173"/>
        <v>Employed</v>
      </c>
      <c r="R2655">
        <v>1</v>
      </c>
      <c r="S2655">
        <v>0</v>
      </c>
      <c r="T2655">
        <v>0</v>
      </c>
      <c r="U2655">
        <v>0</v>
      </c>
      <c r="W2655">
        <v>2</v>
      </c>
    </row>
    <row r="2656" spans="1:23" x14ac:dyDescent="0.2">
      <c r="A2656">
        <v>5090396</v>
      </c>
      <c r="B2656" t="s">
        <v>18</v>
      </c>
      <c r="C2656" t="s">
        <v>19</v>
      </c>
      <c r="D2656" t="s">
        <v>20</v>
      </c>
      <c r="E2656">
        <v>0</v>
      </c>
      <c r="F2656">
        <v>112500</v>
      </c>
      <c r="G2656" t="s">
        <v>35</v>
      </c>
      <c r="H2656" t="s">
        <v>22</v>
      </c>
      <c r="I2656" t="s">
        <v>28</v>
      </c>
      <c r="J2656" t="s">
        <v>24</v>
      </c>
      <c r="K2656" s="6">
        <f t="shared" ca="1" si="172"/>
        <v>31925</v>
      </c>
      <c r="L2656">
        <v>-13836</v>
      </c>
      <c r="M2656" s="7">
        <f t="shared" ca="1" si="170"/>
        <v>37.880903490759756</v>
      </c>
      <c r="N2656" s="5" t="str">
        <f ca="1">VLOOKUP(Data!M2656,temp!$B$3:$C$9,2,1)</f>
        <v>30-40</v>
      </c>
      <c r="O2656">
        <v>-3747</v>
      </c>
      <c r="P2656" s="8">
        <f t="shared" si="171"/>
        <v>10.258726899383984</v>
      </c>
      <c r="Q2656" s="5" t="str">
        <f t="shared" si="173"/>
        <v>Employed</v>
      </c>
      <c r="R2656">
        <v>1</v>
      </c>
      <c r="S2656">
        <v>0</v>
      </c>
      <c r="T2656">
        <v>0</v>
      </c>
      <c r="U2656">
        <v>1</v>
      </c>
      <c r="V2656" t="s">
        <v>38</v>
      </c>
      <c r="W2656">
        <v>2</v>
      </c>
    </row>
    <row r="2657" spans="1:23" x14ac:dyDescent="0.2">
      <c r="A2657">
        <v>5090407</v>
      </c>
      <c r="B2657" t="s">
        <v>18</v>
      </c>
      <c r="C2657" t="s">
        <v>20</v>
      </c>
      <c r="D2657" t="s">
        <v>19</v>
      </c>
      <c r="E2657">
        <v>1</v>
      </c>
      <c r="F2657">
        <v>315000</v>
      </c>
      <c r="G2657" t="s">
        <v>31</v>
      </c>
      <c r="H2657" t="s">
        <v>22</v>
      </c>
      <c r="I2657" t="s">
        <v>28</v>
      </c>
      <c r="J2657" t="s">
        <v>24</v>
      </c>
      <c r="K2657" s="6">
        <f t="shared" ca="1" si="172"/>
        <v>31405</v>
      </c>
      <c r="L2657">
        <v>-14356</v>
      </c>
      <c r="M2657" s="7">
        <f t="shared" ca="1" si="170"/>
        <v>39.304585900068446</v>
      </c>
      <c r="N2657" s="5" t="str">
        <f ca="1">VLOOKUP(Data!M2657,temp!$B$3:$C$9,2,1)</f>
        <v>30-40</v>
      </c>
      <c r="O2657">
        <v>-1069</v>
      </c>
      <c r="P2657" s="8">
        <f t="shared" si="171"/>
        <v>2.9267624914442161</v>
      </c>
      <c r="Q2657" s="5" t="str">
        <f t="shared" si="173"/>
        <v>Employed</v>
      </c>
      <c r="R2657">
        <v>1</v>
      </c>
      <c r="S2657">
        <v>1</v>
      </c>
      <c r="T2657">
        <v>1</v>
      </c>
      <c r="U2657">
        <v>1</v>
      </c>
      <c r="V2657" t="s">
        <v>39</v>
      </c>
      <c r="W2657">
        <v>3</v>
      </c>
    </row>
    <row r="2658" spans="1:23" x14ac:dyDescent="0.2">
      <c r="A2658">
        <v>5090419</v>
      </c>
      <c r="B2658" t="s">
        <v>18</v>
      </c>
      <c r="C2658" t="s">
        <v>19</v>
      </c>
      <c r="D2658" t="s">
        <v>19</v>
      </c>
      <c r="E2658">
        <v>0</v>
      </c>
      <c r="F2658">
        <v>180000</v>
      </c>
      <c r="G2658" t="s">
        <v>31</v>
      </c>
      <c r="H2658" t="s">
        <v>22</v>
      </c>
      <c r="I2658" t="s">
        <v>28</v>
      </c>
      <c r="J2658" t="s">
        <v>24</v>
      </c>
      <c r="K2658" s="6">
        <f t="shared" ca="1" si="172"/>
        <v>30143</v>
      </c>
      <c r="L2658">
        <v>-15618</v>
      </c>
      <c r="M2658" s="7">
        <f t="shared" ca="1" si="170"/>
        <v>42.75975359342916</v>
      </c>
      <c r="N2658" s="5" t="str">
        <f ca="1">VLOOKUP(Data!M2658,temp!$B$3:$C$9,2,1)</f>
        <v>40-50</v>
      </c>
      <c r="O2658">
        <v>-2499</v>
      </c>
      <c r="P2658" s="8">
        <f t="shared" si="171"/>
        <v>6.8418891170431211</v>
      </c>
      <c r="Q2658" s="5" t="str">
        <f t="shared" si="173"/>
        <v>Employed</v>
      </c>
      <c r="R2658">
        <v>1</v>
      </c>
      <c r="S2658">
        <v>1</v>
      </c>
      <c r="T2658">
        <v>1</v>
      </c>
      <c r="U2658">
        <v>0</v>
      </c>
      <c r="V2658" t="s">
        <v>40</v>
      </c>
      <c r="W2658">
        <v>2</v>
      </c>
    </row>
    <row r="2659" spans="1:23" x14ac:dyDescent="0.2">
      <c r="A2659">
        <v>5090424</v>
      </c>
      <c r="B2659" t="s">
        <v>18</v>
      </c>
      <c r="C2659" t="s">
        <v>19</v>
      </c>
      <c r="D2659" t="s">
        <v>20</v>
      </c>
      <c r="E2659">
        <v>0</v>
      </c>
      <c r="F2659">
        <v>189000</v>
      </c>
      <c r="G2659" t="s">
        <v>31</v>
      </c>
      <c r="H2659" t="s">
        <v>27</v>
      </c>
      <c r="I2659" t="s">
        <v>33</v>
      </c>
      <c r="J2659" t="s">
        <v>24</v>
      </c>
      <c r="K2659" s="6">
        <f t="shared" ca="1" si="172"/>
        <v>28298</v>
      </c>
      <c r="L2659">
        <v>-17463</v>
      </c>
      <c r="M2659" s="7">
        <f t="shared" ca="1" si="170"/>
        <v>47.811088295687888</v>
      </c>
      <c r="N2659" s="5" t="str">
        <f ca="1">VLOOKUP(Data!M2659,temp!$B$3:$C$9,2,1)</f>
        <v>40-50</v>
      </c>
      <c r="O2659">
        <v>-6304</v>
      </c>
      <c r="P2659" s="8">
        <f t="shared" si="171"/>
        <v>17.259411362080765</v>
      </c>
      <c r="Q2659" s="5" t="str">
        <f t="shared" si="173"/>
        <v>Employed</v>
      </c>
      <c r="R2659">
        <v>1</v>
      </c>
      <c r="S2659">
        <v>0</v>
      </c>
      <c r="T2659">
        <v>0</v>
      </c>
      <c r="U2659">
        <v>0</v>
      </c>
      <c r="V2659" t="s">
        <v>29</v>
      </c>
      <c r="W2659">
        <v>1</v>
      </c>
    </row>
    <row r="2660" spans="1:23" x14ac:dyDescent="0.2">
      <c r="A2660">
        <v>5090444</v>
      </c>
      <c r="B2660" t="s">
        <v>25</v>
      </c>
      <c r="C2660" t="s">
        <v>20</v>
      </c>
      <c r="D2660" t="s">
        <v>20</v>
      </c>
      <c r="E2660">
        <v>0</v>
      </c>
      <c r="F2660">
        <v>270000</v>
      </c>
      <c r="G2660" t="s">
        <v>31</v>
      </c>
      <c r="H2660" t="s">
        <v>27</v>
      </c>
      <c r="I2660" t="s">
        <v>28</v>
      </c>
      <c r="J2660" t="s">
        <v>24</v>
      </c>
      <c r="K2660" s="6">
        <f t="shared" ca="1" si="172"/>
        <v>25477</v>
      </c>
      <c r="L2660">
        <v>-20284</v>
      </c>
      <c r="M2660" s="7">
        <f t="shared" ca="1" si="170"/>
        <v>55.534565366187543</v>
      </c>
      <c r="N2660" s="5" t="str">
        <f ca="1">VLOOKUP(Data!M2660,temp!$B$3:$C$9,2,1)</f>
        <v>50-60</v>
      </c>
      <c r="O2660">
        <v>-557</v>
      </c>
      <c r="P2660" s="8">
        <f t="shared" si="171"/>
        <v>1.5249828884325805</v>
      </c>
      <c r="Q2660" s="5" t="str">
        <f t="shared" si="173"/>
        <v>Employed</v>
      </c>
      <c r="R2660">
        <v>1</v>
      </c>
      <c r="S2660">
        <v>0</v>
      </c>
      <c r="T2660">
        <v>0</v>
      </c>
      <c r="U2660">
        <v>0</v>
      </c>
      <c r="V2660" t="s">
        <v>40</v>
      </c>
      <c r="W2660">
        <v>2</v>
      </c>
    </row>
    <row r="2661" spans="1:23" x14ac:dyDescent="0.2">
      <c r="A2661">
        <v>5090445</v>
      </c>
      <c r="B2661" t="s">
        <v>18</v>
      </c>
      <c r="C2661" t="s">
        <v>19</v>
      </c>
      <c r="D2661" t="s">
        <v>20</v>
      </c>
      <c r="E2661">
        <v>1</v>
      </c>
      <c r="F2661">
        <v>157500</v>
      </c>
      <c r="G2661" t="s">
        <v>31</v>
      </c>
      <c r="H2661" t="s">
        <v>27</v>
      </c>
      <c r="I2661" t="s">
        <v>28</v>
      </c>
      <c r="J2661" t="s">
        <v>24</v>
      </c>
      <c r="K2661" s="6">
        <f t="shared" ca="1" si="172"/>
        <v>30227</v>
      </c>
      <c r="L2661">
        <v>-15534</v>
      </c>
      <c r="M2661" s="7">
        <f t="shared" ca="1" si="170"/>
        <v>42.529774127310063</v>
      </c>
      <c r="N2661" s="5" t="str">
        <f ca="1">VLOOKUP(Data!M2661,temp!$B$3:$C$9,2,1)</f>
        <v>40-50</v>
      </c>
      <c r="O2661">
        <v>-587</v>
      </c>
      <c r="P2661" s="8">
        <f t="shared" si="171"/>
        <v>1.6071184120465434</v>
      </c>
      <c r="Q2661" s="5" t="str">
        <f t="shared" si="173"/>
        <v>Employed</v>
      </c>
      <c r="R2661">
        <v>1</v>
      </c>
      <c r="S2661">
        <v>0</v>
      </c>
      <c r="T2661">
        <v>0</v>
      </c>
      <c r="U2661">
        <v>0</v>
      </c>
      <c r="V2661" t="s">
        <v>52</v>
      </c>
      <c r="W2661">
        <v>3</v>
      </c>
    </row>
    <row r="2662" spans="1:23" x14ac:dyDescent="0.2">
      <c r="A2662">
        <v>5090522</v>
      </c>
      <c r="B2662" t="s">
        <v>25</v>
      </c>
      <c r="C2662" t="s">
        <v>19</v>
      </c>
      <c r="D2662" t="s">
        <v>20</v>
      </c>
      <c r="E2662">
        <v>0</v>
      </c>
      <c r="F2662">
        <v>315000</v>
      </c>
      <c r="G2662" t="s">
        <v>26</v>
      </c>
      <c r="H2662" t="s">
        <v>22</v>
      </c>
      <c r="I2662" t="s">
        <v>28</v>
      </c>
      <c r="J2662" t="s">
        <v>24</v>
      </c>
      <c r="K2662" s="6">
        <f t="shared" ca="1" si="172"/>
        <v>25943</v>
      </c>
      <c r="L2662">
        <v>-19818</v>
      </c>
      <c r="M2662" s="7">
        <f t="shared" ca="1" si="170"/>
        <v>54.258726899383987</v>
      </c>
      <c r="N2662" s="5" t="str">
        <f ca="1">VLOOKUP(Data!M2662,temp!$B$3:$C$9,2,1)</f>
        <v>50-60</v>
      </c>
      <c r="O2662">
        <v>-4113</v>
      </c>
      <c r="P2662" s="8">
        <f t="shared" si="171"/>
        <v>11.260780287474333</v>
      </c>
      <c r="Q2662" s="5" t="str">
        <f t="shared" si="173"/>
        <v>Employed</v>
      </c>
      <c r="R2662">
        <v>1</v>
      </c>
      <c r="S2662">
        <v>0</v>
      </c>
      <c r="T2662">
        <v>0</v>
      </c>
      <c r="U2662">
        <v>0</v>
      </c>
      <c r="V2662" t="s">
        <v>32</v>
      </c>
      <c r="W2662">
        <v>2</v>
      </c>
    </row>
    <row r="2663" spans="1:23" x14ac:dyDescent="0.2">
      <c r="A2663">
        <v>5090529</v>
      </c>
      <c r="B2663" t="s">
        <v>18</v>
      </c>
      <c r="C2663" t="s">
        <v>20</v>
      </c>
      <c r="D2663" t="s">
        <v>20</v>
      </c>
      <c r="E2663">
        <v>0</v>
      </c>
      <c r="F2663">
        <v>288000</v>
      </c>
      <c r="G2663" t="s">
        <v>31</v>
      </c>
      <c r="H2663" t="s">
        <v>22</v>
      </c>
      <c r="I2663" t="s">
        <v>28</v>
      </c>
      <c r="J2663" t="s">
        <v>24</v>
      </c>
      <c r="K2663" s="6">
        <f t="shared" ca="1" si="172"/>
        <v>31211</v>
      </c>
      <c r="L2663">
        <v>-14550</v>
      </c>
      <c r="M2663" s="7">
        <f t="shared" ca="1" si="170"/>
        <v>39.835728952772072</v>
      </c>
      <c r="N2663" s="5" t="str">
        <f ca="1">VLOOKUP(Data!M2663,temp!$B$3:$C$9,2,1)</f>
        <v>30-40</v>
      </c>
      <c r="O2663">
        <v>-3239</v>
      </c>
      <c r="P2663" s="8">
        <f t="shared" si="171"/>
        <v>8.8678986995208753</v>
      </c>
      <c r="Q2663" s="5" t="str">
        <f t="shared" si="173"/>
        <v>Employed</v>
      </c>
      <c r="R2663">
        <v>1</v>
      </c>
      <c r="S2663">
        <v>0</v>
      </c>
      <c r="T2663">
        <v>1</v>
      </c>
      <c r="U2663">
        <v>1</v>
      </c>
      <c r="V2663" t="s">
        <v>32</v>
      </c>
      <c r="W2663">
        <v>2</v>
      </c>
    </row>
    <row r="2664" spans="1:23" x14ac:dyDescent="0.2">
      <c r="A2664">
        <v>5090530</v>
      </c>
      <c r="B2664" t="s">
        <v>18</v>
      </c>
      <c r="C2664" t="s">
        <v>19</v>
      </c>
      <c r="D2664" t="s">
        <v>20</v>
      </c>
      <c r="E2664">
        <v>0</v>
      </c>
      <c r="F2664">
        <v>157500</v>
      </c>
      <c r="G2664" t="s">
        <v>26</v>
      </c>
      <c r="H2664" t="s">
        <v>27</v>
      </c>
      <c r="I2664" t="s">
        <v>28</v>
      </c>
      <c r="J2664" t="s">
        <v>24</v>
      </c>
      <c r="K2664" s="6">
        <f t="shared" ca="1" si="172"/>
        <v>31972</v>
      </c>
      <c r="L2664">
        <v>-13789</v>
      </c>
      <c r="M2664" s="7">
        <f t="shared" ca="1" si="170"/>
        <v>37.752224503764545</v>
      </c>
      <c r="N2664" s="5" t="str">
        <f ca="1">VLOOKUP(Data!M2664,temp!$B$3:$C$9,2,1)</f>
        <v>30-40</v>
      </c>
      <c r="O2664">
        <v>-4030</v>
      </c>
      <c r="P2664" s="8">
        <f t="shared" si="171"/>
        <v>11.033538672142368</v>
      </c>
      <c r="Q2664" s="5" t="str">
        <f t="shared" si="173"/>
        <v>Employed</v>
      </c>
      <c r="R2664">
        <v>1</v>
      </c>
      <c r="S2664">
        <v>1</v>
      </c>
      <c r="T2664">
        <v>1</v>
      </c>
      <c r="U2664">
        <v>1</v>
      </c>
      <c r="V2664" t="s">
        <v>55</v>
      </c>
      <c r="W2664">
        <v>2</v>
      </c>
    </row>
    <row r="2665" spans="1:23" x14ac:dyDescent="0.2">
      <c r="A2665">
        <v>5090535</v>
      </c>
      <c r="B2665" t="s">
        <v>18</v>
      </c>
      <c r="C2665" t="s">
        <v>19</v>
      </c>
      <c r="D2665" t="s">
        <v>20</v>
      </c>
      <c r="E2665">
        <v>0</v>
      </c>
      <c r="F2665">
        <v>180000</v>
      </c>
      <c r="G2665" t="s">
        <v>26</v>
      </c>
      <c r="H2665" t="s">
        <v>22</v>
      </c>
      <c r="I2665" t="s">
        <v>28</v>
      </c>
      <c r="J2665" t="s">
        <v>24</v>
      </c>
      <c r="K2665" s="6">
        <f t="shared" ca="1" si="172"/>
        <v>31095</v>
      </c>
      <c r="L2665">
        <v>-14666</v>
      </c>
      <c r="M2665" s="7">
        <f t="shared" ca="1" si="170"/>
        <v>40.153319644079396</v>
      </c>
      <c r="N2665" s="5" t="str">
        <f ca="1">VLOOKUP(Data!M2665,temp!$B$3:$C$9,2,1)</f>
        <v>40-50</v>
      </c>
      <c r="O2665">
        <v>-1229</v>
      </c>
      <c r="P2665" s="8">
        <f t="shared" si="171"/>
        <v>3.3648186173853527</v>
      </c>
      <c r="Q2665" s="5" t="str">
        <f t="shared" si="173"/>
        <v>Employed</v>
      </c>
      <c r="R2665">
        <v>1</v>
      </c>
      <c r="S2665">
        <v>0</v>
      </c>
      <c r="T2665">
        <v>0</v>
      </c>
      <c r="U2665">
        <v>1</v>
      </c>
      <c r="V2665" t="s">
        <v>49</v>
      </c>
      <c r="W2665">
        <v>2</v>
      </c>
    </row>
    <row r="2666" spans="1:23" x14ac:dyDescent="0.2">
      <c r="A2666">
        <v>5090538</v>
      </c>
      <c r="B2666" t="s">
        <v>18</v>
      </c>
      <c r="C2666" t="s">
        <v>20</v>
      </c>
      <c r="D2666" t="s">
        <v>20</v>
      </c>
      <c r="E2666">
        <v>0</v>
      </c>
      <c r="F2666">
        <v>270000</v>
      </c>
      <c r="G2666" t="s">
        <v>31</v>
      </c>
      <c r="H2666" t="s">
        <v>27</v>
      </c>
      <c r="I2666" t="s">
        <v>37</v>
      </c>
      <c r="J2666" t="s">
        <v>24</v>
      </c>
      <c r="K2666" s="6">
        <f t="shared" ca="1" si="172"/>
        <v>25046</v>
      </c>
      <c r="L2666">
        <v>-20715</v>
      </c>
      <c r="M2666" s="7">
        <f t="shared" ca="1" si="170"/>
        <v>56.714579055441476</v>
      </c>
      <c r="N2666" s="5" t="str">
        <f ca="1">VLOOKUP(Data!M2666,temp!$B$3:$C$9,2,1)</f>
        <v>50-60</v>
      </c>
      <c r="O2666">
        <v>-1104</v>
      </c>
      <c r="P2666" s="8">
        <f t="shared" si="171"/>
        <v>3.0225872689938398</v>
      </c>
      <c r="Q2666" s="5" t="str">
        <f t="shared" si="173"/>
        <v>Employed</v>
      </c>
      <c r="R2666">
        <v>1</v>
      </c>
      <c r="S2666">
        <v>1</v>
      </c>
      <c r="T2666">
        <v>1</v>
      </c>
      <c r="U2666">
        <v>0</v>
      </c>
      <c r="V2666" t="s">
        <v>29</v>
      </c>
      <c r="W2666">
        <v>2</v>
      </c>
    </row>
    <row r="2667" spans="1:23" x14ac:dyDescent="0.2">
      <c r="A2667">
        <v>5090552</v>
      </c>
      <c r="B2667" t="s">
        <v>18</v>
      </c>
      <c r="C2667" t="s">
        <v>20</v>
      </c>
      <c r="D2667" t="s">
        <v>20</v>
      </c>
      <c r="E2667">
        <v>1</v>
      </c>
      <c r="F2667">
        <v>112500</v>
      </c>
      <c r="G2667" t="s">
        <v>31</v>
      </c>
      <c r="H2667" t="s">
        <v>27</v>
      </c>
      <c r="I2667" t="s">
        <v>28</v>
      </c>
      <c r="J2667" t="s">
        <v>24</v>
      </c>
      <c r="K2667" s="6">
        <f t="shared" ca="1" si="172"/>
        <v>27901</v>
      </c>
      <c r="L2667">
        <v>-17860</v>
      </c>
      <c r="M2667" s="7">
        <f t="shared" ca="1" si="170"/>
        <v>48.898015058179332</v>
      </c>
      <c r="N2667" s="5" t="str">
        <f ca="1">VLOOKUP(Data!M2667,temp!$B$3:$C$9,2,1)</f>
        <v>40-50</v>
      </c>
      <c r="O2667">
        <v>-2439</v>
      </c>
      <c r="P2667" s="8">
        <f t="shared" si="171"/>
        <v>6.6776180698151952</v>
      </c>
      <c r="Q2667" s="5" t="str">
        <f t="shared" si="173"/>
        <v>Employed</v>
      </c>
      <c r="R2667">
        <v>1</v>
      </c>
      <c r="S2667">
        <v>0</v>
      </c>
      <c r="T2667">
        <v>0</v>
      </c>
      <c r="U2667">
        <v>0</v>
      </c>
      <c r="W2667">
        <v>3</v>
      </c>
    </row>
    <row r="2668" spans="1:23" x14ac:dyDescent="0.2">
      <c r="A2668">
        <v>5090561</v>
      </c>
      <c r="B2668" t="s">
        <v>18</v>
      </c>
      <c r="C2668" t="s">
        <v>19</v>
      </c>
      <c r="D2668" t="s">
        <v>19</v>
      </c>
      <c r="E2668">
        <v>1</v>
      </c>
      <c r="F2668">
        <v>225000</v>
      </c>
      <c r="G2668" t="s">
        <v>31</v>
      </c>
      <c r="H2668" t="s">
        <v>27</v>
      </c>
      <c r="I2668" t="s">
        <v>37</v>
      </c>
      <c r="J2668" t="s">
        <v>24</v>
      </c>
      <c r="K2668" s="6">
        <f t="shared" ca="1" si="172"/>
        <v>32891</v>
      </c>
      <c r="L2668">
        <v>-12870</v>
      </c>
      <c r="M2668" s="7">
        <f t="shared" ca="1" si="170"/>
        <v>35.236139630390142</v>
      </c>
      <c r="N2668" s="5" t="str">
        <f ca="1">VLOOKUP(Data!M2668,temp!$B$3:$C$9,2,1)</f>
        <v>30-40</v>
      </c>
      <c r="O2668">
        <v>-2416</v>
      </c>
      <c r="P2668" s="8">
        <f t="shared" si="171"/>
        <v>6.6146475017111568</v>
      </c>
      <c r="Q2668" s="5" t="str">
        <f t="shared" si="173"/>
        <v>Employed</v>
      </c>
      <c r="R2668">
        <v>1</v>
      </c>
      <c r="S2668">
        <v>0</v>
      </c>
      <c r="T2668">
        <v>0</v>
      </c>
      <c r="U2668">
        <v>0</v>
      </c>
      <c r="V2668" t="s">
        <v>29</v>
      </c>
      <c r="W2668">
        <v>3</v>
      </c>
    </row>
    <row r="2669" spans="1:23" x14ac:dyDescent="0.2">
      <c r="A2669">
        <v>5090573</v>
      </c>
      <c r="B2669" t="s">
        <v>25</v>
      </c>
      <c r="C2669" t="s">
        <v>20</v>
      </c>
      <c r="D2669" t="s">
        <v>19</v>
      </c>
      <c r="E2669">
        <v>0</v>
      </c>
      <c r="F2669">
        <v>180000</v>
      </c>
      <c r="G2669" t="s">
        <v>21</v>
      </c>
      <c r="H2669" t="s">
        <v>22</v>
      </c>
      <c r="I2669" t="s">
        <v>28</v>
      </c>
      <c r="J2669" t="s">
        <v>24</v>
      </c>
      <c r="K2669" s="6">
        <f t="shared" ca="1" si="172"/>
        <v>23493</v>
      </c>
      <c r="L2669">
        <v>-22268</v>
      </c>
      <c r="M2669" s="7">
        <f t="shared" ca="1" si="170"/>
        <v>60.96646132785763</v>
      </c>
      <c r="N2669" s="5" t="str">
        <f ca="1">VLOOKUP(Data!M2669,temp!$B$3:$C$9,2,1)</f>
        <v>60-70</v>
      </c>
      <c r="O2669">
        <v>365243</v>
      </c>
      <c r="P2669" s="8">
        <f t="shared" si="171"/>
        <v>0</v>
      </c>
      <c r="Q2669" s="5" t="str">
        <f t="shared" si="173"/>
        <v>Unemployed</v>
      </c>
      <c r="R2669">
        <v>1</v>
      </c>
      <c r="S2669">
        <v>0</v>
      </c>
      <c r="T2669">
        <v>0</v>
      </c>
      <c r="U2669">
        <v>1</v>
      </c>
      <c r="W2669">
        <v>2</v>
      </c>
    </row>
    <row r="2670" spans="1:23" x14ac:dyDescent="0.2">
      <c r="A2670">
        <v>5090581</v>
      </c>
      <c r="B2670" t="s">
        <v>25</v>
      </c>
      <c r="C2670" t="s">
        <v>19</v>
      </c>
      <c r="D2670" t="s">
        <v>19</v>
      </c>
      <c r="E2670">
        <v>1</v>
      </c>
      <c r="F2670">
        <v>202500</v>
      </c>
      <c r="G2670" t="s">
        <v>35</v>
      </c>
      <c r="H2670" t="s">
        <v>22</v>
      </c>
      <c r="I2670" t="s">
        <v>28</v>
      </c>
      <c r="J2670" t="s">
        <v>24</v>
      </c>
      <c r="K2670" s="6">
        <f t="shared" ca="1" si="172"/>
        <v>29953</v>
      </c>
      <c r="L2670">
        <v>-15808</v>
      </c>
      <c r="M2670" s="7">
        <f t="shared" ca="1" si="170"/>
        <v>43.279945242984255</v>
      </c>
      <c r="N2670" s="5" t="str">
        <f ca="1">VLOOKUP(Data!M2670,temp!$B$3:$C$9,2,1)</f>
        <v>40-50</v>
      </c>
      <c r="O2670">
        <v>-461</v>
      </c>
      <c r="P2670" s="8">
        <f t="shared" si="171"/>
        <v>1.2621492128678986</v>
      </c>
      <c r="Q2670" s="5" t="str">
        <f t="shared" si="173"/>
        <v>Employed</v>
      </c>
      <c r="R2670">
        <v>1</v>
      </c>
      <c r="S2670">
        <v>0</v>
      </c>
      <c r="T2670">
        <v>0</v>
      </c>
      <c r="U2670">
        <v>0</v>
      </c>
      <c r="V2670" t="s">
        <v>32</v>
      </c>
      <c r="W2670">
        <v>3</v>
      </c>
    </row>
    <row r="2671" spans="1:23" x14ac:dyDescent="0.2">
      <c r="A2671">
        <v>5090594</v>
      </c>
      <c r="B2671" t="s">
        <v>25</v>
      </c>
      <c r="C2671" t="s">
        <v>20</v>
      </c>
      <c r="D2671" t="s">
        <v>20</v>
      </c>
      <c r="E2671">
        <v>3</v>
      </c>
      <c r="F2671">
        <v>270000</v>
      </c>
      <c r="G2671" t="s">
        <v>31</v>
      </c>
      <c r="H2671" t="s">
        <v>27</v>
      </c>
      <c r="I2671" t="s">
        <v>28</v>
      </c>
      <c r="J2671" t="s">
        <v>24</v>
      </c>
      <c r="K2671" s="6">
        <f t="shared" ca="1" si="172"/>
        <v>33127</v>
      </c>
      <c r="L2671">
        <v>-12634</v>
      </c>
      <c r="M2671" s="7">
        <f t="shared" ca="1" si="170"/>
        <v>34.59000684462697</v>
      </c>
      <c r="N2671" s="5" t="str">
        <f ca="1">VLOOKUP(Data!M2671,temp!$B$3:$C$9,2,1)</f>
        <v>30-40</v>
      </c>
      <c r="O2671">
        <v>-4053</v>
      </c>
      <c r="P2671" s="8">
        <f t="shared" si="171"/>
        <v>11.096509240246407</v>
      </c>
      <c r="Q2671" s="5" t="str">
        <f t="shared" si="173"/>
        <v>Employed</v>
      </c>
      <c r="R2671">
        <v>1</v>
      </c>
      <c r="S2671">
        <v>0</v>
      </c>
      <c r="T2671">
        <v>0</v>
      </c>
      <c r="U2671">
        <v>0</v>
      </c>
      <c r="V2671" t="s">
        <v>29</v>
      </c>
      <c r="W2671">
        <v>5</v>
      </c>
    </row>
    <row r="2672" spans="1:23" x14ac:dyDescent="0.2">
      <c r="A2672">
        <v>5090600</v>
      </c>
      <c r="B2672" t="s">
        <v>25</v>
      </c>
      <c r="C2672" t="s">
        <v>20</v>
      </c>
      <c r="D2672" t="s">
        <v>20</v>
      </c>
      <c r="E2672">
        <v>2</v>
      </c>
      <c r="F2672">
        <v>202500</v>
      </c>
      <c r="G2672" t="s">
        <v>31</v>
      </c>
      <c r="H2672" t="s">
        <v>22</v>
      </c>
      <c r="I2672" t="s">
        <v>28</v>
      </c>
      <c r="J2672" t="s">
        <v>24</v>
      </c>
      <c r="K2672" s="6">
        <f t="shared" ca="1" si="172"/>
        <v>30301</v>
      </c>
      <c r="L2672">
        <v>-15460</v>
      </c>
      <c r="M2672" s="7">
        <f t="shared" ca="1" si="170"/>
        <v>42.327173169062284</v>
      </c>
      <c r="N2672" s="5" t="str">
        <f ca="1">VLOOKUP(Data!M2672,temp!$B$3:$C$9,2,1)</f>
        <v>40-50</v>
      </c>
      <c r="O2672">
        <v>-7004</v>
      </c>
      <c r="P2672" s="8">
        <f t="shared" si="171"/>
        <v>19.175906913073238</v>
      </c>
      <c r="Q2672" s="5" t="str">
        <f t="shared" si="173"/>
        <v>Employed</v>
      </c>
      <c r="R2672">
        <v>1</v>
      </c>
      <c r="S2672">
        <v>0</v>
      </c>
      <c r="T2672">
        <v>0</v>
      </c>
      <c r="U2672">
        <v>0</v>
      </c>
      <c r="V2672" t="s">
        <v>38</v>
      </c>
      <c r="W2672">
        <v>4</v>
      </c>
    </row>
    <row r="2673" spans="1:23" x14ac:dyDescent="0.2">
      <c r="A2673">
        <v>5090622</v>
      </c>
      <c r="B2673" t="s">
        <v>18</v>
      </c>
      <c r="C2673" t="s">
        <v>19</v>
      </c>
      <c r="D2673" t="s">
        <v>20</v>
      </c>
      <c r="E2673">
        <v>0</v>
      </c>
      <c r="F2673">
        <v>360000</v>
      </c>
      <c r="G2673" t="s">
        <v>31</v>
      </c>
      <c r="H2673" t="s">
        <v>22</v>
      </c>
      <c r="I2673" t="s">
        <v>28</v>
      </c>
      <c r="J2673" t="s">
        <v>24</v>
      </c>
      <c r="K2673" s="6">
        <f t="shared" ca="1" si="172"/>
        <v>24431</v>
      </c>
      <c r="L2673">
        <v>-21330</v>
      </c>
      <c r="M2673" s="7">
        <f t="shared" ca="1" si="170"/>
        <v>58.398357289527723</v>
      </c>
      <c r="N2673" s="5" t="str">
        <f ca="1">VLOOKUP(Data!M2673,temp!$B$3:$C$9,2,1)</f>
        <v>50-60</v>
      </c>
      <c r="O2673">
        <v>-7522</v>
      </c>
      <c r="P2673" s="8">
        <f t="shared" si="171"/>
        <v>20.594113620807665</v>
      </c>
      <c r="Q2673" s="5" t="str">
        <f t="shared" si="173"/>
        <v>Employed</v>
      </c>
      <c r="R2673">
        <v>1</v>
      </c>
      <c r="S2673">
        <v>0</v>
      </c>
      <c r="T2673">
        <v>0</v>
      </c>
      <c r="U2673">
        <v>0</v>
      </c>
      <c r="V2673" t="s">
        <v>32</v>
      </c>
      <c r="W2673">
        <v>2</v>
      </c>
    </row>
    <row r="2674" spans="1:23" x14ac:dyDescent="0.2">
      <c r="A2674">
        <v>5090636</v>
      </c>
      <c r="B2674" t="s">
        <v>18</v>
      </c>
      <c r="C2674" t="s">
        <v>20</v>
      </c>
      <c r="D2674" t="s">
        <v>20</v>
      </c>
      <c r="E2674">
        <v>0</v>
      </c>
      <c r="F2674">
        <v>117000</v>
      </c>
      <c r="G2674" t="s">
        <v>31</v>
      </c>
      <c r="H2674" t="s">
        <v>27</v>
      </c>
      <c r="I2674" t="s">
        <v>23</v>
      </c>
      <c r="J2674" t="s">
        <v>24</v>
      </c>
      <c r="K2674" s="6">
        <f t="shared" ca="1" si="172"/>
        <v>26642</v>
      </c>
      <c r="L2674">
        <v>-19119</v>
      </c>
      <c r="M2674" s="7">
        <f t="shared" ca="1" si="170"/>
        <v>52.344969199178642</v>
      </c>
      <c r="N2674" s="5" t="str">
        <f ca="1">VLOOKUP(Data!M2674,temp!$B$3:$C$9,2,1)</f>
        <v>50-60</v>
      </c>
      <c r="O2674">
        <v>-1686</v>
      </c>
      <c r="P2674" s="8">
        <f t="shared" si="171"/>
        <v>4.6160164271047224</v>
      </c>
      <c r="Q2674" s="5" t="str">
        <f t="shared" si="173"/>
        <v>Employed</v>
      </c>
      <c r="R2674">
        <v>1</v>
      </c>
      <c r="S2674">
        <v>1</v>
      </c>
      <c r="T2674">
        <v>0</v>
      </c>
      <c r="U2674">
        <v>0</v>
      </c>
      <c r="V2674" t="s">
        <v>39</v>
      </c>
      <c r="W2674">
        <v>1</v>
      </c>
    </row>
    <row r="2675" spans="1:23" x14ac:dyDescent="0.2">
      <c r="A2675">
        <v>5090653</v>
      </c>
      <c r="B2675" t="s">
        <v>25</v>
      </c>
      <c r="C2675" t="s">
        <v>20</v>
      </c>
      <c r="D2675" t="s">
        <v>20</v>
      </c>
      <c r="E2675">
        <v>0</v>
      </c>
      <c r="F2675">
        <v>162000</v>
      </c>
      <c r="G2675" t="s">
        <v>26</v>
      </c>
      <c r="H2675" t="s">
        <v>27</v>
      </c>
      <c r="I2675" t="s">
        <v>28</v>
      </c>
      <c r="J2675" t="s">
        <v>24</v>
      </c>
      <c r="K2675" s="6">
        <f t="shared" ca="1" si="172"/>
        <v>35331</v>
      </c>
      <c r="L2675">
        <v>-10430</v>
      </c>
      <c r="M2675" s="7">
        <f t="shared" ca="1" si="170"/>
        <v>28.555783709787818</v>
      </c>
      <c r="N2675" s="5" t="str">
        <f ca="1">VLOOKUP(Data!M2675,temp!$B$3:$C$9,2,1)</f>
        <v>20-30</v>
      </c>
      <c r="O2675">
        <v>-1130</v>
      </c>
      <c r="P2675" s="8">
        <f t="shared" si="171"/>
        <v>3.0937713894592744</v>
      </c>
      <c r="Q2675" s="5" t="str">
        <f t="shared" si="173"/>
        <v>Employed</v>
      </c>
      <c r="R2675">
        <v>1</v>
      </c>
      <c r="S2675">
        <v>0</v>
      </c>
      <c r="T2675">
        <v>0</v>
      </c>
      <c r="U2675">
        <v>1</v>
      </c>
      <c r="V2675" t="s">
        <v>29</v>
      </c>
      <c r="W2675">
        <v>2</v>
      </c>
    </row>
    <row r="2676" spans="1:23" x14ac:dyDescent="0.2">
      <c r="A2676">
        <v>5090697</v>
      </c>
      <c r="B2676" t="s">
        <v>18</v>
      </c>
      <c r="C2676" t="s">
        <v>19</v>
      </c>
      <c r="D2676" t="s">
        <v>20</v>
      </c>
      <c r="E2676">
        <v>1</v>
      </c>
      <c r="F2676">
        <v>247500</v>
      </c>
      <c r="G2676" t="s">
        <v>26</v>
      </c>
      <c r="H2676" t="s">
        <v>36</v>
      </c>
      <c r="I2676" t="s">
        <v>28</v>
      </c>
      <c r="J2676" t="s">
        <v>24</v>
      </c>
      <c r="K2676" s="6">
        <f t="shared" ca="1" si="172"/>
        <v>34845</v>
      </c>
      <c r="L2676">
        <v>-10916</v>
      </c>
      <c r="M2676" s="7">
        <f t="shared" ca="1" si="170"/>
        <v>29.886379192334019</v>
      </c>
      <c r="N2676" s="5" t="str">
        <f ca="1">VLOOKUP(Data!M2676,temp!$B$3:$C$9,2,1)</f>
        <v>20-30</v>
      </c>
      <c r="O2676">
        <v>-921</v>
      </c>
      <c r="P2676" s="8">
        <f t="shared" si="171"/>
        <v>2.5215605749486651</v>
      </c>
      <c r="Q2676" s="5" t="str">
        <f t="shared" si="173"/>
        <v>Employed</v>
      </c>
      <c r="R2676">
        <v>1</v>
      </c>
      <c r="S2676">
        <v>0</v>
      </c>
      <c r="T2676">
        <v>0</v>
      </c>
      <c r="U2676">
        <v>0</v>
      </c>
      <c r="V2676" t="s">
        <v>44</v>
      </c>
      <c r="W2676">
        <v>3</v>
      </c>
    </row>
    <row r="2677" spans="1:23" x14ac:dyDescent="0.2">
      <c r="A2677">
        <v>5090698</v>
      </c>
      <c r="B2677" t="s">
        <v>18</v>
      </c>
      <c r="C2677" t="s">
        <v>19</v>
      </c>
      <c r="D2677" t="s">
        <v>20</v>
      </c>
      <c r="E2677">
        <v>0</v>
      </c>
      <c r="F2677">
        <v>90000</v>
      </c>
      <c r="G2677" t="s">
        <v>31</v>
      </c>
      <c r="H2677" t="s">
        <v>27</v>
      </c>
      <c r="I2677" t="s">
        <v>28</v>
      </c>
      <c r="J2677" t="s">
        <v>24</v>
      </c>
      <c r="K2677" s="6">
        <f t="shared" ca="1" si="172"/>
        <v>25542</v>
      </c>
      <c r="L2677">
        <v>-20219</v>
      </c>
      <c r="M2677" s="7">
        <f t="shared" ca="1" si="170"/>
        <v>55.356605065023956</v>
      </c>
      <c r="N2677" s="5" t="str">
        <f ca="1">VLOOKUP(Data!M2677,temp!$B$3:$C$9,2,1)</f>
        <v>50-60</v>
      </c>
      <c r="O2677">
        <v>-1224</v>
      </c>
      <c r="P2677" s="8">
        <f t="shared" si="171"/>
        <v>3.3511293634496919</v>
      </c>
      <c r="Q2677" s="5" t="str">
        <f t="shared" si="173"/>
        <v>Employed</v>
      </c>
      <c r="R2677">
        <v>1</v>
      </c>
      <c r="S2677">
        <v>0</v>
      </c>
      <c r="T2677">
        <v>1</v>
      </c>
      <c r="U2677">
        <v>1</v>
      </c>
      <c r="V2677" t="s">
        <v>40</v>
      </c>
      <c r="W2677">
        <v>2</v>
      </c>
    </row>
    <row r="2678" spans="1:23" x14ac:dyDescent="0.2">
      <c r="A2678">
        <v>5090702</v>
      </c>
      <c r="B2678" t="s">
        <v>18</v>
      </c>
      <c r="C2678" t="s">
        <v>20</v>
      </c>
      <c r="D2678" t="s">
        <v>20</v>
      </c>
      <c r="E2678">
        <v>1</v>
      </c>
      <c r="F2678">
        <v>202500</v>
      </c>
      <c r="G2678" t="s">
        <v>35</v>
      </c>
      <c r="H2678" t="s">
        <v>27</v>
      </c>
      <c r="I2678" t="s">
        <v>37</v>
      </c>
      <c r="J2678" t="s">
        <v>24</v>
      </c>
      <c r="K2678" s="6">
        <f t="shared" ca="1" si="172"/>
        <v>32109</v>
      </c>
      <c r="L2678">
        <v>-13652</v>
      </c>
      <c r="M2678" s="7">
        <f t="shared" ca="1" si="170"/>
        <v>37.377138945927449</v>
      </c>
      <c r="N2678" s="5" t="str">
        <f ca="1">VLOOKUP(Data!M2678,temp!$B$3:$C$9,2,1)</f>
        <v>30-40</v>
      </c>
      <c r="O2678">
        <v>-2530</v>
      </c>
      <c r="P2678" s="8">
        <f t="shared" si="171"/>
        <v>6.9267624914442161</v>
      </c>
      <c r="Q2678" s="5" t="str">
        <f t="shared" si="173"/>
        <v>Employed</v>
      </c>
      <c r="R2678">
        <v>1</v>
      </c>
      <c r="S2678">
        <v>0</v>
      </c>
      <c r="T2678">
        <v>0</v>
      </c>
      <c r="U2678">
        <v>0</v>
      </c>
      <c r="V2678" t="s">
        <v>39</v>
      </c>
      <c r="W2678">
        <v>3</v>
      </c>
    </row>
    <row r="2679" spans="1:23" x14ac:dyDescent="0.2">
      <c r="A2679">
        <v>5090715</v>
      </c>
      <c r="B2679" t="s">
        <v>18</v>
      </c>
      <c r="C2679" t="s">
        <v>19</v>
      </c>
      <c r="D2679" t="s">
        <v>19</v>
      </c>
      <c r="E2679">
        <v>0</v>
      </c>
      <c r="F2679">
        <v>67500</v>
      </c>
      <c r="G2679" t="s">
        <v>31</v>
      </c>
      <c r="H2679" t="s">
        <v>27</v>
      </c>
      <c r="I2679" t="s">
        <v>37</v>
      </c>
      <c r="J2679" t="s">
        <v>24</v>
      </c>
      <c r="K2679" s="6">
        <f t="shared" ca="1" si="172"/>
        <v>30198</v>
      </c>
      <c r="L2679">
        <v>-15563</v>
      </c>
      <c r="M2679" s="7">
        <f t="shared" ca="1" si="170"/>
        <v>42.609171800136892</v>
      </c>
      <c r="N2679" s="5" t="str">
        <f ca="1">VLOOKUP(Data!M2679,temp!$B$3:$C$9,2,1)</f>
        <v>40-50</v>
      </c>
      <c r="O2679">
        <v>-309</v>
      </c>
      <c r="P2679" s="8">
        <f t="shared" si="171"/>
        <v>0.8459958932238193</v>
      </c>
      <c r="Q2679" s="5" t="str">
        <f t="shared" si="173"/>
        <v>Employed</v>
      </c>
      <c r="R2679">
        <v>1</v>
      </c>
      <c r="S2679">
        <v>0</v>
      </c>
      <c r="T2679">
        <v>0</v>
      </c>
      <c r="U2679">
        <v>0</v>
      </c>
      <c r="V2679" t="s">
        <v>55</v>
      </c>
      <c r="W2679">
        <v>2</v>
      </c>
    </row>
    <row r="2680" spans="1:23" x14ac:dyDescent="0.2">
      <c r="A2680">
        <v>5090724</v>
      </c>
      <c r="B2680" t="s">
        <v>25</v>
      </c>
      <c r="C2680" t="s">
        <v>20</v>
      </c>
      <c r="D2680" t="s">
        <v>20</v>
      </c>
      <c r="E2680">
        <v>0</v>
      </c>
      <c r="F2680">
        <v>180000</v>
      </c>
      <c r="G2680" t="s">
        <v>31</v>
      </c>
      <c r="H2680" t="s">
        <v>27</v>
      </c>
      <c r="I2680" t="s">
        <v>33</v>
      </c>
      <c r="J2680" t="s">
        <v>41</v>
      </c>
      <c r="K2680" s="6">
        <f t="shared" ca="1" si="172"/>
        <v>37435</v>
      </c>
      <c r="L2680">
        <v>-8326</v>
      </c>
      <c r="M2680" s="7">
        <f t="shared" ca="1" si="170"/>
        <v>22.795345653661876</v>
      </c>
      <c r="N2680" s="5" t="str">
        <f ca="1">VLOOKUP(Data!M2680,temp!$B$3:$C$9,2,1)</f>
        <v>20-30</v>
      </c>
      <c r="O2680">
        <v>-857</v>
      </c>
      <c r="P2680" s="8">
        <f t="shared" si="171"/>
        <v>2.346338124572211</v>
      </c>
      <c r="Q2680" s="5" t="str">
        <f t="shared" si="173"/>
        <v>Employed</v>
      </c>
      <c r="R2680">
        <v>1</v>
      </c>
      <c r="S2680">
        <v>0</v>
      </c>
      <c r="T2680">
        <v>0</v>
      </c>
      <c r="U2680">
        <v>0</v>
      </c>
      <c r="V2680" t="s">
        <v>30</v>
      </c>
      <c r="W2680">
        <v>1</v>
      </c>
    </row>
    <row r="2681" spans="1:23" x14ac:dyDescent="0.2">
      <c r="A2681">
        <v>5090730</v>
      </c>
      <c r="B2681" t="s">
        <v>18</v>
      </c>
      <c r="C2681" t="s">
        <v>19</v>
      </c>
      <c r="D2681" t="s">
        <v>20</v>
      </c>
      <c r="E2681">
        <v>1</v>
      </c>
      <c r="F2681">
        <v>135000</v>
      </c>
      <c r="G2681" t="s">
        <v>26</v>
      </c>
      <c r="H2681" t="s">
        <v>22</v>
      </c>
      <c r="I2681" t="s">
        <v>28</v>
      </c>
      <c r="J2681" t="s">
        <v>24</v>
      </c>
      <c r="K2681" s="6">
        <f t="shared" ca="1" si="172"/>
        <v>32907</v>
      </c>
      <c r="L2681">
        <v>-12854</v>
      </c>
      <c r="M2681" s="7">
        <f t="shared" ca="1" si="170"/>
        <v>35.192334017796028</v>
      </c>
      <c r="N2681" s="5" t="str">
        <f ca="1">VLOOKUP(Data!M2681,temp!$B$3:$C$9,2,1)</f>
        <v>30-40</v>
      </c>
      <c r="O2681">
        <v>-125</v>
      </c>
      <c r="P2681" s="8">
        <f t="shared" si="171"/>
        <v>0.34223134839151265</v>
      </c>
      <c r="Q2681" s="5" t="str">
        <f t="shared" si="173"/>
        <v>Employed</v>
      </c>
      <c r="R2681">
        <v>1</v>
      </c>
      <c r="S2681">
        <v>0</v>
      </c>
      <c r="T2681">
        <v>1</v>
      </c>
      <c r="U2681">
        <v>0</v>
      </c>
      <c r="V2681" t="s">
        <v>38</v>
      </c>
      <c r="W2681">
        <v>3</v>
      </c>
    </row>
    <row r="2682" spans="1:23" x14ac:dyDescent="0.2">
      <c r="A2682">
        <v>5090732</v>
      </c>
      <c r="B2682" t="s">
        <v>25</v>
      </c>
      <c r="C2682" t="s">
        <v>20</v>
      </c>
      <c r="D2682" t="s">
        <v>20</v>
      </c>
      <c r="E2682">
        <v>1</v>
      </c>
      <c r="F2682">
        <v>171000</v>
      </c>
      <c r="G2682" t="s">
        <v>26</v>
      </c>
      <c r="H2682" t="s">
        <v>22</v>
      </c>
      <c r="I2682" t="s">
        <v>28</v>
      </c>
      <c r="J2682" t="s">
        <v>24</v>
      </c>
      <c r="K2682" s="6">
        <f t="shared" ca="1" si="172"/>
        <v>33284</v>
      </c>
      <c r="L2682">
        <v>-12477</v>
      </c>
      <c r="M2682" s="7">
        <f t="shared" ca="1" si="170"/>
        <v>34.160164271047229</v>
      </c>
      <c r="N2682" s="5" t="str">
        <f ca="1">VLOOKUP(Data!M2682,temp!$B$3:$C$9,2,1)</f>
        <v>30-40</v>
      </c>
      <c r="O2682">
        <v>-2254</v>
      </c>
      <c r="P2682" s="8">
        <f t="shared" si="171"/>
        <v>6.1711156741957565</v>
      </c>
      <c r="Q2682" s="5" t="str">
        <f t="shared" si="173"/>
        <v>Employed</v>
      </c>
      <c r="R2682">
        <v>1</v>
      </c>
      <c r="S2682">
        <v>0</v>
      </c>
      <c r="T2682">
        <v>0</v>
      </c>
      <c r="U2682">
        <v>0</v>
      </c>
      <c r="V2682" t="s">
        <v>32</v>
      </c>
      <c r="W2682">
        <v>3</v>
      </c>
    </row>
    <row r="2683" spans="1:23" x14ac:dyDescent="0.2">
      <c r="A2683">
        <v>5090751</v>
      </c>
      <c r="B2683" t="s">
        <v>25</v>
      </c>
      <c r="C2683" t="s">
        <v>19</v>
      </c>
      <c r="D2683" t="s">
        <v>19</v>
      </c>
      <c r="E2683">
        <v>0</v>
      </c>
      <c r="F2683">
        <v>117000</v>
      </c>
      <c r="G2683" t="s">
        <v>31</v>
      </c>
      <c r="H2683" t="s">
        <v>27</v>
      </c>
      <c r="I2683" t="s">
        <v>33</v>
      </c>
      <c r="J2683" t="s">
        <v>24</v>
      </c>
      <c r="K2683" s="6">
        <f t="shared" ca="1" si="172"/>
        <v>31072</v>
      </c>
      <c r="L2683">
        <v>-14689</v>
      </c>
      <c r="M2683" s="7">
        <f t="shared" ca="1" si="170"/>
        <v>40.216290212183438</v>
      </c>
      <c r="N2683" s="5" t="str">
        <f ca="1">VLOOKUP(Data!M2683,temp!$B$3:$C$9,2,1)</f>
        <v>40-50</v>
      </c>
      <c r="O2683">
        <v>-3661</v>
      </c>
      <c r="P2683" s="8">
        <f t="shared" si="171"/>
        <v>10.023271731690622</v>
      </c>
      <c r="Q2683" s="5" t="str">
        <f t="shared" si="173"/>
        <v>Employed</v>
      </c>
      <c r="R2683">
        <v>1</v>
      </c>
      <c r="S2683">
        <v>1</v>
      </c>
      <c r="T2683">
        <v>0</v>
      </c>
      <c r="U2683">
        <v>0</v>
      </c>
      <c r="V2683" t="s">
        <v>48</v>
      </c>
      <c r="W2683">
        <v>1</v>
      </c>
    </row>
    <row r="2684" spans="1:23" x14ac:dyDescent="0.2">
      <c r="A2684">
        <v>5090756</v>
      </c>
      <c r="B2684" t="s">
        <v>18</v>
      </c>
      <c r="C2684" t="s">
        <v>20</v>
      </c>
      <c r="D2684" t="s">
        <v>19</v>
      </c>
      <c r="E2684">
        <v>0</v>
      </c>
      <c r="F2684">
        <v>382500</v>
      </c>
      <c r="G2684" t="s">
        <v>31</v>
      </c>
      <c r="H2684" t="s">
        <v>22</v>
      </c>
      <c r="I2684" t="s">
        <v>28</v>
      </c>
      <c r="J2684" t="s">
        <v>24</v>
      </c>
      <c r="K2684" s="6">
        <f t="shared" ca="1" si="172"/>
        <v>30326</v>
      </c>
      <c r="L2684">
        <v>-15435</v>
      </c>
      <c r="M2684" s="7">
        <f t="shared" ca="1" si="170"/>
        <v>42.258726899383987</v>
      </c>
      <c r="N2684" s="5" t="str">
        <f ca="1">VLOOKUP(Data!M2684,temp!$B$3:$C$9,2,1)</f>
        <v>40-50</v>
      </c>
      <c r="O2684">
        <v>-3965</v>
      </c>
      <c r="P2684" s="8">
        <f t="shared" si="171"/>
        <v>10.855578370978781</v>
      </c>
      <c r="Q2684" s="5" t="str">
        <f t="shared" si="173"/>
        <v>Employed</v>
      </c>
      <c r="R2684">
        <v>1</v>
      </c>
      <c r="S2684">
        <v>1</v>
      </c>
      <c r="T2684">
        <v>1</v>
      </c>
      <c r="U2684">
        <v>0</v>
      </c>
      <c r="W2684">
        <v>2</v>
      </c>
    </row>
    <row r="2685" spans="1:23" x14ac:dyDescent="0.2">
      <c r="A2685">
        <v>5090759</v>
      </c>
      <c r="B2685" t="s">
        <v>18</v>
      </c>
      <c r="C2685" t="s">
        <v>19</v>
      </c>
      <c r="D2685" t="s">
        <v>20</v>
      </c>
      <c r="E2685">
        <v>0</v>
      </c>
      <c r="F2685">
        <v>81000</v>
      </c>
      <c r="G2685" t="s">
        <v>35</v>
      </c>
      <c r="H2685" t="s">
        <v>27</v>
      </c>
      <c r="I2685" t="s">
        <v>42</v>
      </c>
      <c r="J2685" t="s">
        <v>24</v>
      </c>
      <c r="K2685" s="6">
        <f t="shared" ca="1" si="172"/>
        <v>23771</v>
      </c>
      <c r="L2685">
        <v>-21990</v>
      </c>
      <c r="M2685" s="7">
        <f t="shared" ca="1" si="170"/>
        <v>60.205338809034906</v>
      </c>
      <c r="N2685" s="5" t="str">
        <f ca="1">VLOOKUP(Data!M2685,temp!$B$3:$C$9,2,1)</f>
        <v>60-70</v>
      </c>
      <c r="O2685">
        <v>-7677</v>
      </c>
      <c r="P2685" s="8">
        <f t="shared" si="171"/>
        <v>21.018480492813143</v>
      </c>
      <c r="Q2685" s="5" t="str">
        <f t="shared" si="173"/>
        <v>Employed</v>
      </c>
      <c r="R2685">
        <v>1</v>
      </c>
      <c r="S2685">
        <v>1</v>
      </c>
      <c r="T2685">
        <v>1</v>
      </c>
      <c r="U2685">
        <v>0</v>
      </c>
      <c r="V2685" t="s">
        <v>50</v>
      </c>
      <c r="W2685">
        <v>1</v>
      </c>
    </row>
    <row r="2686" spans="1:23" x14ac:dyDescent="0.2">
      <c r="A2686">
        <v>5090761</v>
      </c>
      <c r="B2686" t="s">
        <v>18</v>
      </c>
      <c r="C2686" t="s">
        <v>19</v>
      </c>
      <c r="D2686" t="s">
        <v>20</v>
      </c>
      <c r="E2686">
        <v>0</v>
      </c>
      <c r="F2686">
        <v>90000</v>
      </c>
      <c r="G2686" t="s">
        <v>31</v>
      </c>
      <c r="H2686" t="s">
        <v>27</v>
      </c>
      <c r="I2686" t="s">
        <v>28</v>
      </c>
      <c r="J2686" t="s">
        <v>24</v>
      </c>
      <c r="K2686" s="6">
        <f t="shared" ca="1" si="172"/>
        <v>28377</v>
      </c>
      <c r="L2686">
        <v>-17384</v>
      </c>
      <c r="M2686" s="7">
        <f t="shared" ca="1" si="170"/>
        <v>47.59479808350445</v>
      </c>
      <c r="N2686" s="5" t="str">
        <f ca="1">VLOOKUP(Data!M2686,temp!$B$3:$C$9,2,1)</f>
        <v>40-50</v>
      </c>
      <c r="O2686">
        <v>-4421</v>
      </c>
      <c r="P2686" s="8">
        <f t="shared" si="171"/>
        <v>12.10403832991102</v>
      </c>
      <c r="Q2686" s="5" t="str">
        <f t="shared" si="173"/>
        <v>Employed</v>
      </c>
      <c r="R2686">
        <v>1</v>
      </c>
      <c r="S2686">
        <v>0</v>
      </c>
      <c r="T2686">
        <v>0</v>
      </c>
      <c r="U2686">
        <v>0</v>
      </c>
      <c r="V2686" t="s">
        <v>47</v>
      </c>
      <c r="W2686">
        <v>2</v>
      </c>
    </row>
    <row r="2687" spans="1:23" x14ac:dyDescent="0.2">
      <c r="A2687">
        <v>5090767</v>
      </c>
      <c r="B2687" t="s">
        <v>18</v>
      </c>
      <c r="C2687" t="s">
        <v>19</v>
      </c>
      <c r="D2687" t="s">
        <v>19</v>
      </c>
      <c r="E2687">
        <v>1</v>
      </c>
      <c r="F2687">
        <v>108000</v>
      </c>
      <c r="G2687" t="s">
        <v>31</v>
      </c>
      <c r="H2687" t="s">
        <v>27</v>
      </c>
      <c r="I2687" t="s">
        <v>42</v>
      </c>
      <c r="J2687" t="s">
        <v>24</v>
      </c>
      <c r="K2687" s="6">
        <f t="shared" ca="1" si="172"/>
        <v>33174</v>
      </c>
      <c r="L2687">
        <v>-12587</v>
      </c>
      <c r="M2687" s="7">
        <f t="shared" ca="1" si="170"/>
        <v>34.461327857631758</v>
      </c>
      <c r="N2687" s="5" t="str">
        <f ca="1">VLOOKUP(Data!M2687,temp!$B$3:$C$9,2,1)</f>
        <v>30-40</v>
      </c>
      <c r="O2687">
        <v>-3626</v>
      </c>
      <c r="P2687" s="8">
        <f t="shared" si="171"/>
        <v>9.9274469541409989</v>
      </c>
      <c r="Q2687" s="5" t="str">
        <f t="shared" si="173"/>
        <v>Employed</v>
      </c>
      <c r="R2687">
        <v>1</v>
      </c>
      <c r="S2687">
        <v>0</v>
      </c>
      <c r="T2687">
        <v>0</v>
      </c>
      <c r="U2687">
        <v>1</v>
      </c>
      <c r="V2687" t="s">
        <v>39</v>
      </c>
      <c r="W2687">
        <v>2</v>
      </c>
    </row>
    <row r="2688" spans="1:23" x14ac:dyDescent="0.2">
      <c r="A2688">
        <v>5090796</v>
      </c>
      <c r="B2688" t="s">
        <v>18</v>
      </c>
      <c r="C2688" t="s">
        <v>19</v>
      </c>
      <c r="D2688" t="s">
        <v>20</v>
      </c>
      <c r="E2688">
        <v>0</v>
      </c>
      <c r="F2688">
        <v>225000</v>
      </c>
      <c r="G2688" t="s">
        <v>21</v>
      </c>
      <c r="H2688" t="s">
        <v>27</v>
      </c>
      <c r="I2688" t="s">
        <v>33</v>
      </c>
      <c r="J2688" t="s">
        <v>24</v>
      </c>
      <c r="K2688" s="6">
        <f t="shared" ca="1" si="172"/>
        <v>22785</v>
      </c>
      <c r="L2688">
        <v>-22976</v>
      </c>
      <c r="M2688" s="7">
        <f t="shared" ca="1" si="170"/>
        <v>62.904859685147159</v>
      </c>
      <c r="N2688" s="5" t="str">
        <f ca="1">VLOOKUP(Data!M2688,temp!$B$3:$C$9,2,1)</f>
        <v>60-70</v>
      </c>
      <c r="O2688">
        <v>365243</v>
      </c>
      <c r="P2688" s="8">
        <f t="shared" si="171"/>
        <v>0</v>
      </c>
      <c r="Q2688" s="5" t="str">
        <f t="shared" si="173"/>
        <v>Unemployed</v>
      </c>
      <c r="R2688">
        <v>1</v>
      </c>
      <c r="S2688">
        <v>0</v>
      </c>
      <c r="T2688">
        <v>0</v>
      </c>
      <c r="U2688">
        <v>0</v>
      </c>
      <c r="W2688">
        <v>1</v>
      </c>
    </row>
    <row r="2689" spans="1:23" x14ac:dyDescent="0.2">
      <c r="A2689">
        <v>5090812</v>
      </c>
      <c r="B2689" t="s">
        <v>25</v>
      </c>
      <c r="C2689" t="s">
        <v>19</v>
      </c>
      <c r="D2689" t="s">
        <v>20</v>
      </c>
      <c r="E2689">
        <v>1</v>
      </c>
      <c r="F2689">
        <v>126000</v>
      </c>
      <c r="G2689" t="s">
        <v>31</v>
      </c>
      <c r="H2689" t="s">
        <v>27</v>
      </c>
      <c r="I2689" t="s">
        <v>28</v>
      </c>
      <c r="J2689" t="s">
        <v>24</v>
      </c>
      <c r="K2689" s="6">
        <f t="shared" ca="1" si="172"/>
        <v>32375</v>
      </c>
      <c r="L2689">
        <v>-13386</v>
      </c>
      <c r="M2689" s="7">
        <f t="shared" ca="1" si="170"/>
        <v>36.648870636550306</v>
      </c>
      <c r="N2689" s="5" t="str">
        <f ca="1">VLOOKUP(Data!M2689,temp!$B$3:$C$9,2,1)</f>
        <v>30-40</v>
      </c>
      <c r="O2689">
        <v>-1708</v>
      </c>
      <c r="P2689" s="8">
        <f t="shared" si="171"/>
        <v>4.6762491444216288</v>
      </c>
      <c r="Q2689" s="5" t="str">
        <f t="shared" si="173"/>
        <v>Employed</v>
      </c>
      <c r="R2689">
        <v>1</v>
      </c>
      <c r="S2689">
        <v>0</v>
      </c>
      <c r="T2689">
        <v>0</v>
      </c>
      <c r="U2689">
        <v>1</v>
      </c>
      <c r="V2689" t="s">
        <v>30</v>
      </c>
      <c r="W2689">
        <v>3</v>
      </c>
    </row>
    <row r="2690" spans="1:23" x14ac:dyDescent="0.2">
      <c r="A2690">
        <v>5090827</v>
      </c>
      <c r="B2690" t="s">
        <v>25</v>
      </c>
      <c r="C2690" t="s">
        <v>20</v>
      </c>
      <c r="D2690" t="s">
        <v>20</v>
      </c>
      <c r="E2690">
        <v>0</v>
      </c>
      <c r="F2690">
        <v>135000</v>
      </c>
      <c r="G2690" t="s">
        <v>26</v>
      </c>
      <c r="H2690" t="s">
        <v>27</v>
      </c>
      <c r="I2690" t="s">
        <v>28</v>
      </c>
      <c r="J2690" t="s">
        <v>24</v>
      </c>
      <c r="K2690" s="6">
        <f t="shared" ca="1" si="172"/>
        <v>28133</v>
      </c>
      <c r="L2690">
        <v>-17628</v>
      </c>
      <c r="M2690" s="7">
        <f t="shared" ca="1" si="170"/>
        <v>48.262833675564679</v>
      </c>
      <c r="N2690" s="5" t="str">
        <f ca="1">VLOOKUP(Data!M2690,temp!$B$3:$C$9,2,1)</f>
        <v>40-50</v>
      </c>
      <c r="O2690">
        <v>-1284</v>
      </c>
      <c r="P2690" s="8">
        <f t="shared" si="171"/>
        <v>3.5154004106776182</v>
      </c>
      <c r="Q2690" s="5" t="str">
        <f t="shared" si="173"/>
        <v>Employed</v>
      </c>
      <c r="R2690">
        <v>1</v>
      </c>
      <c r="S2690">
        <v>0</v>
      </c>
      <c r="T2690">
        <v>0</v>
      </c>
      <c r="U2690">
        <v>0</v>
      </c>
      <c r="V2690" t="s">
        <v>30</v>
      </c>
      <c r="W2690">
        <v>2</v>
      </c>
    </row>
    <row r="2691" spans="1:23" x14ac:dyDescent="0.2">
      <c r="A2691">
        <v>5090831</v>
      </c>
      <c r="B2691" t="s">
        <v>18</v>
      </c>
      <c r="C2691" t="s">
        <v>20</v>
      </c>
      <c r="D2691" t="s">
        <v>20</v>
      </c>
      <c r="E2691">
        <v>0</v>
      </c>
      <c r="F2691">
        <v>450000</v>
      </c>
      <c r="G2691" t="s">
        <v>26</v>
      </c>
      <c r="H2691" t="s">
        <v>27</v>
      </c>
      <c r="I2691" t="s">
        <v>37</v>
      </c>
      <c r="J2691" t="s">
        <v>24</v>
      </c>
      <c r="K2691" s="6">
        <f t="shared" ca="1" si="172"/>
        <v>26031</v>
      </c>
      <c r="L2691">
        <v>-19730</v>
      </c>
      <c r="M2691" s="7">
        <f t="shared" ref="M2691:M2754" ca="1" si="174">(TODAY()-K2691)/365.25</f>
        <v>54.017796030116358</v>
      </c>
      <c r="N2691" s="5" t="str">
        <f ca="1">VLOOKUP(Data!M2691,temp!$B$3:$C$9,2,1)</f>
        <v>50-60</v>
      </c>
      <c r="O2691">
        <v>-3016</v>
      </c>
      <c r="P2691" s="8">
        <f t="shared" ref="P2691:P2754" si="175">IF(O2691&lt;=0,ABS(O2691)/365.25,0)</f>
        <v>8.2573579739904179</v>
      </c>
      <c r="Q2691" s="5" t="str">
        <f t="shared" si="173"/>
        <v>Employed</v>
      </c>
      <c r="R2691">
        <v>1</v>
      </c>
      <c r="S2691">
        <v>0</v>
      </c>
      <c r="T2691">
        <v>0</v>
      </c>
      <c r="U2691">
        <v>1</v>
      </c>
      <c r="V2691" t="s">
        <v>32</v>
      </c>
      <c r="W2691">
        <v>2</v>
      </c>
    </row>
    <row r="2692" spans="1:23" x14ac:dyDescent="0.2">
      <c r="A2692">
        <v>5090832</v>
      </c>
      <c r="B2692" t="s">
        <v>18</v>
      </c>
      <c r="C2692" t="s">
        <v>19</v>
      </c>
      <c r="D2692" t="s">
        <v>20</v>
      </c>
      <c r="E2692">
        <v>1</v>
      </c>
      <c r="F2692">
        <v>90000</v>
      </c>
      <c r="G2692" t="s">
        <v>31</v>
      </c>
      <c r="H2692" t="s">
        <v>27</v>
      </c>
      <c r="I2692" t="s">
        <v>33</v>
      </c>
      <c r="J2692" t="s">
        <v>24</v>
      </c>
      <c r="K2692" s="6">
        <f t="shared" ca="1" si="172"/>
        <v>32063</v>
      </c>
      <c r="L2692">
        <v>-13698</v>
      </c>
      <c r="M2692" s="7">
        <f t="shared" ca="1" si="174"/>
        <v>37.503080082135526</v>
      </c>
      <c r="N2692" s="5" t="str">
        <f ca="1">VLOOKUP(Data!M2692,temp!$B$3:$C$9,2,1)</f>
        <v>30-40</v>
      </c>
      <c r="O2692">
        <v>-1195</v>
      </c>
      <c r="P2692" s="8">
        <f t="shared" si="175"/>
        <v>3.2717316906228611</v>
      </c>
      <c r="Q2692" s="5" t="str">
        <f t="shared" si="173"/>
        <v>Employed</v>
      </c>
      <c r="R2692">
        <v>1</v>
      </c>
      <c r="S2692">
        <v>0</v>
      </c>
      <c r="T2692">
        <v>0</v>
      </c>
      <c r="U2692">
        <v>0</v>
      </c>
      <c r="V2692" t="s">
        <v>39</v>
      </c>
      <c r="W2692">
        <v>2</v>
      </c>
    </row>
    <row r="2693" spans="1:23" x14ac:dyDescent="0.2">
      <c r="A2693">
        <v>5090851</v>
      </c>
      <c r="B2693" t="s">
        <v>18</v>
      </c>
      <c r="C2693" t="s">
        <v>20</v>
      </c>
      <c r="D2693" t="s">
        <v>20</v>
      </c>
      <c r="E2693">
        <v>0</v>
      </c>
      <c r="F2693">
        <v>270000</v>
      </c>
      <c r="G2693" t="s">
        <v>31</v>
      </c>
      <c r="H2693" t="s">
        <v>22</v>
      </c>
      <c r="I2693" t="s">
        <v>28</v>
      </c>
      <c r="J2693" t="s">
        <v>24</v>
      </c>
      <c r="K2693" s="6">
        <f t="shared" ca="1" si="172"/>
        <v>25118</v>
      </c>
      <c r="L2693">
        <v>-20643</v>
      </c>
      <c r="M2693" s="7">
        <f t="shared" ca="1" si="174"/>
        <v>56.517453798767967</v>
      </c>
      <c r="N2693" s="5" t="str">
        <f ca="1">VLOOKUP(Data!M2693,temp!$B$3:$C$9,2,1)</f>
        <v>50-60</v>
      </c>
      <c r="O2693">
        <v>-6456</v>
      </c>
      <c r="P2693" s="8">
        <f t="shared" si="175"/>
        <v>17.675564681724847</v>
      </c>
      <c r="Q2693" s="5" t="str">
        <f t="shared" si="173"/>
        <v>Employed</v>
      </c>
      <c r="R2693">
        <v>1</v>
      </c>
      <c r="S2693">
        <v>0</v>
      </c>
      <c r="T2693">
        <v>0</v>
      </c>
      <c r="U2693">
        <v>1</v>
      </c>
      <c r="V2693" t="s">
        <v>38</v>
      </c>
      <c r="W2693">
        <v>2</v>
      </c>
    </row>
    <row r="2694" spans="1:23" x14ac:dyDescent="0.2">
      <c r="A2694">
        <v>5090860</v>
      </c>
      <c r="B2694" t="s">
        <v>18</v>
      </c>
      <c r="C2694" t="s">
        <v>19</v>
      </c>
      <c r="D2694" t="s">
        <v>20</v>
      </c>
      <c r="E2694">
        <v>0</v>
      </c>
      <c r="F2694">
        <v>94500</v>
      </c>
      <c r="G2694" t="s">
        <v>21</v>
      </c>
      <c r="H2694" t="s">
        <v>27</v>
      </c>
      <c r="I2694" t="s">
        <v>33</v>
      </c>
      <c r="J2694" t="s">
        <v>24</v>
      </c>
      <c r="K2694" s="6">
        <f t="shared" ca="1" si="172"/>
        <v>21748</v>
      </c>
      <c r="L2694">
        <v>-24013</v>
      </c>
      <c r="M2694" s="7">
        <f t="shared" ca="1" si="174"/>
        <v>65.744010951403155</v>
      </c>
      <c r="N2694" s="5" t="str">
        <f ca="1">VLOOKUP(Data!M2694,temp!$B$3:$C$9,2,1)</f>
        <v>60-70</v>
      </c>
      <c r="O2694">
        <v>365243</v>
      </c>
      <c r="P2694" s="8">
        <f t="shared" si="175"/>
        <v>0</v>
      </c>
      <c r="Q2694" s="5" t="str">
        <f t="shared" si="173"/>
        <v>Unemployed</v>
      </c>
      <c r="R2694">
        <v>1</v>
      </c>
      <c r="S2694">
        <v>0</v>
      </c>
      <c r="T2694">
        <v>1</v>
      </c>
      <c r="U2694">
        <v>0</v>
      </c>
      <c r="W2694">
        <v>1</v>
      </c>
    </row>
    <row r="2695" spans="1:23" x14ac:dyDescent="0.2">
      <c r="A2695">
        <v>5090878</v>
      </c>
      <c r="B2695" t="s">
        <v>18</v>
      </c>
      <c r="C2695" t="s">
        <v>20</v>
      </c>
      <c r="D2695" t="s">
        <v>20</v>
      </c>
      <c r="E2695">
        <v>0</v>
      </c>
      <c r="F2695">
        <v>337500</v>
      </c>
      <c r="G2695" t="s">
        <v>31</v>
      </c>
      <c r="H2695" t="s">
        <v>22</v>
      </c>
      <c r="I2695" t="s">
        <v>37</v>
      </c>
      <c r="J2695" t="s">
        <v>53</v>
      </c>
      <c r="K2695" s="6">
        <f t="shared" ca="1" si="172"/>
        <v>31450</v>
      </c>
      <c r="L2695">
        <v>-14311</v>
      </c>
      <c r="M2695" s="7">
        <f t="shared" ca="1" si="174"/>
        <v>39.181382614647504</v>
      </c>
      <c r="N2695" s="5" t="str">
        <f ca="1">VLOOKUP(Data!M2695,temp!$B$3:$C$9,2,1)</f>
        <v>30-40</v>
      </c>
      <c r="O2695">
        <v>-2985</v>
      </c>
      <c r="P2695" s="8">
        <f t="shared" si="175"/>
        <v>8.1724845995893229</v>
      </c>
      <c r="Q2695" s="5" t="str">
        <f t="shared" si="173"/>
        <v>Employed</v>
      </c>
      <c r="R2695">
        <v>1</v>
      </c>
      <c r="S2695">
        <v>0</v>
      </c>
      <c r="T2695">
        <v>0</v>
      </c>
      <c r="U2695">
        <v>1</v>
      </c>
      <c r="V2695" t="s">
        <v>30</v>
      </c>
      <c r="W2695">
        <v>2</v>
      </c>
    </row>
    <row r="2696" spans="1:23" x14ac:dyDescent="0.2">
      <c r="A2696">
        <v>5090884</v>
      </c>
      <c r="B2696" t="s">
        <v>25</v>
      </c>
      <c r="C2696" t="s">
        <v>20</v>
      </c>
      <c r="D2696" t="s">
        <v>19</v>
      </c>
      <c r="E2696">
        <v>0</v>
      </c>
      <c r="F2696">
        <v>382500</v>
      </c>
      <c r="G2696" t="s">
        <v>35</v>
      </c>
      <c r="H2696" t="s">
        <v>22</v>
      </c>
      <c r="I2696" t="s">
        <v>28</v>
      </c>
      <c r="J2696" t="s">
        <v>53</v>
      </c>
      <c r="K2696" s="6">
        <f t="shared" ref="K2696:K2759" ca="1" si="176">TODAY()+($L2696)</f>
        <v>33801</v>
      </c>
      <c r="L2696">
        <v>-11960</v>
      </c>
      <c r="M2696" s="7">
        <f t="shared" ca="1" si="174"/>
        <v>32.74469541409993</v>
      </c>
      <c r="N2696" s="5" t="str">
        <f ca="1">VLOOKUP(Data!M2696,temp!$B$3:$C$9,2,1)</f>
        <v>30-40</v>
      </c>
      <c r="O2696">
        <v>-4174</v>
      </c>
      <c r="P2696" s="8">
        <f t="shared" si="175"/>
        <v>11.427789185489392</v>
      </c>
      <c r="Q2696" s="5" t="str">
        <f t="shared" ref="Q2696:Q2759" si="177">IF($O2696&gt;0,"Unemployed","Employed")</f>
        <v>Employed</v>
      </c>
      <c r="R2696">
        <v>1</v>
      </c>
      <c r="S2696">
        <v>0</v>
      </c>
      <c r="T2696">
        <v>0</v>
      </c>
      <c r="U2696">
        <v>0</v>
      </c>
      <c r="W2696">
        <v>2</v>
      </c>
    </row>
    <row r="2697" spans="1:23" x14ac:dyDescent="0.2">
      <c r="A2697">
        <v>5090890</v>
      </c>
      <c r="B2697" t="s">
        <v>25</v>
      </c>
      <c r="C2697" t="s">
        <v>20</v>
      </c>
      <c r="D2697" t="s">
        <v>20</v>
      </c>
      <c r="E2697">
        <v>0</v>
      </c>
      <c r="F2697">
        <v>216000</v>
      </c>
      <c r="G2697" t="s">
        <v>21</v>
      </c>
      <c r="H2697" t="s">
        <v>22</v>
      </c>
      <c r="I2697" t="s">
        <v>28</v>
      </c>
      <c r="J2697" t="s">
        <v>24</v>
      </c>
      <c r="K2697" s="6">
        <f t="shared" ca="1" si="176"/>
        <v>26130</v>
      </c>
      <c r="L2697">
        <v>-19631</v>
      </c>
      <c r="M2697" s="7">
        <f t="shared" ca="1" si="174"/>
        <v>53.746748802190282</v>
      </c>
      <c r="N2697" s="5" t="str">
        <f ca="1">VLOOKUP(Data!M2697,temp!$B$3:$C$9,2,1)</f>
        <v>50-60</v>
      </c>
      <c r="O2697">
        <v>365243</v>
      </c>
      <c r="P2697" s="8">
        <f t="shared" si="175"/>
        <v>0</v>
      </c>
      <c r="Q2697" s="5" t="str">
        <f t="shared" si="177"/>
        <v>Unemployed</v>
      </c>
      <c r="R2697">
        <v>1</v>
      </c>
      <c r="S2697">
        <v>0</v>
      </c>
      <c r="T2697">
        <v>0</v>
      </c>
      <c r="U2697">
        <v>1</v>
      </c>
      <c r="W2697">
        <v>2</v>
      </c>
    </row>
    <row r="2698" spans="1:23" x14ac:dyDescent="0.2">
      <c r="A2698">
        <v>5090891</v>
      </c>
      <c r="B2698" t="s">
        <v>18</v>
      </c>
      <c r="C2698" t="s">
        <v>19</v>
      </c>
      <c r="D2698" t="s">
        <v>20</v>
      </c>
      <c r="E2698">
        <v>0</v>
      </c>
      <c r="F2698">
        <v>112500</v>
      </c>
      <c r="G2698" t="s">
        <v>21</v>
      </c>
      <c r="H2698" t="s">
        <v>27</v>
      </c>
      <c r="I2698" t="s">
        <v>28</v>
      </c>
      <c r="J2698" t="s">
        <v>24</v>
      </c>
      <c r="K2698" s="6">
        <f t="shared" ca="1" si="176"/>
        <v>22818</v>
      </c>
      <c r="L2698">
        <v>-22943</v>
      </c>
      <c r="M2698" s="7">
        <f t="shared" ca="1" si="174"/>
        <v>62.814510609171798</v>
      </c>
      <c r="N2698" s="5" t="str">
        <f ca="1">VLOOKUP(Data!M2698,temp!$B$3:$C$9,2,1)</f>
        <v>60-70</v>
      </c>
      <c r="O2698">
        <v>365243</v>
      </c>
      <c r="P2698" s="8">
        <f t="shared" si="175"/>
        <v>0</v>
      </c>
      <c r="Q2698" s="5" t="str">
        <f t="shared" si="177"/>
        <v>Unemployed</v>
      </c>
      <c r="R2698">
        <v>1</v>
      </c>
      <c r="S2698">
        <v>0</v>
      </c>
      <c r="T2698">
        <v>0</v>
      </c>
      <c r="U2698">
        <v>0</v>
      </c>
      <c r="W2698">
        <v>2</v>
      </c>
    </row>
    <row r="2699" spans="1:23" x14ac:dyDescent="0.2">
      <c r="A2699">
        <v>5090894</v>
      </c>
      <c r="B2699" t="s">
        <v>18</v>
      </c>
      <c r="C2699" t="s">
        <v>20</v>
      </c>
      <c r="D2699" t="s">
        <v>20</v>
      </c>
      <c r="E2699">
        <v>2</v>
      </c>
      <c r="F2699">
        <v>90000</v>
      </c>
      <c r="G2699" t="s">
        <v>31</v>
      </c>
      <c r="H2699" t="s">
        <v>22</v>
      </c>
      <c r="I2699" t="s">
        <v>28</v>
      </c>
      <c r="J2699" t="s">
        <v>24</v>
      </c>
      <c r="K2699" s="6">
        <f t="shared" ca="1" si="176"/>
        <v>32605</v>
      </c>
      <c r="L2699">
        <v>-13156</v>
      </c>
      <c r="M2699" s="7">
        <f t="shared" ca="1" si="174"/>
        <v>36.019164955509922</v>
      </c>
      <c r="N2699" s="5" t="str">
        <f ca="1">VLOOKUP(Data!M2699,temp!$B$3:$C$9,2,1)</f>
        <v>30-40</v>
      </c>
      <c r="O2699">
        <v>-4234</v>
      </c>
      <c r="P2699" s="8">
        <f t="shared" si="175"/>
        <v>11.592060232717317</v>
      </c>
      <c r="Q2699" s="5" t="str">
        <f t="shared" si="177"/>
        <v>Employed</v>
      </c>
      <c r="R2699">
        <v>1</v>
      </c>
      <c r="S2699">
        <v>0</v>
      </c>
      <c r="T2699">
        <v>0</v>
      </c>
      <c r="U2699">
        <v>0</v>
      </c>
      <c r="V2699" t="s">
        <v>44</v>
      </c>
      <c r="W2699">
        <v>4</v>
      </c>
    </row>
    <row r="2700" spans="1:23" x14ac:dyDescent="0.2">
      <c r="A2700">
        <v>5090896</v>
      </c>
      <c r="B2700" t="s">
        <v>18</v>
      </c>
      <c r="C2700" t="s">
        <v>19</v>
      </c>
      <c r="D2700" t="s">
        <v>19</v>
      </c>
      <c r="E2700">
        <v>0</v>
      </c>
      <c r="F2700">
        <v>117000</v>
      </c>
      <c r="G2700" t="s">
        <v>21</v>
      </c>
      <c r="H2700" t="s">
        <v>27</v>
      </c>
      <c r="I2700" t="s">
        <v>33</v>
      </c>
      <c r="J2700" t="s">
        <v>24</v>
      </c>
      <c r="K2700" s="6">
        <f t="shared" ca="1" si="176"/>
        <v>23709</v>
      </c>
      <c r="L2700">
        <v>-22052</v>
      </c>
      <c r="M2700" s="7">
        <f t="shared" ca="1" si="174"/>
        <v>60.375085557837096</v>
      </c>
      <c r="N2700" s="5" t="str">
        <f ca="1">VLOOKUP(Data!M2700,temp!$B$3:$C$9,2,1)</f>
        <v>60-70</v>
      </c>
      <c r="O2700">
        <v>365243</v>
      </c>
      <c r="P2700" s="8">
        <f t="shared" si="175"/>
        <v>0</v>
      </c>
      <c r="Q2700" s="5" t="str">
        <f t="shared" si="177"/>
        <v>Unemployed</v>
      </c>
      <c r="R2700">
        <v>1</v>
      </c>
      <c r="S2700">
        <v>0</v>
      </c>
      <c r="T2700">
        <v>1</v>
      </c>
      <c r="U2700">
        <v>0</v>
      </c>
      <c r="W2700">
        <v>1</v>
      </c>
    </row>
    <row r="2701" spans="1:23" x14ac:dyDescent="0.2">
      <c r="A2701">
        <v>5090898</v>
      </c>
      <c r="B2701" t="s">
        <v>18</v>
      </c>
      <c r="C2701" t="s">
        <v>20</v>
      </c>
      <c r="D2701" t="s">
        <v>19</v>
      </c>
      <c r="E2701">
        <v>2</v>
      </c>
      <c r="F2701">
        <v>121500</v>
      </c>
      <c r="G2701" t="s">
        <v>26</v>
      </c>
      <c r="H2701" t="s">
        <v>27</v>
      </c>
      <c r="I2701" t="s">
        <v>28</v>
      </c>
      <c r="J2701" t="s">
        <v>24</v>
      </c>
      <c r="K2701" s="6">
        <f t="shared" ca="1" si="176"/>
        <v>34738</v>
      </c>
      <c r="L2701">
        <v>-11023</v>
      </c>
      <c r="M2701" s="7">
        <f t="shared" ca="1" si="174"/>
        <v>30.179329226557151</v>
      </c>
      <c r="N2701" s="5" t="str">
        <f ca="1">VLOOKUP(Data!M2701,temp!$B$3:$C$9,2,1)</f>
        <v>30-40</v>
      </c>
      <c r="O2701">
        <v>-2652</v>
      </c>
      <c r="P2701" s="8">
        <f t="shared" si="175"/>
        <v>7.2607802874743328</v>
      </c>
      <c r="Q2701" s="5" t="str">
        <f t="shared" si="177"/>
        <v>Employed</v>
      </c>
      <c r="R2701">
        <v>1</v>
      </c>
      <c r="S2701">
        <v>1</v>
      </c>
      <c r="T2701">
        <v>0</v>
      </c>
      <c r="U2701">
        <v>0</v>
      </c>
      <c r="V2701" t="s">
        <v>29</v>
      </c>
      <c r="W2701">
        <v>4</v>
      </c>
    </row>
    <row r="2702" spans="1:23" x14ac:dyDescent="0.2">
      <c r="A2702">
        <v>5090902</v>
      </c>
      <c r="B2702" t="s">
        <v>18</v>
      </c>
      <c r="C2702" t="s">
        <v>19</v>
      </c>
      <c r="D2702" t="s">
        <v>19</v>
      </c>
      <c r="E2702">
        <v>0</v>
      </c>
      <c r="F2702">
        <v>112500</v>
      </c>
      <c r="G2702" t="s">
        <v>31</v>
      </c>
      <c r="H2702" t="s">
        <v>27</v>
      </c>
      <c r="I2702" t="s">
        <v>28</v>
      </c>
      <c r="J2702" t="s">
        <v>41</v>
      </c>
      <c r="K2702" s="6">
        <f t="shared" ca="1" si="176"/>
        <v>26038</v>
      </c>
      <c r="L2702">
        <v>-19723</v>
      </c>
      <c r="M2702" s="7">
        <f t="shared" ca="1" si="174"/>
        <v>53.998631074606436</v>
      </c>
      <c r="N2702" s="5" t="str">
        <f ca="1">VLOOKUP(Data!M2702,temp!$B$3:$C$9,2,1)</f>
        <v>50-60</v>
      </c>
      <c r="O2702">
        <v>-1191</v>
      </c>
      <c r="P2702" s="8">
        <f t="shared" si="175"/>
        <v>3.2607802874743328</v>
      </c>
      <c r="Q2702" s="5" t="str">
        <f t="shared" si="177"/>
        <v>Employed</v>
      </c>
      <c r="R2702">
        <v>1</v>
      </c>
      <c r="S2702">
        <v>0</v>
      </c>
      <c r="T2702">
        <v>1</v>
      </c>
      <c r="U2702">
        <v>0</v>
      </c>
      <c r="W2702">
        <v>2</v>
      </c>
    </row>
    <row r="2703" spans="1:23" x14ac:dyDescent="0.2">
      <c r="A2703">
        <v>5090929</v>
      </c>
      <c r="B2703" t="s">
        <v>18</v>
      </c>
      <c r="C2703" t="s">
        <v>20</v>
      </c>
      <c r="D2703" t="s">
        <v>19</v>
      </c>
      <c r="E2703">
        <v>0</v>
      </c>
      <c r="F2703">
        <v>202500</v>
      </c>
      <c r="G2703" t="s">
        <v>26</v>
      </c>
      <c r="H2703" t="s">
        <v>27</v>
      </c>
      <c r="I2703" t="s">
        <v>37</v>
      </c>
      <c r="J2703" t="s">
        <v>41</v>
      </c>
      <c r="K2703" s="6">
        <f t="shared" ca="1" si="176"/>
        <v>31533</v>
      </c>
      <c r="L2703">
        <v>-14228</v>
      </c>
      <c r="M2703" s="7">
        <f t="shared" ca="1" si="174"/>
        <v>38.954140999315534</v>
      </c>
      <c r="N2703" s="5" t="str">
        <f ca="1">VLOOKUP(Data!M2703,temp!$B$3:$C$9,2,1)</f>
        <v>30-40</v>
      </c>
      <c r="O2703">
        <v>-5330</v>
      </c>
      <c r="P2703" s="8">
        <f t="shared" si="175"/>
        <v>14.592744695414099</v>
      </c>
      <c r="Q2703" s="5" t="str">
        <f t="shared" si="177"/>
        <v>Employed</v>
      </c>
      <c r="R2703">
        <v>1</v>
      </c>
      <c r="S2703">
        <v>0</v>
      </c>
      <c r="T2703">
        <v>1</v>
      </c>
      <c r="U2703">
        <v>0</v>
      </c>
      <c r="W2703">
        <v>2</v>
      </c>
    </row>
    <row r="2704" spans="1:23" x14ac:dyDescent="0.2">
      <c r="A2704">
        <v>5090942</v>
      </c>
      <c r="B2704" t="s">
        <v>25</v>
      </c>
      <c r="C2704" t="s">
        <v>19</v>
      </c>
      <c r="D2704" t="s">
        <v>19</v>
      </c>
      <c r="E2704">
        <v>0</v>
      </c>
      <c r="F2704">
        <v>225000</v>
      </c>
      <c r="G2704" t="s">
        <v>26</v>
      </c>
      <c r="H2704" t="s">
        <v>27</v>
      </c>
      <c r="I2704" t="s">
        <v>28</v>
      </c>
      <c r="J2704" t="s">
        <v>24</v>
      </c>
      <c r="K2704" s="6">
        <f t="shared" ca="1" si="176"/>
        <v>32425</v>
      </c>
      <c r="L2704">
        <v>-13336</v>
      </c>
      <c r="M2704" s="7">
        <f t="shared" ca="1" si="174"/>
        <v>36.511978097193705</v>
      </c>
      <c r="N2704" s="5" t="str">
        <f ca="1">VLOOKUP(Data!M2704,temp!$B$3:$C$9,2,1)</f>
        <v>30-40</v>
      </c>
      <c r="O2704">
        <v>-1436</v>
      </c>
      <c r="P2704" s="8">
        <f t="shared" si="175"/>
        <v>3.9315537303216974</v>
      </c>
      <c r="Q2704" s="5" t="str">
        <f t="shared" si="177"/>
        <v>Employed</v>
      </c>
      <c r="R2704">
        <v>1</v>
      </c>
      <c r="S2704">
        <v>0</v>
      </c>
      <c r="T2704">
        <v>0</v>
      </c>
      <c r="U2704">
        <v>0</v>
      </c>
      <c r="V2704" t="s">
        <v>48</v>
      </c>
      <c r="W2704">
        <v>2</v>
      </c>
    </row>
    <row r="2705" spans="1:23" x14ac:dyDescent="0.2">
      <c r="A2705">
        <v>5090949</v>
      </c>
      <c r="B2705" t="s">
        <v>18</v>
      </c>
      <c r="C2705" t="s">
        <v>19</v>
      </c>
      <c r="D2705" t="s">
        <v>19</v>
      </c>
      <c r="E2705">
        <v>0</v>
      </c>
      <c r="F2705">
        <v>94500</v>
      </c>
      <c r="G2705" t="s">
        <v>21</v>
      </c>
      <c r="H2705" t="s">
        <v>22</v>
      </c>
      <c r="I2705" t="s">
        <v>28</v>
      </c>
      <c r="J2705" t="s">
        <v>24</v>
      </c>
      <c r="K2705" s="6">
        <f t="shared" ca="1" si="176"/>
        <v>24388</v>
      </c>
      <c r="L2705">
        <v>-21373</v>
      </c>
      <c r="M2705" s="7">
        <f t="shared" ca="1" si="174"/>
        <v>58.516084873374403</v>
      </c>
      <c r="N2705" s="5" t="str">
        <f ca="1">VLOOKUP(Data!M2705,temp!$B$3:$C$9,2,1)</f>
        <v>50-60</v>
      </c>
      <c r="O2705">
        <v>365243</v>
      </c>
      <c r="P2705" s="8">
        <f t="shared" si="175"/>
        <v>0</v>
      </c>
      <c r="Q2705" s="5" t="str">
        <f t="shared" si="177"/>
        <v>Unemployed</v>
      </c>
      <c r="R2705">
        <v>1</v>
      </c>
      <c r="S2705">
        <v>0</v>
      </c>
      <c r="T2705">
        <v>1</v>
      </c>
      <c r="U2705">
        <v>0</v>
      </c>
      <c r="W2705">
        <v>2</v>
      </c>
    </row>
    <row r="2706" spans="1:23" x14ac:dyDescent="0.2">
      <c r="A2706">
        <v>5090985</v>
      </c>
      <c r="B2706" t="s">
        <v>25</v>
      </c>
      <c r="C2706" t="s">
        <v>20</v>
      </c>
      <c r="D2706" t="s">
        <v>20</v>
      </c>
      <c r="E2706">
        <v>0</v>
      </c>
      <c r="F2706">
        <v>495000</v>
      </c>
      <c r="G2706" t="s">
        <v>31</v>
      </c>
      <c r="H2706" t="s">
        <v>36</v>
      </c>
      <c r="I2706" t="s">
        <v>28</v>
      </c>
      <c r="J2706" t="s">
        <v>41</v>
      </c>
      <c r="K2706" s="6">
        <f t="shared" ca="1" si="176"/>
        <v>36844</v>
      </c>
      <c r="L2706">
        <v>-8917</v>
      </c>
      <c r="M2706" s="7">
        <f t="shared" ca="1" si="174"/>
        <v>24.413415468856947</v>
      </c>
      <c r="N2706" s="5" t="str">
        <f ca="1">VLOOKUP(Data!M2706,temp!$B$3:$C$9,2,1)</f>
        <v>20-30</v>
      </c>
      <c r="O2706">
        <v>-1101</v>
      </c>
      <c r="P2706" s="8">
        <f t="shared" si="175"/>
        <v>3.0143737166324436</v>
      </c>
      <c r="Q2706" s="5" t="str">
        <f t="shared" si="177"/>
        <v>Employed</v>
      </c>
      <c r="R2706">
        <v>1</v>
      </c>
      <c r="S2706">
        <v>0</v>
      </c>
      <c r="T2706">
        <v>0</v>
      </c>
      <c r="U2706">
        <v>1</v>
      </c>
      <c r="V2706" t="s">
        <v>30</v>
      </c>
      <c r="W2706">
        <v>2</v>
      </c>
    </row>
    <row r="2707" spans="1:23" x14ac:dyDescent="0.2">
      <c r="A2707">
        <v>5090993</v>
      </c>
      <c r="B2707" t="s">
        <v>25</v>
      </c>
      <c r="C2707" t="s">
        <v>20</v>
      </c>
      <c r="D2707" t="s">
        <v>20</v>
      </c>
      <c r="E2707">
        <v>0</v>
      </c>
      <c r="F2707">
        <v>405000</v>
      </c>
      <c r="G2707" t="s">
        <v>31</v>
      </c>
      <c r="H2707" t="s">
        <v>22</v>
      </c>
      <c r="I2707" t="s">
        <v>28</v>
      </c>
      <c r="J2707" t="s">
        <v>24</v>
      </c>
      <c r="K2707" s="6">
        <f t="shared" ca="1" si="176"/>
        <v>35438</v>
      </c>
      <c r="L2707">
        <v>-10323</v>
      </c>
      <c r="M2707" s="7">
        <f t="shared" ca="1" si="174"/>
        <v>28.262833675564682</v>
      </c>
      <c r="N2707" s="5" t="str">
        <f ca="1">VLOOKUP(Data!M2707,temp!$B$3:$C$9,2,1)</f>
        <v>20-30</v>
      </c>
      <c r="O2707">
        <v>-2622</v>
      </c>
      <c r="P2707" s="8">
        <f t="shared" si="175"/>
        <v>7.1786447638603699</v>
      </c>
      <c r="Q2707" s="5" t="str">
        <f t="shared" si="177"/>
        <v>Employed</v>
      </c>
      <c r="R2707">
        <v>1</v>
      </c>
      <c r="S2707">
        <v>1</v>
      </c>
      <c r="T2707">
        <v>1</v>
      </c>
      <c r="U2707">
        <v>1</v>
      </c>
      <c r="V2707" t="s">
        <v>32</v>
      </c>
      <c r="W2707">
        <v>2</v>
      </c>
    </row>
    <row r="2708" spans="1:23" x14ac:dyDescent="0.2">
      <c r="A2708">
        <v>5090997</v>
      </c>
      <c r="B2708" t="s">
        <v>25</v>
      </c>
      <c r="C2708" t="s">
        <v>20</v>
      </c>
      <c r="D2708" t="s">
        <v>20</v>
      </c>
      <c r="E2708">
        <v>0</v>
      </c>
      <c r="F2708">
        <v>405000</v>
      </c>
      <c r="G2708" t="s">
        <v>31</v>
      </c>
      <c r="H2708" t="s">
        <v>22</v>
      </c>
      <c r="I2708" t="s">
        <v>28</v>
      </c>
      <c r="J2708" t="s">
        <v>24</v>
      </c>
      <c r="K2708" s="6">
        <f t="shared" ca="1" si="176"/>
        <v>35438</v>
      </c>
      <c r="L2708">
        <v>-10323</v>
      </c>
      <c r="M2708" s="7">
        <f t="shared" ca="1" si="174"/>
        <v>28.262833675564682</v>
      </c>
      <c r="N2708" s="5" t="str">
        <f ca="1">VLOOKUP(Data!M2708,temp!$B$3:$C$9,2,1)</f>
        <v>20-30</v>
      </c>
      <c r="O2708">
        <v>-2622</v>
      </c>
      <c r="P2708" s="8">
        <f t="shared" si="175"/>
        <v>7.1786447638603699</v>
      </c>
      <c r="Q2708" s="5" t="str">
        <f t="shared" si="177"/>
        <v>Employed</v>
      </c>
      <c r="R2708">
        <v>1</v>
      </c>
      <c r="S2708">
        <v>1</v>
      </c>
      <c r="T2708">
        <v>1</v>
      </c>
      <c r="U2708">
        <v>1</v>
      </c>
      <c r="V2708" t="s">
        <v>32</v>
      </c>
      <c r="W2708">
        <v>2</v>
      </c>
    </row>
    <row r="2709" spans="1:23" x14ac:dyDescent="0.2">
      <c r="A2709">
        <v>5091022</v>
      </c>
      <c r="B2709" t="s">
        <v>18</v>
      </c>
      <c r="C2709" t="s">
        <v>19</v>
      </c>
      <c r="D2709" t="s">
        <v>19</v>
      </c>
      <c r="E2709">
        <v>0</v>
      </c>
      <c r="F2709">
        <v>157500</v>
      </c>
      <c r="G2709" t="s">
        <v>31</v>
      </c>
      <c r="H2709" t="s">
        <v>27</v>
      </c>
      <c r="I2709" t="s">
        <v>28</v>
      </c>
      <c r="J2709" t="s">
        <v>45</v>
      </c>
      <c r="K2709" s="6">
        <f t="shared" ca="1" si="176"/>
        <v>31606</v>
      </c>
      <c r="L2709">
        <v>-14155</v>
      </c>
      <c r="M2709" s="7">
        <f t="shared" ca="1" si="174"/>
        <v>38.75427789185489</v>
      </c>
      <c r="N2709" s="5" t="str">
        <f ca="1">VLOOKUP(Data!M2709,temp!$B$3:$C$9,2,1)</f>
        <v>30-40</v>
      </c>
      <c r="O2709">
        <v>-6670</v>
      </c>
      <c r="P2709" s="8">
        <f t="shared" si="175"/>
        <v>18.261464750171115</v>
      </c>
      <c r="Q2709" s="5" t="str">
        <f t="shared" si="177"/>
        <v>Employed</v>
      </c>
      <c r="R2709">
        <v>1</v>
      </c>
      <c r="S2709">
        <v>0</v>
      </c>
      <c r="T2709">
        <v>0</v>
      </c>
      <c r="U2709">
        <v>1</v>
      </c>
      <c r="V2709" t="s">
        <v>50</v>
      </c>
      <c r="W2709">
        <v>2</v>
      </c>
    </row>
    <row r="2710" spans="1:23" x14ac:dyDescent="0.2">
      <c r="A2710">
        <v>5091026</v>
      </c>
      <c r="B2710" t="s">
        <v>18</v>
      </c>
      <c r="C2710" t="s">
        <v>19</v>
      </c>
      <c r="D2710" t="s">
        <v>20</v>
      </c>
      <c r="E2710">
        <v>0</v>
      </c>
      <c r="F2710">
        <v>130500</v>
      </c>
      <c r="G2710" t="s">
        <v>21</v>
      </c>
      <c r="H2710" t="s">
        <v>27</v>
      </c>
      <c r="I2710" t="s">
        <v>28</v>
      </c>
      <c r="J2710" t="s">
        <v>24</v>
      </c>
      <c r="K2710" s="6">
        <f t="shared" ca="1" si="176"/>
        <v>22285</v>
      </c>
      <c r="L2710">
        <v>-23476</v>
      </c>
      <c r="M2710" s="7">
        <f t="shared" ca="1" si="174"/>
        <v>64.273785078713203</v>
      </c>
      <c r="N2710" s="5" t="str">
        <f ca="1">VLOOKUP(Data!M2710,temp!$B$3:$C$9,2,1)</f>
        <v>60-70</v>
      </c>
      <c r="O2710">
        <v>365243</v>
      </c>
      <c r="P2710" s="8">
        <f t="shared" si="175"/>
        <v>0</v>
      </c>
      <c r="Q2710" s="5" t="str">
        <f t="shared" si="177"/>
        <v>Unemployed</v>
      </c>
      <c r="R2710">
        <v>1</v>
      </c>
      <c r="S2710">
        <v>0</v>
      </c>
      <c r="T2710">
        <v>0</v>
      </c>
      <c r="U2710">
        <v>0</v>
      </c>
      <c r="W2710">
        <v>2</v>
      </c>
    </row>
    <row r="2711" spans="1:23" x14ac:dyDescent="0.2">
      <c r="A2711">
        <v>5091037</v>
      </c>
      <c r="B2711" t="s">
        <v>18</v>
      </c>
      <c r="C2711" t="s">
        <v>20</v>
      </c>
      <c r="D2711" t="s">
        <v>19</v>
      </c>
      <c r="E2711">
        <v>0</v>
      </c>
      <c r="F2711">
        <v>157500</v>
      </c>
      <c r="G2711" t="s">
        <v>31</v>
      </c>
      <c r="H2711" t="s">
        <v>36</v>
      </c>
      <c r="I2711" t="s">
        <v>33</v>
      </c>
      <c r="J2711" t="s">
        <v>41</v>
      </c>
      <c r="K2711" s="6">
        <f t="shared" ca="1" si="176"/>
        <v>29490</v>
      </c>
      <c r="L2711">
        <v>-16271</v>
      </c>
      <c r="M2711" s="7">
        <f t="shared" ca="1" si="174"/>
        <v>44.547570157426421</v>
      </c>
      <c r="N2711" s="5" t="str">
        <f ca="1">VLOOKUP(Data!M2711,temp!$B$3:$C$9,2,1)</f>
        <v>40-50</v>
      </c>
      <c r="O2711">
        <v>-96</v>
      </c>
      <c r="P2711" s="8">
        <f t="shared" si="175"/>
        <v>0.26283367556468173</v>
      </c>
      <c r="Q2711" s="5" t="str">
        <f t="shared" si="177"/>
        <v>Employed</v>
      </c>
      <c r="R2711">
        <v>1</v>
      </c>
      <c r="S2711">
        <v>0</v>
      </c>
      <c r="T2711">
        <v>0</v>
      </c>
      <c r="U2711">
        <v>0</v>
      </c>
      <c r="W2711">
        <v>1</v>
      </c>
    </row>
    <row r="2712" spans="1:23" x14ac:dyDescent="0.2">
      <c r="A2712">
        <v>5091051</v>
      </c>
      <c r="B2712" t="s">
        <v>18</v>
      </c>
      <c r="C2712" t="s">
        <v>19</v>
      </c>
      <c r="D2712" t="s">
        <v>20</v>
      </c>
      <c r="E2712">
        <v>2</v>
      </c>
      <c r="F2712">
        <v>270000</v>
      </c>
      <c r="G2712" t="s">
        <v>26</v>
      </c>
      <c r="H2712" t="s">
        <v>22</v>
      </c>
      <c r="I2712" t="s">
        <v>28</v>
      </c>
      <c r="J2712" t="s">
        <v>24</v>
      </c>
      <c r="K2712" s="6">
        <f t="shared" ca="1" si="176"/>
        <v>30323</v>
      </c>
      <c r="L2712">
        <v>-15438</v>
      </c>
      <c r="M2712" s="7">
        <f t="shared" ca="1" si="174"/>
        <v>42.266940451745377</v>
      </c>
      <c r="N2712" s="5" t="str">
        <f ca="1">VLOOKUP(Data!M2712,temp!$B$3:$C$9,2,1)</f>
        <v>40-50</v>
      </c>
      <c r="O2712">
        <v>-2197</v>
      </c>
      <c r="P2712" s="8">
        <f t="shared" si="175"/>
        <v>6.0150581793292268</v>
      </c>
      <c r="Q2712" s="5" t="str">
        <f t="shared" si="177"/>
        <v>Employed</v>
      </c>
      <c r="R2712">
        <v>1</v>
      </c>
      <c r="S2712">
        <v>0</v>
      </c>
      <c r="T2712">
        <v>0</v>
      </c>
      <c r="U2712">
        <v>1</v>
      </c>
      <c r="V2712" t="s">
        <v>52</v>
      </c>
      <c r="W2712">
        <v>4</v>
      </c>
    </row>
    <row r="2713" spans="1:23" x14ac:dyDescent="0.2">
      <c r="A2713">
        <v>5091061</v>
      </c>
      <c r="B2713" t="s">
        <v>18</v>
      </c>
      <c r="C2713" t="s">
        <v>19</v>
      </c>
      <c r="D2713" t="s">
        <v>20</v>
      </c>
      <c r="E2713">
        <v>1</v>
      </c>
      <c r="F2713">
        <v>67500</v>
      </c>
      <c r="G2713" t="s">
        <v>35</v>
      </c>
      <c r="H2713" t="s">
        <v>27</v>
      </c>
      <c r="I2713" t="s">
        <v>28</v>
      </c>
      <c r="J2713" t="s">
        <v>24</v>
      </c>
      <c r="K2713" s="6">
        <f t="shared" ca="1" si="176"/>
        <v>31879</v>
      </c>
      <c r="L2713">
        <v>-13882</v>
      </c>
      <c r="M2713" s="7">
        <f t="shared" ca="1" si="174"/>
        <v>38.006844626967833</v>
      </c>
      <c r="N2713" s="5" t="str">
        <f ca="1">VLOOKUP(Data!M2713,temp!$B$3:$C$9,2,1)</f>
        <v>30-40</v>
      </c>
      <c r="O2713">
        <v>-3505</v>
      </c>
      <c r="P2713" s="8">
        <f t="shared" si="175"/>
        <v>9.5961670088980142</v>
      </c>
      <c r="Q2713" s="5" t="str">
        <f t="shared" si="177"/>
        <v>Employed</v>
      </c>
      <c r="R2713">
        <v>1</v>
      </c>
      <c r="S2713">
        <v>1</v>
      </c>
      <c r="T2713">
        <v>0</v>
      </c>
      <c r="U2713">
        <v>0</v>
      </c>
      <c r="V2713" t="s">
        <v>39</v>
      </c>
      <c r="W2713">
        <v>3</v>
      </c>
    </row>
    <row r="2714" spans="1:23" x14ac:dyDescent="0.2">
      <c r="A2714">
        <v>5091064</v>
      </c>
      <c r="B2714" t="s">
        <v>18</v>
      </c>
      <c r="C2714" t="s">
        <v>19</v>
      </c>
      <c r="D2714" t="s">
        <v>20</v>
      </c>
      <c r="E2714">
        <v>0</v>
      </c>
      <c r="F2714">
        <v>382500</v>
      </c>
      <c r="G2714" t="s">
        <v>26</v>
      </c>
      <c r="H2714" t="s">
        <v>36</v>
      </c>
      <c r="I2714" t="s">
        <v>28</v>
      </c>
      <c r="J2714" t="s">
        <v>45</v>
      </c>
      <c r="K2714" s="6">
        <f t="shared" ca="1" si="176"/>
        <v>34182</v>
      </c>
      <c r="L2714">
        <v>-11579</v>
      </c>
      <c r="M2714" s="7">
        <f t="shared" ca="1" si="174"/>
        <v>31.701574264202602</v>
      </c>
      <c r="N2714" s="5" t="str">
        <f ca="1">VLOOKUP(Data!M2714,temp!$B$3:$C$9,2,1)</f>
        <v>30-40</v>
      </c>
      <c r="O2714">
        <v>-1161</v>
      </c>
      <c r="P2714" s="8">
        <f t="shared" si="175"/>
        <v>3.1786447638603694</v>
      </c>
      <c r="Q2714" s="5" t="str">
        <f t="shared" si="177"/>
        <v>Employed</v>
      </c>
      <c r="R2714">
        <v>1</v>
      </c>
      <c r="S2714">
        <v>0</v>
      </c>
      <c r="T2714">
        <v>0</v>
      </c>
      <c r="U2714">
        <v>0</v>
      </c>
      <c r="V2714" t="s">
        <v>44</v>
      </c>
      <c r="W2714">
        <v>2</v>
      </c>
    </row>
    <row r="2715" spans="1:23" x14ac:dyDescent="0.2">
      <c r="A2715">
        <v>5091071</v>
      </c>
      <c r="B2715" t="s">
        <v>25</v>
      </c>
      <c r="C2715" t="s">
        <v>19</v>
      </c>
      <c r="D2715" t="s">
        <v>20</v>
      </c>
      <c r="E2715">
        <v>0</v>
      </c>
      <c r="F2715">
        <v>202500</v>
      </c>
      <c r="G2715" t="s">
        <v>31</v>
      </c>
      <c r="H2715" t="s">
        <v>27</v>
      </c>
      <c r="I2715" t="s">
        <v>28</v>
      </c>
      <c r="J2715" t="s">
        <v>24</v>
      </c>
      <c r="K2715" s="6">
        <f t="shared" ca="1" si="176"/>
        <v>32337</v>
      </c>
      <c r="L2715">
        <v>-13424</v>
      </c>
      <c r="M2715" s="7">
        <f t="shared" ca="1" si="174"/>
        <v>36.752908966461327</v>
      </c>
      <c r="N2715" s="5" t="str">
        <f ca="1">VLOOKUP(Data!M2715,temp!$B$3:$C$9,2,1)</f>
        <v>30-40</v>
      </c>
      <c r="O2715">
        <v>-4754</v>
      </c>
      <c r="P2715" s="8">
        <f t="shared" si="175"/>
        <v>13.015742642026009</v>
      </c>
      <c r="Q2715" s="5" t="str">
        <f t="shared" si="177"/>
        <v>Employed</v>
      </c>
      <c r="R2715">
        <v>1</v>
      </c>
      <c r="S2715">
        <v>0</v>
      </c>
      <c r="T2715">
        <v>0</v>
      </c>
      <c r="U2715">
        <v>1</v>
      </c>
      <c r="V2715" t="s">
        <v>29</v>
      </c>
      <c r="W2715">
        <v>2</v>
      </c>
    </row>
    <row r="2716" spans="1:23" x14ac:dyDescent="0.2">
      <c r="A2716">
        <v>5091075</v>
      </c>
      <c r="B2716" t="s">
        <v>25</v>
      </c>
      <c r="C2716" t="s">
        <v>19</v>
      </c>
      <c r="D2716" t="s">
        <v>20</v>
      </c>
      <c r="E2716">
        <v>0</v>
      </c>
      <c r="F2716">
        <v>202500</v>
      </c>
      <c r="G2716" t="s">
        <v>31</v>
      </c>
      <c r="H2716" t="s">
        <v>27</v>
      </c>
      <c r="I2716" t="s">
        <v>28</v>
      </c>
      <c r="J2716" t="s">
        <v>24</v>
      </c>
      <c r="K2716" s="6">
        <f t="shared" ca="1" si="176"/>
        <v>32337</v>
      </c>
      <c r="L2716">
        <v>-13424</v>
      </c>
      <c r="M2716" s="7">
        <f t="shared" ca="1" si="174"/>
        <v>36.752908966461327</v>
      </c>
      <c r="N2716" s="5" t="str">
        <f ca="1">VLOOKUP(Data!M2716,temp!$B$3:$C$9,2,1)</f>
        <v>30-40</v>
      </c>
      <c r="O2716">
        <v>-4754</v>
      </c>
      <c r="P2716" s="8">
        <f t="shared" si="175"/>
        <v>13.015742642026009</v>
      </c>
      <c r="Q2716" s="5" t="str">
        <f t="shared" si="177"/>
        <v>Employed</v>
      </c>
      <c r="R2716">
        <v>1</v>
      </c>
      <c r="S2716">
        <v>0</v>
      </c>
      <c r="T2716">
        <v>0</v>
      </c>
      <c r="U2716">
        <v>1</v>
      </c>
      <c r="V2716" t="s">
        <v>29</v>
      </c>
      <c r="W2716">
        <v>2</v>
      </c>
    </row>
    <row r="2717" spans="1:23" x14ac:dyDescent="0.2">
      <c r="A2717">
        <v>5091095</v>
      </c>
      <c r="B2717" t="s">
        <v>25</v>
      </c>
      <c r="C2717" t="s">
        <v>19</v>
      </c>
      <c r="D2717" t="s">
        <v>20</v>
      </c>
      <c r="E2717">
        <v>0</v>
      </c>
      <c r="F2717">
        <v>198000</v>
      </c>
      <c r="G2717" t="s">
        <v>21</v>
      </c>
      <c r="H2717" t="s">
        <v>22</v>
      </c>
      <c r="I2717" t="s">
        <v>28</v>
      </c>
      <c r="J2717" t="s">
        <v>24</v>
      </c>
      <c r="K2717" s="6">
        <f t="shared" ca="1" si="176"/>
        <v>21099</v>
      </c>
      <c r="L2717">
        <v>-24662</v>
      </c>
      <c r="M2717" s="7">
        <f t="shared" ca="1" si="174"/>
        <v>67.520876112251884</v>
      </c>
      <c r="N2717" s="5" t="str">
        <f ca="1">VLOOKUP(Data!M2717,temp!$B$3:$C$9,2,1)</f>
        <v>60-70</v>
      </c>
      <c r="O2717">
        <v>365243</v>
      </c>
      <c r="P2717" s="8">
        <f t="shared" si="175"/>
        <v>0</v>
      </c>
      <c r="Q2717" s="5" t="str">
        <f t="shared" si="177"/>
        <v>Unemployed</v>
      </c>
      <c r="R2717">
        <v>1</v>
      </c>
      <c r="S2717">
        <v>0</v>
      </c>
      <c r="T2717">
        <v>0</v>
      </c>
      <c r="U2717">
        <v>0</v>
      </c>
      <c r="W2717">
        <v>2</v>
      </c>
    </row>
    <row r="2718" spans="1:23" x14ac:dyDescent="0.2">
      <c r="A2718">
        <v>5091098</v>
      </c>
      <c r="B2718" t="s">
        <v>25</v>
      </c>
      <c r="C2718" t="s">
        <v>19</v>
      </c>
      <c r="D2718" t="s">
        <v>20</v>
      </c>
      <c r="E2718">
        <v>0</v>
      </c>
      <c r="F2718">
        <v>198000</v>
      </c>
      <c r="G2718" t="s">
        <v>21</v>
      </c>
      <c r="H2718" t="s">
        <v>22</v>
      </c>
      <c r="I2718" t="s">
        <v>28</v>
      </c>
      <c r="J2718" t="s">
        <v>24</v>
      </c>
      <c r="K2718" s="6">
        <f t="shared" ca="1" si="176"/>
        <v>21099</v>
      </c>
      <c r="L2718">
        <v>-24662</v>
      </c>
      <c r="M2718" s="7">
        <f t="shared" ca="1" si="174"/>
        <v>67.520876112251884</v>
      </c>
      <c r="N2718" s="5" t="str">
        <f ca="1">VLOOKUP(Data!M2718,temp!$B$3:$C$9,2,1)</f>
        <v>60-70</v>
      </c>
      <c r="O2718">
        <v>365243</v>
      </c>
      <c r="P2718" s="8">
        <f t="shared" si="175"/>
        <v>0</v>
      </c>
      <c r="Q2718" s="5" t="str">
        <f t="shared" si="177"/>
        <v>Unemployed</v>
      </c>
      <c r="R2718">
        <v>1</v>
      </c>
      <c r="S2718">
        <v>0</v>
      </c>
      <c r="T2718">
        <v>0</v>
      </c>
      <c r="U2718">
        <v>0</v>
      </c>
      <c r="W2718">
        <v>2</v>
      </c>
    </row>
    <row r="2719" spans="1:23" x14ac:dyDescent="0.2">
      <c r="A2719">
        <v>5091105</v>
      </c>
      <c r="B2719" t="s">
        <v>25</v>
      </c>
      <c r="C2719" t="s">
        <v>19</v>
      </c>
      <c r="D2719" t="s">
        <v>20</v>
      </c>
      <c r="E2719">
        <v>0</v>
      </c>
      <c r="F2719">
        <v>198000</v>
      </c>
      <c r="G2719" t="s">
        <v>21</v>
      </c>
      <c r="H2719" t="s">
        <v>22</v>
      </c>
      <c r="I2719" t="s">
        <v>28</v>
      </c>
      <c r="J2719" t="s">
        <v>24</v>
      </c>
      <c r="K2719" s="6">
        <f t="shared" ca="1" si="176"/>
        <v>21099</v>
      </c>
      <c r="L2719">
        <v>-24662</v>
      </c>
      <c r="M2719" s="7">
        <f t="shared" ca="1" si="174"/>
        <v>67.520876112251884</v>
      </c>
      <c r="N2719" s="5" t="str">
        <f ca="1">VLOOKUP(Data!M2719,temp!$B$3:$C$9,2,1)</f>
        <v>60-70</v>
      </c>
      <c r="O2719">
        <v>365243</v>
      </c>
      <c r="P2719" s="8">
        <f t="shared" si="175"/>
        <v>0</v>
      </c>
      <c r="Q2719" s="5" t="str">
        <f t="shared" si="177"/>
        <v>Unemployed</v>
      </c>
      <c r="R2719">
        <v>1</v>
      </c>
      <c r="S2719">
        <v>0</v>
      </c>
      <c r="T2719">
        <v>0</v>
      </c>
      <c r="U2719">
        <v>0</v>
      </c>
      <c r="W2719">
        <v>2</v>
      </c>
    </row>
    <row r="2720" spans="1:23" x14ac:dyDescent="0.2">
      <c r="A2720">
        <v>5091109</v>
      </c>
      <c r="B2720" t="s">
        <v>25</v>
      </c>
      <c r="C2720" t="s">
        <v>19</v>
      </c>
      <c r="D2720" t="s">
        <v>20</v>
      </c>
      <c r="E2720">
        <v>0</v>
      </c>
      <c r="F2720">
        <v>198000</v>
      </c>
      <c r="G2720" t="s">
        <v>21</v>
      </c>
      <c r="H2720" t="s">
        <v>22</v>
      </c>
      <c r="I2720" t="s">
        <v>28</v>
      </c>
      <c r="J2720" t="s">
        <v>24</v>
      </c>
      <c r="K2720" s="6">
        <f t="shared" ca="1" si="176"/>
        <v>21099</v>
      </c>
      <c r="L2720">
        <v>-24662</v>
      </c>
      <c r="M2720" s="7">
        <f t="shared" ca="1" si="174"/>
        <v>67.520876112251884</v>
      </c>
      <c r="N2720" s="5" t="str">
        <f ca="1">VLOOKUP(Data!M2720,temp!$B$3:$C$9,2,1)</f>
        <v>60-70</v>
      </c>
      <c r="O2720">
        <v>365243</v>
      </c>
      <c r="P2720" s="8">
        <f t="shared" si="175"/>
        <v>0</v>
      </c>
      <c r="Q2720" s="5" t="str">
        <f t="shared" si="177"/>
        <v>Unemployed</v>
      </c>
      <c r="R2720">
        <v>1</v>
      </c>
      <c r="S2720">
        <v>0</v>
      </c>
      <c r="T2720">
        <v>0</v>
      </c>
      <c r="U2720">
        <v>0</v>
      </c>
      <c r="W2720">
        <v>2</v>
      </c>
    </row>
    <row r="2721" spans="1:23" x14ac:dyDescent="0.2">
      <c r="A2721">
        <v>5091125</v>
      </c>
      <c r="B2721" t="s">
        <v>18</v>
      </c>
      <c r="C2721" t="s">
        <v>19</v>
      </c>
      <c r="D2721" t="s">
        <v>20</v>
      </c>
      <c r="E2721">
        <v>1</v>
      </c>
      <c r="F2721">
        <v>112500</v>
      </c>
      <c r="G2721" t="s">
        <v>31</v>
      </c>
      <c r="H2721" t="s">
        <v>27</v>
      </c>
      <c r="I2721" t="s">
        <v>33</v>
      </c>
      <c r="J2721" t="s">
        <v>24</v>
      </c>
      <c r="K2721" s="6">
        <f t="shared" ca="1" si="176"/>
        <v>27046</v>
      </c>
      <c r="L2721">
        <v>-18715</v>
      </c>
      <c r="M2721" s="7">
        <f t="shared" ca="1" si="174"/>
        <v>51.238877481177276</v>
      </c>
      <c r="N2721" s="5" t="str">
        <f ca="1">VLOOKUP(Data!M2721,temp!$B$3:$C$9,2,1)</f>
        <v>50-60</v>
      </c>
      <c r="O2721">
        <v>-2867</v>
      </c>
      <c r="P2721" s="8">
        <f t="shared" si="175"/>
        <v>7.8494182067077345</v>
      </c>
      <c r="Q2721" s="5" t="str">
        <f t="shared" si="177"/>
        <v>Employed</v>
      </c>
      <c r="R2721">
        <v>1</v>
      </c>
      <c r="S2721">
        <v>1</v>
      </c>
      <c r="T2721">
        <v>0</v>
      </c>
      <c r="U2721">
        <v>0</v>
      </c>
      <c r="V2721" t="s">
        <v>52</v>
      </c>
      <c r="W2721">
        <v>2</v>
      </c>
    </row>
    <row r="2722" spans="1:23" x14ac:dyDescent="0.2">
      <c r="A2722">
        <v>5091130</v>
      </c>
      <c r="B2722" t="s">
        <v>18</v>
      </c>
      <c r="C2722" t="s">
        <v>19</v>
      </c>
      <c r="D2722" t="s">
        <v>20</v>
      </c>
      <c r="E2722">
        <v>1</v>
      </c>
      <c r="F2722">
        <v>112500</v>
      </c>
      <c r="G2722" t="s">
        <v>31</v>
      </c>
      <c r="H2722" t="s">
        <v>27</v>
      </c>
      <c r="I2722" t="s">
        <v>33</v>
      </c>
      <c r="J2722" t="s">
        <v>24</v>
      </c>
      <c r="K2722" s="6">
        <f t="shared" ca="1" si="176"/>
        <v>27046</v>
      </c>
      <c r="L2722">
        <v>-18715</v>
      </c>
      <c r="M2722" s="7">
        <f t="shared" ca="1" si="174"/>
        <v>51.238877481177276</v>
      </c>
      <c r="N2722" s="5" t="str">
        <f ca="1">VLOOKUP(Data!M2722,temp!$B$3:$C$9,2,1)</f>
        <v>50-60</v>
      </c>
      <c r="O2722">
        <v>-2867</v>
      </c>
      <c r="P2722" s="8">
        <f t="shared" si="175"/>
        <v>7.8494182067077345</v>
      </c>
      <c r="Q2722" s="5" t="str">
        <f t="shared" si="177"/>
        <v>Employed</v>
      </c>
      <c r="R2722">
        <v>1</v>
      </c>
      <c r="S2722">
        <v>1</v>
      </c>
      <c r="T2722">
        <v>0</v>
      </c>
      <c r="U2722">
        <v>0</v>
      </c>
      <c r="V2722" t="s">
        <v>52</v>
      </c>
      <c r="W2722">
        <v>2</v>
      </c>
    </row>
    <row r="2723" spans="1:23" x14ac:dyDescent="0.2">
      <c r="A2723">
        <v>5091142</v>
      </c>
      <c r="B2723" t="s">
        <v>18</v>
      </c>
      <c r="C2723" t="s">
        <v>19</v>
      </c>
      <c r="D2723" t="s">
        <v>19</v>
      </c>
      <c r="E2723">
        <v>2</v>
      </c>
      <c r="F2723">
        <v>90000</v>
      </c>
      <c r="G2723" t="s">
        <v>31</v>
      </c>
      <c r="H2723" t="s">
        <v>27</v>
      </c>
      <c r="I2723" t="s">
        <v>28</v>
      </c>
      <c r="J2723" t="s">
        <v>24</v>
      </c>
      <c r="K2723" s="6">
        <f t="shared" ca="1" si="176"/>
        <v>29986</v>
      </c>
      <c r="L2723">
        <v>-15775</v>
      </c>
      <c r="M2723" s="7">
        <f t="shared" ca="1" si="174"/>
        <v>43.189596167008901</v>
      </c>
      <c r="N2723" s="5" t="str">
        <f ca="1">VLOOKUP(Data!M2723,temp!$B$3:$C$9,2,1)</f>
        <v>40-50</v>
      </c>
      <c r="O2723">
        <v>-7888</v>
      </c>
      <c r="P2723" s="8">
        <f t="shared" si="175"/>
        <v>21.596167008898014</v>
      </c>
      <c r="Q2723" s="5" t="str">
        <f t="shared" si="177"/>
        <v>Employed</v>
      </c>
      <c r="R2723">
        <v>1</v>
      </c>
      <c r="S2723">
        <v>1</v>
      </c>
      <c r="T2723">
        <v>0</v>
      </c>
      <c r="U2723">
        <v>0</v>
      </c>
      <c r="W2723">
        <v>4</v>
      </c>
    </row>
    <row r="2724" spans="1:23" x14ac:dyDescent="0.2">
      <c r="A2724">
        <v>5091145</v>
      </c>
      <c r="B2724" t="s">
        <v>25</v>
      </c>
      <c r="C2724" t="s">
        <v>20</v>
      </c>
      <c r="D2724" t="s">
        <v>19</v>
      </c>
      <c r="E2724">
        <v>0</v>
      </c>
      <c r="F2724">
        <v>225000</v>
      </c>
      <c r="G2724" t="s">
        <v>31</v>
      </c>
      <c r="H2724" t="s">
        <v>27</v>
      </c>
      <c r="I2724" t="s">
        <v>28</v>
      </c>
      <c r="J2724" t="s">
        <v>24</v>
      </c>
      <c r="K2724" s="6">
        <f t="shared" ca="1" si="176"/>
        <v>34976</v>
      </c>
      <c r="L2724">
        <v>-10785</v>
      </c>
      <c r="M2724" s="7">
        <f t="shared" ca="1" si="174"/>
        <v>29.527720739219713</v>
      </c>
      <c r="N2724" s="5" t="str">
        <f ca="1">VLOOKUP(Data!M2724,temp!$B$3:$C$9,2,1)</f>
        <v>20-30</v>
      </c>
      <c r="O2724">
        <v>-1345</v>
      </c>
      <c r="P2724" s="8">
        <f t="shared" si="175"/>
        <v>3.6824093086926761</v>
      </c>
      <c r="Q2724" s="5" t="str">
        <f t="shared" si="177"/>
        <v>Employed</v>
      </c>
      <c r="R2724">
        <v>1</v>
      </c>
      <c r="S2724">
        <v>0</v>
      </c>
      <c r="T2724">
        <v>0</v>
      </c>
      <c r="U2724">
        <v>0</v>
      </c>
      <c r="W2724">
        <v>2</v>
      </c>
    </row>
    <row r="2725" spans="1:23" x14ac:dyDescent="0.2">
      <c r="A2725">
        <v>5091148</v>
      </c>
      <c r="B2725" t="s">
        <v>25</v>
      </c>
      <c r="C2725" t="s">
        <v>20</v>
      </c>
      <c r="D2725" t="s">
        <v>19</v>
      </c>
      <c r="E2725">
        <v>0</v>
      </c>
      <c r="F2725">
        <v>225000</v>
      </c>
      <c r="G2725" t="s">
        <v>31</v>
      </c>
      <c r="H2725" t="s">
        <v>27</v>
      </c>
      <c r="I2725" t="s">
        <v>28</v>
      </c>
      <c r="J2725" t="s">
        <v>24</v>
      </c>
      <c r="K2725" s="6">
        <f t="shared" ca="1" si="176"/>
        <v>34976</v>
      </c>
      <c r="L2725">
        <v>-10785</v>
      </c>
      <c r="M2725" s="7">
        <f t="shared" ca="1" si="174"/>
        <v>29.527720739219713</v>
      </c>
      <c r="N2725" s="5" t="str">
        <f ca="1">VLOOKUP(Data!M2725,temp!$B$3:$C$9,2,1)</f>
        <v>20-30</v>
      </c>
      <c r="O2725">
        <v>-1345</v>
      </c>
      <c r="P2725" s="8">
        <f t="shared" si="175"/>
        <v>3.6824093086926761</v>
      </c>
      <c r="Q2725" s="5" t="str">
        <f t="shared" si="177"/>
        <v>Employed</v>
      </c>
      <c r="R2725">
        <v>1</v>
      </c>
      <c r="S2725">
        <v>0</v>
      </c>
      <c r="T2725">
        <v>0</v>
      </c>
      <c r="U2725">
        <v>0</v>
      </c>
      <c r="W2725">
        <v>2</v>
      </c>
    </row>
    <row r="2726" spans="1:23" x14ac:dyDescent="0.2">
      <c r="A2726">
        <v>5091160</v>
      </c>
      <c r="B2726" t="s">
        <v>18</v>
      </c>
      <c r="C2726" t="s">
        <v>20</v>
      </c>
      <c r="D2726" t="s">
        <v>20</v>
      </c>
      <c r="E2726">
        <v>0</v>
      </c>
      <c r="F2726">
        <v>256500</v>
      </c>
      <c r="G2726" t="s">
        <v>26</v>
      </c>
      <c r="H2726" t="s">
        <v>27</v>
      </c>
      <c r="I2726" t="s">
        <v>28</v>
      </c>
      <c r="J2726" t="s">
        <v>24</v>
      </c>
      <c r="K2726" s="6">
        <f t="shared" ca="1" si="176"/>
        <v>31940</v>
      </c>
      <c r="L2726">
        <v>-13821</v>
      </c>
      <c r="M2726" s="7">
        <f t="shared" ca="1" si="174"/>
        <v>37.839835728952771</v>
      </c>
      <c r="N2726" s="5" t="str">
        <f ca="1">VLOOKUP(Data!M2726,temp!$B$3:$C$9,2,1)</f>
        <v>30-40</v>
      </c>
      <c r="O2726">
        <v>-1071</v>
      </c>
      <c r="P2726" s="8">
        <f t="shared" si="175"/>
        <v>2.9322381930184807</v>
      </c>
      <c r="Q2726" s="5" t="str">
        <f t="shared" si="177"/>
        <v>Employed</v>
      </c>
      <c r="R2726">
        <v>1</v>
      </c>
      <c r="S2726">
        <v>0</v>
      </c>
      <c r="T2726">
        <v>0</v>
      </c>
      <c r="U2726">
        <v>1</v>
      </c>
      <c r="V2726" t="s">
        <v>38</v>
      </c>
      <c r="W2726">
        <v>2</v>
      </c>
    </row>
    <row r="2727" spans="1:23" x14ac:dyDescent="0.2">
      <c r="A2727">
        <v>5091164</v>
      </c>
      <c r="B2727" t="s">
        <v>18</v>
      </c>
      <c r="C2727" t="s">
        <v>20</v>
      </c>
      <c r="D2727" t="s">
        <v>20</v>
      </c>
      <c r="E2727">
        <v>0</v>
      </c>
      <c r="F2727">
        <v>256500</v>
      </c>
      <c r="G2727" t="s">
        <v>26</v>
      </c>
      <c r="H2727" t="s">
        <v>27</v>
      </c>
      <c r="I2727" t="s">
        <v>28</v>
      </c>
      <c r="J2727" t="s">
        <v>24</v>
      </c>
      <c r="K2727" s="6">
        <f t="shared" ca="1" si="176"/>
        <v>31940</v>
      </c>
      <c r="L2727">
        <v>-13821</v>
      </c>
      <c r="M2727" s="7">
        <f t="shared" ca="1" si="174"/>
        <v>37.839835728952771</v>
      </c>
      <c r="N2727" s="5" t="str">
        <f ca="1">VLOOKUP(Data!M2727,temp!$B$3:$C$9,2,1)</f>
        <v>30-40</v>
      </c>
      <c r="O2727">
        <v>-1071</v>
      </c>
      <c r="P2727" s="8">
        <f t="shared" si="175"/>
        <v>2.9322381930184807</v>
      </c>
      <c r="Q2727" s="5" t="str">
        <f t="shared" si="177"/>
        <v>Employed</v>
      </c>
      <c r="R2727">
        <v>1</v>
      </c>
      <c r="S2727">
        <v>0</v>
      </c>
      <c r="T2727">
        <v>0</v>
      </c>
      <c r="U2727">
        <v>1</v>
      </c>
      <c r="V2727" t="s">
        <v>38</v>
      </c>
      <c r="W2727">
        <v>2</v>
      </c>
    </row>
    <row r="2728" spans="1:23" x14ac:dyDescent="0.2">
      <c r="A2728">
        <v>5091184</v>
      </c>
      <c r="B2728" t="s">
        <v>18</v>
      </c>
      <c r="C2728" t="s">
        <v>19</v>
      </c>
      <c r="D2728" t="s">
        <v>20</v>
      </c>
      <c r="E2728">
        <v>1</v>
      </c>
      <c r="F2728">
        <v>67500</v>
      </c>
      <c r="G2728" t="s">
        <v>31</v>
      </c>
      <c r="H2728" t="s">
        <v>27</v>
      </c>
      <c r="I2728" t="s">
        <v>23</v>
      </c>
      <c r="J2728" t="s">
        <v>24</v>
      </c>
      <c r="K2728" s="6">
        <f t="shared" ca="1" si="176"/>
        <v>34635</v>
      </c>
      <c r="L2728">
        <v>-11126</v>
      </c>
      <c r="M2728" s="7">
        <f t="shared" ca="1" si="174"/>
        <v>30.461327857631758</v>
      </c>
      <c r="N2728" s="5" t="str">
        <f ca="1">VLOOKUP(Data!M2728,temp!$B$3:$C$9,2,1)</f>
        <v>30-40</v>
      </c>
      <c r="O2728">
        <v>-2087</v>
      </c>
      <c r="P2728" s="8">
        <f t="shared" si="175"/>
        <v>5.7138945927446958</v>
      </c>
      <c r="Q2728" s="5" t="str">
        <f t="shared" si="177"/>
        <v>Employed</v>
      </c>
      <c r="R2728">
        <v>1</v>
      </c>
      <c r="S2728">
        <v>1</v>
      </c>
      <c r="T2728">
        <v>1</v>
      </c>
      <c r="U2728">
        <v>0</v>
      </c>
      <c r="V2728" t="s">
        <v>44</v>
      </c>
      <c r="W2728">
        <v>2</v>
      </c>
    </row>
    <row r="2729" spans="1:23" x14ac:dyDescent="0.2">
      <c r="A2729">
        <v>5091187</v>
      </c>
      <c r="B2729" t="s">
        <v>18</v>
      </c>
      <c r="C2729" t="s">
        <v>19</v>
      </c>
      <c r="D2729" t="s">
        <v>20</v>
      </c>
      <c r="E2729">
        <v>1</v>
      </c>
      <c r="F2729">
        <v>67500</v>
      </c>
      <c r="G2729" t="s">
        <v>31</v>
      </c>
      <c r="H2729" t="s">
        <v>27</v>
      </c>
      <c r="I2729" t="s">
        <v>23</v>
      </c>
      <c r="J2729" t="s">
        <v>24</v>
      </c>
      <c r="K2729" s="6">
        <f t="shared" ca="1" si="176"/>
        <v>34635</v>
      </c>
      <c r="L2729">
        <v>-11126</v>
      </c>
      <c r="M2729" s="7">
        <f t="shared" ca="1" si="174"/>
        <v>30.461327857631758</v>
      </c>
      <c r="N2729" s="5" t="str">
        <f ca="1">VLOOKUP(Data!M2729,temp!$B$3:$C$9,2,1)</f>
        <v>30-40</v>
      </c>
      <c r="O2729">
        <v>-2087</v>
      </c>
      <c r="P2729" s="8">
        <f t="shared" si="175"/>
        <v>5.7138945927446958</v>
      </c>
      <c r="Q2729" s="5" t="str">
        <f t="shared" si="177"/>
        <v>Employed</v>
      </c>
      <c r="R2729">
        <v>1</v>
      </c>
      <c r="S2729">
        <v>1</v>
      </c>
      <c r="T2729">
        <v>1</v>
      </c>
      <c r="U2729">
        <v>0</v>
      </c>
      <c r="V2729" t="s">
        <v>44</v>
      </c>
      <c r="W2729">
        <v>2</v>
      </c>
    </row>
    <row r="2730" spans="1:23" x14ac:dyDescent="0.2">
      <c r="A2730">
        <v>5091192</v>
      </c>
      <c r="B2730" t="s">
        <v>18</v>
      </c>
      <c r="C2730" t="s">
        <v>19</v>
      </c>
      <c r="D2730" t="s">
        <v>20</v>
      </c>
      <c r="E2730">
        <v>1</v>
      </c>
      <c r="F2730">
        <v>67500</v>
      </c>
      <c r="G2730" t="s">
        <v>31</v>
      </c>
      <c r="H2730" t="s">
        <v>27</v>
      </c>
      <c r="I2730" t="s">
        <v>23</v>
      </c>
      <c r="J2730" t="s">
        <v>24</v>
      </c>
      <c r="K2730" s="6">
        <f t="shared" ca="1" si="176"/>
        <v>34635</v>
      </c>
      <c r="L2730">
        <v>-11126</v>
      </c>
      <c r="M2730" s="7">
        <f t="shared" ca="1" si="174"/>
        <v>30.461327857631758</v>
      </c>
      <c r="N2730" s="5" t="str">
        <f ca="1">VLOOKUP(Data!M2730,temp!$B$3:$C$9,2,1)</f>
        <v>30-40</v>
      </c>
      <c r="O2730">
        <v>-2087</v>
      </c>
      <c r="P2730" s="8">
        <f t="shared" si="175"/>
        <v>5.7138945927446958</v>
      </c>
      <c r="Q2730" s="5" t="str">
        <f t="shared" si="177"/>
        <v>Employed</v>
      </c>
      <c r="R2730">
        <v>1</v>
      </c>
      <c r="S2730">
        <v>1</v>
      </c>
      <c r="T2730">
        <v>1</v>
      </c>
      <c r="U2730">
        <v>0</v>
      </c>
      <c r="V2730" t="s">
        <v>44</v>
      </c>
      <c r="W2730">
        <v>2</v>
      </c>
    </row>
    <row r="2731" spans="1:23" x14ac:dyDescent="0.2">
      <c r="A2731">
        <v>5091218</v>
      </c>
      <c r="B2731" t="s">
        <v>18</v>
      </c>
      <c r="C2731" t="s">
        <v>19</v>
      </c>
      <c r="D2731" t="s">
        <v>20</v>
      </c>
      <c r="E2731">
        <v>0</v>
      </c>
      <c r="F2731">
        <v>495000</v>
      </c>
      <c r="G2731" t="s">
        <v>21</v>
      </c>
      <c r="H2731" t="s">
        <v>27</v>
      </c>
      <c r="I2731" t="s">
        <v>42</v>
      </c>
      <c r="J2731" t="s">
        <v>24</v>
      </c>
      <c r="K2731" s="6">
        <f t="shared" ca="1" si="176"/>
        <v>24165</v>
      </c>
      <c r="L2731">
        <v>-21596</v>
      </c>
      <c r="M2731" s="7">
        <f t="shared" ca="1" si="174"/>
        <v>59.126625598904859</v>
      </c>
      <c r="N2731" s="5" t="str">
        <f ca="1">VLOOKUP(Data!M2731,temp!$B$3:$C$9,2,1)</f>
        <v>50-60</v>
      </c>
      <c r="O2731">
        <v>365243</v>
      </c>
      <c r="P2731" s="8">
        <f t="shared" si="175"/>
        <v>0</v>
      </c>
      <c r="Q2731" s="5" t="str">
        <f t="shared" si="177"/>
        <v>Unemployed</v>
      </c>
      <c r="R2731">
        <v>1</v>
      </c>
      <c r="S2731">
        <v>0</v>
      </c>
      <c r="T2731">
        <v>1</v>
      </c>
      <c r="U2731">
        <v>0</v>
      </c>
      <c r="W2731">
        <v>1</v>
      </c>
    </row>
    <row r="2732" spans="1:23" x14ac:dyDescent="0.2">
      <c r="A2732">
        <v>5091273</v>
      </c>
      <c r="B2732" t="s">
        <v>18</v>
      </c>
      <c r="C2732" t="s">
        <v>19</v>
      </c>
      <c r="D2732" t="s">
        <v>20</v>
      </c>
      <c r="E2732">
        <v>0</v>
      </c>
      <c r="F2732">
        <v>67500</v>
      </c>
      <c r="G2732" t="s">
        <v>21</v>
      </c>
      <c r="H2732" t="s">
        <v>27</v>
      </c>
      <c r="I2732" t="s">
        <v>28</v>
      </c>
      <c r="J2732" t="s">
        <v>24</v>
      </c>
      <c r="K2732" s="6">
        <f t="shared" ca="1" si="176"/>
        <v>22320</v>
      </c>
      <c r="L2732">
        <v>-23441</v>
      </c>
      <c r="M2732" s="7">
        <f t="shared" ca="1" si="174"/>
        <v>64.17796030116358</v>
      </c>
      <c r="N2732" s="5" t="str">
        <f ca="1">VLOOKUP(Data!M2732,temp!$B$3:$C$9,2,1)</f>
        <v>60-70</v>
      </c>
      <c r="O2732">
        <v>365243</v>
      </c>
      <c r="P2732" s="8">
        <f t="shared" si="175"/>
        <v>0</v>
      </c>
      <c r="Q2732" s="5" t="str">
        <f t="shared" si="177"/>
        <v>Unemployed</v>
      </c>
      <c r="R2732">
        <v>1</v>
      </c>
      <c r="S2732">
        <v>0</v>
      </c>
      <c r="T2732">
        <v>0</v>
      </c>
      <c r="U2732">
        <v>0</v>
      </c>
      <c r="W2732">
        <v>2</v>
      </c>
    </row>
    <row r="2733" spans="1:23" x14ac:dyDescent="0.2">
      <c r="A2733">
        <v>5091285</v>
      </c>
      <c r="B2733" t="s">
        <v>25</v>
      </c>
      <c r="C2733" t="s">
        <v>20</v>
      </c>
      <c r="D2733" t="s">
        <v>20</v>
      </c>
      <c r="E2733">
        <v>2</v>
      </c>
      <c r="F2733">
        <v>180000</v>
      </c>
      <c r="G2733" t="s">
        <v>31</v>
      </c>
      <c r="H2733" t="s">
        <v>27</v>
      </c>
      <c r="I2733" t="s">
        <v>28</v>
      </c>
      <c r="J2733" t="s">
        <v>24</v>
      </c>
      <c r="K2733" s="6">
        <f t="shared" ca="1" si="176"/>
        <v>31143</v>
      </c>
      <c r="L2733">
        <v>-14618</v>
      </c>
      <c r="M2733" s="7">
        <f t="shared" ca="1" si="174"/>
        <v>40.021902806297057</v>
      </c>
      <c r="N2733" s="5" t="str">
        <f ca="1">VLOOKUP(Data!M2733,temp!$B$3:$C$9,2,1)</f>
        <v>40-50</v>
      </c>
      <c r="O2733">
        <v>-4979</v>
      </c>
      <c r="P2733" s="8">
        <f t="shared" si="175"/>
        <v>13.631759069130732</v>
      </c>
      <c r="Q2733" s="5" t="str">
        <f t="shared" si="177"/>
        <v>Employed</v>
      </c>
      <c r="R2733">
        <v>1</v>
      </c>
      <c r="S2733">
        <v>1</v>
      </c>
      <c r="T2733">
        <v>0</v>
      </c>
      <c r="U2733">
        <v>0</v>
      </c>
      <c r="V2733" t="s">
        <v>29</v>
      </c>
      <c r="W2733">
        <v>4</v>
      </c>
    </row>
    <row r="2734" spans="1:23" x14ac:dyDescent="0.2">
      <c r="A2734">
        <v>5091318</v>
      </c>
      <c r="B2734" t="s">
        <v>18</v>
      </c>
      <c r="C2734" t="s">
        <v>19</v>
      </c>
      <c r="D2734" t="s">
        <v>20</v>
      </c>
      <c r="E2734">
        <v>1</v>
      </c>
      <c r="F2734">
        <v>270000</v>
      </c>
      <c r="G2734" t="s">
        <v>31</v>
      </c>
      <c r="H2734" t="s">
        <v>27</v>
      </c>
      <c r="I2734" t="s">
        <v>37</v>
      </c>
      <c r="J2734" t="s">
        <v>45</v>
      </c>
      <c r="K2734" s="6">
        <f t="shared" ca="1" si="176"/>
        <v>34575</v>
      </c>
      <c r="L2734">
        <v>-11186</v>
      </c>
      <c r="M2734" s="7">
        <f t="shared" ca="1" si="174"/>
        <v>30.625598904859686</v>
      </c>
      <c r="N2734" s="5" t="str">
        <f ca="1">VLOOKUP(Data!M2734,temp!$B$3:$C$9,2,1)</f>
        <v>30-40</v>
      </c>
      <c r="O2734">
        <v>-1753</v>
      </c>
      <c r="P2734" s="8">
        <f t="shared" si="175"/>
        <v>4.7994524298425736</v>
      </c>
      <c r="Q2734" s="5" t="str">
        <f t="shared" si="177"/>
        <v>Employed</v>
      </c>
      <c r="R2734">
        <v>1</v>
      </c>
      <c r="S2734">
        <v>0</v>
      </c>
      <c r="T2734">
        <v>0</v>
      </c>
      <c r="U2734">
        <v>0</v>
      </c>
      <c r="V2734" t="s">
        <v>39</v>
      </c>
      <c r="W2734">
        <v>3</v>
      </c>
    </row>
    <row r="2735" spans="1:23" x14ac:dyDescent="0.2">
      <c r="A2735">
        <v>5091321</v>
      </c>
      <c r="B2735" t="s">
        <v>18</v>
      </c>
      <c r="C2735" t="s">
        <v>19</v>
      </c>
      <c r="D2735" t="s">
        <v>19</v>
      </c>
      <c r="E2735">
        <v>1</v>
      </c>
      <c r="F2735">
        <v>126000</v>
      </c>
      <c r="G2735" t="s">
        <v>26</v>
      </c>
      <c r="H2735" t="s">
        <v>27</v>
      </c>
      <c r="I2735" t="s">
        <v>28</v>
      </c>
      <c r="J2735" t="s">
        <v>24</v>
      </c>
      <c r="K2735" s="6">
        <f t="shared" ca="1" si="176"/>
        <v>31759</v>
      </c>
      <c r="L2735">
        <v>-14002</v>
      </c>
      <c r="M2735" s="7">
        <f t="shared" ca="1" si="174"/>
        <v>38.335386721423681</v>
      </c>
      <c r="N2735" s="5" t="str">
        <f ca="1">VLOOKUP(Data!M2735,temp!$B$3:$C$9,2,1)</f>
        <v>30-40</v>
      </c>
      <c r="O2735">
        <v>-5557</v>
      </c>
      <c r="P2735" s="8">
        <f t="shared" si="175"/>
        <v>15.214236824093087</v>
      </c>
      <c r="Q2735" s="5" t="str">
        <f t="shared" si="177"/>
        <v>Employed</v>
      </c>
      <c r="R2735">
        <v>1</v>
      </c>
      <c r="S2735">
        <v>0</v>
      </c>
      <c r="T2735">
        <v>0</v>
      </c>
      <c r="U2735">
        <v>0</v>
      </c>
      <c r="V2735" t="s">
        <v>29</v>
      </c>
      <c r="W2735">
        <v>3</v>
      </c>
    </row>
    <row r="2736" spans="1:23" x14ac:dyDescent="0.2">
      <c r="A2736">
        <v>5091340</v>
      </c>
      <c r="B2736" t="s">
        <v>18</v>
      </c>
      <c r="C2736" t="s">
        <v>19</v>
      </c>
      <c r="D2736" t="s">
        <v>20</v>
      </c>
      <c r="E2736">
        <v>0</v>
      </c>
      <c r="F2736">
        <v>135000</v>
      </c>
      <c r="G2736" t="s">
        <v>26</v>
      </c>
      <c r="H2736" t="s">
        <v>27</v>
      </c>
      <c r="I2736" t="s">
        <v>28</v>
      </c>
      <c r="J2736" t="s">
        <v>24</v>
      </c>
      <c r="K2736" s="6">
        <f t="shared" ca="1" si="176"/>
        <v>34673</v>
      </c>
      <c r="L2736">
        <v>-11088</v>
      </c>
      <c r="M2736" s="7">
        <f t="shared" ca="1" si="174"/>
        <v>30.357289527720738</v>
      </c>
      <c r="N2736" s="5" t="str">
        <f ca="1">VLOOKUP(Data!M2736,temp!$B$3:$C$9,2,1)</f>
        <v>30-40</v>
      </c>
      <c r="O2736">
        <v>-1447</v>
      </c>
      <c r="P2736" s="8">
        <f t="shared" si="175"/>
        <v>3.9616700889801506</v>
      </c>
      <c r="Q2736" s="5" t="str">
        <f t="shared" si="177"/>
        <v>Employed</v>
      </c>
      <c r="R2736">
        <v>1</v>
      </c>
      <c r="S2736">
        <v>0</v>
      </c>
      <c r="T2736">
        <v>1</v>
      </c>
      <c r="U2736">
        <v>0</v>
      </c>
      <c r="V2736" t="s">
        <v>55</v>
      </c>
      <c r="W2736">
        <v>2</v>
      </c>
    </row>
    <row r="2737" spans="1:23" x14ac:dyDescent="0.2">
      <c r="A2737">
        <v>5091341</v>
      </c>
      <c r="B2737" t="s">
        <v>18</v>
      </c>
      <c r="C2737" t="s">
        <v>19</v>
      </c>
      <c r="D2737" t="s">
        <v>20</v>
      </c>
      <c r="E2737">
        <v>0</v>
      </c>
      <c r="F2737">
        <v>135000</v>
      </c>
      <c r="G2737" t="s">
        <v>26</v>
      </c>
      <c r="H2737" t="s">
        <v>27</v>
      </c>
      <c r="I2737" t="s">
        <v>28</v>
      </c>
      <c r="J2737" t="s">
        <v>24</v>
      </c>
      <c r="K2737" s="6">
        <f t="shared" ca="1" si="176"/>
        <v>34673</v>
      </c>
      <c r="L2737">
        <v>-11088</v>
      </c>
      <c r="M2737" s="7">
        <f t="shared" ca="1" si="174"/>
        <v>30.357289527720738</v>
      </c>
      <c r="N2737" s="5" t="str">
        <f ca="1">VLOOKUP(Data!M2737,temp!$B$3:$C$9,2,1)</f>
        <v>30-40</v>
      </c>
      <c r="O2737">
        <v>-1447</v>
      </c>
      <c r="P2737" s="8">
        <f t="shared" si="175"/>
        <v>3.9616700889801506</v>
      </c>
      <c r="Q2737" s="5" t="str">
        <f t="shared" si="177"/>
        <v>Employed</v>
      </c>
      <c r="R2737">
        <v>1</v>
      </c>
      <c r="S2737">
        <v>0</v>
      </c>
      <c r="T2737">
        <v>1</v>
      </c>
      <c r="U2737">
        <v>0</v>
      </c>
      <c r="V2737" t="s">
        <v>55</v>
      </c>
      <c r="W2737">
        <v>2</v>
      </c>
    </row>
    <row r="2738" spans="1:23" x14ac:dyDescent="0.2">
      <c r="A2738">
        <v>5091350</v>
      </c>
      <c r="B2738" t="s">
        <v>18</v>
      </c>
      <c r="C2738" t="s">
        <v>19</v>
      </c>
      <c r="D2738" t="s">
        <v>20</v>
      </c>
      <c r="E2738">
        <v>1</v>
      </c>
      <c r="F2738">
        <v>225000</v>
      </c>
      <c r="G2738" t="s">
        <v>31</v>
      </c>
      <c r="H2738" t="s">
        <v>27</v>
      </c>
      <c r="I2738" t="s">
        <v>33</v>
      </c>
      <c r="J2738" t="s">
        <v>24</v>
      </c>
      <c r="K2738" s="6">
        <f t="shared" ca="1" si="176"/>
        <v>31292</v>
      </c>
      <c r="L2738">
        <v>-14469</v>
      </c>
      <c r="M2738" s="7">
        <f t="shared" ca="1" si="174"/>
        <v>39.613963039014372</v>
      </c>
      <c r="N2738" s="5" t="str">
        <f ca="1">VLOOKUP(Data!M2738,temp!$B$3:$C$9,2,1)</f>
        <v>30-40</v>
      </c>
      <c r="O2738">
        <v>-504</v>
      </c>
      <c r="P2738" s="8">
        <f t="shared" si="175"/>
        <v>1.3798767967145791</v>
      </c>
      <c r="Q2738" s="5" t="str">
        <f t="shared" si="177"/>
        <v>Employed</v>
      </c>
      <c r="R2738">
        <v>1</v>
      </c>
      <c r="S2738">
        <v>0</v>
      </c>
      <c r="T2738">
        <v>0</v>
      </c>
      <c r="U2738">
        <v>0</v>
      </c>
      <c r="V2738" t="s">
        <v>38</v>
      </c>
      <c r="W2738">
        <v>2</v>
      </c>
    </row>
    <row r="2739" spans="1:23" x14ac:dyDescent="0.2">
      <c r="A2739">
        <v>5091351</v>
      </c>
      <c r="B2739" t="s">
        <v>18</v>
      </c>
      <c r="C2739" t="s">
        <v>19</v>
      </c>
      <c r="D2739" t="s">
        <v>20</v>
      </c>
      <c r="E2739">
        <v>1</v>
      </c>
      <c r="F2739">
        <v>225000</v>
      </c>
      <c r="G2739" t="s">
        <v>31</v>
      </c>
      <c r="H2739" t="s">
        <v>27</v>
      </c>
      <c r="I2739" t="s">
        <v>33</v>
      </c>
      <c r="J2739" t="s">
        <v>24</v>
      </c>
      <c r="K2739" s="6">
        <f t="shared" ca="1" si="176"/>
        <v>31292</v>
      </c>
      <c r="L2739">
        <v>-14469</v>
      </c>
      <c r="M2739" s="7">
        <f t="shared" ca="1" si="174"/>
        <v>39.613963039014372</v>
      </c>
      <c r="N2739" s="5" t="str">
        <f ca="1">VLOOKUP(Data!M2739,temp!$B$3:$C$9,2,1)</f>
        <v>30-40</v>
      </c>
      <c r="O2739">
        <v>-504</v>
      </c>
      <c r="P2739" s="8">
        <f t="shared" si="175"/>
        <v>1.3798767967145791</v>
      </c>
      <c r="Q2739" s="5" t="str">
        <f t="shared" si="177"/>
        <v>Employed</v>
      </c>
      <c r="R2739">
        <v>1</v>
      </c>
      <c r="S2739">
        <v>0</v>
      </c>
      <c r="T2739">
        <v>0</v>
      </c>
      <c r="U2739">
        <v>0</v>
      </c>
      <c r="V2739" t="s">
        <v>38</v>
      </c>
      <c r="W2739">
        <v>2</v>
      </c>
    </row>
    <row r="2740" spans="1:23" x14ac:dyDescent="0.2">
      <c r="A2740">
        <v>5091353</v>
      </c>
      <c r="B2740" t="s">
        <v>18</v>
      </c>
      <c r="C2740" t="s">
        <v>19</v>
      </c>
      <c r="D2740" t="s">
        <v>20</v>
      </c>
      <c r="E2740">
        <v>0</v>
      </c>
      <c r="F2740">
        <v>90000</v>
      </c>
      <c r="G2740" t="s">
        <v>21</v>
      </c>
      <c r="H2740" t="s">
        <v>27</v>
      </c>
      <c r="I2740" t="s">
        <v>28</v>
      </c>
      <c r="J2740" t="s">
        <v>24</v>
      </c>
      <c r="K2740" s="6">
        <f t="shared" ca="1" si="176"/>
        <v>23638</v>
      </c>
      <c r="L2740">
        <v>-22123</v>
      </c>
      <c r="M2740" s="7">
        <f t="shared" ca="1" si="174"/>
        <v>60.569472963723477</v>
      </c>
      <c r="N2740" s="5" t="str">
        <f ca="1">VLOOKUP(Data!M2740,temp!$B$3:$C$9,2,1)</f>
        <v>60-70</v>
      </c>
      <c r="O2740">
        <v>365243</v>
      </c>
      <c r="P2740" s="8">
        <f t="shared" si="175"/>
        <v>0</v>
      </c>
      <c r="Q2740" s="5" t="str">
        <f t="shared" si="177"/>
        <v>Unemployed</v>
      </c>
      <c r="R2740">
        <v>1</v>
      </c>
      <c r="S2740">
        <v>0</v>
      </c>
      <c r="T2740">
        <v>0</v>
      </c>
      <c r="U2740">
        <v>1</v>
      </c>
      <c r="W2740">
        <v>2</v>
      </c>
    </row>
    <row r="2741" spans="1:23" x14ac:dyDescent="0.2">
      <c r="A2741">
        <v>5091359</v>
      </c>
      <c r="B2741" t="s">
        <v>18</v>
      </c>
      <c r="C2741" t="s">
        <v>19</v>
      </c>
      <c r="D2741" t="s">
        <v>20</v>
      </c>
      <c r="E2741">
        <v>0</v>
      </c>
      <c r="F2741">
        <v>90000</v>
      </c>
      <c r="G2741" t="s">
        <v>21</v>
      </c>
      <c r="H2741" t="s">
        <v>27</v>
      </c>
      <c r="I2741" t="s">
        <v>28</v>
      </c>
      <c r="J2741" t="s">
        <v>24</v>
      </c>
      <c r="K2741" s="6">
        <f t="shared" ca="1" si="176"/>
        <v>23638</v>
      </c>
      <c r="L2741">
        <v>-22123</v>
      </c>
      <c r="M2741" s="7">
        <f t="shared" ca="1" si="174"/>
        <v>60.569472963723477</v>
      </c>
      <c r="N2741" s="5" t="str">
        <f ca="1">VLOOKUP(Data!M2741,temp!$B$3:$C$9,2,1)</f>
        <v>60-70</v>
      </c>
      <c r="O2741">
        <v>365243</v>
      </c>
      <c r="P2741" s="8">
        <f t="shared" si="175"/>
        <v>0</v>
      </c>
      <c r="Q2741" s="5" t="str">
        <f t="shared" si="177"/>
        <v>Unemployed</v>
      </c>
      <c r="R2741">
        <v>1</v>
      </c>
      <c r="S2741">
        <v>0</v>
      </c>
      <c r="T2741">
        <v>0</v>
      </c>
      <c r="U2741">
        <v>1</v>
      </c>
      <c r="W2741">
        <v>2</v>
      </c>
    </row>
    <row r="2742" spans="1:23" x14ac:dyDescent="0.2">
      <c r="A2742">
        <v>5091373</v>
      </c>
      <c r="B2742" t="s">
        <v>25</v>
      </c>
      <c r="C2742" t="s">
        <v>20</v>
      </c>
      <c r="D2742" t="s">
        <v>20</v>
      </c>
      <c r="E2742">
        <v>0</v>
      </c>
      <c r="F2742">
        <v>247500</v>
      </c>
      <c r="G2742" t="s">
        <v>31</v>
      </c>
      <c r="H2742" t="s">
        <v>27</v>
      </c>
      <c r="I2742" t="s">
        <v>28</v>
      </c>
      <c r="J2742" t="s">
        <v>24</v>
      </c>
      <c r="K2742" s="6">
        <f t="shared" ca="1" si="176"/>
        <v>30395</v>
      </c>
      <c r="L2742">
        <v>-15366</v>
      </c>
      <c r="M2742" s="7">
        <f t="shared" ca="1" si="174"/>
        <v>42.069815195071868</v>
      </c>
      <c r="N2742" s="5" t="str">
        <f ca="1">VLOOKUP(Data!M2742,temp!$B$3:$C$9,2,1)</f>
        <v>40-50</v>
      </c>
      <c r="O2742">
        <v>-1266</v>
      </c>
      <c r="P2742" s="8">
        <f t="shared" si="175"/>
        <v>3.4661190965092401</v>
      </c>
      <c r="Q2742" s="5" t="str">
        <f t="shared" si="177"/>
        <v>Employed</v>
      </c>
      <c r="R2742">
        <v>1</v>
      </c>
      <c r="S2742">
        <v>1</v>
      </c>
      <c r="T2742">
        <v>1</v>
      </c>
      <c r="U2742">
        <v>0</v>
      </c>
      <c r="V2742" t="s">
        <v>30</v>
      </c>
      <c r="W2742">
        <v>2</v>
      </c>
    </row>
    <row r="2743" spans="1:23" x14ac:dyDescent="0.2">
      <c r="A2743">
        <v>5091374</v>
      </c>
      <c r="B2743" t="s">
        <v>25</v>
      </c>
      <c r="C2743" t="s">
        <v>20</v>
      </c>
      <c r="D2743" t="s">
        <v>20</v>
      </c>
      <c r="E2743">
        <v>0</v>
      </c>
      <c r="F2743">
        <v>247500</v>
      </c>
      <c r="G2743" t="s">
        <v>31</v>
      </c>
      <c r="H2743" t="s">
        <v>27</v>
      </c>
      <c r="I2743" t="s">
        <v>28</v>
      </c>
      <c r="J2743" t="s">
        <v>24</v>
      </c>
      <c r="K2743" s="6">
        <f t="shared" ca="1" si="176"/>
        <v>30395</v>
      </c>
      <c r="L2743">
        <v>-15366</v>
      </c>
      <c r="M2743" s="7">
        <f t="shared" ca="1" si="174"/>
        <v>42.069815195071868</v>
      </c>
      <c r="N2743" s="5" t="str">
        <f ca="1">VLOOKUP(Data!M2743,temp!$B$3:$C$9,2,1)</f>
        <v>40-50</v>
      </c>
      <c r="O2743">
        <v>-1266</v>
      </c>
      <c r="P2743" s="8">
        <f t="shared" si="175"/>
        <v>3.4661190965092401</v>
      </c>
      <c r="Q2743" s="5" t="str">
        <f t="shared" si="177"/>
        <v>Employed</v>
      </c>
      <c r="R2743">
        <v>1</v>
      </c>
      <c r="S2743">
        <v>1</v>
      </c>
      <c r="T2743">
        <v>1</v>
      </c>
      <c r="U2743">
        <v>0</v>
      </c>
      <c r="V2743" t="s">
        <v>30</v>
      </c>
      <c r="W2743">
        <v>2</v>
      </c>
    </row>
    <row r="2744" spans="1:23" x14ac:dyDescent="0.2">
      <c r="A2744">
        <v>5091382</v>
      </c>
      <c r="B2744" t="s">
        <v>18</v>
      </c>
      <c r="C2744" t="s">
        <v>20</v>
      </c>
      <c r="D2744" t="s">
        <v>20</v>
      </c>
      <c r="E2744">
        <v>2</v>
      </c>
      <c r="F2744">
        <v>216000</v>
      </c>
      <c r="G2744" t="s">
        <v>31</v>
      </c>
      <c r="H2744" t="s">
        <v>22</v>
      </c>
      <c r="I2744" t="s">
        <v>28</v>
      </c>
      <c r="J2744" t="s">
        <v>24</v>
      </c>
      <c r="K2744" s="6">
        <f t="shared" ca="1" si="176"/>
        <v>33004</v>
      </c>
      <c r="L2744">
        <v>-12757</v>
      </c>
      <c r="M2744" s="7">
        <f t="shared" ca="1" si="174"/>
        <v>34.926762491444215</v>
      </c>
      <c r="N2744" s="5" t="str">
        <f ca="1">VLOOKUP(Data!M2744,temp!$B$3:$C$9,2,1)</f>
        <v>30-40</v>
      </c>
      <c r="O2744">
        <v>-4887</v>
      </c>
      <c r="P2744" s="8">
        <f t="shared" si="175"/>
        <v>13.379876796714578</v>
      </c>
      <c r="Q2744" s="5" t="str">
        <f t="shared" si="177"/>
        <v>Employed</v>
      </c>
      <c r="R2744">
        <v>1</v>
      </c>
      <c r="S2744">
        <v>0</v>
      </c>
      <c r="T2744">
        <v>0</v>
      </c>
      <c r="U2744">
        <v>0</v>
      </c>
      <c r="V2744" t="s">
        <v>38</v>
      </c>
      <c r="W2744">
        <v>4</v>
      </c>
    </row>
    <row r="2745" spans="1:23" x14ac:dyDescent="0.2">
      <c r="A2745">
        <v>5091389</v>
      </c>
      <c r="B2745" t="s">
        <v>25</v>
      </c>
      <c r="C2745" t="s">
        <v>20</v>
      </c>
      <c r="D2745" t="s">
        <v>20</v>
      </c>
      <c r="E2745">
        <v>0</v>
      </c>
      <c r="F2745">
        <v>337500</v>
      </c>
      <c r="G2745" t="s">
        <v>31</v>
      </c>
      <c r="H2745" t="s">
        <v>27</v>
      </c>
      <c r="I2745" t="s">
        <v>28</v>
      </c>
      <c r="J2745" t="s">
        <v>24</v>
      </c>
      <c r="K2745" s="6">
        <f t="shared" ca="1" si="176"/>
        <v>30392</v>
      </c>
      <c r="L2745">
        <v>-15369</v>
      </c>
      <c r="M2745" s="7">
        <f t="shared" ca="1" si="174"/>
        <v>42.078028747433265</v>
      </c>
      <c r="N2745" s="5" t="str">
        <f ca="1">VLOOKUP(Data!M2745,temp!$B$3:$C$9,2,1)</f>
        <v>40-50</v>
      </c>
      <c r="O2745">
        <v>-5618</v>
      </c>
      <c r="P2745" s="8">
        <f t="shared" si="175"/>
        <v>15.381245722108146</v>
      </c>
      <c r="Q2745" s="5" t="str">
        <f t="shared" si="177"/>
        <v>Employed</v>
      </c>
      <c r="R2745">
        <v>1</v>
      </c>
      <c r="S2745">
        <v>0</v>
      </c>
      <c r="T2745">
        <v>0</v>
      </c>
      <c r="U2745">
        <v>0</v>
      </c>
      <c r="W2745">
        <v>2</v>
      </c>
    </row>
    <row r="2746" spans="1:23" x14ac:dyDescent="0.2">
      <c r="A2746">
        <v>5091401</v>
      </c>
      <c r="B2746" t="s">
        <v>18</v>
      </c>
      <c r="C2746" t="s">
        <v>19</v>
      </c>
      <c r="D2746" t="s">
        <v>19</v>
      </c>
      <c r="E2746">
        <v>0</v>
      </c>
      <c r="F2746">
        <v>135000</v>
      </c>
      <c r="G2746" t="s">
        <v>31</v>
      </c>
      <c r="H2746" t="s">
        <v>27</v>
      </c>
      <c r="I2746" t="s">
        <v>28</v>
      </c>
      <c r="J2746" t="s">
        <v>41</v>
      </c>
      <c r="K2746" s="6">
        <f t="shared" ca="1" si="176"/>
        <v>33483</v>
      </c>
      <c r="L2746">
        <v>-12278</v>
      </c>
      <c r="M2746" s="7">
        <f t="shared" ca="1" si="174"/>
        <v>33.615331964407943</v>
      </c>
      <c r="N2746" s="5" t="str">
        <f ca="1">VLOOKUP(Data!M2746,temp!$B$3:$C$9,2,1)</f>
        <v>30-40</v>
      </c>
      <c r="O2746">
        <v>-869</v>
      </c>
      <c r="P2746" s="8">
        <f t="shared" si="175"/>
        <v>2.3791923340177958</v>
      </c>
      <c r="Q2746" s="5" t="str">
        <f t="shared" si="177"/>
        <v>Employed</v>
      </c>
      <c r="R2746">
        <v>1</v>
      </c>
      <c r="S2746">
        <v>0</v>
      </c>
      <c r="T2746">
        <v>0</v>
      </c>
      <c r="U2746">
        <v>0</v>
      </c>
      <c r="W2746">
        <v>2</v>
      </c>
    </row>
    <row r="2747" spans="1:23" x14ac:dyDescent="0.2">
      <c r="A2747">
        <v>5091406</v>
      </c>
      <c r="B2747" t="s">
        <v>18</v>
      </c>
      <c r="C2747" t="s">
        <v>19</v>
      </c>
      <c r="D2747" t="s">
        <v>20</v>
      </c>
      <c r="E2747">
        <v>0</v>
      </c>
      <c r="F2747">
        <v>135000</v>
      </c>
      <c r="G2747" t="s">
        <v>31</v>
      </c>
      <c r="H2747" t="s">
        <v>27</v>
      </c>
      <c r="I2747" t="s">
        <v>33</v>
      </c>
      <c r="J2747" t="s">
        <v>24</v>
      </c>
      <c r="K2747" s="6">
        <f t="shared" ca="1" si="176"/>
        <v>28182</v>
      </c>
      <c r="L2747">
        <v>-17579</v>
      </c>
      <c r="M2747" s="7">
        <f t="shared" ca="1" si="174"/>
        <v>48.128678986995212</v>
      </c>
      <c r="N2747" s="5" t="str">
        <f ca="1">VLOOKUP(Data!M2747,temp!$B$3:$C$9,2,1)</f>
        <v>40-50</v>
      </c>
      <c r="O2747">
        <v>-1904</v>
      </c>
      <c r="P2747" s="8">
        <f t="shared" si="175"/>
        <v>5.2128678986995212</v>
      </c>
      <c r="Q2747" s="5" t="str">
        <f t="shared" si="177"/>
        <v>Employed</v>
      </c>
      <c r="R2747">
        <v>1</v>
      </c>
      <c r="S2747">
        <v>1</v>
      </c>
      <c r="T2747">
        <v>0</v>
      </c>
      <c r="U2747">
        <v>0</v>
      </c>
      <c r="V2747" t="s">
        <v>29</v>
      </c>
      <c r="W2747">
        <v>1</v>
      </c>
    </row>
    <row r="2748" spans="1:23" x14ac:dyDescent="0.2">
      <c r="A2748">
        <v>5091422</v>
      </c>
      <c r="B2748" t="s">
        <v>18</v>
      </c>
      <c r="C2748" t="s">
        <v>19</v>
      </c>
      <c r="D2748" t="s">
        <v>20</v>
      </c>
      <c r="E2748">
        <v>0</v>
      </c>
      <c r="F2748">
        <v>225000</v>
      </c>
      <c r="G2748" t="s">
        <v>31</v>
      </c>
      <c r="H2748" t="s">
        <v>22</v>
      </c>
      <c r="I2748" t="s">
        <v>28</v>
      </c>
      <c r="J2748" t="s">
        <v>24</v>
      </c>
      <c r="K2748" s="6">
        <f t="shared" ca="1" si="176"/>
        <v>29559</v>
      </c>
      <c r="L2748">
        <v>-16202</v>
      </c>
      <c r="M2748" s="7">
        <f t="shared" ca="1" si="174"/>
        <v>44.358658453114302</v>
      </c>
      <c r="N2748" s="5" t="str">
        <f ca="1">VLOOKUP(Data!M2748,temp!$B$3:$C$9,2,1)</f>
        <v>40-50</v>
      </c>
      <c r="O2748">
        <v>-2939</v>
      </c>
      <c r="P2748" s="8">
        <f t="shared" si="175"/>
        <v>8.046543463381246</v>
      </c>
      <c r="Q2748" s="5" t="str">
        <f t="shared" si="177"/>
        <v>Employed</v>
      </c>
      <c r="R2748">
        <v>1</v>
      </c>
      <c r="S2748">
        <v>1</v>
      </c>
      <c r="T2748">
        <v>1</v>
      </c>
      <c r="U2748">
        <v>0</v>
      </c>
      <c r="V2748" t="s">
        <v>32</v>
      </c>
      <c r="W2748">
        <v>2</v>
      </c>
    </row>
    <row r="2749" spans="1:23" x14ac:dyDescent="0.2">
      <c r="A2749">
        <v>5091425</v>
      </c>
      <c r="B2749" t="s">
        <v>18</v>
      </c>
      <c r="C2749" t="s">
        <v>19</v>
      </c>
      <c r="D2749" t="s">
        <v>20</v>
      </c>
      <c r="E2749">
        <v>0</v>
      </c>
      <c r="F2749">
        <v>225000</v>
      </c>
      <c r="G2749" t="s">
        <v>31</v>
      </c>
      <c r="H2749" t="s">
        <v>22</v>
      </c>
      <c r="I2749" t="s">
        <v>28</v>
      </c>
      <c r="J2749" t="s">
        <v>24</v>
      </c>
      <c r="K2749" s="6">
        <f t="shared" ca="1" si="176"/>
        <v>29559</v>
      </c>
      <c r="L2749">
        <v>-16202</v>
      </c>
      <c r="M2749" s="7">
        <f t="shared" ca="1" si="174"/>
        <v>44.358658453114302</v>
      </c>
      <c r="N2749" s="5" t="str">
        <f ca="1">VLOOKUP(Data!M2749,temp!$B$3:$C$9,2,1)</f>
        <v>40-50</v>
      </c>
      <c r="O2749">
        <v>-2939</v>
      </c>
      <c r="P2749" s="8">
        <f t="shared" si="175"/>
        <v>8.046543463381246</v>
      </c>
      <c r="Q2749" s="5" t="str">
        <f t="shared" si="177"/>
        <v>Employed</v>
      </c>
      <c r="R2749">
        <v>1</v>
      </c>
      <c r="S2749">
        <v>1</v>
      </c>
      <c r="T2749">
        <v>1</v>
      </c>
      <c r="U2749">
        <v>0</v>
      </c>
      <c r="V2749" t="s">
        <v>32</v>
      </c>
      <c r="W2749">
        <v>2</v>
      </c>
    </row>
    <row r="2750" spans="1:23" x14ac:dyDescent="0.2">
      <c r="A2750">
        <v>5091429</v>
      </c>
      <c r="B2750" t="s">
        <v>18</v>
      </c>
      <c r="C2750" t="s">
        <v>19</v>
      </c>
      <c r="D2750" t="s">
        <v>20</v>
      </c>
      <c r="E2750">
        <v>0</v>
      </c>
      <c r="F2750">
        <v>225000</v>
      </c>
      <c r="G2750" t="s">
        <v>31</v>
      </c>
      <c r="H2750" t="s">
        <v>22</v>
      </c>
      <c r="I2750" t="s">
        <v>28</v>
      </c>
      <c r="J2750" t="s">
        <v>24</v>
      </c>
      <c r="K2750" s="6">
        <f t="shared" ca="1" si="176"/>
        <v>29559</v>
      </c>
      <c r="L2750">
        <v>-16202</v>
      </c>
      <c r="M2750" s="7">
        <f t="shared" ca="1" si="174"/>
        <v>44.358658453114302</v>
      </c>
      <c r="N2750" s="5" t="str">
        <f ca="1">VLOOKUP(Data!M2750,temp!$B$3:$C$9,2,1)</f>
        <v>40-50</v>
      </c>
      <c r="O2750">
        <v>-2939</v>
      </c>
      <c r="P2750" s="8">
        <f t="shared" si="175"/>
        <v>8.046543463381246</v>
      </c>
      <c r="Q2750" s="5" t="str">
        <f t="shared" si="177"/>
        <v>Employed</v>
      </c>
      <c r="R2750">
        <v>1</v>
      </c>
      <c r="S2750">
        <v>1</v>
      </c>
      <c r="T2750">
        <v>1</v>
      </c>
      <c r="U2750">
        <v>0</v>
      </c>
      <c r="V2750" t="s">
        <v>32</v>
      </c>
      <c r="W2750">
        <v>2</v>
      </c>
    </row>
    <row r="2751" spans="1:23" x14ac:dyDescent="0.2">
      <c r="A2751">
        <v>5091434</v>
      </c>
      <c r="B2751" t="s">
        <v>18</v>
      </c>
      <c r="C2751" t="s">
        <v>19</v>
      </c>
      <c r="D2751" t="s">
        <v>20</v>
      </c>
      <c r="E2751">
        <v>2</v>
      </c>
      <c r="F2751">
        <v>90000</v>
      </c>
      <c r="G2751" t="s">
        <v>26</v>
      </c>
      <c r="H2751" t="s">
        <v>27</v>
      </c>
      <c r="I2751" t="s">
        <v>28</v>
      </c>
      <c r="J2751" t="s">
        <v>24</v>
      </c>
      <c r="K2751" s="6">
        <f t="shared" ca="1" si="176"/>
        <v>29036</v>
      </c>
      <c r="L2751">
        <v>-16725</v>
      </c>
      <c r="M2751" s="7">
        <f t="shared" ca="1" si="174"/>
        <v>45.790554414784395</v>
      </c>
      <c r="N2751" s="5" t="str">
        <f ca="1">VLOOKUP(Data!M2751,temp!$B$3:$C$9,2,1)</f>
        <v>40-50</v>
      </c>
      <c r="O2751">
        <v>-5618</v>
      </c>
      <c r="P2751" s="8">
        <f t="shared" si="175"/>
        <v>15.381245722108146</v>
      </c>
      <c r="Q2751" s="5" t="str">
        <f t="shared" si="177"/>
        <v>Employed</v>
      </c>
      <c r="R2751">
        <v>1</v>
      </c>
      <c r="S2751">
        <v>0</v>
      </c>
      <c r="T2751">
        <v>0</v>
      </c>
      <c r="U2751">
        <v>0</v>
      </c>
      <c r="V2751" t="s">
        <v>48</v>
      </c>
      <c r="W2751">
        <v>4</v>
      </c>
    </row>
    <row r="2752" spans="1:23" x14ac:dyDescent="0.2">
      <c r="A2752">
        <v>5091436</v>
      </c>
      <c r="B2752" t="s">
        <v>18</v>
      </c>
      <c r="C2752" t="s">
        <v>19</v>
      </c>
      <c r="D2752" t="s">
        <v>20</v>
      </c>
      <c r="E2752">
        <v>2</v>
      </c>
      <c r="F2752">
        <v>90000</v>
      </c>
      <c r="G2752" t="s">
        <v>26</v>
      </c>
      <c r="H2752" t="s">
        <v>27</v>
      </c>
      <c r="I2752" t="s">
        <v>28</v>
      </c>
      <c r="J2752" t="s">
        <v>24</v>
      </c>
      <c r="K2752" s="6">
        <f t="shared" ca="1" si="176"/>
        <v>29036</v>
      </c>
      <c r="L2752">
        <v>-16725</v>
      </c>
      <c r="M2752" s="7">
        <f t="shared" ca="1" si="174"/>
        <v>45.790554414784395</v>
      </c>
      <c r="N2752" s="5" t="str">
        <f ca="1">VLOOKUP(Data!M2752,temp!$B$3:$C$9,2,1)</f>
        <v>40-50</v>
      </c>
      <c r="O2752">
        <v>-5618</v>
      </c>
      <c r="P2752" s="8">
        <f t="shared" si="175"/>
        <v>15.381245722108146</v>
      </c>
      <c r="Q2752" s="5" t="str">
        <f t="shared" si="177"/>
        <v>Employed</v>
      </c>
      <c r="R2752">
        <v>1</v>
      </c>
      <c r="S2752">
        <v>0</v>
      </c>
      <c r="T2752">
        <v>0</v>
      </c>
      <c r="U2752">
        <v>0</v>
      </c>
      <c r="V2752" t="s">
        <v>48</v>
      </c>
      <c r="W2752">
        <v>4</v>
      </c>
    </row>
    <row r="2753" spans="1:23" x14ac:dyDescent="0.2">
      <c r="A2753">
        <v>5091443</v>
      </c>
      <c r="B2753" t="s">
        <v>18</v>
      </c>
      <c r="C2753" t="s">
        <v>19</v>
      </c>
      <c r="D2753" t="s">
        <v>20</v>
      </c>
      <c r="E2753">
        <v>2</v>
      </c>
      <c r="F2753">
        <v>90000</v>
      </c>
      <c r="G2753" t="s">
        <v>26</v>
      </c>
      <c r="H2753" t="s">
        <v>27</v>
      </c>
      <c r="I2753" t="s">
        <v>28</v>
      </c>
      <c r="J2753" t="s">
        <v>24</v>
      </c>
      <c r="K2753" s="6">
        <f t="shared" ca="1" si="176"/>
        <v>29036</v>
      </c>
      <c r="L2753">
        <v>-16725</v>
      </c>
      <c r="M2753" s="7">
        <f t="shared" ca="1" si="174"/>
        <v>45.790554414784395</v>
      </c>
      <c r="N2753" s="5" t="str">
        <f ca="1">VLOOKUP(Data!M2753,temp!$B$3:$C$9,2,1)</f>
        <v>40-50</v>
      </c>
      <c r="O2753">
        <v>-5618</v>
      </c>
      <c r="P2753" s="8">
        <f t="shared" si="175"/>
        <v>15.381245722108146</v>
      </c>
      <c r="Q2753" s="5" t="str">
        <f t="shared" si="177"/>
        <v>Employed</v>
      </c>
      <c r="R2753">
        <v>1</v>
      </c>
      <c r="S2753">
        <v>0</v>
      </c>
      <c r="T2753">
        <v>0</v>
      </c>
      <c r="U2753">
        <v>0</v>
      </c>
      <c r="V2753" t="s">
        <v>48</v>
      </c>
      <c r="W2753">
        <v>4</v>
      </c>
    </row>
    <row r="2754" spans="1:23" x14ac:dyDescent="0.2">
      <c r="A2754">
        <v>5091445</v>
      </c>
      <c r="B2754" t="s">
        <v>18</v>
      </c>
      <c r="C2754" t="s">
        <v>20</v>
      </c>
      <c r="D2754" t="s">
        <v>20</v>
      </c>
      <c r="E2754">
        <v>2</v>
      </c>
      <c r="F2754">
        <v>67500</v>
      </c>
      <c r="G2754" t="s">
        <v>31</v>
      </c>
      <c r="H2754" t="s">
        <v>27</v>
      </c>
      <c r="I2754" t="s">
        <v>28</v>
      </c>
      <c r="J2754" t="s">
        <v>24</v>
      </c>
      <c r="K2754" s="6">
        <f t="shared" ca="1" si="176"/>
        <v>31688</v>
      </c>
      <c r="L2754">
        <v>-14073</v>
      </c>
      <c r="M2754" s="7">
        <f t="shared" ca="1" si="174"/>
        <v>38.529774127310063</v>
      </c>
      <c r="N2754" s="5" t="str">
        <f ca="1">VLOOKUP(Data!M2754,temp!$B$3:$C$9,2,1)</f>
        <v>30-40</v>
      </c>
      <c r="O2754">
        <v>-838</v>
      </c>
      <c r="P2754" s="8">
        <f t="shared" si="175"/>
        <v>2.2943189596167008</v>
      </c>
      <c r="Q2754" s="5" t="str">
        <f t="shared" si="177"/>
        <v>Employed</v>
      </c>
      <c r="R2754">
        <v>1</v>
      </c>
      <c r="S2754">
        <v>0</v>
      </c>
      <c r="T2754">
        <v>1</v>
      </c>
      <c r="U2754">
        <v>0</v>
      </c>
      <c r="V2754" t="s">
        <v>39</v>
      </c>
      <c r="W2754">
        <v>4</v>
      </c>
    </row>
    <row r="2755" spans="1:23" x14ac:dyDescent="0.2">
      <c r="A2755">
        <v>5091465</v>
      </c>
      <c r="B2755" t="s">
        <v>25</v>
      </c>
      <c r="C2755" t="s">
        <v>20</v>
      </c>
      <c r="D2755" t="s">
        <v>20</v>
      </c>
      <c r="E2755">
        <v>0</v>
      </c>
      <c r="F2755">
        <v>112500</v>
      </c>
      <c r="G2755" t="s">
        <v>21</v>
      </c>
      <c r="H2755" t="s">
        <v>22</v>
      </c>
      <c r="I2755" t="s">
        <v>28</v>
      </c>
      <c r="J2755" t="s">
        <v>24</v>
      </c>
      <c r="K2755" s="6">
        <f t="shared" ca="1" si="176"/>
        <v>22382</v>
      </c>
      <c r="L2755">
        <v>-23379</v>
      </c>
      <c r="M2755" s="7">
        <f t="shared" ref="M2755:M2818" ca="1" si="178">(TODAY()-K2755)/365.25</f>
        <v>64.008213552361397</v>
      </c>
      <c r="N2755" s="5" t="str">
        <f ca="1">VLOOKUP(Data!M2755,temp!$B$3:$C$9,2,1)</f>
        <v>60-70</v>
      </c>
      <c r="O2755">
        <v>365243</v>
      </c>
      <c r="P2755" s="8">
        <f t="shared" ref="P2755:P2818" si="179">IF(O2755&lt;=0,ABS(O2755)/365.25,0)</f>
        <v>0</v>
      </c>
      <c r="Q2755" s="5" t="str">
        <f t="shared" si="177"/>
        <v>Unemployed</v>
      </c>
      <c r="R2755">
        <v>1</v>
      </c>
      <c r="S2755">
        <v>0</v>
      </c>
      <c r="T2755">
        <v>0</v>
      </c>
      <c r="U2755">
        <v>0</v>
      </c>
      <c r="W2755">
        <v>2</v>
      </c>
    </row>
    <row r="2756" spans="1:23" x14ac:dyDescent="0.2">
      <c r="A2756">
        <v>5091468</v>
      </c>
      <c r="B2756" t="s">
        <v>18</v>
      </c>
      <c r="C2756" t="s">
        <v>19</v>
      </c>
      <c r="D2756" t="s">
        <v>20</v>
      </c>
      <c r="E2756">
        <v>0</v>
      </c>
      <c r="F2756">
        <v>135000</v>
      </c>
      <c r="G2756" t="s">
        <v>31</v>
      </c>
      <c r="H2756" t="s">
        <v>27</v>
      </c>
      <c r="I2756" t="s">
        <v>28</v>
      </c>
      <c r="J2756" t="s">
        <v>24</v>
      </c>
      <c r="K2756" s="6">
        <f t="shared" ca="1" si="176"/>
        <v>28780</v>
      </c>
      <c r="L2756">
        <v>-16981</v>
      </c>
      <c r="M2756" s="7">
        <f t="shared" ca="1" si="178"/>
        <v>46.491444216290212</v>
      </c>
      <c r="N2756" s="5" t="str">
        <f ca="1">VLOOKUP(Data!M2756,temp!$B$3:$C$9,2,1)</f>
        <v>40-50</v>
      </c>
      <c r="O2756">
        <v>-1478</v>
      </c>
      <c r="P2756" s="8">
        <f t="shared" si="179"/>
        <v>4.046543463381246</v>
      </c>
      <c r="Q2756" s="5" t="str">
        <f t="shared" si="177"/>
        <v>Employed</v>
      </c>
      <c r="R2756">
        <v>1</v>
      </c>
      <c r="S2756">
        <v>0</v>
      </c>
      <c r="T2756">
        <v>1</v>
      </c>
      <c r="U2756">
        <v>0</v>
      </c>
      <c r="W2756">
        <v>2</v>
      </c>
    </row>
    <row r="2757" spans="1:23" x14ac:dyDescent="0.2">
      <c r="A2757">
        <v>5091503</v>
      </c>
      <c r="B2757" t="s">
        <v>18</v>
      </c>
      <c r="C2757" t="s">
        <v>19</v>
      </c>
      <c r="D2757" t="s">
        <v>19</v>
      </c>
      <c r="E2757">
        <v>0</v>
      </c>
      <c r="F2757">
        <v>135000</v>
      </c>
      <c r="G2757" t="s">
        <v>31</v>
      </c>
      <c r="H2757" t="s">
        <v>27</v>
      </c>
      <c r="I2757" t="s">
        <v>28</v>
      </c>
      <c r="J2757" t="s">
        <v>24</v>
      </c>
      <c r="K2757" s="6">
        <f t="shared" ca="1" si="176"/>
        <v>27004</v>
      </c>
      <c r="L2757">
        <v>-18757</v>
      </c>
      <c r="M2757" s="7">
        <f t="shared" ca="1" si="178"/>
        <v>51.353867214236821</v>
      </c>
      <c r="N2757" s="5" t="str">
        <f ca="1">VLOOKUP(Data!M2757,temp!$B$3:$C$9,2,1)</f>
        <v>50-60</v>
      </c>
      <c r="O2757">
        <v>-2057</v>
      </c>
      <c r="P2757" s="8">
        <f t="shared" si="179"/>
        <v>5.631759069130732</v>
      </c>
      <c r="Q2757" s="5" t="str">
        <f t="shared" si="177"/>
        <v>Employed</v>
      </c>
      <c r="R2757">
        <v>1</v>
      </c>
      <c r="S2757">
        <v>0</v>
      </c>
      <c r="T2757">
        <v>0</v>
      </c>
      <c r="U2757">
        <v>0</v>
      </c>
      <c r="V2757" t="s">
        <v>38</v>
      </c>
      <c r="W2757">
        <v>2</v>
      </c>
    </row>
    <row r="2758" spans="1:23" x14ac:dyDescent="0.2">
      <c r="A2758">
        <v>5091508</v>
      </c>
      <c r="B2758" t="s">
        <v>25</v>
      </c>
      <c r="C2758" t="s">
        <v>20</v>
      </c>
      <c r="D2758" t="s">
        <v>20</v>
      </c>
      <c r="E2758">
        <v>0</v>
      </c>
      <c r="F2758">
        <v>157500</v>
      </c>
      <c r="G2758" t="s">
        <v>21</v>
      </c>
      <c r="H2758" t="s">
        <v>27</v>
      </c>
      <c r="I2758" t="s">
        <v>28</v>
      </c>
      <c r="J2758" t="s">
        <v>24</v>
      </c>
      <c r="K2758" s="6">
        <f t="shared" ca="1" si="176"/>
        <v>23030</v>
      </c>
      <c r="L2758">
        <v>-22731</v>
      </c>
      <c r="M2758" s="7">
        <f t="shared" ca="1" si="178"/>
        <v>62.234086242299796</v>
      </c>
      <c r="N2758" s="5" t="str">
        <f ca="1">VLOOKUP(Data!M2758,temp!$B$3:$C$9,2,1)</f>
        <v>60-70</v>
      </c>
      <c r="O2758">
        <v>365243</v>
      </c>
      <c r="P2758" s="8">
        <f t="shared" si="179"/>
        <v>0</v>
      </c>
      <c r="Q2758" s="5" t="str">
        <f t="shared" si="177"/>
        <v>Unemployed</v>
      </c>
      <c r="R2758">
        <v>1</v>
      </c>
      <c r="S2758">
        <v>0</v>
      </c>
      <c r="T2758">
        <v>1</v>
      </c>
      <c r="U2758">
        <v>0</v>
      </c>
      <c r="W2758">
        <v>2</v>
      </c>
    </row>
    <row r="2759" spans="1:23" x14ac:dyDescent="0.2">
      <c r="A2759">
        <v>5091509</v>
      </c>
      <c r="B2759" t="s">
        <v>25</v>
      </c>
      <c r="C2759" t="s">
        <v>20</v>
      </c>
      <c r="D2759" t="s">
        <v>20</v>
      </c>
      <c r="E2759">
        <v>0</v>
      </c>
      <c r="F2759">
        <v>157500</v>
      </c>
      <c r="G2759" t="s">
        <v>21</v>
      </c>
      <c r="H2759" t="s">
        <v>27</v>
      </c>
      <c r="I2759" t="s">
        <v>28</v>
      </c>
      <c r="J2759" t="s">
        <v>24</v>
      </c>
      <c r="K2759" s="6">
        <f t="shared" ca="1" si="176"/>
        <v>23030</v>
      </c>
      <c r="L2759">
        <v>-22731</v>
      </c>
      <c r="M2759" s="7">
        <f t="shared" ca="1" si="178"/>
        <v>62.234086242299796</v>
      </c>
      <c r="N2759" s="5" t="str">
        <f ca="1">VLOOKUP(Data!M2759,temp!$B$3:$C$9,2,1)</f>
        <v>60-70</v>
      </c>
      <c r="O2759">
        <v>365243</v>
      </c>
      <c r="P2759" s="8">
        <f t="shared" si="179"/>
        <v>0</v>
      </c>
      <c r="Q2759" s="5" t="str">
        <f t="shared" si="177"/>
        <v>Unemployed</v>
      </c>
      <c r="R2759">
        <v>1</v>
      </c>
      <c r="S2759">
        <v>0</v>
      </c>
      <c r="T2759">
        <v>1</v>
      </c>
      <c r="U2759">
        <v>0</v>
      </c>
      <c r="W2759">
        <v>2</v>
      </c>
    </row>
    <row r="2760" spans="1:23" x14ac:dyDescent="0.2">
      <c r="A2760">
        <v>5091511</v>
      </c>
      <c r="B2760" t="s">
        <v>25</v>
      </c>
      <c r="C2760" t="s">
        <v>20</v>
      </c>
      <c r="D2760" t="s">
        <v>20</v>
      </c>
      <c r="E2760">
        <v>0</v>
      </c>
      <c r="F2760">
        <v>157500</v>
      </c>
      <c r="G2760" t="s">
        <v>21</v>
      </c>
      <c r="H2760" t="s">
        <v>27</v>
      </c>
      <c r="I2760" t="s">
        <v>28</v>
      </c>
      <c r="J2760" t="s">
        <v>24</v>
      </c>
      <c r="K2760" s="6">
        <f t="shared" ref="K2760:K2823" ca="1" si="180">TODAY()+($L2760)</f>
        <v>23030</v>
      </c>
      <c r="L2760">
        <v>-22731</v>
      </c>
      <c r="M2760" s="7">
        <f t="shared" ca="1" si="178"/>
        <v>62.234086242299796</v>
      </c>
      <c r="N2760" s="5" t="str">
        <f ca="1">VLOOKUP(Data!M2760,temp!$B$3:$C$9,2,1)</f>
        <v>60-70</v>
      </c>
      <c r="O2760">
        <v>365243</v>
      </c>
      <c r="P2760" s="8">
        <f t="shared" si="179"/>
        <v>0</v>
      </c>
      <c r="Q2760" s="5" t="str">
        <f t="shared" ref="Q2760:Q2823" si="181">IF($O2760&gt;0,"Unemployed","Employed")</f>
        <v>Unemployed</v>
      </c>
      <c r="R2760">
        <v>1</v>
      </c>
      <c r="S2760">
        <v>0</v>
      </c>
      <c r="T2760">
        <v>1</v>
      </c>
      <c r="U2760">
        <v>0</v>
      </c>
      <c r="W2760">
        <v>2</v>
      </c>
    </row>
    <row r="2761" spans="1:23" x14ac:dyDescent="0.2">
      <c r="A2761">
        <v>5091529</v>
      </c>
      <c r="B2761" t="s">
        <v>18</v>
      </c>
      <c r="C2761" t="s">
        <v>19</v>
      </c>
      <c r="D2761" t="s">
        <v>20</v>
      </c>
      <c r="E2761">
        <v>1</v>
      </c>
      <c r="F2761">
        <v>211500</v>
      </c>
      <c r="G2761" t="s">
        <v>31</v>
      </c>
      <c r="H2761" t="s">
        <v>22</v>
      </c>
      <c r="I2761" t="s">
        <v>28</v>
      </c>
      <c r="J2761" t="s">
        <v>24</v>
      </c>
      <c r="K2761" s="6">
        <f t="shared" ca="1" si="180"/>
        <v>33319</v>
      </c>
      <c r="L2761">
        <v>-12442</v>
      </c>
      <c r="M2761" s="7">
        <f t="shared" ca="1" si="178"/>
        <v>34.064339493497606</v>
      </c>
      <c r="N2761" s="5" t="str">
        <f ca="1">VLOOKUP(Data!M2761,temp!$B$3:$C$9,2,1)</f>
        <v>30-40</v>
      </c>
      <c r="O2761">
        <v>-2330</v>
      </c>
      <c r="P2761" s="8">
        <f t="shared" si="179"/>
        <v>6.3791923340177963</v>
      </c>
      <c r="Q2761" s="5" t="str">
        <f t="shared" si="181"/>
        <v>Employed</v>
      </c>
      <c r="R2761">
        <v>1</v>
      </c>
      <c r="S2761">
        <v>0</v>
      </c>
      <c r="T2761">
        <v>0</v>
      </c>
      <c r="U2761">
        <v>0</v>
      </c>
      <c r="V2761" t="s">
        <v>38</v>
      </c>
      <c r="W2761">
        <v>3</v>
      </c>
    </row>
    <row r="2762" spans="1:23" x14ac:dyDescent="0.2">
      <c r="A2762">
        <v>5091552</v>
      </c>
      <c r="B2762" t="s">
        <v>18</v>
      </c>
      <c r="C2762" t="s">
        <v>19</v>
      </c>
      <c r="D2762" t="s">
        <v>20</v>
      </c>
      <c r="E2762">
        <v>0</v>
      </c>
      <c r="F2762">
        <v>247500</v>
      </c>
      <c r="G2762" t="s">
        <v>26</v>
      </c>
      <c r="H2762" t="s">
        <v>27</v>
      </c>
      <c r="I2762" t="s">
        <v>28</v>
      </c>
      <c r="J2762" t="s">
        <v>24</v>
      </c>
      <c r="K2762" s="6">
        <f t="shared" ca="1" si="180"/>
        <v>33452</v>
      </c>
      <c r="L2762">
        <v>-12309</v>
      </c>
      <c r="M2762" s="7">
        <f t="shared" ca="1" si="178"/>
        <v>33.700205338809035</v>
      </c>
      <c r="N2762" s="5" t="str">
        <f ca="1">VLOOKUP(Data!M2762,temp!$B$3:$C$9,2,1)</f>
        <v>30-40</v>
      </c>
      <c r="O2762">
        <v>-2788</v>
      </c>
      <c r="P2762" s="8">
        <f t="shared" si="179"/>
        <v>7.6331279945242985</v>
      </c>
      <c r="Q2762" s="5" t="str">
        <f t="shared" si="181"/>
        <v>Employed</v>
      </c>
      <c r="R2762">
        <v>1</v>
      </c>
      <c r="S2762">
        <v>0</v>
      </c>
      <c r="T2762">
        <v>1</v>
      </c>
      <c r="U2762">
        <v>0</v>
      </c>
      <c r="V2762" t="s">
        <v>29</v>
      </c>
      <c r="W2762">
        <v>2</v>
      </c>
    </row>
    <row r="2763" spans="1:23" x14ac:dyDescent="0.2">
      <c r="A2763">
        <v>5091573</v>
      </c>
      <c r="B2763" t="s">
        <v>18</v>
      </c>
      <c r="C2763" t="s">
        <v>19</v>
      </c>
      <c r="D2763" t="s">
        <v>20</v>
      </c>
      <c r="E2763">
        <v>0</v>
      </c>
      <c r="F2763">
        <v>135000</v>
      </c>
      <c r="G2763" t="s">
        <v>21</v>
      </c>
      <c r="H2763" t="s">
        <v>27</v>
      </c>
      <c r="I2763" t="s">
        <v>33</v>
      </c>
      <c r="J2763" t="s">
        <v>24</v>
      </c>
      <c r="K2763" s="6">
        <f t="shared" ca="1" si="180"/>
        <v>25299</v>
      </c>
      <c r="L2763">
        <v>-20462</v>
      </c>
      <c r="M2763" s="7">
        <f t="shared" ca="1" si="178"/>
        <v>56.021902806297057</v>
      </c>
      <c r="N2763" s="5" t="str">
        <f ca="1">VLOOKUP(Data!M2763,temp!$B$3:$C$9,2,1)</f>
        <v>50-60</v>
      </c>
      <c r="O2763">
        <v>365243</v>
      </c>
      <c r="P2763" s="8">
        <f t="shared" si="179"/>
        <v>0</v>
      </c>
      <c r="Q2763" s="5" t="str">
        <f t="shared" si="181"/>
        <v>Unemployed</v>
      </c>
      <c r="R2763">
        <v>1</v>
      </c>
      <c r="S2763">
        <v>0</v>
      </c>
      <c r="T2763">
        <v>1</v>
      </c>
      <c r="U2763">
        <v>0</v>
      </c>
      <c r="W2763">
        <v>1</v>
      </c>
    </row>
    <row r="2764" spans="1:23" x14ac:dyDescent="0.2">
      <c r="A2764">
        <v>5091576</v>
      </c>
      <c r="B2764" t="s">
        <v>18</v>
      </c>
      <c r="C2764" t="s">
        <v>19</v>
      </c>
      <c r="D2764" t="s">
        <v>20</v>
      </c>
      <c r="E2764">
        <v>0</v>
      </c>
      <c r="F2764">
        <v>135000</v>
      </c>
      <c r="G2764" t="s">
        <v>21</v>
      </c>
      <c r="H2764" t="s">
        <v>27</v>
      </c>
      <c r="I2764" t="s">
        <v>33</v>
      </c>
      <c r="J2764" t="s">
        <v>24</v>
      </c>
      <c r="K2764" s="6">
        <f t="shared" ca="1" si="180"/>
        <v>25299</v>
      </c>
      <c r="L2764">
        <v>-20462</v>
      </c>
      <c r="M2764" s="7">
        <f t="shared" ca="1" si="178"/>
        <v>56.021902806297057</v>
      </c>
      <c r="N2764" s="5" t="str">
        <f ca="1">VLOOKUP(Data!M2764,temp!$B$3:$C$9,2,1)</f>
        <v>50-60</v>
      </c>
      <c r="O2764">
        <v>365243</v>
      </c>
      <c r="P2764" s="8">
        <f t="shared" si="179"/>
        <v>0</v>
      </c>
      <c r="Q2764" s="5" t="str">
        <f t="shared" si="181"/>
        <v>Unemployed</v>
      </c>
      <c r="R2764">
        <v>1</v>
      </c>
      <c r="S2764">
        <v>0</v>
      </c>
      <c r="T2764">
        <v>1</v>
      </c>
      <c r="U2764">
        <v>0</v>
      </c>
      <c r="W2764">
        <v>1</v>
      </c>
    </row>
    <row r="2765" spans="1:23" x14ac:dyDescent="0.2">
      <c r="A2765">
        <v>5091577</v>
      </c>
      <c r="B2765" t="s">
        <v>18</v>
      </c>
      <c r="C2765" t="s">
        <v>19</v>
      </c>
      <c r="D2765" t="s">
        <v>20</v>
      </c>
      <c r="E2765">
        <v>0</v>
      </c>
      <c r="F2765">
        <v>135000</v>
      </c>
      <c r="G2765" t="s">
        <v>21</v>
      </c>
      <c r="H2765" t="s">
        <v>27</v>
      </c>
      <c r="I2765" t="s">
        <v>33</v>
      </c>
      <c r="J2765" t="s">
        <v>24</v>
      </c>
      <c r="K2765" s="6">
        <f t="shared" ca="1" si="180"/>
        <v>25299</v>
      </c>
      <c r="L2765">
        <v>-20462</v>
      </c>
      <c r="M2765" s="7">
        <f t="shared" ca="1" si="178"/>
        <v>56.021902806297057</v>
      </c>
      <c r="N2765" s="5" t="str">
        <f ca="1">VLOOKUP(Data!M2765,temp!$B$3:$C$9,2,1)</f>
        <v>50-60</v>
      </c>
      <c r="O2765">
        <v>365243</v>
      </c>
      <c r="P2765" s="8">
        <f t="shared" si="179"/>
        <v>0</v>
      </c>
      <c r="Q2765" s="5" t="str">
        <f t="shared" si="181"/>
        <v>Unemployed</v>
      </c>
      <c r="R2765">
        <v>1</v>
      </c>
      <c r="S2765">
        <v>0</v>
      </c>
      <c r="T2765">
        <v>1</v>
      </c>
      <c r="U2765">
        <v>0</v>
      </c>
      <c r="W2765">
        <v>1</v>
      </c>
    </row>
    <row r="2766" spans="1:23" x14ac:dyDescent="0.2">
      <c r="A2766">
        <v>5091579</v>
      </c>
      <c r="B2766" t="s">
        <v>18</v>
      </c>
      <c r="C2766" t="s">
        <v>19</v>
      </c>
      <c r="D2766" t="s">
        <v>19</v>
      </c>
      <c r="E2766">
        <v>2</v>
      </c>
      <c r="F2766">
        <v>225000</v>
      </c>
      <c r="G2766" t="s">
        <v>31</v>
      </c>
      <c r="H2766" t="s">
        <v>27</v>
      </c>
      <c r="I2766" t="s">
        <v>28</v>
      </c>
      <c r="J2766" t="s">
        <v>41</v>
      </c>
      <c r="K2766" s="6">
        <f t="shared" ca="1" si="180"/>
        <v>33517</v>
      </c>
      <c r="L2766">
        <v>-12244</v>
      </c>
      <c r="M2766" s="7">
        <f t="shared" ca="1" si="178"/>
        <v>33.522245037645447</v>
      </c>
      <c r="N2766" s="5" t="str">
        <f ca="1">VLOOKUP(Data!M2766,temp!$B$3:$C$9,2,1)</f>
        <v>30-40</v>
      </c>
      <c r="O2766">
        <v>-2361</v>
      </c>
      <c r="P2766" s="8">
        <f t="shared" si="179"/>
        <v>6.4640657084188913</v>
      </c>
      <c r="Q2766" s="5" t="str">
        <f t="shared" si="181"/>
        <v>Employed</v>
      </c>
      <c r="R2766">
        <v>1</v>
      </c>
      <c r="S2766">
        <v>0</v>
      </c>
      <c r="T2766">
        <v>0</v>
      </c>
      <c r="U2766">
        <v>0</v>
      </c>
      <c r="V2766" t="s">
        <v>39</v>
      </c>
      <c r="W2766">
        <v>4</v>
      </c>
    </row>
    <row r="2767" spans="1:23" x14ac:dyDescent="0.2">
      <c r="A2767">
        <v>5091607</v>
      </c>
      <c r="B2767" t="s">
        <v>25</v>
      </c>
      <c r="C2767" t="s">
        <v>19</v>
      </c>
      <c r="D2767" t="s">
        <v>19</v>
      </c>
      <c r="E2767">
        <v>0</v>
      </c>
      <c r="F2767">
        <v>90000</v>
      </c>
      <c r="G2767" t="s">
        <v>26</v>
      </c>
      <c r="H2767" t="s">
        <v>22</v>
      </c>
      <c r="I2767" t="s">
        <v>33</v>
      </c>
      <c r="J2767" t="s">
        <v>41</v>
      </c>
      <c r="K2767" s="6">
        <f t="shared" ca="1" si="180"/>
        <v>36459</v>
      </c>
      <c r="L2767">
        <v>-9302</v>
      </c>
      <c r="M2767" s="7">
        <f t="shared" ca="1" si="178"/>
        <v>25.467488021902806</v>
      </c>
      <c r="N2767" s="5" t="str">
        <f ca="1">VLOOKUP(Data!M2767,temp!$B$3:$C$9,2,1)</f>
        <v>20-30</v>
      </c>
      <c r="O2767">
        <v>-1722</v>
      </c>
      <c r="P2767" s="8">
        <f t="shared" si="179"/>
        <v>4.7145790554414786</v>
      </c>
      <c r="Q2767" s="5" t="str">
        <f t="shared" si="181"/>
        <v>Employed</v>
      </c>
      <c r="R2767">
        <v>1</v>
      </c>
      <c r="S2767">
        <v>1</v>
      </c>
      <c r="T2767">
        <v>0</v>
      </c>
      <c r="U2767">
        <v>0</v>
      </c>
      <c r="V2767" t="s">
        <v>30</v>
      </c>
      <c r="W2767">
        <v>1</v>
      </c>
    </row>
    <row r="2768" spans="1:23" x14ac:dyDescent="0.2">
      <c r="A2768">
        <v>5091610</v>
      </c>
      <c r="B2768" t="s">
        <v>25</v>
      </c>
      <c r="C2768" t="s">
        <v>20</v>
      </c>
      <c r="D2768" t="s">
        <v>20</v>
      </c>
      <c r="E2768">
        <v>2</v>
      </c>
      <c r="F2768">
        <v>225000</v>
      </c>
      <c r="G2768" t="s">
        <v>26</v>
      </c>
      <c r="H2768" t="s">
        <v>22</v>
      </c>
      <c r="I2768" t="s">
        <v>28</v>
      </c>
      <c r="J2768" t="s">
        <v>24</v>
      </c>
      <c r="K2768" s="6">
        <f t="shared" ca="1" si="180"/>
        <v>27097</v>
      </c>
      <c r="L2768">
        <v>-18664</v>
      </c>
      <c r="M2768" s="7">
        <f t="shared" ca="1" si="178"/>
        <v>51.09924709103354</v>
      </c>
      <c r="N2768" s="5" t="str">
        <f ca="1">VLOOKUP(Data!M2768,temp!$B$3:$C$9,2,1)</f>
        <v>50-60</v>
      </c>
      <c r="O2768">
        <v>-6560</v>
      </c>
      <c r="P2768" s="8">
        <f t="shared" si="179"/>
        <v>17.960301163586585</v>
      </c>
      <c r="Q2768" s="5" t="str">
        <f t="shared" si="181"/>
        <v>Employed</v>
      </c>
      <c r="R2768">
        <v>1</v>
      </c>
      <c r="S2768">
        <v>1</v>
      </c>
      <c r="T2768">
        <v>0</v>
      </c>
      <c r="U2768">
        <v>0</v>
      </c>
      <c r="V2768" t="s">
        <v>32</v>
      </c>
      <c r="W2768">
        <v>4</v>
      </c>
    </row>
    <row r="2769" spans="1:23" x14ac:dyDescent="0.2">
      <c r="A2769">
        <v>5091611</v>
      </c>
      <c r="B2769" t="s">
        <v>25</v>
      </c>
      <c r="C2769" t="s">
        <v>20</v>
      </c>
      <c r="D2769" t="s">
        <v>20</v>
      </c>
      <c r="E2769">
        <v>0</v>
      </c>
      <c r="F2769">
        <v>180000</v>
      </c>
      <c r="G2769" t="s">
        <v>31</v>
      </c>
      <c r="H2769" t="s">
        <v>27</v>
      </c>
      <c r="I2769" t="s">
        <v>28</v>
      </c>
      <c r="J2769" t="s">
        <v>24</v>
      </c>
      <c r="K2769" s="6">
        <f t="shared" ca="1" si="180"/>
        <v>36368</v>
      </c>
      <c r="L2769">
        <v>-9393</v>
      </c>
      <c r="M2769" s="7">
        <f t="shared" ca="1" si="178"/>
        <v>25.716632443531829</v>
      </c>
      <c r="N2769" s="5" t="str">
        <f ca="1">VLOOKUP(Data!M2769,temp!$B$3:$C$9,2,1)</f>
        <v>20-30</v>
      </c>
      <c r="O2769">
        <v>-2757</v>
      </c>
      <c r="P2769" s="8">
        <f t="shared" si="179"/>
        <v>7.5482546201232035</v>
      </c>
      <c r="Q2769" s="5" t="str">
        <f t="shared" si="181"/>
        <v>Employed</v>
      </c>
      <c r="R2769">
        <v>1</v>
      </c>
      <c r="S2769">
        <v>1</v>
      </c>
      <c r="T2769">
        <v>1</v>
      </c>
      <c r="U2769">
        <v>0</v>
      </c>
      <c r="V2769" t="s">
        <v>29</v>
      </c>
      <c r="W2769">
        <v>2</v>
      </c>
    </row>
    <row r="2770" spans="1:23" x14ac:dyDescent="0.2">
      <c r="A2770">
        <v>5091613</v>
      </c>
      <c r="B2770" t="s">
        <v>25</v>
      </c>
      <c r="C2770" t="s">
        <v>20</v>
      </c>
      <c r="D2770" t="s">
        <v>20</v>
      </c>
      <c r="E2770">
        <v>0</v>
      </c>
      <c r="F2770">
        <v>180000</v>
      </c>
      <c r="G2770" t="s">
        <v>31</v>
      </c>
      <c r="H2770" t="s">
        <v>27</v>
      </c>
      <c r="I2770" t="s">
        <v>28</v>
      </c>
      <c r="J2770" t="s">
        <v>24</v>
      </c>
      <c r="K2770" s="6">
        <f t="shared" ca="1" si="180"/>
        <v>36368</v>
      </c>
      <c r="L2770">
        <v>-9393</v>
      </c>
      <c r="M2770" s="7">
        <f t="shared" ca="1" si="178"/>
        <v>25.716632443531829</v>
      </c>
      <c r="N2770" s="5" t="str">
        <f ca="1">VLOOKUP(Data!M2770,temp!$B$3:$C$9,2,1)</f>
        <v>20-30</v>
      </c>
      <c r="O2770">
        <v>-2757</v>
      </c>
      <c r="P2770" s="8">
        <f t="shared" si="179"/>
        <v>7.5482546201232035</v>
      </c>
      <c r="Q2770" s="5" t="str">
        <f t="shared" si="181"/>
        <v>Employed</v>
      </c>
      <c r="R2770">
        <v>1</v>
      </c>
      <c r="S2770">
        <v>1</v>
      </c>
      <c r="T2770">
        <v>1</v>
      </c>
      <c r="U2770">
        <v>0</v>
      </c>
      <c r="V2770" t="s">
        <v>29</v>
      </c>
      <c r="W2770">
        <v>2</v>
      </c>
    </row>
    <row r="2771" spans="1:23" x14ac:dyDescent="0.2">
      <c r="A2771">
        <v>5091620</v>
      </c>
      <c r="B2771" t="s">
        <v>18</v>
      </c>
      <c r="C2771" t="s">
        <v>20</v>
      </c>
      <c r="D2771" t="s">
        <v>20</v>
      </c>
      <c r="E2771">
        <v>0</v>
      </c>
      <c r="F2771">
        <v>135000</v>
      </c>
      <c r="G2771" t="s">
        <v>26</v>
      </c>
      <c r="H2771" t="s">
        <v>22</v>
      </c>
      <c r="I2771" t="s">
        <v>28</v>
      </c>
      <c r="J2771" t="s">
        <v>24</v>
      </c>
      <c r="K2771" s="6">
        <f t="shared" ca="1" si="180"/>
        <v>33748</v>
      </c>
      <c r="L2771">
        <v>-12013</v>
      </c>
      <c r="M2771" s="7">
        <f t="shared" ca="1" si="178"/>
        <v>32.889801505817935</v>
      </c>
      <c r="N2771" s="5" t="str">
        <f ca="1">VLOOKUP(Data!M2771,temp!$B$3:$C$9,2,1)</f>
        <v>30-40</v>
      </c>
      <c r="O2771">
        <v>-3973</v>
      </c>
      <c r="P2771" s="8">
        <f t="shared" si="179"/>
        <v>10.877481177275838</v>
      </c>
      <c r="Q2771" s="5" t="str">
        <f t="shared" si="181"/>
        <v>Employed</v>
      </c>
      <c r="R2771">
        <v>1</v>
      </c>
      <c r="S2771">
        <v>1</v>
      </c>
      <c r="T2771">
        <v>0</v>
      </c>
      <c r="U2771">
        <v>0</v>
      </c>
      <c r="V2771" t="s">
        <v>44</v>
      </c>
      <c r="W2771">
        <v>2</v>
      </c>
    </row>
    <row r="2772" spans="1:23" x14ac:dyDescent="0.2">
      <c r="A2772">
        <v>5091621</v>
      </c>
      <c r="B2772" t="s">
        <v>18</v>
      </c>
      <c r="C2772" t="s">
        <v>20</v>
      </c>
      <c r="D2772" t="s">
        <v>20</v>
      </c>
      <c r="E2772">
        <v>0</v>
      </c>
      <c r="F2772">
        <v>135000</v>
      </c>
      <c r="G2772" t="s">
        <v>26</v>
      </c>
      <c r="H2772" t="s">
        <v>22</v>
      </c>
      <c r="I2772" t="s">
        <v>28</v>
      </c>
      <c r="J2772" t="s">
        <v>24</v>
      </c>
      <c r="K2772" s="6">
        <f t="shared" ca="1" si="180"/>
        <v>33748</v>
      </c>
      <c r="L2772">
        <v>-12013</v>
      </c>
      <c r="M2772" s="7">
        <f t="shared" ca="1" si="178"/>
        <v>32.889801505817935</v>
      </c>
      <c r="N2772" s="5" t="str">
        <f ca="1">VLOOKUP(Data!M2772,temp!$B$3:$C$9,2,1)</f>
        <v>30-40</v>
      </c>
      <c r="O2772">
        <v>-3973</v>
      </c>
      <c r="P2772" s="8">
        <f t="shared" si="179"/>
        <v>10.877481177275838</v>
      </c>
      <c r="Q2772" s="5" t="str">
        <f t="shared" si="181"/>
        <v>Employed</v>
      </c>
      <c r="R2772">
        <v>1</v>
      </c>
      <c r="S2772">
        <v>1</v>
      </c>
      <c r="T2772">
        <v>0</v>
      </c>
      <c r="U2772">
        <v>0</v>
      </c>
      <c r="V2772" t="s">
        <v>44</v>
      </c>
      <c r="W2772">
        <v>2</v>
      </c>
    </row>
    <row r="2773" spans="1:23" x14ac:dyDescent="0.2">
      <c r="A2773">
        <v>5091624</v>
      </c>
      <c r="B2773" t="s">
        <v>18</v>
      </c>
      <c r="C2773" t="s">
        <v>19</v>
      </c>
      <c r="D2773" t="s">
        <v>20</v>
      </c>
      <c r="E2773">
        <v>0</v>
      </c>
      <c r="F2773">
        <v>202500</v>
      </c>
      <c r="G2773" t="s">
        <v>31</v>
      </c>
      <c r="H2773" t="s">
        <v>27</v>
      </c>
      <c r="I2773" t="s">
        <v>28</v>
      </c>
      <c r="J2773" t="s">
        <v>24</v>
      </c>
      <c r="K2773" s="6">
        <f t="shared" ca="1" si="180"/>
        <v>26330</v>
      </c>
      <c r="L2773">
        <v>-19431</v>
      </c>
      <c r="M2773" s="7">
        <f t="shared" ca="1" si="178"/>
        <v>53.199178644763862</v>
      </c>
      <c r="N2773" s="5" t="str">
        <f ca="1">VLOOKUP(Data!M2773,temp!$B$3:$C$9,2,1)</f>
        <v>50-60</v>
      </c>
      <c r="O2773">
        <v>-6226</v>
      </c>
      <c r="P2773" s="8">
        <f t="shared" si="179"/>
        <v>17.045859000684462</v>
      </c>
      <c r="Q2773" s="5" t="str">
        <f t="shared" si="181"/>
        <v>Employed</v>
      </c>
      <c r="R2773">
        <v>1</v>
      </c>
      <c r="S2773">
        <v>0</v>
      </c>
      <c r="T2773">
        <v>0</v>
      </c>
      <c r="U2773">
        <v>0</v>
      </c>
      <c r="V2773" t="s">
        <v>47</v>
      </c>
      <c r="W2773">
        <v>2</v>
      </c>
    </row>
    <row r="2774" spans="1:23" x14ac:dyDescent="0.2">
      <c r="A2774">
        <v>5091625</v>
      </c>
      <c r="B2774" t="s">
        <v>18</v>
      </c>
      <c r="C2774" t="s">
        <v>19</v>
      </c>
      <c r="D2774" t="s">
        <v>20</v>
      </c>
      <c r="E2774">
        <v>0</v>
      </c>
      <c r="F2774">
        <v>202500</v>
      </c>
      <c r="G2774" t="s">
        <v>31</v>
      </c>
      <c r="H2774" t="s">
        <v>27</v>
      </c>
      <c r="I2774" t="s">
        <v>28</v>
      </c>
      <c r="J2774" t="s">
        <v>24</v>
      </c>
      <c r="K2774" s="6">
        <f t="shared" ca="1" si="180"/>
        <v>26330</v>
      </c>
      <c r="L2774">
        <v>-19431</v>
      </c>
      <c r="M2774" s="7">
        <f t="shared" ca="1" si="178"/>
        <v>53.199178644763862</v>
      </c>
      <c r="N2774" s="5" t="str">
        <f ca="1">VLOOKUP(Data!M2774,temp!$B$3:$C$9,2,1)</f>
        <v>50-60</v>
      </c>
      <c r="O2774">
        <v>-6226</v>
      </c>
      <c r="P2774" s="8">
        <f t="shared" si="179"/>
        <v>17.045859000684462</v>
      </c>
      <c r="Q2774" s="5" t="str">
        <f t="shared" si="181"/>
        <v>Employed</v>
      </c>
      <c r="R2774">
        <v>1</v>
      </c>
      <c r="S2774">
        <v>0</v>
      </c>
      <c r="T2774">
        <v>0</v>
      </c>
      <c r="U2774">
        <v>0</v>
      </c>
      <c r="V2774" t="s">
        <v>47</v>
      </c>
      <c r="W2774">
        <v>2</v>
      </c>
    </row>
    <row r="2775" spans="1:23" x14ac:dyDescent="0.2">
      <c r="A2775">
        <v>5091629</v>
      </c>
      <c r="B2775" t="s">
        <v>18</v>
      </c>
      <c r="C2775" t="s">
        <v>19</v>
      </c>
      <c r="D2775" t="s">
        <v>20</v>
      </c>
      <c r="E2775">
        <v>0</v>
      </c>
      <c r="F2775">
        <v>202500</v>
      </c>
      <c r="G2775" t="s">
        <v>31</v>
      </c>
      <c r="H2775" t="s">
        <v>27</v>
      </c>
      <c r="I2775" t="s">
        <v>28</v>
      </c>
      <c r="J2775" t="s">
        <v>24</v>
      </c>
      <c r="K2775" s="6">
        <f t="shared" ca="1" si="180"/>
        <v>26330</v>
      </c>
      <c r="L2775">
        <v>-19431</v>
      </c>
      <c r="M2775" s="7">
        <f t="shared" ca="1" si="178"/>
        <v>53.199178644763862</v>
      </c>
      <c r="N2775" s="5" t="str">
        <f ca="1">VLOOKUP(Data!M2775,temp!$B$3:$C$9,2,1)</f>
        <v>50-60</v>
      </c>
      <c r="O2775">
        <v>-6226</v>
      </c>
      <c r="P2775" s="8">
        <f t="shared" si="179"/>
        <v>17.045859000684462</v>
      </c>
      <c r="Q2775" s="5" t="str">
        <f t="shared" si="181"/>
        <v>Employed</v>
      </c>
      <c r="R2775">
        <v>1</v>
      </c>
      <c r="S2775">
        <v>0</v>
      </c>
      <c r="T2775">
        <v>0</v>
      </c>
      <c r="U2775">
        <v>0</v>
      </c>
      <c r="V2775" t="s">
        <v>47</v>
      </c>
      <c r="W2775">
        <v>2</v>
      </c>
    </row>
    <row r="2776" spans="1:23" x14ac:dyDescent="0.2">
      <c r="A2776">
        <v>5091641</v>
      </c>
      <c r="B2776" t="s">
        <v>25</v>
      </c>
      <c r="C2776" t="s">
        <v>20</v>
      </c>
      <c r="D2776" t="s">
        <v>20</v>
      </c>
      <c r="E2776">
        <v>0</v>
      </c>
      <c r="F2776">
        <v>202500</v>
      </c>
      <c r="G2776" t="s">
        <v>31</v>
      </c>
      <c r="H2776" t="s">
        <v>27</v>
      </c>
      <c r="I2776" t="s">
        <v>33</v>
      </c>
      <c r="J2776" t="s">
        <v>24</v>
      </c>
      <c r="K2776" s="6">
        <f t="shared" ca="1" si="180"/>
        <v>27668</v>
      </c>
      <c r="L2776">
        <v>-18093</v>
      </c>
      <c r="M2776" s="7">
        <f t="shared" ca="1" si="178"/>
        <v>49.535934291581107</v>
      </c>
      <c r="N2776" s="5" t="str">
        <f ca="1">VLOOKUP(Data!M2776,temp!$B$3:$C$9,2,1)</f>
        <v>40-50</v>
      </c>
      <c r="O2776">
        <v>-3061</v>
      </c>
      <c r="P2776" s="8">
        <f t="shared" si="179"/>
        <v>8.3805612594113619</v>
      </c>
      <c r="Q2776" s="5" t="str">
        <f t="shared" si="181"/>
        <v>Employed</v>
      </c>
      <c r="R2776">
        <v>1</v>
      </c>
      <c r="S2776">
        <v>0</v>
      </c>
      <c r="T2776">
        <v>0</v>
      </c>
      <c r="U2776">
        <v>0</v>
      </c>
      <c r="W2776">
        <v>1</v>
      </c>
    </row>
    <row r="2777" spans="1:23" x14ac:dyDescent="0.2">
      <c r="A2777">
        <v>5091657</v>
      </c>
      <c r="B2777" t="s">
        <v>18</v>
      </c>
      <c r="C2777" t="s">
        <v>19</v>
      </c>
      <c r="D2777" t="s">
        <v>20</v>
      </c>
      <c r="E2777">
        <v>1</v>
      </c>
      <c r="F2777">
        <v>360000</v>
      </c>
      <c r="G2777" t="s">
        <v>26</v>
      </c>
      <c r="H2777" t="s">
        <v>27</v>
      </c>
      <c r="I2777" t="s">
        <v>28</v>
      </c>
      <c r="J2777" t="s">
        <v>24</v>
      </c>
      <c r="K2777" s="6">
        <f t="shared" ca="1" si="180"/>
        <v>28655</v>
      </c>
      <c r="L2777">
        <v>-17106</v>
      </c>
      <c r="M2777" s="7">
        <f t="shared" ca="1" si="178"/>
        <v>46.833675564681727</v>
      </c>
      <c r="N2777" s="5" t="str">
        <f ca="1">VLOOKUP(Data!M2777,temp!$B$3:$C$9,2,1)</f>
        <v>40-50</v>
      </c>
      <c r="O2777">
        <v>-2849</v>
      </c>
      <c r="P2777" s="8">
        <f t="shared" si="179"/>
        <v>7.8001368925393564</v>
      </c>
      <c r="Q2777" s="5" t="str">
        <f t="shared" si="181"/>
        <v>Employed</v>
      </c>
      <c r="R2777">
        <v>1</v>
      </c>
      <c r="S2777">
        <v>0</v>
      </c>
      <c r="T2777">
        <v>0</v>
      </c>
      <c r="U2777">
        <v>0</v>
      </c>
      <c r="V2777" t="s">
        <v>32</v>
      </c>
      <c r="W2777">
        <v>3</v>
      </c>
    </row>
    <row r="2778" spans="1:23" x14ac:dyDescent="0.2">
      <c r="A2778">
        <v>5091663</v>
      </c>
      <c r="B2778" t="s">
        <v>18</v>
      </c>
      <c r="C2778" t="s">
        <v>19</v>
      </c>
      <c r="D2778" t="s">
        <v>20</v>
      </c>
      <c r="E2778">
        <v>1</v>
      </c>
      <c r="F2778">
        <v>360000</v>
      </c>
      <c r="G2778" t="s">
        <v>26</v>
      </c>
      <c r="H2778" t="s">
        <v>27</v>
      </c>
      <c r="I2778" t="s">
        <v>28</v>
      </c>
      <c r="J2778" t="s">
        <v>24</v>
      </c>
      <c r="K2778" s="6">
        <f t="shared" ca="1" si="180"/>
        <v>28655</v>
      </c>
      <c r="L2778">
        <v>-17106</v>
      </c>
      <c r="M2778" s="7">
        <f t="shared" ca="1" si="178"/>
        <v>46.833675564681727</v>
      </c>
      <c r="N2778" s="5" t="str">
        <f ca="1">VLOOKUP(Data!M2778,temp!$B$3:$C$9,2,1)</f>
        <v>40-50</v>
      </c>
      <c r="O2778">
        <v>-2849</v>
      </c>
      <c r="P2778" s="8">
        <f t="shared" si="179"/>
        <v>7.8001368925393564</v>
      </c>
      <c r="Q2778" s="5" t="str">
        <f t="shared" si="181"/>
        <v>Employed</v>
      </c>
      <c r="R2778">
        <v>1</v>
      </c>
      <c r="S2778">
        <v>0</v>
      </c>
      <c r="T2778">
        <v>0</v>
      </c>
      <c r="U2778">
        <v>0</v>
      </c>
      <c r="V2778" t="s">
        <v>32</v>
      </c>
      <c r="W2778">
        <v>3</v>
      </c>
    </row>
    <row r="2779" spans="1:23" x14ac:dyDescent="0.2">
      <c r="A2779">
        <v>5091667</v>
      </c>
      <c r="B2779" t="s">
        <v>18</v>
      </c>
      <c r="C2779" t="s">
        <v>19</v>
      </c>
      <c r="D2779" t="s">
        <v>20</v>
      </c>
      <c r="E2779">
        <v>1</v>
      </c>
      <c r="F2779">
        <v>360000</v>
      </c>
      <c r="G2779" t="s">
        <v>26</v>
      </c>
      <c r="H2779" t="s">
        <v>27</v>
      </c>
      <c r="I2779" t="s">
        <v>28</v>
      </c>
      <c r="J2779" t="s">
        <v>24</v>
      </c>
      <c r="K2779" s="6">
        <f t="shared" ca="1" si="180"/>
        <v>28655</v>
      </c>
      <c r="L2779">
        <v>-17106</v>
      </c>
      <c r="M2779" s="7">
        <f t="shared" ca="1" si="178"/>
        <v>46.833675564681727</v>
      </c>
      <c r="N2779" s="5" t="str">
        <f ca="1">VLOOKUP(Data!M2779,temp!$B$3:$C$9,2,1)</f>
        <v>40-50</v>
      </c>
      <c r="O2779">
        <v>-2849</v>
      </c>
      <c r="P2779" s="8">
        <f t="shared" si="179"/>
        <v>7.8001368925393564</v>
      </c>
      <c r="Q2779" s="5" t="str">
        <f t="shared" si="181"/>
        <v>Employed</v>
      </c>
      <c r="R2779">
        <v>1</v>
      </c>
      <c r="S2779">
        <v>0</v>
      </c>
      <c r="T2779">
        <v>0</v>
      </c>
      <c r="U2779">
        <v>0</v>
      </c>
      <c r="V2779" t="s">
        <v>32</v>
      </c>
      <c r="W2779">
        <v>3</v>
      </c>
    </row>
    <row r="2780" spans="1:23" x14ac:dyDescent="0.2">
      <c r="A2780">
        <v>5091682</v>
      </c>
      <c r="B2780" t="s">
        <v>18</v>
      </c>
      <c r="C2780" t="s">
        <v>19</v>
      </c>
      <c r="D2780" t="s">
        <v>20</v>
      </c>
      <c r="E2780">
        <v>0</v>
      </c>
      <c r="F2780">
        <v>112500</v>
      </c>
      <c r="G2780" t="s">
        <v>21</v>
      </c>
      <c r="H2780" t="s">
        <v>27</v>
      </c>
      <c r="I2780" t="s">
        <v>28</v>
      </c>
      <c r="J2780" t="s">
        <v>24</v>
      </c>
      <c r="K2780" s="6">
        <f t="shared" ca="1" si="180"/>
        <v>22735</v>
      </c>
      <c r="L2780">
        <v>-23026</v>
      </c>
      <c r="M2780" s="7">
        <f t="shared" ca="1" si="178"/>
        <v>63.041752224503767</v>
      </c>
      <c r="N2780" s="5" t="str">
        <f ca="1">VLOOKUP(Data!M2780,temp!$B$3:$C$9,2,1)</f>
        <v>60-70</v>
      </c>
      <c r="O2780">
        <v>365243</v>
      </c>
      <c r="P2780" s="8">
        <f t="shared" si="179"/>
        <v>0</v>
      </c>
      <c r="Q2780" s="5" t="str">
        <f t="shared" si="181"/>
        <v>Unemployed</v>
      </c>
      <c r="R2780">
        <v>1</v>
      </c>
      <c r="S2780">
        <v>0</v>
      </c>
      <c r="T2780">
        <v>0</v>
      </c>
      <c r="U2780">
        <v>0</v>
      </c>
      <c r="W2780">
        <v>2</v>
      </c>
    </row>
    <row r="2781" spans="1:23" x14ac:dyDescent="0.2">
      <c r="A2781">
        <v>5091687</v>
      </c>
      <c r="B2781" t="s">
        <v>18</v>
      </c>
      <c r="C2781" t="s">
        <v>19</v>
      </c>
      <c r="D2781" t="s">
        <v>20</v>
      </c>
      <c r="E2781">
        <v>0</v>
      </c>
      <c r="F2781">
        <v>292500</v>
      </c>
      <c r="G2781" t="s">
        <v>31</v>
      </c>
      <c r="H2781" t="s">
        <v>22</v>
      </c>
      <c r="I2781" t="s">
        <v>33</v>
      </c>
      <c r="J2781" t="s">
        <v>24</v>
      </c>
      <c r="K2781" s="6">
        <f t="shared" ca="1" si="180"/>
        <v>30458</v>
      </c>
      <c r="L2781">
        <v>-15303</v>
      </c>
      <c r="M2781" s="7">
        <f t="shared" ca="1" si="178"/>
        <v>41.897330595482543</v>
      </c>
      <c r="N2781" s="5" t="str">
        <f ca="1">VLOOKUP(Data!M2781,temp!$B$3:$C$9,2,1)</f>
        <v>40-50</v>
      </c>
      <c r="O2781">
        <v>-108</v>
      </c>
      <c r="P2781" s="8">
        <f t="shared" si="179"/>
        <v>0.29568788501026694</v>
      </c>
      <c r="Q2781" s="5" t="str">
        <f t="shared" si="181"/>
        <v>Employed</v>
      </c>
      <c r="R2781">
        <v>1</v>
      </c>
      <c r="S2781">
        <v>0</v>
      </c>
      <c r="T2781">
        <v>0</v>
      </c>
      <c r="U2781">
        <v>0</v>
      </c>
      <c r="W2781">
        <v>1</v>
      </c>
    </row>
    <row r="2782" spans="1:23" x14ac:dyDescent="0.2">
      <c r="A2782">
        <v>5091705</v>
      </c>
      <c r="B2782" t="s">
        <v>18</v>
      </c>
      <c r="C2782" t="s">
        <v>20</v>
      </c>
      <c r="D2782" t="s">
        <v>20</v>
      </c>
      <c r="E2782">
        <v>0</v>
      </c>
      <c r="F2782">
        <v>135000</v>
      </c>
      <c r="G2782" t="s">
        <v>31</v>
      </c>
      <c r="H2782" t="s">
        <v>22</v>
      </c>
      <c r="I2782" t="s">
        <v>28</v>
      </c>
      <c r="J2782" t="s">
        <v>24</v>
      </c>
      <c r="K2782" s="6">
        <f t="shared" ca="1" si="180"/>
        <v>33487</v>
      </c>
      <c r="L2782">
        <v>-12274</v>
      </c>
      <c r="M2782" s="7">
        <f t="shared" ca="1" si="178"/>
        <v>33.604380561259411</v>
      </c>
      <c r="N2782" s="5" t="str">
        <f ca="1">VLOOKUP(Data!M2782,temp!$B$3:$C$9,2,1)</f>
        <v>30-40</v>
      </c>
      <c r="O2782">
        <v>-3944</v>
      </c>
      <c r="P2782" s="8">
        <f t="shared" si="179"/>
        <v>10.798083504449007</v>
      </c>
      <c r="Q2782" s="5" t="str">
        <f t="shared" si="181"/>
        <v>Employed</v>
      </c>
      <c r="R2782">
        <v>1</v>
      </c>
      <c r="S2782">
        <v>0</v>
      </c>
      <c r="T2782">
        <v>0</v>
      </c>
      <c r="U2782">
        <v>0</v>
      </c>
      <c r="V2782" t="s">
        <v>32</v>
      </c>
      <c r="W2782">
        <v>2</v>
      </c>
    </row>
    <row r="2783" spans="1:23" x14ac:dyDescent="0.2">
      <c r="A2783">
        <v>5091708</v>
      </c>
      <c r="B2783" t="s">
        <v>18</v>
      </c>
      <c r="C2783" t="s">
        <v>20</v>
      </c>
      <c r="D2783" t="s">
        <v>20</v>
      </c>
      <c r="E2783">
        <v>0</v>
      </c>
      <c r="F2783">
        <v>135000</v>
      </c>
      <c r="G2783" t="s">
        <v>31</v>
      </c>
      <c r="H2783" t="s">
        <v>22</v>
      </c>
      <c r="I2783" t="s">
        <v>28</v>
      </c>
      <c r="J2783" t="s">
        <v>24</v>
      </c>
      <c r="K2783" s="6">
        <f t="shared" ca="1" si="180"/>
        <v>33487</v>
      </c>
      <c r="L2783">
        <v>-12274</v>
      </c>
      <c r="M2783" s="7">
        <f t="shared" ca="1" si="178"/>
        <v>33.604380561259411</v>
      </c>
      <c r="N2783" s="5" t="str">
        <f ca="1">VLOOKUP(Data!M2783,temp!$B$3:$C$9,2,1)</f>
        <v>30-40</v>
      </c>
      <c r="O2783">
        <v>-3944</v>
      </c>
      <c r="P2783" s="8">
        <f t="shared" si="179"/>
        <v>10.798083504449007</v>
      </c>
      <c r="Q2783" s="5" t="str">
        <f t="shared" si="181"/>
        <v>Employed</v>
      </c>
      <c r="R2783">
        <v>1</v>
      </c>
      <c r="S2783">
        <v>0</v>
      </c>
      <c r="T2783">
        <v>0</v>
      </c>
      <c r="U2783">
        <v>0</v>
      </c>
      <c r="V2783" t="s">
        <v>32</v>
      </c>
      <c r="W2783">
        <v>2</v>
      </c>
    </row>
    <row r="2784" spans="1:23" x14ac:dyDescent="0.2">
      <c r="A2784">
        <v>5091717</v>
      </c>
      <c r="B2784" t="s">
        <v>18</v>
      </c>
      <c r="C2784" t="s">
        <v>20</v>
      </c>
      <c r="D2784" t="s">
        <v>20</v>
      </c>
      <c r="E2784">
        <v>0</v>
      </c>
      <c r="F2784">
        <v>90000</v>
      </c>
      <c r="G2784" t="s">
        <v>26</v>
      </c>
      <c r="H2784" t="s">
        <v>27</v>
      </c>
      <c r="I2784" t="s">
        <v>28</v>
      </c>
      <c r="J2784" t="s">
        <v>24</v>
      </c>
      <c r="K2784" s="6">
        <f t="shared" ca="1" si="180"/>
        <v>31645</v>
      </c>
      <c r="L2784">
        <v>-14116</v>
      </c>
      <c r="M2784" s="7">
        <f t="shared" ca="1" si="178"/>
        <v>38.647501711156742</v>
      </c>
      <c r="N2784" s="5" t="str">
        <f ca="1">VLOOKUP(Data!M2784,temp!$B$3:$C$9,2,1)</f>
        <v>30-40</v>
      </c>
      <c r="O2784">
        <v>-2269</v>
      </c>
      <c r="P2784" s="8">
        <f t="shared" si="179"/>
        <v>6.2121834360027375</v>
      </c>
      <c r="Q2784" s="5" t="str">
        <f t="shared" si="181"/>
        <v>Employed</v>
      </c>
      <c r="R2784">
        <v>1</v>
      </c>
      <c r="S2784">
        <v>0</v>
      </c>
      <c r="T2784">
        <v>0</v>
      </c>
      <c r="U2784">
        <v>0</v>
      </c>
      <c r="V2784" t="s">
        <v>50</v>
      </c>
      <c r="W2784">
        <v>2</v>
      </c>
    </row>
    <row r="2785" spans="1:23" x14ac:dyDescent="0.2">
      <c r="A2785">
        <v>5091726</v>
      </c>
      <c r="B2785" t="s">
        <v>18</v>
      </c>
      <c r="C2785" t="s">
        <v>20</v>
      </c>
      <c r="D2785" t="s">
        <v>20</v>
      </c>
      <c r="E2785">
        <v>0</v>
      </c>
      <c r="F2785">
        <v>90000</v>
      </c>
      <c r="G2785" t="s">
        <v>26</v>
      </c>
      <c r="H2785" t="s">
        <v>27</v>
      </c>
      <c r="I2785" t="s">
        <v>28</v>
      </c>
      <c r="J2785" t="s">
        <v>24</v>
      </c>
      <c r="K2785" s="6">
        <f t="shared" ca="1" si="180"/>
        <v>31645</v>
      </c>
      <c r="L2785">
        <v>-14116</v>
      </c>
      <c r="M2785" s="7">
        <f t="shared" ca="1" si="178"/>
        <v>38.647501711156742</v>
      </c>
      <c r="N2785" s="5" t="str">
        <f ca="1">VLOOKUP(Data!M2785,temp!$B$3:$C$9,2,1)</f>
        <v>30-40</v>
      </c>
      <c r="O2785">
        <v>-2269</v>
      </c>
      <c r="P2785" s="8">
        <f t="shared" si="179"/>
        <v>6.2121834360027375</v>
      </c>
      <c r="Q2785" s="5" t="str">
        <f t="shared" si="181"/>
        <v>Employed</v>
      </c>
      <c r="R2785">
        <v>1</v>
      </c>
      <c r="S2785">
        <v>0</v>
      </c>
      <c r="T2785">
        <v>0</v>
      </c>
      <c r="U2785">
        <v>0</v>
      </c>
      <c r="V2785" t="s">
        <v>50</v>
      </c>
      <c r="W2785">
        <v>2</v>
      </c>
    </row>
    <row r="2786" spans="1:23" x14ac:dyDescent="0.2">
      <c r="A2786">
        <v>5091728</v>
      </c>
      <c r="B2786" t="s">
        <v>18</v>
      </c>
      <c r="C2786" t="s">
        <v>20</v>
      </c>
      <c r="D2786" t="s">
        <v>20</v>
      </c>
      <c r="E2786">
        <v>0</v>
      </c>
      <c r="F2786">
        <v>90000</v>
      </c>
      <c r="G2786" t="s">
        <v>26</v>
      </c>
      <c r="H2786" t="s">
        <v>27</v>
      </c>
      <c r="I2786" t="s">
        <v>28</v>
      </c>
      <c r="J2786" t="s">
        <v>24</v>
      </c>
      <c r="K2786" s="6">
        <f t="shared" ca="1" si="180"/>
        <v>31645</v>
      </c>
      <c r="L2786">
        <v>-14116</v>
      </c>
      <c r="M2786" s="7">
        <f t="shared" ca="1" si="178"/>
        <v>38.647501711156742</v>
      </c>
      <c r="N2786" s="5" t="str">
        <f ca="1">VLOOKUP(Data!M2786,temp!$B$3:$C$9,2,1)</f>
        <v>30-40</v>
      </c>
      <c r="O2786">
        <v>-2269</v>
      </c>
      <c r="P2786" s="8">
        <f t="shared" si="179"/>
        <v>6.2121834360027375</v>
      </c>
      <c r="Q2786" s="5" t="str">
        <f t="shared" si="181"/>
        <v>Employed</v>
      </c>
      <c r="R2786">
        <v>1</v>
      </c>
      <c r="S2786">
        <v>0</v>
      </c>
      <c r="T2786">
        <v>0</v>
      </c>
      <c r="U2786">
        <v>0</v>
      </c>
      <c r="V2786" t="s">
        <v>50</v>
      </c>
      <c r="W2786">
        <v>2</v>
      </c>
    </row>
    <row r="2787" spans="1:23" x14ac:dyDescent="0.2">
      <c r="A2787">
        <v>5091730</v>
      </c>
      <c r="B2787" t="s">
        <v>18</v>
      </c>
      <c r="C2787" t="s">
        <v>20</v>
      </c>
      <c r="D2787" t="s">
        <v>20</v>
      </c>
      <c r="E2787">
        <v>0</v>
      </c>
      <c r="F2787">
        <v>90000</v>
      </c>
      <c r="G2787" t="s">
        <v>26</v>
      </c>
      <c r="H2787" t="s">
        <v>27</v>
      </c>
      <c r="I2787" t="s">
        <v>28</v>
      </c>
      <c r="J2787" t="s">
        <v>24</v>
      </c>
      <c r="K2787" s="6">
        <f t="shared" ca="1" si="180"/>
        <v>31645</v>
      </c>
      <c r="L2787">
        <v>-14116</v>
      </c>
      <c r="M2787" s="7">
        <f t="shared" ca="1" si="178"/>
        <v>38.647501711156742</v>
      </c>
      <c r="N2787" s="5" t="str">
        <f ca="1">VLOOKUP(Data!M2787,temp!$B$3:$C$9,2,1)</f>
        <v>30-40</v>
      </c>
      <c r="O2787">
        <v>-2269</v>
      </c>
      <c r="P2787" s="8">
        <f t="shared" si="179"/>
        <v>6.2121834360027375</v>
      </c>
      <c r="Q2787" s="5" t="str">
        <f t="shared" si="181"/>
        <v>Employed</v>
      </c>
      <c r="R2787">
        <v>1</v>
      </c>
      <c r="S2787">
        <v>0</v>
      </c>
      <c r="T2787">
        <v>0</v>
      </c>
      <c r="U2787">
        <v>0</v>
      </c>
      <c r="V2787" t="s">
        <v>50</v>
      </c>
      <c r="W2787">
        <v>2</v>
      </c>
    </row>
    <row r="2788" spans="1:23" x14ac:dyDescent="0.2">
      <c r="A2788">
        <v>5091739</v>
      </c>
      <c r="B2788" t="s">
        <v>18</v>
      </c>
      <c r="C2788" t="s">
        <v>20</v>
      </c>
      <c r="D2788" t="s">
        <v>20</v>
      </c>
      <c r="E2788">
        <v>0</v>
      </c>
      <c r="F2788">
        <v>243000</v>
      </c>
      <c r="G2788" t="s">
        <v>31</v>
      </c>
      <c r="H2788" t="s">
        <v>27</v>
      </c>
      <c r="I2788" t="s">
        <v>33</v>
      </c>
      <c r="J2788" t="s">
        <v>24</v>
      </c>
      <c r="K2788" s="6">
        <f t="shared" ca="1" si="180"/>
        <v>31045</v>
      </c>
      <c r="L2788">
        <v>-14716</v>
      </c>
      <c r="M2788" s="7">
        <f t="shared" ca="1" si="178"/>
        <v>40.290212183436005</v>
      </c>
      <c r="N2788" s="5" t="str">
        <f ca="1">VLOOKUP(Data!M2788,temp!$B$3:$C$9,2,1)</f>
        <v>40-50</v>
      </c>
      <c r="O2788">
        <v>-2057</v>
      </c>
      <c r="P2788" s="8">
        <f t="shared" si="179"/>
        <v>5.631759069130732</v>
      </c>
      <c r="Q2788" s="5" t="str">
        <f t="shared" si="181"/>
        <v>Employed</v>
      </c>
      <c r="R2788">
        <v>1</v>
      </c>
      <c r="S2788">
        <v>0</v>
      </c>
      <c r="T2788">
        <v>0</v>
      </c>
      <c r="U2788">
        <v>0</v>
      </c>
      <c r="V2788" t="s">
        <v>39</v>
      </c>
      <c r="W2788">
        <v>1</v>
      </c>
    </row>
    <row r="2789" spans="1:23" x14ac:dyDescent="0.2">
      <c r="A2789">
        <v>5091747</v>
      </c>
      <c r="B2789" t="s">
        <v>18</v>
      </c>
      <c r="C2789" t="s">
        <v>19</v>
      </c>
      <c r="D2789" t="s">
        <v>20</v>
      </c>
      <c r="E2789">
        <v>0</v>
      </c>
      <c r="F2789">
        <v>225000</v>
      </c>
      <c r="G2789" t="s">
        <v>26</v>
      </c>
      <c r="H2789" t="s">
        <v>22</v>
      </c>
      <c r="I2789" t="s">
        <v>33</v>
      </c>
      <c r="J2789" t="s">
        <v>24</v>
      </c>
      <c r="K2789" s="6">
        <f t="shared" ca="1" si="180"/>
        <v>25984</v>
      </c>
      <c r="L2789">
        <v>-19777</v>
      </c>
      <c r="M2789" s="7">
        <f t="shared" ca="1" si="178"/>
        <v>54.14647501711157</v>
      </c>
      <c r="N2789" s="5" t="str">
        <f ca="1">VLOOKUP(Data!M2789,temp!$B$3:$C$9,2,1)</f>
        <v>50-60</v>
      </c>
      <c r="O2789">
        <v>-6835</v>
      </c>
      <c r="P2789" s="8">
        <f t="shared" si="179"/>
        <v>18.713210130047912</v>
      </c>
      <c r="Q2789" s="5" t="str">
        <f t="shared" si="181"/>
        <v>Employed</v>
      </c>
      <c r="R2789">
        <v>1</v>
      </c>
      <c r="S2789">
        <v>1</v>
      </c>
      <c r="T2789">
        <v>1</v>
      </c>
      <c r="U2789">
        <v>0</v>
      </c>
      <c r="V2789" t="s">
        <v>38</v>
      </c>
      <c r="W2789">
        <v>1</v>
      </c>
    </row>
    <row r="2790" spans="1:23" x14ac:dyDescent="0.2">
      <c r="A2790">
        <v>5091764</v>
      </c>
      <c r="B2790" t="s">
        <v>25</v>
      </c>
      <c r="C2790" t="s">
        <v>19</v>
      </c>
      <c r="D2790" t="s">
        <v>20</v>
      </c>
      <c r="E2790">
        <v>0</v>
      </c>
      <c r="F2790">
        <v>247500</v>
      </c>
      <c r="G2790" t="s">
        <v>31</v>
      </c>
      <c r="H2790" t="s">
        <v>27</v>
      </c>
      <c r="I2790" t="s">
        <v>28</v>
      </c>
      <c r="J2790" t="s">
        <v>24</v>
      </c>
      <c r="K2790" s="6">
        <f t="shared" ca="1" si="180"/>
        <v>28307</v>
      </c>
      <c r="L2790">
        <v>-17454</v>
      </c>
      <c r="M2790" s="7">
        <f t="shared" ca="1" si="178"/>
        <v>47.786447638603697</v>
      </c>
      <c r="N2790" s="5" t="str">
        <f ca="1">VLOOKUP(Data!M2790,temp!$B$3:$C$9,2,1)</f>
        <v>40-50</v>
      </c>
      <c r="O2790">
        <v>-2361</v>
      </c>
      <c r="P2790" s="8">
        <f t="shared" si="179"/>
        <v>6.4640657084188913</v>
      </c>
      <c r="Q2790" s="5" t="str">
        <f t="shared" si="181"/>
        <v>Employed</v>
      </c>
      <c r="R2790">
        <v>1</v>
      </c>
      <c r="S2790">
        <v>0</v>
      </c>
      <c r="T2790">
        <v>0</v>
      </c>
      <c r="U2790">
        <v>0</v>
      </c>
      <c r="V2790" t="s">
        <v>29</v>
      </c>
      <c r="W2790">
        <v>2</v>
      </c>
    </row>
    <row r="2791" spans="1:23" x14ac:dyDescent="0.2">
      <c r="A2791">
        <v>5091775</v>
      </c>
      <c r="B2791" t="s">
        <v>18</v>
      </c>
      <c r="C2791" t="s">
        <v>19</v>
      </c>
      <c r="D2791" t="s">
        <v>20</v>
      </c>
      <c r="E2791">
        <v>0</v>
      </c>
      <c r="F2791">
        <v>225000</v>
      </c>
      <c r="G2791" t="s">
        <v>31</v>
      </c>
      <c r="H2791" t="s">
        <v>36</v>
      </c>
      <c r="I2791" t="s">
        <v>33</v>
      </c>
      <c r="J2791" t="s">
        <v>24</v>
      </c>
      <c r="K2791" s="6">
        <f t="shared" ca="1" si="180"/>
        <v>26223</v>
      </c>
      <c r="L2791">
        <v>-19538</v>
      </c>
      <c r="M2791" s="7">
        <f t="shared" ca="1" si="178"/>
        <v>53.492128678986994</v>
      </c>
      <c r="N2791" s="5" t="str">
        <f ca="1">VLOOKUP(Data!M2791,temp!$B$3:$C$9,2,1)</f>
        <v>50-60</v>
      </c>
      <c r="O2791">
        <v>-1904</v>
      </c>
      <c r="P2791" s="8">
        <f t="shared" si="179"/>
        <v>5.2128678986995212</v>
      </c>
      <c r="Q2791" s="5" t="str">
        <f t="shared" si="181"/>
        <v>Employed</v>
      </c>
      <c r="R2791">
        <v>1</v>
      </c>
      <c r="S2791">
        <v>0</v>
      </c>
      <c r="T2791">
        <v>0</v>
      </c>
      <c r="U2791">
        <v>0</v>
      </c>
      <c r="V2791" t="s">
        <v>32</v>
      </c>
      <c r="W2791">
        <v>1</v>
      </c>
    </row>
    <row r="2792" spans="1:23" x14ac:dyDescent="0.2">
      <c r="A2792">
        <v>5091777</v>
      </c>
      <c r="B2792" t="s">
        <v>18</v>
      </c>
      <c r="C2792" t="s">
        <v>19</v>
      </c>
      <c r="D2792" t="s">
        <v>20</v>
      </c>
      <c r="E2792">
        <v>0</v>
      </c>
      <c r="F2792">
        <v>225000</v>
      </c>
      <c r="G2792" t="s">
        <v>31</v>
      </c>
      <c r="H2792" t="s">
        <v>36</v>
      </c>
      <c r="I2792" t="s">
        <v>33</v>
      </c>
      <c r="J2792" t="s">
        <v>24</v>
      </c>
      <c r="K2792" s="6">
        <f t="shared" ca="1" si="180"/>
        <v>26223</v>
      </c>
      <c r="L2792">
        <v>-19538</v>
      </c>
      <c r="M2792" s="7">
        <f t="shared" ca="1" si="178"/>
        <v>53.492128678986994</v>
      </c>
      <c r="N2792" s="5" t="str">
        <f ca="1">VLOOKUP(Data!M2792,temp!$B$3:$C$9,2,1)</f>
        <v>50-60</v>
      </c>
      <c r="O2792">
        <v>-1904</v>
      </c>
      <c r="P2792" s="8">
        <f t="shared" si="179"/>
        <v>5.2128678986995212</v>
      </c>
      <c r="Q2792" s="5" t="str">
        <f t="shared" si="181"/>
        <v>Employed</v>
      </c>
      <c r="R2792">
        <v>1</v>
      </c>
      <c r="S2792">
        <v>0</v>
      </c>
      <c r="T2792">
        <v>0</v>
      </c>
      <c r="U2792">
        <v>0</v>
      </c>
      <c r="V2792" t="s">
        <v>32</v>
      </c>
      <c r="W2792">
        <v>1</v>
      </c>
    </row>
    <row r="2793" spans="1:23" x14ac:dyDescent="0.2">
      <c r="A2793">
        <v>5091807</v>
      </c>
      <c r="B2793" t="s">
        <v>18</v>
      </c>
      <c r="C2793" t="s">
        <v>19</v>
      </c>
      <c r="D2793" t="s">
        <v>20</v>
      </c>
      <c r="E2793">
        <v>1</v>
      </c>
      <c r="F2793">
        <v>45000</v>
      </c>
      <c r="G2793" t="s">
        <v>26</v>
      </c>
      <c r="H2793" t="s">
        <v>27</v>
      </c>
      <c r="I2793" t="s">
        <v>28</v>
      </c>
      <c r="J2793" t="s">
        <v>24</v>
      </c>
      <c r="K2793" s="6">
        <f t="shared" ca="1" si="180"/>
        <v>29810</v>
      </c>
      <c r="L2793">
        <v>-15951</v>
      </c>
      <c r="M2793" s="7">
        <f t="shared" ca="1" si="178"/>
        <v>43.671457905544145</v>
      </c>
      <c r="N2793" s="5" t="str">
        <f ca="1">VLOOKUP(Data!M2793,temp!$B$3:$C$9,2,1)</f>
        <v>40-50</v>
      </c>
      <c r="O2793">
        <v>-504</v>
      </c>
      <c r="P2793" s="8">
        <f t="shared" si="179"/>
        <v>1.3798767967145791</v>
      </c>
      <c r="Q2793" s="5" t="str">
        <f t="shared" si="181"/>
        <v>Employed</v>
      </c>
      <c r="R2793">
        <v>1</v>
      </c>
      <c r="S2793">
        <v>0</v>
      </c>
      <c r="T2793">
        <v>0</v>
      </c>
      <c r="U2793">
        <v>0</v>
      </c>
      <c r="V2793" t="s">
        <v>39</v>
      </c>
      <c r="W2793">
        <v>3</v>
      </c>
    </row>
    <row r="2794" spans="1:23" x14ac:dyDescent="0.2">
      <c r="A2794">
        <v>5091811</v>
      </c>
      <c r="B2794" t="s">
        <v>25</v>
      </c>
      <c r="C2794" t="s">
        <v>20</v>
      </c>
      <c r="D2794" t="s">
        <v>19</v>
      </c>
      <c r="E2794">
        <v>0</v>
      </c>
      <c r="F2794">
        <v>112500</v>
      </c>
      <c r="G2794" t="s">
        <v>35</v>
      </c>
      <c r="H2794" t="s">
        <v>36</v>
      </c>
      <c r="I2794" t="s">
        <v>33</v>
      </c>
      <c r="J2794" t="s">
        <v>41</v>
      </c>
      <c r="K2794" s="6">
        <f t="shared" ca="1" si="180"/>
        <v>37015</v>
      </c>
      <c r="L2794">
        <v>-8746</v>
      </c>
      <c r="M2794" s="7">
        <f t="shared" ca="1" si="178"/>
        <v>23.945242984257359</v>
      </c>
      <c r="N2794" s="5" t="str">
        <f ca="1">VLOOKUP(Data!M2794,temp!$B$3:$C$9,2,1)</f>
        <v>20-30</v>
      </c>
      <c r="O2794">
        <v>-1873</v>
      </c>
      <c r="P2794" s="8">
        <f t="shared" si="179"/>
        <v>5.1279945242984262</v>
      </c>
      <c r="Q2794" s="5" t="str">
        <f t="shared" si="181"/>
        <v>Employed</v>
      </c>
      <c r="R2794">
        <v>1</v>
      </c>
      <c r="S2794">
        <v>1</v>
      </c>
      <c r="T2794">
        <v>1</v>
      </c>
      <c r="U2794">
        <v>0</v>
      </c>
      <c r="V2794" t="s">
        <v>29</v>
      </c>
      <c r="W2794">
        <v>1</v>
      </c>
    </row>
    <row r="2795" spans="1:23" x14ac:dyDescent="0.2">
      <c r="A2795">
        <v>5091836</v>
      </c>
      <c r="B2795" t="s">
        <v>18</v>
      </c>
      <c r="C2795" t="s">
        <v>20</v>
      </c>
      <c r="D2795" t="s">
        <v>20</v>
      </c>
      <c r="E2795">
        <v>3</v>
      </c>
      <c r="F2795">
        <v>54000</v>
      </c>
      <c r="G2795" t="s">
        <v>31</v>
      </c>
      <c r="H2795" t="s">
        <v>27</v>
      </c>
      <c r="I2795" t="s">
        <v>28</v>
      </c>
      <c r="J2795" t="s">
        <v>24</v>
      </c>
      <c r="K2795" s="6">
        <f t="shared" ca="1" si="180"/>
        <v>33286</v>
      </c>
      <c r="L2795">
        <v>-12475</v>
      </c>
      <c r="M2795" s="7">
        <f t="shared" ca="1" si="178"/>
        <v>34.154688569472967</v>
      </c>
      <c r="N2795" s="5" t="str">
        <f ca="1">VLOOKUP(Data!M2795,temp!$B$3:$C$9,2,1)</f>
        <v>30-40</v>
      </c>
      <c r="O2795">
        <v>-2057</v>
      </c>
      <c r="P2795" s="8">
        <f t="shared" si="179"/>
        <v>5.631759069130732</v>
      </c>
      <c r="Q2795" s="5" t="str">
        <f t="shared" si="181"/>
        <v>Employed</v>
      </c>
      <c r="R2795">
        <v>1</v>
      </c>
      <c r="S2795">
        <v>0</v>
      </c>
      <c r="T2795">
        <v>0</v>
      </c>
      <c r="U2795">
        <v>0</v>
      </c>
      <c r="V2795" t="s">
        <v>29</v>
      </c>
      <c r="W2795">
        <v>5</v>
      </c>
    </row>
    <row r="2796" spans="1:23" x14ac:dyDescent="0.2">
      <c r="A2796">
        <v>5091842</v>
      </c>
      <c r="B2796" t="s">
        <v>25</v>
      </c>
      <c r="C2796" t="s">
        <v>20</v>
      </c>
      <c r="D2796" t="s">
        <v>19</v>
      </c>
      <c r="E2796">
        <v>1</v>
      </c>
      <c r="F2796">
        <v>202500</v>
      </c>
      <c r="G2796" t="s">
        <v>31</v>
      </c>
      <c r="H2796" t="s">
        <v>27</v>
      </c>
      <c r="I2796" t="s">
        <v>28</v>
      </c>
      <c r="J2796" t="s">
        <v>41</v>
      </c>
      <c r="K2796" s="6">
        <f t="shared" ca="1" si="180"/>
        <v>33819</v>
      </c>
      <c r="L2796">
        <v>-11942</v>
      </c>
      <c r="M2796" s="7">
        <f t="shared" ca="1" si="178"/>
        <v>32.695414099931554</v>
      </c>
      <c r="N2796" s="5" t="str">
        <f ca="1">VLOOKUP(Data!M2796,temp!$B$3:$C$9,2,1)</f>
        <v>30-40</v>
      </c>
      <c r="O2796">
        <v>-3638</v>
      </c>
      <c r="P2796" s="8">
        <f t="shared" si="179"/>
        <v>9.9603011635865837</v>
      </c>
      <c r="Q2796" s="5" t="str">
        <f t="shared" si="181"/>
        <v>Employed</v>
      </c>
      <c r="R2796">
        <v>1</v>
      </c>
      <c r="S2796">
        <v>0</v>
      </c>
      <c r="T2796">
        <v>1</v>
      </c>
      <c r="U2796">
        <v>0</v>
      </c>
      <c r="V2796" t="s">
        <v>39</v>
      </c>
      <c r="W2796">
        <v>3</v>
      </c>
    </row>
    <row r="2797" spans="1:23" x14ac:dyDescent="0.2">
      <c r="A2797">
        <v>5091843</v>
      </c>
      <c r="B2797" t="s">
        <v>25</v>
      </c>
      <c r="C2797" t="s">
        <v>20</v>
      </c>
      <c r="D2797" t="s">
        <v>19</v>
      </c>
      <c r="E2797">
        <v>1</v>
      </c>
      <c r="F2797">
        <v>202500</v>
      </c>
      <c r="G2797" t="s">
        <v>31</v>
      </c>
      <c r="H2797" t="s">
        <v>27</v>
      </c>
      <c r="I2797" t="s">
        <v>28</v>
      </c>
      <c r="J2797" t="s">
        <v>41</v>
      </c>
      <c r="K2797" s="6">
        <f t="shared" ca="1" si="180"/>
        <v>33819</v>
      </c>
      <c r="L2797">
        <v>-11942</v>
      </c>
      <c r="M2797" s="7">
        <f t="shared" ca="1" si="178"/>
        <v>32.695414099931554</v>
      </c>
      <c r="N2797" s="5" t="str">
        <f ca="1">VLOOKUP(Data!M2797,temp!$B$3:$C$9,2,1)</f>
        <v>30-40</v>
      </c>
      <c r="O2797">
        <v>-3638</v>
      </c>
      <c r="P2797" s="8">
        <f t="shared" si="179"/>
        <v>9.9603011635865837</v>
      </c>
      <c r="Q2797" s="5" t="str">
        <f t="shared" si="181"/>
        <v>Employed</v>
      </c>
      <c r="R2797">
        <v>1</v>
      </c>
      <c r="S2797">
        <v>0</v>
      </c>
      <c r="T2797">
        <v>1</v>
      </c>
      <c r="U2797">
        <v>0</v>
      </c>
      <c r="V2797" t="s">
        <v>39</v>
      </c>
      <c r="W2797">
        <v>3</v>
      </c>
    </row>
    <row r="2798" spans="1:23" x14ac:dyDescent="0.2">
      <c r="A2798">
        <v>5091853</v>
      </c>
      <c r="B2798" t="s">
        <v>25</v>
      </c>
      <c r="C2798" t="s">
        <v>19</v>
      </c>
      <c r="D2798" t="s">
        <v>20</v>
      </c>
      <c r="E2798">
        <v>1</v>
      </c>
      <c r="F2798">
        <v>157500</v>
      </c>
      <c r="G2798" t="s">
        <v>26</v>
      </c>
      <c r="H2798" t="s">
        <v>27</v>
      </c>
      <c r="I2798" t="s">
        <v>28</v>
      </c>
      <c r="J2798" t="s">
        <v>24</v>
      </c>
      <c r="K2798" s="6">
        <f t="shared" ca="1" si="180"/>
        <v>35075</v>
      </c>
      <c r="L2798">
        <v>-10686</v>
      </c>
      <c r="M2798" s="7">
        <f t="shared" ca="1" si="178"/>
        <v>29.256673511293634</v>
      </c>
      <c r="N2798" s="5" t="str">
        <f ca="1">VLOOKUP(Data!M2798,temp!$B$3:$C$9,2,1)</f>
        <v>20-30</v>
      </c>
      <c r="O2798">
        <v>-3457</v>
      </c>
      <c r="P2798" s="8">
        <f t="shared" si="179"/>
        <v>9.464750171115675</v>
      </c>
      <c r="Q2798" s="5" t="str">
        <f t="shared" si="181"/>
        <v>Employed</v>
      </c>
      <c r="R2798">
        <v>1</v>
      </c>
      <c r="S2798">
        <v>0</v>
      </c>
      <c r="T2798">
        <v>0</v>
      </c>
      <c r="U2798">
        <v>0</v>
      </c>
      <c r="V2798" t="s">
        <v>29</v>
      </c>
      <c r="W2798">
        <v>3</v>
      </c>
    </row>
    <row r="2799" spans="1:23" x14ac:dyDescent="0.2">
      <c r="A2799">
        <v>5091857</v>
      </c>
      <c r="B2799" t="s">
        <v>25</v>
      </c>
      <c r="C2799" t="s">
        <v>20</v>
      </c>
      <c r="D2799" t="s">
        <v>20</v>
      </c>
      <c r="E2799">
        <v>0</v>
      </c>
      <c r="F2799">
        <v>135000</v>
      </c>
      <c r="G2799" t="s">
        <v>31</v>
      </c>
      <c r="H2799" t="s">
        <v>36</v>
      </c>
      <c r="I2799" t="s">
        <v>28</v>
      </c>
      <c r="J2799" t="s">
        <v>24</v>
      </c>
      <c r="K2799" s="6">
        <f t="shared" ca="1" si="180"/>
        <v>33151</v>
      </c>
      <c r="L2799">
        <v>-12610</v>
      </c>
      <c r="M2799" s="7">
        <f t="shared" ca="1" si="178"/>
        <v>34.5242984257358</v>
      </c>
      <c r="N2799" s="5" t="str">
        <f ca="1">VLOOKUP(Data!M2799,temp!$B$3:$C$9,2,1)</f>
        <v>30-40</v>
      </c>
      <c r="O2799">
        <v>-5313</v>
      </c>
      <c r="P2799" s="8">
        <f t="shared" si="179"/>
        <v>14.546201232032855</v>
      </c>
      <c r="Q2799" s="5" t="str">
        <f t="shared" si="181"/>
        <v>Employed</v>
      </c>
      <c r="R2799">
        <v>1</v>
      </c>
      <c r="S2799">
        <v>1</v>
      </c>
      <c r="T2799">
        <v>0</v>
      </c>
      <c r="U2799">
        <v>1</v>
      </c>
      <c r="V2799" t="s">
        <v>29</v>
      </c>
      <c r="W2799">
        <v>2</v>
      </c>
    </row>
    <row r="2800" spans="1:23" x14ac:dyDescent="0.2">
      <c r="A2800">
        <v>5091862</v>
      </c>
      <c r="B2800" t="s">
        <v>18</v>
      </c>
      <c r="C2800" t="s">
        <v>19</v>
      </c>
      <c r="D2800" t="s">
        <v>20</v>
      </c>
      <c r="E2800">
        <v>3</v>
      </c>
      <c r="F2800">
        <v>103500</v>
      </c>
      <c r="G2800" t="s">
        <v>31</v>
      </c>
      <c r="H2800" t="s">
        <v>27</v>
      </c>
      <c r="I2800" t="s">
        <v>28</v>
      </c>
      <c r="J2800" t="s">
        <v>24</v>
      </c>
      <c r="K2800" s="6">
        <f t="shared" ca="1" si="180"/>
        <v>35079</v>
      </c>
      <c r="L2800">
        <v>-10682</v>
      </c>
      <c r="M2800" s="7">
        <f t="shared" ca="1" si="178"/>
        <v>29.245722108145106</v>
      </c>
      <c r="N2800" s="5" t="str">
        <f ca="1">VLOOKUP(Data!M2800,temp!$B$3:$C$9,2,1)</f>
        <v>20-30</v>
      </c>
      <c r="O2800">
        <v>-1692</v>
      </c>
      <c r="P2800" s="8">
        <f t="shared" si="179"/>
        <v>4.6324435318275157</v>
      </c>
      <c r="Q2800" s="5" t="str">
        <f t="shared" si="181"/>
        <v>Employed</v>
      </c>
      <c r="R2800">
        <v>1</v>
      </c>
      <c r="S2800">
        <v>0</v>
      </c>
      <c r="T2800">
        <v>0</v>
      </c>
      <c r="U2800">
        <v>0</v>
      </c>
      <c r="V2800" t="s">
        <v>50</v>
      </c>
      <c r="W2800">
        <v>5</v>
      </c>
    </row>
    <row r="2801" spans="1:23" x14ac:dyDescent="0.2">
      <c r="A2801">
        <v>5091866</v>
      </c>
      <c r="B2801" t="s">
        <v>18</v>
      </c>
      <c r="C2801" t="s">
        <v>19</v>
      </c>
      <c r="D2801" t="s">
        <v>20</v>
      </c>
      <c r="E2801">
        <v>0</v>
      </c>
      <c r="F2801">
        <v>247500</v>
      </c>
      <c r="G2801" t="s">
        <v>31</v>
      </c>
      <c r="H2801" t="s">
        <v>22</v>
      </c>
      <c r="I2801" t="s">
        <v>28</v>
      </c>
      <c r="J2801" t="s">
        <v>24</v>
      </c>
      <c r="K2801" s="6">
        <f t="shared" ca="1" si="180"/>
        <v>25909</v>
      </c>
      <c r="L2801">
        <v>-19852</v>
      </c>
      <c r="M2801" s="7">
        <f t="shared" ca="1" si="178"/>
        <v>54.351813826146476</v>
      </c>
      <c r="N2801" s="5" t="str">
        <f ca="1">VLOOKUP(Data!M2801,temp!$B$3:$C$9,2,1)</f>
        <v>50-60</v>
      </c>
      <c r="O2801">
        <v>-200</v>
      </c>
      <c r="P2801" s="8">
        <f t="shared" si="179"/>
        <v>0.54757015742642023</v>
      </c>
      <c r="Q2801" s="5" t="str">
        <f t="shared" si="181"/>
        <v>Employed</v>
      </c>
      <c r="R2801">
        <v>1</v>
      </c>
      <c r="S2801">
        <v>0</v>
      </c>
      <c r="T2801">
        <v>1</v>
      </c>
      <c r="U2801">
        <v>0</v>
      </c>
      <c r="V2801" t="s">
        <v>39</v>
      </c>
      <c r="W2801">
        <v>2</v>
      </c>
    </row>
    <row r="2802" spans="1:23" x14ac:dyDescent="0.2">
      <c r="A2802">
        <v>5091888</v>
      </c>
      <c r="B2802" t="s">
        <v>18</v>
      </c>
      <c r="C2802" t="s">
        <v>19</v>
      </c>
      <c r="D2802" t="s">
        <v>20</v>
      </c>
      <c r="E2802">
        <v>1</v>
      </c>
      <c r="F2802">
        <v>360000</v>
      </c>
      <c r="G2802" t="s">
        <v>31</v>
      </c>
      <c r="H2802" t="s">
        <v>27</v>
      </c>
      <c r="I2802" t="s">
        <v>28</v>
      </c>
      <c r="J2802" t="s">
        <v>24</v>
      </c>
      <c r="K2802" s="6">
        <f t="shared" ca="1" si="180"/>
        <v>29897</v>
      </c>
      <c r="L2802">
        <v>-15864</v>
      </c>
      <c r="M2802" s="7">
        <f t="shared" ca="1" si="178"/>
        <v>43.433264887063658</v>
      </c>
      <c r="N2802" s="5" t="str">
        <f ca="1">VLOOKUP(Data!M2802,temp!$B$3:$C$9,2,1)</f>
        <v>40-50</v>
      </c>
      <c r="O2802">
        <v>-2696</v>
      </c>
      <c r="P2802" s="8">
        <f t="shared" si="179"/>
        <v>7.3812457221081447</v>
      </c>
      <c r="Q2802" s="5" t="str">
        <f t="shared" si="181"/>
        <v>Employed</v>
      </c>
      <c r="R2802">
        <v>1</v>
      </c>
      <c r="S2802">
        <v>0</v>
      </c>
      <c r="T2802">
        <v>1</v>
      </c>
      <c r="U2802">
        <v>0</v>
      </c>
      <c r="V2802" t="s">
        <v>47</v>
      </c>
      <c r="W2802">
        <v>3</v>
      </c>
    </row>
    <row r="2803" spans="1:23" x14ac:dyDescent="0.2">
      <c r="A2803">
        <v>5091911</v>
      </c>
      <c r="B2803" t="s">
        <v>18</v>
      </c>
      <c r="C2803" t="s">
        <v>19</v>
      </c>
      <c r="D2803" t="s">
        <v>20</v>
      </c>
      <c r="E2803">
        <v>0</v>
      </c>
      <c r="F2803">
        <v>180000</v>
      </c>
      <c r="G2803" t="s">
        <v>26</v>
      </c>
      <c r="H2803" t="s">
        <v>22</v>
      </c>
      <c r="I2803" t="s">
        <v>28</v>
      </c>
      <c r="J2803" t="s">
        <v>24</v>
      </c>
      <c r="K2803" s="6">
        <f t="shared" ca="1" si="180"/>
        <v>34694</v>
      </c>
      <c r="L2803">
        <v>-11067</v>
      </c>
      <c r="M2803" s="7">
        <f t="shared" ca="1" si="178"/>
        <v>30.299794661190965</v>
      </c>
      <c r="N2803" s="5" t="str">
        <f ca="1">VLOOKUP(Data!M2803,temp!$B$3:$C$9,2,1)</f>
        <v>30-40</v>
      </c>
      <c r="O2803">
        <v>-2208</v>
      </c>
      <c r="P2803" s="8">
        <f t="shared" si="179"/>
        <v>6.0451745379876796</v>
      </c>
      <c r="Q2803" s="5" t="str">
        <f t="shared" si="181"/>
        <v>Employed</v>
      </c>
      <c r="R2803">
        <v>1</v>
      </c>
      <c r="S2803">
        <v>1</v>
      </c>
      <c r="T2803">
        <v>0</v>
      </c>
      <c r="U2803">
        <v>1</v>
      </c>
      <c r="V2803" t="s">
        <v>32</v>
      </c>
      <c r="W2803">
        <v>2</v>
      </c>
    </row>
    <row r="2804" spans="1:23" x14ac:dyDescent="0.2">
      <c r="A2804">
        <v>5091921</v>
      </c>
      <c r="B2804" t="s">
        <v>18</v>
      </c>
      <c r="C2804" t="s">
        <v>19</v>
      </c>
      <c r="D2804" t="s">
        <v>20</v>
      </c>
      <c r="E2804">
        <v>2</v>
      </c>
      <c r="F2804">
        <v>72000</v>
      </c>
      <c r="G2804" t="s">
        <v>31</v>
      </c>
      <c r="H2804" t="s">
        <v>27</v>
      </c>
      <c r="I2804" t="s">
        <v>28</v>
      </c>
      <c r="J2804" t="s">
        <v>24</v>
      </c>
      <c r="K2804" s="6">
        <f t="shared" ca="1" si="180"/>
        <v>30393</v>
      </c>
      <c r="L2804">
        <v>-15368</v>
      </c>
      <c r="M2804" s="7">
        <f t="shared" ca="1" si="178"/>
        <v>42.075290896646131</v>
      </c>
      <c r="N2804" s="5" t="str">
        <f ca="1">VLOOKUP(Data!M2804,temp!$B$3:$C$9,2,1)</f>
        <v>40-50</v>
      </c>
      <c r="O2804">
        <v>-5496</v>
      </c>
      <c r="P2804" s="8">
        <f t="shared" si="179"/>
        <v>15.047227926078028</v>
      </c>
      <c r="Q2804" s="5" t="str">
        <f t="shared" si="181"/>
        <v>Employed</v>
      </c>
      <c r="R2804">
        <v>1</v>
      </c>
      <c r="S2804">
        <v>1</v>
      </c>
      <c r="T2804">
        <v>1</v>
      </c>
      <c r="U2804">
        <v>0</v>
      </c>
      <c r="V2804" t="s">
        <v>50</v>
      </c>
      <c r="W2804">
        <v>4</v>
      </c>
    </row>
    <row r="2805" spans="1:23" x14ac:dyDescent="0.2">
      <c r="A2805">
        <v>5091939</v>
      </c>
      <c r="B2805" t="s">
        <v>25</v>
      </c>
      <c r="C2805" t="s">
        <v>20</v>
      </c>
      <c r="D2805" t="s">
        <v>20</v>
      </c>
      <c r="E2805">
        <v>2</v>
      </c>
      <c r="F2805">
        <v>243000</v>
      </c>
      <c r="G2805" t="s">
        <v>35</v>
      </c>
      <c r="H2805" t="s">
        <v>22</v>
      </c>
      <c r="I2805" t="s">
        <v>28</v>
      </c>
      <c r="J2805" t="s">
        <v>24</v>
      </c>
      <c r="K2805" s="6">
        <f t="shared" ca="1" si="180"/>
        <v>35294</v>
      </c>
      <c r="L2805">
        <v>-10467</v>
      </c>
      <c r="M2805" s="7">
        <f t="shared" ca="1" si="178"/>
        <v>28.657084188911703</v>
      </c>
      <c r="N2805" s="5" t="str">
        <f ca="1">VLOOKUP(Data!M2805,temp!$B$3:$C$9,2,1)</f>
        <v>20-30</v>
      </c>
      <c r="O2805">
        <v>-200</v>
      </c>
      <c r="P2805" s="8">
        <f t="shared" si="179"/>
        <v>0.54757015742642023</v>
      </c>
      <c r="Q2805" s="5" t="str">
        <f t="shared" si="181"/>
        <v>Employed</v>
      </c>
      <c r="R2805">
        <v>1</v>
      </c>
      <c r="S2805">
        <v>0</v>
      </c>
      <c r="T2805">
        <v>0</v>
      </c>
      <c r="U2805">
        <v>0</v>
      </c>
      <c r="V2805" t="s">
        <v>38</v>
      </c>
      <c r="W2805">
        <v>4</v>
      </c>
    </row>
    <row r="2806" spans="1:23" x14ac:dyDescent="0.2">
      <c r="A2806">
        <v>5091960</v>
      </c>
      <c r="B2806" t="s">
        <v>18</v>
      </c>
      <c r="C2806" t="s">
        <v>19</v>
      </c>
      <c r="D2806" t="s">
        <v>20</v>
      </c>
      <c r="E2806">
        <v>0</v>
      </c>
      <c r="F2806">
        <v>171000</v>
      </c>
      <c r="G2806" t="s">
        <v>21</v>
      </c>
      <c r="H2806" t="s">
        <v>27</v>
      </c>
      <c r="I2806" t="s">
        <v>28</v>
      </c>
      <c r="J2806" t="s">
        <v>24</v>
      </c>
      <c r="K2806" s="6">
        <f t="shared" ca="1" si="180"/>
        <v>26436</v>
      </c>
      <c r="L2806">
        <v>-19325</v>
      </c>
      <c r="M2806" s="7">
        <f t="shared" ca="1" si="178"/>
        <v>52.908966461327857</v>
      </c>
      <c r="N2806" s="5" t="str">
        <f ca="1">VLOOKUP(Data!M2806,temp!$B$3:$C$9,2,1)</f>
        <v>50-60</v>
      </c>
      <c r="O2806">
        <v>365243</v>
      </c>
      <c r="P2806" s="8">
        <f t="shared" si="179"/>
        <v>0</v>
      </c>
      <c r="Q2806" s="5" t="str">
        <f t="shared" si="181"/>
        <v>Unemployed</v>
      </c>
      <c r="R2806">
        <v>1</v>
      </c>
      <c r="S2806">
        <v>0</v>
      </c>
      <c r="T2806">
        <v>1</v>
      </c>
      <c r="U2806">
        <v>0</v>
      </c>
      <c r="W2806">
        <v>2</v>
      </c>
    </row>
    <row r="2807" spans="1:23" x14ac:dyDescent="0.2">
      <c r="A2807">
        <v>5091965</v>
      </c>
      <c r="B2807" t="s">
        <v>25</v>
      </c>
      <c r="C2807" t="s">
        <v>20</v>
      </c>
      <c r="D2807" t="s">
        <v>19</v>
      </c>
      <c r="E2807">
        <v>0</v>
      </c>
      <c r="F2807">
        <v>180000</v>
      </c>
      <c r="G2807" t="s">
        <v>31</v>
      </c>
      <c r="H2807" t="s">
        <v>27</v>
      </c>
      <c r="I2807" t="s">
        <v>28</v>
      </c>
      <c r="J2807" t="s">
        <v>45</v>
      </c>
      <c r="K2807" s="6">
        <f t="shared" ca="1" si="180"/>
        <v>26952</v>
      </c>
      <c r="L2807">
        <v>-18809</v>
      </c>
      <c r="M2807" s="7">
        <f t="shared" ca="1" si="178"/>
        <v>51.496235455167692</v>
      </c>
      <c r="N2807" s="5" t="str">
        <f ca="1">VLOOKUP(Data!M2807,temp!$B$3:$C$9,2,1)</f>
        <v>50-60</v>
      </c>
      <c r="O2807">
        <v>-1416</v>
      </c>
      <c r="P2807" s="8">
        <f t="shared" si="179"/>
        <v>3.8767967145790556</v>
      </c>
      <c r="Q2807" s="5" t="str">
        <f t="shared" si="181"/>
        <v>Employed</v>
      </c>
      <c r="R2807">
        <v>1</v>
      </c>
      <c r="S2807">
        <v>1</v>
      </c>
      <c r="T2807">
        <v>0</v>
      </c>
      <c r="U2807">
        <v>0</v>
      </c>
      <c r="V2807" t="s">
        <v>30</v>
      </c>
      <c r="W2807">
        <v>2</v>
      </c>
    </row>
    <row r="2808" spans="1:23" x14ac:dyDescent="0.2">
      <c r="A2808">
        <v>5091968</v>
      </c>
      <c r="B2808" t="s">
        <v>25</v>
      </c>
      <c r="C2808" t="s">
        <v>20</v>
      </c>
      <c r="D2808" t="s">
        <v>20</v>
      </c>
      <c r="E2808">
        <v>2</v>
      </c>
      <c r="F2808">
        <v>180000</v>
      </c>
      <c r="G2808" t="s">
        <v>31</v>
      </c>
      <c r="H2808" t="s">
        <v>27</v>
      </c>
      <c r="I2808" t="s">
        <v>28</v>
      </c>
      <c r="J2808" t="s">
        <v>24</v>
      </c>
      <c r="K2808" s="6">
        <f t="shared" ca="1" si="180"/>
        <v>31489</v>
      </c>
      <c r="L2808">
        <v>-14272</v>
      </c>
      <c r="M2808" s="7">
        <f t="shared" ca="1" si="178"/>
        <v>39.074606433949349</v>
      </c>
      <c r="N2808" s="5" t="str">
        <f ca="1">VLOOKUP(Data!M2808,temp!$B$3:$C$9,2,1)</f>
        <v>30-40</v>
      </c>
      <c r="O2808">
        <v>-596</v>
      </c>
      <c r="P2808" s="8">
        <f t="shared" si="179"/>
        <v>1.6317590691307324</v>
      </c>
      <c r="Q2808" s="5" t="str">
        <f t="shared" si="181"/>
        <v>Employed</v>
      </c>
      <c r="R2808">
        <v>1</v>
      </c>
      <c r="S2808">
        <v>0</v>
      </c>
      <c r="T2808">
        <v>0</v>
      </c>
      <c r="U2808">
        <v>0</v>
      </c>
      <c r="V2808" t="s">
        <v>30</v>
      </c>
      <c r="W2808">
        <v>4</v>
      </c>
    </row>
    <row r="2809" spans="1:23" x14ac:dyDescent="0.2">
      <c r="A2809">
        <v>5091970</v>
      </c>
      <c r="B2809" t="s">
        <v>25</v>
      </c>
      <c r="C2809" t="s">
        <v>20</v>
      </c>
      <c r="D2809" t="s">
        <v>20</v>
      </c>
      <c r="E2809">
        <v>2</v>
      </c>
      <c r="F2809">
        <v>180000</v>
      </c>
      <c r="G2809" t="s">
        <v>31</v>
      </c>
      <c r="H2809" t="s">
        <v>27</v>
      </c>
      <c r="I2809" t="s">
        <v>28</v>
      </c>
      <c r="J2809" t="s">
        <v>24</v>
      </c>
      <c r="K2809" s="6">
        <f t="shared" ca="1" si="180"/>
        <v>31489</v>
      </c>
      <c r="L2809">
        <v>-14272</v>
      </c>
      <c r="M2809" s="7">
        <f t="shared" ca="1" si="178"/>
        <v>39.074606433949349</v>
      </c>
      <c r="N2809" s="5" t="str">
        <f ca="1">VLOOKUP(Data!M2809,temp!$B$3:$C$9,2,1)</f>
        <v>30-40</v>
      </c>
      <c r="O2809">
        <v>-596</v>
      </c>
      <c r="P2809" s="8">
        <f t="shared" si="179"/>
        <v>1.6317590691307324</v>
      </c>
      <c r="Q2809" s="5" t="str">
        <f t="shared" si="181"/>
        <v>Employed</v>
      </c>
      <c r="R2809">
        <v>1</v>
      </c>
      <c r="S2809">
        <v>0</v>
      </c>
      <c r="T2809">
        <v>0</v>
      </c>
      <c r="U2809">
        <v>0</v>
      </c>
      <c r="V2809" t="s">
        <v>30</v>
      </c>
      <c r="W2809">
        <v>4</v>
      </c>
    </row>
    <row r="2810" spans="1:23" x14ac:dyDescent="0.2">
      <c r="A2810">
        <v>5091973</v>
      </c>
      <c r="B2810" t="s">
        <v>18</v>
      </c>
      <c r="C2810" t="s">
        <v>19</v>
      </c>
      <c r="D2810" t="s">
        <v>20</v>
      </c>
      <c r="E2810">
        <v>0</v>
      </c>
      <c r="F2810">
        <v>171000</v>
      </c>
      <c r="G2810" t="s">
        <v>26</v>
      </c>
      <c r="H2810" t="s">
        <v>27</v>
      </c>
      <c r="I2810" t="s">
        <v>28</v>
      </c>
      <c r="J2810" t="s">
        <v>24</v>
      </c>
      <c r="K2810" s="6">
        <f t="shared" ca="1" si="180"/>
        <v>30783</v>
      </c>
      <c r="L2810">
        <v>-14978</v>
      </c>
      <c r="M2810" s="7">
        <f t="shared" ca="1" si="178"/>
        <v>41.007529089664615</v>
      </c>
      <c r="N2810" s="5" t="str">
        <f ca="1">VLOOKUP(Data!M2810,temp!$B$3:$C$9,2,1)</f>
        <v>40-50</v>
      </c>
      <c r="O2810">
        <v>-2330</v>
      </c>
      <c r="P2810" s="8">
        <f t="shared" si="179"/>
        <v>6.3791923340177963</v>
      </c>
      <c r="Q2810" s="5" t="str">
        <f t="shared" si="181"/>
        <v>Employed</v>
      </c>
      <c r="R2810">
        <v>1</v>
      </c>
      <c r="S2810">
        <v>0</v>
      </c>
      <c r="T2810">
        <v>0</v>
      </c>
      <c r="U2810">
        <v>0</v>
      </c>
      <c r="V2810" t="s">
        <v>55</v>
      </c>
      <c r="W2810">
        <v>2</v>
      </c>
    </row>
    <row r="2811" spans="1:23" x14ac:dyDescent="0.2">
      <c r="A2811">
        <v>5091981</v>
      </c>
      <c r="B2811" t="s">
        <v>25</v>
      </c>
      <c r="C2811" t="s">
        <v>19</v>
      </c>
      <c r="D2811" t="s">
        <v>20</v>
      </c>
      <c r="E2811">
        <v>0</v>
      </c>
      <c r="F2811">
        <v>112500</v>
      </c>
      <c r="G2811" t="s">
        <v>26</v>
      </c>
      <c r="H2811" t="s">
        <v>22</v>
      </c>
      <c r="I2811" t="s">
        <v>28</v>
      </c>
      <c r="J2811" t="s">
        <v>24</v>
      </c>
      <c r="K2811" s="6">
        <f t="shared" ca="1" si="180"/>
        <v>24160</v>
      </c>
      <c r="L2811">
        <v>-21601</v>
      </c>
      <c r="M2811" s="7">
        <f t="shared" ca="1" si="178"/>
        <v>59.140314852840518</v>
      </c>
      <c r="N2811" s="5" t="str">
        <f ca="1">VLOOKUP(Data!M2811,temp!$B$3:$C$9,2,1)</f>
        <v>50-60</v>
      </c>
      <c r="O2811">
        <v>-808</v>
      </c>
      <c r="P2811" s="8">
        <f t="shared" si="179"/>
        <v>2.2121834360027379</v>
      </c>
      <c r="Q2811" s="5" t="str">
        <f t="shared" si="181"/>
        <v>Employed</v>
      </c>
      <c r="R2811">
        <v>1</v>
      </c>
      <c r="S2811">
        <v>1</v>
      </c>
      <c r="T2811">
        <v>0</v>
      </c>
      <c r="U2811">
        <v>1</v>
      </c>
      <c r="V2811" t="s">
        <v>32</v>
      </c>
      <c r="W2811">
        <v>2</v>
      </c>
    </row>
    <row r="2812" spans="1:23" x14ac:dyDescent="0.2">
      <c r="A2812">
        <v>5091983</v>
      </c>
      <c r="B2812" t="s">
        <v>25</v>
      </c>
      <c r="C2812" t="s">
        <v>19</v>
      </c>
      <c r="D2812" t="s">
        <v>20</v>
      </c>
      <c r="E2812">
        <v>0</v>
      </c>
      <c r="F2812">
        <v>112500</v>
      </c>
      <c r="G2812" t="s">
        <v>26</v>
      </c>
      <c r="H2812" t="s">
        <v>22</v>
      </c>
      <c r="I2812" t="s">
        <v>28</v>
      </c>
      <c r="J2812" t="s">
        <v>24</v>
      </c>
      <c r="K2812" s="6">
        <f t="shared" ca="1" si="180"/>
        <v>24160</v>
      </c>
      <c r="L2812">
        <v>-21601</v>
      </c>
      <c r="M2812" s="7">
        <f t="shared" ca="1" si="178"/>
        <v>59.140314852840518</v>
      </c>
      <c r="N2812" s="5" t="str">
        <f ca="1">VLOOKUP(Data!M2812,temp!$B$3:$C$9,2,1)</f>
        <v>50-60</v>
      </c>
      <c r="O2812">
        <v>-808</v>
      </c>
      <c r="P2812" s="8">
        <f t="shared" si="179"/>
        <v>2.2121834360027379</v>
      </c>
      <c r="Q2812" s="5" t="str">
        <f t="shared" si="181"/>
        <v>Employed</v>
      </c>
      <c r="R2812">
        <v>1</v>
      </c>
      <c r="S2812">
        <v>1</v>
      </c>
      <c r="T2812">
        <v>0</v>
      </c>
      <c r="U2812">
        <v>1</v>
      </c>
      <c r="V2812" t="s">
        <v>32</v>
      </c>
      <c r="W2812">
        <v>2</v>
      </c>
    </row>
    <row r="2813" spans="1:23" x14ac:dyDescent="0.2">
      <c r="A2813">
        <v>5091985</v>
      </c>
      <c r="B2813" t="s">
        <v>25</v>
      </c>
      <c r="C2813" t="s">
        <v>19</v>
      </c>
      <c r="D2813" t="s">
        <v>20</v>
      </c>
      <c r="E2813">
        <v>0</v>
      </c>
      <c r="F2813">
        <v>112500</v>
      </c>
      <c r="G2813" t="s">
        <v>26</v>
      </c>
      <c r="H2813" t="s">
        <v>22</v>
      </c>
      <c r="I2813" t="s">
        <v>28</v>
      </c>
      <c r="J2813" t="s">
        <v>24</v>
      </c>
      <c r="K2813" s="6">
        <f t="shared" ca="1" si="180"/>
        <v>24160</v>
      </c>
      <c r="L2813">
        <v>-21601</v>
      </c>
      <c r="M2813" s="7">
        <f t="shared" ca="1" si="178"/>
        <v>59.140314852840518</v>
      </c>
      <c r="N2813" s="5" t="str">
        <f ca="1">VLOOKUP(Data!M2813,temp!$B$3:$C$9,2,1)</f>
        <v>50-60</v>
      </c>
      <c r="O2813">
        <v>-808</v>
      </c>
      <c r="P2813" s="8">
        <f t="shared" si="179"/>
        <v>2.2121834360027379</v>
      </c>
      <c r="Q2813" s="5" t="str">
        <f t="shared" si="181"/>
        <v>Employed</v>
      </c>
      <c r="R2813">
        <v>1</v>
      </c>
      <c r="S2813">
        <v>1</v>
      </c>
      <c r="T2813">
        <v>0</v>
      </c>
      <c r="U2813">
        <v>1</v>
      </c>
      <c r="V2813" t="s">
        <v>32</v>
      </c>
      <c r="W2813">
        <v>2</v>
      </c>
    </row>
    <row r="2814" spans="1:23" x14ac:dyDescent="0.2">
      <c r="A2814">
        <v>5091986</v>
      </c>
      <c r="B2814" t="s">
        <v>25</v>
      </c>
      <c r="C2814" t="s">
        <v>19</v>
      </c>
      <c r="D2814" t="s">
        <v>20</v>
      </c>
      <c r="E2814">
        <v>0</v>
      </c>
      <c r="F2814">
        <v>112500</v>
      </c>
      <c r="G2814" t="s">
        <v>26</v>
      </c>
      <c r="H2814" t="s">
        <v>22</v>
      </c>
      <c r="I2814" t="s">
        <v>28</v>
      </c>
      <c r="J2814" t="s">
        <v>24</v>
      </c>
      <c r="K2814" s="6">
        <f t="shared" ca="1" si="180"/>
        <v>24160</v>
      </c>
      <c r="L2814">
        <v>-21601</v>
      </c>
      <c r="M2814" s="7">
        <f t="shared" ca="1" si="178"/>
        <v>59.140314852840518</v>
      </c>
      <c r="N2814" s="5" t="str">
        <f ca="1">VLOOKUP(Data!M2814,temp!$B$3:$C$9,2,1)</f>
        <v>50-60</v>
      </c>
      <c r="O2814">
        <v>-808</v>
      </c>
      <c r="P2814" s="8">
        <f t="shared" si="179"/>
        <v>2.2121834360027379</v>
      </c>
      <c r="Q2814" s="5" t="str">
        <f t="shared" si="181"/>
        <v>Employed</v>
      </c>
      <c r="R2814">
        <v>1</v>
      </c>
      <c r="S2814">
        <v>1</v>
      </c>
      <c r="T2814">
        <v>0</v>
      </c>
      <c r="U2814">
        <v>1</v>
      </c>
      <c r="V2814" t="s">
        <v>32</v>
      </c>
      <c r="W2814">
        <v>2</v>
      </c>
    </row>
    <row r="2815" spans="1:23" x14ac:dyDescent="0.2">
      <c r="A2815">
        <v>5091990</v>
      </c>
      <c r="B2815" t="s">
        <v>18</v>
      </c>
      <c r="C2815" t="s">
        <v>19</v>
      </c>
      <c r="D2815" t="s">
        <v>19</v>
      </c>
      <c r="E2815">
        <v>0</v>
      </c>
      <c r="F2815">
        <v>157500</v>
      </c>
      <c r="G2815" t="s">
        <v>31</v>
      </c>
      <c r="H2815" t="s">
        <v>22</v>
      </c>
      <c r="I2815" t="s">
        <v>28</v>
      </c>
      <c r="J2815" t="s">
        <v>24</v>
      </c>
      <c r="K2815" s="6">
        <f t="shared" ca="1" si="180"/>
        <v>27556</v>
      </c>
      <c r="L2815">
        <v>-18205</v>
      </c>
      <c r="M2815" s="7">
        <f t="shared" ca="1" si="178"/>
        <v>49.842573579739906</v>
      </c>
      <c r="N2815" s="5" t="str">
        <f ca="1">VLOOKUP(Data!M2815,temp!$B$3:$C$9,2,1)</f>
        <v>40-50</v>
      </c>
      <c r="O2815">
        <v>-9178</v>
      </c>
      <c r="P2815" s="8">
        <f t="shared" si="179"/>
        <v>25.127994524298426</v>
      </c>
      <c r="Q2815" s="5" t="str">
        <f t="shared" si="181"/>
        <v>Employed</v>
      </c>
      <c r="R2815">
        <v>1</v>
      </c>
      <c r="S2815">
        <v>0</v>
      </c>
      <c r="T2815">
        <v>0</v>
      </c>
      <c r="U2815">
        <v>0</v>
      </c>
      <c r="V2815" t="s">
        <v>38</v>
      </c>
      <c r="W2815">
        <v>2</v>
      </c>
    </row>
    <row r="2816" spans="1:23" x14ac:dyDescent="0.2">
      <c r="A2816">
        <v>5091995</v>
      </c>
      <c r="B2816" t="s">
        <v>25</v>
      </c>
      <c r="C2816" t="s">
        <v>20</v>
      </c>
      <c r="D2816" t="s">
        <v>20</v>
      </c>
      <c r="E2816">
        <v>2</v>
      </c>
      <c r="F2816">
        <v>243000</v>
      </c>
      <c r="G2816" t="s">
        <v>21</v>
      </c>
      <c r="H2816" t="s">
        <v>22</v>
      </c>
      <c r="I2816" t="s">
        <v>28</v>
      </c>
      <c r="J2816" t="s">
        <v>53</v>
      </c>
      <c r="K2816" s="6">
        <f t="shared" ca="1" si="180"/>
        <v>26132</v>
      </c>
      <c r="L2816">
        <v>-19629</v>
      </c>
      <c r="M2816" s="7">
        <f t="shared" ca="1" si="178"/>
        <v>53.741273100616013</v>
      </c>
      <c r="N2816" s="5" t="str">
        <f ca="1">VLOOKUP(Data!M2816,temp!$B$3:$C$9,2,1)</f>
        <v>50-60</v>
      </c>
      <c r="O2816">
        <v>365243</v>
      </c>
      <c r="P2816" s="8">
        <f t="shared" si="179"/>
        <v>0</v>
      </c>
      <c r="Q2816" s="5" t="str">
        <f t="shared" si="181"/>
        <v>Unemployed</v>
      </c>
      <c r="R2816">
        <v>1</v>
      </c>
      <c r="S2816">
        <v>0</v>
      </c>
      <c r="T2816">
        <v>0</v>
      </c>
      <c r="U2816">
        <v>0</v>
      </c>
      <c r="W2816">
        <v>4</v>
      </c>
    </row>
    <row r="2817" spans="1:23" x14ac:dyDescent="0.2">
      <c r="A2817">
        <v>5092006</v>
      </c>
      <c r="B2817" t="s">
        <v>18</v>
      </c>
      <c r="C2817" t="s">
        <v>19</v>
      </c>
      <c r="D2817" t="s">
        <v>19</v>
      </c>
      <c r="E2817">
        <v>0</v>
      </c>
      <c r="F2817">
        <v>112500</v>
      </c>
      <c r="G2817" t="s">
        <v>26</v>
      </c>
      <c r="H2817" t="s">
        <v>22</v>
      </c>
      <c r="I2817" t="s">
        <v>28</v>
      </c>
      <c r="J2817" t="s">
        <v>41</v>
      </c>
      <c r="K2817" s="6">
        <f t="shared" ca="1" si="180"/>
        <v>26040</v>
      </c>
      <c r="L2817">
        <v>-19721</v>
      </c>
      <c r="M2817" s="7">
        <f t="shared" ca="1" si="178"/>
        <v>53.993155373032167</v>
      </c>
      <c r="N2817" s="5" t="str">
        <f ca="1">VLOOKUP(Data!M2817,temp!$B$3:$C$9,2,1)</f>
        <v>50-60</v>
      </c>
      <c r="O2817">
        <v>-1539</v>
      </c>
      <c r="P2817" s="8">
        <f t="shared" si="179"/>
        <v>4.213552361396304</v>
      </c>
      <c r="Q2817" s="5" t="str">
        <f t="shared" si="181"/>
        <v>Employed</v>
      </c>
      <c r="R2817">
        <v>1</v>
      </c>
      <c r="S2817">
        <v>0</v>
      </c>
      <c r="T2817">
        <v>0</v>
      </c>
      <c r="U2817">
        <v>0</v>
      </c>
      <c r="V2817" t="s">
        <v>44</v>
      </c>
      <c r="W2817">
        <v>2</v>
      </c>
    </row>
    <row r="2818" spans="1:23" x14ac:dyDescent="0.2">
      <c r="A2818">
        <v>5092012</v>
      </c>
      <c r="B2818" t="s">
        <v>18</v>
      </c>
      <c r="C2818" t="s">
        <v>19</v>
      </c>
      <c r="D2818" t="s">
        <v>19</v>
      </c>
      <c r="E2818">
        <v>0</v>
      </c>
      <c r="F2818">
        <v>112500</v>
      </c>
      <c r="G2818" t="s">
        <v>26</v>
      </c>
      <c r="H2818" t="s">
        <v>22</v>
      </c>
      <c r="I2818" t="s">
        <v>28</v>
      </c>
      <c r="J2818" t="s">
        <v>41</v>
      </c>
      <c r="K2818" s="6">
        <f t="shared" ca="1" si="180"/>
        <v>26040</v>
      </c>
      <c r="L2818">
        <v>-19721</v>
      </c>
      <c r="M2818" s="7">
        <f t="shared" ca="1" si="178"/>
        <v>53.993155373032167</v>
      </c>
      <c r="N2818" s="5" t="str">
        <f ca="1">VLOOKUP(Data!M2818,temp!$B$3:$C$9,2,1)</f>
        <v>50-60</v>
      </c>
      <c r="O2818">
        <v>-1539</v>
      </c>
      <c r="P2818" s="8">
        <f t="shared" si="179"/>
        <v>4.213552361396304</v>
      </c>
      <c r="Q2818" s="5" t="str">
        <f t="shared" si="181"/>
        <v>Employed</v>
      </c>
      <c r="R2818">
        <v>1</v>
      </c>
      <c r="S2818">
        <v>0</v>
      </c>
      <c r="T2818">
        <v>0</v>
      </c>
      <c r="U2818">
        <v>0</v>
      </c>
      <c r="V2818" t="s">
        <v>44</v>
      </c>
      <c r="W2818">
        <v>2</v>
      </c>
    </row>
    <row r="2819" spans="1:23" x14ac:dyDescent="0.2">
      <c r="A2819">
        <v>5092043</v>
      </c>
      <c r="B2819" t="s">
        <v>18</v>
      </c>
      <c r="C2819" t="s">
        <v>19</v>
      </c>
      <c r="D2819" t="s">
        <v>20</v>
      </c>
      <c r="E2819">
        <v>1</v>
      </c>
      <c r="F2819">
        <v>135000</v>
      </c>
      <c r="G2819" t="s">
        <v>31</v>
      </c>
      <c r="H2819" t="s">
        <v>27</v>
      </c>
      <c r="I2819" t="s">
        <v>28</v>
      </c>
      <c r="J2819" t="s">
        <v>24</v>
      </c>
      <c r="K2819" s="6">
        <f t="shared" ca="1" si="180"/>
        <v>34163</v>
      </c>
      <c r="L2819">
        <v>-11598</v>
      </c>
      <c r="M2819" s="7">
        <f t="shared" ref="M2819:M2882" ca="1" si="182">(TODAY()-K2819)/365.25</f>
        <v>31.753593429158112</v>
      </c>
      <c r="N2819" s="5" t="str">
        <f ca="1">VLOOKUP(Data!M2819,temp!$B$3:$C$9,2,1)</f>
        <v>30-40</v>
      </c>
      <c r="O2819">
        <v>-2330</v>
      </c>
      <c r="P2819" s="8">
        <f t="shared" ref="P2819:P2882" si="183">IF(O2819&lt;=0,ABS(O2819)/365.25,0)</f>
        <v>6.3791923340177963</v>
      </c>
      <c r="Q2819" s="5" t="str">
        <f t="shared" si="181"/>
        <v>Employed</v>
      </c>
      <c r="R2819">
        <v>1</v>
      </c>
      <c r="S2819">
        <v>0</v>
      </c>
      <c r="T2819">
        <v>0</v>
      </c>
      <c r="U2819">
        <v>0</v>
      </c>
      <c r="W2819">
        <v>3</v>
      </c>
    </row>
    <row r="2820" spans="1:23" x14ac:dyDescent="0.2">
      <c r="A2820">
        <v>5092051</v>
      </c>
      <c r="B2820" t="s">
        <v>18</v>
      </c>
      <c r="C2820" t="s">
        <v>19</v>
      </c>
      <c r="D2820" t="s">
        <v>20</v>
      </c>
      <c r="E2820">
        <v>1</v>
      </c>
      <c r="F2820">
        <v>135000</v>
      </c>
      <c r="G2820" t="s">
        <v>31</v>
      </c>
      <c r="H2820" t="s">
        <v>27</v>
      </c>
      <c r="I2820" t="s">
        <v>28</v>
      </c>
      <c r="J2820" t="s">
        <v>24</v>
      </c>
      <c r="K2820" s="6">
        <f t="shared" ca="1" si="180"/>
        <v>34163</v>
      </c>
      <c r="L2820">
        <v>-11598</v>
      </c>
      <c r="M2820" s="7">
        <f t="shared" ca="1" si="182"/>
        <v>31.753593429158112</v>
      </c>
      <c r="N2820" s="5" t="str">
        <f ca="1">VLOOKUP(Data!M2820,temp!$B$3:$C$9,2,1)</f>
        <v>30-40</v>
      </c>
      <c r="O2820">
        <v>-2330</v>
      </c>
      <c r="P2820" s="8">
        <f t="shared" si="183"/>
        <v>6.3791923340177963</v>
      </c>
      <c r="Q2820" s="5" t="str">
        <f t="shared" si="181"/>
        <v>Employed</v>
      </c>
      <c r="R2820">
        <v>1</v>
      </c>
      <c r="S2820">
        <v>0</v>
      </c>
      <c r="T2820">
        <v>0</v>
      </c>
      <c r="U2820">
        <v>0</v>
      </c>
      <c r="W2820">
        <v>3</v>
      </c>
    </row>
    <row r="2821" spans="1:23" x14ac:dyDescent="0.2">
      <c r="A2821">
        <v>5092052</v>
      </c>
      <c r="B2821" t="s">
        <v>18</v>
      </c>
      <c r="C2821" t="s">
        <v>19</v>
      </c>
      <c r="D2821" t="s">
        <v>19</v>
      </c>
      <c r="E2821">
        <v>0</v>
      </c>
      <c r="F2821">
        <v>103500</v>
      </c>
      <c r="G2821" t="s">
        <v>21</v>
      </c>
      <c r="H2821" t="s">
        <v>22</v>
      </c>
      <c r="I2821" t="s">
        <v>33</v>
      </c>
      <c r="J2821" t="s">
        <v>24</v>
      </c>
      <c r="K2821" s="6">
        <f t="shared" ca="1" si="180"/>
        <v>21218</v>
      </c>
      <c r="L2821">
        <v>-24543</v>
      </c>
      <c r="M2821" s="7">
        <f t="shared" ca="1" si="182"/>
        <v>67.195071868583156</v>
      </c>
      <c r="N2821" s="5" t="str">
        <f ca="1">VLOOKUP(Data!M2821,temp!$B$3:$C$9,2,1)</f>
        <v>60-70</v>
      </c>
      <c r="O2821">
        <v>365243</v>
      </c>
      <c r="P2821" s="8">
        <f t="shared" si="183"/>
        <v>0</v>
      </c>
      <c r="Q2821" s="5" t="str">
        <f t="shared" si="181"/>
        <v>Unemployed</v>
      </c>
      <c r="R2821">
        <v>1</v>
      </c>
      <c r="S2821">
        <v>0</v>
      </c>
      <c r="T2821">
        <v>0</v>
      </c>
      <c r="U2821">
        <v>0</v>
      </c>
      <c r="W2821">
        <v>1</v>
      </c>
    </row>
    <row r="2822" spans="1:23" x14ac:dyDescent="0.2">
      <c r="A2822">
        <v>5092055</v>
      </c>
      <c r="B2822" t="s">
        <v>18</v>
      </c>
      <c r="C2822" t="s">
        <v>19</v>
      </c>
      <c r="D2822" t="s">
        <v>19</v>
      </c>
      <c r="E2822">
        <v>0</v>
      </c>
      <c r="F2822">
        <v>103500</v>
      </c>
      <c r="G2822" t="s">
        <v>21</v>
      </c>
      <c r="H2822" t="s">
        <v>22</v>
      </c>
      <c r="I2822" t="s">
        <v>33</v>
      </c>
      <c r="J2822" t="s">
        <v>24</v>
      </c>
      <c r="K2822" s="6">
        <f t="shared" ca="1" si="180"/>
        <v>21218</v>
      </c>
      <c r="L2822">
        <v>-24543</v>
      </c>
      <c r="M2822" s="7">
        <f t="shared" ca="1" si="182"/>
        <v>67.195071868583156</v>
      </c>
      <c r="N2822" s="5" t="str">
        <f ca="1">VLOOKUP(Data!M2822,temp!$B$3:$C$9,2,1)</f>
        <v>60-70</v>
      </c>
      <c r="O2822">
        <v>365243</v>
      </c>
      <c r="P2822" s="8">
        <f t="shared" si="183"/>
        <v>0</v>
      </c>
      <c r="Q2822" s="5" t="str">
        <f t="shared" si="181"/>
        <v>Unemployed</v>
      </c>
      <c r="R2822">
        <v>1</v>
      </c>
      <c r="S2822">
        <v>0</v>
      </c>
      <c r="T2822">
        <v>0</v>
      </c>
      <c r="U2822">
        <v>0</v>
      </c>
      <c r="W2822">
        <v>1</v>
      </c>
    </row>
    <row r="2823" spans="1:23" x14ac:dyDescent="0.2">
      <c r="A2823">
        <v>5092070</v>
      </c>
      <c r="B2823" t="s">
        <v>18</v>
      </c>
      <c r="C2823" t="s">
        <v>19</v>
      </c>
      <c r="D2823" t="s">
        <v>19</v>
      </c>
      <c r="E2823">
        <v>1</v>
      </c>
      <c r="F2823">
        <v>112500</v>
      </c>
      <c r="G2823" t="s">
        <v>26</v>
      </c>
      <c r="H2823" t="s">
        <v>27</v>
      </c>
      <c r="I2823" t="s">
        <v>33</v>
      </c>
      <c r="J2823" t="s">
        <v>24</v>
      </c>
      <c r="K2823" s="6">
        <f t="shared" ca="1" si="180"/>
        <v>32325</v>
      </c>
      <c r="L2823">
        <v>-13436</v>
      </c>
      <c r="M2823" s="7">
        <f t="shared" ca="1" si="182"/>
        <v>36.785763175906915</v>
      </c>
      <c r="N2823" s="5" t="str">
        <f ca="1">VLOOKUP(Data!M2823,temp!$B$3:$C$9,2,1)</f>
        <v>30-40</v>
      </c>
      <c r="O2823">
        <v>-2452</v>
      </c>
      <c r="P2823" s="8">
        <f t="shared" si="183"/>
        <v>6.7132101300479121</v>
      </c>
      <c r="Q2823" s="5" t="str">
        <f t="shared" si="181"/>
        <v>Employed</v>
      </c>
      <c r="R2823">
        <v>1</v>
      </c>
      <c r="S2823">
        <v>0</v>
      </c>
      <c r="T2823">
        <v>0</v>
      </c>
      <c r="U2823">
        <v>0</v>
      </c>
      <c r="V2823" t="s">
        <v>47</v>
      </c>
      <c r="W2823">
        <v>2</v>
      </c>
    </row>
    <row r="2824" spans="1:23" x14ac:dyDescent="0.2">
      <c r="A2824">
        <v>5092073</v>
      </c>
      <c r="B2824" t="s">
        <v>18</v>
      </c>
      <c r="C2824" t="s">
        <v>19</v>
      </c>
      <c r="D2824" t="s">
        <v>19</v>
      </c>
      <c r="E2824">
        <v>1</v>
      </c>
      <c r="F2824">
        <v>112500</v>
      </c>
      <c r="G2824" t="s">
        <v>26</v>
      </c>
      <c r="H2824" t="s">
        <v>27</v>
      </c>
      <c r="I2824" t="s">
        <v>33</v>
      </c>
      <c r="J2824" t="s">
        <v>24</v>
      </c>
      <c r="K2824" s="6">
        <f t="shared" ref="K2824:K2887" ca="1" si="184">TODAY()+($L2824)</f>
        <v>32325</v>
      </c>
      <c r="L2824">
        <v>-13436</v>
      </c>
      <c r="M2824" s="7">
        <f t="shared" ca="1" si="182"/>
        <v>36.785763175906915</v>
      </c>
      <c r="N2824" s="5" t="str">
        <f ca="1">VLOOKUP(Data!M2824,temp!$B$3:$C$9,2,1)</f>
        <v>30-40</v>
      </c>
      <c r="O2824">
        <v>-2452</v>
      </c>
      <c r="P2824" s="8">
        <f t="shared" si="183"/>
        <v>6.7132101300479121</v>
      </c>
      <c r="Q2824" s="5" t="str">
        <f t="shared" ref="Q2824:Q2887" si="185">IF($O2824&gt;0,"Unemployed","Employed")</f>
        <v>Employed</v>
      </c>
      <c r="R2824">
        <v>1</v>
      </c>
      <c r="S2824">
        <v>0</v>
      </c>
      <c r="T2824">
        <v>0</v>
      </c>
      <c r="U2824">
        <v>0</v>
      </c>
      <c r="V2824" t="s">
        <v>47</v>
      </c>
      <c r="W2824">
        <v>2</v>
      </c>
    </row>
    <row r="2825" spans="1:23" x14ac:dyDescent="0.2">
      <c r="A2825">
        <v>5092075</v>
      </c>
      <c r="B2825" t="s">
        <v>25</v>
      </c>
      <c r="C2825" t="s">
        <v>19</v>
      </c>
      <c r="D2825" t="s">
        <v>19</v>
      </c>
      <c r="E2825">
        <v>0</v>
      </c>
      <c r="F2825">
        <v>202500</v>
      </c>
      <c r="G2825" t="s">
        <v>31</v>
      </c>
      <c r="H2825" t="s">
        <v>27</v>
      </c>
      <c r="I2825" t="s">
        <v>28</v>
      </c>
      <c r="J2825" t="s">
        <v>45</v>
      </c>
      <c r="K2825" s="6">
        <f t="shared" ca="1" si="184"/>
        <v>28065</v>
      </c>
      <c r="L2825">
        <v>-17696</v>
      </c>
      <c r="M2825" s="7">
        <f t="shared" ca="1" si="182"/>
        <v>48.449007529089663</v>
      </c>
      <c r="N2825" s="5" t="str">
        <f ca="1">VLOOKUP(Data!M2825,temp!$B$3:$C$9,2,1)</f>
        <v>40-50</v>
      </c>
      <c r="O2825">
        <v>-412</v>
      </c>
      <c r="P2825" s="8">
        <f t="shared" si="183"/>
        <v>1.1279945242984257</v>
      </c>
      <c r="Q2825" s="5" t="str">
        <f t="shared" si="185"/>
        <v>Employed</v>
      </c>
      <c r="R2825">
        <v>1</v>
      </c>
      <c r="S2825">
        <v>0</v>
      </c>
      <c r="T2825">
        <v>0</v>
      </c>
      <c r="U2825">
        <v>0</v>
      </c>
      <c r="V2825" t="s">
        <v>29</v>
      </c>
      <c r="W2825">
        <v>2</v>
      </c>
    </row>
    <row r="2826" spans="1:23" x14ac:dyDescent="0.2">
      <c r="A2826">
        <v>5092087</v>
      </c>
      <c r="B2826" t="s">
        <v>25</v>
      </c>
      <c r="C2826" t="s">
        <v>20</v>
      </c>
      <c r="D2826" t="s">
        <v>20</v>
      </c>
      <c r="E2826">
        <v>2</v>
      </c>
      <c r="F2826">
        <v>247500</v>
      </c>
      <c r="G2826" t="s">
        <v>31</v>
      </c>
      <c r="H2826" t="s">
        <v>27</v>
      </c>
      <c r="I2826" t="s">
        <v>28</v>
      </c>
      <c r="J2826" t="s">
        <v>24</v>
      </c>
      <c r="K2826" s="6">
        <f t="shared" ca="1" si="184"/>
        <v>28441</v>
      </c>
      <c r="L2826">
        <v>-17320</v>
      </c>
      <c r="M2826" s="7">
        <f t="shared" ca="1" si="182"/>
        <v>47.419575633127998</v>
      </c>
      <c r="N2826" s="5" t="str">
        <f ca="1">VLOOKUP(Data!M2826,temp!$B$3:$C$9,2,1)</f>
        <v>40-50</v>
      </c>
      <c r="O2826">
        <v>-535</v>
      </c>
      <c r="P2826" s="8">
        <f t="shared" si="183"/>
        <v>1.4647501711156743</v>
      </c>
      <c r="Q2826" s="5" t="str">
        <f t="shared" si="185"/>
        <v>Employed</v>
      </c>
      <c r="R2826">
        <v>1</v>
      </c>
      <c r="S2826">
        <v>0</v>
      </c>
      <c r="T2826">
        <v>0</v>
      </c>
      <c r="U2826">
        <v>0</v>
      </c>
      <c r="V2826" t="s">
        <v>29</v>
      </c>
      <c r="W2826">
        <v>4</v>
      </c>
    </row>
    <row r="2827" spans="1:23" x14ac:dyDescent="0.2">
      <c r="A2827">
        <v>5092090</v>
      </c>
      <c r="B2827" t="s">
        <v>18</v>
      </c>
      <c r="C2827" t="s">
        <v>19</v>
      </c>
      <c r="D2827" t="s">
        <v>20</v>
      </c>
      <c r="E2827">
        <v>0</v>
      </c>
      <c r="F2827">
        <v>67500</v>
      </c>
      <c r="G2827" t="s">
        <v>31</v>
      </c>
      <c r="H2827" t="s">
        <v>27</v>
      </c>
      <c r="I2827" t="s">
        <v>28</v>
      </c>
      <c r="J2827" t="s">
        <v>24</v>
      </c>
      <c r="K2827" s="6">
        <f t="shared" ca="1" si="184"/>
        <v>31071</v>
      </c>
      <c r="L2827">
        <v>-14690</v>
      </c>
      <c r="M2827" s="7">
        <f t="shared" ca="1" si="182"/>
        <v>40.219028062970565</v>
      </c>
      <c r="N2827" s="5" t="str">
        <f ca="1">VLOOKUP(Data!M2827,temp!$B$3:$C$9,2,1)</f>
        <v>40-50</v>
      </c>
      <c r="O2827">
        <v>-504</v>
      </c>
      <c r="P2827" s="8">
        <f t="shared" si="183"/>
        <v>1.3798767967145791</v>
      </c>
      <c r="Q2827" s="5" t="str">
        <f t="shared" si="185"/>
        <v>Employed</v>
      </c>
      <c r="R2827">
        <v>1</v>
      </c>
      <c r="S2827">
        <v>0</v>
      </c>
      <c r="T2827">
        <v>0</v>
      </c>
      <c r="U2827">
        <v>0</v>
      </c>
      <c r="V2827" t="s">
        <v>55</v>
      </c>
      <c r="W2827">
        <v>2</v>
      </c>
    </row>
    <row r="2828" spans="1:23" x14ac:dyDescent="0.2">
      <c r="A2828">
        <v>5092106</v>
      </c>
      <c r="B2828" t="s">
        <v>18</v>
      </c>
      <c r="C2828" t="s">
        <v>19</v>
      </c>
      <c r="D2828" t="s">
        <v>20</v>
      </c>
      <c r="E2828">
        <v>1</v>
      </c>
      <c r="F2828">
        <v>135000</v>
      </c>
      <c r="G2828" t="s">
        <v>31</v>
      </c>
      <c r="H2828" t="s">
        <v>27</v>
      </c>
      <c r="I2828" t="s">
        <v>33</v>
      </c>
      <c r="J2828" t="s">
        <v>45</v>
      </c>
      <c r="K2828" s="6">
        <f t="shared" ca="1" si="184"/>
        <v>28994</v>
      </c>
      <c r="L2828">
        <v>-16767</v>
      </c>
      <c r="M2828" s="7">
        <f t="shared" ca="1" si="182"/>
        <v>45.905544147843941</v>
      </c>
      <c r="N2828" s="5" t="str">
        <f ca="1">VLOOKUP(Data!M2828,temp!$B$3:$C$9,2,1)</f>
        <v>40-50</v>
      </c>
      <c r="O2828">
        <v>-9270</v>
      </c>
      <c r="P2828" s="8">
        <f t="shared" si="183"/>
        <v>25.37987679671458</v>
      </c>
      <c r="Q2828" s="5" t="str">
        <f t="shared" si="185"/>
        <v>Employed</v>
      </c>
      <c r="R2828">
        <v>1</v>
      </c>
      <c r="S2828">
        <v>0</v>
      </c>
      <c r="T2828">
        <v>0</v>
      </c>
      <c r="U2828">
        <v>0</v>
      </c>
      <c r="V2828" t="s">
        <v>50</v>
      </c>
      <c r="W2828">
        <v>2</v>
      </c>
    </row>
    <row r="2829" spans="1:23" x14ac:dyDescent="0.2">
      <c r="A2829">
        <v>5092108</v>
      </c>
      <c r="B2829" t="s">
        <v>18</v>
      </c>
      <c r="C2829" t="s">
        <v>19</v>
      </c>
      <c r="D2829" t="s">
        <v>20</v>
      </c>
      <c r="E2829">
        <v>1</v>
      </c>
      <c r="F2829">
        <v>135000</v>
      </c>
      <c r="G2829" t="s">
        <v>31</v>
      </c>
      <c r="H2829" t="s">
        <v>27</v>
      </c>
      <c r="I2829" t="s">
        <v>33</v>
      </c>
      <c r="J2829" t="s">
        <v>45</v>
      </c>
      <c r="K2829" s="6">
        <f t="shared" ca="1" si="184"/>
        <v>28994</v>
      </c>
      <c r="L2829">
        <v>-16767</v>
      </c>
      <c r="M2829" s="7">
        <f t="shared" ca="1" si="182"/>
        <v>45.905544147843941</v>
      </c>
      <c r="N2829" s="5" t="str">
        <f ca="1">VLOOKUP(Data!M2829,temp!$B$3:$C$9,2,1)</f>
        <v>40-50</v>
      </c>
      <c r="O2829">
        <v>-9270</v>
      </c>
      <c r="P2829" s="8">
        <f t="shared" si="183"/>
        <v>25.37987679671458</v>
      </c>
      <c r="Q2829" s="5" t="str">
        <f t="shared" si="185"/>
        <v>Employed</v>
      </c>
      <c r="R2829">
        <v>1</v>
      </c>
      <c r="S2829">
        <v>0</v>
      </c>
      <c r="T2829">
        <v>0</v>
      </c>
      <c r="U2829">
        <v>0</v>
      </c>
      <c r="V2829" t="s">
        <v>50</v>
      </c>
      <c r="W2829">
        <v>2</v>
      </c>
    </row>
    <row r="2830" spans="1:23" x14ac:dyDescent="0.2">
      <c r="A2830">
        <v>5092109</v>
      </c>
      <c r="B2830" t="s">
        <v>18</v>
      </c>
      <c r="C2830" t="s">
        <v>19</v>
      </c>
      <c r="D2830" t="s">
        <v>20</v>
      </c>
      <c r="E2830">
        <v>1</v>
      </c>
      <c r="F2830">
        <v>135000</v>
      </c>
      <c r="G2830" t="s">
        <v>31</v>
      </c>
      <c r="H2830" t="s">
        <v>27</v>
      </c>
      <c r="I2830" t="s">
        <v>33</v>
      </c>
      <c r="J2830" t="s">
        <v>45</v>
      </c>
      <c r="K2830" s="6">
        <f t="shared" ca="1" si="184"/>
        <v>28994</v>
      </c>
      <c r="L2830">
        <v>-16767</v>
      </c>
      <c r="M2830" s="7">
        <f t="shared" ca="1" si="182"/>
        <v>45.905544147843941</v>
      </c>
      <c r="N2830" s="5" t="str">
        <f ca="1">VLOOKUP(Data!M2830,temp!$B$3:$C$9,2,1)</f>
        <v>40-50</v>
      </c>
      <c r="O2830">
        <v>-9270</v>
      </c>
      <c r="P2830" s="8">
        <f t="shared" si="183"/>
        <v>25.37987679671458</v>
      </c>
      <c r="Q2830" s="5" t="str">
        <f t="shared" si="185"/>
        <v>Employed</v>
      </c>
      <c r="R2830">
        <v>1</v>
      </c>
      <c r="S2830">
        <v>0</v>
      </c>
      <c r="T2830">
        <v>0</v>
      </c>
      <c r="U2830">
        <v>0</v>
      </c>
      <c r="V2830" t="s">
        <v>50</v>
      </c>
      <c r="W2830">
        <v>2</v>
      </c>
    </row>
    <row r="2831" spans="1:23" x14ac:dyDescent="0.2">
      <c r="A2831">
        <v>5092115</v>
      </c>
      <c r="B2831" t="s">
        <v>25</v>
      </c>
      <c r="C2831" t="s">
        <v>20</v>
      </c>
      <c r="D2831" t="s">
        <v>20</v>
      </c>
      <c r="E2831">
        <v>1</v>
      </c>
      <c r="F2831">
        <v>180000</v>
      </c>
      <c r="G2831" t="s">
        <v>26</v>
      </c>
      <c r="H2831" t="s">
        <v>27</v>
      </c>
      <c r="I2831" t="s">
        <v>28</v>
      </c>
      <c r="J2831" t="s">
        <v>24</v>
      </c>
      <c r="K2831" s="6">
        <f t="shared" ca="1" si="184"/>
        <v>28967</v>
      </c>
      <c r="L2831">
        <v>-16794</v>
      </c>
      <c r="M2831" s="7">
        <f t="shared" ca="1" si="182"/>
        <v>45.979466119096507</v>
      </c>
      <c r="N2831" s="5" t="str">
        <f ca="1">VLOOKUP(Data!M2831,temp!$B$3:$C$9,2,1)</f>
        <v>40-50</v>
      </c>
      <c r="O2831">
        <v>-3092</v>
      </c>
      <c r="P2831" s="8">
        <f t="shared" si="183"/>
        <v>8.4654346338124569</v>
      </c>
      <c r="Q2831" s="5" t="str">
        <f t="shared" si="185"/>
        <v>Employed</v>
      </c>
      <c r="R2831">
        <v>1</v>
      </c>
      <c r="S2831">
        <v>1</v>
      </c>
      <c r="T2831">
        <v>1</v>
      </c>
      <c r="U2831">
        <v>0</v>
      </c>
      <c r="V2831" t="s">
        <v>47</v>
      </c>
      <c r="W2831">
        <v>3</v>
      </c>
    </row>
    <row r="2832" spans="1:23" x14ac:dyDescent="0.2">
      <c r="A2832">
        <v>5092118</v>
      </c>
      <c r="B2832" t="s">
        <v>18</v>
      </c>
      <c r="C2832" t="s">
        <v>19</v>
      </c>
      <c r="D2832" t="s">
        <v>20</v>
      </c>
      <c r="E2832">
        <v>0</v>
      </c>
      <c r="F2832">
        <v>193500</v>
      </c>
      <c r="G2832" t="s">
        <v>21</v>
      </c>
      <c r="H2832" t="s">
        <v>27</v>
      </c>
      <c r="I2832" t="s">
        <v>28</v>
      </c>
      <c r="J2832" t="s">
        <v>24</v>
      </c>
      <c r="K2832" s="6">
        <f t="shared" ca="1" si="184"/>
        <v>24004</v>
      </c>
      <c r="L2832">
        <v>-21757</v>
      </c>
      <c r="M2832" s="7">
        <f t="shared" ca="1" si="182"/>
        <v>59.567419575633132</v>
      </c>
      <c r="N2832" s="5" t="str">
        <f ca="1">VLOOKUP(Data!M2832,temp!$B$3:$C$9,2,1)</f>
        <v>50-60</v>
      </c>
      <c r="O2832">
        <v>365243</v>
      </c>
      <c r="P2832" s="8">
        <f t="shared" si="183"/>
        <v>0</v>
      </c>
      <c r="Q2832" s="5" t="str">
        <f t="shared" si="185"/>
        <v>Unemployed</v>
      </c>
      <c r="R2832">
        <v>1</v>
      </c>
      <c r="S2832">
        <v>0</v>
      </c>
      <c r="T2832">
        <v>0</v>
      </c>
      <c r="U2832">
        <v>0</v>
      </c>
      <c r="W2832">
        <v>2</v>
      </c>
    </row>
    <row r="2833" spans="1:23" x14ac:dyDescent="0.2">
      <c r="A2833">
        <v>5092151</v>
      </c>
      <c r="B2833" t="s">
        <v>18</v>
      </c>
      <c r="C2833" t="s">
        <v>19</v>
      </c>
      <c r="D2833" t="s">
        <v>20</v>
      </c>
      <c r="E2833">
        <v>0</v>
      </c>
      <c r="F2833">
        <v>292500</v>
      </c>
      <c r="G2833" t="s">
        <v>21</v>
      </c>
      <c r="H2833" t="s">
        <v>27</v>
      </c>
      <c r="I2833" t="s">
        <v>28</v>
      </c>
      <c r="J2833" t="s">
        <v>24</v>
      </c>
      <c r="K2833" s="6">
        <f t="shared" ca="1" si="184"/>
        <v>26882</v>
      </c>
      <c r="L2833">
        <v>-18879</v>
      </c>
      <c r="M2833" s="7">
        <f t="shared" ca="1" si="182"/>
        <v>51.687885010266939</v>
      </c>
      <c r="N2833" s="5" t="str">
        <f ca="1">VLOOKUP(Data!M2833,temp!$B$3:$C$9,2,1)</f>
        <v>50-60</v>
      </c>
      <c r="O2833">
        <v>365243</v>
      </c>
      <c r="P2833" s="8">
        <f t="shared" si="183"/>
        <v>0</v>
      </c>
      <c r="Q2833" s="5" t="str">
        <f t="shared" si="185"/>
        <v>Unemployed</v>
      </c>
      <c r="R2833">
        <v>1</v>
      </c>
      <c r="S2833">
        <v>0</v>
      </c>
      <c r="T2833">
        <v>0</v>
      </c>
      <c r="U2833">
        <v>0</v>
      </c>
      <c r="W2833">
        <v>2</v>
      </c>
    </row>
    <row r="2834" spans="1:23" x14ac:dyDescent="0.2">
      <c r="A2834">
        <v>5092159</v>
      </c>
      <c r="B2834" t="s">
        <v>18</v>
      </c>
      <c r="C2834" t="s">
        <v>20</v>
      </c>
      <c r="D2834" t="s">
        <v>20</v>
      </c>
      <c r="E2834">
        <v>0</v>
      </c>
      <c r="F2834">
        <v>301500</v>
      </c>
      <c r="G2834" t="s">
        <v>21</v>
      </c>
      <c r="H2834" t="s">
        <v>22</v>
      </c>
      <c r="I2834" t="s">
        <v>28</v>
      </c>
      <c r="J2834" t="s">
        <v>24</v>
      </c>
      <c r="K2834" s="6">
        <f t="shared" ca="1" si="184"/>
        <v>24717</v>
      </c>
      <c r="L2834">
        <v>-21044</v>
      </c>
      <c r="M2834" s="7">
        <f t="shared" ca="1" si="182"/>
        <v>57.615331964407943</v>
      </c>
      <c r="N2834" s="5" t="str">
        <f ca="1">VLOOKUP(Data!M2834,temp!$B$3:$C$9,2,1)</f>
        <v>50-60</v>
      </c>
      <c r="O2834">
        <v>365243</v>
      </c>
      <c r="P2834" s="8">
        <f t="shared" si="183"/>
        <v>0</v>
      </c>
      <c r="Q2834" s="5" t="str">
        <f t="shared" si="185"/>
        <v>Unemployed</v>
      </c>
      <c r="R2834">
        <v>1</v>
      </c>
      <c r="S2834">
        <v>0</v>
      </c>
      <c r="T2834">
        <v>1</v>
      </c>
      <c r="U2834">
        <v>0</v>
      </c>
      <c r="W2834">
        <v>2</v>
      </c>
    </row>
    <row r="2835" spans="1:23" x14ac:dyDescent="0.2">
      <c r="A2835">
        <v>5092169</v>
      </c>
      <c r="B2835" t="s">
        <v>25</v>
      </c>
      <c r="C2835" t="s">
        <v>20</v>
      </c>
      <c r="D2835" t="s">
        <v>20</v>
      </c>
      <c r="E2835">
        <v>3</v>
      </c>
      <c r="F2835">
        <v>81000</v>
      </c>
      <c r="G2835" t="s">
        <v>31</v>
      </c>
      <c r="H2835" t="s">
        <v>27</v>
      </c>
      <c r="I2835" t="s">
        <v>28</v>
      </c>
      <c r="J2835" t="s">
        <v>24</v>
      </c>
      <c r="K2835" s="6">
        <f t="shared" ca="1" si="184"/>
        <v>33107</v>
      </c>
      <c r="L2835">
        <v>-12654</v>
      </c>
      <c r="M2835" s="7">
        <f t="shared" ca="1" si="182"/>
        <v>34.644763860369608</v>
      </c>
      <c r="N2835" s="5" t="str">
        <f ca="1">VLOOKUP(Data!M2835,temp!$B$3:$C$9,2,1)</f>
        <v>30-40</v>
      </c>
      <c r="O2835">
        <v>-200</v>
      </c>
      <c r="P2835" s="8">
        <f t="shared" si="183"/>
        <v>0.54757015742642023</v>
      </c>
      <c r="Q2835" s="5" t="str">
        <f t="shared" si="185"/>
        <v>Employed</v>
      </c>
      <c r="R2835">
        <v>1</v>
      </c>
      <c r="S2835">
        <v>0</v>
      </c>
      <c r="T2835">
        <v>0</v>
      </c>
      <c r="U2835">
        <v>0</v>
      </c>
      <c r="V2835" t="s">
        <v>29</v>
      </c>
      <c r="W2835">
        <v>5</v>
      </c>
    </row>
    <row r="2836" spans="1:23" x14ac:dyDescent="0.2">
      <c r="A2836">
        <v>5092173</v>
      </c>
      <c r="B2836" t="s">
        <v>25</v>
      </c>
      <c r="C2836" t="s">
        <v>20</v>
      </c>
      <c r="D2836" t="s">
        <v>19</v>
      </c>
      <c r="E2836">
        <v>2</v>
      </c>
      <c r="F2836">
        <v>315000</v>
      </c>
      <c r="G2836" t="s">
        <v>26</v>
      </c>
      <c r="H2836" t="s">
        <v>36</v>
      </c>
      <c r="I2836" t="s">
        <v>28</v>
      </c>
      <c r="J2836" t="s">
        <v>24</v>
      </c>
      <c r="K2836" s="6">
        <f t="shared" ca="1" si="184"/>
        <v>34681</v>
      </c>
      <c r="L2836">
        <v>-11080</v>
      </c>
      <c r="M2836" s="7">
        <f t="shared" ca="1" si="182"/>
        <v>30.335386721423681</v>
      </c>
      <c r="N2836" s="5" t="str">
        <f ca="1">VLOOKUP(Data!M2836,temp!$B$3:$C$9,2,1)</f>
        <v>30-40</v>
      </c>
      <c r="O2836">
        <v>-657</v>
      </c>
      <c r="P2836" s="8">
        <f t="shared" si="183"/>
        <v>1.7987679671457906</v>
      </c>
      <c r="Q2836" s="5" t="str">
        <f t="shared" si="185"/>
        <v>Employed</v>
      </c>
      <c r="R2836">
        <v>1</v>
      </c>
      <c r="S2836">
        <v>0</v>
      </c>
      <c r="T2836">
        <v>0</v>
      </c>
      <c r="U2836">
        <v>0</v>
      </c>
      <c r="V2836" t="s">
        <v>32</v>
      </c>
      <c r="W2836">
        <v>4</v>
      </c>
    </row>
    <row r="2837" spans="1:23" x14ac:dyDescent="0.2">
      <c r="A2837">
        <v>5092174</v>
      </c>
      <c r="B2837" t="s">
        <v>25</v>
      </c>
      <c r="C2837" t="s">
        <v>20</v>
      </c>
      <c r="D2837" t="s">
        <v>19</v>
      </c>
      <c r="E2837">
        <v>2</v>
      </c>
      <c r="F2837">
        <v>315000</v>
      </c>
      <c r="G2837" t="s">
        <v>26</v>
      </c>
      <c r="H2837" t="s">
        <v>36</v>
      </c>
      <c r="I2837" t="s">
        <v>28</v>
      </c>
      <c r="J2837" t="s">
        <v>24</v>
      </c>
      <c r="K2837" s="6">
        <f t="shared" ca="1" si="184"/>
        <v>34681</v>
      </c>
      <c r="L2837">
        <v>-11080</v>
      </c>
      <c r="M2837" s="7">
        <f t="shared" ca="1" si="182"/>
        <v>30.335386721423681</v>
      </c>
      <c r="N2837" s="5" t="str">
        <f ca="1">VLOOKUP(Data!M2837,temp!$B$3:$C$9,2,1)</f>
        <v>30-40</v>
      </c>
      <c r="O2837">
        <v>-657</v>
      </c>
      <c r="P2837" s="8">
        <f t="shared" si="183"/>
        <v>1.7987679671457906</v>
      </c>
      <c r="Q2837" s="5" t="str">
        <f t="shared" si="185"/>
        <v>Employed</v>
      </c>
      <c r="R2837">
        <v>1</v>
      </c>
      <c r="S2837">
        <v>0</v>
      </c>
      <c r="T2837">
        <v>0</v>
      </c>
      <c r="U2837">
        <v>0</v>
      </c>
      <c r="V2837" t="s">
        <v>32</v>
      </c>
      <c r="W2837">
        <v>4</v>
      </c>
    </row>
    <row r="2838" spans="1:23" x14ac:dyDescent="0.2">
      <c r="A2838">
        <v>5092176</v>
      </c>
      <c r="B2838" t="s">
        <v>25</v>
      </c>
      <c r="C2838" t="s">
        <v>20</v>
      </c>
      <c r="D2838" t="s">
        <v>19</v>
      </c>
      <c r="E2838">
        <v>2</v>
      </c>
      <c r="F2838">
        <v>315000</v>
      </c>
      <c r="G2838" t="s">
        <v>26</v>
      </c>
      <c r="H2838" t="s">
        <v>36</v>
      </c>
      <c r="I2838" t="s">
        <v>28</v>
      </c>
      <c r="J2838" t="s">
        <v>24</v>
      </c>
      <c r="K2838" s="6">
        <f t="shared" ca="1" si="184"/>
        <v>34681</v>
      </c>
      <c r="L2838">
        <v>-11080</v>
      </c>
      <c r="M2838" s="7">
        <f t="shared" ca="1" si="182"/>
        <v>30.335386721423681</v>
      </c>
      <c r="N2838" s="5" t="str">
        <f ca="1">VLOOKUP(Data!M2838,temp!$B$3:$C$9,2,1)</f>
        <v>30-40</v>
      </c>
      <c r="O2838">
        <v>-657</v>
      </c>
      <c r="P2838" s="8">
        <f t="shared" si="183"/>
        <v>1.7987679671457906</v>
      </c>
      <c r="Q2838" s="5" t="str">
        <f t="shared" si="185"/>
        <v>Employed</v>
      </c>
      <c r="R2838">
        <v>1</v>
      </c>
      <c r="S2838">
        <v>0</v>
      </c>
      <c r="T2838">
        <v>0</v>
      </c>
      <c r="U2838">
        <v>0</v>
      </c>
      <c r="V2838" t="s">
        <v>32</v>
      </c>
      <c r="W2838">
        <v>4</v>
      </c>
    </row>
    <row r="2839" spans="1:23" x14ac:dyDescent="0.2">
      <c r="A2839">
        <v>5092206</v>
      </c>
      <c r="B2839" t="s">
        <v>25</v>
      </c>
      <c r="C2839" t="s">
        <v>20</v>
      </c>
      <c r="D2839" t="s">
        <v>20</v>
      </c>
      <c r="E2839">
        <v>0</v>
      </c>
      <c r="F2839">
        <v>180000</v>
      </c>
      <c r="G2839" t="s">
        <v>31</v>
      </c>
      <c r="H2839" t="s">
        <v>22</v>
      </c>
      <c r="I2839" t="s">
        <v>28</v>
      </c>
      <c r="J2839" t="s">
        <v>24</v>
      </c>
      <c r="K2839" s="6">
        <f t="shared" ca="1" si="184"/>
        <v>33768</v>
      </c>
      <c r="L2839">
        <v>-11993</v>
      </c>
      <c r="M2839" s="7">
        <f t="shared" ca="1" si="182"/>
        <v>32.83504449007529</v>
      </c>
      <c r="N2839" s="5" t="str">
        <f ca="1">VLOOKUP(Data!M2839,temp!$B$3:$C$9,2,1)</f>
        <v>30-40</v>
      </c>
      <c r="O2839">
        <v>-4826</v>
      </c>
      <c r="P2839" s="8">
        <f t="shared" si="183"/>
        <v>13.212867898699521</v>
      </c>
      <c r="Q2839" s="5" t="str">
        <f t="shared" si="185"/>
        <v>Employed</v>
      </c>
      <c r="R2839">
        <v>1</v>
      </c>
      <c r="S2839">
        <v>0</v>
      </c>
      <c r="T2839">
        <v>1</v>
      </c>
      <c r="U2839">
        <v>0</v>
      </c>
      <c r="V2839" t="s">
        <v>29</v>
      </c>
      <c r="W2839">
        <v>2</v>
      </c>
    </row>
    <row r="2840" spans="1:23" x14ac:dyDescent="0.2">
      <c r="A2840">
        <v>5092212</v>
      </c>
      <c r="B2840" t="s">
        <v>18</v>
      </c>
      <c r="C2840" t="s">
        <v>20</v>
      </c>
      <c r="D2840" t="s">
        <v>20</v>
      </c>
      <c r="E2840">
        <v>0</v>
      </c>
      <c r="F2840">
        <v>144000</v>
      </c>
      <c r="G2840" t="s">
        <v>31</v>
      </c>
      <c r="H2840" t="s">
        <v>27</v>
      </c>
      <c r="I2840" t="s">
        <v>28</v>
      </c>
      <c r="J2840" t="s">
        <v>24</v>
      </c>
      <c r="K2840" s="6">
        <f t="shared" ca="1" si="184"/>
        <v>24259</v>
      </c>
      <c r="L2840">
        <v>-21502</v>
      </c>
      <c r="M2840" s="7">
        <f t="shared" ca="1" si="182"/>
        <v>58.869267624914443</v>
      </c>
      <c r="N2840" s="5" t="str">
        <f ca="1">VLOOKUP(Data!M2840,temp!$B$3:$C$9,2,1)</f>
        <v>50-60</v>
      </c>
      <c r="O2840">
        <v>-3122</v>
      </c>
      <c r="P2840" s="8">
        <f t="shared" si="183"/>
        <v>8.5475701574264207</v>
      </c>
      <c r="Q2840" s="5" t="str">
        <f t="shared" si="185"/>
        <v>Employed</v>
      </c>
      <c r="R2840">
        <v>1</v>
      </c>
      <c r="S2840">
        <v>0</v>
      </c>
      <c r="T2840">
        <v>0</v>
      </c>
      <c r="U2840">
        <v>0</v>
      </c>
      <c r="V2840" t="s">
        <v>44</v>
      </c>
      <c r="W2840">
        <v>2</v>
      </c>
    </row>
    <row r="2841" spans="1:23" x14ac:dyDescent="0.2">
      <c r="A2841">
        <v>5092215</v>
      </c>
      <c r="B2841" t="s">
        <v>18</v>
      </c>
      <c r="C2841" t="s">
        <v>20</v>
      </c>
      <c r="D2841" t="s">
        <v>20</v>
      </c>
      <c r="E2841">
        <v>0</v>
      </c>
      <c r="F2841">
        <v>144000</v>
      </c>
      <c r="G2841" t="s">
        <v>31</v>
      </c>
      <c r="H2841" t="s">
        <v>27</v>
      </c>
      <c r="I2841" t="s">
        <v>28</v>
      </c>
      <c r="J2841" t="s">
        <v>24</v>
      </c>
      <c r="K2841" s="6">
        <f t="shared" ca="1" si="184"/>
        <v>24259</v>
      </c>
      <c r="L2841">
        <v>-21502</v>
      </c>
      <c r="M2841" s="7">
        <f t="shared" ca="1" si="182"/>
        <v>58.869267624914443</v>
      </c>
      <c r="N2841" s="5" t="str">
        <f ca="1">VLOOKUP(Data!M2841,temp!$B$3:$C$9,2,1)</f>
        <v>50-60</v>
      </c>
      <c r="O2841">
        <v>-3122</v>
      </c>
      <c r="P2841" s="8">
        <f t="shared" si="183"/>
        <v>8.5475701574264207</v>
      </c>
      <c r="Q2841" s="5" t="str">
        <f t="shared" si="185"/>
        <v>Employed</v>
      </c>
      <c r="R2841">
        <v>1</v>
      </c>
      <c r="S2841">
        <v>0</v>
      </c>
      <c r="T2841">
        <v>0</v>
      </c>
      <c r="U2841">
        <v>0</v>
      </c>
      <c r="V2841" t="s">
        <v>44</v>
      </c>
      <c r="W2841">
        <v>2</v>
      </c>
    </row>
    <row r="2842" spans="1:23" x14ac:dyDescent="0.2">
      <c r="A2842">
        <v>5092216</v>
      </c>
      <c r="B2842" t="s">
        <v>18</v>
      </c>
      <c r="C2842" t="s">
        <v>20</v>
      </c>
      <c r="D2842" t="s">
        <v>20</v>
      </c>
      <c r="E2842">
        <v>0</v>
      </c>
      <c r="F2842">
        <v>144000</v>
      </c>
      <c r="G2842" t="s">
        <v>31</v>
      </c>
      <c r="H2842" t="s">
        <v>27</v>
      </c>
      <c r="I2842" t="s">
        <v>28</v>
      </c>
      <c r="J2842" t="s">
        <v>24</v>
      </c>
      <c r="K2842" s="6">
        <f t="shared" ca="1" si="184"/>
        <v>24259</v>
      </c>
      <c r="L2842">
        <v>-21502</v>
      </c>
      <c r="M2842" s="7">
        <f t="shared" ca="1" si="182"/>
        <v>58.869267624914443</v>
      </c>
      <c r="N2842" s="5" t="str">
        <f ca="1">VLOOKUP(Data!M2842,temp!$B$3:$C$9,2,1)</f>
        <v>50-60</v>
      </c>
      <c r="O2842">
        <v>-3122</v>
      </c>
      <c r="P2842" s="8">
        <f t="shared" si="183"/>
        <v>8.5475701574264207</v>
      </c>
      <c r="Q2842" s="5" t="str">
        <f t="shared" si="185"/>
        <v>Employed</v>
      </c>
      <c r="R2842">
        <v>1</v>
      </c>
      <c r="S2842">
        <v>0</v>
      </c>
      <c r="T2842">
        <v>0</v>
      </c>
      <c r="U2842">
        <v>0</v>
      </c>
      <c r="V2842" t="s">
        <v>44</v>
      </c>
      <c r="W2842">
        <v>2</v>
      </c>
    </row>
    <row r="2843" spans="1:23" x14ac:dyDescent="0.2">
      <c r="A2843">
        <v>5092225</v>
      </c>
      <c r="B2843" t="s">
        <v>25</v>
      </c>
      <c r="C2843" t="s">
        <v>20</v>
      </c>
      <c r="D2843" t="s">
        <v>20</v>
      </c>
      <c r="E2843">
        <v>0</v>
      </c>
      <c r="F2843">
        <v>225000</v>
      </c>
      <c r="G2843" t="s">
        <v>31</v>
      </c>
      <c r="H2843" t="s">
        <v>27</v>
      </c>
      <c r="I2843" t="s">
        <v>28</v>
      </c>
      <c r="J2843" t="s">
        <v>24</v>
      </c>
      <c r="K2843" s="6">
        <f t="shared" ca="1" si="184"/>
        <v>31265</v>
      </c>
      <c r="L2843">
        <v>-14496</v>
      </c>
      <c r="M2843" s="7">
        <f t="shared" ca="1" si="182"/>
        <v>39.687885010266939</v>
      </c>
      <c r="N2843" s="5" t="str">
        <f ca="1">VLOOKUP(Data!M2843,temp!$B$3:$C$9,2,1)</f>
        <v>30-40</v>
      </c>
      <c r="O2843">
        <v>-808</v>
      </c>
      <c r="P2843" s="8">
        <f t="shared" si="183"/>
        <v>2.2121834360027379</v>
      </c>
      <c r="Q2843" s="5" t="str">
        <f t="shared" si="185"/>
        <v>Employed</v>
      </c>
      <c r="R2843">
        <v>1</v>
      </c>
      <c r="S2843">
        <v>0</v>
      </c>
      <c r="T2843">
        <v>1</v>
      </c>
      <c r="U2843">
        <v>0</v>
      </c>
      <c r="W2843">
        <v>2</v>
      </c>
    </row>
    <row r="2844" spans="1:23" x14ac:dyDescent="0.2">
      <c r="A2844">
        <v>5092230</v>
      </c>
      <c r="B2844" t="s">
        <v>25</v>
      </c>
      <c r="C2844" t="s">
        <v>20</v>
      </c>
      <c r="D2844" t="s">
        <v>20</v>
      </c>
      <c r="E2844">
        <v>0</v>
      </c>
      <c r="F2844">
        <v>225000</v>
      </c>
      <c r="G2844" t="s">
        <v>31</v>
      </c>
      <c r="H2844" t="s">
        <v>27</v>
      </c>
      <c r="I2844" t="s">
        <v>28</v>
      </c>
      <c r="J2844" t="s">
        <v>24</v>
      </c>
      <c r="K2844" s="6">
        <f t="shared" ca="1" si="184"/>
        <v>31265</v>
      </c>
      <c r="L2844">
        <v>-14496</v>
      </c>
      <c r="M2844" s="7">
        <f t="shared" ca="1" si="182"/>
        <v>39.687885010266939</v>
      </c>
      <c r="N2844" s="5" t="str">
        <f ca="1">VLOOKUP(Data!M2844,temp!$B$3:$C$9,2,1)</f>
        <v>30-40</v>
      </c>
      <c r="O2844">
        <v>-808</v>
      </c>
      <c r="P2844" s="8">
        <f t="shared" si="183"/>
        <v>2.2121834360027379</v>
      </c>
      <c r="Q2844" s="5" t="str">
        <f t="shared" si="185"/>
        <v>Employed</v>
      </c>
      <c r="R2844">
        <v>1</v>
      </c>
      <c r="S2844">
        <v>0</v>
      </c>
      <c r="T2844">
        <v>1</v>
      </c>
      <c r="U2844">
        <v>0</v>
      </c>
      <c r="W2844">
        <v>2</v>
      </c>
    </row>
    <row r="2845" spans="1:23" x14ac:dyDescent="0.2">
      <c r="A2845">
        <v>5092245</v>
      </c>
      <c r="B2845" t="s">
        <v>18</v>
      </c>
      <c r="C2845" t="s">
        <v>19</v>
      </c>
      <c r="D2845" t="s">
        <v>19</v>
      </c>
      <c r="E2845">
        <v>0</v>
      </c>
      <c r="F2845">
        <v>103500</v>
      </c>
      <c r="G2845" t="s">
        <v>21</v>
      </c>
      <c r="H2845" t="s">
        <v>27</v>
      </c>
      <c r="I2845" t="s">
        <v>28</v>
      </c>
      <c r="J2845" t="s">
        <v>24</v>
      </c>
      <c r="K2845" s="6">
        <f t="shared" ca="1" si="184"/>
        <v>23650</v>
      </c>
      <c r="L2845">
        <v>-22111</v>
      </c>
      <c r="M2845" s="7">
        <f t="shared" ca="1" si="182"/>
        <v>60.536618754277889</v>
      </c>
      <c r="N2845" s="5" t="str">
        <f ca="1">VLOOKUP(Data!M2845,temp!$B$3:$C$9,2,1)</f>
        <v>60-70</v>
      </c>
      <c r="O2845">
        <v>365243</v>
      </c>
      <c r="P2845" s="8">
        <f t="shared" si="183"/>
        <v>0</v>
      </c>
      <c r="Q2845" s="5" t="str">
        <f t="shared" si="185"/>
        <v>Unemployed</v>
      </c>
      <c r="R2845">
        <v>1</v>
      </c>
      <c r="S2845">
        <v>0</v>
      </c>
      <c r="T2845">
        <v>0</v>
      </c>
      <c r="U2845">
        <v>0</v>
      </c>
      <c r="W2845">
        <v>2</v>
      </c>
    </row>
    <row r="2846" spans="1:23" x14ac:dyDescent="0.2">
      <c r="A2846">
        <v>5092265</v>
      </c>
      <c r="B2846" t="s">
        <v>25</v>
      </c>
      <c r="C2846" t="s">
        <v>19</v>
      </c>
      <c r="D2846" t="s">
        <v>20</v>
      </c>
      <c r="E2846">
        <v>0</v>
      </c>
      <c r="F2846">
        <v>112500</v>
      </c>
      <c r="G2846" t="s">
        <v>31</v>
      </c>
      <c r="H2846" t="s">
        <v>27</v>
      </c>
      <c r="I2846" t="s">
        <v>37</v>
      </c>
      <c r="J2846" t="s">
        <v>24</v>
      </c>
      <c r="K2846" s="6">
        <f t="shared" ca="1" si="184"/>
        <v>27924</v>
      </c>
      <c r="L2846">
        <v>-17837</v>
      </c>
      <c r="M2846" s="7">
        <f t="shared" ca="1" si="182"/>
        <v>48.83504449007529</v>
      </c>
      <c r="N2846" s="5" t="str">
        <f ca="1">VLOOKUP(Data!M2846,temp!$B$3:$C$9,2,1)</f>
        <v>40-50</v>
      </c>
      <c r="O2846">
        <v>-351</v>
      </c>
      <c r="P2846" s="8">
        <f t="shared" si="183"/>
        <v>0.96098562628336759</v>
      </c>
      <c r="Q2846" s="5" t="str">
        <f t="shared" si="185"/>
        <v>Employed</v>
      </c>
      <c r="R2846">
        <v>1</v>
      </c>
      <c r="S2846">
        <v>0</v>
      </c>
      <c r="T2846">
        <v>0</v>
      </c>
      <c r="U2846">
        <v>0</v>
      </c>
      <c r="V2846" t="s">
        <v>40</v>
      </c>
      <c r="W2846">
        <v>2</v>
      </c>
    </row>
    <row r="2847" spans="1:23" x14ac:dyDescent="0.2">
      <c r="A2847">
        <v>5092293</v>
      </c>
      <c r="B2847" t="s">
        <v>18</v>
      </c>
      <c r="C2847" t="s">
        <v>19</v>
      </c>
      <c r="D2847" t="s">
        <v>20</v>
      </c>
      <c r="E2847">
        <v>0</v>
      </c>
      <c r="F2847">
        <v>247500</v>
      </c>
      <c r="G2847" t="s">
        <v>21</v>
      </c>
      <c r="H2847" t="s">
        <v>22</v>
      </c>
      <c r="I2847" t="s">
        <v>28</v>
      </c>
      <c r="J2847" t="s">
        <v>24</v>
      </c>
      <c r="K2847" s="6">
        <f t="shared" ca="1" si="184"/>
        <v>23654</v>
      </c>
      <c r="L2847">
        <v>-22107</v>
      </c>
      <c r="M2847" s="7">
        <f t="shared" ca="1" si="182"/>
        <v>60.525667351129364</v>
      </c>
      <c r="N2847" s="5" t="str">
        <f ca="1">VLOOKUP(Data!M2847,temp!$B$3:$C$9,2,1)</f>
        <v>60-70</v>
      </c>
      <c r="O2847">
        <v>365243</v>
      </c>
      <c r="P2847" s="8">
        <f t="shared" si="183"/>
        <v>0</v>
      </c>
      <c r="Q2847" s="5" t="str">
        <f t="shared" si="185"/>
        <v>Unemployed</v>
      </c>
      <c r="R2847">
        <v>1</v>
      </c>
      <c r="S2847">
        <v>0</v>
      </c>
      <c r="T2847">
        <v>0</v>
      </c>
      <c r="U2847">
        <v>0</v>
      </c>
      <c r="W2847">
        <v>2</v>
      </c>
    </row>
    <row r="2848" spans="1:23" x14ac:dyDescent="0.2">
      <c r="A2848">
        <v>5092315</v>
      </c>
      <c r="B2848" t="s">
        <v>25</v>
      </c>
      <c r="C2848" t="s">
        <v>19</v>
      </c>
      <c r="D2848" t="s">
        <v>20</v>
      </c>
      <c r="E2848">
        <v>0</v>
      </c>
      <c r="F2848">
        <v>270000</v>
      </c>
      <c r="G2848" t="s">
        <v>31</v>
      </c>
      <c r="H2848" t="s">
        <v>27</v>
      </c>
      <c r="I2848" t="s">
        <v>28</v>
      </c>
      <c r="J2848" t="s">
        <v>24</v>
      </c>
      <c r="K2848" s="6">
        <f t="shared" ca="1" si="184"/>
        <v>27136</v>
      </c>
      <c r="L2848">
        <v>-18625</v>
      </c>
      <c r="M2848" s="7">
        <f t="shared" ca="1" si="182"/>
        <v>50.992470910335385</v>
      </c>
      <c r="N2848" s="5" t="str">
        <f ca="1">VLOOKUP(Data!M2848,temp!$B$3:$C$9,2,1)</f>
        <v>50-60</v>
      </c>
      <c r="O2848">
        <v>-3153</v>
      </c>
      <c r="P2848" s="8">
        <f t="shared" si="183"/>
        <v>8.6324435318275157</v>
      </c>
      <c r="Q2848" s="5" t="str">
        <f t="shared" si="185"/>
        <v>Employed</v>
      </c>
      <c r="R2848">
        <v>1</v>
      </c>
      <c r="S2848">
        <v>0</v>
      </c>
      <c r="T2848">
        <v>1</v>
      </c>
      <c r="U2848">
        <v>0</v>
      </c>
      <c r="V2848" t="s">
        <v>29</v>
      </c>
      <c r="W2848">
        <v>2</v>
      </c>
    </row>
    <row r="2849" spans="1:23" x14ac:dyDescent="0.2">
      <c r="A2849">
        <v>5092335</v>
      </c>
      <c r="B2849" t="s">
        <v>18</v>
      </c>
      <c r="C2849" t="s">
        <v>19</v>
      </c>
      <c r="D2849" t="s">
        <v>20</v>
      </c>
      <c r="E2849">
        <v>0</v>
      </c>
      <c r="F2849">
        <v>58500</v>
      </c>
      <c r="G2849" t="s">
        <v>21</v>
      </c>
      <c r="H2849" t="s">
        <v>27</v>
      </c>
      <c r="I2849" t="s">
        <v>33</v>
      </c>
      <c r="J2849" t="s">
        <v>24</v>
      </c>
      <c r="K2849" s="6">
        <f t="shared" ca="1" si="184"/>
        <v>20815</v>
      </c>
      <c r="L2849">
        <v>-24946</v>
      </c>
      <c r="M2849" s="7">
        <f t="shared" ca="1" si="182"/>
        <v>68.298425735797395</v>
      </c>
      <c r="N2849" s="5" t="str">
        <f ca="1">VLOOKUP(Data!M2849,temp!$B$3:$C$9,2,1)</f>
        <v>60-70</v>
      </c>
      <c r="O2849">
        <v>365243</v>
      </c>
      <c r="P2849" s="8">
        <f t="shared" si="183"/>
        <v>0</v>
      </c>
      <c r="Q2849" s="5" t="str">
        <f t="shared" si="185"/>
        <v>Unemployed</v>
      </c>
      <c r="R2849">
        <v>1</v>
      </c>
      <c r="S2849">
        <v>0</v>
      </c>
      <c r="T2849">
        <v>1</v>
      </c>
      <c r="U2849">
        <v>0</v>
      </c>
      <c r="W2849">
        <v>1</v>
      </c>
    </row>
    <row r="2850" spans="1:23" x14ac:dyDescent="0.2">
      <c r="A2850">
        <v>5092340</v>
      </c>
      <c r="B2850" t="s">
        <v>18</v>
      </c>
      <c r="C2850" t="s">
        <v>19</v>
      </c>
      <c r="D2850" t="s">
        <v>20</v>
      </c>
      <c r="E2850">
        <v>0</v>
      </c>
      <c r="F2850">
        <v>112500</v>
      </c>
      <c r="G2850" t="s">
        <v>31</v>
      </c>
      <c r="H2850" t="s">
        <v>27</v>
      </c>
      <c r="I2850" t="s">
        <v>28</v>
      </c>
      <c r="J2850" t="s">
        <v>24</v>
      </c>
      <c r="K2850" s="6">
        <f t="shared" ca="1" si="184"/>
        <v>26707</v>
      </c>
      <c r="L2850">
        <v>-19054</v>
      </c>
      <c r="M2850" s="7">
        <f t="shared" ca="1" si="182"/>
        <v>52.167008898015055</v>
      </c>
      <c r="N2850" s="5" t="str">
        <f ca="1">VLOOKUP(Data!M2850,temp!$B$3:$C$9,2,1)</f>
        <v>50-60</v>
      </c>
      <c r="O2850">
        <v>-1296</v>
      </c>
      <c r="P2850" s="8">
        <f t="shared" si="183"/>
        <v>3.5482546201232035</v>
      </c>
      <c r="Q2850" s="5" t="str">
        <f t="shared" si="185"/>
        <v>Employed</v>
      </c>
      <c r="R2850">
        <v>1</v>
      </c>
      <c r="S2850">
        <v>0</v>
      </c>
      <c r="T2850">
        <v>0</v>
      </c>
      <c r="U2850">
        <v>0</v>
      </c>
      <c r="V2850" t="s">
        <v>46</v>
      </c>
      <c r="W2850">
        <v>2</v>
      </c>
    </row>
    <row r="2851" spans="1:23" x14ac:dyDescent="0.2">
      <c r="A2851">
        <v>5092350</v>
      </c>
      <c r="B2851" t="s">
        <v>18</v>
      </c>
      <c r="C2851" t="s">
        <v>19</v>
      </c>
      <c r="D2851" t="s">
        <v>20</v>
      </c>
      <c r="E2851">
        <v>0</v>
      </c>
      <c r="F2851">
        <v>225000</v>
      </c>
      <c r="G2851" t="s">
        <v>31</v>
      </c>
      <c r="H2851" t="s">
        <v>27</v>
      </c>
      <c r="I2851" t="s">
        <v>42</v>
      </c>
      <c r="J2851" t="s">
        <v>24</v>
      </c>
      <c r="K2851" s="6">
        <f t="shared" ca="1" si="184"/>
        <v>26509</v>
      </c>
      <c r="L2851">
        <v>-19252</v>
      </c>
      <c r="M2851" s="7">
        <f t="shared" ca="1" si="182"/>
        <v>52.709103353867214</v>
      </c>
      <c r="N2851" s="5" t="str">
        <f ca="1">VLOOKUP(Data!M2851,temp!$B$3:$C$9,2,1)</f>
        <v>50-60</v>
      </c>
      <c r="O2851">
        <v>-2057</v>
      </c>
      <c r="P2851" s="8">
        <f t="shared" si="183"/>
        <v>5.631759069130732</v>
      </c>
      <c r="Q2851" s="5" t="str">
        <f t="shared" si="185"/>
        <v>Employed</v>
      </c>
      <c r="R2851">
        <v>1</v>
      </c>
      <c r="S2851">
        <v>0</v>
      </c>
      <c r="T2851">
        <v>0</v>
      </c>
      <c r="U2851">
        <v>0</v>
      </c>
      <c r="V2851" t="s">
        <v>39</v>
      </c>
      <c r="W2851">
        <v>1</v>
      </c>
    </row>
    <row r="2852" spans="1:23" x14ac:dyDescent="0.2">
      <c r="A2852">
        <v>5092399</v>
      </c>
      <c r="B2852" t="s">
        <v>18</v>
      </c>
      <c r="C2852" t="s">
        <v>20</v>
      </c>
      <c r="D2852" t="s">
        <v>20</v>
      </c>
      <c r="E2852">
        <v>0</v>
      </c>
      <c r="F2852">
        <v>180000</v>
      </c>
      <c r="G2852" t="s">
        <v>21</v>
      </c>
      <c r="H2852" t="s">
        <v>27</v>
      </c>
      <c r="I2852" t="s">
        <v>28</v>
      </c>
      <c r="J2852" t="s">
        <v>24</v>
      </c>
      <c r="K2852" s="6">
        <f t="shared" ca="1" si="184"/>
        <v>23855</v>
      </c>
      <c r="L2852">
        <v>-21906</v>
      </c>
      <c r="M2852" s="7">
        <f t="shared" ca="1" si="182"/>
        <v>59.975359342915809</v>
      </c>
      <c r="N2852" s="5" t="str">
        <f ca="1">VLOOKUP(Data!M2852,temp!$B$3:$C$9,2,1)</f>
        <v>50-60</v>
      </c>
      <c r="O2852">
        <v>365243</v>
      </c>
      <c r="P2852" s="8">
        <f t="shared" si="183"/>
        <v>0</v>
      </c>
      <c r="Q2852" s="5" t="str">
        <f t="shared" si="185"/>
        <v>Unemployed</v>
      </c>
      <c r="R2852">
        <v>1</v>
      </c>
      <c r="S2852">
        <v>0</v>
      </c>
      <c r="T2852">
        <v>0</v>
      </c>
      <c r="U2852">
        <v>0</v>
      </c>
      <c r="W2852">
        <v>2</v>
      </c>
    </row>
    <row r="2853" spans="1:23" x14ac:dyDescent="0.2">
      <c r="A2853">
        <v>5092406</v>
      </c>
      <c r="B2853" t="s">
        <v>25</v>
      </c>
      <c r="C2853" t="s">
        <v>19</v>
      </c>
      <c r="D2853" t="s">
        <v>20</v>
      </c>
      <c r="E2853">
        <v>0</v>
      </c>
      <c r="F2853">
        <v>144000</v>
      </c>
      <c r="G2853" t="s">
        <v>31</v>
      </c>
      <c r="H2853" t="s">
        <v>27</v>
      </c>
      <c r="I2853" t="s">
        <v>28</v>
      </c>
      <c r="J2853" t="s">
        <v>24</v>
      </c>
      <c r="K2853" s="6">
        <f t="shared" ca="1" si="184"/>
        <v>24112</v>
      </c>
      <c r="L2853">
        <v>-21649</v>
      </c>
      <c r="M2853" s="7">
        <f t="shared" ca="1" si="182"/>
        <v>59.271731690622858</v>
      </c>
      <c r="N2853" s="5" t="str">
        <f ca="1">VLOOKUP(Data!M2853,temp!$B$3:$C$9,2,1)</f>
        <v>50-60</v>
      </c>
      <c r="O2853">
        <v>-3000</v>
      </c>
      <c r="P2853" s="8">
        <f t="shared" si="183"/>
        <v>8.2135523613963031</v>
      </c>
      <c r="Q2853" s="5" t="str">
        <f t="shared" si="185"/>
        <v>Employed</v>
      </c>
      <c r="R2853">
        <v>1</v>
      </c>
      <c r="S2853">
        <v>1</v>
      </c>
      <c r="T2853">
        <v>1</v>
      </c>
      <c r="U2853">
        <v>0</v>
      </c>
      <c r="V2853" t="s">
        <v>30</v>
      </c>
      <c r="W2853">
        <v>2</v>
      </c>
    </row>
    <row r="2854" spans="1:23" x14ac:dyDescent="0.2">
      <c r="A2854">
        <v>5092409</v>
      </c>
      <c r="B2854" t="s">
        <v>25</v>
      </c>
      <c r="C2854" t="s">
        <v>19</v>
      </c>
      <c r="D2854" t="s">
        <v>20</v>
      </c>
      <c r="E2854">
        <v>0</v>
      </c>
      <c r="F2854">
        <v>144000</v>
      </c>
      <c r="G2854" t="s">
        <v>31</v>
      </c>
      <c r="H2854" t="s">
        <v>27</v>
      </c>
      <c r="I2854" t="s">
        <v>28</v>
      </c>
      <c r="J2854" t="s">
        <v>24</v>
      </c>
      <c r="K2854" s="6">
        <f t="shared" ca="1" si="184"/>
        <v>24112</v>
      </c>
      <c r="L2854">
        <v>-21649</v>
      </c>
      <c r="M2854" s="7">
        <f t="shared" ca="1" si="182"/>
        <v>59.271731690622858</v>
      </c>
      <c r="N2854" s="5" t="str">
        <f ca="1">VLOOKUP(Data!M2854,temp!$B$3:$C$9,2,1)</f>
        <v>50-60</v>
      </c>
      <c r="O2854">
        <v>-3000</v>
      </c>
      <c r="P2854" s="8">
        <f t="shared" si="183"/>
        <v>8.2135523613963031</v>
      </c>
      <c r="Q2854" s="5" t="str">
        <f t="shared" si="185"/>
        <v>Employed</v>
      </c>
      <c r="R2854">
        <v>1</v>
      </c>
      <c r="S2854">
        <v>1</v>
      </c>
      <c r="T2854">
        <v>1</v>
      </c>
      <c r="U2854">
        <v>0</v>
      </c>
      <c r="V2854" t="s">
        <v>30</v>
      </c>
      <c r="W2854">
        <v>2</v>
      </c>
    </row>
    <row r="2855" spans="1:23" x14ac:dyDescent="0.2">
      <c r="A2855">
        <v>5092438</v>
      </c>
      <c r="B2855" t="s">
        <v>18</v>
      </c>
      <c r="C2855" t="s">
        <v>20</v>
      </c>
      <c r="D2855" t="s">
        <v>20</v>
      </c>
      <c r="E2855">
        <v>0</v>
      </c>
      <c r="F2855">
        <v>112500</v>
      </c>
      <c r="G2855" t="s">
        <v>21</v>
      </c>
      <c r="H2855" t="s">
        <v>27</v>
      </c>
      <c r="I2855" t="s">
        <v>28</v>
      </c>
      <c r="J2855" t="s">
        <v>24</v>
      </c>
      <c r="K2855" s="6">
        <f t="shared" ca="1" si="184"/>
        <v>25840</v>
      </c>
      <c r="L2855">
        <v>-19921</v>
      </c>
      <c r="M2855" s="7">
        <f t="shared" ca="1" si="182"/>
        <v>54.540725530458587</v>
      </c>
      <c r="N2855" s="5" t="str">
        <f ca="1">VLOOKUP(Data!M2855,temp!$B$3:$C$9,2,1)</f>
        <v>50-60</v>
      </c>
      <c r="O2855">
        <v>365243</v>
      </c>
      <c r="P2855" s="8">
        <f t="shared" si="183"/>
        <v>0</v>
      </c>
      <c r="Q2855" s="5" t="str">
        <f t="shared" si="185"/>
        <v>Unemployed</v>
      </c>
      <c r="R2855">
        <v>1</v>
      </c>
      <c r="S2855">
        <v>0</v>
      </c>
      <c r="T2855">
        <v>1</v>
      </c>
      <c r="U2855">
        <v>0</v>
      </c>
      <c r="W2855">
        <v>2</v>
      </c>
    </row>
    <row r="2856" spans="1:23" x14ac:dyDescent="0.2">
      <c r="A2856">
        <v>5092442</v>
      </c>
      <c r="B2856" t="s">
        <v>18</v>
      </c>
      <c r="C2856" t="s">
        <v>20</v>
      </c>
      <c r="D2856" t="s">
        <v>20</v>
      </c>
      <c r="E2856">
        <v>0</v>
      </c>
      <c r="F2856">
        <v>112500</v>
      </c>
      <c r="G2856" t="s">
        <v>21</v>
      </c>
      <c r="H2856" t="s">
        <v>27</v>
      </c>
      <c r="I2856" t="s">
        <v>28</v>
      </c>
      <c r="J2856" t="s">
        <v>24</v>
      </c>
      <c r="K2856" s="6">
        <f t="shared" ca="1" si="184"/>
        <v>25840</v>
      </c>
      <c r="L2856">
        <v>-19921</v>
      </c>
      <c r="M2856" s="7">
        <f t="shared" ca="1" si="182"/>
        <v>54.540725530458587</v>
      </c>
      <c r="N2856" s="5" t="str">
        <f ca="1">VLOOKUP(Data!M2856,temp!$B$3:$C$9,2,1)</f>
        <v>50-60</v>
      </c>
      <c r="O2856">
        <v>365243</v>
      </c>
      <c r="P2856" s="8">
        <f t="shared" si="183"/>
        <v>0</v>
      </c>
      <c r="Q2856" s="5" t="str">
        <f t="shared" si="185"/>
        <v>Unemployed</v>
      </c>
      <c r="R2856">
        <v>1</v>
      </c>
      <c r="S2856">
        <v>0</v>
      </c>
      <c r="T2856">
        <v>1</v>
      </c>
      <c r="U2856">
        <v>0</v>
      </c>
      <c r="W2856">
        <v>2</v>
      </c>
    </row>
    <row r="2857" spans="1:23" x14ac:dyDescent="0.2">
      <c r="A2857">
        <v>5092464</v>
      </c>
      <c r="B2857" t="s">
        <v>18</v>
      </c>
      <c r="C2857" t="s">
        <v>19</v>
      </c>
      <c r="D2857" t="s">
        <v>20</v>
      </c>
      <c r="E2857">
        <v>0</v>
      </c>
      <c r="F2857">
        <v>130500</v>
      </c>
      <c r="G2857" t="s">
        <v>21</v>
      </c>
      <c r="H2857" t="s">
        <v>22</v>
      </c>
      <c r="I2857" t="s">
        <v>37</v>
      </c>
      <c r="J2857" t="s">
        <v>24</v>
      </c>
      <c r="K2857" s="6">
        <f t="shared" ca="1" si="184"/>
        <v>24300</v>
      </c>
      <c r="L2857">
        <v>-21461</v>
      </c>
      <c r="M2857" s="7">
        <f t="shared" ca="1" si="182"/>
        <v>58.757015742642025</v>
      </c>
      <c r="N2857" s="5" t="str">
        <f ca="1">VLOOKUP(Data!M2857,temp!$B$3:$C$9,2,1)</f>
        <v>50-60</v>
      </c>
      <c r="O2857">
        <v>365243</v>
      </c>
      <c r="P2857" s="8">
        <f t="shared" si="183"/>
        <v>0</v>
      </c>
      <c r="Q2857" s="5" t="str">
        <f t="shared" si="185"/>
        <v>Unemployed</v>
      </c>
      <c r="R2857">
        <v>1</v>
      </c>
      <c r="S2857">
        <v>0</v>
      </c>
      <c r="T2857">
        <v>0</v>
      </c>
      <c r="U2857">
        <v>0</v>
      </c>
      <c r="W2857">
        <v>2</v>
      </c>
    </row>
    <row r="2858" spans="1:23" x14ac:dyDescent="0.2">
      <c r="A2858">
        <v>5092465</v>
      </c>
      <c r="B2858" t="s">
        <v>18</v>
      </c>
      <c r="C2858" t="s">
        <v>19</v>
      </c>
      <c r="D2858" t="s">
        <v>19</v>
      </c>
      <c r="E2858">
        <v>0</v>
      </c>
      <c r="F2858">
        <v>67500</v>
      </c>
      <c r="G2858" t="s">
        <v>31</v>
      </c>
      <c r="H2858" t="s">
        <v>27</v>
      </c>
      <c r="I2858" t="s">
        <v>28</v>
      </c>
      <c r="J2858" t="s">
        <v>24</v>
      </c>
      <c r="K2858" s="6">
        <f t="shared" ca="1" si="184"/>
        <v>30600</v>
      </c>
      <c r="L2858">
        <v>-15161</v>
      </c>
      <c r="M2858" s="7">
        <f t="shared" ca="1" si="182"/>
        <v>41.508555783709788</v>
      </c>
      <c r="N2858" s="5" t="str">
        <f ca="1">VLOOKUP(Data!M2858,temp!$B$3:$C$9,2,1)</f>
        <v>40-50</v>
      </c>
      <c r="O2858">
        <v>-2087</v>
      </c>
      <c r="P2858" s="8">
        <f t="shared" si="183"/>
        <v>5.7138945927446958</v>
      </c>
      <c r="Q2858" s="5" t="str">
        <f t="shared" si="185"/>
        <v>Employed</v>
      </c>
      <c r="R2858">
        <v>1</v>
      </c>
      <c r="S2858">
        <v>1</v>
      </c>
      <c r="T2858">
        <v>0</v>
      </c>
      <c r="U2858">
        <v>0</v>
      </c>
      <c r="V2858" t="s">
        <v>39</v>
      </c>
      <c r="W2858">
        <v>2</v>
      </c>
    </row>
    <row r="2859" spans="1:23" x14ac:dyDescent="0.2">
      <c r="A2859">
        <v>5092481</v>
      </c>
      <c r="B2859" t="s">
        <v>18</v>
      </c>
      <c r="C2859" t="s">
        <v>19</v>
      </c>
      <c r="D2859" t="s">
        <v>19</v>
      </c>
      <c r="E2859">
        <v>1</v>
      </c>
      <c r="F2859">
        <v>85500</v>
      </c>
      <c r="G2859" t="s">
        <v>35</v>
      </c>
      <c r="H2859" t="s">
        <v>27</v>
      </c>
      <c r="I2859" t="s">
        <v>28</v>
      </c>
      <c r="J2859" t="s">
        <v>45</v>
      </c>
      <c r="K2859" s="6">
        <f t="shared" ca="1" si="184"/>
        <v>30747</v>
      </c>
      <c r="L2859">
        <v>-15014</v>
      </c>
      <c r="M2859" s="7">
        <f t="shared" ca="1" si="182"/>
        <v>41.106091718001366</v>
      </c>
      <c r="N2859" s="5" t="str">
        <f ca="1">VLOOKUP(Data!M2859,temp!$B$3:$C$9,2,1)</f>
        <v>40-50</v>
      </c>
      <c r="O2859">
        <v>-6866</v>
      </c>
      <c r="P2859" s="8">
        <f t="shared" si="183"/>
        <v>18.798083504449007</v>
      </c>
      <c r="Q2859" s="5" t="str">
        <f t="shared" si="185"/>
        <v>Employed</v>
      </c>
      <c r="R2859">
        <v>1</v>
      </c>
      <c r="S2859">
        <v>0</v>
      </c>
      <c r="T2859">
        <v>0</v>
      </c>
      <c r="U2859">
        <v>0</v>
      </c>
      <c r="V2859" t="s">
        <v>38</v>
      </c>
      <c r="W2859">
        <v>3</v>
      </c>
    </row>
    <row r="2860" spans="1:23" x14ac:dyDescent="0.2">
      <c r="A2860">
        <v>5093213</v>
      </c>
      <c r="B2860" t="s">
        <v>18</v>
      </c>
      <c r="C2860" t="s">
        <v>19</v>
      </c>
      <c r="D2860" t="s">
        <v>20</v>
      </c>
      <c r="E2860">
        <v>0</v>
      </c>
      <c r="F2860">
        <v>90000</v>
      </c>
      <c r="G2860" t="s">
        <v>21</v>
      </c>
      <c r="H2860" t="s">
        <v>27</v>
      </c>
      <c r="I2860" t="s">
        <v>28</v>
      </c>
      <c r="J2860" t="s">
        <v>24</v>
      </c>
      <c r="K2860" s="6">
        <f t="shared" ca="1" si="184"/>
        <v>23928</v>
      </c>
      <c r="L2860">
        <v>-21833</v>
      </c>
      <c r="M2860" s="7">
        <f t="shared" ca="1" si="182"/>
        <v>59.775496235455165</v>
      </c>
      <c r="N2860" s="5" t="str">
        <f ca="1">VLOOKUP(Data!M2860,temp!$B$3:$C$9,2,1)</f>
        <v>50-60</v>
      </c>
      <c r="O2860">
        <v>365243</v>
      </c>
      <c r="P2860" s="8">
        <f t="shared" si="183"/>
        <v>0</v>
      </c>
      <c r="Q2860" s="5" t="str">
        <f t="shared" si="185"/>
        <v>Unemployed</v>
      </c>
      <c r="R2860">
        <v>1</v>
      </c>
      <c r="S2860">
        <v>0</v>
      </c>
      <c r="T2860">
        <v>0</v>
      </c>
      <c r="U2860">
        <v>0</v>
      </c>
      <c r="W2860">
        <v>2</v>
      </c>
    </row>
    <row r="2861" spans="1:23" x14ac:dyDescent="0.2">
      <c r="A2861">
        <v>5093247</v>
      </c>
      <c r="B2861" t="s">
        <v>18</v>
      </c>
      <c r="C2861" t="s">
        <v>19</v>
      </c>
      <c r="D2861" t="s">
        <v>20</v>
      </c>
      <c r="E2861">
        <v>0</v>
      </c>
      <c r="F2861">
        <v>247500</v>
      </c>
      <c r="G2861" t="s">
        <v>26</v>
      </c>
      <c r="H2861" t="s">
        <v>22</v>
      </c>
      <c r="I2861" t="s">
        <v>28</v>
      </c>
      <c r="J2861" t="s">
        <v>24</v>
      </c>
      <c r="K2861" s="6">
        <f t="shared" ca="1" si="184"/>
        <v>33847</v>
      </c>
      <c r="L2861">
        <v>-11914</v>
      </c>
      <c r="M2861" s="7">
        <f t="shared" ca="1" si="182"/>
        <v>32.618754277891853</v>
      </c>
      <c r="N2861" s="5" t="str">
        <f ca="1">VLOOKUP(Data!M2861,temp!$B$3:$C$9,2,1)</f>
        <v>30-40</v>
      </c>
      <c r="O2861">
        <v>-2980</v>
      </c>
      <c r="P2861" s="8">
        <f t="shared" si="183"/>
        <v>8.1587953456536617</v>
      </c>
      <c r="Q2861" s="5" t="str">
        <f t="shared" si="185"/>
        <v>Employed</v>
      </c>
      <c r="R2861">
        <v>1</v>
      </c>
      <c r="S2861">
        <v>0</v>
      </c>
      <c r="T2861">
        <v>0</v>
      </c>
      <c r="U2861">
        <v>0</v>
      </c>
      <c r="V2861" t="s">
        <v>39</v>
      </c>
      <c r="W2861">
        <v>2</v>
      </c>
    </row>
    <row r="2862" spans="1:23" x14ac:dyDescent="0.2">
      <c r="A2862">
        <v>5093250</v>
      </c>
      <c r="B2862" t="s">
        <v>18</v>
      </c>
      <c r="C2862" t="s">
        <v>19</v>
      </c>
      <c r="D2862" t="s">
        <v>20</v>
      </c>
      <c r="E2862">
        <v>0</v>
      </c>
      <c r="F2862">
        <v>247500</v>
      </c>
      <c r="G2862" t="s">
        <v>26</v>
      </c>
      <c r="H2862" t="s">
        <v>22</v>
      </c>
      <c r="I2862" t="s">
        <v>28</v>
      </c>
      <c r="J2862" t="s">
        <v>24</v>
      </c>
      <c r="K2862" s="6">
        <f t="shared" ca="1" si="184"/>
        <v>33847</v>
      </c>
      <c r="L2862">
        <v>-11914</v>
      </c>
      <c r="M2862" s="7">
        <f t="shared" ca="1" si="182"/>
        <v>32.618754277891853</v>
      </c>
      <c r="N2862" s="5" t="str">
        <f ca="1">VLOOKUP(Data!M2862,temp!$B$3:$C$9,2,1)</f>
        <v>30-40</v>
      </c>
      <c r="O2862">
        <v>-2980</v>
      </c>
      <c r="P2862" s="8">
        <f t="shared" si="183"/>
        <v>8.1587953456536617</v>
      </c>
      <c r="Q2862" s="5" t="str">
        <f t="shared" si="185"/>
        <v>Employed</v>
      </c>
      <c r="R2862">
        <v>1</v>
      </c>
      <c r="S2862">
        <v>0</v>
      </c>
      <c r="T2862">
        <v>0</v>
      </c>
      <c r="U2862">
        <v>0</v>
      </c>
      <c r="V2862" t="s">
        <v>39</v>
      </c>
      <c r="W2862">
        <v>2</v>
      </c>
    </row>
    <row r="2863" spans="1:23" x14ac:dyDescent="0.2">
      <c r="A2863">
        <v>5093252</v>
      </c>
      <c r="B2863" t="s">
        <v>18</v>
      </c>
      <c r="C2863" t="s">
        <v>19</v>
      </c>
      <c r="D2863" t="s">
        <v>20</v>
      </c>
      <c r="E2863">
        <v>0</v>
      </c>
      <c r="F2863">
        <v>247500</v>
      </c>
      <c r="G2863" t="s">
        <v>26</v>
      </c>
      <c r="H2863" t="s">
        <v>22</v>
      </c>
      <c r="I2863" t="s">
        <v>28</v>
      </c>
      <c r="J2863" t="s">
        <v>24</v>
      </c>
      <c r="K2863" s="6">
        <f t="shared" ca="1" si="184"/>
        <v>33847</v>
      </c>
      <c r="L2863">
        <v>-11914</v>
      </c>
      <c r="M2863" s="7">
        <f t="shared" ca="1" si="182"/>
        <v>32.618754277891853</v>
      </c>
      <c r="N2863" s="5" t="str">
        <f ca="1">VLOOKUP(Data!M2863,temp!$B$3:$C$9,2,1)</f>
        <v>30-40</v>
      </c>
      <c r="O2863">
        <v>-2980</v>
      </c>
      <c r="P2863" s="8">
        <f t="shared" si="183"/>
        <v>8.1587953456536617</v>
      </c>
      <c r="Q2863" s="5" t="str">
        <f t="shared" si="185"/>
        <v>Employed</v>
      </c>
      <c r="R2863">
        <v>1</v>
      </c>
      <c r="S2863">
        <v>0</v>
      </c>
      <c r="T2863">
        <v>0</v>
      </c>
      <c r="U2863">
        <v>0</v>
      </c>
      <c r="V2863" t="s">
        <v>39</v>
      </c>
      <c r="W2863">
        <v>2</v>
      </c>
    </row>
    <row r="2864" spans="1:23" x14ac:dyDescent="0.2">
      <c r="A2864">
        <v>5093280</v>
      </c>
      <c r="B2864" t="s">
        <v>25</v>
      </c>
      <c r="C2864" t="s">
        <v>20</v>
      </c>
      <c r="D2864" t="s">
        <v>19</v>
      </c>
      <c r="E2864">
        <v>0</v>
      </c>
      <c r="F2864">
        <v>225000</v>
      </c>
      <c r="G2864" t="s">
        <v>26</v>
      </c>
      <c r="H2864" t="s">
        <v>27</v>
      </c>
      <c r="I2864" t="s">
        <v>23</v>
      </c>
      <c r="J2864" t="s">
        <v>24</v>
      </c>
      <c r="K2864" s="6">
        <f t="shared" ca="1" si="184"/>
        <v>30320</v>
      </c>
      <c r="L2864">
        <v>-15441</v>
      </c>
      <c r="M2864" s="7">
        <f t="shared" ca="1" si="182"/>
        <v>42.275154004106774</v>
      </c>
      <c r="N2864" s="5" t="str">
        <f ca="1">VLOOKUP(Data!M2864,temp!$B$3:$C$9,2,1)</f>
        <v>40-50</v>
      </c>
      <c r="O2864">
        <v>-1976</v>
      </c>
      <c r="P2864" s="8">
        <f t="shared" si="183"/>
        <v>5.4099931553730318</v>
      </c>
      <c r="Q2864" s="5" t="str">
        <f t="shared" si="185"/>
        <v>Employed</v>
      </c>
      <c r="R2864">
        <v>1</v>
      </c>
      <c r="S2864">
        <v>0</v>
      </c>
      <c r="T2864">
        <v>0</v>
      </c>
      <c r="U2864">
        <v>0</v>
      </c>
      <c r="V2864" t="s">
        <v>30</v>
      </c>
      <c r="W2864">
        <v>1</v>
      </c>
    </row>
    <row r="2865" spans="1:23" x14ac:dyDescent="0.2">
      <c r="A2865">
        <v>5093287</v>
      </c>
      <c r="B2865" t="s">
        <v>25</v>
      </c>
      <c r="C2865" t="s">
        <v>20</v>
      </c>
      <c r="D2865" t="s">
        <v>20</v>
      </c>
      <c r="E2865">
        <v>1</v>
      </c>
      <c r="F2865">
        <v>292500</v>
      </c>
      <c r="G2865" t="s">
        <v>31</v>
      </c>
      <c r="H2865" t="s">
        <v>27</v>
      </c>
      <c r="I2865" t="s">
        <v>28</v>
      </c>
      <c r="J2865" t="s">
        <v>41</v>
      </c>
      <c r="K2865" s="6">
        <f t="shared" ca="1" si="184"/>
        <v>33746</v>
      </c>
      <c r="L2865">
        <v>-12015</v>
      </c>
      <c r="M2865" s="7">
        <f t="shared" ca="1" si="182"/>
        <v>32.895277207392198</v>
      </c>
      <c r="N2865" s="5" t="str">
        <f ca="1">VLOOKUP(Data!M2865,temp!$B$3:$C$9,2,1)</f>
        <v>30-40</v>
      </c>
      <c r="O2865">
        <v>-1550</v>
      </c>
      <c r="P2865" s="8">
        <f t="shared" si="183"/>
        <v>4.2436687200547567</v>
      </c>
      <c r="Q2865" s="5" t="str">
        <f t="shared" si="185"/>
        <v>Employed</v>
      </c>
      <c r="R2865">
        <v>1</v>
      </c>
      <c r="S2865">
        <v>0</v>
      </c>
      <c r="T2865">
        <v>0</v>
      </c>
      <c r="U2865">
        <v>0</v>
      </c>
      <c r="V2865" t="s">
        <v>29</v>
      </c>
      <c r="W2865">
        <v>3</v>
      </c>
    </row>
    <row r="2866" spans="1:23" x14ac:dyDescent="0.2">
      <c r="A2866">
        <v>5093289</v>
      </c>
      <c r="B2866" t="s">
        <v>25</v>
      </c>
      <c r="C2866" t="s">
        <v>20</v>
      </c>
      <c r="D2866" t="s">
        <v>20</v>
      </c>
      <c r="E2866">
        <v>1</v>
      </c>
      <c r="F2866">
        <v>292500</v>
      </c>
      <c r="G2866" t="s">
        <v>31</v>
      </c>
      <c r="H2866" t="s">
        <v>27</v>
      </c>
      <c r="I2866" t="s">
        <v>28</v>
      </c>
      <c r="J2866" t="s">
        <v>41</v>
      </c>
      <c r="K2866" s="6">
        <f t="shared" ca="1" si="184"/>
        <v>33746</v>
      </c>
      <c r="L2866">
        <v>-12015</v>
      </c>
      <c r="M2866" s="7">
        <f t="shared" ca="1" si="182"/>
        <v>32.895277207392198</v>
      </c>
      <c r="N2866" s="5" t="str">
        <f ca="1">VLOOKUP(Data!M2866,temp!$B$3:$C$9,2,1)</f>
        <v>30-40</v>
      </c>
      <c r="O2866">
        <v>-1550</v>
      </c>
      <c r="P2866" s="8">
        <f t="shared" si="183"/>
        <v>4.2436687200547567</v>
      </c>
      <c r="Q2866" s="5" t="str">
        <f t="shared" si="185"/>
        <v>Employed</v>
      </c>
      <c r="R2866">
        <v>1</v>
      </c>
      <c r="S2866">
        <v>0</v>
      </c>
      <c r="T2866">
        <v>0</v>
      </c>
      <c r="U2866">
        <v>0</v>
      </c>
      <c r="V2866" t="s">
        <v>29</v>
      </c>
      <c r="W2866">
        <v>3</v>
      </c>
    </row>
    <row r="2867" spans="1:23" x14ac:dyDescent="0.2">
      <c r="A2867">
        <v>5094874</v>
      </c>
      <c r="B2867" t="s">
        <v>18</v>
      </c>
      <c r="C2867" t="s">
        <v>19</v>
      </c>
      <c r="D2867" t="s">
        <v>20</v>
      </c>
      <c r="E2867">
        <v>0</v>
      </c>
      <c r="F2867">
        <v>60750</v>
      </c>
      <c r="G2867" t="s">
        <v>31</v>
      </c>
      <c r="H2867" t="s">
        <v>27</v>
      </c>
      <c r="I2867" t="s">
        <v>42</v>
      </c>
      <c r="J2867" t="s">
        <v>24</v>
      </c>
      <c r="K2867" s="6">
        <f t="shared" ca="1" si="184"/>
        <v>27217</v>
      </c>
      <c r="L2867">
        <v>-18544</v>
      </c>
      <c r="M2867" s="7">
        <f t="shared" ca="1" si="182"/>
        <v>50.770704996577685</v>
      </c>
      <c r="N2867" s="5" t="str">
        <f ca="1">VLOOKUP(Data!M2867,temp!$B$3:$C$9,2,1)</f>
        <v>50-60</v>
      </c>
      <c r="O2867">
        <v>-2073</v>
      </c>
      <c r="P2867" s="8">
        <f t="shared" si="183"/>
        <v>5.675564681724846</v>
      </c>
      <c r="Q2867" s="5" t="str">
        <f t="shared" si="185"/>
        <v>Employed</v>
      </c>
      <c r="R2867">
        <v>1</v>
      </c>
      <c r="S2867">
        <v>0</v>
      </c>
      <c r="T2867">
        <v>0</v>
      </c>
      <c r="U2867">
        <v>0</v>
      </c>
      <c r="W2867">
        <v>1</v>
      </c>
    </row>
    <row r="2868" spans="1:23" x14ac:dyDescent="0.2">
      <c r="A2868">
        <v>5094889</v>
      </c>
      <c r="B2868" t="s">
        <v>18</v>
      </c>
      <c r="C2868" t="s">
        <v>19</v>
      </c>
      <c r="D2868" t="s">
        <v>20</v>
      </c>
      <c r="E2868">
        <v>0</v>
      </c>
      <c r="F2868">
        <v>90000</v>
      </c>
      <c r="G2868" t="s">
        <v>31</v>
      </c>
      <c r="H2868" t="s">
        <v>22</v>
      </c>
      <c r="I2868" t="s">
        <v>33</v>
      </c>
      <c r="J2868" t="s">
        <v>24</v>
      </c>
      <c r="K2868" s="6">
        <f t="shared" ca="1" si="184"/>
        <v>24229</v>
      </c>
      <c r="L2868">
        <v>-21532</v>
      </c>
      <c r="M2868" s="7">
        <f t="shared" ca="1" si="182"/>
        <v>58.951403148528406</v>
      </c>
      <c r="N2868" s="5" t="str">
        <f ca="1">VLOOKUP(Data!M2868,temp!$B$3:$C$9,2,1)</f>
        <v>50-60</v>
      </c>
      <c r="O2868">
        <v>-4630</v>
      </c>
      <c r="P2868" s="8">
        <f t="shared" si="183"/>
        <v>12.676249144421629</v>
      </c>
      <c r="Q2868" s="5" t="str">
        <f t="shared" si="185"/>
        <v>Employed</v>
      </c>
      <c r="R2868">
        <v>1</v>
      </c>
      <c r="S2868">
        <v>0</v>
      </c>
      <c r="T2868">
        <v>0</v>
      </c>
      <c r="U2868">
        <v>0</v>
      </c>
      <c r="V2868" t="s">
        <v>29</v>
      </c>
      <c r="W2868">
        <v>1</v>
      </c>
    </row>
    <row r="2869" spans="1:23" x14ac:dyDescent="0.2">
      <c r="A2869">
        <v>5094916</v>
      </c>
      <c r="B2869" t="s">
        <v>18</v>
      </c>
      <c r="C2869" t="s">
        <v>19</v>
      </c>
      <c r="D2869" t="s">
        <v>20</v>
      </c>
      <c r="E2869">
        <v>2</v>
      </c>
      <c r="F2869">
        <v>90000</v>
      </c>
      <c r="G2869" t="s">
        <v>31</v>
      </c>
      <c r="H2869" t="s">
        <v>27</v>
      </c>
      <c r="I2869" t="s">
        <v>33</v>
      </c>
      <c r="J2869" t="s">
        <v>24</v>
      </c>
      <c r="K2869" s="6">
        <f t="shared" ca="1" si="184"/>
        <v>31690</v>
      </c>
      <c r="L2869">
        <v>-14071</v>
      </c>
      <c r="M2869" s="7">
        <f t="shared" ca="1" si="182"/>
        <v>38.5242984257358</v>
      </c>
      <c r="N2869" s="5" t="str">
        <f ca="1">VLOOKUP(Data!M2869,temp!$B$3:$C$9,2,1)</f>
        <v>30-40</v>
      </c>
      <c r="O2869">
        <v>-1098</v>
      </c>
      <c r="P2869" s="8">
        <f t="shared" si="183"/>
        <v>3.0061601642710474</v>
      </c>
      <c r="Q2869" s="5" t="str">
        <f t="shared" si="185"/>
        <v>Employed</v>
      </c>
      <c r="R2869">
        <v>1</v>
      </c>
      <c r="S2869">
        <v>0</v>
      </c>
      <c r="T2869">
        <v>0</v>
      </c>
      <c r="U2869">
        <v>0</v>
      </c>
      <c r="V2869" t="s">
        <v>55</v>
      </c>
      <c r="W2869">
        <v>3</v>
      </c>
    </row>
    <row r="2870" spans="1:23" x14ac:dyDescent="0.2">
      <c r="A2870">
        <v>5094921</v>
      </c>
      <c r="B2870" t="s">
        <v>18</v>
      </c>
      <c r="C2870" t="s">
        <v>20</v>
      </c>
      <c r="D2870" t="s">
        <v>20</v>
      </c>
      <c r="E2870">
        <v>0</v>
      </c>
      <c r="F2870">
        <v>135000</v>
      </c>
      <c r="G2870" t="s">
        <v>26</v>
      </c>
      <c r="H2870" t="s">
        <v>27</v>
      </c>
      <c r="I2870" t="s">
        <v>28</v>
      </c>
      <c r="J2870" t="s">
        <v>24</v>
      </c>
      <c r="K2870" s="6">
        <f t="shared" ca="1" si="184"/>
        <v>33586</v>
      </c>
      <c r="L2870">
        <v>-12175</v>
      </c>
      <c r="M2870" s="7">
        <f t="shared" ca="1" si="182"/>
        <v>33.333333333333336</v>
      </c>
      <c r="N2870" s="5" t="str">
        <f ca="1">VLOOKUP(Data!M2870,temp!$B$3:$C$9,2,1)</f>
        <v>30-40</v>
      </c>
      <c r="O2870">
        <v>-1463</v>
      </c>
      <c r="P2870" s="8">
        <f t="shared" si="183"/>
        <v>4.0054757015742641</v>
      </c>
      <c r="Q2870" s="5" t="str">
        <f t="shared" si="185"/>
        <v>Employed</v>
      </c>
      <c r="R2870">
        <v>1</v>
      </c>
      <c r="S2870">
        <v>1</v>
      </c>
      <c r="T2870">
        <v>0</v>
      </c>
      <c r="U2870">
        <v>0</v>
      </c>
      <c r="V2870" t="s">
        <v>38</v>
      </c>
      <c r="W2870">
        <v>2</v>
      </c>
    </row>
    <row r="2871" spans="1:23" x14ac:dyDescent="0.2">
      <c r="A2871">
        <v>5094922</v>
      </c>
      <c r="B2871" t="s">
        <v>18</v>
      </c>
      <c r="C2871" t="s">
        <v>20</v>
      </c>
      <c r="D2871" t="s">
        <v>20</v>
      </c>
      <c r="E2871">
        <v>0</v>
      </c>
      <c r="F2871">
        <v>135000</v>
      </c>
      <c r="G2871" t="s">
        <v>26</v>
      </c>
      <c r="H2871" t="s">
        <v>27</v>
      </c>
      <c r="I2871" t="s">
        <v>28</v>
      </c>
      <c r="J2871" t="s">
        <v>24</v>
      </c>
      <c r="K2871" s="6">
        <f t="shared" ca="1" si="184"/>
        <v>33586</v>
      </c>
      <c r="L2871">
        <v>-12175</v>
      </c>
      <c r="M2871" s="7">
        <f t="shared" ca="1" si="182"/>
        <v>33.333333333333336</v>
      </c>
      <c r="N2871" s="5" t="str">
        <f ca="1">VLOOKUP(Data!M2871,temp!$B$3:$C$9,2,1)</f>
        <v>30-40</v>
      </c>
      <c r="O2871">
        <v>-1463</v>
      </c>
      <c r="P2871" s="8">
        <f t="shared" si="183"/>
        <v>4.0054757015742641</v>
      </c>
      <c r="Q2871" s="5" t="str">
        <f t="shared" si="185"/>
        <v>Employed</v>
      </c>
      <c r="R2871">
        <v>1</v>
      </c>
      <c r="S2871">
        <v>1</v>
      </c>
      <c r="T2871">
        <v>0</v>
      </c>
      <c r="U2871">
        <v>0</v>
      </c>
      <c r="V2871" t="s">
        <v>38</v>
      </c>
      <c r="W2871">
        <v>2</v>
      </c>
    </row>
    <row r="2872" spans="1:23" x14ac:dyDescent="0.2">
      <c r="A2872">
        <v>5094926</v>
      </c>
      <c r="B2872" t="s">
        <v>18</v>
      </c>
      <c r="C2872" t="s">
        <v>20</v>
      </c>
      <c r="D2872" t="s">
        <v>20</v>
      </c>
      <c r="E2872">
        <v>0</v>
      </c>
      <c r="F2872">
        <v>135000</v>
      </c>
      <c r="G2872" t="s">
        <v>26</v>
      </c>
      <c r="H2872" t="s">
        <v>27</v>
      </c>
      <c r="I2872" t="s">
        <v>28</v>
      </c>
      <c r="J2872" t="s">
        <v>24</v>
      </c>
      <c r="K2872" s="6">
        <f t="shared" ca="1" si="184"/>
        <v>33586</v>
      </c>
      <c r="L2872">
        <v>-12175</v>
      </c>
      <c r="M2872" s="7">
        <f t="shared" ca="1" si="182"/>
        <v>33.333333333333336</v>
      </c>
      <c r="N2872" s="5" t="str">
        <f ca="1">VLOOKUP(Data!M2872,temp!$B$3:$C$9,2,1)</f>
        <v>30-40</v>
      </c>
      <c r="O2872">
        <v>-1463</v>
      </c>
      <c r="P2872" s="8">
        <f t="shared" si="183"/>
        <v>4.0054757015742641</v>
      </c>
      <c r="Q2872" s="5" t="str">
        <f t="shared" si="185"/>
        <v>Employed</v>
      </c>
      <c r="R2872">
        <v>1</v>
      </c>
      <c r="S2872">
        <v>1</v>
      </c>
      <c r="T2872">
        <v>0</v>
      </c>
      <c r="U2872">
        <v>0</v>
      </c>
      <c r="V2872" t="s">
        <v>38</v>
      </c>
      <c r="W2872">
        <v>2</v>
      </c>
    </row>
    <row r="2873" spans="1:23" x14ac:dyDescent="0.2">
      <c r="A2873">
        <v>5094943</v>
      </c>
      <c r="B2873" t="s">
        <v>18</v>
      </c>
      <c r="C2873" t="s">
        <v>20</v>
      </c>
      <c r="D2873" t="s">
        <v>19</v>
      </c>
      <c r="E2873">
        <v>0</v>
      </c>
      <c r="F2873">
        <v>45000</v>
      </c>
      <c r="G2873" t="s">
        <v>31</v>
      </c>
      <c r="H2873" t="s">
        <v>27</v>
      </c>
      <c r="I2873" t="s">
        <v>33</v>
      </c>
      <c r="J2873" t="s">
        <v>34</v>
      </c>
      <c r="K2873" s="6">
        <f t="shared" ca="1" si="184"/>
        <v>36773</v>
      </c>
      <c r="L2873">
        <v>-8988</v>
      </c>
      <c r="M2873" s="7">
        <f t="shared" ca="1" si="182"/>
        <v>24.607802874743328</v>
      </c>
      <c r="N2873" s="5" t="str">
        <f ca="1">VLOOKUP(Data!M2873,temp!$B$3:$C$9,2,1)</f>
        <v>20-30</v>
      </c>
      <c r="O2873">
        <v>-977</v>
      </c>
      <c r="P2873" s="8">
        <f t="shared" si="183"/>
        <v>2.6748802190280632</v>
      </c>
      <c r="Q2873" s="5" t="str">
        <f t="shared" si="185"/>
        <v>Employed</v>
      </c>
      <c r="R2873">
        <v>1</v>
      </c>
      <c r="S2873">
        <v>1</v>
      </c>
      <c r="T2873">
        <v>0</v>
      </c>
      <c r="U2873">
        <v>0</v>
      </c>
      <c r="V2873" t="s">
        <v>39</v>
      </c>
      <c r="W2873">
        <v>1</v>
      </c>
    </row>
    <row r="2874" spans="1:23" x14ac:dyDescent="0.2">
      <c r="A2874">
        <v>5094966</v>
      </c>
      <c r="B2874" t="s">
        <v>18</v>
      </c>
      <c r="C2874" t="s">
        <v>19</v>
      </c>
      <c r="D2874" t="s">
        <v>20</v>
      </c>
      <c r="E2874">
        <v>2</v>
      </c>
      <c r="F2874">
        <v>60750</v>
      </c>
      <c r="G2874" t="s">
        <v>26</v>
      </c>
      <c r="H2874" t="s">
        <v>22</v>
      </c>
      <c r="I2874" t="s">
        <v>28</v>
      </c>
      <c r="J2874" t="s">
        <v>24</v>
      </c>
      <c r="K2874" s="6">
        <f t="shared" ca="1" si="184"/>
        <v>35074</v>
      </c>
      <c r="L2874">
        <v>-10687</v>
      </c>
      <c r="M2874" s="7">
        <f t="shared" ca="1" si="182"/>
        <v>29.259411362080765</v>
      </c>
      <c r="N2874" s="5" t="str">
        <f ca="1">VLOOKUP(Data!M2874,temp!$B$3:$C$9,2,1)</f>
        <v>20-30</v>
      </c>
      <c r="O2874">
        <v>-1981</v>
      </c>
      <c r="P2874" s="8">
        <f t="shared" si="183"/>
        <v>5.4236824093086931</v>
      </c>
      <c r="Q2874" s="5" t="str">
        <f t="shared" si="185"/>
        <v>Employed</v>
      </c>
      <c r="R2874">
        <v>1</v>
      </c>
      <c r="S2874">
        <v>1</v>
      </c>
      <c r="T2874">
        <v>1</v>
      </c>
      <c r="U2874">
        <v>0</v>
      </c>
      <c r="V2874" t="s">
        <v>38</v>
      </c>
      <c r="W2874">
        <v>4</v>
      </c>
    </row>
    <row r="2875" spans="1:23" x14ac:dyDescent="0.2">
      <c r="A2875">
        <v>5095008</v>
      </c>
      <c r="B2875" t="s">
        <v>25</v>
      </c>
      <c r="C2875" t="s">
        <v>19</v>
      </c>
      <c r="D2875" t="s">
        <v>20</v>
      </c>
      <c r="E2875">
        <v>2</v>
      </c>
      <c r="F2875">
        <v>180000</v>
      </c>
      <c r="G2875" t="s">
        <v>31</v>
      </c>
      <c r="H2875" t="s">
        <v>27</v>
      </c>
      <c r="I2875" t="s">
        <v>28</v>
      </c>
      <c r="J2875" t="s">
        <v>24</v>
      </c>
      <c r="K2875" s="6">
        <f t="shared" ca="1" si="184"/>
        <v>35121</v>
      </c>
      <c r="L2875">
        <v>-10640</v>
      </c>
      <c r="M2875" s="7">
        <f t="shared" ca="1" si="182"/>
        <v>29.130732375085557</v>
      </c>
      <c r="N2875" s="5" t="str">
        <f ca="1">VLOOKUP(Data!M2875,temp!$B$3:$C$9,2,1)</f>
        <v>20-30</v>
      </c>
      <c r="O2875">
        <v>-1494</v>
      </c>
      <c r="P2875" s="8">
        <f t="shared" si="183"/>
        <v>4.0903490759753591</v>
      </c>
      <c r="Q2875" s="5" t="str">
        <f t="shared" si="185"/>
        <v>Employed</v>
      </c>
      <c r="R2875">
        <v>1</v>
      </c>
      <c r="S2875">
        <v>1</v>
      </c>
      <c r="T2875">
        <v>1</v>
      </c>
      <c r="U2875">
        <v>0</v>
      </c>
      <c r="V2875" t="s">
        <v>29</v>
      </c>
      <c r="W2875">
        <v>4</v>
      </c>
    </row>
    <row r="2876" spans="1:23" x14ac:dyDescent="0.2">
      <c r="A2876">
        <v>5095019</v>
      </c>
      <c r="B2876" t="s">
        <v>18</v>
      </c>
      <c r="C2876" t="s">
        <v>19</v>
      </c>
      <c r="D2876" t="s">
        <v>20</v>
      </c>
      <c r="E2876">
        <v>0</v>
      </c>
      <c r="F2876">
        <v>225000</v>
      </c>
      <c r="G2876" t="s">
        <v>26</v>
      </c>
      <c r="H2876" t="s">
        <v>27</v>
      </c>
      <c r="I2876" t="s">
        <v>37</v>
      </c>
      <c r="J2876" t="s">
        <v>24</v>
      </c>
      <c r="K2876" s="6">
        <f t="shared" ca="1" si="184"/>
        <v>32715</v>
      </c>
      <c r="L2876">
        <v>-13046</v>
      </c>
      <c r="M2876" s="7">
        <f t="shared" ca="1" si="182"/>
        <v>35.718001368925393</v>
      </c>
      <c r="N2876" s="5" t="str">
        <f ca="1">VLOOKUP(Data!M2876,temp!$B$3:$C$9,2,1)</f>
        <v>30-40</v>
      </c>
      <c r="O2876">
        <v>-671</v>
      </c>
      <c r="P2876" s="8">
        <f t="shared" si="183"/>
        <v>1.83709787816564</v>
      </c>
      <c r="Q2876" s="5" t="str">
        <f t="shared" si="185"/>
        <v>Employed</v>
      </c>
      <c r="R2876">
        <v>1</v>
      </c>
      <c r="S2876">
        <v>0</v>
      </c>
      <c r="T2876">
        <v>0</v>
      </c>
      <c r="U2876">
        <v>0</v>
      </c>
      <c r="W2876">
        <v>2</v>
      </c>
    </row>
    <row r="2877" spans="1:23" x14ac:dyDescent="0.2">
      <c r="A2877">
        <v>5095020</v>
      </c>
      <c r="B2877" t="s">
        <v>18</v>
      </c>
      <c r="C2877" t="s">
        <v>19</v>
      </c>
      <c r="D2877" t="s">
        <v>20</v>
      </c>
      <c r="E2877">
        <v>0</v>
      </c>
      <c r="F2877">
        <v>225000</v>
      </c>
      <c r="G2877" t="s">
        <v>26</v>
      </c>
      <c r="H2877" t="s">
        <v>27</v>
      </c>
      <c r="I2877" t="s">
        <v>37</v>
      </c>
      <c r="J2877" t="s">
        <v>24</v>
      </c>
      <c r="K2877" s="6">
        <f t="shared" ca="1" si="184"/>
        <v>32715</v>
      </c>
      <c r="L2877">
        <v>-13046</v>
      </c>
      <c r="M2877" s="7">
        <f t="shared" ca="1" si="182"/>
        <v>35.718001368925393</v>
      </c>
      <c r="N2877" s="5" t="str">
        <f ca="1">VLOOKUP(Data!M2877,temp!$B$3:$C$9,2,1)</f>
        <v>30-40</v>
      </c>
      <c r="O2877">
        <v>-671</v>
      </c>
      <c r="P2877" s="8">
        <f t="shared" si="183"/>
        <v>1.83709787816564</v>
      </c>
      <c r="Q2877" s="5" t="str">
        <f t="shared" si="185"/>
        <v>Employed</v>
      </c>
      <c r="R2877">
        <v>1</v>
      </c>
      <c r="S2877">
        <v>0</v>
      </c>
      <c r="T2877">
        <v>0</v>
      </c>
      <c r="U2877">
        <v>0</v>
      </c>
      <c r="W2877">
        <v>2</v>
      </c>
    </row>
    <row r="2878" spans="1:23" x14ac:dyDescent="0.2">
      <c r="A2878">
        <v>5095023</v>
      </c>
      <c r="B2878" t="s">
        <v>18</v>
      </c>
      <c r="C2878" t="s">
        <v>19</v>
      </c>
      <c r="D2878" t="s">
        <v>20</v>
      </c>
      <c r="E2878">
        <v>0</v>
      </c>
      <c r="F2878">
        <v>225000</v>
      </c>
      <c r="G2878" t="s">
        <v>26</v>
      </c>
      <c r="H2878" t="s">
        <v>27</v>
      </c>
      <c r="I2878" t="s">
        <v>37</v>
      </c>
      <c r="J2878" t="s">
        <v>24</v>
      </c>
      <c r="K2878" s="6">
        <f t="shared" ca="1" si="184"/>
        <v>32715</v>
      </c>
      <c r="L2878">
        <v>-13046</v>
      </c>
      <c r="M2878" s="7">
        <f t="shared" ca="1" si="182"/>
        <v>35.718001368925393</v>
      </c>
      <c r="N2878" s="5" t="str">
        <f ca="1">VLOOKUP(Data!M2878,temp!$B$3:$C$9,2,1)</f>
        <v>30-40</v>
      </c>
      <c r="O2878">
        <v>-671</v>
      </c>
      <c r="P2878" s="8">
        <f t="shared" si="183"/>
        <v>1.83709787816564</v>
      </c>
      <c r="Q2878" s="5" t="str">
        <f t="shared" si="185"/>
        <v>Employed</v>
      </c>
      <c r="R2878">
        <v>1</v>
      </c>
      <c r="S2878">
        <v>0</v>
      </c>
      <c r="T2878">
        <v>0</v>
      </c>
      <c r="U2878">
        <v>0</v>
      </c>
      <c r="W2878">
        <v>2</v>
      </c>
    </row>
    <row r="2879" spans="1:23" x14ac:dyDescent="0.2">
      <c r="A2879">
        <v>5095029</v>
      </c>
      <c r="B2879" t="s">
        <v>18</v>
      </c>
      <c r="C2879" t="s">
        <v>19</v>
      </c>
      <c r="D2879" t="s">
        <v>20</v>
      </c>
      <c r="E2879">
        <v>0</v>
      </c>
      <c r="F2879">
        <v>103500</v>
      </c>
      <c r="G2879" t="s">
        <v>21</v>
      </c>
      <c r="H2879" t="s">
        <v>27</v>
      </c>
      <c r="I2879" t="s">
        <v>42</v>
      </c>
      <c r="J2879" t="s">
        <v>24</v>
      </c>
      <c r="K2879" s="6">
        <f t="shared" ca="1" si="184"/>
        <v>22879</v>
      </c>
      <c r="L2879">
        <v>-22882</v>
      </c>
      <c r="M2879" s="7">
        <f t="shared" ca="1" si="182"/>
        <v>62.647501711156742</v>
      </c>
      <c r="N2879" s="5" t="str">
        <f ca="1">VLOOKUP(Data!M2879,temp!$B$3:$C$9,2,1)</f>
        <v>60-70</v>
      </c>
      <c r="O2879">
        <v>365243</v>
      </c>
      <c r="P2879" s="8">
        <f t="shared" si="183"/>
        <v>0</v>
      </c>
      <c r="Q2879" s="5" t="str">
        <f t="shared" si="185"/>
        <v>Unemployed</v>
      </c>
      <c r="R2879">
        <v>1</v>
      </c>
      <c r="S2879">
        <v>0</v>
      </c>
      <c r="T2879">
        <v>0</v>
      </c>
      <c r="U2879">
        <v>0</v>
      </c>
      <c r="W2879">
        <v>1</v>
      </c>
    </row>
    <row r="2880" spans="1:23" x14ac:dyDescent="0.2">
      <c r="A2880">
        <v>5095030</v>
      </c>
      <c r="B2880" t="s">
        <v>25</v>
      </c>
      <c r="C2880" t="s">
        <v>20</v>
      </c>
      <c r="D2880" t="s">
        <v>20</v>
      </c>
      <c r="E2880">
        <v>0</v>
      </c>
      <c r="F2880">
        <v>202500</v>
      </c>
      <c r="G2880" t="s">
        <v>26</v>
      </c>
      <c r="H2880" t="s">
        <v>22</v>
      </c>
      <c r="I2880" t="s">
        <v>28</v>
      </c>
      <c r="J2880" t="s">
        <v>24</v>
      </c>
      <c r="K2880" s="6">
        <f t="shared" ca="1" si="184"/>
        <v>30355</v>
      </c>
      <c r="L2880">
        <v>-15406</v>
      </c>
      <c r="M2880" s="7">
        <f t="shared" ca="1" si="182"/>
        <v>42.179329226557151</v>
      </c>
      <c r="N2880" s="5" t="str">
        <f ca="1">VLOOKUP(Data!M2880,temp!$B$3:$C$9,2,1)</f>
        <v>40-50</v>
      </c>
      <c r="O2880">
        <v>-1463</v>
      </c>
      <c r="P2880" s="8">
        <f t="shared" si="183"/>
        <v>4.0054757015742641</v>
      </c>
      <c r="Q2880" s="5" t="str">
        <f t="shared" si="185"/>
        <v>Employed</v>
      </c>
      <c r="R2880">
        <v>1</v>
      </c>
      <c r="S2880">
        <v>0</v>
      </c>
      <c r="T2880">
        <v>0</v>
      </c>
      <c r="U2880">
        <v>0</v>
      </c>
      <c r="V2880" t="s">
        <v>30</v>
      </c>
      <c r="W2880">
        <v>2</v>
      </c>
    </row>
    <row r="2881" spans="1:23" x14ac:dyDescent="0.2">
      <c r="A2881">
        <v>5095035</v>
      </c>
      <c r="B2881" t="s">
        <v>25</v>
      </c>
      <c r="C2881" t="s">
        <v>20</v>
      </c>
      <c r="D2881" t="s">
        <v>20</v>
      </c>
      <c r="E2881">
        <v>0</v>
      </c>
      <c r="F2881">
        <v>157500</v>
      </c>
      <c r="G2881" t="s">
        <v>31</v>
      </c>
      <c r="H2881" t="s">
        <v>27</v>
      </c>
      <c r="I2881" t="s">
        <v>28</v>
      </c>
      <c r="J2881" t="s">
        <v>24</v>
      </c>
      <c r="K2881" s="6">
        <f t="shared" ca="1" si="184"/>
        <v>35456</v>
      </c>
      <c r="L2881">
        <v>-10305</v>
      </c>
      <c r="M2881" s="7">
        <f t="shared" ca="1" si="182"/>
        <v>28.213552361396303</v>
      </c>
      <c r="N2881" s="5" t="str">
        <f ca="1">VLOOKUP(Data!M2881,temp!$B$3:$C$9,2,1)</f>
        <v>20-30</v>
      </c>
      <c r="O2881">
        <v>-155</v>
      </c>
      <c r="P2881" s="8">
        <f t="shared" si="183"/>
        <v>0.42436687200547568</v>
      </c>
      <c r="Q2881" s="5" t="str">
        <f t="shared" si="185"/>
        <v>Employed</v>
      </c>
      <c r="R2881">
        <v>1</v>
      </c>
      <c r="S2881">
        <v>0</v>
      </c>
      <c r="T2881">
        <v>0</v>
      </c>
      <c r="U2881">
        <v>0</v>
      </c>
      <c r="V2881" t="s">
        <v>29</v>
      </c>
      <c r="W2881">
        <v>2</v>
      </c>
    </row>
    <row r="2882" spans="1:23" x14ac:dyDescent="0.2">
      <c r="A2882">
        <v>5095043</v>
      </c>
      <c r="B2882" t="s">
        <v>25</v>
      </c>
      <c r="C2882" t="s">
        <v>20</v>
      </c>
      <c r="D2882" t="s">
        <v>20</v>
      </c>
      <c r="E2882">
        <v>0</v>
      </c>
      <c r="F2882">
        <v>157500</v>
      </c>
      <c r="G2882" t="s">
        <v>31</v>
      </c>
      <c r="H2882" t="s">
        <v>27</v>
      </c>
      <c r="I2882" t="s">
        <v>28</v>
      </c>
      <c r="J2882" t="s">
        <v>24</v>
      </c>
      <c r="K2882" s="6">
        <f t="shared" ca="1" si="184"/>
        <v>35456</v>
      </c>
      <c r="L2882">
        <v>-10305</v>
      </c>
      <c r="M2882" s="7">
        <f t="shared" ca="1" si="182"/>
        <v>28.213552361396303</v>
      </c>
      <c r="N2882" s="5" t="str">
        <f ca="1">VLOOKUP(Data!M2882,temp!$B$3:$C$9,2,1)</f>
        <v>20-30</v>
      </c>
      <c r="O2882">
        <v>-155</v>
      </c>
      <c r="P2882" s="8">
        <f t="shared" si="183"/>
        <v>0.42436687200547568</v>
      </c>
      <c r="Q2882" s="5" t="str">
        <f t="shared" si="185"/>
        <v>Employed</v>
      </c>
      <c r="R2882">
        <v>1</v>
      </c>
      <c r="S2882">
        <v>0</v>
      </c>
      <c r="T2882">
        <v>0</v>
      </c>
      <c r="U2882">
        <v>0</v>
      </c>
      <c r="V2882" t="s">
        <v>29</v>
      </c>
      <c r="W2882">
        <v>2</v>
      </c>
    </row>
    <row r="2883" spans="1:23" x14ac:dyDescent="0.2">
      <c r="A2883">
        <v>5095056</v>
      </c>
      <c r="B2883" t="s">
        <v>18</v>
      </c>
      <c r="C2883" t="s">
        <v>20</v>
      </c>
      <c r="D2883" t="s">
        <v>20</v>
      </c>
      <c r="E2883">
        <v>0</v>
      </c>
      <c r="F2883">
        <v>157500</v>
      </c>
      <c r="G2883" t="s">
        <v>21</v>
      </c>
      <c r="H2883" t="s">
        <v>27</v>
      </c>
      <c r="I2883" t="s">
        <v>28</v>
      </c>
      <c r="J2883" t="s">
        <v>24</v>
      </c>
      <c r="K2883" s="6">
        <f t="shared" ca="1" si="184"/>
        <v>23077</v>
      </c>
      <c r="L2883">
        <v>-22684</v>
      </c>
      <c r="M2883" s="7">
        <f t="shared" ref="M2883:M2946" ca="1" si="186">(TODAY()-K2883)/365.25</f>
        <v>62.105407255304584</v>
      </c>
      <c r="N2883" s="5" t="str">
        <f ca="1">VLOOKUP(Data!M2883,temp!$B$3:$C$9,2,1)</f>
        <v>60-70</v>
      </c>
      <c r="O2883">
        <v>365243</v>
      </c>
      <c r="P2883" s="8">
        <f t="shared" ref="P2883:P2946" si="187">IF(O2883&lt;=0,ABS(O2883)/365.25,0)</f>
        <v>0</v>
      </c>
      <c r="Q2883" s="5" t="str">
        <f t="shared" si="185"/>
        <v>Unemployed</v>
      </c>
      <c r="R2883">
        <v>1</v>
      </c>
      <c r="S2883">
        <v>0</v>
      </c>
      <c r="T2883">
        <v>0</v>
      </c>
      <c r="U2883">
        <v>0</v>
      </c>
      <c r="W2883">
        <v>2</v>
      </c>
    </row>
    <row r="2884" spans="1:23" x14ac:dyDescent="0.2">
      <c r="A2884">
        <v>5095092</v>
      </c>
      <c r="B2884" t="s">
        <v>18</v>
      </c>
      <c r="C2884" t="s">
        <v>19</v>
      </c>
      <c r="D2884" t="s">
        <v>20</v>
      </c>
      <c r="E2884">
        <v>2</v>
      </c>
      <c r="F2884">
        <v>202500</v>
      </c>
      <c r="G2884" t="s">
        <v>31</v>
      </c>
      <c r="H2884" t="s">
        <v>22</v>
      </c>
      <c r="I2884" t="s">
        <v>28</v>
      </c>
      <c r="J2884" t="s">
        <v>24</v>
      </c>
      <c r="K2884" s="6">
        <f t="shared" ca="1" si="184"/>
        <v>31964</v>
      </c>
      <c r="L2884">
        <v>-13797</v>
      </c>
      <c r="M2884" s="7">
        <f t="shared" ca="1" si="186"/>
        <v>37.774127310061601</v>
      </c>
      <c r="N2884" s="5" t="str">
        <f ca="1">VLOOKUP(Data!M2884,temp!$B$3:$C$9,2,1)</f>
        <v>30-40</v>
      </c>
      <c r="O2884">
        <v>-3259</v>
      </c>
      <c r="P2884" s="8">
        <f t="shared" si="187"/>
        <v>8.9226557152635184</v>
      </c>
      <c r="Q2884" s="5" t="str">
        <f t="shared" si="185"/>
        <v>Employed</v>
      </c>
      <c r="R2884">
        <v>1</v>
      </c>
      <c r="S2884">
        <v>0</v>
      </c>
      <c r="T2884">
        <v>1</v>
      </c>
      <c r="U2884">
        <v>0</v>
      </c>
      <c r="V2884" t="s">
        <v>47</v>
      </c>
      <c r="W2884">
        <v>4</v>
      </c>
    </row>
    <row r="2885" spans="1:23" x14ac:dyDescent="0.2">
      <c r="A2885">
        <v>5095103</v>
      </c>
      <c r="B2885" t="s">
        <v>18</v>
      </c>
      <c r="C2885" t="s">
        <v>19</v>
      </c>
      <c r="D2885" t="s">
        <v>20</v>
      </c>
      <c r="E2885">
        <v>2</v>
      </c>
      <c r="F2885">
        <v>202500</v>
      </c>
      <c r="G2885" t="s">
        <v>31</v>
      </c>
      <c r="H2885" t="s">
        <v>22</v>
      </c>
      <c r="I2885" t="s">
        <v>28</v>
      </c>
      <c r="J2885" t="s">
        <v>24</v>
      </c>
      <c r="K2885" s="6">
        <f t="shared" ca="1" si="184"/>
        <v>31964</v>
      </c>
      <c r="L2885">
        <v>-13797</v>
      </c>
      <c r="M2885" s="7">
        <f t="shared" ca="1" si="186"/>
        <v>37.774127310061601</v>
      </c>
      <c r="N2885" s="5" t="str">
        <f ca="1">VLOOKUP(Data!M2885,temp!$B$3:$C$9,2,1)</f>
        <v>30-40</v>
      </c>
      <c r="O2885">
        <v>-3259</v>
      </c>
      <c r="P2885" s="8">
        <f t="shared" si="187"/>
        <v>8.9226557152635184</v>
      </c>
      <c r="Q2885" s="5" t="str">
        <f t="shared" si="185"/>
        <v>Employed</v>
      </c>
      <c r="R2885">
        <v>1</v>
      </c>
      <c r="S2885">
        <v>0</v>
      </c>
      <c r="T2885">
        <v>1</v>
      </c>
      <c r="U2885">
        <v>0</v>
      </c>
      <c r="V2885" t="s">
        <v>47</v>
      </c>
      <c r="W2885">
        <v>4</v>
      </c>
    </row>
    <row r="2886" spans="1:23" x14ac:dyDescent="0.2">
      <c r="A2886">
        <v>5095104</v>
      </c>
      <c r="B2886" t="s">
        <v>18</v>
      </c>
      <c r="C2886" t="s">
        <v>19</v>
      </c>
      <c r="D2886" t="s">
        <v>20</v>
      </c>
      <c r="E2886">
        <v>2</v>
      </c>
      <c r="F2886">
        <v>202500</v>
      </c>
      <c r="G2886" t="s">
        <v>31</v>
      </c>
      <c r="H2886" t="s">
        <v>22</v>
      </c>
      <c r="I2886" t="s">
        <v>28</v>
      </c>
      <c r="J2886" t="s">
        <v>24</v>
      </c>
      <c r="K2886" s="6">
        <f t="shared" ca="1" si="184"/>
        <v>31964</v>
      </c>
      <c r="L2886">
        <v>-13797</v>
      </c>
      <c r="M2886" s="7">
        <f t="shared" ca="1" si="186"/>
        <v>37.774127310061601</v>
      </c>
      <c r="N2886" s="5" t="str">
        <f ca="1">VLOOKUP(Data!M2886,temp!$B$3:$C$9,2,1)</f>
        <v>30-40</v>
      </c>
      <c r="O2886">
        <v>-3259</v>
      </c>
      <c r="P2886" s="8">
        <f t="shared" si="187"/>
        <v>8.9226557152635184</v>
      </c>
      <c r="Q2886" s="5" t="str">
        <f t="shared" si="185"/>
        <v>Employed</v>
      </c>
      <c r="R2886">
        <v>1</v>
      </c>
      <c r="S2886">
        <v>0</v>
      </c>
      <c r="T2886">
        <v>1</v>
      </c>
      <c r="U2886">
        <v>0</v>
      </c>
      <c r="V2886" t="s">
        <v>47</v>
      </c>
      <c r="W2886">
        <v>4</v>
      </c>
    </row>
    <row r="2887" spans="1:23" x14ac:dyDescent="0.2">
      <c r="A2887">
        <v>5095113</v>
      </c>
      <c r="B2887" t="s">
        <v>25</v>
      </c>
      <c r="C2887" t="s">
        <v>19</v>
      </c>
      <c r="D2887" t="s">
        <v>20</v>
      </c>
      <c r="E2887">
        <v>0</v>
      </c>
      <c r="F2887">
        <v>180000</v>
      </c>
      <c r="G2887" t="s">
        <v>26</v>
      </c>
      <c r="H2887" t="s">
        <v>36</v>
      </c>
      <c r="I2887" t="s">
        <v>28</v>
      </c>
      <c r="J2887" t="s">
        <v>24</v>
      </c>
      <c r="K2887" s="6">
        <f t="shared" ca="1" si="184"/>
        <v>25952</v>
      </c>
      <c r="L2887">
        <v>-19809</v>
      </c>
      <c r="M2887" s="7">
        <f t="shared" ca="1" si="186"/>
        <v>54.234086242299796</v>
      </c>
      <c r="N2887" s="5" t="str">
        <f ca="1">VLOOKUP(Data!M2887,temp!$B$3:$C$9,2,1)</f>
        <v>50-60</v>
      </c>
      <c r="O2887">
        <v>-1098</v>
      </c>
      <c r="P2887" s="8">
        <f t="shared" si="187"/>
        <v>3.0061601642710474</v>
      </c>
      <c r="Q2887" s="5" t="str">
        <f t="shared" si="185"/>
        <v>Employed</v>
      </c>
      <c r="R2887">
        <v>1</v>
      </c>
      <c r="S2887">
        <v>1</v>
      </c>
      <c r="T2887">
        <v>0</v>
      </c>
      <c r="U2887">
        <v>0</v>
      </c>
      <c r="V2887" t="s">
        <v>38</v>
      </c>
      <c r="W2887">
        <v>2</v>
      </c>
    </row>
    <row r="2888" spans="1:23" x14ac:dyDescent="0.2">
      <c r="A2888">
        <v>5095130</v>
      </c>
      <c r="B2888" t="s">
        <v>18</v>
      </c>
      <c r="C2888" t="s">
        <v>19</v>
      </c>
      <c r="D2888" t="s">
        <v>20</v>
      </c>
      <c r="E2888">
        <v>0</v>
      </c>
      <c r="F2888">
        <v>135000</v>
      </c>
      <c r="G2888" t="s">
        <v>21</v>
      </c>
      <c r="H2888" t="s">
        <v>22</v>
      </c>
      <c r="I2888" t="s">
        <v>28</v>
      </c>
      <c r="J2888" t="s">
        <v>24</v>
      </c>
      <c r="K2888" s="6">
        <f t="shared" ref="K2888:K2951" ca="1" si="188">TODAY()+($L2888)</f>
        <v>24238</v>
      </c>
      <c r="L2888">
        <v>-21523</v>
      </c>
      <c r="M2888" s="7">
        <f t="shared" ca="1" si="186"/>
        <v>58.926762491444215</v>
      </c>
      <c r="N2888" s="5" t="str">
        <f ca="1">VLOOKUP(Data!M2888,temp!$B$3:$C$9,2,1)</f>
        <v>50-60</v>
      </c>
      <c r="O2888">
        <v>365243</v>
      </c>
      <c r="P2888" s="8">
        <f t="shared" si="187"/>
        <v>0</v>
      </c>
      <c r="Q2888" s="5" t="str">
        <f t="shared" ref="Q2888:Q2951" si="189">IF($O2888&gt;0,"Unemployed","Employed")</f>
        <v>Unemployed</v>
      </c>
      <c r="R2888">
        <v>1</v>
      </c>
      <c r="S2888">
        <v>0</v>
      </c>
      <c r="T2888">
        <v>1</v>
      </c>
      <c r="U2888">
        <v>0</v>
      </c>
      <c r="W2888">
        <v>2</v>
      </c>
    </row>
    <row r="2889" spans="1:23" x14ac:dyDescent="0.2">
      <c r="A2889">
        <v>5095134</v>
      </c>
      <c r="B2889" t="s">
        <v>18</v>
      </c>
      <c r="C2889" t="s">
        <v>19</v>
      </c>
      <c r="D2889" t="s">
        <v>20</v>
      </c>
      <c r="E2889">
        <v>0</v>
      </c>
      <c r="F2889">
        <v>135000</v>
      </c>
      <c r="G2889" t="s">
        <v>21</v>
      </c>
      <c r="H2889" t="s">
        <v>22</v>
      </c>
      <c r="I2889" t="s">
        <v>28</v>
      </c>
      <c r="J2889" t="s">
        <v>24</v>
      </c>
      <c r="K2889" s="6">
        <f t="shared" ca="1" si="188"/>
        <v>24238</v>
      </c>
      <c r="L2889">
        <v>-21523</v>
      </c>
      <c r="M2889" s="7">
        <f t="shared" ca="1" si="186"/>
        <v>58.926762491444215</v>
      </c>
      <c r="N2889" s="5" t="str">
        <f ca="1">VLOOKUP(Data!M2889,temp!$B$3:$C$9,2,1)</f>
        <v>50-60</v>
      </c>
      <c r="O2889">
        <v>365243</v>
      </c>
      <c r="P2889" s="8">
        <f t="shared" si="187"/>
        <v>0</v>
      </c>
      <c r="Q2889" s="5" t="str">
        <f t="shared" si="189"/>
        <v>Unemployed</v>
      </c>
      <c r="R2889">
        <v>1</v>
      </c>
      <c r="S2889">
        <v>0</v>
      </c>
      <c r="T2889">
        <v>1</v>
      </c>
      <c r="U2889">
        <v>0</v>
      </c>
      <c r="W2889">
        <v>2</v>
      </c>
    </row>
    <row r="2890" spans="1:23" x14ac:dyDescent="0.2">
      <c r="A2890">
        <v>5095145</v>
      </c>
      <c r="B2890" t="s">
        <v>18</v>
      </c>
      <c r="C2890" t="s">
        <v>19</v>
      </c>
      <c r="D2890" t="s">
        <v>20</v>
      </c>
      <c r="E2890">
        <v>2</v>
      </c>
      <c r="F2890">
        <v>157500</v>
      </c>
      <c r="G2890" t="s">
        <v>31</v>
      </c>
      <c r="H2890" t="s">
        <v>27</v>
      </c>
      <c r="I2890" t="s">
        <v>33</v>
      </c>
      <c r="J2890" t="s">
        <v>24</v>
      </c>
      <c r="K2890" s="6">
        <f t="shared" ca="1" si="188"/>
        <v>31564</v>
      </c>
      <c r="L2890">
        <v>-14197</v>
      </c>
      <c r="M2890" s="7">
        <f t="shared" ca="1" si="186"/>
        <v>38.869267624914443</v>
      </c>
      <c r="N2890" s="5" t="str">
        <f ca="1">VLOOKUP(Data!M2890,temp!$B$3:$C$9,2,1)</f>
        <v>30-40</v>
      </c>
      <c r="O2890">
        <v>-3350</v>
      </c>
      <c r="P2890" s="8">
        <f t="shared" si="187"/>
        <v>9.1718001368925393</v>
      </c>
      <c r="Q2890" s="5" t="str">
        <f t="shared" si="189"/>
        <v>Employed</v>
      </c>
      <c r="R2890">
        <v>1</v>
      </c>
      <c r="S2890">
        <v>1</v>
      </c>
      <c r="T2890">
        <v>1</v>
      </c>
      <c r="U2890">
        <v>0</v>
      </c>
      <c r="V2890" t="s">
        <v>47</v>
      </c>
      <c r="W2890">
        <v>3</v>
      </c>
    </row>
    <row r="2891" spans="1:23" x14ac:dyDescent="0.2">
      <c r="A2891">
        <v>5095153</v>
      </c>
      <c r="B2891" t="s">
        <v>18</v>
      </c>
      <c r="C2891" t="s">
        <v>19</v>
      </c>
      <c r="D2891" t="s">
        <v>20</v>
      </c>
      <c r="E2891">
        <v>1</v>
      </c>
      <c r="F2891">
        <v>315000</v>
      </c>
      <c r="G2891" t="s">
        <v>26</v>
      </c>
      <c r="H2891" t="s">
        <v>22</v>
      </c>
      <c r="I2891" t="s">
        <v>33</v>
      </c>
      <c r="J2891" t="s">
        <v>24</v>
      </c>
      <c r="K2891" s="6">
        <f t="shared" ca="1" si="188"/>
        <v>32078</v>
      </c>
      <c r="L2891">
        <v>-13683</v>
      </c>
      <c r="M2891" s="7">
        <f t="shared" ca="1" si="186"/>
        <v>37.46201232032854</v>
      </c>
      <c r="N2891" s="5" t="str">
        <f ca="1">VLOOKUP(Data!M2891,temp!$B$3:$C$9,2,1)</f>
        <v>30-40</v>
      </c>
      <c r="O2891">
        <v>-2193</v>
      </c>
      <c r="P2891" s="8">
        <f t="shared" si="187"/>
        <v>6.0041067761806985</v>
      </c>
      <c r="Q2891" s="5" t="str">
        <f t="shared" si="189"/>
        <v>Employed</v>
      </c>
      <c r="R2891">
        <v>1</v>
      </c>
      <c r="S2891">
        <v>0</v>
      </c>
      <c r="T2891">
        <v>0</v>
      </c>
      <c r="U2891">
        <v>0</v>
      </c>
      <c r="W2891">
        <v>2</v>
      </c>
    </row>
    <row r="2892" spans="1:23" x14ac:dyDescent="0.2">
      <c r="A2892">
        <v>5095165</v>
      </c>
      <c r="B2892" t="s">
        <v>25</v>
      </c>
      <c r="C2892" t="s">
        <v>20</v>
      </c>
      <c r="D2892" t="s">
        <v>20</v>
      </c>
      <c r="E2892">
        <v>0</v>
      </c>
      <c r="F2892">
        <v>252000</v>
      </c>
      <c r="G2892" t="s">
        <v>26</v>
      </c>
      <c r="H2892" t="s">
        <v>22</v>
      </c>
      <c r="I2892" t="s">
        <v>28</v>
      </c>
      <c r="J2892" t="s">
        <v>24</v>
      </c>
      <c r="K2892" s="6">
        <f t="shared" ca="1" si="188"/>
        <v>31965</v>
      </c>
      <c r="L2892">
        <v>-13796</v>
      </c>
      <c r="M2892" s="7">
        <f t="shared" ca="1" si="186"/>
        <v>37.771389459274467</v>
      </c>
      <c r="N2892" s="5" t="str">
        <f ca="1">VLOOKUP(Data!M2892,temp!$B$3:$C$9,2,1)</f>
        <v>30-40</v>
      </c>
      <c r="O2892">
        <v>-2682</v>
      </c>
      <c r="P2892" s="8">
        <f t="shared" si="187"/>
        <v>7.3429158110882957</v>
      </c>
      <c r="Q2892" s="5" t="str">
        <f t="shared" si="189"/>
        <v>Employed</v>
      </c>
      <c r="R2892">
        <v>1</v>
      </c>
      <c r="S2892">
        <v>0</v>
      </c>
      <c r="T2892">
        <v>0</v>
      </c>
      <c r="U2892">
        <v>0</v>
      </c>
      <c r="V2892" t="s">
        <v>30</v>
      </c>
      <c r="W2892">
        <v>2</v>
      </c>
    </row>
    <row r="2893" spans="1:23" x14ac:dyDescent="0.2">
      <c r="A2893">
        <v>5095186</v>
      </c>
      <c r="B2893" t="s">
        <v>25</v>
      </c>
      <c r="C2893" t="s">
        <v>20</v>
      </c>
      <c r="D2893" t="s">
        <v>20</v>
      </c>
      <c r="E2893">
        <v>1</v>
      </c>
      <c r="F2893">
        <v>495000</v>
      </c>
      <c r="G2893" t="s">
        <v>26</v>
      </c>
      <c r="H2893" t="s">
        <v>27</v>
      </c>
      <c r="I2893" t="s">
        <v>28</v>
      </c>
      <c r="J2893" t="s">
        <v>24</v>
      </c>
      <c r="K2893" s="6">
        <f t="shared" ca="1" si="188"/>
        <v>29264</v>
      </c>
      <c r="L2893">
        <v>-16497</v>
      </c>
      <c r="M2893" s="7">
        <f t="shared" ca="1" si="186"/>
        <v>45.166324435318273</v>
      </c>
      <c r="N2893" s="5" t="str">
        <f ca="1">VLOOKUP(Data!M2893,temp!$B$3:$C$9,2,1)</f>
        <v>40-50</v>
      </c>
      <c r="O2893">
        <v>-1190</v>
      </c>
      <c r="P2893" s="8">
        <f t="shared" si="187"/>
        <v>3.2580424366872007</v>
      </c>
      <c r="Q2893" s="5" t="str">
        <f t="shared" si="189"/>
        <v>Employed</v>
      </c>
      <c r="R2893">
        <v>1</v>
      </c>
      <c r="S2893">
        <v>0</v>
      </c>
      <c r="T2893">
        <v>1</v>
      </c>
      <c r="U2893">
        <v>0</v>
      </c>
      <c r="V2893" t="s">
        <v>32</v>
      </c>
      <c r="W2893">
        <v>3</v>
      </c>
    </row>
    <row r="2894" spans="1:23" x14ac:dyDescent="0.2">
      <c r="A2894">
        <v>5095195</v>
      </c>
      <c r="B2894" t="s">
        <v>18</v>
      </c>
      <c r="C2894" t="s">
        <v>19</v>
      </c>
      <c r="D2894" t="s">
        <v>20</v>
      </c>
      <c r="E2894">
        <v>0</v>
      </c>
      <c r="F2894">
        <v>112500</v>
      </c>
      <c r="G2894" t="s">
        <v>31</v>
      </c>
      <c r="H2894" t="s">
        <v>27</v>
      </c>
      <c r="I2894" t="s">
        <v>23</v>
      </c>
      <c r="J2894" t="s">
        <v>24</v>
      </c>
      <c r="K2894" s="6">
        <f t="shared" ca="1" si="188"/>
        <v>29944</v>
      </c>
      <c r="L2894">
        <v>-15817</v>
      </c>
      <c r="M2894" s="7">
        <f t="shared" ca="1" si="186"/>
        <v>43.304585900068446</v>
      </c>
      <c r="N2894" s="5" t="str">
        <f ca="1">VLOOKUP(Data!M2894,temp!$B$3:$C$9,2,1)</f>
        <v>40-50</v>
      </c>
      <c r="O2894">
        <v>-2407</v>
      </c>
      <c r="P2894" s="8">
        <f t="shared" si="187"/>
        <v>6.5900068446269682</v>
      </c>
      <c r="Q2894" s="5" t="str">
        <f t="shared" si="189"/>
        <v>Employed</v>
      </c>
      <c r="R2894">
        <v>1</v>
      </c>
      <c r="S2894">
        <v>0</v>
      </c>
      <c r="T2894">
        <v>1</v>
      </c>
      <c r="U2894">
        <v>0</v>
      </c>
      <c r="V2894" t="s">
        <v>50</v>
      </c>
      <c r="W2894">
        <v>1</v>
      </c>
    </row>
    <row r="2895" spans="1:23" x14ac:dyDescent="0.2">
      <c r="A2895">
        <v>5095198</v>
      </c>
      <c r="B2895" t="s">
        <v>18</v>
      </c>
      <c r="C2895" t="s">
        <v>19</v>
      </c>
      <c r="D2895" t="s">
        <v>20</v>
      </c>
      <c r="E2895">
        <v>0</v>
      </c>
      <c r="F2895">
        <v>112500</v>
      </c>
      <c r="G2895" t="s">
        <v>31</v>
      </c>
      <c r="H2895" t="s">
        <v>27</v>
      </c>
      <c r="I2895" t="s">
        <v>23</v>
      </c>
      <c r="J2895" t="s">
        <v>24</v>
      </c>
      <c r="K2895" s="6">
        <f t="shared" ca="1" si="188"/>
        <v>29944</v>
      </c>
      <c r="L2895">
        <v>-15817</v>
      </c>
      <c r="M2895" s="7">
        <f t="shared" ca="1" si="186"/>
        <v>43.304585900068446</v>
      </c>
      <c r="N2895" s="5" t="str">
        <f ca="1">VLOOKUP(Data!M2895,temp!$B$3:$C$9,2,1)</f>
        <v>40-50</v>
      </c>
      <c r="O2895">
        <v>-2407</v>
      </c>
      <c r="P2895" s="8">
        <f t="shared" si="187"/>
        <v>6.5900068446269682</v>
      </c>
      <c r="Q2895" s="5" t="str">
        <f t="shared" si="189"/>
        <v>Employed</v>
      </c>
      <c r="R2895">
        <v>1</v>
      </c>
      <c r="S2895">
        <v>0</v>
      </c>
      <c r="T2895">
        <v>1</v>
      </c>
      <c r="U2895">
        <v>0</v>
      </c>
      <c r="V2895" t="s">
        <v>50</v>
      </c>
      <c r="W2895">
        <v>1</v>
      </c>
    </row>
    <row r="2896" spans="1:23" x14ac:dyDescent="0.2">
      <c r="A2896">
        <v>5095210</v>
      </c>
      <c r="B2896" t="s">
        <v>18</v>
      </c>
      <c r="C2896" t="s">
        <v>19</v>
      </c>
      <c r="D2896" t="s">
        <v>20</v>
      </c>
      <c r="E2896">
        <v>0</v>
      </c>
      <c r="F2896">
        <v>135000</v>
      </c>
      <c r="G2896" t="s">
        <v>31</v>
      </c>
      <c r="H2896" t="s">
        <v>27</v>
      </c>
      <c r="I2896" t="s">
        <v>42</v>
      </c>
      <c r="J2896" t="s">
        <v>24</v>
      </c>
      <c r="K2896" s="6">
        <f t="shared" ca="1" si="188"/>
        <v>26031</v>
      </c>
      <c r="L2896">
        <v>-19730</v>
      </c>
      <c r="M2896" s="7">
        <f t="shared" ca="1" si="186"/>
        <v>54.017796030116358</v>
      </c>
      <c r="N2896" s="5" t="str">
        <f ca="1">VLOOKUP(Data!M2896,temp!$B$3:$C$9,2,1)</f>
        <v>50-60</v>
      </c>
      <c r="O2896">
        <v>-4934</v>
      </c>
      <c r="P2896" s="8">
        <f t="shared" si="187"/>
        <v>13.508555783709788</v>
      </c>
      <c r="Q2896" s="5" t="str">
        <f t="shared" si="189"/>
        <v>Employed</v>
      </c>
      <c r="R2896">
        <v>1</v>
      </c>
      <c r="S2896">
        <v>0</v>
      </c>
      <c r="T2896">
        <v>0</v>
      </c>
      <c r="U2896">
        <v>0</v>
      </c>
      <c r="V2896" t="s">
        <v>39</v>
      </c>
      <c r="W2896">
        <v>1</v>
      </c>
    </row>
    <row r="2897" spans="1:23" x14ac:dyDescent="0.2">
      <c r="A2897">
        <v>5095220</v>
      </c>
      <c r="B2897" t="s">
        <v>25</v>
      </c>
      <c r="C2897" t="s">
        <v>20</v>
      </c>
      <c r="D2897" t="s">
        <v>20</v>
      </c>
      <c r="E2897">
        <v>2</v>
      </c>
      <c r="F2897">
        <v>180000</v>
      </c>
      <c r="G2897" t="s">
        <v>31</v>
      </c>
      <c r="H2897" t="s">
        <v>27</v>
      </c>
      <c r="I2897" t="s">
        <v>28</v>
      </c>
      <c r="J2897" t="s">
        <v>24</v>
      </c>
      <c r="K2897" s="6">
        <f t="shared" ca="1" si="188"/>
        <v>29729</v>
      </c>
      <c r="L2897">
        <v>-16032</v>
      </c>
      <c r="M2897" s="7">
        <f t="shared" ca="1" si="186"/>
        <v>43.893223819301845</v>
      </c>
      <c r="N2897" s="5" t="str">
        <f ca="1">VLOOKUP(Data!M2897,temp!$B$3:$C$9,2,1)</f>
        <v>40-50</v>
      </c>
      <c r="O2897">
        <v>-1221</v>
      </c>
      <c r="P2897" s="8">
        <f t="shared" si="187"/>
        <v>3.3429158110882957</v>
      </c>
      <c r="Q2897" s="5" t="str">
        <f t="shared" si="189"/>
        <v>Employed</v>
      </c>
      <c r="R2897">
        <v>1</v>
      </c>
      <c r="S2897">
        <v>0</v>
      </c>
      <c r="T2897">
        <v>0</v>
      </c>
      <c r="U2897">
        <v>0</v>
      </c>
      <c r="V2897" t="s">
        <v>30</v>
      </c>
      <c r="W2897">
        <v>4</v>
      </c>
    </row>
    <row r="2898" spans="1:23" x14ac:dyDescent="0.2">
      <c r="A2898">
        <v>5095221</v>
      </c>
      <c r="B2898" t="s">
        <v>25</v>
      </c>
      <c r="C2898" t="s">
        <v>20</v>
      </c>
      <c r="D2898" t="s">
        <v>20</v>
      </c>
      <c r="E2898">
        <v>2</v>
      </c>
      <c r="F2898">
        <v>180000</v>
      </c>
      <c r="G2898" t="s">
        <v>31</v>
      </c>
      <c r="H2898" t="s">
        <v>27</v>
      </c>
      <c r="I2898" t="s">
        <v>28</v>
      </c>
      <c r="J2898" t="s">
        <v>24</v>
      </c>
      <c r="K2898" s="6">
        <f t="shared" ca="1" si="188"/>
        <v>29729</v>
      </c>
      <c r="L2898">
        <v>-16032</v>
      </c>
      <c r="M2898" s="7">
        <f t="shared" ca="1" si="186"/>
        <v>43.893223819301845</v>
      </c>
      <c r="N2898" s="5" t="str">
        <f ca="1">VLOOKUP(Data!M2898,temp!$B$3:$C$9,2,1)</f>
        <v>40-50</v>
      </c>
      <c r="O2898">
        <v>-1221</v>
      </c>
      <c r="P2898" s="8">
        <f t="shared" si="187"/>
        <v>3.3429158110882957</v>
      </c>
      <c r="Q2898" s="5" t="str">
        <f t="shared" si="189"/>
        <v>Employed</v>
      </c>
      <c r="R2898">
        <v>1</v>
      </c>
      <c r="S2898">
        <v>0</v>
      </c>
      <c r="T2898">
        <v>0</v>
      </c>
      <c r="U2898">
        <v>0</v>
      </c>
      <c r="V2898" t="s">
        <v>30</v>
      </c>
      <c r="W2898">
        <v>4</v>
      </c>
    </row>
    <row r="2899" spans="1:23" x14ac:dyDescent="0.2">
      <c r="A2899">
        <v>5095225</v>
      </c>
      <c r="B2899" t="s">
        <v>25</v>
      </c>
      <c r="C2899" t="s">
        <v>20</v>
      </c>
      <c r="D2899" t="s">
        <v>20</v>
      </c>
      <c r="E2899">
        <v>2</v>
      </c>
      <c r="F2899">
        <v>180000</v>
      </c>
      <c r="G2899" t="s">
        <v>31</v>
      </c>
      <c r="H2899" t="s">
        <v>27</v>
      </c>
      <c r="I2899" t="s">
        <v>28</v>
      </c>
      <c r="J2899" t="s">
        <v>24</v>
      </c>
      <c r="K2899" s="6">
        <f t="shared" ca="1" si="188"/>
        <v>29729</v>
      </c>
      <c r="L2899">
        <v>-16032</v>
      </c>
      <c r="M2899" s="7">
        <f t="shared" ca="1" si="186"/>
        <v>43.893223819301845</v>
      </c>
      <c r="N2899" s="5" t="str">
        <f ca="1">VLOOKUP(Data!M2899,temp!$B$3:$C$9,2,1)</f>
        <v>40-50</v>
      </c>
      <c r="O2899">
        <v>-1221</v>
      </c>
      <c r="P2899" s="8">
        <f t="shared" si="187"/>
        <v>3.3429158110882957</v>
      </c>
      <c r="Q2899" s="5" t="str">
        <f t="shared" si="189"/>
        <v>Employed</v>
      </c>
      <c r="R2899">
        <v>1</v>
      </c>
      <c r="S2899">
        <v>0</v>
      </c>
      <c r="T2899">
        <v>0</v>
      </c>
      <c r="U2899">
        <v>0</v>
      </c>
      <c r="V2899" t="s">
        <v>30</v>
      </c>
      <c r="W2899">
        <v>4</v>
      </c>
    </row>
    <row r="2900" spans="1:23" x14ac:dyDescent="0.2">
      <c r="A2900">
        <v>5095238</v>
      </c>
      <c r="B2900" t="s">
        <v>18</v>
      </c>
      <c r="C2900" t="s">
        <v>20</v>
      </c>
      <c r="D2900" t="s">
        <v>20</v>
      </c>
      <c r="E2900">
        <v>0</v>
      </c>
      <c r="F2900">
        <v>135000</v>
      </c>
      <c r="G2900" t="s">
        <v>31</v>
      </c>
      <c r="H2900" t="s">
        <v>22</v>
      </c>
      <c r="I2900" t="s">
        <v>28</v>
      </c>
      <c r="J2900" t="s">
        <v>24</v>
      </c>
      <c r="K2900" s="6">
        <f t="shared" ca="1" si="188"/>
        <v>30293</v>
      </c>
      <c r="L2900">
        <v>-15468</v>
      </c>
      <c r="M2900" s="7">
        <f t="shared" ca="1" si="186"/>
        <v>42.349075975359341</v>
      </c>
      <c r="N2900" s="5" t="str">
        <f ca="1">VLOOKUP(Data!M2900,temp!$B$3:$C$9,2,1)</f>
        <v>40-50</v>
      </c>
      <c r="O2900">
        <v>-4834</v>
      </c>
      <c r="P2900" s="8">
        <f t="shared" si="187"/>
        <v>13.234770704996578</v>
      </c>
      <c r="Q2900" s="5" t="str">
        <f t="shared" si="189"/>
        <v>Employed</v>
      </c>
      <c r="R2900">
        <v>1</v>
      </c>
      <c r="S2900">
        <v>0</v>
      </c>
      <c r="T2900">
        <v>0</v>
      </c>
      <c r="U2900">
        <v>1</v>
      </c>
      <c r="W2900">
        <v>2</v>
      </c>
    </row>
    <row r="2901" spans="1:23" x14ac:dyDescent="0.2">
      <c r="A2901">
        <v>5095244</v>
      </c>
      <c r="B2901" t="s">
        <v>18</v>
      </c>
      <c r="C2901" t="s">
        <v>19</v>
      </c>
      <c r="D2901" t="s">
        <v>19</v>
      </c>
      <c r="E2901">
        <v>2</v>
      </c>
      <c r="F2901">
        <v>112500</v>
      </c>
      <c r="G2901" t="s">
        <v>31</v>
      </c>
      <c r="H2901" t="s">
        <v>27</v>
      </c>
      <c r="I2901" t="s">
        <v>23</v>
      </c>
      <c r="J2901" t="s">
        <v>24</v>
      </c>
      <c r="K2901" s="6">
        <f t="shared" ca="1" si="188"/>
        <v>31454</v>
      </c>
      <c r="L2901">
        <v>-14307</v>
      </c>
      <c r="M2901" s="7">
        <f t="shared" ca="1" si="186"/>
        <v>39.170431211498972</v>
      </c>
      <c r="N2901" s="5" t="str">
        <f ca="1">VLOOKUP(Data!M2901,temp!$B$3:$C$9,2,1)</f>
        <v>30-40</v>
      </c>
      <c r="O2901">
        <v>-188</v>
      </c>
      <c r="P2901" s="8">
        <f t="shared" si="187"/>
        <v>0.51471594798083509</v>
      </c>
      <c r="Q2901" s="5" t="str">
        <f t="shared" si="189"/>
        <v>Employed</v>
      </c>
      <c r="R2901">
        <v>1</v>
      </c>
      <c r="S2901">
        <v>0</v>
      </c>
      <c r="T2901">
        <v>0</v>
      </c>
      <c r="U2901">
        <v>0</v>
      </c>
      <c r="V2901" t="s">
        <v>29</v>
      </c>
      <c r="W2901">
        <v>3</v>
      </c>
    </row>
    <row r="2902" spans="1:23" x14ac:dyDescent="0.2">
      <c r="A2902">
        <v>5095256</v>
      </c>
      <c r="B2902" t="s">
        <v>25</v>
      </c>
      <c r="C2902" t="s">
        <v>20</v>
      </c>
      <c r="D2902" t="s">
        <v>20</v>
      </c>
      <c r="E2902">
        <v>1</v>
      </c>
      <c r="F2902">
        <v>450000</v>
      </c>
      <c r="G2902" t="s">
        <v>31</v>
      </c>
      <c r="H2902" t="s">
        <v>22</v>
      </c>
      <c r="I2902" t="s">
        <v>28</v>
      </c>
      <c r="J2902" t="s">
        <v>24</v>
      </c>
      <c r="K2902" s="6">
        <f t="shared" ca="1" si="188"/>
        <v>35307</v>
      </c>
      <c r="L2902">
        <v>-10454</v>
      </c>
      <c r="M2902" s="7">
        <f t="shared" ca="1" si="186"/>
        <v>28.621492128678987</v>
      </c>
      <c r="N2902" s="5" t="str">
        <f ca="1">VLOOKUP(Data!M2902,temp!$B$3:$C$9,2,1)</f>
        <v>20-30</v>
      </c>
      <c r="O2902">
        <v>-1496</v>
      </c>
      <c r="P2902" s="8">
        <f t="shared" si="187"/>
        <v>4.0958247775496233</v>
      </c>
      <c r="Q2902" s="5" t="str">
        <f t="shared" si="189"/>
        <v>Employed</v>
      </c>
      <c r="R2902">
        <v>1</v>
      </c>
      <c r="S2902">
        <v>0</v>
      </c>
      <c r="T2902">
        <v>1</v>
      </c>
      <c r="U2902">
        <v>0</v>
      </c>
      <c r="V2902" t="s">
        <v>32</v>
      </c>
      <c r="W2902">
        <v>3</v>
      </c>
    </row>
    <row r="2903" spans="1:23" x14ac:dyDescent="0.2">
      <c r="A2903">
        <v>5095270</v>
      </c>
      <c r="B2903" t="s">
        <v>18</v>
      </c>
      <c r="C2903" t="s">
        <v>20</v>
      </c>
      <c r="D2903" t="s">
        <v>20</v>
      </c>
      <c r="E2903">
        <v>0</v>
      </c>
      <c r="F2903">
        <v>126000</v>
      </c>
      <c r="G2903" t="s">
        <v>26</v>
      </c>
      <c r="H2903" t="s">
        <v>27</v>
      </c>
      <c r="I2903" t="s">
        <v>28</v>
      </c>
      <c r="J2903" t="s">
        <v>24</v>
      </c>
      <c r="K2903" s="6">
        <f t="shared" ca="1" si="188"/>
        <v>35459</v>
      </c>
      <c r="L2903">
        <v>-10302</v>
      </c>
      <c r="M2903" s="7">
        <f t="shared" ca="1" si="186"/>
        <v>28.205338809034906</v>
      </c>
      <c r="N2903" s="5" t="str">
        <f ca="1">VLOOKUP(Data!M2903,temp!$B$3:$C$9,2,1)</f>
        <v>20-30</v>
      </c>
      <c r="O2903">
        <v>-734</v>
      </c>
      <c r="P2903" s="8">
        <f t="shared" si="187"/>
        <v>2.0095824777549622</v>
      </c>
      <c r="Q2903" s="5" t="str">
        <f t="shared" si="189"/>
        <v>Employed</v>
      </c>
      <c r="R2903">
        <v>1</v>
      </c>
      <c r="S2903">
        <v>0</v>
      </c>
      <c r="T2903">
        <v>0</v>
      </c>
      <c r="U2903">
        <v>0</v>
      </c>
      <c r="V2903" t="s">
        <v>38</v>
      </c>
      <c r="W2903">
        <v>2</v>
      </c>
    </row>
    <row r="2904" spans="1:23" x14ac:dyDescent="0.2">
      <c r="A2904">
        <v>5095271</v>
      </c>
      <c r="B2904" t="s">
        <v>18</v>
      </c>
      <c r="C2904" t="s">
        <v>20</v>
      </c>
      <c r="D2904" t="s">
        <v>20</v>
      </c>
      <c r="E2904">
        <v>0</v>
      </c>
      <c r="F2904">
        <v>126000</v>
      </c>
      <c r="G2904" t="s">
        <v>26</v>
      </c>
      <c r="H2904" t="s">
        <v>27</v>
      </c>
      <c r="I2904" t="s">
        <v>28</v>
      </c>
      <c r="J2904" t="s">
        <v>24</v>
      </c>
      <c r="K2904" s="6">
        <f t="shared" ca="1" si="188"/>
        <v>35459</v>
      </c>
      <c r="L2904">
        <v>-10302</v>
      </c>
      <c r="M2904" s="7">
        <f t="shared" ca="1" si="186"/>
        <v>28.205338809034906</v>
      </c>
      <c r="N2904" s="5" t="str">
        <f ca="1">VLOOKUP(Data!M2904,temp!$B$3:$C$9,2,1)</f>
        <v>20-30</v>
      </c>
      <c r="O2904">
        <v>-734</v>
      </c>
      <c r="P2904" s="8">
        <f t="shared" si="187"/>
        <v>2.0095824777549622</v>
      </c>
      <c r="Q2904" s="5" t="str">
        <f t="shared" si="189"/>
        <v>Employed</v>
      </c>
      <c r="R2904">
        <v>1</v>
      </c>
      <c r="S2904">
        <v>0</v>
      </c>
      <c r="T2904">
        <v>0</v>
      </c>
      <c r="U2904">
        <v>0</v>
      </c>
      <c r="V2904" t="s">
        <v>38</v>
      </c>
      <c r="W2904">
        <v>2</v>
      </c>
    </row>
    <row r="2905" spans="1:23" x14ac:dyDescent="0.2">
      <c r="A2905">
        <v>5095274</v>
      </c>
      <c r="B2905" t="s">
        <v>18</v>
      </c>
      <c r="C2905" t="s">
        <v>20</v>
      </c>
      <c r="D2905" t="s">
        <v>20</v>
      </c>
      <c r="E2905">
        <v>0</v>
      </c>
      <c r="F2905">
        <v>126000</v>
      </c>
      <c r="G2905" t="s">
        <v>26</v>
      </c>
      <c r="H2905" t="s">
        <v>27</v>
      </c>
      <c r="I2905" t="s">
        <v>28</v>
      </c>
      <c r="J2905" t="s">
        <v>24</v>
      </c>
      <c r="K2905" s="6">
        <f t="shared" ca="1" si="188"/>
        <v>35459</v>
      </c>
      <c r="L2905">
        <v>-10302</v>
      </c>
      <c r="M2905" s="7">
        <f t="shared" ca="1" si="186"/>
        <v>28.205338809034906</v>
      </c>
      <c r="N2905" s="5" t="str">
        <f ca="1">VLOOKUP(Data!M2905,temp!$B$3:$C$9,2,1)</f>
        <v>20-30</v>
      </c>
      <c r="O2905">
        <v>-734</v>
      </c>
      <c r="P2905" s="8">
        <f t="shared" si="187"/>
        <v>2.0095824777549622</v>
      </c>
      <c r="Q2905" s="5" t="str">
        <f t="shared" si="189"/>
        <v>Employed</v>
      </c>
      <c r="R2905">
        <v>1</v>
      </c>
      <c r="S2905">
        <v>0</v>
      </c>
      <c r="T2905">
        <v>0</v>
      </c>
      <c r="U2905">
        <v>0</v>
      </c>
      <c r="V2905" t="s">
        <v>38</v>
      </c>
      <c r="W2905">
        <v>2</v>
      </c>
    </row>
    <row r="2906" spans="1:23" x14ac:dyDescent="0.2">
      <c r="A2906">
        <v>5095288</v>
      </c>
      <c r="B2906" t="s">
        <v>18</v>
      </c>
      <c r="C2906" t="s">
        <v>19</v>
      </c>
      <c r="D2906" t="s">
        <v>20</v>
      </c>
      <c r="E2906">
        <v>1</v>
      </c>
      <c r="F2906">
        <v>229500</v>
      </c>
      <c r="G2906" t="s">
        <v>35</v>
      </c>
      <c r="H2906" t="s">
        <v>22</v>
      </c>
      <c r="I2906" t="s">
        <v>28</v>
      </c>
      <c r="J2906" t="s">
        <v>24</v>
      </c>
      <c r="K2906" s="6">
        <f t="shared" ca="1" si="188"/>
        <v>34574</v>
      </c>
      <c r="L2906">
        <v>-11187</v>
      </c>
      <c r="M2906" s="7">
        <f t="shared" ca="1" si="186"/>
        <v>30.628336755646817</v>
      </c>
      <c r="N2906" s="5" t="str">
        <f ca="1">VLOOKUP(Data!M2906,temp!$B$3:$C$9,2,1)</f>
        <v>30-40</v>
      </c>
      <c r="O2906">
        <v>-1769</v>
      </c>
      <c r="P2906" s="8">
        <f t="shared" si="187"/>
        <v>4.8432580424366876</v>
      </c>
      <c r="Q2906" s="5" t="str">
        <f t="shared" si="189"/>
        <v>Employed</v>
      </c>
      <c r="R2906">
        <v>1</v>
      </c>
      <c r="S2906">
        <v>0</v>
      </c>
      <c r="T2906">
        <v>0</v>
      </c>
      <c r="U2906">
        <v>0</v>
      </c>
      <c r="W2906">
        <v>3</v>
      </c>
    </row>
    <row r="2907" spans="1:23" x14ac:dyDescent="0.2">
      <c r="A2907">
        <v>5095304</v>
      </c>
      <c r="B2907" t="s">
        <v>18</v>
      </c>
      <c r="C2907" t="s">
        <v>20</v>
      </c>
      <c r="D2907" t="s">
        <v>20</v>
      </c>
      <c r="E2907">
        <v>0</v>
      </c>
      <c r="F2907">
        <v>225000</v>
      </c>
      <c r="G2907" t="s">
        <v>31</v>
      </c>
      <c r="H2907" t="s">
        <v>22</v>
      </c>
      <c r="I2907" t="s">
        <v>28</v>
      </c>
      <c r="J2907" t="s">
        <v>24</v>
      </c>
      <c r="K2907" s="6">
        <f t="shared" ca="1" si="188"/>
        <v>33439</v>
      </c>
      <c r="L2907">
        <v>-12322</v>
      </c>
      <c r="M2907" s="7">
        <f t="shared" ca="1" si="186"/>
        <v>33.735797399041751</v>
      </c>
      <c r="N2907" s="5" t="str">
        <f ca="1">VLOOKUP(Data!M2907,temp!$B$3:$C$9,2,1)</f>
        <v>30-40</v>
      </c>
      <c r="O2907">
        <v>-3717</v>
      </c>
      <c r="P2907" s="8">
        <f t="shared" si="187"/>
        <v>10.17659137577002</v>
      </c>
      <c r="Q2907" s="5" t="str">
        <f t="shared" si="189"/>
        <v>Employed</v>
      </c>
      <c r="R2907">
        <v>1</v>
      </c>
      <c r="S2907">
        <v>0</v>
      </c>
      <c r="T2907">
        <v>0</v>
      </c>
      <c r="U2907">
        <v>0</v>
      </c>
      <c r="V2907" t="s">
        <v>38</v>
      </c>
      <c r="W2907">
        <v>2</v>
      </c>
    </row>
    <row r="2908" spans="1:23" x14ac:dyDescent="0.2">
      <c r="A2908">
        <v>5095311</v>
      </c>
      <c r="B2908" t="s">
        <v>18</v>
      </c>
      <c r="C2908" t="s">
        <v>20</v>
      </c>
      <c r="D2908" t="s">
        <v>20</v>
      </c>
      <c r="E2908">
        <v>0</v>
      </c>
      <c r="F2908">
        <v>225000</v>
      </c>
      <c r="G2908" t="s">
        <v>31</v>
      </c>
      <c r="H2908" t="s">
        <v>22</v>
      </c>
      <c r="I2908" t="s">
        <v>28</v>
      </c>
      <c r="J2908" t="s">
        <v>24</v>
      </c>
      <c r="K2908" s="6">
        <f t="shared" ca="1" si="188"/>
        <v>33439</v>
      </c>
      <c r="L2908">
        <v>-12322</v>
      </c>
      <c r="M2908" s="7">
        <f t="shared" ca="1" si="186"/>
        <v>33.735797399041751</v>
      </c>
      <c r="N2908" s="5" t="str">
        <f ca="1">VLOOKUP(Data!M2908,temp!$B$3:$C$9,2,1)</f>
        <v>30-40</v>
      </c>
      <c r="O2908">
        <v>-3717</v>
      </c>
      <c r="P2908" s="8">
        <f t="shared" si="187"/>
        <v>10.17659137577002</v>
      </c>
      <c r="Q2908" s="5" t="str">
        <f t="shared" si="189"/>
        <v>Employed</v>
      </c>
      <c r="R2908">
        <v>1</v>
      </c>
      <c r="S2908">
        <v>0</v>
      </c>
      <c r="T2908">
        <v>0</v>
      </c>
      <c r="U2908">
        <v>0</v>
      </c>
      <c r="V2908" t="s">
        <v>38</v>
      </c>
      <c r="W2908">
        <v>2</v>
      </c>
    </row>
    <row r="2909" spans="1:23" x14ac:dyDescent="0.2">
      <c r="A2909">
        <v>5095316</v>
      </c>
      <c r="B2909" t="s">
        <v>18</v>
      </c>
      <c r="C2909" t="s">
        <v>20</v>
      </c>
      <c r="D2909" t="s">
        <v>20</v>
      </c>
      <c r="E2909">
        <v>0</v>
      </c>
      <c r="F2909">
        <v>225000</v>
      </c>
      <c r="G2909" t="s">
        <v>31</v>
      </c>
      <c r="H2909" t="s">
        <v>22</v>
      </c>
      <c r="I2909" t="s">
        <v>28</v>
      </c>
      <c r="J2909" t="s">
        <v>24</v>
      </c>
      <c r="K2909" s="6">
        <f t="shared" ca="1" si="188"/>
        <v>33439</v>
      </c>
      <c r="L2909">
        <v>-12322</v>
      </c>
      <c r="M2909" s="7">
        <f t="shared" ca="1" si="186"/>
        <v>33.735797399041751</v>
      </c>
      <c r="N2909" s="5" t="str">
        <f ca="1">VLOOKUP(Data!M2909,temp!$B$3:$C$9,2,1)</f>
        <v>30-40</v>
      </c>
      <c r="O2909">
        <v>-3717</v>
      </c>
      <c r="P2909" s="8">
        <f t="shared" si="187"/>
        <v>10.17659137577002</v>
      </c>
      <c r="Q2909" s="5" t="str">
        <f t="shared" si="189"/>
        <v>Employed</v>
      </c>
      <c r="R2909">
        <v>1</v>
      </c>
      <c r="S2909">
        <v>0</v>
      </c>
      <c r="T2909">
        <v>0</v>
      </c>
      <c r="U2909">
        <v>0</v>
      </c>
      <c r="V2909" t="s">
        <v>38</v>
      </c>
      <c r="W2909">
        <v>2</v>
      </c>
    </row>
    <row r="2910" spans="1:23" x14ac:dyDescent="0.2">
      <c r="A2910">
        <v>5095322</v>
      </c>
      <c r="B2910" t="s">
        <v>18</v>
      </c>
      <c r="C2910" t="s">
        <v>19</v>
      </c>
      <c r="D2910" t="s">
        <v>20</v>
      </c>
      <c r="E2910">
        <v>0</v>
      </c>
      <c r="F2910">
        <v>315000</v>
      </c>
      <c r="G2910" t="s">
        <v>21</v>
      </c>
      <c r="H2910" t="s">
        <v>27</v>
      </c>
      <c r="I2910" t="s">
        <v>42</v>
      </c>
      <c r="J2910" t="s">
        <v>24</v>
      </c>
      <c r="K2910" s="6">
        <f t="shared" ca="1" si="188"/>
        <v>22907</v>
      </c>
      <c r="L2910">
        <v>-22854</v>
      </c>
      <c r="M2910" s="7">
        <f t="shared" ca="1" si="186"/>
        <v>62.570841889117041</v>
      </c>
      <c r="N2910" s="5" t="str">
        <f ca="1">VLOOKUP(Data!M2910,temp!$B$3:$C$9,2,1)</f>
        <v>60-70</v>
      </c>
      <c r="O2910">
        <v>365243</v>
      </c>
      <c r="P2910" s="8">
        <f t="shared" si="187"/>
        <v>0</v>
      </c>
      <c r="Q2910" s="5" t="str">
        <f t="shared" si="189"/>
        <v>Unemployed</v>
      </c>
      <c r="R2910">
        <v>1</v>
      </c>
      <c r="S2910">
        <v>0</v>
      </c>
      <c r="T2910">
        <v>1</v>
      </c>
      <c r="U2910">
        <v>0</v>
      </c>
      <c r="W2910">
        <v>1</v>
      </c>
    </row>
    <row r="2911" spans="1:23" x14ac:dyDescent="0.2">
      <c r="A2911">
        <v>5095326</v>
      </c>
      <c r="B2911" t="s">
        <v>18</v>
      </c>
      <c r="C2911" t="s">
        <v>19</v>
      </c>
      <c r="D2911" t="s">
        <v>20</v>
      </c>
      <c r="E2911">
        <v>0</v>
      </c>
      <c r="F2911">
        <v>315000</v>
      </c>
      <c r="G2911" t="s">
        <v>21</v>
      </c>
      <c r="H2911" t="s">
        <v>27</v>
      </c>
      <c r="I2911" t="s">
        <v>42</v>
      </c>
      <c r="J2911" t="s">
        <v>24</v>
      </c>
      <c r="K2911" s="6">
        <f t="shared" ca="1" si="188"/>
        <v>22907</v>
      </c>
      <c r="L2911">
        <v>-22854</v>
      </c>
      <c r="M2911" s="7">
        <f t="shared" ca="1" si="186"/>
        <v>62.570841889117041</v>
      </c>
      <c r="N2911" s="5" t="str">
        <f ca="1">VLOOKUP(Data!M2911,temp!$B$3:$C$9,2,1)</f>
        <v>60-70</v>
      </c>
      <c r="O2911">
        <v>365243</v>
      </c>
      <c r="P2911" s="8">
        <f t="shared" si="187"/>
        <v>0</v>
      </c>
      <c r="Q2911" s="5" t="str">
        <f t="shared" si="189"/>
        <v>Unemployed</v>
      </c>
      <c r="R2911">
        <v>1</v>
      </c>
      <c r="S2911">
        <v>0</v>
      </c>
      <c r="T2911">
        <v>1</v>
      </c>
      <c r="U2911">
        <v>0</v>
      </c>
      <c r="W2911">
        <v>1</v>
      </c>
    </row>
    <row r="2912" spans="1:23" x14ac:dyDescent="0.2">
      <c r="A2912">
        <v>5095333</v>
      </c>
      <c r="B2912" t="s">
        <v>25</v>
      </c>
      <c r="C2912" t="s">
        <v>19</v>
      </c>
      <c r="D2912" t="s">
        <v>20</v>
      </c>
      <c r="E2912">
        <v>0</v>
      </c>
      <c r="F2912">
        <v>135000</v>
      </c>
      <c r="G2912" t="s">
        <v>31</v>
      </c>
      <c r="H2912" t="s">
        <v>22</v>
      </c>
      <c r="I2912" t="s">
        <v>28</v>
      </c>
      <c r="J2912" t="s">
        <v>24</v>
      </c>
      <c r="K2912" s="6">
        <f t="shared" ca="1" si="188"/>
        <v>25539</v>
      </c>
      <c r="L2912">
        <v>-20222</v>
      </c>
      <c r="M2912" s="7">
        <f t="shared" ca="1" si="186"/>
        <v>55.364818617385353</v>
      </c>
      <c r="N2912" s="5" t="str">
        <f ca="1">VLOOKUP(Data!M2912,temp!$B$3:$C$9,2,1)</f>
        <v>50-60</v>
      </c>
      <c r="O2912">
        <v>-218</v>
      </c>
      <c r="P2912" s="8">
        <f t="shared" si="187"/>
        <v>0.59685147159479812</v>
      </c>
      <c r="Q2912" s="5" t="str">
        <f t="shared" si="189"/>
        <v>Employed</v>
      </c>
      <c r="R2912">
        <v>1</v>
      </c>
      <c r="S2912">
        <v>0</v>
      </c>
      <c r="T2912">
        <v>0</v>
      </c>
      <c r="U2912">
        <v>0</v>
      </c>
      <c r="V2912" t="s">
        <v>29</v>
      </c>
      <c r="W2912">
        <v>2</v>
      </c>
    </row>
    <row r="2913" spans="1:23" x14ac:dyDescent="0.2">
      <c r="A2913">
        <v>5095334</v>
      </c>
      <c r="B2913" t="s">
        <v>25</v>
      </c>
      <c r="C2913" t="s">
        <v>19</v>
      </c>
      <c r="D2913" t="s">
        <v>20</v>
      </c>
      <c r="E2913">
        <v>0</v>
      </c>
      <c r="F2913">
        <v>135000</v>
      </c>
      <c r="G2913" t="s">
        <v>31</v>
      </c>
      <c r="H2913" t="s">
        <v>22</v>
      </c>
      <c r="I2913" t="s">
        <v>28</v>
      </c>
      <c r="J2913" t="s">
        <v>24</v>
      </c>
      <c r="K2913" s="6">
        <f t="shared" ca="1" si="188"/>
        <v>25539</v>
      </c>
      <c r="L2913">
        <v>-20222</v>
      </c>
      <c r="M2913" s="7">
        <f t="shared" ca="1" si="186"/>
        <v>55.364818617385353</v>
      </c>
      <c r="N2913" s="5" t="str">
        <f ca="1">VLOOKUP(Data!M2913,temp!$B$3:$C$9,2,1)</f>
        <v>50-60</v>
      </c>
      <c r="O2913">
        <v>-218</v>
      </c>
      <c r="P2913" s="8">
        <f t="shared" si="187"/>
        <v>0.59685147159479812</v>
      </c>
      <c r="Q2913" s="5" t="str">
        <f t="shared" si="189"/>
        <v>Employed</v>
      </c>
      <c r="R2913">
        <v>1</v>
      </c>
      <c r="S2913">
        <v>0</v>
      </c>
      <c r="T2913">
        <v>0</v>
      </c>
      <c r="U2913">
        <v>0</v>
      </c>
      <c r="V2913" t="s">
        <v>29</v>
      </c>
      <c r="W2913">
        <v>2</v>
      </c>
    </row>
    <row r="2914" spans="1:23" x14ac:dyDescent="0.2">
      <c r="A2914">
        <v>5095336</v>
      </c>
      <c r="B2914" t="s">
        <v>25</v>
      </c>
      <c r="C2914" t="s">
        <v>19</v>
      </c>
      <c r="D2914" t="s">
        <v>20</v>
      </c>
      <c r="E2914">
        <v>0</v>
      </c>
      <c r="F2914">
        <v>135000</v>
      </c>
      <c r="G2914" t="s">
        <v>31</v>
      </c>
      <c r="H2914" t="s">
        <v>22</v>
      </c>
      <c r="I2914" t="s">
        <v>28</v>
      </c>
      <c r="J2914" t="s">
        <v>24</v>
      </c>
      <c r="K2914" s="6">
        <f t="shared" ca="1" si="188"/>
        <v>25539</v>
      </c>
      <c r="L2914">
        <v>-20222</v>
      </c>
      <c r="M2914" s="7">
        <f t="shared" ca="1" si="186"/>
        <v>55.364818617385353</v>
      </c>
      <c r="N2914" s="5" t="str">
        <f ca="1">VLOOKUP(Data!M2914,temp!$B$3:$C$9,2,1)</f>
        <v>50-60</v>
      </c>
      <c r="O2914">
        <v>-218</v>
      </c>
      <c r="P2914" s="8">
        <f t="shared" si="187"/>
        <v>0.59685147159479812</v>
      </c>
      <c r="Q2914" s="5" t="str">
        <f t="shared" si="189"/>
        <v>Employed</v>
      </c>
      <c r="R2914">
        <v>1</v>
      </c>
      <c r="S2914">
        <v>0</v>
      </c>
      <c r="T2914">
        <v>0</v>
      </c>
      <c r="U2914">
        <v>0</v>
      </c>
      <c r="V2914" t="s">
        <v>29</v>
      </c>
      <c r="W2914">
        <v>2</v>
      </c>
    </row>
    <row r="2915" spans="1:23" x14ac:dyDescent="0.2">
      <c r="A2915">
        <v>5095354</v>
      </c>
      <c r="B2915" t="s">
        <v>18</v>
      </c>
      <c r="C2915" t="s">
        <v>20</v>
      </c>
      <c r="D2915" t="s">
        <v>20</v>
      </c>
      <c r="E2915">
        <v>0</v>
      </c>
      <c r="F2915">
        <v>180000</v>
      </c>
      <c r="G2915" t="s">
        <v>26</v>
      </c>
      <c r="H2915" t="s">
        <v>27</v>
      </c>
      <c r="I2915" t="s">
        <v>28</v>
      </c>
      <c r="J2915" t="s">
        <v>24</v>
      </c>
      <c r="K2915" s="6">
        <f t="shared" ca="1" si="188"/>
        <v>33392</v>
      </c>
      <c r="L2915">
        <v>-12369</v>
      </c>
      <c r="M2915" s="7">
        <f t="shared" ca="1" si="186"/>
        <v>33.864476386036962</v>
      </c>
      <c r="N2915" s="5" t="str">
        <f ca="1">VLOOKUP(Data!M2915,temp!$B$3:$C$9,2,1)</f>
        <v>30-40</v>
      </c>
      <c r="O2915">
        <v>-1314</v>
      </c>
      <c r="P2915" s="8">
        <f t="shared" si="187"/>
        <v>3.5975359342915811</v>
      </c>
      <c r="Q2915" s="5" t="str">
        <f t="shared" si="189"/>
        <v>Employed</v>
      </c>
      <c r="R2915">
        <v>1</v>
      </c>
      <c r="S2915">
        <v>0</v>
      </c>
      <c r="T2915">
        <v>0</v>
      </c>
      <c r="U2915">
        <v>0</v>
      </c>
      <c r="V2915" t="s">
        <v>44</v>
      </c>
      <c r="W2915">
        <v>2</v>
      </c>
    </row>
    <row r="2916" spans="1:23" x14ac:dyDescent="0.2">
      <c r="A2916">
        <v>5095358</v>
      </c>
      <c r="B2916" t="s">
        <v>25</v>
      </c>
      <c r="C2916" t="s">
        <v>19</v>
      </c>
      <c r="D2916" t="s">
        <v>20</v>
      </c>
      <c r="E2916">
        <v>1</v>
      </c>
      <c r="F2916">
        <v>270000</v>
      </c>
      <c r="G2916" t="s">
        <v>26</v>
      </c>
      <c r="H2916" t="s">
        <v>22</v>
      </c>
      <c r="I2916" t="s">
        <v>28</v>
      </c>
      <c r="J2916" t="s">
        <v>24</v>
      </c>
      <c r="K2916" s="6">
        <f t="shared" ca="1" si="188"/>
        <v>35307</v>
      </c>
      <c r="L2916">
        <v>-10454</v>
      </c>
      <c r="M2916" s="7">
        <f t="shared" ca="1" si="186"/>
        <v>28.621492128678987</v>
      </c>
      <c r="N2916" s="5" t="str">
        <f ca="1">VLOOKUP(Data!M2916,temp!$B$3:$C$9,2,1)</f>
        <v>20-30</v>
      </c>
      <c r="O2916">
        <v>-400</v>
      </c>
      <c r="P2916" s="8">
        <f t="shared" si="187"/>
        <v>1.0951403148528405</v>
      </c>
      <c r="Q2916" s="5" t="str">
        <f t="shared" si="189"/>
        <v>Employed</v>
      </c>
      <c r="R2916">
        <v>1</v>
      </c>
      <c r="S2916">
        <v>0</v>
      </c>
      <c r="T2916">
        <v>1</v>
      </c>
      <c r="U2916">
        <v>1</v>
      </c>
      <c r="V2916" t="s">
        <v>32</v>
      </c>
      <c r="W2916">
        <v>3</v>
      </c>
    </row>
    <row r="2917" spans="1:23" x14ac:dyDescent="0.2">
      <c r="A2917">
        <v>5095360</v>
      </c>
      <c r="B2917" t="s">
        <v>25</v>
      </c>
      <c r="C2917" t="s">
        <v>19</v>
      </c>
      <c r="D2917" t="s">
        <v>20</v>
      </c>
      <c r="E2917">
        <v>1</v>
      </c>
      <c r="F2917">
        <v>270000</v>
      </c>
      <c r="G2917" t="s">
        <v>26</v>
      </c>
      <c r="H2917" t="s">
        <v>22</v>
      </c>
      <c r="I2917" t="s">
        <v>28</v>
      </c>
      <c r="J2917" t="s">
        <v>24</v>
      </c>
      <c r="K2917" s="6">
        <f t="shared" ca="1" si="188"/>
        <v>35307</v>
      </c>
      <c r="L2917">
        <v>-10454</v>
      </c>
      <c r="M2917" s="7">
        <f t="shared" ca="1" si="186"/>
        <v>28.621492128678987</v>
      </c>
      <c r="N2917" s="5" t="str">
        <f ca="1">VLOOKUP(Data!M2917,temp!$B$3:$C$9,2,1)</f>
        <v>20-30</v>
      </c>
      <c r="O2917">
        <v>-400</v>
      </c>
      <c r="P2917" s="8">
        <f t="shared" si="187"/>
        <v>1.0951403148528405</v>
      </c>
      <c r="Q2917" s="5" t="str">
        <f t="shared" si="189"/>
        <v>Employed</v>
      </c>
      <c r="R2917">
        <v>1</v>
      </c>
      <c r="S2917">
        <v>0</v>
      </c>
      <c r="T2917">
        <v>1</v>
      </c>
      <c r="U2917">
        <v>1</v>
      </c>
      <c r="V2917" t="s">
        <v>32</v>
      </c>
      <c r="W2917">
        <v>3</v>
      </c>
    </row>
    <row r="2918" spans="1:23" x14ac:dyDescent="0.2">
      <c r="A2918">
        <v>5095361</v>
      </c>
      <c r="B2918" t="s">
        <v>18</v>
      </c>
      <c r="C2918" t="s">
        <v>19</v>
      </c>
      <c r="D2918" t="s">
        <v>20</v>
      </c>
      <c r="E2918">
        <v>1</v>
      </c>
      <c r="F2918">
        <v>202500</v>
      </c>
      <c r="G2918" t="s">
        <v>31</v>
      </c>
      <c r="H2918" t="s">
        <v>22</v>
      </c>
      <c r="I2918" t="s">
        <v>28</v>
      </c>
      <c r="J2918" t="s">
        <v>34</v>
      </c>
      <c r="K2918" s="6">
        <f t="shared" ca="1" si="188"/>
        <v>31984</v>
      </c>
      <c r="L2918">
        <v>-13777</v>
      </c>
      <c r="M2918" s="7">
        <f t="shared" ca="1" si="186"/>
        <v>37.719370294318956</v>
      </c>
      <c r="N2918" s="5" t="str">
        <f ca="1">VLOOKUP(Data!M2918,temp!$B$3:$C$9,2,1)</f>
        <v>30-40</v>
      </c>
      <c r="O2918">
        <v>-3261</v>
      </c>
      <c r="P2918" s="8">
        <f t="shared" si="187"/>
        <v>8.9281314168377826</v>
      </c>
      <c r="Q2918" s="5" t="str">
        <f t="shared" si="189"/>
        <v>Employed</v>
      </c>
      <c r="R2918">
        <v>1</v>
      </c>
      <c r="S2918">
        <v>0</v>
      </c>
      <c r="T2918">
        <v>0</v>
      </c>
      <c r="U2918">
        <v>0</v>
      </c>
      <c r="W2918">
        <v>3</v>
      </c>
    </row>
    <row r="2919" spans="1:23" x14ac:dyDescent="0.2">
      <c r="A2919">
        <v>5095362</v>
      </c>
      <c r="B2919" t="s">
        <v>18</v>
      </c>
      <c r="C2919" t="s">
        <v>19</v>
      </c>
      <c r="D2919" t="s">
        <v>20</v>
      </c>
      <c r="E2919">
        <v>1</v>
      </c>
      <c r="F2919">
        <v>202500</v>
      </c>
      <c r="G2919" t="s">
        <v>31</v>
      </c>
      <c r="H2919" t="s">
        <v>22</v>
      </c>
      <c r="I2919" t="s">
        <v>28</v>
      </c>
      <c r="J2919" t="s">
        <v>34</v>
      </c>
      <c r="K2919" s="6">
        <f t="shared" ca="1" si="188"/>
        <v>31984</v>
      </c>
      <c r="L2919">
        <v>-13777</v>
      </c>
      <c r="M2919" s="7">
        <f t="shared" ca="1" si="186"/>
        <v>37.719370294318956</v>
      </c>
      <c r="N2919" s="5" t="str">
        <f ca="1">VLOOKUP(Data!M2919,temp!$B$3:$C$9,2,1)</f>
        <v>30-40</v>
      </c>
      <c r="O2919">
        <v>-3261</v>
      </c>
      <c r="P2919" s="8">
        <f t="shared" si="187"/>
        <v>8.9281314168377826</v>
      </c>
      <c r="Q2919" s="5" t="str">
        <f t="shared" si="189"/>
        <v>Employed</v>
      </c>
      <c r="R2919">
        <v>1</v>
      </c>
      <c r="S2919">
        <v>0</v>
      </c>
      <c r="T2919">
        <v>0</v>
      </c>
      <c r="U2919">
        <v>0</v>
      </c>
      <c r="W2919">
        <v>3</v>
      </c>
    </row>
    <row r="2920" spans="1:23" x14ac:dyDescent="0.2">
      <c r="A2920">
        <v>5095365</v>
      </c>
      <c r="B2920" t="s">
        <v>18</v>
      </c>
      <c r="C2920" t="s">
        <v>19</v>
      </c>
      <c r="D2920" t="s">
        <v>19</v>
      </c>
      <c r="E2920">
        <v>2</v>
      </c>
      <c r="F2920">
        <v>180000</v>
      </c>
      <c r="G2920" t="s">
        <v>35</v>
      </c>
      <c r="H2920" t="s">
        <v>27</v>
      </c>
      <c r="I2920" t="s">
        <v>28</v>
      </c>
      <c r="J2920" t="s">
        <v>24</v>
      </c>
      <c r="K2920" s="6">
        <f t="shared" ca="1" si="188"/>
        <v>33811</v>
      </c>
      <c r="L2920">
        <v>-11950</v>
      </c>
      <c r="M2920" s="7">
        <f t="shared" ca="1" si="186"/>
        <v>32.717316906228611</v>
      </c>
      <c r="N2920" s="5" t="str">
        <f ca="1">VLOOKUP(Data!M2920,temp!$B$3:$C$9,2,1)</f>
        <v>30-40</v>
      </c>
      <c r="O2920">
        <v>-4022</v>
      </c>
      <c r="P2920" s="8">
        <f t="shared" si="187"/>
        <v>11.011635865845312</v>
      </c>
      <c r="Q2920" s="5" t="str">
        <f t="shared" si="189"/>
        <v>Employed</v>
      </c>
      <c r="R2920">
        <v>1</v>
      </c>
      <c r="S2920">
        <v>0</v>
      </c>
      <c r="T2920">
        <v>1</v>
      </c>
      <c r="U2920">
        <v>0</v>
      </c>
      <c r="V2920" t="s">
        <v>50</v>
      </c>
      <c r="W2920">
        <v>4</v>
      </c>
    </row>
    <row r="2921" spans="1:23" x14ac:dyDescent="0.2">
      <c r="A2921">
        <v>5095366</v>
      </c>
      <c r="B2921" t="s">
        <v>18</v>
      </c>
      <c r="C2921" t="s">
        <v>19</v>
      </c>
      <c r="D2921" t="s">
        <v>19</v>
      </c>
      <c r="E2921">
        <v>2</v>
      </c>
      <c r="F2921">
        <v>180000</v>
      </c>
      <c r="G2921" t="s">
        <v>35</v>
      </c>
      <c r="H2921" t="s">
        <v>27</v>
      </c>
      <c r="I2921" t="s">
        <v>28</v>
      </c>
      <c r="J2921" t="s">
        <v>24</v>
      </c>
      <c r="K2921" s="6">
        <f t="shared" ca="1" si="188"/>
        <v>33811</v>
      </c>
      <c r="L2921">
        <v>-11950</v>
      </c>
      <c r="M2921" s="7">
        <f t="shared" ca="1" si="186"/>
        <v>32.717316906228611</v>
      </c>
      <c r="N2921" s="5" t="str">
        <f ca="1">VLOOKUP(Data!M2921,temp!$B$3:$C$9,2,1)</f>
        <v>30-40</v>
      </c>
      <c r="O2921">
        <v>-4022</v>
      </c>
      <c r="P2921" s="8">
        <f t="shared" si="187"/>
        <v>11.011635865845312</v>
      </c>
      <c r="Q2921" s="5" t="str">
        <f t="shared" si="189"/>
        <v>Employed</v>
      </c>
      <c r="R2921">
        <v>1</v>
      </c>
      <c r="S2921">
        <v>0</v>
      </c>
      <c r="T2921">
        <v>1</v>
      </c>
      <c r="U2921">
        <v>0</v>
      </c>
      <c r="V2921" t="s">
        <v>50</v>
      </c>
      <c r="W2921">
        <v>4</v>
      </c>
    </row>
    <row r="2922" spans="1:23" x14ac:dyDescent="0.2">
      <c r="A2922">
        <v>5095370</v>
      </c>
      <c r="B2922" t="s">
        <v>25</v>
      </c>
      <c r="C2922" t="s">
        <v>20</v>
      </c>
      <c r="D2922" t="s">
        <v>20</v>
      </c>
      <c r="E2922">
        <v>1</v>
      </c>
      <c r="F2922">
        <v>315000</v>
      </c>
      <c r="G2922" t="s">
        <v>31</v>
      </c>
      <c r="H2922" t="s">
        <v>22</v>
      </c>
      <c r="I2922" t="s">
        <v>23</v>
      </c>
      <c r="J2922" t="s">
        <v>24</v>
      </c>
      <c r="K2922" s="6">
        <f t="shared" ca="1" si="188"/>
        <v>29595</v>
      </c>
      <c r="L2922">
        <v>-16166</v>
      </c>
      <c r="M2922" s="7">
        <f t="shared" ca="1" si="186"/>
        <v>44.260095824777551</v>
      </c>
      <c r="N2922" s="5" t="str">
        <f ca="1">VLOOKUP(Data!M2922,temp!$B$3:$C$9,2,1)</f>
        <v>40-50</v>
      </c>
      <c r="O2922">
        <v>-2531</v>
      </c>
      <c r="P2922" s="8">
        <f t="shared" si="187"/>
        <v>6.9295003422313481</v>
      </c>
      <c r="Q2922" s="5" t="str">
        <f t="shared" si="189"/>
        <v>Employed</v>
      </c>
      <c r="R2922">
        <v>1</v>
      </c>
      <c r="S2922">
        <v>0</v>
      </c>
      <c r="T2922">
        <v>0</v>
      </c>
      <c r="U2922">
        <v>0</v>
      </c>
      <c r="V2922" t="s">
        <v>32</v>
      </c>
      <c r="W2922">
        <v>2</v>
      </c>
    </row>
    <row r="2923" spans="1:23" x14ac:dyDescent="0.2">
      <c r="A2923">
        <v>5095389</v>
      </c>
      <c r="B2923" t="s">
        <v>25</v>
      </c>
      <c r="C2923" t="s">
        <v>20</v>
      </c>
      <c r="D2923" t="s">
        <v>20</v>
      </c>
      <c r="E2923">
        <v>1</v>
      </c>
      <c r="F2923">
        <v>270000</v>
      </c>
      <c r="G2923" t="s">
        <v>31</v>
      </c>
      <c r="H2923" t="s">
        <v>27</v>
      </c>
      <c r="I2923" t="s">
        <v>28</v>
      </c>
      <c r="J2923" t="s">
        <v>45</v>
      </c>
      <c r="K2923" s="6">
        <f t="shared" ca="1" si="188"/>
        <v>36861</v>
      </c>
      <c r="L2923">
        <v>-8900</v>
      </c>
      <c r="M2923" s="7">
        <f t="shared" ca="1" si="186"/>
        <v>24.366872005475702</v>
      </c>
      <c r="N2923" s="5" t="str">
        <f ca="1">VLOOKUP(Data!M2923,temp!$B$3:$C$9,2,1)</f>
        <v>20-30</v>
      </c>
      <c r="O2923">
        <v>-673</v>
      </c>
      <c r="P2923" s="8">
        <f t="shared" si="187"/>
        <v>1.8425735797399041</v>
      </c>
      <c r="Q2923" s="5" t="str">
        <f t="shared" si="189"/>
        <v>Employed</v>
      </c>
      <c r="R2923">
        <v>1</v>
      </c>
      <c r="S2923">
        <v>0</v>
      </c>
      <c r="T2923">
        <v>1</v>
      </c>
      <c r="U2923">
        <v>1</v>
      </c>
      <c r="V2923" t="s">
        <v>38</v>
      </c>
      <c r="W2923">
        <v>3</v>
      </c>
    </row>
    <row r="2924" spans="1:23" x14ac:dyDescent="0.2">
      <c r="A2924">
        <v>5095413</v>
      </c>
      <c r="B2924" t="s">
        <v>18</v>
      </c>
      <c r="C2924" t="s">
        <v>19</v>
      </c>
      <c r="D2924" t="s">
        <v>19</v>
      </c>
      <c r="E2924">
        <v>0</v>
      </c>
      <c r="F2924">
        <v>90000</v>
      </c>
      <c r="G2924" t="s">
        <v>31</v>
      </c>
      <c r="H2924" t="s">
        <v>27</v>
      </c>
      <c r="I2924" t="s">
        <v>33</v>
      </c>
      <c r="J2924" t="s">
        <v>41</v>
      </c>
      <c r="K2924" s="6">
        <f t="shared" ca="1" si="188"/>
        <v>34409</v>
      </c>
      <c r="L2924">
        <v>-11352</v>
      </c>
      <c r="M2924" s="7">
        <f t="shared" ca="1" si="186"/>
        <v>31.080082135523615</v>
      </c>
      <c r="N2924" s="5" t="str">
        <f ca="1">VLOOKUP(Data!M2924,temp!$B$3:$C$9,2,1)</f>
        <v>30-40</v>
      </c>
      <c r="O2924">
        <v>-308</v>
      </c>
      <c r="P2924" s="8">
        <f t="shared" si="187"/>
        <v>0.84325804243668723</v>
      </c>
      <c r="Q2924" s="5" t="str">
        <f t="shared" si="189"/>
        <v>Employed</v>
      </c>
      <c r="R2924">
        <v>1</v>
      </c>
      <c r="S2924">
        <v>0</v>
      </c>
      <c r="T2924">
        <v>0</v>
      </c>
      <c r="U2924">
        <v>0</v>
      </c>
      <c r="V2924" t="s">
        <v>39</v>
      </c>
      <c r="W2924">
        <v>1</v>
      </c>
    </row>
    <row r="2925" spans="1:23" x14ac:dyDescent="0.2">
      <c r="A2925">
        <v>5095416</v>
      </c>
      <c r="B2925" t="s">
        <v>18</v>
      </c>
      <c r="C2925" t="s">
        <v>19</v>
      </c>
      <c r="D2925" t="s">
        <v>19</v>
      </c>
      <c r="E2925">
        <v>0</v>
      </c>
      <c r="F2925">
        <v>90000</v>
      </c>
      <c r="G2925" t="s">
        <v>31</v>
      </c>
      <c r="H2925" t="s">
        <v>27</v>
      </c>
      <c r="I2925" t="s">
        <v>33</v>
      </c>
      <c r="J2925" t="s">
        <v>41</v>
      </c>
      <c r="K2925" s="6">
        <f t="shared" ca="1" si="188"/>
        <v>34409</v>
      </c>
      <c r="L2925">
        <v>-11352</v>
      </c>
      <c r="M2925" s="7">
        <f t="shared" ca="1" si="186"/>
        <v>31.080082135523615</v>
      </c>
      <c r="N2925" s="5" t="str">
        <f ca="1">VLOOKUP(Data!M2925,temp!$B$3:$C$9,2,1)</f>
        <v>30-40</v>
      </c>
      <c r="O2925">
        <v>-308</v>
      </c>
      <c r="P2925" s="8">
        <f t="shared" si="187"/>
        <v>0.84325804243668723</v>
      </c>
      <c r="Q2925" s="5" t="str">
        <f t="shared" si="189"/>
        <v>Employed</v>
      </c>
      <c r="R2925">
        <v>1</v>
      </c>
      <c r="S2925">
        <v>0</v>
      </c>
      <c r="T2925">
        <v>0</v>
      </c>
      <c r="U2925">
        <v>0</v>
      </c>
      <c r="V2925" t="s">
        <v>39</v>
      </c>
      <c r="W2925">
        <v>1</v>
      </c>
    </row>
    <row r="2926" spans="1:23" x14ac:dyDescent="0.2">
      <c r="A2926">
        <v>5095433</v>
      </c>
      <c r="B2926" t="s">
        <v>18</v>
      </c>
      <c r="C2926" t="s">
        <v>19</v>
      </c>
      <c r="D2926" t="s">
        <v>20</v>
      </c>
      <c r="E2926">
        <v>0</v>
      </c>
      <c r="F2926">
        <v>292500</v>
      </c>
      <c r="G2926" t="s">
        <v>31</v>
      </c>
      <c r="H2926" t="s">
        <v>22</v>
      </c>
      <c r="I2926" t="s">
        <v>28</v>
      </c>
      <c r="J2926" t="s">
        <v>24</v>
      </c>
      <c r="K2926" s="6">
        <f t="shared" ca="1" si="188"/>
        <v>26997</v>
      </c>
      <c r="L2926">
        <v>-18764</v>
      </c>
      <c r="M2926" s="7">
        <f t="shared" ca="1" si="186"/>
        <v>51.37303216974675</v>
      </c>
      <c r="N2926" s="5" t="str">
        <f ca="1">VLOOKUP(Data!M2926,temp!$B$3:$C$9,2,1)</f>
        <v>50-60</v>
      </c>
      <c r="O2926">
        <v>-9258</v>
      </c>
      <c r="P2926" s="8">
        <f t="shared" si="187"/>
        <v>25.347022587268995</v>
      </c>
      <c r="Q2926" s="5" t="str">
        <f t="shared" si="189"/>
        <v>Employed</v>
      </c>
      <c r="R2926">
        <v>1</v>
      </c>
      <c r="S2926">
        <v>0</v>
      </c>
      <c r="T2926">
        <v>0</v>
      </c>
      <c r="U2926">
        <v>0</v>
      </c>
      <c r="V2926" t="s">
        <v>47</v>
      </c>
      <c r="W2926">
        <v>2</v>
      </c>
    </row>
    <row r="2927" spans="1:23" x14ac:dyDescent="0.2">
      <c r="A2927">
        <v>5095459</v>
      </c>
      <c r="B2927" t="s">
        <v>18</v>
      </c>
      <c r="C2927" t="s">
        <v>20</v>
      </c>
      <c r="D2927" t="s">
        <v>20</v>
      </c>
      <c r="E2927">
        <v>2</v>
      </c>
      <c r="F2927">
        <v>202500</v>
      </c>
      <c r="G2927" t="s">
        <v>26</v>
      </c>
      <c r="H2927" t="s">
        <v>27</v>
      </c>
      <c r="I2927" t="s">
        <v>28</v>
      </c>
      <c r="J2927" t="s">
        <v>24</v>
      </c>
      <c r="K2927" s="6">
        <f t="shared" ca="1" si="188"/>
        <v>35893</v>
      </c>
      <c r="L2927">
        <v>-9868</v>
      </c>
      <c r="M2927" s="7">
        <f t="shared" ca="1" si="186"/>
        <v>27.017111567419576</v>
      </c>
      <c r="N2927" s="5" t="str">
        <f ca="1">VLOOKUP(Data!M2927,temp!$B$3:$C$9,2,1)</f>
        <v>20-30</v>
      </c>
      <c r="O2927">
        <v>-583</v>
      </c>
      <c r="P2927" s="8">
        <f t="shared" si="187"/>
        <v>1.5961670088980151</v>
      </c>
      <c r="Q2927" s="5" t="str">
        <f t="shared" si="189"/>
        <v>Employed</v>
      </c>
      <c r="R2927">
        <v>1</v>
      </c>
      <c r="S2927">
        <v>0</v>
      </c>
      <c r="T2927">
        <v>0</v>
      </c>
      <c r="U2927">
        <v>0</v>
      </c>
      <c r="V2927" t="s">
        <v>39</v>
      </c>
      <c r="W2927">
        <v>4</v>
      </c>
    </row>
    <row r="2928" spans="1:23" x14ac:dyDescent="0.2">
      <c r="A2928">
        <v>5095471</v>
      </c>
      <c r="B2928" t="s">
        <v>18</v>
      </c>
      <c r="C2928" t="s">
        <v>20</v>
      </c>
      <c r="D2928" t="s">
        <v>20</v>
      </c>
      <c r="E2928">
        <v>1</v>
      </c>
      <c r="F2928">
        <v>360000</v>
      </c>
      <c r="G2928" t="s">
        <v>26</v>
      </c>
      <c r="H2928" t="s">
        <v>36</v>
      </c>
      <c r="I2928" t="s">
        <v>28</v>
      </c>
      <c r="J2928" t="s">
        <v>24</v>
      </c>
      <c r="K2928" s="6">
        <f t="shared" ca="1" si="188"/>
        <v>28670</v>
      </c>
      <c r="L2928">
        <v>-17091</v>
      </c>
      <c r="M2928" s="7">
        <f t="shared" ca="1" si="186"/>
        <v>46.792607802874741</v>
      </c>
      <c r="N2928" s="5" t="str">
        <f ca="1">VLOOKUP(Data!M2928,temp!$B$3:$C$9,2,1)</f>
        <v>40-50</v>
      </c>
      <c r="O2928">
        <v>-127</v>
      </c>
      <c r="P2928" s="8">
        <f t="shared" si="187"/>
        <v>0.34770704996577684</v>
      </c>
      <c r="Q2928" s="5" t="str">
        <f t="shared" si="189"/>
        <v>Employed</v>
      </c>
      <c r="R2928">
        <v>1</v>
      </c>
      <c r="S2928">
        <v>0</v>
      </c>
      <c r="T2928">
        <v>0</v>
      </c>
      <c r="U2928">
        <v>0</v>
      </c>
      <c r="V2928" t="s">
        <v>29</v>
      </c>
      <c r="W2928">
        <v>3</v>
      </c>
    </row>
    <row r="2929" spans="1:23" x14ac:dyDescent="0.2">
      <c r="A2929">
        <v>5095472</v>
      </c>
      <c r="B2929" t="s">
        <v>18</v>
      </c>
      <c r="C2929" t="s">
        <v>20</v>
      </c>
      <c r="D2929" t="s">
        <v>20</v>
      </c>
      <c r="E2929">
        <v>1</v>
      </c>
      <c r="F2929">
        <v>360000</v>
      </c>
      <c r="G2929" t="s">
        <v>26</v>
      </c>
      <c r="H2929" t="s">
        <v>36</v>
      </c>
      <c r="I2929" t="s">
        <v>28</v>
      </c>
      <c r="J2929" t="s">
        <v>24</v>
      </c>
      <c r="K2929" s="6">
        <f t="shared" ca="1" si="188"/>
        <v>28670</v>
      </c>
      <c r="L2929">
        <v>-17091</v>
      </c>
      <c r="M2929" s="7">
        <f t="shared" ca="1" si="186"/>
        <v>46.792607802874741</v>
      </c>
      <c r="N2929" s="5" t="str">
        <f ca="1">VLOOKUP(Data!M2929,temp!$B$3:$C$9,2,1)</f>
        <v>40-50</v>
      </c>
      <c r="O2929">
        <v>-127</v>
      </c>
      <c r="P2929" s="8">
        <f t="shared" si="187"/>
        <v>0.34770704996577684</v>
      </c>
      <c r="Q2929" s="5" t="str">
        <f t="shared" si="189"/>
        <v>Employed</v>
      </c>
      <c r="R2929">
        <v>1</v>
      </c>
      <c r="S2929">
        <v>0</v>
      </c>
      <c r="T2929">
        <v>0</v>
      </c>
      <c r="U2929">
        <v>0</v>
      </c>
      <c r="V2929" t="s">
        <v>29</v>
      </c>
      <c r="W2929">
        <v>3</v>
      </c>
    </row>
    <row r="2930" spans="1:23" x14ac:dyDescent="0.2">
      <c r="A2930">
        <v>5095478</v>
      </c>
      <c r="B2930" t="s">
        <v>18</v>
      </c>
      <c r="C2930" t="s">
        <v>19</v>
      </c>
      <c r="D2930" t="s">
        <v>20</v>
      </c>
      <c r="E2930">
        <v>0</v>
      </c>
      <c r="F2930">
        <v>90000</v>
      </c>
      <c r="G2930" t="s">
        <v>31</v>
      </c>
      <c r="H2930" t="s">
        <v>27</v>
      </c>
      <c r="I2930" t="s">
        <v>28</v>
      </c>
      <c r="J2930" t="s">
        <v>24</v>
      </c>
      <c r="K2930" s="6">
        <f t="shared" ca="1" si="188"/>
        <v>33133</v>
      </c>
      <c r="L2930">
        <v>-12628</v>
      </c>
      <c r="M2930" s="7">
        <f t="shared" ca="1" si="186"/>
        <v>34.573579739904176</v>
      </c>
      <c r="N2930" s="5" t="str">
        <f ca="1">VLOOKUP(Data!M2930,temp!$B$3:$C$9,2,1)</f>
        <v>30-40</v>
      </c>
      <c r="O2930">
        <v>-1861</v>
      </c>
      <c r="P2930" s="8">
        <f t="shared" si="187"/>
        <v>5.0951403148528405</v>
      </c>
      <c r="Q2930" s="5" t="str">
        <f t="shared" si="189"/>
        <v>Employed</v>
      </c>
      <c r="R2930">
        <v>1</v>
      </c>
      <c r="S2930">
        <v>1</v>
      </c>
      <c r="T2930">
        <v>1</v>
      </c>
      <c r="U2930">
        <v>0</v>
      </c>
      <c r="V2930" t="s">
        <v>39</v>
      </c>
      <c r="W2930">
        <v>2</v>
      </c>
    </row>
    <row r="2931" spans="1:23" x14ac:dyDescent="0.2">
      <c r="A2931">
        <v>5095498</v>
      </c>
      <c r="B2931" t="s">
        <v>18</v>
      </c>
      <c r="C2931" t="s">
        <v>19</v>
      </c>
      <c r="D2931" t="s">
        <v>20</v>
      </c>
      <c r="E2931">
        <v>0</v>
      </c>
      <c r="F2931">
        <v>337500</v>
      </c>
      <c r="G2931" t="s">
        <v>35</v>
      </c>
      <c r="H2931" t="s">
        <v>22</v>
      </c>
      <c r="I2931" t="s">
        <v>28</v>
      </c>
      <c r="J2931" t="s">
        <v>24</v>
      </c>
      <c r="K2931" s="6">
        <f t="shared" ca="1" si="188"/>
        <v>32964</v>
      </c>
      <c r="L2931">
        <v>-12797</v>
      </c>
      <c r="M2931" s="7">
        <f t="shared" ca="1" si="186"/>
        <v>35.036276522929498</v>
      </c>
      <c r="N2931" s="5" t="str">
        <f ca="1">VLOOKUP(Data!M2931,temp!$B$3:$C$9,2,1)</f>
        <v>30-40</v>
      </c>
      <c r="O2931">
        <v>-2318</v>
      </c>
      <c r="P2931" s="8">
        <f t="shared" si="187"/>
        <v>6.3463381245722106</v>
      </c>
      <c r="Q2931" s="5" t="str">
        <f t="shared" si="189"/>
        <v>Employed</v>
      </c>
      <c r="R2931">
        <v>1</v>
      </c>
      <c r="S2931">
        <v>0</v>
      </c>
      <c r="T2931">
        <v>0</v>
      </c>
      <c r="U2931">
        <v>0</v>
      </c>
      <c r="V2931" t="s">
        <v>38</v>
      </c>
      <c r="W2931">
        <v>2</v>
      </c>
    </row>
    <row r="2932" spans="1:23" x14ac:dyDescent="0.2">
      <c r="A2932">
        <v>5095499</v>
      </c>
      <c r="B2932" t="s">
        <v>18</v>
      </c>
      <c r="C2932" t="s">
        <v>19</v>
      </c>
      <c r="D2932" t="s">
        <v>20</v>
      </c>
      <c r="E2932">
        <v>0</v>
      </c>
      <c r="F2932">
        <v>337500</v>
      </c>
      <c r="G2932" t="s">
        <v>35</v>
      </c>
      <c r="H2932" t="s">
        <v>22</v>
      </c>
      <c r="I2932" t="s">
        <v>28</v>
      </c>
      <c r="J2932" t="s">
        <v>24</v>
      </c>
      <c r="K2932" s="6">
        <f t="shared" ca="1" si="188"/>
        <v>32964</v>
      </c>
      <c r="L2932">
        <v>-12797</v>
      </c>
      <c r="M2932" s="7">
        <f t="shared" ca="1" si="186"/>
        <v>35.036276522929498</v>
      </c>
      <c r="N2932" s="5" t="str">
        <f ca="1">VLOOKUP(Data!M2932,temp!$B$3:$C$9,2,1)</f>
        <v>30-40</v>
      </c>
      <c r="O2932">
        <v>-2318</v>
      </c>
      <c r="P2932" s="8">
        <f t="shared" si="187"/>
        <v>6.3463381245722106</v>
      </c>
      <c r="Q2932" s="5" t="str">
        <f t="shared" si="189"/>
        <v>Employed</v>
      </c>
      <c r="R2932">
        <v>1</v>
      </c>
      <c r="S2932">
        <v>0</v>
      </c>
      <c r="T2932">
        <v>0</v>
      </c>
      <c r="U2932">
        <v>0</v>
      </c>
      <c r="V2932" t="s">
        <v>38</v>
      </c>
      <c r="W2932">
        <v>2</v>
      </c>
    </row>
    <row r="2933" spans="1:23" x14ac:dyDescent="0.2">
      <c r="A2933">
        <v>5095507</v>
      </c>
      <c r="B2933" t="s">
        <v>18</v>
      </c>
      <c r="C2933" t="s">
        <v>19</v>
      </c>
      <c r="D2933" t="s">
        <v>20</v>
      </c>
      <c r="E2933">
        <v>0</v>
      </c>
      <c r="F2933">
        <v>157500</v>
      </c>
      <c r="G2933" t="s">
        <v>31</v>
      </c>
      <c r="H2933" t="s">
        <v>22</v>
      </c>
      <c r="I2933" t="s">
        <v>28</v>
      </c>
      <c r="J2933" t="s">
        <v>24</v>
      </c>
      <c r="K2933" s="6">
        <f t="shared" ca="1" si="188"/>
        <v>33675</v>
      </c>
      <c r="L2933">
        <v>-12086</v>
      </c>
      <c r="M2933" s="7">
        <f t="shared" ca="1" si="186"/>
        <v>33.089664613278579</v>
      </c>
      <c r="N2933" s="5" t="str">
        <f ca="1">VLOOKUP(Data!M2933,temp!$B$3:$C$9,2,1)</f>
        <v>30-40</v>
      </c>
      <c r="O2933">
        <v>-4175</v>
      </c>
      <c r="P2933" s="8">
        <f t="shared" si="187"/>
        <v>11.430527036276523</v>
      </c>
      <c r="Q2933" s="5" t="str">
        <f t="shared" si="189"/>
        <v>Employed</v>
      </c>
      <c r="R2933">
        <v>1</v>
      </c>
      <c r="S2933">
        <v>0</v>
      </c>
      <c r="T2933">
        <v>1</v>
      </c>
      <c r="U2933">
        <v>0</v>
      </c>
      <c r="V2933" t="s">
        <v>32</v>
      </c>
      <c r="W2933">
        <v>2</v>
      </c>
    </row>
    <row r="2934" spans="1:23" x14ac:dyDescent="0.2">
      <c r="A2934">
        <v>5095512</v>
      </c>
      <c r="B2934" t="s">
        <v>25</v>
      </c>
      <c r="C2934" t="s">
        <v>20</v>
      </c>
      <c r="D2934" t="s">
        <v>20</v>
      </c>
      <c r="E2934">
        <v>0</v>
      </c>
      <c r="F2934">
        <v>297000</v>
      </c>
      <c r="G2934" t="s">
        <v>31</v>
      </c>
      <c r="H2934" t="s">
        <v>27</v>
      </c>
      <c r="I2934" t="s">
        <v>28</v>
      </c>
      <c r="J2934" t="s">
        <v>24</v>
      </c>
      <c r="K2934" s="6">
        <f t="shared" ca="1" si="188"/>
        <v>25252</v>
      </c>
      <c r="L2934">
        <v>-20509</v>
      </c>
      <c r="M2934" s="7">
        <f t="shared" ca="1" si="186"/>
        <v>56.150581793292268</v>
      </c>
      <c r="N2934" s="5" t="str">
        <f ca="1">VLOOKUP(Data!M2934,temp!$B$3:$C$9,2,1)</f>
        <v>50-60</v>
      </c>
      <c r="O2934">
        <v>-1161</v>
      </c>
      <c r="P2934" s="8">
        <f t="shared" si="187"/>
        <v>3.1786447638603694</v>
      </c>
      <c r="Q2934" s="5" t="str">
        <f t="shared" si="189"/>
        <v>Employed</v>
      </c>
      <c r="R2934">
        <v>1</v>
      </c>
      <c r="S2934">
        <v>0</v>
      </c>
      <c r="T2934">
        <v>1</v>
      </c>
      <c r="U2934">
        <v>0</v>
      </c>
      <c r="W2934">
        <v>2</v>
      </c>
    </row>
    <row r="2935" spans="1:23" x14ac:dyDescent="0.2">
      <c r="A2935">
        <v>5095518</v>
      </c>
      <c r="B2935" t="s">
        <v>25</v>
      </c>
      <c r="C2935" t="s">
        <v>20</v>
      </c>
      <c r="D2935" t="s">
        <v>19</v>
      </c>
      <c r="E2935">
        <v>0</v>
      </c>
      <c r="F2935">
        <v>270000</v>
      </c>
      <c r="G2935" t="s">
        <v>35</v>
      </c>
      <c r="H2935" t="s">
        <v>22</v>
      </c>
      <c r="I2935" t="s">
        <v>33</v>
      </c>
      <c r="J2935" t="s">
        <v>41</v>
      </c>
      <c r="K2935" s="6">
        <f t="shared" ca="1" si="188"/>
        <v>32430</v>
      </c>
      <c r="L2935">
        <v>-13331</v>
      </c>
      <c r="M2935" s="7">
        <f t="shared" ca="1" si="186"/>
        <v>36.498288843258045</v>
      </c>
      <c r="N2935" s="5" t="str">
        <f ca="1">VLOOKUP(Data!M2935,temp!$B$3:$C$9,2,1)</f>
        <v>30-40</v>
      </c>
      <c r="O2935">
        <v>-3476</v>
      </c>
      <c r="P2935" s="8">
        <f t="shared" si="187"/>
        <v>9.5167693360711834</v>
      </c>
      <c r="Q2935" s="5" t="str">
        <f t="shared" si="189"/>
        <v>Employed</v>
      </c>
      <c r="R2935">
        <v>1</v>
      </c>
      <c r="S2935">
        <v>0</v>
      </c>
      <c r="T2935">
        <v>0</v>
      </c>
      <c r="U2935">
        <v>0</v>
      </c>
      <c r="V2935" t="s">
        <v>44</v>
      </c>
      <c r="W2935">
        <v>1</v>
      </c>
    </row>
    <row r="2936" spans="1:23" x14ac:dyDescent="0.2">
      <c r="A2936">
        <v>5095551</v>
      </c>
      <c r="B2936" t="s">
        <v>25</v>
      </c>
      <c r="C2936" t="s">
        <v>20</v>
      </c>
      <c r="D2936" t="s">
        <v>19</v>
      </c>
      <c r="E2936">
        <v>0</v>
      </c>
      <c r="F2936">
        <v>360000</v>
      </c>
      <c r="G2936" t="s">
        <v>26</v>
      </c>
      <c r="H2936" t="s">
        <v>22</v>
      </c>
      <c r="I2936" t="s">
        <v>28</v>
      </c>
      <c r="J2936" t="s">
        <v>24</v>
      </c>
      <c r="K2936" s="6">
        <f t="shared" ca="1" si="188"/>
        <v>31392</v>
      </c>
      <c r="L2936">
        <v>-14369</v>
      </c>
      <c r="M2936" s="7">
        <f t="shared" ca="1" si="186"/>
        <v>39.340177960301162</v>
      </c>
      <c r="N2936" s="5" t="str">
        <f ca="1">VLOOKUP(Data!M2936,temp!$B$3:$C$9,2,1)</f>
        <v>30-40</v>
      </c>
      <c r="O2936">
        <v>-4633</v>
      </c>
      <c r="P2936" s="8">
        <f t="shared" si="187"/>
        <v>12.684462696783026</v>
      </c>
      <c r="Q2936" s="5" t="str">
        <f t="shared" si="189"/>
        <v>Employed</v>
      </c>
      <c r="R2936">
        <v>1</v>
      </c>
      <c r="S2936">
        <v>0</v>
      </c>
      <c r="T2936">
        <v>1</v>
      </c>
      <c r="U2936">
        <v>0</v>
      </c>
      <c r="V2936" t="s">
        <v>32</v>
      </c>
      <c r="W2936">
        <v>2</v>
      </c>
    </row>
    <row r="2937" spans="1:23" x14ac:dyDescent="0.2">
      <c r="A2937">
        <v>5095560</v>
      </c>
      <c r="B2937" t="s">
        <v>18</v>
      </c>
      <c r="C2937" t="s">
        <v>19</v>
      </c>
      <c r="D2937" t="s">
        <v>19</v>
      </c>
      <c r="E2937">
        <v>1</v>
      </c>
      <c r="F2937">
        <v>540000</v>
      </c>
      <c r="G2937" t="s">
        <v>31</v>
      </c>
      <c r="H2937" t="s">
        <v>27</v>
      </c>
      <c r="I2937" t="s">
        <v>23</v>
      </c>
      <c r="J2937" t="s">
        <v>24</v>
      </c>
      <c r="K2937" s="6">
        <f t="shared" ca="1" si="188"/>
        <v>29352</v>
      </c>
      <c r="L2937">
        <v>-16409</v>
      </c>
      <c r="M2937" s="7">
        <f t="shared" ca="1" si="186"/>
        <v>44.925393566050651</v>
      </c>
      <c r="N2937" s="5" t="str">
        <f ca="1">VLOOKUP(Data!M2937,temp!$B$3:$C$9,2,1)</f>
        <v>40-50</v>
      </c>
      <c r="O2937">
        <v>-2045</v>
      </c>
      <c r="P2937" s="8">
        <f t="shared" si="187"/>
        <v>5.5989048596851472</v>
      </c>
      <c r="Q2937" s="5" t="str">
        <f t="shared" si="189"/>
        <v>Employed</v>
      </c>
      <c r="R2937">
        <v>1</v>
      </c>
      <c r="S2937">
        <v>1</v>
      </c>
      <c r="T2937">
        <v>0</v>
      </c>
      <c r="U2937">
        <v>0</v>
      </c>
      <c r="V2937" t="s">
        <v>32</v>
      </c>
      <c r="W2937">
        <v>2</v>
      </c>
    </row>
    <row r="2938" spans="1:23" x14ac:dyDescent="0.2">
      <c r="A2938">
        <v>5095590</v>
      </c>
      <c r="B2938" t="s">
        <v>25</v>
      </c>
      <c r="C2938" t="s">
        <v>20</v>
      </c>
      <c r="D2938" t="s">
        <v>19</v>
      </c>
      <c r="E2938">
        <v>0</v>
      </c>
      <c r="F2938">
        <v>135000</v>
      </c>
      <c r="G2938" t="s">
        <v>31</v>
      </c>
      <c r="H2938" t="s">
        <v>27</v>
      </c>
      <c r="I2938" t="s">
        <v>28</v>
      </c>
      <c r="J2938" t="s">
        <v>24</v>
      </c>
      <c r="K2938" s="6">
        <f t="shared" ca="1" si="188"/>
        <v>34805</v>
      </c>
      <c r="L2938">
        <v>-10956</v>
      </c>
      <c r="M2938" s="7">
        <f t="shared" ca="1" si="186"/>
        <v>29.995893223819301</v>
      </c>
      <c r="N2938" s="5" t="str">
        <f ca="1">VLOOKUP(Data!M2938,temp!$B$3:$C$9,2,1)</f>
        <v>20-30</v>
      </c>
      <c r="O2938">
        <v>-2076</v>
      </c>
      <c r="P2938" s="8">
        <f t="shared" si="187"/>
        <v>5.6837782340862422</v>
      </c>
      <c r="Q2938" s="5" t="str">
        <f t="shared" si="189"/>
        <v>Employed</v>
      </c>
      <c r="R2938">
        <v>1</v>
      </c>
      <c r="S2938">
        <v>0</v>
      </c>
      <c r="T2938">
        <v>0</v>
      </c>
      <c r="U2938">
        <v>0</v>
      </c>
      <c r="V2938" t="s">
        <v>29</v>
      </c>
      <c r="W2938">
        <v>2</v>
      </c>
    </row>
    <row r="2939" spans="1:23" x14ac:dyDescent="0.2">
      <c r="A2939">
        <v>5095592</v>
      </c>
      <c r="B2939" t="s">
        <v>18</v>
      </c>
      <c r="C2939" t="s">
        <v>19</v>
      </c>
      <c r="D2939" t="s">
        <v>19</v>
      </c>
      <c r="E2939">
        <v>0</v>
      </c>
      <c r="F2939">
        <v>67500</v>
      </c>
      <c r="G2939" t="s">
        <v>31</v>
      </c>
      <c r="H2939" t="s">
        <v>27</v>
      </c>
      <c r="I2939" t="s">
        <v>33</v>
      </c>
      <c r="J2939" t="s">
        <v>24</v>
      </c>
      <c r="K2939" s="6">
        <f t="shared" ca="1" si="188"/>
        <v>37101</v>
      </c>
      <c r="L2939">
        <v>-8660</v>
      </c>
      <c r="M2939" s="7">
        <f t="shared" ca="1" si="186"/>
        <v>23.709787816563999</v>
      </c>
      <c r="N2939" s="5" t="str">
        <f ca="1">VLOOKUP(Data!M2939,temp!$B$3:$C$9,2,1)</f>
        <v>20-30</v>
      </c>
      <c r="O2939">
        <v>-919</v>
      </c>
      <c r="P2939" s="8">
        <f t="shared" si="187"/>
        <v>2.516084873374401</v>
      </c>
      <c r="Q2939" s="5" t="str">
        <f t="shared" si="189"/>
        <v>Employed</v>
      </c>
      <c r="R2939">
        <v>1</v>
      </c>
      <c r="S2939">
        <v>0</v>
      </c>
      <c r="T2939">
        <v>1</v>
      </c>
      <c r="U2939">
        <v>0</v>
      </c>
      <c r="V2939" t="s">
        <v>39</v>
      </c>
      <c r="W2939">
        <v>1</v>
      </c>
    </row>
    <row r="2940" spans="1:23" x14ac:dyDescent="0.2">
      <c r="A2940">
        <v>5095617</v>
      </c>
      <c r="B2940" t="s">
        <v>25</v>
      </c>
      <c r="C2940" t="s">
        <v>19</v>
      </c>
      <c r="D2940" t="s">
        <v>19</v>
      </c>
      <c r="E2940">
        <v>1</v>
      </c>
      <c r="F2940">
        <v>135000</v>
      </c>
      <c r="G2940" t="s">
        <v>31</v>
      </c>
      <c r="H2940" t="s">
        <v>27</v>
      </c>
      <c r="I2940" t="s">
        <v>28</v>
      </c>
      <c r="J2940" t="s">
        <v>24</v>
      </c>
      <c r="K2940" s="6">
        <f t="shared" ca="1" si="188"/>
        <v>34547</v>
      </c>
      <c r="L2940">
        <v>-11214</v>
      </c>
      <c r="M2940" s="7">
        <f t="shared" ca="1" si="186"/>
        <v>30.702258726899384</v>
      </c>
      <c r="N2940" s="5" t="str">
        <f ca="1">VLOOKUP(Data!M2940,temp!$B$3:$C$9,2,1)</f>
        <v>30-40</v>
      </c>
      <c r="O2940">
        <v>-1254</v>
      </c>
      <c r="P2940" s="8">
        <f t="shared" si="187"/>
        <v>3.4332648870636548</v>
      </c>
      <c r="Q2940" s="5" t="str">
        <f t="shared" si="189"/>
        <v>Employed</v>
      </c>
      <c r="R2940">
        <v>1</v>
      </c>
      <c r="S2940">
        <v>0</v>
      </c>
      <c r="T2940">
        <v>0</v>
      </c>
      <c r="U2940">
        <v>0</v>
      </c>
      <c r="W2940">
        <v>3</v>
      </c>
    </row>
    <row r="2941" spans="1:23" x14ac:dyDescent="0.2">
      <c r="A2941">
        <v>5095631</v>
      </c>
      <c r="B2941" t="s">
        <v>25</v>
      </c>
      <c r="C2941" t="s">
        <v>20</v>
      </c>
      <c r="D2941" t="s">
        <v>19</v>
      </c>
      <c r="E2941">
        <v>1</v>
      </c>
      <c r="F2941">
        <v>180000</v>
      </c>
      <c r="G2941" t="s">
        <v>31</v>
      </c>
      <c r="H2941" t="s">
        <v>22</v>
      </c>
      <c r="I2941" t="s">
        <v>28</v>
      </c>
      <c r="J2941" t="s">
        <v>24</v>
      </c>
      <c r="K2941" s="6">
        <f t="shared" ca="1" si="188"/>
        <v>34583</v>
      </c>
      <c r="L2941">
        <v>-11178</v>
      </c>
      <c r="M2941" s="7">
        <f t="shared" ca="1" si="186"/>
        <v>30.603696098562629</v>
      </c>
      <c r="N2941" s="5" t="str">
        <f ca="1">VLOOKUP(Data!M2941,temp!$B$3:$C$9,2,1)</f>
        <v>30-40</v>
      </c>
      <c r="O2941">
        <v>-219</v>
      </c>
      <c r="P2941" s="8">
        <f t="shared" si="187"/>
        <v>0.59958932238193019</v>
      </c>
      <c r="Q2941" s="5" t="str">
        <f t="shared" si="189"/>
        <v>Employed</v>
      </c>
      <c r="R2941">
        <v>1</v>
      </c>
      <c r="S2941">
        <v>0</v>
      </c>
      <c r="T2941">
        <v>0</v>
      </c>
      <c r="U2941">
        <v>0</v>
      </c>
      <c r="V2941" t="s">
        <v>30</v>
      </c>
      <c r="W2941">
        <v>3</v>
      </c>
    </row>
    <row r="2942" spans="1:23" x14ac:dyDescent="0.2">
      <c r="A2942">
        <v>5095662</v>
      </c>
      <c r="B2942" t="s">
        <v>25</v>
      </c>
      <c r="C2942" t="s">
        <v>19</v>
      </c>
      <c r="D2942" t="s">
        <v>19</v>
      </c>
      <c r="E2942">
        <v>0</v>
      </c>
      <c r="F2942">
        <v>90000</v>
      </c>
      <c r="G2942" t="s">
        <v>31</v>
      </c>
      <c r="H2942" t="s">
        <v>27</v>
      </c>
      <c r="I2942" t="s">
        <v>28</v>
      </c>
      <c r="J2942" t="s">
        <v>24</v>
      </c>
      <c r="K2942" s="6">
        <f t="shared" ca="1" si="188"/>
        <v>23619</v>
      </c>
      <c r="L2942">
        <v>-22142</v>
      </c>
      <c r="M2942" s="7">
        <f t="shared" ca="1" si="186"/>
        <v>60.621492128678987</v>
      </c>
      <c r="N2942" s="5" t="str">
        <f ca="1">VLOOKUP(Data!M2942,temp!$B$3:$C$9,2,1)</f>
        <v>60-70</v>
      </c>
      <c r="O2942">
        <v>-3749</v>
      </c>
      <c r="P2942" s="8">
        <f t="shared" si="187"/>
        <v>10.264202600958248</v>
      </c>
      <c r="Q2942" s="5" t="str">
        <f t="shared" si="189"/>
        <v>Employed</v>
      </c>
      <c r="R2942">
        <v>1</v>
      </c>
      <c r="S2942">
        <v>0</v>
      </c>
      <c r="T2942">
        <v>1</v>
      </c>
      <c r="U2942">
        <v>0</v>
      </c>
      <c r="V2942" t="s">
        <v>32</v>
      </c>
      <c r="W2942">
        <v>2</v>
      </c>
    </row>
    <row r="2943" spans="1:23" x14ac:dyDescent="0.2">
      <c r="A2943">
        <v>5095672</v>
      </c>
      <c r="B2943" t="s">
        <v>18</v>
      </c>
      <c r="C2943" t="s">
        <v>19</v>
      </c>
      <c r="D2943" t="s">
        <v>19</v>
      </c>
      <c r="E2943">
        <v>0</v>
      </c>
      <c r="F2943">
        <v>67500</v>
      </c>
      <c r="G2943" t="s">
        <v>21</v>
      </c>
      <c r="H2943" t="s">
        <v>27</v>
      </c>
      <c r="I2943" t="s">
        <v>28</v>
      </c>
      <c r="J2943" t="s">
        <v>24</v>
      </c>
      <c r="K2943" s="6">
        <f t="shared" ca="1" si="188"/>
        <v>23079</v>
      </c>
      <c r="L2943">
        <v>-22682</v>
      </c>
      <c r="M2943" s="7">
        <f t="shared" ca="1" si="186"/>
        <v>62.099931553730322</v>
      </c>
      <c r="N2943" s="5" t="str">
        <f ca="1">VLOOKUP(Data!M2943,temp!$B$3:$C$9,2,1)</f>
        <v>60-70</v>
      </c>
      <c r="O2943">
        <v>365243</v>
      </c>
      <c r="P2943" s="8">
        <f t="shared" si="187"/>
        <v>0</v>
      </c>
      <c r="Q2943" s="5" t="str">
        <f t="shared" si="189"/>
        <v>Unemployed</v>
      </c>
      <c r="R2943">
        <v>1</v>
      </c>
      <c r="S2943">
        <v>0</v>
      </c>
      <c r="T2943">
        <v>0</v>
      </c>
      <c r="U2943">
        <v>0</v>
      </c>
      <c r="W2943">
        <v>2</v>
      </c>
    </row>
    <row r="2944" spans="1:23" x14ac:dyDescent="0.2">
      <c r="A2944">
        <v>5095673</v>
      </c>
      <c r="B2944" t="s">
        <v>18</v>
      </c>
      <c r="C2944" t="s">
        <v>19</v>
      </c>
      <c r="D2944" t="s">
        <v>19</v>
      </c>
      <c r="E2944">
        <v>0</v>
      </c>
      <c r="F2944">
        <v>67500</v>
      </c>
      <c r="G2944" t="s">
        <v>21</v>
      </c>
      <c r="H2944" t="s">
        <v>27</v>
      </c>
      <c r="I2944" t="s">
        <v>28</v>
      </c>
      <c r="J2944" t="s">
        <v>24</v>
      </c>
      <c r="K2944" s="6">
        <f t="shared" ca="1" si="188"/>
        <v>23079</v>
      </c>
      <c r="L2944">
        <v>-22682</v>
      </c>
      <c r="M2944" s="7">
        <f t="shared" ca="1" si="186"/>
        <v>62.099931553730322</v>
      </c>
      <c r="N2944" s="5" t="str">
        <f ca="1">VLOOKUP(Data!M2944,temp!$B$3:$C$9,2,1)</f>
        <v>60-70</v>
      </c>
      <c r="O2944">
        <v>365243</v>
      </c>
      <c r="P2944" s="8">
        <f t="shared" si="187"/>
        <v>0</v>
      </c>
      <c r="Q2944" s="5" t="str">
        <f t="shared" si="189"/>
        <v>Unemployed</v>
      </c>
      <c r="R2944">
        <v>1</v>
      </c>
      <c r="S2944">
        <v>0</v>
      </c>
      <c r="T2944">
        <v>0</v>
      </c>
      <c r="U2944">
        <v>0</v>
      </c>
      <c r="W2944">
        <v>2</v>
      </c>
    </row>
    <row r="2945" spans="1:23" x14ac:dyDescent="0.2">
      <c r="A2945">
        <v>5095678</v>
      </c>
      <c r="B2945" t="s">
        <v>18</v>
      </c>
      <c r="C2945" t="s">
        <v>19</v>
      </c>
      <c r="D2945" t="s">
        <v>19</v>
      </c>
      <c r="E2945">
        <v>0</v>
      </c>
      <c r="F2945">
        <v>67500</v>
      </c>
      <c r="G2945" t="s">
        <v>21</v>
      </c>
      <c r="H2945" t="s">
        <v>27</v>
      </c>
      <c r="I2945" t="s">
        <v>28</v>
      </c>
      <c r="J2945" t="s">
        <v>24</v>
      </c>
      <c r="K2945" s="6">
        <f t="shared" ca="1" si="188"/>
        <v>23079</v>
      </c>
      <c r="L2945">
        <v>-22682</v>
      </c>
      <c r="M2945" s="7">
        <f t="shared" ca="1" si="186"/>
        <v>62.099931553730322</v>
      </c>
      <c r="N2945" s="5" t="str">
        <f ca="1">VLOOKUP(Data!M2945,temp!$B$3:$C$9,2,1)</f>
        <v>60-70</v>
      </c>
      <c r="O2945">
        <v>365243</v>
      </c>
      <c r="P2945" s="8">
        <f t="shared" si="187"/>
        <v>0</v>
      </c>
      <c r="Q2945" s="5" t="str">
        <f t="shared" si="189"/>
        <v>Unemployed</v>
      </c>
      <c r="R2945">
        <v>1</v>
      </c>
      <c r="S2945">
        <v>0</v>
      </c>
      <c r="T2945">
        <v>0</v>
      </c>
      <c r="U2945">
        <v>0</v>
      </c>
      <c r="W2945">
        <v>2</v>
      </c>
    </row>
    <row r="2946" spans="1:23" x14ac:dyDescent="0.2">
      <c r="A2946">
        <v>5095679</v>
      </c>
      <c r="B2946" t="s">
        <v>18</v>
      </c>
      <c r="C2946" t="s">
        <v>19</v>
      </c>
      <c r="D2946" t="s">
        <v>19</v>
      </c>
      <c r="E2946">
        <v>0</v>
      </c>
      <c r="F2946">
        <v>67500</v>
      </c>
      <c r="G2946" t="s">
        <v>21</v>
      </c>
      <c r="H2946" t="s">
        <v>27</v>
      </c>
      <c r="I2946" t="s">
        <v>28</v>
      </c>
      <c r="J2946" t="s">
        <v>24</v>
      </c>
      <c r="K2946" s="6">
        <f t="shared" ca="1" si="188"/>
        <v>23079</v>
      </c>
      <c r="L2946">
        <v>-22682</v>
      </c>
      <c r="M2946" s="7">
        <f t="shared" ca="1" si="186"/>
        <v>62.099931553730322</v>
      </c>
      <c r="N2946" s="5" t="str">
        <f ca="1">VLOOKUP(Data!M2946,temp!$B$3:$C$9,2,1)</f>
        <v>60-70</v>
      </c>
      <c r="O2946">
        <v>365243</v>
      </c>
      <c r="P2946" s="8">
        <f t="shared" si="187"/>
        <v>0</v>
      </c>
      <c r="Q2946" s="5" t="str">
        <f t="shared" si="189"/>
        <v>Unemployed</v>
      </c>
      <c r="R2946">
        <v>1</v>
      </c>
      <c r="S2946">
        <v>0</v>
      </c>
      <c r="T2946">
        <v>0</v>
      </c>
      <c r="U2946">
        <v>0</v>
      </c>
      <c r="W2946">
        <v>2</v>
      </c>
    </row>
    <row r="2947" spans="1:23" x14ac:dyDescent="0.2">
      <c r="A2947">
        <v>5095730</v>
      </c>
      <c r="B2947" t="s">
        <v>25</v>
      </c>
      <c r="C2947" t="s">
        <v>20</v>
      </c>
      <c r="D2947" t="s">
        <v>19</v>
      </c>
      <c r="E2947">
        <v>1</v>
      </c>
      <c r="F2947">
        <v>135000</v>
      </c>
      <c r="G2947" t="s">
        <v>26</v>
      </c>
      <c r="H2947" t="s">
        <v>27</v>
      </c>
      <c r="I2947" t="s">
        <v>28</v>
      </c>
      <c r="J2947" t="s">
        <v>24</v>
      </c>
      <c r="K2947" s="6">
        <f t="shared" ca="1" si="188"/>
        <v>36338</v>
      </c>
      <c r="L2947">
        <v>-9423</v>
      </c>
      <c r="M2947" s="7">
        <f t="shared" ref="M2947:M3010" ca="1" si="190">(TODAY()-K2947)/365.25</f>
        <v>25.798767967145789</v>
      </c>
      <c r="N2947" s="5" t="str">
        <f ca="1">VLOOKUP(Data!M2947,temp!$B$3:$C$9,2,1)</f>
        <v>20-30</v>
      </c>
      <c r="O2947">
        <v>-1405</v>
      </c>
      <c r="P2947" s="8">
        <f t="shared" ref="P2947:P3010" si="191">IF(O2947&lt;=0,ABS(O2947)/365.25,0)</f>
        <v>3.8466803559206024</v>
      </c>
      <c r="Q2947" s="5" t="str">
        <f t="shared" si="189"/>
        <v>Employed</v>
      </c>
      <c r="R2947">
        <v>1</v>
      </c>
      <c r="S2947">
        <v>0</v>
      </c>
      <c r="T2947">
        <v>0</v>
      </c>
      <c r="U2947">
        <v>0</v>
      </c>
      <c r="V2947" t="s">
        <v>29</v>
      </c>
      <c r="W2947">
        <v>3</v>
      </c>
    </row>
    <row r="2948" spans="1:23" x14ac:dyDescent="0.2">
      <c r="A2948">
        <v>5095732</v>
      </c>
      <c r="B2948" t="s">
        <v>25</v>
      </c>
      <c r="C2948" t="s">
        <v>20</v>
      </c>
      <c r="D2948" t="s">
        <v>19</v>
      </c>
      <c r="E2948">
        <v>2</v>
      </c>
      <c r="F2948">
        <v>178200</v>
      </c>
      <c r="G2948" t="s">
        <v>31</v>
      </c>
      <c r="H2948" t="s">
        <v>22</v>
      </c>
      <c r="I2948" t="s">
        <v>28</v>
      </c>
      <c r="J2948" t="s">
        <v>24</v>
      </c>
      <c r="K2948" s="6">
        <f t="shared" ca="1" si="188"/>
        <v>34470</v>
      </c>
      <c r="L2948">
        <v>-11291</v>
      </c>
      <c r="M2948" s="7">
        <f t="shared" ca="1" si="190"/>
        <v>30.913073237508556</v>
      </c>
      <c r="N2948" s="5" t="str">
        <f ca="1">VLOOKUP(Data!M2948,temp!$B$3:$C$9,2,1)</f>
        <v>30-40</v>
      </c>
      <c r="O2948">
        <v>-1589</v>
      </c>
      <c r="P2948" s="8">
        <f t="shared" si="191"/>
        <v>4.3504449007529091</v>
      </c>
      <c r="Q2948" s="5" t="str">
        <f t="shared" si="189"/>
        <v>Employed</v>
      </c>
      <c r="R2948">
        <v>1</v>
      </c>
      <c r="S2948">
        <v>0</v>
      </c>
      <c r="T2948">
        <v>1</v>
      </c>
      <c r="U2948">
        <v>0</v>
      </c>
      <c r="V2948" t="s">
        <v>38</v>
      </c>
      <c r="W2948">
        <v>4</v>
      </c>
    </row>
    <row r="2949" spans="1:23" x14ac:dyDescent="0.2">
      <c r="A2949">
        <v>5095734</v>
      </c>
      <c r="B2949" t="s">
        <v>25</v>
      </c>
      <c r="C2949" t="s">
        <v>20</v>
      </c>
      <c r="D2949" t="s">
        <v>19</v>
      </c>
      <c r="E2949">
        <v>2</v>
      </c>
      <c r="F2949">
        <v>178200</v>
      </c>
      <c r="G2949" t="s">
        <v>31</v>
      </c>
      <c r="H2949" t="s">
        <v>22</v>
      </c>
      <c r="I2949" t="s">
        <v>28</v>
      </c>
      <c r="J2949" t="s">
        <v>24</v>
      </c>
      <c r="K2949" s="6">
        <f t="shared" ca="1" si="188"/>
        <v>34470</v>
      </c>
      <c r="L2949">
        <v>-11291</v>
      </c>
      <c r="M2949" s="7">
        <f t="shared" ca="1" si="190"/>
        <v>30.913073237508556</v>
      </c>
      <c r="N2949" s="5" t="str">
        <f ca="1">VLOOKUP(Data!M2949,temp!$B$3:$C$9,2,1)</f>
        <v>30-40</v>
      </c>
      <c r="O2949">
        <v>-1589</v>
      </c>
      <c r="P2949" s="8">
        <f t="shared" si="191"/>
        <v>4.3504449007529091</v>
      </c>
      <c r="Q2949" s="5" t="str">
        <f t="shared" si="189"/>
        <v>Employed</v>
      </c>
      <c r="R2949">
        <v>1</v>
      </c>
      <c r="S2949">
        <v>0</v>
      </c>
      <c r="T2949">
        <v>1</v>
      </c>
      <c r="U2949">
        <v>0</v>
      </c>
      <c r="V2949" t="s">
        <v>38</v>
      </c>
      <c r="W2949">
        <v>4</v>
      </c>
    </row>
    <row r="2950" spans="1:23" x14ac:dyDescent="0.2">
      <c r="A2950">
        <v>5095771</v>
      </c>
      <c r="B2950" t="s">
        <v>18</v>
      </c>
      <c r="C2950" t="s">
        <v>19</v>
      </c>
      <c r="D2950" t="s">
        <v>19</v>
      </c>
      <c r="E2950">
        <v>0</v>
      </c>
      <c r="F2950">
        <v>139500</v>
      </c>
      <c r="G2950" t="s">
        <v>26</v>
      </c>
      <c r="H2950" t="s">
        <v>22</v>
      </c>
      <c r="I2950" t="s">
        <v>33</v>
      </c>
      <c r="J2950" t="s">
        <v>24</v>
      </c>
      <c r="K2950" s="6">
        <f t="shared" ca="1" si="188"/>
        <v>36818</v>
      </c>
      <c r="L2950">
        <v>-8943</v>
      </c>
      <c r="M2950" s="7">
        <f t="shared" ca="1" si="190"/>
        <v>24.484599589322382</v>
      </c>
      <c r="N2950" s="5" t="str">
        <f ca="1">VLOOKUP(Data!M2950,temp!$B$3:$C$9,2,1)</f>
        <v>20-30</v>
      </c>
      <c r="O2950">
        <v>-158</v>
      </c>
      <c r="P2950" s="8">
        <f t="shared" si="191"/>
        <v>0.432580424366872</v>
      </c>
      <c r="Q2950" s="5" t="str">
        <f t="shared" si="189"/>
        <v>Employed</v>
      </c>
      <c r="R2950">
        <v>1</v>
      </c>
      <c r="S2950">
        <v>0</v>
      </c>
      <c r="T2950">
        <v>1</v>
      </c>
      <c r="U2950">
        <v>0</v>
      </c>
      <c r="V2950" t="s">
        <v>39</v>
      </c>
      <c r="W2950">
        <v>1</v>
      </c>
    </row>
    <row r="2951" spans="1:23" x14ac:dyDescent="0.2">
      <c r="A2951">
        <v>5095804</v>
      </c>
      <c r="B2951" t="s">
        <v>25</v>
      </c>
      <c r="C2951" t="s">
        <v>20</v>
      </c>
      <c r="D2951" t="s">
        <v>19</v>
      </c>
      <c r="E2951">
        <v>1</v>
      </c>
      <c r="F2951">
        <v>252000</v>
      </c>
      <c r="G2951" t="s">
        <v>35</v>
      </c>
      <c r="H2951" t="s">
        <v>22</v>
      </c>
      <c r="I2951" t="s">
        <v>28</v>
      </c>
      <c r="J2951" t="s">
        <v>24</v>
      </c>
      <c r="K2951" s="6">
        <f t="shared" ca="1" si="188"/>
        <v>33278</v>
      </c>
      <c r="L2951">
        <v>-12483</v>
      </c>
      <c r="M2951" s="7">
        <f t="shared" ca="1" si="190"/>
        <v>34.176591375770023</v>
      </c>
      <c r="N2951" s="5" t="str">
        <f ca="1">VLOOKUP(Data!M2951,temp!$B$3:$C$9,2,1)</f>
        <v>30-40</v>
      </c>
      <c r="O2951">
        <v>-1650</v>
      </c>
      <c r="P2951" s="8">
        <f t="shared" si="191"/>
        <v>4.517453798767967</v>
      </c>
      <c r="Q2951" s="5" t="str">
        <f t="shared" si="189"/>
        <v>Employed</v>
      </c>
      <c r="R2951">
        <v>1</v>
      </c>
      <c r="S2951">
        <v>1</v>
      </c>
      <c r="T2951">
        <v>1</v>
      </c>
      <c r="U2951">
        <v>0</v>
      </c>
      <c r="V2951" t="s">
        <v>47</v>
      </c>
      <c r="W2951">
        <v>3</v>
      </c>
    </row>
    <row r="2952" spans="1:23" x14ac:dyDescent="0.2">
      <c r="A2952">
        <v>5095818</v>
      </c>
      <c r="B2952" t="s">
        <v>18</v>
      </c>
      <c r="C2952" t="s">
        <v>19</v>
      </c>
      <c r="D2952" t="s">
        <v>19</v>
      </c>
      <c r="E2952">
        <v>3</v>
      </c>
      <c r="F2952">
        <v>112500</v>
      </c>
      <c r="G2952" t="s">
        <v>31</v>
      </c>
      <c r="H2952" t="s">
        <v>36</v>
      </c>
      <c r="I2952" t="s">
        <v>28</v>
      </c>
      <c r="J2952" t="s">
        <v>45</v>
      </c>
      <c r="K2952" s="6">
        <f t="shared" ref="K2952:K3015" ca="1" si="192">TODAY()+($L2952)</f>
        <v>30314</v>
      </c>
      <c r="L2952">
        <v>-15447</v>
      </c>
      <c r="M2952" s="7">
        <f t="shared" ca="1" si="190"/>
        <v>42.291581108829568</v>
      </c>
      <c r="N2952" s="5" t="str">
        <f ca="1">VLOOKUP(Data!M2952,temp!$B$3:$C$9,2,1)</f>
        <v>40-50</v>
      </c>
      <c r="O2952">
        <v>-2470</v>
      </c>
      <c r="P2952" s="8">
        <f t="shared" si="191"/>
        <v>6.7624914442162902</v>
      </c>
      <c r="Q2952" s="5" t="str">
        <f t="shared" ref="Q2952:Q3015" si="193">IF($O2952&gt;0,"Unemployed","Employed")</f>
        <v>Employed</v>
      </c>
      <c r="R2952">
        <v>1</v>
      </c>
      <c r="S2952">
        <v>1</v>
      </c>
      <c r="T2952">
        <v>0</v>
      </c>
      <c r="U2952">
        <v>0</v>
      </c>
      <c r="V2952" t="s">
        <v>39</v>
      </c>
      <c r="W2952">
        <v>5</v>
      </c>
    </row>
    <row r="2953" spans="1:23" x14ac:dyDescent="0.2">
      <c r="A2953">
        <v>5095850</v>
      </c>
      <c r="B2953" t="s">
        <v>18</v>
      </c>
      <c r="C2953" t="s">
        <v>19</v>
      </c>
      <c r="D2953" t="s">
        <v>19</v>
      </c>
      <c r="E2953">
        <v>0</v>
      </c>
      <c r="F2953">
        <v>225000</v>
      </c>
      <c r="G2953" t="s">
        <v>31</v>
      </c>
      <c r="H2953" t="s">
        <v>27</v>
      </c>
      <c r="I2953" t="s">
        <v>42</v>
      </c>
      <c r="J2953" t="s">
        <v>24</v>
      </c>
      <c r="K2953" s="6">
        <f t="shared" ca="1" si="192"/>
        <v>25104</v>
      </c>
      <c r="L2953">
        <v>-20657</v>
      </c>
      <c r="M2953" s="7">
        <f t="shared" ca="1" si="190"/>
        <v>56.555783709787818</v>
      </c>
      <c r="N2953" s="5" t="str">
        <f ca="1">VLOOKUP(Data!M2953,temp!$B$3:$C$9,2,1)</f>
        <v>50-60</v>
      </c>
      <c r="O2953">
        <v>-5637</v>
      </c>
      <c r="P2953" s="8">
        <f t="shared" si="191"/>
        <v>15.433264887063656</v>
      </c>
      <c r="Q2953" s="5" t="str">
        <f t="shared" si="193"/>
        <v>Employed</v>
      </c>
      <c r="R2953">
        <v>1</v>
      </c>
      <c r="S2953">
        <v>0</v>
      </c>
      <c r="T2953">
        <v>0</v>
      </c>
      <c r="U2953">
        <v>0</v>
      </c>
      <c r="V2953" t="s">
        <v>44</v>
      </c>
      <c r="W2953">
        <v>1</v>
      </c>
    </row>
    <row r="2954" spans="1:23" x14ac:dyDescent="0.2">
      <c r="A2954">
        <v>5095852</v>
      </c>
      <c r="B2954" t="s">
        <v>18</v>
      </c>
      <c r="C2954" t="s">
        <v>19</v>
      </c>
      <c r="D2954" t="s">
        <v>19</v>
      </c>
      <c r="E2954">
        <v>0</v>
      </c>
      <c r="F2954">
        <v>225000</v>
      </c>
      <c r="G2954" t="s">
        <v>31</v>
      </c>
      <c r="H2954" t="s">
        <v>27</v>
      </c>
      <c r="I2954" t="s">
        <v>42</v>
      </c>
      <c r="J2954" t="s">
        <v>24</v>
      </c>
      <c r="K2954" s="6">
        <f t="shared" ca="1" si="192"/>
        <v>25104</v>
      </c>
      <c r="L2954">
        <v>-20657</v>
      </c>
      <c r="M2954" s="7">
        <f t="shared" ca="1" si="190"/>
        <v>56.555783709787818</v>
      </c>
      <c r="N2954" s="5" t="str">
        <f ca="1">VLOOKUP(Data!M2954,temp!$B$3:$C$9,2,1)</f>
        <v>50-60</v>
      </c>
      <c r="O2954">
        <v>-5637</v>
      </c>
      <c r="P2954" s="8">
        <f t="shared" si="191"/>
        <v>15.433264887063656</v>
      </c>
      <c r="Q2954" s="5" t="str">
        <f t="shared" si="193"/>
        <v>Employed</v>
      </c>
      <c r="R2954">
        <v>1</v>
      </c>
      <c r="S2954">
        <v>0</v>
      </c>
      <c r="T2954">
        <v>0</v>
      </c>
      <c r="U2954">
        <v>0</v>
      </c>
      <c r="V2954" t="s">
        <v>44</v>
      </c>
      <c r="W2954">
        <v>1</v>
      </c>
    </row>
    <row r="2955" spans="1:23" x14ac:dyDescent="0.2">
      <c r="A2955">
        <v>5095854</v>
      </c>
      <c r="B2955" t="s">
        <v>18</v>
      </c>
      <c r="C2955" t="s">
        <v>19</v>
      </c>
      <c r="D2955" t="s">
        <v>19</v>
      </c>
      <c r="E2955">
        <v>0</v>
      </c>
      <c r="F2955">
        <v>225000</v>
      </c>
      <c r="G2955" t="s">
        <v>31</v>
      </c>
      <c r="H2955" t="s">
        <v>27</v>
      </c>
      <c r="I2955" t="s">
        <v>42</v>
      </c>
      <c r="J2955" t="s">
        <v>24</v>
      </c>
      <c r="K2955" s="6">
        <f t="shared" ca="1" si="192"/>
        <v>25104</v>
      </c>
      <c r="L2955">
        <v>-20657</v>
      </c>
      <c r="M2955" s="7">
        <f t="shared" ca="1" si="190"/>
        <v>56.555783709787818</v>
      </c>
      <c r="N2955" s="5" t="str">
        <f ca="1">VLOOKUP(Data!M2955,temp!$B$3:$C$9,2,1)</f>
        <v>50-60</v>
      </c>
      <c r="O2955">
        <v>-5637</v>
      </c>
      <c r="P2955" s="8">
        <f t="shared" si="191"/>
        <v>15.433264887063656</v>
      </c>
      <c r="Q2955" s="5" t="str">
        <f t="shared" si="193"/>
        <v>Employed</v>
      </c>
      <c r="R2955">
        <v>1</v>
      </c>
      <c r="S2955">
        <v>0</v>
      </c>
      <c r="T2955">
        <v>0</v>
      </c>
      <c r="U2955">
        <v>0</v>
      </c>
      <c r="V2955" t="s">
        <v>44</v>
      </c>
      <c r="W2955">
        <v>1</v>
      </c>
    </row>
    <row r="2956" spans="1:23" x14ac:dyDescent="0.2">
      <c r="A2956">
        <v>5095861</v>
      </c>
      <c r="B2956" t="s">
        <v>18</v>
      </c>
      <c r="C2956" t="s">
        <v>19</v>
      </c>
      <c r="D2956" t="s">
        <v>19</v>
      </c>
      <c r="E2956">
        <v>0</v>
      </c>
      <c r="F2956">
        <v>225000</v>
      </c>
      <c r="G2956" t="s">
        <v>31</v>
      </c>
      <c r="H2956" t="s">
        <v>27</v>
      </c>
      <c r="I2956" t="s">
        <v>42</v>
      </c>
      <c r="J2956" t="s">
        <v>24</v>
      </c>
      <c r="K2956" s="6">
        <f t="shared" ca="1" si="192"/>
        <v>25104</v>
      </c>
      <c r="L2956">
        <v>-20657</v>
      </c>
      <c r="M2956" s="7">
        <f t="shared" ca="1" si="190"/>
        <v>56.555783709787818</v>
      </c>
      <c r="N2956" s="5" t="str">
        <f ca="1">VLOOKUP(Data!M2956,temp!$B$3:$C$9,2,1)</f>
        <v>50-60</v>
      </c>
      <c r="O2956">
        <v>-5637</v>
      </c>
      <c r="P2956" s="8">
        <f t="shared" si="191"/>
        <v>15.433264887063656</v>
      </c>
      <c r="Q2956" s="5" t="str">
        <f t="shared" si="193"/>
        <v>Employed</v>
      </c>
      <c r="R2956">
        <v>1</v>
      </c>
      <c r="S2956">
        <v>0</v>
      </c>
      <c r="T2956">
        <v>0</v>
      </c>
      <c r="U2956">
        <v>0</v>
      </c>
      <c r="V2956" t="s">
        <v>44</v>
      </c>
      <c r="W2956">
        <v>1</v>
      </c>
    </row>
    <row r="2957" spans="1:23" x14ac:dyDescent="0.2">
      <c r="A2957">
        <v>5095905</v>
      </c>
      <c r="B2957" t="s">
        <v>18</v>
      </c>
      <c r="C2957" t="s">
        <v>19</v>
      </c>
      <c r="D2957" t="s">
        <v>19</v>
      </c>
      <c r="E2957">
        <v>0</v>
      </c>
      <c r="F2957">
        <v>135000</v>
      </c>
      <c r="G2957" t="s">
        <v>35</v>
      </c>
      <c r="H2957" t="s">
        <v>27</v>
      </c>
      <c r="I2957" t="s">
        <v>33</v>
      </c>
      <c r="J2957" t="s">
        <v>24</v>
      </c>
      <c r="K2957" s="6">
        <f t="shared" ca="1" si="192"/>
        <v>30332</v>
      </c>
      <c r="L2957">
        <v>-15429</v>
      </c>
      <c r="M2957" s="7">
        <f t="shared" ca="1" si="190"/>
        <v>42.242299794661193</v>
      </c>
      <c r="N2957" s="5" t="str">
        <f ca="1">VLOOKUP(Data!M2957,temp!$B$3:$C$9,2,1)</f>
        <v>40-50</v>
      </c>
      <c r="O2957">
        <v>-1589</v>
      </c>
      <c r="P2957" s="8">
        <f t="shared" si="191"/>
        <v>4.3504449007529091</v>
      </c>
      <c r="Q2957" s="5" t="str">
        <f t="shared" si="193"/>
        <v>Employed</v>
      </c>
      <c r="R2957">
        <v>1</v>
      </c>
      <c r="S2957">
        <v>0</v>
      </c>
      <c r="T2957">
        <v>0</v>
      </c>
      <c r="U2957">
        <v>0</v>
      </c>
      <c r="V2957" t="s">
        <v>38</v>
      </c>
      <c r="W2957">
        <v>1</v>
      </c>
    </row>
    <row r="2958" spans="1:23" x14ac:dyDescent="0.2">
      <c r="A2958">
        <v>5095936</v>
      </c>
      <c r="B2958" t="s">
        <v>18</v>
      </c>
      <c r="C2958" t="s">
        <v>19</v>
      </c>
      <c r="D2958" t="s">
        <v>19</v>
      </c>
      <c r="E2958">
        <v>0</v>
      </c>
      <c r="F2958">
        <v>76500</v>
      </c>
      <c r="G2958" t="s">
        <v>21</v>
      </c>
      <c r="H2958" t="s">
        <v>27</v>
      </c>
      <c r="I2958" t="s">
        <v>28</v>
      </c>
      <c r="J2958" t="s">
        <v>24</v>
      </c>
      <c r="K2958" s="6">
        <f t="shared" ca="1" si="192"/>
        <v>25169</v>
      </c>
      <c r="L2958">
        <v>-20592</v>
      </c>
      <c r="M2958" s="7">
        <f t="shared" ca="1" si="190"/>
        <v>56.377823408624231</v>
      </c>
      <c r="N2958" s="5" t="str">
        <f ca="1">VLOOKUP(Data!M2958,temp!$B$3:$C$9,2,1)</f>
        <v>50-60</v>
      </c>
      <c r="O2958">
        <v>365243</v>
      </c>
      <c r="P2958" s="8">
        <f t="shared" si="191"/>
        <v>0</v>
      </c>
      <c r="Q2958" s="5" t="str">
        <f t="shared" si="193"/>
        <v>Unemployed</v>
      </c>
      <c r="R2958">
        <v>1</v>
      </c>
      <c r="S2958">
        <v>0</v>
      </c>
      <c r="T2958">
        <v>1</v>
      </c>
      <c r="U2958">
        <v>0</v>
      </c>
      <c r="W2958">
        <v>2</v>
      </c>
    </row>
    <row r="2959" spans="1:23" x14ac:dyDescent="0.2">
      <c r="A2959">
        <v>5095939</v>
      </c>
      <c r="B2959" t="s">
        <v>25</v>
      </c>
      <c r="C2959" t="s">
        <v>19</v>
      </c>
      <c r="D2959" t="s">
        <v>19</v>
      </c>
      <c r="E2959">
        <v>0</v>
      </c>
      <c r="F2959">
        <v>157500</v>
      </c>
      <c r="G2959" t="s">
        <v>31</v>
      </c>
      <c r="H2959" t="s">
        <v>27</v>
      </c>
      <c r="I2959" t="s">
        <v>28</v>
      </c>
      <c r="J2959" t="s">
        <v>24</v>
      </c>
      <c r="K2959" s="6">
        <f t="shared" ca="1" si="192"/>
        <v>28421</v>
      </c>
      <c r="L2959">
        <v>-17340</v>
      </c>
      <c r="M2959" s="7">
        <f t="shared" ca="1" si="190"/>
        <v>47.474332648870636</v>
      </c>
      <c r="N2959" s="5" t="str">
        <f ca="1">VLOOKUP(Data!M2959,temp!$B$3:$C$9,2,1)</f>
        <v>40-50</v>
      </c>
      <c r="O2959">
        <v>-3596</v>
      </c>
      <c r="P2959" s="8">
        <f t="shared" si="191"/>
        <v>9.8453114305270368</v>
      </c>
      <c r="Q2959" s="5" t="str">
        <f t="shared" si="193"/>
        <v>Employed</v>
      </c>
      <c r="R2959">
        <v>1</v>
      </c>
      <c r="S2959">
        <v>0</v>
      </c>
      <c r="T2959">
        <v>1</v>
      </c>
      <c r="U2959">
        <v>0</v>
      </c>
      <c r="V2959" t="s">
        <v>32</v>
      </c>
      <c r="W2959">
        <v>2</v>
      </c>
    </row>
    <row r="2960" spans="1:23" x14ac:dyDescent="0.2">
      <c r="A2960">
        <v>5095941</v>
      </c>
      <c r="B2960" t="s">
        <v>18</v>
      </c>
      <c r="C2960" t="s">
        <v>20</v>
      </c>
      <c r="D2960" t="s">
        <v>19</v>
      </c>
      <c r="E2960">
        <v>0</v>
      </c>
      <c r="F2960">
        <v>202500</v>
      </c>
      <c r="G2960" t="s">
        <v>31</v>
      </c>
      <c r="H2960" t="s">
        <v>22</v>
      </c>
      <c r="I2960" t="s">
        <v>28</v>
      </c>
      <c r="J2960" t="s">
        <v>24</v>
      </c>
      <c r="K2960" s="6">
        <f t="shared" ca="1" si="192"/>
        <v>29649</v>
      </c>
      <c r="L2960">
        <v>-16112</v>
      </c>
      <c r="M2960" s="7">
        <f t="shared" ca="1" si="190"/>
        <v>44.112251882272417</v>
      </c>
      <c r="N2960" s="5" t="str">
        <f ca="1">VLOOKUP(Data!M2960,temp!$B$3:$C$9,2,1)</f>
        <v>40-50</v>
      </c>
      <c r="O2960">
        <v>-6337</v>
      </c>
      <c r="P2960" s="8">
        <f t="shared" si="191"/>
        <v>17.349760438056126</v>
      </c>
      <c r="Q2960" s="5" t="str">
        <f t="shared" si="193"/>
        <v>Employed</v>
      </c>
      <c r="R2960">
        <v>1</v>
      </c>
      <c r="S2960">
        <v>1</v>
      </c>
      <c r="T2960">
        <v>1</v>
      </c>
      <c r="U2960">
        <v>0</v>
      </c>
      <c r="V2960" t="s">
        <v>32</v>
      </c>
      <c r="W2960">
        <v>2</v>
      </c>
    </row>
    <row r="2961" spans="1:23" x14ac:dyDescent="0.2">
      <c r="A2961">
        <v>5095953</v>
      </c>
      <c r="B2961" t="s">
        <v>18</v>
      </c>
      <c r="C2961" t="s">
        <v>19</v>
      </c>
      <c r="D2961" t="s">
        <v>19</v>
      </c>
      <c r="E2961">
        <v>2</v>
      </c>
      <c r="F2961">
        <v>193500</v>
      </c>
      <c r="G2961" t="s">
        <v>31</v>
      </c>
      <c r="H2961" t="s">
        <v>22</v>
      </c>
      <c r="I2961" t="s">
        <v>28</v>
      </c>
      <c r="J2961" t="s">
        <v>41</v>
      </c>
      <c r="K2961" s="6">
        <f t="shared" ca="1" si="192"/>
        <v>30750</v>
      </c>
      <c r="L2961">
        <v>-15011</v>
      </c>
      <c r="M2961" s="7">
        <f t="shared" ca="1" si="190"/>
        <v>41.097878165639976</v>
      </c>
      <c r="N2961" s="5" t="str">
        <f ca="1">VLOOKUP(Data!M2961,temp!$B$3:$C$9,2,1)</f>
        <v>40-50</v>
      </c>
      <c r="O2961">
        <v>-7614</v>
      </c>
      <c r="P2961" s="8">
        <f t="shared" si="191"/>
        <v>20.845995893223819</v>
      </c>
      <c r="Q2961" s="5" t="str">
        <f t="shared" si="193"/>
        <v>Employed</v>
      </c>
      <c r="R2961">
        <v>1</v>
      </c>
      <c r="S2961">
        <v>1</v>
      </c>
      <c r="T2961">
        <v>1</v>
      </c>
      <c r="U2961">
        <v>0</v>
      </c>
      <c r="W2961">
        <v>4</v>
      </c>
    </row>
    <row r="2962" spans="1:23" x14ac:dyDescent="0.2">
      <c r="A2962">
        <v>5095959</v>
      </c>
      <c r="B2962" t="s">
        <v>18</v>
      </c>
      <c r="C2962" t="s">
        <v>19</v>
      </c>
      <c r="D2962" t="s">
        <v>19</v>
      </c>
      <c r="E2962">
        <v>0</v>
      </c>
      <c r="F2962">
        <v>135000</v>
      </c>
      <c r="G2962" t="s">
        <v>31</v>
      </c>
      <c r="H2962" t="s">
        <v>27</v>
      </c>
      <c r="I2962" t="s">
        <v>28</v>
      </c>
      <c r="J2962" t="s">
        <v>24</v>
      </c>
      <c r="K2962" s="6">
        <f t="shared" ca="1" si="192"/>
        <v>29366</v>
      </c>
      <c r="L2962">
        <v>-16395</v>
      </c>
      <c r="M2962" s="7">
        <f t="shared" ca="1" si="190"/>
        <v>44.887063655030801</v>
      </c>
      <c r="N2962" s="5" t="str">
        <f ca="1">VLOOKUP(Data!M2962,temp!$B$3:$C$9,2,1)</f>
        <v>40-50</v>
      </c>
      <c r="O2962">
        <v>-7371</v>
      </c>
      <c r="P2962" s="8">
        <f t="shared" si="191"/>
        <v>20.180698151950718</v>
      </c>
      <c r="Q2962" s="5" t="str">
        <f t="shared" si="193"/>
        <v>Employed</v>
      </c>
      <c r="R2962">
        <v>1</v>
      </c>
      <c r="S2962">
        <v>1</v>
      </c>
      <c r="T2962">
        <v>0</v>
      </c>
      <c r="U2962">
        <v>0</v>
      </c>
      <c r="V2962" t="s">
        <v>32</v>
      </c>
      <c r="W2962">
        <v>2</v>
      </c>
    </row>
    <row r="2963" spans="1:23" x14ac:dyDescent="0.2">
      <c r="A2963">
        <v>5095965</v>
      </c>
      <c r="B2963" t="s">
        <v>18</v>
      </c>
      <c r="C2963" t="s">
        <v>19</v>
      </c>
      <c r="D2963" t="s">
        <v>19</v>
      </c>
      <c r="E2963">
        <v>0</v>
      </c>
      <c r="F2963">
        <v>135000</v>
      </c>
      <c r="G2963" t="s">
        <v>31</v>
      </c>
      <c r="H2963" t="s">
        <v>27</v>
      </c>
      <c r="I2963" t="s">
        <v>28</v>
      </c>
      <c r="J2963" t="s">
        <v>24</v>
      </c>
      <c r="K2963" s="6">
        <f t="shared" ca="1" si="192"/>
        <v>29366</v>
      </c>
      <c r="L2963">
        <v>-16395</v>
      </c>
      <c r="M2963" s="7">
        <f t="shared" ca="1" si="190"/>
        <v>44.887063655030801</v>
      </c>
      <c r="N2963" s="5" t="str">
        <f ca="1">VLOOKUP(Data!M2963,temp!$B$3:$C$9,2,1)</f>
        <v>40-50</v>
      </c>
      <c r="O2963">
        <v>-7371</v>
      </c>
      <c r="P2963" s="8">
        <f t="shared" si="191"/>
        <v>20.180698151950718</v>
      </c>
      <c r="Q2963" s="5" t="str">
        <f t="shared" si="193"/>
        <v>Employed</v>
      </c>
      <c r="R2963">
        <v>1</v>
      </c>
      <c r="S2963">
        <v>1</v>
      </c>
      <c r="T2963">
        <v>0</v>
      </c>
      <c r="U2963">
        <v>0</v>
      </c>
      <c r="V2963" t="s">
        <v>32</v>
      </c>
      <c r="W2963">
        <v>2</v>
      </c>
    </row>
    <row r="2964" spans="1:23" x14ac:dyDescent="0.2">
      <c r="A2964">
        <v>5095971</v>
      </c>
      <c r="B2964" t="s">
        <v>18</v>
      </c>
      <c r="C2964" t="s">
        <v>20</v>
      </c>
      <c r="D2964" t="s">
        <v>19</v>
      </c>
      <c r="E2964">
        <v>0</v>
      </c>
      <c r="F2964">
        <v>225000</v>
      </c>
      <c r="G2964" t="s">
        <v>26</v>
      </c>
      <c r="H2964" t="s">
        <v>27</v>
      </c>
      <c r="I2964" t="s">
        <v>37</v>
      </c>
      <c r="J2964" t="s">
        <v>41</v>
      </c>
      <c r="K2964" s="6">
        <f t="shared" ca="1" si="192"/>
        <v>29447</v>
      </c>
      <c r="L2964">
        <v>-16314</v>
      </c>
      <c r="M2964" s="7">
        <f t="shared" ca="1" si="190"/>
        <v>44.6652977412731</v>
      </c>
      <c r="N2964" s="5" t="str">
        <f ca="1">VLOOKUP(Data!M2964,temp!$B$3:$C$9,2,1)</f>
        <v>40-50</v>
      </c>
      <c r="O2964">
        <v>-1040</v>
      </c>
      <c r="P2964" s="8">
        <f t="shared" si="191"/>
        <v>2.8473648186173852</v>
      </c>
      <c r="Q2964" s="5" t="str">
        <f t="shared" si="193"/>
        <v>Employed</v>
      </c>
      <c r="R2964">
        <v>1</v>
      </c>
      <c r="S2964">
        <v>1</v>
      </c>
      <c r="T2964">
        <v>0</v>
      </c>
      <c r="U2964">
        <v>0</v>
      </c>
      <c r="V2964" t="s">
        <v>47</v>
      </c>
      <c r="W2964">
        <v>2</v>
      </c>
    </row>
    <row r="2965" spans="1:23" x14ac:dyDescent="0.2">
      <c r="A2965">
        <v>5095972</v>
      </c>
      <c r="B2965" t="s">
        <v>18</v>
      </c>
      <c r="C2965" t="s">
        <v>20</v>
      </c>
      <c r="D2965" t="s">
        <v>19</v>
      </c>
      <c r="E2965">
        <v>0</v>
      </c>
      <c r="F2965">
        <v>225000</v>
      </c>
      <c r="G2965" t="s">
        <v>26</v>
      </c>
      <c r="H2965" t="s">
        <v>27</v>
      </c>
      <c r="I2965" t="s">
        <v>37</v>
      </c>
      <c r="J2965" t="s">
        <v>41</v>
      </c>
      <c r="K2965" s="6">
        <f t="shared" ca="1" si="192"/>
        <v>29447</v>
      </c>
      <c r="L2965">
        <v>-16314</v>
      </c>
      <c r="M2965" s="7">
        <f t="shared" ca="1" si="190"/>
        <v>44.6652977412731</v>
      </c>
      <c r="N2965" s="5" t="str">
        <f ca="1">VLOOKUP(Data!M2965,temp!$B$3:$C$9,2,1)</f>
        <v>40-50</v>
      </c>
      <c r="O2965">
        <v>-1040</v>
      </c>
      <c r="P2965" s="8">
        <f t="shared" si="191"/>
        <v>2.8473648186173852</v>
      </c>
      <c r="Q2965" s="5" t="str">
        <f t="shared" si="193"/>
        <v>Employed</v>
      </c>
      <c r="R2965">
        <v>1</v>
      </c>
      <c r="S2965">
        <v>1</v>
      </c>
      <c r="T2965">
        <v>0</v>
      </c>
      <c r="U2965">
        <v>0</v>
      </c>
      <c r="V2965" t="s">
        <v>47</v>
      </c>
      <c r="W2965">
        <v>2</v>
      </c>
    </row>
    <row r="2966" spans="1:23" x14ac:dyDescent="0.2">
      <c r="A2966">
        <v>5095975</v>
      </c>
      <c r="B2966" t="s">
        <v>18</v>
      </c>
      <c r="C2966" t="s">
        <v>20</v>
      </c>
      <c r="D2966" t="s">
        <v>19</v>
      </c>
      <c r="E2966">
        <v>0</v>
      </c>
      <c r="F2966">
        <v>225000</v>
      </c>
      <c r="G2966" t="s">
        <v>26</v>
      </c>
      <c r="H2966" t="s">
        <v>27</v>
      </c>
      <c r="I2966" t="s">
        <v>37</v>
      </c>
      <c r="J2966" t="s">
        <v>41</v>
      </c>
      <c r="K2966" s="6">
        <f t="shared" ca="1" si="192"/>
        <v>29447</v>
      </c>
      <c r="L2966">
        <v>-16314</v>
      </c>
      <c r="M2966" s="7">
        <f t="shared" ca="1" si="190"/>
        <v>44.6652977412731</v>
      </c>
      <c r="N2966" s="5" t="str">
        <f ca="1">VLOOKUP(Data!M2966,temp!$B$3:$C$9,2,1)</f>
        <v>40-50</v>
      </c>
      <c r="O2966">
        <v>-1040</v>
      </c>
      <c r="P2966" s="8">
        <f t="shared" si="191"/>
        <v>2.8473648186173852</v>
      </c>
      <c r="Q2966" s="5" t="str">
        <f t="shared" si="193"/>
        <v>Employed</v>
      </c>
      <c r="R2966">
        <v>1</v>
      </c>
      <c r="S2966">
        <v>1</v>
      </c>
      <c r="T2966">
        <v>0</v>
      </c>
      <c r="U2966">
        <v>0</v>
      </c>
      <c r="V2966" t="s">
        <v>47</v>
      </c>
      <c r="W2966">
        <v>2</v>
      </c>
    </row>
    <row r="2967" spans="1:23" x14ac:dyDescent="0.2">
      <c r="A2967">
        <v>5095976</v>
      </c>
      <c r="B2967" t="s">
        <v>18</v>
      </c>
      <c r="C2967" t="s">
        <v>20</v>
      </c>
      <c r="D2967" t="s">
        <v>19</v>
      </c>
      <c r="E2967">
        <v>0</v>
      </c>
      <c r="F2967">
        <v>225000</v>
      </c>
      <c r="G2967" t="s">
        <v>26</v>
      </c>
      <c r="H2967" t="s">
        <v>27</v>
      </c>
      <c r="I2967" t="s">
        <v>37</v>
      </c>
      <c r="J2967" t="s">
        <v>41</v>
      </c>
      <c r="K2967" s="6">
        <f t="shared" ca="1" si="192"/>
        <v>29447</v>
      </c>
      <c r="L2967">
        <v>-16314</v>
      </c>
      <c r="M2967" s="7">
        <f t="shared" ca="1" si="190"/>
        <v>44.6652977412731</v>
      </c>
      <c r="N2967" s="5" t="str">
        <f ca="1">VLOOKUP(Data!M2967,temp!$B$3:$C$9,2,1)</f>
        <v>40-50</v>
      </c>
      <c r="O2967">
        <v>-1040</v>
      </c>
      <c r="P2967" s="8">
        <f t="shared" si="191"/>
        <v>2.8473648186173852</v>
      </c>
      <c r="Q2967" s="5" t="str">
        <f t="shared" si="193"/>
        <v>Employed</v>
      </c>
      <c r="R2967">
        <v>1</v>
      </c>
      <c r="S2967">
        <v>1</v>
      </c>
      <c r="T2967">
        <v>0</v>
      </c>
      <c r="U2967">
        <v>0</v>
      </c>
      <c r="V2967" t="s">
        <v>47</v>
      </c>
      <c r="W2967">
        <v>2</v>
      </c>
    </row>
    <row r="2968" spans="1:23" x14ac:dyDescent="0.2">
      <c r="A2968">
        <v>5095981</v>
      </c>
      <c r="B2968" t="s">
        <v>18</v>
      </c>
      <c r="C2968" t="s">
        <v>20</v>
      </c>
      <c r="D2968" t="s">
        <v>19</v>
      </c>
      <c r="E2968">
        <v>0</v>
      </c>
      <c r="F2968">
        <v>225000</v>
      </c>
      <c r="G2968" t="s">
        <v>26</v>
      </c>
      <c r="H2968" t="s">
        <v>27</v>
      </c>
      <c r="I2968" t="s">
        <v>37</v>
      </c>
      <c r="J2968" t="s">
        <v>41</v>
      </c>
      <c r="K2968" s="6">
        <f t="shared" ca="1" si="192"/>
        <v>29447</v>
      </c>
      <c r="L2968">
        <v>-16314</v>
      </c>
      <c r="M2968" s="7">
        <f t="shared" ca="1" si="190"/>
        <v>44.6652977412731</v>
      </c>
      <c r="N2968" s="5" t="str">
        <f ca="1">VLOOKUP(Data!M2968,temp!$B$3:$C$9,2,1)</f>
        <v>40-50</v>
      </c>
      <c r="O2968">
        <v>-1040</v>
      </c>
      <c r="P2968" s="8">
        <f t="shared" si="191"/>
        <v>2.8473648186173852</v>
      </c>
      <c r="Q2968" s="5" t="str">
        <f t="shared" si="193"/>
        <v>Employed</v>
      </c>
      <c r="R2968">
        <v>1</v>
      </c>
      <c r="S2968">
        <v>1</v>
      </c>
      <c r="T2968">
        <v>0</v>
      </c>
      <c r="U2968">
        <v>0</v>
      </c>
      <c r="V2968" t="s">
        <v>47</v>
      </c>
      <c r="W2968">
        <v>2</v>
      </c>
    </row>
    <row r="2969" spans="1:23" x14ac:dyDescent="0.2">
      <c r="A2969">
        <v>5095994</v>
      </c>
      <c r="B2969" t="s">
        <v>25</v>
      </c>
      <c r="C2969" t="s">
        <v>20</v>
      </c>
      <c r="D2969" t="s">
        <v>19</v>
      </c>
      <c r="E2969">
        <v>0</v>
      </c>
      <c r="F2969">
        <v>234000</v>
      </c>
      <c r="G2969" t="s">
        <v>31</v>
      </c>
      <c r="H2969" t="s">
        <v>27</v>
      </c>
      <c r="I2969" t="s">
        <v>28</v>
      </c>
      <c r="J2969" t="s">
        <v>24</v>
      </c>
      <c r="K2969" s="6">
        <f t="shared" ca="1" si="192"/>
        <v>26383</v>
      </c>
      <c r="L2969">
        <v>-19378</v>
      </c>
      <c r="M2969" s="7">
        <f t="shared" ca="1" si="190"/>
        <v>53.054072553045856</v>
      </c>
      <c r="N2969" s="5" t="str">
        <f ca="1">VLOOKUP(Data!M2969,temp!$B$3:$C$9,2,1)</f>
        <v>50-60</v>
      </c>
      <c r="O2969">
        <v>-858</v>
      </c>
      <c r="P2969" s="8">
        <f t="shared" si="191"/>
        <v>2.3490759753593431</v>
      </c>
      <c r="Q2969" s="5" t="str">
        <f t="shared" si="193"/>
        <v>Employed</v>
      </c>
      <c r="R2969">
        <v>1</v>
      </c>
      <c r="S2969">
        <v>1</v>
      </c>
      <c r="T2969">
        <v>1</v>
      </c>
      <c r="U2969">
        <v>0</v>
      </c>
      <c r="V2969" t="s">
        <v>29</v>
      </c>
      <c r="W2969">
        <v>2</v>
      </c>
    </row>
    <row r="2970" spans="1:23" x14ac:dyDescent="0.2">
      <c r="A2970">
        <v>5095997</v>
      </c>
      <c r="B2970" t="s">
        <v>25</v>
      </c>
      <c r="C2970" t="s">
        <v>20</v>
      </c>
      <c r="D2970" t="s">
        <v>19</v>
      </c>
      <c r="E2970">
        <v>0</v>
      </c>
      <c r="F2970">
        <v>234000</v>
      </c>
      <c r="G2970" t="s">
        <v>31</v>
      </c>
      <c r="H2970" t="s">
        <v>27</v>
      </c>
      <c r="I2970" t="s">
        <v>28</v>
      </c>
      <c r="J2970" t="s">
        <v>24</v>
      </c>
      <c r="K2970" s="6">
        <f t="shared" ca="1" si="192"/>
        <v>26383</v>
      </c>
      <c r="L2970">
        <v>-19378</v>
      </c>
      <c r="M2970" s="7">
        <f t="shared" ca="1" si="190"/>
        <v>53.054072553045856</v>
      </c>
      <c r="N2970" s="5" t="str">
        <f ca="1">VLOOKUP(Data!M2970,temp!$B$3:$C$9,2,1)</f>
        <v>50-60</v>
      </c>
      <c r="O2970">
        <v>-858</v>
      </c>
      <c r="P2970" s="8">
        <f t="shared" si="191"/>
        <v>2.3490759753593431</v>
      </c>
      <c r="Q2970" s="5" t="str">
        <f t="shared" si="193"/>
        <v>Employed</v>
      </c>
      <c r="R2970">
        <v>1</v>
      </c>
      <c r="S2970">
        <v>1</v>
      </c>
      <c r="T2970">
        <v>1</v>
      </c>
      <c r="U2970">
        <v>0</v>
      </c>
      <c r="V2970" t="s">
        <v>29</v>
      </c>
      <c r="W2970">
        <v>2</v>
      </c>
    </row>
    <row r="2971" spans="1:23" x14ac:dyDescent="0.2">
      <c r="A2971">
        <v>5096000</v>
      </c>
      <c r="B2971" t="s">
        <v>25</v>
      </c>
      <c r="C2971" t="s">
        <v>19</v>
      </c>
      <c r="D2971" t="s">
        <v>19</v>
      </c>
      <c r="E2971">
        <v>1</v>
      </c>
      <c r="F2971">
        <v>270000</v>
      </c>
      <c r="G2971" t="s">
        <v>31</v>
      </c>
      <c r="H2971" t="s">
        <v>27</v>
      </c>
      <c r="I2971" t="s">
        <v>28</v>
      </c>
      <c r="J2971" t="s">
        <v>24</v>
      </c>
      <c r="K2971" s="6">
        <f t="shared" ca="1" si="192"/>
        <v>35818</v>
      </c>
      <c r="L2971">
        <v>-9943</v>
      </c>
      <c r="M2971" s="7">
        <f t="shared" ca="1" si="190"/>
        <v>27.222450376454482</v>
      </c>
      <c r="N2971" s="5" t="str">
        <f ca="1">VLOOKUP(Data!M2971,temp!$B$3:$C$9,2,1)</f>
        <v>20-30</v>
      </c>
      <c r="O2971">
        <v>-554</v>
      </c>
      <c r="P2971" s="8">
        <f t="shared" si="191"/>
        <v>1.516769336071184</v>
      </c>
      <c r="Q2971" s="5" t="str">
        <f t="shared" si="193"/>
        <v>Employed</v>
      </c>
      <c r="R2971">
        <v>1</v>
      </c>
      <c r="S2971">
        <v>1</v>
      </c>
      <c r="T2971">
        <v>0</v>
      </c>
      <c r="U2971">
        <v>0</v>
      </c>
      <c r="V2971" t="s">
        <v>32</v>
      </c>
      <c r="W2971">
        <v>3</v>
      </c>
    </row>
    <row r="2972" spans="1:23" x14ac:dyDescent="0.2">
      <c r="A2972">
        <v>5096047</v>
      </c>
      <c r="B2972" t="s">
        <v>18</v>
      </c>
      <c r="C2972" t="s">
        <v>19</v>
      </c>
      <c r="D2972" t="s">
        <v>19</v>
      </c>
      <c r="E2972">
        <v>0</v>
      </c>
      <c r="F2972">
        <v>225000</v>
      </c>
      <c r="G2972" t="s">
        <v>21</v>
      </c>
      <c r="H2972" t="s">
        <v>22</v>
      </c>
      <c r="I2972" t="s">
        <v>28</v>
      </c>
      <c r="J2972" t="s">
        <v>24</v>
      </c>
      <c r="K2972" s="6">
        <f t="shared" ca="1" si="192"/>
        <v>25680</v>
      </c>
      <c r="L2972">
        <v>-20081</v>
      </c>
      <c r="M2972" s="7">
        <f t="shared" ca="1" si="190"/>
        <v>54.978781656399725</v>
      </c>
      <c r="N2972" s="5" t="str">
        <f ca="1">VLOOKUP(Data!M2972,temp!$B$3:$C$9,2,1)</f>
        <v>50-60</v>
      </c>
      <c r="O2972">
        <v>365243</v>
      </c>
      <c r="P2972" s="8">
        <f t="shared" si="191"/>
        <v>0</v>
      </c>
      <c r="Q2972" s="5" t="str">
        <f t="shared" si="193"/>
        <v>Unemployed</v>
      </c>
      <c r="R2972">
        <v>1</v>
      </c>
      <c r="S2972">
        <v>0</v>
      </c>
      <c r="T2972">
        <v>0</v>
      </c>
      <c r="U2972">
        <v>1</v>
      </c>
      <c r="W2972">
        <v>2</v>
      </c>
    </row>
    <row r="2973" spans="1:23" x14ac:dyDescent="0.2">
      <c r="A2973">
        <v>5096060</v>
      </c>
      <c r="B2973" t="s">
        <v>18</v>
      </c>
      <c r="C2973" t="s">
        <v>19</v>
      </c>
      <c r="D2973" t="s">
        <v>19</v>
      </c>
      <c r="E2973">
        <v>2</v>
      </c>
      <c r="F2973">
        <v>73350</v>
      </c>
      <c r="G2973" t="s">
        <v>31</v>
      </c>
      <c r="H2973" t="s">
        <v>27</v>
      </c>
      <c r="I2973" t="s">
        <v>28</v>
      </c>
      <c r="J2973" t="s">
        <v>24</v>
      </c>
      <c r="K2973" s="6">
        <f t="shared" ca="1" si="192"/>
        <v>31440</v>
      </c>
      <c r="L2973">
        <v>-14321</v>
      </c>
      <c r="M2973" s="7">
        <f t="shared" ca="1" si="190"/>
        <v>39.208761122518823</v>
      </c>
      <c r="N2973" s="5" t="str">
        <f ca="1">VLOOKUP(Data!M2973,temp!$B$3:$C$9,2,1)</f>
        <v>30-40</v>
      </c>
      <c r="O2973">
        <v>-7068</v>
      </c>
      <c r="P2973" s="8">
        <f t="shared" si="191"/>
        <v>19.351129363449694</v>
      </c>
      <c r="Q2973" s="5" t="str">
        <f t="shared" si="193"/>
        <v>Employed</v>
      </c>
      <c r="R2973">
        <v>1</v>
      </c>
      <c r="S2973">
        <v>0</v>
      </c>
      <c r="T2973">
        <v>0</v>
      </c>
      <c r="U2973">
        <v>0</v>
      </c>
      <c r="V2973" t="s">
        <v>50</v>
      </c>
      <c r="W2973">
        <v>4</v>
      </c>
    </row>
    <row r="2974" spans="1:23" x14ac:dyDescent="0.2">
      <c r="A2974">
        <v>5096082</v>
      </c>
      <c r="B2974" t="s">
        <v>25</v>
      </c>
      <c r="C2974" t="s">
        <v>19</v>
      </c>
      <c r="D2974" t="s">
        <v>19</v>
      </c>
      <c r="E2974">
        <v>0</v>
      </c>
      <c r="F2974">
        <v>234000</v>
      </c>
      <c r="G2974" t="s">
        <v>31</v>
      </c>
      <c r="H2974" t="s">
        <v>27</v>
      </c>
      <c r="I2974" t="s">
        <v>28</v>
      </c>
      <c r="J2974" t="s">
        <v>24</v>
      </c>
      <c r="K2974" s="6">
        <f t="shared" ca="1" si="192"/>
        <v>29613</v>
      </c>
      <c r="L2974">
        <v>-16148</v>
      </c>
      <c r="M2974" s="7">
        <f t="shared" ca="1" si="190"/>
        <v>44.210814510609168</v>
      </c>
      <c r="N2974" s="5" t="str">
        <f ca="1">VLOOKUP(Data!M2974,temp!$B$3:$C$9,2,1)</f>
        <v>40-50</v>
      </c>
      <c r="O2974">
        <v>-4541</v>
      </c>
      <c r="P2974" s="8">
        <f t="shared" si="191"/>
        <v>12.432580424366872</v>
      </c>
      <c r="Q2974" s="5" t="str">
        <f t="shared" si="193"/>
        <v>Employed</v>
      </c>
      <c r="R2974">
        <v>1</v>
      </c>
      <c r="S2974">
        <v>1</v>
      </c>
      <c r="T2974">
        <v>0</v>
      </c>
      <c r="U2974">
        <v>0</v>
      </c>
      <c r="V2974" t="s">
        <v>30</v>
      </c>
      <c r="W2974">
        <v>2</v>
      </c>
    </row>
    <row r="2975" spans="1:23" x14ac:dyDescent="0.2">
      <c r="A2975">
        <v>5096110</v>
      </c>
      <c r="B2975" t="s">
        <v>18</v>
      </c>
      <c r="C2975" t="s">
        <v>20</v>
      </c>
      <c r="D2975" t="s">
        <v>19</v>
      </c>
      <c r="E2975">
        <v>2</v>
      </c>
      <c r="F2975">
        <v>112500</v>
      </c>
      <c r="G2975" t="s">
        <v>31</v>
      </c>
      <c r="H2975" t="s">
        <v>27</v>
      </c>
      <c r="I2975" t="s">
        <v>37</v>
      </c>
      <c r="J2975" t="s">
        <v>24</v>
      </c>
      <c r="K2975" s="6">
        <f t="shared" ca="1" si="192"/>
        <v>35093</v>
      </c>
      <c r="L2975">
        <v>-10668</v>
      </c>
      <c r="M2975" s="7">
        <f t="shared" ca="1" si="190"/>
        <v>29.207392197125255</v>
      </c>
      <c r="N2975" s="5" t="str">
        <f ca="1">VLOOKUP(Data!M2975,temp!$B$3:$C$9,2,1)</f>
        <v>20-30</v>
      </c>
      <c r="O2975">
        <v>-401</v>
      </c>
      <c r="P2975" s="8">
        <f t="shared" si="191"/>
        <v>1.0978781656399725</v>
      </c>
      <c r="Q2975" s="5" t="str">
        <f t="shared" si="193"/>
        <v>Employed</v>
      </c>
      <c r="R2975">
        <v>1</v>
      </c>
      <c r="S2975">
        <v>1</v>
      </c>
      <c r="T2975">
        <v>1</v>
      </c>
      <c r="U2975">
        <v>0</v>
      </c>
      <c r="V2975" t="s">
        <v>39</v>
      </c>
      <c r="W2975">
        <v>4</v>
      </c>
    </row>
    <row r="2976" spans="1:23" x14ac:dyDescent="0.2">
      <c r="A2976">
        <v>5096159</v>
      </c>
      <c r="B2976" t="s">
        <v>25</v>
      </c>
      <c r="C2976" t="s">
        <v>19</v>
      </c>
      <c r="D2976" t="s">
        <v>19</v>
      </c>
      <c r="E2976">
        <v>2</v>
      </c>
      <c r="F2976">
        <v>135000</v>
      </c>
      <c r="G2976" t="s">
        <v>26</v>
      </c>
      <c r="H2976" t="s">
        <v>27</v>
      </c>
      <c r="I2976" t="s">
        <v>28</v>
      </c>
      <c r="J2976" t="s">
        <v>24</v>
      </c>
      <c r="K2976" s="6">
        <f t="shared" ca="1" si="192"/>
        <v>35627</v>
      </c>
      <c r="L2976">
        <v>-10134</v>
      </c>
      <c r="M2976" s="7">
        <f t="shared" ca="1" si="190"/>
        <v>27.745379876796715</v>
      </c>
      <c r="N2976" s="5" t="str">
        <f ca="1">VLOOKUP(Data!M2976,temp!$B$3:$C$9,2,1)</f>
        <v>20-30</v>
      </c>
      <c r="O2976">
        <v>-1619</v>
      </c>
      <c r="P2976" s="8">
        <f t="shared" si="191"/>
        <v>4.4325804243668721</v>
      </c>
      <c r="Q2976" s="5" t="str">
        <f t="shared" si="193"/>
        <v>Employed</v>
      </c>
      <c r="R2976">
        <v>1</v>
      </c>
      <c r="S2976">
        <v>0</v>
      </c>
      <c r="T2976">
        <v>1</v>
      </c>
      <c r="U2976">
        <v>0</v>
      </c>
      <c r="V2976" t="s">
        <v>29</v>
      </c>
      <c r="W2976">
        <v>4</v>
      </c>
    </row>
    <row r="2977" spans="1:23" x14ac:dyDescent="0.2">
      <c r="A2977">
        <v>5096210</v>
      </c>
      <c r="B2977" t="s">
        <v>25</v>
      </c>
      <c r="C2977" t="s">
        <v>19</v>
      </c>
      <c r="D2977" t="s">
        <v>19</v>
      </c>
      <c r="E2977">
        <v>0</v>
      </c>
      <c r="F2977">
        <v>81000</v>
      </c>
      <c r="G2977" t="s">
        <v>31</v>
      </c>
      <c r="H2977" t="s">
        <v>27</v>
      </c>
      <c r="I2977" t="s">
        <v>37</v>
      </c>
      <c r="J2977" t="s">
        <v>24</v>
      </c>
      <c r="K2977" s="6">
        <f t="shared" ca="1" si="192"/>
        <v>31550</v>
      </c>
      <c r="L2977">
        <v>-14211</v>
      </c>
      <c r="M2977" s="7">
        <f t="shared" ca="1" si="190"/>
        <v>38.907597535934293</v>
      </c>
      <c r="N2977" s="5" t="str">
        <f ca="1">VLOOKUP(Data!M2977,temp!$B$3:$C$9,2,1)</f>
        <v>30-40</v>
      </c>
      <c r="O2977">
        <v>-158</v>
      </c>
      <c r="P2977" s="8">
        <f t="shared" si="191"/>
        <v>0.432580424366872</v>
      </c>
      <c r="Q2977" s="5" t="str">
        <f t="shared" si="193"/>
        <v>Employed</v>
      </c>
      <c r="R2977">
        <v>1</v>
      </c>
      <c r="S2977">
        <v>1</v>
      </c>
      <c r="T2977">
        <v>0</v>
      </c>
      <c r="U2977">
        <v>0</v>
      </c>
      <c r="V2977" t="s">
        <v>48</v>
      </c>
      <c r="W2977">
        <v>2</v>
      </c>
    </row>
    <row r="2978" spans="1:23" x14ac:dyDescent="0.2">
      <c r="A2978">
        <v>5096223</v>
      </c>
      <c r="B2978" t="s">
        <v>18</v>
      </c>
      <c r="C2978" t="s">
        <v>19</v>
      </c>
      <c r="D2978" t="s">
        <v>19</v>
      </c>
      <c r="E2978">
        <v>1</v>
      </c>
      <c r="F2978">
        <v>63000</v>
      </c>
      <c r="G2978" t="s">
        <v>31</v>
      </c>
      <c r="H2978" t="s">
        <v>27</v>
      </c>
      <c r="I2978" t="s">
        <v>28</v>
      </c>
      <c r="J2978" t="s">
        <v>24</v>
      </c>
      <c r="K2978" s="6">
        <f t="shared" ca="1" si="192"/>
        <v>32356</v>
      </c>
      <c r="L2978">
        <v>-13405</v>
      </c>
      <c r="M2978" s="7">
        <f t="shared" ca="1" si="190"/>
        <v>36.700889801505816</v>
      </c>
      <c r="N2978" s="5" t="str">
        <f ca="1">VLOOKUP(Data!M2978,temp!$B$3:$C$9,2,1)</f>
        <v>30-40</v>
      </c>
      <c r="O2978">
        <v>-888</v>
      </c>
      <c r="P2978" s="8">
        <f t="shared" si="191"/>
        <v>2.431211498973306</v>
      </c>
      <c r="Q2978" s="5" t="str">
        <f t="shared" si="193"/>
        <v>Employed</v>
      </c>
      <c r="R2978">
        <v>1</v>
      </c>
      <c r="S2978">
        <v>1</v>
      </c>
      <c r="T2978">
        <v>0</v>
      </c>
      <c r="U2978">
        <v>0</v>
      </c>
      <c r="V2978" t="s">
        <v>39</v>
      </c>
      <c r="W2978">
        <v>3</v>
      </c>
    </row>
    <row r="2979" spans="1:23" x14ac:dyDescent="0.2">
      <c r="A2979">
        <v>5096226</v>
      </c>
      <c r="B2979" t="s">
        <v>18</v>
      </c>
      <c r="C2979" t="s">
        <v>19</v>
      </c>
      <c r="D2979" t="s">
        <v>19</v>
      </c>
      <c r="E2979">
        <v>0</v>
      </c>
      <c r="F2979">
        <v>90000</v>
      </c>
      <c r="G2979" t="s">
        <v>26</v>
      </c>
      <c r="H2979" t="s">
        <v>27</v>
      </c>
      <c r="I2979" t="s">
        <v>28</v>
      </c>
      <c r="J2979" t="s">
        <v>24</v>
      </c>
      <c r="K2979" s="6">
        <f t="shared" ca="1" si="192"/>
        <v>28210</v>
      </c>
      <c r="L2979">
        <v>-17551</v>
      </c>
      <c r="M2979" s="7">
        <f t="shared" ca="1" si="190"/>
        <v>48.05201916495551</v>
      </c>
      <c r="N2979" s="5" t="str">
        <f ca="1">VLOOKUP(Data!M2979,temp!$B$3:$C$9,2,1)</f>
        <v>40-50</v>
      </c>
      <c r="O2979">
        <v>-2015</v>
      </c>
      <c r="P2979" s="8">
        <f t="shared" si="191"/>
        <v>5.5167693360711842</v>
      </c>
      <c r="Q2979" s="5" t="str">
        <f t="shared" si="193"/>
        <v>Employed</v>
      </c>
      <c r="R2979">
        <v>1</v>
      </c>
      <c r="S2979">
        <v>1</v>
      </c>
      <c r="T2979">
        <v>1</v>
      </c>
      <c r="U2979">
        <v>0</v>
      </c>
      <c r="V2979" t="s">
        <v>29</v>
      </c>
      <c r="W2979">
        <v>2</v>
      </c>
    </row>
    <row r="2980" spans="1:23" x14ac:dyDescent="0.2">
      <c r="A2980">
        <v>5096228</v>
      </c>
      <c r="B2980" t="s">
        <v>18</v>
      </c>
      <c r="C2980" t="s">
        <v>19</v>
      </c>
      <c r="D2980" t="s">
        <v>19</v>
      </c>
      <c r="E2980">
        <v>0</v>
      </c>
      <c r="F2980">
        <v>90000</v>
      </c>
      <c r="G2980" t="s">
        <v>26</v>
      </c>
      <c r="H2980" t="s">
        <v>27</v>
      </c>
      <c r="I2980" t="s">
        <v>28</v>
      </c>
      <c r="J2980" t="s">
        <v>24</v>
      </c>
      <c r="K2980" s="6">
        <f t="shared" ca="1" si="192"/>
        <v>28210</v>
      </c>
      <c r="L2980">
        <v>-17551</v>
      </c>
      <c r="M2980" s="7">
        <f t="shared" ca="1" si="190"/>
        <v>48.05201916495551</v>
      </c>
      <c r="N2980" s="5" t="str">
        <f ca="1">VLOOKUP(Data!M2980,temp!$B$3:$C$9,2,1)</f>
        <v>40-50</v>
      </c>
      <c r="O2980">
        <v>-2015</v>
      </c>
      <c r="P2980" s="8">
        <f t="shared" si="191"/>
        <v>5.5167693360711842</v>
      </c>
      <c r="Q2980" s="5" t="str">
        <f t="shared" si="193"/>
        <v>Employed</v>
      </c>
      <c r="R2980">
        <v>1</v>
      </c>
      <c r="S2980">
        <v>1</v>
      </c>
      <c r="T2980">
        <v>1</v>
      </c>
      <c r="U2980">
        <v>0</v>
      </c>
      <c r="V2980" t="s">
        <v>29</v>
      </c>
      <c r="W2980">
        <v>2</v>
      </c>
    </row>
    <row r="2981" spans="1:23" x14ac:dyDescent="0.2">
      <c r="A2981">
        <v>5096232</v>
      </c>
      <c r="B2981" t="s">
        <v>18</v>
      </c>
      <c r="C2981" t="s">
        <v>19</v>
      </c>
      <c r="D2981" t="s">
        <v>19</v>
      </c>
      <c r="E2981">
        <v>0</v>
      </c>
      <c r="F2981">
        <v>117000</v>
      </c>
      <c r="G2981" t="s">
        <v>21</v>
      </c>
      <c r="H2981" t="s">
        <v>27</v>
      </c>
      <c r="I2981" t="s">
        <v>42</v>
      </c>
      <c r="J2981" t="s">
        <v>24</v>
      </c>
      <c r="K2981" s="6">
        <f t="shared" ca="1" si="192"/>
        <v>26063</v>
      </c>
      <c r="L2981">
        <v>-19698</v>
      </c>
      <c r="M2981" s="7">
        <f t="shared" ca="1" si="190"/>
        <v>53.930184804928132</v>
      </c>
      <c r="N2981" s="5" t="str">
        <f ca="1">VLOOKUP(Data!M2981,temp!$B$3:$C$9,2,1)</f>
        <v>50-60</v>
      </c>
      <c r="O2981">
        <v>365243</v>
      </c>
      <c r="P2981" s="8">
        <f t="shared" si="191"/>
        <v>0</v>
      </c>
      <c r="Q2981" s="5" t="str">
        <f t="shared" si="193"/>
        <v>Unemployed</v>
      </c>
      <c r="R2981">
        <v>1</v>
      </c>
      <c r="S2981">
        <v>0</v>
      </c>
      <c r="T2981">
        <v>0</v>
      </c>
      <c r="U2981">
        <v>0</v>
      </c>
      <c r="W2981">
        <v>1</v>
      </c>
    </row>
    <row r="2982" spans="1:23" x14ac:dyDescent="0.2">
      <c r="A2982">
        <v>5096248</v>
      </c>
      <c r="B2982" t="s">
        <v>18</v>
      </c>
      <c r="C2982" t="s">
        <v>20</v>
      </c>
      <c r="D2982" t="s">
        <v>19</v>
      </c>
      <c r="E2982">
        <v>0</v>
      </c>
      <c r="F2982">
        <v>45000</v>
      </c>
      <c r="G2982" t="s">
        <v>21</v>
      </c>
      <c r="H2982" t="s">
        <v>27</v>
      </c>
      <c r="I2982" t="s">
        <v>28</v>
      </c>
      <c r="J2982" t="s">
        <v>24</v>
      </c>
      <c r="K2982" s="6">
        <f t="shared" ca="1" si="192"/>
        <v>25303</v>
      </c>
      <c r="L2982">
        <v>-20458</v>
      </c>
      <c r="M2982" s="7">
        <f t="shared" ca="1" si="190"/>
        <v>56.010951403148532</v>
      </c>
      <c r="N2982" s="5" t="str">
        <f ca="1">VLOOKUP(Data!M2982,temp!$B$3:$C$9,2,1)</f>
        <v>50-60</v>
      </c>
      <c r="O2982">
        <v>365243</v>
      </c>
      <c r="P2982" s="8">
        <f t="shared" si="191"/>
        <v>0</v>
      </c>
      <c r="Q2982" s="5" t="str">
        <f t="shared" si="193"/>
        <v>Unemployed</v>
      </c>
      <c r="R2982">
        <v>1</v>
      </c>
      <c r="S2982">
        <v>0</v>
      </c>
      <c r="T2982">
        <v>1</v>
      </c>
      <c r="U2982">
        <v>0</v>
      </c>
      <c r="W2982">
        <v>2</v>
      </c>
    </row>
    <row r="2983" spans="1:23" x14ac:dyDescent="0.2">
      <c r="A2983">
        <v>5096260</v>
      </c>
      <c r="B2983" t="s">
        <v>18</v>
      </c>
      <c r="C2983" t="s">
        <v>19</v>
      </c>
      <c r="D2983" t="s">
        <v>19</v>
      </c>
      <c r="E2983">
        <v>1</v>
      </c>
      <c r="F2983">
        <v>135000</v>
      </c>
      <c r="G2983" t="s">
        <v>31</v>
      </c>
      <c r="H2983" t="s">
        <v>27</v>
      </c>
      <c r="I2983" t="s">
        <v>28</v>
      </c>
      <c r="J2983" t="s">
        <v>24</v>
      </c>
      <c r="K2983" s="6">
        <f t="shared" ca="1" si="192"/>
        <v>30069</v>
      </c>
      <c r="L2983">
        <v>-15692</v>
      </c>
      <c r="M2983" s="7">
        <f t="shared" ca="1" si="190"/>
        <v>42.962354551676931</v>
      </c>
      <c r="N2983" s="5" t="str">
        <f ca="1">VLOOKUP(Data!M2983,temp!$B$3:$C$9,2,1)</f>
        <v>40-50</v>
      </c>
      <c r="O2983">
        <v>-9136</v>
      </c>
      <c r="P2983" s="8">
        <f t="shared" si="191"/>
        <v>25.013004791238878</v>
      </c>
      <c r="Q2983" s="5" t="str">
        <f t="shared" si="193"/>
        <v>Employed</v>
      </c>
      <c r="R2983">
        <v>1</v>
      </c>
      <c r="S2983">
        <v>1</v>
      </c>
      <c r="T2983">
        <v>1</v>
      </c>
      <c r="U2983">
        <v>0</v>
      </c>
      <c r="W2983">
        <v>3</v>
      </c>
    </row>
    <row r="2984" spans="1:23" x14ac:dyDescent="0.2">
      <c r="A2984">
        <v>5096261</v>
      </c>
      <c r="B2984" t="s">
        <v>18</v>
      </c>
      <c r="C2984" t="s">
        <v>19</v>
      </c>
      <c r="D2984" t="s">
        <v>19</v>
      </c>
      <c r="E2984">
        <v>1</v>
      </c>
      <c r="F2984">
        <v>135000</v>
      </c>
      <c r="G2984" t="s">
        <v>31</v>
      </c>
      <c r="H2984" t="s">
        <v>27</v>
      </c>
      <c r="I2984" t="s">
        <v>28</v>
      </c>
      <c r="J2984" t="s">
        <v>24</v>
      </c>
      <c r="K2984" s="6">
        <f t="shared" ca="1" si="192"/>
        <v>30069</v>
      </c>
      <c r="L2984">
        <v>-15692</v>
      </c>
      <c r="M2984" s="7">
        <f t="shared" ca="1" si="190"/>
        <v>42.962354551676931</v>
      </c>
      <c r="N2984" s="5" t="str">
        <f ca="1">VLOOKUP(Data!M2984,temp!$B$3:$C$9,2,1)</f>
        <v>40-50</v>
      </c>
      <c r="O2984">
        <v>-9136</v>
      </c>
      <c r="P2984" s="8">
        <f t="shared" si="191"/>
        <v>25.013004791238878</v>
      </c>
      <c r="Q2984" s="5" t="str">
        <f t="shared" si="193"/>
        <v>Employed</v>
      </c>
      <c r="R2984">
        <v>1</v>
      </c>
      <c r="S2984">
        <v>1</v>
      </c>
      <c r="T2984">
        <v>1</v>
      </c>
      <c r="U2984">
        <v>0</v>
      </c>
      <c r="W2984">
        <v>3</v>
      </c>
    </row>
    <row r="2985" spans="1:23" x14ac:dyDescent="0.2">
      <c r="A2985">
        <v>5096271</v>
      </c>
      <c r="B2985" t="s">
        <v>25</v>
      </c>
      <c r="C2985" t="s">
        <v>19</v>
      </c>
      <c r="D2985" t="s">
        <v>19</v>
      </c>
      <c r="E2985">
        <v>0</v>
      </c>
      <c r="F2985">
        <v>265500</v>
      </c>
      <c r="G2985" t="s">
        <v>31</v>
      </c>
      <c r="H2985" t="s">
        <v>22</v>
      </c>
      <c r="I2985" t="s">
        <v>33</v>
      </c>
      <c r="J2985" t="s">
        <v>24</v>
      </c>
      <c r="K2985" s="6">
        <f t="shared" ca="1" si="192"/>
        <v>23811</v>
      </c>
      <c r="L2985">
        <v>-21950</v>
      </c>
      <c r="M2985" s="7">
        <f t="shared" ca="1" si="190"/>
        <v>60.095824777549623</v>
      </c>
      <c r="N2985" s="5" t="str">
        <f ca="1">VLOOKUP(Data!M2985,temp!$B$3:$C$9,2,1)</f>
        <v>60-70</v>
      </c>
      <c r="O2985">
        <v>-3111</v>
      </c>
      <c r="P2985" s="8">
        <f t="shared" si="191"/>
        <v>8.517453798767967</v>
      </c>
      <c r="Q2985" s="5" t="str">
        <f t="shared" si="193"/>
        <v>Employed</v>
      </c>
      <c r="R2985">
        <v>1</v>
      </c>
      <c r="S2985">
        <v>0</v>
      </c>
      <c r="T2985">
        <v>0</v>
      </c>
      <c r="U2985">
        <v>0</v>
      </c>
      <c r="V2985" t="s">
        <v>29</v>
      </c>
      <c r="W2985">
        <v>1</v>
      </c>
    </row>
    <row r="2986" spans="1:23" x14ac:dyDescent="0.2">
      <c r="A2986">
        <v>5096278</v>
      </c>
      <c r="B2986" t="s">
        <v>18</v>
      </c>
      <c r="C2986" t="s">
        <v>19</v>
      </c>
      <c r="D2986" t="s">
        <v>19</v>
      </c>
      <c r="E2986">
        <v>0</v>
      </c>
      <c r="F2986">
        <v>360000</v>
      </c>
      <c r="G2986" t="s">
        <v>26</v>
      </c>
      <c r="H2986" t="s">
        <v>22</v>
      </c>
      <c r="I2986" t="s">
        <v>23</v>
      </c>
      <c r="J2986" t="s">
        <v>24</v>
      </c>
      <c r="K2986" s="6">
        <f t="shared" ca="1" si="192"/>
        <v>27593</v>
      </c>
      <c r="L2986">
        <v>-18168</v>
      </c>
      <c r="M2986" s="7">
        <f t="shared" ca="1" si="190"/>
        <v>49.741273100616013</v>
      </c>
      <c r="N2986" s="5" t="str">
        <f ca="1">VLOOKUP(Data!M2986,temp!$B$3:$C$9,2,1)</f>
        <v>40-50</v>
      </c>
      <c r="O2986">
        <v>-3931</v>
      </c>
      <c r="P2986" s="8">
        <f t="shared" si="191"/>
        <v>10.762491444216289</v>
      </c>
      <c r="Q2986" s="5" t="str">
        <f t="shared" si="193"/>
        <v>Employed</v>
      </c>
      <c r="R2986">
        <v>1</v>
      </c>
      <c r="S2986">
        <v>1</v>
      </c>
      <c r="T2986">
        <v>1</v>
      </c>
      <c r="U2986">
        <v>0</v>
      </c>
      <c r="W2986">
        <v>1</v>
      </c>
    </row>
    <row r="2987" spans="1:23" x14ac:dyDescent="0.2">
      <c r="A2987">
        <v>5096280</v>
      </c>
      <c r="B2987" t="s">
        <v>18</v>
      </c>
      <c r="C2987" t="s">
        <v>19</v>
      </c>
      <c r="D2987" t="s">
        <v>19</v>
      </c>
      <c r="E2987">
        <v>0</v>
      </c>
      <c r="F2987">
        <v>360000</v>
      </c>
      <c r="G2987" t="s">
        <v>26</v>
      </c>
      <c r="H2987" t="s">
        <v>22</v>
      </c>
      <c r="I2987" t="s">
        <v>23</v>
      </c>
      <c r="J2987" t="s">
        <v>24</v>
      </c>
      <c r="K2987" s="6">
        <f t="shared" ca="1" si="192"/>
        <v>27593</v>
      </c>
      <c r="L2987">
        <v>-18168</v>
      </c>
      <c r="M2987" s="7">
        <f t="shared" ca="1" si="190"/>
        <v>49.741273100616013</v>
      </c>
      <c r="N2987" s="5" t="str">
        <f ca="1">VLOOKUP(Data!M2987,temp!$B$3:$C$9,2,1)</f>
        <v>40-50</v>
      </c>
      <c r="O2987">
        <v>-3931</v>
      </c>
      <c r="P2987" s="8">
        <f t="shared" si="191"/>
        <v>10.762491444216289</v>
      </c>
      <c r="Q2987" s="5" t="str">
        <f t="shared" si="193"/>
        <v>Employed</v>
      </c>
      <c r="R2987">
        <v>1</v>
      </c>
      <c r="S2987">
        <v>1</v>
      </c>
      <c r="T2987">
        <v>1</v>
      </c>
      <c r="U2987">
        <v>0</v>
      </c>
      <c r="W2987">
        <v>1</v>
      </c>
    </row>
    <row r="2988" spans="1:23" x14ac:dyDescent="0.2">
      <c r="A2988">
        <v>5096291</v>
      </c>
      <c r="B2988" t="s">
        <v>18</v>
      </c>
      <c r="C2988" t="s">
        <v>19</v>
      </c>
      <c r="D2988" t="s">
        <v>19</v>
      </c>
      <c r="E2988">
        <v>0</v>
      </c>
      <c r="F2988">
        <v>76500</v>
      </c>
      <c r="G2988" t="s">
        <v>31</v>
      </c>
      <c r="H2988" t="s">
        <v>27</v>
      </c>
      <c r="I2988" t="s">
        <v>28</v>
      </c>
      <c r="J2988" t="s">
        <v>24</v>
      </c>
      <c r="K2988" s="6">
        <f t="shared" ca="1" si="192"/>
        <v>28360</v>
      </c>
      <c r="L2988">
        <v>-17401</v>
      </c>
      <c r="M2988" s="7">
        <f t="shared" ca="1" si="190"/>
        <v>47.641341546885698</v>
      </c>
      <c r="N2988" s="5" t="str">
        <f ca="1">VLOOKUP(Data!M2988,temp!$B$3:$C$9,2,1)</f>
        <v>40-50</v>
      </c>
      <c r="O2988">
        <v>-1346</v>
      </c>
      <c r="P2988" s="8">
        <f t="shared" si="191"/>
        <v>3.6851471594798082</v>
      </c>
      <c r="Q2988" s="5" t="str">
        <f t="shared" si="193"/>
        <v>Employed</v>
      </c>
      <c r="R2988">
        <v>1</v>
      </c>
      <c r="S2988">
        <v>1</v>
      </c>
      <c r="T2988">
        <v>0</v>
      </c>
      <c r="U2988">
        <v>0</v>
      </c>
      <c r="W2988">
        <v>2</v>
      </c>
    </row>
    <row r="2989" spans="1:23" x14ac:dyDescent="0.2">
      <c r="A2989">
        <v>5096301</v>
      </c>
      <c r="B2989" t="s">
        <v>18</v>
      </c>
      <c r="C2989" t="s">
        <v>19</v>
      </c>
      <c r="D2989" t="s">
        <v>19</v>
      </c>
      <c r="E2989">
        <v>1</v>
      </c>
      <c r="F2989">
        <v>112500</v>
      </c>
      <c r="G2989" t="s">
        <v>26</v>
      </c>
      <c r="H2989" t="s">
        <v>27</v>
      </c>
      <c r="I2989" t="s">
        <v>28</v>
      </c>
      <c r="J2989" t="s">
        <v>24</v>
      </c>
      <c r="K2989" s="6">
        <f t="shared" ca="1" si="192"/>
        <v>36441</v>
      </c>
      <c r="L2989">
        <v>-9320</v>
      </c>
      <c r="M2989" s="7">
        <f t="shared" ca="1" si="190"/>
        <v>25.516769336071185</v>
      </c>
      <c r="N2989" s="5" t="str">
        <f ca="1">VLOOKUP(Data!M2989,temp!$B$3:$C$9,2,1)</f>
        <v>20-30</v>
      </c>
      <c r="O2989">
        <v>-2257</v>
      </c>
      <c r="P2989" s="8">
        <f t="shared" si="191"/>
        <v>6.1793292265571527</v>
      </c>
      <c r="Q2989" s="5" t="str">
        <f t="shared" si="193"/>
        <v>Employed</v>
      </c>
      <c r="R2989">
        <v>1</v>
      </c>
      <c r="S2989">
        <v>0</v>
      </c>
      <c r="T2989">
        <v>0</v>
      </c>
      <c r="U2989">
        <v>0</v>
      </c>
      <c r="V2989" t="s">
        <v>47</v>
      </c>
      <c r="W2989">
        <v>3</v>
      </c>
    </row>
    <row r="2990" spans="1:23" x14ac:dyDescent="0.2">
      <c r="A2990">
        <v>5096306</v>
      </c>
      <c r="B2990" t="s">
        <v>18</v>
      </c>
      <c r="C2990" t="s">
        <v>19</v>
      </c>
      <c r="D2990" t="s">
        <v>19</v>
      </c>
      <c r="E2990">
        <v>1</v>
      </c>
      <c r="F2990">
        <v>112500</v>
      </c>
      <c r="G2990" t="s">
        <v>26</v>
      </c>
      <c r="H2990" t="s">
        <v>27</v>
      </c>
      <c r="I2990" t="s">
        <v>28</v>
      </c>
      <c r="J2990" t="s">
        <v>24</v>
      </c>
      <c r="K2990" s="6">
        <f t="shared" ca="1" si="192"/>
        <v>36441</v>
      </c>
      <c r="L2990">
        <v>-9320</v>
      </c>
      <c r="M2990" s="7">
        <f t="shared" ca="1" si="190"/>
        <v>25.516769336071185</v>
      </c>
      <c r="N2990" s="5" t="str">
        <f ca="1">VLOOKUP(Data!M2990,temp!$B$3:$C$9,2,1)</f>
        <v>20-30</v>
      </c>
      <c r="O2990">
        <v>-2257</v>
      </c>
      <c r="P2990" s="8">
        <f t="shared" si="191"/>
        <v>6.1793292265571527</v>
      </c>
      <c r="Q2990" s="5" t="str">
        <f t="shared" si="193"/>
        <v>Employed</v>
      </c>
      <c r="R2990">
        <v>1</v>
      </c>
      <c r="S2990">
        <v>0</v>
      </c>
      <c r="T2990">
        <v>0</v>
      </c>
      <c r="U2990">
        <v>0</v>
      </c>
      <c r="V2990" t="s">
        <v>47</v>
      </c>
      <c r="W2990">
        <v>3</v>
      </c>
    </row>
    <row r="2991" spans="1:23" x14ac:dyDescent="0.2">
      <c r="A2991">
        <v>5096314</v>
      </c>
      <c r="B2991" t="s">
        <v>18</v>
      </c>
      <c r="C2991" t="s">
        <v>20</v>
      </c>
      <c r="D2991" t="s">
        <v>19</v>
      </c>
      <c r="E2991">
        <v>0</v>
      </c>
      <c r="F2991">
        <v>81000</v>
      </c>
      <c r="G2991" t="s">
        <v>26</v>
      </c>
      <c r="H2991" t="s">
        <v>27</v>
      </c>
      <c r="I2991" t="s">
        <v>37</v>
      </c>
      <c r="J2991" t="s">
        <v>41</v>
      </c>
      <c r="K2991" s="6">
        <f t="shared" ca="1" si="192"/>
        <v>31604</v>
      </c>
      <c r="L2991">
        <v>-14157</v>
      </c>
      <c r="M2991" s="7">
        <f t="shared" ca="1" si="190"/>
        <v>38.75975359342916</v>
      </c>
      <c r="N2991" s="5" t="str">
        <f ca="1">VLOOKUP(Data!M2991,temp!$B$3:$C$9,2,1)</f>
        <v>30-40</v>
      </c>
      <c r="O2991">
        <v>-2349</v>
      </c>
      <c r="P2991" s="8">
        <f t="shared" si="191"/>
        <v>6.4312114989733056</v>
      </c>
      <c r="Q2991" s="5" t="str">
        <f t="shared" si="193"/>
        <v>Employed</v>
      </c>
      <c r="R2991">
        <v>1</v>
      </c>
      <c r="S2991">
        <v>0</v>
      </c>
      <c r="T2991">
        <v>0</v>
      </c>
      <c r="U2991">
        <v>0</v>
      </c>
      <c r="V2991" t="s">
        <v>29</v>
      </c>
      <c r="W2991">
        <v>2</v>
      </c>
    </row>
    <row r="2992" spans="1:23" x14ac:dyDescent="0.2">
      <c r="A2992">
        <v>5096330</v>
      </c>
      <c r="B2992" t="s">
        <v>18</v>
      </c>
      <c r="C2992" t="s">
        <v>19</v>
      </c>
      <c r="D2992" t="s">
        <v>19</v>
      </c>
      <c r="E2992">
        <v>0</v>
      </c>
      <c r="F2992">
        <v>112500</v>
      </c>
      <c r="G2992" t="s">
        <v>31</v>
      </c>
      <c r="H2992" t="s">
        <v>27</v>
      </c>
      <c r="I2992" t="s">
        <v>37</v>
      </c>
      <c r="J2992" t="s">
        <v>24</v>
      </c>
      <c r="K2992" s="6">
        <f t="shared" ca="1" si="192"/>
        <v>35458</v>
      </c>
      <c r="L2992">
        <v>-10303</v>
      </c>
      <c r="M2992" s="7">
        <f t="shared" ca="1" si="190"/>
        <v>28.208076659822041</v>
      </c>
      <c r="N2992" s="5" t="str">
        <f ca="1">VLOOKUP(Data!M2992,temp!$B$3:$C$9,2,1)</f>
        <v>20-30</v>
      </c>
      <c r="O2992">
        <v>-1527</v>
      </c>
      <c r="P2992" s="8">
        <f t="shared" si="191"/>
        <v>4.1806981519507183</v>
      </c>
      <c r="Q2992" s="5" t="str">
        <f t="shared" si="193"/>
        <v>Employed</v>
      </c>
      <c r="R2992">
        <v>1</v>
      </c>
      <c r="S2992">
        <v>1</v>
      </c>
      <c r="T2992">
        <v>1</v>
      </c>
      <c r="U2992">
        <v>0</v>
      </c>
      <c r="V2992" t="s">
        <v>29</v>
      </c>
      <c r="W2992">
        <v>2</v>
      </c>
    </row>
    <row r="2993" spans="1:23" x14ac:dyDescent="0.2">
      <c r="A2993">
        <v>5096339</v>
      </c>
      <c r="B2993" t="s">
        <v>18</v>
      </c>
      <c r="C2993" t="s">
        <v>20</v>
      </c>
      <c r="D2993" t="s">
        <v>19</v>
      </c>
      <c r="E2993">
        <v>0</v>
      </c>
      <c r="F2993">
        <v>153000</v>
      </c>
      <c r="G2993" t="s">
        <v>21</v>
      </c>
      <c r="H2993" t="s">
        <v>27</v>
      </c>
      <c r="I2993" t="s">
        <v>42</v>
      </c>
      <c r="J2993" t="s">
        <v>24</v>
      </c>
      <c r="K2993" s="6">
        <f t="shared" ca="1" si="192"/>
        <v>22082</v>
      </c>
      <c r="L2993">
        <v>-23679</v>
      </c>
      <c r="M2993" s="7">
        <f t="shared" ca="1" si="190"/>
        <v>64.829568788501021</v>
      </c>
      <c r="N2993" s="5" t="str">
        <f ca="1">VLOOKUP(Data!M2993,temp!$B$3:$C$9,2,1)</f>
        <v>60-70</v>
      </c>
      <c r="O2993">
        <v>365243</v>
      </c>
      <c r="P2993" s="8">
        <f t="shared" si="191"/>
        <v>0</v>
      </c>
      <c r="Q2993" s="5" t="str">
        <f t="shared" si="193"/>
        <v>Unemployed</v>
      </c>
      <c r="R2993">
        <v>1</v>
      </c>
      <c r="S2993">
        <v>0</v>
      </c>
      <c r="T2993">
        <v>1</v>
      </c>
      <c r="U2993">
        <v>0</v>
      </c>
      <c r="W2993">
        <v>1</v>
      </c>
    </row>
    <row r="2994" spans="1:23" x14ac:dyDescent="0.2">
      <c r="A2994">
        <v>5096348</v>
      </c>
      <c r="B2994" t="s">
        <v>25</v>
      </c>
      <c r="C2994" t="s">
        <v>20</v>
      </c>
      <c r="D2994" t="s">
        <v>19</v>
      </c>
      <c r="E2994">
        <v>0</v>
      </c>
      <c r="F2994">
        <v>315000</v>
      </c>
      <c r="G2994" t="s">
        <v>26</v>
      </c>
      <c r="H2994" t="s">
        <v>27</v>
      </c>
      <c r="I2994" t="s">
        <v>28</v>
      </c>
      <c r="J2994" t="s">
        <v>24</v>
      </c>
      <c r="K2994" s="6">
        <f t="shared" ca="1" si="192"/>
        <v>27547</v>
      </c>
      <c r="L2994">
        <v>-18214</v>
      </c>
      <c r="M2994" s="7">
        <f t="shared" ca="1" si="190"/>
        <v>49.86721423682409</v>
      </c>
      <c r="N2994" s="5" t="str">
        <f ca="1">VLOOKUP(Data!M2994,temp!$B$3:$C$9,2,1)</f>
        <v>40-50</v>
      </c>
      <c r="O2994">
        <v>-5210</v>
      </c>
      <c r="P2994" s="8">
        <f t="shared" si="191"/>
        <v>14.264202600958248</v>
      </c>
      <c r="Q2994" s="5" t="str">
        <f t="shared" si="193"/>
        <v>Employed</v>
      </c>
      <c r="R2994">
        <v>1</v>
      </c>
      <c r="S2994">
        <v>1</v>
      </c>
      <c r="T2994">
        <v>1</v>
      </c>
      <c r="U2994">
        <v>0</v>
      </c>
      <c r="V2994" t="s">
        <v>29</v>
      </c>
      <c r="W2994">
        <v>2</v>
      </c>
    </row>
    <row r="2995" spans="1:23" x14ac:dyDescent="0.2">
      <c r="A2995">
        <v>5096362</v>
      </c>
      <c r="B2995" t="s">
        <v>18</v>
      </c>
      <c r="C2995" t="s">
        <v>19</v>
      </c>
      <c r="D2995" t="s">
        <v>19</v>
      </c>
      <c r="E2995">
        <v>2</v>
      </c>
      <c r="F2995">
        <v>148500</v>
      </c>
      <c r="G2995" t="s">
        <v>31</v>
      </c>
      <c r="H2995" t="s">
        <v>27</v>
      </c>
      <c r="I2995" t="s">
        <v>37</v>
      </c>
      <c r="J2995" t="s">
        <v>24</v>
      </c>
      <c r="K2995" s="6">
        <f t="shared" ca="1" si="192"/>
        <v>32996</v>
      </c>
      <c r="L2995">
        <v>-12765</v>
      </c>
      <c r="M2995" s="7">
        <f t="shared" ca="1" si="190"/>
        <v>34.948665297741272</v>
      </c>
      <c r="N2995" s="5" t="str">
        <f ca="1">VLOOKUP(Data!M2995,temp!$B$3:$C$9,2,1)</f>
        <v>30-40</v>
      </c>
      <c r="O2995">
        <v>-1374</v>
      </c>
      <c r="P2995" s="8">
        <f t="shared" si="191"/>
        <v>3.761806981519507</v>
      </c>
      <c r="Q2995" s="5" t="str">
        <f t="shared" si="193"/>
        <v>Employed</v>
      </c>
      <c r="R2995">
        <v>1</v>
      </c>
      <c r="S2995">
        <v>0</v>
      </c>
      <c r="T2995">
        <v>0</v>
      </c>
      <c r="U2995">
        <v>0</v>
      </c>
      <c r="V2995" t="s">
        <v>39</v>
      </c>
      <c r="W2995">
        <v>4</v>
      </c>
    </row>
    <row r="2996" spans="1:23" x14ac:dyDescent="0.2">
      <c r="A2996">
        <v>5096379</v>
      </c>
      <c r="B2996" t="s">
        <v>18</v>
      </c>
      <c r="C2996" t="s">
        <v>20</v>
      </c>
      <c r="D2996" t="s">
        <v>19</v>
      </c>
      <c r="E2996">
        <v>2</v>
      </c>
      <c r="F2996">
        <v>243000</v>
      </c>
      <c r="G2996" t="s">
        <v>31</v>
      </c>
      <c r="H2996" t="s">
        <v>27</v>
      </c>
      <c r="I2996" t="s">
        <v>28</v>
      </c>
      <c r="J2996" t="s">
        <v>24</v>
      </c>
      <c r="K2996" s="6">
        <f t="shared" ca="1" si="192"/>
        <v>33899</v>
      </c>
      <c r="L2996">
        <v>-11862</v>
      </c>
      <c r="M2996" s="7">
        <f t="shared" ca="1" si="190"/>
        <v>32.476386036960989</v>
      </c>
      <c r="N2996" s="5" t="str">
        <f ca="1">VLOOKUP(Data!M2996,temp!$B$3:$C$9,2,1)</f>
        <v>30-40</v>
      </c>
      <c r="O2996">
        <v>-1770</v>
      </c>
      <c r="P2996" s="8">
        <f t="shared" si="191"/>
        <v>4.8459958932238196</v>
      </c>
      <c r="Q2996" s="5" t="str">
        <f t="shared" si="193"/>
        <v>Employed</v>
      </c>
      <c r="R2996">
        <v>1</v>
      </c>
      <c r="S2996">
        <v>0</v>
      </c>
      <c r="T2996">
        <v>0</v>
      </c>
      <c r="U2996">
        <v>0</v>
      </c>
      <c r="V2996" t="s">
        <v>50</v>
      </c>
      <c r="W2996">
        <v>4</v>
      </c>
    </row>
    <row r="2997" spans="1:23" x14ac:dyDescent="0.2">
      <c r="A2997">
        <v>5096381</v>
      </c>
      <c r="B2997" t="s">
        <v>18</v>
      </c>
      <c r="C2997" t="s">
        <v>20</v>
      </c>
      <c r="D2997" t="s">
        <v>19</v>
      </c>
      <c r="E2997">
        <v>2</v>
      </c>
      <c r="F2997">
        <v>243000</v>
      </c>
      <c r="G2997" t="s">
        <v>31</v>
      </c>
      <c r="H2997" t="s">
        <v>27</v>
      </c>
      <c r="I2997" t="s">
        <v>28</v>
      </c>
      <c r="J2997" t="s">
        <v>24</v>
      </c>
      <c r="K2997" s="6">
        <f t="shared" ca="1" si="192"/>
        <v>33899</v>
      </c>
      <c r="L2997">
        <v>-11862</v>
      </c>
      <c r="M2997" s="7">
        <f t="shared" ca="1" si="190"/>
        <v>32.476386036960989</v>
      </c>
      <c r="N2997" s="5" t="str">
        <f ca="1">VLOOKUP(Data!M2997,temp!$B$3:$C$9,2,1)</f>
        <v>30-40</v>
      </c>
      <c r="O2997">
        <v>-1770</v>
      </c>
      <c r="P2997" s="8">
        <f t="shared" si="191"/>
        <v>4.8459958932238196</v>
      </c>
      <c r="Q2997" s="5" t="str">
        <f t="shared" si="193"/>
        <v>Employed</v>
      </c>
      <c r="R2997">
        <v>1</v>
      </c>
      <c r="S2997">
        <v>0</v>
      </c>
      <c r="T2997">
        <v>0</v>
      </c>
      <c r="U2997">
        <v>0</v>
      </c>
      <c r="V2997" t="s">
        <v>50</v>
      </c>
      <c r="W2997">
        <v>4</v>
      </c>
    </row>
    <row r="2998" spans="1:23" x14ac:dyDescent="0.2">
      <c r="A2998">
        <v>5096419</v>
      </c>
      <c r="B2998" t="s">
        <v>18</v>
      </c>
      <c r="C2998" t="s">
        <v>19</v>
      </c>
      <c r="D2998" t="s">
        <v>19</v>
      </c>
      <c r="E2998">
        <v>0</v>
      </c>
      <c r="F2998">
        <v>76500</v>
      </c>
      <c r="G2998" t="s">
        <v>31</v>
      </c>
      <c r="H2998" t="s">
        <v>27</v>
      </c>
      <c r="I2998" t="s">
        <v>28</v>
      </c>
      <c r="J2998" t="s">
        <v>24</v>
      </c>
      <c r="K2998" s="6">
        <f t="shared" ca="1" si="192"/>
        <v>28885</v>
      </c>
      <c r="L2998">
        <v>-16876</v>
      </c>
      <c r="M2998" s="7">
        <f t="shared" ca="1" si="190"/>
        <v>46.203969883641342</v>
      </c>
      <c r="N2998" s="5" t="str">
        <f ca="1">VLOOKUP(Data!M2998,temp!$B$3:$C$9,2,1)</f>
        <v>40-50</v>
      </c>
      <c r="O2998">
        <v>-97</v>
      </c>
      <c r="P2998" s="8">
        <f t="shared" si="191"/>
        <v>0.2655715263518138</v>
      </c>
      <c r="Q2998" s="5" t="str">
        <f t="shared" si="193"/>
        <v>Employed</v>
      </c>
      <c r="R2998">
        <v>1</v>
      </c>
      <c r="S2998">
        <v>1</v>
      </c>
      <c r="T2998">
        <v>0</v>
      </c>
      <c r="U2998">
        <v>0</v>
      </c>
      <c r="W2998">
        <v>2</v>
      </c>
    </row>
    <row r="2999" spans="1:23" x14ac:dyDescent="0.2">
      <c r="A2999">
        <v>5096425</v>
      </c>
      <c r="B2999" t="s">
        <v>25</v>
      </c>
      <c r="C2999" t="s">
        <v>20</v>
      </c>
      <c r="D2999" t="s">
        <v>19</v>
      </c>
      <c r="E2999">
        <v>0</v>
      </c>
      <c r="F2999">
        <v>270000</v>
      </c>
      <c r="G2999" t="s">
        <v>26</v>
      </c>
      <c r="H2999" t="s">
        <v>22</v>
      </c>
      <c r="I2999" t="s">
        <v>23</v>
      </c>
      <c r="J2999" t="s">
        <v>24</v>
      </c>
      <c r="K2999" s="6">
        <f t="shared" ca="1" si="192"/>
        <v>34140</v>
      </c>
      <c r="L2999">
        <v>-11621</v>
      </c>
      <c r="M2999" s="7">
        <f t="shared" ca="1" si="190"/>
        <v>31.816563997262151</v>
      </c>
      <c r="N2999" s="5" t="str">
        <f ca="1">VLOOKUP(Data!M2999,temp!$B$3:$C$9,2,1)</f>
        <v>30-40</v>
      </c>
      <c r="O2999">
        <v>-2349</v>
      </c>
      <c r="P2999" s="8">
        <f t="shared" si="191"/>
        <v>6.4312114989733056</v>
      </c>
      <c r="Q2999" s="5" t="str">
        <f t="shared" si="193"/>
        <v>Employed</v>
      </c>
      <c r="R2999">
        <v>1</v>
      </c>
      <c r="S2999">
        <v>0</v>
      </c>
      <c r="T2999">
        <v>1</v>
      </c>
      <c r="U2999">
        <v>0</v>
      </c>
      <c r="W2999">
        <v>1</v>
      </c>
    </row>
    <row r="3000" spans="1:23" x14ac:dyDescent="0.2">
      <c r="A3000">
        <v>5096429</v>
      </c>
      <c r="B3000" t="s">
        <v>18</v>
      </c>
      <c r="C3000" t="s">
        <v>19</v>
      </c>
      <c r="D3000" t="s">
        <v>19</v>
      </c>
      <c r="E3000">
        <v>0</v>
      </c>
      <c r="F3000">
        <v>90000</v>
      </c>
      <c r="G3000" t="s">
        <v>26</v>
      </c>
      <c r="H3000" t="s">
        <v>27</v>
      </c>
      <c r="I3000" t="s">
        <v>33</v>
      </c>
      <c r="J3000" t="s">
        <v>24</v>
      </c>
      <c r="K3000" s="6">
        <f t="shared" ca="1" si="192"/>
        <v>29813</v>
      </c>
      <c r="L3000">
        <v>-15948</v>
      </c>
      <c r="M3000" s="7">
        <f t="shared" ca="1" si="190"/>
        <v>43.663244353182755</v>
      </c>
      <c r="N3000" s="5" t="str">
        <f ca="1">VLOOKUP(Data!M3000,temp!$B$3:$C$9,2,1)</f>
        <v>40-50</v>
      </c>
      <c r="O3000">
        <v>-4572</v>
      </c>
      <c r="P3000" s="8">
        <f t="shared" si="191"/>
        <v>12.517453798767967</v>
      </c>
      <c r="Q3000" s="5" t="str">
        <f t="shared" si="193"/>
        <v>Employed</v>
      </c>
      <c r="R3000">
        <v>1</v>
      </c>
      <c r="S3000">
        <v>0</v>
      </c>
      <c r="T3000">
        <v>0</v>
      </c>
      <c r="U3000">
        <v>0</v>
      </c>
      <c r="V3000" t="s">
        <v>29</v>
      </c>
      <c r="W3000">
        <v>1</v>
      </c>
    </row>
    <row r="3001" spans="1:23" x14ac:dyDescent="0.2">
      <c r="A3001">
        <v>5096436</v>
      </c>
      <c r="B3001" t="s">
        <v>18</v>
      </c>
      <c r="C3001" t="s">
        <v>19</v>
      </c>
      <c r="D3001" t="s">
        <v>19</v>
      </c>
      <c r="E3001">
        <v>0</v>
      </c>
      <c r="F3001">
        <v>112500</v>
      </c>
      <c r="G3001" t="s">
        <v>31</v>
      </c>
      <c r="H3001" t="s">
        <v>27</v>
      </c>
      <c r="I3001" t="s">
        <v>28</v>
      </c>
      <c r="J3001" t="s">
        <v>24</v>
      </c>
      <c r="K3001" s="6">
        <f t="shared" ca="1" si="192"/>
        <v>26542</v>
      </c>
      <c r="L3001">
        <v>-19219</v>
      </c>
      <c r="M3001" s="7">
        <f t="shared" ca="1" si="190"/>
        <v>52.618754277891853</v>
      </c>
      <c r="N3001" s="5" t="str">
        <f ca="1">VLOOKUP(Data!M3001,temp!$B$3:$C$9,2,1)</f>
        <v>50-60</v>
      </c>
      <c r="O3001">
        <v>-2835</v>
      </c>
      <c r="P3001" s="8">
        <f t="shared" si="191"/>
        <v>7.7618069815195074</v>
      </c>
      <c r="Q3001" s="5" t="str">
        <f t="shared" si="193"/>
        <v>Employed</v>
      </c>
      <c r="R3001">
        <v>1</v>
      </c>
      <c r="S3001">
        <v>0</v>
      </c>
      <c r="T3001">
        <v>0</v>
      </c>
      <c r="U3001">
        <v>0</v>
      </c>
      <c r="W3001">
        <v>2</v>
      </c>
    </row>
    <row r="3002" spans="1:23" x14ac:dyDescent="0.2">
      <c r="A3002">
        <v>5096442</v>
      </c>
      <c r="B3002" t="s">
        <v>18</v>
      </c>
      <c r="C3002" t="s">
        <v>19</v>
      </c>
      <c r="D3002" t="s">
        <v>19</v>
      </c>
      <c r="E3002">
        <v>0</v>
      </c>
      <c r="F3002">
        <v>112500</v>
      </c>
      <c r="G3002" t="s">
        <v>31</v>
      </c>
      <c r="H3002" t="s">
        <v>27</v>
      </c>
      <c r="I3002" t="s">
        <v>23</v>
      </c>
      <c r="J3002" t="s">
        <v>24</v>
      </c>
      <c r="K3002" s="6">
        <f t="shared" ca="1" si="192"/>
        <v>26729</v>
      </c>
      <c r="L3002">
        <v>-19032</v>
      </c>
      <c r="M3002" s="7">
        <f t="shared" ca="1" si="190"/>
        <v>52.106776180698155</v>
      </c>
      <c r="N3002" s="5" t="str">
        <f ca="1">VLOOKUP(Data!M3002,temp!$B$3:$C$9,2,1)</f>
        <v>50-60</v>
      </c>
      <c r="O3002">
        <v>-7249</v>
      </c>
      <c r="P3002" s="8">
        <f t="shared" si="191"/>
        <v>19.846680355920601</v>
      </c>
      <c r="Q3002" s="5" t="str">
        <f t="shared" si="193"/>
        <v>Employed</v>
      </c>
      <c r="R3002">
        <v>1</v>
      </c>
      <c r="S3002">
        <v>0</v>
      </c>
      <c r="T3002">
        <v>0</v>
      </c>
      <c r="U3002">
        <v>0</v>
      </c>
      <c r="V3002" t="s">
        <v>40</v>
      </c>
      <c r="W3002">
        <v>1</v>
      </c>
    </row>
    <row r="3003" spans="1:23" x14ac:dyDescent="0.2">
      <c r="A3003">
        <v>5096445</v>
      </c>
      <c r="B3003" t="s">
        <v>18</v>
      </c>
      <c r="C3003" t="s">
        <v>19</v>
      </c>
      <c r="D3003" t="s">
        <v>19</v>
      </c>
      <c r="E3003">
        <v>1</v>
      </c>
      <c r="F3003">
        <v>144000</v>
      </c>
      <c r="G3003" t="s">
        <v>26</v>
      </c>
      <c r="H3003" t="s">
        <v>22</v>
      </c>
      <c r="I3003" t="s">
        <v>28</v>
      </c>
      <c r="J3003" t="s">
        <v>24</v>
      </c>
      <c r="K3003" s="6">
        <f t="shared" ca="1" si="192"/>
        <v>33008</v>
      </c>
      <c r="L3003">
        <v>-12753</v>
      </c>
      <c r="M3003" s="7">
        <f t="shared" ca="1" si="190"/>
        <v>34.91581108829569</v>
      </c>
      <c r="N3003" s="5" t="str">
        <f ca="1">VLOOKUP(Data!M3003,temp!$B$3:$C$9,2,1)</f>
        <v>30-40</v>
      </c>
      <c r="O3003">
        <v>-1315</v>
      </c>
      <c r="P3003" s="8">
        <f t="shared" si="191"/>
        <v>3.6002737850787132</v>
      </c>
      <c r="Q3003" s="5" t="str">
        <f t="shared" si="193"/>
        <v>Employed</v>
      </c>
      <c r="R3003">
        <v>1</v>
      </c>
      <c r="S3003">
        <v>1</v>
      </c>
      <c r="T3003">
        <v>1</v>
      </c>
      <c r="U3003">
        <v>0</v>
      </c>
      <c r="W3003">
        <v>3</v>
      </c>
    </row>
    <row r="3004" spans="1:23" x14ac:dyDescent="0.2">
      <c r="A3004">
        <v>5096446</v>
      </c>
      <c r="B3004" t="s">
        <v>18</v>
      </c>
      <c r="C3004" t="s">
        <v>19</v>
      </c>
      <c r="D3004" t="s">
        <v>19</v>
      </c>
      <c r="E3004">
        <v>1</v>
      </c>
      <c r="F3004">
        <v>144000</v>
      </c>
      <c r="G3004" t="s">
        <v>26</v>
      </c>
      <c r="H3004" t="s">
        <v>22</v>
      </c>
      <c r="I3004" t="s">
        <v>28</v>
      </c>
      <c r="J3004" t="s">
        <v>24</v>
      </c>
      <c r="K3004" s="6">
        <f t="shared" ca="1" si="192"/>
        <v>33008</v>
      </c>
      <c r="L3004">
        <v>-12753</v>
      </c>
      <c r="M3004" s="7">
        <f t="shared" ca="1" si="190"/>
        <v>34.91581108829569</v>
      </c>
      <c r="N3004" s="5" t="str">
        <f ca="1">VLOOKUP(Data!M3004,temp!$B$3:$C$9,2,1)</f>
        <v>30-40</v>
      </c>
      <c r="O3004">
        <v>-1315</v>
      </c>
      <c r="P3004" s="8">
        <f t="shared" si="191"/>
        <v>3.6002737850787132</v>
      </c>
      <c r="Q3004" s="5" t="str">
        <f t="shared" si="193"/>
        <v>Employed</v>
      </c>
      <c r="R3004">
        <v>1</v>
      </c>
      <c r="S3004">
        <v>1</v>
      </c>
      <c r="T3004">
        <v>1</v>
      </c>
      <c r="U3004">
        <v>0</v>
      </c>
      <c r="W3004">
        <v>3</v>
      </c>
    </row>
    <row r="3005" spans="1:23" x14ac:dyDescent="0.2">
      <c r="A3005">
        <v>5096452</v>
      </c>
      <c r="B3005" t="s">
        <v>18</v>
      </c>
      <c r="C3005" t="s">
        <v>19</v>
      </c>
      <c r="D3005" t="s">
        <v>19</v>
      </c>
      <c r="E3005">
        <v>1</v>
      </c>
      <c r="F3005">
        <v>144000</v>
      </c>
      <c r="G3005" t="s">
        <v>26</v>
      </c>
      <c r="H3005" t="s">
        <v>22</v>
      </c>
      <c r="I3005" t="s">
        <v>28</v>
      </c>
      <c r="J3005" t="s">
        <v>24</v>
      </c>
      <c r="K3005" s="6">
        <f t="shared" ca="1" si="192"/>
        <v>33008</v>
      </c>
      <c r="L3005">
        <v>-12753</v>
      </c>
      <c r="M3005" s="7">
        <f t="shared" ca="1" si="190"/>
        <v>34.91581108829569</v>
      </c>
      <c r="N3005" s="5" t="str">
        <f ca="1">VLOOKUP(Data!M3005,temp!$B$3:$C$9,2,1)</f>
        <v>30-40</v>
      </c>
      <c r="O3005">
        <v>-1315</v>
      </c>
      <c r="P3005" s="8">
        <f t="shared" si="191"/>
        <v>3.6002737850787132</v>
      </c>
      <c r="Q3005" s="5" t="str">
        <f t="shared" si="193"/>
        <v>Employed</v>
      </c>
      <c r="R3005">
        <v>1</v>
      </c>
      <c r="S3005">
        <v>1</v>
      </c>
      <c r="T3005">
        <v>1</v>
      </c>
      <c r="U3005">
        <v>0</v>
      </c>
      <c r="W3005">
        <v>3</v>
      </c>
    </row>
    <row r="3006" spans="1:23" x14ac:dyDescent="0.2">
      <c r="A3006">
        <v>5096476</v>
      </c>
      <c r="B3006" t="s">
        <v>18</v>
      </c>
      <c r="C3006" t="s">
        <v>19</v>
      </c>
      <c r="D3006" t="s">
        <v>19</v>
      </c>
      <c r="E3006">
        <v>0</v>
      </c>
      <c r="F3006">
        <v>112500</v>
      </c>
      <c r="G3006" t="s">
        <v>31</v>
      </c>
      <c r="H3006" t="s">
        <v>27</v>
      </c>
      <c r="I3006" t="s">
        <v>28</v>
      </c>
      <c r="J3006" t="s">
        <v>24</v>
      </c>
      <c r="K3006" s="6">
        <f t="shared" ca="1" si="192"/>
        <v>22606</v>
      </c>
      <c r="L3006">
        <v>-23155</v>
      </c>
      <c r="M3006" s="7">
        <f t="shared" ca="1" si="190"/>
        <v>63.394934976043807</v>
      </c>
      <c r="N3006" s="5" t="str">
        <f ca="1">VLOOKUP(Data!M3006,temp!$B$3:$C$9,2,1)</f>
        <v>60-70</v>
      </c>
      <c r="O3006">
        <v>-401</v>
      </c>
      <c r="P3006" s="8">
        <f t="shared" si="191"/>
        <v>1.0978781656399725</v>
      </c>
      <c r="Q3006" s="5" t="str">
        <f t="shared" si="193"/>
        <v>Employed</v>
      </c>
      <c r="R3006">
        <v>1</v>
      </c>
      <c r="S3006">
        <v>0</v>
      </c>
      <c r="T3006">
        <v>1</v>
      </c>
      <c r="U3006">
        <v>0</v>
      </c>
      <c r="V3006" t="s">
        <v>46</v>
      </c>
      <c r="W3006">
        <v>2</v>
      </c>
    </row>
    <row r="3007" spans="1:23" x14ac:dyDescent="0.2">
      <c r="A3007">
        <v>5096492</v>
      </c>
      <c r="B3007" t="s">
        <v>18</v>
      </c>
      <c r="C3007" t="s">
        <v>19</v>
      </c>
      <c r="D3007" t="s">
        <v>19</v>
      </c>
      <c r="E3007">
        <v>2</v>
      </c>
      <c r="F3007">
        <v>103500</v>
      </c>
      <c r="G3007" t="s">
        <v>26</v>
      </c>
      <c r="H3007" t="s">
        <v>22</v>
      </c>
      <c r="I3007" t="s">
        <v>28</v>
      </c>
      <c r="J3007" t="s">
        <v>24</v>
      </c>
      <c r="K3007" s="6">
        <f t="shared" ca="1" si="192"/>
        <v>32774</v>
      </c>
      <c r="L3007">
        <v>-12987</v>
      </c>
      <c r="M3007" s="7">
        <f t="shared" ca="1" si="190"/>
        <v>35.5564681724846</v>
      </c>
      <c r="N3007" s="5" t="str">
        <f ca="1">VLOOKUP(Data!M3007,temp!$B$3:$C$9,2,1)</f>
        <v>30-40</v>
      </c>
      <c r="O3007">
        <v>-3537</v>
      </c>
      <c r="P3007" s="8">
        <f t="shared" si="191"/>
        <v>9.6837782340862422</v>
      </c>
      <c r="Q3007" s="5" t="str">
        <f t="shared" si="193"/>
        <v>Employed</v>
      </c>
      <c r="R3007">
        <v>1</v>
      </c>
      <c r="S3007">
        <v>0</v>
      </c>
      <c r="T3007">
        <v>1</v>
      </c>
      <c r="U3007">
        <v>0</v>
      </c>
      <c r="V3007" t="s">
        <v>47</v>
      </c>
      <c r="W3007">
        <v>4</v>
      </c>
    </row>
    <row r="3008" spans="1:23" x14ac:dyDescent="0.2">
      <c r="A3008">
        <v>5096516</v>
      </c>
      <c r="B3008" t="s">
        <v>18</v>
      </c>
      <c r="C3008" t="s">
        <v>19</v>
      </c>
      <c r="D3008" t="s">
        <v>19</v>
      </c>
      <c r="E3008">
        <v>0</v>
      </c>
      <c r="F3008">
        <v>189000</v>
      </c>
      <c r="G3008" t="s">
        <v>26</v>
      </c>
      <c r="H3008" t="s">
        <v>27</v>
      </c>
      <c r="I3008" t="s">
        <v>37</v>
      </c>
      <c r="J3008" t="s">
        <v>24</v>
      </c>
      <c r="K3008" s="6">
        <f t="shared" ca="1" si="192"/>
        <v>29366</v>
      </c>
      <c r="L3008">
        <v>-16395</v>
      </c>
      <c r="M3008" s="7">
        <f t="shared" ca="1" si="190"/>
        <v>44.887063655030801</v>
      </c>
      <c r="N3008" s="5" t="str">
        <f ca="1">VLOOKUP(Data!M3008,temp!$B$3:$C$9,2,1)</f>
        <v>40-50</v>
      </c>
      <c r="O3008">
        <v>-523</v>
      </c>
      <c r="P3008" s="8">
        <f t="shared" si="191"/>
        <v>1.431895961670089</v>
      </c>
      <c r="Q3008" s="5" t="str">
        <f t="shared" si="193"/>
        <v>Employed</v>
      </c>
      <c r="R3008">
        <v>1</v>
      </c>
      <c r="S3008">
        <v>0</v>
      </c>
      <c r="T3008">
        <v>0</v>
      </c>
      <c r="U3008">
        <v>0</v>
      </c>
      <c r="V3008" t="s">
        <v>32</v>
      </c>
      <c r="W3008">
        <v>2</v>
      </c>
    </row>
    <row r="3009" spans="1:23" x14ac:dyDescent="0.2">
      <c r="A3009">
        <v>5096518</v>
      </c>
      <c r="B3009" t="s">
        <v>18</v>
      </c>
      <c r="C3009" t="s">
        <v>19</v>
      </c>
      <c r="D3009" t="s">
        <v>19</v>
      </c>
      <c r="E3009">
        <v>0</v>
      </c>
      <c r="F3009">
        <v>189000</v>
      </c>
      <c r="G3009" t="s">
        <v>26</v>
      </c>
      <c r="H3009" t="s">
        <v>27</v>
      </c>
      <c r="I3009" t="s">
        <v>37</v>
      </c>
      <c r="J3009" t="s">
        <v>24</v>
      </c>
      <c r="K3009" s="6">
        <f t="shared" ca="1" si="192"/>
        <v>29366</v>
      </c>
      <c r="L3009">
        <v>-16395</v>
      </c>
      <c r="M3009" s="7">
        <f t="shared" ca="1" si="190"/>
        <v>44.887063655030801</v>
      </c>
      <c r="N3009" s="5" t="str">
        <f ca="1">VLOOKUP(Data!M3009,temp!$B$3:$C$9,2,1)</f>
        <v>40-50</v>
      </c>
      <c r="O3009">
        <v>-523</v>
      </c>
      <c r="P3009" s="8">
        <f t="shared" si="191"/>
        <v>1.431895961670089</v>
      </c>
      <c r="Q3009" s="5" t="str">
        <f t="shared" si="193"/>
        <v>Employed</v>
      </c>
      <c r="R3009">
        <v>1</v>
      </c>
      <c r="S3009">
        <v>0</v>
      </c>
      <c r="T3009">
        <v>0</v>
      </c>
      <c r="U3009">
        <v>0</v>
      </c>
      <c r="V3009" t="s">
        <v>32</v>
      </c>
      <c r="W3009">
        <v>2</v>
      </c>
    </row>
    <row r="3010" spans="1:23" x14ac:dyDescent="0.2">
      <c r="A3010">
        <v>5096526</v>
      </c>
      <c r="B3010" t="s">
        <v>18</v>
      </c>
      <c r="C3010" t="s">
        <v>19</v>
      </c>
      <c r="D3010" t="s">
        <v>19</v>
      </c>
      <c r="E3010">
        <v>0</v>
      </c>
      <c r="F3010">
        <v>135000</v>
      </c>
      <c r="G3010" t="s">
        <v>31</v>
      </c>
      <c r="H3010" t="s">
        <v>27</v>
      </c>
      <c r="I3010" t="s">
        <v>42</v>
      </c>
      <c r="J3010" t="s">
        <v>43</v>
      </c>
      <c r="K3010" s="6">
        <f t="shared" ca="1" si="192"/>
        <v>25749</v>
      </c>
      <c r="L3010">
        <v>-20012</v>
      </c>
      <c r="M3010" s="7">
        <f t="shared" ca="1" si="190"/>
        <v>54.789869952087614</v>
      </c>
      <c r="N3010" s="5" t="str">
        <f ca="1">VLOOKUP(Data!M3010,temp!$B$3:$C$9,2,1)</f>
        <v>50-60</v>
      </c>
      <c r="O3010">
        <v>-584</v>
      </c>
      <c r="P3010" s="8">
        <f t="shared" si="191"/>
        <v>1.5989048596851472</v>
      </c>
      <c r="Q3010" s="5" t="str">
        <f t="shared" si="193"/>
        <v>Employed</v>
      </c>
      <c r="R3010">
        <v>1</v>
      </c>
      <c r="S3010">
        <v>0</v>
      </c>
      <c r="T3010">
        <v>0</v>
      </c>
      <c r="U3010">
        <v>0</v>
      </c>
      <c r="V3010" t="s">
        <v>38</v>
      </c>
      <c r="W3010">
        <v>1</v>
      </c>
    </row>
    <row r="3011" spans="1:23" x14ac:dyDescent="0.2">
      <c r="A3011">
        <v>5096538</v>
      </c>
      <c r="B3011" t="s">
        <v>18</v>
      </c>
      <c r="C3011" t="s">
        <v>20</v>
      </c>
      <c r="D3011" t="s">
        <v>19</v>
      </c>
      <c r="E3011">
        <v>0</v>
      </c>
      <c r="F3011">
        <v>216000</v>
      </c>
      <c r="G3011" t="s">
        <v>26</v>
      </c>
      <c r="H3011" t="s">
        <v>27</v>
      </c>
      <c r="I3011" t="s">
        <v>28</v>
      </c>
      <c r="J3011" t="s">
        <v>24</v>
      </c>
      <c r="K3011" s="6">
        <f t="shared" ca="1" si="192"/>
        <v>30986</v>
      </c>
      <c r="L3011">
        <v>-14775</v>
      </c>
      <c r="M3011" s="7">
        <f t="shared" ref="M3011:M3074" ca="1" si="194">(TODAY()-K3011)/365.25</f>
        <v>40.451745379876797</v>
      </c>
      <c r="N3011" s="5" t="str">
        <f ca="1">VLOOKUP(Data!M3011,temp!$B$3:$C$9,2,1)</f>
        <v>40-50</v>
      </c>
      <c r="O3011">
        <v>-4327</v>
      </c>
      <c r="P3011" s="8">
        <f t="shared" ref="P3011:P3074" si="195">IF(O3011&lt;=0,ABS(O3011)/365.25,0)</f>
        <v>11.846680355920602</v>
      </c>
      <c r="Q3011" s="5" t="str">
        <f t="shared" si="193"/>
        <v>Employed</v>
      </c>
      <c r="R3011">
        <v>1</v>
      </c>
      <c r="S3011">
        <v>1</v>
      </c>
      <c r="T3011">
        <v>0</v>
      </c>
      <c r="U3011">
        <v>0</v>
      </c>
      <c r="V3011" t="s">
        <v>50</v>
      </c>
      <c r="W3011">
        <v>2</v>
      </c>
    </row>
    <row r="3012" spans="1:23" x14ac:dyDescent="0.2">
      <c r="A3012">
        <v>5096570</v>
      </c>
      <c r="B3012" t="s">
        <v>25</v>
      </c>
      <c r="C3012" t="s">
        <v>20</v>
      </c>
      <c r="D3012" t="s">
        <v>19</v>
      </c>
      <c r="E3012">
        <v>0</v>
      </c>
      <c r="F3012">
        <v>225000</v>
      </c>
      <c r="G3012" t="s">
        <v>21</v>
      </c>
      <c r="H3012" t="s">
        <v>22</v>
      </c>
      <c r="I3012" t="s">
        <v>28</v>
      </c>
      <c r="J3012" t="s">
        <v>24</v>
      </c>
      <c r="K3012" s="6">
        <f t="shared" ca="1" si="192"/>
        <v>25938</v>
      </c>
      <c r="L3012">
        <v>-19823</v>
      </c>
      <c r="M3012" s="7">
        <f t="shared" ca="1" si="194"/>
        <v>54.272416153319647</v>
      </c>
      <c r="N3012" s="5" t="str">
        <f ca="1">VLOOKUP(Data!M3012,temp!$B$3:$C$9,2,1)</f>
        <v>50-60</v>
      </c>
      <c r="O3012">
        <v>365243</v>
      </c>
      <c r="P3012" s="8">
        <f t="shared" si="195"/>
        <v>0</v>
      </c>
      <c r="Q3012" s="5" t="str">
        <f t="shared" si="193"/>
        <v>Unemployed</v>
      </c>
      <c r="R3012">
        <v>1</v>
      </c>
      <c r="S3012">
        <v>0</v>
      </c>
      <c r="T3012">
        <v>1</v>
      </c>
      <c r="U3012">
        <v>0</v>
      </c>
      <c r="W3012">
        <v>2</v>
      </c>
    </row>
    <row r="3013" spans="1:23" x14ac:dyDescent="0.2">
      <c r="A3013">
        <v>5096572</v>
      </c>
      <c r="B3013" t="s">
        <v>25</v>
      </c>
      <c r="C3013" t="s">
        <v>20</v>
      </c>
      <c r="D3013" t="s">
        <v>19</v>
      </c>
      <c r="E3013">
        <v>0</v>
      </c>
      <c r="F3013">
        <v>225000</v>
      </c>
      <c r="G3013" t="s">
        <v>21</v>
      </c>
      <c r="H3013" t="s">
        <v>22</v>
      </c>
      <c r="I3013" t="s">
        <v>28</v>
      </c>
      <c r="J3013" t="s">
        <v>24</v>
      </c>
      <c r="K3013" s="6">
        <f t="shared" ca="1" si="192"/>
        <v>25938</v>
      </c>
      <c r="L3013">
        <v>-19823</v>
      </c>
      <c r="M3013" s="7">
        <f t="shared" ca="1" si="194"/>
        <v>54.272416153319647</v>
      </c>
      <c r="N3013" s="5" t="str">
        <f ca="1">VLOOKUP(Data!M3013,temp!$B$3:$C$9,2,1)</f>
        <v>50-60</v>
      </c>
      <c r="O3013">
        <v>365243</v>
      </c>
      <c r="P3013" s="8">
        <f t="shared" si="195"/>
        <v>0</v>
      </c>
      <c r="Q3013" s="5" t="str">
        <f t="shared" si="193"/>
        <v>Unemployed</v>
      </c>
      <c r="R3013">
        <v>1</v>
      </c>
      <c r="S3013">
        <v>0</v>
      </c>
      <c r="T3013">
        <v>1</v>
      </c>
      <c r="U3013">
        <v>0</v>
      </c>
      <c r="W3013">
        <v>2</v>
      </c>
    </row>
    <row r="3014" spans="1:23" x14ac:dyDescent="0.2">
      <c r="A3014">
        <v>5096575</v>
      </c>
      <c r="B3014" t="s">
        <v>18</v>
      </c>
      <c r="C3014" t="s">
        <v>19</v>
      </c>
      <c r="D3014" t="s">
        <v>19</v>
      </c>
      <c r="E3014">
        <v>0</v>
      </c>
      <c r="F3014">
        <v>117000</v>
      </c>
      <c r="G3014" t="s">
        <v>21</v>
      </c>
      <c r="H3014" t="s">
        <v>27</v>
      </c>
      <c r="I3014" t="s">
        <v>28</v>
      </c>
      <c r="J3014" t="s">
        <v>24</v>
      </c>
      <c r="K3014" s="6">
        <f t="shared" ca="1" si="192"/>
        <v>22478</v>
      </c>
      <c r="L3014">
        <v>-23283</v>
      </c>
      <c r="M3014" s="7">
        <f t="shared" ca="1" si="194"/>
        <v>63.745379876796711</v>
      </c>
      <c r="N3014" s="5" t="str">
        <f ca="1">VLOOKUP(Data!M3014,temp!$B$3:$C$9,2,1)</f>
        <v>60-70</v>
      </c>
      <c r="O3014">
        <v>365243</v>
      </c>
      <c r="P3014" s="8">
        <f t="shared" si="195"/>
        <v>0</v>
      </c>
      <c r="Q3014" s="5" t="str">
        <f t="shared" si="193"/>
        <v>Unemployed</v>
      </c>
      <c r="R3014">
        <v>1</v>
      </c>
      <c r="S3014">
        <v>0</v>
      </c>
      <c r="T3014">
        <v>1</v>
      </c>
      <c r="U3014">
        <v>0</v>
      </c>
      <c r="W3014">
        <v>2</v>
      </c>
    </row>
    <row r="3015" spans="1:23" x14ac:dyDescent="0.2">
      <c r="A3015">
        <v>5096592</v>
      </c>
      <c r="B3015" t="s">
        <v>18</v>
      </c>
      <c r="C3015" t="s">
        <v>19</v>
      </c>
      <c r="D3015" t="s">
        <v>19</v>
      </c>
      <c r="E3015">
        <v>0</v>
      </c>
      <c r="F3015">
        <v>202500</v>
      </c>
      <c r="G3015" t="s">
        <v>31</v>
      </c>
      <c r="H3015" t="s">
        <v>27</v>
      </c>
      <c r="I3015" t="s">
        <v>33</v>
      </c>
      <c r="J3015" t="s">
        <v>24</v>
      </c>
      <c r="K3015" s="6">
        <f t="shared" ca="1" si="192"/>
        <v>34363</v>
      </c>
      <c r="L3015">
        <v>-11398</v>
      </c>
      <c r="M3015" s="7">
        <f t="shared" ca="1" si="194"/>
        <v>31.206023271731691</v>
      </c>
      <c r="N3015" s="5" t="str">
        <f ca="1">VLOOKUP(Data!M3015,temp!$B$3:$C$9,2,1)</f>
        <v>30-40</v>
      </c>
      <c r="O3015">
        <v>-1619</v>
      </c>
      <c r="P3015" s="8">
        <f t="shared" si="195"/>
        <v>4.4325804243668721</v>
      </c>
      <c r="Q3015" s="5" t="str">
        <f t="shared" si="193"/>
        <v>Employed</v>
      </c>
      <c r="R3015">
        <v>1</v>
      </c>
      <c r="S3015">
        <v>1</v>
      </c>
      <c r="T3015">
        <v>1</v>
      </c>
      <c r="U3015">
        <v>0</v>
      </c>
      <c r="V3015" t="s">
        <v>38</v>
      </c>
      <c r="W3015">
        <v>1</v>
      </c>
    </row>
    <row r="3016" spans="1:23" x14ac:dyDescent="0.2">
      <c r="A3016">
        <v>5096633</v>
      </c>
      <c r="B3016" t="s">
        <v>18</v>
      </c>
      <c r="C3016" t="s">
        <v>19</v>
      </c>
      <c r="D3016" t="s">
        <v>19</v>
      </c>
      <c r="E3016">
        <v>0</v>
      </c>
      <c r="F3016">
        <v>157500</v>
      </c>
      <c r="G3016" t="s">
        <v>26</v>
      </c>
      <c r="H3016" t="s">
        <v>22</v>
      </c>
      <c r="I3016" t="s">
        <v>28</v>
      </c>
      <c r="J3016" t="s">
        <v>41</v>
      </c>
      <c r="K3016" s="6">
        <f t="shared" ref="K3016:K3079" ca="1" si="196">TODAY()+($L3016)</f>
        <v>35665</v>
      </c>
      <c r="L3016">
        <v>-10096</v>
      </c>
      <c r="M3016" s="7">
        <f t="shared" ca="1" si="194"/>
        <v>27.641341546885695</v>
      </c>
      <c r="N3016" s="5" t="str">
        <f ca="1">VLOOKUP(Data!M3016,temp!$B$3:$C$9,2,1)</f>
        <v>20-30</v>
      </c>
      <c r="O3016">
        <v>-1374</v>
      </c>
      <c r="P3016" s="8">
        <f t="shared" si="195"/>
        <v>3.761806981519507</v>
      </c>
      <c r="Q3016" s="5" t="str">
        <f t="shared" ref="Q3016:Q3079" si="197">IF($O3016&gt;0,"Unemployed","Employed")</f>
        <v>Employed</v>
      </c>
      <c r="R3016">
        <v>1</v>
      </c>
      <c r="S3016">
        <v>0</v>
      </c>
      <c r="T3016">
        <v>1</v>
      </c>
      <c r="U3016">
        <v>0</v>
      </c>
      <c r="W3016">
        <v>2</v>
      </c>
    </row>
    <row r="3017" spans="1:23" x14ac:dyDescent="0.2">
      <c r="A3017">
        <v>5096634</v>
      </c>
      <c r="B3017" t="s">
        <v>18</v>
      </c>
      <c r="C3017" t="s">
        <v>19</v>
      </c>
      <c r="D3017" t="s">
        <v>19</v>
      </c>
      <c r="E3017">
        <v>0</v>
      </c>
      <c r="F3017">
        <v>157500</v>
      </c>
      <c r="G3017" t="s">
        <v>26</v>
      </c>
      <c r="H3017" t="s">
        <v>22</v>
      </c>
      <c r="I3017" t="s">
        <v>28</v>
      </c>
      <c r="J3017" t="s">
        <v>41</v>
      </c>
      <c r="K3017" s="6">
        <f t="shared" ca="1" si="196"/>
        <v>35665</v>
      </c>
      <c r="L3017">
        <v>-10096</v>
      </c>
      <c r="M3017" s="7">
        <f t="shared" ca="1" si="194"/>
        <v>27.641341546885695</v>
      </c>
      <c r="N3017" s="5" t="str">
        <f ca="1">VLOOKUP(Data!M3017,temp!$B$3:$C$9,2,1)</f>
        <v>20-30</v>
      </c>
      <c r="O3017">
        <v>-1374</v>
      </c>
      <c r="P3017" s="8">
        <f t="shared" si="195"/>
        <v>3.761806981519507</v>
      </c>
      <c r="Q3017" s="5" t="str">
        <f t="shared" si="197"/>
        <v>Employed</v>
      </c>
      <c r="R3017">
        <v>1</v>
      </c>
      <c r="S3017">
        <v>0</v>
      </c>
      <c r="T3017">
        <v>1</v>
      </c>
      <c r="U3017">
        <v>0</v>
      </c>
      <c r="W3017">
        <v>2</v>
      </c>
    </row>
    <row r="3018" spans="1:23" x14ac:dyDescent="0.2">
      <c r="A3018">
        <v>5096651</v>
      </c>
      <c r="B3018" t="s">
        <v>18</v>
      </c>
      <c r="C3018" t="s">
        <v>19</v>
      </c>
      <c r="D3018" t="s">
        <v>19</v>
      </c>
      <c r="E3018">
        <v>1</v>
      </c>
      <c r="F3018">
        <v>211500</v>
      </c>
      <c r="G3018" t="s">
        <v>31</v>
      </c>
      <c r="H3018" t="s">
        <v>27</v>
      </c>
      <c r="I3018" t="s">
        <v>28</v>
      </c>
      <c r="J3018" t="s">
        <v>24</v>
      </c>
      <c r="K3018" s="6">
        <f t="shared" ca="1" si="196"/>
        <v>28242</v>
      </c>
      <c r="L3018">
        <v>-17519</v>
      </c>
      <c r="M3018" s="7">
        <f t="shared" ca="1" si="194"/>
        <v>47.964407939767284</v>
      </c>
      <c r="N3018" s="5" t="str">
        <f ca="1">VLOOKUP(Data!M3018,temp!$B$3:$C$9,2,1)</f>
        <v>40-50</v>
      </c>
      <c r="O3018">
        <v>-1132</v>
      </c>
      <c r="P3018" s="8">
        <f t="shared" si="195"/>
        <v>3.0992470910335386</v>
      </c>
      <c r="Q3018" s="5" t="str">
        <f t="shared" si="197"/>
        <v>Employed</v>
      </c>
      <c r="R3018">
        <v>1</v>
      </c>
      <c r="S3018">
        <v>0</v>
      </c>
      <c r="T3018">
        <v>0</v>
      </c>
      <c r="U3018">
        <v>0</v>
      </c>
      <c r="V3018" t="s">
        <v>38</v>
      </c>
      <c r="W3018">
        <v>3</v>
      </c>
    </row>
    <row r="3019" spans="1:23" x14ac:dyDescent="0.2">
      <c r="A3019">
        <v>5096665</v>
      </c>
      <c r="B3019" t="s">
        <v>25</v>
      </c>
      <c r="C3019" t="s">
        <v>20</v>
      </c>
      <c r="D3019" t="s">
        <v>19</v>
      </c>
      <c r="E3019">
        <v>0</v>
      </c>
      <c r="F3019">
        <v>135000</v>
      </c>
      <c r="G3019" t="s">
        <v>21</v>
      </c>
      <c r="H3019" t="s">
        <v>27</v>
      </c>
      <c r="I3019" t="s">
        <v>28</v>
      </c>
      <c r="J3019" t="s">
        <v>24</v>
      </c>
      <c r="K3019" s="6">
        <f t="shared" ca="1" si="196"/>
        <v>31361</v>
      </c>
      <c r="L3019">
        <v>-14400</v>
      </c>
      <c r="M3019" s="7">
        <f t="shared" ca="1" si="194"/>
        <v>39.42505133470226</v>
      </c>
      <c r="N3019" s="5" t="str">
        <f ca="1">VLOOKUP(Data!M3019,temp!$B$3:$C$9,2,1)</f>
        <v>30-40</v>
      </c>
      <c r="O3019">
        <v>365243</v>
      </c>
      <c r="P3019" s="8">
        <f t="shared" si="195"/>
        <v>0</v>
      </c>
      <c r="Q3019" s="5" t="str">
        <f t="shared" si="197"/>
        <v>Unemployed</v>
      </c>
      <c r="R3019">
        <v>1</v>
      </c>
      <c r="S3019">
        <v>0</v>
      </c>
      <c r="T3019">
        <v>1</v>
      </c>
      <c r="U3019">
        <v>0</v>
      </c>
      <c r="W3019">
        <v>2</v>
      </c>
    </row>
    <row r="3020" spans="1:23" x14ac:dyDescent="0.2">
      <c r="A3020">
        <v>5096667</v>
      </c>
      <c r="B3020" t="s">
        <v>25</v>
      </c>
      <c r="C3020" t="s">
        <v>20</v>
      </c>
      <c r="D3020" t="s">
        <v>19</v>
      </c>
      <c r="E3020">
        <v>0</v>
      </c>
      <c r="F3020">
        <v>135000</v>
      </c>
      <c r="G3020" t="s">
        <v>21</v>
      </c>
      <c r="H3020" t="s">
        <v>27</v>
      </c>
      <c r="I3020" t="s">
        <v>28</v>
      </c>
      <c r="J3020" t="s">
        <v>24</v>
      </c>
      <c r="K3020" s="6">
        <f t="shared" ca="1" si="196"/>
        <v>31361</v>
      </c>
      <c r="L3020">
        <v>-14400</v>
      </c>
      <c r="M3020" s="7">
        <f t="shared" ca="1" si="194"/>
        <v>39.42505133470226</v>
      </c>
      <c r="N3020" s="5" t="str">
        <f ca="1">VLOOKUP(Data!M3020,temp!$B$3:$C$9,2,1)</f>
        <v>30-40</v>
      </c>
      <c r="O3020">
        <v>365243</v>
      </c>
      <c r="P3020" s="8">
        <f t="shared" si="195"/>
        <v>0</v>
      </c>
      <c r="Q3020" s="5" t="str">
        <f t="shared" si="197"/>
        <v>Unemployed</v>
      </c>
      <c r="R3020">
        <v>1</v>
      </c>
      <c r="S3020">
        <v>0</v>
      </c>
      <c r="T3020">
        <v>1</v>
      </c>
      <c r="U3020">
        <v>0</v>
      </c>
      <c r="W3020">
        <v>2</v>
      </c>
    </row>
    <row r="3021" spans="1:23" x14ac:dyDescent="0.2">
      <c r="A3021">
        <v>5096691</v>
      </c>
      <c r="B3021" t="s">
        <v>18</v>
      </c>
      <c r="C3021" t="s">
        <v>19</v>
      </c>
      <c r="D3021" t="s">
        <v>19</v>
      </c>
      <c r="E3021">
        <v>0</v>
      </c>
      <c r="F3021">
        <v>225000</v>
      </c>
      <c r="G3021" t="s">
        <v>21</v>
      </c>
      <c r="H3021" t="s">
        <v>22</v>
      </c>
      <c r="I3021" t="s">
        <v>28</v>
      </c>
      <c r="J3021" t="s">
        <v>24</v>
      </c>
      <c r="K3021" s="6">
        <f t="shared" ca="1" si="196"/>
        <v>23218</v>
      </c>
      <c r="L3021">
        <v>-22543</v>
      </c>
      <c r="M3021" s="7">
        <f t="shared" ca="1" si="194"/>
        <v>61.719370294318956</v>
      </c>
      <c r="N3021" s="5" t="str">
        <f ca="1">VLOOKUP(Data!M3021,temp!$B$3:$C$9,2,1)</f>
        <v>60-70</v>
      </c>
      <c r="O3021">
        <v>365243</v>
      </c>
      <c r="P3021" s="8">
        <f t="shared" si="195"/>
        <v>0</v>
      </c>
      <c r="Q3021" s="5" t="str">
        <f t="shared" si="197"/>
        <v>Unemployed</v>
      </c>
      <c r="R3021">
        <v>1</v>
      </c>
      <c r="S3021">
        <v>0</v>
      </c>
      <c r="T3021">
        <v>0</v>
      </c>
      <c r="U3021">
        <v>0</v>
      </c>
      <c r="W3021">
        <v>2</v>
      </c>
    </row>
    <row r="3022" spans="1:23" x14ac:dyDescent="0.2">
      <c r="A3022">
        <v>5096725</v>
      </c>
      <c r="B3022" t="s">
        <v>25</v>
      </c>
      <c r="C3022" t="s">
        <v>20</v>
      </c>
      <c r="D3022" t="s">
        <v>19</v>
      </c>
      <c r="E3022">
        <v>0</v>
      </c>
      <c r="F3022">
        <v>135000</v>
      </c>
      <c r="G3022" t="s">
        <v>26</v>
      </c>
      <c r="H3022" t="s">
        <v>27</v>
      </c>
      <c r="I3022" t="s">
        <v>28</v>
      </c>
      <c r="J3022" t="s">
        <v>24</v>
      </c>
      <c r="K3022" s="6">
        <f t="shared" ca="1" si="196"/>
        <v>34851</v>
      </c>
      <c r="L3022">
        <v>-10910</v>
      </c>
      <c r="M3022" s="7">
        <f t="shared" ca="1" si="194"/>
        <v>29.869952087611225</v>
      </c>
      <c r="N3022" s="5" t="str">
        <f ca="1">VLOOKUP(Data!M3022,temp!$B$3:$C$9,2,1)</f>
        <v>20-30</v>
      </c>
      <c r="O3022">
        <v>-2349</v>
      </c>
      <c r="P3022" s="8">
        <f t="shared" si="195"/>
        <v>6.4312114989733056</v>
      </c>
      <c r="Q3022" s="5" t="str">
        <f t="shared" si="197"/>
        <v>Employed</v>
      </c>
      <c r="R3022">
        <v>1</v>
      </c>
      <c r="S3022">
        <v>1</v>
      </c>
      <c r="T3022">
        <v>0</v>
      </c>
      <c r="U3022">
        <v>0</v>
      </c>
      <c r="V3022" t="s">
        <v>29</v>
      </c>
      <c r="W3022">
        <v>2</v>
      </c>
    </row>
    <row r="3023" spans="1:23" x14ac:dyDescent="0.2">
      <c r="A3023">
        <v>5096743</v>
      </c>
      <c r="B3023" t="s">
        <v>18</v>
      </c>
      <c r="C3023" t="s">
        <v>19</v>
      </c>
      <c r="D3023" t="s">
        <v>20</v>
      </c>
      <c r="E3023">
        <v>0</v>
      </c>
      <c r="F3023">
        <v>180000</v>
      </c>
      <c r="G3023" t="s">
        <v>31</v>
      </c>
      <c r="H3023" t="s">
        <v>51</v>
      </c>
      <c r="I3023" t="s">
        <v>42</v>
      </c>
      <c r="J3023" t="s">
        <v>24</v>
      </c>
      <c r="K3023" s="6">
        <f t="shared" ca="1" si="196"/>
        <v>28958</v>
      </c>
      <c r="L3023">
        <v>-16803</v>
      </c>
      <c r="M3023" s="7">
        <f t="shared" ca="1" si="194"/>
        <v>46.004106776180699</v>
      </c>
      <c r="N3023" s="5" t="str">
        <f ca="1">VLOOKUP(Data!M3023,temp!$B$3:$C$9,2,1)</f>
        <v>40-50</v>
      </c>
      <c r="O3023">
        <v>-2227</v>
      </c>
      <c r="P3023" s="8">
        <f t="shared" si="195"/>
        <v>6.0971937029431897</v>
      </c>
      <c r="Q3023" s="5" t="str">
        <f t="shared" si="197"/>
        <v>Employed</v>
      </c>
      <c r="R3023">
        <v>1</v>
      </c>
      <c r="S3023">
        <v>1</v>
      </c>
      <c r="T3023">
        <v>1</v>
      </c>
      <c r="U3023">
        <v>0</v>
      </c>
      <c r="V3023" t="s">
        <v>46</v>
      </c>
      <c r="W3023">
        <v>1</v>
      </c>
    </row>
    <row r="3024" spans="1:23" x14ac:dyDescent="0.2">
      <c r="A3024">
        <v>5096753</v>
      </c>
      <c r="B3024" t="s">
        <v>25</v>
      </c>
      <c r="C3024" t="s">
        <v>20</v>
      </c>
      <c r="D3024" t="s">
        <v>19</v>
      </c>
      <c r="E3024">
        <v>0</v>
      </c>
      <c r="F3024">
        <v>328500</v>
      </c>
      <c r="G3024" t="s">
        <v>31</v>
      </c>
      <c r="H3024" t="s">
        <v>22</v>
      </c>
      <c r="I3024" t="s">
        <v>28</v>
      </c>
      <c r="J3024" t="s">
        <v>24</v>
      </c>
      <c r="K3024" s="6">
        <f t="shared" ca="1" si="196"/>
        <v>30864</v>
      </c>
      <c r="L3024">
        <v>-14897</v>
      </c>
      <c r="M3024" s="7">
        <f t="shared" ca="1" si="194"/>
        <v>40.785763175906915</v>
      </c>
      <c r="N3024" s="5" t="str">
        <f ca="1">VLOOKUP(Data!M3024,temp!$B$3:$C$9,2,1)</f>
        <v>40-50</v>
      </c>
      <c r="O3024">
        <v>-2654</v>
      </c>
      <c r="P3024" s="8">
        <f t="shared" si="195"/>
        <v>7.2662559890485969</v>
      </c>
      <c r="Q3024" s="5" t="str">
        <f t="shared" si="197"/>
        <v>Employed</v>
      </c>
      <c r="R3024">
        <v>1</v>
      </c>
      <c r="S3024">
        <v>1</v>
      </c>
      <c r="T3024">
        <v>1</v>
      </c>
      <c r="U3024">
        <v>0</v>
      </c>
      <c r="W3024">
        <v>2</v>
      </c>
    </row>
    <row r="3025" spans="1:23" x14ac:dyDescent="0.2">
      <c r="A3025">
        <v>5096754</v>
      </c>
      <c r="B3025" t="s">
        <v>25</v>
      </c>
      <c r="C3025" t="s">
        <v>20</v>
      </c>
      <c r="D3025" t="s">
        <v>19</v>
      </c>
      <c r="E3025">
        <v>0</v>
      </c>
      <c r="F3025">
        <v>328500</v>
      </c>
      <c r="G3025" t="s">
        <v>31</v>
      </c>
      <c r="H3025" t="s">
        <v>22</v>
      </c>
      <c r="I3025" t="s">
        <v>28</v>
      </c>
      <c r="J3025" t="s">
        <v>24</v>
      </c>
      <c r="K3025" s="6">
        <f t="shared" ca="1" si="196"/>
        <v>30864</v>
      </c>
      <c r="L3025">
        <v>-14897</v>
      </c>
      <c r="M3025" s="7">
        <f t="shared" ca="1" si="194"/>
        <v>40.785763175906915</v>
      </c>
      <c r="N3025" s="5" t="str">
        <f ca="1">VLOOKUP(Data!M3025,temp!$B$3:$C$9,2,1)</f>
        <v>40-50</v>
      </c>
      <c r="O3025">
        <v>-2654</v>
      </c>
      <c r="P3025" s="8">
        <f t="shared" si="195"/>
        <v>7.2662559890485969</v>
      </c>
      <c r="Q3025" s="5" t="str">
        <f t="shared" si="197"/>
        <v>Employed</v>
      </c>
      <c r="R3025">
        <v>1</v>
      </c>
      <c r="S3025">
        <v>1</v>
      </c>
      <c r="T3025">
        <v>1</v>
      </c>
      <c r="U3025">
        <v>0</v>
      </c>
      <c r="W3025">
        <v>2</v>
      </c>
    </row>
    <row r="3026" spans="1:23" x14ac:dyDescent="0.2">
      <c r="A3026">
        <v>5096756</v>
      </c>
      <c r="B3026" t="s">
        <v>25</v>
      </c>
      <c r="C3026" t="s">
        <v>20</v>
      </c>
      <c r="D3026" t="s">
        <v>19</v>
      </c>
      <c r="E3026">
        <v>0</v>
      </c>
      <c r="F3026">
        <v>328500</v>
      </c>
      <c r="G3026" t="s">
        <v>31</v>
      </c>
      <c r="H3026" t="s">
        <v>22</v>
      </c>
      <c r="I3026" t="s">
        <v>28</v>
      </c>
      <c r="J3026" t="s">
        <v>24</v>
      </c>
      <c r="K3026" s="6">
        <f t="shared" ca="1" si="196"/>
        <v>30864</v>
      </c>
      <c r="L3026">
        <v>-14897</v>
      </c>
      <c r="M3026" s="7">
        <f t="shared" ca="1" si="194"/>
        <v>40.785763175906915</v>
      </c>
      <c r="N3026" s="5" t="str">
        <f ca="1">VLOOKUP(Data!M3026,temp!$B$3:$C$9,2,1)</f>
        <v>40-50</v>
      </c>
      <c r="O3026">
        <v>-2654</v>
      </c>
      <c r="P3026" s="8">
        <f t="shared" si="195"/>
        <v>7.2662559890485969</v>
      </c>
      <c r="Q3026" s="5" t="str">
        <f t="shared" si="197"/>
        <v>Employed</v>
      </c>
      <c r="R3026">
        <v>1</v>
      </c>
      <c r="S3026">
        <v>1</v>
      </c>
      <c r="T3026">
        <v>1</v>
      </c>
      <c r="U3026">
        <v>0</v>
      </c>
      <c r="W3026">
        <v>2</v>
      </c>
    </row>
    <row r="3027" spans="1:23" x14ac:dyDescent="0.2">
      <c r="A3027">
        <v>5096760</v>
      </c>
      <c r="B3027" t="s">
        <v>18</v>
      </c>
      <c r="C3027" t="s">
        <v>20</v>
      </c>
      <c r="D3027" t="s">
        <v>20</v>
      </c>
      <c r="E3027">
        <v>1</v>
      </c>
      <c r="F3027">
        <v>180000</v>
      </c>
      <c r="G3027" t="s">
        <v>26</v>
      </c>
      <c r="H3027" t="s">
        <v>27</v>
      </c>
      <c r="I3027" t="s">
        <v>28</v>
      </c>
      <c r="J3027" t="s">
        <v>24</v>
      </c>
      <c r="K3027" s="6">
        <f t="shared" ca="1" si="196"/>
        <v>35781</v>
      </c>
      <c r="L3027">
        <v>-9980</v>
      </c>
      <c r="M3027" s="7">
        <f t="shared" ca="1" si="194"/>
        <v>27.323750855578371</v>
      </c>
      <c r="N3027" s="5" t="str">
        <f ca="1">VLOOKUP(Data!M3027,temp!$B$3:$C$9,2,1)</f>
        <v>20-30</v>
      </c>
      <c r="O3027">
        <v>-128</v>
      </c>
      <c r="P3027" s="8">
        <f t="shared" si="195"/>
        <v>0.35044490075290896</v>
      </c>
      <c r="Q3027" s="5" t="str">
        <f t="shared" si="197"/>
        <v>Employed</v>
      </c>
      <c r="R3027">
        <v>1</v>
      </c>
      <c r="S3027">
        <v>0</v>
      </c>
      <c r="T3027">
        <v>1</v>
      </c>
      <c r="U3027">
        <v>0</v>
      </c>
      <c r="V3027" t="s">
        <v>39</v>
      </c>
      <c r="W3027">
        <v>3</v>
      </c>
    </row>
    <row r="3028" spans="1:23" x14ac:dyDescent="0.2">
      <c r="A3028">
        <v>5096770</v>
      </c>
      <c r="B3028" t="s">
        <v>18</v>
      </c>
      <c r="C3028" t="s">
        <v>19</v>
      </c>
      <c r="D3028" t="s">
        <v>19</v>
      </c>
      <c r="E3028">
        <v>0</v>
      </c>
      <c r="F3028">
        <v>171000</v>
      </c>
      <c r="G3028" t="s">
        <v>21</v>
      </c>
      <c r="H3028" t="s">
        <v>27</v>
      </c>
      <c r="I3028" t="s">
        <v>28</v>
      </c>
      <c r="J3028" t="s">
        <v>24</v>
      </c>
      <c r="K3028" s="6">
        <f t="shared" ca="1" si="196"/>
        <v>24061</v>
      </c>
      <c r="L3028">
        <v>-21700</v>
      </c>
      <c r="M3028" s="7">
        <f t="shared" ca="1" si="194"/>
        <v>59.411362080766601</v>
      </c>
      <c r="N3028" s="5" t="str">
        <f ca="1">VLOOKUP(Data!M3028,temp!$B$3:$C$9,2,1)</f>
        <v>50-60</v>
      </c>
      <c r="O3028">
        <v>365243</v>
      </c>
      <c r="P3028" s="8">
        <f t="shared" si="195"/>
        <v>0</v>
      </c>
      <c r="Q3028" s="5" t="str">
        <f t="shared" si="197"/>
        <v>Unemployed</v>
      </c>
      <c r="R3028">
        <v>1</v>
      </c>
      <c r="S3028">
        <v>0</v>
      </c>
      <c r="T3028">
        <v>0</v>
      </c>
      <c r="U3028">
        <v>0</v>
      </c>
      <c r="W3028">
        <v>2</v>
      </c>
    </row>
    <row r="3029" spans="1:23" x14ac:dyDescent="0.2">
      <c r="A3029">
        <v>5096771</v>
      </c>
      <c r="B3029" t="s">
        <v>18</v>
      </c>
      <c r="C3029" t="s">
        <v>19</v>
      </c>
      <c r="D3029" t="s">
        <v>19</v>
      </c>
      <c r="E3029">
        <v>0</v>
      </c>
      <c r="F3029">
        <v>171000</v>
      </c>
      <c r="G3029" t="s">
        <v>21</v>
      </c>
      <c r="H3029" t="s">
        <v>27</v>
      </c>
      <c r="I3029" t="s">
        <v>28</v>
      </c>
      <c r="J3029" t="s">
        <v>24</v>
      </c>
      <c r="K3029" s="6">
        <f t="shared" ca="1" si="196"/>
        <v>24061</v>
      </c>
      <c r="L3029">
        <v>-21700</v>
      </c>
      <c r="M3029" s="7">
        <f t="shared" ca="1" si="194"/>
        <v>59.411362080766601</v>
      </c>
      <c r="N3029" s="5" t="str">
        <f ca="1">VLOOKUP(Data!M3029,temp!$B$3:$C$9,2,1)</f>
        <v>50-60</v>
      </c>
      <c r="O3029">
        <v>365243</v>
      </c>
      <c r="P3029" s="8">
        <f t="shared" si="195"/>
        <v>0</v>
      </c>
      <c r="Q3029" s="5" t="str">
        <f t="shared" si="197"/>
        <v>Unemployed</v>
      </c>
      <c r="R3029">
        <v>1</v>
      </c>
      <c r="S3029">
        <v>0</v>
      </c>
      <c r="T3029">
        <v>0</v>
      </c>
      <c r="U3029">
        <v>0</v>
      </c>
      <c r="W3029">
        <v>2</v>
      </c>
    </row>
    <row r="3030" spans="1:23" x14ac:dyDescent="0.2">
      <c r="A3030">
        <v>5096772</v>
      </c>
      <c r="B3030" t="s">
        <v>18</v>
      </c>
      <c r="C3030" t="s">
        <v>19</v>
      </c>
      <c r="D3030" t="s">
        <v>19</v>
      </c>
      <c r="E3030">
        <v>0</v>
      </c>
      <c r="F3030">
        <v>171000</v>
      </c>
      <c r="G3030" t="s">
        <v>21</v>
      </c>
      <c r="H3030" t="s">
        <v>27</v>
      </c>
      <c r="I3030" t="s">
        <v>28</v>
      </c>
      <c r="J3030" t="s">
        <v>24</v>
      </c>
      <c r="K3030" s="6">
        <f t="shared" ca="1" si="196"/>
        <v>24061</v>
      </c>
      <c r="L3030">
        <v>-21700</v>
      </c>
      <c r="M3030" s="7">
        <f t="shared" ca="1" si="194"/>
        <v>59.411362080766601</v>
      </c>
      <c r="N3030" s="5" t="str">
        <f ca="1">VLOOKUP(Data!M3030,temp!$B$3:$C$9,2,1)</f>
        <v>50-60</v>
      </c>
      <c r="O3030">
        <v>365243</v>
      </c>
      <c r="P3030" s="8">
        <f t="shared" si="195"/>
        <v>0</v>
      </c>
      <c r="Q3030" s="5" t="str">
        <f t="shared" si="197"/>
        <v>Unemployed</v>
      </c>
      <c r="R3030">
        <v>1</v>
      </c>
      <c r="S3030">
        <v>0</v>
      </c>
      <c r="T3030">
        <v>0</v>
      </c>
      <c r="U3030">
        <v>0</v>
      </c>
      <c r="W3030">
        <v>2</v>
      </c>
    </row>
    <row r="3031" spans="1:23" x14ac:dyDescent="0.2">
      <c r="A3031">
        <v>5096800</v>
      </c>
      <c r="B3031" t="s">
        <v>18</v>
      </c>
      <c r="C3031" t="s">
        <v>19</v>
      </c>
      <c r="D3031" t="s">
        <v>20</v>
      </c>
      <c r="E3031">
        <v>0</v>
      </c>
      <c r="F3031">
        <v>76500</v>
      </c>
      <c r="G3031" t="s">
        <v>26</v>
      </c>
      <c r="H3031" t="s">
        <v>27</v>
      </c>
      <c r="I3031" t="s">
        <v>42</v>
      </c>
      <c r="J3031" t="s">
        <v>24</v>
      </c>
      <c r="K3031" s="6">
        <f t="shared" ca="1" si="196"/>
        <v>25616</v>
      </c>
      <c r="L3031">
        <v>-20145</v>
      </c>
      <c r="M3031" s="7">
        <f t="shared" ca="1" si="194"/>
        <v>55.154004106776178</v>
      </c>
      <c r="N3031" s="5" t="str">
        <f ca="1">VLOOKUP(Data!M3031,temp!$B$3:$C$9,2,1)</f>
        <v>50-60</v>
      </c>
      <c r="O3031">
        <v>-11907</v>
      </c>
      <c r="P3031" s="8">
        <f t="shared" si="195"/>
        <v>32.599589322381931</v>
      </c>
      <c r="Q3031" s="5" t="str">
        <f t="shared" si="197"/>
        <v>Employed</v>
      </c>
      <c r="R3031">
        <v>1</v>
      </c>
      <c r="S3031">
        <v>1</v>
      </c>
      <c r="T3031">
        <v>1</v>
      </c>
      <c r="U3031">
        <v>0</v>
      </c>
      <c r="V3031" t="s">
        <v>39</v>
      </c>
      <c r="W3031">
        <v>1</v>
      </c>
    </row>
    <row r="3032" spans="1:23" x14ac:dyDescent="0.2">
      <c r="A3032">
        <v>5096831</v>
      </c>
      <c r="B3032" t="s">
        <v>25</v>
      </c>
      <c r="C3032" t="s">
        <v>20</v>
      </c>
      <c r="D3032" t="s">
        <v>19</v>
      </c>
      <c r="E3032">
        <v>0</v>
      </c>
      <c r="F3032">
        <v>270000</v>
      </c>
      <c r="G3032" t="s">
        <v>26</v>
      </c>
      <c r="H3032" t="s">
        <v>27</v>
      </c>
      <c r="I3032" t="s">
        <v>33</v>
      </c>
      <c r="J3032" t="s">
        <v>24</v>
      </c>
      <c r="K3032" s="6">
        <f t="shared" ca="1" si="196"/>
        <v>28865</v>
      </c>
      <c r="L3032">
        <v>-16896</v>
      </c>
      <c r="M3032" s="7">
        <f t="shared" ca="1" si="194"/>
        <v>46.258726899383987</v>
      </c>
      <c r="N3032" s="5" t="str">
        <f ca="1">VLOOKUP(Data!M3032,temp!$B$3:$C$9,2,1)</f>
        <v>40-50</v>
      </c>
      <c r="O3032">
        <v>-128</v>
      </c>
      <c r="P3032" s="8">
        <f t="shared" si="195"/>
        <v>0.35044490075290896</v>
      </c>
      <c r="Q3032" s="5" t="str">
        <f t="shared" si="197"/>
        <v>Employed</v>
      </c>
      <c r="R3032">
        <v>1</v>
      </c>
      <c r="S3032">
        <v>0</v>
      </c>
      <c r="T3032">
        <v>0</v>
      </c>
      <c r="U3032">
        <v>0</v>
      </c>
      <c r="V3032" t="s">
        <v>30</v>
      </c>
      <c r="W3032">
        <v>1</v>
      </c>
    </row>
    <row r="3033" spans="1:23" x14ac:dyDescent="0.2">
      <c r="A3033">
        <v>5096833</v>
      </c>
      <c r="B3033" t="s">
        <v>25</v>
      </c>
      <c r="C3033" t="s">
        <v>20</v>
      </c>
      <c r="D3033" t="s">
        <v>19</v>
      </c>
      <c r="E3033">
        <v>0</v>
      </c>
      <c r="F3033">
        <v>270000</v>
      </c>
      <c r="G3033" t="s">
        <v>26</v>
      </c>
      <c r="H3033" t="s">
        <v>27</v>
      </c>
      <c r="I3033" t="s">
        <v>33</v>
      </c>
      <c r="J3033" t="s">
        <v>24</v>
      </c>
      <c r="K3033" s="6">
        <f t="shared" ca="1" si="196"/>
        <v>28865</v>
      </c>
      <c r="L3033">
        <v>-16896</v>
      </c>
      <c r="M3033" s="7">
        <f t="shared" ca="1" si="194"/>
        <v>46.258726899383987</v>
      </c>
      <c r="N3033" s="5" t="str">
        <f ca="1">VLOOKUP(Data!M3033,temp!$B$3:$C$9,2,1)</f>
        <v>40-50</v>
      </c>
      <c r="O3033">
        <v>-128</v>
      </c>
      <c r="P3033" s="8">
        <f t="shared" si="195"/>
        <v>0.35044490075290896</v>
      </c>
      <c r="Q3033" s="5" t="str">
        <f t="shared" si="197"/>
        <v>Employed</v>
      </c>
      <c r="R3033">
        <v>1</v>
      </c>
      <c r="S3033">
        <v>0</v>
      </c>
      <c r="T3033">
        <v>0</v>
      </c>
      <c r="U3033">
        <v>0</v>
      </c>
      <c r="V3033" t="s">
        <v>30</v>
      </c>
      <c r="W3033">
        <v>1</v>
      </c>
    </row>
    <row r="3034" spans="1:23" x14ac:dyDescent="0.2">
      <c r="A3034">
        <v>5096835</v>
      </c>
      <c r="B3034" t="s">
        <v>18</v>
      </c>
      <c r="C3034" t="s">
        <v>19</v>
      </c>
      <c r="D3034" t="s">
        <v>20</v>
      </c>
      <c r="E3034">
        <v>0</v>
      </c>
      <c r="F3034">
        <v>94500</v>
      </c>
      <c r="G3034" t="s">
        <v>21</v>
      </c>
      <c r="H3034" t="s">
        <v>22</v>
      </c>
      <c r="I3034" t="s">
        <v>33</v>
      </c>
      <c r="J3034" t="s">
        <v>24</v>
      </c>
      <c r="K3034" s="6">
        <f t="shared" ca="1" si="196"/>
        <v>23280</v>
      </c>
      <c r="L3034">
        <v>-22481</v>
      </c>
      <c r="M3034" s="7">
        <f t="shared" ca="1" si="194"/>
        <v>61.549623545516766</v>
      </c>
      <c r="N3034" s="5" t="str">
        <f ca="1">VLOOKUP(Data!M3034,temp!$B$3:$C$9,2,1)</f>
        <v>60-70</v>
      </c>
      <c r="O3034">
        <v>365243</v>
      </c>
      <c r="P3034" s="8">
        <f t="shared" si="195"/>
        <v>0</v>
      </c>
      <c r="Q3034" s="5" t="str">
        <f t="shared" si="197"/>
        <v>Unemployed</v>
      </c>
      <c r="R3034">
        <v>1</v>
      </c>
      <c r="S3034">
        <v>0</v>
      </c>
      <c r="T3034">
        <v>0</v>
      </c>
      <c r="U3034">
        <v>0</v>
      </c>
      <c r="W3034">
        <v>1</v>
      </c>
    </row>
    <row r="3035" spans="1:23" x14ac:dyDescent="0.2">
      <c r="A3035">
        <v>5096839</v>
      </c>
      <c r="B3035" t="s">
        <v>18</v>
      </c>
      <c r="C3035" t="s">
        <v>19</v>
      </c>
      <c r="D3035" t="s">
        <v>20</v>
      </c>
      <c r="E3035">
        <v>0</v>
      </c>
      <c r="F3035">
        <v>94500</v>
      </c>
      <c r="G3035" t="s">
        <v>21</v>
      </c>
      <c r="H3035" t="s">
        <v>22</v>
      </c>
      <c r="I3035" t="s">
        <v>33</v>
      </c>
      <c r="J3035" t="s">
        <v>24</v>
      </c>
      <c r="K3035" s="6">
        <f t="shared" ca="1" si="196"/>
        <v>23280</v>
      </c>
      <c r="L3035">
        <v>-22481</v>
      </c>
      <c r="M3035" s="7">
        <f t="shared" ca="1" si="194"/>
        <v>61.549623545516766</v>
      </c>
      <c r="N3035" s="5" t="str">
        <f ca="1">VLOOKUP(Data!M3035,temp!$B$3:$C$9,2,1)</f>
        <v>60-70</v>
      </c>
      <c r="O3035">
        <v>365243</v>
      </c>
      <c r="P3035" s="8">
        <f t="shared" si="195"/>
        <v>0</v>
      </c>
      <c r="Q3035" s="5" t="str">
        <f t="shared" si="197"/>
        <v>Unemployed</v>
      </c>
      <c r="R3035">
        <v>1</v>
      </c>
      <c r="S3035">
        <v>0</v>
      </c>
      <c r="T3035">
        <v>0</v>
      </c>
      <c r="U3035">
        <v>0</v>
      </c>
      <c r="W3035">
        <v>1</v>
      </c>
    </row>
    <row r="3036" spans="1:23" x14ac:dyDescent="0.2">
      <c r="A3036">
        <v>5096842</v>
      </c>
      <c r="B3036" t="s">
        <v>18</v>
      </c>
      <c r="C3036" t="s">
        <v>19</v>
      </c>
      <c r="D3036" t="s">
        <v>20</v>
      </c>
      <c r="E3036">
        <v>0</v>
      </c>
      <c r="F3036">
        <v>94500</v>
      </c>
      <c r="G3036" t="s">
        <v>21</v>
      </c>
      <c r="H3036" t="s">
        <v>22</v>
      </c>
      <c r="I3036" t="s">
        <v>33</v>
      </c>
      <c r="J3036" t="s">
        <v>24</v>
      </c>
      <c r="K3036" s="6">
        <f t="shared" ca="1" si="196"/>
        <v>23280</v>
      </c>
      <c r="L3036">
        <v>-22481</v>
      </c>
      <c r="M3036" s="7">
        <f t="shared" ca="1" si="194"/>
        <v>61.549623545516766</v>
      </c>
      <c r="N3036" s="5" t="str">
        <f ca="1">VLOOKUP(Data!M3036,temp!$B$3:$C$9,2,1)</f>
        <v>60-70</v>
      </c>
      <c r="O3036">
        <v>365243</v>
      </c>
      <c r="P3036" s="8">
        <f t="shared" si="195"/>
        <v>0</v>
      </c>
      <c r="Q3036" s="5" t="str">
        <f t="shared" si="197"/>
        <v>Unemployed</v>
      </c>
      <c r="R3036">
        <v>1</v>
      </c>
      <c r="S3036">
        <v>0</v>
      </c>
      <c r="T3036">
        <v>0</v>
      </c>
      <c r="U3036">
        <v>0</v>
      </c>
      <c r="W3036">
        <v>1</v>
      </c>
    </row>
    <row r="3037" spans="1:23" x14ac:dyDescent="0.2">
      <c r="A3037">
        <v>5096843</v>
      </c>
      <c r="B3037" t="s">
        <v>18</v>
      </c>
      <c r="C3037" t="s">
        <v>19</v>
      </c>
      <c r="D3037" t="s">
        <v>20</v>
      </c>
      <c r="E3037">
        <v>0</v>
      </c>
      <c r="F3037">
        <v>94500</v>
      </c>
      <c r="G3037" t="s">
        <v>21</v>
      </c>
      <c r="H3037" t="s">
        <v>22</v>
      </c>
      <c r="I3037" t="s">
        <v>33</v>
      </c>
      <c r="J3037" t="s">
        <v>24</v>
      </c>
      <c r="K3037" s="6">
        <f t="shared" ca="1" si="196"/>
        <v>23280</v>
      </c>
      <c r="L3037">
        <v>-22481</v>
      </c>
      <c r="M3037" s="7">
        <f t="shared" ca="1" si="194"/>
        <v>61.549623545516766</v>
      </c>
      <c r="N3037" s="5" t="str">
        <f ca="1">VLOOKUP(Data!M3037,temp!$B$3:$C$9,2,1)</f>
        <v>60-70</v>
      </c>
      <c r="O3037">
        <v>365243</v>
      </c>
      <c r="P3037" s="8">
        <f t="shared" si="195"/>
        <v>0</v>
      </c>
      <c r="Q3037" s="5" t="str">
        <f t="shared" si="197"/>
        <v>Unemployed</v>
      </c>
      <c r="R3037">
        <v>1</v>
      </c>
      <c r="S3037">
        <v>0</v>
      </c>
      <c r="T3037">
        <v>0</v>
      </c>
      <c r="U3037">
        <v>0</v>
      </c>
      <c r="W3037">
        <v>1</v>
      </c>
    </row>
    <row r="3038" spans="1:23" x14ac:dyDescent="0.2">
      <c r="A3038">
        <v>5096858</v>
      </c>
      <c r="B3038" t="s">
        <v>25</v>
      </c>
      <c r="C3038" t="s">
        <v>20</v>
      </c>
      <c r="D3038" t="s">
        <v>20</v>
      </c>
      <c r="E3038">
        <v>0</v>
      </c>
      <c r="F3038">
        <v>180000</v>
      </c>
      <c r="G3038" t="s">
        <v>26</v>
      </c>
      <c r="H3038" t="s">
        <v>27</v>
      </c>
      <c r="I3038" t="s">
        <v>28</v>
      </c>
      <c r="J3038" t="s">
        <v>24</v>
      </c>
      <c r="K3038" s="6">
        <f t="shared" ca="1" si="196"/>
        <v>27786</v>
      </c>
      <c r="L3038">
        <v>-17975</v>
      </c>
      <c r="M3038" s="7">
        <f t="shared" ca="1" si="194"/>
        <v>49.212867898699521</v>
      </c>
      <c r="N3038" s="5" t="str">
        <f ca="1">VLOOKUP(Data!M3038,temp!$B$3:$C$9,2,1)</f>
        <v>40-50</v>
      </c>
      <c r="O3038">
        <v>-3476</v>
      </c>
      <c r="P3038" s="8">
        <f t="shared" si="195"/>
        <v>9.5167693360711834</v>
      </c>
      <c r="Q3038" s="5" t="str">
        <f t="shared" si="197"/>
        <v>Employed</v>
      </c>
      <c r="R3038">
        <v>1</v>
      </c>
      <c r="S3038">
        <v>0</v>
      </c>
      <c r="T3038">
        <v>0</v>
      </c>
      <c r="U3038">
        <v>0</v>
      </c>
      <c r="V3038" t="s">
        <v>30</v>
      </c>
      <c r="W3038">
        <v>2</v>
      </c>
    </row>
    <row r="3039" spans="1:23" x14ac:dyDescent="0.2">
      <c r="A3039">
        <v>5096871</v>
      </c>
      <c r="B3039" t="s">
        <v>25</v>
      </c>
      <c r="C3039" t="s">
        <v>20</v>
      </c>
      <c r="D3039" t="s">
        <v>20</v>
      </c>
      <c r="E3039">
        <v>0</v>
      </c>
      <c r="F3039">
        <v>270000</v>
      </c>
      <c r="G3039" t="s">
        <v>31</v>
      </c>
      <c r="H3039" t="s">
        <v>51</v>
      </c>
      <c r="I3039" t="s">
        <v>28</v>
      </c>
      <c r="J3039" t="s">
        <v>24</v>
      </c>
      <c r="K3039" s="6">
        <f t="shared" ca="1" si="196"/>
        <v>30707</v>
      </c>
      <c r="L3039">
        <v>-15054</v>
      </c>
      <c r="M3039" s="7">
        <f t="shared" ca="1" si="194"/>
        <v>41.215605749486656</v>
      </c>
      <c r="N3039" s="5" t="str">
        <f ca="1">VLOOKUP(Data!M3039,temp!$B$3:$C$9,2,1)</f>
        <v>40-50</v>
      </c>
      <c r="O3039">
        <v>-1527</v>
      </c>
      <c r="P3039" s="8">
        <f t="shared" si="195"/>
        <v>4.1806981519507183</v>
      </c>
      <c r="Q3039" s="5" t="str">
        <f t="shared" si="197"/>
        <v>Employed</v>
      </c>
      <c r="R3039">
        <v>1</v>
      </c>
      <c r="S3039">
        <v>0</v>
      </c>
      <c r="T3039">
        <v>0</v>
      </c>
      <c r="U3039">
        <v>0</v>
      </c>
      <c r="V3039" t="s">
        <v>47</v>
      </c>
      <c r="W3039">
        <v>2</v>
      </c>
    </row>
    <row r="3040" spans="1:23" x14ac:dyDescent="0.2">
      <c r="A3040">
        <v>5096888</v>
      </c>
      <c r="B3040" t="s">
        <v>25</v>
      </c>
      <c r="C3040" t="s">
        <v>20</v>
      </c>
      <c r="D3040" t="s">
        <v>19</v>
      </c>
      <c r="E3040">
        <v>0</v>
      </c>
      <c r="F3040">
        <v>270000</v>
      </c>
      <c r="G3040" t="s">
        <v>26</v>
      </c>
      <c r="H3040" t="s">
        <v>36</v>
      </c>
      <c r="I3040" t="s">
        <v>28</v>
      </c>
      <c r="J3040" t="s">
        <v>24</v>
      </c>
      <c r="K3040" s="6">
        <f t="shared" ca="1" si="196"/>
        <v>27790</v>
      </c>
      <c r="L3040">
        <v>-17971</v>
      </c>
      <c r="M3040" s="7">
        <f t="shared" ca="1" si="194"/>
        <v>49.201916495550989</v>
      </c>
      <c r="N3040" s="5" t="str">
        <f ca="1">VLOOKUP(Data!M3040,temp!$B$3:$C$9,2,1)</f>
        <v>40-50</v>
      </c>
      <c r="O3040">
        <v>-4752</v>
      </c>
      <c r="P3040" s="8">
        <f t="shared" si="195"/>
        <v>13.010266940451745</v>
      </c>
      <c r="Q3040" s="5" t="str">
        <f t="shared" si="197"/>
        <v>Employed</v>
      </c>
      <c r="R3040">
        <v>1</v>
      </c>
      <c r="S3040">
        <v>0</v>
      </c>
      <c r="T3040">
        <v>1</v>
      </c>
      <c r="U3040">
        <v>0</v>
      </c>
      <c r="V3040" t="s">
        <v>30</v>
      </c>
      <c r="W3040">
        <v>2</v>
      </c>
    </row>
    <row r="3041" spans="1:23" x14ac:dyDescent="0.2">
      <c r="A3041">
        <v>5096898</v>
      </c>
      <c r="B3041" t="s">
        <v>25</v>
      </c>
      <c r="C3041" t="s">
        <v>20</v>
      </c>
      <c r="D3041" t="s">
        <v>20</v>
      </c>
      <c r="E3041">
        <v>0</v>
      </c>
      <c r="F3041">
        <v>148500</v>
      </c>
      <c r="G3041" t="s">
        <v>31</v>
      </c>
      <c r="H3041" t="s">
        <v>27</v>
      </c>
      <c r="I3041" t="s">
        <v>28</v>
      </c>
      <c r="J3041" t="s">
        <v>24</v>
      </c>
      <c r="K3041" s="6">
        <f t="shared" ca="1" si="196"/>
        <v>27723</v>
      </c>
      <c r="L3041">
        <v>-18038</v>
      </c>
      <c r="M3041" s="7">
        <f t="shared" ca="1" si="194"/>
        <v>49.385352498288846</v>
      </c>
      <c r="N3041" s="5" t="str">
        <f ca="1">VLOOKUP(Data!M3041,temp!$B$3:$C$9,2,1)</f>
        <v>40-50</v>
      </c>
      <c r="O3041">
        <v>-276</v>
      </c>
      <c r="P3041" s="8">
        <f t="shared" si="195"/>
        <v>0.75564681724845995</v>
      </c>
      <c r="Q3041" s="5" t="str">
        <f t="shared" si="197"/>
        <v>Employed</v>
      </c>
      <c r="R3041">
        <v>1</v>
      </c>
      <c r="S3041">
        <v>0</v>
      </c>
      <c r="T3041">
        <v>0</v>
      </c>
      <c r="U3041">
        <v>0</v>
      </c>
      <c r="V3041" t="s">
        <v>47</v>
      </c>
      <c r="W3041">
        <v>2</v>
      </c>
    </row>
    <row r="3042" spans="1:23" x14ac:dyDescent="0.2">
      <c r="A3042">
        <v>5096903</v>
      </c>
      <c r="B3042" t="s">
        <v>25</v>
      </c>
      <c r="C3042" t="s">
        <v>20</v>
      </c>
      <c r="D3042" t="s">
        <v>20</v>
      </c>
      <c r="E3042">
        <v>1</v>
      </c>
      <c r="F3042">
        <v>157500</v>
      </c>
      <c r="G3042" t="s">
        <v>31</v>
      </c>
      <c r="H3042" t="s">
        <v>27</v>
      </c>
      <c r="I3042" t="s">
        <v>28</v>
      </c>
      <c r="J3042" t="s">
        <v>24</v>
      </c>
      <c r="K3042" s="6">
        <f t="shared" ca="1" si="196"/>
        <v>32320</v>
      </c>
      <c r="L3042">
        <v>-13441</v>
      </c>
      <c r="M3042" s="7">
        <f t="shared" ca="1" si="194"/>
        <v>36.799452429842574</v>
      </c>
      <c r="N3042" s="5" t="str">
        <f ca="1">VLOOKUP(Data!M3042,temp!$B$3:$C$9,2,1)</f>
        <v>30-40</v>
      </c>
      <c r="O3042">
        <v>-3078</v>
      </c>
      <c r="P3042" s="8">
        <f t="shared" si="195"/>
        <v>8.4271047227926079</v>
      </c>
      <c r="Q3042" s="5" t="str">
        <f t="shared" si="197"/>
        <v>Employed</v>
      </c>
      <c r="R3042">
        <v>1</v>
      </c>
      <c r="S3042">
        <v>0</v>
      </c>
      <c r="T3042">
        <v>1</v>
      </c>
      <c r="U3042">
        <v>0</v>
      </c>
      <c r="V3042" t="s">
        <v>30</v>
      </c>
      <c r="W3042">
        <v>3</v>
      </c>
    </row>
    <row r="3043" spans="1:23" x14ac:dyDescent="0.2">
      <c r="A3043">
        <v>5096904</v>
      </c>
      <c r="B3043" t="s">
        <v>18</v>
      </c>
      <c r="C3043" t="s">
        <v>20</v>
      </c>
      <c r="D3043" t="s">
        <v>20</v>
      </c>
      <c r="E3043">
        <v>0</v>
      </c>
      <c r="F3043">
        <v>157500</v>
      </c>
      <c r="G3043" t="s">
        <v>26</v>
      </c>
      <c r="H3043" t="s">
        <v>22</v>
      </c>
      <c r="I3043" t="s">
        <v>37</v>
      </c>
      <c r="J3043" t="s">
        <v>24</v>
      </c>
      <c r="K3043" s="6">
        <f t="shared" ca="1" si="196"/>
        <v>33884</v>
      </c>
      <c r="L3043">
        <v>-11877</v>
      </c>
      <c r="M3043" s="7">
        <f t="shared" ca="1" si="194"/>
        <v>32.517453798767967</v>
      </c>
      <c r="N3043" s="5" t="str">
        <f ca="1">VLOOKUP(Data!M3043,temp!$B$3:$C$9,2,1)</f>
        <v>30-40</v>
      </c>
      <c r="O3043">
        <v>-1372</v>
      </c>
      <c r="P3043" s="8">
        <f t="shared" si="195"/>
        <v>3.7563312799452429</v>
      </c>
      <c r="Q3043" s="5" t="str">
        <f t="shared" si="197"/>
        <v>Employed</v>
      </c>
      <c r="R3043">
        <v>1</v>
      </c>
      <c r="S3043">
        <v>0</v>
      </c>
      <c r="T3043">
        <v>0</v>
      </c>
      <c r="U3043">
        <v>0</v>
      </c>
      <c r="V3043" t="s">
        <v>38</v>
      </c>
      <c r="W3043">
        <v>2</v>
      </c>
    </row>
    <row r="3044" spans="1:23" x14ac:dyDescent="0.2">
      <c r="A3044">
        <v>5096915</v>
      </c>
      <c r="B3044" t="s">
        <v>18</v>
      </c>
      <c r="C3044" t="s">
        <v>19</v>
      </c>
      <c r="D3044" t="s">
        <v>20</v>
      </c>
      <c r="E3044">
        <v>1</v>
      </c>
      <c r="F3044">
        <v>135000</v>
      </c>
      <c r="G3044" t="s">
        <v>35</v>
      </c>
      <c r="H3044" t="s">
        <v>22</v>
      </c>
      <c r="I3044" t="s">
        <v>37</v>
      </c>
      <c r="J3044" t="s">
        <v>24</v>
      </c>
      <c r="K3044" s="6">
        <f t="shared" ca="1" si="196"/>
        <v>28775</v>
      </c>
      <c r="L3044">
        <v>-16986</v>
      </c>
      <c r="M3044" s="7">
        <f t="shared" ca="1" si="194"/>
        <v>46.505133470225871</v>
      </c>
      <c r="N3044" s="5" t="str">
        <f ca="1">VLOOKUP(Data!M3044,temp!$B$3:$C$9,2,1)</f>
        <v>40-50</v>
      </c>
      <c r="O3044">
        <v>-9195</v>
      </c>
      <c r="P3044" s="8">
        <f t="shared" si="195"/>
        <v>25.17453798767967</v>
      </c>
      <c r="Q3044" s="5" t="str">
        <f t="shared" si="197"/>
        <v>Employed</v>
      </c>
      <c r="R3044">
        <v>1</v>
      </c>
      <c r="S3044">
        <v>1</v>
      </c>
      <c r="T3044">
        <v>1</v>
      </c>
      <c r="U3044">
        <v>0</v>
      </c>
      <c r="V3044" t="s">
        <v>38</v>
      </c>
      <c r="W3044">
        <v>3</v>
      </c>
    </row>
    <row r="3045" spans="1:23" x14ac:dyDescent="0.2">
      <c r="A3045">
        <v>5096927</v>
      </c>
      <c r="B3045" t="s">
        <v>18</v>
      </c>
      <c r="C3045" t="s">
        <v>19</v>
      </c>
      <c r="D3045" t="s">
        <v>19</v>
      </c>
      <c r="E3045">
        <v>0</v>
      </c>
      <c r="F3045">
        <v>135000</v>
      </c>
      <c r="G3045" t="s">
        <v>31</v>
      </c>
      <c r="H3045" t="s">
        <v>27</v>
      </c>
      <c r="I3045" t="s">
        <v>37</v>
      </c>
      <c r="J3045" t="s">
        <v>24</v>
      </c>
      <c r="K3045" s="6">
        <f t="shared" ca="1" si="196"/>
        <v>29598</v>
      </c>
      <c r="L3045">
        <v>-16163</v>
      </c>
      <c r="M3045" s="7">
        <f t="shared" ca="1" si="194"/>
        <v>44.251882272416154</v>
      </c>
      <c r="N3045" s="5" t="str">
        <f ca="1">VLOOKUP(Data!M3045,temp!$B$3:$C$9,2,1)</f>
        <v>40-50</v>
      </c>
      <c r="O3045">
        <v>-1496</v>
      </c>
      <c r="P3045" s="8">
        <f t="shared" si="195"/>
        <v>4.0958247775496233</v>
      </c>
      <c r="Q3045" s="5" t="str">
        <f t="shared" si="197"/>
        <v>Employed</v>
      </c>
      <c r="R3045">
        <v>1</v>
      </c>
      <c r="S3045">
        <v>1</v>
      </c>
      <c r="T3045">
        <v>0</v>
      </c>
      <c r="U3045">
        <v>0</v>
      </c>
      <c r="V3045" t="s">
        <v>29</v>
      </c>
      <c r="W3045">
        <v>2</v>
      </c>
    </row>
    <row r="3046" spans="1:23" x14ac:dyDescent="0.2">
      <c r="A3046">
        <v>5096944</v>
      </c>
      <c r="B3046" t="s">
        <v>25</v>
      </c>
      <c r="C3046" t="s">
        <v>20</v>
      </c>
      <c r="D3046" t="s">
        <v>19</v>
      </c>
      <c r="E3046">
        <v>0</v>
      </c>
      <c r="F3046">
        <v>135000</v>
      </c>
      <c r="G3046" t="s">
        <v>31</v>
      </c>
      <c r="H3046" t="s">
        <v>36</v>
      </c>
      <c r="I3046" t="s">
        <v>28</v>
      </c>
      <c r="J3046" t="s">
        <v>24</v>
      </c>
      <c r="K3046" s="6">
        <f t="shared" ca="1" si="196"/>
        <v>37062</v>
      </c>
      <c r="L3046">
        <v>-8699</v>
      </c>
      <c r="M3046" s="7">
        <f t="shared" ca="1" si="194"/>
        <v>23.816563997262151</v>
      </c>
      <c r="N3046" s="5" t="str">
        <f ca="1">VLOOKUP(Data!M3046,temp!$B$3:$C$9,2,1)</f>
        <v>20-30</v>
      </c>
      <c r="O3046">
        <v>-673</v>
      </c>
      <c r="P3046" s="8">
        <f t="shared" si="195"/>
        <v>1.8425735797399041</v>
      </c>
      <c r="Q3046" s="5" t="str">
        <f t="shared" si="197"/>
        <v>Employed</v>
      </c>
      <c r="R3046">
        <v>1</v>
      </c>
      <c r="S3046">
        <v>1</v>
      </c>
      <c r="T3046">
        <v>0</v>
      </c>
      <c r="U3046">
        <v>0</v>
      </c>
      <c r="V3046" t="s">
        <v>32</v>
      </c>
      <c r="W3046">
        <v>2</v>
      </c>
    </row>
    <row r="3047" spans="1:23" x14ac:dyDescent="0.2">
      <c r="A3047">
        <v>5096950</v>
      </c>
      <c r="B3047" t="s">
        <v>18</v>
      </c>
      <c r="C3047" t="s">
        <v>19</v>
      </c>
      <c r="D3047" t="s">
        <v>19</v>
      </c>
      <c r="E3047">
        <v>0</v>
      </c>
      <c r="F3047">
        <v>135000</v>
      </c>
      <c r="G3047" t="s">
        <v>31</v>
      </c>
      <c r="H3047" t="s">
        <v>27</v>
      </c>
      <c r="I3047" t="s">
        <v>28</v>
      </c>
      <c r="J3047" t="s">
        <v>24</v>
      </c>
      <c r="K3047" s="6">
        <f t="shared" ca="1" si="196"/>
        <v>23073</v>
      </c>
      <c r="L3047">
        <v>-22688</v>
      </c>
      <c r="M3047" s="7">
        <f t="shared" ca="1" si="194"/>
        <v>62.116358658453116</v>
      </c>
      <c r="N3047" s="5" t="str">
        <f ca="1">VLOOKUP(Data!M3047,temp!$B$3:$C$9,2,1)</f>
        <v>60-70</v>
      </c>
      <c r="O3047">
        <v>-4266</v>
      </c>
      <c r="P3047" s="8">
        <f t="shared" si="195"/>
        <v>11.679671457905544</v>
      </c>
      <c r="Q3047" s="5" t="str">
        <f t="shared" si="197"/>
        <v>Employed</v>
      </c>
      <c r="R3047">
        <v>1</v>
      </c>
      <c r="S3047">
        <v>0</v>
      </c>
      <c r="T3047">
        <v>0</v>
      </c>
      <c r="U3047">
        <v>0</v>
      </c>
      <c r="V3047" t="s">
        <v>50</v>
      </c>
      <c r="W3047">
        <v>2</v>
      </c>
    </row>
    <row r="3048" spans="1:23" x14ac:dyDescent="0.2">
      <c r="A3048">
        <v>5096967</v>
      </c>
      <c r="B3048" t="s">
        <v>18</v>
      </c>
      <c r="C3048" t="s">
        <v>19</v>
      </c>
      <c r="D3048" t="s">
        <v>20</v>
      </c>
      <c r="E3048">
        <v>0</v>
      </c>
      <c r="F3048">
        <v>76500</v>
      </c>
      <c r="G3048" t="s">
        <v>21</v>
      </c>
      <c r="H3048" t="s">
        <v>27</v>
      </c>
      <c r="I3048" t="s">
        <v>28</v>
      </c>
      <c r="J3048" t="s">
        <v>24</v>
      </c>
      <c r="K3048" s="6">
        <f t="shared" ca="1" si="196"/>
        <v>24237</v>
      </c>
      <c r="L3048">
        <v>-21524</v>
      </c>
      <c r="M3048" s="7">
        <f t="shared" ca="1" si="194"/>
        <v>58.92950034223135</v>
      </c>
      <c r="N3048" s="5" t="str">
        <f ca="1">VLOOKUP(Data!M3048,temp!$B$3:$C$9,2,1)</f>
        <v>50-60</v>
      </c>
      <c r="O3048">
        <v>365243</v>
      </c>
      <c r="P3048" s="8">
        <f t="shared" si="195"/>
        <v>0</v>
      </c>
      <c r="Q3048" s="5" t="str">
        <f t="shared" si="197"/>
        <v>Unemployed</v>
      </c>
      <c r="R3048">
        <v>1</v>
      </c>
      <c r="S3048">
        <v>0</v>
      </c>
      <c r="T3048">
        <v>1</v>
      </c>
      <c r="U3048">
        <v>0</v>
      </c>
      <c r="W3048">
        <v>2</v>
      </c>
    </row>
    <row r="3049" spans="1:23" x14ac:dyDescent="0.2">
      <c r="A3049">
        <v>5096971</v>
      </c>
      <c r="B3049" t="s">
        <v>18</v>
      </c>
      <c r="C3049" t="s">
        <v>20</v>
      </c>
      <c r="D3049" t="s">
        <v>19</v>
      </c>
      <c r="E3049">
        <v>0</v>
      </c>
      <c r="F3049">
        <v>225000</v>
      </c>
      <c r="G3049" t="s">
        <v>31</v>
      </c>
      <c r="H3049" t="s">
        <v>22</v>
      </c>
      <c r="I3049" t="s">
        <v>28</v>
      </c>
      <c r="J3049" t="s">
        <v>24</v>
      </c>
      <c r="K3049" s="6">
        <f t="shared" ca="1" si="196"/>
        <v>29112</v>
      </c>
      <c r="L3049">
        <v>-16649</v>
      </c>
      <c r="M3049" s="7">
        <f t="shared" ca="1" si="194"/>
        <v>45.582477754962355</v>
      </c>
      <c r="N3049" s="5" t="str">
        <f ca="1">VLOOKUP(Data!M3049,temp!$B$3:$C$9,2,1)</f>
        <v>40-50</v>
      </c>
      <c r="O3049">
        <v>-5453</v>
      </c>
      <c r="P3049" s="8">
        <f t="shared" si="195"/>
        <v>14.929500342231348</v>
      </c>
      <c r="Q3049" s="5" t="str">
        <f t="shared" si="197"/>
        <v>Employed</v>
      </c>
      <c r="R3049">
        <v>1</v>
      </c>
      <c r="S3049">
        <v>0</v>
      </c>
      <c r="T3049">
        <v>1</v>
      </c>
      <c r="U3049">
        <v>0</v>
      </c>
      <c r="V3049" t="s">
        <v>38</v>
      </c>
      <c r="W3049">
        <v>2</v>
      </c>
    </row>
    <row r="3050" spans="1:23" x14ac:dyDescent="0.2">
      <c r="A3050">
        <v>5097000</v>
      </c>
      <c r="B3050" t="s">
        <v>18</v>
      </c>
      <c r="C3050" t="s">
        <v>20</v>
      </c>
      <c r="D3050" t="s">
        <v>20</v>
      </c>
      <c r="E3050">
        <v>0</v>
      </c>
      <c r="F3050">
        <v>157500</v>
      </c>
      <c r="G3050" t="s">
        <v>35</v>
      </c>
      <c r="H3050" t="s">
        <v>22</v>
      </c>
      <c r="I3050" t="s">
        <v>28</v>
      </c>
      <c r="J3050" t="s">
        <v>24</v>
      </c>
      <c r="K3050" s="6">
        <f t="shared" ca="1" si="196"/>
        <v>32817</v>
      </c>
      <c r="L3050">
        <v>-12944</v>
      </c>
      <c r="M3050" s="7">
        <f t="shared" ca="1" si="194"/>
        <v>35.43874058863792</v>
      </c>
      <c r="N3050" s="5" t="str">
        <f ca="1">VLOOKUP(Data!M3050,temp!$B$3:$C$9,2,1)</f>
        <v>30-40</v>
      </c>
      <c r="O3050">
        <v>-4082</v>
      </c>
      <c r="P3050" s="8">
        <f t="shared" si="195"/>
        <v>11.175906913073238</v>
      </c>
      <c r="Q3050" s="5" t="str">
        <f t="shared" si="197"/>
        <v>Employed</v>
      </c>
      <c r="R3050">
        <v>1</v>
      </c>
      <c r="S3050">
        <v>0</v>
      </c>
      <c r="T3050">
        <v>0</v>
      </c>
      <c r="U3050">
        <v>0</v>
      </c>
      <c r="W3050">
        <v>2</v>
      </c>
    </row>
    <row r="3051" spans="1:23" x14ac:dyDescent="0.2">
      <c r="A3051">
        <v>5097012</v>
      </c>
      <c r="B3051" t="s">
        <v>18</v>
      </c>
      <c r="C3051" t="s">
        <v>20</v>
      </c>
      <c r="D3051" t="s">
        <v>19</v>
      </c>
      <c r="E3051">
        <v>0</v>
      </c>
      <c r="F3051">
        <v>202500</v>
      </c>
      <c r="G3051" t="s">
        <v>31</v>
      </c>
      <c r="H3051" t="s">
        <v>22</v>
      </c>
      <c r="I3051" t="s">
        <v>28</v>
      </c>
      <c r="J3051" t="s">
        <v>24</v>
      </c>
      <c r="K3051" s="6">
        <f t="shared" ca="1" si="196"/>
        <v>35010</v>
      </c>
      <c r="L3051">
        <v>-10751</v>
      </c>
      <c r="M3051" s="7">
        <f t="shared" ca="1" si="194"/>
        <v>29.434633812457221</v>
      </c>
      <c r="N3051" s="5" t="str">
        <f ca="1">VLOOKUP(Data!M3051,temp!$B$3:$C$9,2,1)</f>
        <v>20-30</v>
      </c>
      <c r="O3051">
        <v>-1039</v>
      </c>
      <c r="P3051" s="8">
        <f t="shared" si="195"/>
        <v>2.8446269678302532</v>
      </c>
      <c r="Q3051" s="5" t="str">
        <f t="shared" si="197"/>
        <v>Employed</v>
      </c>
      <c r="R3051">
        <v>1</v>
      </c>
      <c r="S3051">
        <v>0</v>
      </c>
      <c r="T3051">
        <v>0</v>
      </c>
      <c r="U3051">
        <v>0</v>
      </c>
      <c r="V3051" t="s">
        <v>38</v>
      </c>
      <c r="W3051">
        <v>2</v>
      </c>
    </row>
    <row r="3052" spans="1:23" x14ac:dyDescent="0.2">
      <c r="A3052">
        <v>5097033</v>
      </c>
      <c r="B3052" t="s">
        <v>18</v>
      </c>
      <c r="C3052" t="s">
        <v>19</v>
      </c>
      <c r="D3052" t="s">
        <v>19</v>
      </c>
      <c r="E3052">
        <v>1</v>
      </c>
      <c r="F3052">
        <v>153000</v>
      </c>
      <c r="G3052" t="s">
        <v>26</v>
      </c>
      <c r="H3052" t="s">
        <v>27</v>
      </c>
      <c r="I3052" t="s">
        <v>33</v>
      </c>
      <c r="J3052" t="s">
        <v>24</v>
      </c>
      <c r="K3052" s="6">
        <f t="shared" ca="1" si="196"/>
        <v>28257</v>
      </c>
      <c r="L3052">
        <v>-17504</v>
      </c>
      <c r="M3052" s="7">
        <f t="shared" ca="1" si="194"/>
        <v>47.923340177960299</v>
      </c>
      <c r="N3052" s="5" t="str">
        <f ca="1">VLOOKUP(Data!M3052,temp!$B$3:$C$9,2,1)</f>
        <v>40-50</v>
      </c>
      <c r="O3052">
        <v>-1738</v>
      </c>
      <c r="P3052" s="8">
        <f t="shared" si="195"/>
        <v>4.7583846680355917</v>
      </c>
      <c r="Q3052" s="5" t="str">
        <f t="shared" si="197"/>
        <v>Employed</v>
      </c>
      <c r="R3052">
        <v>1</v>
      </c>
      <c r="S3052">
        <v>0</v>
      </c>
      <c r="T3052">
        <v>1</v>
      </c>
      <c r="U3052">
        <v>0</v>
      </c>
      <c r="V3052" t="s">
        <v>29</v>
      </c>
      <c r="W3052">
        <v>2</v>
      </c>
    </row>
    <row r="3053" spans="1:23" x14ac:dyDescent="0.2">
      <c r="A3053">
        <v>5097057</v>
      </c>
      <c r="B3053" t="s">
        <v>18</v>
      </c>
      <c r="C3053" t="s">
        <v>19</v>
      </c>
      <c r="D3053" t="s">
        <v>20</v>
      </c>
      <c r="E3053">
        <v>0</v>
      </c>
      <c r="F3053">
        <v>270000</v>
      </c>
      <c r="G3053" t="s">
        <v>26</v>
      </c>
      <c r="H3053" t="s">
        <v>27</v>
      </c>
      <c r="I3053" t="s">
        <v>33</v>
      </c>
      <c r="J3053" t="s">
        <v>24</v>
      </c>
      <c r="K3053" s="6">
        <f t="shared" ca="1" si="196"/>
        <v>25777</v>
      </c>
      <c r="L3053">
        <v>-19984</v>
      </c>
      <c r="M3053" s="7">
        <f t="shared" ca="1" si="194"/>
        <v>54.713210130047912</v>
      </c>
      <c r="N3053" s="5" t="str">
        <f ca="1">VLOOKUP(Data!M3053,temp!$B$3:$C$9,2,1)</f>
        <v>50-60</v>
      </c>
      <c r="O3053">
        <v>-3868</v>
      </c>
      <c r="P3053" s="8">
        <f t="shared" si="195"/>
        <v>10.590006844626968</v>
      </c>
      <c r="Q3053" s="5" t="str">
        <f t="shared" si="197"/>
        <v>Employed</v>
      </c>
      <c r="R3053">
        <v>1</v>
      </c>
      <c r="S3053">
        <v>0</v>
      </c>
      <c r="T3053">
        <v>1</v>
      </c>
      <c r="U3053">
        <v>0</v>
      </c>
      <c r="V3053" t="s">
        <v>38</v>
      </c>
      <c r="W3053">
        <v>1</v>
      </c>
    </row>
    <row r="3054" spans="1:23" x14ac:dyDescent="0.2">
      <c r="A3054">
        <v>5097105</v>
      </c>
      <c r="B3054" t="s">
        <v>18</v>
      </c>
      <c r="C3054" t="s">
        <v>19</v>
      </c>
      <c r="D3054" t="s">
        <v>20</v>
      </c>
      <c r="E3054">
        <v>0</v>
      </c>
      <c r="F3054">
        <v>193500</v>
      </c>
      <c r="G3054" t="s">
        <v>31</v>
      </c>
      <c r="H3054" t="s">
        <v>27</v>
      </c>
      <c r="I3054" t="s">
        <v>28</v>
      </c>
      <c r="J3054" t="s">
        <v>24</v>
      </c>
      <c r="K3054" s="6">
        <f t="shared" ca="1" si="196"/>
        <v>24735</v>
      </c>
      <c r="L3054">
        <v>-21026</v>
      </c>
      <c r="M3054" s="7">
        <f t="shared" ca="1" si="194"/>
        <v>57.566050650239561</v>
      </c>
      <c r="N3054" s="5" t="str">
        <f ca="1">VLOOKUP(Data!M3054,temp!$B$3:$C$9,2,1)</f>
        <v>50-60</v>
      </c>
      <c r="O3054">
        <v>-11448</v>
      </c>
      <c r="P3054" s="8">
        <f t="shared" si="195"/>
        <v>31.342915811088297</v>
      </c>
      <c r="Q3054" s="5" t="str">
        <f t="shared" si="197"/>
        <v>Employed</v>
      </c>
      <c r="R3054">
        <v>1</v>
      </c>
      <c r="S3054">
        <v>0</v>
      </c>
      <c r="T3054">
        <v>1</v>
      </c>
      <c r="U3054">
        <v>0</v>
      </c>
      <c r="W3054">
        <v>2</v>
      </c>
    </row>
    <row r="3055" spans="1:23" x14ac:dyDescent="0.2">
      <c r="A3055">
        <v>5097117</v>
      </c>
      <c r="B3055" t="s">
        <v>18</v>
      </c>
      <c r="C3055" t="s">
        <v>20</v>
      </c>
      <c r="D3055" t="s">
        <v>20</v>
      </c>
      <c r="E3055">
        <v>0</v>
      </c>
      <c r="F3055">
        <v>225000</v>
      </c>
      <c r="G3055" t="s">
        <v>35</v>
      </c>
      <c r="H3055" t="s">
        <v>27</v>
      </c>
      <c r="I3055" t="s">
        <v>28</v>
      </c>
      <c r="J3055" t="s">
        <v>24</v>
      </c>
      <c r="K3055" s="6">
        <f t="shared" ca="1" si="196"/>
        <v>27651</v>
      </c>
      <c r="L3055">
        <v>-18110</v>
      </c>
      <c r="M3055" s="7">
        <f t="shared" ca="1" si="194"/>
        <v>49.582477754962355</v>
      </c>
      <c r="N3055" s="5" t="str">
        <f ca="1">VLOOKUP(Data!M3055,temp!$B$3:$C$9,2,1)</f>
        <v>40-50</v>
      </c>
      <c r="O3055">
        <v>-2074</v>
      </c>
      <c r="P3055" s="8">
        <f t="shared" si="195"/>
        <v>5.678302532511978</v>
      </c>
      <c r="Q3055" s="5" t="str">
        <f t="shared" si="197"/>
        <v>Employed</v>
      </c>
      <c r="R3055">
        <v>1</v>
      </c>
      <c r="S3055">
        <v>0</v>
      </c>
      <c r="T3055">
        <v>0</v>
      </c>
      <c r="U3055">
        <v>0</v>
      </c>
      <c r="V3055" t="s">
        <v>32</v>
      </c>
      <c r="W3055">
        <v>2</v>
      </c>
    </row>
    <row r="3056" spans="1:23" x14ac:dyDescent="0.2">
      <c r="A3056">
        <v>5097132</v>
      </c>
      <c r="B3056" t="s">
        <v>25</v>
      </c>
      <c r="C3056" t="s">
        <v>20</v>
      </c>
      <c r="D3056" t="s">
        <v>20</v>
      </c>
      <c r="E3056">
        <v>0</v>
      </c>
      <c r="F3056">
        <v>157500</v>
      </c>
      <c r="G3056" t="s">
        <v>31</v>
      </c>
      <c r="H3056" t="s">
        <v>27</v>
      </c>
      <c r="I3056" t="s">
        <v>28</v>
      </c>
      <c r="J3056" t="s">
        <v>24</v>
      </c>
      <c r="K3056" s="6">
        <f t="shared" ca="1" si="196"/>
        <v>34379</v>
      </c>
      <c r="L3056">
        <v>-11382</v>
      </c>
      <c r="M3056" s="7">
        <f t="shared" ca="1" si="194"/>
        <v>31.162217659137578</v>
      </c>
      <c r="N3056" s="5" t="str">
        <f ca="1">VLOOKUP(Data!M3056,temp!$B$3:$C$9,2,1)</f>
        <v>30-40</v>
      </c>
      <c r="O3056">
        <v>-2468</v>
      </c>
      <c r="P3056" s="8">
        <f t="shared" si="195"/>
        <v>6.7570157426420261</v>
      </c>
      <c r="Q3056" s="5" t="str">
        <f t="shared" si="197"/>
        <v>Employed</v>
      </c>
      <c r="R3056">
        <v>1</v>
      </c>
      <c r="S3056">
        <v>1</v>
      </c>
      <c r="T3056">
        <v>1</v>
      </c>
      <c r="U3056">
        <v>0</v>
      </c>
      <c r="V3056" t="s">
        <v>30</v>
      </c>
      <c r="W3056">
        <v>2</v>
      </c>
    </row>
    <row r="3057" spans="1:23" x14ac:dyDescent="0.2">
      <c r="A3057">
        <v>5097139</v>
      </c>
      <c r="B3057" t="s">
        <v>18</v>
      </c>
      <c r="C3057" t="s">
        <v>19</v>
      </c>
      <c r="D3057" t="s">
        <v>19</v>
      </c>
      <c r="E3057">
        <v>0</v>
      </c>
      <c r="F3057">
        <v>315000</v>
      </c>
      <c r="G3057" t="s">
        <v>26</v>
      </c>
      <c r="H3057" t="s">
        <v>22</v>
      </c>
      <c r="I3057" t="s">
        <v>37</v>
      </c>
      <c r="J3057" t="s">
        <v>41</v>
      </c>
      <c r="K3057" s="6">
        <f t="shared" ca="1" si="196"/>
        <v>31082</v>
      </c>
      <c r="L3057">
        <v>-14679</v>
      </c>
      <c r="M3057" s="7">
        <f t="shared" ca="1" si="194"/>
        <v>40.188911704312112</v>
      </c>
      <c r="N3057" s="5" t="str">
        <f ca="1">VLOOKUP(Data!M3057,temp!$B$3:$C$9,2,1)</f>
        <v>40-50</v>
      </c>
      <c r="O3057">
        <v>-1282</v>
      </c>
      <c r="P3057" s="8">
        <f t="shared" si="195"/>
        <v>3.5099247091033541</v>
      </c>
      <c r="Q3057" s="5" t="str">
        <f t="shared" si="197"/>
        <v>Employed</v>
      </c>
      <c r="R3057">
        <v>1</v>
      </c>
      <c r="S3057">
        <v>0</v>
      </c>
      <c r="T3057">
        <v>0</v>
      </c>
      <c r="U3057">
        <v>0</v>
      </c>
      <c r="V3057" t="s">
        <v>32</v>
      </c>
      <c r="W3057">
        <v>2</v>
      </c>
    </row>
    <row r="3058" spans="1:23" x14ac:dyDescent="0.2">
      <c r="A3058">
        <v>5097148</v>
      </c>
      <c r="B3058" t="s">
        <v>18</v>
      </c>
      <c r="C3058" t="s">
        <v>19</v>
      </c>
      <c r="D3058" t="s">
        <v>20</v>
      </c>
      <c r="E3058">
        <v>0</v>
      </c>
      <c r="F3058">
        <v>180000</v>
      </c>
      <c r="G3058" t="s">
        <v>21</v>
      </c>
      <c r="H3058" t="s">
        <v>27</v>
      </c>
      <c r="I3058" t="s">
        <v>33</v>
      </c>
      <c r="J3058" t="s">
        <v>24</v>
      </c>
      <c r="K3058" s="6">
        <f t="shared" ca="1" si="196"/>
        <v>24356</v>
      </c>
      <c r="L3058">
        <v>-21405</v>
      </c>
      <c r="M3058" s="7">
        <f t="shared" ca="1" si="194"/>
        <v>58.603696098562629</v>
      </c>
      <c r="N3058" s="5" t="str">
        <f ca="1">VLOOKUP(Data!M3058,temp!$B$3:$C$9,2,1)</f>
        <v>50-60</v>
      </c>
      <c r="O3058">
        <v>365243</v>
      </c>
      <c r="P3058" s="8">
        <f t="shared" si="195"/>
        <v>0</v>
      </c>
      <c r="Q3058" s="5" t="str">
        <f t="shared" si="197"/>
        <v>Unemployed</v>
      </c>
      <c r="R3058">
        <v>1</v>
      </c>
      <c r="S3058">
        <v>0</v>
      </c>
      <c r="T3058">
        <v>0</v>
      </c>
      <c r="U3058">
        <v>0</v>
      </c>
      <c r="W3058">
        <v>1</v>
      </c>
    </row>
    <row r="3059" spans="1:23" x14ac:dyDescent="0.2">
      <c r="A3059">
        <v>5097165</v>
      </c>
      <c r="B3059" t="s">
        <v>18</v>
      </c>
      <c r="C3059" t="s">
        <v>19</v>
      </c>
      <c r="D3059" t="s">
        <v>20</v>
      </c>
      <c r="E3059">
        <v>0</v>
      </c>
      <c r="F3059">
        <v>180000</v>
      </c>
      <c r="G3059" t="s">
        <v>31</v>
      </c>
      <c r="H3059" t="s">
        <v>27</v>
      </c>
      <c r="I3059" t="s">
        <v>37</v>
      </c>
      <c r="J3059" t="s">
        <v>41</v>
      </c>
      <c r="K3059" s="6">
        <f t="shared" ca="1" si="196"/>
        <v>31052</v>
      </c>
      <c r="L3059">
        <v>-14709</v>
      </c>
      <c r="M3059" s="7">
        <f t="shared" ca="1" si="194"/>
        <v>40.271047227926076</v>
      </c>
      <c r="N3059" s="5" t="str">
        <f ca="1">VLOOKUP(Data!M3059,temp!$B$3:$C$9,2,1)</f>
        <v>40-50</v>
      </c>
      <c r="O3059">
        <v>-1313</v>
      </c>
      <c r="P3059" s="8">
        <f t="shared" si="195"/>
        <v>3.5947980835044491</v>
      </c>
      <c r="Q3059" s="5" t="str">
        <f t="shared" si="197"/>
        <v>Employed</v>
      </c>
      <c r="R3059">
        <v>1</v>
      </c>
      <c r="S3059">
        <v>0</v>
      </c>
      <c r="T3059">
        <v>0</v>
      </c>
      <c r="U3059">
        <v>0</v>
      </c>
      <c r="V3059" t="s">
        <v>39</v>
      </c>
      <c r="W3059">
        <v>2</v>
      </c>
    </row>
    <row r="3060" spans="1:23" x14ac:dyDescent="0.2">
      <c r="A3060">
        <v>5097170</v>
      </c>
      <c r="B3060" t="s">
        <v>25</v>
      </c>
      <c r="C3060" t="s">
        <v>20</v>
      </c>
      <c r="D3060" t="s">
        <v>20</v>
      </c>
      <c r="E3060">
        <v>0</v>
      </c>
      <c r="F3060">
        <v>180000</v>
      </c>
      <c r="G3060" t="s">
        <v>35</v>
      </c>
      <c r="H3060" t="s">
        <v>27</v>
      </c>
      <c r="I3060" t="s">
        <v>28</v>
      </c>
      <c r="J3060" t="s">
        <v>24</v>
      </c>
      <c r="K3060" s="6">
        <f t="shared" ca="1" si="196"/>
        <v>36191</v>
      </c>
      <c r="L3060">
        <v>-9570</v>
      </c>
      <c r="M3060" s="7">
        <f t="shared" ca="1" si="194"/>
        <v>26.201232032854211</v>
      </c>
      <c r="N3060" s="5" t="str">
        <f ca="1">VLOOKUP(Data!M3060,temp!$B$3:$C$9,2,1)</f>
        <v>20-30</v>
      </c>
      <c r="O3060">
        <v>-2620</v>
      </c>
      <c r="P3060" s="8">
        <f t="shared" si="195"/>
        <v>7.1731690622861057</v>
      </c>
      <c r="Q3060" s="5" t="str">
        <f t="shared" si="197"/>
        <v>Employed</v>
      </c>
      <c r="R3060">
        <v>1</v>
      </c>
      <c r="S3060">
        <v>0</v>
      </c>
      <c r="T3060">
        <v>0</v>
      </c>
      <c r="U3060">
        <v>0</v>
      </c>
      <c r="V3060" t="s">
        <v>30</v>
      </c>
      <c r="W3060">
        <v>2</v>
      </c>
    </row>
    <row r="3061" spans="1:23" x14ac:dyDescent="0.2">
      <c r="A3061">
        <v>5097171</v>
      </c>
      <c r="B3061" t="s">
        <v>18</v>
      </c>
      <c r="C3061" t="s">
        <v>19</v>
      </c>
      <c r="D3061" t="s">
        <v>20</v>
      </c>
      <c r="E3061">
        <v>0</v>
      </c>
      <c r="F3061">
        <v>315000</v>
      </c>
      <c r="G3061" t="s">
        <v>31</v>
      </c>
      <c r="H3061" t="s">
        <v>27</v>
      </c>
      <c r="I3061" t="s">
        <v>33</v>
      </c>
      <c r="J3061" t="s">
        <v>24</v>
      </c>
      <c r="K3061" s="6">
        <f t="shared" ca="1" si="196"/>
        <v>35364</v>
      </c>
      <c r="L3061">
        <v>-10397</v>
      </c>
      <c r="M3061" s="7">
        <f t="shared" ca="1" si="194"/>
        <v>28.465434633812457</v>
      </c>
      <c r="N3061" s="5" t="str">
        <f ca="1">VLOOKUP(Data!M3061,temp!$B$3:$C$9,2,1)</f>
        <v>20-30</v>
      </c>
      <c r="O3061">
        <v>-1037</v>
      </c>
      <c r="P3061" s="8">
        <f t="shared" si="195"/>
        <v>2.839151266255989</v>
      </c>
      <c r="Q3061" s="5" t="str">
        <f t="shared" si="197"/>
        <v>Employed</v>
      </c>
      <c r="R3061">
        <v>1</v>
      </c>
      <c r="S3061">
        <v>0</v>
      </c>
      <c r="T3061">
        <v>0</v>
      </c>
      <c r="U3061">
        <v>0</v>
      </c>
      <c r="V3061" t="s">
        <v>44</v>
      </c>
      <c r="W3061">
        <v>1</v>
      </c>
    </row>
    <row r="3062" spans="1:23" x14ac:dyDescent="0.2">
      <c r="A3062">
        <v>5097185</v>
      </c>
      <c r="B3062" t="s">
        <v>18</v>
      </c>
      <c r="C3062" t="s">
        <v>19</v>
      </c>
      <c r="D3062" t="s">
        <v>20</v>
      </c>
      <c r="E3062">
        <v>0</v>
      </c>
      <c r="F3062">
        <v>202500</v>
      </c>
      <c r="G3062" t="s">
        <v>35</v>
      </c>
      <c r="H3062" t="s">
        <v>22</v>
      </c>
      <c r="I3062" t="s">
        <v>28</v>
      </c>
      <c r="J3062" t="s">
        <v>24</v>
      </c>
      <c r="K3062" s="6">
        <f t="shared" ca="1" si="196"/>
        <v>34603</v>
      </c>
      <c r="L3062">
        <v>-11158</v>
      </c>
      <c r="M3062" s="7">
        <f t="shared" ca="1" si="194"/>
        <v>30.548939082819988</v>
      </c>
      <c r="N3062" s="5" t="str">
        <f ca="1">VLOOKUP(Data!M3062,temp!$B$3:$C$9,2,1)</f>
        <v>30-40</v>
      </c>
      <c r="O3062">
        <v>-640</v>
      </c>
      <c r="P3062" s="8">
        <f t="shared" si="195"/>
        <v>1.7522245037645447</v>
      </c>
      <c r="Q3062" s="5" t="str">
        <f t="shared" si="197"/>
        <v>Employed</v>
      </c>
      <c r="R3062">
        <v>1</v>
      </c>
      <c r="S3062">
        <v>0</v>
      </c>
      <c r="T3062">
        <v>1</v>
      </c>
      <c r="U3062">
        <v>0</v>
      </c>
      <c r="V3062" t="s">
        <v>47</v>
      </c>
      <c r="W3062">
        <v>2</v>
      </c>
    </row>
    <row r="3063" spans="1:23" x14ac:dyDescent="0.2">
      <c r="A3063">
        <v>5097189</v>
      </c>
      <c r="B3063" t="s">
        <v>18</v>
      </c>
      <c r="C3063" t="s">
        <v>19</v>
      </c>
      <c r="D3063" t="s">
        <v>20</v>
      </c>
      <c r="E3063">
        <v>0</v>
      </c>
      <c r="F3063">
        <v>130500</v>
      </c>
      <c r="G3063" t="s">
        <v>21</v>
      </c>
      <c r="H3063" t="s">
        <v>27</v>
      </c>
      <c r="I3063" t="s">
        <v>42</v>
      </c>
      <c r="J3063" t="s">
        <v>24</v>
      </c>
      <c r="K3063" s="6">
        <f t="shared" ca="1" si="196"/>
        <v>23218</v>
      </c>
      <c r="L3063">
        <v>-22543</v>
      </c>
      <c r="M3063" s="7">
        <f t="shared" ca="1" si="194"/>
        <v>61.719370294318956</v>
      </c>
      <c r="N3063" s="5" t="str">
        <f ca="1">VLOOKUP(Data!M3063,temp!$B$3:$C$9,2,1)</f>
        <v>60-70</v>
      </c>
      <c r="O3063">
        <v>365243</v>
      </c>
      <c r="P3063" s="8">
        <f t="shared" si="195"/>
        <v>0</v>
      </c>
      <c r="Q3063" s="5" t="str">
        <f t="shared" si="197"/>
        <v>Unemployed</v>
      </c>
      <c r="R3063">
        <v>1</v>
      </c>
      <c r="S3063">
        <v>0</v>
      </c>
      <c r="T3063">
        <v>1</v>
      </c>
      <c r="U3063">
        <v>0</v>
      </c>
      <c r="W3063">
        <v>1</v>
      </c>
    </row>
    <row r="3064" spans="1:23" x14ac:dyDescent="0.2">
      <c r="A3064">
        <v>5099717</v>
      </c>
      <c r="B3064" t="s">
        <v>25</v>
      </c>
      <c r="C3064" t="s">
        <v>20</v>
      </c>
      <c r="D3064" t="s">
        <v>19</v>
      </c>
      <c r="E3064">
        <v>0</v>
      </c>
      <c r="F3064">
        <v>247500</v>
      </c>
      <c r="G3064" t="s">
        <v>31</v>
      </c>
      <c r="H3064" t="s">
        <v>27</v>
      </c>
      <c r="I3064" t="s">
        <v>28</v>
      </c>
      <c r="J3064" t="s">
        <v>24</v>
      </c>
      <c r="K3064" s="6">
        <f t="shared" ca="1" si="196"/>
        <v>31666</v>
      </c>
      <c r="L3064">
        <v>-14095</v>
      </c>
      <c r="M3064" s="7">
        <f t="shared" ca="1" si="194"/>
        <v>38.59000684462697</v>
      </c>
      <c r="N3064" s="5" t="str">
        <f ca="1">VLOOKUP(Data!M3064,temp!$B$3:$C$9,2,1)</f>
        <v>30-40</v>
      </c>
      <c r="O3064">
        <v>-1526</v>
      </c>
      <c r="P3064" s="8">
        <f t="shared" si="195"/>
        <v>4.1779603011635862</v>
      </c>
      <c r="Q3064" s="5" t="str">
        <f t="shared" si="197"/>
        <v>Employed</v>
      </c>
      <c r="R3064">
        <v>1</v>
      </c>
      <c r="S3064">
        <v>0</v>
      </c>
      <c r="T3064">
        <v>0</v>
      </c>
      <c r="U3064">
        <v>0</v>
      </c>
      <c r="V3064" t="s">
        <v>30</v>
      </c>
      <c r="W3064">
        <v>2</v>
      </c>
    </row>
    <row r="3065" spans="1:23" x14ac:dyDescent="0.2">
      <c r="A3065">
        <v>5099725</v>
      </c>
      <c r="B3065" t="s">
        <v>25</v>
      </c>
      <c r="C3065" t="s">
        <v>20</v>
      </c>
      <c r="D3065" t="s">
        <v>19</v>
      </c>
      <c r="E3065">
        <v>0</v>
      </c>
      <c r="F3065">
        <v>247500</v>
      </c>
      <c r="G3065" t="s">
        <v>31</v>
      </c>
      <c r="H3065" t="s">
        <v>27</v>
      </c>
      <c r="I3065" t="s">
        <v>28</v>
      </c>
      <c r="J3065" t="s">
        <v>24</v>
      </c>
      <c r="K3065" s="6">
        <f t="shared" ca="1" si="196"/>
        <v>31666</v>
      </c>
      <c r="L3065">
        <v>-14095</v>
      </c>
      <c r="M3065" s="7">
        <f t="shared" ca="1" si="194"/>
        <v>38.59000684462697</v>
      </c>
      <c r="N3065" s="5" t="str">
        <f ca="1">VLOOKUP(Data!M3065,temp!$B$3:$C$9,2,1)</f>
        <v>30-40</v>
      </c>
      <c r="O3065">
        <v>-1526</v>
      </c>
      <c r="P3065" s="8">
        <f t="shared" si="195"/>
        <v>4.1779603011635862</v>
      </c>
      <c r="Q3065" s="5" t="str">
        <f t="shared" si="197"/>
        <v>Employed</v>
      </c>
      <c r="R3065">
        <v>1</v>
      </c>
      <c r="S3065">
        <v>0</v>
      </c>
      <c r="T3065">
        <v>0</v>
      </c>
      <c r="U3065">
        <v>0</v>
      </c>
      <c r="V3065" t="s">
        <v>30</v>
      </c>
      <c r="W3065">
        <v>2</v>
      </c>
    </row>
    <row r="3066" spans="1:23" x14ac:dyDescent="0.2">
      <c r="A3066">
        <v>5099733</v>
      </c>
      <c r="B3066" t="s">
        <v>25</v>
      </c>
      <c r="C3066" t="s">
        <v>20</v>
      </c>
      <c r="D3066" t="s">
        <v>19</v>
      </c>
      <c r="E3066">
        <v>0</v>
      </c>
      <c r="F3066">
        <v>171000</v>
      </c>
      <c r="G3066" t="s">
        <v>31</v>
      </c>
      <c r="H3066" t="s">
        <v>27</v>
      </c>
      <c r="I3066" t="s">
        <v>28</v>
      </c>
      <c r="J3066" t="s">
        <v>43</v>
      </c>
      <c r="K3066" s="6">
        <f t="shared" ca="1" si="196"/>
        <v>34904</v>
      </c>
      <c r="L3066">
        <v>-10857</v>
      </c>
      <c r="M3066" s="7">
        <f t="shared" ca="1" si="194"/>
        <v>29.724845995893222</v>
      </c>
      <c r="N3066" s="5" t="str">
        <f ca="1">VLOOKUP(Data!M3066,temp!$B$3:$C$9,2,1)</f>
        <v>20-30</v>
      </c>
      <c r="O3066">
        <v>-218</v>
      </c>
      <c r="P3066" s="8">
        <f t="shared" si="195"/>
        <v>0.59685147159479812</v>
      </c>
      <c r="Q3066" s="5" t="str">
        <f t="shared" si="197"/>
        <v>Employed</v>
      </c>
      <c r="R3066">
        <v>1</v>
      </c>
      <c r="S3066">
        <v>0</v>
      </c>
      <c r="T3066">
        <v>0</v>
      </c>
      <c r="U3066">
        <v>0</v>
      </c>
      <c r="W3066">
        <v>2</v>
      </c>
    </row>
    <row r="3067" spans="1:23" x14ac:dyDescent="0.2">
      <c r="A3067">
        <v>5099747</v>
      </c>
      <c r="B3067" t="s">
        <v>18</v>
      </c>
      <c r="C3067" t="s">
        <v>19</v>
      </c>
      <c r="D3067" t="s">
        <v>20</v>
      </c>
      <c r="E3067">
        <v>1</v>
      </c>
      <c r="F3067">
        <v>135000</v>
      </c>
      <c r="G3067" t="s">
        <v>31</v>
      </c>
      <c r="H3067" t="s">
        <v>27</v>
      </c>
      <c r="I3067" t="s">
        <v>28</v>
      </c>
      <c r="J3067" t="s">
        <v>24</v>
      </c>
      <c r="K3067" s="6">
        <f t="shared" ca="1" si="196"/>
        <v>35649</v>
      </c>
      <c r="L3067">
        <v>-10112</v>
      </c>
      <c r="M3067" s="7">
        <f t="shared" ca="1" si="194"/>
        <v>27.685147159479808</v>
      </c>
      <c r="N3067" s="5" t="str">
        <f ca="1">VLOOKUP(Data!M3067,temp!$B$3:$C$9,2,1)</f>
        <v>20-30</v>
      </c>
      <c r="O3067">
        <v>-3170</v>
      </c>
      <c r="P3067" s="8">
        <f t="shared" si="195"/>
        <v>8.6789869952087617</v>
      </c>
      <c r="Q3067" s="5" t="str">
        <f t="shared" si="197"/>
        <v>Employed</v>
      </c>
      <c r="R3067">
        <v>1</v>
      </c>
      <c r="S3067">
        <v>1</v>
      </c>
      <c r="T3067">
        <v>1</v>
      </c>
      <c r="U3067">
        <v>0</v>
      </c>
      <c r="V3067" t="s">
        <v>29</v>
      </c>
      <c r="W3067">
        <v>3</v>
      </c>
    </row>
    <row r="3068" spans="1:23" x14ac:dyDescent="0.2">
      <c r="A3068">
        <v>5099762</v>
      </c>
      <c r="B3068" t="s">
        <v>18</v>
      </c>
      <c r="C3068" t="s">
        <v>19</v>
      </c>
      <c r="D3068" t="s">
        <v>20</v>
      </c>
      <c r="E3068">
        <v>1</v>
      </c>
      <c r="F3068">
        <v>135000</v>
      </c>
      <c r="G3068" t="s">
        <v>31</v>
      </c>
      <c r="H3068" t="s">
        <v>27</v>
      </c>
      <c r="I3068" t="s">
        <v>28</v>
      </c>
      <c r="J3068" t="s">
        <v>24</v>
      </c>
      <c r="K3068" s="6">
        <f t="shared" ca="1" si="196"/>
        <v>35649</v>
      </c>
      <c r="L3068">
        <v>-10112</v>
      </c>
      <c r="M3068" s="7">
        <f t="shared" ca="1" si="194"/>
        <v>27.685147159479808</v>
      </c>
      <c r="N3068" s="5" t="str">
        <f ca="1">VLOOKUP(Data!M3068,temp!$B$3:$C$9,2,1)</f>
        <v>20-30</v>
      </c>
      <c r="O3068">
        <v>-3170</v>
      </c>
      <c r="P3068" s="8">
        <f t="shared" si="195"/>
        <v>8.6789869952087617</v>
      </c>
      <c r="Q3068" s="5" t="str">
        <f t="shared" si="197"/>
        <v>Employed</v>
      </c>
      <c r="R3068">
        <v>1</v>
      </c>
      <c r="S3068">
        <v>1</v>
      </c>
      <c r="T3068">
        <v>1</v>
      </c>
      <c r="U3068">
        <v>0</v>
      </c>
      <c r="V3068" t="s">
        <v>29</v>
      </c>
      <c r="W3068">
        <v>3</v>
      </c>
    </row>
    <row r="3069" spans="1:23" x14ac:dyDescent="0.2">
      <c r="A3069">
        <v>5099774</v>
      </c>
      <c r="B3069" t="s">
        <v>18</v>
      </c>
      <c r="C3069" t="s">
        <v>20</v>
      </c>
      <c r="D3069" t="s">
        <v>20</v>
      </c>
      <c r="E3069">
        <v>0</v>
      </c>
      <c r="F3069">
        <v>112500</v>
      </c>
      <c r="G3069" t="s">
        <v>31</v>
      </c>
      <c r="H3069" t="s">
        <v>27</v>
      </c>
      <c r="I3069" t="s">
        <v>28</v>
      </c>
      <c r="J3069" t="s">
        <v>24</v>
      </c>
      <c r="K3069" s="6">
        <f t="shared" ca="1" si="196"/>
        <v>30977</v>
      </c>
      <c r="L3069">
        <v>-14784</v>
      </c>
      <c r="M3069" s="7">
        <f t="shared" ca="1" si="194"/>
        <v>40.476386036960989</v>
      </c>
      <c r="N3069" s="5" t="str">
        <f ca="1">VLOOKUP(Data!M3069,temp!$B$3:$C$9,2,1)</f>
        <v>40-50</v>
      </c>
      <c r="O3069">
        <v>-5817</v>
      </c>
      <c r="P3069" s="8">
        <f t="shared" si="195"/>
        <v>15.926078028747433</v>
      </c>
      <c r="Q3069" s="5" t="str">
        <f t="shared" si="197"/>
        <v>Employed</v>
      </c>
      <c r="R3069">
        <v>1</v>
      </c>
      <c r="S3069">
        <v>0</v>
      </c>
      <c r="T3069">
        <v>0</v>
      </c>
      <c r="U3069">
        <v>0</v>
      </c>
      <c r="V3069" t="s">
        <v>40</v>
      </c>
      <c r="W3069">
        <v>2</v>
      </c>
    </row>
    <row r="3070" spans="1:23" x14ac:dyDescent="0.2">
      <c r="A3070">
        <v>5099776</v>
      </c>
      <c r="B3070" t="s">
        <v>18</v>
      </c>
      <c r="C3070" t="s">
        <v>20</v>
      </c>
      <c r="D3070" t="s">
        <v>20</v>
      </c>
      <c r="E3070">
        <v>0</v>
      </c>
      <c r="F3070">
        <v>157500</v>
      </c>
      <c r="G3070" t="s">
        <v>31</v>
      </c>
      <c r="H3070" t="s">
        <v>22</v>
      </c>
      <c r="I3070" t="s">
        <v>28</v>
      </c>
      <c r="J3070" t="s">
        <v>24</v>
      </c>
      <c r="K3070" s="6">
        <f t="shared" ca="1" si="196"/>
        <v>35175</v>
      </c>
      <c r="L3070">
        <v>-10586</v>
      </c>
      <c r="M3070" s="7">
        <f t="shared" ca="1" si="194"/>
        <v>28.982888432580424</v>
      </c>
      <c r="N3070" s="5" t="str">
        <f ca="1">VLOOKUP(Data!M3070,temp!$B$3:$C$9,2,1)</f>
        <v>20-30</v>
      </c>
      <c r="O3070">
        <v>-279</v>
      </c>
      <c r="P3070" s="8">
        <f t="shared" si="195"/>
        <v>0.76386036960985626</v>
      </c>
      <c r="Q3070" s="5" t="str">
        <f t="shared" si="197"/>
        <v>Employed</v>
      </c>
      <c r="R3070">
        <v>1</v>
      </c>
      <c r="S3070">
        <v>0</v>
      </c>
      <c r="T3070">
        <v>0</v>
      </c>
      <c r="U3070">
        <v>0</v>
      </c>
      <c r="V3070" t="s">
        <v>39</v>
      </c>
      <c r="W3070">
        <v>2</v>
      </c>
    </row>
    <row r="3071" spans="1:23" x14ac:dyDescent="0.2">
      <c r="A3071">
        <v>5099777</v>
      </c>
      <c r="B3071" t="s">
        <v>18</v>
      </c>
      <c r="C3071" t="s">
        <v>20</v>
      </c>
      <c r="D3071" t="s">
        <v>20</v>
      </c>
      <c r="E3071">
        <v>0</v>
      </c>
      <c r="F3071">
        <v>157500</v>
      </c>
      <c r="G3071" t="s">
        <v>31</v>
      </c>
      <c r="H3071" t="s">
        <v>22</v>
      </c>
      <c r="I3071" t="s">
        <v>28</v>
      </c>
      <c r="J3071" t="s">
        <v>24</v>
      </c>
      <c r="K3071" s="6">
        <f t="shared" ca="1" si="196"/>
        <v>35175</v>
      </c>
      <c r="L3071">
        <v>-10586</v>
      </c>
      <c r="M3071" s="7">
        <f t="shared" ca="1" si="194"/>
        <v>28.982888432580424</v>
      </c>
      <c r="N3071" s="5" t="str">
        <f ca="1">VLOOKUP(Data!M3071,temp!$B$3:$C$9,2,1)</f>
        <v>20-30</v>
      </c>
      <c r="O3071">
        <v>-279</v>
      </c>
      <c r="P3071" s="8">
        <f t="shared" si="195"/>
        <v>0.76386036960985626</v>
      </c>
      <c r="Q3071" s="5" t="str">
        <f t="shared" si="197"/>
        <v>Employed</v>
      </c>
      <c r="R3071">
        <v>1</v>
      </c>
      <c r="S3071">
        <v>0</v>
      </c>
      <c r="T3071">
        <v>0</v>
      </c>
      <c r="U3071">
        <v>0</v>
      </c>
      <c r="V3071" t="s">
        <v>39</v>
      </c>
      <c r="W3071">
        <v>2</v>
      </c>
    </row>
    <row r="3072" spans="1:23" x14ac:dyDescent="0.2">
      <c r="A3072">
        <v>5099780</v>
      </c>
      <c r="B3072" t="s">
        <v>25</v>
      </c>
      <c r="C3072" t="s">
        <v>20</v>
      </c>
      <c r="D3072" t="s">
        <v>19</v>
      </c>
      <c r="E3072">
        <v>0</v>
      </c>
      <c r="F3072">
        <v>252000</v>
      </c>
      <c r="G3072" t="s">
        <v>31</v>
      </c>
      <c r="H3072" t="s">
        <v>22</v>
      </c>
      <c r="I3072" t="s">
        <v>28</v>
      </c>
      <c r="J3072" t="s">
        <v>24</v>
      </c>
      <c r="K3072" s="6">
        <f t="shared" ca="1" si="196"/>
        <v>30534</v>
      </c>
      <c r="L3072">
        <v>-15227</v>
      </c>
      <c r="M3072" s="7">
        <f t="shared" ca="1" si="194"/>
        <v>41.68925393566051</v>
      </c>
      <c r="N3072" s="5" t="str">
        <f ca="1">VLOOKUP(Data!M3072,temp!$B$3:$C$9,2,1)</f>
        <v>40-50</v>
      </c>
      <c r="O3072">
        <v>-5300</v>
      </c>
      <c r="P3072" s="8">
        <f t="shared" si="195"/>
        <v>14.510609171800137</v>
      </c>
      <c r="Q3072" s="5" t="str">
        <f t="shared" si="197"/>
        <v>Employed</v>
      </c>
      <c r="R3072">
        <v>1</v>
      </c>
      <c r="S3072">
        <v>1</v>
      </c>
      <c r="T3072">
        <v>1</v>
      </c>
      <c r="U3072">
        <v>0</v>
      </c>
      <c r="V3072" t="s">
        <v>29</v>
      </c>
      <c r="W3072">
        <v>2</v>
      </c>
    </row>
    <row r="3073" spans="1:23" x14ac:dyDescent="0.2">
      <c r="A3073">
        <v>5099789</v>
      </c>
      <c r="B3073" t="s">
        <v>25</v>
      </c>
      <c r="C3073" t="s">
        <v>20</v>
      </c>
      <c r="D3073" t="s">
        <v>19</v>
      </c>
      <c r="E3073">
        <v>0</v>
      </c>
      <c r="F3073">
        <v>252000</v>
      </c>
      <c r="G3073" t="s">
        <v>31</v>
      </c>
      <c r="H3073" t="s">
        <v>22</v>
      </c>
      <c r="I3073" t="s">
        <v>28</v>
      </c>
      <c r="J3073" t="s">
        <v>24</v>
      </c>
      <c r="K3073" s="6">
        <f t="shared" ca="1" si="196"/>
        <v>30534</v>
      </c>
      <c r="L3073">
        <v>-15227</v>
      </c>
      <c r="M3073" s="7">
        <f t="shared" ca="1" si="194"/>
        <v>41.68925393566051</v>
      </c>
      <c r="N3073" s="5" t="str">
        <f ca="1">VLOOKUP(Data!M3073,temp!$B$3:$C$9,2,1)</f>
        <v>40-50</v>
      </c>
      <c r="O3073">
        <v>-5300</v>
      </c>
      <c r="P3073" s="8">
        <f t="shared" si="195"/>
        <v>14.510609171800137</v>
      </c>
      <c r="Q3073" s="5" t="str">
        <f t="shared" si="197"/>
        <v>Employed</v>
      </c>
      <c r="R3073">
        <v>1</v>
      </c>
      <c r="S3073">
        <v>1</v>
      </c>
      <c r="T3073">
        <v>1</v>
      </c>
      <c r="U3073">
        <v>0</v>
      </c>
      <c r="V3073" t="s">
        <v>29</v>
      </c>
      <c r="W3073">
        <v>2</v>
      </c>
    </row>
    <row r="3074" spans="1:23" x14ac:dyDescent="0.2">
      <c r="A3074">
        <v>5099791</v>
      </c>
      <c r="B3074" t="s">
        <v>25</v>
      </c>
      <c r="C3074" t="s">
        <v>20</v>
      </c>
      <c r="D3074" t="s">
        <v>19</v>
      </c>
      <c r="E3074">
        <v>0</v>
      </c>
      <c r="F3074">
        <v>252000</v>
      </c>
      <c r="G3074" t="s">
        <v>31</v>
      </c>
      <c r="H3074" t="s">
        <v>22</v>
      </c>
      <c r="I3074" t="s">
        <v>28</v>
      </c>
      <c r="J3074" t="s">
        <v>24</v>
      </c>
      <c r="K3074" s="6">
        <f t="shared" ca="1" si="196"/>
        <v>30534</v>
      </c>
      <c r="L3074">
        <v>-15227</v>
      </c>
      <c r="M3074" s="7">
        <f t="shared" ca="1" si="194"/>
        <v>41.68925393566051</v>
      </c>
      <c r="N3074" s="5" t="str">
        <f ca="1">VLOOKUP(Data!M3074,temp!$B$3:$C$9,2,1)</f>
        <v>40-50</v>
      </c>
      <c r="O3074">
        <v>-5300</v>
      </c>
      <c r="P3074" s="8">
        <f t="shared" si="195"/>
        <v>14.510609171800137</v>
      </c>
      <c r="Q3074" s="5" t="str">
        <f t="shared" si="197"/>
        <v>Employed</v>
      </c>
      <c r="R3074">
        <v>1</v>
      </c>
      <c r="S3074">
        <v>1</v>
      </c>
      <c r="T3074">
        <v>1</v>
      </c>
      <c r="U3074">
        <v>0</v>
      </c>
      <c r="V3074" t="s">
        <v>29</v>
      </c>
      <c r="W3074">
        <v>2</v>
      </c>
    </row>
    <row r="3075" spans="1:23" x14ac:dyDescent="0.2">
      <c r="A3075">
        <v>5099804</v>
      </c>
      <c r="B3075" t="s">
        <v>18</v>
      </c>
      <c r="C3075" t="s">
        <v>19</v>
      </c>
      <c r="D3075" t="s">
        <v>19</v>
      </c>
      <c r="E3075">
        <v>2</v>
      </c>
      <c r="F3075">
        <v>82350</v>
      </c>
      <c r="G3075" t="s">
        <v>31</v>
      </c>
      <c r="H3075" t="s">
        <v>36</v>
      </c>
      <c r="I3075" t="s">
        <v>28</v>
      </c>
      <c r="J3075" t="s">
        <v>41</v>
      </c>
      <c r="K3075" s="6">
        <f t="shared" ca="1" si="196"/>
        <v>33607</v>
      </c>
      <c r="L3075">
        <v>-12154</v>
      </c>
      <c r="M3075" s="7">
        <f t="shared" ref="M3075:M3138" ca="1" si="198">(TODAY()-K3075)/365.25</f>
        <v>33.275838466803556</v>
      </c>
      <c r="N3075" s="5" t="str">
        <f ca="1">VLOOKUP(Data!M3075,temp!$B$3:$C$9,2,1)</f>
        <v>30-40</v>
      </c>
      <c r="O3075">
        <v>-4083</v>
      </c>
      <c r="P3075" s="8">
        <f t="shared" ref="P3075:P3138" si="199">IF(O3075&lt;=0,ABS(O3075)/365.25,0)</f>
        <v>11.178644763860369</v>
      </c>
      <c r="Q3075" s="5" t="str">
        <f t="shared" si="197"/>
        <v>Employed</v>
      </c>
      <c r="R3075">
        <v>1</v>
      </c>
      <c r="S3075">
        <v>1</v>
      </c>
      <c r="T3075">
        <v>0</v>
      </c>
      <c r="U3075">
        <v>0</v>
      </c>
      <c r="V3075" t="s">
        <v>46</v>
      </c>
      <c r="W3075">
        <v>4</v>
      </c>
    </row>
    <row r="3076" spans="1:23" x14ac:dyDescent="0.2">
      <c r="A3076">
        <v>5099808</v>
      </c>
      <c r="B3076" t="s">
        <v>25</v>
      </c>
      <c r="C3076" t="s">
        <v>20</v>
      </c>
      <c r="D3076" t="s">
        <v>20</v>
      </c>
      <c r="E3076">
        <v>1</v>
      </c>
      <c r="F3076">
        <v>337500</v>
      </c>
      <c r="G3076" t="s">
        <v>31</v>
      </c>
      <c r="H3076" t="s">
        <v>22</v>
      </c>
      <c r="I3076" t="s">
        <v>28</v>
      </c>
      <c r="J3076" t="s">
        <v>24</v>
      </c>
      <c r="K3076" s="6">
        <f t="shared" ca="1" si="196"/>
        <v>34272</v>
      </c>
      <c r="L3076">
        <v>-11489</v>
      </c>
      <c r="M3076" s="7">
        <f t="shared" ca="1" si="198"/>
        <v>31.455167693360711</v>
      </c>
      <c r="N3076" s="5" t="str">
        <f ca="1">VLOOKUP(Data!M3076,temp!$B$3:$C$9,2,1)</f>
        <v>30-40</v>
      </c>
      <c r="O3076">
        <v>-3109</v>
      </c>
      <c r="P3076" s="8">
        <f t="shared" si="199"/>
        <v>8.5119780971937029</v>
      </c>
      <c r="Q3076" s="5" t="str">
        <f t="shared" si="197"/>
        <v>Employed</v>
      </c>
      <c r="R3076">
        <v>1</v>
      </c>
      <c r="S3076">
        <v>0</v>
      </c>
      <c r="T3076">
        <v>0</v>
      </c>
      <c r="U3076">
        <v>0</v>
      </c>
      <c r="V3076" t="s">
        <v>32</v>
      </c>
      <c r="W3076">
        <v>3</v>
      </c>
    </row>
    <row r="3077" spans="1:23" x14ac:dyDescent="0.2">
      <c r="A3077">
        <v>5099822</v>
      </c>
      <c r="B3077" t="s">
        <v>18</v>
      </c>
      <c r="C3077" t="s">
        <v>19</v>
      </c>
      <c r="D3077" t="s">
        <v>20</v>
      </c>
      <c r="E3077">
        <v>0</v>
      </c>
      <c r="F3077">
        <v>72000</v>
      </c>
      <c r="G3077" t="s">
        <v>21</v>
      </c>
      <c r="H3077" t="s">
        <v>27</v>
      </c>
      <c r="I3077" t="s">
        <v>28</v>
      </c>
      <c r="J3077" t="s">
        <v>24</v>
      </c>
      <c r="K3077" s="6">
        <f t="shared" ca="1" si="196"/>
        <v>23853</v>
      </c>
      <c r="L3077">
        <v>-21908</v>
      </c>
      <c r="M3077" s="7">
        <f t="shared" ca="1" si="198"/>
        <v>59.980835044490078</v>
      </c>
      <c r="N3077" s="5" t="str">
        <f ca="1">VLOOKUP(Data!M3077,temp!$B$3:$C$9,2,1)</f>
        <v>50-60</v>
      </c>
      <c r="O3077">
        <v>365243</v>
      </c>
      <c r="P3077" s="8">
        <f t="shared" si="199"/>
        <v>0</v>
      </c>
      <c r="Q3077" s="5" t="str">
        <f t="shared" si="197"/>
        <v>Unemployed</v>
      </c>
      <c r="R3077">
        <v>1</v>
      </c>
      <c r="S3077">
        <v>0</v>
      </c>
      <c r="T3077">
        <v>0</v>
      </c>
      <c r="U3077">
        <v>0</v>
      </c>
      <c r="W3077">
        <v>2</v>
      </c>
    </row>
    <row r="3078" spans="1:23" x14ac:dyDescent="0.2">
      <c r="A3078">
        <v>5099824</v>
      </c>
      <c r="B3078" t="s">
        <v>18</v>
      </c>
      <c r="C3078" t="s">
        <v>19</v>
      </c>
      <c r="D3078" t="s">
        <v>20</v>
      </c>
      <c r="E3078">
        <v>0</v>
      </c>
      <c r="F3078">
        <v>72000</v>
      </c>
      <c r="G3078" t="s">
        <v>21</v>
      </c>
      <c r="H3078" t="s">
        <v>27</v>
      </c>
      <c r="I3078" t="s">
        <v>28</v>
      </c>
      <c r="J3078" t="s">
        <v>24</v>
      </c>
      <c r="K3078" s="6">
        <f t="shared" ca="1" si="196"/>
        <v>23853</v>
      </c>
      <c r="L3078">
        <v>-21908</v>
      </c>
      <c r="M3078" s="7">
        <f t="shared" ca="1" si="198"/>
        <v>59.980835044490078</v>
      </c>
      <c r="N3078" s="5" t="str">
        <f ca="1">VLOOKUP(Data!M3078,temp!$B$3:$C$9,2,1)</f>
        <v>50-60</v>
      </c>
      <c r="O3078">
        <v>365243</v>
      </c>
      <c r="P3078" s="8">
        <f t="shared" si="199"/>
        <v>0</v>
      </c>
      <c r="Q3078" s="5" t="str">
        <f t="shared" si="197"/>
        <v>Unemployed</v>
      </c>
      <c r="R3078">
        <v>1</v>
      </c>
      <c r="S3078">
        <v>0</v>
      </c>
      <c r="T3078">
        <v>0</v>
      </c>
      <c r="U3078">
        <v>0</v>
      </c>
      <c r="W3078">
        <v>2</v>
      </c>
    </row>
    <row r="3079" spans="1:23" x14ac:dyDescent="0.2">
      <c r="A3079">
        <v>5099848</v>
      </c>
      <c r="B3079" t="s">
        <v>18</v>
      </c>
      <c r="C3079" t="s">
        <v>19</v>
      </c>
      <c r="D3079" t="s">
        <v>20</v>
      </c>
      <c r="E3079">
        <v>2</v>
      </c>
      <c r="F3079">
        <v>112500</v>
      </c>
      <c r="G3079" t="s">
        <v>31</v>
      </c>
      <c r="H3079" t="s">
        <v>22</v>
      </c>
      <c r="I3079" t="s">
        <v>28</v>
      </c>
      <c r="J3079" t="s">
        <v>24</v>
      </c>
      <c r="K3079" s="6">
        <f t="shared" ca="1" si="196"/>
        <v>30993</v>
      </c>
      <c r="L3079">
        <v>-14768</v>
      </c>
      <c r="M3079" s="7">
        <f t="shared" ca="1" si="198"/>
        <v>40.432580424366868</v>
      </c>
      <c r="N3079" s="5" t="str">
        <f ca="1">VLOOKUP(Data!M3079,temp!$B$3:$C$9,2,1)</f>
        <v>40-50</v>
      </c>
      <c r="O3079">
        <v>-2133</v>
      </c>
      <c r="P3079" s="8">
        <f t="shared" si="199"/>
        <v>5.8398357289527718</v>
      </c>
      <c r="Q3079" s="5" t="str">
        <f t="shared" si="197"/>
        <v>Employed</v>
      </c>
      <c r="R3079">
        <v>1</v>
      </c>
      <c r="S3079">
        <v>1</v>
      </c>
      <c r="T3079">
        <v>1</v>
      </c>
      <c r="U3079">
        <v>1</v>
      </c>
      <c r="V3079" t="s">
        <v>38</v>
      </c>
      <c r="W3079">
        <v>4</v>
      </c>
    </row>
    <row r="3080" spans="1:23" x14ac:dyDescent="0.2">
      <c r="A3080">
        <v>5099867</v>
      </c>
      <c r="B3080" t="s">
        <v>18</v>
      </c>
      <c r="C3080" t="s">
        <v>19</v>
      </c>
      <c r="D3080" t="s">
        <v>20</v>
      </c>
      <c r="E3080">
        <v>0</v>
      </c>
      <c r="F3080">
        <v>157500</v>
      </c>
      <c r="G3080" t="s">
        <v>31</v>
      </c>
      <c r="H3080" t="s">
        <v>27</v>
      </c>
      <c r="I3080" t="s">
        <v>33</v>
      </c>
      <c r="J3080" t="s">
        <v>24</v>
      </c>
      <c r="K3080" s="6">
        <f t="shared" ref="K3080:K3143" ca="1" si="200">TODAY()+($L3080)</f>
        <v>29483</v>
      </c>
      <c r="L3080">
        <v>-16278</v>
      </c>
      <c r="M3080" s="7">
        <f t="shared" ca="1" si="198"/>
        <v>44.566735112936342</v>
      </c>
      <c r="N3080" s="5" t="str">
        <f ca="1">VLOOKUP(Data!M3080,temp!$B$3:$C$9,2,1)</f>
        <v>40-50</v>
      </c>
      <c r="O3080">
        <v>-3140</v>
      </c>
      <c r="P3080" s="8">
        <f t="shared" si="199"/>
        <v>8.5968514715947979</v>
      </c>
      <c r="Q3080" s="5" t="str">
        <f t="shared" ref="Q3080:Q3143" si="201">IF($O3080&gt;0,"Unemployed","Employed")</f>
        <v>Employed</v>
      </c>
      <c r="R3080">
        <v>1</v>
      </c>
      <c r="S3080">
        <v>0</v>
      </c>
      <c r="T3080">
        <v>0</v>
      </c>
      <c r="U3080">
        <v>0</v>
      </c>
      <c r="V3080" t="s">
        <v>39</v>
      </c>
      <c r="W3080">
        <v>1</v>
      </c>
    </row>
    <row r="3081" spans="1:23" x14ac:dyDescent="0.2">
      <c r="A3081">
        <v>5099868</v>
      </c>
      <c r="B3081" t="s">
        <v>18</v>
      </c>
      <c r="C3081" t="s">
        <v>19</v>
      </c>
      <c r="D3081" t="s">
        <v>20</v>
      </c>
      <c r="E3081">
        <v>0</v>
      </c>
      <c r="F3081">
        <v>157500</v>
      </c>
      <c r="G3081" t="s">
        <v>31</v>
      </c>
      <c r="H3081" t="s">
        <v>27</v>
      </c>
      <c r="I3081" t="s">
        <v>33</v>
      </c>
      <c r="J3081" t="s">
        <v>24</v>
      </c>
      <c r="K3081" s="6">
        <f t="shared" ca="1" si="200"/>
        <v>29483</v>
      </c>
      <c r="L3081">
        <v>-16278</v>
      </c>
      <c r="M3081" s="7">
        <f t="shared" ca="1" si="198"/>
        <v>44.566735112936342</v>
      </c>
      <c r="N3081" s="5" t="str">
        <f ca="1">VLOOKUP(Data!M3081,temp!$B$3:$C$9,2,1)</f>
        <v>40-50</v>
      </c>
      <c r="O3081">
        <v>-3140</v>
      </c>
      <c r="P3081" s="8">
        <f t="shared" si="199"/>
        <v>8.5968514715947979</v>
      </c>
      <c r="Q3081" s="5" t="str">
        <f t="shared" si="201"/>
        <v>Employed</v>
      </c>
      <c r="R3081">
        <v>1</v>
      </c>
      <c r="S3081">
        <v>0</v>
      </c>
      <c r="T3081">
        <v>0</v>
      </c>
      <c r="U3081">
        <v>0</v>
      </c>
      <c r="V3081" t="s">
        <v>39</v>
      </c>
      <c r="W3081">
        <v>1</v>
      </c>
    </row>
    <row r="3082" spans="1:23" x14ac:dyDescent="0.2">
      <c r="A3082">
        <v>5099871</v>
      </c>
      <c r="B3082" t="s">
        <v>18</v>
      </c>
      <c r="C3082" t="s">
        <v>20</v>
      </c>
      <c r="D3082" t="s">
        <v>20</v>
      </c>
      <c r="E3082">
        <v>2</v>
      </c>
      <c r="F3082">
        <v>112500</v>
      </c>
      <c r="G3082" t="s">
        <v>31</v>
      </c>
      <c r="H3082" t="s">
        <v>27</v>
      </c>
      <c r="I3082" t="s">
        <v>28</v>
      </c>
      <c r="J3082" t="s">
        <v>24</v>
      </c>
      <c r="K3082" s="6">
        <f t="shared" ca="1" si="200"/>
        <v>35767</v>
      </c>
      <c r="L3082">
        <v>-9994</v>
      </c>
      <c r="M3082" s="7">
        <f t="shared" ca="1" si="198"/>
        <v>27.362080766598222</v>
      </c>
      <c r="N3082" s="5" t="str">
        <f ca="1">VLOOKUP(Data!M3082,temp!$B$3:$C$9,2,1)</f>
        <v>20-30</v>
      </c>
      <c r="O3082">
        <v>-644</v>
      </c>
      <c r="P3082" s="8">
        <f t="shared" si="199"/>
        <v>1.7631759069130732</v>
      </c>
      <c r="Q3082" s="5" t="str">
        <f t="shared" si="201"/>
        <v>Employed</v>
      </c>
      <c r="R3082">
        <v>1</v>
      </c>
      <c r="S3082">
        <v>1</v>
      </c>
      <c r="T3082">
        <v>0</v>
      </c>
      <c r="U3082">
        <v>0</v>
      </c>
      <c r="V3082" t="s">
        <v>39</v>
      </c>
      <c r="W3082">
        <v>4</v>
      </c>
    </row>
    <row r="3083" spans="1:23" x14ac:dyDescent="0.2">
      <c r="A3083">
        <v>5099876</v>
      </c>
      <c r="B3083" t="s">
        <v>18</v>
      </c>
      <c r="C3083" t="s">
        <v>20</v>
      </c>
      <c r="D3083" t="s">
        <v>20</v>
      </c>
      <c r="E3083">
        <v>0</v>
      </c>
      <c r="F3083">
        <v>103500</v>
      </c>
      <c r="G3083" t="s">
        <v>21</v>
      </c>
      <c r="H3083" t="s">
        <v>27</v>
      </c>
      <c r="I3083" t="s">
        <v>28</v>
      </c>
      <c r="J3083" t="s">
        <v>24</v>
      </c>
      <c r="K3083" s="6">
        <f t="shared" ca="1" si="200"/>
        <v>24090</v>
      </c>
      <c r="L3083">
        <v>-21671</v>
      </c>
      <c r="M3083" s="7">
        <f t="shared" ca="1" si="198"/>
        <v>59.331964407939765</v>
      </c>
      <c r="N3083" s="5" t="str">
        <f ca="1">VLOOKUP(Data!M3083,temp!$B$3:$C$9,2,1)</f>
        <v>50-60</v>
      </c>
      <c r="O3083">
        <v>365243</v>
      </c>
      <c r="P3083" s="8">
        <f t="shared" si="199"/>
        <v>0</v>
      </c>
      <c r="Q3083" s="5" t="str">
        <f t="shared" si="201"/>
        <v>Unemployed</v>
      </c>
      <c r="R3083">
        <v>1</v>
      </c>
      <c r="S3083">
        <v>0</v>
      </c>
      <c r="T3083">
        <v>1</v>
      </c>
      <c r="U3083">
        <v>0</v>
      </c>
      <c r="W3083">
        <v>2</v>
      </c>
    </row>
    <row r="3084" spans="1:23" x14ac:dyDescent="0.2">
      <c r="A3084">
        <v>5099915</v>
      </c>
      <c r="B3084" t="s">
        <v>18</v>
      </c>
      <c r="C3084" t="s">
        <v>19</v>
      </c>
      <c r="D3084" t="s">
        <v>20</v>
      </c>
      <c r="E3084">
        <v>2</v>
      </c>
      <c r="F3084">
        <v>126000</v>
      </c>
      <c r="G3084" t="s">
        <v>31</v>
      </c>
      <c r="H3084" t="s">
        <v>27</v>
      </c>
      <c r="I3084" t="s">
        <v>28</v>
      </c>
      <c r="J3084" t="s">
        <v>24</v>
      </c>
      <c r="K3084" s="6">
        <f t="shared" ca="1" si="200"/>
        <v>35741</v>
      </c>
      <c r="L3084">
        <v>-10020</v>
      </c>
      <c r="M3084" s="7">
        <f t="shared" ca="1" si="198"/>
        <v>27.433264887063654</v>
      </c>
      <c r="N3084" s="5" t="str">
        <f ca="1">VLOOKUP(Data!M3084,temp!$B$3:$C$9,2,1)</f>
        <v>20-30</v>
      </c>
      <c r="O3084">
        <v>-1587</v>
      </c>
      <c r="P3084" s="8">
        <f t="shared" si="199"/>
        <v>4.344969199178645</v>
      </c>
      <c r="Q3084" s="5" t="str">
        <f t="shared" si="201"/>
        <v>Employed</v>
      </c>
      <c r="R3084">
        <v>1</v>
      </c>
      <c r="S3084">
        <v>1</v>
      </c>
      <c r="T3084">
        <v>1</v>
      </c>
      <c r="U3084">
        <v>0</v>
      </c>
      <c r="V3084" t="s">
        <v>39</v>
      </c>
      <c r="W3084">
        <v>4</v>
      </c>
    </row>
    <row r="3085" spans="1:23" x14ac:dyDescent="0.2">
      <c r="A3085">
        <v>5099929</v>
      </c>
      <c r="B3085" t="s">
        <v>25</v>
      </c>
      <c r="C3085" t="s">
        <v>20</v>
      </c>
      <c r="D3085" t="s">
        <v>20</v>
      </c>
      <c r="E3085">
        <v>0</v>
      </c>
      <c r="F3085">
        <v>157500</v>
      </c>
      <c r="G3085" t="s">
        <v>21</v>
      </c>
      <c r="H3085" t="s">
        <v>27</v>
      </c>
      <c r="I3085" t="s">
        <v>28</v>
      </c>
      <c r="J3085" t="s">
        <v>24</v>
      </c>
      <c r="K3085" s="6">
        <f t="shared" ca="1" si="200"/>
        <v>26189</v>
      </c>
      <c r="L3085">
        <v>-19572</v>
      </c>
      <c r="M3085" s="7">
        <f t="shared" ca="1" si="198"/>
        <v>53.585215605749489</v>
      </c>
      <c r="N3085" s="5" t="str">
        <f ca="1">VLOOKUP(Data!M3085,temp!$B$3:$C$9,2,1)</f>
        <v>50-60</v>
      </c>
      <c r="O3085">
        <v>365243</v>
      </c>
      <c r="P3085" s="8">
        <f t="shared" si="199"/>
        <v>0</v>
      </c>
      <c r="Q3085" s="5" t="str">
        <f t="shared" si="201"/>
        <v>Unemployed</v>
      </c>
      <c r="R3085">
        <v>1</v>
      </c>
      <c r="S3085">
        <v>0</v>
      </c>
      <c r="T3085">
        <v>0</v>
      </c>
      <c r="U3085">
        <v>0</v>
      </c>
      <c r="W3085">
        <v>2</v>
      </c>
    </row>
    <row r="3086" spans="1:23" x14ac:dyDescent="0.2">
      <c r="A3086">
        <v>5099937</v>
      </c>
      <c r="B3086" t="s">
        <v>18</v>
      </c>
      <c r="C3086" t="s">
        <v>19</v>
      </c>
      <c r="D3086" t="s">
        <v>20</v>
      </c>
      <c r="E3086">
        <v>3</v>
      </c>
      <c r="F3086">
        <v>54000</v>
      </c>
      <c r="G3086" t="s">
        <v>35</v>
      </c>
      <c r="H3086" t="s">
        <v>27</v>
      </c>
      <c r="I3086" t="s">
        <v>28</v>
      </c>
      <c r="J3086" t="s">
        <v>24</v>
      </c>
      <c r="K3086" s="6">
        <f t="shared" ca="1" si="200"/>
        <v>31821</v>
      </c>
      <c r="L3086">
        <v>-13940</v>
      </c>
      <c r="M3086" s="7">
        <f t="shared" ca="1" si="198"/>
        <v>38.165639972621491</v>
      </c>
      <c r="N3086" s="5" t="str">
        <f ca="1">VLOOKUP(Data!M3086,temp!$B$3:$C$9,2,1)</f>
        <v>30-40</v>
      </c>
      <c r="O3086">
        <v>-2133</v>
      </c>
      <c r="P3086" s="8">
        <f t="shared" si="199"/>
        <v>5.8398357289527718</v>
      </c>
      <c r="Q3086" s="5" t="str">
        <f t="shared" si="201"/>
        <v>Employed</v>
      </c>
      <c r="R3086">
        <v>1</v>
      </c>
      <c r="S3086">
        <v>1</v>
      </c>
      <c r="T3086">
        <v>1</v>
      </c>
      <c r="U3086">
        <v>0</v>
      </c>
      <c r="V3086" t="s">
        <v>38</v>
      </c>
      <c r="W3086">
        <v>5</v>
      </c>
    </row>
    <row r="3087" spans="1:23" x14ac:dyDescent="0.2">
      <c r="A3087">
        <v>5099940</v>
      </c>
      <c r="B3087" t="s">
        <v>18</v>
      </c>
      <c r="C3087" t="s">
        <v>19</v>
      </c>
      <c r="D3087" t="s">
        <v>20</v>
      </c>
      <c r="E3087">
        <v>3</v>
      </c>
      <c r="F3087">
        <v>54000</v>
      </c>
      <c r="G3087" t="s">
        <v>35</v>
      </c>
      <c r="H3087" t="s">
        <v>27</v>
      </c>
      <c r="I3087" t="s">
        <v>28</v>
      </c>
      <c r="J3087" t="s">
        <v>24</v>
      </c>
      <c r="K3087" s="6">
        <f t="shared" ca="1" si="200"/>
        <v>31821</v>
      </c>
      <c r="L3087">
        <v>-13940</v>
      </c>
      <c r="M3087" s="7">
        <f t="shared" ca="1" si="198"/>
        <v>38.165639972621491</v>
      </c>
      <c r="N3087" s="5" t="str">
        <f ca="1">VLOOKUP(Data!M3087,temp!$B$3:$C$9,2,1)</f>
        <v>30-40</v>
      </c>
      <c r="O3087">
        <v>-2133</v>
      </c>
      <c r="P3087" s="8">
        <f t="shared" si="199"/>
        <v>5.8398357289527718</v>
      </c>
      <c r="Q3087" s="5" t="str">
        <f t="shared" si="201"/>
        <v>Employed</v>
      </c>
      <c r="R3087">
        <v>1</v>
      </c>
      <c r="S3087">
        <v>1</v>
      </c>
      <c r="T3087">
        <v>1</v>
      </c>
      <c r="U3087">
        <v>0</v>
      </c>
      <c r="V3087" t="s">
        <v>38</v>
      </c>
      <c r="W3087">
        <v>5</v>
      </c>
    </row>
    <row r="3088" spans="1:23" x14ac:dyDescent="0.2">
      <c r="A3088">
        <v>5099942</v>
      </c>
      <c r="B3088" t="s">
        <v>18</v>
      </c>
      <c r="C3088" t="s">
        <v>19</v>
      </c>
      <c r="D3088" t="s">
        <v>20</v>
      </c>
      <c r="E3088">
        <v>3</v>
      </c>
      <c r="F3088">
        <v>54000</v>
      </c>
      <c r="G3088" t="s">
        <v>35</v>
      </c>
      <c r="H3088" t="s">
        <v>27</v>
      </c>
      <c r="I3088" t="s">
        <v>28</v>
      </c>
      <c r="J3088" t="s">
        <v>24</v>
      </c>
      <c r="K3088" s="6">
        <f t="shared" ca="1" si="200"/>
        <v>31821</v>
      </c>
      <c r="L3088">
        <v>-13940</v>
      </c>
      <c r="M3088" s="7">
        <f t="shared" ca="1" si="198"/>
        <v>38.165639972621491</v>
      </c>
      <c r="N3088" s="5" t="str">
        <f ca="1">VLOOKUP(Data!M3088,temp!$B$3:$C$9,2,1)</f>
        <v>30-40</v>
      </c>
      <c r="O3088">
        <v>-2133</v>
      </c>
      <c r="P3088" s="8">
        <f t="shared" si="199"/>
        <v>5.8398357289527718</v>
      </c>
      <c r="Q3088" s="5" t="str">
        <f t="shared" si="201"/>
        <v>Employed</v>
      </c>
      <c r="R3088">
        <v>1</v>
      </c>
      <c r="S3088">
        <v>1</v>
      </c>
      <c r="T3088">
        <v>1</v>
      </c>
      <c r="U3088">
        <v>0</v>
      </c>
      <c r="V3088" t="s">
        <v>38</v>
      </c>
      <c r="W3088">
        <v>5</v>
      </c>
    </row>
    <row r="3089" spans="1:23" x14ac:dyDescent="0.2">
      <c r="A3089">
        <v>5099950</v>
      </c>
      <c r="B3089" t="s">
        <v>18</v>
      </c>
      <c r="C3089" t="s">
        <v>20</v>
      </c>
      <c r="D3089" t="s">
        <v>19</v>
      </c>
      <c r="E3089">
        <v>0</v>
      </c>
      <c r="F3089">
        <v>185400</v>
      </c>
      <c r="G3089" t="s">
        <v>26</v>
      </c>
      <c r="H3089" t="s">
        <v>27</v>
      </c>
      <c r="I3089" t="s">
        <v>28</v>
      </c>
      <c r="J3089" t="s">
        <v>24</v>
      </c>
      <c r="K3089" s="6">
        <f t="shared" ca="1" si="200"/>
        <v>31014</v>
      </c>
      <c r="L3089">
        <v>-14747</v>
      </c>
      <c r="M3089" s="7">
        <f t="shared" ca="1" si="198"/>
        <v>40.375085557837096</v>
      </c>
      <c r="N3089" s="5" t="str">
        <f ca="1">VLOOKUP(Data!M3089,temp!$B$3:$C$9,2,1)</f>
        <v>40-50</v>
      </c>
      <c r="O3089">
        <v>-3229</v>
      </c>
      <c r="P3089" s="8">
        <f t="shared" si="199"/>
        <v>8.8405201916495546</v>
      </c>
      <c r="Q3089" s="5" t="str">
        <f t="shared" si="201"/>
        <v>Employed</v>
      </c>
      <c r="R3089">
        <v>1</v>
      </c>
      <c r="S3089">
        <v>0</v>
      </c>
      <c r="T3089">
        <v>0</v>
      </c>
      <c r="U3089">
        <v>0</v>
      </c>
      <c r="V3089" t="s">
        <v>29</v>
      </c>
      <c r="W3089">
        <v>2</v>
      </c>
    </row>
    <row r="3090" spans="1:23" x14ac:dyDescent="0.2">
      <c r="A3090">
        <v>5099955</v>
      </c>
      <c r="B3090" t="s">
        <v>18</v>
      </c>
      <c r="C3090" t="s">
        <v>20</v>
      </c>
      <c r="D3090" t="s">
        <v>20</v>
      </c>
      <c r="E3090">
        <v>1</v>
      </c>
      <c r="F3090">
        <v>225000</v>
      </c>
      <c r="G3090" t="s">
        <v>26</v>
      </c>
      <c r="H3090" t="s">
        <v>22</v>
      </c>
      <c r="I3090" t="s">
        <v>28</v>
      </c>
      <c r="J3090" t="s">
        <v>24</v>
      </c>
      <c r="K3090" s="6">
        <f t="shared" ca="1" si="200"/>
        <v>34522</v>
      </c>
      <c r="L3090">
        <v>-11239</v>
      </c>
      <c r="M3090" s="7">
        <f t="shared" ca="1" si="198"/>
        <v>30.770704996577688</v>
      </c>
      <c r="N3090" s="5" t="str">
        <f ca="1">VLOOKUP(Data!M3090,temp!$B$3:$C$9,2,1)</f>
        <v>30-40</v>
      </c>
      <c r="O3090">
        <v>-460</v>
      </c>
      <c r="P3090" s="8">
        <f t="shared" si="199"/>
        <v>1.2594113620807665</v>
      </c>
      <c r="Q3090" s="5" t="str">
        <f t="shared" si="201"/>
        <v>Employed</v>
      </c>
      <c r="R3090">
        <v>1</v>
      </c>
      <c r="S3090">
        <v>0</v>
      </c>
      <c r="T3090">
        <v>0</v>
      </c>
      <c r="U3090">
        <v>0</v>
      </c>
      <c r="V3090" t="s">
        <v>44</v>
      </c>
      <c r="W3090">
        <v>3</v>
      </c>
    </row>
    <row r="3091" spans="1:23" x14ac:dyDescent="0.2">
      <c r="A3091">
        <v>5099976</v>
      </c>
      <c r="B3091" t="s">
        <v>18</v>
      </c>
      <c r="C3091" t="s">
        <v>19</v>
      </c>
      <c r="D3091" t="s">
        <v>19</v>
      </c>
      <c r="E3091">
        <v>0</v>
      </c>
      <c r="F3091">
        <v>180000</v>
      </c>
      <c r="G3091" t="s">
        <v>31</v>
      </c>
      <c r="H3091" t="s">
        <v>27</v>
      </c>
      <c r="I3091" t="s">
        <v>37</v>
      </c>
      <c r="J3091" t="s">
        <v>24</v>
      </c>
      <c r="K3091" s="6">
        <f t="shared" ca="1" si="200"/>
        <v>35543</v>
      </c>
      <c r="L3091">
        <v>-10218</v>
      </c>
      <c r="M3091" s="7">
        <f t="shared" ca="1" si="198"/>
        <v>27.975359342915812</v>
      </c>
      <c r="N3091" s="5" t="str">
        <f ca="1">VLOOKUP(Data!M3091,temp!$B$3:$C$9,2,1)</f>
        <v>20-30</v>
      </c>
      <c r="O3091">
        <v>-1740</v>
      </c>
      <c r="P3091" s="8">
        <f t="shared" si="199"/>
        <v>4.7638603696098567</v>
      </c>
      <c r="Q3091" s="5" t="str">
        <f t="shared" si="201"/>
        <v>Employed</v>
      </c>
      <c r="R3091">
        <v>1</v>
      </c>
      <c r="S3091">
        <v>0</v>
      </c>
      <c r="T3091">
        <v>1</v>
      </c>
      <c r="U3091">
        <v>0</v>
      </c>
      <c r="V3091" t="s">
        <v>40</v>
      </c>
      <c r="W3091">
        <v>2</v>
      </c>
    </row>
    <row r="3092" spans="1:23" x14ac:dyDescent="0.2">
      <c r="A3092">
        <v>5099977</v>
      </c>
      <c r="B3092" t="s">
        <v>18</v>
      </c>
      <c r="C3092" t="s">
        <v>19</v>
      </c>
      <c r="D3092" t="s">
        <v>19</v>
      </c>
      <c r="E3092">
        <v>0</v>
      </c>
      <c r="F3092">
        <v>180000</v>
      </c>
      <c r="G3092" t="s">
        <v>31</v>
      </c>
      <c r="H3092" t="s">
        <v>27</v>
      </c>
      <c r="I3092" t="s">
        <v>37</v>
      </c>
      <c r="J3092" t="s">
        <v>24</v>
      </c>
      <c r="K3092" s="6">
        <f t="shared" ca="1" si="200"/>
        <v>35543</v>
      </c>
      <c r="L3092">
        <v>-10218</v>
      </c>
      <c r="M3092" s="7">
        <f t="shared" ca="1" si="198"/>
        <v>27.975359342915812</v>
      </c>
      <c r="N3092" s="5" t="str">
        <f ca="1">VLOOKUP(Data!M3092,temp!$B$3:$C$9,2,1)</f>
        <v>20-30</v>
      </c>
      <c r="O3092">
        <v>-1740</v>
      </c>
      <c r="P3092" s="8">
        <f t="shared" si="199"/>
        <v>4.7638603696098567</v>
      </c>
      <c r="Q3092" s="5" t="str">
        <f t="shared" si="201"/>
        <v>Employed</v>
      </c>
      <c r="R3092">
        <v>1</v>
      </c>
      <c r="S3092">
        <v>0</v>
      </c>
      <c r="T3092">
        <v>1</v>
      </c>
      <c r="U3092">
        <v>0</v>
      </c>
      <c r="V3092" t="s">
        <v>40</v>
      </c>
      <c r="W3092">
        <v>2</v>
      </c>
    </row>
    <row r="3093" spans="1:23" x14ac:dyDescent="0.2">
      <c r="A3093">
        <v>5099986</v>
      </c>
      <c r="B3093" t="s">
        <v>18</v>
      </c>
      <c r="C3093" t="s">
        <v>20</v>
      </c>
      <c r="D3093" t="s">
        <v>20</v>
      </c>
      <c r="E3093">
        <v>2</v>
      </c>
      <c r="F3093">
        <v>112500</v>
      </c>
      <c r="G3093" t="s">
        <v>35</v>
      </c>
      <c r="H3093" t="s">
        <v>27</v>
      </c>
      <c r="I3093" t="s">
        <v>37</v>
      </c>
      <c r="J3093" t="s">
        <v>24</v>
      </c>
      <c r="K3093" s="6">
        <f t="shared" ca="1" si="200"/>
        <v>32433</v>
      </c>
      <c r="L3093">
        <v>-13328</v>
      </c>
      <c r="M3093" s="7">
        <f t="shared" ca="1" si="198"/>
        <v>36.490075290896648</v>
      </c>
      <c r="N3093" s="5" t="str">
        <f ca="1">VLOOKUP(Data!M3093,temp!$B$3:$C$9,2,1)</f>
        <v>30-40</v>
      </c>
      <c r="O3093">
        <v>-5817</v>
      </c>
      <c r="P3093" s="8">
        <f t="shared" si="199"/>
        <v>15.926078028747433</v>
      </c>
      <c r="Q3093" s="5" t="str">
        <f t="shared" si="201"/>
        <v>Employed</v>
      </c>
      <c r="R3093">
        <v>1</v>
      </c>
      <c r="S3093">
        <v>0</v>
      </c>
      <c r="T3093">
        <v>1</v>
      </c>
      <c r="U3093">
        <v>0</v>
      </c>
      <c r="V3093" t="s">
        <v>47</v>
      </c>
      <c r="W3093">
        <v>4</v>
      </c>
    </row>
    <row r="3094" spans="1:23" x14ac:dyDescent="0.2">
      <c r="A3094">
        <v>5099999</v>
      </c>
      <c r="B3094" t="s">
        <v>18</v>
      </c>
      <c r="C3094" t="s">
        <v>19</v>
      </c>
      <c r="D3094" t="s">
        <v>20</v>
      </c>
      <c r="E3094">
        <v>0</v>
      </c>
      <c r="F3094">
        <v>135000</v>
      </c>
      <c r="G3094" t="s">
        <v>21</v>
      </c>
      <c r="H3094" t="s">
        <v>27</v>
      </c>
      <c r="I3094" t="s">
        <v>28</v>
      </c>
      <c r="J3094" t="s">
        <v>24</v>
      </c>
      <c r="K3094" s="6">
        <f t="shared" ca="1" si="200"/>
        <v>23969</v>
      </c>
      <c r="L3094">
        <v>-21792</v>
      </c>
      <c r="M3094" s="7">
        <f t="shared" ca="1" si="198"/>
        <v>59.663244353182755</v>
      </c>
      <c r="N3094" s="5" t="str">
        <f ca="1">VLOOKUP(Data!M3094,temp!$B$3:$C$9,2,1)</f>
        <v>50-60</v>
      </c>
      <c r="O3094">
        <v>365243</v>
      </c>
      <c r="P3094" s="8">
        <f t="shared" si="199"/>
        <v>0</v>
      </c>
      <c r="Q3094" s="5" t="str">
        <f t="shared" si="201"/>
        <v>Unemployed</v>
      </c>
      <c r="R3094">
        <v>1</v>
      </c>
      <c r="S3094">
        <v>0</v>
      </c>
      <c r="T3094">
        <v>0</v>
      </c>
      <c r="U3094">
        <v>0</v>
      </c>
      <c r="W3094">
        <v>2</v>
      </c>
    </row>
    <row r="3095" spans="1:23" x14ac:dyDescent="0.2">
      <c r="A3095">
        <v>5100006</v>
      </c>
      <c r="B3095" t="s">
        <v>18</v>
      </c>
      <c r="C3095" t="s">
        <v>19</v>
      </c>
      <c r="D3095" t="s">
        <v>19</v>
      </c>
      <c r="E3095">
        <v>2</v>
      </c>
      <c r="F3095">
        <v>90000</v>
      </c>
      <c r="G3095" t="s">
        <v>31</v>
      </c>
      <c r="H3095" t="s">
        <v>27</v>
      </c>
      <c r="I3095" t="s">
        <v>28</v>
      </c>
      <c r="J3095" t="s">
        <v>24</v>
      </c>
      <c r="K3095" s="6">
        <f t="shared" ca="1" si="200"/>
        <v>33898</v>
      </c>
      <c r="L3095">
        <v>-11863</v>
      </c>
      <c r="M3095" s="7">
        <f t="shared" ca="1" si="198"/>
        <v>32.479123887748116</v>
      </c>
      <c r="N3095" s="5" t="str">
        <f ca="1">VLOOKUP(Data!M3095,temp!$B$3:$C$9,2,1)</f>
        <v>30-40</v>
      </c>
      <c r="O3095">
        <v>-96</v>
      </c>
      <c r="P3095" s="8">
        <f t="shared" si="199"/>
        <v>0.26283367556468173</v>
      </c>
      <c r="Q3095" s="5" t="str">
        <f t="shared" si="201"/>
        <v>Employed</v>
      </c>
      <c r="R3095">
        <v>1</v>
      </c>
      <c r="S3095">
        <v>1</v>
      </c>
      <c r="T3095">
        <v>0</v>
      </c>
      <c r="U3095">
        <v>0</v>
      </c>
      <c r="W3095">
        <v>4</v>
      </c>
    </row>
    <row r="3096" spans="1:23" x14ac:dyDescent="0.2">
      <c r="A3096">
        <v>5100027</v>
      </c>
      <c r="B3096" t="s">
        <v>18</v>
      </c>
      <c r="C3096" t="s">
        <v>20</v>
      </c>
      <c r="D3096" t="s">
        <v>19</v>
      </c>
      <c r="E3096">
        <v>0</v>
      </c>
      <c r="F3096">
        <v>180000</v>
      </c>
      <c r="G3096" t="s">
        <v>31</v>
      </c>
      <c r="H3096" t="s">
        <v>27</v>
      </c>
      <c r="I3096" t="s">
        <v>28</v>
      </c>
      <c r="J3096" t="s">
        <v>24</v>
      </c>
      <c r="K3096" s="6">
        <f t="shared" ca="1" si="200"/>
        <v>26444</v>
      </c>
      <c r="L3096">
        <v>-19317</v>
      </c>
      <c r="M3096" s="7">
        <f t="shared" ca="1" si="198"/>
        <v>52.887063655030801</v>
      </c>
      <c r="N3096" s="5" t="str">
        <f ca="1">VLOOKUP(Data!M3096,temp!$B$3:$C$9,2,1)</f>
        <v>50-60</v>
      </c>
      <c r="O3096">
        <v>-11542</v>
      </c>
      <c r="P3096" s="8">
        <f t="shared" si="199"/>
        <v>31.600273785078713</v>
      </c>
      <c r="Q3096" s="5" t="str">
        <f t="shared" si="201"/>
        <v>Employed</v>
      </c>
      <c r="R3096">
        <v>1</v>
      </c>
      <c r="S3096">
        <v>0</v>
      </c>
      <c r="T3096">
        <v>0</v>
      </c>
      <c r="U3096">
        <v>0</v>
      </c>
      <c r="V3096" t="s">
        <v>50</v>
      </c>
      <c r="W3096">
        <v>2</v>
      </c>
    </row>
    <row r="3097" spans="1:23" x14ac:dyDescent="0.2">
      <c r="A3097">
        <v>5100037</v>
      </c>
      <c r="B3097" t="s">
        <v>25</v>
      </c>
      <c r="C3097" t="s">
        <v>20</v>
      </c>
      <c r="D3097" t="s">
        <v>19</v>
      </c>
      <c r="E3097">
        <v>0</v>
      </c>
      <c r="F3097">
        <v>207000</v>
      </c>
      <c r="G3097" t="s">
        <v>31</v>
      </c>
      <c r="H3097" t="s">
        <v>27</v>
      </c>
      <c r="I3097" t="s">
        <v>28</v>
      </c>
      <c r="J3097" t="s">
        <v>45</v>
      </c>
      <c r="K3097" s="6">
        <f t="shared" ca="1" si="200"/>
        <v>25226</v>
      </c>
      <c r="L3097">
        <v>-20535</v>
      </c>
      <c r="M3097" s="7">
        <f t="shared" ca="1" si="198"/>
        <v>56.2217659137577</v>
      </c>
      <c r="N3097" s="5" t="str">
        <f ca="1">VLOOKUP(Data!M3097,temp!$B$3:$C$9,2,1)</f>
        <v>50-60</v>
      </c>
      <c r="O3097">
        <v>-888</v>
      </c>
      <c r="P3097" s="8">
        <f t="shared" si="199"/>
        <v>2.431211498973306</v>
      </c>
      <c r="Q3097" s="5" t="str">
        <f t="shared" si="201"/>
        <v>Employed</v>
      </c>
      <c r="R3097">
        <v>1</v>
      </c>
      <c r="S3097">
        <v>0</v>
      </c>
      <c r="T3097">
        <v>0</v>
      </c>
      <c r="U3097">
        <v>0</v>
      </c>
      <c r="V3097" t="s">
        <v>29</v>
      </c>
      <c r="W3097">
        <v>2</v>
      </c>
    </row>
    <row r="3098" spans="1:23" x14ac:dyDescent="0.2">
      <c r="A3098">
        <v>5100042</v>
      </c>
      <c r="B3098" t="s">
        <v>18</v>
      </c>
      <c r="C3098" t="s">
        <v>19</v>
      </c>
      <c r="D3098" t="s">
        <v>19</v>
      </c>
      <c r="E3098">
        <v>2</v>
      </c>
      <c r="F3098">
        <v>103500</v>
      </c>
      <c r="G3098" t="s">
        <v>31</v>
      </c>
      <c r="H3098" t="s">
        <v>36</v>
      </c>
      <c r="I3098" t="s">
        <v>28</v>
      </c>
      <c r="J3098" t="s">
        <v>24</v>
      </c>
      <c r="K3098" s="6">
        <f t="shared" ca="1" si="200"/>
        <v>34683</v>
      </c>
      <c r="L3098">
        <v>-11078</v>
      </c>
      <c r="M3098" s="7">
        <f t="shared" ca="1" si="198"/>
        <v>30.329911019849419</v>
      </c>
      <c r="N3098" s="5" t="str">
        <f ca="1">VLOOKUP(Data!M3098,temp!$B$3:$C$9,2,1)</f>
        <v>30-40</v>
      </c>
      <c r="O3098">
        <v>-3960</v>
      </c>
      <c r="P3098" s="8">
        <f t="shared" si="199"/>
        <v>10.841889117043122</v>
      </c>
      <c r="Q3098" s="5" t="str">
        <f t="shared" si="201"/>
        <v>Employed</v>
      </c>
      <c r="R3098">
        <v>1</v>
      </c>
      <c r="S3098">
        <v>0</v>
      </c>
      <c r="T3098">
        <v>0</v>
      </c>
      <c r="U3098">
        <v>0</v>
      </c>
      <c r="V3098" t="s">
        <v>39</v>
      </c>
      <c r="W3098">
        <v>4</v>
      </c>
    </row>
    <row r="3099" spans="1:23" x14ac:dyDescent="0.2">
      <c r="A3099">
        <v>5100061</v>
      </c>
      <c r="B3099" t="s">
        <v>18</v>
      </c>
      <c r="C3099" t="s">
        <v>20</v>
      </c>
      <c r="D3099" t="s">
        <v>19</v>
      </c>
      <c r="E3099">
        <v>1</v>
      </c>
      <c r="F3099">
        <v>81000</v>
      </c>
      <c r="G3099" t="s">
        <v>31</v>
      </c>
      <c r="H3099" t="s">
        <v>27</v>
      </c>
      <c r="I3099" t="s">
        <v>28</v>
      </c>
      <c r="J3099" t="s">
        <v>24</v>
      </c>
      <c r="K3099" s="6">
        <f t="shared" ca="1" si="200"/>
        <v>30699</v>
      </c>
      <c r="L3099">
        <v>-15062</v>
      </c>
      <c r="M3099" s="7">
        <f t="shared" ca="1" si="198"/>
        <v>41.237508555783712</v>
      </c>
      <c r="N3099" s="5" t="str">
        <f ca="1">VLOOKUP(Data!M3099,temp!$B$3:$C$9,2,1)</f>
        <v>40-50</v>
      </c>
      <c r="O3099">
        <v>-2014</v>
      </c>
      <c r="P3099" s="8">
        <f t="shared" si="199"/>
        <v>5.5140314852840522</v>
      </c>
      <c r="Q3099" s="5" t="str">
        <f t="shared" si="201"/>
        <v>Employed</v>
      </c>
      <c r="R3099">
        <v>1</v>
      </c>
      <c r="S3099">
        <v>1</v>
      </c>
      <c r="T3099">
        <v>0</v>
      </c>
      <c r="U3099">
        <v>0</v>
      </c>
      <c r="W3099">
        <v>3</v>
      </c>
    </row>
    <row r="3100" spans="1:23" x14ac:dyDescent="0.2">
      <c r="A3100">
        <v>5100067</v>
      </c>
      <c r="B3100" t="s">
        <v>25</v>
      </c>
      <c r="C3100" t="s">
        <v>20</v>
      </c>
      <c r="D3100" t="s">
        <v>19</v>
      </c>
      <c r="E3100">
        <v>0</v>
      </c>
      <c r="F3100">
        <v>270000</v>
      </c>
      <c r="G3100" t="s">
        <v>26</v>
      </c>
      <c r="H3100" t="s">
        <v>27</v>
      </c>
      <c r="I3100" t="s">
        <v>28</v>
      </c>
      <c r="J3100" t="s">
        <v>24</v>
      </c>
      <c r="K3100" s="6">
        <f t="shared" ca="1" si="200"/>
        <v>24985</v>
      </c>
      <c r="L3100">
        <v>-20776</v>
      </c>
      <c r="M3100" s="7">
        <f t="shared" ca="1" si="198"/>
        <v>56.881587953456538</v>
      </c>
      <c r="N3100" s="5" t="str">
        <f ca="1">VLOOKUP(Data!M3100,temp!$B$3:$C$9,2,1)</f>
        <v>50-60</v>
      </c>
      <c r="O3100">
        <v>-2745</v>
      </c>
      <c r="P3100" s="8">
        <f t="shared" si="199"/>
        <v>7.5154004106776178</v>
      </c>
      <c r="Q3100" s="5" t="str">
        <f t="shared" si="201"/>
        <v>Employed</v>
      </c>
      <c r="R3100">
        <v>1</v>
      </c>
      <c r="S3100">
        <v>1</v>
      </c>
      <c r="T3100">
        <v>1</v>
      </c>
      <c r="U3100">
        <v>0</v>
      </c>
      <c r="V3100" t="s">
        <v>32</v>
      </c>
      <c r="W3100">
        <v>2</v>
      </c>
    </row>
    <row r="3101" spans="1:23" x14ac:dyDescent="0.2">
      <c r="A3101">
        <v>5100082</v>
      </c>
      <c r="B3101" t="s">
        <v>18</v>
      </c>
      <c r="C3101" t="s">
        <v>20</v>
      </c>
      <c r="D3101" t="s">
        <v>20</v>
      </c>
      <c r="E3101">
        <v>0</v>
      </c>
      <c r="F3101">
        <v>225000</v>
      </c>
      <c r="G3101" t="s">
        <v>31</v>
      </c>
      <c r="H3101" t="s">
        <v>22</v>
      </c>
      <c r="I3101" t="s">
        <v>37</v>
      </c>
      <c r="J3101" t="s">
        <v>24</v>
      </c>
      <c r="K3101" s="6">
        <f t="shared" ca="1" si="200"/>
        <v>26462</v>
      </c>
      <c r="L3101">
        <v>-19299</v>
      </c>
      <c r="M3101" s="7">
        <f t="shared" ca="1" si="198"/>
        <v>52.837782340862425</v>
      </c>
      <c r="N3101" s="5" t="str">
        <f ca="1">VLOOKUP(Data!M3101,temp!$B$3:$C$9,2,1)</f>
        <v>50-60</v>
      </c>
      <c r="O3101">
        <v>-614</v>
      </c>
      <c r="P3101" s="8">
        <f t="shared" si="199"/>
        <v>1.6810403832991101</v>
      </c>
      <c r="Q3101" s="5" t="str">
        <f t="shared" si="201"/>
        <v>Employed</v>
      </c>
      <c r="R3101">
        <v>1</v>
      </c>
      <c r="S3101">
        <v>0</v>
      </c>
      <c r="T3101">
        <v>1</v>
      </c>
      <c r="U3101">
        <v>0</v>
      </c>
      <c r="W3101">
        <v>2</v>
      </c>
    </row>
    <row r="3102" spans="1:23" x14ac:dyDescent="0.2">
      <c r="A3102">
        <v>5100083</v>
      </c>
      <c r="B3102" t="s">
        <v>25</v>
      </c>
      <c r="C3102" t="s">
        <v>19</v>
      </c>
      <c r="D3102" t="s">
        <v>20</v>
      </c>
      <c r="E3102">
        <v>1</v>
      </c>
      <c r="F3102">
        <v>112500</v>
      </c>
      <c r="G3102" t="s">
        <v>31</v>
      </c>
      <c r="H3102" t="s">
        <v>27</v>
      </c>
      <c r="I3102" t="s">
        <v>28</v>
      </c>
      <c r="J3102" t="s">
        <v>24</v>
      </c>
      <c r="K3102" s="6">
        <f t="shared" ca="1" si="200"/>
        <v>34946</v>
      </c>
      <c r="L3102">
        <v>-10815</v>
      </c>
      <c r="M3102" s="7">
        <f t="shared" ca="1" si="198"/>
        <v>29.609856262833677</v>
      </c>
      <c r="N3102" s="5" t="str">
        <f ca="1">VLOOKUP(Data!M3102,temp!$B$3:$C$9,2,1)</f>
        <v>20-30</v>
      </c>
      <c r="O3102">
        <v>-2806</v>
      </c>
      <c r="P3102" s="8">
        <f t="shared" si="199"/>
        <v>7.6824093086926766</v>
      </c>
      <c r="Q3102" s="5" t="str">
        <f t="shared" si="201"/>
        <v>Employed</v>
      </c>
      <c r="R3102">
        <v>1</v>
      </c>
      <c r="S3102">
        <v>0</v>
      </c>
      <c r="T3102">
        <v>0</v>
      </c>
      <c r="U3102">
        <v>0</v>
      </c>
      <c r="V3102" t="s">
        <v>32</v>
      </c>
      <c r="W3102">
        <v>3</v>
      </c>
    </row>
    <row r="3103" spans="1:23" x14ac:dyDescent="0.2">
      <c r="A3103">
        <v>5100091</v>
      </c>
      <c r="B3103" t="s">
        <v>25</v>
      </c>
      <c r="C3103" t="s">
        <v>19</v>
      </c>
      <c r="D3103" t="s">
        <v>20</v>
      </c>
      <c r="E3103">
        <v>0</v>
      </c>
      <c r="F3103">
        <v>225000</v>
      </c>
      <c r="G3103" t="s">
        <v>31</v>
      </c>
      <c r="H3103" t="s">
        <v>22</v>
      </c>
      <c r="I3103" t="s">
        <v>28</v>
      </c>
      <c r="J3103" t="s">
        <v>24</v>
      </c>
      <c r="K3103" s="6">
        <f t="shared" ca="1" si="200"/>
        <v>31957</v>
      </c>
      <c r="L3103">
        <v>-13804</v>
      </c>
      <c r="M3103" s="7">
        <f t="shared" ca="1" si="198"/>
        <v>37.793292265571523</v>
      </c>
      <c r="N3103" s="5" t="str">
        <f ca="1">VLOOKUP(Data!M3103,temp!$B$3:$C$9,2,1)</f>
        <v>30-40</v>
      </c>
      <c r="O3103">
        <v>-1921</v>
      </c>
      <c r="P3103" s="8">
        <f t="shared" si="199"/>
        <v>5.2594113620807663</v>
      </c>
      <c r="Q3103" s="5" t="str">
        <f t="shared" si="201"/>
        <v>Employed</v>
      </c>
      <c r="R3103">
        <v>1</v>
      </c>
      <c r="S3103">
        <v>0</v>
      </c>
      <c r="T3103">
        <v>0</v>
      </c>
      <c r="U3103">
        <v>0</v>
      </c>
      <c r="V3103" t="s">
        <v>29</v>
      </c>
      <c r="W3103">
        <v>2</v>
      </c>
    </row>
    <row r="3104" spans="1:23" x14ac:dyDescent="0.2">
      <c r="A3104">
        <v>5100099</v>
      </c>
      <c r="B3104" t="s">
        <v>18</v>
      </c>
      <c r="C3104" t="s">
        <v>19</v>
      </c>
      <c r="D3104" t="s">
        <v>20</v>
      </c>
      <c r="E3104">
        <v>0</v>
      </c>
      <c r="F3104">
        <v>171000</v>
      </c>
      <c r="G3104" t="s">
        <v>21</v>
      </c>
      <c r="H3104" t="s">
        <v>27</v>
      </c>
      <c r="I3104" t="s">
        <v>28</v>
      </c>
      <c r="J3104" t="s">
        <v>24</v>
      </c>
      <c r="K3104" s="6">
        <f t="shared" ca="1" si="200"/>
        <v>24916</v>
      </c>
      <c r="L3104">
        <v>-20845</v>
      </c>
      <c r="M3104" s="7">
        <f t="shared" ca="1" si="198"/>
        <v>57.07049965776865</v>
      </c>
      <c r="N3104" s="5" t="str">
        <f ca="1">VLOOKUP(Data!M3104,temp!$B$3:$C$9,2,1)</f>
        <v>50-60</v>
      </c>
      <c r="O3104">
        <v>365243</v>
      </c>
      <c r="P3104" s="8">
        <f t="shared" si="199"/>
        <v>0</v>
      </c>
      <c r="Q3104" s="5" t="str">
        <f t="shared" si="201"/>
        <v>Unemployed</v>
      </c>
      <c r="R3104">
        <v>1</v>
      </c>
      <c r="S3104">
        <v>0</v>
      </c>
      <c r="T3104">
        <v>0</v>
      </c>
      <c r="U3104">
        <v>0</v>
      </c>
      <c r="W3104">
        <v>2</v>
      </c>
    </row>
    <row r="3105" spans="1:23" x14ac:dyDescent="0.2">
      <c r="A3105">
        <v>5100106</v>
      </c>
      <c r="B3105" t="s">
        <v>25</v>
      </c>
      <c r="C3105" t="s">
        <v>20</v>
      </c>
      <c r="D3105" t="s">
        <v>19</v>
      </c>
      <c r="E3105">
        <v>0</v>
      </c>
      <c r="F3105">
        <v>81000</v>
      </c>
      <c r="G3105" t="s">
        <v>31</v>
      </c>
      <c r="H3105" t="s">
        <v>27</v>
      </c>
      <c r="I3105" t="s">
        <v>28</v>
      </c>
      <c r="J3105" t="s">
        <v>24</v>
      </c>
      <c r="K3105" s="6">
        <f t="shared" ca="1" si="200"/>
        <v>28101</v>
      </c>
      <c r="L3105">
        <v>-17660</v>
      </c>
      <c r="M3105" s="7">
        <f t="shared" ca="1" si="198"/>
        <v>48.350444900752912</v>
      </c>
      <c r="N3105" s="5" t="str">
        <f ca="1">VLOOKUP(Data!M3105,temp!$B$3:$C$9,2,1)</f>
        <v>40-50</v>
      </c>
      <c r="O3105">
        <v>-3261</v>
      </c>
      <c r="P3105" s="8">
        <f t="shared" si="199"/>
        <v>8.9281314168377826</v>
      </c>
      <c r="Q3105" s="5" t="str">
        <f t="shared" si="201"/>
        <v>Employed</v>
      </c>
      <c r="R3105">
        <v>1</v>
      </c>
      <c r="S3105">
        <v>1</v>
      </c>
      <c r="T3105">
        <v>1</v>
      </c>
      <c r="U3105">
        <v>0</v>
      </c>
      <c r="V3105" t="s">
        <v>29</v>
      </c>
      <c r="W3105">
        <v>2</v>
      </c>
    </row>
    <row r="3106" spans="1:23" x14ac:dyDescent="0.2">
      <c r="A3106">
        <v>5100111</v>
      </c>
      <c r="B3106" t="s">
        <v>25</v>
      </c>
      <c r="C3106" t="s">
        <v>20</v>
      </c>
      <c r="D3106" t="s">
        <v>19</v>
      </c>
      <c r="E3106">
        <v>0</v>
      </c>
      <c r="F3106">
        <v>135000</v>
      </c>
      <c r="G3106" t="s">
        <v>21</v>
      </c>
      <c r="H3106" t="s">
        <v>27</v>
      </c>
      <c r="I3106" t="s">
        <v>28</v>
      </c>
      <c r="J3106" t="s">
        <v>24</v>
      </c>
      <c r="K3106" s="6">
        <f t="shared" ca="1" si="200"/>
        <v>35522</v>
      </c>
      <c r="L3106">
        <v>-10239</v>
      </c>
      <c r="M3106" s="7">
        <f t="shared" ca="1" si="198"/>
        <v>28.032854209445585</v>
      </c>
      <c r="N3106" s="5" t="str">
        <f ca="1">VLOOKUP(Data!M3106,temp!$B$3:$C$9,2,1)</f>
        <v>20-30</v>
      </c>
      <c r="O3106">
        <v>365243</v>
      </c>
      <c r="P3106" s="8">
        <f t="shared" si="199"/>
        <v>0</v>
      </c>
      <c r="Q3106" s="5" t="str">
        <f t="shared" si="201"/>
        <v>Unemployed</v>
      </c>
      <c r="R3106">
        <v>1</v>
      </c>
      <c r="S3106">
        <v>0</v>
      </c>
      <c r="T3106">
        <v>0</v>
      </c>
      <c r="U3106">
        <v>0</v>
      </c>
      <c r="W3106">
        <v>2</v>
      </c>
    </row>
    <row r="3107" spans="1:23" x14ac:dyDescent="0.2">
      <c r="A3107">
        <v>5100119</v>
      </c>
      <c r="B3107" t="s">
        <v>25</v>
      </c>
      <c r="C3107" t="s">
        <v>20</v>
      </c>
      <c r="D3107" t="s">
        <v>19</v>
      </c>
      <c r="E3107">
        <v>0</v>
      </c>
      <c r="F3107">
        <v>157500</v>
      </c>
      <c r="G3107" t="s">
        <v>31</v>
      </c>
      <c r="H3107" t="s">
        <v>27</v>
      </c>
      <c r="I3107" t="s">
        <v>28</v>
      </c>
      <c r="J3107" t="s">
        <v>24</v>
      </c>
      <c r="K3107" s="6">
        <f t="shared" ca="1" si="200"/>
        <v>34415</v>
      </c>
      <c r="L3107">
        <v>-11346</v>
      </c>
      <c r="M3107" s="7">
        <f t="shared" ca="1" si="198"/>
        <v>31.06365503080082</v>
      </c>
      <c r="N3107" s="5" t="str">
        <f ca="1">VLOOKUP(Data!M3107,temp!$B$3:$C$9,2,1)</f>
        <v>30-40</v>
      </c>
      <c r="O3107">
        <v>-1831</v>
      </c>
      <c r="P3107" s="8">
        <f t="shared" si="199"/>
        <v>5.0130047912388775</v>
      </c>
      <c r="Q3107" s="5" t="str">
        <f t="shared" si="201"/>
        <v>Employed</v>
      </c>
      <c r="R3107">
        <v>1</v>
      </c>
      <c r="S3107">
        <v>0</v>
      </c>
      <c r="T3107">
        <v>0</v>
      </c>
      <c r="U3107">
        <v>0</v>
      </c>
      <c r="V3107" t="s">
        <v>29</v>
      </c>
      <c r="W3107">
        <v>2</v>
      </c>
    </row>
    <row r="3108" spans="1:23" x14ac:dyDescent="0.2">
      <c r="A3108">
        <v>5100125</v>
      </c>
      <c r="B3108" t="s">
        <v>18</v>
      </c>
      <c r="C3108" t="s">
        <v>19</v>
      </c>
      <c r="D3108" t="s">
        <v>19</v>
      </c>
      <c r="E3108">
        <v>2</v>
      </c>
      <c r="F3108">
        <v>76500</v>
      </c>
      <c r="G3108" t="s">
        <v>26</v>
      </c>
      <c r="H3108" t="s">
        <v>27</v>
      </c>
      <c r="I3108" t="s">
        <v>28</v>
      </c>
      <c r="J3108" t="s">
        <v>24</v>
      </c>
      <c r="K3108" s="6">
        <f t="shared" ca="1" si="200"/>
        <v>33783</v>
      </c>
      <c r="L3108">
        <v>-11978</v>
      </c>
      <c r="M3108" s="7">
        <f t="shared" ca="1" si="198"/>
        <v>32.793976728268312</v>
      </c>
      <c r="N3108" s="5" t="str">
        <f ca="1">VLOOKUP(Data!M3108,temp!$B$3:$C$9,2,1)</f>
        <v>30-40</v>
      </c>
      <c r="O3108">
        <v>-370</v>
      </c>
      <c r="P3108" s="8">
        <f t="shared" si="199"/>
        <v>1.0130047912388775</v>
      </c>
      <c r="Q3108" s="5" t="str">
        <f t="shared" si="201"/>
        <v>Employed</v>
      </c>
      <c r="R3108">
        <v>1</v>
      </c>
      <c r="S3108">
        <v>0</v>
      </c>
      <c r="T3108">
        <v>0</v>
      </c>
      <c r="U3108">
        <v>0</v>
      </c>
      <c r="W3108">
        <v>4</v>
      </c>
    </row>
    <row r="3109" spans="1:23" x14ac:dyDescent="0.2">
      <c r="A3109">
        <v>5100126</v>
      </c>
      <c r="B3109" t="s">
        <v>18</v>
      </c>
      <c r="C3109" t="s">
        <v>19</v>
      </c>
      <c r="D3109" t="s">
        <v>19</v>
      </c>
      <c r="E3109">
        <v>1</v>
      </c>
      <c r="F3109">
        <v>180000</v>
      </c>
      <c r="G3109" t="s">
        <v>26</v>
      </c>
      <c r="H3109" t="s">
        <v>36</v>
      </c>
      <c r="I3109" t="s">
        <v>28</v>
      </c>
      <c r="J3109" t="s">
        <v>24</v>
      </c>
      <c r="K3109" s="6">
        <f t="shared" ca="1" si="200"/>
        <v>31074</v>
      </c>
      <c r="L3109">
        <v>-14687</v>
      </c>
      <c r="M3109" s="7">
        <f t="shared" ca="1" si="198"/>
        <v>40.210814510609168</v>
      </c>
      <c r="N3109" s="5" t="str">
        <f ca="1">VLOOKUP(Data!M3109,temp!$B$3:$C$9,2,1)</f>
        <v>40-50</v>
      </c>
      <c r="O3109">
        <v>-7401</v>
      </c>
      <c r="P3109" s="8">
        <f t="shared" si="199"/>
        <v>20.262833675564682</v>
      </c>
      <c r="Q3109" s="5" t="str">
        <f t="shared" si="201"/>
        <v>Employed</v>
      </c>
      <c r="R3109">
        <v>1</v>
      </c>
      <c r="S3109">
        <v>1</v>
      </c>
      <c r="T3109">
        <v>1</v>
      </c>
      <c r="U3109">
        <v>0</v>
      </c>
      <c r="V3109" t="s">
        <v>47</v>
      </c>
      <c r="W3109">
        <v>3</v>
      </c>
    </row>
    <row r="3110" spans="1:23" x14ac:dyDescent="0.2">
      <c r="A3110">
        <v>5100141</v>
      </c>
      <c r="B3110" t="s">
        <v>18</v>
      </c>
      <c r="C3110" t="s">
        <v>19</v>
      </c>
      <c r="D3110" t="s">
        <v>20</v>
      </c>
      <c r="E3110">
        <v>0</v>
      </c>
      <c r="F3110">
        <v>180000</v>
      </c>
      <c r="G3110" t="s">
        <v>35</v>
      </c>
      <c r="H3110" t="s">
        <v>22</v>
      </c>
      <c r="I3110" t="s">
        <v>33</v>
      </c>
      <c r="J3110" t="s">
        <v>24</v>
      </c>
      <c r="K3110" s="6">
        <f t="shared" ca="1" si="200"/>
        <v>27934</v>
      </c>
      <c r="L3110">
        <v>-17827</v>
      </c>
      <c r="M3110" s="7">
        <f t="shared" ca="1" si="198"/>
        <v>48.807665982203972</v>
      </c>
      <c r="N3110" s="5" t="str">
        <f ca="1">VLOOKUP(Data!M3110,temp!$B$3:$C$9,2,1)</f>
        <v>40-50</v>
      </c>
      <c r="O3110">
        <v>-3810</v>
      </c>
      <c r="P3110" s="8">
        <f t="shared" si="199"/>
        <v>10.431211498973306</v>
      </c>
      <c r="Q3110" s="5" t="str">
        <f t="shared" si="201"/>
        <v>Employed</v>
      </c>
      <c r="R3110">
        <v>1</v>
      </c>
      <c r="S3110">
        <v>0</v>
      </c>
      <c r="T3110">
        <v>0</v>
      </c>
      <c r="U3110">
        <v>0</v>
      </c>
      <c r="V3110" t="s">
        <v>32</v>
      </c>
      <c r="W3110">
        <v>1</v>
      </c>
    </row>
    <row r="3111" spans="1:23" x14ac:dyDescent="0.2">
      <c r="A3111">
        <v>5100150</v>
      </c>
      <c r="B3111" t="s">
        <v>25</v>
      </c>
      <c r="C3111" t="s">
        <v>20</v>
      </c>
      <c r="D3111" t="s">
        <v>19</v>
      </c>
      <c r="E3111">
        <v>0</v>
      </c>
      <c r="F3111">
        <v>306000</v>
      </c>
      <c r="G3111" t="s">
        <v>31</v>
      </c>
      <c r="H3111" t="s">
        <v>27</v>
      </c>
      <c r="I3111" t="s">
        <v>28</v>
      </c>
      <c r="J3111" t="s">
        <v>24</v>
      </c>
      <c r="K3111" s="6">
        <f t="shared" ca="1" si="200"/>
        <v>29750</v>
      </c>
      <c r="L3111">
        <v>-16011</v>
      </c>
      <c r="M3111" s="7">
        <f t="shared" ca="1" si="198"/>
        <v>43.835728952772072</v>
      </c>
      <c r="N3111" s="5" t="str">
        <f ca="1">VLOOKUP(Data!M3111,temp!$B$3:$C$9,2,1)</f>
        <v>40-50</v>
      </c>
      <c r="O3111">
        <v>-1649</v>
      </c>
      <c r="P3111" s="8">
        <f t="shared" si="199"/>
        <v>4.514715947980835</v>
      </c>
      <c r="Q3111" s="5" t="str">
        <f t="shared" si="201"/>
        <v>Employed</v>
      </c>
      <c r="R3111">
        <v>1</v>
      </c>
      <c r="S3111">
        <v>0</v>
      </c>
      <c r="T3111">
        <v>0</v>
      </c>
      <c r="U3111">
        <v>0</v>
      </c>
      <c r="V3111" t="s">
        <v>32</v>
      </c>
      <c r="W3111">
        <v>2</v>
      </c>
    </row>
    <row r="3112" spans="1:23" x14ac:dyDescent="0.2">
      <c r="A3112">
        <v>5100160</v>
      </c>
      <c r="B3112" t="s">
        <v>18</v>
      </c>
      <c r="C3112" t="s">
        <v>19</v>
      </c>
      <c r="D3112" t="s">
        <v>20</v>
      </c>
      <c r="E3112">
        <v>1</v>
      </c>
      <c r="F3112">
        <v>202500</v>
      </c>
      <c r="G3112" t="s">
        <v>31</v>
      </c>
      <c r="H3112" t="s">
        <v>27</v>
      </c>
      <c r="I3112" t="s">
        <v>37</v>
      </c>
      <c r="J3112" t="s">
        <v>41</v>
      </c>
      <c r="K3112" s="6">
        <f t="shared" ca="1" si="200"/>
        <v>32547</v>
      </c>
      <c r="L3112">
        <v>-13214</v>
      </c>
      <c r="M3112" s="7">
        <f t="shared" ca="1" si="198"/>
        <v>36.177960301163587</v>
      </c>
      <c r="N3112" s="5" t="str">
        <f ca="1">VLOOKUP(Data!M3112,temp!$B$3:$C$9,2,1)</f>
        <v>30-40</v>
      </c>
      <c r="O3112">
        <v>-2805</v>
      </c>
      <c r="P3112" s="8">
        <f t="shared" si="199"/>
        <v>7.6796714579055445</v>
      </c>
      <c r="Q3112" s="5" t="str">
        <f t="shared" si="201"/>
        <v>Employed</v>
      </c>
      <c r="R3112">
        <v>1</v>
      </c>
      <c r="S3112">
        <v>0</v>
      </c>
      <c r="T3112">
        <v>1</v>
      </c>
      <c r="U3112">
        <v>0</v>
      </c>
      <c r="V3112" t="s">
        <v>39</v>
      </c>
      <c r="W3112">
        <v>3</v>
      </c>
    </row>
    <row r="3113" spans="1:23" x14ac:dyDescent="0.2">
      <c r="A3113">
        <v>5100196</v>
      </c>
      <c r="B3113" t="s">
        <v>18</v>
      </c>
      <c r="C3113" t="s">
        <v>20</v>
      </c>
      <c r="D3113" t="s">
        <v>20</v>
      </c>
      <c r="E3113">
        <v>2</v>
      </c>
      <c r="F3113">
        <v>540000</v>
      </c>
      <c r="G3113" t="s">
        <v>31</v>
      </c>
      <c r="H3113" t="s">
        <v>27</v>
      </c>
      <c r="I3113" t="s">
        <v>28</v>
      </c>
      <c r="J3113" t="s">
        <v>24</v>
      </c>
      <c r="K3113" s="6">
        <f t="shared" ca="1" si="200"/>
        <v>30689</v>
      </c>
      <c r="L3113">
        <v>-15072</v>
      </c>
      <c r="M3113" s="7">
        <f t="shared" ca="1" si="198"/>
        <v>41.264887063655031</v>
      </c>
      <c r="N3113" s="5" t="str">
        <f ca="1">VLOOKUP(Data!M3113,temp!$B$3:$C$9,2,1)</f>
        <v>40-50</v>
      </c>
      <c r="O3113">
        <v>-4997</v>
      </c>
      <c r="P3113" s="8">
        <f t="shared" si="199"/>
        <v>13.681040383299111</v>
      </c>
      <c r="Q3113" s="5" t="str">
        <f t="shared" si="201"/>
        <v>Employed</v>
      </c>
      <c r="R3113">
        <v>1</v>
      </c>
      <c r="S3113">
        <v>1</v>
      </c>
      <c r="T3113">
        <v>1</v>
      </c>
      <c r="U3113">
        <v>0</v>
      </c>
      <c r="V3113" t="s">
        <v>44</v>
      </c>
      <c r="W3113">
        <v>4</v>
      </c>
    </row>
    <row r="3114" spans="1:23" x14ac:dyDescent="0.2">
      <c r="A3114">
        <v>5100203</v>
      </c>
      <c r="B3114" t="s">
        <v>18</v>
      </c>
      <c r="C3114" t="s">
        <v>19</v>
      </c>
      <c r="D3114" t="s">
        <v>19</v>
      </c>
      <c r="E3114">
        <v>0</v>
      </c>
      <c r="F3114">
        <v>90000</v>
      </c>
      <c r="G3114" t="s">
        <v>21</v>
      </c>
      <c r="H3114" t="s">
        <v>27</v>
      </c>
      <c r="I3114" t="s">
        <v>33</v>
      </c>
      <c r="J3114" t="s">
        <v>24</v>
      </c>
      <c r="K3114" s="6">
        <f t="shared" ca="1" si="200"/>
        <v>20918</v>
      </c>
      <c r="L3114">
        <v>-24843</v>
      </c>
      <c r="M3114" s="7">
        <f t="shared" ca="1" si="198"/>
        <v>68.016427104722794</v>
      </c>
      <c r="N3114" s="5" t="str">
        <f ca="1">VLOOKUP(Data!M3114,temp!$B$3:$C$9,2,1)</f>
        <v>60-70</v>
      </c>
      <c r="O3114">
        <v>365243</v>
      </c>
      <c r="P3114" s="8">
        <f t="shared" si="199"/>
        <v>0</v>
      </c>
      <c r="Q3114" s="5" t="str">
        <f t="shared" si="201"/>
        <v>Unemployed</v>
      </c>
      <c r="R3114">
        <v>1</v>
      </c>
      <c r="S3114">
        <v>0</v>
      </c>
      <c r="T3114">
        <v>0</v>
      </c>
      <c r="U3114">
        <v>0</v>
      </c>
      <c r="W3114">
        <v>1</v>
      </c>
    </row>
    <row r="3115" spans="1:23" x14ac:dyDescent="0.2">
      <c r="A3115">
        <v>5100211</v>
      </c>
      <c r="B3115" t="s">
        <v>25</v>
      </c>
      <c r="C3115" t="s">
        <v>19</v>
      </c>
      <c r="D3115" t="s">
        <v>20</v>
      </c>
      <c r="E3115">
        <v>2</v>
      </c>
      <c r="F3115">
        <v>135000</v>
      </c>
      <c r="G3115" t="s">
        <v>31</v>
      </c>
      <c r="H3115" t="s">
        <v>27</v>
      </c>
      <c r="I3115" t="s">
        <v>28</v>
      </c>
      <c r="J3115" t="s">
        <v>24</v>
      </c>
      <c r="K3115" s="6">
        <f t="shared" ca="1" si="200"/>
        <v>31929</v>
      </c>
      <c r="L3115">
        <v>-13832</v>
      </c>
      <c r="M3115" s="7">
        <f t="shared" ca="1" si="198"/>
        <v>37.869952087611225</v>
      </c>
      <c r="N3115" s="5" t="str">
        <f ca="1">VLOOKUP(Data!M3115,temp!$B$3:$C$9,2,1)</f>
        <v>30-40</v>
      </c>
      <c r="O3115">
        <v>-430</v>
      </c>
      <c r="P3115" s="8">
        <f t="shared" si="199"/>
        <v>1.1772758384668036</v>
      </c>
      <c r="Q3115" s="5" t="str">
        <f t="shared" si="201"/>
        <v>Employed</v>
      </c>
      <c r="R3115">
        <v>1</v>
      </c>
      <c r="S3115">
        <v>1</v>
      </c>
      <c r="T3115">
        <v>0</v>
      </c>
      <c r="U3115">
        <v>0</v>
      </c>
      <c r="V3115" t="s">
        <v>29</v>
      </c>
      <c r="W3115">
        <v>4</v>
      </c>
    </row>
    <row r="3116" spans="1:23" x14ac:dyDescent="0.2">
      <c r="A3116">
        <v>5100217</v>
      </c>
      <c r="B3116" t="s">
        <v>18</v>
      </c>
      <c r="C3116" t="s">
        <v>19</v>
      </c>
      <c r="D3116" t="s">
        <v>19</v>
      </c>
      <c r="E3116">
        <v>0</v>
      </c>
      <c r="F3116">
        <v>85500</v>
      </c>
      <c r="G3116" t="s">
        <v>31</v>
      </c>
      <c r="H3116" t="s">
        <v>27</v>
      </c>
      <c r="I3116" t="s">
        <v>33</v>
      </c>
      <c r="J3116" t="s">
        <v>24</v>
      </c>
      <c r="K3116" s="6">
        <f t="shared" ca="1" si="200"/>
        <v>29367</v>
      </c>
      <c r="L3116">
        <v>-16394</v>
      </c>
      <c r="M3116" s="7">
        <f t="shared" ca="1" si="198"/>
        <v>44.884325804243666</v>
      </c>
      <c r="N3116" s="5" t="str">
        <f ca="1">VLOOKUP(Data!M3116,temp!$B$3:$C$9,2,1)</f>
        <v>40-50</v>
      </c>
      <c r="O3116">
        <v>-672</v>
      </c>
      <c r="P3116" s="8">
        <f t="shared" si="199"/>
        <v>1.839835728952772</v>
      </c>
      <c r="Q3116" s="5" t="str">
        <f t="shared" si="201"/>
        <v>Employed</v>
      </c>
      <c r="R3116">
        <v>1</v>
      </c>
      <c r="S3116">
        <v>0</v>
      </c>
      <c r="T3116">
        <v>1</v>
      </c>
      <c r="U3116">
        <v>0</v>
      </c>
      <c r="V3116" t="s">
        <v>29</v>
      </c>
      <c r="W3116">
        <v>1</v>
      </c>
    </row>
    <row r="3117" spans="1:23" x14ac:dyDescent="0.2">
      <c r="A3117">
        <v>5100220</v>
      </c>
      <c r="B3117" t="s">
        <v>25</v>
      </c>
      <c r="C3117" t="s">
        <v>20</v>
      </c>
      <c r="D3117" t="s">
        <v>20</v>
      </c>
      <c r="E3117">
        <v>2</v>
      </c>
      <c r="F3117">
        <v>315000</v>
      </c>
      <c r="G3117" t="s">
        <v>26</v>
      </c>
      <c r="H3117" t="s">
        <v>27</v>
      </c>
      <c r="I3117" t="s">
        <v>28</v>
      </c>
      <c r="J3117" t="s">
        <v>24</v>
      </c>
      <c r="K3117" s="6">
        <f t="shared" ca="1" si="200"/>
        <v>30579</v>
      </c>
      <c r="L3117">
        <v>-15182</v>
      </c>
      <c r="M3117" s="7">
        <f t="shared" ca="1" si="198"/>
        <v>41.566050650239561</v>
      </c>
      <c r="N3117" s="5" t="str">
        <f ca="1">VLOOKUP(Data!M3117,temp!$B$3:$C$9,2,1)</f>
        <v>40-50</v>
      </c>
      <c r="O3117">
        <v>-6123</v>
      </c>
      <c r="P3117" s="8">
        <f t="shared" si="199"/>
        <v>16.763860369609855</v>
      </c>
      <c r="Q3117" s="5" t="str">
        <f t="shared" si="201"/>
        <v>Employed</v>
      </c>
      <c r="R3117">
        <v>1</v>
      </c>
      <c r="S3117">
        <v>0</v>
      </c>
      <c r="T3117">
        <v>0</v>
      </c>
      <c r="U3117">
        <v>0</v>
      </c>
      <c r="V3117" t="s">
        <v>30</v>
      </c>
      <c r="W3117">
        <v>4</v>
      </c>
    </row>
    <row r="3118" spans="1:23" x14ac:dyDescent="0.2">
      <c r="A3118">
        <v>5100232</v>
      </c>
      <c r="B3118" t="s">
        <v>18</v>
      </c>
      <c r="C3118" t="s">
        <v>20</v>
      </c>
      <c r="D3118" t="s">
        <v>19</v>
      </c>
      <c r="E3118">
        <v>0</v>
      </c>
      <c r="F3118">
        <v>117000</v>
      </c>
      <c r="G3118" t="s">
        <v>21</v>
      </c>
      <c r="H3118" t="s">
        <v>27</v>
      </c>
      <c r="I3118" t="s">
        <v>37</v>
      </c>
      <c r="J3118" t="s">
        <v>24</v>
      </c>
      <c r="K3118" s="6">
        <f t="shared" ca="1" si="200"/>
        <v>24176</v>
      </c>
      <c r="L3118">
        <v>-21585</v>
      </c>
      <c r="M3118" s="7">
        <f t="shared" ca="1" si="198"/>
        <v>59.096509240246405</v>
      </c>
      <c r="N3118" s="5" t="str">
        <f ca="1">VLOOKUP(Data!M3118,temp!$B$3:$C$9,2,1)</f>
        <v>50-60</v>
      </c>
      <c r="O3118">
        <v>365243</v>
      </c>
      <c r="P3118" s="8">
        <f t="shared" si="199"/>
        <v>0</v>
      </c>
      <c r="Q3118" s="5" t="str">
        <f t="shared" si="201"/>
        <v>Unemployed</v>
      </c>
      <c r="R3118">
        <v>1</v>
      </c>
      <c r="S3118">
        <v>0</v>
      </c>
      <c r="T3118">
        <v>1</v>
      </c>
      <c r="U3118">
        <v>0</v>
      </c>
      <c r="W3118">
        <v>2</v>
      </c>
    </row>
    <row r="3119" spans="1:23" x14ac:dyDescent="0.2">
      <c r="A3119">
        <v>5100242</v>
      </c>
      <c r="B3119" t="s">
        <v>18</v>
      </c>
      <c r="C3119" t="s">
        <v>20</v>
      </c>
      <c r="D3119" t="s">
        <v>20</v>
      </c>
      <c r="E3119">
        <v>1</v>
      </c>
      <c r="F3119">
        <v>180000</v>
      </c>
      <c r="G3119" t="s">
        <v>26</v>
      </c>
      <c r="H3119" t="s">
        <v>22</v>
      </c>
      <c r="I3119" t="s">
        <v>28</v>
      </c>
      <c r="J3119" t="s">
        <v>24</v>
      </c>
      <c r="K3119" s="6">
        <f t="shared" ca="1" si="200"/>
        <v>35899</v>
      </c>
      <c r="L3119">
        <v>-9862</v>
      </c>
      <c r="M3119" s="7">
        <f t="shared" ca="1" si="198"/>
        <v>27.000684462696782</v>
      </c>
      <c r="N3119" s="5" t="str">
        <f ca="1">VLOOKUP(Data!M3119,temp!$B$3:$C$9,2,1)</f>
        <v>20-30</v>
      </c>
      <c r="O3119">
        <v>-2988</v>
      </c>
      <c r="P3119" s="8">
        <f t="shared" si="199"/>
        <v>8.1806981519507183</v>
      </c>
      <c r="Q3119" s="5" t="str">
        <f t="shared" si="201"/>
        <v>Employed</v>
      </c>
      <c r="R3119">
        <v>1</v>
      </c>
      <c r="S3119">
        <v>1</v>
      </c>
      <c r="T3119">
        <v>1</v>
      </c>
      <c r="U3119">
        <v>0</v>
      </c>
      <c r="V3119" t="s">
        <v>38</v>
      </c>
      <c r="W3119">
        <v>3</v>
      </c>
    </row>
    <row r="3120" spans="1:23" x14ac:dyDescent="0.2">
      <c r="A3120">
        <v>5100269</v>
      </c>
      <c r="B3120" t="s">
        <v>18</v>
      </c>
      <c r="C3120" t="s">
        <v>19</v>
      </c>
      <c r="D3120" t="s">
        <v>20</v>
      </c>
      <c r="E3120">
        <v>0</v>
      </c>
      <c r="F3120">
        <v>157500</v>
      </c>
      <c r="G3120" t="s">
        <v>26</v>
      </c>
      <c r="H3120" t="s">
        <v>27</v>
      </c>
      <c r="I3120" t="s">
        <v>28</v>
      </c>
      <c r="J3120" t="s">
        <v>24</v>
      </c>
      <c r="K3120" s="6">
        <f t="shared" ca="1" si="200"/>
        <v>25591</v>
      </c>
      <c r="L3120">
        <v>-20170</v>
      </c>
      <c r="M3120" s="7">
        <f t="shared" ca="1" si="198"/>
        <v>55.222450376454482</v>
      </c>
      <c r="N3120" s="5" t="str">
        <f ca="1">VLOOKUP(Data!M3120,temp!$B$3:$C$9,2,1)</f>
        <v>50-60</v>
      </c>
      <c r="O3120">
        <v>-1768</v>
      </c>
      <c r="P3120" s="8">
        <f t="shared" si="199"/>
        <v>4.8405201916495555</v>
      </c>
      <c r="Q3120" s="5" t="str">
        <f t="shared" si="201"/>
        <v>Employed</v>
      </c>
      <c r="R3120">
        <v>1</v>
      </c>
      <c r="S3120">
        <v>0</v>
      </c>
      <c r="T3120">
        <v>0</v>
      </c>
      <c r="U3120">
        <v>0</v>
      </c>
      <c r="V3120" t="s">
        <v>29</v>
      </c>
      <c r="W3120">
        <v>2</v>
      </c>
    </row>
    <row r="3121" spans="1:23" x14ac:dyDescent="0.2">
      <c r="A3121">
        <v>5100275</v>
      </c>
      <c r="B3121" t="s">
        <v>18</v>
      </c>
      <c r="C3121" t="s">
        <v>19</v>
      </c>
      <c r="D3121" t="s">
        <v>20</v>
      </c>
      <c r="E3121">
        <v>2</v>
      </c>
      <c r="F3121">
        <v>67500</v>
      </c>
      <c r="G3121" t="s">
        <v>31</v>
      </c>
      <c r="H3121" t="s">
        <v>27</v>
      </c>
      <c r="I3121" t="s">
        <v>28</v>
      </c>
      <c r="J3121" t="s">
        <v>24</v>
      </c>
      <c r="K3121" s="6">
        <f t="shared" ca="1" si="200"/>
        <v>33160</v>
      </c>
      <c r="L3121">
        <v>-12601</v>
      </c>
      <c r="M3121" s="7">
        <f t="shared" ca="1" si="198"/>
        <v>34.499657768651609</v>
      </c>
      <c r="N3121" s="5" t="str">
        <f ca="1">VLOOKUP(Data!M3121,temp!$B$3:$C$9,2,1)</f>
        <v>30-40</v>
      </c>
      <c r="O3121">
        <v>-249</v>
      </c>
      <c r="P3121" s="8">
        <f t="shared" si="199"/>
        <v>0.68172484599589322</v>
      </c>
      <c r="Q3121" s="5" t="str">
        <f t="shared" si="201"/>
        <v>Employed</v>
      </c>
      <c r="R3121">
        <v>1</v>
      </c>
      <c r="S3121">
        <v>1</v>
      </c>
      <c r="T3121">
        <v>0</v>
      </c>
      <c r="U3121">
        <v>0</v>
      </c>
      <c r="V3121" t="s">
        <v>55</v>
      </c>
      <c r="W3121">
        <v>4</v>
      </c>
    </row>
    <row r="3122" spans="1:23" x14ac:dyDescent="0.2">
      <c r="A3122">
        <v>5100276</v>
      </c>
      <c r="B3122" t="s">
        <v>18</v>
      </c>
      <c r="C3122" t="s">
        <v>19</v>
      </c>
      <c r="D3122" t="s">
        <v>20</v>
      </c>
      <c r="E3122">
        <v>0</v>
      </c>
      <c r="F3122">
        <v>148500</v>
      </c>
      <c r="G3122" t="s">
        <v>21</v>
      </c>
      <c r="H3122" t="s">
        <v>27</v>
      </c>
      <c r="I3122" t="s">
        <v>28</v>
      </c>
      <c r="J3122" t="s">
        <v>24</v>
      </c>
      <c r="K3122" s="6">
        <f t="shared" ca="1" si="200"/>
        <v>22934</v>
      </c>
      <c r="L3122">
        <v>-22827</v>
      </c>
      <c r="M3122" s="7">
        <f t="shared" ca="1" si="198"/>
        <v>62.496919917864474</v>
      </c>
      <c r="N3122" s="5" t="str">
        <f ca="1">VLOOKUP(Data!M3122,temp!$B$3:$C$9,2,1)</f>
        <v>60-70</v>
      </c>
      <c r="O3122">
        <v>365243</v>
      </c>
      <c r="P3122" s="8">
        <f t="shared" si="199"/>
        <v>0</v>
      </c>
      <c r="Q3122" s="5" t="str">
        <f t="shared" si="201"/>
        <v>Unemployed</v>
      </c>
      <c r="R3122">
        <v>1</v>
      </c>
      <c r="S3122">
        <v>0</v>
      </c>
      <c r="T3122">
        <v>0</v>
      </c>
      <c r="U3122">
        <v>0</v>
      </c>
      <c r="W3122">
        <v>2</v>
      </c>
    </row>
    <row r="3123" spans="1:23" x14ac:dyDescent="0.2">
      <c r="A3123">
        <v>5100280</v>
      </c>
      <c r="B3123" t="s">
        <v>25</v>
      </c>
      <c r="C3123" t="s">
        <v>19</v>
      </c>
      <c r="D3123" t="s">
        <v>19</v>
      </c>
      <c r="E3123">
        <v>0</v>
      </c>
      <c r="F3123">
        <v>90000</v>
      </c>
      <c r="G3123" t="s">
        <v>26</v>
      </c>
      <c r="H3123" t="s">
        <v>27</v>
      </c>
      <c r="I3123" t="s">
        <v>28</v>
      </c>
      <c r="J3123" t="s">
        <v>24</v>
      </c>
      <c r="K3123" s="6">
        <f t="shared" ca="1" si="200"/>
        <v>27302</v>
      </c>
      <c r="L3123">
        <v>-18459</v>
      </c>
      <c r="M3123" s="7">
        <f t="shared" ca="1" si="198"/>
        <v>50.53798767967146</v>
      </c>
      <c r="N3123" s="5" t="str">
        <f ca="1">VLOOKUP(Data!M3123,temp!$B$3:$C$9,2,1)</f>
        <v>50-60</v>
      </c>
      <c r="O3123">
        <v>-826</v>
      </c>
      <c r="P3123" s="8">
        <f t="shared" si="199"/>
        <v>2.2614647501711156</v>
      </c>
      <c r="Q3123" s="5" t="str">
        <f t="shared" si="201"/>
        <v>Employed</v>
      </c>
      <c r="R3123">
        <v>1</v>
      </c>
      <c r="S3123">
        <v>0</v>
      </c>
      <c r="T3123">
        <v>0</v>
      </c>
      <c r="U3123">
        <v>0</v>
      </c>
      <c r="W3123">
        <v>2</v>
      </c>
    </row>
    <row r="3124" spans="1:23" x14ac:dyDescent="0.2">
      <c r="A3124">
        <v>5100303</v>
      </c>
      <c r="B3124" t="s">
        <v>18</v>
      </c>
      <c r="C3124" t="s">
        <v>20</v>
      </c>
      <c r="D3124" t="s">
        <v>19</v>
      </c>
      <c r="E3124">
        <v>0</v>
      </c>
      <c r="F3124">
        <v>225000</v>
      </c>
      <c r="G3124" t="s">
        <v>26</v>
      </c>
      <c r="H3124" t="s">
        <v>27</v>
      </c>
      <c r="I3124" t="s">
        <v>28</v>
      </c>
      <c r="J3124" t="s">
        <v>24</v>
      </c>
      <c r="K3124" s="6">
        <f t="shared" ca="1" si="200"/>
        <v>30713</v>
      </c>
      <c r="L3124">
        <v>-15048</v>
      </c>
      <c r="M3124" s="7">
        <f t="shared" ca="1" si="198"/>
        <v>41.199178644763862</v>
      </c>
      <c r="N3124" s="5" t="str">
        <f ca="1">VLOOKUP(Data!M3124,temp!$B$3:$C$9,2,1)</f>
        <v>40-50</v>
      </c>
      <c r="O3124">
        <v>-1375</v>
      </c>
      <c r="P3124" s="8">
        <f t="shared" si="199"/>
        <v>3.7645448323066395</v>
      </c>
      <c r="Q3124" s="5" t="str">
        <f t="shared" si="201"/>
        <v>Employed</v>
      </c>
      <c r="R3124">
        <v>1</v>
      </c>
      <c r="S3124">
        <v>0</v>
      </c>
      <c r="T3124">
        <v>1</v>
      </c>
      <c r="U3124">
        <v>0</v>
      </c>
      <c r="V3124" t="s">
        <v>44</v>
      </c>
      <c r="W3124">
        <v>2</v>
      </c>
    </row>
    <row r="3125" spans="1:23" x14ac:dyDescent="0.2">
      <c r="A3125">
        <v>5100305</v>
      </c>
      <c r="B3125" t="s">
        <v>18</v>
      </c>
      <c r="C3125" t="s">
        <v>19</v>
      </c>
      <c r="D3125" t="s">
        <v>20</v>
      </c>
      <c r="E3125">
        <v>1</v>
      </c>
      <c r="F3125">
        <v>112500</v>
      </c>
      <c r="G3125" t="s">
        <v>31</v>
      </c>
      <c r="H3125" t="s">
        <v>27</v>
      </c>
      <c r="I3125" t="s">
        <v>28</v>
      </c>
      <c r="J3125" t="s">
        <v>24</v>
      </c>
      <c r="K3125" s="6">
        <f t="shared" ca="1" si="200"/>
        <v>35596</v>
      </c>
      <c r="L3125">
        <v>-10165</v>
      </c>
      <c r="M3125" s="7">
        <f t="shared" ca="1" si="198"/>
        <v>27.83025325119781</v>
      </c>
      <c r="N3125" s="5" t="str">
        <f ca="1">VLOOKUP(Data!M3125,temp!$B$3:$C$9,2,1)</f>
        <v>20-30</v>
      </c>
      <c r="O3125">
        <v>-2530</v>
      </c>
      <c r="P3125" s="8">
        <f t="shared" si="199"/>
        <v>6.9267624914442161</v>
      </c>
      <c r="Q3125" s="5" t="str">
        <f t="shared" si="201"/>
        <v>Employed</v>
      </c>
      <c r="R3125">
        <v>1</v>
      </c>
      <c r="S3125">
        <v>1</v>
      </c>
      <c r="T3125">
        <v>1</v>
      </c>
      <c r="U3125">
        <v>0</v>
      </c>
      <c r="V3125" t="s">
        <v>29</v>
      </c>
      <c r="W3125">
        <v>3</v>
      </c>
    </row>
    <row r="3126" spans="1:23" x14ac:dyDescent="0.2">
      <c r="A3126">
        <v>5100317</v>
      </c>
      <c r="B3126" t="s">
        <v>18</v>
      </c>
      <c r="C3126" t="s">
        <v>20</v>
      </c>
      <c r="D3126" t="s">
        <v>20</v>
      </c>
      <c r="E3126">
        <v>0</v>
      </c>
      <c r="F3126">
        <v>139500</v>
      </c>
      <c r="G3126" t="s">
        <v>26</v>
      </c>
      <c r="H3126" t="s">
        <v>36</v>
      </c>
      <c r="I3126" t="s">
        <v>28</v>
      </c>
      <c r="J3126" t="s">
        <v>24</v>
      </c>
      <c r="K3126" s="6">
        <f t="shared" ca="1" si="200"/>
        <v>30298</v>
      </c>
      <c r="L3126">
        <v>-15463</v>
      </c>
      <c r="M3126" s="7">
        <f t="shared" ca="1" si="198"/>
        <v>42.335386721423681</v>
      </c>
      <c r="N3126" s="5" t="str">
        <f ca="1">VLOOKUP(Data!M3126,temp!$B$3:$C$9,2,1)</f>
        <v>40-50</v>
      </c>
      <c r="O3126">
        <v>-2165</v>
      </c>
      <c r="P3126" s="8">
        <f t="shared" si="199"/>
        <v>5.9274469541409998</v>
      </c>
      <c r="Q3126" s="5" t="str">
        <f t="shared" si="201"/>
        <v>Employed</v>
      </c>
      <c r="R3126">
        <v>1</v>
      </c>
      <c r="S3126">
        <v>0</v>
      </c>
      <c r="T3126">
        <v>0</v>
      </c>
      <c r="U3126">
        <v>0</v>
      </c>
      <c r="V3126" t="s">
        <v>47</v>
      </c>
      <c r="W3126">
        <v>2</v>
      </c>
    </row>
    <row r="3127" spans="1:23" x14ac:dyDescent="0.2">
      <c r="A3127">
        <v>5100326</v>
      </c>
      <c r="B3127" t="s">
        <v>25</v>
      </c>
      <c r="C3127" t="s">
        <v>20</v>
      </c>
      <c r="D3127" t="s">
        <v>20</v>
      </c>
      <c r="E3127">
        <v>2</v>
      </c>
      <c r="F3127">
        <v>225000</v>
      </c>
      <c r="G3127" t="s">
        <v>31</v>
      </c>
      <c r="H3127" t="s">
        <v>27</v>
      </c>
      <c r="I3127" t="s">
        <v>28</v>
      </c>
      <c r="J3127" t="s">
        <v>24</v>
      </c>
      <c r="K3127" s="6">
        <f t="shared" ca="1" si="200"/>
        <v>32161</v>
      </c>
      <c r="L3127">
        <v>-13600</v>
      </c>
      <c r="M3127" s="7">
        <f t="shared" ca="1" si="198"/>
        <v>37.234770704996578</v>
      </c>
      <c r="N3127" s="5" t="str">
        <f ca="1">VLOOKUP(Data!M3127,temp!$B$3:$C$9,2,1)</f>
        <v>30-40</v>
      </c>
      <c r="O3127">
        <v>-338</v>
      </c>
      <c r="P3127" s="8">
        <f t="shared" si="199"/>
        <v>0.92539356605065026</v>
      </c>
      <c r="Q3127" s="5" t="str">
        <f t="shared" si="201"/>
        <v>Employed</v>
      </c>
      <c r="R3127">
        <v>1</v>
      </c>
      <c r="S3127">
        <v>0</v>
      </c>
      <c r="T3127">
        <v>1</v>
      </c>
      <c r="U3127">
        <v>0</v>
      </c>
      <c r="V3127" t="s">
        <v>29</v>
      </c>
      <c r="W3127">
        <v>4</v>
      </c>
    </row>
    <row r="3128" spans="1:23" x14ac:dyDescent="0.2">
      <c r="A3128">
        <v>5100342</v>
      </c>
      <c r="B3128" t="s">
        <v>18</v>
      </c>
      <c r="C3128" t="s">
        <v>20</v>
      </c>
      <c r="D3128" t="s">
        <v>19</v>
      </c>
      <c r="E3128">
        <v>1</v>
      </c>
      <c r="F3128">
        <v>135000</v>
      </c>
      <c r="G3128" t="s">
        <v>26</v>
      </c>
      <c r="H3128" t="s">
        <v>27</v>
      </c>
      <c r="I3128" t="s">
        <v>28</v>
      </c>
      <c r="J3128" t="s">
        <v>24</v>
      </c>
      <c r="K3128" s="6">
        <f t="shared" ca="1" si="200"/>
        <v>35653</v>
      </c>
      <c r="L3128">
        <v>-10108</v>
      </c>
      <c r="M3128" s="7">
        <f t="shared" ca="1" si="198"/>
        <v>27.674195756331279</v>
      </c>
      <c r="N3128" s="5" t="str">
        <f ca="1">VLOOKUP(Data!M3128,temp!$B$3:$C$9,2,1)</f>
        <v>20-30</v>
      </c>
      <c r="O3128">
        <v>-431</v>
      </c>
      <c r="P3128" s="8">
        <f t="shared" si="199"/>
        <v>1.1800136892539357</v>
      </c>
      <c r="Q3128" s="5" t="str">
        <f t="shared" si="201"/>
        <v>Employed</v>
      </c>
      <c r="R3128">
        <v>1</v>
      </c>
      <c r="S3128">
        <v>0</v>
      </c>
      <c r="T3128">
        <v>0</v>
      </c>
      <c r="U3128">
        <v>0</v>
      </c>
      <c r="V3128" t="s">
        <v>32</v>
      </c>
      <c r="W3128">
        <v>3</v>
      </c>
    </row>
    <row r="3129" spans="1:23" x14ac:dyDescent="0.2">
      <c r="A3129">
        <v>5100356</v>
      </c>
      <c r="B3129" t="s">
        <v>18</v>
      </c>
      <c r="C3129" t="s">
        <v>19</v>
      </c>
      <c r="D3129" t="s">
        <v>19</v>
      </c>
      <c r="E3129">
        <v>1</v>
      </c>
      <c r="F3129">
        <v>90000</v>
      </c>
      <c r="G3129" t="s">
        <v>21</v>
      </c>
      <c r="H3129" t="s">
        <v>27</v>
      </c>
      <c r="I3129" t="s">
        <v>28</v>
      </c>
      <c r="J3129" t="s">
        <v>24</v>
      </c>
      <c r="K3129" s="6">
        <f t="shared" ca="1" si="200"/>
        <v>35900</v>
      </c>
      <c r="L3129">
        <v>-9861</v>
      </c>
      <c r="M3129" s="7">
        <f t="shared" ca="1" si="198"/>
        <v>26.997946611909651</v>
      </c>
      <c r="N3129" s="5" t="str">
        <f ca="1">VLOOKUP(Data!M3129,temp!$B$3:$C$9,2,1)</f>
        <v>20-30</v>
      </c>
      <c r="O3129">
        <v>365243</v>
      </c>
      <c r="P3129" s="8">
        <f t="shared" si="199"/>
        <v>0</v>
      </c>
      <c r="Q3129" s="5" t="str">
        <f t="shared" si="201"/>
        <v>Unemployed</v>
      </c>
      <c r="R3129">
        <v>1</v>
      </c>
      <c r="S3129">
        <v>0</v>
      </c>
      <c r="T3129">
        <v>0</v>
      </c>
      <c r="U3129">
        <v>0</v>
      </c>
      <c r="W3129">
        <v>3</v>
      </c>
    </row>
    <row r="3130" spans="1:23" x14ac:dyDescent="0.2">
      <c r="A3130">
        <v>5100384</v>
      </c>
      <c r="B3130" t="s">
        <v>18</v>
      </c>
      <c r="C3130" t="s">
        <v>19</v>
      </c>
      <c r="D3130" t="s">
        <v>20</v>
      </c>
      <c r="E3130">
        <v>0</v>
      </c>
      <c r="F3130">
        <v>90000</v>
      </c>
      <c r="G3130" t="s">
        <v>21</v>
      </c>
      <c r="H3130" t="s">
        <v>27</v>
      </c>
      <c r="I3130" t="s">
        <v>23</v>
      </c>
      <c r="J3130" t="s">
        <v>24</v>
      </c>
      <c r="K3130" s="6">
        <f t="shared" ca="1" si="200"/>
        <v>24462</v>
      </c>
      <c r="L3130">
        <v>-21299</v>
      </c>
      <c r="M3130" s="7">
        <f t="shared" ca="1" si="198"/>
        <v>58.313483915126625</v>
      </c>
      <c r="N3130" s="5" t="str">
        <f ca="1">VLOOKUP(Data!M3130,temp!$B$3:$C$9,2,1)</f>
        <v>50-60</v>
      </c>
      <c r="O3130">
        <v>365243</v>
      </c>
      <c r="P3130" s="8">
        <f t="shared" si="199"/>
        <v>0</v>
      </c>
      <c r="Q3130" s="5" t="str">
        <f t="shared" si="201"/>
        <v>Unemployed</v>
      </c>
      <c r="R3130">
        <v>1</v>
      </c>
      <c r="S3130">
        <v>0</v>
      </c>
      <c r="T3130">
        <v>0</v>
      </c>
      <c r="U3130">
        <v>0</v>
      </c>
      <c r="W3130">
        <v>1</v>
      </c>
    </row>
    <row r="3131" spans="1:23" x14ac:dyDescent="0.2">
      <c r="A3131">
        <v>5100385</v>
      </c>
      <c r="B3131" t="s">
        <v>25</v>
      </c>
      <c r="C3131" t="s">
        <v>20</v>
      </c>
      <c r="D3131" t="s">
        <v>20</v>
      </c>
      <c r="E3131">
        <v>0</v>
      </c>
      <c r="F3131">
        <v>202500</v>
      </c>
      <c r="G3131" t="s">
        <v>31</v>
      </c>
      <c r="H3131" t="s">
        <v>27</v>
      </c>
      <c r="I3131" t="s">
        <v>28</v>
      </c>
      <c r="J3131" t="s">
        <v>24</v>
      </c>
      <c r="K3131" s="6">
        <f t="shared" ca="1" si="200"/>
        <v>25721</v>
      </c>
      <c r="L3131">
        <v>-20040</v>
      </c>
      <c r="M3131" s="7">
        <f t="shared" ca="1" si="198"/>
        <v>54.866529774127308</v>
      </c>
      <c r="N3131" s="5" t="str">
        <f ca="1">VLOOKUP(Data!M3131,temp!$B$3:$C$9,2,1)</f>
        <v>50-60</v>
      </c>
      <c r="O3131">
        <v>-2013</v>
      </c>
      <c r="P3131" s="8">
        <f t="shared" si="199"/>
        <v>5.5112936344969201</v>
      </c>
      <c r="Q3131" s="5" t="str">
        <f t="shared" si="201"/>
        <v>Employed</v>
      </c>
      <c r="R3131">
        <v>1</v>
      </c>
      <c r="S3131">
        <v>0</v>
      </c>
      <c r="T3131">
        <v>0</v>
      </c>
      <c r="U3131">
        <v>0</v>
      </c>
      <c r="V3131" t="s">
        <v>29</v>
      </c>
      <c r="W3131">
        <v>2</v>
      </c>
    </row>
    <row r="3132" spans="1:23" x14ac:dyDescent="0.2">
      <c r="A3132">
        <v>5100413</v>
      </c>
      <c r="B3132" t="s">
        <v>18</v>
      </c>
      <c r="C3132" t="s">
        <v>19</v>
      </c>
      <c r="D3132" t="s">
        <v>20</v>
      </c>
      <c r="E3132">
        <v>1</v>
      </c>
      <c r="F3132">
        <v>157500</v>
      </c>
      <c r="G3132" t="s">
        <v>31</v>
      </c>
      <c r="H3132" t="s">
        <v>27</v>
      </c>
      <c r="I3132" t="s">
        <v>28</v>
      </c>
      <c r="J3132" t="s">
        <v>24</v>
      </c>
      <c r="K3132" s="6">
        <f t="shared" ca="1" si="200"/>
        <v>29850</v>
      </c>
      <c r="L3132">
        <v>-15911</v>
      </c>
      <c r="M3132" s="7">
        <f t="shared" ca="1" si="198"/>
        <v>43.561943874058862</v>
      </c>
      <c r="N3132" s="5" t="str">
        <f ca="1">VLOOKUP(Data!M3132,temp!$B$3:$C$9,2,1)</f>
        <v>40-50</v>
      </c>
      <c r="O3132">
        <v>-3201</v>
      </c>
      <c r="P3132" s="8">
        <f t="shared" si="199"/>
        <v>8.7638603696098567</v>
      </c>
      <c r="Q3132" s="5" t="str">
        <f t="shared" si="201"/>
        <v>Employed</v>
      </c>
      <c r="R3132">
        <v>1</v>
      </c>
      <c r="S3132">
        <v>0</v>
      </c>
      <c r="T3132">
        <v>0</v>
      </c>
      <c r="U3132">
        <v>0</v>
      </c>
      <c r="V3132" t="s">
        <v>47</v>
      </c>
      <c r="W3132">
        <v>3</v>
      </c>
    </row>
    <row r="3133" spans="1:23" x14ac:dyDescent="0.2">
      <c r="A3133">
        <v>5100423</v>
      </c>
      <c r="B3133" t="s">
        <v>18</v>
      </c>
      <c r="C3133" t="s">
        <v>19</v>
      </c>
      <c r="D3133" t="s">
        <v>19</v>
      </c>
      <c r="E3133">
        <v>0</v>
      </c>
      <c r="F3133">
        <v>144000</v>
      </c>
      <c r="G3133" t="s">
        <v>21</v>
      </c>
      <c r="H3133" t="s">
        <v>27</v>
      </c>
      <c r="I3133" t="s">
        <v>23</v>
      </c>
      <c r="J3133" t="s">
        <v>24</v>
      </c>
      <c r="K3133" s="6">
        <f t="shared" ca="1" si="200"/>
        <v>24280</v>
      </c>
      <c r="L3133">
        <v>-21481</v>
      </c>
      <c r="M3133" s="7">
        <f t="shared" ca="1" si="198"/>
        <v>58.81177275838467</v>
      </c>
      <c r="N3133" s="5" t="str">
        <f ca="1">VLOOKUP(Data!M3133,temp!$B$3:$C$9,2,1)</f>
        <v>50-60</v>
      </c>
      <c r="O3133">
        <v>365243</v>
      </c>
      <c r="P3133" s="8">
        <f t="shared" si="199"/>
        <v>0</v>
      </c>
      <c r="Q3133" s="5" t="str">
        <f t="shared" si="201"/>
        <v>Unemployed</v>
      </c>
      <c r="R3133">
        <v>1</v>
      </c>
      <c r="S3133">
        <v>0</v>
      </c>
      <c r="T3133">
        <v>0</v>
      </c>
      <c r="U3133">
        <v>0</v>
      </c>
      <c r="W3133">
        <v>1</v>
      </c>
    </row>
    <row r="3134" spans="1:23" x14ac:dyDescent="0.2">
      <c r="A3134">
        <v>5100425</v>
      </c>
      <c r="B3134" t="s">
        <v>25</v>
      </c>
      <c r="C3134" t="s">
        <v>19</v>
      </c>
      <c r="D3134" t="s">
        <v>20</v>
      </c>
      <c r="E3134">
        <v>0</v>
      </c>
      <c r="F3134">
        <v>135000</v>
      </c>
      <c r="G3134" t="s">
        <v>31</v>
      </c>
      <c r="H3134" t="s">
        <v>27</v>
      </c>
      <c r="I3134" t="s">
        <v>33</v>
      </c>
      <c r="J3134" t="s">
        <v>24</v>
      </c>
      <c r="K3134" s="6">
        <f t="shared" ca="1" si="200"/>
        <v>28746</v>
      </c>
      <c r="L3134">
        <v>-17015</v>
      </c>
      <c r="M3134" s="7">
        <f t="shared" ca="1" si="198"/>
        <v>46.5845311430527</v>
      </c>
      <c r="N3134" s="5" t="str">
        <f ca="1">VLOOKUP(Data!M3134,temp!$B$3:$C$9,2,1)</f>
        <v>40-50</v>
      </c>
      <c r="O3134">
        <v>-613</v>
      </c>
      <c r="P3134" s="8">
        <f t="shared" si="199"/>
        <v>1.678302532511978</v>
      </c>
      <c r="Q3134" s="5" t="str">
        <f t="shared" si="201"/>
        <v>Employed</v>
      </c>
      <c r="R3134">
        <v>1</v>
      </c>
      <c r="S3134">
        <v>0</v>
      </c>
      <c r="T3134">
        <v>0</v>
      </c>
      <c r="U3134">
        <v>0</v>
      </c>
      <c r="V3134" t="s">
        <v>30</v>
      </c>
      <c r="W3134">
        <v>1</v>
      </c>
    </row>
    <row r="3135" spans="1:23" x14ac:dyDescent="0.2">
      <c r="A3135">
        <v>5100433</v>
      </c>
      <c r="B3135" t="s">
        <v>25</v>
      </c>
      <c r="C3135" t="s">
        <v>20</v>
      </c>
      <c r="D3135" t="s">
        <v>20</v>
      </c>
      <c r="E3135">
        <v>1</v>
      </c>
      <c r="F3135">
        <v>225000</v>
      </c>
      <c r="G3135" t="s">
        <v>31</v>
      </c>
      <c r="H3135" t="s">
        <v>27</v>
      </c>
      <c r="I3135" t="s">
        <v>28</v>
      </c>
      <c r="J3135" t="s">
        <v>24</v>
      </c>
      <c r="K3135" s="6">
        <f t="shared" ca="1" si="200"/>
        <v>31431</v>
      </c>
      <c r="L3135">
        <v>-14330</v>
      </c>
      <c r="M3135" s="7">
        <f t="shared" ca="1" si="198"/>
        <v>39.233401779603014</v>
      </c>
      <c r="N3135" s="5" t="str">
        <f ca="1">VLOOKUP(Data!M3135,temp!$B$3:$C$9,2,1)</f>
        <v>30-40</v>
      </c>
      <c r="O3135">
        <v>-2530</v>
      </c>
      <c r="P3135" s="8">
        <f t="shared" si="199"/>
        <v>6.9267624914442161</v>
      </c>
      <c r="Q3135" s="5" t="str">
        <f t="shared" si="201"/>
        <v>Employed</v>
      </c>
      <c r="R3135">
        <v>1</v>
      </c>
      <c r="S3135">
        <v>0</v>
      </c>
      <c r="T3135">
        <v>0</v>
      </c>
      <c r="U3135">
        <v>0</v>
      </c>
      <c r="V3135" t="s">
        <v>38</v>
      </c>
      <c r="W3135">
        <v>3</v>
      </c>
    </row>
    <row r="3136" spans="1:23" x14ac:dyDescent="0.2">
      <c r="A3136">
        <v>5100457</v>
      </c>
      <c r="B3136" t="s">
        <v>18</v>
      </c>
      <c r="C3136" t="s">
        <v>19</v>
      </c>
      <c r="D3136" t="s">
        <v>20</v>
      </c>
      <c r="E3136">
        <v>0</v>
      </c>
      <c r="F3136">
        <v>168750</v>
      </c>
      <c r="G3136" t="s">
        <v>21</v>
      </c>
      <c r="H3136" t="s">
        <v>27</v>
      </c>
      <c r="I3136" t="s">
        <v>28</v>
      </c>
      <c r="J3136" t="s">
        <v>24</v>
      </c>
      <c r="K3136" s="6">
        <f t="shared" ca="1" si="200"/>
        <v>23590</v>
      </c>
      <c r="L3136">
        <v>-22171</v>
      </c>
      <c r="M3136" s="7">
        <f t="shared" ca="1" si="198"/>
        <v>60.700889801505816</v>
      </c>
      <c r="N3136" s="5" t="str">
        <f ca="1">VLOOKUP(Data!M3136,temp!$B$3:$C$9,2,1)</f>
        <v>60-70</v>
      </c>
      <c r="O3136">
        <v>365243</v>
      </c>
      <c r="P3136" s="8">
        <f t="shared" si="199"/>
        <v>0</v>
      </c>
      <c r="Q3136" s="5" t="str">
        <f t="shared" si="201"/>
        <v>Unemployed</v>
      </c>
      <c r="R3136">
        <v>1</v>
      </c>
      <c r="S3136">
        <v>0</v>
      </c>
      <c r="T3136">
        <v>1</v>
      </c>
      <c r="U3136">
        <v>0</v>
      </c>
      <c r="W3136">
        <v>2</v>
      </c>
    </row>
    <row r="3137" spans="1:23" x14ac:dyDescent="0.2">
      <c r="A3137">
        <v>5100462</v>
      </c>
      <c r="B3137" t="s">
        <v>18</v>
      </c>
      <c r="C3137" t="s">
        <v>19</v>
      </c>
      <c r="D3137" t="s">
        <v>20</v>
      </c>
      <c r="E3137">
        <v>0</v>
      </c>
      <c r="F3137">
        <v>157500</v>
      </c>
      <c r="G3137" t="s">
        <v>26</v>
      </c>
      <c r="H3137" t="s">
        <v>27</v>
      </c>
      <c r="I3137" t="s">
        <v>28</v>
      </c>
      <c r="J3137" t="s">
        <v>24</v>
      </c>
      <c r="K3137" s="6">
        <f t="shared" ca="1" si="200"/>
        <v>27390</v>
      </c>
      <c r="L3137">
        <v>-18371</v>
      </c>
      <c r="M3137" s="7">
        <f t="shared" ca="1" si="198"/>
        <v>50.297056810403831</v>
      </c>
      <c r="N3137" s="5" t="str">
        <f ca="1">VLOOKUP(Data!M3137,temp!$B$3:$C$9,2,1)</f>
        <v>50-60</v>
      </c>
      <c r="O3137">
        <v>-1495</v>
      </c>
      <c r="P3137" s="8">
        <f t="shared" si="199"/>
        <v>4.0930869267624912</v>
      </c>
      <c r="Q3137" s="5" t="str">
        <f t="shared" si="201"/>
        <v>Employed</v>
      </c>
      <c r="R3137">
        <v>1</v>
      </c>
      <c r="S3137">
        <v>0</v>
      </c>
      <c r="T3137">
        <v>0</v>
      </c>
      <c r="U3137">
        <v>0</v>
      </c>
      <c r="V3137" t="s">
        <v>54</v>
      </c>
      <c r="W3137">
        <v>2</v>
      </c>
    </row>
    <row r="3138" spans="1:23" x14ac:dyDescent="0.2">
      <c r="A3138">
        <v>5100463</v>
      </c>
      <c r="B3138" t="s">
        <v>18</v>
      </c>
      <c r="C3138" t="s">
        <v>20</v>
      </c>
      <c r="D3138" t="s">
        <v>20</v>
      </c>
      <c r="E3138">
        <v>3</v>
      </c>
      <c r="F3138">
        <v>180000</v>
      </c>
      <c r="G3138" t="s">
        <v>31</v>
      </c>
      <c r="H3138" t="s">
        <v>27</v>
      </c>
      <c r="I3138" t="s">
        <v>28</v>
      </c>
      <c r="J3138" t="s">
        <v>24</v>
      </c>
      <c r="K3138" s="6">
        <f t="shared" ca="1" si="200"/>
        <v>32123</v>
      </c>
      <c r="L3138">
        <v>-13638</v>
      </c>
      <c r="M3138" s="7">
        <f t="shared" ca="1" si="198"/>
        <v>37.338809034907598</v>
      </c>
      <c r="N3138" s="5" t="str">
        <f ca="1">VLOOKUP(Data!M3138,temp!$B$3:$C$9,2,1)</f>
        <v>30-40</v>
      </c>
      <c r="O3138">
        <v>-3809</v>
      </c>
      <c r="P3138" s="8">
        <f t="shared" si="199"/>
        <v>10.428473648186174</v>
      </c>
      <c r="Q3138" s="5" t="str">
        <f t="shared" si="201"/>
        <v>Employed</v>
      </c>
      <c r="R3138">
        <v>1</v>
      </c>
      <c r="S3138">
        <v>0</v>
      </c>
      <c r="T3138">
        <v>0</v>
      </c>
      <c r="U3138">
        <v>0</v>
      </c>
      <c r="V3138" t="s">
        <v>47</v>
      </c>
      <c r="W3138">
        <v>5</v>
      </c>
    </row>
    <row r="3139" spans="1:23" x14ac:dyDescent="0.2">
      <c r="A3139">
        <v>5100464</v>
      </c>
      <c r="B3139" t="s">
        <v>25</v>
      </c>
      <c r="C3139" t="s">
        <v>20</v>
      </c>
      <c r="D3139" t="s">
        <v>20</v>
      </c>
      <c r="E3139">
        <v>1</v>
      </c>
      <c r="F3139">
        <v>315000</v>
      </c>
      <c r="G3139" t="s">
        <v>31</v>
      </c>
      <c r="H3139" t="s">
        <v>22</v>
      </c>
      <c r="I3139" t="s">
        <v>28</v>
      </c>
      <c r="J3139" t="s">
        <v>24</v>
      </c>
      <c r="K3139" s="6">
        <f t="shared" ca="1" si="200"/>
        <v>28443</v>
      </c>
      <c r="L3139">
        <v>-17318</v>
      </c>
      <c r="M3139" s="7">
        <f t="shared" ref="M3139:M3202" ca="1" si="202">(TODAY()-K3139)/365.25</f>
        <v>47.414099931553729</v>
      </c>
      <c r="N3139" s="5" t="str">
        <f ca="1">VLOOKUP(Data!M3139,temp!$B$3:$C$9,2,1)</f>
        <v>40-50</v>
      </c>
      <c r="O3139">
        <v>-552</v>
      </c>
      <c r="P3139" s="8">
        <f t="shared" ref="P3139:P3202" si="203">IF(O3139&lt;=0,ABS(O3139)/365.25,0)</f>
        <v>1.5112936344969199</v>
      </c>
      <c r="Q3139" s="5" t="str">
        <f t="shared" si="201"/>
        <v>Employed</v>
      </c>
      <c r="R3139">
        <v>1</v>
      </c>
      <c r="S3139">
        <v>0</v>
      </c>
      <c r="T3139">
        <v>1</v>
      </c>
      <c r="U3139">
        <v>0</v>
      </c>
      <c r="V3139" t="s">
        <v>29</v>
      </c>
      <c r="W3139">
        <v>3</v>
      </c>
    </row>
    <row r="3140" spans="1:23" x14ac:dyDescent="0.2">
      <c r="A3140">
        <v>5100465</v>
      </c>
      <c r="B3140" t="s">
        <v>18</v>
      </c>
      <c r="C3140" t="s">
        <v>19</v>
      </c>
      <c r="D3140" t="s">
        <v>20</v>
      </c>
      <c r="E3140">
        <v>0</v>
      </c>
      <c r="F3140">
        <v>72000</v>
      </c>
      <c r="G3140" t="s">
        <v>35</v>
      </c>
      <c r="H3140" t="s">
        <v>51</v>
      </c>
      <c r="I3140" t="s">
        <v>37</v>
      </c>
      <c r="J3140" t="s">
        <v>24</v>
      </c>
      <c r="K3140" s="6">
        <f t="shared" ca="1" si="200"/>
        <v>27312</v>
      </c>
      <c r="L3140">
        <v>-18449</v>
      </c>
      <c r="M3140" s="7">
        <f t="shared" ca="1" si="202"/>
        <v>50.510609171800134</v>
      </c>
      <c r="N3140" s="5" t="str">
        <f ca="1">VLOOKUP(Data!M3140,temp!$B$3:$C$9,2,1)</f>
        <v>50-60</v>
      </c>
      <c r="O3140">
        <v>-187</v>
      </c>
      <c r="P3140" s="8">
        <f t="shared" si="203"/>
        <v>0.51197809719370291</v>
      </c>
      <c r="Q3140" s="5" t="str">
        <f t="shared" si="201"/>
        <v>Employed</v>
      </c>
      <c r="R3140">
        <v>1</v>
      </c>
      <c r="S3140">
        <v>1</v>
      </c>
      <c r="T3140">
        <v>0</v>
      </c>
      <c r="U3140">
        <v>0</v>
      </c>
      <c r="V3140" t="s">
        <v>29</v>
      </c>
      <c r="W3140">
        <v>2</v>
      </c>
    </row>
    <row r="3141" spans="1:23" x14ac:dyDescent="0.2">
      <c r="A3141">
        <v>5104852</v>
      </c>
      <c r="B3141" t="s">
        <v>18</v>
      </c>
      <c r="C3141" t="s">
        <v>20</v>
      </c>
      <c r="D3141" t="s">
        <v>20</v>
      </c>
      <c r="E3141">
        <v>2</v>
      </c>
      <c r="F3141">
        <v>103500</v>
      </c>
      <c r="G3141" t="s">
        <v>31</v>
      </c>
      <c r="H3141" t="s">
        <v>27</v>
      </c>
      <c r="I3141" t="s">
        <v>28</v>
      </c>
      <c r="J3141" t="s">
        <v>24</v>
      </c>
      <c r="K3141" s="6">
        <f t="shared" ca="1" si="200"/>
        <v>33945</v>
      </c>
      <c r="L3141">
        <v>-11816</v>
      </c>
      <c r="M3141" s="7">
        <f t="shared" ca="1" si="202"/>
        <v>32.350444900752912</v>
      </c>
      <c r="N3141" s="5" t="str">
        <f ca="1">VLOOKUP(Data!M3141,temp!$B$3:$C$9,2,1)</f>
        <v>30-40</v>
      </c>
      <c r="O3141">
        <v>-1600</v>
      </c>
      <c r="P3141" s="8">
        <f t="shared" si="203"/>
        <v>4.3805612594113619</v>
      </c>
      <c r="Q3141" s="5" t="str">
        <f t="shared" si="201"/>
        <v>Employed</v>
      </c>
      <c r="R3141">
        <v>1</v>
      </c>
      <c r="S3141">
        <v>0</v>
      </c>
      <c r="T3141">
        <v>0</v>
      </c>
      <c r="U3141">
        <v>0</v>
      </c>
      <c r="V3141" t="s">
        <v>44</v>
      </c>
      <c r="W3141">
        <v>4</v>
      </c>
    </row>
    <row r="3142" spans="1:23" x14ac:dyDescent="0.2">
      <c r="A3142">
        <v>5104894</v>
      </c>
      <c r="B3142" t="s">
        <v>18</v>
      </c>
      <c r="C3142" t="s">
        <v>19</v>
      </c>
      <c r="D3142" t="s">
        <v>20</v>
      </c>
      <c r="E3142">
        <v>0</v>
      </c>
      <c r="F3142">
        <v>315000</v>
      </c>
      <c r="G3142" t="s">
        <v>26</v>
      </c>
      <c r="H3142" t="s">
        <v>36</v>
      </c>
      <c r="I3142" t="s">
        <v>28</v>
      </c>
      <c r="J3142" t="s">
        <v>24</v>
      </c>
      <c r="K3142" s="6">
        <f t="shared" ca="1" si="200"/>
        <v>28120</v>
      </c>
      <c r="L3142">
        <v>-17641</v>
      </c>
      <c r="M3142" s="7">
        <f t="shared" ca="1" si="202"/>
        <v>48.298425735797402</v>
      </c>
      <c r="N3142" s="5" t="str">
        <f ca="1">VLOOKUP(Data!M3142,temp!$B$3:$C$9,2,1)</f>
        <v>40-50</v>
      </c>
      <c r="O3142">
        <v>-2512</v>
      </c>
      <c r="P3142" s="8">
        <f t="shared" si="203"/>
        <v>6.8774811772758389</v>
      </c>
      <c r="Q3142" s="5" t="str">
        <f t="shared" si="201"/>
        <v>Employed</v>
      </c>
      <c r="R3142">
        <v>1</v>
      </c>
      <c r="S3142">
        <v>0</v>
      </c>
      <c r="T3142">
        <v>0</v>
      </c>
      <c r="U3142">
        <v>0</v>
      </c>
      <c r="V3142" t="s">
        <v>57</v>
      </c>
      <c r="W3142">
        <v>2</v>
      </c>
    </row>
    <row r="3143" spans="1:23" x14ac:dyDescent="0.2">
      <c r="A3143">
        <v>5104910</v>
      </c>
      <c r="B3143" t="s">
        <v>18</v>
      </c>
      <c r="C3143" t="s">
        <v>20</v>
      </c>
      <c r="D3143" t="s">
        <v>20</v>
      </c>
      <c r="E3143">
        <v>0</v>
      </c>
      <c r="F3143">
        <v>360450</v>
      </c>
      <c r="G3143" t="s">
        <v>35</v>
      </c>
      <c r="H3143" t="s">
        <v>27</v>
      </c>
      <c r="I3143" t="s">
        <v>28</v>
      </c>
      <c r="J3143" t="s">
        <v>24</v>
      </c>
      <c r="K3143" s="6">
        <f t="shared" ca="1" si="200"/>
        <v>26907</v>
      </c>
      <c r="L3143">
        <v>-18854</v>
      </c>
      <c r="M3143" s="7">
        <f t="shared" ca="1" si="202"/>
        <v>51.619438740588635</v>
      </c>
      <c r="N3143" s="5" t="str">
        <f ca="1">VLOOKUP(Data!M3143,temp!$B$3:$C$9,2,1)</f>
        <v>50-60</v>
      </c>
      <c r="O3143">
        <v>-8509</v>
      </c>
      <c r="P3143" s="8">
        <f t="shared" si="203"/>
        <v>23.296372347707049</v>
      </c>
      <c r="Q3143" s="5" t="str">
        <f t="shared" si="201"/>
        <v>Employed</v>
      </c>
      <c r="R3143">
        <v>1</v>
      </c>
      <c r="S3143">
        <v>0</v>
      </c>
      <c r="T3143">
        <v>0</v>
      </c>
      <c r="U3143">
        <v>0</v>
      </c>
      <c r="W3143">
        <v>2</v>
      </c>
    </row>
    <row r="3144" spans="1:23" x14ac:dyDescent="0.2">
      <c r="A3144">
        <v>5104940</v>
      </c>
      <c r="B3144" t="s">
        <v>18</v>
      </c>
      <c r="C3144" t="s">
        <v>19</v>
      </c>
      <c r="D3144" t="s">
        <v>20</v>
      </c>
      <c r="E3144">
        <v>3</v>
      </c>
      <c r="F3144">
        <v>67500</v>
      </c>
      <c r="G3144" t="s">
        <v>26</v>
      </c>
      <c r="H3144" t="s">
        <v>27</v>
      </c>
      <c r="I3144" t="s">
        <v>28</v>
      </c>
      <c r="J3144" t="s">
        <v>24</v>
      </c>
      <c r="K3144" s="6">
        <f t="shared" ref="K3144:K3207" ca="1" si="204">TODAY()+($L3144)</f>
        <v>29067</v>
      </c>
      <c r="L3144">
        <v>-16694</v>
      </c>
      <c r="M3144" s="7">
        <f t="shared" ca="1" si="202"/>
        <v>45.705681040383297</v>
      </c>
      <c r="N3144" s="5" t="str">
        <f ca="1">VLOOKUP(Data!M3144,temp!$B$3:$C$9,2,1)</f>
        <v>40-50</v>
      </c>
      <c r="O3144">
        <v>-412</v>
      </c>
      <c r="P3144" s="8">
        <f t="shared" si="203"/>
        <v>1.1279945242984257</v>
      </c>
      <c r="Q3144" s="5" t="str">
        <f t="shared" ref="Q3144:Q3207" si="205">IF($O3144&gt;0,"Unemployed","Employed")</f>
        <v>Employed</v>
      </c>
      <c r="R3144">
        <v>1</v>
      </c>
      <c r="S3144">
        <v>1</v>
      </c>
      <c r="T3144">
        <v>1</v>
      </c>
      <c r="U3144">
        <v>0</v>
      </c>
      <c r="V3144" t="s">
        <v>39</v>
      </c>
      <c r="W3144">
        <v>5</v>
      </c>
    </row>
    <row r="3145" spans="1:23" x14ac:dyDescent="0.2">
      <c r="A3145">
        <v>5104941</v>
      </c>
      <c r="B3145" t="s">
        <v>18</v>
      </c>
      <c r="C3145" t="s">
        <v>19</v>
      </c>
      <c r="D3145" t="s">
        <v>20</v>
      </c>
      <c r="E3145">
        <v>3</v>
      </c>
      <c r="F3145">
        <v>67500</v>
      </c>
      <c r="G3145" t="s">
        <v>26</v>
      </c>
      <c r="H3145" t="s">
        <v>27</v>
      </c>
      <c r="I3145" t="s">
        <v>28</v>
      </c>
      <c r="J3145" t="s">
        <v>24</v>
      </c>
      <c r="K3145" s="6">
        <f t="shared" ca="1" si="204"/>
        <v>29067</v>
      </c>
      <c r="L3145">
        <v>-16694</v>
      </c>
      <c r="M3145" s="7">
        <f t="shared" ca="1" si="202"/>
        <v>45.705681040383297</v>
      </c>
      <c r="N3145" s="5" t="str">
        <f ca="1">VLOOKUP(Data!M3145,temp!$B$3:$C$9,2,1)</f>
        <v>40-50</v>
      </c>
      <c r="O3145">
        <v>-412</v>
      </c>
      <c r="P3145" s="8">
        <f t="shared" si="203"/>
        <v>1.1279945242984257</v>
      </c>
      <c r="Q3145" s="5" t="str">
        <f t="shared" si="205"/>
        <v>Employed</v>
      </c>
      <c r="R3145">
        <v>1</v>
      </c>
      <c r="S3145">
        <v>1</v>
      </c>
      <c r="T3145">
        <v>1</v>
      </c>
      <c r="U3145">
        <v>0</v>
      </c>
      <c r="V3145" t="s">
        <v>39</v>
      </c>
      <c r="W3145">
        <v>5</v>
      </c>
    </row>
    <row r="3146" spans="1:23" x14ac:dyDescent="0.2">
      <c r="A3146">
        <v>5104956</v>
      </c>
      <c r="B3146" t="s">
        <v>25</v>
      </c>
      <c r="C3146" t="s">
        <v>20</v>
      </c>
      <c r="D3146" t="s">
        <v>20</v>
      </c>
      <c r="E3146">
        <v>0</v>
      </c>
      <c r="F3146">
        <v>180000</v>
      </c>
      <c r="G3146" t="s">
        <v>31</v>
      </c>
      <c r="H3146" t="s">
        <v>27</v>
      </c>
      <c r="I3146" t="s">
        <v>28</v>
      </c>
      <c r="J3146" t="s">
        <v>24</v>
      </c>
      <c r="K3146" s="6">
        <f t="shared" ca="1" si="204"/>
        <v>24077</v>
      </c>
      <c r="L3146">
        <v>-21684</v>
      </c>
      <c r="M3146" s="7">
        <f t="shared" ca="1" si="202"/>
        <v>59.367556468172488</v>
      </c>
      <c r="N3146" s="5" t="str">
        <f ca="1">VLOOKUP(Data!M3146,temp!$B$3:$C$9,2,1)</f>
        <v>50-60</v>
      </c>
      <c r="O3146">
        <v>-2422</v>
      </c>
      <c r="P3146" s="8">
        <f t="shared" si="203"/>
        <v>6.6310746064339492</v>
      </c>
      <c r="Q3146" s="5" t="str">
        <f t="shared" si="205"/>
        <v>Employed</v>
      </c>
      <c r="R3146">
        <v>1</v>
      </c>
      <c r="S3146">
        <v>0</v>
      </c>
      <c r="T3146">
        <v>0</v>
      </c>
      <c r="U3146">
        <v>0</v>
      </c>
      <c r="V3146" t="s">
        <v>30</v>
      </c>
      <c r="W3146">
        <v>2</v>
      </c>
    </row>
    <row r="3147" spans="1:23" x14ac:dyDescent="0.2">
      <c r="A3147">
        <v>5104984</v>
      </c>
      <c r="B3147" t="s">
        <v>18</v>
      </c>
      <c r="C3147" t="s">
        <v>19</v>
      </c>
      <c r="D3147" t="s">
        <v>19</v>
      </c>
      <c r="E3147">
        <v>0</v>
      </c>
      <c r="F3147">
        <v>112500</v>
      </c>
      <c r="G3147" t="s">
        <v>21</v>
      </c>
      <c r="H3147" t="s">
        <v>27</v>
      </c>
      <c r="I3147" t="s">
        <v>23</v>
      </c>
      <c r="J3147" t="s">
        <v>45</v>
      </c>
      <c r="K3147" s="6">
        <f t="shared" ca="1" si="204"/>
        <v>24132</v>
      </c>
      <c r="L3147">
        <v>-21629</v>
      </c>
      <c r="M3147" s="7">
        <f t="shared" ca="1" si="202"/>
        <v>59.21697467488022</v>
      </c>
      <c r="N3147" s="5" t="str">
        <f ca="1">VLOOKUP(Data!M3147,temp!$B$3:$C$9,2,1)</f>
        <v>50-60</v>
      </c>
      <c r="O3147">
        <v>365243</v>
      </c>
      <c r="P3147" s="8">
        <f t="shared" si="203"/>
        <v>0</v>
      </c>
      <c r="Q3147" s="5" t="str">
        <f t="shared" si="205"/>
        <v>Unemployed</v>
      </c>
      <c r="R3147">
        <v>1</v>
      </c>
      <c r="S3147">
        <v>0</v>
      </c>
      <c r="T3147">
        <v>0</v>
      </c>
      <c r="U3147">
        <v>0</v>
      </c>
      <c r="W3147">
        <v>1</v>
      </c>
    </row>
    <row r="3148" spans="1:23" x14ac:dyDescent="0.2">
      <c r="A3148">
        <v>5105006</v>
      </c>
      <c r="B3148" t="s">
        <v>25</v>
      </c>
      <c r="C3148" t="s">
        <v>20</v>
      </c>
      <c r="D3148" t="s">
        <v>20</v>
      </c>
      <c r="E3148">
        <v>1</v>
      </c>
      <c r="F3148">
        <v>216000</v>
      </c>
      <c r="G3148" t="s">
        <v>31</v>
      </c>
      <c r="H3148" t="s">
        <v>27</v>
      </c>
      <c r="I3148" t="s">
        <v>28</v>
      </c>
      <c r="J3148" t="s">
        <v>34</v>
      </c>
      <c r="K3148" s="6">
        <f t="shared" ca="1" si="204"/>
        <v>28710</v>
      </c>
      <c r="L3148">
        <v>-17051</v>
      </c>
      <c r="M3148" s="7">
        <f t="shared" ca="1" si="202"/>
        <v>46.683093771389458</v>
      </c>
      <c r="N3148" s="5" t="str">
        <f ca="1">VLOOKUP(Data!M3148,temp!$B$3:$C$9,2,1)</f>
        <v>40-50</v>
      </c>
      <c r="O3148">
        <v>-1457</v>
      </c>
      <c r="P3148" s="8">
        <f t="shared" si="203"/>
        <v>3.9890485968514717</v>
      </c>
      <c r="Q3148" s="5" t="str">
        <f t="shared" si="205"/>
        <v>Employed</v>
      </c>
      <c r="R3148">
        <v>1</v>
      </c>
      <c r="S3148">
        <v>0</v>
      </c>
      <c r="T3148">
        <v>0</v>
      </c>
      <c r="U3148">
        <v>0</v>
      </c>
      <c r="V3148" t="s">
        <v>29</v>
      </c>
      <c r="W3148">
        <v>3</v>
      </c>
    </row>
    <row r="3149" spans="1:23" x14ac:dyDescent="0.2">
      <c r="A3149">
        <v>5105013</v>
      </c>
      <c r="B3149" t="s">
        <v>25</v>
      </c>
      <c r="C3149" t="s">
        <v>20</v>
      </c>
      <c r="D3149" t="s">
        <v>20</v>
      </c>
      <c r="E3149">
        <v>1</v>
      </c>
      <c r="F3149">
        <v>216000</v>
      </c>
      <c r="G3149" t="s">
        <v>31</v>
      </c>
      <c r="H3149" t="s">
        <v>27</v>
      </c>
      <c r="I3149" t="s">
        <v>28</v>
      </c>
      <c r="J3149" t="s">
        <v>34</v>
      </c>
      <c r="K3149" s="6">
        <f t="shared" ca="1" si="204"/>
        <v>28710</v>
      </c>
      <c r="L3149">
        <v>-17051</v>
      </c>
      <c r="M3149" s="7">
        <f t="shared" ca="1" si="202"/>
        <v>46.683093771389458</v>
      </c>
      <c r="N3149" s="5" t="str">
        <f ca="1">VLOOKUP(Data!M3149,temp!$B$3:$C$9,2,1)</f>
        <v>40-50</v>
      </c>
      <c r="O3149">
        <v>-1457</v>
      </c>
      <c r="P3149" s="8">
        <f t="shared" si="203"/>
        <v>3.9890485968514717</v>
      </c>
      <c r="Q3149" s="5" t="str">
        <f t="shared" si="205"/>
        <v>Employed</v>
      </c>
      <c r="R3149">
        <v>1</v>
      </c>
      <c r="S3149">
        <v>0</v>
      </c>
      <c r="T3149">
        <v>0</v>
      </c>
      <c r="U3149">
        <v>0</v>
      </c>
      <c r="V3149" t="s">
        <v>29</v>
      </c>
      <c r="W3149">
        <v>3</v>
      </c>
    </row>
    <row r="3150" spans="1:23" x14ac:dyDescent="0.2">
      <c r="A3150">
        <v>5105018</v>
      </c>
      <c r="B3150" t="s">
        <v>18</v>
      </c>
      <c r="C3150" t="s">
        <v>19</v>
      </c>
      <c r="D3150" t="s">
        <v>20</v>
      </c>
      <c r="E3150">
        <v>0</v>
      </c>
      <c r="F3150">
        <v>247500</v>
      </c>
      <c r="G3150" t="s">
        <v>31</v>
      </c>
      <c r="H3150" t="s">
        <v>22</v>
      </c>
      <c r="I3150" t="s">
        <v>28</v>
      </c>
      <c r="J3150" t="s">
        <v>24</v>
      </c>
      <c r="K3150" s="6">
        <f t="shared" ca="1" si="204"/>
        <v>28063</v>
      </c>
      <c r="L3150">
        <v>-17698</v>
      </c>
      <c r="M3150" s="7">
        <f t="shared" ca="1" si="202"/>
        <v>48.454483230663932</v>
      </c>
      <c r="N3150" s="5" t="str">
        <f ca="1">VLOOKUP(Data!M3150,temp!$B$3:$C$9,2,1)</f>
        <v>40-50</v>
      </c>
      <c r="O3150">
        <v>-695</v>
      </c>
      <c r="P3150" s="8">
        <f t="shared" si="203"/>
        <v>1.9028062970568105</v>
      </c>
      <c r="Q3150" s="5" t="str">
        <f t="shared" si="205"/>
        <v>Employed</v>
      </c>
      <c r="R3150">
        <v>1</v>
      </c>
      <c r="S3150">
        <v>0</v>
      </c>
      <c r="T3150">
        <v>0</v>
      </c>
      <c r="U3150">
        <v>0</v>
      </c>
      <c r="V3150" t="s">
        <v>39</v>
      </c>
      <c r="W3150">
        <v>2</v>
      </c>
    </row>
    <row r="3151" spans="1:23" x14ac:dyDescent="0.2">
      <c r="A3151">
        <v>5105033</v>
      </c>
      <c r="B3151" t="s">
        <v>18</v>
      </c>
      <c r="C3151" t="s">
        <v>20</v>
      </c>
      <c r="D3151" t="s">
        <v>20</v>
      </c>
      <c r="E3151">
        <v>0</v>
      </c>
      <c r="F3151">
        <v>180000</v>
      </c>
      <c r="G3151" t="s">
        <v>31</v>
      </c>
      <c r="H3151" t="s">
        <v>22</v>
      </c>
      <c r="I3151" t="s">
        <v>28</v>
      </c>
      <c r="J3151" t="s">
        <v>41</v>
      </c>
      <c r="K3151" s="6">
        <f t="shared" ca="1" si="204"/>
        <v>33134</v>
      </c>
      <c r="L3151">
        <v>-12627</v>
      </c>
      <c r="M3151" s="7">
        <f t="shared" ca="1" si="202"/>
        <v>34.570841889117041</v>
      </c>
      <c r="N3151" s="5" t="str">
        <f ca="1">VLOOKUP(Data!M3151,temp!$B$3:$C$9,2,1)</f>
        <v>30-40</v>
      </c>
      <c r="O3151">
        <v>-241</v>
      </c>
      <c r="P3151" s="8">
        <f t="shared" si="203"/>
        <v>0.65982203969883646</v>
      </c>
      <c r="Q3151" s="5" t="str">
        <f t="shared" si="205"/>
        <v>Employed</v>
      </c>
      <c r="R3151">
        <v>1</v>
      </c>
      <c r="S3151">
        <v>1</v>
      </c>
      <c r="T3151">
        <v>1</v>
      </c>
      <c r="U3151">
        <v>0</v>
      </c>
      <c r="V3151" t="s">
        <v>39</v>
      </c>
      <c r="W3151">
        <v>2</v>
      </c>
    </row>
    <row r="3152" spans="1:23" x14ac:dyDescent="0.2">
      <c r="A3152">
        <v>5105040</v>
      </c>
      <c r="B3152" t="s">
        <v>18</v>
      </c>
      <c r="C3152" t="s">
        <v>19</v>
      </c>
      <c r="D3152" t="s">
        <v>19</v>
      </c>
      <c r="E3152">
        <v>1</v>
      </c>
      <c r="F3152">
        <v>121500</v>
      </c>
      <c r="G3152" t="s">
        <v>31</v>
      </c>
      <c r="H3152" t="s">
        <v>27</v>
      </c>
      <c r="I3152" t="s">
        <v>28</v>
      </c>
      <c r="J3152" t="s">
        <v>24</v>
      </c>
      <c r="K3152" s="6">
        <f t="shared" ca="1" si="204"/>
        <v>30793</v>
      </c>
      <c r="L3152">
        <v>-14968</v>
      </c>
      <c r="M3152" s="7">
        <f t="shared" ca="1" si="202"/>
        <v>40.980150581793289</v>
      </c>
      <c r="N3152" s="5" t="str">
        <f ca="1">VLOOKUP(Data!M3152,temp!$B$3:$C$9,2,1)</f>
        <v>40-50</v>
      </c>
      <c r="O3152">
        <v>-118</v>
      </c>
      <c r="P3152" s="8">
        <f t="shared" si="203"/>
        <v>0.32306639288158795</v>
      </c>
      <c r="Q3152" s="5" t="str">
        <f t="shared" si="205"/>
        <v>Employed</v>
      </c>
      <c r="R3152">
        <v>1</v>
      </c>
      <c r="S3152">
        <v>0</v>
      </c>
      <c r="T3152">
        <v>0</v>
      </c>
      <c r="U3152">
        <v>0</v>
      </c>
      <c r="V3152" t="s">
        <v>29</v>
      </c>
      <c r="W3152">
        <v>3</v>
      </c>
    </row>
    <row r="3153" spans="1:23" x14ac:dyDescent="0.2">
      <c r="A3153">
        <v>5105041</v>
      </c>
      <c r="B3153" t="s">
        <v>18</v>
      </c>
      <c r="C3153" t="s">
        <v>19</v>
      </c>
      <c r="D3153" t="s">
        <v>20</v>
      </c>
      <c r="E3153">
        <v>2</v>
      </c>
      <c r="F3153">
        <v>135000</v>
      </c>
      <c r="G3153" t="s">
        <v>31</v>
      </c>
      <c r="H3153" t="s">
        <v>27</v>
      </c>
      <c r="I3153" t="s">
        <v>23</v>
      </c>
      <c r="J3153" t="s">
        <v>34</v>
      </c>
      <c r="K3153" s="6">
        <f t="shared" ca="1" si="204"/>
        <v>33271</v>
      </c>
      <c r="L3153">
        <v>-12490</v>
      </c>
      <c r="M3153" s="7">
        <f t="shared" ca="1" si="202"/>
        <v>34.195756331279945</v>
      </c>
      <c r="N3153" s="5" t="str">
        <f ca="1">VLOOKUP(Data!M3153,temp!$B$3:$C$9,2,1)</f>
        <v>30-40</v>
      </c>
      <c r="O3153">
        <v>-726</v>
      </c>
      <c r="P3153" s="8">
        <f t="shared" si="203"/>
        <v>1.9876796714579055</v>
      </c>
      <c r="Q3153" s="5" t="str">
        <f t="shared" si="205"/>
        <v>Employed</v>
      </c>
      <c r="R3153">
        <v>1</v>
      </c>
      <c r="S3153">
        <v>0</v>
      </c>
      <c r="T3153">
        <v>0</v>
      </c>
      <c r="U3153">
        <v>0</v>
      </c>
      <c r="V3153" t="s">
        <v>29</v>
      </c>
      <c r="W3153">
        <v>3</v>
      </c>
    </row>
    <row r="3154" spans="1:23" x14ac:dyDescent="0.2">
      <c r="A3154">
        <v>5105051</v>
      </c>
      <c r="B3154" t="s">
        <v>18</v>
      </c>
      <c r="C3154" t="s">
        <v>19</v>
      </c>
      <c r="D3154" t="s">
        <v>20</v>
      </c>
      <c r="E3154">
        <v>2</v>
      </c>
      <c r="F3154">
        <v>225000</v>
      </c>
      <c r="G3154" t="s">
        <v>26</v>
      </c>
      <c r="H3154" t="s">
        <v>22</v>
      </c>
      <c r="I3154" t="s">
        <v>28</v>
      </c>
      <c r="J3154" t="s">
        <v>24</v>
      </c>
      <c r="K3154" s="6">
        <f t="shared" ca="1" si="204"/>
        <v>34032</v>
      </c>
      <c r="L3154">
        <v>-11729</v>
      </c>
      <c r="M3154" s="7">
        <f t="shared" ca="1" si="202"/>
        <v>32.112251882272417</v>
      </c>
      <c r="N3154" s="5" t="str">
        <f ca="1">VLOOKUP(Data!M3154,temp!$B$3:$C$9,2,1)</f>
        <v>30-40</v>
      </c>
      <c r="O3154">
        <v>-1153</v>
      </c>
      <c r="P3154" s="8">
        <f t="shared" si="203"/>
        <v>3.1567419575633129</v>
      </c>
      <c r="Q3154" s="5" t="str">
        <f t="shared" si="205"/>
        <v>Employed</v>
      </c>
      <c r="R3154">
        <v>1</v>
      </c>
      <c r="S3154">
        <v>0</v>
      </c>
      <c r="T3154">
        <v>0</v>
      </c>
      <c r="U3154">
        <v>0</v>
      </c>
      <c r="V3154" t="s">
        <v>32</v>
      </c>
      <c r="W3154">
        <v>4</v>
      </c>
    </row>
    <row r="3155" spans="1:23" x14ac:dyDescent="0.2">
      <c r="A3155">
        <v>5105058</v>
      </c>
      <c r="B3155" t="s">
        <v>18</v>
      </c>
      <c r="C3155" t="s">
        <v>19</v>
      </c>
      <c r="D3155" t="s">
        <v>20</v>
      </c>
      <c r="E3155">
        <v>0</v>
      </c>
      <c r="F3155">
        <v>112500</v>
      </c>
      <c r="G3155" t="s">
        <v>26</v>
      </c>
      <c r="H3155" t="s">
        <v>27</v>
      </c>
      <c r="I3155" t="s">
        <v>28</v>
      </c>
      <c r="J3155" t="s">
        <v>24</v>
      </c>
      <c r="K3155" s="6">
        <f t="shared" ca="1" si="204"/>
        <v>28192</v>
      </c>
      <c r="L3155">
        <v>-17569</v>
      </c>
      <c r="M3155" s="7">
        <f t="shared" ca="1" si="202"/>
        <v>48.101300479123886</v>
      </c>
      <c r="N3155" s="5" t="str">
        <f ca="1">VLOOKUP(Data!M3155,temp!$B$3:$C$9,2,1)</f>
        <v>40-50</v>
      </c>
      <c r="O3155">
        <v>-241</v>
      </c>
      <c r="P3155" s="8">
        <f t="shared" si="203"/>
        <v>0.65982203969883646</v>
      </c>
      <c r="Q3155" s="5" t="str">
        <f t="shared" si="205"/>
        <v>Employed</v>
      </c>
      <c r="R3155">
        <v>1</v>
      </c>
      <c r="S3155">
        <v>1</v>
      </c>
      <c r="T3155">
        <v>1</v>
      </c>
      <c r="U3155">
        <v>0</v>
      </c>
      <c r="V3155" t="s">
        <v>39</v>
      </c>
      <c r="W3155">
        <v>2</v>
      </c>
    </row>
    <row r="3156" spans="1:23" x14ac:dyDescent="0.2">
      <c r="A3156">
        <v>5105061</v>
      </c>
      <c r="B3156" t="s">
        <v>25</v>
      </c>
      <c r="C3156" t="s">
        <v>19</v>
      </c>
      <c r="D3156" t="s">
        <v>20</v>
      </c>
      <c r="E3156">
        <v>0</v>
      </c>
      <c r="F3156">
        <v>157500</v>
      </c>
      <c r="G3156" t="s">
        <v>31</v>
      </c>
      <c r="H3156" t="s">
        <v>36</v>
      </c>
      <c r="I3156" t="s">
        <v>28</v>
      </c>
      <c r="J3156" t="s">
        <v>24</v>
      </c>
      <c r="K3156" s="6">
        <f t="shared" ca="1" si="204"/>
        <v>32079</v>
      </c>
      <c r="L3156">
        <v>-13682</v>
      </c>
      <c r="M3156" s="7">
        <f t="shared" ca="1" si="202"/>
        <v>37.459274469541413</v>
      </c>
      <c r="N3156" s="5" t="str">
        <f ca="1">VLOOKUP(Data!M3156,temp!$B$3:$C$9,2,1)</f>
        <v>30-40</v>
      </c>
      <c r="O3156">
        <v>-453</v>
      </c>
      <c r="P3156" s="8">
        <f t="shared" si="203"/>
        <v>1.2402464065708418</v>
      </c>
      <c r="Q3156" s="5" t="str">
        <f t="shared" si="205"/>
        <v>Employed</v>
      </c>
      <c r="R3156">
        <v>1</v>
      </c>
      <c r="S3156">
        <v>1</v>
      </c>
      <c r="T3156">
        <v>1</v>
      </c>
      <c r="U3156">
        <v>0</v>
      </c>
      <c r="W3156">
        <v>2</v>
      </c>
    </row>
    <row r="3157" spans="1:23" x14ac:dyDescent="0.2">
      <c r="A3157">
        <v>5105087</v>
      </c>
      <c r="B3157" t="s">
        <v>18</v>
      </c>
      <c r="C3157" t="s">
        <v>20</v>
      </c>
      <c r="D3157" t="s">
        <v>20</v>
      </c>
      <c r="E3157">
        <v>0</v>
      </c>
      <c r="F3157">
        <v>360000</v>
      </c>
      <c r="G3157" t="s">
        <v>31</v>
      </c>
      <c r="H3157" t="s">
        <v>22</v>
      </c>
      <c r="I3157" t="s">
        <v>28</v>
      </c>
      <c r="J3157" t="s">
        <v>24</v>
      </c>
      <c r="K3157" s="6">
        <f t="shared" ca="1" si="204"/>
        <v>27998</v>
      </c>
      <c r="L3157">
        <v>-17763</v>
      </c>
      <c r="M3157" s="7">
        <f t="shared" ca="1" si="202"/>
        <v>48.632443531827512</v>
      </c>
      <c r="N3157" s="5" t="str">
        <f ca="1">VLOOKUP(Data!M3157,temp!$B$3:$C$9,2,1)</f>
        <v>40-50</v>
      </c>
      <c r="O3157">
        <v>-2493</v>
      </c>
      <c r="P3157" s="8">
        <f t="shared" si="203"/>
        <v>6.8254620123203287</v>
      </c>
      <c r="Q3157" s="5" t="str">
        <f t="shared" si="205"/>
        <v>Employed</v>
      </c>
      <c r="R3157">
        <v>1</v>
      </c>
      <c r="S3157">
        <v>0</v>
      </c>
      <c r="T3157">
        <v>1</v>
      </c>
      <c r="U3157">
        <v>0</v>
      </c>
      <c r="W3157">
        <v>2</v>
      </c>
    </row>
    <row r="3158" spans="1:23" x14ac:dyDescent="0.2">
      <c r="A3158">
        <v>5105088</v>
      </c>
      <c r="B3158" t="s">
        <v>18</v>
      </c>
      <c r="C3158" t="s">
        <v>20</v>
      </c>
      <c r="D3158" t="s">
        <v>20</v>
      </c>
      <c r="E3158">
        <v>0</v>
      </c>
      <c r="F3158">
        <v>360000</v>
      </c>
      <c r="G3158" t="s">
        <v>31</v>
      </c>
      <c r="H3158" t="s">
        <v>22</v>
      </c>
      <c r="I3158" t="s">
        <v>28</v>
      </c>
      <c r="J3158" t="s">
        <v>24</v>
      </c>
      <c r="K3158" s="6">
        <f t="shared" ca="1" si="204"/>
        <v>27998</v>
      </c>
      <c r="L3158">
        <v>-17763</v>
      </c>
      <c r="M3158" s="7">
        <f t="shared" ca="1" si="202"/>
        <v>48.632443531827512</v>
      </c>
      <c r="N3158" s="5" t="str">
        <f ca="1">VLOOKUP(Data!M3158,temp!$B$3:$C$9,2,1)</f>
        <v>40-50</v>
      </c>
      <c r="O3158">
        <v>-2493</v>
      </c>
      <c r="P3158" s="8">
        <f t="shared" si="203"/>
        <v>6.8254620123203287</v>
      </c>
      <c r="Q3158" s="5" t="str">
        <f t="shared" si="205"/>
        <v>Employed</v>
      </c>
      <c r="R3158">
        <v>1</v>
      </c>
      <c r="S3158">
        <v>0</v>
      </c>
      <c r="T3158">
        <v>1</v>
      </c>
      <c r="U3158">
        <v>0</v>
      </c>
      <c r="W3158">
        <v>2</v>
      </c>
    </row>
    <row r="3159" spans="1:23" x14ac:dyDescent="0.2">
      <c r="A3159">
        <v>5105098</v>
      </c>
      <c r="B3159" t="s">
        <v>25</v>
      </c>
      <c r="C3159" t="s">
        <v>19</v>
      </c>
      <c r="D3159" t="s">
        <v>19</v>
      </c>
      <c r="E3159">
        <v>0</v>
      </c>
      <c r="F3159">
        <v>121500</v>
      </c>
      <c r="G3159" t="s">
        <v>26</v>
      </c>
      <c r="H3159" t="s">
        <v>27</v>
      </c>
      <c r="I3159" t="s">
        <v>28</v>
      </c>
      <c r="J3159" t="s">
        <v>24</v>
      </c>
      <c r="K3159" s="6">
        <f t="shared" ca="1" si="204"/>
        <v>33423</v>
      </c>
      <c r="L3159">
        <v>-12338</v>
      </c>
      <c r="M3159" s="7">
        <f t="shared" ca="1" si="202"/>
        <v>33.779603011635864</v>
      </c>
      <c r="N3159" s="5" t="str">
        <f ca="1">VLOOKUP(Data!M3159,temp!$B$3:$C$9,2,1)</f>
        <v>30-40</v>
      </c>
      <c r="O3159">
        <v>-3283</v>
      </c>
      <c r="P3159" s="8">
        <f t="shared" si="203"/>
        <v>8.988364134154688</v>
      </c>
      <c r="Q3159" s="5" t="str">
        <f t="shared" si="205"/>
        <v>Employed</v>
      </c>
      <c r="R3159">
        <v>1</v>
      </c>
      <c r="S3159">
        <v>0</v>
      </c>
      <c r="T3159">
        <v>0</v>
      </c>
      <c r="U3159">
        <v>0</v>
      </c>
      <c r="V3159" t="s">
        <v>30</v>
      </c>
      <c r="W3159">
        <v>2</v>
      </c>
    </row>
    <row r="3160" spans="1:23" x14ac:dyDescent="0.2">
      <c r="A3160">
        <v>5105116</v>
      </c>
      <c r="B3160" t="s">
        <v>18</v>
      </c>
      <c r="C3160" t="s">
        <v>19</v>
      </c>
      <c r="D3160" t="s">
        <v>20</v>
      </c>
      <c r="E3160">
        <v>1</v>
      </c>
      <c r="F3160">
        <v>135000</v>
      </c>
      <c r="G3160" t="s">
        <v>31</v>
      </c>
      <c r="H3160" t="s">
        <v>27</v>
      </c>
      <c r="I3160" t="s">
        <v>28</v>
      </c>
      <c r="J3160" t="s">
        <v>24</v>
      </c>
      <c r="K3160" s="6">
        <f t="shared" ca="1" si="204"/>
        <v>26886</v>
      </c>
      <c r="L3160">
        <v>-18875</v>
      </c>
      <c r="M3160" s="7">
        <f t="shared" ca="1" si="202"/>
        <v>51.676933607118414</v>
      </c>
      <c r="N3160" s="5" t="str">
        <f ca="1">VLOOKUP(Data!M3160,temp!$B$3:$C$9,2,1)</f>
        <v>50-60</v>
      </c>
      <c r="O3160">
        <v>-2675</v>
      </c>
      <c r="P3160" s="8">
        <f t="shared" si="203"/>
        <v>7.3237508555783712</v>
      </c>
      <c r="Q3160" s="5" t="str">
        <f t="shared" si="205"/>
        <v>Employed</v>
      </c>
      <c r="R3160">
        <v>1</v>
      </c>
      <c r="S3160">
        <v>0</v>
      </c>
      <c r="T3160">
        <v>0</v>
      </c>
      <c r="U3160">
        <v>0</v>
      </c>
      <c r="V3160" t="s">
        <v>55</v>
      </c>
      <c r="W3160">
        <v>3</v>
      </c>
    </row>
    <row r="3161" spans="1:23" x14ac:dyDescent="0.2">
      <c r="A3161">
        <v>5105130</v>
      </c>
      <c r="B3161" t="s">
        <v>25</v>
      </c>
      <c r="C3161" t="s">
        <v>20</v>
      </c>
      <c r="D3161" t="s">
        <v>20</v>
      </c>
      <c r="E3161">
        <v>0</v>
      </c>
      <c r="F3161">
        <v>157500</v>
      </c>
      <c r="G3161" t="s">
        <v>31</v>
      </c>
      <c r="H3161" t="s">
        <v>27</v>
      </c>
      <c r="I3161" t="s">
        <v>28</v>
      </c>
      <c r="J3161" t="s">
        <v>24</v>
      </c>
      <c r="K3161" s="6">
        <f t="shared" ca="1" si="204"/>
        <v>35114</v>
      </c>
      <c r="L3161">
        <v>-10647</v>
      </c>
      <c r="M3161" s="7">
        <f t="shared" ca="1" si="202"/>
        <v>29.149897330595483</v>
      </c>
      <c r="N3161" s="5" t="str">
        <f ca="1">VLOOKUP(Data!M3161,temp!$B$3:$C$9,2,1)</f>
        <v>20-30</v>
      </c>
      <c r="O3161">
        <v>-1610</v>
      </c>
      <c r="P3161" s="8">
        <f t="shared" si="203"/>
        <v>4.4079397672826834</v>
      </c>
      <c r="Q3161" s="5" t="str">
        <f t="shared" si="205"/>
        <v>Employed</v>
      </c>
      <c r="R3161">
        <v>1</v>
      </c>
      <c r="S3161">
        <v>0</v>
      </c>
      <c r="T3161">
        <v>0</v>
      </c>
      <c r="U3161">
        <v>0</v>
      </c>
      <c r="V3161" t="s">
        <v>29</v>
      </c>
      <c r="W3161">
        <v>2</v>
      </c>
    </row>
    <row r="3162" spans="1:23" x14ac:dyDescent="0.2">
      <c r="A3162">
        <v>5105140</v>
      </c>
      <c r="B3162" t="s">
        <v>18</v>
      </c>
      <c r="C3162" t="s">
        <v>19</v>
      </c>
      <c r="D3162" t="s">
        <v>20</v>
      </c>
      <c r="E3162">
        <v>0</v>
      </c>
      <c r="F3162">
        <v>112500</v>
      </c>
      <c r="G3162" t="s">
        <v>31</v>
      </c>
      <c r="H3162" t="s">
        <v>27</v>
      </c>
      <c r="I3162" t="s">
        <v>33</v>
      </c>
      <c r="J3162" t="s">
        <v>24</v>
      </c>
      <c r="K3162" s="6">
        <f t="shared" ca="1" si="204"/>
        <v>35804</v>
      </c>
      <c r="L3162">
        <v>-9957</v>
      </c>
      <c r="M3162" s="7">
        <f t="shared" ca="1" si="202"/>
        <v>27.260780287474333</v>
      </c>
      <c r="N3162" s="5" t="str">
        <f ca="1">VLOOKUP(Data!M3162,temp!$B$3:$C$9,2,1)</f>
        <v>20-30</v>
      </c>
      <c r="O3162">
        <v>-1032</v>
      </c>
      <c r="P3162" s="8">
        <f t="shared" si="203"/>
        <v>2.8254620123203287</v>
      </c>
      <c r="Q3162" s="5" t="str">
        <f t="shared" si="205"/>
        <v>Employed</v>
      </c>
      <c r="R3162">
        <v>1</v>
      </c>
      <c r="S3162">
        <v>0</v>
      </c>
      <c r="T3162">
        <v>0</v>
      </c>
      <c r="U3162">
        <v>0</v>
      </c>
      <c r="V3162" t="s">
        <v>29</v>
      </c>
      <c r="W3162">
        <v>1</v>
      </c>
    </row>
    <row r="3163" spans="1:23" x14ac:dyDescent="0.2">
      <c r="A3163">
        <v>5105193</v>
      </c>
      <c r="B3163" t="s">
        <v>25</v>
      </c>
      <c r="C3163" t="s">
        <v>19</v>
      </c>
      <c r="D3163" t="s">
        <v>20</v>
      </c>
      <c r="E3163">
        <v>0</v>
      </c>
      <c r="F3163">
        <v>315000</v>
      </c>
      <c r="G3163" t="s">
        <v>26</v>
      </c>
      <c r="H3163" t="s">
        <v>22</v>
      </c>
      <c r="I3163" t="s">
        <v>33</v>
      </c>
      <c r="J3163" t="s">
        <v>24</v>
      </c>
      <c r="K3163" s="6">
        <f t="shared" ca="1" si="204"/>
        <v>35262</v>
      </c>
      <c r="L3163">
        <v>-10499</v>
      </c>
      <c r="M3163" s="7">
        <f t="shared" ca="1" si="202"/>
        <v>28.744695414099933</v>
      </c>
      <c r="N3163" s="5" t="str">
        <f ca="1">VLOOKUP(Data!M3163,temp!$B$3:$C$9,2,1)</f>
        <v>20-30</v>
      </c>
      <c r="O3163">
        <v>-545</v>
      </c>
      <c r="P3163" s="8">
        <f t="shared" si="203"/>
        <v>1.4921286789869952</v>
      </c>
      <c r="Q3163" s="5" t="str">
        <f t="shared" si="205"/>
        <v>Employed</v>
      </c>
      <c r="R3163">
        <v>1</v>
      </c>
      <c r="S3163">
        <v>0</v>
      </c>
      <c r="T3163">
        <v>0</v>
      </c>
      <c r="U3163">
        <v>1</v>
      </c>
      <c r="V3163" t="s">
        <v>29</v>
      </c>
      <c r="W3163">
        <v>1</v>
      </c>
    </row>
    <row r="3164" spans="1:23" x14ac:dyDescent="0.2">
      <c r="A3164">
        <v>5105211</v>
      </c>
      <c r="B3164" t="s">
        <v>18</v>
      </c>
      <c r="C3164" t="s">
        <v>19</v>
      </c>
      <c r="D3164" t="s">
        <v>19</v>
      </c>
      <c r="E3164">
        <v>0</v>
      </c>
      <c r="F3164">
        <v>157500</v>
      </c>
      <c r="G3164" t="s">
        <v>26</v>
      </c>
      <c r="H3164" t="s">
        <v>27</v>
      </c>
      <c r="I3164" t="s">
        <v>28</v>
      </c>
      <c r="J3164" t="s">
        <v>24</v>
      </c>
      <c r="K3164" s="6">
        <f t="shared" ca="1" si="204"/>
        <v>29744</v>
      </c>
      <c r="L3164">
        <v>-16017</v>
      </c>
      <c r="M3164" s="7">
        <f t="shared" ca="1" si="202"/>
        <v>43.852156057494867</v>
      </c>
      <c r="N3164" s="5" t="str">
        <f ca="1">VLOOKUP(Data!M3164,temp!$B$3:$C$9,2,1)</f>
        <v>40-50</v>
      </c>
      <c r="O3164">
        <v>-1398</v>
      </c>
      <c r="P3164" s="8">
        <f t="shared" si="203"/>
        <v>3.8275154004106775</v>
      </c>
      <c r="Q3164" s="5" t="str">
        <f t="shared" si="205"/>
        <v>Employed</v>
      </c>
      <c r="R3164">
        <v>1</v>
      </c>
      <c r="S3164">
        <v>0</v>
      </c>
      <c r="T3164">
        <v>0</v>
      </c>
      <c r="U3164">
        <v>0</v>
      </c>
      <c r="V3164" t="s">
        <v>29</v>
      </c>
      <c r="W3164">
        <v>2</v>
      </c>
    </row>
    <row r="3165" spans="1:23" x14ac:dyDescent="0.2">
      <c r="A3165">
        <v>5105226</v>
      </c>
      <c r="B3165" t="s">
        <v>18</v>
      </c>
      <c r="C3165" t="s">
        <v>19</v>
      </c>
      <c r="D3165" t="s">
        <v>20</v>
      </c>
      <c r="E3165">
        <v>0</v>
      </c>
      <c r="F3165">
        <v>135000</v>
      </c>
      <c r="G3165" t="s">
        <v>31</v>
      </c>
      <c r="H3165" t="s">
        <v>27</v>
      </c>
      <c r="I3165" t="s">
        <v>28</v>
      </c>
      <c r="J3165" t="s">
        <v>24</v>
      </c>
      <c r="K3165" s="6">
        <f t="shared" ca="1" si="204"/>
        <v>28396</v>
      </c>
      <c r="L3165">
        <v>-17365</v>
      </c>
      <c r="M3165" s="7">
        <f t="shared" ca="1" si="202"/>
        <v>47.54277891854894</v>
      </c>
      <c r="N3165" s="5" t="str">
        <f ca="1">VLOOKUP(Data!M3165,temp!$B$3:$C$9,2,1)</f>
        <v>40-50</v>
      </c>
      <c r="O3165">
        <v>-2128</v>
      </c>
      <c r="P3165" s="8">
        <f t="shared" si="203"/>
        <v>5.8261464750171115</v>
      </c>
      <c r="Q3165" s="5" t="str">
        <f t="shared" si="205"/>
        <v>Employed</v>
      </c>
      <c r="R3165">
        <v>1</v>
      </c>
      <c r="S3165">
        <v>0</v>
      </c>
      <c r="T3165">
        <v>0</v>
      </c>
      <c r="U3165">
        <v>0</v>
      </c>
      <c r="V3165" t="s">
        <v>29</v>
      </c>
      <c r="W3165">
        <v>2</v>
      </c>
    </row>
    <row r="3166" spans="1:23" x14ac:dyDescent="0.2">
      <c r="A3166">
        <v>5105231</v>
      </c>
      <c r="B3166" t="s">
        <v>18</v>
      </c>
      <c r="C3166" t="s">
        <v>20</v>
      </c>
      <c r="D3166" t="s">
        <v>19</v>
      </c>
      <c r="E3166">
        <v>1</v>
      </c>
      <c r="F3166">
        <v>157500</v>
      </c>
      <c r="G3166" t="s">
        <v>31</v>
      </c>
      <c r="H3166" t="s">
        <v>22</v>
      </c>
      <c r="I3166" t="s">
        <v>28</v>
      </c>
      <c r="J3166" t="s">
        <v>24</v>
      </c>
      <c r="K3166" s="6">
        <f t="shared" ca="1" si="204"/>
        <v>33861</v>
      </c>
      <c r="L3166">
        <v>-11900</v>
      </c>
      <c r="M3166" s="7">
        <f t="shared" ca="1" si="202"/>
        <v>32.580424366872002</v>
      </c>
      <c r="N3166" s="5" t="str">
        <f ca="1">VLOOKUP(Data!M3166,temp!$B$3:$C$9,2,1)</f>
        <v>30-40</v>
      </c>
      <c r="O3166">
        <v>-2828</v>
      </c>
      <c r="P3166" s="8">
        <f t="shared" si="203"/>
        <v>7.7426420260095821</v>
      </c>
      <c r="Q3166" s="5" t="str">
        <f t="shared" si="205"/>
        <v>Employed</v>
      </c>
      <c r="R3166">
        <v>1</v>
      </c>
      <c r="S3166">
        <v>0</v>
      </c>
      <c r="T3166">
        <v>0</v>
      </c>
      <c r="U3166">
        <v>0</v>
      </c>
      <c r="V3166" t="s">
        <v>29</v>
      </c>
      <c r="W3166">
        <v>3</v>
      </c>
    </row>
    <row r="3167" spans="1:23" x14ac:dyDescent="0.2">
      <c r="A3167">
        <v>5105237</v>
      </c>
      <c r="B3167" t="s">
        <v>18</v>
      </c>
      <c r="C3167" t="s">
        <v>19</v>
      </c>
      <c r="D3167" t="s">
        <v>20</v>
      </c>
      <c r="E3167">
        <v>0</v>
      </c>
      <c r="F3167">
        <v>90000</v>
      </c>
      <c r="G3167" t="s">
        <v>31</v>
      </c>
      <c r="H3167" t="s">
        <v>27</v>
      </c>
      <c r="I3167" t="s">
        <v>28</v>
      </c>
      <c r="J3167" t="s">
        <v>24</v>
      </c>
      <c r="K3167" s="6">
        <f t="shared" ca="1" si="204"/>
        <v>33830</v>
      </c>
      <c r="L3167">
        <v>-11931</v>
      </c>
      <c r="M3167" s="7">
        <f t="shared" ca="1" si="202"/>
        <v>32.6652977412731</v>
      </c>
      <c r="N3167" s="5" t="str">
        <f ca="1">VLOOKUP(Data!M3167,temp!$B$3:$C$9,2,1)</f>
        <v>30-40</v>
      </c>
      <c r="O3167">
        <v>-271</v>
      </c>
      <c r="P3167" s="8">
        <f t="shared" si="203"/>
        <v>0.7419575633127995</v>
      </c>
      <c r="Q3167" s="5" t="str">
        <f t="shared" si="205"/>
        <v>Employed</v>
      </c>
      <c r="R3167">
        <v>1</v>
      </c>
      <c r="S3167">
        <v>1</v>
      </c>
      <c r="T3167">
        <v>1</v>
      </c>
      <c r="U3167">
        <v>0</v>
      </c>
      <c r="V3167" t="s">
        <v>39</v>
      </c>
      <c r="W3167">
        <v>2</v>
      </c>
    </row>
    <row r="3168" spans="1:23" x14ac:dyDescent="0.2">
      <c r="A3168">
        <v>5105239</v>
      </c>
      <c r="B3168" t="s">
        <v>25</v>
      </c>
      <c r="C3168" t="s">
        <v>19</v>
      </c>
      <c r="D3168" t="s">
        <v>20</v>
      </c>
      <c r="E3168">
        <v>2</v>
      </c>
      <c r="F3168">
        <v>180000</v>
      </c>
      <c r="G3168" t="s">
        <v>31</v>
      </c>
      <c r="H3168" t="s">
        <v>27</v>
      </c>
      <c r="I3168" t="s">
        <v>28</v>
      </c>
      <c r="J3168" t="s">
        <v>24</v>
      </c>
      <c r="K3168" s="6">
        <f t="shared" ca="1" si="204"/>
        <v>32763</v>
      </c>
      <c r="L3168">
        <v>-12998</v>
      </c>
      <c r="M3168" s="7">
        <f t="shared" ca="1" si="202"/>
        <v>35.586584531143053</v>
      </c>
      <c r="N3168" s="5" t="str">
        <f ca="1">VLOOKUP(Data!M3168,temp!$B$3:$C$9,2,1)</f>
        <v>30-40</v>
      </c>
      <c r="O3168">
        <v>-392</v>
      </c>
      <c r="P3168" s="8">
        <f t="shared" si="203"/>
        <v>1.0732375085557837</v>
      </c>
      <c r="Q3168" s="5" t="str">
        <f t="shared" si="205"/>
        <v>Employed</v>
      </c>
      <c r="R3168">
        <v>1</v>
      </c>
      <c r="S3168">
        <v>1</v>
      </c>
      <c r="T3168">
        <v>0</v>
      </c>
      <c r="U3168">
        <v>0</v>
      </c>
      <c r="V3168" t="s">
        <v>40</v>
      </c>
      <c r="W3168">
        <v>4</v>
      </c>
    </row>
    <row r="3169" spans="1:23" x14ac:dyDescent="0.2">
      <c r="A3169">
        <v>5105306</v>
      </c>
      <c r="B3169" t="s">
        <v>18</v>
      </c>
      <c r="C3169" t="s">
        <v>19</v>
      </c>
      <c r="D3169" t="s">
        <v>20</v>
      </c>
      <c r="E3169">
        <v>1</v>
      </c>
      <c r="F3169">
        <v>90000</v>
      </c>
      <c r="G3169" t="s">
        <v>31</v>
      </c>
      <c r="H3169" t="s">
        <v>27</v>
      </c>
      <c r="I3169" t="s">
        <v>33</v>
      </c>
      <c r="J3169" t="s">
        <v>24</v>
      </c>
      <c r="K3169" s="6">
        <f t="shared" ca="1" si="204"/>
        <v>33724</v>
      </c>
      <c r="L3169">
        <v>-12037</v>
      </c>
      <c r="M3169" s="7">
        <f t="shared" ca="1" si="202"/>
        <v>32.955509924709105</v>
      </c>
      <c r="N3169" s="5" t="str">
        <f ca="1">VLOOKUP(Data!M3169,temp!$B$3:$C$9,2,1)</f>
        <v>30-40</v>
      </c>
      <c r="O3169">
        <v>-2706</v>
      </c>
      <c r="P3169" s="8">
        <f t="shared" si="203"/>
        <v>7.4086242299794662</v>
      </c>
      <c r="Q3169" s="5" t="str">
        <f t="shared" si="205"/>
        <v>Employed</v>
      </c>
      <c r="R3169">
        <v>1</v>
      </c>
      <c r="S3169">
        <v>0</v>
      </c>
      <c r="T3169">
        <v>0</v>
      </c>
      <c r="U3169">
        <v>0</v>
      </c>
      <c r="V3169" t="s">
        <v>29</v>
      </c>
      <c r="W3169">
        <v>2</v>
      </c>
    </row>
    <row r="3170" spans="1:23" x14ac:dyDescent="0.2">
      <c r="A3170">
        <v>5105311</v>
      </c>
      <c r="B3170" t="s">
        <v>18</v>
      </c>
      <c r="C3170" t="s">
        <v>20</v>
      </c>
      <c r="D3170" t="s">
        <v>20</v>
      </c>
      <c r="E3170">
        <v>0</v>
      </c>
      <c r="F3170">
        <v>225000</v>
      </c>
      <c r="G3170" t="s">
        <v>35</v>
      </c>
      <c r="H3170" t="s">
        <v>22</v>
      </c>
      <c r="I3170" t="s">
        <v>28</v>
      </c>
      <c r="J3170" t="s">
        <v>24</v>
      </c>
      <c r="K3170" s="6">
        <f t="shared" ca="1" si="204"/>
        <v>29118</v>
      </c>
      <c r="L3170">
        <v>-16643</v>
      </c>
      <c r="M3170" s="7">
        <f t="shared" ca="1" si="202"/>
        <v>45.566050650239561</v>
      </c>
      <c r="N3170" s="5" t="str">
        <f ca="1">VLOOKUP(Data!M3170,temp!$B$3:$C$9,2,1)</f>
        <v>40-50</v>
      </c>
      <c r="O3170">
        <v>-180</v>
      </c>
      <c r="P3170" s="8">
        <f t="shared" si="203"/>
        <v>0.49281314168377821</v>
      </c>
      <c r="Q3170" s="5" t="str">
        <f t="shared" si="205"/>
        <v>Employed</v>
      </c>
      <c r="R3170">
        <v>1</v>
      </c>
      <c r="S3170">
        <v>0</v>
      </c>
      <c r="T3170">
        <v>0</v>
      </c>
      <c r="U3170">
        <v>0</v>
      </c>
      <c r="V3170" t="s">
        <v>50</v>
      </c>
      <c r="W3170">
        <v>2</v>
      </c>
    </row>
    <row r="3171" spans="1:23" x14ac:dyDescent="0.2">
      <c r="A3171">
        <v>5105334</v>
      </c>
      <c r="B3171" t="s">
        <v>25</v>
      </c>
      <c r="C3171" t="s">
        <v>20</v>
      </c>
      <c r="D3171" t="s">
        <v>19</v>
      </c>
      <c r="E3171">
        <v>0</v>
      </c>
      <c r="F3171">
        <v>225000</v>
      </c>
      <c r="G3171" t="s">
        <v>26</v>
      </c>
      <c r="H3171" t="s">
        <v>27</v>
      </c>
      <c r="I3171" t="s">
        <v>28</v>
      </c>
      <c r="J3171" t="s">
        <v>24</v>
      </c>
      <c r="K3171" s="6">
        <f t="shared" ca="1" si="204"/>
        <v>31415</v>
      </c>
      <c r="L3171">
        <v>-14346</v>
      </c>
      <c r="M3171" s="7">
        <f t="shared" ca="1" si="202"/>
        <v>39.277207392197127</v>
      </c>
      <c r="N3171" s="5" t="str">
        <f ca="1">VLOOKUP(Data!M3171,temp!$B$3:$C$9,2,1)</f>
        <v>30-40</v>
      </c>
      <c r="O3171">
        <v>-302</v>
      </c>
      <c r="P3171" s="8">
        <f t="shared" si="203"/>
        <v>0.8268309377138946</v>
      </c>
      <c r="Q3171" s="5" t="str">
        <f t="shared" si="205"/>
        <v>Employed</v>
      </c>
      <c r="R3171">
        <v>1</v>
      </c>
      <c r="S3171">
        <v>0</v>
      </c>
      <c r="T3171">
        <v>0</v>
      </c>
      <c r="U3171">
        <v>0</v>
      </c>
      <c r="W3171">
        <v>2</v>
      </c>
    </row>
    <row r="3172" spans="1:23" x14ac:dyDescent="0.2">
      <c r="A3172">
        <v>5105341</v>
      </c>
      <c r="B3172" t="s">
        <v>25</v>
      </c>
      <c r="C3172" t="s">
        <v>20</v>
      </c>
      <c r="D3172" t="s">
        <v>19</v>
      </c>
      <c r="E3172">
        <v>0</v>
      </c>
      <c r="F3172">
        <v>225000</v>
      </c>
      <c r="G3172" t="s">
        <v>26</v>
      </c>
      <c r="H3172" t="s">
        <v>27</v>
      </c>
      <c r="I3172" t="s">
        <v>28</v>
      </c>
      <c r="J3172" t="s">
        <v>24</v>
      </c>
      <c r="K3172" s="6">
        <f t="shared" ca="1" si="204"/>
        <v>31415</v>
      </c>
      <c r="L3172">
        <v>-14346</v>
      </c>
      <c r="M3172" s="7">
        <f t="shared" ca="1" si="202"/>
        <v>39.277207392197127</v>
      </c>
      <c r="N3172" s="5" t="str">
        <f ca="1">VLOOKUP(Data!M3172,temp!$B$3:$C$9,2,1)</f>
        <v>30-40</v>
      </c>
      <c r="O3172">
        <v>-302</v>
      </c>
      <c r="P3172" s="8">
        <f t="shared" si="203"/>
        <v>0.8268309377138946</v>
      </c>
      <c r="Q3172" s="5" t="str">
        <f t="shared" si="205"/>
        <v>Employed</v>
      </c>
      <c r="R3172">
        <v>1</v>
      </c>
      <c r="S3172">
        <v>0</v>
      </c>
      <c r="T3172">
        <v>0</v>
      </c>
      <c r="U3172">
        <v>0</v>
      </c>
      <c r="W3172">
        <v>2</v>
      </c>
    </row>
    <row r="3173" spans="1:23" x14ac:dyDescent="0.2">
      <c r="A3173">
        <v>5105342</v>
      </c>
      <c r="B3173" t="s">
        <v>25</v>
      </c>
      <c r="C3173" t="s">
        <v>20</v>
      </c>
      <c r="D3173" t="s">
        <v>20</v>
      </c>
      <c r="E3173">
        <v>0</v>
      </c>
      <c r="F3173">
        <v>112500</v>
      </c>
      <c r="G3173" t="s">
        <v>31</v>
      </c>
      <c r="H3173" t="s">
        <v>27</v>
      </c>
      <c r="I3173" t="s">
        <v>28</v>
      </c>
      <c r="J3173" t="s">
        <v>24</v>
      </c>
      <c r="K3173" s="6">
        <f t="shared" ca="1" si="204"/>
        <v>29476</v>
      </c>
      <c r="L3173">
        <v>-16285</v>
      </c>
      <c r="M3173" s="7">
        <f t="shared" ca="1" si="202"/>
        <v>44.585900068446271</v>
      </c>
      <c r="N3173" s="5" t="str">
        <f ca="1">VLOOKUP(Data!M3173,temp!$B$3:$C$9,2,1)</f>
        <v>40-50</v>
      </c>
      <c r="O3173">
        <v>-1184</v>
      </c>
      <c r="P3173" s="8">
        <f t="shared" si="203"/>
        <v>3.2416153319644079</v>
      </c>
      <c r="Q3173" s="5" t="str">
        <f t="shared" si="205"/>
        <v>Employed</v>
      </c>
      <c r="R3173">
        <v>1</v>
      </c>
      <c r="S3173">
        <v>0</v>
      </c>
      <c r="T3173">
        <v>0</v>
      </c>
      <c r="U3173">
        <v>0</v>
      </c>
      <c r="V3173" t="s">
        <v>29</v>
      </c>
      <c r="W3173">
        <v>2</v>
      </c>
    </row>
    <row r="3174" spans="1:23" x14ac:dyDescent="0.2">
      <c r="A3174">
        <v>5105345</v>
      </c>
      <c r="B3174" t="s">
        <v>25</v>
      </c>
      <c r="C3174" t="s">
        <v>20</v>
      </c>
      <c r="D3174" t="s">
        <v>20</v>
      </c>
      <c r="E3174">
        <v>0</v>
      </c>
      <c r="F3174">
        <v>112500</v>
      </c>
      <c r="G3174" t="s">
        <v>31</v>
      </c>
      <c r="H3174" t="s">
        <v>27</v>
      </c>
      <c r="I3174" t="s">
        <v>28</v>
      </c>
      <c r="J3174" t="s">
        <v>24</v>
      </c>
      <c r="K3174" s="6">
        <f t="shared" ca="1" si="204"/>
        <v>29476</v>
      </c>
      <c r="L3174">
        <v>-16285</v>
      </c>
      <c r="M3174" s="7">
        <f t="shared" ca="1" si="202"/>
        <v>44.585900068446271</v>
      </c>
      <c r="N3174" s="5" t="str">
        <f ca="1">VLOOKUP(Data!M3174,temp!$B$3:$C$9,2,1)</f>
        <v>40-50</v>
      </c>
      <c r="O3174">
        <v>-1184</v>
      </c>
      <c r="P3174" s="8">
        <f t="shared" si="203"/>
        <v>3.2416153319644079</v>
      </c>
      <c r="Q3174" s="5" t="str">
        <f t="shared" si="205"/>
        <v>Employed</v>
      </c>
      <c r="R3174">
        <v>1</v>
      </c>
      <c r="S3174">
        <v>0</v>
      </c>
      <c r="T3174">
        <v>0</v>
      </c>
      <c r="U3174">
        <v>0</v>
      </c>
      <c r="V3174" t="s">
        <v>29</v>
      </c>
      <c r="W3174">
        <v>2</v>
      </c>
    </row>
    <row r="3175" spans="1:23" x14ac:dyDescent="0.2">
      <c r="A3175">
        <v>5105362</v>
      </c>
      <c r="B3175" t="s">
        <v>18</v>
      </c>
      <c r="C3175" t="s">
        <v>19</v>
      </c>
      <c r="D3175" t="s">
        <v>20</v>
      </c>
      <c r="E3175">
        <v>0</v>
      </c>
      <c r="F3175">
        <v>153000</v>
      </c>
      <c r="G3175" t="s">
        <v>31</v>
      </c>
      <c r="H3175" t="s">
        <v>27</v>
      </c>
      <c r="I3175" t="s">
        <v>28</v>
      </c>
      <c r="J3175" t="s">
        <v>24</v>
      </c>
      <c r="K3175" s="6">
        <f t="shared" ca="1" si="204"/>
        <v>26893</v>
      </c>
      <c r="L3175">
        <v>-18868</v>
      </c>
      <c r="M3175" s="7">
        <f t="shared" ca="1" si="202"/>
        <v>51.657768651608485</v>
      </c>
      <c r="N3175" s="5" t="str">
        <f ca="1">VLOOKUP(Data!M3175,temp!$B$3:$C$9,2,1)</f>
        <v>50-60</v>
      </c>
      <c r="O3175">
        <v>-726</v>
      </c>
      <c r="P3175" s="8">
        <f t="shared" si="203"/>
        <v>1.9876796714579055</v>
      </c>
      <c r="Q3175" s="5" t="str">
        <f t="shared" si="205"/>
        <v>Employed</v>
      </c>
      <c r="R3175">
        <v>1</v>
      </c>
      <c r="S3175">
        <v>0</v>
      </c>
      <c r="T3175">
        <v>1</v>
      </c>
      <c r="U3175">
        <v>0</v>
      </c>
      <c r="W3175">
        <v>2</v>
      </c>
    </row>
    <row r="3176" spans="1:23" x14ac:dyDescent="0.2">
      <c r="A3176">
        <v>5105365</v>
      </c>
      <c r="B3176" t="s">
        <v>25</v>
      </c>
      <c r="C3176" t="s">
        <v>19</v>
      </c>
      <c r="D3176" t="s">
        <v>20</v>
      </c>
      <c r="E3176">
        <v>0</v>
      </c>
      <c r="F3176">
        <v>157500</v>
      </c>
      <c r="G3176" t="s">
        <v>26</v>
      </c>
      <c r="H3176" t="s">
        <v>27</v>
      </c>
      <c r="I3176" t="s">
        <v>28</v>
      </c>
      <c r="J3176" t="s">
        <v>24</v>
      </c>
      <c r="K3176" s="6">
        <f t="shared" ca="1" si="204"/>
        <v>26634</v>
      </c>
      <c r="L3176">
        <v>-19127</v>
      </c>
      <c r="M3176" s="7">
        <f t="shared" ca="1" si="202"/>
        <v>52.366872005475699</v>
      </c>
      <c r="N3176" s="5" t="str">
        <f ca="1">VLOOKUP(Data!M3176,temp!$B$3:$C$9,2,1)</f>
        <v>50-60</v>
      </c>
      <c r="O3176">
        <v>-1061</v>
      </c>
      <c r="P3176" s="8">
        <f t="shared" si="203"/>
        <v>2.9048596851471595</v>
      </c>
      <c r="Q3176" s="5" t="str">
        <f t="shared" si="205"/>
        <v>Employed</v>
      </c>
      <c r="R3176">
        <v>1</v>
      </c>
      <c r="S3176">
        <v>1</v>
      </c>
      <c r="T3176">
        <v>1</v>
      </c>
      <c r="U3176">
        <v>0</v>
      </c>
      <c r="V3176" t="s">
        <v>38</v>
      </c>
      <c r="W3176">
        <v>2</v>
      </c>
    </row>
    <row r="3177" spans="1:23" x14ac:dyDescent="0.2">
      <c r="A3177">
        <v>5105366</v>
      </c>
      <c r="B3177" t="s">
        <v>25</v>
      </c>
      <c r="C3177" t="s">
        <v>19</v>
      </c>
      <c r="D3177" t="s">
        <v>20</v>
      </c>
      <c r="E3177">
        <v>0</v>
      </c>
      <c r="F3177">
        <v>360000</v>
      </c>
      <c r="G3177" t="s">
        <v>31</v>
      </c>
      <c r="H3177" t="s">
        <v>27</v>
      </c>
      <c r="I3177" t="s">
        <v>28</v>
      </c>
      <c r="J3177" t="s">
        <v>24</v>
      </c>
      <c r="K3177" s="6">
        <f t="shared" ca="1" si="204"/>
        <v>27618</v>
      </c>
      <c r="L3177">
        <v>-18143</v>
      </c>
      <c r="M3177" s="7">
        <f t="shared" ca="1" si="202"/>
        <v>49.672826830937716</v>
      </c>
      <c r="N3177" s="5" t="str">
        <f ca="1">VLOOKUP(Data!M3177,temp!$B$3:$C$9,2,1)</f>
        <v>40-50</v>
      </c>
      <c r="O3177">
        <v>-10437</v>
      </c>
      <c r="P3177" s="8">
        <f t="shared" si="203"/>
        <v>28.57494866529774</v>
      </c>
      <c r="Q3177" s="5" t="str">
        <f t="shared" si="205"/>
        <v>Employed</v>
      </c>
      <c r="R3177">
        <v>1</v>
      </c>
      <c r="S3177">
        <v>1</v>
      </c>
      <c r="T3177">
        <v>0</v>
      </c>
      <c r="U3177">
        <v>0</v>
      </c>
      <c r="V3177" t="s">
        <v>29</v>
      </c>
      <c r="W3177">
        <v>2</v>
      </c>
    </row>
    <row r="3178" spans="1:23" x14ac:dyDescent="0.2">
      <c r="A3178">
        <v>5105383</v>
      </c>
      <c r="B3178" t="s">
        <v>25</v>
      </c>
      <c r="C3178" t="s">
        <v>19</v>
      </c>
      <c r="D3178" t="s">
        <v>20</v>
      </c>
      <c r="E3178">
        <v>0</v>
      </c>
      <c r="F3178">
        <v>180000</v>
      </c>
      <c r="G3178" t="s">
        <v>21</v>
      </c>
      <c r="H3178" t="s">
        <v>27</v>
      </c>
      <c r="I3178" t="s">
        <v>37</v>
      </c>
      <c r="J3178" t="s">
        <v>24</v>
      </c>
      <c r="K3178" s="6">
        <f t="shared" ca="1" si="204"/>
        <v>22039</v>
      </c>
      <c r="L3178">
        <v>-23722</v>
      </c>
      <c r="M3178" s="7">
        <f t="shared" ca="1" si="202"/>
        <v>64.947296372347708</v>
      </c>
      <c r="N3178" s="5" t="str">
        <f ca="1">VLOOKUP(Data!M3178,temp!$B$3:$C$9,2,1)</f>
        <v>60-70</v>
      </c>
      <c r="O3178">
        <v>365243</v>
      </c>
      <c r="P3178" s="8">
        <f t="shared" si="203"/>
        <v>0</v>
      </c>
      <c r="Q3178" s="5" t="str">
        <f t="shared" si="205"/>
        <v>Unemployed</v>
      </c>
      <c r="R3178">
        <v>1</v>
      </c>
      <c r="S3178">
        <v>0</v>
      </c>
      <c r="T3178">
        <v>0</v>
      </c>
      <c r="U3178">
        <v>0</v>
      </c>
      <c r="W3178">
        <v>2</v>
      </c>
    </row>
    <row r="3179" spans="1:23" x14ac:dyDescent="0.2">
      <c r="A3179">
        <v>5105396</v>
      </c>
      <c r="B3179" t="s">
        <v>18</v>
      </c>
      <c r="C3179" t="s">
        <v>19</v>
      </c>
      <c r="D3179" t="s">
        <v>20</v>
      </c>
      <c r="E3179">
        <v>0</v>
      </c>
      <c r="F3179">
        <v>135000</v>
      </c>
      <c r="G3179" t="s">
        <v>31</v>
      </c>
      <c r="H3179" t="s">
        <v>36</v>
      </c>
      <c r="I3179" t="s">
        <v>33</v>
      </c>
      <c r="J3179" t="s">
        <v>24</v>
      </c>
      <c r="K3179" s="6">
        <f t="shared" ca="1" si="204"/>
        <v>34829</v>
      </c>
      <c r="L3179">
        <v>-10932</v>
      </c>
      <c r="M3179" s="7">
        <f t="shared" ca="1" si="202"/>
        <v>29.930184804928132</v>
      </c>
      <c r="N3179" s="5" t="str">
        <f ca="1">VLOOKUP(Data!M3179,temp!$B$3:$C$9,2,1)</f>
        <v>20-30</v>
      </c>
      <c r="O3179">
        <v>-575</v>
      </c>
      <c r="P3179" s="8">
        <f t="shared" si="203"/>
        <v>1.5742642026009583</v>
      </c>
      <c r="Q3179" s="5" t="str">
        <f t="shared" si="205"/>
        <v>Employed</v>
      </c>
      <c r="R3179">
        <v>1</v>
      </c>
      <c r="S3179">
        <v>0</v>
      </c>
      <c r="T3179">
        <v>0</v>
      </c>
      <c r="U3179">
        <v>0</v>
      </c>
      <c r="V3179" t="s">
        <v>52</v>
      </c>
      <c r="W3179">
        <v>1</v>
      </c>
    </row>
    <row r="3180" spans="1:23" x14ac:dyDescent="0.2">
      <c r="A3180">
        <v>5105397</v>
      </c>
      <c r="B3180" t="s">
        <v>18</v>
      </c>
      <c r="C3180" t="s">
        <v>19</v>
      </c>
      <c r="D3180" t="s">
        <v>20</v>
      </c>
      <c r="E3180">
        <v>0</v>
      </c>
      <c r="F3180">
        <v>112500</v>
      </c>
      <c r="G3180" t="s">
        <v>35</v>
      </c>
      <c r="H3180" t="s">
        <v>22</v>
      </c>
      <c r="I3180" t="s">
        <v>28</v>
      </c>
      <c r="J3180" t="s">
        <v>24</v>
      </c>
      <c r="K3180" s="6">
        <f t="shared" ca="1" si="204"/>
        <v>32726</v>
      </c>
      <c r="L3180">
        <v>-13035</v>
      </c>
      <c r="M3180" s="7">
        <f t="shared" ca="1" si="202"/>
        <v>35.687885010266939</v>
      </c>
      <c r="N3180" s="5" t="str">
        <f ca="1">VLOOKUP(Data!M3180,temp!$B$3:$C$9,2,1)</f>
        <v>30-40</v>
      </c>
      <c r="O3180">
        <v>-361</v>
      </c>
      <c r="P3180" s="8">
        <f t="shared" si="203"/>
        <v>0.9883641341546886</v>
      </c>
      <c r="Q3180" s="5" t="str">
        <f t="shared" si="205"/>
        <v>Employed</v>
      </c>
      <c r="R3180">
        <v>1</v>
      </c>
      <c r="S3180">
        <v>0</v>
      </c>
      <c r="T3180">
        <v>1</v>
      </c>
      <c r="U3180">
        <v>0</v>
      </c>
      <c r="V3180" t="s">
        <v>38</v>
      </c>
      <c r="W3180">
        <v>2</v>
      </c>
    </row>
    <row r="3181" spans="1:23" x14ac:dyDescent="0.2">
      <c r="A3181">
        <v>5105398</v>
      </c>
      <c r="B3181" t="s">
        <v>18</v>
      </c>
      <c r="C3181" t="s">
        <v>19</v>
      </c>
      <c r="D3181" t="s">
        <v>20</v>
      </c>
      <c r="E3181">
        <v>0</v>
      </c>
      <c r="F3181">
        <v>112500</v>
      </c>
      <c r="G3181" t="s">
        <v>35</v>
      </c>
      <c r="H3181" t="s">
        <v>22</v>
      </c>
      <c r="I3181" t="s">
        <v>28</v>
      </c>
      <c r="J3181" t="s">
        <v>24</v>
      </c>
      <c r="K3181" s="6">
        <f t="shared" ca="1" si="204"/>
        <v>32726</v>
      </c>
      <c r="L3181">
        <v>-13035</v>
      </c>
      <c r="M3181" s="7">
        <f t="shared" ca="1" si="202"/>
        <v>35.687885010266939</v>
      </c>
      <c r="N3181" s="5" t="str">
        <f ca="1">VLOOKUP(Data!M3181,temp!$B$3:$C$9,2,1)</f>
        <v>30-40</v>
      </c>
      <c r="O3181">
        <v>-361</v>
      </c>
      <c r="P3181" s="8">
        <f t="shared" si="203"/>
        <v>0.9883641341546886</v>
      </c>
      <c r="Q3181" s="5" t="str">
        <f t="shared" si="205"/>
        <v>Employed</v>
      </c>
      <c r="R3181">
        <v>1</v>
      </c>
      <c r="S3181">
        <v>0</v>
      </c>
      <c r="T3181">
        <v>1</v>
      </c>
      <c r="U3181">
        <v>0</v>
      </c>
      <c r="V3181" t="s">
        <v>38</v>
      </c>
      <c r="W3181">
        <v>2</v>
      </c>
    </row>
    <row r="3182" spans="1:23" x14ac:dyDescent="0.2">
      <c r="A3182">
        <v>5105423</v>
      </c>
      <c r="B3182" t="s">
        <v>18</v>
      </c>
      <c r="C3182" t="s">
        <v>19</v>
      </c>
      <c r="D3182" t="s">
        <v>20</v>
      </c>
      <c r="E3182">
        <v>0</v>
      </c>
      <c r="F3182">
        <v>193500</v>
      </c>
      <c r="G3182" t="s">
        <v>31</v>
      </c>
      <c r="H3182" t="s">
        <v>27</v>
      </c>
      <c r="I3182" t="s">
        <v>33</v>
      </c>
      <c r="J3182" t="s">
        <v>24</v>
      </c>
      <c r="K3182" s="6">
        <f t="shared" ca="1" si="204"/>
        <v>27312</v>
      </c>
      <c r="L3182">
        <v>-18449</v>
      </c>
      <c r="M3182" s="7">
        <f t="shared" ca="1" si="202"/>
        <v>50.510609171800134</v>
      </c>
      <c r="N3182" s="5" t="str">
        <f ca="1">VLOOKUP(Data!M3182,temp!$B$3:$C$9,2,1)</f>
        <v>50-60</v>
      </c>
      <c r="O3182">
        <v>-9683</v>
      </c>
      <c r="P3182" s="8">
        <f t="shared" si="203"/>
        <v>26.510609171800137</v>
      </c>
      <c r="Q3182" s="5" t="str">
        <f t="shared" si="205"/>
        <v>Employed</v>
      </c>
      <c r="R3182">
        <v>1</v>
      </c>
      <c r="S3182">
        <v>0</v>
      </c>
      <c r="T3182">
        <v>0</v>
      </c>
      <c r="U3182">
        <v>0</v>
      </c>
      <c r="W3182">
        <v>1</v>
      </c>
    </row>
    <row r="3183" spans="1:23" x14ac:dyDescent="0.2">
      <c r="A3183">
        <v>5105426</v>
      </c>
      <c r="B3183" t="s">
        <v>18</v>
      </c>
      <c r="C3183" t="s">
        <v>19</v>
      </c>
      <c r="D3183" t="s">
        <v>20</v>
      </c>
      <c r="E3183">
        <v>0</v>
      </c>
      <c r="F3183">
        <v>193500</v>
      </c>
      <c r="G3183" t="s">
        <v>31</v>
      </c>
      <c r="H3183" t="s">
        <v>27</v>
      </c>
      <c r="I3183" t="s">
        <v>33</v>
      </c>
      <c r="J3183" t="s">
        <v>24</v>
      </c>
      <c r="K3183" s="6">
        <f t="shared" ca="1" si="204"/>
        <v>27312</v>
      </c>
      <c r="L3183">
        <v>-18449</v>
      </c>
      <c r="M3183" s="7">
        <f t="shared" ca="1" si="202"/>
        <v>50.510609171800134</v>
      </c>
      <c r="N3183" s="5" t="str">
        <f ca="1">VLOOKUP(Data!M3183,temp!$B$3:$C$9,2,1)</f>
        <v>50-60</v>
      </c>
      <c r="O3183">
        <v>-9683</v>
      </c>
      <c r="P3183" s="8">
        <f t="shared" si="203"/>
        <v>26.510609171800137</v>
      </c>
      <c r="Q3183" s="5" t="str">
        <f t="shared" si="205"/>
        <v>Employed</v>
      </c>
      <c r="R3183">
        <v>1</v>
      </c>
      <c r="S3183">
        <v>0</v>
      </c>
      <c r="T3183">
        <v>0</v>
      </c>
      <c r="U3183">
        <v>0</v>
      </c>
      <c r="W3183">
        <v>1</v>
      </c>
    </row>
    <row r="3184" spans="1:23" x14ac:dyDescent="0.2">
      <c r="A3184">
        <v>5105427</v>
      </c>
      <c r="B3184" t="s">
        <v>18</v>
      </c>
      <c r="C3184" t="s">
        <v>20</v>
      </c>
      <c r="D3184" t="s">
        <v>20</v>
      </c>
      <c r="E3184">
        <v>3</v>
      </c>
      <c r="F3184">
        <v>90000</v>
      </c>
      <c r="G3184" t="s">
        <v>31</v>
      </c>
      <c r="H3184" t="s">
        <v>22</v>
      </c>
      <c r="I3184" t="s">
        <v>28</v>
      </c>
      <c r="J3184" t="s">
        <v>24</v>
      </c>
      <c r="K3184" s="6">
        <f t="shared" ca="1" si="204"/>
        <v>35405</v>
      </c>
      <c r="L3184">
        <v>-10356</v>
      </c>
      <c r="M3184" s="7">
        <f t="shared" ca="1" si="202"/>
        <v>28.353182751540039</v>
      </c>
      <c r="N3184" s="5" t="str">
        <f ca="1">VLOOKUP(Data!M3184,temp!$B$3:$C$9,2,1)</f>
        <v>20-30</v>
      </c>
      <c r="O3184">
        <v>-2317</v>
      </c>
      <c r="P3184" s="8">
        <f t="shared" si="203"/>
        <v>6.3436002737850785</v>
      </c>
      <c r="Q3184" s="5" t="str">
        <f t="shared" si="205"/>
        <v>Employed</v>
      </c>
      <c r="R3184">
        <v>1</v>
      </c>
      <c r="S3184">
        <v>0</v>
      </c>
      <c r="T3184">
        <v>0</v>
      </c>
      <c r="U3184">
        <v>0</v>
      </c>
      <c r="V3184" t="s">
        <v>50</v>
      </c>
      <c r="W3184">
        <v>5</v>
      </c>
    </row>
    <row r="3185" spans="1:23" x14ac:dyDescent="0.2">
      <c r="A3185">
        <v>5105433</v>
      </c>
      <c r="B3185" t="s">
        <v>25</v>
      </c>
      <c r="C3185" t="s">
        <v>19</v>
      </c>
      <c r="D3185" t="s">
        <v>20</v>
      </c>
      <c r="E3185">
        <v>2</v>
      </c>
      <c r="F3185">
        <v>112500</v>
      </c>
      <c r="G3185" t="s">
        <v>31</v>
      </c>
      <c r="H3185" t="s">
        <v>27</v>
      </c>
      <c r="I3185" t="s">
        <v>37</v>
      </c>
      <c r="J3185" t="s">
        <v>24</v>
      </c>
      <c r="K3185" s="6">
        <f t="shared" ca="1" si="204"/>
        <v>31403</v>
      </c>
      <c r="L3185">
        <v>-14358</v>
      </c>
      <c r="M3185" s="7">
        <f t="shared" ca="1" si="202"/>
        <v>39.310061601642708</v>
      </c>
      <c r="N3185" s="5" t="str">
        <f ca="1">VLOOKUP(Data!M3185,temp!$B$3:$C$9,2,1)</f>
        <v>30-40</v>
      </c>
      <c r="O3185">
        <v>-2317</v>
      </c>
      <c r="P3185" s="8">
        <f t="shared" si="203"/>
        <v>6.3436002737850785</v>
      </c>
      <c r="Q3185" s="5" t="str">
        <f t="shared" si="205"/>
        <v>Employed</v>
      </c>
      <c r="R3185">
        <v>1</v>
      </c>
      <c r="S3185">
        <v>0</v>
      </c>
      <c r="T3185">
        <v>0</v>
      </c>
      <c r="U3185">
        <v>0</v>
      </c>
      <c r="W3185">
        <v>4</v>
      </c>
    </row>
    <row r="3186" spans="1:23" x14ac:dyDescent="0.2">
      <c r="A3186">
        <v>5105438</v>
      </c>
      <c r="B3186" t="s">
        <v>25</v>
      </c>
      <c r="C3186" t="s">
        <v>19</v>
      </c>
      <c r="D3186" t="s">
        <v>20</v>
      </c>
      <c r="E3186">
        <v>2</v>
      </c>
      <c r="F3186">
        <v>112500</v>
      </c>
      <c r="G3186" t="s">
        <v>31</v>
      </c>
      <c r="H3186" t="s">
        <v>27</v>
      </c>
      <c r="I3186" t="s">
        <v>37</v>
      </c>
      <c r="J3186" t="s">
        <v>24</v>
      </c>
      <c r="K3186" s="6">
        <f t="shared" ca="1" si="204"/>
        <v>31403</v>
      </c>
      <c r="L3186">
        <v>-14358</v>
      </c>
      <c r="M3186" s="7">
        <f t="shared" ca="1" si="202"/>
        <v>39.310061601642708</v>
      </c>
      <c r="N3186" s="5" t="str">
        <f ca="1">VLOOKUP(Data!M3186,temp!$B$3:$C$9,2,1)</f>
        <v>30-40</v>
      </c>
      <c r="O3186">
        <v>-2317</v>
      </c>
      <c r="P3186" s="8">
        <f t="shared" si="203"/>
        <v>6.3436002737850785</v>
      </c>
      <c r="Q3186" s="5" t="str">
        <f t="shared" si="205"/>
        <v>Employed</v>
      </c>
      <c r="R3186">
        <v>1</v>
      </c>
      <c r="S3186">
        <v>0</v>
      </c>
      <c r="T3186">
        <v>0</v>
      </c>
      <c r="U3186">
        <v>0</v>
      </c>
      <c r="W3186">
        <v>4</v>
      </c>
    </row>
    <row r="3187" spans="1:23" x14ac:dyDescent="0.2">
      <c r="A3187">
        <v>5105449</v>
      </c>
      <c r="B3187" t="s">
        <v>18</v>
      </c>
      <c r="C3187" t="s">
        <v>19</v>
      </c>
      <c r="D3187" t="s">
        <v>20</v>
      </c>
      <c r="E3187">
        <v>0</v>
      </c>
      <c r="F3187">
        <v>112500</v>
      </c>
      <c r="G3187" t="s">
        <v>31</v>
      </c>
      <c r="H3187" t="s">
        <v>27</v>
      </c>
      <c r="I3187" t="s">
        <v>28</v>
      </c>
      <c r="J3187" t="s">
        <v>24</v>
      </c>
      <c r="K3187" s="6">
        <f t="shared" ca="1" si="204"/>
        <v>35867</v>
      </c>
      <c r="L3187">
        <v>-9894</v>
      </c>
      <c r="M3187" s="7">
        <f t="shared" ca="1" si="202"/>
        <v>27.088295687885012</v>
      </c>
      <c r="N3187" s="5" t="str">
        <f ca="1">VLOOKUP(Data!M3187,temp!$B$3:$C$9,2,1)</f>
        <v>20-30</v>
      </c>
      <c r="O3187">
        <v>-2499</v>
      </c>
      <c r="P3187" s="8">
        <f t="shared" si="203"/>
        <v>6.8418891170431211</v>
      </c>
      <c r="Q3187" s="5" t="str">
        <f t="shared" si="205"/>
        <v>Employed</v>
      </c>
      <c r="R3187">
        <v>1</v>
      </c>
      <c r="S3187">
        <v>1</v>
      </c>
      <c r="T3187">
        <v>1</v>
      </c>
      <c r="U3187">
        <v>0</v>
      </c>
      <c r="V3187" t="s">
        <v>39</v>
      </c>
      <c r="W3187">
        <v>2</v>
      </c>
    </row>
    <row r="3188" spans="1:23" x14ac:dyDescent="0.2">
      <c r="A3188">
        <v>5105451</v>
      </c>
      <c r="B3188" t="s">
        <v>18</v>
      </c>
      <c r="C3188" t="s">
        <v>19</v>
      </c>
      <c r="D3188" t="s">
        <v>20</v>
      </c>
      <c r="E3188">
        <v>0</v>
      </c>
      <c r="F3188">
        <v>112500</v>
      </c>
      <c r="G3188" t="s">
        <v>31</v>
      </c>
      <c r="H3188" t="s">
        <v>27</v>
      </c>
      <c r="I3188" t="s">
        <v>28</v>
      </c>
      <c r="J3188" t="s">
        <v>24</v>
      </c>
      <c r="K3188" s="6">
        <f t="shared" ca="1" si="204"/>
        <v>35867</v>
      </c>
      <c r="L3188">
        <v>-9894</v>
      </c>
      <c r="M3188" s="7">
        <f t="shared" ca="1" si="202"/>
        <v>27.088295687885012</v>
      </c>
      <c r="N3188" s="5" t="str">
        <f ca="1">VLOOKUP(Data!M3188,temp!$B$3:$C$9,2,1)</f>
        <v>20-30</v>
      </c>
      <c r="O3188">
        <v>-2499</v>
      </c>
      <c r="P3188" s="8">
        <f t="shared" si="203"/>
        <v>6.8418891170431211</v>
      </c>
      <c r="Q3188" s="5" t="str">
        <f t="shared" si="205"/>
        <v>Employed</v>
      </c>
      <c r="R3188">
        <v>1</v>
      </c>
      <c r="S3188">
        <v>1</v>
      </c>
      <c r="T3188">
        <v>1</v>
      </c>
      <c r="U3188">
        <v>0</v>
      </c>
      <c r="V3188" t="s">
        <v>39</v>
      </c>
      <c r="W3188">
        <v>2</v>
      </c>
    </row>
    <row r="3189" spans="1:23" x14ac:dyDescent="0.2">
      <c r="A3189">
        <v>5105455</v>
      </c>
      <c r="B3189" t="s">
        <v>25</v>
      </c>
      <c r="C3189" t="s">
        <v>19</v>
      </c>
      <c r="D3189" t="s">
        <v>20</v>
      </c>
      <c r="E3189">
        <v>0</v>
      </c>
      <c r="F3189">
        <v>175500</v>
      </c>
      <c r="G3189" t="s">
        <v>26</v>
      </c>
      <c r="H3189" t="s">
        <v>27</v>
      </c>
      <c r="I3189" t="s">
        <v>28</v>
      </c>
      <c r="J3189" t="s">
        <v>24</v>
      </c>
      <c r="K3189" s="6">
        <f t="shared" ca="1" si="204"/>
        <v>28926</v>
      </c>
      <c r="L3189">
        <v>-16835</v>
      </c>
      <c r="M3189" s="7">
        <f t="shared" ca="1" si="202"/>
        <v>46.091718001368925</v>
      </c>
      <c r="N3189" s="5" t="str">
        <f ca="1">VLOOKUP(Data!M3189,temp!$B$3:$C$9,2,1)</f>
        <v>40-50</v>
      </c>
      <c r="O3189">
        <v>-5109</v>
      </c>
      <c r="P3189" s="8">
        <f t="shared" si="203"/>
        <v>13.987679671457906</v>
      </c>
      <c r="Q3189" s="5" t="str">
        <f t="shared" si="205"/>
        <v>Employed</v>
      </c>
      <c r="R3189">
        <v>1</v>
      </c>
      <c r="S3189">
        <v>0</v>
      </c>
      <c r="T3189">
        <v>0</v>
      </c>
      <c r="U3189">
        <v>0</v>
      </c>
      <c r="V3189" t="s">
        <v>29</v>
      </c>
      <c r="W3189">
        <v>2</v>
      </c>
    </row>
    <row r="3190" spans="1:23" x14ac:dyDescent="0.2">
      <c r="A3190">
        <v>5105460</v>
      </c>
      <c r="B3190" t="s">
        <v>25</v>
      </c>
      <c r="C3190" t="s">
        <v>19</v>
      </c>
      <c r="D3190" t="s">
        <v>19</v>
      </c>
      <c r="E3190">
        <v>1</v>
      </c>
      <c r="F3190">
        <v>202500</v>
      </c>
      <c r="G3190" t="s">
        <v>35</v>
      </c>
      <c r="H3190" t="s">
        <v>36</v>
      </c>
      <c r="I3190" t="s">
        <v>28</v>
      </c>
      <c r="J3190" t="s">
        <v>41</v>
      </c>
      <c r="K3190" s="6">
        <f t="shared" ca="1" si="204"/>
        <v>33665</v>
      </c>
      <c r="L3190">
        <v>-12096</v>
      </c>
      <c r="M3190" s="7">
        <f t="shared" ca="1" si="202"/>
        <v>33.117043121149898</v>
      </c>
      <c r="N3190" s="5" t="str">
        <f ca="1">VLOOKUP(Data!M3190,temp!$B$3:$C$9,2,1)</f>
        <v>30-40</v>
      </c>
      <c r="O3190">
        <v>-575</v>
      </c>
      <c r="P3190" s="8">
        <f t="shared" si="203"/>
        <v>1.5742642026009583</v>
      </c>
      <c r="Q3190" s="5" t="str">
        <f t="shared" si="205"/>
        <v>Employed</v>
      </c>
      <c r="R3190">
        <v>1</v>
      </c>
      <c r="S3190">
        <v>0</v>
      </c>
      <c r="T3190">
        <v>0</v>
      </c>
      <c r="U3190">
        <v>0</v>
      </c>
      <c r="V3190" t="s">
        <v>30</v>
      </c>
      <c r="W3190">
        <v>3</v>
      </c>
    </row>
    <row r="3191" spans="1:23" x14ac:dyDescent="0.2">
      <c r="A3191">
        <v>5105461</v>
      </c>
      <c r="B3191" t="s">
        <v>25</v>
      </c>
      <c r="C3191" t="s">
        <v>19</v>
      </c>
      <c r="D3191" t="s">
        <v>19</v>
      </c>
      <c r="E3191">
        <v>1</v>
      </c>
      <c r="F3191">
        <v>202500</v>
      </c>
      <c r="G3191" t="s">
        <v>35</v>
      </c>
      <c r="H3191" t="s">
        <v>36</v>
      </c>
      <c r="I3191" t="s">
        <v>28</v>
      </c>
      <c r="J3191" t="s">
        <v>41</v>
      </c>
      <c r="K3191" s="6">
        <f t="shared" ca="1" si="204"/>
        <v>33665</v>
      </c>
      <c r="L3191">
        <v>-12096</v>
      </c>
      <c r="M3191" s="7">
        <f t="shared" ca="1" si="202"/>
        <v>33.117043121149898</v>
      </c>
      <c r="N3191" s="5" t="str">
        <f ca="1">VLOOKUP(Data!M3191,temp!$B$3:$C$9,2,1)</f>
        <v>30-40</v>
      </c>
      <c r="O3191">
        <v>-575</v>
      </c>
      <c r="P3191" s="8">
        <f t="shared" si="203"/>
        <v>1.5742642026009583</v>
      </c>
      <c r="Q3191" s="5" t="str">
        <f t="shared" si="205"/>
        <v>Employed</v>
      </c>
      <c r="R3191">
        <v>1</v>
      </c>
      <c r="S3191">
        <v>0</v>
      </c>
      <c r="T3191">
        <v>0</v>
      </c>
      <c r="U3191">
        <v>0</v>
      </c>
      <c r="V3191" t="s">
        <v>30</v>
      </c>
      <c r="W3191">
        <v>3</v>
      </c>
    </row>
    <row r="3192" spans="1:23" x14ac:dyDescent="0.2">
      <c r="A3192">
        <v>5105467</v>
      </c>
      <c r="B3192" t="s">
        <v>18</v>
      </c>
      <c r="C3192" t="s">
        <v>19</v>
      </c>
      <c r="D3192" t="s">
        <v>20</v>
      </c>
      <c r="E3192">
        <v>0</v>
      </c>
      <c r="F3192">
        <v>112500</v>
      </c>
      <c r="G3192" t="s">
        <v>21</v>
      </c>
      <c r="H3192" t="s">
        <v>27</v>
      </c>
      <c r="I3192" t="s">
        <v>28</v>
      </c>
      <c r="J3192" t="s">
        <v>24</v>
      </c>
      <c r="K3192" s="6">
        <f t="shared" ca="1" si="204"/>
        <v>24687</v>
      </c>
      <c r="L3192">
        <v>-21074</v>
      </c>
      <c r="M3192" s="7">
        <f t="shared" ca="1" si="202"/>
        <v>57.6974674880219</v>
      </c>
      <c r="N3192" s="5" t="str">
        <f ca="1">VLOOKUP(Data!M3192,temp!$B$3:$C$9,2,1)</f>
        <v>50-60</v>
      </c>
      <c r="O3192">
        <v>365243</v>
      </c>
      <c r="P3192" s="8">
        <f t="shared" si="203"/>
        <v>0</v>
      </c>
      <c r="Q3192" s="5" t="str">
        <f t="shared" si="205"/>
        <v>Unemployed</v>
      </c>
      <c r="R3192">
        <v>1</v>
      </c>
      <c r="S3192">
        <v>0</v>
      </c>
      <c r="T3192">
        <v>0</v>
      </c>
      <c r="U3192">
        <v>0</v>
      </c>
      <c r="W3192">
        <v>2</v>
      </c>
    </row>
    <row r="3193" spans="1:23" x14ac:dyDescent="0.2">
      <c r="A3193">
        <v>5105486</v>
      </c>
      <c r="B3193" t="s">
        <v>25</v>
      </c>
      <c r="C3193" t="s">
        <v>19</v>
      </c>
      <c r="D3193" t="s">
        <v>20</v>
      </c>
      <c r="E3193">
        <v>0</v>
      </c>
      <c r="F3193">
        <v>112500</v>
      </c>
      <c r="G3193" t="s">
        <v>31</v>
      </c>
      <c r="H3193" t="s">
        <v>27</v>
      </c>
      <c r="I3193" t="s">
        <v>33</v>
      </c>
      <c r="J3193" t="s">
        <v>24</v>
      </c>
      <c r="K3193" s="6">
        <f t="shared" ca="1" si="204"/>
        <v>29771</v>
      </c>
      <c r="L3193">
        <v>-15990</v>
      </c>
      <c r="M3193" s="7">
        <f t="shared" ca="1" si="202"/>
        <v>43.7782340862423</v>
      </c>
      <c r="N3193" s="5" t="str">
        <f ca="1">VLOOKUP(Data!M3193,temp!$B$3:$C$9,2,1)</f>
        <v>40-50</v>
      </c>
      <c r="O3193">
        <v>-1100</v>
      </c>
      <c r="P3193" s="8">
        <f t="shared" si="203"/>
        <v>3.0116358658453115</v>
      </c>
      <c r="Q3193" s="5" t="str">
        <f t="shared" si="205"/>
        <v>Employed</v>
      </c>
      <c r="R3193">
        <v>1</v>
      </c>
      <c r="S3193">
        <v>0</v>
      </c>
      <c r="T3193">
        <v>0</v>
      </c>
      <c r="U3193">
        <v>0</v>
      </c>
      <c r="V3193" t="s">
        <v>29</v>
      </c>
      <c r="W3193">
        <v>1</v>
      </c>
    </row>
    <row r="3194" spans="1:23" x14ac:dyDescent="0.2">
      <c r="A3194">
        <v>5105504</v>
      </c>
      <c r="B3194" t="s">
        <v>18</v>
      </c>
      <c r="C3194" t="s">
        <v>19</v>
      </c>
      <c r="D3194" t="s">
        <v>20</v>
      </c>
      <c r="E3194">
        <v>0</v>
      </c>
      <c r="F3194">
        <v>202500</v>
      </c>
      <c r="G3194" t="s">
        <v>31</v>
      </c>
      <c r="H3194" t="s">
        <v>22</v>
      </c>
      <c r="I3194" t="s">
        <v>28</v>
      </c>
      <c r="J3194" t="s">
        <v>24</v>
      </c>
      <c r="K3194" s="6">
        <f t="shared" ca="1" si="204"/>
        <v>35092</v>
      </c>
      <c r="L3194">
        <v>-10669</v>
      </c>
      <c r="M3194" s="7">
        <f t="shared" ca="1" si="202"/>
        <v>29.21013004791239</v>
      </c>
      <c r="N3194" s="5" t="str">
        <f ca="1">VLOOKUP(Data!M3194,temp!$B$3:$C$9,2,1)</f>
        <v>20-30</v>
      </c>
      <c r="O3194">
        <v>-1495</v>
      </c>
      <c r="P3194" s="8">
        <f t="shared" si="203"/>
        <v>4.0930869267624912</v>
      </c>
      <c r="Q3194" s="5" t="str">
        <f t="shared" si="205"/>
        <v>Employed</v>
      </c>
      <c r="R3194">
        <v>1</v>
      </c>
      <c r="S3194">
        <v>0</v>
      </c>
      <c r="T3194">
        <v>0</v>
      </c>
      <c r="U3194">
        <v>0</v>
      </c>
      <c r="W3194">
        <v>2</v>
      </c>
    </row>
    <row r="3195" spans="1:23" x14ac:dyDescent="0.2">
      <c r="A3195">
        <v>5105505</v>
      </c>
      <c r="B3195" t="s">
        <v>25</v>
      </c>
      <c r="C3195" t="s">
        <v>19</v>
      </c>
      <c r="D3195" t="s">
        <v>20</v>
      </c>
      <c r="E3195">
        <v>0</v>
      </c>
      <c r="F3195">
        <v>270000</v>
      </c>
      <c r="G3195" t="s">
        <v>26</v>
      </c>
      <c r="H3195" t="s">
        <v>27</v>
      </c>
      <c r="I3195" t="s">
        <v>28</v>
      </c>
      <c r="J3195" t="s">
        <v>24</v>
      </c>
      <c r="K3195" s="6">
        <f t="shared" ca="1" si="204"/>
        <v>32163</v>
      </c>
      <c r="L3195">
        <v>-13598</v>
      </c>
      <c r="M3195" s="7">
        <f t="shared" ca="1" si="202"/>
        <v>37.229295003422315</v>
      </c>
      <c r="N3195" s="5" t="str">
        <f ca="1">VLOOKUP(Data!M3195,temp!$B$3:$C$9,2,1)</f>
        <v>30-40</v>
      </c>
      <c r="O3195">
        <v>-1398</v>
      </c>
      <c r="P3195" s="8">
        <f t="shared" si="203"/>
        <v>3.8275154004106775</v>
      </c>
      <c r="Q3195" s="5" t="str">
        <f t="shared" si="205"/>
        <v>Employed</v>
      </c>
      <c r="R3195">
        <v>1</v>
      </c>
      <c r="S3195">
        <v>0</v>
      </c>
      <c r="T3195">
        <v>0</v>
      </c>
      <c r="U3195">
        <v>0</v>
      </c>
      <c r="V3195" t="s">
        <v>29</v>
      </c>
      <c r="W3195">
        <v>2</v>
      </c>
    </row>
    <row r="3196" spans="1:23" x14ac:dyDescent="0.2">
      <c r="A3196">
        <v>5105512</v>
      </c>
      <c r="B3196" t="s">
        <v>18</v>
      </c>
      <c r="C3196" t="s">
        <v>19</v>
      </c>
      <c r="D3196" t="s">
        <v>20</v>
      </c>
      <c r="E3196">
        <v>1</v>
      </c>
      <c r="F3196">
        <v>157500</v>
      </c>
      <c r="G3196" t="s">
        <v>31</v>
      </c>
      <c r="H3196" t="s">
        <v>27</v>
      </c>
      <c r="I3196" t="s">
        <v>28</v>
      </c>
      <c r="J3196" t="s">
        <v>24</v>
      </c>
      <c r="K3196" s="6">
        <f t="shared" ca="1" si="204"/>
        <v>32324</v>
      </c>
      <c r="L3196">
        <v>-13437</v>
      </c>
      <c r="M3196" s="7">
        <f t="shared" ca="1" si="202"/>
        <v>36.788501026694043</v>
      </c>
      <c r="N3196" s="5" t="str">
        <f ca="1">VLOOKUP(Data!M3196,temp!$B$3:$C$9,2,1)</f>
        <v>30-40</v>
      </c>
      <c r="O3196">
        <v>-1671</v>
      </c>
      <c r="P3196" s="8">
        <f t="shared" si="203"/>
        <v>4.5749486652977414</v>
      </c>
      <c r="Q3196" s="5" t="str">
        <f t="shared" si="205"/>
        <v>Employed</v>
      </c>
      <c r="R3196">
        <v>1</v>
      </c>
      <c r="S3196">
        <v>0</v>
      </c>
      <c r="T3196">
        <v>0</v>
      </c>
      <c r="U3196">
        <v>0</v>
      </c>
      <c r="W3196">
        <v>3</v>
      </c>
    </row>
    <row r="3197" spans="1:23" x14ac:dyDescent="0.2">
      <c r="A3197">
        <v>5105530</v>
      </c>
      <c r="B3197" t="s">
        <v>25</v>
      </c>
      <c r="C3197" t="s">
        <v>20</v>
      </c>
      <c r="D3197" t="s">
        <v>20</v>
      </c>
      <c r="E3197">
        <v>0</v>
      </c>
      <c r="F3197">
        <v>135000</v>
      </c>
      <c r="G3197" t="s">
        <v>31</v>
      </c>
      <c r="H3197" t="s">
        <v>27</v>
      </c>
      <c r="I3197" t="s">
        <v>28</v>
      </c>
      <c r="J3197" t="s">
        <v>24</v>
      </c>
      <c r="K3197" s="6">
        <f t="shared" ca="1" si="204"/>
        <v>35806</v>
      </c>
      <c r="L3197">
        <v>-9955</v>
      </c>
      <c r="M3197" s="7">
        <f t="shared" ca="1" si="202"/>
        <v>27.255304585900067</v>
      </c>
      <c r="N3197" s="5" t="str">
        <f ca="1">VLOOKUP(Data!M3197,temp!$B$3:$C$9,2,1)</f>
        <v>20-30</v>
      </c>
      <c r="O3197">
        <v>-2036</v>
      </c>
      <c r="P3197" s="8">
        <f t="shared" si="203"/>
        <v>5.5742642026009586</v>
      </c>
      <c r="Q3197" s="5" t="str">
        <f t="shared" si="205"/>
        <v>Employed</v>
      </c>
      <c r="R3197">
        <v>1</v>
      </c>
      <c r="S3197">
        <v>0</v>
      </c>
      <c r="T3197">
        <v>0</v>
      </c>
      <c r="U3197">
        <v>0</v>
      </c>
      <c r="W3197">
        <v>2</v>
      </c>
    </row>
    <row r="3198" spans="1:23" x14ac:dyDescent="0.2">
      <c r="A3198">
        <v>5105546</v>
      </c>
      <c r="B3198" t="s">
        <v>18</v>
      </c>
      <c r="C3198" t="s">
        <v>20</v>
      </c>
      <c r="D3198" t="s">
        <v>20</v>
      </c>
      <c r="E3198">
        <v>1</v>
      </c>
      <c r="F3198">
        <v>112500</v>
      </c>
      <c r="G3198" t="s">
        <v>31</v>
      </c>
      <c r="H3198" t="s">
        <v>27</v>
      </c>
      <c r="I3198" t="s">
        <v>28</v>
      </c>
      <c r="J3198" t="s">
        <v>24</v>
      </c>
      <c r="K3198" s="6">
        <f t="shared" ca="1" si="204"/>
        <v>34264</v>
      </c>
      <c r="L3198">
        <v>-11497</v>
      </c>
      <c r="M3198" s="7">
        <f t="shared" ca="1" si="202"/>
        <v>31.477070499657767</v>
      </c>
      <c r="N3198" s="5" t="str">
        <f ca="1">VLOOKUP(Data!M3198,temp!$B$3:$C$9,2,1)</f>
        <v>30-40</v>
      </c>
      <c r="O3198">
        <v>-1648</v>
      </c>
      <c r="P3198" s="8">
        <f t="shared" si="203"/>
        <v>4.5119780971937029</v>
      </c>
      <c r="Q3198" s="5" t="str">
        <f t="shared" si="205"/>
        <v>Employed</v>
      </c>
      <c r="R3198">
        <v>1</v>
      </c>
      <c r="S3198">
        <v>0</v>
      </c>
      <c r="T3198">
        <v>0</v>
      </c>
      <c r="U3198">
        <v>0</v>
      </c>
      <c r="V3198" t="s">
        <v>39</v>
      </c>
      <c r="W3198">
        <v>3</v>
      </c>
    </row>
    <row r="3199" spans="1:23" x14ac:dyDescent="0.2">
      <c r="A3199">
        <v>5105547</v>
      </c>
      <c r="B3199" t="s">
        <v>18</v>
      </c>
      <c r="C3199" t="s">
        <v>20</v>
      </c>
      <c r="D3199" t="s">
        <v>20</v>
      </c>
      <c r="E3199">
        <v>1</v>
      </c>
      <c r="F3199">
        <v>112500</v>
      </c>
      <c r="G3199" t="s">
        <v>31</v>
      </c>
      <c r="H3199" t="s">
        <v>27</v>
      </c>
      <c r="I3199" t="s">
        <v>28</v>
      </c>
      <c r="J3199" t="s">
        <v>24</v>
      </c>
      <c r="K3199" s="6">
        <f t="shared" ca="1" si="204"/>
        <v>34264</v>
      </c>
      <c r="L3199">
        <v>-11497</v>
      </c>
      <c r="M3199" s="7">
        <f t="shared" ca="1" si="202"/>
        <v>31.477070499657767</v>
      </c>
      <c r="N3199" s="5" t="str">
        <f ca="1">VLOOKUP(Data!M3199,temp!$B$3:$C$9,2,1)</f>
        <v>30-40</v>
      </c>
      <c r="O3199">
        <v>-1648</v>
      </c>
      <c r="P3199" s="8">
        <f t="shared" si="203"/>
        <v>4.5119780971937029</v>
      </c>
      <c r="Q3199" s="5" t="str">
        <f t="shared" si="205"/>
        <v>Employed</v>
      </c>
      <c r="R3199">
        <v>1</v>
      </c>
      <c r="S3199">
        <v>0</v>
      </c>
      <c r="T3199">
        <v>0</v>
      </c>
      <c r="U3199">
        <v>0</v>
      </c>
      <c r="V3199" t="s">
        <v>39</v>
      </c>
      <c r="W3199">
        <v>3</v>
      </c>
    </row>
    <row r="3200" spans="1:23" x14ac:dyDescent="0.2">
      <c r="A3200">
        <v>5105554</v>
      </c>
      <c r="B3200" t="s">
        <v>18</v>
      </c>
      <c r="C3200" t="s">
        <v>19</v>
      </c>
      <c r="D3200" t="s">
        <v>20</v>
      </c>
      <c r="E3200">
        <v>0</v>
      </c>
      <c r="F3200">
        <v>157500</v>
      </c>
      <c r="G3200" t="s">
        <v>31</v>
      </c>
      <c r="H3200" t="s">
        <v>27</v>
      </c>
      <c r="I3200" t="s">
        <v>28</v>
      </c>
      <c r="J3200" t="s">
        <v>24</v>
      </c>
      <c r="K3200" s="6">
        <f t="shared" ca="1" si="204"/>
        <v>25959</v>
      </c>
      <c r="L3200">
        <v>-19802</v>
      </c>
      <c r="M3200" s="7">
        <f t="shared" ca="1" si="202"/>
        <v>54.214921286789867</v>
      </c>
      <c r="N3200" s="5" t="str">
        <f ca="1">VLOOKUP(Data!M3200,temp!$B$3:$C$9,2,1)</f>
        <v>50-60</v>
      </c>
      <c r="O3200">
        <v>-4532</v>
      </c>
      <c r="P3200" s="8">
        <f t="shared" si="203"/>
        <v>12.407939767282683</v>
      </c>
      <c r="Q3200" s="5" t="str">
        <f t="shared" si="205"/>
        <v>Employed</v>
      </c>
      <c r="R3200">
        <v>1</v>
      </c>
      <c r="S3200">
        <v>0</v>
      </c>
      <c r="T3200">
        <v>0</v>
      </c>
      <c r="U3200">
        <v>0</v>
      </c>
      <c r="V3200" t="s">
        <v>29</v>
      </c>
      <c r="W3200">
        <v>2</v>
      </c>
    </row>
    <row r="3201" spans="1:23" x14ac:dyDescent="0.2">
      <c r="A3201">
        <v>5105584</v>
      </c>
      <c r="B3201" t="s">
        <v>18</v>
      </c>
      <c r="C3201" t="s">
        <v>19</v>
      </c>
      <c r="D3201" t="s">
        <v>19</v>
      </c>
      <c r="E3201">
        <v>0</v>
      </c>
      <c r="F3201">
        <v>171000</v>
      </c>
      <c r="G3201" t="s">
        <v>26</v>
      </c>
      <c r="H3201" t="s">
        <v>27</v>
      </c>
      <c r="I3201" t="s">
        <v>28</v>
      </c>
      <c r="J3201" t="s">
        <v>24</v>
      </c>
      <c r="K3201" s="6">
        <f t="shared" ca="1" si="204"/>
        <v>35698</v>
      </c>
      <c r="L3201">
        <v>-10063</v>
      </c>
      <c r="M3201" s="7">
        <f t="shared" ca="1" si="202"/>
        <v>27.550992470910334</v>
      </c>
      <c r="N3201" s="5" t="str">
        <f ca="1">VLOOKUP(Data!M3201,temp!$B$3:$C$9,2,1)</f>
        <v>20-30</v>
      </c>
      <c r="O3201">
        <v>-917</v>
      </c>
      <c r="P3201" s="8">
        <f t="shared" si="203"/>
        <v>2.5106091718001369</v>
      </c>
      <c r="Q3201" s="5" t="str">
        <f t="shared" si="205"/>
        <v>Employed</v>
      </c>
      <c r="R3201">
        <v>1</v>
      </c>
      <c r="S3201">
        <v>0</v>
      </c>
      <c r="T3201">
        <v>0</v>
      </c>
      <c r="U3201">
        <v>0</v>
      </c>
      <c r="V3201" t="s">
        <v>49</v>
      </c>
      <c r="W3201">
        <v>2</v>
      </c>
    </row>
    <row r="3202" spans="1:23" x14ac:dyDescent="0.2">
      <c r="A3202">
        <v>5105593</v>
      </c>
      <c r="B3202" t="s">
        <v>18</v>
      </c>
      <c r="C3202" t="s">
        <v>20</v>
      </c>
      <c r="D3202" t="s">
        <v>20</v>
      </c>
      <c r="E3202">
        <v>1</v>
      </c>
      <c r="F3202">
        <v>135000</v>
      </c>
      <c r="G3202" t="s">
        <v>26</v>
      </c>
      <c r="H3202" t="s">
        <v>27</v>
      </c>
      <c r="I3202" t="s">
        <v>28</v>
      </c>
      <c r="J3202" t="s">
        <v>24</v>
      </c>
      <c r="K3202" s="6">
        <f t="shared" ca="1" si="204"/>
        <v>34602</v>
      </c>
      <c r="L3202">
        <v>-11159</v>
      </c>
      <c r="M3202" s="7">
        <f t="shared" ca="1" si="202"/>
        <v>30.551676933607119</v>
      </c>
      <c r="N3202" s="5" t="str">
        <f ca="1">VLOOKUP(Data!M3202,temp!$B$3:$C$9,2,1)</f>
        <v>30-40</v>
      </c>
      <c r="O3202">
        <v>-856</v>
      </c>
      <c r="P3202" s="8">
        <f t="shared" si="203"/>
        <v>2.3436002737850785</v>
      </c>
      <c r="Q3202" s="5" t="str">
        <f t="shared" si="205"/>
        <v>Employed</v>
      </c>
      <c r="R3202">
        <v>1</v>
      </c>
      <c r="S3202">
        <v>0</v>
      </c>
      <c r="T3202">
        <v>0</v>
      </c>
      <c r="U3202">
        <v>0</v>
      </c>
      <c r="V3202" t="s">
        <v>39</v>
      </c>
      <c r="W3202">
        <v>3</v>
      </c>
    </row>
    <row r="3203" spans="1:23" x14ac:dyDescent="0.2">
      <c r="A3203">
        <v>5105607</v>
      </c>
      <c r="B3203" t="s">
        <v>18</v>
      </c>
      <c r="C3203" t="s">
        <v>19</v>
      </c>
      <c r="D3203" t="s">
        <v>20</v>
      </c>
      <c r="E3203">
        <v>5</v>
      </c>
      <c r="F3203">
        <v>157500</v>
      </c>
      <c r="G3203" t="s">
        <v>31</v>
      </c>
      <c r="H3203" t="s">
        <v>27</v>
      </c>
      <c r="I3203" t="s">
        <v>28</v>
      </c>
      <c r="J3203" t="s">
        <v>24</v>
      </c>
      <c r="K3203" s="6">
        <f t="shared" ca="1" si="204"/>
        <v>32722</v>
      </c>
      <c r="L3203">
        <v>-13039</v>
      </c>
      <c r="M3203" s="7">
        <f t="shared" ref="M3203:M3266" ca="1" si="206">(TODAY()-K3203)/365.25</f>
        <v>35.698836413415471</v>
      </c>
      <c r="N3203" s="5" t="str">
        <f ca="1">VLOOKUP(Data!M3203,temp!$B$3:$C$9,2,1)</f>
        <v>30-40</v>
      </c>
      <c r="O3203">
        <v>-3375</v>
      </c>
      <c r="P3203" s="8">
        <f t="shared" ref="P3203:P3266" si="207">IF(O3203&lt;=0,ABS(O3203)/365.25,0)</f>
        <v>9.2402464065708418</v>
      </c>
      <c r="Q3203" s="5" t="str">
        <f t="shared" si="205"/>
        <v>Employed</v>
      </c>
      <c r="R3203">
        <v>1</v>
      </c>
      <c r="S3203">
        <v>0</v>
      </c>
      <c r="T3203">
        <v>0</v>
      </c>
      <c r="U3203">
        <v>0</v>
      </c>
      <c r="V3203" t="s">
        <v>29</v>
      </c>
      <c r="W3203">
        <v>7</v>
      </c>
    </row>
    <row r="3204" spans="1:23" x14ac:dyDescent="0.2">
      <c r="A3204">
        <v>5105639</v>
      </c>
      <c r="B3204" t="s">
        <v>18</v>
      </c>
      <c r="C3204" t="s">
        <v>19</v>
      </c>
      <c r="D3204" t="s">
        <v>20</v>
      </c>
      <c r="E3204">
        <v>0</v>
      </c>
      <c r="F3204">
        <v>135000</v>
      </c>
      <c r="G3204" t="s">
        <v>21</v>
      </c>
      <c r="H3204" t="s">
        <v>27</v>
      </c>
      <c r="I3204" t="s">
        <v>37</v>
      </c>
      <c r="J3204" t="s">
        <v>24</v>
      </c>
      <c r="K3204" s="6">
        <f t="shared" ca="1" si="204"/>
        <v>24854</v>
      </c>
      <c r="L3204">
        <v>-20907</v>
      </c>
      <c r="M3204" s="7">
        <f t="shared" ca="1" si="206"/>
        <v>57.24024640657084</v>
      </c>
      <c r="N3204" s="5" t="str">
        <f ca="1">VLOOKUP(Data!M3204,temp!$B$3:$C$9,2,1)</f>
        <v>50-60</v>
      </c>
      <c r="O3204">
        <v>365243</v>
      </c>
      <c r="P3204" s="8">
        <f t="shared" si="207"/>
        <v>0</v>
      </c>
      <c r="Q3204" s="5" t="str">
        <f t="shared" si="205"/>
        <v>Unemployed</v>
      </c>
      <c r="R3204">
        <v>1</v>
      </c>
      <c r="S3204">
        <v>0</v>
      </c>
      <c r="T3204">
        <v>0</v>
      </c>
      <c r="U3204">
        <v>0</v>
      </c>
      <c r="W3204">
        <v>2</v>
      </c>
    </row>
    <row r="3205" spans="1:23" x14ac:dyDescent="0.2">
      <c r="A3205">
        <v>5105659</v>
      </c>
      <c r="B3205" t="s">
        <v>18</v>
      </c>
      <c r="C3205" t="s">
        <v>20</v>
      </c>
      <c r="D3205" t="s">
        <v>20</v>
      </c>
      <c r="E3205">
        <v>2</v>
      </c>
      <c r="F3205">
        <v>540000</v>
      </c>
      <c r="G3205" t="s">
        <v>31</v>
      </c>
      <c r="H3205" t="s">
        <v>22</v>
      </c>
      <c r="I3205" t="s">
        <v>33</v>
      </c>
      <c r="J3205" t="s">
        <v>24</v>
      </c>
      <c r="K3205" s="6">
        <f t="shared" ca="1" si="204"/>
        <v>31601</v>
      </c>
      <c r="L3205">
        <v>-14160</v>
      </c>
      <c r="M3205" s="7">
        <f t="shared" ca="1" si="206"/>
        <v>38.767967145790557</v>
      </c>
      <c r="N3205" s="5" t="str">
        <f ca="1">VLOOKUP(Data!M3205,temp!$B$3:$C$9,2,1)</f>
        <v>30-40</v>
      </c>
      <c r="O3205">
        <v>-422</v>
      </c>
      <c r="P3205" s="8">
        <f t="shared" si="207"/>
        <v>1.1553730321697468</v>
      </c>
      <c r="Q3205" s="5" t="str">
        <f t="shared" si="205"/>
        <v>Employed</v>
      </c>
      <c r="R3205">
        <v>1</v>
      </c>
      <c r="S3205">
        <v>0</v>
      </c>
      <c r="T3205">
        <v>1</v>
      </c>
      <c r="U3205">
        <v>1</v>
      </c>
      <c r="W3205">
        <v>3</v>
      </c>
    </row>
    <row r="3206" spans="1:23" x14ac:dyDescent="0.2">
      <c r="A3206">
        <v>5105667</v>
      </c>
      <c r="B3206" t="s">
        <v>18</v>
      </c>
      <c r="C3206" t="s">
        <v>20</v>
      </c>
      <c r="D3206" t="s">
        <v>20</v>
      </c>
      <c r="E3206">
        <v>2</v>
      </c>
      <c r="F3206">
        <v>540000</v>
      </c>
      <c r="G3206" t="s">
        <v>31</v>
      </c>
      <c r="H3206" t="s">
        <v>22</v>
      </c>
      <c r="I3206" t="s">
        <v>33</v>
      </c>
      <c r="J3206" t="s">
        <v>24</v>
      </c>
      <c r="K3206" s="6">
        <f t="shared" ca="1" si="204"/>
        <v>31601</v>
      </c>
      <c r="L3206">
        <v>-14160</v>
      </c>
      <c r="M3206" s="7">
        <f t="shared" ca="1" si="206"/>
        <v>38.767967145790557</v>
      </c>
      <c r="N3206" s="5" t="str">
        <f ca="1">VLOOKUP(Data!M3206,temp!$B$3:$C$9,2,1)</f>
        <v>30-40</v>
      </c>
      <c r="O3206">
        <v>-422</v>
      </c>
      <c r="P3206" s="8">
        <f t="shared" si="207"/>
        <v>1.1553730321697468</v>
      </c>
      <c r="Q3206" s="5" t="str">
        <f t="shared" si="205"/>
        <v>Employed</v>
      </c>
      <c r="R3206">
        <v>1</v>
      </c>
      <c r="S3206">
        <v>0</v>
      </c>
      <c r="T3206">
        <v>1</v>
      </c>
      <c r="U3206">
        <v>1</v>
      </c>
      <c r="W3206">
        <v>3</v>
      </c>
    </row>
    <row r="3207" spans="1:23" x14ac:dyDescent="0.2">
      <c r="A3207">
        <v>5105668</v>
      </c>
      <c r="B3207" t="s">
        <v>25</v>
      </c>
      <c r="C3207" t="s">
        <v>20</v>
      </c>
      <c r="D3207" t="s">
        <v>19</v>
      </c>
      <c r="E3207">
        <v>0</v>
      </c>
      <c r="F3207">
        <v>225000</v>
      </c>
      <c r="G3207" t="s">
        <v>26</v>
      </c>
      <c r="H3207" t="s">
        <v>27</v>
      </c>
      <c r="I3207" t="s">
        <v>28</v>
      </c>
      <c r="J3207" t="s">
        <v>24</v>
      </c>
      <c r="K3207" s="6">
        <f t="shared" ca="1" si="204"/>
        <v>32113</v>
      </c>
      <c r="L3207">
        <v>-13648</v>
      </c>
      <c r="M3207" s="7">
        <f t="shared" ca="1" si="206"/>
        <v>37.366187542778917</v>
      </c>
      <c r="N3207" s="5" t="str">
        <f ca="1">VLOOKUP(Data!M3207,temp!$B$3:$C$9,2,1)</f>
        <v>30-40</v>
      </c>
      <c r="O3207">
        <v>-4167</v>
      </c>
      <c r="P3207" s="8">
        <f t="shared" si="207"/>
        <v>11.408624229979466</v>
      </c>
      <c r="Q3207" s="5" t="str">
        <f t="shared" si="205"/>
        <v>Employed</v>
      </c>
      <c r="R3207">
        <v>1</v>
      </c>
      <c r="S3207">
        <v>0</v>
      </c>
      <c r="T3207">
        <v>0</v>
      </c>
      <c r="U3207">
        <v>0</v>
      </c>
      <c r="V3207" t="s">
        <v>30</v>
      </c>
      <c r="W3207">
        <v>2</v>
      </c>
    </row>
    <row r="3208" spans="1:23" x14ac:dyDescent="0.2">
      <c r="A3208">
        <v>5105682</v>
      </c>
      <c r="B3208" t="s">
        <v>25</v>
      </c>
      <c r="C3208" t="s">
        <v>19</v>
      </c>
      <c r="D3208" t="s">
        <v>20</v>
      </c>
      <c r="E3208">
        <v>0</v>
      </c>
      <c r="F3208">
        <v>67500</v>
      </c>
      <c r="G3208" t="s">
        <v>21</v>
      </c>
      <c r="H3208" t="s">
        <v>27</v>
      </c>
      <c r="I3208" t="s">
        <v>28</v>
      </c>
      <c r="J3208" t="s">
        <v>24</v>
      </c>
      <c r="K3208" s="6">
        <f t="shared" ref="K3208:K3271" ca="1" si="208">TODAY()+($L3208)</f>
        <v>21721</v>
      </c>
      <c r="L3208">
        <v>-24040</v>
      </c>
      <c r="M3208" s="7">
        <f t="shared" ca="1" si="206"/>
        <v>65.817932922655714</v>
      </c>
      <c r="N3208" s="5" t="str">
        <f ca="1">VLOOKUP(Data!M3208,temp!$B$3:$C$9,2,1)</f>
        <v>60-70</v>
      </c>
      <c r="O3208">
        <v>365243</v>
      </c>
      <c r="P3208" s="8">
        <f t="shared" si="207"/>
        <v>0</v>
      </c>
      <c r="Q3208" s="5" t="str">
        <f t="shared" ref="Q3208:Q3271" si="209">IF($O3208&gt;0,"Unemployed","Employed")</f>
        <v>Unemployed</v>
      </c>
      <c r="R3208">
        <v>1</v>
      </c>
      <c r="S3208">
        <v>0</v>
      </c>
      <c r="T3208">
        <v>0</v>
      </c>
      <c r="U3208">
        <v>0</v>
      </c>
      <c r="W3208">
        <v>2</v>
      </c>
    </row>
    <row r="3209" spans="1:23" x14ac:dyDescent="0.2">
      <c r="A3209">
        <v>5105689</v>
      </c>
      <c r="B3209" t="s">
        <v>25</v>
      </c>
      <c r="C3209" t="s">
        <v>19</v>
      </c>
      <c r="D3209" t="s">
        <v>20</v>
      </c>
      <c r="E3209">
        <v>0</v>
      </c>
      <c r="F3209">
        <v>90000</v>
      </c>
      <c r="G3209" t="s">
        <v>21</v>
      </c>
      <c r="H3209" t="s">
        <v>27</v>
      </c>
      <c r="I3209" t="s">
        <v>37</v>
      </c>
      <c r="J3209" t="s">
        <v>24</v>
      </c>
      <c r="K3209" s="6">
        <f t="shared" ca="1" si="208"/>
        <v>25098</v>
      </c>
      <c r="L3209">
        <v>-20663</v>
      </c>
      <c r="M3209" s="7">
        <f t="shared" ca="1" si="206"/>
        <v>56.572210814510612</v>
      </c>
      <c r="N3209" s="5" t="str">
        <f ca="1">VLOOKUP(Data!M3209,temp!$B$3:$C$9,2,1)</f>
        <v>50-60</v>
      </c>
      <c r="O3209">
        <v>365243</v>
      </c>
      <c r="P3209" s="8">
        <f t="shared" si="207"/>
        <v>0</v>
      </c>
      <c r="Q3209" s="5" t="str">
        <f t="shared" si="209"/>
        <v>Unemployed</v>
      </c>
      <c r="R3209">
        <v>1</v>
      </c>
      <c r="S3209">
        <v>0</v>
      </c>
      <c r="T3209">
        <v>0</v>
      </c>
      <c r="U3209">
        <v>0</v>
      </c>
      <c r="W3209">
        <v>2</v>
      </c>
    </row>
    <row r="3210" spans="1:23" x14ac:dyDescent="0.2">
      <c r="A3210">
        <v>5105699</v>
      </c>
      <c r="B3210" t="s">
        <v>18</v>
      </c>
      <c r="C3210" t="s">
        <v>20</v>
      </c>
      <c r="D3210" t="s">
        <v>19</v>
      </c>
      <c r="E3210">
        <v>0</v>
      </c>
      <c r="F3210">
        <v>225000</v>
      </c>
      <c r="G3210" t="s">
        <v>31</v>
      </c>
      <c r="H3210" t="s">
        <v>27</v>
      </c>
      <c r="I3210" t="s">
        <v>28</v>
      </c>
      <c r="J3210" t="s">
        <v>45</v>
      </c>
      <c r="K3210" s="6">
        <f t="shared" ca="1" si="208"/>
        <v>33606</v>
      </c>
      <c r="L3210">
        <v>-12155</v>
      </c>
      <c r="M3210" s="7">
        <f t="shared" ca="1" si="206"/>
        <v>33.278576317590691</v>
      </c>
      <c r="N3210" s="5" t="str">
        <f ca="1">VLOOKUP(Data!M3210,temp!$B$3:$C$9,2,1)</f>
        <v>30-40</v>
      </c>
      <c r="O3210">
        <v>-667</v>
      </c>
      <c r="P3210" s="8">
        <f t="shared" si="207"/>
        <v>1.8261464750171115</v>
      </c>
      <c r="Q3210" s="5" t="str">
        <f t="shared" si="209"/>
        <v>Employed</v>
      </c>
      <c r="R3210">
        <v>1</v>
      </c>
      <c r="S3210">
        <v>0</v>
      </c>
      <c r="T3210">
        <v>0</v>
      </c>
      <c r="U3210">
        <v>0</v>
      </c>
      <c r="V3210" t="s">
        <v>29</v>
      </c>
      <c r="W3210">
        <v>2</v>
      </c>
    </row>
    <row r="3211" spans="1:23" x14ac:dyDescent="0.2">
      <c r="A3211">
        <v>5105725</v>
      </c>
      <c r="B3211" t="s">
        <v>25</v>
      </c>
      <c r="C3211" t="s">
        <v>19</v>
      </c>
      <c r="D3211" t="s">
        <v>20</v>
      </c>
      <c r="E3211">
        <v>2</v>
      </c>
      <c r="F3211">
        <v>270000</v>
      </c>
      <c r="G3211" t="s">
        <v>31</v>
      </c>
      <c r="H3211" t="s">
        <v>27</v>
      </c>
      <c r="I3211" t="s">
        <v>28</v>
      </c>
      <c r="J3211" t="s">
        <v>24</v>
      </c>
      <c r="K3211" s="6">
        <f t="shared" ca="1" si="208"/>
        <v>31984</v>
      </c>
      <c r="L3211">
        <v>-13777</v>
      </c>
      <c r="M3211" s="7">
        <f t="shared" ca="1" si="206"/>
        <v>37.719370294318956</v>
      </c>
      <c r="N3211" s="5" t="str">
        <f ca="1">VLOOKUP(Data!M3211,temp!$B$3:$C$9,2,1)</f>
        <v>30-40</v>
      </c>
      <c r="O3211">
        <v>-460</v>
      </c>
      <c r="P3211" s="8">
        <f t="shared" si="207"/>
        <v>1.2594113620807665</v>
      </c>
      <c r="Q3211" s="5" t="str">
        <f t="shared" si="209"/>
        <v>Employed</v>
      </c>
      <c r="R3211">
        <v>1</v>
      </c>
      <c r="S3211">
        <v>1</v>
      </c>
      <c r="T3211">
        <v>0</v>
      </c>
      <c r="U3211">
        <v>0</v>
      </c>
      <c r="V3211" t="s">
        <v>29</v>
      </c>
      <c r="W3211">
        <v>4</v>
      </c>
    </row>
    <row r="3212" spans="1:23" x14ac:dyDescent="0.2">
      <c r="A3212">
        <v>5105739</v>
      </c>
      <c r="B3212" t="s">
        <v>18</v>
      </c>
      <c r="C3212" t="s">
        <v>19</v>
      </c>
      <c r="D3212" t="s">
        <v>20</v>
      </c>
      <c r="E3212">
        <v>3</v>
      </c>
      <c r="F3212">
        <v>292500</v>
      </c>
      <c r="G3212" t="s">
        <v>21</v>
      </c>
      <c r="H3212" t="s">
        <v>27</v>
      </c>
      <c r="I3212" t="s">
        <v>28</v>
      </c>
      <c r="J3212" t="s">
        <v>24</v>
      </c>
      <c r="K3212" s="6">
        <f t="shared" ca="1" si="208"/>
        <v>33393</v>
      </c>
      <c r="L3212">
        <v>-12368</v>
      </c>
      <c r="M3212" s="7">
        <f t="shared" ca="1" si="206"/>
        <v>33.861738535249827</v>
      </c>
      <c r="N3212" s="5" t="str">
        <f ca="1">VLOOKUP(Data!M3212,temp!$B$3:$C$9,2,1)</f>
        <v>30-40</v>
      </c>
      <c r="O3212">
        <v>-672</v>
      </c>
      <c r="P3212" s="8">
        <f t="shared" si="207"/>
        <v>1.839835728952772</v>
      </c>
      <c r="Q3212" s="5" t="str">
        <f t="shared" si="209"/>
        <v>Employed</v>
      </c>
      <c r="R3212">
        <v>1</v>
      </c>
      <c r="S3212">
        <v>0</v>
      </c>
      <c r="T3212">
        <v>0</v>
      </c>
      <c r="U3212">
        <v>0</v>
      </c>
      <c r="V3212" t="s">
        <v>38</v>
      </c>
      <c r="W3212">
        <v>5</v>
      </c>
    </row>
    <row r="3213" spans="1:23" x14ac:dyDescent="0.2">
      <c r="A3213">
        <v>5105744</v>
      </c>
      <c r="B3213" t="s">
        <v>25</v>
      </c>
      <c r="C3213" t="s">
        <v>20</v>
      </c>
      <c r="D3213" t="s">
        <v>19</v>
      </c>
      <c r="E3213">
        <v>2</v>
      </c>
      <c r="F3213">
        <v>112500</v>
      </c>
      <c r="G3213" t="s">
        <v>31</v>
      </c>
      <c r="H3213" t="s">
        <v>22</v>
      </c>
      <c r="I3213" t="s">
        <v>28</v>
      </c>
      <c r="J3213" t="s">
        <v>24</v>
      </c>
      <c r="K3213" s="6">
        <f t="shared" ca="1" si="208"/>
        <v>29717</v>
      </c>
      <c r="L3213">
        <v>-16044</v>
      </c>
      <c r="M3213" s="7">
        <f t="shared" ca="1" si="206"/>
        <v>43.926078028747433</v>
      </c>
      <c r="N3213" s="5" t="str">
        <f ca="1">VLOOKUP(Data!M3213,temp!$B$3:$C$9,2,1)</f>
        <v>40-50</v>
      </c>
      <c r="O3213">
        <v>-6693</v>
      </c>
      <c r="P3213" s="8">
        <f t="shared" si="207"/>
        <v>18.324435318275153</v>
      </c>
      <c r="Q3213" s="5" t="str">
        <f t="shared" si="209"/>
        <v>Employed</v>
      </c>
      <c r="R3213">
        <v>1</v>
      </c>
      <c r="S3213">
        <v>1</v>
      </c>
      <c r="T3213">
        <v>1</v>
      </c>
      <c r="U3213">
        <v>0</v>
      </c>
      <c r="V3213" t="s">
        <v>47</v>
      </c>
      <c r="W3213">
        <v>4</v>
      </c>
    </row>
    <row r="3214" spans="1:23" x14ac:dyDescent="0.2">
      <c r="A3214">
        <v>5105749</v>
      </c>
      <c r="B3214" t="s">
        <v>25</v>
      </c>
      <c r="C3214" t="s">
        <v>20</v>
      </c>
      <c r="D3214" t="s">
        <v>19</v>
      </c>
      <c r="E3214">
        <v>2</v>
      </c>
      <c r="F3214">
        <v>112500</v>
      </c>
      <c r="G3214" t="s">
        <v>31</v>
      </c>
      <c r="H3214" t="s">
        <v>22</v>
      </c>
      <c r="I3214" t="s">
        <v>28</v>
      </c>
      <c r="J3214" t="s">
        <v>24</v>
      </c>
      <c r="K3214" s="6">
        <f t="shared" ca="1" si="208"/>
        <v>29717</v>
      </c>
      <c r="L3214">
        <v>-16044</v>
      </c>
      <c r="M3214" s="7">
        <f t="shared" ca="1" si="206"/>
        <v>43.926078028747433</v>
      </c>
      <c r="N3214" s="5" t="str">
        <f ca="1">VLOOKUP(Data!M3214,temp!$B$3:$C$9,2,1)</f>
        <v>40-50</v>
      </c>
      <c r="O3214">
        <v>-6693</v>
      </c>
      <c r="P3214" s="8">
        <f t="shared" si="207"/>
        <v>18.324435318275153</v>
      </c>
      <c r="Q3214" s="5" t="str">
        <f t="shared" si="209"/>
        <v>Employed</v>
      </c>
      <c r="R3214">
        <v>1</v>
      </c>
      <c r="S3214">
        <v>1</v>
      </c>
      <c r="T3214">
        <v>1</v>
      </c>
      <c r="U3214">
        <v>0</v>
      </c>
      <c r="V3214" t="s">
        <v>47</v>
      </c>
      <c r="W3214">
        <v>4</v>
      </c>
    </row>
    <row r="3215" spans="1:23" x14ac:dyDescent="0.2">
      <c r="A3215">
        <v>5105779</v>
      </c>
      <c r="B3215" t="s">
        <v>18</v>
      </c>
      <c r="C3215" t="s">
        <v>20</v>
      </c>
      <c r="D3215" t="s">
        <v>19</v>
      </c>
      <c r="E3215">
        <v>1</v>
      </c>
      <c r="F3215">
        <v>171000</v>
      </c>
      <c r="G3215" t="s">
        <v>26</v>
      </c>
      <c r="H3215" t="s">
        <v>22</v>
      </c>
      <c r="I3215" t="s">
        <v>28</v>
      </c>
      <c r="J3215" t="s">
        <v>24</v>
      </c>
      <c r="K3215" s="6">
        <f t="shared" ca="1" si="208"/>
        <v>34679</v>
      </c>
      <c r="L3215">
        <v>-11082</v>
      </c>
      <c r="M3215" s="7">
        <f t="shared" ca="1" si="206"/>
        <v>30.340862422997947</v>
      </c>
      <c r="N3215" s="5" t="str">
        <f ca="1">VLOOKUP(Data!M3215,temp!$B$3:$C$9,2,1)</f>
        <v>30-40</v>
      </c>
      <c r="O3215">
        <v>-1976</v>
      </c>
      <c r="P3215" s="8">
        <f t="shared" si="207"/>
        <v>5.4099931553730318</v>
      </c>
      <c r="Q3215" s="5" t="str">
        <f t="shared" si="209"/>
        <v>Employed</v>
      </c>
      <c r="R3215">
        <v>1</v>
      </c>
      <c r="S3215">
        <v>1</v>
      </c>
      <c r="T3215">
        <v>0</v>
      </c>
      <c r="U3215">
        <v>0</v>
      </c>
      <c r="V3215" t="s">
        <v>44</v>
      </c>
      <c r="W3215">
        <v>3</v>
      </c>
    </row>
    <row r="3216" spans="1:23" x14ac:dyDescent="0.2">
      <c r="A3216">
        <v>5105782</v>
      </c>
      <c r="B3216" t="s">
        <v>18</v>
      </c>
      <c r="C3216" t="s">
        <v>20</v>
      </c>
      <c r="D3216" t="s">
        <v>19</v>
      </c>
      <c r="E3216">
        <v>1</v>
      </c>
      <c r="F3216">
        <v>171000</v>
      </c>
      <c r="G3216" t="s">
        <v>26</v>
      </c>
      <c r="H3216" t="s">
        <v>22</v>
      </c>
      <c r="I3216" t="s">
        <v>28</v>
      </c>
      <c r="J3216" t="s">
        <v>24</v>
      </c>
      <c r="K3216" s="6">
        <f t="shared" ca="1" si="208"/>
        <v>34679</v>
      </c>
      <c r="L3216">
        <v>-11082</v>
      </c>
      <c r="M3216" s="7">
        <f t="shared" ca="1" si="206"/>
        <v>30.340862422997947</v>
      </c>
      <c r="N3216" s="5" t="str">
        <f ca="1">VLOOKUP(Data!M3216,temp!$B$3:$C$9,2,1)</f>
        <v>30-40</v>
      </c>
      <c r="O3216">
        <v>-1976</v>
      </c>
      <c r="P3216" s="8">
        <f t="shared" si="207"/>
        <v>5.4099931553730318</v>
      </c>
      <c r="Q3216" s="5" t="str">
        <f t="shared" si="209"/>
        <v>Employed</v>
      </c>
      <c r="R3216">
        <v>1</v>
      </c>
      <c r="S3216">
        <v>1</v>
      </c>
      <c r="T3216">
        <v>0</v>
      </c>
      <c r="U3216">
        <v>0</v>
      </c>
      <c r="V3216" t="s">
        <v>44</v>
      </c>
      <c r="W3216">
        <v>3</v>
      </c>
    </row>
    <row r="3217" spans="1:23" x14ac:dyDescent="0.2">
      <c r="A3217">
        <v>5105784</v>
      </c>
      <c r="B3217" t="s">
        <v>25</v>
      </c>
      <c r="C3217" t="s">
        <v>20</v>
      </c>
      <c r="D3217" t="s">
        <v>19</v>
      </c>
      <c r="E3217">
        <v>0</v>
      </c>
      <c r="F3217">
        <v>459000</v>
      </c>
      <c r="G3217" t="s">
        <v>26</v>
      </c>
      <c r="H3217" t="s">
        <v>27</v>
      </c>
      <c r="I3217" t="s">
        <v>28</v>
      </c>
      <c r="J3217" t="s">
        <v>24</v>
      </c>
      <c r="K3217" s="6">
        <f t="shared" ca="1" si="208"/>
        <v>29781</v>
      </c>
      <c r="L3217">
        <v>-15980</v>
      </c>
      <c r="M3217" s="7">
        <f t="shared" ca="1" si="206"/>
        <v>43.750855578370981</v>
      </c>
      <c r="N3217" s="5" t="str">
        <f ca="1">VLOOKUP(Data!M3217,temp!$B$3:$C$9,2,1)</f>
        <v>40-50</v>
      </c>
      <c r="O3217">
        <v>-119</v>
      </c>
      <c r="P3217" s="8">
        <f t="shared" si="207"/>
        <v>0.32580424366872007</v>
      </c>
      <c r="Q3217" s="5" t="str">
        <f t="shared" si="209"/>
        <v>Employed</v>
      </c>
      <c r="R3217">
        <v>1</v>
      </c>
      <c r="S3217">
        <v>1</v>
      </c>
      <c r="T3217">
        <v>1</v>
      </c>
      <c r="U3217">
        <v>0</v>
      </c>
      <c r="V3217" t="s">
        <v>30</v>
      </c>
      <c r="W3217">
        <v>2</v>
      </c>
    </row>
    <row r="3218" spans="1:23" x14ac:dyDescent="0.2">
      <c r="A3218">
        <v>5105788</v>
      </c>
      <c r="B3218" t="s">
        <v>25</v>
      </c>
      <c r="C3218" t="s">
        <v>20</v>
      </c>
      <c r="D3218" t="s">
        <v>19</v>
      </c>
      <c r="E3218">
        <v>0</v>
      </c>
      <c r="F3218">
        <v>459000</v>
      </c>
      <c r="G3218" t="s">
        <v>26</v>
      </c>
      <c r="H3218" t="s">
        <v>27</v>
      </c>
      <c r="I3218" t="s">
        <v>28</v>
      </c>
      <c r="J3218" t="s">
        <v>24</v>
      </c>
      <c r="K3218" s="6">
        <f t="shared" ca="1" si="208"/>
        <v>29781</v>
      </c>
      <c r="L3218">
        <v>-15980</v>
      </c>
      <c r="M3218" s="7">
        <f t="shared" ca="1" si="206"/>
        <v>43.750855578370981</v>
      </c>
      <c r="N3218" s="5" t="str">
        <f ca="1">VLOOKUP(Data!M3218,temp!$B$3:$C$9,2,1)</f>
        <v>40-50</v>
      </c>
      <c r="O3218">
        <v>-119</v>
      </c>
      <c r="P3218" s="8">
        <f t="shared" si="207"/>
        <v>0.32580424366872007</v>
      </c>
      <c r="Q3218" s="5" t="str">
        <f t="shared" si="209"/>
        <v>Employed</v>
      </c>
      <c r="R3218">
        <v>1</v>
      </c>
      <c r="S3218">
        <v>1</v>
      </c>
      <c r="T3218">
        <v>1</v>
      </c>
      <c r="U3218">
        <v>0</v>
      </c>
      <c r="V3218" t="s">
        <v>30</v>
      </c>
      <c r="W3218">
        <v>2</v>
      </c>
    </row>
    <row r="3219" spans="1:23" x14ac:dyDescent="0.2">
      <c r="A3219">
        <v>5105802</v>
      </c>
      <c r="B3219" t="s">
        <v>18</v>
      </c>
      <c r="C3219" t="s">
        <v>19</v>
      </c>
      <c r="D3219" t="s">
        <v>19</v>
      </c>
      <c r="E3219">
        <v>0</v>
      </c>
      <c r="F3219">
        <v>112500</v>
      </c>
      <c r="G3219" t="s">
        <v>26</v>
      </c>
      <c r="H3219" t="s">
        <v>27</v>
      </c>
      <c r="I3219" t="s">
        <v>28</v>
      </c>
      <c r="J3219" t="s">
        <v>24</v>
      </c>
      <c r="K3219" s="6">
        <f t="shared" ca="1" si="208"/>
        <v>26362</v>
      </c>
      <c r="L3219">
        <v>-19399</v>
      </c>
      <c r="M3219" s="7">
        <f t="shared" ca="1" si="206"/>
        <v>53.111567419575636</v>
      </c>
      <c r="N3219" s="5" t="str">
        <f ca="1">VLOOKUP(Data!M3219,temp!$B$3:$C$9,2,1)</f>
        <v>50-60</v>
      </c>
      <c r="O3219">
        <v>-5782</v>
      </c>
      <c r="P3219" s="8">
        <f t="shared" si="207"/>
        <v>15.83025325119781</v>
      </c>
      <c r="Q3219" s="5" t="str">
        <f t="shared" si="209"/>
        <v>Employed</v>
      </c>
      <c r="R3219">
        <v>1</v>
      </c>
      <c r="S3219">
        <v>0</v>
      </c>
      <c r="T3219">
        <v>1</v>
      </c>
      <c r="U3219">
        <v>0</v>
      </c>
      <c r="W3219">
        <v>2</v>
      </c>
    </row>
    <row r="3220" spans="1:23" x14ac:dyDescent="0.2">
      <c r="A3220">
        <v>5105817</v>
      </c>
      <c r="B3220" t="s">
        <v>18</v>
      </c>
      <c r="C3220" t="s">
        <v>19</v>
      </c>
      <c r="D3220" t="s">
        <v>20</v>
      </c>
      <c r="E3220">
        <v>0</v>
      </c>
      <c r="F3220">
        <v>45000</v>
      </c>
      <c r="G3220" t="s">
        <v>21</v>
      </c>
      <c r="H3220" t="s">
        <v>27</v>
      </c>
      <c r="I3220" t="s">
        <v>28</v>
      </c>
      <c r="J3220" t="s">
        <v>24</v>
      </c>
      <c r="K3220" s="6">
        <f t="shared" ca="1" si="208"/>
        <v>23689</v>
      </c>
      <c r="L3220">
        <v>-22072</v>
      </c>
      <c r="M3220" s="7">
        <f t="shared" ca="1" si="206"/>
        <v>60.429842573579741</v>
      </c>
      <c r="N3220" s="5" t="str">
        <f ca="1">VLOOKUP(Data!M3220,temp!$B$3:$C$9,2,1)</f>
        <v>60-70</v>
      </c>
      <c r="O3220">
        <v>365243</v>
      </c>
      <c r="P3220" s="8">
        <f t="shared" si="207"/>
        <v>0</v>
      </c>
      <c r="Q3220" s="5" t="str">
        <f t="shared" si="209"/>
        <v>Unemployed</v>
      </c>
      <c r="R3220">
        <v>1</v>
      </c>
      <c r="S3220">
        <v>0</v>
      </c>
      <c r="T3220">
        <v>1</v>
      </c>
      <c r="U3220">
        <v>0</v>
      </c>
      <c r="W3220">
        <v>2</v>
      </c>
    </row>
    <row r="3221" spans="1:23" x14ac:dyDescent="0.2">
      <c r="A3221">
        <v>5105823</v>
      </c>
      <c r="B3221" t="s">
        <v>18</v>
      </c>
      <c r="C3221" t="s">
        <v>19</v>
      </c>
      <c r="D3221" t="s">
        <v>19</v>
      </c>
      <c r="E3221">
        <v>0</v>
      </c>
      <c r="F3221">
        <v>67500</v>
      </c>
      <c r="G3221" t="s">
        <v>31</v>
      </c>
      <c r="H3221" t="s">
        <v>27</v>
      </c>
      <c r="I3221" t="s">
        <v>28</v>
      </c>
      <c r="J3221" t="s">
        <v>24</v>
      </c>
      <c r="K3221" s="6">
        <f t="shared" ca="1" si="208"/>
        <v>35853</v>
      </c>
      <c r="L3221">
        <v>-9908</v>
      </c>
      <c r="M3221" s="7">
        <f t="shared" ca="1" si="206"/>
        <v>27.126625598904859</v>
      </c>
      <c r="N3221" s="5" t="str">
        <f ca="1">VLOOKUP(Data!M3221,temp!$B$3:$C$9,2,1)</f>
        <v>20-30</v>
      </c>
      <c r="O3221">
        <v>-2068</v>
      </c>
      <c r="P3221" s="8">
        <f t="shared" si="207"/>
        <v>5.6618754277891856</v>
      </c>
      <c r="Q3221" s="5" t="str">
        <f t="shared" si="209"/>
        <v>Employed</v>
      </c>
      <c r="R3221">
        <v>1</v>
      </c>
      <c r="S3221">
        <v>0</v>
      </c>
      <c r="T3221">
        <v>0</v>
      </c>
      <c r="U3221">
        <v>0</v>
      </c>
      <c r="V3221" t="s">
        <v>39</v>
      </c>
      <c r="W3221">
        <v>2</v>
      </c>
    </row>
    <row r="3222" spans="1:23" x14ac:dyDescent="0.2">
      <c r="A3222">
        <v>5105851</v>
      </c>
      <c r="B3222" t="s">
        <v>25</v>
      </c>
      <c r="C3222" t="s">
        <v>20</v>
      </c>
      <c r="D3222" t="s">
        <v>19</v>
      </c>
      <c r="E3222">
        <v>0</v>
      </c>
      <c r="F3222">
        <v>247500</v>
      </c>
      <c r="G3222" t="s">
        <v>31</v>
      </c>
      <c r="H3222" t="s">
        <v>36</v>
      </c>
      <c r="I3222" t="s">
        <v>23</v>
      </c>
      <c r="J3222" t="s">
        <v>24</v>
      </c>
      <c r="K3222" s="6">
        <f t="shared" ca="1" si="208"/>
        <v>35391</v>
      </c>
      <c r="L3222">
        <v>-10370</v>
      </c>
      <c r="M3222" s="7">
        <f t="shared" ca="1" si="206"/>
        <v>28.39151266255989</v>
      </c>
      <c r="N3222" s="5" t="str">
        <f ca="1">VLOOKUP(Data!M3222,temp!$B$3:$C$9,2,1)</f>
        <v>20-30</v>
      </c>
      <c r="O3222">
        <v>-1550</v>
      </c>
      <c r="P3222" s="8">
        <f t="shared" si="207"/>
        <v>4.2436687200547567</v>
      </c>
      <c r="Q3222" s="5" t="str">
        <f t="shared" si="209"/>
        <v>Employed</v>
      </c>
      <c r="R3222">
        <v>1</v>
      </c>
      <c r="S3222">
        <v>1</v>
      </c>
      <c r="T3222">
        <v>1</v>
      </c>
      <c r="U3222">
        <v>0</v>
      </c>
      <c r="V3222" t="s">
        <v>32</v>
      </c>
      <c r="W3222">
        <v>1</v>
      </c>
    </row>
    <row r="3223" spans="1:23" x14ac:dyDescent="0.2">
      <c r="A3223">
        <v>5105869</v>
      </c>
      <c r="B3223" t="s">
        <v>25</v>
      </c>
      <c r="C3223" t="s">
        <v>20</v>
      </c>
      <c r="D3223" t="s">
        <v>19</v>
      </c>
      <c r="E3223">
        <v>0</v>
      </c>
      <c r="F3223">
        <v>225000</v>
      </c>
      <c r="G3223" t="s">
        <v>31</v>
      </c>
      <c r="H3223" t="s">
        <v>27</v>
      </c>
      <c r="I3223" t="s">
        <v>28</v>
      </c>
      <c r="J3223" t="s">
        <v>24</v>
      </c>
      <c r="K3223" s="6">
        <f t="shared" ca="1" si="208"/>
        <v>34163</v>
      </c>
      <c r="L3223">
        <v>-11598</v>
      </c>
      <c r="M3223" s="7">
        <f t="shared" ca="1" si="206"/>
        <v>31.753593429158112</v>
      </c>
      <c r="N3223" s="5" t="str">
        <f ca="1">VLOOKUP(Data!M3223,temp!$B$3:$C$9,2,1)</f>
        <v>30-40</v>
      </c>
      <c r="O3223">
        <v>-1976</v>
      </c>
      <c r="P3223" s="8">
        <f t="shared" si="207"/>
        <v>5.4099931553730318</v>
      </c>
      <c r="Q3223" s="5" t="str">
        <f t="shared" si="209"/>
        <v>Employed</v>
      </c>
      <c r="R3223">
        <v>1</v>
      </c>
      <c r="S3223">
        <v>1</v>
      </c>
      <c r="T3223">
        <v>0</v>
      </c>
      <c r="U3223">
        <v>0</v>
      </c>
      <c r="W3223">
        <v>2</v>
      </c>
    </row>
    <row r="3224" spans="1:23" x14ac:dyDescent="0.2">
      <c r="A3224">
        <v>5105873</v>
      </c>
      <c r="B3224" t="s">
        <v>25</v>
      </c>
      <c r="C3224" t="s">
        <v>20</v>
      </c>
      <c r="D3224" t="s">
        <v>19</v>
      </c>
      <c r="E3224">
        <v>0</v>
      </c>
      <c r="F3224">
        <v>225000</v>
      </c>
      <c r="G3224" t="s">
        <v>31</v>
      </c>
      <c r="H3224" t="s">
        <v>27</v>
      </c>
      <c r="I3224" t="s">
        <v>28</v>
      </c>
      <c r="J3224" t="s">
        <v>24</v>
      </c>
      <c r="K3224" s="6">
        <f t="shared" ca="1" si="208"/>
        <v>34163</v>
      </c>
      <c r="L3224">
        <v>-11598</v>
      </c>
      <c r="M3224" s="7">
        <f t="shared" ca="1" si="206"/>
        <v>31.753593429158112</v>
      </c>
      <c r="N3224" s="5" t="str">
        <f ca="1">VLOOKUP(Data!M3224,temp!$B$3:$C$9,2,1)</f>
        <v>30-40</v>
      </c>
      <c r="O3224">
        <v>-1976</v>
      </c>
      <c r="P3224" s="8">
        <f t="shared" si="207"/>
        <v>5.4099931553730318</v>
      </c>
      <c r="Q3224" s="5" t="str">
        <f t="shared" si="209"/>
        <v>Employed</v>
      </c>
      <c r="R3224">
        <v>1</v>
      </c>
      <c r="S3224">
        <v>1</v>
      </c>
      <c r="T3224">
        <v>0</v>
      </c>
      <c r="U3224">
        <v>0</v>
      </c>
      <c r="W3224">
        <v>2</v>
      </c>
    </row>
    <row r="3225" spans="1:23" x14ac:dyDescent="0.2">
      <c r="A3225">
        <v>5105881</v>
      </c>
      <c r="B3225" t="s">
        <v>18</v>
      </c>
      <c r="C3225" t="s">
        <v>19</v>
      </c>
      <c r="D3225" t="s">
        <v>19</v>
      </c>
      <c r="E3225">
        <v>1</v>
      </c>
      <c r="F3225">
        <v>387000</v>
      </c>
      <c r="G3225" t="s">
        <v>26</v>
      </c>
      <c r="H3225" t="s">
        <v>22</v>
      </c>
      <c r="I3225" t="s">
        <v>28</v>
      </c>
      <c r="J3225" t="s">
        <v>24</v>
      </c>
      <c r="K3225" s="6">
        <f t="shared" ca="1" si="208"/>
        <v>30541</v>
      </c>
      <c r="L3225">
        <v>-15220</v>
      </c>
      <c r="M3225" s="7">
        <f t="shared" ca="1" si="206"/>
        <v>41.670088980150581</v>
      </c>
      <c r="N3225" s="5" t="str">
        <f ca="1">VLOOKUP(Data!M3225,temp!$B$3:$C$9,2,1)</f>
        <v>40-50</v>
      </c>
      <c r="O3225">
        <v>-727</v>
      </c>
      <c r="P3225" s="8">
        <f t="shared" si="207"/>
        <v>1.9904175222450375</v>
      </c>
      <c r="Q3225" s="5" t="str">
        <f t="shared" si="209"/>
        <v>Employed</v>
      </c>
      <c r="R3225">
        <v>1</v>
      </c>
      <c r="S3225">
        <v>0</v>
      </c>
      <c r="T3225">
        <v>0</v>
      </c>
      <c r="U3225">
        <v>0</v>
      </c>
      <c r="W3225">
        <v>3</v>
      </c>
    </row>
    <row r="3226" spans="1:23" x14ac:dyDescent="0.2">
      <c r="A3226">
        <v>5105892</v>
      </c>
      <c r="B3226" t="s">
        <v>25</v>
      </c>
      <c r="C3226" t="s">
        <v>19</v>
      </c>
      <c r="D3226" t="s">
        <v>19</v>
      </c>
      <c r="E3226">
        <v>0</v>
      </c>
      <c r="F3226">
        <v>306000</v>
      </c>
      <c r="G3226" t="s">
        <v>31</v>
      </c>
      <c r="H3226" t="s">
        <v>27</v>
      </c>
      <c r="I3226" t="s">
        <v>28</v>
      </c>
      <c r="J3226" t="s">
        <v>24</v>
      </c>
      <c r="K3226" s="6">
        <f t="shared" ca="1" si="208"/>
        <v>27126</v>
      </c>
      <c r="L3226">
        <v>-18635</v>
      </c>
      <c r="M3226" s="7">
        <f t="shared" ca="1" si="206"/>
        <v>51.019849418206711</v>
      </c>
      <c r="N3226" s="5" t="str">
        <f ca="1">VLOOKUP(Data!M3226,temp!$B$3:$C$9,2,1)</f>
        <v>50-60</v>
      </c>
      <c r="O3226">
        <v>-8643</v>
      </c>
      <c r="P3226" s="8">
        <f t="shared" si="207"/>
        <v>23.663244353182751</v>
      </c>
      <c r="Q3226" s="5" t="str">
        <f t="shared" si="209"/>
        <v>Employed</v>
      </c>
      <c r="R3226">
        <v>1</v>
      </c>
      <c r="S3226">
        <v>0</v>
      </c>
      <c r="T3226">
        <v>0</v>
      </c>
      <c r="U3226">
        <v>0</v>
      </c>
      <c r="V3226" t="s">
        <v>32</v>
      </c>
      <c r="W3226">
        <v>2</v>
      </c>
    </row>
    <row r="3227" spans="1:23" x14ac:dyDescent="0.2">
      <c r="A3227">
        <v>5105907</v>
      </c>
      <c r="B3227" t="s">
        <v>18</v>
      </c>
      <c r="C3227" t="s">
        <v>20</v>
      </c>
      <c r="D3227" t="s">
        <v>19</v>
      </c>
      <c r="E3227">
        <v>0</v>
      </c>
      <c r="F3227">
        <v>112500</v>
      </c>
      <c r="G3227" t="s">
        <v>31</v>
      </c>
      <c r="H3227" t="s">
        <v>22</v>
      </c>
      <c r="I3227" t="s">
        <v>28</v>
      </c>
      <c r="J3227" t="s">
        <v>41</v>
      </c>
      <c r="K3227" s="6">
        <f t="shared" ca="1" si="208"/>
        <v>35286</v>
      </c>
      <c r="L3227">
        <v>-10475</v>
      </c>
      <c r="M3227" s="7">
        <f t="shared" ca="1" si="206"/>
        <v>28.67898699520876</v>
      </c>
      <c r="N3227" s="5" t="str">
        <f ca="1">VLOOKUP(Data!M3227,temp!$B$3:$C$9,2,1)</f>
        <v>20-30</v>
      </c>
      <c r="O3227">
        <v>-1792</v>
      </c>
      <c r="P3227" s="8">
        <f t="shared" si="207"/>
        <v>4.9062286105407251</v>
      </c>
      <c r="Q3227" s="5" t="str">
        <f t="shared" si="209"/>
        <v>Employed</v>
      </c>
      <c r="R3227">
        <v>1</v>
      </c>
      <c r="S3227">
        <v>1</v>
      </c>
      <c r="T3227">
        <v>1</v>
      </c>
      <c r="U3227">
        <v>0</v>
      </c>
      <c r="V3227" t="s">
        <v>38</v>
      </c>
      <c r="W3227">
        <v>2</v>
      </c>
    </row>
    <row r="3228" spans="1:23" x14ac:dyDescent="0.2">
      <c r="A3228">
        <v>5105908</v>
      </c>
      <c r="B3228" t="s">
        <v>18</v>
      </c>
      <c r="C3228" t="s">
        <v>20</v>
      </c>
      <c r="D3228" t="s">
        <v>19</v>
      </c>
      <c r="E3228">
        <v>0</v>
      </c>
      <c r="F3228">
        <v>112500</v>
      </c>
      <c r="G3228" t="s">
        <v>31</v>
      </c>
      <c r="H3228" t="s">
        <v>22</v>
      </c>
      <c r="I3228" t="s">
        <v>28</v>
      </c>
      <c r="J3228" t="s">
        <v>41</v>
      </c>
      <c r="K3228" s="6">
        <f t="shared" ca="1" si="208"/>
        <v>35286</v>
      </c>
      <c r="L3228">
        <v>-10475</v>
      </c>
      <c r="M3228" s="7">
        <f t="shared" ca="1" si="206"/>
        <v>28.67898699520876</v>
      </c>
      <c r="N3228" s="5" t="str">
        <f ca="1">VLOOKUP(Data!M3228,temp!$B$3:$C$9,2,1)</f>
        <v>20-30</v>
      </c>
      <c r="O3228">
        <v>-1792</v>
      </c>
      <c r="P3228" s="8">
        <f t="shared" si="207"/>
        <v>4.9062286105407251</v>
      </c>
      <c r="Q3228" s="5" t="str">
        <f t="shared" si="209"/>
        <v>Employed</v>
      </c>
      <c r="R3228">
        <v>1</v>
      </c>
      <c r="S3228">
        <v>1</v>
      </c>
      <c r="T3228">
        <v>1</v>
      </c>
      <c r="U3228">
        <v>0</v>
      </c>
      <c r="V3228" t="s">
        <v>38</v>
      </c>
      <c r="W3228">
        <v>2</v>
      </c>
    </row>
    <row r="3229" spans="1:23" x14ac:dyDescent="0.2">
      <c r="A3229">
        <v>5105954</v>
      </c>
      <c r="B3229" t="s">
        <v>18</v>
      </c>
      <c r="C3229" t="s">
        <v>19</v>
      </c>
      <c r="D3229" t="s">
        <v>19</v>
      </c>
      <c r="E3229">
        <v>1</v>
      </c>
      <c r="F3229">
        <v>112500</v>
      </c>
      <c r="G3229" t="s">
        <v>31</v>
      </c>
      <c r="H3229" t="s">
        <v>27</v>
      </c>
      <c r="I3229" t="s">
        <v>28</v>
      </c>
      <c r="J3229" t="s">
        <v>24</v>
      </c>
      <c r="K3229" s="6">
        <f t="shared" ca="1" si="208"/>
        <v>34596</v>
      </c>
      <c r="L3229">
        <v>-11165</v>
      </c>
      <c r="M3229" s="7">
        <f t="shared" ca="1" si="206"/>
        <v>30.56810403832991</v>
      </c>
      <c r="N3229" s="5" t="str">
        <f ca="1">VLOOKUP(Data!M3229,temp!$B$3:$C$9,2,1)</f>
        <v>30-40</v>
      </c>
      <c r="O3229">
        <v>-2768</v>
      </c>
      <c r="P3229" s="8">
        <f t="shared" si="207"/>
        <v>7.5783709787816562</v>
      </c>
      <c r="Q3229" s="5" t="str">
        <f t="shared" si="209"/>
        <v>Employed</v>
      </c>
      <c r="R3229">
        <v>1</v>
      </c>
      <c r="S3229">
        <v>1</v>
      </c>
      <c r="T3229">
        <v>0</v>
      </c>
      <c r="U3229">
        <v>0</v>
      </c>
      <c r="V3229" t="s">
        <v>29</v>
      </c>
      <c r="W3229">
        <v>3</v>
      </c>
    </row>
    <row r="3230" spans="1:23" x14ac:dyDescent="0.2">
      <c r="A3230">
        <v>5105962</v>
      </c>
      <c r="B3230" t="s">
        <v>18</v>
      </c>
      <c r="C3230" t="s">
        <v>20</v>
      </c>
      <c r="D3230" t="s">
        <v>19</v>
      </c>
      <c r="E3230">
        <v>1</v>
      </c>
      <c r="F3230">
        <v>225000</v>
      </c>
      <c r="G3230" t="s">
        <v>26</v>
      </c>
      <c r="H3230" t="s">
        <v>22</v>
      </c>
      <c r="I3230" t="s">
        <v>37</v>
      </c>
      <c r="J3230" t="s">
        <v>41</v>
      </c>
      <c r="K3230" s="6">
        <f t="shared" ca="1" si="208"/>
        <v>35829</v>
      </c>
      <c r="L3230">
        <v>-9932</v>
      </c>
      <c r="M3230" s="7">
        <f t="shared" ca="1" si="206"/>
        <v>27.192334017796028</v>
      </c>
      <c r="N3230" s="5" t="str">
        <f ca="1">VLOOKUP(Data!M3230,temp!$B$3:$C$9,2,1)</f>
        <v>20-30</v>
      </c>
      <c r="O3230">
        <v>-668</v>
      </c>
      <c r="P3230" s="8">
        <f t="shared" si="207"/>
        <v>1.8288843258042438</v>
      </c>
      <c r="Q3230" s="5" t="str">
        <f t="shared" si="209"/>
        <v>Employed</v>
      </c>
      <c r="R3230">
        <v>1</v>
      </c>
      <c r="S3230">
        <v>0</v>
      </c>
      <c r="T3230">
        <v>1</v>
      </c>
      <c r="U3230">
        <v>1</v>
      </c>
      <c r="V3230" t="s">
        <v>44</v>
      </c>
      <c r="W3230">
        <v>3</v>
      </c>
    </row>
    <row r="3231" spans="1:23" x14ac:dyDescent="0.2">
      <c r="A3231">
        <v>5105966</v>
      </c>
      <c r="B3231" t="s">
        <v>18</v>
      </c>
      <c r="C3231" t="s">
        <v>20</v>
      </c>
      <c r="D3231" t="s">
        <v>19</v>
      </c>
      <c r="E3231">
        <v>1</v>
      </c>
      <c r="F3231">
        <v>225000</v>
      </c>
      <c r="G3231" t="s">
        <v>26</v>
      </c>
      <c r="H3231" t="s">
        <v>22</v>
      </c>
      <c r="I3231" t="s">
        <v>37</v>
      </c>
      <c r="J3231" t="s">
        <v>41</v>
      </c>
      <c r="K3231" s="6">
        <f t="shared" ca="1" si="208"/>
        <v>35829</v>
      </c>
      <c r="L3231">
        <v>-9932</v>
      </c>
      <c r="M3231" s="7">
        <f t="shared" ca="1" si="206"/>
        <v>27.192334017796028</v>
      </c>
      <c r="N3231" s="5" t="str">
        <f ca="1">VLOOKUP(Data!M3231,temp!$B$3:$C$9,2,1)</f>
        <v>20-30</v>
      </c>
      <c r="O3231">
        <v>-668</v>
      </c>
      <c r="P3231" s="8">
        <f t="shared" si="207"/>
        <v>1.8288843258042438</v>
      </c>
      <c r="Q3231" s="5" t="str">
        <f t="shared" si="209"/>
        <v>Employed</v>
      </c>
      <c r="R3231">
        <v>1</v>
      </c>
      <c r="S3231">
        <v>0</v>
      </c>
      <c r="T3231">
        <v>1</v>
      </c>
      <c r="U3231">
        <v>1</v>
      </c>
      <c r="V3231" t="s">
        <v>44</v>
      </c>
      <c r="W3231">
        <v>3</v>
      </c>
    </row>
    <row r="3232" spans="1:23" x14ac:dyDescent="0.2">
      <c r="A3232">
        <v>5105980</v>
      </c>
      <c r="B3232" t="s">
        <v>25</v>
      </c>
      <c r="C3232" t="s">
        <v>19</v>
      </c>
      <c r="D3232" t="s">
        <v>19</v>
      </c>
      <c r="E3232">
        <v>0</v>
      </c>
      <c r="F3232">
        <v>225000</v>
      </c>
      <c r="G3232" t="s">
        <v>35</v>
      </c>
      <c r="H3232" t="s">
        <v>27</v>
      </c>
      <c r="I3232" t="s">
        <v>28</v>
      </c>
      <c r="J3232" t="s">
        <v>24</v>
      </c>
      <c r="K3232" s="6">
        <f t="shared" ca="1" si="208"/>
        <v>30653</v>
      </c>
      <c r="L3232">
        <v>-15108</v>
      </c>
      <c r="M3232" s="7">
        <f t="shared" ca="1" si="206"/>
        <v>41.363449691991789</v>
      </c>
      <c r="N3232" s="5" t="str">
        <f ca="1">VLOOKUP(Data!M3232,temp!$B$3:$C$9,2,1)</f>
        <v>40-50</v>
      </c>
      <c r="O3232">
        <v>-211</v>
      </c>
      <c r="P3232" s="8">
        <f t="shared" si="207"/>
        <v>0.57768651608487342</v>
      </c>
      <c r="Q3232" s="5" t="str">
        <f t="shared" si="209"/>
        <v>Employed</v>
      </c>
      <c r="R3232">
        <v>1</v>
      </c>
      <c r="S3232">
        <v>1</v>
      </c>
      <c r="T3232">
        <v>1</v>
      </c>
      <c r="U3232">
        <v>0</v>
      </c>
      <c r="V3232" t="s">
        <v>30</v>
      </c>
      <c r="W3232">
        <v>2</v>
      </c>
    </row>
    <row r="3233" spans="1:23" x14ac:dyDescent="0.2">
      <c r="A3233">
        <v>5105981</v>
      </c>
      <c r="B3233" t="s">
        <v>25</v>
      </c>
      <c r="C3233" t="s">
        <v>19</v>
      </c>
      <c r="D3233" t="s">
        <v>19</v>
      </c>
      <c r="E3233">
        <v>0</v>
      </c>
      <c r="F3233">
        <v>225000</v>
      </c>
      <c r="G3233" t="s">
        <v>35</v>
      </c>
      <c r="H3233" t="s">
        <v>27</v>
      </c>
      <c r="I3233" t="s">
        <v>28</v>
      </c>
      <c r="J3233" t="s">
        <v>24</v>
      </c>
      <c r="K3233" s="6">
        <f t="shared" ca="1" si="208"/>
        <v>30653</v>
      </c>
      <c r="L3233">
        <v>-15108</v>
      </c>
      <c r="M3233" s="7">
        <f t="shared" ca="1" si="206"/>
        <v>41.363449691991789</v>
      </c>
      <c r="N3233" s="5" t="str">
        <f ca="1">VLOOKUP(Data!M3233,temp!$B$3:$C$9,2,1)</f>
        <v>40-50</v>
      </c>
      <c r="O3233">
        <v>-211</v>
      </c>
      <c r="P3233" s="8">
        <f t="shared" si="207"/>
        <v>0.57768651608487342</v>
      </c>
      <c r="Q3233" s="5" t="str">
        <f t="shared" si="209"/>
        <v>Employed</v>
      </c>
      <c r="R3233">
        <v>1</v>
      </c>
      <c r="S3233">
        <v>1</v>
      </c>
      <c r="T3233">
        <v>1</v>
      </c>
      <c r="U3233">
        <v>0</v>
      </c>
      <c r="V3233" t="s">
        <v>30</v>
      </c>
      <c r="W3233">
        <v>2</v>
      </c>
    </row>
    <row r="3234" spans="1:23" x14ac:dyDescent="0.2">
      <c r="A3234">
        <v>5105982</v>
      </c>
      <c r="B3234" t="s">
        <v>25</v>
      </c>
      <c r="C3234" t="s">
        <v>19</v>
      </c>
      <c r="D3234" t="s">
        <v>19</v>
      </c>
      <c r="E3234">
        <v>0</v>
      </c>
      <c r="F3234">
        <v>225000</v>
      </c>
      <c r="G3234" t="s">
        <v>35</v>
      </c>
      <c r="H3234" t="s">
        <v>27</v>
      </c>
      <c r="I3234" t="s">
        <v>28</v>
      </c>
      <c r="J3234" t="s">
        <v>24</v>
      </c>
      <c r="K3234" s="6">
        <f t="shared" ca="1" si="208"/>
        <v>30653</v>
      </c>
      <c r="L3234">
        <v>-15108</v>
      </c>
      <c r="M3234" s="7">
        <f t="shared" ca="1" si="206"/>
        <v>41.363449691991789</v>
      </c>
      <c r="N3234" s="5" t="str">
        <f ca="1">VLOOKUP(Data!M3234,temp!$B$3:$C$9,2,1)</f>
        <v>40-50</v>
      </c>
      <c r="O3234">
        <v>-211</v>
      </c>
      <c r="P3234" s="8">
        <f t="shared" si="207"/>
        <v>0.57768651608487342</v>
      </c>
      <c r="Q3234" s="5" t="str">
        <f t="shared" si="209"/>
        <v>Employed</v>
      </c>
      <c r="R3234">
        <v>1</v>
      </c>
      <c r="S3234">
        <v>1</v>
      </c>
      <c r="T3234">
        <v>1</v>
      </c>
      <c r="U3234">
        <v>0</v>
      </c>
      <c r="V3234" t="s">
        <v>30</v>
      </c>
      <c r="W3234">
        <v>2</v>
      </c>
    </row>
    <row r="3235" spans="1:23" x14ac:dyDescent="0.2">
      <c r="A3235">
        <v>5105998</v>
      </c>
      <c r="B3235" t="s">
        <v>18</v>
      </c>
      <c r="C3235" t="s">
        <v>20</v>
      </c>
      <c r="D3235" t="s">
        <v>19</v>
      </c>
      <c r="E3235">
        <v>0</v>
      </c>
      <c r="F3235">
        <v>157500</v>
      </c>
      <c r="G3235" t="s">
        <v>31</v>
      </c>
      <c r="H3235" t="s">
        <v>36</v>
      </c>
      <c r="I3235" t="s">
        <v>28</v>
      </c>
      <c r="J3235" t="s">
        <v>41</v>
      </c>
      <c r="K3235" s="6">
        <f t="shared" ca="1" si="208"/>
        <v>36645</v>
      </c>
      <c r="L3235">
        <v>-9116</v>
      </c>
      <c r="M3235" s="7">
        <f t="shared" ca="1" si="206"/>
        <v>24.958247775496236</v>
      </c>
      <c r="N3235" s="5" t="str">
        <f ca="1">VLOOKUP(Data!M3235,temp!$B$3:$C$9,2,1)</f>
        <v>20-30</v>
      </c>
      <c r="O3235">
        <v>-696</v>
      </c>
      <c r="P3235" s="8">
        <f t="shared" si="207"/>
        <v>1.9055441478439425</v>
      </c>
      <c r="Q3235" s="5" t="str">
        <f t="shared" si="209"/>
        <v>Employed</v>
      </c>
      <c r="R3235">
        <v>1</v>
      </c>
      <c r="S3235">
        <v>1</v>
      </c>
      <c r="T3235">
        <v>1</v>
      </c>
      <c r="U3235">
        <v>0</v>
      </c>
      <c r="V3235" t="s">
        <v>30</v>
      </c>
      <c r="W3235">
        <v>2</v>
      </c>
    </row>
    <row r="3236" spans="1:23" x14ac:dyDescent="0.2">
      <c r="A3236">
        <v>5106000</v>
      </c>
      <c r="B3236" t="s">
        <v>18</v>
      </c>
      <c r="C3236" t="s">
        <v>20</v>
      </c>
      <c r="D3236" t="s">
        <v>19</v>
      </c>
      <c r="E3236">
        <v>0</v>
      </c>
      <c r="F3236">
        <v>157500</v>
      </c>
      <c r="G3236" t="s">
        <v>31</v>
      </c>
      <c r="H3236" t="s">
        <v>36</v>
      </c>
      <c r="I3236" t="s">
        <v>28</v>
      </c>
      <c r="J3236" t="s">
        <v>41</v>
      </c>
      <c r="K3236" s="6">
        <f t="shared" ca="1" si="208"/>
        <v>36645</v>
      </c>
      <c r="L3236">
        <v>-9116</v>
      </c>
      <c r="M3236" s="7">
        <f t="shared" ca="1" si="206"/>
        <v>24.958247775496236</v>
      </c>
      <c r="N3236" s="5" t="str">
        <f ca="1">VLOOKUP(Data!M3236,temp!$B$3:$C$9,2,1)</f>
        <v>20-30</v>
      </c>
      <c r="O3236">
        <v>-696</v>
      </c>
      <c r="P3236" s="8">
        <f t="shared" si="207"/>
        <v>1.9055441478439425</v>
      </c>
      <c r="Q3236" s="5" t="str">
        <f t="shared" si="209"/>
        <v>Employed</v>
      </c>
      <c r="R3236">
        <v>1</v>
      </c>
      <c r="S3236">
        <v>1</v>
      </c>
      <c r="T3236">
        <v>1</v>
      </c>
      <c r="U3236">
        <v>0</v>
      </c>
      <c r="V3236" t="s">
        <v>30</v>
      </c>
      <c r="W3236">
        <v>2</v>
      </c>
    </row>
    <row r="3237" spans="1:23" x14ac:dyDescent="0.2">
      <c r="A3237">
        <v>5106002</v>
      </c>
      <c r="B3237" t="s">
        <v>18</v>
      </c>
      <c r="C3237" t="s">
        <v>20</v>
      </c>
      <c r="D3237" t="s">
        <v>20</v>
      </c>
      <c r="E3237">
        <v>2</v>
      </c>
      <c r="F3237">
        <v>67500</v>
      </c>
      <c r="G3237" t="s">
        <v>35</v>
      </c>
      <c r="H3237" t="s">
        <v>22</v>
      </c>
      <c r="I3237" t="s">
        <v>28</v>
      </c>
      <c r="J3237" t="s">
        <v>24</v>
      </c>
      <c r="K3237" s="6">
        <f t="shared" ca="1" si="208"/>
        <v>33930</v>
      </c>
      <c r="L3237">
        <v>-11831</v>
      </c>
      <c r="M3237" s="7">
        <f t="shared" ca="1" si="206"/>
        <v>32.39151266255989</v>
      </c>
      <c r="N3237" s="5" t="str">
        <f ca="1">VLOOKUP(Data!M3237,temp!$B$3:$C$9,2,1)</f>
        <v>30-40</v>
      </c>
      <c r="O3237">
        <v>-3778</v>
      </c>
      <c r="P3237" s="8">
        <f t="shared" si="207"/>
        <v>10.343600273785079</v>
      </c>
      <c r="Q3237" s="5" t="str">
        <f t="shared" si="209"/>
        <v>Employed</v>
      </c>
      <c r="R3237">
        <v>1</v>
      </c>
      <c r="S3237">
        <v>1</v>
      </c>
      <c r="T3237">
        <v>1</v>
      </c>
      <c r="U3237">
        <v>0</v>
      </c>
      <c r="V3237" t="s">
        <v>38</v>
      </c>
      <c r="W3237">
        <v>4</v>
      </c>
    </row>
    <row r="3238" spans="1:23" x14ac:dyDescent="0.2">
      <c r="A3238">
        <v>5106018</v>
      </c>
      <c r="B3238" t="s">
        <v>18</v>
      </c>
      <c r="C3238" t="s">
        <v>19</v>
      </c>
      <c r="D3238" t="s">
        <v>20</v>
      </c>
      <c r="E3238">
        <v>0</v>
      </c>
      <c r="F3238">
        <v>211500</v>
      </c>
      <c r="G3238" t="s">
        <v>21</v>
      </c>
      <c r="H3238" t="s">
        <v>27</v>
      </c>
      <c r="I3238" t="s">
        <v>42</v>
      </c>
      <c r="J3238" t="s">
        <v>24</v>
      </c>
      <c r="K3238" s="6">
        <f t="shared" ca="1" si="208"/>
        <v>23244</v>
      </c>
      <c r="L3238">
        <v>-22517</v>
      </c>
      <c r="M3238" s="7">
        <f t="shared" ca="1" si="206"/>
        <v>61.648186173853524</v>
      </c>
      <c r="N3238" s="5" t="str">
        <f ca="1">VLOOKUP(Data!M3238,temp!$B$3:$C$9,2,1)</f>
        <v>60-70</v>
      </c>
      <c r="O3238">
        <v>365243</v>
      </c>
      <c r="P3238" s="8">
        <f t="shared" si="207"/>
        <v>0</v>
      </c>
      <c r="Q3238" s="5" t="str">
        <f t="shared" si="209"/>
        <v>Unemployed</v>
      </c>
      <c r="R3238">
        <v>1</v>
      </c>
      <c r="S3238">
        <v>0</v>
      </c>
      <c r="T3238">
        <v>0</v>
      </c>
      <c r="U3238">
        <v>0</v>
      </c>
      <c r="W3238">
        <v>1</v>
      </c>
    </row>
    <row r="3239" spans="1:23" x14ac:dyDescent="0.2">
      <c r="A3239">
        <v>5106042</v>
      </c>
      <c r="B3239" t="s">
        <v>25</v>
      </c>
      <c r="C3239" t="s">
        <v>20</v>
      </c>
      <c r="D3239" t="s">
        <v>19</v>
      </c>
      <c r="E3239">
        <v>2</v>
      </c>
      <c r="F3239">
        <v>270000</v>
      </c>
      <c r="G3239" t="s">
        <v>31</v>
      </c>
      <c r="H3239" t="s">
        <v>27</v>
      </c>
      <c r="I3239" t="s">
        <v>28</v>
      </c>
      <c r="J3239" t="s">
        <v>24</v>
      </c>
      <c r="K3239" s="6">
        <f t="shared" ca="1" si="208"/>
        <v>30554</v>
      </c>
      <c r="L3239">
        <v>-15207</v>
      </c>
      <c r="M3239" s="7">
        <f t="shared" ca="1" si="206"/>
        <v>41.634496919917865</v>
      </c>
      <c r="N3239" s="5" t="str">
        <f ca="1">VLOOKUP(Data!M3239,temp!$B$3:$C$9,2,1)</f>
        <v>40-50</v>
      </c>
      <c r="O3239">
        <v>-3201</v>
      </c>
      <c r="P3239" s="8">
        <f t="shared" si="207"/>
        <v>8.7638603696098567</v>
      </c>
      <c r="Q3239" s="5" t="str">
        <f t="shared" si="209"/>
        <v>Employed</v>
      </c>
      <c r="R3239">
        <v>1</v>
      </c>
      <c r="S3239">
        <v>0</v>
      </c>
      <c r="T3239">
        <v>0</v>
      </c>
      <c r="U3239">
        <v>0</v>
      </c>
      <c r="V3239" t="s">
        <v>38</v>
      </c>
      <c r="W3239">
        <v>4</v>
      </c>
    </row>
    <row r="3240" spans="1:23" x14ac:dyDescent="0.2">
      <c r="A3240">
        <v>5106049</v>
      </c>
      <c r="B3240" t="s">
        <v>18</v>
      </c>
      <c r="C3240" t="s">
        <v>20</v>
      </c>
      <c r="D3240" t="s">
        <v>19</v>
      </c>
      <c r="E3240">
        <v>2</v>
      </c>
      <c r="F3240">
        <v>81000</v>
      </c>
      <c r="G3240" t="s">
        <v>31</v>
      </c>
      <c r="H3240" t="s">
        <v>22</v>
      </c>
      <c r="I3240" t="s">
        <v>28</v>
      </c>
      <c r="J3240" t="s">
        <v>24</v>
      </c>
      <c r="K3240" s="6">
        <f t="shared" ca="1" si="208"/>
        <v>33403</v>
      </c>
      <c r="L3240">
        <v>-12358</v>
      </c>
      <c r="M3240" s="7">
        <f t="shared" ca="1" si="206"/>
        <v>33.834360027378509</v>
      </c>
      <c r="N3240" s="5" t="str">
        <f ca="1">VLOOKUP(Data!M3240,temp!$B$3:$C$9,2,1)</f>
        <v>30-40</v>
      </c>
      <c r="O3240">
        <v>-3017</v>
      </c>
      <c r="P3240" s="8">
        <f t="shared" si="207"/>
        <v>8.2600958247775491</v>
      </c>
      <c r="Q3240" s="5" t="str">
        <f t="shared" si="209"/>
        <v>Employed</v>
      </c>
      <c r="R3240">
        <v>1</v>
      </c>
      <c r="S3240">
        <v>1</v>
      </c>
      <c r="T3240">
        <v>0</v>
      </c>
      <c r="U3240">
        <v>0</v>
      </c>
      <c r="V3240" t="s">
        <v>39</v>
      </c>
      <c r="W3240">
        <v>4</v>
      </c>
    </row>
    <row r="3241" spans="1:23" x14ac:dyDescent="0.2">
      <c r="A3241">
        <v>5106050</v>
      </c>
      <c r="B3241" t="s">
        <v>18</v>
      </c>
      <c r="C3241" t="s">
        <v>20</v>
      </c>
      <c r="D3241" t="s">
        <v>19</v>
      </c>
      <c r="E3241">
        <v>2</v>
      </c>
      <c r="F3241">
        <v>81000</v>
      </c>
      <c r="G3241" t="s">
        <v>31</v>
      </c>
      <c r="H3241" t="s">
        <v>22</v>
      </c>
      <c r="I3241" t="s">
        <v>28</v>
      </c>
      <c r="J3241" t="s">
        <v>24</v>
      </c>
      <c r="K3241" s="6">
        <f t="shared" ca="1" si="208"/>
        <v>33403</v>
      </c>
      <c r="L3241">
        <v>-12358</v>
      </c>
      <c r="M3241" s="7">
        <f t="shared" ca="1" si="206"/>
        <v>33.834360027378509</v>
      </c>
      <c r="N3241" s="5" t="str">
        <f ca="1">VLOOKUP(Data!M3241,temp!$B$3:$C$9,2,1)</f>
        <v>30-40</v>
      </c>
      <c r="O3241">
        <v>-3017</v>
      </c>
      <c r="P3241" s="8">
        <f t="shared" si="207"/>
        <v>8.2600958247775491</v>
      </c>
      <c r="Q3241" s="5" t="str">
        <f t="shared" si="209"/>
        <v>Employed</v>
      </c>
      <c r="R3241">
        <v>1</v>
      </c>
      <c r="S3241">
        <v>1</v>
      </c>
      <c r="T3241">
        <v>0</v>
      </c>
      <c r="U3241">
        <v>0</v>
      </c>
      <c r="V3241" t="s">
        <v>39</v>
      </c>
      <c r="W3241">
        <v>4</v>
      </c>
    </row>
    <row r="3242" spans="1:23" x14ac:dyDescent="0.2">
      <c r="A3242">
        <v>5106083</v>
      </c>
      <c r="B3242" t="s">
        <v>18</v>
      </c>
      <c r="C3242" t="s">
        <v>19</v>
      </c>
      <c r="D3242" t="s">
        <v>19</v>
      </c>
      <c r="E3242">
        <v>0</v>
      </c>
      <c r="F3242">
        <v>135000</v>
      </c>
      <c r="G3242" t="s">
        <v>26</v>
      </c>
      <c r="H3242" t="s">
        <v>22</v>
      </c>
      <c r="I3242" t="s">
        <v>28</v>
      </c>
      <c r="J3242" t="s">
        <v>24</v>
      </c>
      <c r="K3242" s="6">
        <f t="shared" ca="1" si="208"/>
        <v>32633</v>
      </c>
      <c r="L3242">
        <v>-13128</v>
      </c>
      <c r="M3242" s="7">
        <f t="shared" ca="1" si="206"/>
        <v>35.942505133470227</v>
      </c>
      <c r="N3242" s="5" t="str">
        <f ca="1">VLOOKUP(Data!M3242,temp!$B$3:$C$9,2,1)</f>
        <v>30-40</v>
      </c>
      <c r="O3242">
        <v>-2044</v>
      </c>
      <c r="P3242" s="8">
        <f t="shared" si="207"/>
        <v>5.5961670088980151</v>
      </c>
      <c r="Q3242" s="5" t="str">
        <f t="shared" si="209"/>
        <v>Employed</v>
      </c>
      <c r="R3242">
        <v>1</v>
      </c>
      <c r="S3242">
        <v>0</v>
      </c>
      <c r="T3242">
        <v>0</v>
      </c>
      <c r="U3242">
        <v>0</v>
      </c>
      <c r="V3242" t="s">
        <v>29</v>
      </c>
      <c r="W3242">
        <v>2</v>
      </c>
    </row>
    <row r="3243" spans="1:23" x14ac:dyDescent="0.2">
      <c r="A3243">
        <v>5106087</v>
      </c>
      <c r="B3243" t="s">
        <v>25</v>
      </c>
      <c r="C3243" t="s">
        <v>19</v>
      </c>
      <c r="D3243" t="s">
        <v>19</v>
      </c>
      <c r="E3243">
        <v>0</v>
      </c>
      <c r="F3243">
        <v>126000</v>
      </c>
      <c r="G3243" t="s">
        <v>31</v>
      </c>
      <c r="H3243" t="s">
        <v>27</v>
      </c>
      <c r="I3243" t="s">
        <v>28</v>
      </c>
      <c r="J3243" t="s">
        <v>24</v>
      </c>
      <c r="K3243" s="6">
        <f t="shared" ca="1" si="208"/>
        <v>24373</v>
      </c>
      <c r="L3243">
        <v>-21388</v>
      </c>
      <c r="M3243" s="7">
        <f t="shared" ca="1" si="206"/>
        <v>58.557152635181382</v>
      </c>
      <c r="N3243" s="5" t="str">
        <f ca="1">VLOOKUP(Data!M3243,temp!$B$3:$C$9,2,1)</f>
        <v>50-60</v>
      </c>
      <c r="O3243">
        <v>-1830</v>
      </c>
      <c r="P3243" s="8">
        <f t="shared" si="207"/>
        <v>5.0102669404517455</v>
      </c>
      <c r="Q3243" s="5" t="str">
        <f t="shared" si="209"/>
        <v>Employed</v>
      </c>
      <c r="R3243">
        <v>1</v>
      </c>
      <c r="S3243">
        <v>0</v>
      </c>
      <c r="T3243">
        <v>0</v>
      </c>
      <c r="U3243">
        <v>0</v>
      </c>
      <c r="V3243" t="s">
        <v>40</v>
      </c>
      <c r="W3243">
        <v>2</v>
      </c>
    </row>
    <row r="3244" spans="1:23" x14ac:dyDescent="0.2">
      <c r="A3244">
        <v>5106100</v>
      </c>
      <c r="B3244" t="s">
        <v>25</v>
      </c>
      <c r="C3244" t="s">
        <v>20</v>
      </c>
      <c r="D3244" t="s">
        <v>20</v>
      </c>
      <c r="E3244">
        <v>2</v>
      </c>
      <c r="F3244">
        <v>211500</v>
      </c>
      <c r="G3244" t="s">
        <v>31</v>
      </c>
      <c r="H3244" t="s">
        <v>27</v>
      </c>
      <c r="I3244" t="s">
        <v>28</v>
      </c>
      <c r="J3244" t="s">
        <v>24</v>
      </c>
      <c r="K3244" s="6">
        <f t="shared" ca="1" si="208"/>
        <v>35326</v>
      </c>
      <c r="L3244">
        <v>-10435</v>
      </c>
      <c r="M3244" s="7">
        <f t="shared" ca="1" si="206"/>
        <v>28.569472963723477</v>
      </c>
      <c r="N3244" s="5" t="str">
        <f ca="1">VLOOKUP(Data!M3244,temp!$B$3:$C$9,2,1)</f>
        <v>20-30</v>
      </c>
      <c r="O3244">
        <v>-2987</v>
      </c>
      <c r="P3244" s="8">
        <f t="shared" si="207"/>
        <v>8.1779603011635871</v>
      </c>
      <c r="Q3244" s="5" t="str">
        <f t="shared" si="209"/>
        <v>Employed</v>
      </c>
      <c r="R3244">
        <v>1</v>
      </c>
      <c r="S3244">
        <v>0</v>
      </c>
      <c r="T3244">
        <v>0</v>
      </c>
      <c r="U3244">
        <v>0</v>
      </c>
      <c r="W3244">
        <v>4</v>
      </c>
    </row>
    <row r="3245" spans="1:23" x14ac:dyDescent="0.2">
      <c r="A3245">
        <v>5106154</v>
      </c>
      <c r="B3245" t="s">
        <v>25</v>
      </c>
      <c r="C3245" t="s">
        <v>20</v>
      </c>
      <c r="D3245" t="s">
        <v>20</v>
      </c>
      <c r="E3245">
        <v>0</v>
      </c>
      <c r="F3245">
        <v>135000</v>
      </c>
      <c r="G3245" t="s">
        <v>31</v>
      </c>
      <c r="H3245" t="s">
        <v>27</v>
      </c>
      <c r="I3245" t="s">
        <v>28</v>
      </c>
      <c r="J3245" t="s">
        <v>24</v>
      </c>
      <c r="K3245" s="6">
        <f t="shared" ca="1" si="208"/>
        <v>31266</v>
      </c>
      <c r="L3245">
        <v>-14495</v>
      </c>
      <c r="M3245" s="7">
        <f t="shared" ca="1" si="206"/>
        <v>39.685147159479811</v>
      </c>
      <c r="N3245" s="5" t="str">
        <f ca="1">VLOOKUP(Data!M3245,temp!$B$3:$C$9,2,1)</f>
        <v>30-40</v>
      </c>
      <c r="O3245">
        <v>-3505</v>
      </c>
      <c r="P3245" s="8">
        <f t="shared" si="207"/>
        <v>9.5961670088980142</v>
      </c>
      <c r="Q3245" s="5" t="str">
        <f t="shared" si="209"/>
        <v>Employed</v>
      </c>
      <c r="R3245">
        <v>1</v>
      </c>
      <c r="S3245">
        <v>0</v>
      </c>
      <c r="T3245">
        <v>1</v>
      </c>
      <c r="U3245">
        <v>0</v>
      </c>
      <c r="V3245" t="s">
        <v>29</v>
      </c>
      <c r="W3245">
        <v>2</v>
      </c>
    </row>
    <row r="3246" spans="1:23" x14ac:dyDescent="0.2">
      <c r="A3246">
        <v>5106164</v>
      </c>
      <c r="B3246" t="s">
        <v>25</v>
      </c>
      <c r="C3246" t="s">
        <v>20</v>
      </c>
      <c r="D3246" t="s">
        <v>20</v>
      </c>
      <c r="E3246">
        <v>0</v>
      </c>
      <c r="F3246">
        <v>472500</v>
      </c>
      <c r="G3246" t="s">
        <v>31</v>
      </c>
      <c r="H3246" t="s">
        <v>27</v>
      </c>
      <c r="I3246" t="s">
        <v>28</v>
      </c>
      <c r="J3246" t="s">
        <v>24</v>
      </c>
      <c r="K3246" s="6">
        <f t="shared" ca="1" si="208"/>
        <v>26662</v>
      </c>
      <c r="L3246">
        <v>-19099</v>
      </c>
      <c r="M3246" s="7">
        <f t="shared" ca="1" si="206"/>
        <v>52.290212183436005</v>
      </c>
      <c r="N3246" s="5" t="str">
        <f ca="1">VLOOKUP(Data!M3246,temp!$B$3:$C$9,2,1)</f>
        <v>50-60</v>
      </c>
      <c r="O3246">
        <v>-3413</v>
      </c>
      <c r="P3246" s="8">
        <f t="shared" si="207"/>
        <v>9.3442847364818622</v>
      </c>
      <c r="Q3246" s="5" t="str">
        <f t="shared" si="209"/>
        <v>Employed</v>
      </c>
      <c r="R3246">
        <v>1</v>
      </c>
      <c r="S3246">
        <v>0</v>
      </c>
      <c r="T3246">
        <v>0</v>
      </c>
      <c r="U3246">
        <v>0</v>
      </c>
      <c r="V3246" t="s">
        <v>32</v>
      </c>
      <c r="W3246">
        <v>2</v>
      </c>
    </row>
    <row r="3247" spans="1:23" x14ac:dyDescent="0.2">
      <c r="A3247">
        <v>5111071</v>
      </c>
      <c r="B3247" t="s">
        <v>18</v>
      </c>
      <c r="C3247" t="s">
        <v>20</v>
      </c>
      <c r="D3247" t="s">
        <v>20</v>
      </c>
      <c r="E3247">
        <v>0</v>
      </c>
      <c r="F3247">
        <v>373500</v>
      </c>
      <c r="G3247" t="s">
        <v>31</v>
      </c>
      <c r="H3247" t="s">
        <v>27</v>
      </c>
      <c r="I3247" t="s">
        <v>42</v>
      </c>
      <c r="J3247" t="s">
        <v>24</v>
      </c>
      <c r="K3247" s="6">
        <f t="shared" ca="1" si="208"/>
        <v>24976</v>
      </c>
      <c r="L3247">
        <v>-20785</v>
      </c>
      <c r="M3247" s="7">
        <f t="shared" ca="1" si="206"/>
        <v>56.906228610540722</v>
      </c>
      <c r="N3247" s="5" t="str">
        <f ca="1">VLOOKUP(Data!M3247,temp!$B$3:$C$9,2,1)</f>
        <v>50-60</v>
      </c>
      <c r="O3247">
        <v>-1577</v>
      </c>
      <c r="P3247" s="8">
        <f t="shared" si="207"/>
        <v>4.3175906913073234</v>
      </c>
      <c r="Q3247" s="5" t="str">
        <f t="shared" si="209"/>
        <v>Employed</v>
      </c>
      <c r="R3247">
        <v>1</v>
      </c>
      <c r="S3247">
        <v>0</v>
      </c>
      <c r="T3247">
        <v>0</v>
      </c>
      <c r="U3247">
        <v>0</v>
      </c>
      <c r="V3247" t="s">
        <v>44</v>
      </c>
      <c r="W3247">
        <v>1</v>
      </c>
    </row>
    <row r="3248" spans="1:23" x14ac:dyDescent="0.2">
      <c r="A3248">
        <v>5111079</v>
      </c>
      <c r="B3248" t="s">
        <v>18</v>
      </c>
      <c r="C3248" t="s">
        <v>20</v>
      </c>
      <c r="D3248" t="s">
        <v>20</v>
      </c>
      <c r="E3248">
        <v>0</v>
      </c>
      <c r="F3248">
        <v>373500</v>
      </c>
      <c r="G3248" t="s">
        <v>31</v>
      </c>
      <c r="H3248" t="s">
        <v>27</v>
      </c>
      <c r="I3248" t="s">
        <v>42</v>
      </c>
      <c r="J3248" t="s">
        <v>24</v>
      </c>
      <c r="K3248" s="6">
        <f t="shared" ca="1" si="208"/>
        <v>24976</v>
      </c>
      <c r="L3248">
        <v>-20785</v>
      </c>
      <c r="M3248" s="7">
        <f t="shared" ca="1" si="206"/>
        <v>56.906228610540722</v>
      </c>
      <c r="N3248" s="5" t="str">
        <f ca="1">VLOOKUP(Data!M3248,temp!$B$3:$C$9,2,1)</f>
        <v>50-60</v>
      </c>
      <c r="O3248">
        <v>-1577</v>
      </c>
      <c r="P3248" s="8">
        <f t="shared" si="207"/>
        <v>4.3175906913073234</v>
      </c>
      <c r="Q3248" s="5" t="str">
        <f t="shared" si="209"/>
        <v>Employed</v>
      </c>
      <c r="R3248">
        <v>1</v>
      </c>
      <c r="S3248">
        <v>0</v>
      </c>
      <c r="T3248">
        <v>0</v>
      </c>
      <c r="U3248">
        <v>0</v>
      </c>
      <c r="V3248" t="s">
        <v>44</v>
      </c>
      <c r="W3248">
        <v>1</v>
      </c>
    </row>
    <row r="3249" spans="1:23" x14ac:dyDescent="0.2">
      <c r="A3249">
        <v>5111082</v>
      </c>
      <c r="B3249" t="s">
        <v>18</v>
      </c>
      <c r="C3249" t="s">
        <v>20</v>
      </c>
      <c r="D3249" t="s">
        <v>20</v>
      </c>
      <c r="E3249">
        <v>0</v>
      </c>
      <c r="F3249">
        <v>162000</v>
      </c>
      <c r="G3249" t="s">
        <v>21</v>
      </c>
      <c r="H3249" t="s">
        <v>22</v>
      </c>
      <c r="I3249" t="s">
        <v>28</v>
      </c>
      <c r="J3249" t="s">
        <v>24</v>
      </c>
      <c r="K3249" s="6">
        <f t="shared" ca="1" si="208"/>
        <v>24903</v>
      </c>
      <c r="L3249">
        <v>-20858</v>
      </c>
      <c r="M3249" s="7">
        <f t="shared" ca="1" si="206"/>
        <v>57.106091718001366</v>
      </c>
      <c r="N3249" s="5" t="str">
        <f ca="1">VLOOKUP(Data!M3249,temp!$B$3:$C$9,2,1)</f>
        <v>50-60</v>
      </c>
      <c r="O3249">
        <v>365243</v>
      </c>
      <c r="P3249" s="8">
        <f t="shared" si="207"/>
        <v>0</v>
      </c>
      <c r="Q3249" s="5" t="str">
        <f t="shared" si="209"/>
        <v>Unemployed</v>
      </c>
      <c r="R3249">
        <v>1</v>
      </c>
      <c r="S3249">
        <v>0</v>
      </c>
      <c r="T3249">
        <v>1</v>
      </c>
      <c r="U3249">
        <v>0</v>
      </c>
      <c r="W3249">
        <v>2</v>
      </c>
    </row>
    <row r="3250" spans="1:23" x14ac:dyDescent="0.2">
      <c r="A3250">
        <v>5111090</v>
      </c>
      <c r="B3250" t="s">
        <v>25</v>
      </c>
      <c r="C3250" t="s">
        <v>19</v>
      </c>
      <c r="D3250" t="s">
        <v>20</v>
      </c>
      <c r="E3250">
        <v>1</v>
      </c>
      <c r="F3250">
        <v>270000</v>
      </c>
      <c r="G3250" t="s">
        <v>31</v>
      </c>
      <c r="H3250" t="s">
        <v>27</v>
      </c>
      <c r="I3250" t="s">
        <v>28</v>
      </c>
      <c r="J3250" t="s">
        <v>24</v>
      </c>
      <c r="K3250" s="6">
        <f t="shared" ca="1" si="208"/>
        <v>32851</v>
      </c>
      <c r="L3250">
        <v>-12910</v>
      </c>
      <c r="M3250" s="7">
        <f t="shared" ca="1" si="206"/>
        <v>35.345653661875431</v>
      </c>
      <c r="N3250" s="5" t="str">
        <f ca="1">VLOOKUP(Data!M3250,temp!$B$3:$C$9,2,1)</f>
        <v>30-40</v>
      </c>
      <c r="O3250">
        <v>-359</v>
      </c>
      <c r="P3250" s="8">
        <f t="shared" si="207"/>
        <v>0.98288843258042435</v>
      </c>
      <c r="Q3250" s="5" t="str">
        <f t="shared" si="209"/>
        <v>Employed</v>
      </c>
      <c r="R3250">
        <v>1</v>
      </c>
      <c r="S3250">
        <v>0</v>
      </c>
      <c r="T3250">
        <v>1</v>
      </c>
      <c r="U3250">
        <v>0</v>
      </c>
      <c r="V3250" t="s">
        <v>30</v>
      </c>
      <c r="W3250">
        <v>3</v>
      </c>
    </row>
    <row r="3251" spans="1:23" x14ac:dyDescent="0.2">
      <c r="A3251">
        <v>5111093</v>
      </c>
      <c r="B3251" t="s">
        <v>25</v>
      </c>
      <c r="C3251" t="s">
        <v>19</v>
      </c>
      <c r="D3251" t="s">
        <v>20</v>
      </c>
      <c r="E3251">
        <v>1</v>
      </c>
      <c r="F3251">
        <v>270000</v>
      </c>
      <c r="G3251" t="s">
        <v>31</v>
      </c>
      <c r="H3251" t="s">
        <v>27</v>
      </c>
      <c r="I3251" t="s">
        <v>28</v>
      </c>
      <c r="J3251" t="s">
        <v>24</v>
      </c>
      <c r="K3251" s="6">
        <f t="shared" ca="1" si="208"/>
        <v>32851</v>
      </c>
      <c r="L3251">
        <v>-12910</v>
      </c>
      <c r="M3251" s="7">
        <f t="shared" ca="1" si="206"/>
        <v>35.345653661875431</v>
      </c>
      <c r="N3251" s="5" t="str">
        <f ca="1">VLOOKUP(Data!M3251,temp!$B$3:$C$9,2,1)</f>
        <v>30-40</v>
      </c>
      <c r="O3251">
        <v>-359</v>
      </c>
      <c r="P3251" s="8">
        <f t="shared" si="207"/>
        <v>0.98288843258042435</v>
      </c>
      <c r="Q3251" s="5" t="str">
        <f t="shared" si="209"/>
        <v>Employed</v>
      </c>
      <c r="R3251">
        <v>1</v>
      </c>
      <c r="S3251">
        <v>0</v>
      </c>
      <c r="T3251">
        <v>1</v>
      </c>
      <c r="U3251">
        <v>0</v>
      </c>
      <c r="V3251" t="s">
        <v>30</v>
      </c>
      <c r="W3251">
        <v>3</v>
      </c>
    </row>
    <row r="3252" spans="1:23" x14ac:dyDescent="0.2">
      <c r="A3252">
        <v>5111095</v>
      </c>
      <c r="B3252" t="s">
        <v>18</v>
      </c>
      <c r="C3252" t="s">
        <v>19</v>
      </c>
      <c r="D3252" t="s">
        <v>19</v>
      </c>
      <c r="E3252">
        <v>0</v>
      </c>
      <c r="F3252">
        <v>112500</v>
      </c>
      <c r="G3252" t="s">
        <v>31</v>
      </c>
      <c r="H3252" t="s">
        <v>27</v>
      </c>
      <c r="I3252" t="s">
        <v>28</v>
      </c>
      <c r="J3252" t="s">
        <v>24</v>
      </c>
      <c r="K3252" s="6">
        <f t="shared" ca="1" si="208"/>
        <v>35108</v>
      </c>
      <c r="L3252">
        <v>-10653</v>
      </c>
      <c r="M3252" s="7">
        <f t="shared" ca="1" si="206"/>
        <v>29.166324435318277</v>
      </c>
      <c r="N3252" s="5" t="str">
        <f ca="1">VLOOKUP(Data!M3252,temp!$B$3:$C$9,2,1)</f>
        <v>20-30</v>
      </c>
      <c r="O3252">
        <v>-3007</v>
      </c>
      <c r="P3252" s="8">
        <f t="shared" si="207"/>
        <v>8.2327173169062284</v>
      </c>
      <c r="Q3252" s="5" t="str">
        <f t="shared" si="209"/>
        <v>Employed</v>
      </c>
      <c r="R3252">
        <v>1</v>
      </c>
      <c r="S3252">
        <v>0</v>
      </c>
      <c r="T3252">
        <v>1</v>
      </c>
      <c r="U3252">
        <v>0</v>
      </c>
      <c r="V3252" t="s">
        <v>38</v>
      </c>
      <c r="W3252">
        <v>2</v>
      </c>
    </row>
    <row r="3253" spans="1:23" x14ac:dyDescent="0.2">
      <c r="A3253">
        <v>5111106</v>
      </c>
      <c r="B3253" t="s">
        <v>18</v>
      </c>
      <c r="C3253" t="s">
        <v>19</v>
      </c>
      <c r="D3253" t="s">
        <v>20</v>
      </c>
      <c r="E3253">
        <v>0</v>
      </c>
      <c r="F3253">
        <v>202500</v>
      </c>
      <c r="G3253" t="s">
        <v>26</v>
      </c>
      <c r="H3253" t="s">
        <v>27</v>
      </c>
      <c r="I3253" t="s">
        <v>28</v>
      </c>
      <c r="J3253" t="s">
        <v>24</v>
      </c>
      <c r="K3253" s="6">
        <f t="shared" ca="1" si="208"/>
        <v>27939</v>
      </c>
      <c r="L3253">
        <v>-17822</v>
      </c>
      <c r="M3253" s="7">
        <f t="shared" ca="1" si="206"/>
        <v>48.793976728268312</v>
      </c>
      <c r="N3253" s="5" t="str">
        <f ca="1">VLOOKUP(Data!M3253,temp!$B$3:$C$9,2,1)</f>
        <v>40-50</v>
      </c>
      <c r="O3253">
        <v>-1730</v>
      </c>
      <c r="P3253" s="8">
        <f t="shared" si="207"/>
        <v>4.7364818617385351</v>
      </c>
      <c r="Q3253" s="5" t="str">
        <f t="shared" si="209"/>
        <v>Employed</v>
      </c>
      <c r="R3253">
        <v>1</v>
      </c>
      <c r="S3253">
        <v>0</v>
      </c>
      <c r="T3253">
        <v>0</v>
      </c>
      <c r="U3253">
        <v>0</v>
      </c>
      <c r="V3253" t="s">
        <v>32</v>
      </c>
      <c r="W3253">
        <v>2</v>
      </c>
    </row>
    <row r="3254" spans="1:23" x14ac:dyDescent="0.2">
      <c r="A3254">
        <v>5111117</v>
      </c>
      <c r="B3254" t="s">
        <v>18</v>
      </c>
      <c r="C3254" t="s">
        <v>19</v>
      </c>
      <c r="D3254" t="s">
        <v>20</v>
      </c>
      <c r="E3254">
        <v>1</v>
      </c>
      <c r="F3254">
        <v>315000</v>
      </c>
      <c r="G3254" t="s">
        <v>31</v>
      </c>
      <c r="H3254" t="s">
        <v>22</v>
      </c>
      <c r="I3254" t="s">
        <v>28</v>
      </c>
      <c r="J3254" t="s">
        <v>24</v>
      </c>
      <c r="K3254" s="6">
        <f t="shared" ca="1" si="208"/>
        <v>34159</v>
      </c>
      <c r="L3254">
        <v>-11602</v>
      </c>
      <c r="M3254" s="7">
        <f t="shared" ca="1" si="206"/>
        <v>31.76454483230664</v>
      </c>
      <c r="N3254" s="5" t="str">
        <f ca="1">VLOOKUP(Data!M3254,temp!$B$3:$C$9,2,1)</f>
        <v>30-40</v>
      </c>
      <c r="O3254">
        <v>-1455</v>
      </c>
      <c r="P3254" s="8">
        <f t="shared" si="207"/>
        <v>3.9835728952772076</v>
      </c>
      <c r="Q3254" s="5" t="str">
        <f t="shared" si="209"/>
        <v>Employed</v>
      </c>
      <c r="R3254">
        <v>1</v>
      </c>
      <c r="S3254">
        <v>0</v>
      </c>
      <c r="T3254">
        <v>0</v>
      </c>
      <c r="U3254">
        <v>0</v>
      </c>
      <c r="V3254" t="s">
        <v>32</v>
      </c>
      <c r="W3254">
        <v>3</v>
      </c>
    </row>
    <row r="3255" spans="1:23" x14ac:dyDescent="0.2">
      <c r="A3255">
        <v>5111126</v>
      </c>
      <c r="B3255" t="s">
        <v>18</v>
      </c>
      <c r="C3255" t="s">
        <v>19</v>
      </c>
      <c r="D3255" t="s">
        <v>20</v>
      </c>
      <c r="E3255">
        <v>0</v>
      </c>
      <c r="F3255">
        <v>202500</v>
      </c>
      <c r="G3255" t="s">
        <v>31</v>
      </c>
      <c r="H3255" t="s">
        <v>22</v>
      </c>
      <c r="I3255" t="s">
        <v>33</v>
      </c>
      <c r="J3255" t="s">
        <v>24</v>
      </c>
      <c r="K3255" s="6">
        <f t="shared" ca="1" si="208"/>
        <v>30163</v>
      </c>
      <c r="L3255">
        <v>-15598</v>
      </c>
      <c r="M3255" s="7">
        <f t="shared" ca="1" si="206"/>
        <v>42.704996577686515</v>
      </c>
      <c r="N3255" s="5" t="str">
        <f ca="1">VLOOKUP(Data!M3255,temp!$B$3:$C$9,2,1)</f>
        <v>40-50</v>
      </c>
      <c r="O3255">
        <v>-7786</v>
      </c>
      <c r="P3255" s="8">
        <f t="shared" si="207"/>
        <v>21.316906228610542</v>
      </c>
      <c r="Q3255" s="5" t="str">
        <f t="shared" si="209"/>
        <v>Employed</v>
      </c>
      <c r="R3255">
        <v>1</v>
      </c>
      <c r="S3255">
        <v>1</v>
      </c>
      <c r="T3255">
        <v>1</v>
      </c>
      <c r="U3255">
        <v>0</v>
      </c>
      <c r="V3255" t="s">
        <v>38</v>
      </c>
      <c r="W3255">
        <v>1</v>
      </c>
    </row>
    <row r="3256" spans="1:23" x14ac:dyDescent="0.2">
      <c r="A3256">
        <v>5111142</v>
      </c>
      <c r="B3256" t="s">
        <v>25</v>
      </c>
      <c r="C3256" t="s">
        <v>20</v>
      </c>
      <c r="D3256" t="s">
        <v>20</v>
      </c>
      <c r="E3256">
        <v>1</v>
      </c>
      <c r="F3256">
        <v>180000</v>
      </c>
      <c r="G3256" t="s">
        <v>31</v>
      </c>
      <c r="H3256" t="s">
        <v>27</v>
      </c>
      <c r="I3256" t="s">
        <v>37</v>
      </c>
      <c r="J3256" t="s">
        <v>24</v>
      </c>
      <c r="K3256" s="6">
        <f t="shared" ca="1" si="208"/>
        <v>30634</v>
      </c>
      <c r="L3256">
        <v>-15127</v>
      </c>
      <c r="M3256" s="7">
        <f t="shared" ca="1" si="206"/>
        <v>41.4154688569473</v>
      </c>
      <c r="N3256" s="5" t="str">
        <f ca="1">VLOOKUP(Data!M3256,temp!$B$3:$C$9,2,1)</f>
        <v>40-50</v>
      </c>
      <c r="O3256">
        <v>-5776</v>
      </c>
      <c r="P3256" s="8">
        <f t="shared" si="207"/>
        <v>15.813826146475018</v>
      </c>
      <c r="Q3256" s="5" t="str">
        <f t="shared" si="209"/>
        <v>Employed</v>
      </c>
      <c r="R3256">
        <v>1</v>
      </c>
      <c r="S3256">
        <v>0</v>
      </c>
      <c r="T3256">
        <v>0</v>
      </c>
      <c r="U3256">
        <v>0</v>
      </c>
      <c r="W3256">
        <v>3</v>
      </c>
    </row>
    <row r="3257" spans="1:23" x14ac:dyDescent="0.2">
      <c r="A3257">
        <v>5111155</v>
      </c>
      <c r="B3257" t="s">
        <v>18</v>
      </c>
      <c r="C3257" t="s">
        <v>19</v>
      </c>
      <c r="D3257" t="s">
        <v>20</v>
      </c>
      <c r="E3257">
        <v>0</v>
      </c>
      <c r="F3257">
        <v>157500</v>
      </c>
      <c r="G3257" t="s">
        <v>35</v>
      </c>
      <c r="H3257" t="s">
        <v>27</v>
      </c>
      <c r="I3257" t="s">
        <v>37</v>
      </c>
      <c r="J3257" t="s">
        <v>24</v>
      </c>
      <c r="K3257" s="6">
        <f t="shared" ca="1" si="208"/>
        <v>31311</v>
      </c>
      <c r="L3257">
        <v>-14450</v>
      </c>
      <c r="M3257" s="7">
        <f t="shared" ca="1" si="206"/>
        <v>39.561943874058862</v>
      </c>
      <c r="N3257" s="5" t="str">
        <f ca="1">VLOOKUP(Data!M3257,temp!$B$3:$C$9,2,1)</f>
        <v>30-40</v>
      </c>
      <c r="O3257">
        <v>-634</v>
      </c>
      <c r="P3257" s="8">
        <f t="shared" si="207"/>
        <v>1.7357973990417521</v>
      </c>
      <c r="Q3257" s="5" t="str">
        <f t="shared" si="209"/>
        <v>Employed</v>
      </c>
      <c r="R3257">
        <v>1</v>
      </c>
      <c r="S3257">
        <v>0</v>
      </c>
      <c r="T3257">
        <v>0</v>
      </c>
      <c r="U3257">
        <v>0</v>
      </c>
      <c r="W3257">
        <v>2</v>
      </c>
    </row>
    <row r="3258" spans="1:23" x14ac:dyDescent="0.2">
      <c r="A3258">
        <v>5111186</v>
      </c>
      <c r="B3258" t="s">
        <v>18</v>
      </c>
      <c r="C3258" t="s">
        <v>20</v>
      </c>
      <c r="D3258" t="s">
        <v>19</v>
      </c>
      <c r="E3258">
        <v>1</v>
      </c>
      <c r="F3258">
        <v>225000</v>
      </c>
      <c r="G3258" t="s">
        <v>31</v>
      </c>
      <c r="H3258" t="s">
        <v>22</v>
      </c>
      <c r="I3258" t="s">
        <v>28</v>
      </c>
      <c r="J3258" t="s">
        <v>41</v>
      </c>
      <c r="K3258" s="6">
        <f t="shared" ca="1" si="208"/>
        <v>34802</v>
      </c>
      <c r="L3258">
        <v>-10959</v>
      </c>
      <c r="M3258" s="7">
        <f t="shared" ca="1" si="206"/>
        <v>30.004106776180699</v>
      </c>
      <c r="N3258" s="5" t="str">
        <f ca="1">VLOOKUP(Data!M3258,temp!$B$3:$C$9,2,1)</f>
        <v>30-40</v>
      </c>
      <c r="O3258">
        <v>-1881</v>
      </c>
      <c r="P3258" s="8">
        <f t="shared" si="207"/>
        <v>5.1498973305954827</v>
      </c>
      <c r="Q3258" s="5" t="str">
        <f t="shared" si="209"/>
        <v>Employed</v>
      </c>
      <c r="R3258">
        <v>1</v>
      </c>
      <c r="S3258">
        <v>0</v>
      </c>
      <c r="T3258">
        <v>0</v>
      </c>
      <c r="U3258">
        <v>0</v>
      </c>
      <c r="V3258" t="s">
        <v>52</v>
      </c>
      <c r="W3258">
        <v>3</v>
      </c>
    </row>
    <row r="3259" spans="1:23" x14ac:dyDescent="0.2">
      <c r="A3259">
        <v>5111191</v>
      </c>
      <c r="B3259" t="s">
        <v>18</v>
      </c>
      <c r="C3259" t="s">
        <v>19</v>
      </c>
      <c r="D3259" t="s">
        <v>20</v>
      </c>
      <c r="E3259">
        <v>0</v>
      </c>
      <c r="F3259">
        <v>216000</v>
      </c>
      <c r="G3259" t="s">
        <v>31</v>
      </c>
      <c r="H3259" t="s">
        <v>27</v>
      </c>
      <c r="I3259" t="s">
        <v>28</v>
      </c>
      <c r="J3259" t="s">
        <v>24</v>
      </c>
      <c r="K3259" s="6">
        <f t="shared" ca="1" si="208"/>
        <v>26888</v>
      </c>
      <c r="L3259">
        <v>-18873</v>
      </c>
      <c r="M3259" s="7">
        <f t="shared" ca="1" si="206"/>
        <v>51.671457905544145</v>
      </c>
      <c r="N3259" s="5" t="str">
        <f ca="1">VLOOKUP(Data!M3259,temp!$B$3:$C$9,2,1)</f>
        <v>50-60</v>
      </c>
      <c r="O3259">
        <v>-12169</v>
      </c>
      <c r="P3259" s="8">
        <f t="shared" si="207"/>
        <v>33.316906228610542</v>
      </c>
      <c r="Q3259" s="5" t="str">
        <f t="shared" si="209"/>
        <v>Employed</v>
      </c>
      <c r="R3259">
        <v>1</v>
      </c>
      <c r="S3259">
        <v>1</v>
      </c>
      <c r="T3259">
        <v>1</v>
      </c>
      <c r="U3259">
        <v>1</v>
      </c>
      <c r="V3259" t="s">
        <v>29</v>
      </c>
      <c r="W3259">
        <v>2</v>
      </c>
    </row>
    <row r="3260" spans="1:23" x14ac:dyDescent="0.2">
      <c r="A3260">
        <v>5112594</v>
      </c>
      <c r="B3260" t="s">
        <v>18</v>
      </c>
      <c r="C3260" t="s">
        <v>19</v>
      </c>
      <c r="D3260" t="s">
        <v>20</v>
      </c>
      <c r="E3260">
        <v>0</v>
      </c>
      <c r="F3260">
        <v>103500</v>
      </c>
      <c r="G3260" t="s">
        <v>31</v>
      </c>
      <c r="H3260" t="s">
        <v>27</v>
      </c>
      <c r="I3260" t="s">
        <v>28</v>
      </c>
      <c r="J3260" t="s">
        <v>24</v>
      </c>
      <c r="K3260" s="6">
        <f t="shared" ca="1" si="208"/>
        <v>23295</v>
      </c>
      <c r="L3260">
        <v>-22466</v>
      </c>
      <c r="M3260" s="7">
        <f t="shared" ca="1" si="206"/>
        <v>61.508555783709788</v>
      </c>
      <c r="N3260" s="5" t="str">
        <f ca="1">VLOOKUP(Data!M3260,temp!$B$3:$C$9,2,1)</f>
        <v>60-70</v>
      </c>
      <c r="O3260">
        <v>-12870</v>
      </c>
      <c r="P3260" s="8">
        <f t="shared" si="207"/>
        <v>35.236139630390142</v>
      </c>
      <c r="Q3260" s="5" t="str">
        <f t="shared" si="209"/>
        <v>Employed</v>
      </c>
      <c r="R3260">
        <v>1</v>
      </c>
      <c r="S3260">
        <v>1</v>
      </c>
      <c r="T3260">
        <v>1</v>
      </c>
      <c r="U3260">
        <v>0</v>
      </c>
      <c r="V3260" t="s">
        <v>32</v>
      </c>
      <c r="W3260">
        <v>2</v>
      </c>
    </row>
    <row r="3261" spans="1:23" x14ac:dyDescent="0.2">
      <c r="A3261">
        <v>5112609</v>
      </c>
      <c r="B3261" t="s">
        <v>18</v>
      </c>
      <c r="C3261" t="s">
        <v>19</v>
      </c>
      <c r="D3261" t="s">
        <v>20</v>
      </c>
      <c r="E3261">
        <v>0</v>
      </c>
      <c r="F3261">
        <v>135000</v>
      </c>
      <c r="G3261" t="s">
        <v>35</v>
      </c>
      <c r="H3261" t="s">
        <v>22</v>
      </c>
      <c r="I3261" t="s">
        <v>28</v>
      </c>
      <c r="J3261" t="s">
        <v>24</v>
      </c>
      <c r="K3261" s="6">
        <f t="shared" ca="1" si="208"/>
        <v>26797</v>
      </c>
      <c r="L3261">
        <v>-18964</v>
      </c>
      <c r="M3261" s="7">
        <f t="shared" ca="1" si="206"/>
        <v>51.920602327173171</v>
      </c>
      <c r="N3261" s="5" t="str">
        <f ca="1">VLOOKUP(Data!M3261,temp!$B$3:$C$9,2,1)</f>
        <v>50-60</v>
      </c>
      <c r="O3261">
        <v>-8671</v>
      </c>
      <c r="P3261" s="8">
        <f t="shared" si="207"/>
        <v>23.739904175222449</v>
      </c>
      <c r="Q3261" s="5" t="str">
        <f t="shared" si="209"/>
        <v>Employed</v>
      </c>
      <c r="R3261">
        <v>1</v>
      </c>
      <c r="S3261">
        <v>0</v>
      </c>
      <c r="T3261">
        <v>1</v>
      </c>
      <c r="U3261">
        <v>0</v>
      </c>
      <c r="V3261" t="s">
        <v>38</v>
      </c>
      <c r="W3261">
        <v>2</v>
      </c>
    </row>
    <row r="3262" spans="1:23" x14ac:dyDescent="0.2">
      <c r="A3262">
        <v>5112629</v>
      </c>
      <c r="B3262" t="s">
        <v>18</v>
      </c>
      <c r="C3262" t="s">
        <v>19</v>
      </c>
      <c r="D3262" t="s">
        <v>20</v>
      </c>
      <c r="E3262">
        <v>0</v>
      </c>
      <c r="F3262">
        <v>675000</v>
      </c>
      <c r="G3262" t="s">
        <v>26</v>
      </c>
      <c r="H3262" t="s">
        <v>22</v>
      </c>
      <c r="I3262" t="s">
        <v>28</v>
      </c>
      <c r="J3262" t="s">
        <v>24</v>
      </c>
      <c r="K3262" s="6">
        <f t="shared" ca="1" si="208"/>
        <v>26063</v>
      </c>
      <c r="L3262">
        <v>-19698</v>
      </c>
      <c r="M3262" s="7">
        <f t="shared" ca="1" si="206"/>
        <v>53.930184804928132</v>
      </c>
      <c r="N3262" s="5" t="str">
        <f ca="1">VLOOKUP(Data!M3262,temp!$B$3:$C$9,2,1)</f>
        <v>50-60</v>
      </c>
      <c r="O3262">
        <v>-4441</v>
      </c>
      <c r="P3262" s="8">
        <f t="shared" si="207"/>
        <v>12.158795345653662</v>
      </c>
      <c r="Q3262" s="5" t="str">
        <f t="shared" si="209"/>
        <v>Employed</v>
      </c>
      <c r="R3262">
        <v>1</v>
      </c>
      <c r="S3262">
        <v>0</v>
      </c>
      <c r="T3262">
        <v>1</v>
      </c>
      <c r="U3262">
        <v>0</v>
      </c>
      <c r="V3262" t="s">
        <v>32</v>
      </c>
      <c r="W3262">
        <v>2</v>
      </c>
    </row>
    <row r="3263" spans="1:23" x14ac:dyDescent="0.2">
      <c r="A3263">
        <v>5112630</v>
      </c>
      <c r="B3263" t="s">
        <v>18</v>
      </c>
      <c r="C3263" t="s">
        <v>19</v>
      </c>
      <c r="D3263" t="s">
        <v>20</v>
      </c>
      <c r="E3263">
        <v>0</v>
      </c>
      <c r="F3263">
        <v>675000</v>
      </c>
      <c r="G3263" t="s">
        <v>26</v>
      </c>
      <c r="H3263" t="s">
        <v>22</v>
      </c>
      <c r="I3263" t="s">
        <v>28</v>
      </c>
      <c r="J3263" t="s">
        <v>24</v>
      </c>
      <c r="K3263" s="6">
        <f t="shared" ca="1" si="208"/>
        <v>26063</v>
      </c>
      <c r="L3263">
        <v>-19698</v>
      </c>
      <c r="M3263" s="7">
        <f t="shared" ca="1" si="206"/>
        <v>53.930184804928132</v>
      </c>
      <c r="N3263" s="5" t="str">
        <f ca="1">VLOOKUP(Data!M3263,temp!$B$3:$C$9,2,1)</f>
        <v>50-60</v>
      </c>
      <c r="O3263">
        <v>-4441</v>
      </c>
      <c r="P3263" s="8">
        <f t="shared" si="207"/>
        <v>12.158795345653662</v>
      </c>
      <c r="Q3263" s="5" t="str">
        <f t="shared" si="209"/>
        <v>Employed</v>
      </c>
      <c r="R3263">
        <v>1</v>
      </c>
      <c r="S3263">
        <v>0</v>
      </c>
      <c r="T3263">
        <v>1</v>
      </c>
      <c r="U3263">
        <v>0</v>
      </c>
      <c r="V3263" t="s">
        <v>32</v>
      </c>
      <c r="W3263">
        <v>2</v>
      </c>
    </row>
    <row r="3264" spans="1:23" x14ac:dyDescent="0.2">
      <c r="A3264">
        <v>5112637</v>
      </c>
      <c r="B3264" t="s">
        <v>18</v>
      </c>
      <c r="C3264" t="s">
        <v>19</v>
      </c>
      <c r="D3264" t="s">
        <v>20</v>
      </c>
      <c r="E3264">
        <v>0</v>
      </c>
      <c r="F3264">
        <v>157500</v>
      </c>
      <c r="G3264" t="s">
        <v>35</v>
      </c>
      <c r="H3264" t="s">
        <v>27</v>
      </c>
      <c r="I3264" t="s">
        <v>37</v>
      </c>
      <c r="J3264" t="s">
        <v>24</v>
      </c>
      <c r="K3264" s="6">
        <f t="shared" ca="1" si="208"/>
        <v>32819</v>
      </c>
      <c r="L3264">
        <v>-12942</v>
      </c>
      <c r="M3264" s="7">
        <f t="shared" ca="1" si="206"/>
        <v>35.433264887063658</v>
      </c>
      <c r="N3264" s="5" t="str">
        <f ca="1">VLOOKUP(Data!M3264,temp!$B$3:$C$9,2,1)</f>
        <v>30-40</v>
      </c>
      <c r="O3264">
        <v>-3253</v>
      </c>
      <c r="P3264" s="8">
        <f t="shared" si="207"/>
        <v>8.906228610540726</v>
      </c>
      <c r="Q3264" s="5" t="str">
        <f t="shared" si="209"/>
        <v>Employed</v>
      </c>
      <c r="R3264">
        <v>1</v>
      </c>
      <c r="S3264">
        <v>0</v>
      </c>
      <c r="T3264">
        <v>0</v>
      </c>
      <c r="U3264">
        <v>0</v>
      </c>
      <c r="W3264">
        <v>2</v>
      </c>
    </row>
    <row r="3265" spans="1:23" x14ac:dyDescent="0.2">
      <c r="A3265">
        <v>5112639</v>
      </c>
      <c r="B3265" t="s">
        <v>18</v>
      </c>
      <c r="C3265" t="s">
        <v>19</v>
      </c>
      <c r="D3265" t="s">
        <v>20</v>
      </c>
      <c r="E3265">
        <v>0</v>
      </c>
      <c r="F3265">
        <v>157500</v>
      </c>
      <c r="G3265" t="s">
        <v>35</v>
      </c>
      <c r="H3265" t="s">
        <v>27</v>
      </c>
      <c r="I3265" t="s">
        <v>37</v>
      </c>
      <c r="J3265" t="s">
        <v>24</v>
      </c>
      <c r="K3265" s="6">
        <f t="shared" ca="1" si="208"/>
        <v>32819</v>
      </c>
      <c r="L3265">
        <v>-12942</v>
      </c>
      <c r="M3265" s="7">
        <f t="shared" ca="1" si="206"/>
        <v>35.433264887063658</v>
      </c>
      <c r="N3265" s="5" t="str">
        <f ca="1">VLOOKUP(Data!M3265,temp!$B$3:$C$9,2,1)</f>
        <v>30-40</v>
      </c>
      <c r="O3265">
        <v>-3253</v>
      </c>
      <c r="P3265" s="8">
        <f t="shared" si="207"/>
        <v>8.906228610540726</v>
      </c>
      <c r="Q3265" s="5" t="str">
        <f t="shared" si="209"/>
        <v>Employed</v>
      </c>
      <c r="R3265">
        <v>1</v>
      </c>
      <c r="S3265">
        <v>0</v>
      </c>
      <c r="T3265">
        <v>0</v>
      </c>
      <c r="U3265">
        <v>0</v>
      </c>
      <c r="W3265">
        <v>2</v>
      </c>
    </row>
    <row r="3266" spans="1:23" x14ac:dyDescent="0.2">
      <c r="A3266">
        <v>5112647</v>
      </c>
      <c r="B3266" t="s">
        <v>18</v>
      </c>
      <c r="C3266" t="s">
        <v>19</v>
      </c>
      <c r="D3266" t="s">
        <v>19</v>
      </c>
      <c r="E3266">
        <v>0</v>
      </c>
      <c r="F3266">
        <v>67500</v>
      </c>
      <c r="G3266" t="s">
        <v>31</v>
      </c>
      <c r="H3266" t="s">
        <v>27</v>
      </c>
      <c r="I3266" t="s">
        <v>28</v>
      </c>
      <c r="J3266" t="s">
        <v>41</v>
      </c>
      <c r="K3266" s="6">
        <f t="shared" ca="1" si="208"/>
        <v>29579</v>
      </c>
      <c r="L3266">
        <v>-16182</v>
      </c>
      <c r="M3266" s="7">
        <f t="shared" ca="1" si="206"/>
        <v>44.303901437371664</v>
      </c>
      <c r="N3266" s="5" t="str">
        <f ca="1">VLOOKUP(Data!M3266,temp!$B$3:$C$9,2,1)</f>
        <v>40-50</v>
      </c>
      <c r="O3266">
        <v>-2827</v>
      </c>
      <c r="P3266" s="8">
        <f t="shared" si="207"/>
        <v>7.73990417522245</v>
      </c>
      <c r="Q3266" s="5" t="str">
        <f t="shared" si="209"/>
        <v>Employed</v>
      </c>
      <c r="R3266">
        <v>1</v>
      </c>
      <c r="S3266">
        <v>1</v>
      </c>
      <c r="T3266">
        <v>1</v>
      </c>
      <c r="U3266">
        <v>0</v>
      </c>
      <c r="V3266" t="s">
        <v>55</v>
      </c>
      <c r="W3266">
        <v>2</v>
      </c>
    </row>
    <row r="3267" spans="1:23" x14ac:dyDescent="0.2">
      <c r="A3267">
        <v>5112648</v>
      </c>
      <c r="B3267" t="s">
        <v>18</v>
      </c>
      <c r="C3267" t="s">
        <v>19</v>
      </c>
      <c r="D3267" t="s">
        <v>19</v>
      </c>
      <c r="E3267">
        <v>0</v>
      </c>
      <c r="F3267">
        <v>67500</v>
      </c>
      <c r="G3267" t="s">
        <v>31</v>
      </c>
      <c r="H3267" t="s">
        <v>27</v>
      </c>
      <c r="I3267" t="s">
        <v>28</v>
      </c>
      <c r="J3267" t="s">
        <v>41</v>
      </c>
      <c r="K3267" s="6">
        <f t="shared" ca="1" si="208"/>
        <v>29579</v>
      </c>
      <c r="L3267">
        <v>-16182</v>
      </c>
      <c r="M3267" s="7">
        <f t="shared" ref="M3267:M3330" ca="1" si="210">(TODAY()-K3267)/365.25</f>
        <v>44.303901437371664</v>
      </c>
      <c r="N3267" s="5" t="str">
        <f ca="1">VLOOKUP(Data!M3267,temp!$B$3:$C$9,2,1)</f>
        <v>40-50</v>
      </c>
      <c r="O3267">
        <v>-2827</v>
      </c>
      <c r="P3267" s="8">
        <f t="shared" ref="P3267:P3330" si="211">IF(O3267&lt;=0,ABS(O3267)/365.25,0)</f>
        <v>7.73990417522245</v>
      </c>
      <c r="Q3267" s="5" t="str">
        <f t="shared" si="209"/>
        <v>Employed</v>
      </c>
      <c r="R3267">
        <v>1</v>
      </c>
      <c r="S3267">
        <v>1</v>
      </c>
      <c r="T3267">
        <v>1</v>
      </c>
      <c r="U3267">
        <v>0</v>
      </c>
      <c r="V3267" t="s">
        <v>55</v>
      </c>
      <c r="W3267">
        <v>2</v>
      </c>
    </row>
    <row r="3268" spans="1:23" x14ac:dyDescent="0.2">
      <c r="A3268">
        <v>5112661</v>
      </c>
      <c r="B3268" t="s">
        <v>18</v>
      </c>
      <c r="C3268" t="s">
        <v>19</v>
      </c>
      <c r="D3268" t="s">
        <v>19</v>
      </c>
      <c r="E3268">
        <v>1</v>
      </c>
      <c r="F3268">
        <v>135000</v>
      </c>
      <c r="G3268" t="s">
        <v>26</v>
      </c>
      <c r="H3268" t="s">
        <v>27</v>
      </c>
      <c r="I3268" t="s">
        <v>28</v>
      </c>
      <c r="J3268" t="s">
        <v>24</v>
      </c>
      <c r="K3268" s="6">
        <f t="shared" ca="1" si="208"/>
        <v>33492</v>
      </c>
      <c r="L3268">
        <v>-12269</v>
      </c>
      <c r="M3268" s="7">
        <f t="shared" ca="1" si="210"/>
        <v>33.590691307323752</v>
      </c>
      <c r="N3268" s="5" t="str">
        <f ca="1">VLOOKUP(Data!M3268,temp!$B$3:$C$9,2,1)</f>
        <v>30-40</v>
      </c>
      <c r="O3268">
        <v>-604</v>
      </c>
      <c r="P3268" s="8">
        <f t="shared" si="211"/>
        <v>1.6536618754277892</v>
      </c>
      <c r="Q3268" s="5" t="str">
        <f t="shared" si="209"/>
        <v>Employed</v>
      </c>
      <c r="R3268">
        <v>1</v>
      </c>
      <c r="S3268">
        <v>0</v>
      </c>
      <c r="T3268">
        <v>0</v>
      </c>
      <c r="U3268">
        <v>0</v>
      </c>
      <c r="V3268" t="s">
        <v>32</v>
      </c>
      <c r="W3268">
        <v>3</v>
      </c>
    </row>
    <row r="3269" spans="1:23" x14ac:dyDescent="0.2">
      <c r="A3269">
        <v>5112672</v>
      </c>
      <c r="B3269" t="s">
        <v>18</v>
      </c>
      <c r="C3269" t="s">
        <v>19</v>
      </c>
      <c r="D3269" t="s">
        <v>20</v>
      </c>
      <c r="E3269">
        <v>0</v>
      </c>
      <c r="F3269">
        <v>148500</v>
      </c>
      <c r="G3269" t="s">
        <v>31</v>
      </c>
      <c r="H3269" t="s">
        <v>27</v>
      </c>
      <c r="I3269" t="s">
        <v>33</v>
      </c>
      <c r="J3269" t="s">
        <v>24</v>
      </c>
      <c r="K3269" s="6">
        <f t="shared" ca="1" si="208"/>
        <v>25935</v>
      </c>
      <c r="L3269">
        <v>-19826</v>
      </c>
      <c r="M3269" s="7">
        <f t="shared" ca="1" si="210"/>
        <v>54.280629705681044</v>
      </c>
      <c r="N3269" s="5" t="str">
        <f ca="1">VLOOKUP(Data!M3269,temp!$B$3:$C$9,2,1)</f>
        <v>50-60</v>
      </c>
      <c r="O3269">
        <v>-2888</v>
      </c>
      <c r="P3269" s="8">
        <f t="shared" si="211"/>
        <v>7.9069130732375088</v>
      </c>
      <c r="Q3269" s="5" t="str">
        <f t="shared" si="209"/>
        <v>Employed</v>
      </c>
      <c r="R3269">
        <v>1</v>
      </c>
      <c r="S3269">
        <v>0</v>
      </c>
      <c r="T3269">
        <v>0</v>
      </c>
      <c r="U3269">
        <v>1</v>
      </c>
      <c r="V3269" t="s">
        <v>47</v>
      </c>
      <c r="W3269">
        <v>1</v>
      </c>
    </row>
    <row r="3270" spans="1:23" x14ac:dyDescent="0.2">
      <c r="A3270">
        <v>5112683</v>
      </c>
      <c r="B3270" t="s">
        <v>18</v>
      </c>
      <c r="C3270" t="s">
        <v>19</v>
      </c>
      <c r="D3270" t="s">
        <v>20</v>
      </c>
      <c r="E3270">
        <v>0</v>
      </c>
      <c r="F3270">
        <v>135000</v>
      </c>
      <c r="G3270" t="s">
        <v>21</v>
      </c>
      <c r="H3270" t="s">
        <v>27</v>
      </c>
      <c r="I3270" t="s">
        <v>28</v>
      </c>
      <c r="J3270" t="s">
        <v>24</v>
      </c>
      <c r="K3270" s="6">
        <f t="shared" ca="1" si="208"/>
        <v>24387</v>
      </c>
      <c r="L3270">
        <v>-21374</v>
      </c>
      <c r="M3270" s="7">
        <f t="shared" ca="1" si="210"/>
        <v>58.518822724161531</v>
      </c>
      <c r="N3270" s="5" t="str">
        <f ca="1">VLOOKUP(Data!M3270,temp!$B$3:$C$9,2,1)</f>
        <v>50-60</v>
      </c>
      <c r="O3270">
        <v>365243</v>
      </c>
      <c r="P3270" s="8">
        <f t="shared" si="211"/>
        <v>0</v>
      </c>
      <c r="Q3270" s="5" t="str">
        <f t="shared" si="209"/>
        <v>Unemployed</v>
      </c>
      <c r="R3270">
        <v>1</v>
      </c>
      <c r="S3270">
        <v>0</v>
      </c>
      <c r="T3270">
        <v>0</v>
      </c>
      <c r="U3270">
        <v>0</v>
      </c>
      <c r="W3270">
        <v>2</v>
      </c>
    </row>
    <row r="3271" spans="1:23" x14ac:dyDescent="0.2">
      <c r="A3271">
        <v>5112688</v>
      </c>
      <c r="B3271" t="s">
        <v>18</v>
      </c>
      <c r="C3271" t="s">
        <v>19</v>
      </c>
      <c r="D3271" t="s">
        <v>20</v>
      </c>
      <c r="E3271">
        <v>0</v>
      </c>
      <c r="F3271">
        <v>135000</v>
      </c>
      <c r="G3271" t="s">
        <v>21</v>
      </c>
      <c r="H3271" t="s">
        <v>27</v>
      </c>
      <c r="I3271" t="s">
        <v>28</v>
      </c>
      <c r="J3271" t="s">
        <v>24</v>
      </c>
      <c r="K3271" s="6">
        <f t="shared" ca="1" si="208"/>
        <v>24387</v>
      </c>
      <c r="L3271">
        <v>-21374</v>
      </c>
      <c r="M3271" s="7">
        <f t="shared" ca="1" si="210"/>
        <v>58.518822724161531</v>
      </c>
      <c r="N3271" s="5" t="str">
        <f ca="1">VLOOKUP(Data!M3271,temp!$B$3:$C$9,2,1)</f>
        <v>50-60</v>
      </c>
      <c r="O3271">
        <v>365243</v>
      </c>
      <c r="P3271" s="8">
        <f t="shared" si="211"/>
        <v>0</v>
      </c>
      <c r="Q3271" s="5" t="str">
        <f t="shared" si="209"/>
        <v>Unemployed</v>
      </c>
      <c r="R3271">
        <v>1</v>
      </c>
      <c r="S3271">
        <v>0</v>
      </c>
      <c r="T3271">
        <v>0</v>
      </c>
      <c r="U3271">
        <v>0</v>
      </c>
      <c r="W3271">
        <v>2</v>
      </c>
    </row>
    <row r="3272" spans="1:23" x14ac:dyDescent="0.2">
      <c r="A3272">
        <v>5112691</v>
      </c>
      <c r="B3272" t="s">
        <v>18</v>
      </c>
      <c r="C3272" t="s">
        <v>19</v>
      </c>
      <c r="D3272" t="s">
        <v>20</v>
      </c>
      <c r="E3272">
        <v>0</v>
      </c>
      <c r="F3272">
        <v>135000</v>
      </c>
      <c r="G3272" t="s">
        <v>21</v>
      </c>
      <c r="H3272" t="s">
        <v>27</v>
      </c>
      <c r="I3272" t="s">
        <v>28</v>
      </c>
      <c r="J3272" t="s">
        <v>24</v>
      </c>
      <c r="K3272" s="6">
        <f t="shared" ref="K3272:K3335" ca="1" si="212">TODAY()+($L3272)</f>
        <v>24387</v>
      </c>
      <c r="L3272">
        <v>-21374</v>
      </c>
      <c r="M3272" s="7">
        <f t="shared" ca="1" si="210"/>
        <v>58.518822724161531</v>
      </c>
      <c r="N3272" s="5" t="str">
        <f ca="1">VLOOKUP(Data!M3272,temp!$B$3:$C$9,2,1)</f>
        <v>50-60</v>
      </c>
      <c r="O3272">
        <v>365243</v>
      </c>
      <c r="P3272" s="8">
        <f t="shared" si="211"/>
        <v>0</v>
      </c>
      <c r="Q3272" s="5" t="str">
        <f t="shared" ref="Q3272:Q3335" si="213">IF($O3272&gt;0,"Unemployed","Employed")</f>
        <v>Unemployed</v>
      </c>
      <c r="R3272">
        <v>1</v>
      </c>
      <c r="S3272">
        <v>0</v>
      </c>
      <c r="T3272">
        <v>0</v>
      </c>
      <c r="U3272">
        <v>0</v>
      </c>
      <c r="W3272">
        <v>2</v>
      </c>
    </row>
    <row r="3273" spans="1:23" x14ac:dyDescent="0.2">
      <c r="A3273">
        <v>5112695</v>
      </c>
      <c r="B3273" t="s">
        <v>18</v>
      </c>
      <c r="C3273" t="s">
        <v>19</v>
      </c>
      <c r="D3273" t="s">
        <v>20</v>
      </c>
      <c r="E3273">
        <v>0</v>
      </c>
      <c r="F3273">
        <v>135000</v>
      </c>
      <c r="G3273" t="s">
        <v>26</v>
      </c>
      <c r="H3273" t="s">
        <v>27</v>
      </c>
      <c r="I3273" t="s">
        <v>33</v>
      </c>
      <c r="J3273" t="s">
        <v>24</v>
      </c>
      <c r="K3273" s="6">
        <f t="shared" ca="1" si="212"/>
        <v>28554</v>
      </c>
      <c r="L3273">
        <v>-17207</v>
      </c>
      <c r="M3273" s="7">
        <f t="shared" ca="1" si="210"/>
        <v>47.110198494182065</v>
      </c>
      <c r="N3273" s="5" t="str">
        <f ca="1">VLOOKUP(Data!M3273,temp!$B$3:$C$9,2,1)</f>
        <v>40-50</v>
      </c>
      <c r="O3273">
        <v>-2796</v>
      </c>
      <c r="P3273" s="8">
        <f t="shared" si="211"/>
        <v>7.655030800821355</v>
      </c>
      <c r="Q3273" s="5" t="str">
        <f t="shared" si="213"/>
        <v>Employed</v>
      </c>
      <c r="R3273">
        <v>1</v>
      </c>
      <c r="S3273">
        <v>0</v>
      </c>
      <c r="T3273">
        <v>0</v>
      </c>
      <c r="U3273">
        <v>0</v>
      </c>
      <c r="V3273" t="s">
        <v>39</v>
      </c>
      <c r="W3273">
        <v>1</v>
      </c>
    </row>
    <row r="3274" spans="1:23" x14ac:dyDescent="0.2">
      <c r="A3274">
        <v>5112722</v>
      </c>
      <c r="B3274" t="s">
        <v>25</v>
      </c>
      <c r="C3274" t="s">
        <v>19</v>
      </c>
      <c r="D3274" t="s">
        <v>20</v>
      </c>
      <c r="E3274">
        <v>0</v>
      </c>
      <c r="F3274">
        <v>450000</v>
      </c>
      <c r="G3274" t="s">
        <v>21</v>
      </c>
      <c r="H3274" t="s">
        <v>22</v>
      </c>
      <c r="I3274" t="s">
        <v>28</v>
      </c>
      <c r="J3274" t="s">
        <v>24</v>
      </c>
      <c r="K3274" s="6">
        <f t="shared" ca="1" si="212"/>
        <v>22307</v>
      </c>
      <c r="L3274">
        <v>-23454</v>
      </c>
      <c r="M3274" s="7">
        <f t="shared" ca="1" si="210"/>
        <v>64.21355236139631</v>
      </c>
      <c r="N3274" s="5" t="str">
        <f ca="1">VLOOKUP(Data!M3274,temp!$B$3:$C$9,2,1)</f>
        <v>60-70</v>
      </c>
      <c r="O3274">
        <v>365243</v>
      </c>
      <c r="P3274" s="8">
        <f t="shared" si="211"/>
        <v>0</v>
      </c>
      <c r="Q3274" s="5" t="str">
        <f t="shared" si="213"/>
        <v>Unemployed</v>
      </c>
      <c r="R3274">
        <v>1</v>
      </c>
      <c r="S3274">
        <v>0</v>
      </c>
      <c r="T3274">
        <v>1</v>
      </c>
      <c r="U3274">
        <v>0</v>
      </c>
      <c r="W3274">
        <v>2</v>
      </c>
    </row>
    <row r="3275" spans="1:23" x14ac:dyDescent="0.2">
      <c r="A3275">
        <v>5112745</v>
      </c>
      <c r="B3275" t="s">
        <v>25</v>
      </c>
      <c r="C3275" t="s">
        <v>20</v>
      </c>
      <c r="D3275" t="s">
        <v>20</v>
      </c>
      <c r="E3275">
        <v>0</v>
      </c>
      <c r="F3275">
        <v>315000</v>
      </c>
      <c r="G3275" t="s">
        <v>31</v>
      </c>
      <c r="H3275" t="s">
        <v>22</v>
      </c>
      <c r="I3275" t="s">
        <v>28</v>
      </c>
      <c r="J3275" t="s">
        <v>24</v>
      </c>
      <c r="K3275" s="6">
        <f t="shared" ca="1" si="212"/>
        <v>27426</v>
      </c>
      <c r="L3275">
        <v>-18335</v>
      </c>
      <c r="M3275" s="7">
        <f t="shared" ca="1" si="210"/>
        <v>50.19849418206708</v>
      </c>
      <c r="N3275" s="5" t="str">
        <f ca="1">VLOOKUP(Data!M3275,temp!$B$3:$C$9,2,1)</f>
        <v>50-60</v>
      </c>
      <c r="O3275">
        <v>-2796</v>
      </c>
      <c r="P3275" s="8">
        <f t="shared" si="211"/>
        <v>7.655030800821355</v>
      </c>
      <c r="Q3275" s="5" t="str">
        <f t="shared" si="213"/>
        <v>Employed</v>
      </c>
      <c r="R3275">
        <v>1</v>
      </c>
      <c r="S3275">
        <v>0</v>
      </c>
      <c r="T3275">
        <v>0</v>
      </c>
      <c r="U3275">
        <v>0</v>
      </c>
      <c r="V3275" t="s">
        <v>30</v>
      </c>
      <c r="W3275">
        <v>2</v>
      </c>
    </row>
    <row r="3276" spans="1:23" x14ac:dyDescent="0.2">
      <c r="A3276">
        <v>5112752</v>
      </c>
      <c r="B3276" t="s">
        <v>18</v>
      </c>
      <c r="C3276" t="s">
        <v>19</v>
      </c>
      <c r="D3276" t="s">
        <v>19</v>
      </c>
      <c r="E3276">
        <v>1</v>
      </c>
      <c r="F3276">
        <v>72000</v>
      </c>
      <c r="G3276" t="s">
        <v>31</v>
      </c>
      <c r="H3276" t="s">
        <v>27</v>
      </c>
      <c r="I3276" t="s">
        <v>28</v>
      </c>
      <c r="J3276" t="s">
        <v>24</v>
      </c>
      <c r="K3276" s="6">
        <f t="shared" ca="1" si="212"/>
        <v>33003</v>
      </c>
      <c r="L3276">
        <v>-12758</v>
      </c>
      <c r="M3276" s="7">
        <f t="shared" ca="1" si="210"/>
        <v>34.92950034223135</v>
      </c>
      <c r="N3276" s="5" t="str">
        <f ca="1">VLOOKUP(Data!M3276,temp!$B$3:$C$9,2,1)</f>
        <v>30-40</v>
      </c>
      <c r="O3276">
        <v>-148</v>
      </c>
      <c r="P3276" s="8">
        <f t="shared" si="211"/>
        <v>0.40520191649555098</v>
      </c>
      <c r="Q3276" s="5" t="str">
        <f t="shared" si="213"/>
        <v>Employed</v>
      </c>
      <c r="R3276">
        <v>1</v>
      </c>
      <c r="S3276">
        <v>0</v>
      </c>
      <c r="T3276">
        <v>0</v>
      </c>
      <c r="U3276">
        <v>0</v>
      </c>
      <c r="V3276" t="s">
        <v>39</v>
      </c>
      <c r="W3276">
        <v>3</v>
      </c>
    </row>
    <row r="3277" spans="1:23" x14ac:dyDescent="0.2">
      <c r="A3277">
        <v>5112756</v>
      </c>
      <c r="B3277" t="s">
        <v>18</v>
      </c>
      <c r="C3277" t="s">
        <v>19</v>
      </c>
      <c r="D3277" t="s">
        <v>19</v>
      </c>
      <c r="E3277">
        <v>1</v>
      </c>
      <c r="F3277">
        <v>72000</v>
      </c>
      <c r="G3277" t="s">
        <v>31</v>
      </c>
      <c r="H3277" t="s">
        <v>27</v>
      </c>
      <c r="I3277" t="s">
        <v>28</v>
      </c>
      <c r="J3277" t="s">
        <v>24</v>
      </c>
      <c r="K3277" s="6">
        <f t="shared" ca="1" si="212"/>
        <v>33003</v>
      </c>
      <c r="L3277">
        <v>-12758</v>
      </c>
      <c r="M3277" s="7">
        <f t="shared" ca="1" si="210"/>
        <v>34.92950034223135</v>
      </c>
      <c r="N3277" s="5" t="str">
        <f ca="1">VLOOKUP(Data!M3277,temp!$B$3:$C$9,2,1)</f>
        <v>30-40</v>
      </c>
      <c r="O3277">
        <v>-148</v>
      </c>
      <c r="P3277" s="8">
        <f t="shared" si="211"/>
        <v>0.40520191649555098</v>
      </c>
      <c r="Q3277" s="5" t="str">
        <f t="shared" si="213"/>
        <v>Employed</v>
      </c>
      <c r="R3277">
        <v>1</v>
      </c>
      <c r="S3277">
        <v>0</v>
      </c>
      <c r="T3277">
        <v>0</v>
      </c>
      <c r="U3277">
        <v>0</v>
      </c>
      <c r="V3277" t="s">
        <v>39</v>
      </c>
      <c r="W3277">
        <v>3</v>
      </c>
    </row>
    <row r="3278" spans="1:23" x14ac:dyDescent="0.2">
      <c r="A3278">
        <v>5112764</v>
      </c>
      <c r="B3278" t="s">
        <v>18</v>
      </c>
      <c r="C3278" t="s">
        <v>20</v>
      </c>
      <c r="D3278" t="s">
        <v>19</v>
      </c>
      <c r="E3278">
        <v>1</v>
      </c>
      <c r="F3278">
        <v>315000</v>
      </c>
      <c r="G3278" t="s">
        <v>26</v>
      </c>
      <c r="H3278" t="s">
        <v>22</v>
      </c>
      <c r="I3278" t="s">
        <v>28</v>
      </c>
      <c r="J3278" t="s">
        <v>24</v>
      </c>
      <c r="K3278" s="6">
        <f t="shared" ca="1" si="212"/>
        <v>34736</v>
      </c>
      <c r="L3278">
        <v>-11025</v>
      </c>
      <c r="M3278" s="7">
        <f t="shared" ca="1" si="210"/>
        <v>30.184804928131417</v>
      </c>
      <c r="N3278" s="5" t="str">
        <f ca="1">VLOOKUP(Data!M3278,temp!$B$3:$C$9,2,1)</f>
        <v>30-40</v>
      </c>
      <c r="O3278">
        <v>-2065</v>
      </c>
      <c r="P3278" s="8">
        <f t="shared" si="211"/>
        <v>5.6536618754277894</v>
      </c>
      <c r="Q3278" s="5" t="str">
        <f t="shared" si="213"/>
        <v>Employed</v>
      </c>
      <c r="R3278">
        <v>1</v>
      </c>
      <c r="S3278">
        <v>1</v>
      </c>
      <c r="T3278">
        <v>1</v>
      </c>
      <c r="U3278">
        <v>1</v>
      </c>
      <c r="W3278">
        <v>3</v>
      </c>
    </row>
    <row r="3279" spans="1:23" x14ac:dyDescent="0.2">
      <c r="A3279">
        <v>5112768</v>
      </c>
      <c r="B3279" t="s">
        <v>18</v>
      </c>
      <c r="C3279" t="s">
        <v>20</v>
      </c>
      <c r="D3279" t="s">
        <v>19</v>
      </c>
      <c r="E3279">
        <v>1</v>
      </c>
      <c r="F3279">
        <v>315000</v>
      </c>
      <c r="G3279" t="s">
        <v>26</v>
      </c>
      <c r="H3279" t="s">
        <v>22</v>
      </c>
      <c r="I3279" t="s">
        <v>28</v>
      </c>
      <c r="J3279" t="s">
        <v>24</v>
      </c>
      <c r="K3279" s="6">
        <f t="shared" ca="1" si="212"/>
        <v>34736</v>
      </c>
      <c r="L3279">
        <v>-11025</v>
      </c>
      <c r="M3279" s="7">
        <f t="shared" ca="1" si="210"/>
        <v>30.184804928131417</v>
      </c>
      <c r="N3279" s="5" t="str">
        <f ca="1">VLOOKUP(Data!M3279,temp!$B$3:$C$9,2,1)</f>
        <v>30-40</v>
      </c>
      <c r="O3279">
        <v>-2065</v>
      </c>
      <c r="P3279" s="8">
        <f t="shared" si="211"/>
        <v>5.6536618754277894</v>
      </c>
      <c r="Q3279" s="5" t="str">
        <f t="shared" si="213"/>
        <v>Employed</v>
      </c>
      <c r="R3279">
        <v>1</v>
      </c>
      <c r="S3279">
        <v>1</v>
      </c>
      <c r="T3279">
        <v>1</v>
      </c>
      <c r="U3279">
        <v>1</v>
      </c>
      <c r="W3279">
        <v>3</v>
      </c>
    </row>
    <row r="3280" spans="1:23" x14ac:dyDescent="0.2">
      <c r="A3280">
        <v>5112780</v>
      </c>
      <c r="B3280" t="s">
        <v>25</v>
      </c>
      <c r="C3280" t="s">
        <v>20</v>
      </c>
      <c r="D3280" t="s">
        <v>20</v>
      </c>
      <c r="E3280">
        <v>0</v>
      </c>
      <c r="F3280">
        <v>135000</v>
      </c>
      <c r="G3280" t="s">
        <v>21</v>
      </c>
      <c r="H3280" t="s">
        <v>22</v>
      </c>
      <c r="I3280" t="s">
        <v>28</v>
      </c>
      <c r="J3280" t="s">
        <v>24</v>
      </c>
      <c r="K3280" s="6">
        <f t="shared" ca="1" si="212"/>
        <v>22550</v>
      </c>
      <c r="L3280">
        <v>-23211</v>
      </c>
      <c r="M3280" s="7">
        <f t="shared" ca="1" si="210"/>
        <v>63.548254620123203</v>
      </c>
      <c r="N3280" s="5" t="str">
        <f ca="1">VLOOKUP(Data!M3280,temp!$B$3:$C$9,2,1)</f>
        <v>60-70</v>
      </c>
      <c r="O3280">
        <v>365243</v>
      </c>
      <c r="P3280" s="8">
        <f t="shared" si="211"/>
        <v>0</v>
      </c>
      <c r="Q3280" s="5" t="str">
        <f t="shared" si="213"/>
        <v>Unemployed</v>
      </c>
      <c r="R3280">
        <v>1</v>
      </c>
      <c r="S3280">
        <v>0</v>
      </c>
      <c r="T3280">
        <v>0</v>
      </c>
      <c r="U3280">
        <v>0</v>
      </c>
      <c r="W3280">
        <v>2</v>
      </c>
    </row>
    <row r="3281" spans="1:23" x14ac:dyDescent="0.2">
      <c r="A3281">
        <v>5112783</v>
      </c>
      <c r="B3281" t="s">
        <v>25</v>
      </c>
      <c r="C3281" t="s">
        <v>20</v>
      </c>
      <c r="D3281" t="s">
        <v>20</v>
      </c>
      <c r="E3281">
        <v>0</v>
      </c>
      <c r="F3281">
        <v>135000</v>
      </c>
      <c r="G3281" t="s">
        <v>21</v>
      </c>
      <c r="H3281" t="s">
        <v>22</v>
      </c>
      <c r="I3281" t="s">
        <v>28</v>
      </c>
      <c r="J3281" t="s">
        <v>24</v>
      </c>
      <c r="K3281" s="6">
        <f t="shared" ca="1" si="212"/>
        <v>22550</v>
      </c>
      <c r="L3281">
        <v>-23211</v>
      </c>
      <c r="M3281" s="7">
        <f t="shared" ca="1" si="210"/>
        <v>63.548254620123203</v>
      </c>
      <c r="N3281" s="5" t="str">
        <f ca="1">VLOOKUP(Data!M3281,temp!$B$3:$C$9,2,1)</f>
        <v>60-70</v>
      </c>
      <c r="O3281">
        <v>365243</v>
      </c>
      <c r="P3281" s="8">
        <f t="shared" si="211"/>
        <v>0</v>
      </c>
      <c r="Q3281" s="5" t="str">
        <f t="shared" si="213"/>
        <v>Unemployed</v>
      </c>
      <c r="R3281">
        <v>1</v>
      </c>
      <c r="S3281">
        <v>0</v>
      </c>
      <c r="T3281">
        <v>0</v>
      </c>
      <c r="U3281">
        <v>0</v>
      </c>
      <c r="W3281">
        <v>2</v>
      </c>
    </row>
    <row r="3282" spans="1:23" x14ac:dyDescent="0.2">
      <c r="A3282">
        <v>5112827</v>
      </c>
      <c r="B3282" t="s">
        <v>18</v>
      </c>
      <c r="C3282" t="s">
        <v>19</v>
      </c>
      <c r="D3282" t="s">
        <v>20</v>
      </c>
      <c r="E3282">
        <v>3</v>
      </c>
      <c r="F3282">
        <v>450000</v>
      </c>
      <c r="G3282" t="s">
        <v>21</v>
      </c>
      <c r="H3282" t="s">
        <v>27</v>
      </c>
      <c r="I3282" t="s">
        <v>28</v>
      </c>
      <c r="J3282" t="s">
        <v>24</v>
      </c>
      <c r="K3282" s="6">
        <f t="shared" ca="1" si="212"/>
        <v>23412</v>
      </c>
      <c r="L3282">
        <v>-22349</v>
      </c>
      <c r="M3282" s="7">
        <f t="shared" ca="1" si="210"/>
        <v>61.18822724161533</v>
      </c>
      <c r="N3282" s="5" t="str">
        <f ca="1">VLOOKUP(Data!M3282,temp!$B$3:$C$9,2,1)</f>
        <v>60-70</v>
      </c>
      <c r="O3282">
        <v>365243</v>
      </c>
      <c r="P3282" s="8">
        <f t="shared" si="211"/>
        <v>0</v>
      </c>
      <c r="Q3282" s="5" t="str">
        <f t="shared" si="213"/>
        <v>Unemployed</v>
      </c>
      <c r="R3282">
        <v>1</v>
      </c>
      <c r="S3282">
        <v>0</v>
      </c>
      <c r="T3282">
        <v>0</v>
      </c>
      <c r="U3282">
        <v>0</v>
      </c>
      <c r="W3282">
        <v>5</v>
      </c>
    </row>
    <row r="3283" spans="1:23" x14ac:dyDescent="0.2">
      <c r="A3283">
        <v>5112832</v>
      </c>
      <c r="B3283" t="s">
        <v>18</v>
      </c>
      <c r="C3283" t="s">
        <v>19</v>
      </c>
      <c r="D3283" t="s">
        <v>20</v>
      </c>
      <c r="E3283">
        <v>1</v>
      </c>
      <c r="F3283">
        <v>90000</v>
      </c>
      <c r="G3283" t="s">
        <v>26</v>
      </c>
      <c r="H3283" t="s">
        <v>27</v>
      </c>
      <c r="I3283" t="s">
        <v>28</v>
      </c>
      <c r="J3283" t="s">
        <v>41</v>
      </c>
      <c r="K3283" s="6">
        <f t="shared" ca="1" si="212"/>
        <v>34117</v>
      </c>
      <c r="L3283">
        <v>-11644</v>
      </c>
      <c r="M3283" s="7">
        <f t="shared" ca="1" si="210"/>
        <v>31.879534565366189</v>
      </c>
      <c r="N3283" s="5" t="str">
        <f ca="1">VLOOKUP(Data!M3283,temp!$B$3:$C$9,2,1)</f>
        <v>30-40</v>
      </c>
      <c r="O3283">
        <v>-635</v>
      </c>
      <c r="P3283" s="8">
        <f t="shared" si="211"/>
        <v>1.7385352498288844</v>
      </c>
      <c r="Q3283" s="5" t="str">
        <f t="shared" si="213"/>
        <v>Employed</v>
      </c>
      <c r="R3283">
        <v>1</v>
      </c>
      <c r="S3283">
        <v>0</v>
      </c>
      <c r="T3283">
        <v>0</v>
      </c>
      <c r="U3283">
        <v>0</v>
      </c>
      <c r="V3283" t="s">
        <v>39</v>
      </c>
      <c r="W3283">
        <v>3</v>
      </c>
    </row>
    <row r="3284" spans="1:23" x14ac:dyDescent="0.2">
      <c r="A3284">
        <v>5112838</v>
      </c>
      <c r="B3284" t="s">
        <v>18</v>
      </c>
      <c r="C3284" t="s">
        <v>19</v>
      </c>
      <c r="D3284" t="s">
        <v>20</v>
      </c>
      <c r="E3284">
        <v>0</v>
      </c>
      <c r="F3284">
        <v>202500</v>
      </c>
      <c r="G3284" t="s">
        <v>31</v>
      </c>
      <c r="H3284" t="s">
        <v>22</v>
      </c>
      <c r="I3284" t="s">
        <v>28</v>
      </c>
      <c r="J3284" t="s">
        <v>24</v>
      </c>
      <c r="K3284" s="6">
        <f t="shared" ca="1" si="212"/>
        <v>29858</v>
      </c>
      <c r="L3284">
        <v>-15903</v>
      </c>
      <c r="M3284" s="7">
        <f t="shared" ca="1" si="210"/>
        <v>43.540041067761805</v>
      </c>
      <c r="N3284" s="5" t="str">
        <f ca="1">VLOOKUP(Data!M3284,temp!$B$3:$C$9,2,1)</f>
        <v>40-50</v>
      </c>
      <c r="O3284">
        <v>-2051</v>
      </c>
      <c r="P3284" s="8">
        <f t="shared" si="211"/>
        <v>5.6153319644079396</v>
      </c>
      <c r="Q3284" s="5" t="str">
        <f t="shared" si="213"/>
        <v>Employed</v>
      </c>
      <c r="R3284">
        <v>1</v>
      </c>
      <c r="S3284">
        <v>1</v>
      </c>
      <c r="T3284">
        <v>1</v>
      </c>
      <c r="U3284">
        <v>1</v>
      </c>
      <c r="V3284" t="s">
        <v>44</v>
      </c>
      <c r="W3284">
        <v>2</v>
      </c>
    </row>
    <row r="3285" spans="1:23" x14ac:dyDescent="0.2">
      <c r="A3285">
        <v>5112842</v>
      </c>
      <c r="B3285" t="s">
        <v>18</v>
      </c>
      <c r="C3285" t="s">
        <v>20</v>
      </c>
      <c r="D3285" t="s">
        <v>20</v>
      </c>
      <c r="E3285">
        <v>0</v>
      </c>
      <c r="F3285">
        <v>427500</v>
      </c>
      <c r="G3285" t="s">
        <v>31</v>
      </c>
      <c r="H3285" t="s">
        <v>22</v>
      </c>
      <c r="I3285" t="s">
        <v>28</v>
      </c>
      <c r="J3285" t="s">
        <v>24</v>
      </c>
      <c r="K3285" s="6">
        <f t="shared" ca="1" si="212"/>
        <v>25709</v>
      </c>
      <c r="L3285">
        <v>-20052</v>
      </c>
      <c r="M3285" s="7">
        <f t="shared" ca="1" si="210"/>
        <v>54.899383983572896</v>
      </c>
      <c r="N3285" s="5" t="str">
        <f ca="1">VLOOKUP(Data!M3285,temp!$B$3:$C$9,2,1)</f>
        <v>50-60</v>
      </c>
      <c r="O3285">
        <v>-2507</v>
      </c>
      <c r="P3285" s="8">
        <f t="shared" si="211"/>
        <v>6.8637919233401776</v>
      </c>
      <c r="Q3285" s="5" t="str">
        <f t="shared" si="213"/>
        <v>Employed</v>
      </c>
      <c r="R3285">
        <v>1</v>
      </c>
      <c r="S3285">
        <v>0</v>
      </c>
      <c r="T3285">
        <v>0</v>
      </c>
      <c r="U3285">
        <v>1</v>
      </c>
      <c r="V3285" t="s">
        <v>44</v>
      </c>
      <c r="W3285">
        <v>2</v>
      </c>
    </row>
    <row r="3286" spans="1:23" x14ac:dyDescent="0.2">
      <c r="A3286">
        <v>5112851</v>
      </c>
      <c r="B3286" t="s">
        <v>18</v>
      </c>
      <c r="C3286" t="s">
        <v>19</v>
      </c>
      <c r="D3286" t="s">
        <v>20</v>
      </c>
      <c r="E3286">
        <v>0</v>
      </c>
      <c r="F3286">
        <v>180000</v>
      </c>
      <c r="G3286" t="s">
        <v>21</v>
      </c>
      <c r="H3286" t="s">
        <v>27</v>
      </c>
      <c r="I3286" t="s">
        <v>28</v>
      </c>
      <c r="J3286" t="s">
        <v>24</v>
      </c>
      <c r="K3286" s="6">
        <f t="shared" ca="1" si="212"/>
        <v>22238</v>
      </c>
      <c r="L3286">
        <v>-23523</v>
      </c>
      <c r="M3286" s="7">
        <f t="shared" ca="1" si="210"/>
        <v>64.402464065708415</v>
      </c>
      <c r="N3286" s="5" t="str">
        <f ca="1">VLOOKUP(Data!M3286,temp!$B$3:$C$9,2,1)</f>
        <v>60-70</v>
      </c>
      <c r="O3286">
        <v>365243</v>
      </c>
      <c r="P3286" s="8">
        <f t="shared" si="211"/>
        <v>0</v>
      </c>
      <c r="Q3286" s="5" t="str">
        <f t="shared" si="213"/>
        <v>Unemployed</v>
      </c>
      <c r="R3286">
        <v>1</v>
      </c>
      <c r="S3286">
        <v>0</v>
      </c>
      <c r="T3286">
        <v>0</v>
      </c>
      <c r="U3286">
        <v>1</v>
      </c>
      <c r="W3286">
        <v>2</v>
      </c>
    </row>
    <row r="3287" spans="1:23" x14ac:dyDescent="0.2">
      <c r="A3287">
        <v>5112873</v>
      </c>
      <c r="B3287" t="s">
        <v>18</v>
      </c>
      <c r="C3287" t="s">
        <v>20</v>
      </c>
      <c r="D3287" t="s">
        <v>20</v>
      </c>
      <c r="E3287">
        <v>0</v>
      </c>
      <c r="F3287">
        <v>143100</v>
      </c>
      <c r="G3287" t="s">
        <v>35</v>
      </c>
      <c r="H3287" t="s">
        <v>22</v>
      </c>
      <c r="I3287" t="s">
        <v>28</v>
      </c>
      <c r="J3287" t="s">
        <v>24</v>
      </c>
      <c r="K3287" s="6">
        <f t="shared" ca="1" si="212"/>
        <v>27361</v>
      </c>
      <c r="L3287">
        <v>-18400</v>
      </c>
      <c r="M3287" s="7">
        <f t="shared" ca="1" si="210"/>
        <v>50.376454483230667</v>
      </c>
      <c r="N3287" s="5" t="str">
        <f ca="1">VLOOKUP(Data!M3287,temp!$B$3:$C$9,2,1)</f>
        <v>50-60</v>
      </c>
      <c r="O3287">
        <v>-10052</v>
      </c>
      <c r="P3287" s="8">
        <f t="shared" si="211"/>
        <v>27.520876112251884</v>
      </c>
      <c r="Q3287" s="5" t="str">
        <f t="shared" si="213"/>
        <v>Employed</v>
      </c>
      <c r="R3287">
        <v>1</v>
      </c>
      <c r="S3287">
        <v>0</v>
      </c>
      <c r="T3287">
        <v>0</v>
      </c>
      <c r="U3287">
        <v>1</v>
      </c>
      <c r="V3287" t="s">
        <v>56</v>
      </c>
      <c r="W3287">
        <v>2</v>
      </c>
    </row>
    <row r="3288" spans="1:23" x14ac:dyDescent="0.2">
      <c r="A3288">
        <v>5112874</v>
      </c>
      <c r="B3288" t="s">
        <v>18</v>
      </c>
      <c r="C3288" t="s">
        <v>19</v>
      </c>
      <c r="D3288" t="s">
        <v>20</v>
      </c>
      <c r="E3288">
        <v>0</v>
      </c>
      <c r="F3288">
        <v>135000</v>
      </c>
      <c r="G3288" t="s">
        <v>31</v>
      </c>
      <c r="H3288" t="s">
        <v>27</v>
      </c>
      <c r="I3288" t="s">
        <v>28</v>
      </c>
      <c r="J3288" t="s">
        <v>24</v>
      </c>
      <c r="K3288" s="6">
        <f t="shared" ca="1" si="212"/>
        <v>29258</v>
      </c>
      <c r="L3288">
        <v>-16503</v>
      </c>
      <c r="M3288" s="7">
        <f t="shared" ca="1" si="210"/>
        <v>45.182751540041068</v>
      </c>
      <c r="N3288" s="5" t="str">
        <f ca="1">VLOOKUP(Data!M3288,temp!$B$3:$C$9,2,1)</f>
        <v>40-50</v>
      </c>
      <c r="O3288">
        <v>-2051</v>
      </c>
      <c r="P3288" s="8">
        <f t="shared" si="211"/>
        <v>5.6153319644079396</v>
      </c>
      <c r="Q3288" s="5" t="str">
        <f t="shared" si="213"/>
        <v>Employed</v>
      </c>
      <c r="R3288">
        <v>1</v>
      </c>
      <c r="S3288">
        <v>0</v>
      </c>
      <c r="T3288">
        <v>0</v>
      </c>
      <c r="U3288">
        <v>0</v>
      </c>
      <c r="W3288">
        <v>2</v>
      </c>
    </row>
    <row r="3289" spans="1:23" x14ac:dyDescent="0.2">
      <c r="A3289">
        <v>5112877</v>
      </c>
      <c r="B3289" t="s">
        <v>25</v>
      </c>
      <c r="C3289" t="s">
        <v>19</v>
      </c>
      <c r="D3289" t="s">
        <v>20</v>
      </c>
      <c r="E3289">
        <v>1</v>
      </c>
      <c r="F3289">
        <v>180000</v>
      </c>
      <c r="G3289" t="s">
        <v>31</v>
      </c>
      <c r="H3289" t="s">
        <v>27</v>
      </c>
      <c r="I3289" t="s">
        <v>28</v>
      </c>
      <c r="J3289" t="s">
        <v>24</v>
      </c>
      <c r="K3289" s="6">
        <f t="shared" ca="1" si="212"/>
        <v>33722</v>
      </c>
      <c r="L3289">
        <v>-12039</v>
      </c>
      <c r="M3289" s="7">
        <f t="shared" ca="1" si="210"/>
        <v>32.960985626283367</v>
      </c>
      <c r="N3289" s="5" t="str">
        <f ca="1">VLOOKUP(Data!M3289,temp!$B$3:$C$9,2,1)</f>
        <v>30-40</v>
      </c>
      <c r="O3289">
        <v>-1773</v>
      </c>
      <c r="P3289" s="8">
        <f t="shared" si="211"/>
        <v>4.8542094455852158</v>
      </c>
      <c r="Q3289" s="5" t="str">
        <f t="shared" si="213"/>
        <v>Employed</v>
      </c>
      <c r="R3289">
        <v>1</v>
      </c>
      <c r="S3289">
        <v>1</v>
      </c>
      <c r="T3289">
        <v>0</v>
      </c>
      <c r="U3289">
        <v>0</v>
      </c>
      <c r="V3289" t="s">
        <v>47</v>
      </c>
      <c r="W3289">
        <v>3</v>
      </c>
    </row>
    <row r="3290" spans="1:23" x14ac:dyDescent="0.2">
      <c r="A3290">
        <v>5112886</v>
      </c>
      <c r="B3290" t="s">
        <v>18</v>
      </c>
      <c r="C3290" t="s">
        <v>19</v>
      </c>
      <c r="D3290" t="s">
        <v>20</v>
      </c>
      <c r="E3290">
        <v>0</v>
      </c>
      <c r="F3290">
        <v>67500</v>
      </c>
      <c r="G3290" t="s">
        <v>21</v>
      </c>
      <c r="H3290" t="s">
        <v>27</v>
      </c>
      <c r="I3290" t="s">
        <v>28</v>
      </c>
      <c r="J3290" t="s">
        <v>24</v>
      </c>
      <c r="K3290" s="6">
        <f t="shared" ca="1" si="212"/>
        <v>23132</v>
      </c>
      <c r="L3290">
        <v>-22629</v>
      </c>
      <c r="M3290" s="7">
        <f t="shared" ca="1" si="210"/>
        <v>61.954825462012323</v>
      </c>
      <c r="N3290" s="5" t="str">
        <f ca="1">VLOOKUP(Data!M3290,temp!$B$3:$C$9,2,1)</f>
        <v>60-70</v>
      </c>
      <c r="O3290">
        <v>365243</v>
      </c>
      <c r="P3290" s="8">
        <f t="shared" si="211"/>
        <v>0</v>
      </c>
      <c r="Q3290" s="5" t="str">
        <f t="shared" si="213"/>
        <v>Unemployed</v>
      </c>
      <c r="R3290">
        <v>1</v>
      </c>
      <c r="S3290">
        <v>0</v>
      </c>
      <c r="T3290">
        <v>1</v>
      </c>
      <c r="U3290">
        <v>0</v>
      </c>
      <c r="W3290">
        <v>2</v>
      </c>
    </row>
    <row r="3291" spans="1:23" x14ac:dyDescent="0.2">
      <c r="A3291">
        <v>5112896</v>
      </c>
      <c r="B3291" t="s">
        <v>18</v>
      </c>
      <c r="C3291" t="s">
        <v>19</v>
      </c>
      <c r="D3291" t="s">
        <v>20</v>
      </c>
      <c r="E3291">
        <v>2</v>
      </c>
      <c r="F3291">
        <v>180000</v>
      </c>
      <c r="G3291" t="s">
        <v>31</v>
      </c>
      <c r="H3291" t="s">
        <v>27</v>
      </c>
      <c r="I3291" t="s">
        <v>28</v>
      </c>
      <c r="J3291" t="s">
        <v>24</v>
      </c>
      <c r="K3291" s="6">
        <f t="shared" ca="1" si="212"/>
        <v>30785</v>
      </c>
      <c r="L3291">
        <v>-14976</v>
      </c>
      <c r="M3291" s="7">
        <f t="shared" ca="1" si="210"/>
        <v>41.002053388090346</v>
      </c>
      <c r="N3291" s="5" t="str">
        <f ca="1">VLOOKUP(Data!M3291,temp!$B$3:$C$9,2,1)</f>
        <v>40-50</v>
      </c>
      <c r="O3291">
        <v>-4212</v>
      </c>
      <c r="P3291" s="8">
        <f t="shared" si="211"/>
        <v>11.53182751540041</v>
      </c>
      <c r="Q3291" s="5" t="str">
        <f t="shared" si="213"/>
        <v>Employed</v>
      </c>
      <c r="R3291">
        <v>1</v>
      </c>
      <c r="S3291">
        <v>0</v>
      </c>
      <c r="T3291">
        <v>0</v>
      </c>
      <c r="U3291">
        <v>0</v>
      </c>
      <c r="W3291">
        <v>4</v>
      </c>
    </row>
    <row r="3292" spans="1:23" x14ac:dyDescent="0.2">
      <c r="A3292">
        <v>5112909</v>
      </c>
      <c r="B3292" t="s">
        <v>18</v>
      </c>
      <c r="C3292" t="s">
        <v>19</v>
      </c>
      <c r="D3292" t="s">
        <v>20</v>
      </c>
      <c r="E3292">
        <v>0</v>
      </c>
      <c r="F3292">
        <v>247500</v>
      </c>
      <c r="G3292" t="s">
        <v>31</v>
      </c>
      <c r="H3292" t="s">
        <v>22</v>
      </c>
      <c r="I3292" t="s">
        <v>28</v>
      </c>
      <c r="J3292" t="s">
        <v>24</v>
      </c>
      <c r="K3292" s="6">
        <f t="shared" ca="1" si="212"/>
        <v>27496</v>
      </c>
      <c r="L3292">
        <v>-18265</v>
      </c>
      <c r="M3292" s="7">
        <f t="shared" ca="1" si="210"/>
        <v>50.006844626967833</v>
      </c>
      <c r="N3292" s="5" t="str">
        <f ca="1">VLOOKUP(Data!M3292,temp!$B$3:$C$9,2,1)</f>
        <v>50-60</v>
      </c>
      <c r="O3292">
        <v>-2112</v>
      </c>
      <c r="P3292" s="8">
        <f t="shared" si="211"/>
        <v>5.7823408624229984</v>
      </c>
      <c r="Q3292" s="5" t="str">
        <f t="shared" si="213"/>
        <v>Employed</v>
      </c>
      <c r="R3292">
        <v>1</v>
      </c>
      <c r="S3292">
        <v>0</v>
      </c>
      <c r="T3292">
        <v>1</v>
      </c>
      <c r="U3292">
        <v>1</v>
      </c>
      <c r="V3292" t="s">
        <v>47</v>
      </c>
      <c r="W3292">
        <v>2</v>
      </c>
    </row>
    <row r="3293" spans="1:23" x14ac:dyDescent="0.2">
      <c r="A3293">
        <v>5112912</v>
      </c>
      <c r="B3293" t="s">
        <v>18</v>
      </c>
      <c r="C3293" t="s">
        <v>19</v>
      </c>
      <c r="D3293" t="s">
        <v>20</v>
      </c>
      <c r="E3293">
        <v>0</v>
      </c>
      <c r="F3293">
        <v>292500</v>
      </c>
      <c r="G3293" t="s">
        <v>35</v>
      </c>
      <c r="H3293" t="s">
        <v>22</v>
      </c>
      <c r="I3293" t="s">
        <v>28</v>
      </c>
      <c r="J3293" t="s">
        <v>24</v>
      </c>
      <c r="K3293" s="6">
        <f t="shared" ca="1" si="212"/>
        <v>27452</v>
      </c>
      <c r="L3293">
        <v>-18309</v>
      </c>
      <c r="M3293" s="7">
        <f t="shared" ca="1" si="210"/>
        <v>50.127310061601641</v>
      </c>
      <c r="N3293" s="5" t="str">
        <f ca="1">VLOOKUP(Data!M3293,temp!$B$3:$C$9,2,1)</f>
        <v>50-60</v>
      </c>
      <c r="O3293">
        <v>-11332</v>
      </c>
      <c r="P3293" s="8">
        <f t="shared" si="211"/>
        <v>31.025325119780973</v>
      </c>
      <c r="Q3293" s="5" t="str">
        <f t="shared" si="213"/>
        <v>Employed</v>
      </c>
      <c r="R3293">
        <v>1</v>
      </c>
      <c r="S3293">
        <v>1</v>
      </c>
      <c r="T3293">
        <v>0</v>
      </c>
      <c r="U3293">
        <v>0</v>
      </c>
      <c r="V3293" t="s">
        <v>32</v>
      </c>
      <c r="W3293">
        <v>2</v>
      </c>
    </row>
    <row r="3294" spans="1:23" x14ac:dyDescent="0.2">
      <c r="A3294">
        <v>5112917</v>
      </c>
      <c r="B3294" t="s">
        <v>18</v>
      </c>
      <c r="C3294" t="s">
        <v>19</v>
      </c>
      <c r="D3294" t="s">
        <v>20</v>
      </c>
      <c r="E3294">
        <v>0</v>
      </c>
      <c r="F3294">
        <v>337500</v>
      </c>
      <c r="G3294" t="s">
        <v>26</v>
      </c>
      <c r="H3294" t="s">
        <v>27</v>
      </c>
      <c r="I3294" t="s">
        <v>42</v>
      </c>
      <c r="J3294" t="s">
        <v>24</v>
      </c>
      <c r="K3294" s="6">
        <f t="shared" ca="1" si="212"/>
        <v>24354</v>
      </c>
      <c r="L3294">
        <v>-21407</v>
      </c>
      <c r="M3294" s="7">
        <f t="shared" ca="1" si="210"/>
        <v>58.609171800136892</v>
      </c>
      <c r="N3294" s="5" t="str">
        <f ca="1">VLOOKUP(Data!M3294,temp!$B$3:$C$9,2,1)</f>
        <v>50-60</v>
      </c>
      <c r="O3294">
        <v>-3877</v>
      </c>
      <c r="P3294" s="8">
        <f t="shared" si="211"/>
        <v>10.614647501711156</v>
      </c>
      <c r="Q3294" s="5" t="str">
        <f t="shared" si="213"/>
        <v>Employed</v>
      </c>
      <c r="R3294">
        <v>1</v>
      </c>
      <c r="S3294">
        <v>1</v>
      </c>
      <c r="T3294">
        <v>0</v>
      </c>
      <c r="U3294">
        <v>0</v>
      </c>
      <c r="V3294" t="s">
        <v>44</v>
      </c>
      <c r="W3294">
        <v>1</v>
      </c>
    </row>
    <row r="3295" spans="1:23" x14ac:dyDescent="0.2">
      <c r="A3295">
        <v>5112947</v>
      </c>
      <c r="B3295" t="s">
        <v>25</v>
      </c>
      <c r="C3295" t="s">
        <v>19</v>
      </c>
      <c r="D3295" t="s">
        <v>20</v>
      </c>
      <c r="E3295">
        <v>0</v>
      </c>
      <c r="F3295">
        <v>225000</v>
      </c>
      <c r="G3295" t="s">
        <v>26</v>
      </c>
      <c r="H3295" t="s">
        <v>22</v>
      </c>
      <c r="I3295" t="s">
        <v>28</v>
      </c>
      <c r="J3295" t="s">
        <v>24</v>
      </c>
      <c r="K3295" s="6">
        <f t="shared" ca="1" si="212"/>
        <v>28927</v>
      </c>
      <c r="L3295">
        <v>-16834</v>
      </c>
      <c r="M3295" s="7">
        <f t="shared" ca="1" si="210"/>
        <v>46.08898015058179</v>
      </c>
      <c r="N3295" s="5" t="str">
        <f ca="1">VLOOKUP(Data!M3295,temp!$B$3:$C$9,2,1)</f>
        <v>40-50</v>
      </c>
      <c r="O3295">
        <v>-3269</v>
      </c>
      <c r="P3295" s="8">
        <f t="shared" si="211"/>
        <v>8.9500342231348391</v>
      </c>
      <c r="Q3295" s="5" t="str">
        <f t="shared" si="213"/>
        <v>Employed</v>
      </c>
      <c r="R3295">
        <v>1</v>
      </c>
      <c r="S3295">
        <v>1</v>
      </c>
      <c r="T3295">
        <v>1</v>
      </c>
      <c r="U3295">
        <v>1</v>
      </c>
      <c r="W3295">
        <v>2</v>
      </c>
    </row>
    <row r="3296" spans="1:23" x14ac:dyDescent="0.2">
      <c r="A3296">
        <v>5112949</v>
      </c>
      <c r="B3296" t="s">
        <v>18</v>
      </c>
      <c r="C3296" t="s">
        <v>19</v>
      </c>
      <c r="D3296" t="s">
        <v>20</v>
      </c>
      <c r="E3296">
        <v>0</v>
      </c>
      <c r="F3296">
        <v>202500</v>
      </c>
      <c r="G3296" t="s">
        <v>21</v>
      </c>
      <c r="H3296" t="s">
        <v>27</v>
      </c>
      <c r="I3296" t="s">
        <v>33</v>
      </c>
      <c r="J3296" t="s">
        <v>24</v>
      </c>
      <c r="K3296" s="6">
        <f t="shared" ca="1" si="212"/>
        <v>23347</v>
      </c>
      <c r="L3296">
        <v>-22414</v>
      </c>
      <c r="M3296" s="7">
        <f t="shared" ca="1" si="210"/>
        <v>61.366187542778917</v>
      </c>
      <c r="N3296" s="5" t="str">
        <f ca="1">VLOOKUP(Data!M3296,temp!$B$3:$C$9,2,1)</f>
        <v>60-70</v>
      </c>
      <c r="O3296">
        <v>365243</v>
      </c>
      <c r="P3296" s="8">
        <f t="shared" si="211"/>
        <v>0</v>
      </c>
      <c r="Q3296" s="5" t="str">
        <f t="shared" si="213"/>
        <v>Unemployed</v>
      </c>
      <c r="R3296">
        <v>1</v>
      </c>
      <c r="S3296">
        <v>0</v>
      </c>
      <c r="T3296">
        <v>0</v>
      </c>
      <c r="U3296">
        <v>0</v>
      </c>
      <c r="W3296">
        <v>1</v>
      </c>
    </row>
    <row r="3297" spans="1:23" x14ac:dyDescent="0.2">
      <c r="A3297">
        <v>5112960</v>
      </c>
      <c r="B3297" t="s">
        <v>25</v>
      </c>
      <c r="C3297" t="s">
        <v>20</v>
      </c>
      <c r="D3297" t="s">
        <v>20</v>
      </c>
      <c r="E3297">
        <v>0</v>
      </c>
      <c r="F3297">
        <v>382500</v>
      </c>
      <c r="G3297" t="s">
        <v>31</v>
      </c>
      <c r="H3297" t="s">
        <v>22</v>
      </c>
      <c r="I3297" t="s">
        <v>28</v>
      </c>
      <c r="J3297" t="s">
        <v>24</v>
      </c>
      <c r="K3297" s="6">
        <f t="shared" ca="1" si="212"/>
        <v>35006</v>
      </c>
      <c r="L3297">
        <v>-10755</v>
      </c>
      <c r="M3297" s="7">
        <f t="shared" ca="1" si="210"/>
        <v>29.44558521560575</v>
      </c>
      <c r="N3297" s="5" t="str">
        <f ca="1">VLOOKUP(Data!M3297,temp!$B$3:$C$9,2,1)</f>
        <v>20-30</v>
      </c>
      <c r="O3297">
        <v>-3352</v>
      </c>
      <c r="P3297" s="8">
        <f t="shared" si="211"/>
        <v>9.1772758384668034</v>
      </c>
      <c r="Q3297" s="5" t="str">
        <f t="shared" si="213"/>
        <v>Employed</v>
      </c>
      <c r="R3297">
        <v>1</v>
      </c>
      <c r="S3297">
        <v>0</v>
      </c>
      <c r="T3297">
        <v>0</v>
      </c>
      <c r="U3297">
        <v>0</v>
      </c>
      <c r="V3297" t="s">
        <v>38</v>
      </c>
      <c r="W3297">
        <v>2</v>
      </c>
    </row>
    <row r="3298" spans="1:23" x14ac:dyDescent="0.2">
      <c r="A3298">
        <v>5112981</v>
      </c>
      <c r="B3298" t="s">
        <v>25</v>
      </c>
      <c r="C3298" t="s">
        <v>19</v>
      </c>
      <c r="D3298" t="s">
        <v>20</v>
      </c>
      <c r="E3298">
        <v>0</v>
      </c>
      <c r="F3298">
        <v>180000</v>
      </c>
      <c r="G3298" t="s">
        <v>31</v>
      </c>
      <c r="H3298" t="s">
        <v>27</v>
      </c>
      <c r="I3298" t="s">
        <v>28</v>
      </c>
      <c r="J3298" t="s">
        <v>24</v>
      </c>
      <c r="K3298" s="6">
        <f t="shared" ca="1" si="212"/>
        <v>30744</v>
      </c>
      <c r="L3298">
        <v>-15017</v>
      </c>
      <c r="M3298" s="7">
        <f t="shared" ca="1" si="210"/>
        <v>41.114305270362763</v>
      </c>
      <c r="N3298" s="5" t="str">
        <f ca="1">VLOOKUP(Data!M3298,temp!$B$3:$C$9,2,1)</f>
        <v>40-50</v>
      </c>
      <c r="O3298">
        <v>-312</v>
      </c>
      <c r="P3298" s="8">
        <f t="shared" si="211"/>
        <v>0.85420944558521561</v>
      </c>
      <c r="Q3298" s="5" t="str">
        <f t="shared" si="213"/>
        <v>Employed</v>
      </c>
      <c r="R3298">
        <v>1</v>
      </c>
      <c r="S3298">
        <v>0</v>
      </c>
      <c r="T3298">
        <v>0</v>
      </c>
      <c r="U3298">
        <v>1</v>
      </c>
      <c r="V3298" t="s">
        <v>29</v>
      </c>
      <c r="W3298">
        <v>2</v>
      </c>
    </row>
    <row r="3299" spans="1:23" x14ac:dyDescent="0.2">
      <c r="A3299">
        <v>5112983</v>
      </c>
      <c r="B3299" t="s">
        <v>18</v>
      </c>
      <c r="C3299" t="s">
        <v>19</v>
      </c>
      <c r="D3299" t="s">
        <v>20</v>
      </c>
      <c r="E3299">
        <v>0</v>
      </c>
      <c r="F3299">
        <v>202500</v>
      </c>
      <c r="G3299" t="s">
        <v>31</v>
      </c>
      <c r="H3299" t="s">
        <v>27</v>
      </c>
      <c r="I3299" t="s">
        <v>23</v>
      </c>
      <c r="J3299" t="s">
        <v>24</v>
      </c>
      <c r="K3299" s="6">
        <f t="shared" ca="1" si="212"/>
        <v>27514</v>
      </c>
      <c r="L3299">
        <v>-18247</v>
      </c>
      <c r="M3299" s="7">
        <f t="shared" ca="1" si="210"/>
        <v>49.957563312799451</v>
      </c>
      <c r="N3299" s="5" t="str">
        <f ca="1">VLOOKUP(Data!M3299,temp!$B$3:$C$9,2,1)</f>
        <v>40-50</v>
      </c>
      <c r="O3299">
        <v>-9599</v>
      </c>
      <c r="P3299" s="8">
        <f t="shared" si="211"/>
        <v>26.28062970568104</v>
      </c>
      <c r="Q3299" s="5" t="str">
        <f t="shared" si="213"/>
        <v>Employed</v>
      </c>
      <c r="R3299">
        <v>1</v>
      </c>
      <c r="S3299">
        <v>1</v>
      </c>
      <c r="T3299">
        <v>1</v>
      </c>
      <c r="U3299">
        <v>0</v>
      </c>
      <c r="V3299" t="s">
        <v>46</v>
      </c>
      <c r="W3299">
        <v>1</v>
      </c>
    </row>
    <row r="3300" spans="1:23" x14ac:dyDescent="0.2">
      <c r="A3300">
        <v>5112984</v>
      </c>
      <c r="B3300" t="s">
        <v>18</v>
      </c>
      <c r="C3300" t="s">
        <v>19</v>
      </c>
      <c r="D3300" t="s">
        <v>19</v>
      </c>
      <c r="E3300">
        <v>0</v>
      </c>
      <c r="F3300">
        <v>180000</v>
      </c>
      <c r="G3300" t="s">
        <v>31</v>
      </c>
      <c r="H3300" t="s">
        <v>27</v>
      </c>
      <c r="I3300" t="s">
        <v>28</v>
      </c>
      <c r="J3300" t="s">
        <v>24</v>
      </c>
      <c r="K3300" s="6">
        <f t="shared" ca="1" si="212"/>
        <v>23435</v>
      </c>
      <c r="L3300">
        <v>-22326</v>
      </c>
      <c r="M3300" s="7">
        <f t="shared" ca="1" si="210"/>
        <v>61.125256673511295</v>
      </c>
      <c r="N3300" s="5" t="str">
        <f ca="1">VLOOKUP(Data!M3300,temp!$B$3:$C$9,2,1)</f>
        <v>60-70</v>
      </c>
      <c r="O3300">
        <v>-1230</v>
      </c>
      <c r="P3300" s="8">
        <f t="shared" si="211"/>
        <v>3.3675564681724848</v>
      </c>
      <c r="Q3300" s="5" t="str">
        <f t="shared" si="213"/>
        <v>Employed</v>
      </c>
      <c r="R3300">
        <v>1</v>
      </c>
      <c r="S3300">
        <v>0</v>
      </c>
      <c r="T3300">
        <v>1</v>
      </c>
      <c r="U3300">
        <v>0</v>
      </c>
      <c r="V3300" t="s">
        <v>46</v>
      </c>
      <c r="W3300">
        <v>2</v>
      </c>
    </row>
    <row r="3301" spans="1:23" x14ac:dyDescent="0.2">
      <c r="A3301">
        <v>5112985</v>
      </c>
      <c r="B3301" t="s">
        <v>18</v>
      </c>
      <c r="C3301" t="s">
        <v>19</v>
      </c>
      <c r="D3301" t="s">
        <v>20</v>
      </c>
      <c r="E3301">
        <v>0</v>
      </c>
      <c r="F3301">
        <v>135000</v>
      </c>
      <c r="G3301" t="s">
        <v>26</v>
      </c>
      <c r="H3301" t="s">
        <v>27</v>
      </c>
      <c r="I3301" t="s">
        <v>28</v>
      </c>
      <c r="J3301" t="s">
        <v>24</v>
      </c>
      <c r="K3301" s="6">
        <f t="shared" ca="1" si="212"/>
        <v>34175</v>
      </c>
      <c r="L3301">
        <v>-11586</v>
      </c>
      <c r="M3301" s="7">
        <f t="shared" ca="1" si="210"/>
        <v>31.720739219712527</v>
      </c>
      <c r="N3301" s="5" t="str">
        <f ca="1">VLOOKUP(Data!M3301,temp!$B$3:$C$9,2,1)</f>
        <v>30-40</v>
      </c>
      <c r="O3301">
        <v>-4147</v>
      </c>
      <c r="P3301" s="8">
        <f t="shared" si="211"/>
        <v>11.353867214236825</v>
      </c>
      <c r="Q3301" s="5" t="str">
        <f t="shared" si="213"/>
        <v>Employed</v>
      </c>
      <c r="R3301">
        <v>1</v>
      </c>
      <c r="S3301">
        <v>0</v>
      </c>
      <c r="T3301">
        <v>0</v>
      </c>
      <c r="U3301">
        <v>1</v>
      </c>
      <c r="V3301" t="s">
        <v>29</v>
      </c>
      <c r="W3301">
        <v>2</v>
      </c>
    </row>
    <row r="3302" spans="1:23" x14ac:dyDescent="0.2">
      <c r="A3302">
        <v>5112987</v>
      </c>
      <c r="B3302" t="s">
        <v>25</v>
      </c>
      <c r="C3302" t="s">
        <v>19</v>
      </c>
      <c r="D3302" t="s">
        <v>20</v>
      </c>
      <c r="E3302">
        <v>0</v>
      </c>
      <c r="F3302">
        <v>90000</v>
      </c>
      <c r="G3302" t="s">
        <v>21</v>
      </c>
      <c r="H3302" t="s">
        <v>27</v>
      </c>
      <c r="I3302" t="s">
        <v>28</v>
      </c>
      <c r="J3302" t="s">
        <v>24</v>
      </c>
      <c r="K3302" s="6">
        <f t="shared" ca="1" si="212"/>
        <v>23206</v>
      </c>
      <c r="L3302">
        <v>-22555</v>
      </c>
      <c r="M3302" s="7">
        <f t="shared" ca="1" si="210"/>
        <v>61.752224503764545</v>
      </c>
      <c r="N3302" s="5" t="str">
        <f ca="1">VLOOKUP(Data!M3302,temp!$B$3:$C$9,2,1)</f>
        <v>60-70</v>
      </c>
      <c r="O3302">
        <v>365243</v>
      </c>
      <c r="P3302" s="8">
        <f t="shared" si="211"/>
        <v>0</v>
      </c>
      <c r="Q3302" s="5" t="str">
        <f t="shared" si="213"/>
        <v>Unemployed</v>
      </c>
      <c r="R3302">
        <v>1</v>
      </c>
      <c r="S3302">
        <v>0</v>
      </c>
      <c r="T3302">
        <v>1</v>
      </c>
      <c r="U3302">
        <v>0</v>
      </c>
      <c r="W3302">
        <v>2</v>
      </c>
    </row>
    <row r="3303" spans="1:23" x14ac:dyDescent="0.2">
      <c r="A3303">
        <v>5112990</v>
      </c>
      <c r="B3303" t="s">
        <v>25</v>
      </c>
      <c r="C3303" t="s">
        <v>20</v>
      </c>
      <c r="D3303" t="s">
        <v>20</v>
      </c>
      <c r="E3303">
        <v>0</v>
      </c>
      <c r="F3303">
        <v>202500</v>
      </c>
      <c r="G3303" t="s">
        <v>31</v>
      </c>
      <c r="H3303" t="s">
        <v>22</v>
      </c>
      <c r="I3303" t="s">
        <v>28</v>
      </c>
      <c r="J3303" t="s">
        <v>24</v>
      </c>
      <c r="K3303" s="6">
        <f t="shared" ca="1" si="212"/>
        <v>23106</v>
      </c>
      <c r="L3303">
        <v>-22655</v>
      </c>
      <c r="M3303" s="7">
        <f t="shared" ca="1" si="210"/>
        <v>62.026009582477755</v>
      </c>
      <c r="N3303" s="5" t="str">
        <f ca="1">VLOOKUP(Data!M3303,temp!$B$3:$C$9,2,1)</f>
        <v>60-70</v>
      </c>
      <c r="O3303">
        <v>-3903</v>
      </c>
      <c r="P3303" s="8">
        <f t="shared" si="211"/>
        <v>10.685831622176591</v>
      </c>
      <c r="Q3303" s="5" t="str">
        <f t="shared" si="213"/>
        <v>Employed</v>
      </c>
      <c r="R3303">
        <v>1</v>
      </c>
      <c r="S3303">
        <v>0</v>
      </c>
      <c r="T3303">
        <v>0</v>
      </c>
      <c r="U3303">
        <v>0</v>
      </c>
      <c r="V3303" t="s">
        <v>32</v>
      </c>
      <c r="W3303">
        <v>2</v>
      </c>
    </row>
    <row r="3304" spans="1:23" x14ac:dyDescent="0.2">
      <c r="A3304">
        <v>5112991</v>
      </c>
      <c r="B3304" t="s">
        <v>18</v>
      </c>
      <c r="C3304" t="s">
        <v>19</v>
      </c>
      <c r="D3304" t="s">
        <v>20</v>
      </c>
      <c r="E3304">
        <v>0</v>
      </c>
      <c r="F3304">
        <v>247500</v>
      </c>
      <c r="G3304" t="s">
        <v>26</v>
      </c>
      <c r="H3304" t="s">
        <v>22</v>
      </c>
      <c r="I3304" t="s">
        <v>33</v>
      </c>
      <c r="J3304" t="s">
        <v>24</v>
      </c>
      <c r="K3304" s="6">
        <f t="shared" ca="1" si="212"/>
        <v>34129</v>
      </c>
      <c r="L3304">
        <v>-11632</v>
      </c>
      <c r="M3304" s="7">
        <f t="shared" ca="1" si="210"/>
        <v>31.846680355920601</v>
      </c>
      <c r="N3304" s="5" t="str">
        <f ca="1">VLOOKUP(Data!M3304,temp!$B$3:$C$9,2,1)</f>
        <v>30-40</v>
      </c>
      <c r="O3304">
        <v>-2686</v>
      </c>
      <c r="P3304" s="8">
        <f t="shared" si="211"/>
        <v>7.353867214236824</v>
      </c>
      <c r="Q3304" s="5" t="str">
        <f t="shared" si="213"/>
        <v>Employed</v>
      </c>
      <c r="R3304">
        <v>1</v>
      </c>
      <c r="S3304">
        <v>0</v>
      </c>
      <c r="T3304">
        <v>0</v>
      </c>
      <c r="U3304">
        <v>0</v>
      </c>
      <c r="V3304" t="s">
        <v>55</v>
      </c>
      <c r="W3304">
        <v>1</v>
      </c>
    </row>
    <row r="3305" spans="1:23" x14ac:dyDescent="0.2">
      <c r="A3305">
        <v>5113023</v>
      </c>
      <c r="B3305" t="s">
        <v>18</v>
      </c>
      <c r="C3305" t="s">
        <v>20</v>
      </c>
      <c r="D3305" t="s">
        <v>20</v>
      </c>
      <c r="E3305">
        <v>0</v>
      </c>
      <c r="F3305">
        <v>99000</v>
      </c>
      <c r="G3305" t="s">
        <v>31</v>
      </c>
      <c r="H3305" t="s">
        <v>27</v>
      </c>
      <c r="I3305" t="s">
        <v>28</v>
      </c>
      <c r="J3305" t="s">
        <v>24</v>
      </c>
      <c r="K3305" s="6">
        <f t="shared" ca="1" si="212"/>
        <v>28561</v>
      </c>
      <c r="L3305">
        <v>-17200</v>
      </c>
      <c r="M3305" s="7">
        <f t="shared" ca="1" si="210"/>
        <v>47.091033538672143</v>
      </c>
      <c r="N3305" s="5" t="str">
        <f ca="1">VLOOKUP(Data!M3305,temp!$B$3:$C$9,2,1)</f>
        <v>40-50</v>
      </c>
      <c r="O3305">
        <v>-2960</v>
      </c>
      <c r="P3305" s="8">
        <f t="shared" si="211"/>
        <v>8.1040383299110204</v>
      </c>
      <c r="Q3305" s="5" t="str">
        <f t="shared" si="213"/>
        <v>Employed</v>
      </c>
      <c r="R3305">
        <v>1</v>
      </c>
      <c r="S3305">
        <v>0</v>
      </c>
      <c r="T3305">
        <v>1</v>
      </c>
      <c r="U3305">
        <v>0</v>
      </c>
      <c r="V3305" t="s">
        <v>52</v>
      </c>
      <c r="W3305">
        <v>2</v>
      </c>
    </row>
    <row r="3306" spans="1:23" x14ac:dyDescent="0.2">
      <c r="A3306">
        <v>5113026</v>
      </c>
      <c r="B3306" t="s">
        <v>18</v>
      </c>
      <c r="C3306" t="s">
        <v>19</v>
      </c>
      <c r="D3306" t="s">
        <v>20</v>
      </c>
      <c r="E3306">
        <v>1</v>
      </c>
      <c r="F3306">
        <v>157500</v>
      </c>
      <c r="G3306" t="s">
        <v>26</v>
      </c>
      <c r="H3306" t="s">
        <v>27</v>
      </c>
      <c r="I3306" t="s">
        <v>28</v>
      </c>
      <c r="J3306" t="s">
        <v>24</v>
      </c>
      <c r="K3306" s="6">
        <f t="shared" ca="1" si="212"/>
        <v>29152</v>
      </c>
      <c r="L3306">
        <v>-16609</v>
      </c>
      <c r="M3306" s="7">
        <f t="shared" ca="1" si="210"/>
        <v>45.472963723477072</v>
      </c>
      <c r="N3306" s="5" t="str">
        <f ca="1">VLOOKUP(Data!M3306,temp!$B$3:$C$9,2,1)</f>
        <v>40-50</v>
      </c>
      <c r="O3306">
        <v>-3629</v>
      </c>
      <c r="P3306" s="8">
        <f t="shared" si="211"/>
        <v>9.935660506502396</v>
      </c>
      <c r="Q3306" s="5" t="str">
        <f t="shared" si="213"/>
        <v>Employed</v>
      </c>
      <c r="R3306">
        <v>1</v>
      </c>
      <c r="S3306">
        <v>0</v>
      </c>
      <c r="T3306">
        <v>0</v>
      </c>
      <c r="U3306">
        <v>0</v>
      </c>
      <c r="V3306" t="s">
        <v>58</v>
      </c>
      <c r="W3306">
        <v>3</v>
      </c>
    </row>
    <row r="3307" spans="1:23" x14ac:dyDescent="0.2">
      <c r="A3307">
        <v>5113028</v>
      </c>
      <c r="B3307" t="s">
        <v>25</v>
      </c>
      <c r="C3307" t="s">
        <v>20</v>
      </c>
      <c r="D3307" t="s">
        <v>20</v>
      </c>
      <c r="E3307">
        <v>1</v>
      </c>
      <c r="F3307">
        <v>292500</v>
      </c>
      <c r="G3307" t="s">
        <v>31</v>
      </c>
      <c r="H3307" t="s">
        <v>22</v>
      </c>
      <c r="I3307" t="s">
        <v>28</v>
      </c>
      <c r="J3307" t="s">
        <v>24</v>
      </c>
      <c r="K3307" s="6">
        <f t="shared" ca="1" si="212"/>
        <v>31074</v>
      </c>
      <c r="L3307">
        <v>-14687</v>
      </c>
      <c r="M3307" s="7">
        <f t="shared" ca="1" si="210"/>
        <v>40.210814510609168</v>
      </c>
      <c r="N3307" s="5" t="str">
        <f ca="1">VLOOKUP(Data!M3307,temp!$B$3:$C$9,2,1)</f>
        <v>40-50</v>
      </c>
      <c r="O3307">
        <v>-4664</v>
      </c>
      <c r="P3307" s="8">
        <f t="shared" si="211"/>
        <v>12.769336071184121</v>
      </c>
      <c r="Q3307" s="5" t="str">
        <f t="shared" si="213"/>
        <v>Employed</v>
      </c>
      <c r="R3307">
        <v>1</v>
      </c>
      <c r="S3307">
        <v>0</v>
      </c>
      <c r="T3307">
        <v>0</v>
      </c>
      <c r="U3307">
        <v>1</v>
      </c>
      <c r="V3307" t="s">
        <v>40</v>
      </c>
      <c r="W3307">
        <v>3</v>
      </c>
    </row>
    <row r="3308" spans="1:23" x14ac:dyDescent="0.2">
      <c r="A3308">
        <v>5113049</v>
      </c>
      <c r="B3308" t="s">
        <v>18</v>
      </c>
      <c r="C3308" t="s">
        <v>19</v>
      </c>
      <c r="D3308" t="s">
        <v>20</v>
      </c>
      <c r="E3308">
        <v>0</v>
      </c>
      <c r="F3308">
        <v>157500</v>
      </c>
      <c r="G3308" t="s">
        <v>31</v>
      </c>
      <c r="H3308" t="s">
        <v>27</v>
      </c>
      <c r="I3308" t="s">
        <v>28</v>
      </c>
      <c r="J3308" t="s">
        <v>24</v>
      </c>
      <c r="K3308" s="6">
        <f t="shared" ca="1" si="212"/>
        <v>27305</v>
      </c>
      <c r="L3308">
        <v>-18456</v>
      </c>
      <c r="M3308" s="7">
        <f t="shared" ca="1" si="210"/>
        <v>50.529774127310063</v>
      </c>
      <c r="N3308" s="5" t="str">
        <f ca="1">VLOOKUP(Data!M3308,temp!$B$3:$C$9,2,1)</f>
        <v>50-60</v>
      </c>
      <c r="O3308">
        <v>-6791</v>
      </c>
      <c r="P3308" s="8">
        <f t="shared" si="211"/>
        <v>18.592744695414101</v>
      </c>
      <c r="Q3308" s="5" t="str">
        <f t="shared" si="213"/>
        <v>Employed</v>
      </c>
      <c r="R3308">
        <v>1</v>
      </c>
      <c r="S3308">
        <v>0</v>
      </c>
      <c r="T3308">
        <v>0</v>
      </c>
      <c r="U3308">
        <v>0</v>
      </c>
      <c r="V3308" t="s">
        <v>32</v>
      </c>
      <c r="W3308">
        <v>2</v>
      </c>
    </row>
    <row r="3309" spans="1:23" x14ac:dyDescent="0.2">
      <c r="A3309">
        <v>5113059</v>
      </c>
      <c r="B3309" t="s">
        <v>25</v>
      </c>
      <c r="C3309" t="s">
        <v>20</v>
      </c>
      <c r="D3309" t="s">
        <v>20</v>
      </c>
      <c r="E3309">
        <v>0</v>
      </c>
      <c r="F3309">
        <v>112500</v>
      </c>
      <c r="G3309" t="s">
        <v>31</v>
      </c>
      <c r="H3309" t="s">
        <v>27</v>
      </c>
      <c r="I3309" t="s">
        <v>28</v>
      </c>
      <c r="J3309" t="s">
        <v>24</v>
      </c>
      <c r="K3309" s="6">
        <f t="shared" ca="1" si="212"/>
        <v>27468</v>
      </c>
      <c r="L3309">
        <v>-18293</v>
      </c>
      <c r="M3309" s="7">
        <f t="shared" ca="1" si="210"/>
        <v>50.083504449007528</v>
      </c>
      <c r="N3309" s="5" t="str">
        <f ca="1">VLOOKUP(Data!M3309,temp!$B$3:$C$9,2,1)</f>
        <v>50-60</v>
      </c>
      <c r="O3309">
        <v>-521</v>
      </c>
      <c r="P3309" s="8">
        <f t="shared" si="211"/>
        <v>1.4264202600958247</v>
      </c>
      <c r="Q3309" s="5" t="str">
        <f t="shared" si="213"/>
        <v>Employed</v>
      </c>
      <c r="R3309">
        <v>1</v>
      </c>
      <c r="S3309">
        <v>1</v>
      </c>
      <c r="T3309">
        <v>0</v>
      </c>
      <c r="U3309">
        <v>0</v>
      </c>
      <c r="W3309">
        <v>2</v>
      </c>
    </row>
    <row r="3310" spans="1:23" x14ac:dyDescent="0.2">
      <c r="A3310">
        <v>5113070</v>
      </c>
      <c r="B3310" t="s">
        <v>18</v>
      </c>
      <c r="C3310" t="s">
        <v>20</v>
      </c>
      <c r="D3310" t="s">
        <v>19</v>
      </c>
      <c r="E3310">
        <v>1</v>
      </c>
      <c r="F3310">
        <v>225000</v>
      </c>
      <c r="G3310" t="s">
        <v>26</v>
      </c>
      <c r="H3310" t="s">
        <v>27</v>
      </c>
      <c r="I3310" t="s">
        <v>23</v>
      </c>
      <c r="J3310" t="s">
        <v>24</v>
      </c>
      <c r="K3310" s="6">
        <f t="shared" ca="1" si="212"/>
        <v>34047</v>
      </c>
      <c r="L3310">
        <v>-11714</v>
      </c>
      <c r="M3310" s="7">
        <f t="shared" ca="1" si="210"/>
        <v>32.071184120465432</v>
      </c>
      <c r="N3310" s="5" t="str">
        <f ca="1">VLOOKUP(Data!M3310,temp!$B$3:$C$9,2,1)</f>
        <v>30-40</v>
      </c>
      <c r="O3310">
        <v>-1740</v>
      </c>
      <c r="P3310" s="8">
        <f t="shared" si="211"/>
        <v>4.7638603696098567</v>
      </c>
      <c r="Q3310" s="5" t="str">
        <f t="shared" si="213"/>
        <v>Employed</v>
      </c>
      <c r="R3310">
        <v>1</v>
      </c>
      <c r="S3310">
        <v>0</v>
      </c>
      <c r="T3310">
        <v>0</v>
      </c>
      <c r="U3310">
        <v>1</v>
      </c>
      <c r="V3310" t="s">
        <v>38</v>
      </c>
      <c r="W3310">
        <v>2</v>
      </c>
    </row>
    <row r="3311" spans="1:23" x14ac:dyDescent="0.2">
      <c r="A3311">
        <v>5113071</v>
      </c>
      <c r="B3311" t="s">
        <v>18</v>
      </c>
      <c r="C3311" t="s">
        <v>19</v>
      </c>
      <c r="D3311" t="s">
        <v>20</v>
      </c>
      <c r="E3311">
        <v>0</v>
      </c>
      <c r="F3311">
        <v>135000</v>
      </c>
      <c r="G3311" t="s">
        <v>31</v>
      </c>
      <c r="H3311" t="s">
        <v>36</v>
      </c>
      <c r="I3311" t="s">
        <v>28</v>
      </c>
      <c r="J3311" t="s">
        <v>24</v>
      </c>
      <c r="K3311" s="6">
        <f t="shared" ca="1" si="212"/>
        <v>32723</v>
      </c>
      <c r="L3311">
        <v>-13038</v>
      </c>
      <c r="M3311" s="7">
        <f t="shared" ca="1" si="210"/>
        <v>35.696098562628336</v>
      </c>
      <c r="N3311" s="5" t="str">
        <f ca="1">VLOOKUP(Data!M3311,temp!$B$3:$C$9,2,1)</f>
        <v>30-40</v>
      </c>
      <c r="O3311">
        <v>-1617</v>
      </c>
      <c r="P3311" s="8">
        <f t="shared" si="211"/>
        <v>4.4271047227926079</v>
      </c>
      <c r="Q3311" s="5" t="str">
        <f t="shared" si="213"/>
        <v>Employed</v>
      </c>
      <c r="R3311">
        <v>1</v>
      </c>
      <c r="S3311">
        <v>0</v>
      </c>
      <c r="T3311">
        <v>0</v>
      </c>
      <c r="U3311">
        <v>1</v>
      </c>
      <c r="W3311">
        <v>2</v>
      </c>
    </row>
    <row r="3312" spans="1:23" x14ac:dyDescent="0.2">
      <c r="A3312">
        <v>5113072</v>
      </c>
      <c r="B3312" t="s">
        <v>18</v>
      </c>
      <c r="C3312" t="s">
        <v>19</v>
      </c>
      <c r="D3312" t="s">
        <v>20</v>
      </c>
      <c r="E3312">
        <v>0</v>
      </c>
      <c r="F3312">
        <v>157500</v>
      </c>
      <c r="G3312" t="s">
        <v>31</v>
      </c>
      <c r="H3312" t="s">
        <v>27</v>
      </c>
      <c r="I3312" t="s">
        <v>28</v>
      </c>
      <c r="J3312" t="s">
        <v>24</v>
      </c>
      <c r="K3312" s="6">
        <f t="shared" ca="1" si="212"/>
        <v>28810</v>
      </c>
      <c r="L3312">
        <v>-16951</v>
      </c>
      <c r="M3312" s="7">
        <f t="shared" ca="1" si="210"/>
        <v>46.409308692676248</v>
      </c>
      <c r="N3312" s="5" t="str">
        <f ca="1">VLOOKUP(Data!M3312,temp!$B$3:$C$9,2,1)</f>
        <v>40-50</v>
      </c>
      <c r="O3312">
        <v>-3017</v>
      </c>
      <c r="P3312" s="8">
        <f t="shared" si="211"/>
        <v>8.2600958247775491</v>
      </c>
      <c r="Q3312" s="5" t="str">
        <f t="shared" si="213"/>
        <v>Employed</v>
      </c>
      <c r="R3312">
        <v>1</v>
      </c>
      <c r="S3312">
        <v>1</v>
      </c>
      <c r="T3312">
        <v>1</v>
      </c>
      <c r="U3312">
        <v>0</v>
      </c>
      <c r="W3312">
        <v>2</v>
      </c>
    </row>
    <row r="3313" spans="1:23" x14ac:dyDescent="0.2">
      <c r="A3313">
        <v>5113085</v>
      </c>
      <c r="B3313" t="s">
        <v>25</v>
      </c>
      <c r="C3313" t="s">
        <v>19</v>
      </c>
      <c r="D3313" t="s">
        <v>20</v>
      </c>
      <c r="E3313">
        <v>2</v>
      </c>
      <c r="F3313">
        <v>225000</v>
      </c>
      <c r="G3313" t="s">
        <v>35</v>
      </c>
      <c r="H3313" t="s">
        <v>22</v>
      </c>
      <c r="I3313" t="s">
        <v>28</v>
      </c>
      <c r="J3313" t="s">
        <v>24</v>
      </c>
      <c r="K3313" s="6">
        <f t="shared" ca="1" si="212"/>
        <v>31226</v>
      </c>
      <c r="L3313">
        <v>-14535</v>
      </c>
      <c r="M3313" s="7">
        <f t="shared" ca="1" si="210"/>
        <v>39.794661190965094</v>
      </c>
      <c r="N3313" s="5" t="str">
        <f ca="1">VLOOKUP(Data!M3313,temp!$B$3:$C$9,2,1)</f>
        <v>30-40</v>
      </c>
      <c r="O3313">
        <v>-7918</v>
      </c>
      <c r="P3313" s="8">
        <f t="shared" si="211"/>
        <v>21.678302532511978</v>
      </c>
      <c r="Q3313" s="5" t="str">
        <f t="shared" si="213"/>
        <v>Employed</v>
      </c>
      <c r="R3313">
        <v>1</v>
      </c>
      <c r="S3313">
        <v>0</v>
      </c>
      <c r="T3313">
        <v>1</v>
      </c>
      <c r="U3313">
        <v>1</v>
      </c>
      <c r="V3313" t="s">
        <v>38</v>
      </c>
      <c r="W3313">
        <v>4</v>
      </c>
    </row>
    <row r="3314" spans="1:23" x14ac:dyDescent="0.2">
      <c r="A3314">
        <v>5113094</v>
      </c>
      <c r="B3314" t="s">
        <v>25</v>
      </c>
      <c r="C3314" t="s">
        <v>20</v>
      </c>
      <c r="D3314" t="s">
        <v>20</v>
      </c>
      <c r="E3314">
        <v>1</v>
      </c>
      <c r="F3314">
        <v>225000</v>
      </c>
      <c r="G3314" t="s">
        <v>26</v>
      </c>
      <c r="H3314" t="s">
        <v>27</v>
      </c>
      <c r="I3314" t="s">
        <v>28</v>
      </c>
      <c r="J3314" t="s">
        <v>24</v>
      </c>
      <c r="K3314" s="6">
        <f t="shared" ca="1" si="212"/>
        <v>30775</v>
      </c>
      <c r="L3314">
        <v>-14986</v>
      </c>
      <c r="M3314" s="7">
        <f t="shared" ca="1" si="210"/>
        <v>41.029431895961672</v>
      </c>
      <c r="N3314" s="5" t="str">
        <f ca="1">VLOOKUP(Data!M3314,temp!$B$3:$C$9,2,1)</f>
        <v>40-50</v>
      </c>
      <c r="O3314">
        <v>-856</v>
      </c>
      <c r="P3314" s="8">
        <f t="shared" si="211"/>
        <v>2.3436002737850785</v>
      </c>
      <c r="Q3314" s="5" t="str">
        <f t="shared" si="213"/>
        <v>Employed</v>
      </c>
      <c r="R3314">
        <v>1</v>
      </c>
      <c r="S3314">
        <v>0</v>
      </c>
      <c r="T3314">
        <v>0</v>
      </c>
      <c r="U3314">
        <v>0</v>
      </c>
      <c r="V3314" t="s">
        <v>29</v>
      </c>
      <c r="W3314">
        <v>3</v>
      </c>
    </row>
    <row r="3315" spans="1:23" x14ac:dyDescent="0.2">
      <c r="A3315">
        <v>5113096</v>
      </c>
      <c r="B3315" t="s">
        <v>18</v>
      </c>
      <c r="C3315" t="s">
        <v>20</v>
      </c>
      <c r="D3315" t="s">
        <v>19</v>
      </c>
      <c r="E3315">
        <v>1</v>
      </c>
      <c r="F3315">
        <v>315000</v>
      </c>
      <c r="G3315" t="s">
        <v>31</v>
      </c>
      <c r="H3315" t="s">
        <v>22</v>
      </c>
      <c r="I3315" t="s">
        <v>28</v>
      </c>
      <c r="J3315" t="s">
        <v>24</v>
      </c>
      <c r="K3315" s="6">
        <f t="shared" ca="1" si="212"/>
        <v>30342</v>
      </c>
      <c r="L3315">
        <v>-15419</v>
      </c>
      <c r="M3315" s="7">
        <f t="shared" ca="1" si="210"/>
        <v>42.214921286789867</v>
      </c>
      <c r="N3315" s="5" t="str">
        <f ca="1">VLOOKUP(Data!M3315,temp!$B$3:$C$9,2,1)</f>
        <v>40-50</v>
      </c>
      <c r="O3315">
        <v>-3657</v>
      </c>
      <c r="P3315" s="8">
        <f t="shared" si="211"/>
        <v>10.012320328542094</v>
      </c>
      <c r="Q3315" s="5" t="str">
        <f t="shared" si="213"/>
        <v>Employed</v>
      </c>
      <c r="R3315">
        <v>1</v>
      </c>
      <c r="S3315">
        <v>0</v>
      </c>
      <c r="T3315">
        <v>0</v>
      </c>
      <c r="U3315">
        <v>0</v>
      </c>
      <c r="W3315">
        <v>3</v>
      </c>
    </row>
    <row r="3316" spans="1:23" x14ac:dyDescent="0.2">
      <c r="A3316">
        <v>5113105</v>
      </c>
      <c r="B3316" t="s">
        <v>25</v>
      </c>
      <c r="C3316" t="s">
        <v>20</v>
      </c>
      <c r="D3316" t="s">
        <v>19</v>
      </c>
      <c r="E3316">
        <v>0</v>
      </c>
      <c r="F3316">
        <v>225000</v>
      </c>
      <c r="G3316" t="s">
        <v>31</v>
      </c>
      <c r="H3316" t="s">
        <v>27</v>
      </c>
      <c r="I3316" t="s">
        <v>28</v>
      </c>
      <c r="J3316" t="s">
        <v>24</v>
      </c>
      <c r="K3316" s="6">
        <f t="shared" ca="1" si="212"/>
        <v>25789</v>
      </c>
      <c r="L3316">
        <v>-19972</v>
      </c>
      <c r="M3316" s="7">
        <f t="shared" ca="1" si="210"/>
        <v>54.680355920602324</v>
      </c>
      <c r="N3316" s="5" t="str">
        <f ca="1">VLOOKUP(Data!M3316,temp!$B$3:$C$9,2,1)</f>
        <v>50-60</v>
      </c>
      <c r="O3316">
        <v>-6610</v>
      </c>
      <c r="P3316" s="8">
        <f t="shared" si="211"/>
        <v>18.097193702943191</v>
      </c>
      <c r="Q3316" s="5" t="str">
        <f t="shared" si="213"/>
        <v>Employed</v>
      </c>
      <c r="R3316">
        <v>1</v>
      </c>
      <c r="S3316">
        <v>0</v>
      </c>
      <c r="T3316">
        <v>0</v>
      </c>
      <c r="U3316">
        <v>0</v>
      </c>
      <c r="V3316" t="s">
        <v>29</v>
      </c>
      <c r="W3316">
        <v>2</v>
      </c>
    </row>
    <row r="3317" spans="1:23" x14ac:dyDescent="0.2">
      <c r="A3317">
        <v>5113111</v>
      </c>
      <c r="B3317" t="s">
        <v>25</v>
      </c>
      <c r="C3317" t="s">
        <v>20</v>
      </c>
      <c r="D3317" t="s">
        <v>20</v>
      </c>
      <c r="E3317">
        <v>2</v>
      </c>
      <c r="F3317">
        <v>225000</v>
      </c>
      <c r="G3317" t="s">
        <v>31</v>
      </c>
      <c r="H3317" t="s">
        <v>27</v>
      </c>
      <c r="I3317" t="s">
        <v>28</v>
      </c>
      <c r="J3317" t="s">
        <v>24</v>
      </c>
      <c r="K3317" s="6">
        <f t="shared" ca="1" si="212"/>
        <v>27089</v>
      </c>
      <c r="L3317">
        <v>-18672</v>
      </c>
      <c r="M3317" s="7">
        <f t="shared" ca="1" si="210"/>
        <v>51.121149897330596</v>
      </c>
      <c r="N3317" s="5" t="str">
        <f ca="1">VLOOKUP(Data!M3317,temp!$B$3:$C$9,2,1)</f>
        <v>50-60</v>
      </c>
      <c r="O3317">
        <v>-2927</v>
      </c>
      <c r="P3317" s="8">
        <f t="shared" si="211"/>
        <v>8.0136892539356612</v>
      </c>
      <c r="Q3317" s="5" t="str">
        <f t="shared" si="213"/>
        <v>Employed</v>
      </c>
      <c r="R3317">
        <v>1</v>
      </c>
      <c r="S3317">
        <v>0</v>
      </c>
      <c r="T3317">
        <v>1</v>
      </c>
      <c r="U3317">
        <v>1</v>
      </c>
      <c r="V3317" t="s">
        <v>30</v>
      </c>
      <c r="W3317">
        <v>4</v>
      </c>
    </row>
    <row r="3318" spans="1:23" x14ac:dyDescent="0.2">
      <c r="A3318">
        <v>5113113</v>
      </c>
      <c r="B3318" t="s">
        <v>25</v>
      </c>
      <c r="C3318" t="s">
        <v>20</v>
      </c>
      <c r="D3318" t="s">
        <v>20</v>
      </c>
      <c r="E3318">
        <v>0</v>
      </c>
      <c r="F3318">
        <v>202500</v>
      </c>
      <c r="G3318" t="s">
        <v>31</v>
      </c>
      <c r="H3318" t="s">
        <v>27</v>
      </c>
      <c r="I3318" t="s">
        <v>28</v>
      </c>
      <c r="J3318" t="s">
        <v>24</v>
      </c>
      <c r="K3318" s="6">
        <f t="shared" ca="1" si="212"/>
        <v>30338</v>
      </c>
      <c r="L3318">
        <v>-15423</v>
      </c>
      <c r="M3318" s="7">
        <f t="shared" ca="1" si="210"/>
        <v>42.225872689938399</v>
      </c>
      <c r="N3318" s="5" t="str">
        <f ca="1">VLOOKUP(Data!M3318,temp!$B$3:$C$9,2,1)</f>
        <v>40-50</v>
      </c>
      <c r="O3318">
        <v>-3231</v>
      </c>
      <c r="P3318" s="8">
        <f t="shared" si="211"/>
        <v>8.8459958932238187</v>
      </c>
      <c r="Q3318" s="5" t="str">
        <f t="shared" si="213"/>
        <v>Employed</v>
      </c>
      <c r="R3318">
        <v>1</v>
      </c>
      <c r="S3318">
        <v>1</v>
      </c>
      <c r="T3318">
        <v>1</v>
      </c>
      <c r="U3318">
        <v>0</v>
      </c>
      <c r="V3318" t="s">
        <v>29</v>
      </c>
      <c r="W3318">
        <v>2</v>
      </c>
    </row>
    <row r="3319" spans="1:23" x14ac:dyDescent="0.2">
      <c r="A3319">
        <v>5113125</v>
      </c>
      <c r="B3319" t="s">
        <v>18</v>
      </c>
      <c r="C3319" t="s">
        <v>19</v>
      </c>
      <c r="D3319" t="s">
        <v>20</v>
      </c>
      <c r="E3319">
        <v>0</v>
      </c>
      <c r="F3319">
        <v>112500</v>
      </c>
      <c r="G3319" t="s">
        <v>35</v>
      </c>
      <c r="H3319" t="s">
        <v>22</v>
      </c>
      <c r="I3319" t="s">
        <v>28</v>
      </c>
      <c r="J3319" t="s">
        <v>24</v>
      </c>
      <c r="K3319" s="6">
        <f t="shared" ca="1" si="212"/>
        <v>31925</v>
      </c>
      <c r="L3319">
        <v>-13836</v>
      </c>
      <c r="M3319" s="7">
        <f t="shared" ca="1" si="210"/>
        <v>37.880903490759756</v>
      </c>
      <c r="N3319" s="5" t="str">
        <f ca="1">VLOOKUP(Data!M3319,temp!$B$3:$C$9,2,1)</f>
        <v>30-40</v>
      </c>
      <c r="O3319">
        <v>-3747</v>
      </c>
      <c r="P3319" s="8">
        <f t="shared" si="211"/>
        <v>10.258726899383984</v>
      </c>
      <c r="Q3319" s="5" t="str">
        <f t="shared" si="213"/>
        <v>Employed</v>
      </c>
      <c r="R3319">
        <v>1</v>
      </c>
      <c r="S3319">
        <v>0</v>
      </c>
      <c r="T3319">
        <v>0</v>
      </c>
      <c r="U3319">
        <v>1</v>
      </c>
      <c r="V3319" t="s">
        <v>38</v>
      </c>
      <c r="W3319">
        <v>2</v>
      </c>
    </row>
    <row r="3320" spans="1:23" x14ac:dyDescent="0.2">
      <c r="A3320">
        <v>5113126</v>
      </c>
      <c r="B3320" t="s">
        <v>18</v>
      </c>
      <c r="C3320" t="s">
        <v>19</v>
      </c>
      <c r="D3320" t="s">
        <v>20</v>
      </c>
      <c r="E3320">
        <v>0</v>
      </c>
      <c r="F3320">
        <v>112500</v>
      </c>
      <c r="G3320" t="s">
        <v>35</v>
      </c>
      <c r="H3320" t="s">
        <v>22</v>
      </c>
      <c r="I3320" t="s">
        <v>28</v>
      </c>
      <c r="J3320" t="s">
        <v>24</v>
      </c>
      <c r="K3320" s="6">
        <f t="shared" ca="1" si="212"/>
        <v>31925</v>
      </c>
      <c r="L3320">
        <v>-13836</v>
      </c>
      <c r="M3320" s="7">
        <f t="shared" ca="1" si="210"/>
        <v>37.880903490759756</v>
      </c>
      <c r="N3320" s="5" t="str">
        <f ca="1">VLOOKUP(Data!M3320,temp!$B$3:$C$9,2,1)</f>
        <v>30-40</v>
      </c>
      <c r="O3320">
        <v>-3747</v>
      </c>
      <c r="P3320" s="8">
        <f t="shared" si="211"/>
        <v>10.258726899383984</v>
      </c>
      <c r="Q3320" s="5" t="str">
        <f t="shared" si="213"/>
        <v>Employed</v>
      </c>
      <c r="R3320">
        <v>1</v>
      </c>
      <c r="S3320">
        <v>0</v>
      </c>
      <c r="T3320">
        <v>0</v>
      </c>
      <c r="U3320">
        <v>1</v>
      </c>
      <c r="V3320" t="s">
        <v>38</v>
      </c>
      <c r="W3320">
        <v>2</v>
      </c>
    </row>
    <row r="3321" spans="1:23" x14ac:dyDescent="0.2">
      <c r="A3321">
        <v>5113135</v>
      </c>
      <c r="B3321" t="s">
        <v>18</v>
      </c>
      <c r="C3321" t="s">
        <v>19</v>
      </c>
      <c r="D3321" t="s">
        <v>20</v>
      </c>
      <c r="E3321">
        <v>0</v>
      </c>
      <c r="F3321">
        <v>189000</v>
      </c>
      <c r="G3321" t="s">
        <v>21</v>
      </c>
      <c r="H3321" t="s">
        <v>36</v>
      </c>
      <c r="I3321" t="s">
        <v>42</v>
      </c>
      <c r="J3321" t="s">
        <v>24</v>
      </c>
      <c r="K3321" s="6">
        <f t="shared" ca="1" si="212"/>
        <v>23916</v>
      </c>
      <c r="L3321">
        <v>-21845</v>
      </c>
      <c r="M3321" s="7">
        <f t="shared" ca="1" si="210"/>
        <v>59.808350444900753</v>
      </c>
      <c r="N3321" s="5" t="str">
        <f ca="1">VLOOKUP(Data!M3321,temp!$B$3:$C$9,2,1)</f>
        <v>50-60</v>
      </c>
      <c r="O3321">
        <v>365243</v>
      </c>
      <c r="P3321" s="8">
        <f t="shared" si="211"/>
        <v>0</v>
      </c>
      <c r="Q3321" s="5" t="str">
        <f t="shared" si="213"/>
        <v>Unemployed</v>
      </c>
      <c r="R3321">
        <v>1</v>
      </c>
      <c r="S3321">
        <v>0</v>
      </c>
      <c r="T3321">
        <v>0</v>
      </c>
      <c r="U3321">
        <v>0</v>
      </c>
      <c r="W3321">
        <v>1</v>
      </c>
    </row>
    <row r="3322" spans="1:23" x14ac:dyDescent="0.2">
      <c r="A3322">
        <v>5113145</v>
      </c>
      <c r="B3322" t="s">
        <v>25</v>
      </c>
      <c r="C3322" t="s">
        <v>19</v>
      </c>
      <c r="D3322" t="s">
        <v>20</v>
      </c>
      <c r="E3322">
        <v>1</v>
      </c>
      <c r="F3322">
        <v>270000</v>
      </c>
      <c r="G3322" t="s">
        <v>35</v>
      </c>
      <c r="H3322" t="s">
        <v>27</v>
      </c>
      <c r="I3322" t="s">
        <v>28</v>
      </c>
      <c r="J3322" t="s">
        <v>24</v>
      </c>
      <c r="K3322" s="6">
        <f t="shared" ca="1" si="212"/>
        <v>28651</v>
      </c>
      <c r="L3322">
        <v>-17110</v>
      </c>
      <c r="M3322" s="7">
        <f t="shared" ca="1" si="210"/>
        <v>46.844626967830251</v>
      </c>
      <c r="N3322" s="5" t="str">
        <f ca="1">VLOOKUP(Data!M3322,temp!$B$3:$C$9,2,1)</f>
        <v>40-50</v>
      </c>
      <c r="O3322">
        <v>-370</v>
      </c>
      <c r="P3322" s="8">
        <f t="shared" si="211"/>
        <v>1.0130047912388775</v>
      </c>
      <c r="Q3322" s="5" t="str">
        <f t="shared" si="213"/>
        <v>Employed</v>
      </c>
      <c r="R3322">
        <v>1</v>
      </c>
      <c r="S3322">
        <v>0</v>
      </c>
      <c r="T3322">
        <v>0</v>
      </c>
      <c r="U3322">
        <v>0</v>
      </c>
      <c r="V3322" t="s">
        <v>29</v>
      </c>
      <c r="W3322">
        <v>3</v>
      </c>
    </row>
    <row r="3323" spans="1:23" x14ac:dyDescent="0.2">
      <c r="A3323">
        <v>5113189</v>
      </c>
      <c r="B3323" t="s">
        <v>18</v>
      </c>
      <c r="C3323" t="s">
        <v>19</v>
      </c>
      <c r="D3323" t="s">
        <v>20</v>
      </c>
      <c r="E3323">
        <v>1</v>
      </c>
      <c r="F3323">
        <v>135000</v>
      </c>
      <c r="G3323" t="s">
        <v>31</v>
      </c>
      <c r="H3323" t="s">
        <v>27</v>
      </c>
      <c r="I3323" t="s">
        <v>37</v>
      </c>
      <c r="J3323" t="s">
        <v>41</v>
      </c>
      <c r="K3323" s="6">
        <f t="shared" ca="1" si="212"/>
        <v>35571</v>
      </c>
      <c r="L3323">
        <v>-10190</v>
      </c>
      <c r="M3323" s="7">
        <f t="shared" ca="1" si="210"/>
        <v>27.898699520876111</v>
      </c>
      <c r="N3323" s="5" t="str">
        <f ca="1">VLOOKUP(Data!M3323,temp!$B$3:$C$9,2,1)</f>
        <v>20-30</v>
      </c>
      <c r="O3323">
        <v>-279</v>
      </c>
      <c r="P3323" s="8">
        <f t="shared" si="211"/>
        <v>0.76386036960985626</v>
      </c>
      <c r="Q3323" s="5" t="str">
        <f t="shared" si="213"/>
        <v>Employed</v>
      </c>
      <c r="R3323">
        <v>1</v>
      </c>
      <c r="S3323">
        <v>0</v>
      </c>
      <c r="T3323">
        <v>0</v>
      </c>
      <c r="U3323">
        <v>0</v>
      </c>
      <c r="W3323">
        <v>3</v>
      </c>
    </row>
    <row r="3324" spans="1:23" x14ac:dyDescent="0.2">
      <c r="A3324">
        <v>5113201</v>
      </c>
      <c r="B3324" t="s">
        <v>18</v>
      </c>
      <c r="C3324" t="s">
        <v>20</v>
      </c>
      <c r="D3324" t="s">
        <v>20</v>
      </c>
      <c r="E3324">
        <v>0</v>
      </c>
      <c r="F3324">
        <v>117000</v>
      </c>
      <c r="G3324" t="s">
        <v>31</v>
      </c>
      <c r="H3324" t="s">
        <v>27</v>
      </c>
      <c r="I3324" t="s">
        <v>28</v>
      </c>
      <c r="J3324" t="s">
        <v>45</v>
      </c>
      <c r="K3324" s="6">
        <f t="shared" ca="1" si="212"/>
        <v>28225</v>
      </c>
      <c r="L3324">
        <v>-17536</v>
      </c>
      <c r="M3324" s="7">
        <f t="shared" ca="1" si="210"/>
        <v>48.010951403148532</v>
      </c>
      <c r="N3324" s="5" t="str">
        <f ca="1">VLOOKUP(Data!M3324,temp!$B$3:$C$9,2,1)</f>
        <v>40-50</v>
      </c>
      <c r="O3324">
        <v>-4113</v>
      </c>
      <c r="P3324" s="8">
        <f t="shared" si="211"/>
        <v>11.260780287474333</v>
      </c>
      <c r="Q3324" s="5" t="str">
        <f t="shared" si="213"/>
        <v>Employed</v>
      </c>
      <c r="R3324">
        <v>1</v>
      </c>
      <c r="S3324">
        <v>0</v>
      </c>
      <c r="T3324">
        <v>1</v>
      </c>
      <c r="U3324">
        <v>0</v>
      </c>
      <c r="V3324" t="s">
        <v>39</v>
      </c>
      <c r="W3324">
        <v>2</v>
      </c>
    </row>
    <row r="3325" spans="1:23" x14ac:dyDescent="0.2">
      <c r="A3325">
        <v>5113208</v>
      </c>
      <c r="B3325" t="s">
        <v>18</v>
      </c>
      <c r="C3325" t="s">
        <v>19</v>
      </c>
      <c r="D3325" t="s">
        <v>20</v>
      </c>
      <c r="E3325">
        <v>0</v>
      </c>
      <c r="F3325">
        <v>180000</v>
      </c>
      <c r="G3325" t="s">
        <v>31</v>
      </c>
      <c r="H3325" t="s">
        <v>27</v>
      </c>
      <c r="I3325" t="s">
        <v>28</v>
      </c>
      <c r="J3325" t="s">
        <v>24</v>
      </c>
      <c r="K3325" s="6">
        <f t="shared" ca="1" si="212"/>
        <v>32034</v>
      </c>
      <c r="L3325">
        <v>-13727</v>
      </c>
      <c r="M3325" s="7">
        <f t="shared" ca="1" si="210"/>
        <v>37.582477754962355</v>
      </c>
      <c r="N3325" s="5" t="str">
        <f ca="1">VLOOKUP(Data!M3325,temp!$B$3:$C$9,2,1)</f>
        <v>30-40</v>
      </c>
      <c r="O3325">
        <v>-6031</v>
      </c>
      <c r="P3325" s="8">
        <f t="shared" si="211"/>
        <v>16.511978097193705</v>
      </c>
      <c r="Q3325" s="5" t="str">
        <f t="shared" si="213"/>
        <v>Employed</v>
      </c>
      <c r="R3325">
        <v>1</v>
      </c>
      <c r="S3325">
        <v>0</v>
      </c>
      <c r="T3325">
        <v>0</v>
      </c>
      <c r="U3325">
        <v>0</v>
      </c>
      <c r="W3325">
        <v>2</v>
      </c>
    </row>
    <row r="3326" spans="1:23" x14ac:dyDescent="0.2">
      <c r="A3326">
        <v>5113211</v>
      </c>
      <c r="B3326" t="s">
        <v>18</v>
      </c>
      <c r="C3326" t="s">
        <v>20</v>
      </c>
      <c r="D3326" t="s">
        <v>19</v>
      </c>
      <c r="E3326">
        <v>1</v>
      </c>
      <c r="F3326">
        <v>306000</v>
      </c>
      <c r="G3326" t="s">
        <v>31</v>
      </c>
      <c r="H3326" t="s">
        <v>22</v>
      </c>
      <c r="I3326" t="s">
        <v>28</v>
      </c>
      <c r="J3326" t="s">
        <v>24</v>
      </c>
      <c r="K3326" s="6">
        <f t="shared" ca="1" si="212"/>
        <v>36451</v>
      </c>
      <c r="L3326">
        <v>-9310</v>
      </c>
      <c r="M3326" s="7">
        <f t="shared" ca="1" si="210"/>
        <v>25.489390828199863</v>
      </c>
      <c r="N3326" s="5" t="str">
        <f ca="1">VLOOKUP(Data!M3326,temp!$B$3:$C$9,2,1)</f>
        <v>20-30</v>
      </c>
      <c r="O3326">
        <v>-1678</v>
      </c>
      <c r="P3326" s="8">
        <f t="shared" si="211"/>
        <v>4.5941136208076658</v>
      </c>
      <c r="Q3326" s="5" t="str">
        <f t="shared" si="213"/>
        <v>Employed</v>
      </c>
      <c r="R3326">
        <v>1</v>
      </c>
      <c r="S3326">
        <v>0</v>
      </c>
      <c r="T3326">
        <v>0</v>
      </c>
      <c r="U3326">
        <v>0</v>
      </c>
      <c r="W3326">
        <v>3</v>
      </c>
    </row>
    <row r="3327" spans="1:23" x14ac:dyDescent="0.2">
      <c r="A3327">
        <v>5113218</v>
      </c>
      <c r="B3327" t="s">
        <v>18</v>
      </c>
      <c r="C3327" t="s">
        <v>19</v>
      </c>
      <c r="D3327" t="s">
        <v>20</v>
      </c>
      <c r="E3327">
        <v>0</v>
      </c>
      <c r="F3327">
        <v>67500</v>
      </c>
      <c r="G3327" t="s">
        <v>31</v>
      </c>
      <c r="H3327" t="s">
        <v>27</v>
      </c>
      <c r="I3327" t="s">
        <v>33</v>
      </c>
      <c r="J3327" t="s">
        <v>41</v>
      </c>
      <c r="K3327" s="6">
        <f t="shared" ca="1" si="212"/>
        <v>36631</v>
      </c>
      <c r="L3327">
        <v>-9130</v>
      </c>
      <c r="M3327" s="7">
        <f t="shared" ca="1" si="210"/>
        <v>24.996577686516083</v>
      </c>
      <c r="N3327" s="5" t="str">
        <f ca="1">VLOOKUP(Data!M3327,temp!$B$3:$C$9,2,1)</f>
        <v>20-30</v>
      </c>
      <c r="O3327">
        <v>-2105</v>
      </c>
      <c r="P3327" s="8">
        <f t="shared" si="211"/>
        <v>5.763175906913073</v>
      </c>
      <c r="Q3327" s="5" t="str">
        <f t="shared" si="213"/>
        <v>Employed</v>
      </c>
      <c r="R3327">
        <v>1</v>
      </c>
      <c r="S3327">
        <v>0</v>
      </c>
      <c r="T3327">
        <v>0</v>
      </c>
      <c r="U3327">
        <v>0</v>
      </c>
      <c r="V3327" t="s">
        <v>47</v>
      </c>
      <c r="W3327">
        <v>1</v>
      </c>
    </row>
    <row r="3328" spans="1:23" x14ac:dyDescent="0.2">
      <c r="A3328">
        <v>5113245</v>
      </c>
      <c r="B3328" t="s">
        <v>18</v>
      </c>
      <c r="C3328" t="s">
        <v>19</v>
      </c>
      <c r="D3328" t="s">
        <v>20</v>
      </c>
      <c r="E3328">
        <v>1</v>
      </c>
      <c r="F3328">
        <v>175500</v>
      </c>
      <c r="G3328" t="s">
        <v>31</v>
      </c>
      <c r="H3328" t="s">
        <v>27</v>
      </c>
      <c r="I3328" t="s">
        <v>28</v>
      </c>
      <c r="J3328" t="s">
        <v>24</v>
      </c>
      <c r="K3328" s="6">
        <f t="shared" ca="1" si="212"/>
        <v>29057</v>
      </c>
      <c r="L3328">
        <v>-16704</v>
      </c>
      <c r="M3328" s="7">
        <f t="shared" ca="1" si="210"/>
        <v>45.733059548254623</v>
      </c>
      <c r="N3328" s="5" t="str">
        <f ca="1">VLOOKUP(Data!M3328,temp!$B$3:$C$9,2,1)</f>
        <v>40-50</v>
      </c>
      <c r="O3328">
        <v>-132</v>
      </c>
      <c r="P3328" s="8">
        <f t="shared" si="211"/>
        <v>0.3613963039014374</v>
      </c>
      <c r="Q3328" s="5" t="str">
        <f t="shared" si="213"/>
        <v>Employed</v>
      </c>
      <c r="R3328">
        <v>1</v>
      </c>
      <c r="S3328">
        <v>1</v>
      </c>
      <c r="T3328">
        <v>0</v>
      </c>
      <c r="U3328">
        <v>0</v>
      </c>
      <c r="V3328" t="s">
        <v>46</v>
      </c>
      <c r="W3328">
        <v>3</v>
      </c>
    </row>
    <row r="3329" spans="1:23" x14ac:dyDescent="0.2">
      <c r="A3329">
        <v>5113246</v>
      </c>
      <c r="B3329" t="s">
        <v>25</v>
      </c>
      <c r="C3329" t="s">
        <v>19</v>
      </c>
      <c r="D3329" t="s">
        <v>20</v>
      </c>
      <c r="E3329">
        <v>1</v>
      </c>
      <c r="F3329">
        <v>360000</v>
      </c>
      <c r="G3329" t="s">
        <v>31</v>
      </c>
      <c r="H3329" t="s">
        <v>22</v>
      </c>
      <c r="I3329" t="s">
        <v>23</v>
      </c>
      <c r="J3329" t="s">
        <v>24</v>
      </c>
      <c r="K3329" s="6">
        <f t="shared" ca="1" si="212"/>
        <v>31848</v>
      </c>
      <c r="L3329">
        <v>-13913</v>
      </c>
      <c r="M3329" s="7">
        <f t="shared" ca="1" si="210"/>
        <v>38.091718001368925</v>
      </c>
      <c r="N3329" s="5" t="str">
        <f ca="1">VLOOKUP(Data!M3329,temp!$B$3:$C$9,2,1)</f>
        <v>30-40</v>
      </c>
      <c r="O3329">
        <v>-619</v>
      </c>
      <c r="P3329" s="8">
        <f t="shared" si="211"/>
        <v>1.6947296372347707</v>
      </c>
      <c r="Q3329" s="5" t="str">
        <f t="shared" si="213"/>
        <v>Employed</v>
      </c>
      <c r="R3329">
        <v>1</v>
      </c>
      <c r="S3329">
        <v>0</v>
      </c>
      <c r="T3329">
        <v>0</v>
      </c>
      <c r="U3329">
        <v>0</v>
      </c>
      <c r="V3329" t="s">
        <v>47</v>
      </c>
      <c r="W3329">
        <v>2</v>
      </c>
    </row>
    <row r="3330" spans="1:23" x14ac:dyDescent="0.2">
      <c r="A3330">
        <v>5113255</v>
      </c>
      <c r="B3330" t="s">
        <v>18</v>
      </c>
      <c r="C3330" t="s">
        <v>20</v>
      </c>
      <c r="D3330" t="s">
        <v>20</v>
      </c>
      <c r="E3330">
        <v>0</v>
      </c>
      <c r="F3330">
        <v>247500</v>
      </c>
      <c r="G3330" t="s">
        <v>31</v>
      </c>
      <c r="H3330" t="s">
        <v>27</v>
      </c>
      <c r="I3330" t="s">
        <v>33</v>
      </c>
      <c r="J3330" t="s">
        <v>41</v>
      </c>
      <c r="K3330" s="6">
        <f t="shared" ca="1" si="212"/>
        <v>33991</v>
      </c>
      <c r="L3330">
        <v>-11770</v>
      </c>
      <c r="M3330" s="7">
        <f t="shared" ca="1" si="210"/>
        <v>32.224503764544835</v>
      </c>
      <c r="N3330" s="5" t="str">
        <f ca="1">VLOOKUP(Data!M3330,temp!$B$3:$C$9,2,1)</f>
        <v>30-40</v>
      </c>
      <c r="O3330">
        <v>-285</v>
      </c>
      <c r="P3330" s="8">
        <f t="shared" si="211"/>
        <v>0.78028747433264889</v>
      </c>
      <c r="Q3330" s="5" t="str">
        <f t="shared" si="213"/>
        <v>Employed</v>
      </c>
      <c r="R3330">
        <v>1</v>
      </c>
      <c r="S3330">
        <v>0</v>
      </c>
      <c r="T3330">
        <v>0</v>
      </c>
      <c r="U3330">
        <v>0</v>
      </c>
      <c r="V3330" t="s">
        <v>39</v>
      </c>
      <c r="W3330">
        <v>1</v>
      </c>
    </row>
    <row r="3331" spans="1:23" x14ac:dyDescent="0.2">
      <c r="A3331">
        <v>5113264</v>
      </c>
      <c r="B3331" t="s">
        <v>18</v>
      </c>
      <c r="C3331" t="s">
        <v>19</v>
      </c>
      <c r="D3331" t="s">
        <v>20</v>
      </c>
      <c r="E3331">
        <v>0</v>
      </c>
      <c r="F3331">
        <v>90000</v>
      </c>
      <c r="G3331" t="s">
        <v>21</v>
      </c>
      <c r="H3331" t="s">
        <v>27</v>
      </c>
      <c r="I3331" t="s">
        <v>33</v>
      </c>
      <c r="J3331" t="s">
        <v>24</v>
      </c>
      <c r="K3331" s="6">
        <f t="shared" ca="1" si="212"/>
        <v>23324</v>
      </c>
      <c r="L3331">
        <v>-22437</v>
      </c>
      <c r="M3331" s="7">
        <f t="shared" ref="M3331:M3394" ca="1" si="214">(TODAY()-K3331)/365.25</f>
        <v>61.429158110882959</v>
      </c>
      <c r="N3331" s="5" t="str">
        <f ca="1">VLOOKUP(Data!M3331,temp!$B$3:$C$9,2,1)</f>
        <v>60-70</v>
      </c>
      <c r="O3331">
        <v>365243</v>
      </c>
      <c r="P3331" s="8">
        <f t="shared" ref="P3331:P3394" si="215">IF(O3331&lt;=0,ABS(O3331)/365.25,0)</f>
        <v>0</v>
      </c>
      <c r="Q3331" s="5" t="str">
        <f t="shared" si="213"/>
        <v>Unemployed</v>
      </c>
      <c r="R3331">
        <v>1</v>
      </c>
      <c r="S3331">
        <v>0</v>
      </c>
      <c r="T3331">
        <v>1</v>
      </c>
      <c r="U3331">
        <v>0</v>
      </c>
      <c r="W3331">
        <v>1</v>
      </c>
    </row>
    <row r="3332" spans="1:23" x14ac:dyDescent="0.2">
      <c r="A3332">
        <v>5113271</v>
      </c>
      <c r="B3332" t="s">
        <v>25</v>
      </c>
      <c r="C3332" t="s">
        <v>20</v>
      </c>
      <c r="D3332" t="s">
        <v>20</v>
      </c>
      <c r="E3332">
        <v>1</v>
      </c>
      <c r="F3332">
        <v>450000</v>
      </c>
      <c r="G3332" t="s">
        <v>26</v>
      </c>
      <c r="H3332" t="s">
        <v>22</v>
      </c>
      <c r="I3332" t="s">
        <v>28</v>
      </c>
      <c r="J3332" t="s">
        <v>24</v>
      </c>
      <c r="K3332" s="6">
        <f t="shared" ca="1" si="212"/>
        <v>30663</v>
      </c>
      <c r="L3332">
        <v>-15098</v>
      </c>
      <c r="M3332" s="7">
        <f t="shared" ca="1" si="214"/>
        <v>41.336071184120463</v>
      </c>
      <c r="N3332" s="5" t="str">
        <f ca="1">VLOOKUP(Data!M3332,temp!$B$3:$C$9,2,1)</f>
        <v>40-50</v>
      </c>
      <c r="O3332">
        <v>-1562</v>
      </c>
      <c r="P3332" s="8">
        <f t="shared" si="215"/>
        <v>4.2765229295003424</v>
      </c>
      <c r="Q3332" s="5" t="str">
        <f t="shared" si="213"/>
        <v>Employed</v>
      </c>
      <c r="R3332">
        <v>1</v>
      </c>
      <c r="S3332">
        <v>0</v>
      </c>
      <c r="T3332">
        <v>0</v>
      </c>
      <c r="U3332">
        <v>1</v>
      </c>
      <c r="V3332" t="s">
        <v>32</v>
      </c>
      <c r="W3332">
        <v>3</v>
      </c>
    </row>
    <row r="3333" spans="1:23" x14ac:dyDescent="0.2">
      <c r="A3333">
        <v>5113278</v>
      </c>
      <c r="B3333" t="s">
        <v>25</v>
      </c>
      <c r="C3333" t="s">
        <v>19</v>
      </c>
      <c r="D3333" t="s">
        <v>20</v>
      </c>
      <c r="E3333">
        <v>0</v>
      </c>
      <c r="F3333">
        <v>112500</v>
      </c>
      <c r="G3333" t="s">
        <v>31</v>
      </c>
      <c r="H3333" t="s">
        <v>27</v>
      </c>
      <c r="I3333" t="s">
        <v>28</v>
      </c>
      <c r="J3333" t="s">
        <v>41</v>
      </c>
      <c r="K3333" s="6">
        <f t="shared" ca="1" si="212"/>
        <v>36176</v>
      </c>
      <c r="L3333">
        <v>-9585</v>
      </c>
      <c r="M3333" s="7">
        <f t="shared" ca="1" si="214"/>
        <v>26.242299794661189</v>
      </c>
      <c r="N3333" s="5" t="str">
        <f ca="1">VLOOKUP(Data!M3333,temp!$B$3:$C$9,2,1)</f>
        <v>20-30</v>
      </c>
      <c r="O3333">
        <v>-346</v>
      </c>
      <c r="P3333" s="8">
        <f t="shared" si="215"/>
        <v>0.94729637234770703</v>
      </c>
      <c r="Q3333" s="5" t="str">
        <f t="shared" si="213"/>
        <v>Employed</v>
      </c>
      <c r="R3333">
        <v>1</v>
      </c>
      <c r="S3333">
        <v>0</v>
      </c>
      <c r="T3333">
        <v>0</v>
      </c>
      <c r="U3333">
        <v>0</v>
      </c>
      <c r="V3333" t="s">
        <v>48</v>
      </c>
      <c r="W3333">
        <v>2</v>
      </c>
    </row>
    <row r="3334" spans="1:23" x14ac:dyDescent="0.2">
      <c r="A3334">
        <v>5113293</v>
      </c>
      <c r="B3334" t="s">
        <v>18</v>
      </c>
      <c r="C3334" t="s">
        <v>20</v>
      </c>
      <c r="D3334" t="s">
        <v>20</v>
      </c>
      <c r="E3334">
        <v>2</v>
      </c>
      <c r="F3334">
        <v>121500</v>
      </c>
      <c r="G3334" t="s">
        <v>31</v>
      </c>
      <c r="H3334" t="s">
        <v>36</v>
      </c>
      <c r="I3334" t="s">
        <v>28</v>
      </c>
      <c r="J3334" t="s">
        <v>24</v>
      </c>
      <c r="K3334" s="6">
        <f t="shared" ca="1" si="212"/>
        <v>34434</v>
      </c>
      <c r="L3334">
        <v>-11327</v>
      </c>
      <c r="M3334" s="7">
        <f t="shared" ca="1" si="214"/>
        <v>31.01163586584531</v>
      </c>
      <c r="N3334" s="5" t="str">
        <f ca="1">VLOOKUP(Data!M3334,temp!$B$3:$C$9,2,1)</f>
        <v>30-40</v>
      </c>
      <c r="O3334">
        <v>-101</v>
      </c>
      <c r="P3334" s="8">
        <f t="shared" si="215"/>
        <v>0.27652292950034224</v>
      </c>
      <c r="Q3334" s="5" t="str">
        <f t="shared" si="213"/>
        <v>Employed</v>
      </c>
      <c r="R3334">
        <v>1</v>
      </c>
      <c r="S3334">
        <v>1</v>
      </c>
      <c r="T3334">
        <v>1</v>
      </c>
      <c r="U3334">
        <v>0</v>
      </c>
      <c r="V3334" t="s">
        <v>38</v>
      </c>
      <c r="W3334">
        <v>4</v>
      </c>
    </row>
    <row r="3335" spans="1:23" x14ac:dyDescent="0.2">
      <c r="A3335">
        <v>5113327</v>
      </c>
      <c r="B3335" t="s">
        <v>18</v>
      </c>
      <c r="C3335" t="s">
        <v>19</v>
      </c>
      <c r="D3335" t="s">
        <v>20</v>
      </c>
      <c r="E3335">
        <v>0</v>
      </c>
      <c r="F3335">
        <v>180000</v>
      </c>
      <c r="G3335" t="s">
        <v>21</v>
      </c>
      <c r="H3335" t="s">
        <v>27</v>
      </c>
      <c r="I3335" t="s">
        <v>28</v>
      </c>
      <c r="J3335" t="s">
        <v>24</v>
      </c>
      <c r="K3335" s="6">
        <f t="shared" ca="1" si="212"/>
        <v>23380</v>
      </c>
      <c r="L3335">
        <v>-22381</v>
      </c>
      <c r="M3335" s="7">
        <f t="shared" ca="1" si="214"/>
        <v>61.275838466803556</v>
      </c>
      <c r="N3335" s="5" t="str">
        <f ca="1">VLOOKUP(Data!M3335,temp!$B$3:$C$9,2,1)</f>
        <v>60-70</v>
      </c>
      <c r="O3335">
        <v>365243</v>
      </c>
      <c r="P3335" s="8">
        <f t="shared" si="215"/>
        <v>0</v>
      </c>
      <c r="Q3335" s="5" t="str">
        <f t="shared" si="213"/>
        <v>Unemployed</v>
      </c>
      <c r="R3335">
        <v>1</v>
      </c>
      <c r="S3335">
        <v>0</v>
      </c>
      <c r="T3335">
        <v>0</v>
      </c>
      <c r="U3335">
        <v>0</v>
      </c>
      <c r="W3335">
        <v>2</v>
      </c>
    </row>
    <row r="3336" spans="1:23" x14ac:dyDescent="0.2">
      <c r="A3336">
        <v>5113366</v>
      </c>
      <c r="B3336" t="s">
        <v>25</v>
      </c>
      <c r="C3336" t="s">
        <v>19</v>
      </c>
      <c r="D3336" t="s">
        <v>20</v>
      </c>
      <c r="E3336">
        <v>0</v>
      </c>
      <c r="F3336">
        <v>148500</v>
      </c>
      <c r="G3336" t="s">
        <v>26</v>
      </c>
      <c r="H3336" t="s">
        <v>22</v>
      </c>
      <c r="I3336" t="s">
        <v>33</v>
      </c>
      <c r="J3336" t="s">
        <v>24</v>
      </c>
      <c r="K3336" s="6">
        <f t="shared" ref="K3336:K3399" ca="1" si="216">TODAY()+($L3336)</f>
        <v>36379</v>
      </c>
      <c r="L3336">
        <v>-9382</v>
      </c>
      <c r="M3336" s="7">
        <f t="shared" ca="1" si="214"/>
        <v>25.686516084873375</v>
      </c>
      <c r="N3336" s="5" t="str">
        <f ca="1">VLOOKUP(Data!M3336,temp!$B$3:$C$9,2,1)</f>
        <v>20-30</v>
      </c>
      <c r="O3336">
        <v>-2049</v>
      </c>
      <c r="P3336" s="8">
        <f t="shared" si="215"/>
        <v>5.6098562628336754</v>
      </c>
      <c r="Q3336" s="5" t="str">
        <f t="shared" ref="Q3336:Q3399" si="217">IF($O3336&gt;0,"Unemployed","Employed")</f>
        <v>Employed</v>
      </c>
      <c r="R3336">
        <v>1</v>
      </c>
      <c r="S3336">
        <v>0</v>
      </c>
      <c r="T3336">
        <v>1</v>
      </c>
      <c r="U3336">
        <v>1</v>
      </c>
      <c r="V3336" t="s">
        <v>50</v>
      </c>
      <c r="W3336">
        <v>1</v>
      </c>
    </row>
    <row r="3337" spans="1:23" x14ac:dyDescent="0.2">
      <c r="A3337">
        <v>5113367</v>
      </c>
      <c r="B3337" t="s">
        <v>25</v>
      </c>
      <c r="C3337" t="s">
        <v>19</v>
      </c>
      <c r="D3337" t="s">
        <v>20</v>
      </c>
      <c r="E3337">
        <v>0</v>
      </c>
      <c r="F3337">
        <v>148500</v>
      </c>
      <c r="G3337" t="s">
        <v>26</v>
      </c>
      <c r="H3337" t="s">
        <v>22</v>
      </c>
      <c r="I3337" t="s">
        <v>33</v>
      </c>
      <c r="J3337" t="s">
        <v>24</v>
      </c>
      <c r="K3337" s="6">
        <f t="shared" ca="1" si="216"/>
        <v>36379</v>
      </c>
      <c r="L3337">
        <v>-9382</v>
      </c>
      <c r="M3337" s="7">
        <f t="shared" ca="1" si="214"/>
        <v>25.686516084873375</v>
      </c>
      <c r="N3337" s="5" t="str">
        <f ca="1">VLOOKUP(Data!M3337,temp!$B$3:$C$9,2,1)</f>
        <v>20-30</v>
      </c>
      <c r="O3337">
        <v>-2049</v>
      </c>
      <c r="P3337" s="8">
        <f t="shared" si="215"/>
        <v>5.6098562628336754</v>
      </c>
      <c r="Q3337" s="5" t="str">
        <f t="shared" si="217"/>
        <v>Employed</v>
      </c>
      <c r="R3337">
        <v>1</v>
      </c>
      <c r="S3337">
        <v>0</v>
      </c>
      <c r="T3337">
        <v>1</v>
      </c>
      <c r="U3337">
        <v>1</v>
      </c>
      <c r="V3337" t="s">
        <v>50</v>
      </c>
      <c r="W3337">
        <v>1</v>
      </c>
    </row>
    <row r="3338" spans="1:23" x14ac:dyDescent="0.2">
      <c r="A3338">
        <v>5113384</v>
      </c>
      <c r="B3338" t="s">
        <v>18</v>
      </c>
      <c r="C3338" t="s">
        <v>19</v>
      </c>
      <c r="D3338" t="s">
        <v>19</v>
      </c>
      <c r="E3338">
        <v>0</v>
      </c>
      <c r="F3338">
        <v>90000</v>
      </c>
      <c r="G3338" t="s">
        <v>31</v>
      </c>
      <c r="H3338" t="s">
        <v>27</v>
      </c>
      <c r="I3338" t="s">
        <v>28</v>
      </c>
      <c r="J3338" t="s">
        <v>45</v>
      </c>
      <c r="K3338" s="6">
        <f t="shared" ca="1" si="216"/>
        <v>26641</v>
      </c>
      <c r="L3338">
        <v>-19120</v>
      </c>
      <c r="M3338" s="7">
        <f t="shared" ca="1" si="214"/>
        <v>52.347707049965777</v>
      </c>
      <c r="N3338" s="5" t="str">
        <f ca="1">VLOOKUP(Data!M3338,temp!$B$3:$C$9,2,1)</f>
        <v>50-60</v>
      </c>
      <c r="O3338">
        <v>-2567</v>
      </c>
      <c r="P3338" s="8">
        <f t="shared" si="215"/>
        <v>7.0280629705681044</v>
      </c>
      <c r="Q3338" s="5" t="str">
        <f t="shared" si="217"/>
        <v>Employed</v>
      </c>
      <c r="R3338">
        <v>1</v>
      </c>
      <c r="S3338">
        <v>0</v>
      </c>
      <c r="T3338">
        <v>1</v>
      </c>
      <c r="U3338">
        <v>0</v>
      </c>
      <c r="V3338" t="s">
        <v>29</v>
      </c>
      <c r="W3338">
        <v>2</v>
      </c>
    </row>
    <row r="3339" spans="1:23" x14ac:dyDescent="0.2">
      <c r="A3339">
        <v>5113385</v>
      </c>
      <c r="B3339" t="s">
        <v>18</v>
      </c>
      <c r="C3339" t="s">
        <v>19</v>
      </c>
      <c r="D3339" t="s">
        <v>19</v>
      </c>
      <c r="E3339">
        <v>0</v>
      </c>
      <c r="F3339">
        <v>90000</v>
      </c>
      <c r="G3339" t="s">
        <v>31</v>
      </c>
      <c r="H3339" t="s">
        <v>27</v>
      </c>
      <c r="I3339" t="s">
        <v>28</v>
      </c>
      <c r="J3339" t="s">
        <v>45</v>
      </c>
      <c r="K3339" s="6">
        <f t="shared" ca="1" si="216"/>
        <v>26641</v>
      </c>
      <c r="L3339">
        <v>-19120</v>
      </c>
      <c r="M3339" s="7">
        <f t="shared" ca="1" si="214"/>
        <v>52.347707049965777</v>
      </c>
      <c r="N3339" s="5" t="str">
        <f ca="1">VLOOKUP(Data!M3339,temp!$B$3:$C$9,2,1)</f>
        <v>50-60</v>
      </c>
      <c r="O3339">
        <v>-2567</v>
      </c>
      <c r="P3339" s="8">
        <f t="shared" si="215"/>
        <v>7.0280629705681044</v>
      </c>
      <c r="Q3339" s="5" t="str">
        <f t="shared" si="217"/>
        <v>Employed</v>
      </c>
      <c r="R3339">
        <v>1</v>
      </c>
      <c r="S3339">
        <v>0</v>
      </c>
      <c r="T3339">
        <v>1</v>
      </c>
      <c r="U3339">
        <v>0</v>
      </c>
      <c r="V3339" t="s">
        <v>29</v>
      </c>
      <c r="W3339">
        <v>2</v>
      </c>
    </row>
    <row r="3340" spans="1:23" x14ac:dyDescent="0.2">
      <c r="A3340">
        <v>5113394</v>
      </c>
      <c r="B3340" t="s">
        <v>18</v>
      </c>
      <c r="C3340" t="s">
        <v>19</v>
      </c>
      <c r="D3340" t="s">
        <v>20</v>
      </c>
      <c r="E3340">
        <v>0</v>
      </c>
      <c r="F3340">
        <v>112500</v>
      </c>
      <c r="G3340" t="s">
        <v>31</v>
      </c>
      <c r="H3340" t="s">
        <v>27</v>
      </c>
      <c r="I3340" t="s">
        <v>28</v>
      </c>
      <c r="J3340" t="s">
        <v>24</v>
      </c>
      <c r="K3340" s="6">
        <f t="shared" ca="1" si="216"/>
        <v>37209</v>
      </c>
      <c r="L3340">
        <v>-8552</v>
      </c>
      <c r="M3340" s="7">
        <f t="shared" ca="1" si="214"/>
        <v>23.414099931553729</v>
      </c>
      <c r="N3340" s="5" t="str">
        <f ca="1">VLOOKUP(Data!M3340,temp!$B$3:$C$9,2,1)</f>
        <v>20-30</v>
      </c>
      <c r="O3340">
        <v>-1562</v>
      </c>
      <c r="P3340" s="8">
        <f t="shared" si="215"/>
        <v>4.2765229295003424</v>
      </c>
      <c r="Q3340" s="5" t="str">
        <f t="shared" si="217"/>
        <v>Employed</v>
      </c>
      <c r="R3340">
        <v>1</v>
      </c>
      <c r="S3340">
        <v>0</v>
      </c>
      <c r="T3340">
        <v>0</v>
      </c>
      <c r="U3340">
        <v>0</v>
      </c>
      <c r="V3340" t="s">
        <v>39</v>
      </c>
      <c r="W3340">
        <v>2</v>
      </c>
    </row>
    <row r="3341" spans="1:23" x14ac:dyDescent="0.2">
      <c r="A3341">
        <v>5113398</v>
      </c>
      <c r="B3341" t="s">
        <v>25</v>
      </c>
      <c r="C3341" t="s">
        <v>19</v>
      </c>
      <c r="D3341" t="s">
        <v>19</v>
      </c>
      <c r="E3341">
        <v>0</v>
      </c>
      <c r="F3341">
        <v>180000</v>
      </c>
      <c r="G3341" t="s">
        <v>26</v>
      </c>
      <c r="H3341" t="s">
        <v>22</v>
      </c>
      <c r="I3341" t="s">
        <v>33</v>
      </c>
      <c r="J3341" t="s">
        <v>24</v>
      </c>
      <c r="K3341" s="6">
        <f t="shared" ca="1" si="216"/>
        <v>35247</v>
      </c>
      <c r="L3341">
        <v>-10514</v>
      </c>
      <c r="M3341" s="7">
        <f t="shared" ca="1" si="214"/>
        <v>28.785763175906911</v>
      </c>
      <c r="N3341" s="5" t="str">
        <f ca="1">VLOOKUP(Data!M3341,temp!$B$3:$C$9,2,1)</f>
        <v>20-30</v>
      </c>
      <c r="O3341">
        <v>-101</v>
      </c>
      <c r="P3341" s="8">
        <f t="shared" si="215"/>
        <v>0.27652292950034224</v>
      </c>
      <c r="Q3341" s="5" t="str">
        <f t="shared" si="217"/>
        <v>Employed</v>
      </c>
      <c r="R3341">
        <v>1</v>
      </c>
      <c r="S3341">
        <v>1</v>
      </c>
      <c r="T3341">
        <v>1</v>
      </c>
      <c r="U3341">
        <v>0</v>
      </c>
      <c r="V3341" t="s">
        <v>38</v>
      </c>
      <c r="W3341">
        <v>1</v>
      </c>
    </row>
    <row r="3342" spans="1:23" x14ac:dyDescent="0.2">
      <c r="A3342">
        <v>5113399</v>
      </c>
      <c r="B3342" t="s">
        <v>25</v>
      </c>
      <c r="C3342" t="s">
        <v>19</v>
      </c>
      <c r="D3342" t="s">
        <v>19</v>
      </c>
      <c r="E3342">
        <v>0</v>
      </c>
      <c r="F3342">
        <v>180000</v>
      </c>
      <c r="G3342" t="s">
        <v>26</v>
      </c>
      <c r="H3342" t="s">
        <v>22</v>
      </c>
      <c r="I3342" t="s">
        <v>33</v>
      </c>
      <c r="J3342" t="s">
        <v>24</v>
      </c>
      <c r="K3342" s="6">
        <f t="shared" ca="1" si="216"/>
        <v>35247</v>
      </c>
      <c r="L3342">
        <v>-10514</v>
      </c>
      <c r="M3342" s="7">
        <f t="shared" ca="1" si="214"/>
        <v>28.785763175906911</v>
      </c>
      <c r="N3342" s="5" t="str">
        <f ca="1">VLOOKUP(Data!M3342,temp!$B$3:$C$9,2,1)</f>
        <v>20-30</v>
      </c>
      <c r="O3342">
        <v>-101</v>
      </c>
      <c r="P3342" s="8">
        <f t="shared" si="215"/>
        <v>0.27652292950034224</v>
      </c>
      <c r="Q3342" s="5" t="str">
        <f t="shared" si="217"/>
        <v>Employed</v>
      </c>
      <c r="R3342">
        <v>1</v>
      </c>
      <c r="S3342">
        <v>1</v>
      </c>
      <c r="T3342">
        <v>1</v>
      </c>
      <c r="U3342">
        <v>0</v>
      </c>
      <c r="V3342" t="s">
        <v>38</v>
      </c>
      <c r="W3342">
        <v>1</v>
      </c>
    </row>
    <row r="3343" spans="1:23" x14ac:dyDescent="0.2">
      <c r="A3343">
        <v>5113411</v>
      </c>
      <c r="B3343" t="s">
        <v>25</v>
      </c>
      <c r="C3343" t="s">
        <v>20</v>
      </c>
      <c r="D3343" t="s">
        <v>20</v>
      </c>
      <c r="E3343">
        <v>0</v>
      </c>
      <c r="F3343">
        <v>450000</v>
      </c>
      <c r="G3343" t="s">
        <v>26</v>
      </c>
      <c r="H3343" t="s">
        <v>22</v>
      </c>
      <c r="I3343" t="s">
        <v>33</v>
      </c>
      <c r="J3343" t="s">
        <v>24</v>
      </c>
      <c r="K3343" s="6">
        <f t="shared" ca="1" si="216"/>
        <v>34924</v>
      </c>
      <c r="L3343">
        <v>-10837</v>
      </c>
      <c r="M3343" s="7">
        <f t="shared" ca="1" si="214"/>
        <v>29.670088980150581</v>
      </c>
      <c r="N3343" s="5" t="str">
        <f ca="1">VLOOKUP(Data!M3343,temp!$B$3:$C$9,2,1)</f>
        <v>20-30</v>
      </c>
      <c r="O3343">
        <v>-588</v>
      </c>
      <c r="P3343" s="8">
        <f t="shared" si="215"/>
        <v>1.6098562628336757</v>
      </c>
      <c r="Q3343" s="5" t="str">
        <f t="shared" si="217"/>
        <v>Employed</v>
      </c>
      <c r="R3343">
        <v>1</v>
      </c>
      <c r="S3343">
        <v>0</v>
      </c>
      <c r="T3343">
        <v>0</v>
      </c>
      <c r="U3343">
        <v>1</v>
      </c>
      <c r="V3343" t="s">
        <v>39</v>
      </c>
      <c r="W3343">
        <v>1</v>
      </c>
    </row>
    <row r="3344" spans="1:23" x14ac:dyDescent="0.2">
      <c r="A3344">
        <v>5113418</v>
      </c>
      <c r="B3344" t="s">
        <v>18</v>
      </c>
      <c r="C3344" t="s">
        <v>19</v>
      </c>
      <c r="D3344" t="s">
        <v>19</v>
      </c>
      <c r="E3344">
        <v>1</v>
      </c>
      <c r="F3344">
        <v>157500</v>
      </c>
      <c r="G3344" t="s">
        <v>31</v>
      </c>
      <c r="H3344" t="s">
        <v>27</v>
      </c>
      <c r="I3344" t="s">
        <v>33</v>
      </c>
      <c r="J3344" t="s">
        <v>45</v>
      </c>
      <c r="K3344" s="6">
        <f t="shared" ca="1" si="216"/>
        <v>33045</v>
      </c>
      <c r="L3344">
        <v>-12716</v>
      </c>
      <c r="M3344" s="7">
        <f t="shared" ca="1" si="214"/>
        <v>34.814510609171798</v>
      </c>
      <c r="N3344" s="5" t="str">
        <f ca="1">VLOOKUP(Data!M3344,temp!$B$3:$C$9,2,1)</f>
        <v>30-40</v>
      </c>
      <c r="O3344">
        <v>-5336</v>
      </c>
      <c r="P3344" s="8">
        <f t="shared" si="215"/>
        <v>14.609171800136892</v>
      </c>
      <c r="Q3344" s="5" t="str">
        <f t="shared" si="217"/>
        <v>Employed</v>
      </c>
      <c r="R3344">
        <v>1</v>
      </c>
      <c r="S3344">
        <v>0</v>
      </c>
      <c r="T3344">
        <v>0</v>
      </c>
      <c r="U3344">
        <v>0</v>
      </c>
      <c r="V3344" t="s">
        <v>38</v>
      </c>
      <c r="W3344">
        <v>2</v>
      </c>
    </row>
    <row r="3345" spans="1:23" x14ac:dyDescent="0.2">
      <c r="A3345">
        <v>5113431</v>
      </c>
      <c r="B3345" t="s">
        <v>25</v>
      </c>
      <c r="C3345" t="s">
        <v>20</v>
      </c>
      <c r="D3345" t="s">
        <v>20</v>
      </c>
      <c r="E3345">
        <v>0</v>
      </c>
      <c r="F3345">
        <v>135000</v>
      </c>
      <c r="G3345" t="s">
        <v>31</v>
      </c>
      <c r="H3345" t="s">
        <v>27</v>
      </c>
      <c r="I3345" t="s">
        <v>28</v>
      </c>
      <c r="J3345" t="s">
        <v>24</v>
      </c>
      <c r="K3345" s="6">
        <f t="shared" ca="1" si="216"/>
        <v>24308</v>
      </c>
      <c r="L3345">
        <v>-21453</v>
      </c>
      <c r="M3345" s="7">
        <f t="shared" ca="1" si="214"/>
        <v>58.735112936344969</v>
      </c>
      <c r="N3345" s="5" t="str">
        <f ca="1">VLOOKUP(Data!M3345,temp!$B$3:$C$9,2,1)</f>
        <v>50-60</v>
      </c>
      <c r="O3345">
        <v>-3388</v>
      </c>
      <c r="P3345" s="8">
        <f t="shared" si="215"/>
        <v>9.2758384668035596</v>
      </c>
      <c r="Q3345" s="5" t="str">
        <f t="shared" si="217"/>
        <v>Employed</v>
      </c>
      <c r="R3345">
        <v>1</v>
      </c>
      <c r="S3345">
        <v>1</v>
      </c>
      <c r="T3345">
        <v>1</v>
      </c>
      <c r="U3345">
        <v>0</v>
      </c>
      <c r="V3345" t="s">
        <v>29</v>
      </c>
      <c r="W3345">
        <v>2</v>
      </c>
    </row>
    <row r="3346" spans="1:23" x14ac:dyDescent="0.2">
      <c r="A3346">
        <v>5113474</v>
      </c>
      <c r="B3346" t="s">
        <v>25</v>
      </c>
      <c r="C3346" t="s">
        <v>19</v>
      </c>
      <c r="D3346" t="s">
        <v>20</v>
      </c>
      <c r="E3346">
        <v>0</v>
      </c>
      <c r="F3346">
        <v>202500</v>
      </c>
      <c r="G3346" t="s">
        <v>31</v>
      </c>
      <c r="H3346" t="s">
        <v>27</v>
      </c>
      <c r="I3346" t="s">
        <v>28</v>
      </c>
      <c r="J3346" t="s">
        <v>24</v>
      </c>
      <c r="K3346" s="6">
        <f t="shared" ca="1" si="216"/>
        <v>26561</v>
      </c>
      <c r="L3346">
        <v>-19200</v>
      </c>
      <c r="M3346" s="7">
        <f t="shared" ca="1" si="214"/>
        <v>52.566735112936342</v>
      </c>
      <c r="N3346" s="5" t="str">
        <f ca="1">VLOOKUP(Data!M3346,temp!$B$3:$C$9,2,1)</f>
        <v>50-60</v>
      </c>
      <c r="O3346">
        <v>-346</v>
      </c>
      <c r="P3346" s="8">
        <f t="shared" si="215"/>
        <v>0.94729637234770703</v>
      </c>
      <c r="Q3346" s="5" t="str">
        <f t="shared" si="217"/>
        <v>Employed</v>
      </c>
      <c r="R3346">
        <v>1</v>
      </c>
      <c r="S3346">
        <v>0</v>
      </c>
      <c r="T3346">
        <v>1</v>
      </c>
      <c r="U3346">
        <v>0</v>
      </c>
      <c r="V3346" t="s">
        <v>47</v>
      </c>
      <c r="W3346">
        <v>2</v>
      </c>
    </row>
    <row r="3347" spans="1:23" x14ac:dyDescent="0.2">
      <c r="A3347">
        <v>5113486</v>
      </c>
      <c r="B3347" t="s">
        <v>18</v>
      </c>
      <c r="C3347" t="s">
        <v>19</v>
      </c>
      <c r="D3347" t="s">
        <v>20</v>
      </c>
      <c r="E3347">
        <v>0</v>
      </c>
      <c r="F3347">
        <v>450000</v>
      </c>
      <c r="G3347" t="s">
        <v>35</v>
      </c>
      <c r="H3347" t="s">
        <v>27</v>
      </c>
      <c r="I3347" t="s">
        <v>28</v>
      </c>
      <c r="J3347" t="s">
        <v>24</v>
      </c>
      <c r="K3347" s="6">
        <f t="shared" ca="1" si="216"/>
        <v>32763</v>
      </c>
      <c r="L3347">
        <v>-12998</v>
      </c>
      <c r="M3347" s="7">
        <f t="shared" ca="1" si="214"/>
        <v>35.586584531143053</v>
      </c>
      <c r="N3347" s="5" t="str">
        <f ca="1">VLOOKUP(Data!M3347,temp!$B$3:$C$9,2,1)</f>
        <v>30-40</v>
      </c>
      <c r="O3347">
        <v>-101</v>
      </c>
      <c r="P3347" s="8">
        <f t="shared" si="215"/>
        <v>0.27652292950034224</v>
      </c>
      <c r="Q3347" s="5" t="str">
        <f t="shared" si="217"/>
        <v>Employed</v>
      </c>
      <c r="R3347">
        <v>1</v>
      </c>
      <c r="S3347">
        <v>0</v>
      </c>
      <c r="T3347">
        <v>1</v>
      </c>
      <c r="U3347">
        <v>0</v>
      </c>
      <c r="V3347" t="s">
        <v>38</v>
      </c>
      <c r="W3347">
        <v>2</v>
      </c>
    </row>
    <row r="3348" spans="1:23" x14ac:dyDescent="0.2">
      <c r="A3348">
        <v>5113500</v>
      </c>
      <c r="B3348" t="s">
        <v>25</v>
      </c>
      <c r="C3348" t="s">
        <v>20</v>
      </c>
      <c r="D3348" t="s">
        <v>20</v>
      </c>
      <c r="E3348">
        <v>0</v>
      </c>
      <c r="F3348">
        <v>225000</v>
      </c>
      <c r="G3348" t="s">
        <v>26</v>
      </c>
      <c r="H3348" t="s">
        <v>36</v>
      </c>
      <c r="I3348" t="s">
        <v>33</v>
      </c>
      <c r="J3348" t="s">
        <v>41</v>
      </c>
      <c r="K3348" s="6">
        <f t="shared" ca="1" si="216"/>
        <v>35728</v>
      </c>
      <c r="L3348">
        <v>-10033</v>
      </c>
      <c r="M3348" s="7">
        <f t="shared" ca="1" si="214"/>
        <v>27.468856947296374</v>
      </c>
      <c r="N3348" s="5" t="str">
        <f ca="1">VLOOKUP(Data!M3348,temp!$B$3:$C$9,2,1)</f>
        <v>20-30</v>
      </c>
      <c r="O3348">
        <v>-223</v>
      </c>
      <c r="P3348" s="8">
        <f t="shared" si="215"/>
        <v>0.61054072553045857</v>
      </c>
      <c r="Q3348" s="5" t="str">
        <f t="shared" si="217"/>
        <v>Employed</v>
      </c>
      <c r="R3348">
        <v>1</v>
      </c>
      <c r="S3348">
        <v>0</v>
      </c>
      <c r="T3348">
        <v>0</v>
      </c>
      <c r="U3348">
        <v>1</v>
      </c>
      <c r="V3348" t="s">
        <v>32</v>
      </c>
      <c r="W3348">
        <v>1</v>
      </c>
    </row>
    <row r="3349" spans="1:23" x14ac:dyDescent="0.2">
      <c r="A3349">
        <v>5113502</v>
      </c>
      <c r="B3349" t="s">
        <v>25</v>
      </c>
      <c r="C3349" t="s">
        <v>20</v>
      </c>
      <c r="D3349" t="s">
        <v>19</v>
      </c>
      <c r="E3349">
        <v>0</v>
      </c>
      <c r="F3349">
        <v>180000</v>
      </c>
      <c r="G3349" t="s">
        <v>35</v>
      </c>
      <c r="H3349" t="s">
        <v>27</v>
      </c>
      <c r="I3349" t="s">
        <v>37</v>
      </c>
      <c r="J3349" t="s">
        <v>24</v>
      </c>
      <c r="K3349" s="6">
        <f t="shared" ca="1" si="216"/>
        <v>31521</v>
      </c>
      <c r="L3349">
        <v>-14240</v>
      </c>
      <c r="M3349" s="7">
        <f t="shared" ca="1" si="214"/>
        <v>38.986995208761122</v>
      </c>
      <c r="N3349" s="5" t="str">
        <f ca="1">VLOOKUP(Data!M3349,temp!$B$3:$C$9,2,1)</f>
        <v>30-40</v>
      </c>
      <c r="O3349">
        <v>-3541</v>
      </c>
      <c r="P3349" s="8">
        <f t="shared" si="215"/>
        <v>9.6947296372347704</v>
      </c>
      <c r="Q3349" s="5" t="str">
        <f t="shared" si="217"/>
        <v>Employed</v>
      </c>
      <c r="R3349">
        <v>1</v>
      </c>
      <c r="S3349">
        <v>0</v>
      </c>
      <c r="T3349">
        <v>0</v>
      </c>
      <c r="U3349">
        <v>0</v>
      </c>
      <c r="V3349" t="s">
        <v>38</v>
      </c>
      <c r="W3349">
        <v>2</v>
      </c>
    </row>
    <row r="3350" spans="1:23" x14ac:dyDescent="0.2">
      <c r="A3350">
        <v>5113536</v>
      </c>
      <c r="B3350" t="s">
        <v>18</v>
      </c>
      <c r="C3350" t="s">
        <v>19</v>
      </c>
      <c r="D3350" t="s">
        <v>20</v>
      </c>
      <c r="E3350">
        <v>0</v>
      </c>
      <c r="F3350">
        <v>157500</v>
      </c>
      <c r="G3350" t="s">
        <v>31</v>
      </c>
      <c r="H3350" t="s">
        <v>27</v>
      </c>
      <c r="I3350" t="s">
        <v>28</v>
      </c>
      <c r="J3350" t="s">
        <v>24</v>
      </c>
      <c r="K3350" s="6">
        <f t="shared" ca="1" si="216"/>
        <v>24785</v>
      </c>
      <c r="L3350">
        <v>-20976</v>
      </c>
      <c r="M3350" s="7">
        <f t="shared" ca="1" si="214"/>
        <v>57.429158110882959</v>
      </c>
      <c r="N3350" s="5" t="str">
        <f ca="1">VLOOKUP(Data!M3350,temp!$B$3:$C$9,2,1)</f>
        <v>50-60</v>
      </c>
      <c r="O3350">
        <v>-1776</v>
      </c>
      <c r="P3350" s="8">
        <f t="shared" si="215"/>
        <v>4.862422997946612</v>
      </c>
      <c r="Q3350" s="5" t="str">
        <f t="shared" si="217"/>
        <v>Employed</v>
      </c>
      <c r="R3350">
        <v>1</v>
      </c>
      <c r="S3350">
        <v>0</v>
      </c>
      <c r="T3350">
        <v>0</v>
      </c>
      <c r="U3350">
        <v>0</v>
      </c>
      <c r="V3350" t="s">
        <v>29</v>
      </c>
      <c r="W3350">
        <v>2</v>
      </c>
    </row>
    <row r="3351" spans="1:23" x14ac:dyDescent="0.2">
      <c r="A3351">
        <v>5113541</v>
      </c>
      <c r="B3351" t="s">
        <v>18</v>
      </c>
      <c r="C3351" t="s">
        <v>19</v>
      </c>
      <c r="D3351" t="s">
        <v>19</v>
      </c>
      <c r="E3351">
        <v>2</v>
      </c>
      <c r="F3351">
        <v>193500</v>
      </c>
      <c r="G3351" t="s">
        <v>26</v>
      </c>
      <c r="H3351" t="s">
        <v>51</v>
      </c>
      <c r="I3351" t="s">
        <v>37</v>
      </c>
      <c r="J3351" t="s">
        <v>24</v>
      </c>
      <c r="K3351" s="6">
        <f t="shared" ca="1" si="216"/>
        <v>36165</v>
      </c>
      <c r="L3351">
        <v>-9596</v>
      </c>
      <c r="M3351" s="7">
        <f t="shared" ca="1" si="214"/>
        <v>26.272416153319643</v>
      </c>
      <c r="N3351" s="5" t="str">
        <f ca="1">VLOOKUP(Data!M3351,temp!$B$3:$C$9,2,1)</f>
        <v>20-30</v>
      </c>
      <c r="O3351">
        <v>-2445</v>
      </c>
      <c r="P3351" s="8">
        <f t="shared" si="215"/>
        <v>6.6940451745379876</v>
      </c>
      <c r="Q3351" s="5" t="str">
        <f t="shared" si="217"/>
        <v>Employed</v>
      </c>
      <c r="R3351">
        <v>1</v>
      </c>
      <c r="S3351">
        <v>0</v>
      </c>
      <c r="T3351">
        <v>0</v>
      </c>
      <c r="U3351">
        <v>1</v>
      </c>
      <c r="V3351" t="s">
        <v>44</v>
      </c>
      <c r="W3351">
        <v>4</v>
      </c>
    </row>
    <row r="3352" spans="1:23" x14ac:dyDescent="0.2">
      <c r="A3352">
        <v>5113557</v>
      </c>
      <c r="B3352" t="s">
        <v>25</v>
      </c>
      <c r="C3352" t="s">
        <v>20</v>
      </c>
      <c r="D3352" t="s">
        <v>20</v>
      </c>
      <c r="E3352">
        <v>0</v>
      </c>
      <c r="F3352">
        <v>450000</v>
      </c>
      <c r="G3352" t="s">
        <v>26</v>
      </c>
      <c r="H3352" t="s">
        <v>27</v>
      </c>
      <c r="I3352" t="s">
        <v>28</v>
      </c>
      <c r="J3352" t="s">
        <v>24</v>
      </c>
      <c r="K3352" s="6">
        <f t="shared" ca="1" si="216"/>
        <v>27443</v>
      </c>
      <c r="L3352">
        <v>-18318</v>
      </c>
      <c r="M3352" s="7">
        <f t="shared" ca="1" si="214"/>
        <v>50.151950718685832</v>
      </c>
      <c r="N3352" s="5" t="str">
        <f ca="1">VLOOKUP(Data!M3352,temp!$B$3:$C$9,2,1)</f>
        <v>50-60</v>
      </c>
      <c r="O3352">
        <v>-923</v>
      </c>
      <c r="P3352" s="8">
        <f t="shared" si="215"/>
        <v>2.5270362765229293</v>
      </c>
      <c r="Q3352" s="5" t="str">
        <f t="shared" si="217"/>
        <v>Employed</v>
      </c>
      <c r="R3352">
        <v>1</v>
      </c>
      <c r="S3352">
        <v>0</v>
      </c>
      <c r="T3352">
        <v>1</v>
      </c>
      <c r="U3352">
        <v>1</v>
      </c>
      <c r="V3352" t="s">
        <v>30</v>
      </c>
      <c r="W3352">
        <v>2</v>
      </c>
    </row>
    <row r="3353" spans="1:23" x14ac:dyDescent="0.2">
      <c r="A3353">
        <v>5113567</v>
      </c>
      <c r="B3353" t="s">
        <v>18</v>
      </c>
      <c r="C3353" t="s">
        <v>19</v>
      </c>
      <c r="D3353" t="s">
        <v>20</v>
      </c>
      <c r="E3353">
        <v>0</v>
      </c>
      <c r="F3353">
        <v>171000</v>
      </c>
      <c r="G3353" t="s">
        <v>31</v>
      </c>
      <c r="H3353" t="s">
        <v>27</v>
      </c>
      <c r="I3353" t="s">
        <v>28</v>
      </c>
      <c r="J3353" t="s">
        <v>24</v>
      </c>
      <c r="K3353" s="6">
        <f t="shared" ca="1" si="216"/>
        <v>30650</v>
      </c>
      <c r="L3353">
        <v>-15111</v>
      </c>
      <c r="M3353" s="7">
        <f t="shared" ca="1" si="214"/>
        <v>41.371663244353179</v>
      </c>
      <c r="N3353" s="5" t="str">
        <f ca="1">VLOOKUP(Data!M3353,temp!$B$3:$C$9,2,1)</f>
        <v>40-50</v>
      </c>
      <c r="O3353">
        <v>-2019</v>
      </c>
      <c r="P3353" s="8">
        <f t="shared" si="215"/>
        <v>5.5277207392197125</v>
      </c>
      <c r="Q3353" s="5" t="str">
        <f t="shared" si="217"/>
        <v>Employed</v>
      </c>
      <c r="R3353">
        <v>1</v>
      </c>
      <c r="S3353">
        <v>1</v>
      </c>
      <c r="T3353">
        <v>1</v>
      </c>
      <c r="U3353">
        <v>0</v>
      </c>
      <c r="V3353" t="s">
        <v>39</v>
      </c>
      <c r="W3353">
        <v>2</v>
      </c>
    </row>
    <row r="3354" spans="1:23" x14ac:dyDescent="0.2">
      <c r="A3354">
        <v>5113580</v>
      </c>
      <c r="B3354" t="s">
        <v>25</v>
      </c>
      <c r="C3354" t="s">
        <v>20</v>
      </c>
      <c r="D3354" t="s">
        <v>20</v>
      </c>
      <c r="E3354">
        <v>0</v>
      </c>
      <c r="F3354">
        <v>135000</v>
      </c>
      <c r="G3354" t="s">
        <v>31</v>
      </c>
      <c r="H3354" t="s">
        <v>27</v>
      </c>
      <c r="I3354" t="s">
        <v>33</v>
      </c>
      <c r="J3354" t="s">
        <v>24</v>
      </c>
      <c r="K3354" s="6">
        <f t="shared" ca="1" si="216"/>
        <v>36099</v>
      </c>
      <c r="L3354">
        <v>-9662</v>
      </c>
      <c r="M3354" s="7">
        <f t="shared" ca="1" si="214"/>
        <v>26.453114305270361</v>
      </c>
      <c r="N3354" s="5" t="str">
        <f ca="1">VLOOKUP(Data!M3354,temp!$B$3:$C$9,2,1)</f>
        <v>20-30</v>
      </c>
      <c r="O3354">
        <v>-831</v>
      </c>
      <c r="P3354" s="8">
        <f t="shared" si="215"/>
        <v>2.2751540041067764</v>
      </c>
      <c r="Q3354" s="5" t="str">
        <f t="shared" si="217"/>
        <v>Employed</v>
      </c>
      <c r="R3354">
        <v>1</v>
      </c>
      <c r="S3354">
        <v>0</v>
      </c>
      <c r="T3354">
        <v>0</v>
      </c>
      <c r="U3354">
        <v>0</v>
      </c>
      <c r="V3354" t="s">
        <v>30</v>
      </c>
      <c r="W3354">
        <v>1</v>
      </c>
    </row>
    <row r="3355" spans="1:23" x14ac:dyDescent="0.2">
      <c r="A3355">
        <v>5113603</v>
      </c>
      <c r="B3355" t="s">
        <v>25</v>
      </c>
      <c r="C3355" t="s">
        <v>19</v>
      </c>
      <c r="D3355" t="s">
        <v>20</v>
      </c>
      <c r="E3355">
        <v>1</v>
      </c>
      <c r="F3355">
        <v>270000</v>
      </c>
      <c r="G3355" t="s">
        <v>35</v>
      </c>
      <c r="H3355" t="s">
        <v>22</v>
      </c>
      <c r="I3355" t="s">
        <v>28</v>
      </c>
      <c r="J3355" t="s">
        <v>24</v>
      </c>
      <c r="K3355" s="6">
        <f t="shared" ca="1" si="216"/>
        <v>34679</v>
      </c>
      <c r="L3355">
        <v>-11082</v>
      </c>
      <c r="M3355" s="7">
        <f t="shared" ca="1" si="214"/>
        <v>30.340862422997947</v>
      </c>
      <c r="N3355" s="5" t="str">
        <f ca="1">VLOOKUP(Data!M3355,temp!$B$3:$C$9,2,1)</f>
        <v>30-40</v>
      </c>
      <c r="O3355">
        <v>-376</v>
      </c>
      <c r="P3355" s="8">
        <f t="shared" si="215"/>
        <v>1.0294318959616702</v>
      </c>
      <c r="Q3355" s="5" t="str">
        <f t="shared" si="217"/>
        <v>Employed</v>
      </c>
      <c r="R3355">
        <v>1</v>
      </c>
      <c r="S3355">
        <v>0</v>
      </c>
      <c r="T3355">
        <v>0</v>
      </c>
      <c r="U3355">
        <v>0</v>
      </c>
      <c r="V3355" t="s">
        <v>38</v>
      </c>
      <c r="W3355">
        <v>3</v>
      </c>
    </row>
    <row r="3356" spans="1:23" x14ac:dyDescent="0.2">
      <c r="A3356">
        <v>5113620</v>
      </c>
      <c r="B3356" t="s">
        <v>25</v>
      </c>
      <c r="C3356" t="s">
        <v>19</v>
      </c>
      <c r="D3356" t="s">
        <v>19</v>
      </c>
      <c r="E3356">
        <v>0</v>
      </c>
      <c r="F3356">
        <v>225000</v>
      </c>
      <c r="G3356" t="s">
        <v>31</v>
      </c>
      <c r="H3356" t="s">
        <v>27</v>
      </c>
      <c r="I3356" t="s">
        <v>42</v>
      </c>
      <c r="J3356" t="s">
        <v>45</v>
      </c>
      <c r="K3356" s="6">
        <f t="shared" ca="1" si="216"/>
        <v>26355</v>
      </c>
      <c r="L3356">
        <v>-19406</v>
      </c>
      <c r="M3356" s="7">
        <f t="shared" ca="1" si="214"/>
        <v>53.130732375085557</v>
      </c>
      <c r="N3356" s="5" t="str">
        <f ca="1">VLOOKUP(Data!M3356,temp!$B$3:$C$9,2,1)</f>
        <v>50-60</v>
      </c>
      <c r="O3356">
        <v>-346</v>
      </c>
      <c r="P3356" s="8">
        <f t="shared" si="215"/>
        <v>0.94729637234770703</v>
      </c>
      <c r="Q3356" s="5" t="str">
        <f t="shared" si="217"/>
        <v>Employed</v>
      </c>
      <c r="R3356">
        <v>1</v>
      </c>
      <c r="S3356">
        <v>0</v>
      </c>
      <c r="T3356">
        <v>0</v>
      </c>
      <c r="U3356">
        <v>0</v>
      </c>
      <c r="V3356" t="s">
        <v>40</v>
      </c>
      <c r="W3356">
        <v>1</v>
      </c>
    </row>
    <row r="3357" spans="1:23" x14ac:dyDescent="0.2">
      <c r="A3357">
        <v>5113638</v>
      </c>
      <c r="B3357" t="s">
        <v>18</v>
      </c>
      <c r="C3357" t="s">
        <v>19</v>
      </c>
      <c r="D3357" t="s">
        <v>19</v>
      </c>
      <c r="E3357">
        <v>0</v>
      </c>
      <c r="F3357">
        <v>135000</v>
      </c>
      <c r="G3357" t="s">
        <v>21</v>
      </c>
      <c r="H3357" t="s">
        <v>22</v>
      </c>
      <c r="I3357" t="s">
        <v>28</v>
      </c>
      <c r="J3357" t="s">
        <v>45</v>
      </c>
      <c r="K3357" s="6">
        <f t="shared" ca="1" si="216"/>
        <v>26061</v>
      </c>
      <c r="L3357">
        <v>-19700</v>
      </c>
      <c r="M3357" s="7">
        <f t="shared" ca="1" si="214"/>
        <v>53.935660506502394</v>
      </c>
      <c r="N3357" s="5" t="str">
        <f ca="1">VLOOKUP(Data!M3357,temp!$B$3:$C$9,2,1)</f>
        <v>50-60</v>
      </c>
      <c r="O3357">
        <v>365243</v>
      </c>
      <c r="P3357" s="8">
        <f t="shared" si="215"/>
        <v>0</v>
      </c>
      <c r="Q3357" s="5" t="str">
        <f t="shared" si="217"/>
        <v>Unemployed</v>
      </c>
      <c r="R3357">
        <v>1</v>
      </c>
      <c r="S3357">
        <v>0</v>
      </c>
      <c r="T3357">
        <v>0</v>
      </c>
      <c r="U3357">
        <v>0</v>
      </c>
      <c r="W3357">
        <v>2</v>
      </c>
    </row>
    <row r="3358" spans="1:23" x14ac:dyDescent="0.2">
      <c r="A3358">
        <v>5113646</v>
      </c>
      <c r="B3358" t="s">
        <v>18</v>
      </c>
      <c r="C3358" t="s">
        <v>19</v>
      </c>
      <c r="D3358" t="s">
        <v>20</v>
      </c>
      <c r="E3358">
        <v>0</v>
      </c>
      <c r="F3358">
        <v>225000</v>
      </c>
      <c r="G3358" t="s">
        <v>31</v>
      </c>
      <c r="H3358" t="s">
        <v>36</v>
      </c>
      <c r="I3358" t="s">
        <v>28</v>
      </c>
      <c r="J3358" t="s">
        <v>24</v>
      </c>
      <c r="K3358" s="6">
        <f t="shared" ca="1" si="216"/>
        <v>33499</v>
      </c>
      <c r="L3358">
        <v>-12262</v>
      </c>
      <c r="M3358" s="7">
        <f t="shared" ca="1" si="214"/>
        <v>33.571526351813823</v>
      </c>
      <c r="N3358" s="5" t="str">
        <f ca="1">VLOOKUP(Data!M3358,temp!$B$3:$C$9,2,1)</f>
        <v>30-40</v>
      </c>
      <c r="O3358">
        <v>-223</v>
      </c>
      <c r="P3358" s="8">
        <f t="shared" si="215"/>
        <v>0.61054072553045857</v>
      </c>
      <c r="Q3358" s="5" t="str">
        <f t="shared" si="217"/>
        <v>Employed</v>
      </c>
      <c r="R3358">
        <v>1</v>
      </c>
      <c r="S3358">
        <v>0</v>
      </c>
      <c r="T3358">
        <v>0</v>
      </c>
      <c r="U3358">
        <v>1</v>
      </c>
      <c r="V3358" t="s">
        <v>32</v>
      </c>
      <c r="W3358">
        <v>2</v>
      </c>
    </row>
    <row r="3359" spans="1:23" x14ac:dyDescent="0.2">
      <c r="A3359">
        <v>5113669</v>
      </c>
      <c r="B3359" t="s">
        <v>18</v>
      </c>
      <c r="C3359" t="s">
        <v>19</v>
      </c>
      <c r="D3359" t="s">
        <v>20</v>
      </c>
      <c r="E3359">
        <v>0</v>
      </c>
      <c r="F3359">
        <v>148500</v>
      </c>
      <c r="G3359" t="s">
        <v>21</v>
      </c>
      <c r="H3359" t="s">
        <v>27</v>
      </c>
      <c r="I3359" t="s">
        <v>28</v>
      </c>
      <c r="J3359" t="s">
        <v>24</v>
      </c>
      <c r="K3359" s="6">
        <f t="shared" ca="1" si="216"/>
        <v>26485</v>
      </c>
      <c r="L3359">
        <v>-19276</v>
      </c>
      <c r="M3359" s="7">
        <f t="shared" ca="1" si="214"/>
        <v>52.774811772758383</v>
      </c>
      <c r="N3359" s="5" t="str">
        <f ca="1">VLOOKUP(Data!M3359,temp!$B$3:$C$9,2,1)</f>
        <v>50-60</v>
      </c>
      <c r="O3359">
        <v>365243</v>
      </c>
      <c r="P3359" s="8">
        <f t="shared" si="215"/>
        <v>0</v>
      </c>
      <c r="Q3359" s="5" t="str">
        <f t="shared" si="217"/>
        <v>Unemployed</v>
      </c>
      <c r="R3359">
        <v>1</v>
      </c>
      <c r="S3359">
        <v>0</v>
      </c>
      <c r="T3359">
        <v>0</v>
      </c>
      <c r="U3359">
        <v>0</v>
      </c>
      <c r="W3359">
        <v>2</v>
      </c>
    </row>
    <row r="3360" spans="1:23" x14ac:dyDescent="0.2">
      <c r="A3360">
        <v>5113671</v>
      </c>
      <c r="B3360" t="s">
        <v>18</v>
      </c>
      <c r="C3360" t="s">
        <v>19</v>
      </c>
      <c r="D3360" t="s">
        <v>20</v>
      </c>
      <c r="E3360">
        <v>0</v>
      </c>
      <c r="F3360">
        <v>148500</v>
      </c>
      <c r="G3360" t="s">
        <v>21</v>
      </c>
      <c r="H3360" t="s">
        <v>27</v>
      </c>
      <c r="I3360" t="s">
        <v>28</v>
      </c>
      <c r="J3360" t="s">
        <v>24</v>
      </c>
      <c r="K3360" s="6">
        <f t="shared" ca="1" si="216"/>
        <v>26485</v>
      </c>
      <c r="L3360">
        <v>-19276</v>
      </c>
      <c r="M3360" s="7">
        <f t="shared" ca="1" si="214"/>
        <v>52.774811772758383</v>
      </c>
      <c r="N3360" s="5" t="str">
        <f ca="1">VLOOKUP(Data!M3360,temp!$B$3:$C$9,2,1)</f>
        <v>50-60</v>
      </c>
      <c r="O3360">
        <v>365243</v>
      </c>
      <c r="P3360" s="8">
        <f t="shared" si="215"/>
        <v>0</v>
      </c>
      <c r="Q3360" s="5" t="str">
        <f t="shared" si="217"/>
        <v>Unemployed</v>
      </c>
      <c r="R3360">
        <v>1</v>
      </c>
      <c r="S3360">
        <v>0</v>
      </c>
      <c r="T3360">
        <v>0</v>
      </c>
      <c r="U3360">
        <v>0</v>
      </c>
      <c r="W3360">
        <v>2</v>
      </c>
    </row>
    <row r="3361" spans="1:23" x14ac:dyDescent="0.2">
      <c r="A3361">
        <v>5113681</v>
      </c>
      <c r="B3361" t="s">
        <v>18</v>
      </c>
      <c r="C3361" t="s">
        <v>20</v>
      </c>
      <c r="D3361" t="s">
        <v>20</v>
      </c>
      <c r="E3361">
        <v>0</v>
      </c>
      <c r="F3361">
        <v>135000</v>
      </c>
      <c r="G3361" t="s">
        <v>31</v>
      </c>
      <c r="H3361" t="s">
        <v>27</v>
      </c>
      <c r="I3361" t="s">
        <v>28</v>
      </c>
      <c r="J3361" t="s">
        <v>24</v>
      </c>
      <c r="K3361" s="6">
        <f t="shared" ca="1" si="216"/>
        <v>29213</v>
      </c>
      <c r="L3361">
        <v>-16548</v>
      </c>
      <c r="M3361" s="7">
        <f t="shared" ca="1" si="214"/>
        <v>45.30595482546201</v>
      </c>
      <c r="N3361" s="5" t="str">
        <f ca="1">VLOOKUP(Data!M3361,temp!$B$3:$C$9,2,1)</f>
        <v>40-50</v>
      </c>
      <c r="O3361">
        <v>-1350</v>
      </c>
      <c r="P3361" s="8">
        <f t="shared" si="215"/>
        <v>3.6960985626283369</v>
      </c>
      <c r="Q3361" s="5" t="str">
        <f t="shared" si="217"/>
        <v>Employed</v>
      </c>
      <c r="R3361">
        <v>1</v>
      </c>
      <c r="S3361">
        <v>0</v>
      </c>
      <c r="T3361">
        <v>0</v>
      </c>
      <c r="U3361">
        <v>0</v>
      </c>
      <c r="V3361" t="s">
        <v>38</v>
      </c>
      <c r="W3361">
        <v>2</v>
      </c>
    </row>
    <row r="3362" spans="1:23" x14ac:dyDescent="0.2">
      <c r="A3362">
        <v>5113689</v>
      </c>
      <c r="B3362" t="s">
        <v>18</v>
      </c>
      <c r="C3362" t="s">
        <v>19</v>
      </c>
      <c r="D3362" t="s">
        <v>20</v>
      </c>
      <c r="E3362">
        <v>0</v>
      </c>
      <c r="F3362">
        <v>292500</v>
      </c>
      <c r="G3362" t="s">
        <v>31</v>
      </c>
      <c r="H3362" t="s">
        <v>27</v>
      </c>
      <c r="I3362" t="s">
        <v>28</v>
      </c>
      <c r="J3362" t="s">
        <v>24</v>
      </c>
      <c r="K3362" s="6">
        <f t="shared" ca="1" si="216"/>
        <v>33382</v>
      </c>
      <c r="L3362">
        <v>-12379</v>
      </c>
      <c r="M3362" s="7">
        <f t="shared" ca="1" si="214"/>
        <v>33.891854893908281</v>
      </c>
      <c r="N3362" s="5" t="str">
        <f ca="1">VLOOKUP(Data!M3362,temp!$B$3:$C$9,2,1)</f>
        <v>30-40</v>
      </c>
      <c r="O3362">
        <v>-4453</v>
      </c>
      <c r="P3362" s="8">
        <f t="shared" si="215"/>
        <v>12.191649555099247</v>
      </c>
      <c r="Q3362" s="5" t="str">
        <f t="shared" si="217"/>
        <v>Employed</v>
      </c>
      <c r="R3362">
        <v>1</v>
      </c>
      <c r="S3362">
        <v>0</v>
      </c>
      <c r="T3362">
        <v>0</v>
      </c>
      <c r="U3362">
        <v>1</v>
      </c>
      <c r="V3362" t="s">
        <v>39</v>
      </c>
      <c r="W3362">
        <v>2</v>
      </c>
    </row>
    <row r="3363" spans="1:23" x14ac:dyDescent="0.2">
      <c r="A3363">
        <v>5113698</v>
      </c>
      <c r="B3363" t="s">
        <v>18</v>
      </c>
      <c r="C3363" t="s">
        <v>19</v>
      </c>
      <c r="D3363" t="s">
        <v>19</v>
      </c>
      <c r="E3363">
        <v>0</v>
      </c>
      <c r="F3363">
        <v>144000</v>
      </c>
      <c r="G3363" t="s">
        <v>21</v>
      </c>
      <c r="H3363" t="s">
        <v>27</v>
      </c>
      <c r="I3363" t="s">
        <v>28</v>
      </c>
      <c r="J3363" t="s">
        <v>24</v>
      </c>
      <c r="K3363" s="6">
        <f t="shared" ca="1" si="216"/>
        <v>23928</v>
      </c>
      <c r="L3363">
        <v>-21833</v>
      </c>
      <c r="M3363" s="7">
        <f t="shared" ca="1" si="214"/>
        <v>59.775496235455165</v>
      </c>
      <c r="N3363" s="5" t="str">
        <f ca="1">VLOOKUP(Data!M3363,temp!$B$3:$C$9,2,1)</f>
        <v>50-60</v>
      </c>
      <c r="O3363">
        <v>365243</v>
      </c>
      <c r="P3363" s="8">
        <f t="shared" si="215"/>
        <v>0</v>
      </c>
      <c r="Q3363" s="5" t="str">
        <f t="shared" si="217"/>
        <v>Unemployed</v>
      </c>
      <c r="R3363">
        <v>1</v>
      </c>
      <c r="S3363">
        <v>0</v>
      </c>
      <c r="T3363">
        <v>0</v>
      </c>
      <c r="U3363">
        <v>0</v>
      </c>
      <c r="W3363">
        <v>2</v>
      </c>
    </row>
    <row r="3364" spans="1:23" x14ac:dyDescent="0.2">
      <c r="A3364">
        <v>5113700</v>
      </c>
      <c r="B3364" t="s">
        <v>18</v>
      </c>
      <c r="C3364" t="s">
        <v>19</v>
      </c>
      <c r="D3364" t="s">
        <v>20</v>
      </c>
      <c r="E3364">
        <v>0</v>
      </c>
      <c r="F3364">
        <v>112500</v>
      </c>
      <c r="G3364" t="s">
        <v>31</v>
      </c>
      <c r="H3364" t="s">
        <v>27</v>
      </c>
      <c r="I3364" t="s">
        <v>28</v>
      </c>
      <c r="J3364" t="s">
        <v>24</v>
      </c>
      <c r="K3364" s="6">
        <f t="shared" ca="1" si="216"/>
        <v>32852</v>
      </c>
      <c r="L3364">
        <v>-12909</v>
      </c>
      <c r="M3364" s="7">
        <f t="shared" ca="1" si="214"/>
        <v>35.342915811088297</v>
      </c>
      <c r="N3364" s="5" t="str">
        <f ca="1">VLOOKUP(Data!M3364,temp!$B$3:$C$9,2,1)</f>
        <v>30-40</v>
      </c>
      <c r="O3364">
        <v>-558</v>
      </c>
      <c r="P3364" s="8">
        <f t="shared" si="215"/>
        <v>1.5277207392197125</v>
      </c>
      <c r="Q3364" s="5" t="str">
        <f t="shared" si="217"/>
        <v>Employed</v>
      </c>
      <c r="R3364">
        <v>1</v>
      </c>
      <c r="S3364">
        <v>0</v>
      </c>
      <c r="T3364">
        <v>0</v>
      </c>
      <c r="U3364">
        <v>0</v>
      </c>
      <c r="V3364" t="s">
        <v>47</v>
      </c>
      <c r="W3364">
        <v>2</v>
      </c>
    </row>
    <row r="3365" spans="1:23" x14ac:dyDescent="0.2">
      <c r="A3365">
        <v>5113718</v>
      </c>
      <c r="B3365" t="s">
        <v>18</v>
      </c>
      <c r="C3365" t="s">
        <v>19</v>
      </c>
      <c r="D3365" t="s">
        <v>19</v>
      </c>
      <c r="E3365">
        <v>1</v>
      </c>
      <c r="F3365">
        <v>135000</v>
      </c>
      <c r="G3365" t="s">
        <v>31</v>
      </c>
      <c r="H3365" t="s">
        <v>27</v>
      </c>
      <c r="I3365" t="s">
        <v>28</v>
      </c>
      <c r="J3365" t="s">
        <v>24</v>
      </c>
      <c r="K3365" s="6">
        <f t="shared" ca="1" si="216"/>
        <v>29346</v>
      </c>
      <c r="L3365">
        <v>-16415</v>
      </c>
      <c r="M3365" s="7">
        <f t="shared" ca="1" si="214"/>
        <v>44.941820670773446</v>
      </c>
      <c r="N3365" s="5" t="str">
        <f ca="1">VLOOKUP(Data!M3365,temp!$B$3:$C$9,2,1)</f>
        <v>40-50</v>
      </c>
      <c r="O3365">
        <v>-3054</v>
      </c>
      <c r="P3365" s="8">
        <f t="shared" si="215"/>
        <v>8.3613963039014365</v>
      </c>
      <c r="Q3365" s="5" t="str">
        <f t="shared" si="217"/>
        <v>Employed</v>
      </c>
      <c r="R3365">
        <v>1</v>
      </c>
      <c r="S3365">
        <v>0</v>
      </c>
      <c r="T3365">
        <v>0</v>
      </c>
      <c r="U3365">
        <v>1</v>
      </c>
      <c r="V3365" t="s">
        <v>49</v>
      </c>
      <c r="W3365">
        <v>3</v>
      </c>
    </row>
    <row r="3366" spans="1:23" x14ac:dyDescent="0.2">
      <c r="A3366">
        <v>5113748</v>
      </c>
      <c r="B3366" t="s">
        <v>25</v>
      </c>
      <c r="C3366" t="s">
        <v>20</v>
      </c>
      <c r="D3366" t="s">
        <v>20</v>
      </c>
      <c r="E3366">
        <v>1</v>
      </c>
      <c r="F3366">
        <v>157500</v>
      </c>
      <c r="G3366" t="s">
        <v>26</v>
      </c>
      <c r="H3366" t="s">
        <v>27</v>
      </c>
      <c r="I3366" t="s">
        <v>28</v>
      </c>
      <c r="J3366" t="s">
        <v>24</v>
      </c>
      <c r="K3366" s="6">
        <f t="shared" ca="1" si="216"/>
        <v>31470</v>
      </c>
      <c r="L3366">
        <v>-14291</v>
      </c>
      <c r="M3366" s="7">
        <f t="shared" ca="1" si="214"/>
        <v>39.126625598904859</v>
      </c>
      <c r="N3366" s="5" t="str">
        <f ca="1">VLOOKUP(Data!M3366,temp!$B$3:$C$9,2,1)</f>
        <v>30-40</v>
      </c>
      <c r="O3366">
        <v>-1988</v>
      </c>
      <c r="P3366" s="8">
        <f t="shared" si="215"/>
        <v>5.4428473648186175</v>
      </c>
      <c r="Q3366" s="5" t="str">
        <f t="shared" si="217"/>
        <v>Employed</v>
      </c>
      <c r="R3366">
        <v>1</v>
      </c>
      <c r="S3366">
        <v>1</v>
      </c>
      <c r="T3366">
        <v>0</v>
      </c>
      <c r="U3366">
        <v>0</v>
      </c>
      <c r="V3366" t="s">
        <v>29</v>
      </c>
      <c r="W3366">
        <v>3</v>
      </c>
    </row>
    <row r="3367" spans="1:23" x14ac:dyDescent="0.2">
      <c r="A3367">
        <v>5113759</v>
      </c>
      <c r="B3367" t="s">
        <v>18</v>
      </c>
      <c r="C3367" t="s">
        <v>19</v>
      </c>
      <c r="D3367" t="s">
        <v>20</v>
      </c>
      <c r="E3367">
        <v>1</v>
      </c>
      <c r="F3367">
        <v>112500</v>
      </c>
      <c r="G3367" t="s">
        <v>26</v>
      </c>
      <c r="H3367" t="s">
        <v>27</v>
      </c>
      <c r="I3367" t="s">
        <v>28</v>
      </c>
      <c r="J3367" t="s">
        <v>24</v>
      </c>
      <c r="K3367" s="6">
        <f t="shared" ca="1" si="216"/>
        <v>34965</v>
      </c>
      <c r="L3367">
        <v>-10796</v>
      </c>
      <c r="M3367" s="7">
        <f t="shared" ca="1" si="214"/>
        <v>29.557837097878167</v>
      </c>
      <c r="N3367" s="5" t="str">
        <f ca="1">VLOOKUP(Data!M3367,temp!$B$3:$C$9,2,1)</f>
        <v>20-30</v>
      </c>
      <c r="O3367">
        <v>-1958</v>
      </c>
      <c r="P3367" s="8">
        <f t="shared" si="215"/>
        <v>5.3607118412046546</v>
      </c>
      <c r="Q3367" s="5" t="str">
        <f t="shared" si="217"/>
        <v>Employed</v>
      </c>
      <c r="R3367">
        <v>1</v>
      </c>
      <c r="S3367">
        <v>1</v>
      </c>
      <c r="T3367">
        <v>1</v>
      </c>
      <c r="U3367">
        <v>0</v>
      </c>
      <c r="V3367" t="s">
        <v>39</v>
      </c>
      <c r="W3367">
        <v>3</v>
      </c>
    </row>
    <row r="3368" spans="1:23" x14ac:dyDescent="0.2">
      <c r="A3368">
        <v>5113760</v>
      </c>
      <c r="B3368" t="s">
        <v>18</v>
      </c>
      <c r="C3368" t="s">
        <v>19</v>
      </c>
      <c r="D3368" t="s">
        <v>20</v>
      </c>
      <c r="E3368">
        <v>1</v>
      </c>
      <c r="F3368">
        <v>112500</v>
      </c>
      <c r="G3368" t="s">
        <v>26</v>
      </c>
      <c r="H3368" t="s">
        <v>27</v>
      </c>
      <c r="I3368" t="s">
        <v>28</v>
      </c>
      <c r="J3368" t="s">
        <v>24</v>
      </c>
      <c r="K3368" s="6">
        <f t="shared" ca="1" si="216"/>
        <v>34965</v>
      </c>
      <c r="L3368">
        <v>-10796</v>
      </c>
      <c r="M3368" s="7">
        <f t="shared" ca="1" si="214"/>
        <v>29.557837097878167</v>
      </c>
      <c r="N3368" s="5" t="str">
        <f ca="1">VLOOKUP(Data!M3368,temp!$B$3:$C$9,2,1)</f>
        <v>20-30</v>
      </c>
      <c r="O3368">
        <v>-1958</v>
      </c>
      <c r="P3368" s="8">
        <f t="shared" si="215"/>
        <v>5.3607118412046546</v>
      </c>
      <c r="Q3368" s="5" t="str">
        <f t="shared" si="217"/>
        <v>Employed</v>
      </c>
      <c r="R3368">
        <v>1</v>
      </c>
      <c r="S3368">
        <v>1</v>
      </c>
      <c r="T3368">
        <v>1</v>
      </c>
      <c r="U3368">
        <v>0</v>
      </c>
      <c r="V3368" t="s">
        <v>39</v>
      </c>
      <c r="W3368">
        <v>3</v>
      </c>
    </row>
    <row r="3369" spans="1:23" x14ac:dyDescent="0.2">
      <c r="A3369">
        <v>5113761</v>
      </c>
      <c r="B3369" t="s">
        <v>18</v>
      </c>
      <c r="C3369" t="s">
        <v>20</v>
      </c>
      <c r="D3369" t="s">
        <v>20</v>
      </c>
      <c r="E3369">
        <v>1</v>
      </c>
      <c r="F3369">
        <v>225000</v>
      </c>
      <c r="G3369" t="s">
        <v>26</v>
      </c>
      <c r="H3369" t="s">
        <v>27</v>
      </c>
      <c r="I3369" t="s">
        <v>28</v>
      </c>
      <c r="J3369" t="s">
        <v>24</v>
      </c>
      <c r="K3369" s="6">
        <f t="shared" ca="1" si="216"/>
        <v>34615</v>
      </c>
      <c r="L3369">
        <v>-11146</v>
      </c>
      <c r="M3369" s="7">
        <f t="shared" ca="1" si="214"/>
        <v>30.5160848733744</v>
      </c>
      <c r="N3369" s="5" t="str">
        <f ca="1">VLOOKUP(Data!M3369,temp!$B$3:$C$9,2,1)</f>
        <v>30-40</v>
      </c>
      <c r="O3369">
        <v>-1442</v>
      </c>
      <c r="P3369" s="8">
        <f t="shared" si="215"/>
        <v>3.9479808350444903</v>
      </c>
      <c r="Q3369" s="5" t="str">
        <f t="shared" si="217"/>
        <v>Employed</v>
      </c>
      <c r="R3369">
        <v>1</v>
      </c>
      <c r="S3369">
        <v>1</v>
      </c>
      <c r="T3369">
        <v>1</v>
      </c>
      <c r="U3369">
        <v>0</v>
      </c>
      <c r="W3369">
        <v>3</v>
      </c>
    </row>
    <row r="3370" spans="1:23" x14ac:dyDescent="0.2">
      <c r="A3370">
        <v>5113768</v>
      </c>
      <c r="B3370" t="s">
        <v>18</v>
      </c>
      <c r="C3370" t="s">
        <v>19</v>
      </c>
      <c r="D3370" t="s">
        <v>20</v>
      </c>
      <c r="E3370">
        <v>1</v>
      </c>
      <c r="F3370">
        <v>225000</v>
      </c>
      <c r="G3370" t="s">
        <v>26</v>
      </c>
      <c r="H3370" t="s">
        <v>27</v>
      </c>
      <c r="I3370" t="s">
        <v>28</v>
      </c>
      <c r="J3370" t="s">
        <v>24</v>
      </c>
      <c r="K3370" s="6">
        <f t="shared" ca="1" si="216"/>
        <v>30480</v>
      </c>
      <c r="L3370">
        <v>-15281</v>
      </c>
      <c r="M3370" s="7">
        <f t="shared" ca="1" si="214"/>
        <v>41.837097878165643</v>
      </c>
      <c r="N3370" s="5" t="str">
        <f ca="1">VLOOKUP(Data!M3370,temp!$B$3:$C$9,2,1)</f>
        <v>40-50</v>
      </c>
      <c r="O3370">
        <v>-254</v>
      </c>
      <c r="P3370" s="8">
        <f t="shared" si="215"/>
        <v>0.69541409993155368</v>
      </c>
      <c r="Q3370" s="5" t="str">
        <f t="shared" si="217"/>
        <v>Employed</v>
      </c>
      <c r="R3370">
        <v>1</v>
      </c>
      <c r="S3370">
        <v>0</v>
      </c>
      <c r="T3370">
        <v>0</v>
      </c>
      <c r="U3370">
        <v>0</v>
      </c>
      <c r="W3370">
        <v>3</v>
      </c>
    </row>
    <row r="3371" spans="1:23" x14ac:dyDescent="0.2">
      <c r="A3371">
        <v>5113777</v>
      </c>
      <c r="B3371" t="s">
        <v>18</v>
      </c>
      <c r="C3371" t="s">
        <v>20</v>
      </c>
      <c r="D3371" t="s">
        <v>20</v>
      </c>
      <c r="E3371">
        <v>1</v>
      </c>
      <c r="F3371">
        <v>315000</v>
      </c>
      <c r="G3371" t="s">
        <v>35</v>
      </c>
      <c r="H3371" t="s">
        <v>22</v>
      </c>
      <c r="I3371" t="s">
        <v>28</v>
      </c>
      <c r="J3371" t="s">
        <v>24</v>
      </c>
      <c r="K3371" s="6">
        <f t="shared" ca="1" si="216"/>
        <v>31990</v>
      </c>
      <c r="L3371">
        <v>-13771</v>
      </c>
      <c r="M3371" s="7">
        <f t="shared" ca="1" si="214"/>
        <v>37.702943189596169</v>
      </c>
      <c r="N3371" s="5" t="str">
        <f ca="1">VLOOKUP(Data!M3371,temp!$B$3:$C$9,2,1)</f>
        <v>30-40</v>
      </c>
      <c r="O3371">
        <v>-2080</v>
      </c>
      <c r="P3371" s="8">
        <f t="shared" si="215"/>
        <v>5.6947296372347704</v>
      </c>
      <c r="Q3371" s="5" t="str">
        <f t="shared" si="217"/>
        <v>Employed</v>
      </c>
      <c r="R3371">
        <v>1</v>
      </c>
      <c r="S3371">
        <v>0</v>
      </c>
      <c r="T3371">
        <v>0</v>
      </c>
      <c r="U3371">
        <v>0</v>
      </c>
      <c r="V3371" t="s">
        <v>38</v>
      </c>
      <c r="W3371">
        <v>3</v>
      </c>
    </row>
    <row r="3372" spans="1:23" x14ac:dyDescent="0.2">
      <c r="A3372">
        <v>5113793</v>
      </c>
      <c r="B3372" t="s">
        <v>18</v>
      </c>
      <c r="C3372" t="s">
        <v>19</v>
      </c>
      <c r="D3372" t="s">
        <v>20</v>
      </c>
      <c r="E3372">
        <v>1</v>
      </c>
      <c r="F3372">
        <v>337500</v>
      </c>
      <c r="G3372" t="s">
        <v>31</v>
      </c>
      <c r="H3372" t="s">
        <v>27</v>
      </c>
      <c r="I3372" t="s">
        <v>28</v>
      </c>
      <c r="J3372" t="s">
        <v>24</v>
      </c>
      <c r="K3372" s="6">
        <f t="shared" ca="1" si="216"/>
        <v>32971</v>
      </c>
      <c r="L3372">
        <v>-12790</v>
      </c>
      <c r="M3372" s="7">
        <f t="shared" ca="1" si="214"/>
        <v>35.017111567419576</v>
      </c>
      <c r="N3372" s="5" t="str">
        <f ca="1">VLOOKUP(Data!M3372,temp!$B$3:$C$9,2,1)</f>
        <v>30-40</v>
      </c>
      <c r="O3372">
        <v>-3329</v>
      </c>
      <c r="P3372" s="8">
        <f t="shared" si="215"/>
        <v>9.1143052703627649</v>
      </c>
      <c r="Q3372" s="5" t="str">
        <f t="shared" si="217"/>
        <v>Employed</v>
      </c>
      <c r="R3372">
        <v>1</v>
      </c>
      <c r="S3372">
        <v>0</v>
      </c>
      <c r="T3372">
        <v>0</v>
      </c>
      <c r="U3372">
        <v>1</v>
      </c>
      <c r="V3372" t="s">
        <v>38</v>
      </c>
      <c r="W3372">
        <v>3</v>
      </c>
    </row>
    <row r="3373" spans="1:23" x14ac:dyDescent="0.2">
      <c r="A3373">
        <v>5113803</v>
      </c>
      <c r="B3373" t="s">
        <v>18</v>
      </c>
      <c r="C3373" t="s">
        <v>19</v>
      </c>
      <c r="D3373" t="s">
        <v>20</v>
      </c>
      <c r="E3373">
        <v>1</v>
      </c>
      <c r="F3373">
        <v>337500</v>
      </c>
      <c r="G3373" t="s">
        <v>31</v>
      </c>
      <c r="H3373" t="s">
        <v>27</v>
      </c>
      <c r="I3373" t="s">
        <v>28</v>
      </c>
      <c r="J3373" t="s">
        <v>24</v>
      </c>
      <c r="K3373" s="6">
        <f t="shared" ca="1" si="216"/>
        <v>32971</v>
      </c>
      <c r="L3373">
        <v>-12790</v>
      </c>
      <c r="M3373" s="7">
        <f t="shared" ca="1" si="214"/>
        <v>35.017111567419576</v>
      </c>
      <c r="N3373" s="5" t="str">
        <f ca="1">VLOOKUP(Data!M3373,temp!$B$3:$C$9,2,1)</f>
        <v>30-40</v>
      </c>
      <c r="O3373">
        <v>-3329</v>
      </c>
      <c r="P3373" s="8">
        <f t="shared" si="215"/>
        <v>9.1143052703627649</v>
      </c>
      <c r="Q3373" s="5" t="str">
        <f t="shared" si="217"/>
        <v>Employed</v>
      </c>
      <c r="R3373">
        <v>1</v>
      </c>
      <c r="S3373">
        <v>0</v>
      </c>
      <c r="T3373">
        <v>0</v>
      </c>
      <c r="U3373">
        <v>1</v>
      </c>
      <c r="V3373" t="s">
        <v>38</v>
      </c>
      <c r="W3373">
        <v>3</v>
      </c>
    </row>
    <row r="3374" spans="1:23" x14ac:dyDescent="0.2">
      <c r="A3374">
        <v>5113810</v>
      </c>
      <c r="B3374" t="s">
        <v>18</v>
      </c>
      <c r="C3374" t="s">
        <v>19</v>
      </c>
      <c r="D3374" t="s">
        <v>20</v>
      </c>
      <c r="E3374">
        <v>1</v>
      </c>
      <c r="F3374">
        <v>337500</v>
      </c>
      <c r="G3374" t="s">
        <v>31</v>
      </c>
      <c r="H3374" t="s">
        <v>27</v>
      </c>
      <c r="I3374" t="s">
        <v>28</v>
      </c>
      <c r="J3374" t="s">
        <v>24</v>
      </c>
      <c r="K3374" s="6">
        <f t="shared" ca="1" si="216"/>
        <v>32971</v>
      </c>
      <c r="L3374">
        <v>-12790</v>
      </c>
      <c r="M3374" s="7">
        <f t="shared" ca="1" si="214"/>
        <v>35.017111567419576</v>
      </c>
      <c r="N3374" s="5" t="str">
        <f ca="1">VLOOKUP(Data!M3374,temp!$B$3:$C$9,2,1)</f>
        <v>30-40</v>
      </c>
      <c r="O3374">
        <v>-3329</v>
      </c>
      <c r="P3374" s="8">
        <f t="shared" si="215"/>
        <v>9.1143052703627649</v>
      </c>
      <c r="Q3374" s="5" t="str">
        <f t="shared" si="217"/>
        <v>Employed</v>
      </c>
      <c r="R3374">
        <v>1</v>
      </c>
      <c r="S3374">
        <v>0</v>
      </c>
      <c r="T3374">
        <v>0</v>
      </c>
      <c r="U3374">
        <v>1</v>
      </c>
      <c r="V3374" t="s">
        <v>38</v>
      </c>
      <c r="W3374">
        <v>3</v>
      </c>
    </row>
    <row r="3375" spans="1:23" x14ac:dyDescent="0.2">
      <c r="A3375">
        <v>5113815</v>
      </c>
      <c r="B3375" t="s">
        <v>18</v>
      </c>
      <c r="C3375" t="s">
        <v>19</v>
      </c>
      <c r="D3375" t="s">
        <v>20</v>
      </c>
      <c r="E3375">
        <v>0</v>
      </c>
      <c r="F3375">
        <v>180000</v>
      </c>
      <c r="G3375" t="s">
        <v>35</v>
      </c>
      <c r="H3375" t="s">
        <v>22</v>
      </c>
      <c r="I3375" t="s">
        <v>37</v>
      </c>
      <c r="J3375" t="s">
        <v>24</v>
      </c>
      <c r="K3375" s="6">
        <f t="shared" ca="1" si="216"/>
        <v>29271</v>
      </c>
      <c r="L3375">
        <v>-16490</v>
      </c>
      <c r="M3375" s="7">
        <f t="shared" ca="1" si="214"/>
        <v>45.147159479808352</v>
      </c>
      <c r="N3375" s="5" t="str">
        <f ca="1">VLOOKUP(Data!M3375,temp!$B$3:$C$9,2,1)</f>
        <v>40-50</v>
      </c>
      <c r="O3375">
        <v>-2750</v>
      </c>
      <c r="P3375" s="8">
        <f t="shared" si="215"/>
        <v>7.529089664613279</v>
      </c>
      <c r="Q3375" s="5" t="str">
        <f t="shared" si="217"/>
        <v>Employed</v>
      </c>
      <c r="R3375">
        <v>1</v>
      </c>
      <c r="S3375">
        <v>0</v>
      </c>
      <c r="T3375">
        <v>1</v>
      </c>
      <c r="U3375">
        <v>0</v>
      </c>
      <c r="V3375" t="s">
        <v>47</v>
      </c>
      <c r="W3375">
        <v>2</v>
      </c>
    </row>
    <row r="3376" spans="1:23" x14ac:dyDescent="0.2">
      <c r="A3376">
        <v>5113840</v>
      </c>
      <c r="B3376" t="s">
        <v>18</v>
      </c>
      <c r="C3376" t="s">
        <v>19</v>
      </c>
      <c r="D3376" t="s">
        <v>20</v>
      </c>
      <c r="E3376">
        <v>0</v>
      </c>
      <c r="F3376">
        <v>135000</v>
      </c>
      <c r="G3376" t="s">
        <v>26</v>
      </c>
      <c r="H3376" t="s">
        <v>22</v>
      </c>
      <c r="I3376" t="s">
        <v>28</v>
      </c>
      <c r="J3376" t="s">
        <v>24</v>
      </c>
      <c r="K3376" s="6">
        <f t="shared" ca="1" si="216"/>
        <v>36800</v>
      </c>
      <c r="L3376">
        <v>-8961</v>
      </c>
      <c r="M3376" s="7">
        <f t="shared" ca="1" si="214"/>
        <v>24.533880903490761</v>
      </c>
      <c r="N3376" s="5" t="str">
        <f ca="1">VLOOKUP(Data!M3376,temp!$B$3:$C$9,2,1)</f>
        <v>20-30</v>
      </c>
      <c r="O3376">
        <v>-923</v>
      </c>
      <c r="P3376" s="8">
        <f t="shared" si="215"/>
        <v>2.5270362765229293</v>
      </c>
      <c r="Q3376" s="5" t="str">
        <f t="shared" si="217"/>
        <v>Employed</v>
      </c>
      <c r="R3376">
        <v>1</v>
      </c>
      <c r="S3376">
        <v>1</v>
      </c>
      <c r="T3376">
        <v>0</v>
      </c>
      <c r="U3376">
        <v>1</v>
      </c>
      <c r="V3376" t="s">
        <v>38</v>
      </c>
      <c r="W3376">
        <v>2</v>
      </c>
    </row>
    <row r="3377" spans="1:23" x14ac:dyDescent="0.2">
      <c r="A3377">
        <v>5113858</v>
      </c>
      <c r="B3377" t="s">
        <v>25</v>
      </c>
      <c r="C3377" t="s">
        <v>19</v>
      </c>
      <c r="D3377" t="s">
        <v>19</v>
      </c>
      <c r="E3377">
        <v>0</v>
      </c>
      <c r="F3377">
        <v>135000</v>
      </c>
      <c r="G3377" t="s">
        <v>31</v>
      </c>
      <c r="H3377" t="s">
        <v>27</v>
      </c>
      <c r="I3377" t="s">
        <v>28</v>
      </c>
      <c r="J3377" t="s">
        <v>24</v>
      </c>
      <c r="K3377" s="6">
        <f t="shared" ca="1" si="216"/>
        <v>35393</v>
      </c>
      <c r="L3377">
        <v>-10368</v>
      </c>
      <c r="M3377" s="7">
        <f t="shared" ca="1" si="214"/>
        <v>28.386036960985628</v>
      </c>
      <c r="N3377" s="5" t="str">
        <f ca="1">VLOOKUP(Data!M3377,temp!$B$3:$C$9,2,1)</f>
        <v>20-30</v>
      </c>
      <c r="O3377">
        <v>-1259</v>
      </c>
      <c r="P3377" s="8">
        <f t="shared" si="215"/>
        <v>3.4469541409993156</v>
      </c>
      <c r="Q3377" s="5" t="str">
        <f t="shared" si="217"/>
        <v>Employed</v>
      </c>
      <c r="R3377">
        <v>1</v>
      </c>
      <c r="S3377">
        <v>1</v>
      </c>
      <c r="T3377">
        <v>0</v>
      </c>
      <c r="U3377">
        <v>0</v>
      </c>
      <c r="V3377" t="s">
        <v>47</v>
      </c>
      <c r="W3377">
        <v>2</v>
      </c>
    </row>
    <row r="3378" spans="1:23" x14ac:dyDescent="0.2">
      <c r="A3378">
        <v>5113867</v>
      </c>
      <c r="B3378" t="s">
        <v>18</v>
      </c>
      <c r="C3378" t="s">
        <v>19</v>
      </c>
      <c r="D3378" t="s">
        <v>19</v>
      </c>
      <c r="E3378">
        <v>0</v>
      </c>
      <c r="F3378">
        <v>90000</v>
      </c>
      <c r="G3378" t="s">
        <v>31</v>
      </c>
      <c r="H3378" t="s">
        <v>27</v>
      </c>
      <c r="I3378" t="s">
        <v>28</v>
      </c>
      <c r="J3378" t="s">
        <v>24</v>
      </c>
      <c r="K3378" s="6">
        <f t="shared" ca="1" si="216"/>
        <v>29646</v>
      </c>
      <c r="L3378">
        <v>-16115</v>
      </c>
      <c r="M3378" s="7">
        <f t="shared" ca="1" si="214"/>
        <v>44.120465434633815</v>
      </c>
      <c r="N3378" s="5" t="str">
        <f ca="1">VLOOKUP(Data!M3378,temp!$B$3:$C$9,2,1)</f>
        <v>40-50</v>
      </c>
      <c r="O3378">
        <v>-985</v>
      </c>
      <c r="P3378" s="8">
        <f t="shared" si="215"/>
        <v>2.6967830253251197</v>
      </c>
      <c r="Q3378" s="5" t="str">
        <f t="shared" si="217"/>
        <v>Employed</v>
      </c>
      <c r="R3378">
        <v>1</v>
      </c>
      <c r="S3378">
        <v>0</v>
      </c>
      <c r="T3378">
        <v>0</v>
      </c>
      <c r="U3378">
        <v>0</v>
      </c>
      <c r="V3378" t="s">
        <v>39</v>
      </c>
      <c r="W3378">
        <v>2</v>
      </c>
    </row>
    <row r="3379" spans="1:23" x14ac:dyDescent="0.2">
      <c r="A3379">
        <v>5113874</v>
      </c>
      <c r="B3379" t="s">
        <v>18</v>
      </c>
      <c r="C3379" t="s">
        <v>19</v>
      </c>
      <c r="D3379" t="s">
        <v>19</v>
      </c>
      <c r="E3379">
        <v>0</v>
      </c>
      <c r="F3379">
        <v>90000</v>
      </c>
      <c r="G3379" t="s">
        <v>31</v>
      </c>
      <c r="H3379" t="s">
        <v>27</v>
      </c>
      <c r="I3379" t="s">
        <v>28</v>
      </c>
      <c r="J3379" t="s">
        <v>24</v>
      </c>
      <c r="K3379" s="6">
        <f t="shared" ca="1" si="216"/>
        <v>29646</v>
      </c>
      <c r="L3379">
        <v>-16115</v>
      </c>
      <c r="M3379" s="7">
        <f t="shared" ca="1" si="214"/>
        <v>44.120465434633815</v>
      </c>
      <c r="N3379" s="5" t="str">
        <f ca="1">VLOOKUP(Data!M3379,temp!$B$3:$C$9,2,1)</f>
        <v>40-50</v>
      </c>
      <c r="O3379">
        <v>-985</v>
      </c>
      <c r="P3379" s="8">
        <f t="shared" si="215"/>
        <v>2.6967830253251197</v>
      </c>
      <c r="Q3379" s="5" t="str">
        <f t="shared" si="217"/>
        <v>Employed</v>
      </c>
      <c r="R3379">
        <v>1</v>
      </c>
      <c r="S3379">
        <v>0</v>
      </c>
      <c r="T3379">
        <v>0</v>
      </c>
      <c r="U3379">
        <v>0</v>
      </c>
      <c r="V3379" t="s">
        <v>39</v>
      </c>
      <c r="W3379">
        <v>2</v>
      </c>
    </row>
    <row r="3380" spans="1:23" x14ac:dyDescent="0.2">
      <c r="A3380">
        <v>5113880</v>
      </c>
      <c r="B3380" t="s">
        <v>18</v>
      </c>
      <c r="C3380" t="s">
        <v>19</v>
      </c>
      <c r="D3380" t="s">
        <v>19</v>
      </c>
      <c r="E3380">
        <v>2</v>
      </c>
      <c r="F3380">
        <v>180000</v>
      </c>
      <c r="G3380" t="s">
        <v>35</v>
      </c>
      <c r="H3380" t="s">
        <v>22</v>
      </c>
      <c r="I3380" t="s">
        <v>28</v>
      </c>
      <c r="J3380" t="s">
        <v>24</v>
      </c>
      <c r="K3380" s="6">
        <f t="shared" ca="1" si="216"/>
        <v>32034</v>
      </c>
      <c r="L3380">
        <v>-13727</v>
      </c>
      <c r="M3380" s="7">
        <f t="shared" ca="1" si="214"/>
        <v>37.582477754962355</v>
      </c>
      <c r="N3380" s="5" t="str">
        <f ca="1">VLOOKUP(Data!M3380,temp!$B$3:$C$9,2,1)</f>
        <v>30-40</v>
      </c>
      <c r="O3380">
        <v>-5215</v>
      </c>
      <c r="P3380" s="8">
        <f t="shared" si="215"/>
        <v>14.277891854893909</v>
      </c>
      <c r="Q3380" s="5" t="str">
        <f t="shared" si="217"/>
        <v>Employed</v>
      </c>
      <c r="R3380">
        <v>1</v>
      </c>
      <c r="S3380">
        <v>0</v>
      </c>
      <c r="T3380">
        <v>0</v>
      </c>
      <c r="U3380">
        <v>0</v>
      </c>
      <c r="V3380" t="s">
        <v>32</v>
      </c>
      <c r="W3380">
        <v>4</v>
      </c>
    </row>
    <row r="3381" spans="1:23" x14ac:dyDescent="0.2">
      <c r="A3381">
        <v>5113956</v>
      </c>
      <c r="B3381" t="s">
        <v>18</v>
      </c>
      <c r="C3381" t="s">
        <v>19</v>
      </c>
      <c r="D3381" t="s">
        <v>19</v>
      </c>
      <c r="E3381">
        <v>0</v>
      </c>
      <c r="F3381">
        <v>67500</v>
      </c>
      <c r="G3381" t="s">
        <v>35</v>
      </c>
      <c r="H3381" t="s">
        <v>27</v>
      </c>
      <c r="I3381" t="s">
        <v>28</v>
      </c>
      <c r="J3381" t="s">
        <v>45</v>
      </c>
      <c r="K3381" s="6">
        <f t="shared" ca="1" si="216"/>
        <v>28657</v>
      </c>
      <c r="L3381">
        <v>-17104</v>
      </c>
      <c r="M3381" s="7">
        <f t="shared" ca="1" si="214"/>
        <v>46.828199863107457</v>
      </c>
      <c r="N3381" s="5" t="str">
        <f ca="1">VLOOKUP(Data!M3381,temp!$B$3:$C$9,2,1)</f>
        <v>40-50</v>
      </c>
      <c r="O3381">
        <v>-3024</v>
      </c>
      <c r="P3381" s="8">
        <f t="shared" si="215"/>
        <v>8.2792607802874745</v>
      </c>
      <c r="Q3381" s="5" t="str">
        <f t="shared" si="217"/>
        <v>Employed</v>
      </c>
      <c r="R3381">
        <v>1</v>
      </c>
      <c r="S3381">
        <v>1</v>
      </c>
      <c r="T3381">
        <v>0</v>
      </c>
      <c r="U3381">
        <v>0</v>
      </c>
      <c r="V3381" t="s">
        <v>38</v>
      </c>
      <c r="W3381">
        <v>2</v>
      </c>
    </row>
    <row r="3382" spans="1:23" x14ac:dyDescent="0.2">
      <c r="A3382">
        <v>5113960</v>
      </c>
      <c r="B3382" t="s">
        <v>25</v>
      </c>
      <c r="C3382" t="s">
        <v>19</v>
      </c>
      <c r="D3382" t="s">
        <v>19</v>
      </c>
      <c r="E3382">
        <v>0</v>
      </c>
      <c r="F3382">
        <v>135000</v>
      </c>
      <c r="G3382" t="s">
        <v>31</v>
      </c>
      <c r="H3382" t="s">
        <v>27</v>
      </c>
      <c r="I3382" t="s">
        <v>33</v>
      </c>
      <c r="J3382" t="s">
        <v>24</v>
      </c>
      <c r="K3382" s="6">
        <f t="shared" ca="1" si="216"/>
        <v>32159</v>
      </c>
      <c r="L3382">
        <v>-13602</v>
      </c>
      <c r="M3382" s="7">
        <f t="shared" ca="1" si="214"/>
        <v>37.24024640657084</v>
      </c>
      <c r="N3382" s="5" t="str">
        <f ca="1">VLOOKUP(Data!M3382,temp!$B$3:$C$9,2,1)</f>
        <v>30-40</v>
      </c>
      <c r="O3382">
        <v>-1382</v>
      </c>
      <c r="P3382" s="8">
        <f t="shared" si="215"/>
        <v>3.783709787816564</v>
      </c>
      <c r="Q3382" s="5" t="str">
        <f t="shared" si="217"/>
        <v>Employed</v>
      </c>
      <c r="R3382">
        <v>1</v>
      </c>
      <c r="S3382">
        <v>1</v>
      </c>
      <c r="T3382">
        <v>1</v>
      </c>
      <c r="U3382">
        <v>0</v>
      </c>
      <c r="V3382" t="s">
        <v>30</v>
      </c>
      <c r="W3382">
        <v>1</v>
      </c>
    </row>
    <row r="3383" spans="1:23" x14ac:dyDescent="0.2">
      <c r="A3383">
        <v>5113961</v>
      </c>
      <c r="B3383" t="s">
        <v>25</v>
      </c>
      <c r="C3383" t="s">
        <v>20</v>
      </c>
      <c r="D3383" t="s">
        <v>19</v>
      </c>
      <c r="E3383">
        <v>0</v>
      </c>
      <c r="F3383">
        <v>247500</v>
      </c>
      <c r="G3383" t="s">
        <v>31</v>
      </c>
      <c r="H3383" t="s">
        <v>36</v>
      </c>
      <c r="I3383" t="s">
        <v>33</v>
      </c>
      <c r="J3383" t="s">
        <v>24</v>
      </c>
      <c r="K3383" s="6">
        <f t="shared" ca="1" si="216"/>
        <v>37201</v>
      </c>
      <c r="L3383">
        <v>-8560</v>
      </c>
      <c r="M3383" s="7">
        <f t="shared" ca="1" si="214"/>
        <v>23.436002737850789</v>
      </c>
      <c r="N3383" s="5" t="str">
        <f ca="1">VLOOKUP(Data!M3383,temp!$B$3:$C$9,2,1)</f>
        <v>20-30</v>
      </c>
      <c r="O3383">
        <v>-316</v>
      </c>
      <c r="P3383" s="8">
        <f t="shared" si="215"/>
        <v>0.86516084873374399</v>
      </c>
      <c r="Q3383" s="5" t="str">
        <f t="shared" si="217"/>
        <v>Employed</v>
      </c>
      <c r="R3383">
        <v>1</v>
      </c>
      <c r="S3383">
        <v>1</v>
      </c>
      <c r="T3383">
        <v>0</v>
      </c>
      <c r="U3383">
        <v>0</v>
      </c>
      <c r="V3383" t="s">
        <v>32</v>
      </c>
      <c r="W3383">
        <v>1</v>
      </c>
    </row>
    <row r="3384" spans="1:23" x14ac:dyDescent="0.2">
      <c r="A3384">
        <v>5113964</v>
      </c>
      <c r="B3384" t="s">
        <v>25</v>
      </c>
      <c r="C3384" t="s">
        <v>20</v>
      </c>
      <c r="D3384" t="s">
        <v>19</v>
      </c>
      <c r="E3384">
        <v>0</v>
      </c>
      <c r="F3384">
        <v>247500</v>
      </c>
      <c r="G3384" t="s">
        <v>31</v>
      </c>
      <c r="H3384" t="s">
        <v>36</v>
      </c>
      <c r="I3384" t="s">
        <v>33</v>
      </c>
      <c r="J3384" t="s">
        <v>24</v>
      </c>
      <c r="K3384" s="6">
        <f t="shared" ca="1" si="216"/>
        <v>37201</v>
      </c>
      <c r="L3384">
        <v>-8560</v>
      </c>
      <c r="M3384" s="7">
        <f t="shared" ca="1" si="214"/>
        <v>23.436002737850789</v>
      </c>
      <c r="N3384" s="5" t="str">
        <f ca="1">VLOOKUP(Data!M3384,temp!$B$3:$C$9,2,1)</f>
        <v>20-30</v>
      </c>
      <c r="O3384">
        <v>-316</v>
      </c>
      <c r="P3384" s="8">
        <f t="shared" si="215"/>
        <v>0.86516084873374399</v>
      </c>
      <c r="Q3384" s="5" t="str">
        <f t="shared" si="217"/>
        <v>Employed</v>
      </c>
      <c r="R3384">
        <v>1</v>
      </c>
      <c r="S3384">
        <v>1</v>
      </c>
      <c r="T3384">
        <v>0</v>
      </c>
      <c r="U3384">
        <v>0</v>
      </c>
      <c r="V3384" t="s">
        <v>32</v>
      </c>
      <c r="W3384">
        <v>1</v>
      </c>
    </row>
    <row r="3385" spans="1:23" x14ac:dyDescent="0.2">
      <c r="A3385">
        <v>5113966</v>
      </c>
      <c r="B3385" t="s">
        <v>25</v>
      </c>
      <c r="C3385" t="s">
        <v>20</v>
      </c>
      <c r="D3385" t="s">
        <v>19</v>
      </c>
      <c r="E3385">
        <v>0</v>
      </c>
      <c r="F3385">
        <v>247500</v>
      </c>
      <c r="G3385" t="s">
        <v>31</v>
      </c>
      <c r="H3385" t="s">
        <v>36</v>
      </c>
      <c r="I3385" t="s">
        <v>33</v>
      </c>
      <c r="J3385" t="s">
        <v>24</v>
      </c>
      <c r="K3385" s="6">
        <f t="shared" ca="1" si="216"/>
        <v>37201</v>
      </c>
      <c r="L3385">
        <v>-8560</v>
      </c>
      <c r="M3385" s="7">
        <f t="shared" ca="1" si="214"/>
        <v>23.436002737850789</v>
      </c>
      <c r="N3385" s="5" t="str">
        <f ca="1">VLOOKUP(Data!M3385,temp!$B$3:$C$9,2,1)</f>
        <v>20-30</v>
      </c>
      <c r="O3385">
        <v>-316</v>
      </c>
      <c r="P3385" s="8">
        <f t="shared" si="215"/>
        <v>0.86516084873374399</v>
      </c>
      <c r="Q3385" s="5" t="str">
        <f t="shared" si="217"/>
        <v>Employed</v>
      </c>
      <c r="R3385">
        <v>1</v>
      </c>
      <c r="S3385">
        <v>1</v>
      </c>
      <c r="T3385">
        <v>0</v>
      </c>
      <c r="U3385">
        <v>0</v>
      </c>
      <c r="V3385" t="s">
        <v>32</v>
      </c>
      <c r="W3385">
        <v>1</v>
      </c>
    </row>
    <row r="3386" spans="1:23" x14ac:dyDescent="0.2">
      <c r="A3386">
        <v>5113976</v>
      </c>
      <c r="B3386" t="s">
        <v>25</v>
      </c>
      <c r="C3386" t="s">
        <v>20</v>
      </c>
      <c r="D3386" t="s">
        <v>19</v>
      </c>
      <c r="E3386">
        <v>0</v>
      </c>
      <c r="F3386">
        <v>270000</v>
      </c>
      <c r="G3386" t="s">
        <v>31</v>
      </c>
      <c r="H3386" t="s">
        <v>36</v>
      </c>
      <c r="I3386" t="s">
        <v>28</v>
      </c>
      <c r="J3386" t="s">
        <v>24</v>
      </c>
      <c r="K3386" s="6">
        <f t="shared" ca="1" si="216"/>
        <v>33806</v>
      </c>
      <c r="L3386">
        <v>-11955</v>
      </c>
      <c r="M3386" s="7">
        <f t="shared" ca="1" si="214"/>
        <v>32.73100616016427</v>
      </c>
      <c r="N3386" s="5" t="str">
        <f ca="1">VLOOKUP(Data!M3386,temp!$B$3:$C$9,2,1)</f>
        <v>30-40</v>
      </c>
      <c r="O3386">
        <v>-893</v>
      </c>
      <c r="P3386" s="8">
        <f t="shared" si="215"/>
        <v>2.4449007529089664</v>
      </c>
      <c r="Q3386" s="5" t="str">
        <f t="shared" si="217"/>
        <v>Employed</v>
      </c>
      <c r="R3386">
        <v>1</v>
      </c>
      <c r="S3386">
        <v>1</v>
      </c>
      <c r="T3386">
        <v>1</v>
      </c>
      <c r="U3386">
        <v>1</v>
      </c>
      <c r="V3386" t="s">
        <v>29</v>
      </c>
      <c r="W3386">
        <v>2</v>
      </c>
    </row>
    <row r="3387" spans="1:23" x14ac:dyDescent="0.2">
      <c r="A3387">
        <v>5113990</v>
      </c>
      <c r="B3387" t="s">
        <v>25</v>
      </c>
      <c r="C3387" t="s">
        <v>20</v>
      </c>
      <c r="D3387" t="s">
        <v>19</v>
      </c>
      <c r="E3387">
        <v>0</v>
      </c>
      <c r="F3387">
        <v>247500</v>
      </c>
      <c r="G3387" t="s">
        <v>31</v>
      </c>
      <c r="H3387" t="s">
        <v>27</v>
      </c>
      <c r="I3387" t="s">
        <v>28</v>
      </c>
      <c r="J3387" t="s">
        <v>24</v>
      </c>
      <c r="K3387" s="6">
        <f t="shared" ca="1" si="216"/>
        <v>26277</v>
      </c>
      <c r="L3387">
        <v>-19484</v>
      </c>
      <c r="M3387" s="7">
        <f t="shared" ca="1" si="214"/>
        <v>53.34428473648186</v>
      </c>
      <c r="N3387" s="5" t="str">
        <f ca="1">VLOOKUP(Data!M3387,temp!$B$3:$C$9,2,1)</f>
        <v>50-60</v>
      </c>
      <c r="O3387">
        <v>-6798</v>
      </c>
      <c r="P3387" s="8">
        <f t="shared" si="215"/>
        <v>18.611909650924023</v>
      </c>
      <c r="Q3387" s="5" t="str">
        <f t="shared" si="217"/>
        <v>Employed</v>
      </c>
      <c r="R3387">
        <v>1</v>
      </c>
      <c r="S3387">
        <v>0</v>
      </c>
      <c r="T3387">
        <v>0</v>
      </c>
      <c r="U3387">
        <v>0</v>
      </c>
      <c r="V3387" t="s">
        <v>32</v>
      </c>
      <c r="W3387">
        <v>2</v>
      </c>
    </row>
    <row r="3388" spans="1:23" x14ac:dyDescent="0.2">
      <c r="A3388">
        <v>5113997</v>
      </c>
      <c r="B3388" t="s">
        <v>18</v>
      </c>
      <c r="C3388" t="s">
        <v>19</v>
      </c>
      <c r="D3388" t="s">
        <v>19</v>
      </c>
      <c r="E3388">
        <v>2</v>
      </c>
      <c r="F3388">
        <v>202500</v>
      </c>
      <c r="G3388" t="s">
        <v>31</v>
      </c>
      <c r="H3388" t="s">
        <v>27</v>
      </c>
      <c r="I3388" t="s">
        <v>28</v>
      </c>
      <c r="J3388" t="s">
        <v>24</v>
      </c>
      <c r="K3388" s="6">
        <f t="shared" ca="1" si="216"/>
        <v>32315</v>
      </c>
      <c r="L3388">
        <v>-13446</v>
      </c>
      <c r="M3388" s="7">
        <f t="shared" ca="1" si="214"/>
        <v>36.813141683778234</v>
      </c>
      <c r="N3388" s="5" t="str">
        <f ca="1">VLOOKUP(Data!M3388,temp!$B$3:$C$9,2,1)</f>
        <v>30-40</v>
      </c>
      <c r="O3388">
        <v>-2720</v>
      </c>
      <c r="P3388" s="8">
        <f t="shared" si="215"/>
        <v>7.4469541409993152</v>
      </c>
      <c r="Q3388" s="5" t="str">
        <f t="shared" si="217"/>
        <v>Employed</v>
      </c>
      <c r="R3388">
        <v>1</v>
      </c>
      <c r="S3388">
        <v>0</v>
      </c>
      <c r="T3388">
        <v>0</v>
      </c>
      <c r="U3388">
        <v>0</v>
      </c>
      <c r="V3388" t="s">
        <v>39</v>
      </c>
      <c r="W3388">
        <v>4</v>
      </c>
    </row>
    <row r="3389" spans="1:23" x14ac:dyDescent="0.2">
      <c r="A3389">
        <v>5114005</v>
      </c>
      <c r="B3389" t="s">
        <v>18</v>
      </c>
      <c r="C3389" t="s">
        <v>19</v>
      </c>
      <c r="D3389" t="s">
        <v>19</v>
      </c>
      <c r="E3389">
        <v>2</v>
      </c>
      <c r="F3389">
        <v>202500</v>
      </c>
      <c r="G3389" t="s">
        <v>31</v>
      </c>
      <c r="H3389" t="s">
        <v>27</v>
      </c>
      <c r="I3389" t="s">
        <v>28</v>
      </c>
      <c r="J3389" t="s">
        <v>24</v>
      </c>
      <c r="K3389" s="6">
        <f t="shared" ca="1" si="216"/>
        <v>32315</v>
      </c>
      <c r="L3389">
        <v>-13446</v>
      </c>
      <c r="M3389" s="7">
        <f t="shared" ca="1" si="214"/>
        <v>36.813141683778234</v>
      </c>
      <c r="N3389" s="5" t="str">
        <f ca="1">VLOOKUP(Data!M3389,temp!$B$3:$C$9,2,1)</f>
        <v>30-40</v>
      </c>
      <c r="O3389">
        <v>-2720</v>
      </c>
      <c r="P3389" s="8">
        <f t="shared" si="215"/>
        <v>7.4469541409993152</v>
      </c>
      <c r="Q3389" s="5" t="str">
        <f t="shared" si="217"/>
        <v>Employed</v>
      </c>
      <c r="R3389">
        <v>1</v>
      </c>
      <c r="S3389">
        <v>0</v>
      </c>
      <c r="T3389">
        <v>0</v>
      </c>
      <c r="U3389">
        <v>0</v>
      </c>
      <c r="V3389" t="s">
        <v>39</v>
      </c>
      <c r="W3389">
        <v>4</v>
      </c>
    </row>
    <row r="3390" spans="1:23" x14ac:dyDescent="0.2">
      <c r="A3390">
        <v>5114028</v>
      </c>
      <c r="B3390" t="s">
        <v>18</v>
      </c>
      <c r="C3390" t="s">
        <v>19</v>
      </c>
      <c r="D3390" t="s">
        <v>19</v>
      </c>
      <c r="E3390">
        <v>0</v>
      </c>
      <c r="F3390">
        <v>99000</v>
      </c>
      <c r="G3390" t="s">
        <v>31</v>
      </c>
      <c r="H3390" t="s">
        <v>22</v>
      </c>
      <c r="I3390" t="s">
        <v>28</v>
      </c>
      <c r="J3390" t="s">
        <v>24</v>
      </c>
      <c r="K3390" s="6">
        <f t="shared" ca="1" si="216"/>
        <v>31100</v>
      </c>
      <c r="L3390">
        <v>-14661</v>
      </c>
      <c r="M3390" s="7">
        <f t="shared" ca="1" si="214"/>
        <v>40.139630390143736</v>
      </c>
      <c r="N3390" s="5" t="str">
        <f ca="1">VLOOKUP(Data!M3390,temp!$B$3:$C$9,2,1)</f>
        <v>40-50</v>
      </c>
      <c r="O3390">
        <v>-5521</v>
      </c>
      <c r="P3390" s="8">
        <f t="shared" si="215"/>
        <v>15.115674195756331</v>
      </c>
      <c r="Q3390" s="5" t="str">
        <f t="shared" si="217"/>
        <v>Employed</v>
      </c>
      <c r="R3390">
        <v>1</v>
      </c>
      <c r="S3390">
        <v>0</v>
      </c>
      <c r="T3390">
        <v>0</v>
      </c>
      <c r="U3390">
        <v>0</v>
      </c>
      <c r="W3390">
        <v>2</v>
      </c>
    </row>
    <row r="3391" spans="1:23" x14ac:dyDescent="0.2">
      <c r="A3391">
        <v>5114031</v>
      </c>
      <c r="B3391" t="s">
        <v>18</v>
      </c>
      <c r="C3391" t="s">
        <v>19</v>
      </c>
      <c r="D3391" t="s">
        <v>19</v>
      </c>
      <c r="E3391">
        <v>0</v>
      </c>
      <c r="F3391">
        <v>99000</v>
      </c>
      <c r="G3391" t="s">
        <v>31</v>
      </c>
      <c r="H3391" t="s">
        <v>22</v>
      </c>
      <c r="I3391" t="s">
        <v>28</v>
      </c>
      <c r="J3391" t="s">
        <v>24</v>
      </c>
      <c r="K3391" s="6">
        <f t="shared" ca="1" si="216"/>
        <v>31100</v>
      </c>
      <c r="L3391">
        <v>-14661</v>
      </c>
      <c r="M3391" s="7">
        <f t="shared" ca="1" si="214"/>
        <v>40.139630390143736</v>
      </c>
      <c r="N3391" s="5" t="str">
        <f ca="1">VLOOKUP(Data!M3391,temp!$B$3:$C$9,2,1)</f>
        <v>40-50</v>
      </c>
      <c r="O3391">
        <v>-5521</v>
      </c>
      <c r="P3391" s="8">
        <f t="shared" si="215"/>
        <v>15.115674195756331</v>
      </c>
      <c r="Q3391" s="5" t="str">
        <f t="shared" si="217"/>
        <v>Employed</v>
      </c>
      <c r="R3391">
        <v>1</v>
      </c>
      <c r="S3391">
        <v>0</v>
      </c>
      <c r="T3391">
        <v>0</v>
      </c>
      <c r="U3391">
        <v>0</v>
      </c>
      <c r="W3391">
        <v>2</v>
      </c>
    </row>
    <row r="3392" spans="1:23" x14ac:dyDescent="0.2">
      <c r="A3392">
        <v>5114045</v>
      </c>
      <c r="B3392" t="s">
        <v>18</v>
      </c>
      <c r="C3392" t="s">
        <v>19</v>
      </c>
      <c r="D3392" t="s">
        <v>19</v>
      </c>
      <c r="E3392">
        <v>0</v>
      </c>
      <c r="F3392">
        <v>99000</v>
      </c>
      <c r="G3392" t="s">
        <v>31</v>
      </c>
      <c r="H3392" t="s">
        <v>22</v>
      </c>
      <c r="I3392" t="s">
        <v>28</v>
      </c>
      <c r="J3392" t="s">
        <v>24</v>
      </c>
      <c r="K3392" s="6">
        <f t="shared" ca="1" si="216"/>
        <v>31100</v>
      </c>
      <c r="L3392">
        <v>-14661</v>
      </c>
      <c r="M3392" s="7">
        <f t="shared" ca="1" si="214"/>
        <v>40.139630390143736</v>
      </c>
      <c r="N3392" s="5" t="str">
        <f ca="1">VLOOKUP(Data!M3392,temp!$B$3:$C$9,2,1)</f>
        <v>40-50</v>
      </c>
      <c r="O3392">
        <v>-5521</v>
      </c>
      <c r="P3392" s="8">
        <f t="shared" si="215"/>
        <v>15.115674195756331</v>
      </c>
      <c r="Q3392" s="5" t="str">
        <f t="shared" si="217"/>
        <v>Employed</v>
      </c>
      <c r="R3392">
        <v>1</v>
      </c>
      <c r="S3392">
        <v>0</v>
      </c>
      <c r="T3392">
        <v>0</v>
      </c>
      <c r="U3392">
        <v>0</v>
      </c>
      <c r="W3392">
        <v>2</v>
      </c>
    </row>
    <row r="3393" spans="1:23" x14ac:dyDescent="0.2">
      <c r="A3393">
        <v>5114057</v>
      </c>
      <c r="B3393" t="s">
        <v>18</v>
      </c>
      <c r="C3393" t="s">
        <v>19</v>
      </c>
      <c r="D3393" t="s">
        <v>19</v>
      </c>
      <c r="E3393">
        <v>0</v>
      </c>
      <c r="F3393">
        <v>112500</v>
      </c>
      <c r="G3393" t="s">
        <v>31</v>
      </c>
      <c r="H3393" t="s">
        <v>22</v>
      </c>
      <c r="I3393" t="s">
        <v>23</v>
      </c>
      <c r="J3393" t="s">
        <v>24</v>
      </c>
      <c r="K3393" s="6">
        <f t="shared" ca="1" si="216"/>
        <v>28593</v>
      </c>
      <c r="L3393">
        <v>-17168</v>
      </c>
      <c r="M3393" s="7">
        <f t="shared" ca="1" si="214"/>
        <v>47.003422313483917</v>
      </c>
      <c r="N3393" s="5" t="str">
        <f ca="1">VLOOKUP(Data!M3393,temp!$B$3:$C$9,2,1)</f>
        <v>40-50</v>
      </c>
      <c r="O3393">
        <v>-2446</v>
      </c>
      <c r="P3393" s="8">
        <f t="shared" si="215"/>
        <v>6.6967830253251197</v>
      </c>
      <c r="Q3393" s="5" t="str">
        <f t="shared" si="217"/>
        <v>Employed</v>
      </c>
      <c r="R3393">
        <v>1</v>
      </c>
      <c r="S3393">
        <v>1</v>
      </c>
      <c r="T3393">
        <v>0</v>
      </c>
      <c r="U3393">
        <v>0</v>
      </c>
      <c r="V3393" t="s">
        <v>39</v>
      </c>
      <c r="W3393">
        <v>1</v>
      </c>
    </row>
    <row r="3394" spans="1:23" x14ac:dyDescent="0.2">
      <c r="A3394">
        <v>5114060</v>
      </c>
      <c r="B3394" t="s">
        <v>25</v>
      </c>
      <c r="C3394" t="s">
        <v>20</v>
      </c>
      <c r="D3394" t="s">
        <v>19</v>
      </c>
      <c r="E3394">
        <v>1</v>
      </c>
      <c r="F3394">
        <v>193500</v>
      </c>
      <c r="G3394" t="s">
        <v>31</v>
      </c>
      <c r="H3394" t="s">
        <v>22</v>
      </c>
      <c r="I3394" t="s">
        <v>28</v>
      </c>
      <c r="J3394" t="s">
        <v>24</v>
      </c>
      <c r="K3394" s="6">
        <f t="shared" ca="1" si="216"/>
        <v>27829</v>
      </c>
      <c r="L3394">
        <v>-17932</v>
      </c>
      <c r="M3394" s="7">
        <f t="shared" ca="1" si="214"/>
        <v>49.095140314852841</v>
      </c>
      <c r="N3394" s="5" t="str">
        <f ca="1">VLOOKUP(Data!M3394,temp!$B$3:$C$9,2,1)</f>
        <v>40-50</v>
      </c>
      <c r="O3394">
        <v>-3999</v>
      </c>
      <c r="P3394" s="8">
        <f t="shared" si="215"/>
        <v>10.948665297741274</v>
      </c>
      <c r="Q3394" s="5" t="str">
        <f t="shared" si="217"/>
        <v>Employed</v>
      </c>
      <c r="R3394">
        <v>1</v>
      </c>
      <c r="S3394">
        <v>1</v>
      </c>
      <c r="T3394">
        <v>1</v>
      </c>
      <c r="U3394">
        <v>0</v>
      </c>
      <c r="W3394">
        <v>3</v>
      </c>
    </row>
    <row r="3395" spans="1:23" x14ac:dyDescent="0.2">
      <c r="A3395">
        <v>5114061</v>
      </c>
      <c r="B3395" t="s">
        <v>25</v>
      </c>
      <c r="C3395" t="s">
        <v>20</v>
      </c>
      <c r="D3395" t="s">
        <v>19</v>
      </c>
      <c r="E3395">
        <v>1</v>
      </c>
      <c r="F3395">
        <v>193500</v>
      </c>
      <c r="G3395" t="s">
        <v>31</v>
      </c>
      <c r="H3395" t="s">
        <v>22</v>
      </c>
      <c r="I3395" t="s">
        <v>28</v>
      </c>
      <c r="J3395" t="s">
        <v>24</v>
      </c>
      <c r="K3395" s="6">
        <f t="shared" ca="1" si="216"/>
        <v>27829</v>
      </c>
      <c r="L3395">
        <v>-17932</v>
      </c>
      <c r="M3395" s="7">
        <f t="shared" ref="M3395:M3458" ca="1" si="218">(TODAY()-K3395)/365.25</f>
        <v>49.095140314852841</v>
      </c>
      <c r="N3395" s="5" t="str">
        <f ca="1">VLOOKUP(Data!M3395,temp!$B$3:$C$9,2,1)</f>
        <v>40-50</v>
      </c>
      <c r="O3395">
        <v>-3999</v>
      </c>
      <c r="P3395" s="8">
        <f t="shared" ref="P3395:P3458" si="219">IF(O3395&lt;=0,ABS(O3395)/365.25,0)</f>
        <v>10.948665297741274</v>
      </c>
      <c r="Q3395" s="5" t="str">
        <f t="shared" si="217"/>
        <v>Employed</v>
      </c>
      <c r="R3395">
        <v>1</v>
      </c>
      <c r="S3395">
        <v>1</v>
      </c>
      <c r="T3395">
        <v>1</v>
      </c>
      <c r="U3395">
        <v>0</v>
      </c>
      <c r="W3395">
        <v>3</v>
      </c>
    </row>
    <row r="3396" spans="1:23" x14ac:dyDescent="0.2">
      <c r="A3396">
        <v>5114065</v>
      </c>
      <c r="B3396" t="s">
        <v>25</v>
      </c>
      <c r="C3396" t="s">
        <v>19</v>
      </c>
      <c r="D3396" t="s">
        <v>19</v>
      </c>
      <c r="E3396">
        <v>0</v>
      </c>
      <c r="F3396">
        <v>180000</v>
      </c>
      <c r="G3396" t="s">
        <v>35</v>
      </c>
      <c r="H3396" t="s">
        <v>27</v>
      </c>
      <c r="I3396" t="s">
        <v>28</v>
      </c>
      <c r="J3396" t="s">
        <v>24</v>
      </c>
      <c r="K3396" s="6">
        <f t="shared" ca="1" si="216"/>
        <v>31422</v>
      </c>
      <c r="L3396">
        <v>-14339</v>
      </c>
      <c r="M3396" s="7">
        <f t="shared" ca="1" si="218"/>
        <v>39.258042436687198</v>
      </c>
      <c r="N3396" s="5" t="str">
        <f ca="1">VLOOKUP(Data!M3396,temp!$B$3:$C$9,2,1)</f>
        <v>30-40</v>
      </c>
      <c r="O3396">
        <v>-316</v>
      </c>
      <c r="P3396" s="8">
        <f t="shared" si="219"/>
        <v>0.86516084873374399</v>
      </c>
      <c r="Q3396" s="5" t="str">
        <f t="shared" si="217"/>
        <v>Employed</v>
      </c>
      <c r="R3396">
        <v>1</v>
      </c>
      <c r="S3396">
        <v>1</v>
      </c>
      <c r="T3396">
        <v>0</v>
      </c>
      <c r="U3396">
        <v>0</v>
      </c>
      <c r="V3396" t="s">
        <v>38</v>
      </c>
      <c r="W3396">
        <v>2</v>
      </c>
    </row>
    <row r="3397" spans="1:23" x14ac:dyDescent="0.2">
      <c r="A3397">
        <v>5114069</v>
      </c>
      <c r="B3397" t="s">
        <v>25</v>
      </c>
      <c r="C3397" t="s">
        <v>19</v>
      </c>
      <c r="D3397" t="s">
        <v>19</v>
      </c>
      <c r="E3397">
        <v>0</v>
      </c>
      <c r="F3397">
        <v>180000</v>
      </c>
      <c r="G3397" t="s">
        <v>35</v>
      </c>
      <c r="H3397" t="s">
        <v>27</v>
      </c>
      <c r="I3397" t="s">
        <v>28</v>
      </c>
      <c r="J3397" t="s">
        <v>24</v>
      </c>
      <c r="K3397" s="6">
        <f t="shared" ca="1" si="216"/>
        <v>31422</v>
      </c>
      <c r="L3397">
        <v>-14339</v>
      </c>
      <c r="M3397" s="7">
        <f t="shared" ca="1" si="218"/>
        <v>39.258042436687198</v>
      </c>
      <c r="N3397" s="5" t="str">
        <f ca="1">VLOOKUP(Data!M3397,temp!$B$3:$C$9,2,1)</f>
        <v>30-40</v>
      </c>
      <c r="O3397">
        <v>-316</v>
      </c>
      <c r="P3397" s="8">
        <f t="shared" si="219"/>
        <v>0.86516084873374399</v>
      </c>
      <c r="Q3397" s="5" t="str">
        <f t="shared" si="217"/>
        <v>Employed</v>
      </c>
      <c r="R3397">
        <v>1</v>
      </c>
      <c r="S3397">
        <v>1</v>
      </c>
      <c r="T3397">
        <v>0</v>
      </c>
      <c r="U3397">
        <v>0</v>
      </c>
      <c r="V3397" t="s">
        <v>38</v>
      </c>
      <c r="W3397">
        <v>2</v>
      </c>
    </row>
    <row r="3398" spans="1:23" x14ac:dyDescent="0.2">
      <c r="A3398">
        <v>5114092</v>
      </c>
      <c r="B3398" t="s">
        <v>25</v>
      </c>
      <c r="C3398" t="s">
        <v>20</v>
      </c>
      <c r="D3398" t="s">
        <v>19</v>
      </c>
      <c r="E3398">
        <v>0</v>
      </c>
      <c r="F3398">
        <v>135000</v>
      </c>
      <c r="G3398" t="s">
        <v>31</v>
      </c>
      <c r="H3398" t="s">
        <v>51</v>
      </c>
      <c r="I3398" t="s">
        <v>28</v>
      </c>
      <c r="J3398" t="s">
        <v>43</v>
      </c>
      <c r="K3398" s="6">
        <f t="shared" ca="1" si="216"/>
        <v>32520</v>
      </c>
      <c r="L3398">
        <v>-13241</v>
      </c>
      <c r="M3398" s="7">
        <f t="shared" ca="1" si="218"/>
        <v>36.251882272416154</v>
      </c>
      <c r="N3398" s="5" t="str">
        <f ca="1">VLOOKUP(Data!M3398,temp!$B$3:$C$9,2,1)</f>
        <v>30-40</v>
      </c>
      <c r="O3398">
        <v>-436</v>
      </c>
      <c r="P3398" s="8">
        <f t="shared" si="219"/>
        <v>1.1937029431895962</v>
      </c>
      <c r="Q3398" s="5" t="str">
        <f t="shared" si="217"/>
        <v>Employed</v>
      </c>
      <c r="R3398">
        <v>1</v>
      </c>
      <c r="S3398">
        <v>1</v>
      </c>
      <c r="T3398">
        <v>1</v>
      </c>
      <c r="U3398">
        <v>0</v>
      </c>
      <c r="V3398" t="s">
        <v>29</v>
      </c>
      <c r="W3398">
        <v>2</v>
      </c>
    </row>
    <row r="3399" spans="1:23" x14ac:dyDescent="0.2">
      <c r="A3399">
        <v>5114108</v>
      </c>
      <c r="B3399" t="s">
        <v>18</v>
      </c>
      <c r="C3399" t="s">
        <v>19</v>
      </c>
      <c r="D3399" t="s">
        <v>19</v>
      </c>
      <c r="E3399">
        <v>0</v>
      </c>
      <c r="F3399">
        <v>225000</v>
      </c>
      <c r="G3399" t="s">
        <v>26</v>
      </c>
      <c r="H3399" t="s">
        <v>27</v>
      </c>
      <c r="I3399" t="s">
        <v>28</v>
      </c>
      <c r="J3399" t="s">
        <v>24</v>
      </c>
      <c r="K3399" s="6">
        <f t="shared" ca="1" si="216"/>
        <v>30406</v>
      </c>
      <c r="L3399">
        <v>-15355</v>
      </c>
      <c r="M3399" s="7">
        <f t="shared" ca="1" si="218"/>
        <v>42.039698836413415</v>
      </c>
      <c r="N3399" s="5" t="str">
        <f ca="1">VLOOKUP(Data!M3399,temp!$B$3:$C$9,2,1)</f>
        <v>40-50</v>
      </c>
      <c r="O3399">
        <v>-3999</v>
      </c>
      <c r="P3399" s="8">
        <f t="shared" si="219"/>
        <v>10.948665297741274</v>
      </c>
      <c r="Q3399" s="5" t="str">
        <f t="shared" si="217"/>
        <v>Employed</v>
      </c>
      <c r="R3399">
        <v>1</v>
      </c>
      <c r="S3399">
        <v>0</v>
      </c>
      <c r="T3399">
        <v>1</v>
      </c>
      <c r="U3399">
        <v>0</v>
      </c>
      <c r="V3399" t="s">
        <v>39</v>
      </c>
      <c r="W3399">
        <v>2</v>
      </c>
    </row>
    <row r="3400" spans="1:23" x14ac:dyDescent="0.2">
      <c r="A3400">
        <v>5114130</v>
      </c>
      <c r="B3400" t="s">
        <v>18</v>
      </c>
      <c r="C3400" t="s">
        <v>19</v>
      </c>
      <c r="D3400" t="s">
        <v>19</v>
      </c>
      <c r="E3400">
        <v>0</v>
      </c>
      <c r="F3400">
        <v>135000</v>
      </c>
      <c r="G3400" t="s">
        <v>35</v>
      </c>
      <c r="H3400" t="s">
        <v>27</v>
      </c>
      <c r="I3400" t="s">
        <v>28</v>
      </c>
      <c r="J3400" t="s">
        <v>24</v>
      </c>
      <c r="K3400" s="6">
        <f t="shared" ref="K3400:K3463" ca="1" si="220">TODAY()+($L3400)</f>
        <v>24886</v>
      </c>
      <c r="L3400">
        <v>-20875</v>
      </c>
      <c r="M3400" s="7">
        <f t="shared" ca="1" si="218"/>
        <v>57.152635181382614</v>
      </c>
      <c r="N3400" s="5" t="str">
        <f ca="1">VLOOKUP(Data!M3400,temp!$B$3:$C$9,2,1)</f>
        <v>50-60</v>
      </c>
      <c r="O3400">
        <v>-3785</v>
      </c>
      <c r="P3400" s="8">
        <f t="shared" si="219"/>
        <v>10.362765229295004</v>
      </c>
      <c r="Q3400" s="5" t="str">
        <f t="shared" ref="Q3400:Q3463" si="221">IF($O3400&gt;0,"Unemployed","Employed")</f>
        <v>Employed</v>
      </c>
      <c r="R3400">
        <v>1</v>
      </c>
      <c r="S3400">
        <v>0</v>
      </c>
      <c r="T3400">
        <v>0</v>
      </c>
      <c r="U3400">
        <v>0</v>
      </c>
      <c r="V3400" t="s">
        <v>47</v>
      </c>
      <c r="W3400">
        <v>2</v>
      </c>
    </row>
    <row r="3401" spans="1:23" x14ac:dyDescent="0.2">
      <c r="A3401">
        <v>5114135</v>
      </c>
      <c r="B3401" t="s">
        <v>18</v>
      </c>
      <c r="C3401" t="s">
        <v>19</v>
      </c>
      <c r="D3401" t="s">
        <v>19</v>
      </c>
      <c r="E3401">
        <v>0</v>
      </c>
      <c r="F3401">
        <v>135000</v>
      </c>
      <c r="G3401" t="s">
        <v>35</v>
      </c>
      <c r="H3401" t="s">
        <v>27</v>
      </c>
      <c r="I3401" t="s">
        <v>28</v>
      </c>
      <c r="J3401" t="s">
        <v>24</v>
      </c>
      <c r="K3401" s="6">
        <f t="shared" ca="1" si="220"/>
        <v>24886</v>
      </c>
      <c r="L3401">
        <v>-20875</v>
      </c>
      <c r="M3401" s="7">
        <f t="shared" ca="1" si="218"/>
        <v>57.152635181382614</v>
      </c>
      <c r="N3401" s="5" t="str">
        <f ca="1">VLOOKUP(Data!M3401,temp!$B$3:$C$9,2,1)</f>
        <v>50-60</v>
      </c>
      <c r="O3401">
        <v>-3785</v>
      </c>
      <c r="P3401" s="8">
        <f t="shared" si="219"/>
        <v>10.362765229295004</v>
      </c>
      <c r="Q3401" s="5" t="str">
        <f t="shared" si="221"/>
        <v>Employed</v>
      </c>
      <c r="R3401">
        <v>1</v>
      </c>
      <c r="S3401">
        <v>0</v>
      </c>
      <c r="T3401">
        <v>0</v>
      </c>
      <c r="U3401">
        <v>0</v>
      </c>
      <c r="V3401" t="s">
        <v>47</v>
      </c>
      <c r="W3401">
        <v>2</v>
      </c>
    </row>
    <row r="3402" spans="1:23" x14ac:dyDescent="0.2">
      <c r="A3402">
        <v>5114139</v>
      </c>
      <c r="B3402" t="s">
        <v>18</v>
      </c>
      <c r="C3402" t="s">
        <v>20</v>
      </c>
      <c r="D3402" t="s">
        <v>19</v>
      </c>
      <c r="E3402">
        <v>0</v>
      </c>
      <c r="F3402">
        <v>76500</v>
      </c>
      <c r="G3402" t="s">
        <v>21</v>
      </c>
      <c r="H3402" t="s">
        <v>27</v>
      </c>
      <c r="I3402" t="s">
        <v>28</v>
      </c>
      <c r="J3402" t="s">
        <v>24</v>
      </c>
      <c r="K3402" s="6">
        <f t="shared" ca="1" si="220"/>
        <v>25149</v>
      </c>
      <c r="L3402">
        <v>-20612</v>
      </c>
      <c r="M3402" s="7">
        <f t="shared" ca="1" si="218"/>
        <v>56.432580424366868</v>
      </c>
      <c r="N3402" s="5" t="str">
        <f ca="1">VLOOKUP(Data!M3402,temp!$B$3:$C$9,2,1)</f>
        <v>50-60</v>
      </c>
      <c r="O3402">
        <v>365243</v>
      </c>
      <c r="P3402" s="8">
        <f t="shared" si="219"/>
        <v>0</v>
      </c>
      <c r="Q3402" s="5" t="str">
        <f t="shared" si="221"/>
        <v>Unemployed</v>
      </c>
      <c r="R3402">
        <v>1</v>
      </c>
      <c r="S3402">
        <v>0</v>
      </c>
      <c r="T3402">
        <v>0</v>
      </c>
      <c r="U3402">
        <v>0</v>
      </c>
      <c r="W3402">
        <v>2</v>
      </c>
    </row>
    <row r="3403" spans="1:23" x14ac:dyDescent="0.2">
      <c r="A3403">
        <v>5114140</v>
      </c>
      <c r="B3403" t="s">
        <v>18</v>
      </c>
      <c r="C3403" t="s">
        <v>20</v>
      </c>
      <c r="D3403" t="s">
        <v>19</v>
      </c>
      <c r="E3403">
        <v>0</v>
      </c>
      <c r="F3403">
        <v>76500</v>
      </c>
      <c r="G3403" t="s">
        <v>21</v>
      </c>
      <c r="H3403" t="s">
        <v>27</v>
      </c>
      <c r="I3403" t="s">
        <v>28</v>
      </c>
      <c r="J3403" t="s">
        <v>24</v>
      </c>
      <c r="K3403" s="6">
        <f t="shared" ca="1" si="220"/>
        <v>25149</v>
      </c>
      <c r="L3403">
        <v>-20612</v>
      </c>
      <c r="M3403" s="7">
        <f t="shared" ca="1" si="218"/>
        <v>56.432580424366868</v>
      </c>
      <c r="N3403" s="5" t="str">
        <f ca="1">VLOOKUP(Data!M3403,temp!$B$3:$C$9,2,1)</f>
        <v>50-60</v>
      </c>
      <c r="O3403">
        <v>365243</v>
      </c>
      <c r="P3403" s="8">
        <f t="shared" si="219"/>
        <v>0</v>
      </c>
      <c r="Q3403" s="5" t="str">
        <f t="shared" si="221"/>
        <v>Unemployed</v>
      </c>
      <c r="R3403">
        <v>1</v>
      </c>
      <c r="S3403">
        <v>0</v>
      </c>
      <c r="T3403">
        <v>0</v>
      </c>
      <c r="U3403">
        <v>0</v>
      </c>
      <c r="W3403">
        <v>2</v>
      </c>
    </row>
    <row r="3404" spans="1:23" x14ac:dyDescent="0.2">
      <c r="A3404">
        <v>5114149</v>
      </c>
      <c r="B3404" t="s">
        <v>18</v>
      </c>
      <c r="C3404" t="s">
        <v>20</v>
      </c>
      <c r="D3404" t="s">
        <v>19</v>
      </c>
      <c r="E3404">
        <v>0</v>
      </c>
      <c r="F3404">
        <v>225000</v>
      </c>
      <c r="G3404" t="s">
        <v>31</v>
      </c>
      <c r="H3404" t="s">
        <v>22</v>
      </c>
      <c r="I3404" t="s">
        <v>28</v>
      </c>
      <c r="J3404" t="s">
        <v>24</v>
      </c>
      <c r="K3404" s="6">
        <f t="shared" ca="1" si="220"/>
        <v>30443</v>
      </c>
      <c r="L3404">
        <v>-15318</v>
      </c>
      <c r="M3404" s="7">
        <f t="shared" ca="1" si="218"/>
        <v>41.938398357289529</v>
      </c>
      <c r="N3404" s="5" t="str">
        <f ca="1">VLOOKUP(Data!M3404,temp!$B$3:$C$9,2,1)</f>
        <v>40-50</v>
      </c>
      <c r="O3404">
        <v>-5490</v>
      </c>
      <c r="P3404" s="8">
        <f t="shared" si="219"/>
        <v>15.030800821355236</v>
      </c>
      <c r="Q3404" s="5" t="str">
        <f t="shared" si="221"/>
        <v>Employed</v>
      </c>
      <c r="R3404">
        <v>1</v>
      </c>
      <c r="S3404">
        <v>0</v>
      </c>
      <c r="T3404">
        <v>0</v>
      </c>
      <c r="U3404">
        <v>0</v>
      </c>
      <c r="V3404" t="s">
        <v>44</v>
      </c>
      <c r="W3404">
        <v>2</v>
      </c>
    </row>
    <row r="3405" spans="1:23" x14ac:dyDescent="0.2">
      <c r="A3405">
        <v>5114155</v>
      </c>
      <c r="B3405" t="s">
        <v>18</v>
      </c>
      <c r="C3405" t="s">
        <v>20</v>
      </c>
      <c r="D3405" t="s">
        <v>19</v>
      </c>
      <c r="E3405">
        <v>0</v>
      </c>
      <c r="F3405">
        <v>225000</v>
      </c>
      <c r="G3405" t="s">
        <v>31</v>
      </c>
      <c r="H3405" t="s">
        <v>22</v>
      </c>
      <c r="I3405" t="s">
        <v>28</v>
      </c>
      <c r="J3405" t="s">
        <v>24</v>
      </c>
      <c r="K3405" s="6">
        <f t="shared" ca="1" si="220"/>
        <v>30443</v>
      </c>
      <c r="L3405">
        <v>-15318</v>
      </c>
      <c r="M3405" s="7">
        <f t="shared" ca="1" si="218"/>
        <v>41.938398357289529</v>
      </c>
      <c r="N3405" s="5" t="str">
        <f ca="1">VLOOKUP(Data!M3405,temp!$B$3:$C$9,2,1)</f>
        <v>40-50</v>
      </c>
      <c r="O3405">
        <v>-5490</v>
      </c>
      <c r="P3405" s="8">
        <f t="shared" si="219"/>
        <v>15.030800821355236</v>
      </c>
      <c r="Q3405" s="5" t="str">
        <f t="shared" si="221"/>
        <v>Employed</v>
      </c>
      <c r="R3405">
        <v>1</v>
      </c>
      <c r="S3405">
        <v>0</v>
      </c>
      <c r="T3405">
        <v>0</v>
      </c>
      <c r="U3405">
        <v>0</v>
      </c>
      <c r="V3405" t="s">
        <v>44</v>
      </c>
      <c r="W3405">
        <v>2</v>
      </c>
    </row>
    <row r="3406" spans="1:23" x14ac:dyDescent="0.2">
      <c r="A3406">
        <v>5114164</v>
      </c>
      <c r="B3406" t="s">
        <v>25</v>
      </c>
      <c r="C3406" t="s">
        <v>19</v>
      </c>
      <c r="D3406" t="s">
        <v>19</v>
      </c>
      <c r="E3406">
        <v>0</v>
      </c>
      <c r="F3406">
        <v>135000</v>
      </c>
      <c r="G3406" t="s">
        <v>31</v>
      </c>
      <c r="H3406" t="s">
        <v>22</v>
      </c>
      <c r="I3406" t="s">
        <v>33</v>
      </c>
      <c r="J3406" t="s">
        <v>41</v>
      </c>
      <c r="K3406" s="6">
        <f t="shared" ca="1" si="220"/>
        <v>35679</v>
      </c>
      <c r="L3406">
        <v>-10082</v>
      </c>
      <c r="M3406" s="7">
        <f t="shared" ca="1" si="218"/>
        <v>27.603011635865844</v>
      </c>
      <c r="N3406" s="5" t="str">
        <f ca="1">VLOOKUP(Data!M3406,temp!$B$3:$C$9,2,1)</f>
        <v>20-30</v>
      </c>
      <c r="O3406">
        <v>-528</v>
      </c>
      <c r="P3406" s="8">
        <f t="shared" si="219"/>
        <v>1.4455852156057496</v>
      </c>
      <c r="Q3406" s="5" t="str">
        <f t="shared" si="221"/>
        <v>Employed</v>
      </c>
      <c r="R3406">
        <v>1</v>
      </c>
      <c r="S3406">
        <v>1</v>
      </c>
      <c r="T3406">
        <v>1</v>
      </c>
      <c r="U3406">
        <v>0</v>
      </c>
      <c r="W3406">
        <v>1</v>
      </c>
    </row>
    <row r="3407" spans="1:23" x14ac:dyDescent="0.2">
      <c r="A3407">
        <v>5114175</v>
      </c>
      <c r="B3407" t="s">
        <v>25</v>
      </c>
      <c r="C3407" t="s">
        <v>20</v>
      </c>
      <c r="D3407" t="s">
        <v>19</v>
      </c>
      <c r="E3407">
        <v>1</v>
      </c>
      <c r="F3407">
        <v>171000</v>
      </c>
      <c r="G3407" t="s">
        <v>31</v>
      </c>
      <c r="H3407" t="s">
        <v>22</v>
      </c>
      <c r="I3407" t="s">
        <v>28</v>
      </c>
      <c r="J3407" t="s">
        <v>41</v>
      </c>
      <c r="K3407" s="6">
        <f t="shared" ca="1" si="220"/>
        <v>30341</v>
      </c>
      <c r="L3407">
        <v>-15420</v>
      </c>
      <c r="M3407" s="7">
        <f t="shared" ca="1" si="218"/>
        <v>42.217659137577002</v>
      </c>
      <c r="N3407" s="5" t="str">
        <f ca="1">VLOOKUP(Data!M3407,temp!$B$3:$C$9,2,1)</f>
        <v>40-50</v>
      </c>
      <c r="O3407">
        <v>-1563</v>
      </c>
      <c r="P3407" s="8">
        <f t="shared" si="219"/>
        <v>4.2792607802874745</v>
      </c>
      <c r="Q3407" s="5" t="str">
        <f t="shared" si="221"/>
        <v>Employed</v>
      </c>
      <c r="R3407">
        <v>1</v>
      </c>
      <c r="S3407">
        <v>0</v>
      </c>
      <c r="T3407">
        <v>0</v>
      </c>
      <c r="U3407">
        <v>0</v>
      </c>
      <c r="W3407">
        <v>3</v>
      </c>
    </row>
    <row r="3408" spans="1:23" x14ac:dyDescent="0.2">
      <c r="A3408">
        <v>5114207</v>
      </c>
      <c r="B3408" t="s">
        <v>25</v>
      </c>
      <c r="C3408" t="s">
        <v>20</v>
      </c>
      <c r="D3408" t="s">
        <v>19</v>
      </c>
      <c r="E3408">
        <v>2</v>
      </c>
      <c r="F3408">
        <v>225000</v>
      </c>
      <c r="G3408" t="s">
        <v>31</v>
      </c>
      <c r="H3408" t="s">
        <v>27</v>
      </c>
      <c r="I3408" t="s">
        <v>28</v>
      </c>
      <c r="J3408" t="s">
        <v>24</v>
      </c>
      <c r="K3408" s="6">
        <f t="shared" ca="1" si="220"/>
        <v>31625</v>
      </c>
      <c r="L3408">
        <v>-14136</v>
      </c>
      <c r="M3408" s="7">
        <f t="shared" ca="1" si="218"/>
        <v>38.702258726899387</v>
      </c>
      <c r="N3408" s="5" t="str">
        <f ca="1">VLOOKUP(Data!M3408,temp!$B$3:$C$9,2,1)</f>
        <v>30-40</v>
      </c>
      <c r="O3408">
        <v>-2628</v>
      </c>
      <c r="P3408" s="8">
        <f t="shared" si="219"/>
        <v>7.1950718685831623</v>
      </c>
      <c r="Q3408" s="5" t="str">
        <f t="shared" si="221"/>
        <v>Employed</v>
      </c>
      <c r="R3408">
        <v>1</v>
      </c>
      <c r="S3408">
        <v>1</v>
      </c>
      <c r="T3408">
        <v>0</v>
      </c>
      <c r="U3408">
        <v>0</v>
      </c>
      <c r="V3408" t="s">
        <v>32</v>
      </c>
      <c r="W3408">
        <v>4</v>
      </c>
    </row>
    <row r="3409" spans="1:23" x14ac:dyDescent="0.2">
      <c r="A3409">
        <v>5114214</v>
      </c>
      <c r="B3409" t="s">
        <v>25</v>
      </c>
      <c r="C3409" t="s">
        <v>20</v>
      </c>
      <c r="D3409" t="s">
        <v>19</v>
      </c>
      <c r="E3409">
        <v>2</v>
      </c>
      <c r="F3409">
        <v>225000</v>
      </c>
      <c r="G3409" t="s">
        <v>31</v>
      </c>
      <c r="H3409" t="s">
        <v>27</v>
      </c>
      <c r="I3409" t="s">
        <v>28</v>
      </c>
      <c r="J3409" t="s">
        <v>24</v>
      </c>
      <c r="K3409" s="6">
        <f t="shared" ca="1" si="220"/>
        <v>31625</v>
      </c>
      <c r="L3409">
        <v>-14136</v>
      </c>
      <c r="M3409" s="7">
        <f t="shared" ca="1" si="218"/>
        <v>38.702258726899387</v>
      </c>
      <c r="N3409" s="5" t="str">
        <f ca="1">VLOOKUP(Data!M3409,temp!$B$3:$C$9,2,1)</f>
        <v>30-40</v>
      </c>
      <c r="O3409">
        <v>-2628</v>
      </c>
      <c r="P3409" s="8">
        <f t="shared" si="219"/>
        <v>7.1950718685831623</v>
      </c>
      <c r="Q3409" s="5" t="str">
        <f t="shared" si="221"/>
        <v>Employed</v>
      </c>
      <c r="R3409">
        <v>1</v>
      </c>
      <c r="S3409">
        <v>1</v>
      </c>
      <c r="T3409">
        <v>0</v>
      </c>
      <c r="U3409">
        <v>0</v>
      </c>
      <c r="V3409" t="s">
        <v>32</v>
      </c>
      <c r="W3409">
        <v>4</v>
      </c>
    </row>
    <row r="3410" spans="1:23" x14ac:dyDescent="0.2">
      <c r="A3410">
        <v>5114252</v>
      </c>
      <c r="B3410" t="s">
        <v>25</v>
      </c>
      <c r="C3410" t="s">
        <v>19</v>
      </c>
      <c r="D3410" t="s">
        <v>19</v>
      </c>
      <c r="E3410">
        <v>1</v>
      </c>
      <c r="F3410">
        <v>130500</v>
      </c>
      <c r="G3410" t="s">
        <v>31</v>
      </c>
      <c r="H3410" t="s">
        <v>36</v>
      </c>
      <c r="I3410" t="s">
        <v>28</v>
      </c>
      <c r="J3410" t="s">
        <v>34</v>
      </c>
      <c r="K3410" s="6">
        <f t="shared" ca="1" si="220"/>
        <v>34430</v>
      </c>
      <c r="L3410">
        <v>-11331</v>
      </c>
      <c r="M3410" s="7">
        <f t="shared" ca="1" si="218"/>
        <v>31.022587268993838</v>
      </c>
      <c r="N3410" s="5" t="str">
        <f ca="1">VLOOKUP(Data!M3410,temp!$B$3:$C$9,2,1)</f>
        <v>30-40</v>
      </c>
      <c r="O3410">
        <v>-1808</v>
      </c>
      <c r="P3410" s="8">
        <f t="shared" si="219"/>
        <v>4.9500342231348391</v>
      </c>
      <c r="Q3410" s="5" t="str">
        <f t="shared" si="221"/>
        <v>Employed</v>
      </c>
      <c r="R3410">
        <v>1</v>
      </c>
      <c r="S3410">
        <v>1</v>
      </c>
      <c r="T3410">
        <v>1</v>
      </c>
      <c r="U3410">
        <v>0</v>
      </c>
      <c r="W3410">
        <v>3</v>
      </c>
    </row>
    <row r="3411" spans="1:23" x14ac:dyDescent="0.2">
      <c r="A3411">
        <v>5114254</v>
      </c>
      <c r="B3411" t="s">
        <v>25</v>
      </c>
      <c r="C3411" t="s">
        <v>19</v>
      </c>
      <c r="D3411" t="s">
        <v>19</v>
      </c>
      <c r="E3411">
        <v>1</v>
      </c>
      <c r="F3411">
        <v>130500</v>
      </c>
      <c r="G3411" t="s">
        <v>31</v>
      </c>
      <c r="H3411" t="s">
        <v>36</v>
      </c>
      <c r="I3411" t="s">
        <v>28</v>
      </c>
      <c r="J3411" t="s">
        <v>34</v>
      </c>
      <c r="K3411" s="6">
        <f t="shared" ca="1" si="220"/>
        <v>34430</v>
      </c>
      <c r="L3411">
        <v>-11331</v>
      </c>
      <c r="M3411" s="7">
        <f t="shared" ca="1" si="218"/>
        <v>31.022587268993838</v>
      </c>
      <c r="N3411" s="5" t="str">
        <f ca="1">VLOOKUP(Data!M3411,temp!$B$3:$C$9,2,1)</f>
        <v>30-40</v>
      </c>
      <c r="O3411">
        <v>-1808</v>
      </c>
      <c r="P3411" s="8">
        <f t="shared" si="219"/>
        <v>4.9500342231348391</v>
      </c>
      <c r="Q3411" s="5" t="str">
        <f t="shared" si="221"/>
        <v>Employed</v>
      </c>
      <c r="R3411">
        <v>1</v>
      </c>
      <c r="S3411">
        <v>1</v>
      </c>
      <c r="T3411">
        <v>1</v>
      </c>
      <c r="U3411">
        <v>0</v>
      </c>
      <c r="W3411">
        <v>3</v>
      </c>
    </row>
    <row r="3412" spans="1:23" x14ac:dyDescent="0.2">
      <c r="A3412">
        <v>5114257</v>
      </c>
      <c r="B3412" t="s">
        <v>25</v>
      </c>
      <c r="C3412" t="s">
        <v>20</v>
      </c>
      <c r="D3412" t="s">
        <v>19</v>
      </c>
      <c r="E3412">
        <v>0</v>
      </c>
      <c r="F3412">
        <v>765000</v>
      </c>
      <c r="G3412" t="s">
        <v>31</v>
      </c>
      <c r="H3412" t="s">
        <v>22</v>
      </c>
      <c r="I3412" t="s">
        <v>28</v>
      </c>
      <c r="J3412" t="s">
        <v>24</v>
      </c>
      <c r="K3412" s="6">
        <f t="shared" ca="1" si="220"/>
        <v>29258</v>
      </c>
      <c r="L3412">
        <v>-16503</v>
      </c>
      <c r="M3412" s="7">
        <f t="shared" ca="1" si="218"/>
        <v>45.182751540041068</v>
      </c>
      <c r="N3412" s="5" t="str">
        <f ca="1">VLOOKUP(Data!M3412,temp!$B$3:$C$9,2,1)</f>
        <v>40-50</v>
      </c>
      <c r="O3412">
        <v>-1138</v>
      </c>
      <c r="P3412" s="8">
        <f t="shared" si="219"/>
        <v>3.1156741957563314</v>
      </c>
      <c r="Q3412" s="5" t="str">
        <f t="shared" si="221"/>
        <v>Employed</v>
      </c>
      <c r="R3412">
        <v>1</v>
      </c>
      <c r="S3412">
        <v>0</v>
      </c>
      <c r="T3412">
        <v>1</v>
      </c>
      <c r="U3412">
        <v>0</v>
      </c>
      <c r="V3412" t="s">
        <v>32</v>
      </c>
      <c r="W3412">
        <v>2</v>
      </c>
    </row>
    <row r="3413" spans="1:23" x14ac:dyDescent="0.2">
      <c r="A3413">
        <v>5114262</v>
      </c>
      <c r="B3413" t="s">
        <v>25</v>
      </c>
      <c r="C3413" t="s">
        <v>20</v>
      </c>
      <c r="D3413" t="s">
        <v>19</v>
      </c>
      <c r="E3413">
        <v>0</v>
      </c>
      <c r="F3413">
        <v>765000</v>
      </c>
      <c r="G3413" t="s">
        <v>31</v>
      </c>
      <c r="H3413" t="s">
        <v>22</v>
      </c>
      <c r="I3413" t="s">
        <v>28</v>
      </c>
      <c r="J3413" t="s">
        <v>24</v>
      </c>
      <c r="K3413" s="6">
        <f t="shared" ca="1" si="220"/>
        <v>29258</v>
      </c>
      <c r="L3413">
        <v>-16503</v>
      </c>
      <c r="M3413" s="7">
        <f t="shared" ca="1" si="218"/>
        <v>45.182751540041068</v>
      </c>
      <c r="N3413" s="5" t="str">
        <f ca="1">VLOOKUP(Data!M3413,temp!$B$3:$C$9,2,1)</f>
        <v>40-50</v>
      </c>
      <c r="O3413">
        <v>-1138</v>
      </c>
      <c r="P3413" s="8">
        <f t="shared" si="219"/>
        <v>3.1156741957563314</v>
      </c>
      <c r="Q3413" s="5" t="str">
        <f t="shared" si="221"/>
        <v>Employed</v>
      </c>
      <c r="R3413">
        <v>1</v>
      </c>
      <c r="S3413">
        <v>0</v>
      </c>
      <c r="T3413">
        <v>1</v>
      </c>
      <c r="U3413">
        <v>0</v>
      </c>
      <c r="V3413" t="s">
        <v>32</v>
      </c>
      <c r="W3413">
        <v>2</v>
      </c>
    </row>
    <row r="3414" spans="1:23" x14ac:dyDescent="0.2">
      <c r="A3414">
        <v>5114270</v>
      </c>
      <c r="B3414" t="s">
        <v>18</v>
      </c>
      <c r="C3414" t="s">
        <v>19</v>
      </c>
      <c r="D3414" t="s">
        <v>19</v>
      </c>
      <c r="E3414">
        <v>1</v>
      </c>
      <c r="F3414">
        <v>112500</v>
      </c>
      <c r="G3414" t="s">
        <v>31</v>
      </c>
      <c r="H3414" t="s">
        <v>27</v>
      </c>
      <c r="I3414" t="s">
        <v>28</v>
      </c>
      <c r="J3414" t="s">
        <v>24</v>
      </c>
      <c r="K3414" s="6">
        <f t="shared" ca="1" si="220"/>
        <v>33337</v>
      </c>
      <c r="L3414">
        <v>-12424</v>
      </c>
      <c r="M3414" s="7">
        <f t="shared" ca="1" si="218"/>
        <v>34.015058179329223</v>
      </c>
      <c r="N3414" s="5" t="str">
        <f ca="1">VLOOKUP(Data!M3414,temp!$B$3:$C$9,2,1)</f>
        <v>30-40</v>
      </c>
      <c r="O3414">
        <v>-1716</v>
      </c>
      <c r="P3414" s="8">
        <f t="shared" si="219"/>
        <v>4.6981519507186862</v>
      </c>
      <c r="Q3414" s="5" t="str">
        <f t="shared" si="221"/>
        <v>Employed</v>
      </c>
      <c r="R3414">
        <v>1</v>
      </c>
      <c r="S3414">
        <v>0</v>
      </c>
      <c r="T3414">
        <v>0</v>
      </c>
      <c r="U3414">
        <v>0</v>
      </c>
      <c r="V3414" t="s">
        <v>55</v>
      </c>
      <c r="W3414">
        <v>3</v>
      </c>
    </row>
    <row r="3415" spans="1:23" x14ac:dyDescent="0.2">
      <c r="A3415">
        <v>5114272</v>
      </c>
      <c r="B3415" t="s">
        <v>18</v>
      </c>
      <c r="C3415" t="s">
        <v>19</v>
      </c>
      <c r="D3415" t="s">
        <v>19</v>
      </c>
      <c r="E3415">
        <v>1</v>
      </c>
      <c r="F3415">
        <v>112500</v>
      </c>
      <c r="G3415" t="s">
        <v>31</v>
      </c>
      <c r="H3415" t="s">
        <v>27</v>
      </c>
      <c r="I3415" t="s">
        <v>28</v>
      </c>
      <c r="J3415" t="s">
        <v>24</v>
      </c>
      <c r="K3415" s="6">
        <f t="shared" ca="1" si="220"/>
        <v>33337</v>
      </c>
      <c r="L3415">
        <v>-12424</v>
      </c>
      <c r="M3415" s="7">
        <f t="shared" ca="1" si="218"/>
        <v>34.015058179329223</v>
      </c>
      <c r="N3415" s="5" t="str">
        <f ca="1">VLOOKUP(Data!M3415,temp!$B$3:$C$9,2,1)</f>
        <v>30-40</v>
      </c>
      <c r="O3415">
        <v>-1716</v>
      </c>
      <c r="P3415" s="8">
        <f t="shared" si="219"/>
        <v>4.6981519507186862</v>
      </c>
      <c r="Q3415" s="5" t="str">
        <f t="shared" si="221"/>
        <v>Employed</v>
      </c>
      <c r="R3415">
        <v>1</v>
      </c>
      <c r="S3415">
        <v>0</v>
      </c>
      <c r="T3415">
        <v>0</v>
      </c>
      <c r="U3415">
        <v>0</v>
      </c>
      <c r="V3415" t="s">
        <v>55</v>
      </c>
      <c r="W3415">
        <v>3</v>
      </c>
    </row>
    <row r="3416" spans="1:23" x14ac:dyDescent="0.2">
      <c r="A3416">
        <v>5114278</v>
      </c>
      <c r="B3416" t="s">
        <v>18</v>
      </c>
      <c r="C3416" t="s">
        <v>19</v>
      </c>
      <c r="D3416" t="s">
        <v>19</v>
      </c>
      <c r="E3416">
        <v>0</v>
      </c>
      <c r="F3416">
        <v>144000</v>
      </c>
      <c r="G3416" t="s">
        <v>21</v>
      </c>
      <c r="H3416" t="s">
        <v>27</v>
      </c>
      <c r="I3416" t="s">
        <v>28</v>
      </c>
      <c r="J3416" t="s">
        <v>24</v>
      </c>
      <c r="K3416" s="6">
        <f t="shared" ca="1" si="220"/>
        <v>25721</v>
      </c>
      <c r="L3416">
        <v>-20040</v>
      </c>
      <c r="M3416" s="7">
        <f t="shared" ca="1" si="218"/>
        <v>54.866529774127308</v>
      </c>
      <c r="N3416" s="5" t="str">
        <f ca="1">VLOOKUP(Data!M3416,temp!$B$3:$C$9,2,1)</f>
        <v>50-60</v>
      </c>
      <c r="O3416">
        <v>365243</v>
      </c>
      <c r="P3416" s="8">
        <f t="shared" si="219"/>
        <v>0</v>
      </c>
      <c r="Q3416" s="5" t="str">
        <f t="shared" si="221"/>
        <v>Unemployed</v>
      </c>
      <c r="R3416">
        <v>1</v>
      </c>
      <c r="S3416">
        <v>0</v>
      </c>
      <c r="T3416">
        <v>0</v>
      </c>
      <c r="U3416">
        <v>0</v>
      </c>
      <c r="W3416">
        <v>2</v>
      </c>
    </row>
    <row r="3417" spans="1:23" x14ac:dyDescent="0.2">
      <c r="A3417">
        <v>5114283</v>
      </c>
      <c r="B3417" t="s">
        <v>25</v>
      </c>
      <c r="C3417" t="s">
        <v>19</v>
      </c>
      <c r="D3417" t="s">
        <v>19</v>
      </c>
      <c r="E3417">
        <v>1</v>
      </c>
      <c r="F3417">
        <v>189000</v>
      </c>
      <c r="G3417" t="s">
        <v>31</v>
      </c>
      <c r="H3417" t="s">
        <v>27</v>
      </c>
      <c r="I3417" t="s">
        <v>28</v>
      </c>
      <c r="J3417" t="s">
        <v>24</v>
      </c>
      <c r="K3417" s="6">
        <f t="shared" ca="1" si="220"/>
        <v>36795</v>
      </c>
      <c r="L3417">
        <v>-8966</v>
      </c>
      <c r="M3417" s="7">
        <f t="shared" ca="1" si="218"/>
        <v>24.547570157426421</v>
      </c>
      <c r="N3417" s="5" t="str">
        <f ca="1">VLOOKUP(Data!M3417,temp!$B$3:$C$9,2,1)</f>
        <v>20-30</v>
      </c>
      <c r="O3417">
        <v>-985</v>
      </c>
      <c r="P3417" s="8">
        <f t="shared" si="219"/>
        <v>2.6967830253251197</v>
      </c>
      <c r="Q3417" s="5" t="str">
        <f t="shared" si="221"/>
        <v>Employed</v>
      </c>
      <c r="R3417">
        <v>1</v>
      </c>
      <c r="S3417">
        <v>1</v>
      </c>
      <c r="T3417">
        <v>0</v>
      </c>
      <c r="U3417">
        <v>0</v>
      </c>
      <c r="V3417" t="s">
        <v>30</v>
      </c>
      <c r="W3417">
        <v>3</v>
      </c>
    </row>
    <row r="3418" spans="1:23" x14ac:dyDescent="0.2">
      <c r="A3418">
        <v>5114315</v>
      </c>
      <c r="B3418" t="s">
        <v>18</v>
      </c>
      <c r="C3418" t="s">
        <v>19</v>
      </c>
      <c r="D3418" t="s">
        <v>19</v>
      </c>
      <c r="E3418">
        <v>0</v>
      </c>
      <c r="F3418">
        <v>216000</v>
      </c>
      <c r="G3418" t="s">
        <v>35</v>
      </c>
      <c r="H3418" t="s">
        <v>22</v>
      </c>
      <c r="I3418" t="s">
        <v>42</v>
      </c>
      <c r="J3418" t="s">
        <v>24</v>
      </c>
      <c r="K3418" s="6">
        <f t="shared" ca="1" si="220"/>
        <v>27353</v>
      </c>
      <c r="L3418">
        <v>-18408</v>
      </c>
      <c r="M3418" s="7">
        <f t="shared" ca="1" si="218"/>
        <v>50.398357289527723</v>
      </c>
      <c r="N3418" s="5" t="str">
        <f ca="1">VLOOKUP(Data!M3418,temp!$B$3:$C$9,2,1)</f>
        <v>50-60</v>
      </c>
      <c r="O3418">
        <v>-4242</v>
      </c>
      <c r="P3418" s="8">
        <f t="shared" si="219"/>
        <v>11.613963039014374</v>
      </c>
      <c r="Q3418" s="5" t="str">
        <f t="shared" si="221"/>
        <v>Employed</v>
      </c>
      <c r="R3418">
        <v>1</v>
      </c>
      <c r="S3418">
        <v>0</v>
      </c>
      <c r="T3418">
        <v>1</v>
      </c>
      <c r="U3418">
        <v>0</v>
      </c>
      <c r="V3418" t="s">
        <v>38</v>
      </c>
      <c r="W3418">
        <v>1</v>
      </c>
    </row>
    <row r="3419" spans="1:23" x14ac:dyDescent="0.2">
      <c r="A3419">
        <v>5114316</v>
      </c>
      <c r="B3419" t="s">
        <v>18</v>
      </c>
      <c r="C3419" t="s">
        <v>19</v>
      </c>
      <c r="D3419" t="s">
        <v>19</v>
      </c>
      <c r="E3419">
        <v>0</v>
      </c>
      <c r="F3419">
        <v>216000</v>
      </c>
      <c r="G3419" t="s">
        <v>35</v>
      </c>
      <c r="H3419" t="s">
        <v>22</v>
      </c>
      <c r="I3419" t="s">
        <v>42</v>
      </c>
      <c r="J3419" t="s">
        <v>24</v>
      </c>
      <c r="K3419" s="6">
        <f t="shared" ca="1" si="220"/>
        <v>27353</v>
      </c>
      <c r="L3419">
        <v>-18408</v>
      </c>
      <c r="M3419" s="7">
        <f t="shared" ca="1" si="218"/>
        <v>50.398357289527723</v>
      </c>
      <c r="N3419" s="5" t="str">
        <f ca="1">VLOOKUP(Data!M3419,temp!$B$3:$C$9,2,1)</f>
        <v>50-60</v>
      </c>
      <c r="O3419">
        <v>-4242</v>
      </c>
      <c r="P3419" s="8">
        <f t="shared" si="219"/>
        <v>11.613963039014374</v>
      </c>
      <c r="Q3419" s="5" t="str">
        <f t="shared" si="221"/>
        <v>Employed</v>
      </c>
      <c r="R3419">
        <v>1</v>
      </c>
      <c r="S3419">
        <v>0</v>
      </c>
      <c r="T3419">
        <v>1</v>
      </c>
      <c r="U3419">
        <v>0</v>
      </c>
      <c r="V3419" t="s">
        <v>38</v>
      </c>
      <c r="W3419">
        <v>1</v>
      </c>
    </row>
    <row r="3420" spans="1:23" x14ac:dyDescent="0.2">
      <c r="A3420">
        <v>5114330</v>
      </c>
      <c r="B3420" t="s">
        <v>18</v>
      </c>
      <c r="C3420" t="s">
        <v>19</v>
      </c>
      <c r="D3420" t="s">
        <v>19</v>
      </c>
      <c r="E3420">
        <v>1</v>
      </c>
      <c r="F3420">
        <v>135000</v>
      </c>
      <c r="G3420" t="s">
        <v>31</v>
      </c>
      <c r="H3420" t="s">
        <v>27</v>
      </c>
      <c r="I3420" t="s">
        <v>37</v>
      </c>
      <c r="J3420" t="s">
        <v>24</v>
      </c>
      <c r="K3420" s="6">
        <f t="shared" ca="1" si="220"/>
        <v>35610</v>
      </c>
      <c r="L3420">
        <v>-10151</v>
      </c>
      <c r="M3420" s="7">
        <f t="shared" ca="1" si="218"/>
        <v>27.791923340177959</v>
      </c>
      <c r="N3420" s="5" t="str">
        <f ca="1">VLOOKUP(Data!M3420,temp!$B$3:$C$9,2,1)</f>
        <v>20-30</v>
      </c>
      <c r="O3420">
        <v>-1138</v>
      </c>
      <c r="P3420" s="8">
        <f t="shared" si="219"/>
        <v>3.1156741957563314</v>
      </c>
      <c r="Q3420" s="5" t="str">
        <f t="shared" si="221"/>
        <v>Employed</v>
      </c>
      <c r="R3420">
        <v>1</v>
      </c>
      <c r="S3420">
        <v>0</v>
      </c>
      <c r="T3420">
        <v>0</v>
      </c>
      <c r="U3420">
        <v>0</v>
      </c>
      <c r="V3420" t="s">
        <v>29</v>
      </c>
      <c r="W3420">
        <v>3</v>
      </c>
    </row>
    <row r="3421" spans="1:23" x14ac:dyDescent="0.2">
      <c r="A3421">
        <v>5114332</v>
      </c>
      <c r="B3421" t="s">
        <v>18</v>
      </c>
      <c r="C3421" t="s">
        <v>19</v>
      </c>
      <c r="D3421" t="s">
        <v>19</v>
      </c>
      <c r="E3421">
        <v>1</v>
      </c>
      <c r="F3421">
        <v>135000</v>
      </c>
      <c r="G3421" t="s">
        <v>31</v>
      </c>
      <c r="H3421" t="s">
        <v>27</v>
      </c>
      <c r="I3421" t="s">
        <v>37</v>
      </c>
      <c r="J3421" t="s">
        <v>24</v>
      </c>
      <c r="K3421" s="6">
        <f t="shared" ca="1" si="220"/>
        <v>35610</v>
      </c>
      <c r="L3421">
        <v>-10151</v>
      </c>
      <c r="M3421" s="7">
        <f t="shared" ca="1" si="218"/>
        <v>27.791923340177959</v>
      </c>
      <c r="N3421" s="5" t="str">
        <f ca="1">VLOOKUP(Data!M3421,temp!$B$3:$C$9,2,1)</f>
        <v>20-30</v>
      </c>
      <c r="O3421">
        <v>-1138</v>
      </c>
      <c r="P3421" s="8">
        <f t="shared" si="219"/>
        <v>3.1156741957563314</v>
      </c>
      <c r="Q3421" s="5" t="str">
        <f t="shared" si="221"/>
        <v>Employed</v>
      </c>
      <c r="R3421">
        <v>1</v>
      </c>
      <c r="S3421">
        <v>0</v>
      </c>
      <c r="T3421">
        <v>0</v>
      </c>
      <c r="U3421">
        <v>0</v>
      </c>
      <c r="V3421" t="s">
        <v>29</v>
      </c>
      <c r="W3421">
        <v>3</v>
      </c>
    </row>
    <row r="3422" spans="1:23" x14ac:dyDescent="0.2">
      <c r="A3422">
        <v>5114333</v>
      </c>
      <c r="B3422" t="s">
        <v>18</v>
      </c>
      <c r="C3422" t="s">
        <v>19</v>
      </c>
      <c r="D3422" t="s">
        <v>19</v>
      </c>
      <c r="E3422">
        <v>1</v>
      </c>
      <c r="F3422">
        <v>135000</v>
      </c>
      <c r="G3422" t="s">
        <v>31</v>
      </c>
      <c r="H3422" t="s">
        <v>27</v>
      </c>
      <c r="I3422" t="s">
        <v>37</v>
      </c>
      <c r="J3422" t="s">
        <v>24</v>
      </c>
      <c r="K3422" s="6">
        <f t="shared" ca="1" si="220"/>
        <v>35610</v>
      </c>
      <c r="L3422">
        <v>-10151</v>
      </c>
      <c r="M3422" s="7">
        <f t="shared" ca="1" si="218"/>
        <v>27.791923340177959</v>
      </c>
      <c r="N3422" s="5" t="str">
        <f ca="1">VLOOKUP(Data!M3422,temp!$B$3:$C$9,2,1)</f>
        <v>20-30</v>
      </c>
      <c r="O3422">
        <v>-1138</v>
      </c>
      <c r="P3422" s="8">
        <f t="shared" si="219"/>
        <v>3.1156741957563314</v>
      </c>
      <c r="Q3422" s="5" t="str">
        <f t="shared" si="221"/>
        <v>Employed</v>
      </c>
      <c r="R3422">
        <v>1</v>
      </c>
      <c r="S3422">
        <v>0</v>
      </c>
      <c r="T3422">
        <v>0</v>
      </c>
      <c r="U3422">
        <v>0</v>
      </c>
      <c r="V3422" t="s">
        <v>29</v>
      </c>
      <c r="W3422">
        <v>3</v>
      </c>
    </row>
    <row r="3423" spans="1:23" x14ac:dyDescent="0.2">
      <c r="A3423">
        <v>5114337</v>
      </c>
      <c r="B3423" t="s">
        <v>18</v>
      </c>
      <c r="C3423" t="s">
        <v>19</v>
      </c>
      <c r="D3423" t="s">
        <v>19</v>
      </c>
      <c r="E3423">
        <v>1</v>
      </c>
      <c r="F3423">
        <v>135000</v>
      </c>
      <c r="G3423" t="s">
        <v>31</v>
      </c>
      <c r="H3423" t="s">
        <v>27</v>
      </c>
      <c r="I3423" t="s">
        <v>37</v>
      </c>
      <c r="J3423" t="s">
        <v>24</v>
      </c>
      <c r="K3423" s="6">
        <f t="shared" ca="1" si="220"/>
        <v>35610</v>
      </c>
      <c r="L3423">
        <v>-10151</v>
      </c>
      <c r="M3423" s="7">
        <f t="shared" ca="1" si="218"/>
        <v>27.791923340177959</v>
      </c>
      <c r="N3423" s="5" t="str">
        <f ca="1">VLOOKUP(Data!M3423,temp!$B$3:$C$9,2,1)</f>
        <v>20-30</v>
      </c>
      <c r="O3423">
        <v>-1138</v>
      </c>
      <c r="P3423" s="8">
        <f t="shared" si="219"/>
        <v>3.1156741957563314</v>
      </c>
      <c r="Q3423" s="5" t="str">
        <f t="shared" si="221"/>
        <v>Employed</v>
      </c>
      <c r="R3423">
        <v>1</v>
      </c>
      <c r="S3423">
        <v>0</v>
      </c>
      <c r="T3423">
        <v>0</v>
      </c>
      <c r="U3423">
        <v>0</v>
      </c>
      <c r="V3423" t="s">
        <v>29</v>
      </c>
      <c r="W3423">
        <v>3</v>
      </c>
    </row>
    <row r="3424" spans="1:23" x14ac:dyDescent="0.2">
      <c r="A3424">
        <v>5114350</v>
      </c>
      <c r="B3424" t="s">
        <v>25</v>
      </c>
      <c r="C3424" t="s">
        <v>20</v>
      </c>
      <c r="D3424" t="s">
        <v>19</v>
      </c>
      <c r="E3424">
        <v>0</v>
      </c>
      <c r="F3424">
        <v>180000</v>
      </c>
      <c r="G3424" t="s">
        <v>26</v>
      </c>
      <c r="H3424" t="s">
        <v>27</v>
      </c>
      <c r="I3424" t="s">
        <v>28</v>
      </c>
      <c r="J3424" t="s">
        <v>45</v>
      </c>
      <c r="K3424" s="6">
        <f t="shared" ca="1" si="220"/>
        <v>35951</v>
      </c>
      <c r="L3424">
        <v>-9810</v>
      </c>
      <c r="M3424" s="7">
        <f t="shared" ca="1" si="218"/>
        <v>26.858316221765914</v>
      </c>
      <c r="N3424" s="5" t="str">
        <f ca="1">VLOOKUP(Data!M3424,temp!$B$3:$C$9,2,1)</f>
        <v>20-30</v>
      </c>
      <c r="O3424">
        <v>-2993</v>
      </c>
      <c r="P3424" s="8">
        <f t="shared" si="219"/>
        <v>8.1943874058863795</v>
      </c>
      <c r="Q3424" s="5" t="str">
        <f t="shared" si="221"/>
        <v>Employed</v>
      </c>
      <c r="R3424">
        <v>1</v>
      </c>
      <c r="S3424">
        <v>1</v>
      </c>
      <c r="T3424">
        <v>0</v>
      </c>
      <c r="U3424">
        <v>0</v>
      </c>
      <c r="W3424">
        <v>2</v>
      </c>
    </row>
    <row r="3425" spans="1:23" x14ac:dyDescent="0.2">
      <c r="A3425">
        <v>5114352</v>
      </c>
      <c r="B3425" t="s">
        <v>25</v>
      </c>
      <c r="C3425" t="s">
        <v>20</v>
      </c>
      <c r="D3425" t="s">
        <v>19</v>
      </c>
      <c r="E3425">
        <v>0</v>
      </c>
      <c r="F3425">
        <v>180000</v>
      </c>
      <c r="G3425" t="s">
        <v>26</v>
      </c>
      <c r="H3425" t="s">
        <v>27</v>
      </c>
      <c r="I3425" t="s">
        <v>28</v>
      </c>
      <c r="J3425" t="s">
        <v>45</v>
      </c>
      <c r="K3425" s="6">
        <f t="shared" ca="1" si="220"/>
        <v>35951</v>
      </c>
      <c r="L3425">
        <v>-9810</v>
      </c>
      <c r="M3425" s="7">
        <f t="shared" ca="1" si="218"/>
        <v>26.858316221765914</v>
      </c>
      <c r="N3425" s="5" t="str">
        <f ca="1">VLOOKUP(Data!M3425,temp!$B$3:$C$9,2,1)</f>
        <v>20-30</v>
      </c>
      <c r="O3425">
        <v>-2993</v>
      </c>
      <c r="P3425" s="8">
        <f t="shared" si="219"/>
        <v>8.1943874058863795</v>
      </c>
      <c r="Q3425" s="5" t="str">
        <f t="shared" si="221"/>
        <v>Employed</v>
      </c>
      <c r="R3425">
        <v>1</v>
      </c>
      <c r="S3425">
        <v>1</v>
      </c>
      <c r="T3425">
        <v>0</v>
      </c>
      <c r="U3425">
        <v>0</v>
      </c>
      <c r="W3425">
        <v>2</v>
      </c>
    </row>
    <row r="3426" spans="1:23" x14ac:dyDescent="0.2">
      <c r="A3426">
        <v>5114357</v>
      </c>
      <c r="B3426" t="s">
        <v>18</v>
      </c>
      <c r="C3426" t="s">
        <v>20</v>
      </c>
      <c r="D3426" t="s">
        <v>19</v>
      </c>
      <c r="E3426">
        <v>0</v>
      </c>
      <c r="F3426">
        <v>337500</v>
      </c>
      <c r="G3426" t="s">
        <v>31</v>
      </c>
      <c r="H3426" t="s">
        <v>27</v>
      </c>
      <c r="I3426" t="s">
        <v>28</v>
      </c>
      <c r="J3426" t="s">
        <v>24</v>
      </c>
      <c r="K3426" s="6">
        <f t="shared" ca="1" si="220"/>
        <v>28682</v>
      </c>
      <c r="L3426">
        <v>-17079</v>
      </c>
      <c r="M3426" s="7">
        <f t="shared" ca="1" si="218"/>
        <v>46.75975359342916</v>
      </c>
      <c r="N3426" s="5" t="str">
        <f ca="1">VLOOKUP(Data!M3426,temp!$B$3:$C$9,2,1)</f>
        <v>40-50</v>
      </c>
      <c r="O3426">
        <v>-681</v>
      </c>
      <c r="P3426" s="8">
        <f t="shared" si="219"/>
        <v>1.8644763860369611</v>
      </c>
      <c r="Q3426" s="5" t="str">
        <f t="shared" si="221"/>
        <v>Employed</v>
      </c>
      <c r="R3426">
        <v>1</v>
      </c>
      <c r="S3426">
        <v>1</v>
      </c>
      <c r="T3426">
        <v>1</v>
      </c>
      <c r="U3426">
        <v>0</v>
      </c>
      <c r="V3426" t="s">
        <v>29</v>
      </c>
      <c r="W3426">
        <v>2</v>
      </c>
    </row>
    <row r="3427" spans="1:23" x14ac:dyDescent="0.2">
      <c r="A3427">
        <v>5114394</v>
      </c>
      <c r="B3427" t="s">
        <v>18</v>
      </c>
      <c r="C3427" t="s">
        <v>19</v>
      </c>
      <c r="D3427" t="s">
        <v>19</v>
      </c>
      <c r="E3427">
        <v>0</v>
      </c>
      <c r="F3427">
        <v>90000</v>
      </c>
      <c r="G3427" t="s">
        <v>31</v>
      </c>
      <c r="H3427" t="s">
        <v>27</v>
      </c>
      <c r="I3427" t="s">
        <v>28</v>
      </c>
      <c r="J3427" t="s">
        <v>24</v>
      </c>
      <c r="K3427" s="6">
        <f t="shared" ca="1" si="220"/>
        <v>27033</v>
      </c>
      <c r="L3427">
        <v>-18728</v>
      </c>
      <c r="M3427" s="7">
        <f t="shared" ca="1" si="218"/>
        <v>51.274469541409992</v>
      </c>
      <c r="N3427" s="5" t="str">
        <f ca="1">VLOOKUP(Data!M3427,temp!$B$3:$C$9,2,1)</f>
        <v>50-60</v>
      </c>
      <c r="O3427">
        <v>-9325</v>
      </c>
      <c r="P3427" s="8">
        <f t="shared" si="219"/>
        <v>25.530458590006845</v>
      </c>
      <c r="Q3427" s="5" t="str">
        <f t="shared" si="221"/>
        <v>Employed</v>
      </c>
      <c r="R3427">
        <v>1</v>
      </c>
      <c r="S3427">
        <v>0</v>
      </c>
      <c r="T3427">
        <v>0</v>
      </c>
      <c r="U3427">
        <v>0</v>
      </c>
      <c r="V3427" t="s">
        <v>55</v>
      </c>
      <c r="W3427">
        <v>2</v>
      </c>
    </row>
    <row r="3428" spans="1:23" x14ac:dyDescent="0.2">
      <c r="A3428">
        <v>5114395</v>
      </c>
      <c r="B3428" t="s">
        <v>18</v>
      </c>
      <c r="C3428" t="s">
        <v>19</v>
      </c>
      <c r="D3428" t="s">
        <v>19</v>
      </c>
      <c r="E3428">
        <v>0</v>
      </c>
      <c r="F3428">
        <v>90000</v>
      </c>
      <c r="G3428" t="s">
        <v>31</v>
      </c>
      <c r="H3428" t="s">
        <v>27</v>
      </c>
      <c r="I3428" t="s">
        <v>28</v>
      </c>
      <c r="J3428" t="s">
        <v>24</v>
      </c>
      <c r="K3428" s="6">
        <f t="shared" ca="1" si="220"/>
        <v>27033</v>
      </c>
      <c r="L3428">
        <v>-18728</v>
      </c>
      <c r="M3428" s="7">
        <f t="shared" ca="1" si="218"/>
        <v>51.274469541409992</v>
      </c>
      <c r="N3428" s="5" t="str">
        <f ca="1">VLOOKUP(Data!M3428,temp!$B$3:$C$9,2,1)</f>
        <v>50-60</v>
      </c>
      <c r="O3428">
        <v>-9325</v>
      </c>
      <c r="P3428" s="8">
        <f t="shared" si="219"/>
        <v>25.530458590006845</v>
      </c>
      <c r="Q3428" s="5" t="str">
        <f t="shared" si="221"/>
        <v>Employed</v>
      </c>
      <c r="R3428">
        <v>1</v>
      </c>
      <c r="S3428">
        <v>0</v>
      </c>
      <c r="T3428">
        <v>0</v>
      </c>
      <c r="U3428">
        <v>0</v>
      </c>
      <c r="V3428" t="s">
        <v>55</v>
      </c>
      <c r="W3428">
        <v>2</v>
      </c>
    </row>
    <row r="3429" spans="1:23" x14ac:dyDescent="0.2">
      <c r="A3429">
        <v>5114407</v>
      </c>
      <c r="B3429" t="s">
        <v>18</v>
      </c>
      <c r="C3429" t="s">
        <v>19</v>
      </c>
      <c r="D3429" t="s">
        <v>19</v>
      </c>
      <c r="E3429">
        <v>0</v>
      </c>
      <c r="F3429">
        <v>157500</v>
      </c>
      <c r="G3429" t="s">
        <v>35</v>
      </c>
      <c r="H3429" t="s">
        <v>22</v>
      </c>
      <c r="I3429" t="s">
        <v>28</v>
      </c>
      <c r="J3429" t="s">
        <v>24</v>
      </c>
      <c r="K3429" s="6">
        <f t="shared" ca="1" si="220"/>
        <v>34173</v>
      </c>
      <c r="L3429">
        <v>-11588</v>
      </c>
      <c r="M3429" s="7">
        <f t="shared" ca="1" si="218"/>
        <v>31.72621492128679</v>
      </c>
      <c r="N3429" s="5" t="str">
        <f ca="1">VLOOKUP(Data!M3429,temp!$B$3:$C$9,2,1)</f>
        <v>30-40</v>
      </c>
      <c r="O3429">
        <v>-801</v>
      </c>
      <c r="P3429" s="8">
        <f t="shared" si="219"/>
        <v>2.193018480492813</v>
      </c>
      <c r="Q3429" s="5" t="str">
        <f t="shared" si="221"/>
        <v>Employed</v>
      </c>
      <c r="R3429">
        <v>1</v>
      </c>
      <c r="S3429">
        <v>1</v>
      </c>
      <c r="T3429">
        <v>1</v>
      </c>
      <c r="U3429">
        <v>0</v>
      </c>
      <c r="V3429" t="s">
        <v>38</v>
      </c>
      <c r="W3429">
        <v>2</v>
      </c>
    </row>
    <row r="3430" spans="1:23" x14ac:dyDescent="0.2">
      <c r="A3430">
        <v>5114420</v>
      </c>
      <c r="B3430" t="s">
        <v>25</v>
      </c>
      <c r="C3430" t="s">
        <v>19</v>
      </c>
      <c r="D3430" t="s">
        <v>19</v>
      </c>
      <c r="E3430">
        <v>0</v>
      </c>
      <c r="F3430">
        <v>157500</v>
      </c>
      <c r="G3430" t="s">
        <v>35</v>
      </c>
      <c r="H3430" t="s">
        <v>22</v>
      </c>
      <c r="I3430" t="s">
        <v>28</v>
      </c>
      <c r="J3430" t="s">
        <v>24</v>
      </c>
      <c r="K3430" s="6">
        <f t="shared" ca="1" si="220"/>
        <v>33796</v>
      </c>
      <c r="L3430">
        <v>-11965</v>
      </c>
      <c r="M3430" s="7">
        <f t="shared" ca="1" si="218"/>
        <v>32.758384668035589</v>
      </c>
      <c r="N3430" s="5" t="str">
        <f ca="1">VLOOKUP(Data!M3430,temp!$B$3:$C$9,2,1)</f>
        <v>30-40</v>
      </c>
      <c r="O3430">
        <v>-3876</v>
      </c>
      <c r="P3430" s="8">
        <f t="shared" si="219"/>
        <v>10.611909650924025</v>
      </c>
      <c r="Q3430" s="5" t="str">
        <f t="shared" si="221"/>
        <v>Employed</v>
      </c>
      <c r="R3430">
        <v>1</v>
      </c>
      <c r="S3430">
        <v>0</v>
      </c>
      <c r="T3430">
        <v>0</v>
      </c>
      <c r="U3430">
        <v>0</v>
      </c>
      <c r="V3430" t="s">
        <v>38</v>
      </c>
      <c r="W3430">
        <v>2</v>
      </c>
    </row>
    <row r="3431" spans="1:23" x14ac:dyDescent="0.2">
      <c r="A3431">
        <v>5114421</v>
      </c>
      <c r="B3431" t="s">
        <v>25</v>
      </c>
      <c r="C3431" t="s">
        <v>19</v>
      </c>
      <c r="D3431" t="s">
        <v>19</v>
      </c>
      <c r="E3431">
        <v>0</v>
      </c>
      <c r="F3431">
        <v>157500</v>
      </c>
      <c r="G3431" t="s">
        <v>35</v>
      </c>
      <c r="H3431" t="s">
        <v>22</v>
      </c>
      <c r="I3431" t="s">
        <v>28</v>
      </c>
      <c r="J3431" t="s">
        <v>24</v>
      </c>
      <c r="K3431" s="6">
        <f t="shared" ca="1" si="220"/>
        <v>33796</v>
      </c>
      <c r="L3431">
        <v>-11965</v>
      </c>
      <c r="M3431" s="7">
        <f t="shared" ca="1" si="218"/>
        <v>32.758384668035589</v>
      </c>
      <c r="N3431" s="5" t="str">
        <f ca="1">VLOOKUP(Data!M3431,temp!$B$3:$C$9,2,1)</f>
        <v>30-40</v>
      </c>
      <c r="O3431">
        <v>-3876</v>
      </c>
      <c r="P3431" s="8">
        <f t="shared" si="219"/>
        <v>10.611909650924025</v>
      </c>
      <c r="Q3431" s="5" t="str">
        <f t="shared" si="221"/>
        <v>Employed</v>
      </c>
      <c r="R3431">
        <v>1</v>
      </c>
      <c r="S3431">
        <v>0</v>
      </c>
      <c r="T3431">
        <v>0</v>
      </c>
      <c r="U3431">
        <v>0</v>
      </c>
      <c r="V3431" t="s">
        <v>38</v>
      </c>
      <c r="W3431">
        <v>2</v>
      </c>
    </row>
    <row r="3432" spans="1:23" x14ac:dyDescent="0.2">
      <c r="A3432">
        <v>5114429</v>
      </c>
      <c r="B3432" t="s">
        <v>18</v>
      </c>
      <c r="C3432" t="s">
        <v>19</v>
      </c>
      <c r="D3432" t="s">
        <v>20</v>
      </c>
      <c r="E3432">
        <v>1</v>
      </c>
      <c r="F3432">
        <v>157500</v>
      </c>
      <c r="G3432" t="s">
        <v>31</v>
      </c>
      <c r="H3432" t="s">
        <v>27</v>
      </c>
      <c r="I3432" t="s">
        <v>28</v>
      </c>
      <c r="J3432" t="s">
        <v>24</v>
      </c>
      <c r="K3432" s="6">
        <f t="shared" ca="1" si="220"/>
        <v>28499</v>
      </c>
      <c r="L3432">
        <v>-17262</v>
      </c>
      <c r="M3432" s="7">
        <f t="shared" ca="1" si="218"/>
        <v>47.260780287474333</v>
      </c>
      <c r="N3432" s="5" t="str">
        <f ca="1">VLOOKUP(Data!M3432,temp!$B$3:$C$9,2,1)</f>
        <v>40-50</v>
      </c>
      <c r="O3432">
        <v>-1107</v>
      </c>
      <c r="P3432" s="8">
        <f t="shared" si="219"/>
        <v>3.030800821355236</v>
      </c>
      <c r="Q3432" s="5" t="str">
        <f t="shared" si="221"/>
        <v>Employed</v>
      </c>
      <c r="R3432">
        <v>1</v>
      </c>
      <c r="S3432">
        <v>1</v>
      </c>
      <c r="T3432">
        <v>1</v>
      </c>
      <c r="U3432">
        <v>0</v>
      </c>
      <c r="V3432" t="s">
        <v>39</v>
      </c>
      <c r="W3432">
        <v>3</v>
      </c>
    </row>
    <row r="3433" spans="1:23" x14ac:dyDescent="0.2">
      <c r="A3433">
        <v>5114460</v>
      </c>
      <c r="B3433" t="s">
        <v>18</v>
      </c>
      <c r="C3433" t="s">
        <v>19</v>
      </c>
      <c r="D3433" t="s">
        <v>19</v>
      </c>
      <c r="E3433">
        <v>0</v>
      </c>
      <c r="F3433">
        <v>56250</v>
      </c>
      <c r="G3433" t="s">
        <v>21</v>
      </c>
      <c r="H3433" t="s">
        <v>27</v>
      </c>
      <c r="I3433" t="s">
        <v>28</v>
      </c>
      <c r="J3433" t="s">
        <v>53</v>
      </c>
      <c r="K3433" s="6">
        <f t="shared" ca="1" si="220"/>
        <v>23879</v>
      </c>
      <c r="L3433">
        <v>-21882</v>
      </c>
      <c r="M3433" s="7">
        <f t="shared" ca="1" si="218"/>
        <v>59.909650924024639</v>
      </c>
      <c r="N3433" s="5" t="str">
        <f ca="1">VLOOKUP(Data!M3433,temp!$B$3:$C$9,2,1)</f>
        <v>50-60</v>
      </c>
      <c r="O3433">
        <v>365243</v>
      </c>
      <c r="P3433" s="8">
        <f t="shared" si="219"/>
        <v>0</v>
      </c>
      <c r="Q3433" s="5" t="str">
        <f t="shared" si="221"/>
        <v>Unemployed</v>
      </c>
      <c r="R3433">
        <v>1</v>
      </c>
      <c r="S3433">
        <v>0</v>
      </c>
      <c r="T3433">
        <v>0</v>
      </c>
      <c r="U3433">
        <v>0</v>
      </c>
      <c r="W3433">
        <v>2</v>
      </c>
    </row>
    <row r="3434" spans="1:23" x14ac:dyDescent="0.2">
      <c r="A3434">
        <v>5114464</v>
      </c>
      <c r="B3434" t="s">
        <v>25</v>
      </c>
      <c r="C3434" t="s">
        <v>20</v>
      </c>
      <c r="D3434" t="s">
        <v>20</v>
      </c>
      <c r="E3434">
        <v>0</v>
      </c>
      <c r="F3434">
        <v>225000</v>
      </c>
      <c r="G3434" t="s">
        <v>31</v>
      </c>
      <c r="H3434" t="s">
        <v>27</v>
      </c>
      <c r="I3434" t="s">
        <v>37</v>
      </c>
      <c r="J3434" t="s">
        <v>24</v>
      </c>
      <c r="K3434" s="6">
        <f t="shared" ca="1" si="220"/>
        <v>29491</v>
      </c>
      <c r="L3434">
        <v>-16270</v>
      </c>
      <c r="M3434" s="7">
        <f t="shared" ca="1" si="218"/>
        <v>44.544832306639286</v>
      </c>
      <c r="N3434" s="5" t="str">
        <f ca="1">VLOOKUP(Data!M3434,temp!$B$3:$C$9,2,1)</f>
        <v>40-50</v>
      </c>
      <c r="O3434">
        <v>-467</v>
      </c>
      <c r="P3434" s="8">
        <f t="shared" si="219"/>
        <v>1.2785763175906912</v>
      </c>
      <c r="Q3434" s="5" t="str">
        <f t="shared" si="221"/>
        <v>Employed</v>
      </c>
      <c r="R3434">
        <v>1</v>
      </c>
      <c r="S3434">
        <v>0</v>
      </c>
      <c r="T3434">
        <v>0</v>
      </c>
      <c r="U3434">
        <v>0</v>
      </c>
      <c r="V3434" t="s">
        <v>30</v>
      </c>
      <c r="W3434">
        <v>2</v>
      </c>
    </row>
    <row r="3435" spans="1:23" x14ac:dyDescent="0.2">
      <c r="A3435">
        <v>5114478</v>
      </c>
      <c r="B3435" t="s">
        <v>18</v>
      </c>
      <c r="C3435" t="s">
        <v>19</v>
      </c>
      <c r="D3435" t="s">
        <v>20</v>
      </c>
      <c r="E3435">
        <v>0</v>
      </c>
      <c r="F3435">
        <v>90000</v>
      </c>
      <c r="G3435" t="s">
        <v>21</v>
      </c>
      <c r="H3435" t="s">
        <v>27</v>
      </c>
      <c r="I3435" t="s">
        <v>33</v>
      </c>
      <c r="J3435" t="s">
        <v>24</v>
      </c>
      <c r="K3435" s="6">
        <f t="shared" ca="1" si="220"/>
        <v>23030</v>
      </c>
      <c r="L3435">
        <v>-22731</v>
      </c>
      <c r="M3435" s="7">
        <f t="shared" ca="1" si="218"/>
        <v>62.234086242299796</v>
      </c>
      <c r="N3435" s="5" t="str">
        <f ca="1">VLOOKUP(Data!M3435,temp!$B$3:$C$9,2,1)</f>
        <v>60-70</v>
      </c>
      <c r="O3435">
        <v>365243</v>
      </c>
      <c r="P3435" s="8">
        <f t="shared" si="219"/>
        <v>0</v>
      </c>
      <c r="Q3435" s="5" t="str">
        <f t="shared" si="221"/>
        <v>Unemployed</v>
      </c>
      <c r="R3435">
        <v>1</v>
      </c>
      <c r="S3435">
        <v>0</v>
      </c>
      <c r="T3435">
        <v>0</v>
      </c>
      <c r="U3435">
        <v>0</v>
      </c>
      <c r="W3435">
        <v>1</v>
      </c>
    </row>
    <row r="3436" spans="1:23" x14ac:dyDescent="0.2">
      <c r="A3436">
        <v>5114481</v>
      </c>
      <c r="B3436" t="s">
        <v>18</v>
      </c>
      <c r="C3436" t="s">
        <v>19</v>
      </c>
      <c r="D3436" t="s">
        <v>20</v>
      </c>
      <c r="E3436">
        <v>0</v>
      </c>
      <c r="F3436">
        <v>90000</v>
      </c>
      <c r="G3436" t="s">
        <v>21</v>
      </c>
      <c r="H3436" t="s">
        <v>27</v>
      </c>
      <c r="I3436" t="s">
        <v>33</v>
      </c>
      <c r="J3436" t="s">
        <v>24</v>
      </c>
      <c r="K3436" s="6">
        <f t="shared" ca="1" si="220"/>
        <v>23030</v>
      </c>
      <c r="L3436">
        <v>-22731</v>
      </c>
      <c r="M3436" s="7">
        <f t="shared" ca="1" si="218"/>
        <v>62.234086242299796</v>
      </c>
      <c r="N3436" s="5" t="str">
        <f ca="1">VLOOKUP(Data!M3436,temp!$B$3:$C$9,2,1)</f>
        <v>60-70</v>
      </c>
      <c r="O3436">
        <v>365243</v>
      </c>
      <c r="P3436" s="8">
        <f t="shared" si="219"/>
        <v>0</v>
      </c>
      <c r="Q3436" s="5" t="str">
        <f t="shared" si="221"/>
        <v>Unemployed</v>
      </c>
      <c r="R3436">
        <v>1</v>
      </c>
      <c r="S3436">
        <v>0</v>
      </c>
      <c r="T3436">
        <v>0</v>
      </c>
      <c r="U3436">
        <v>0</v>
      </c>
      <c r="W3436">
        <v>1</v>
      </c>
    </row>
    <row r="3437" spans="1:23" x14ac:dyDescent="0.2">
      <c r="A3437">
        <v>5114483</v>
      </c>
      <c r="B3437" t="s">
        <v>18</v>
      </c>
      <c r="C3437" t="s">
        <v>19</v>
      </c>
      <c r="D3437" t="s">
        <v>20</v>
      </c>
      <c r="E3437">
        <v>0</v>
      </c>
      <c r="F3437">
        <v>225000</v>
      </c>
      <c r="G3437" t="s">
        <v>35</v>
      </c>
      <c r="H3437" t="s">
        <v>27</v>
      </c>
      <c r="I3437" t="s">
        <v>28</v>
      </c>
      <c r="J3437" t="s">
        <v>24</v>
      </c>
      <c r="K3437" s="6">
        <f t="shared" ca="1" si="220"/>
        <v>35661</v>
      </c>
      <c r="L3437">
        <v>-10100</v>
      </c>
      <c r="M3437" s="7">
        <f t="shared" ca="1" si="218"/>
        <v>27.652292950034223</v>
      </c>
      <c r="N3437" s="5" t="str">
        <f ca="1">VLOOKUP(Data!M3437,temp!$B$3:$C$9,2,1)</f>
        <v>20-30</v>
      </c>
      <c r="O3437">
        <v>-863</v>
      </c>
      <c r="P3437" s="8">
        <f t="shared" si="219"/>
        <v>2.3627652292950034</v>
      </c>
      <c r="Q3437" s="5" t="str">
        <f t="shared" si="221"/>
        <v>Employed</v>
      </c>
      <c r="R3437">
        <v>1</v>
      </c>
      <c r="S3437">
        <v>0</v>
      </c>
      <c r="T3437">
        <v>0</v>
      </c>
      <c r="U3437">
        <v>0</v>
      </c>
      <c r="V3437" t="s">
        <v>38</v>
      </c>
      <c r="W3437">
        <v>2</v>
      </c>
    </row>
    <row r="3438" spans="1:23" x14ac:dyDescent="0.2">
      <c r="A3438">
        <v>5114486</v>
      </c>
      <c r="B3438" t="s">
        <v>25</v>
      </c>
      <c r="C3438" t="s">
        <v>20</v>
      </c>
      <c r="D3438" t="s">
        <v>20</v>
      </c>
      <c r="E3438">
        <v>0</v>
      </c>
      <c r="F3438">
        <v>315000</v>
      </c>
      <c r="G3438" t="s">
        <v>21</v>
      </c>
      <c r="H3438" t="s">
        <v>22</v>
      </c>
      <c r="I3438" t="s">
        <v>28</v>
      </c>
      <c r="J3438" t="s">
        <v>24</v>
      </c>
      <c r="K3438" s="6">
        <f t="shared" ca="1" si="220"/>
        <v>22448</v>
      </c>
      <c r="L3438">
        <v>-23313</v>
      </c>
      <c r="M3438" s="7">
        <f t="shared" ca="1" si="218"/>
        <v>63.827515400410675</v>
      </c>
      <c r="N3438" s="5" t="str">
        <f ca="1">VLOOKUP(Data!M3438,temp!$B$3:$C$9,2,1)</f>
        <v>60-70</v>
      </c>
      <c r="O3438">
        <v>365243</v>
      </c>
      <c r="P3438" s="8">
        <f t="shared" si="219"/>
        <v>0</v>
      </c>
      <c r="Q3438" s="5" t="str">
        <f t="shared" si="221"/>
        <v>Unemployed</v>
      </c>
      <c r="R3438">
        <v>1</v>
      </c>
      <c r="S3438">
        <v>0</v>
      </c>
      <c r="T3438">
        <v>0</v>
      </c>
      <c r="U3438">
        <v>0</v>
      </c>
      <c r="W3438">
        <v>2</v>
      </c>
    </row>
    <row r="3439" spans="1:23" x14ac:dyDescent="0.2">
      <c r="A3439">
        <v>5114488</v>
      </c>
      <c r="B3439" t="s">
        <v>25</v>
      </c>
      <c r="C3439" t="s">
        <v>20</v>
      </c>
      <c r="D3439" t="s">
        <v>20</v>
      </c>
      <c r="E3439">
        <v>0</v>
      </c>
      <c r="F3439">
        <v>315000</v>
      </c>
      <c r="G3439" t="s">
        <v>21</v>
      </c>
      <c r="H3439" t="s">
        <v>22</v>
      </c>
      <c r="I3439" t="s">
        <v>28</v>
      </c>
      <c r="J3439" t="s">
        <v>24</v>
      </c>
      <c r="K3439" s="6">
        <f t="shared" ca="1" si="220"/>
        <v>22448</v>
      </c>
      <c r="L3439">
        <v>-23313</v>
      </c>
      <c r="M3439" s="7">
        <f t="shared" ca="1" si="218"/>
        <v>63.827515400410675</v>
      </c>
      <c r="N3439" s="5" t="str">
        <f ca="1">VLOOKUP(Data!M3439,temp!$B$3:$C$9,2,1)</f>
        <v>60-70</v>
      </c>
      <c r="O3439">
        <v>365243</v>
      </c>
      <c r="P3439" s="8">
        <f t="shared" si="219"/>
        <v>0</v>
      </c>
      <c r="Q3439" s="5" t="str">
        <f t="shared" si="221"/>
        <v>Unemployed</v>
      </c>
      <c r="R3439">
        <v>1</v>
      </c>
      <c r="S3439">
        <v>0</v>
      </c>
      <c r="T3439">
        <v>0</v>
      </c>
      <c r="U3439">
        <v>0</v>
      </c>
      <c r="W3439">
        <v>2</v>
      </c>
    </row>
    <row r="3440" spans="1:23" x14ac:dyDescent="0.2">
      <c r="A3440">
        <v>5114494</v>
      </c>
      <c r="B3440" t="s">
        <v>18</v>
      </c>
      <c r="C3440" t="s">
        <v>19</v>
      </c>
      <c r="D3440" t="s">
        <v>20</v>
      </c>
      <c r="E3440">
        <v>0</v>
      </c>
      <c r="F3440">
        <v>85500</v>
      </c>
      <c r="G3440" t="s">
        <v>21</v>
      </c>
      <c r="H3440" t="s">
        <v>27</v>
      </c>
      <c r="I3440" t="s">
        <v>28</v>
      </c>
      <c r="J3440" t="s">
        <v>24</v>
      </c>
      <c r="K3440" s="6">
        <f t="shared" ca="1" si="220"/>
        <v>24955</v>
      </c>
      <c r="L3440">
        <v>-20806</v>
      </c>
      <c r="M3440" s="7">
        <f t="shared" ca="1" si="218"/>
        <v>56.963723477070502</v>
      </c>
      <c r="N3440" s="5" t="str">
        <f ca="1">VLOOKUP(Data!M3440,temp!$B$3:$C$9,2,1)</f>
        <v>50-60</v>
      </c>
      <c r="O3440">
        <v>365243</v>
      </c>
      <c r="P3440" s="8">
        <f t="shared" si="219"/>
        <v>0</v>
      </c>
      <c r="Q3440" s="5" t="str">
        <f t="shared" si="221"/>
        <v>Unemployed</v>
      </c>
      <c r="R3440">
        <v>1</v>
      </c>
      <c r="S3440">
        <v>0</v>
      </c>
      <c r="T3440">
        <v>0</v>
      </c>
      <c r="U3440">
        <v>1</v>
      </c>
      <c r="W3440">
        <v>2</v>
      </c>
    </row>
    <row r="3441" spans="1:23" x14ac:dyDescent="0.2">
      <c r="A3441">
        <v>5114495</v>
      </c>
      <c r="B3441" t="s">
        <v>18</v>
      </c>
      <c r="C3441" t="s">
        <v>19</v>
      </c>
      <c r="D3441" t="s">
        <v>20</v>
      </c>
      <c r="E3441">
        <v>0</v>
      </c>
      <c r="F3441">
        <v>85500</v>
      </c>
      <c r="G3441" t="s">
        <v>21</v>
      </c>
      <c r="H3441" t="s">
        <v>27</v>
      </c>
      <c r="I3441" t="s">
        <v>28</v>
      </c>
      <c r="J3441" t="s">
        <v>24</v>
      </c>
      <c r="K3441" s="6">
        <f t="shared" ca="1" si="220"/>
        <v>24955</v>
      </c>
      <c r="L3441">
        <v>-20806</v>
      </c>
      <c r="M3441" s="7">
        <f t="shared" ca="1" si="218"/>
        <v>56.963723477070502</v>
      </c>
      <c r="N3441" s="5" t="str">
        <f ca="1">VLOOKUP(Data!M3441,temp!$B$3:$C$9,2,1)</f>
        <v>50-60</v>
      </c>
      <c r="O3441">
        <v>365243</v>
      </c>
      <c r="P3441" s="8">
        <f t="shared" si="219"/>
        <v>0</v>
      </c>
      <c r="Q3441" s="5" t="str">
        <f t="shared" si="221"/>
        <v>Unemployed</v>
      </c>
      <c r="R3441">
        <v>1</v>
      </c>
      <c r="S3441">
        <v>0</v>
      </c>
      <c r="T3441">
        <v>0</v>
      </c>
      <c r="U3441">
        <v>1</v>
      </c>
      <c r="W3441">
        <v>2</v>
      </c>
    </row>
    <row r="3442" spans="1:23" x14ac:dyDescent="0.2">
      <c r="A3442">
        <v>5114510</v>
      </c>
      <c r="B3442" t="s">
        <v>25</v>
      </c>
      <c r="C3442" t="s">
        <v>19</v>
      </c>
      <c r="D3442" t="s">
        <v>19</v>
      </c>
      <c r="E3442">
        <v>2</v>
      </c>
      <c r="F3442">
        <v>180000</v>
      </c>
      <c r="G3442" t="s">
        <v>31</v>
      </c>
      <c r="H3442" t="s">
        <v>27</v>
      </c>
      <c r="I3442" t="s">
        <v>28</v>
      </c>
      <c r="J3442" t="s">
        <v>24</v>
      </c>
      <c r="K3442" s="6">
        <f t="shared" ca="1" si="220"/>
        <v>35831</v>
      </c>
      <c r="L3442">
        <v>-9930</v>
      </c>
      <c r="M3442" s="7">
        <f t="shared" ca="1" si="218"/>
        <v>27.186858316221766</v>
      </c>
      <c r="N3442" s="5" t="str">
        <f ca="1">VLOOKUP(Data!M3442,temp!$B$3:$C$9,2,1)</f>
        <v>20-30</v>
      </c>
      <c r="O3442">
        <v>-2324</v>
      </c>
      <c r="P3442" s="8">
        <f t="shared" si="219"/>
        <v>6.362765229295003</v>
      </c>
      <c r="Q3442" s="5" t="str">
        <f t="shared" si="221"/>
        <v>Employed</v>
      </c>
      <c r="R3442">
        <v>1</v>
      </c>
      <c r="S3442">
        <v>0</v>
      </c>
      <c r="T3442">
        <v>0</v>
      </c>
      <c r="U3442">
        <v>1</v>
      </c>
      <c r="V3442" t="s">
        <v>29</v>
      </c>
      <c r="W3442">
        <v>4</v>
      </c>
    </row>
    <row r="3443" spans="1:23" x14ac:dyDescent="0.2">
      <c r="A3443">
        <v>5114520</v>
      </c>
      <c r="B3443" t="s">
        <v>18</v>
      </c>
      <c r="C3443" t="s">
        <v>20</v>
      </c>
      <c r="D3443" t="s">
        <v>20</v>
      </c>
      <c r="E3443">
        <v>0</v>
      </c>
      <c r="F3443">
        <v>157500</v>
      </c>
      <c r="G3443" t="s">
        <v>31</v>
      </c>
      <c r="H3443" t="s">
        <v>22</v>
      </c>
      <c r="I3443" t="s">
        <v>28</v>
      </c>
      <c r="J3443" t="s">
        <v>43</v>
      </c>
      <c r="K3443" s="6">
        <f t="shared" ca="1" si="220"/>
        <v>23576</v>
      </c>
      <c r="L3443">
        <v>-22185</v>
      </c>
      <c r="M3443" s="7">
        <f t="shared" ca="1" si="218"/>
        <v>60.739219712525667</v>
      </c>
      <c r="N3443" s="5" t="str">
        <f ca="1">VLOOKUP(Data!M3443,temp!$B$3:$C$9,2,1)</f>
        <v>60-70</v>
      </c>
      <c r="O3443">
        <v>-347</v>
      </c>
      <c r="P3443" s="8">
        <f t="shared" si="219"/>
        <v>0.95003422313483921</v>
      </c>
      <c r="Q3443" s="5" t="str">
        <f t="shared" si="221"/>
        <v>Employed</v>
      </c>
      <c r="R3443">
        <v>1</v>
      </c>
      <c r="S3443">
        <v>1</v>
      </c>
      <c r="T3443">
        <v>0</v>
      </c>
      <c r="U3443">
        <v>0</v>
      </c>
      <c r="V3443" t="s">
        <v>44</v>
      </c>
      <c r="W3443">
        <v>2</v>
      </c>
    </row>
    <row r="3444" spans="1:23" x14ac:dyDescent="0.2">
      <c r="A3444">
        <v>5114524</v>
      </c>
      <c r="B3444" t="s">
        <v>18</v>
      </c>
      <c r="C3444" t="s">
        <v>20</v>
      </c>
      <c r="D3444" t="s">
        <v>20</v>
      </c>
      <c r="E3444">
        <v>0</v>
      </c>
      <c r="F3444">
        <v>157500</v>
      </c>
      <c r="G3444" t="s">
        <v>31</v>
      </c>
      <c r="H3444" t="s">
        <v>22</v>
      </c>
      <c r="I3444" t="s">
        <v>28</v>
      </c>
      <c r="J3444" t="s">
        <v>43</v>
      </c>
      <c r="K3444" s="6">
        <f t="shared" ca="1" si="220"/>
        <v>23576</v>
      </c>
      <c r="L3444">
        <v>-22185</v>
      </c>
      <c r="M3444" s="7">
        <f t="shared" ca="1" si="218"/>
        <v>60.739219712525667</v>
      </c>
      <c r="N3444" s="5" t="str">
        <f ca="1">VLOOKUP(Data!M3444,temp!$B$3:$C$9,2,1)</f>
        <v>60-70</v>
      </c>
      <c r="O3444">
        <v>-347</v>
      </c>
      <c r="P3444" s="8">
        <f t="shared" si="219"/>
        <v>0.95003422313483921</v>
      </c>
      <c r="Q3444" s="5" t="str">
        <f t="shared" si="221"/>
        <v>Employed</v>
      </c>
      <c r="R3444">
        <v>1</v>
      </c>
      <c r="S3444">
        <v>1</v>
      </c>
      <c r="T3444">
        <v>0</v>
      </c>
      <c r="U3444">
        <v>0</v>
      </c>
      <c r="V3444" t="s">
        <v>44</v>
      </c>
      <c r="W3444">
        <v>2</v>
      </c>
    </row>
    <row r="3445" spans="1:23" x14ac:dyDescent="0.2">
      <c r="A3445">
        <v>5114534</v>
      </c>
      <c r="B3445" t="s">
        <v>18</v>
      </c>
      <c r="C3445" t="s">
        <v>19</v>
      </c>
      <c r="D3445" t="s">
        <v>20</v>
      </c>
      <c r="E3445">
        <v>0</v>
      </c>
      <c r="F3445">
        <v>126000</v>
      </c>
      <c r="G3445" t="s">
        <v>35</v>
      </c>
      <c r="H3445" t="s">
        <v>36</v>
      </c>
      <c r="I3445" t="s">
        <v>28</v>
      </c>
      <c r="J3445" t="s">
        <v>24</v>
      </c>
      <c r="K3445" s="6">
        <f t="shared" ca="1" si="220"/>
        <v>28232</v>
      </c>
      <c r="L3445">
        <v>-17529</v>
      </c>
      <c r="M3445" s="7">
        <f t="shared" ca="1" si="218"/>
        <v>47.991786447638603</v>
      </c>
      <c r="N3445" s="5" t="str">
        <f ca="1">VLOOKUP(Data!M3445,temp!$B$3:$C$9,2,1)</f>
        <v>40-50</v>
      </c>
      <c r="O3445">
        <v>-1716</v>
      </c>
      <c r="P3445" s="8">
        <f t="shared" si="219"/>
        <v>4.6981519507186862</v>
      </c>
      <c r="Q3445" s="5" t="str">
        <f t="shared" si="221"/>
        <v>Employed</v>
      </c>
      <c r="R3445">
        <v>1</v>
      </c>
      <c r="S3445">
        <v>0</v>
      </c>
      <c r="T3445">
        <v>0</v>
      </c>
      <c r="U3445">
        <v>0</v>
      </c>
      <c r="W3445">
        <v>2</v>
      </c>
    </row>
    <row r="3446" spans="1:23" x14ac:dyDescent="0.2">
      <c r="A3446">
        <v>5114550</v>
      </c>
      <c r="B3446" t="s">
        <v>18</v>
      </c>
      <c r="C3446" t="s">
        <v>19</v>
      </c>
      <c r="D3446" t="s">
        <v>20</v>
      </c>
      <c r="E3446">
        <v>1</v>
      </c>
      <c r="F3446">
        <v>135000</v>
      </c>
      <c r="G3446" t="s">
        <v>26</v>
      </c>
      <c r="H3446" t="s">
        <v>27</v>
      </c>
      <c r="I3446" t="s">
        <v>42</v>
      </c>
      <c r="J3446" t="s">
        <v>45</v>
      </c>
      <c r="K3446" s="6">
        <f t="shared" ca="1" si="220"/>
        <v>28640</v>
      </c>
      <c r="L3446">
        <v>-17121</v>
      </c>
      <c r="M3446" s="7">
        <f t="shared" ca="1" si="218"/>
        <v>46.874743326488705</v>
      </c>
      <c r="N3446" s="5" t="str">
        <f ca="1">VLOOKUP(Data!M3446,temp!$B$3:$C$9,2,1)</f>
        <v>40-50</v>
      </c>
      <c r="O3446">
        <v>-9751</v>
      </c>
      <c r="P3446" s="8">
        <f t="shared" si="219"/>
        <v>26.696783025325121</v>
      </c>
      <c r="Q3446" s="5" t="str">
        <f t="shared" si="221"/>
        <v>Employed</v>
      </c>
      <c r="R3446">
        <v>1</v>
      </c>
      <c r="S3446">
        <v>0</v>
      </c>
      <c r="T3446">
        <v>0</v>
      </c>
      <c r="U3446">
        <v>0</v>
      </c>
      <c r="V3446" t="s">
        <v>38</v>
      </c>
      <c r="W3446">
        <v>2</v>
      </c>
    </row>
    <row r="3447" spans="1:23" x14ac:dyDescent="0.2">
      <c r="A3447">
        <v>5114551</v>
      </c>
      <c r="B3447" t="s">
        <v>18</v>
      </c>
      <c r="C3447" t="s">
        <v>19</v>
      </c>
      <c r="D3447" t="s">
        <v>20</v>
      </c>
      <c r="E3447">
        <v>1</v>
      </c>
      <c r="F3447">
        <v>135000</v>
      </c>
      <c r="G3447" t="s">
        <v>26</v>
      </c>
      <c r="H3447" t="s">
        <v>27</v>
      </c>
      <c r="I3447" t="s">
        <v>42</v>
      </c>
      <c r="J3447" t="s">
        <v>45</v>
      </c>
      <c r="K3447" s="6">
        <f t="shared" ca="1" si="220"/>
        <v>28640</v>
      </c>
      <c r="L3447">
        <v>-17121</v>
      </c>
      <c r="M3447" s="7">
        <f t="shared" ca="1" si="218"/>
        <v>46.874743326488705</v>
      </c>
      <c r="N3447" s="5" t="str">
        <f ca="1">VLOOKUP(Data!M3447,temp!$B$3:$C$9,2,1)</f>
        <v>40-50</v>
      </c>
      <c r="O3447">
        <v>-9751</v>
      </c>
      <c r="P3447" s="8">
        <f t="shared" si="219"/>
        <v>26.696783025325121</v>
      </c>
      <c r="Q3447" s="5" t="str">
        <f t="shared" si="221"/>
        <v>Employed</v>
      </c>
      <c r="R3447">
        <v>1</v>
      </c>
      <c r="S3447">
        <v>0</v>
      </c>
      <c r="T3447">
        <v>0</v>
      </c>
      <c r="U3447">
        <v>0</v>
      </c>
      <c r="V3447" t="s">
        <v>38</v>
      </c>
      <c r="W3447">
        <v>2</v>
      </c>
    </row>
    <row r="3448" spans="1:23" x14ac:dyDescent="0.2">
      <c r="A3448">
        <v>5114553</v>
      </c>
      <c r="B3448" t="s">
        <v>18</v>
      </c>
      <c r="C3448" t="s">
        <v>19</v>
      </c>
      <c r="D3448" t="s">
        <v>20</v>
      </c>
      <c r="E3448">
        <v>1</v>
      </c>
      <c r="F3448">
        <v>135000</v>
      </c>
      <c r="G3448" t="s">
        <v>26</v>
      </c>
      <c r="H3448" t="s">
        <v>27</v>
      </c>
      <c r="I3448" t="s">
        <v>42</v>
      </c>
      <c r="J3448" t="s">
        <v>45</v>
      </c>
      <c r="K3448" s="6">
        <f t="shared" ca="1" si="220"/>
        <v>28640</v>
      </c>
      <c r="L3448">
        <v>-17121</v>
      </c>
      <c r="M3448" s="7">
        <f t="shared" ca="1" si="218"/>
        <v>46.874743326488705</v>
      </c>
      <c r="N3448" s="5" t="str">
        <f ca="1">VLOOKUP(Data!M3448,temp!$B$3:$C$9,2,1)</f>
        <v>40-50</v>
      </c>
      <c r="O3448">
        <v>-9751</v>
      </c>
      <c r="P3448" s="8">
        <f t="shared" si="219"/>
        <v>26.696783025325121</v>
      </c>
      <c r="Q3448" s="5" t="str">
        <f t="shared" si="221"/>
        <v>Employed</v>
      </c>
      <c r="R3448">
        <v>1</v>
      </c>
      <c r="S3448">
        <v>0</v>
      </c>
      <c r="T3448">
        <v>0</v>
      </c>
      <c r="U3448">
        <v>0</v>
      </c>
      <c r="V3448" t="s">
        <v>38</v>
      </c>
      <c r="W3448">
        <v>2</v>
      </c>
    </row>
    <row r="3449" spans="1:23" x14ac:dyDescent="0.2">
      <c r="A3449">
        <v>5114563</v>
      </c>
      <c r="B3449" t="s">
        <v>25</v>
      </c>
      <c r="C3449" t="s">
        <v>20</v>
      </c>
      <c r="D3449" t="s">
        <v>20</v>
      </c>
      <c r="E3449">
        <v>1</v>
      </c>
      <c r="F3449">
        <v>157500</v>
      </c>
      <c r="G3449" t="s">
        <v>31</v>
      </c>
      <c r="H3449" t="s">
        <v>27</v>
      </c>
      <c r="I3449" t="s">
        <v>28</v>
      </c>
      <c r="J3449" t="s">
        <v>24</v>
      </c>
      <c r="K3449" s="6">
        <f t="shared" ca="1" si="220"/>
        <v>30522</v>
      </c>
      <c r="L3449">
        <v>-15239</v>
      </c>
      <c r="M3449" s="7">
        <f t="shared" ca="1" si="218"/>
        <v>41.722108145106091</v>
      </c>
      <c r="N3449" s="5" t="str">
        <f ca="1">VLOOKUP(Data!M3449,temp!$B$3:$C$9,2,1)</f>
        <v>40-50</v>
      </c>
      <c r="O3449">
        <v>-2538</v>
      </c>
      <c r="P3449" s="8">
        <f t="shared" si="219"/>
        <v>6.9486652977412735</v>
      </c>
      <c r="Q3449" s="5" t="str">
        <f t="shared" si="221"/>
        <v>Employed</v>
      </c>
      <c r="R3449">
        <v>1</v>
      </c>
      <c r="S3449">
        <v>0</v>
      </c>
      <c r="T3449">
        <v>1</v>
      </c>
      <c r="U3449">
        <v>0</v>
      </c>
      <c r="V3449" t="s">
        <v>30</v>
      </c>
      <c r="W3449">
        <v>3</v>
      </c>
    </row>
    <row r="3450" spans="1:23" x14ac:dyDescent="0.2">
      <c r="A3450">
        <v>5114570</v>
      </c>
      <c r="B3450" t="s">
        <v>25</v>
      </c>
      <c r="C3450" t="s">
        <v>20</v>
      </c>
      <c r="D3450" t="s">
        <v>20</v>
      </c>
      <c r="E3450">
        <v>2</v>
      </c>
      <c r="F3450">
        <v>157500</v>
      </c>
      <c r="G3450" t="s">
        <v>26</v>
      </c>
      <c r="H3450" t="s">
        <v>27</v>
      </c>
      <c r="I3450" t="s">
        <v>28</v>
      </c>
      <c r="J3450" t="s">
        <v>24</v>
      </c>
      <c r="K3450" s="6">
        <f t="shared" ca="1" si="220"/>
        <v>35127</v>
      </c>
      <c r="L3450">
        <v>-10634</v>
      </c>
      <c r="M3450" s="7">
        <f t="shared" ca="1" si="218"/>
        <v>29.114305270362767</v>
      </c>
      <c r="N3450" s="5" t="str">
        <f ca="1">VLOOKUP(Data!M3450,temp!$B$3:$C$9,2,1)</f>
        <v>20-30</v>
      </c>
      <c r="O3450">
        <v>-102</v>
      </c>
      <c r="P3450" s="8">
        <f t="shared" si="219"/>
        <v>0.27926078028747431</v>
      </c>
      <c r="Q3450" s="5" t="str">
        <f t="shared" si="221"/>
        <v>Employed</v>
      </c>
      <c r="R3450">
        <v>1</v>
      </c>
      <c r="S3450">
        <v>0</v>
      </c>
      <c r="T3450">
        <v>0</v>
      </c>
      <c r="U3450">
        <v>0</v>
      </c>
      <c r="V3450" t="s">
        <v>56</v>
      </c>
      <c r="W3450">
        <v>4</v>
      </c>
    </row>
    <row r="3451" spans="1:23" x14ac:dyDescent="0.2">
      <c r="A3451">
        <v>5114594</v>
      </c>
      <c r="B3451" t="s">
        <v>25</v>
      </c>
      <c r="C3451" t="s">
        <v>19</v>
      </c>
      <c r="D3451" t="s">
        <v>20</v>
      </c>
      <c r="E3451">
        <v>0</v>
      </c>
      <c r="F3451">
        <v>202500</v>
      </c>
      <c r="G3451" t="s">
        <v>31</v>
      </c>
      <c r="H3451" t="s">
        <v>27</v>
      </c>
      <c r="I3451" t="s">
        <v>37</v>
      </c>
      <c r="J3451" t="s">
        <v>24</v>
      </c>
      <c r="K3451" s="6">
        <f t="shared" ca="1" si="220"/>
        <v>34875</v>
      </c>
      <c r="L3451">
        <v>-10886</v>
      </c>
      <c r="M3451" s="7">
        <f t="shared" ca="1" si="218"/>
        <v>29.804243668720055</v>
      </c>
      <c r="N3451" s="5" t="str">
        <f ca="1">VLOOKUP(Data!M3451,temp!$B$3:$C$9,2,1)</f>
        <v>20-30</v>
      </c>
      <c r="O3451">
        <v>-742</v>
      </c>
      <c r="P3451" s="8">
        <f t="shared" si="219"/>
        <v>2.0314852840520192</v>
      </c>
      <c r="Q3451" s="5" t="str">
        <f t="shared" si="221"/>
        <v>Employed</v>
      </c>
      <c r="R3451">
        <v>1</v>
      </c>
      <c r="S3451">
        <v>0</v>
      </c>
      <c r="T3451">
        <v>0</v>
      </c>
      <c r="U3451">
        <v>0</v>
      </c>
      <c r="V3451" t="s">
        <v>30</v>
      </c>
      <c r="W3451">
        <v>2</v>
      </c>
    </row>
    <row r="3452" spans="1:23" x14ac:dyDescent="0.2">
      <c r="A3452">
        <v>5114605</v>
      </c>
      <c r="B3452" t="s">
        <v>25</v>
      </c>
      <c r="C3452" t="s">
        <v>20</v>
      </c>
      <c r="D3452" t="s">
        <v>19</v>
      </c>
      <c r="E3452">
        <v>0</v>
      </c>
      <c r="F3452">
        <v>225000</v>
      </c>
      <c r="G3452" t="s">
        <v>31</v>
      </c>
      <c r="H3452" t="s">
        <v>27</v>
      </c>
      <c r="I3452" t="s">
        <v>33</v>
      </c>
      <c r="J3452" t="s">
        <v>24</v>
      </c>
      <c r="K3452" s="6">
        <f t="shared" ca="1" si="220"/>
        <v>32515</v>
      </c>
      <c r="L3452">
        <v>-13246</v>
      </c>
      <c r="M3452" s="7">
        <f t="shared" ca="1" si="218"/>
        <v>36.265571526351813</v>
      </c>
      <c r="N3452" s="5" t="str">
        <f ca="1">VLOOKUP(Data!M3452,temp!$B$3:$C$9,2,1)</f>
        <v>30-40</v>
      </c>
      <c r="O3452">
        <v>-2659</v>
      </c>
      <c r="P3452" s="8">
        <f t="shared" si="219"/>
        <v>7.2799452429842573</v>
      </c>
      <c r="Q3452" s="5" t="str">
        <f t="shared" si="221"/>
        <v>Employed</v>
      </c>
      <c r="R3452">
        <v>1</v>
      </c>
      <c r="S3452">
        <v>0</v>
      </c>
      <c r="T3452">
        <v>0</v>
      </c>
      <c r="U3452">
        <v>1</v>
      </c>
      <c r="W3452">
        <v>1</v>
      </c>
    </row>
    <row r="3453" spans="1:23" x14ac:dyDescent="0.2">
      <c r="A3453">
        <v>5114613</v>
      </c>
      <c r="B3453" t="s">
        <v>18</v>
      </c>
      <c r="C3453" t="s">
        <v>19</v>
      </c>
      <c r="D3453" t="s">
        <v>20</v>
      </c>
      <c r="E3453">
        <v>0</v>
      </c>
      <c r="F3453">
        <v>126000</v>
      </c>
      <c r="G3453" t="s">
        <v>21</v>
      </c>
      <c r="H3453" t="s">
        <v>27</v>
      </c>
      <c r="I3453" t="s">
        <v>42</v>
      </c>
      <c r="J3453" t="s">
        <v>24</v>
      </c>
      <c r="K3453" s="6">
        <f t="shared" ca="1" si="220"/>
        <v>26158</v>
      </c>
      <c r="L3453">
        <v>-19603</v>
      </c>
      <c r="M3453" s="7">
        <f t="shared" ca="1" si="218"/>
        <v>53.670088980150581</v>
      </c>
      <c r="N3453" s="5" t="str">
        <f ca="1">VLOOKUP(Data!M3453,temp!$B$3:$C$9,2,1)</f>
        <v>50-60</v>
      </c>
      <c r="O3453">
        <v>365243</v>
      </c>
      <c r="P3453" s="8">
        <f t="shared" si="219"/>
        <v>0</v>
      </c>
      <c r="Q3453" s="5" t="str">
        <f t="shared" si="221"/>
        <v>Unemployed</v>
      </c>
      <c r="R3453">
        <v>1</v>
      </c>
      <c r="S3453">
        <v>0</v>
      </c>
      <c r="T3453">
        <v>1</v>
      </c>
      <c r="U3453">
        <v>1</v>
      </c>
      <c r="W3453">
        <v>1</v>
      </c>
    </row>
    <row r="3454" spans="1:23" x14ac:dyDescent="0.2">
      <c r="A3454">
        <v>5114626</v>
      </c>
      <c r="B3454" t="s">
        <v>25</v>
      </c>
      <c r="C3454" t="s">
        <v>19</v>
      </c>
      <c r="D3454" t="s">
        <v>20</v>
      </c>
      <c r="E3454">
        <v>0</v>
      </c>
      <c r="F3454">
        <v>945000</v>
      </c>
      <c r="G3454" t="s">
        <v>31</v>
      </c>
      <c r="H3454" t="s">
        <v>27</v>
      </c>
      <c r="I3454" t="s">
        <v>28</v>
      </c>
      <c r="J3454" t="s">
        <v>24</v>
      </c>
      <c r="K3454" s="6">
        <f t="shared" ca="1" si="220"/>
        <v>24925</v>
      </c>
      <c r="L3454">
        <v>-20836</v>
      </c>
      <c r="M3454" s="7">
        <f t="shared" ca="1" si="218"/>
        <v>57.045859000684466</v>
      </c>
      <c r="N3454" s="5" t="str">
        <f ca="1">VLOOKUP(Data!M3454,temp!$B$3:$C$9,2,1)</f>
        <v>50-60</v>
      </c>
      <c r="O3454">
        <v>-1838</v>
      </c>
      <c r="P3454" s="8">
        <f t="shared" si="219"/>
        <v>5.032169746748802</v>
      </c>
      <c r="Q3454" s="5" t="str">
        <f t="shared" si="221"/>
        <v>Employed</v>
      </c>
      <c r="R3454">
        <v>1</v>
      </c>
      <c r="S3454">
        <v>0</v>
      </c>
      <c r="T3454">
        <v>0</v>
      </c>
      <c r="U3454">
        <v>0</v>
      </c>
      <c r="V3454" t="s">
        <v>32</v>
      </c>
      <c r="W3454">
        <v>2</v>
      </c>
    </row>
    <row r="3455" spans="1:23" x14ac:dyDescent="0.2">
      <c r="A3455">
        <v>5114627</v>
      </c>
      <c r="B3455" t="s">
        <v>25</v>
      </c>
      <c r="C3455" t="s">
        <v>19</v>
      </c>
      <c r="D3455" t="s">
        <v>20</v>
      </c>
      <c r="E3455">
        <v>0</v>
      </c>
      <c r="F3455">
        <v>945000</v>
      </c>
      <c r="G3455" t="s">
        <v>31</v>
      </c>
      <c r="H3455" t="s">
        <v>27</v>
      </c>
      <c r="I3455" t="s">
        <v>28</v>
      </c>
      <c r="J3455" t="s">
        <v>24</v>
      </c>
      <c r="K3455" s="6">
        <f t="shared" ca="1" si="220"/>
        <v>24925</v>
      </c>
      <c r="L3455">
        <v>-20836</v>
      </c>
      <c r="M3455" s="7">
        <f t="shared" ca="1" si="218"/>
        <v>57.045859000684466</v>
      </c>
      <c r="N3455" s="5" t="str">
        <f ca="1">VLOOKUP(Data!M3455,temp!$B$3:$C$9,2,1)</f>
        <v>50-60</v>
      </c>
      <c r="O3455">
        <v>-1838</v>
      </c>
      <c r="P3455" s="8">
        <f t="shared" si="219"/>
        <v>5.032169746748802</v>
      </c>
      <c r="Q3455" s="5" t="str">
        <f t="shared" si="221"/>
        <v>Employed</v>
      </c>
      <c r="R3455">
        <v>1</v>
      </c>
      <c r="S3455">
        <v>0</v>
      </c>
      <c r="T3455">
        <v>0</v>
      </c>
      <c r="U3455">
        <v>0</v>
      </c>
      <c r="V3455" t="s">
        <v>32</v>
      </c>
      <c r="W3455">
        <v>2</v>
      </c>
    </row>
    <row r="3456" spans="1:23" x14ac:dyDescent="0.2">
      <c r="A3456">
        <v>5114634</v>
      </c>
      <c r="B3456" t="s">
        <v>18</v>
      </c>
      <c r="C3456" t="s">
        <v>19</v>
      </c>
      <c r="D3456" t="s">
        <v>20</v>
      </c>
      <c r="E3456">
        <v>0</v>
      </c>
      <c r="F3456">
        <v>81000</v>
      </c>
      <c r="G3456" t="s">
        <v>31</v>
      </c>
      <c r="H3456" t="s">
        <v>27</v>
      </c>
      <c r="I3456" t="s">
        <v>28</v>
      </c>
      <c r="J3456" t="s">
        <v>24</v>
      </c>
      <c r="K3456" s="6">
        <f t="shared" ca="1" si="220"/>
        <v>26023</v>
      </c>
      <c r="L3456">
        <v>-19738</v>
      </c>
      <c r="M3456" s="7">
        <f t="shared" ca="1" si="218"/>
        <v>54.039698836413415</v>
      </c>
      <c r="N3456" s="5" t="str">
        <f ca="1">VLOOKUP(Data!M3456,temp!$B$3:$C$9,2,1)</f>
        <v>50-60</v>
      </c>
      <c r="O3456">
        <v>-286</v>
      </c>
      <c r="P3456" s="8">
        <f t="shared" si="219"/>
        <v>0.78302532511978096</v>
      </c>
      <c r="Q3456" s="5" t="str">
        <f t="shared" si="221"/>
        <v>Employed</v>
      </c>
      <c r="R3456">
        <v>1</v>
      </c>
      <c r="S3456">
        <v>1</v>
      </c>
      <c r="T3456">
        <v>0</v>
      </c>
      <c r="U3456">
        <v>0</v>
      </c>
      <c r="V3456" t="s">
        <v>39</v>
      </c>
      <c r="W3456">
        <v>2</v>
      </c>
    </row>
    <row r="3457" spans="1:23" x14ac:dyDescent="0.2">
      <c r="A3457">
        <v>5114636</v>
      </c>
      <c r="B3457" t="s">
        <v>25</v>
      </c>
      <c r="C3457" t="s">
        <v>19</v>
      </c>
      <c r="D3457" t="s">
        <v>20</v>
      </c>
      <c r="E3457">
        <v>1</v>
      </c>
      <c r="F3457">
        <v>175500</v>
      </c>
      <c r="G3457" t="s">
        <v>31</v>
      </c>
      <c r="H3457" t="s">
        <v>27</v>
      </c>
      <c r="I3457" t="s">
        <v>28</v>
      </c>
      <c r="J3457" t="s">
        <v>34</v>
      </c>
      <c r="K3457" s="6">
        <f t="shared" ca="1" si="220"/>
        <v>34844</v>
      </c>
      <c r="L3457">
        <v>-10917</v>
      </c>
      <c r="M3457" s="7">
        <f t="shared" ca="1" si="218"/>
        <v>29.88911704312115</v>
      </c>
      <c r="N3457" s="5" t="str">
        <f ca="1">VLOOKUP(Data!M3457,temp!$B$3:$C$9,2,1)</f>
        <v>20-30</v>
      </c>
      <c r="O3457">
        <v>-377</v>
      </c>
      <c r="P3457" s="8">
        <f t="shared" si="219"/>
        <v>1.0321697467488022</v>
      </c>
      <c r="Q3457" s="5" t="str">
        <f t="shared" si="221"/>
        <v>Employed</v>
      </c>
      <c r="R3457">
        <v>1</v>
      </c>
      <c r="S3457">
        <v>0</v>
      </c>
      <c r="T3457">
        <v>0</v>
      </c>
      <c r="U3457">
        <v>0</v>
      </c>
      <c r="V3457" t="s">
        <v>39</v>
      </c>
      <c r="W3457">
        <v>3</v>
      </c>
    </row>
    <row r="3458" spans="1:23" x14ac:dyDescent="0.2">
      <c r="A3458">
        <v>5114640</v>
      </c>
      <c r="B3458" t="s">
        <v>25</v>
      </c>
      <c r="C3458" t="s">
        <v>19</v>
      </c>
      <c r="D3458" t="s">
        <v>20</v>
      </c>
      <c r="E3458">
        <v>2</v>
      </c>
      <c r="F3458">
        <v>135000</v>
      </c>
      <c r="G3458" t="s">
        <v>31</v>
      </c>
      <c r="H3458" t="s">
        <v>27</v>
      </c>
      <c r="I3458" t="s">
        <v>28</v>
      </c>
      <c r="J3458" t="s">
        <v>24</v>
      </c>
      <c r="K3458" s="6">
        <f t="shared" ca="1" si="220"/>
        <v>34751</v>
      </c>
      <c r="L3458">
        <v>-11010</v>
      </c>
      <c r="M3458" s="7">
        <f t="shared" ca="1" si="218"/>
        <v>30.143737166324435</v>
      </c>
      <c r="N3458" s="5" t="str">
        <f ca="1">VLOOKUP(Data!M3458,temp!$B$3:$C$9,2,1)</f>
        <v>30-40</v>
      </c>
      <c r="O3458">
        <v>-1838</v>
      </c>
      <c r="P3458" s="8">
        <f t="shared" si="219"/>
        <v>5.032169746748802</v>
      </c>
      <c r="Q3458" s="5" t="str">
        <f t="shared" si="221"/>
        <v>Employed</v>
      </c>
      <c r="R3458">
        <v>1</v>
      </c>
      <c r="S3458">
        <v>0</v>
      </c>
      <c r="T3458">
        <v>0</v>
      </c>
      <c r="U3458">
        <v>0</v>
      </c>
      <c r="V3458" t="s">
        <v>38</v>
      </c>
      <c r="W3458">
        <v>4</v>
      </c>
    </row>
    <row r="3459" spans="1:23" x14ac:dyDescent="0.2">
      <c r="A3459">
        <v>5114641</v>
      </c>
      <c r="B3459" t="s">
        <v>25</v>
      </c>
      <c r="C3459" t="s">
        <v>19</v>
      </c>
      <c r="D3459" t="s">
        <v>20</v>
      </c>
      <c r="E3459">
        <v>2</v>
      </c>
      <c r="F3459">
        <v>135000</v>
      </c>
      <c r="G3459" t="s">
        <v>31</v>
      </c>
      <c r="H3459" t="s">
        <v>27</v>
      </c>
      <c r="I3459" t="s">
        <v>28</v>
      </c>
      <c r="J3459" t="s">
        <v>24</v>
      </c>
      <c r="K3459" s="6">
        <f t="shared" ca="1" si="220"/>
        <v>34751</v>
      </c>
      <c r="L3459">
        <v>-11010</v>
      </c>
      <c r="M3459" s="7">
        <f t="shared" ref="M3459:M3522" ca="1" si="222">(TODAY()-K3459)/365.25</f>
        <v>30.143737166324435</v>
      </c>
      <c r="N3459" s="5" t="str">
        <f ca="1">VLOOKUP(Data!M3459,temp!$B$3:$C$9,2,1)</f>
        <v>30-40</v>
      </c>
      <c r="O3459">
        <v>-1838</v>
      </c>
      <c r="P3459" s="8">
        <f t="shared" ref="P3459:P3522" si="223">IF(O3459&lt;=0,ABS(O3459)/365.25,0)</f>
        <v>5.032169746748802</v>
      </c>
      <c r="Q3459" s="5" t="str">
        <f t="shared" si="221"/>
        <v>Employed</v>
      </c>
      <c r="R3459">
        <v>1</v>
      </c>
      <c r="S3459">
        <v>0</v>
      </c>
      <c r="T3459">
        <v>0</v>
      </c>
      <c r="U3459">
        <v>0</v>
      </c>
      <c r="V3459" t="s">
        <v>38</v>
      </c>
      <c r="W3459">
        <v>4</v>
      </c>
    </row>
    <row r="3460" spans="1:23" x14ac:dyDescent="0.2">
      <c r="A3460">
        <v>5114648</v>
      </c>
      <c r="B3460" t="s">
        <v>25</v>
      </c>
      <c r="C3460" t="s">
        <v>19</v>
      </c>
      <c r="D3460" t="s">
        <v>19</v>
      </c>
      <c r="E3460">
        <v>0</v>
      </c>
      <c r="F3460">
        <v>247500</v>
      </c>
      <c r="G3460" t="s">
        <v>26</v>
      </c>
      <c r="H3460" t="s">
        <v>27</v>
      </c>
      <c r="I3460" t="s">
        <v>28</v>
      </c>
      <c r="J3460" t="s">
        <v>34</v>
      </c>
      <c r="K3460" s="6">
        <f t="shared" ca="1" si="220"/>
        <v>26768</v>
      </c>
      <c r="L3460">
        <v>-18993</v>
      </c>
      <c r="M3460" s="7">
        <f t="shared" ca="1" si="222"/>
        <v>52</v>
      </c>
      <c r="N3460" s="5" t="str">
        <f ca="1">VLOOKUP(Data!M3460,temp!$B$3:$C$9,2,1)</f>
        <v>50-60</v>
      </c>
      <c r="O3460">
        <v>-1747</v>
      </c>
      <c r="P3460" s="8">
        <f t="shared" si="223"/>
        <v>4.7830253251197812</v>
      </c>
      <c r="Q3460" s="5" t="str">
        <f t="shared" si="221"/>
        <v>Employed</v>
      </c>
      <c r="R3460">
        <v>1</v>
      </c>
      <c r="S3460">
        <v>0</v>
      </c>
      <c r="T3460">
        <v>0</v>
      </c>
      <c r="U3460">
        <v>1</v>
      </c>
      <c r="V3460" t="s">
        <v>40</v>
      </c>
      <c r="W3460">
        <v>2</v>
      </c>
    </row>
    <row r="3461" spans="1:23" x14ac:dyDescent="0.2">
      <c r="A3461">
        <v>5115396</v>
      </c>
      <c r="B3461" t="s">
        <v>25</v>
      </c>
      <c r="C3461" t="s">
        <v>19</v>
      </c>
      <c r="D3461" t="s">
        <v>20</v>
      </c>
      <c r="E3461">
        <v>2</v>
      </c>
      <c r="F3461">
        <v>180000</v>
      </c>
      <c r="G3461" t="s">
        <v>31</v>
      </c>
      <c r="H3461" t="s">
        <v>27</v>
      </c>
      <c r="I3461" t="s">
        <v>28</v>
      </c>
      <c r="J3461" t="s">
        <v>24</v>
      </c>
      <c r="K3461" s="6">
        <f t="shared" ca="1" si="220"/>
        <v>28756</v>
      </c>
      <c r="L3461">
        <v>-17005</v>
      </c>
      <c r="M3461" s="7">
        <f t="shared" ca="1" si="222"/>
        <v>46.557152635181382</v>
      </c>
      <c r="N3461" s="5" t="str">
        <f ca="1">VLOOKUP(Data!M3461,temp!$B$3:$C$9,2,1)</f>
        <v>40-50</v>
      </c>
      <c r="O3461">
        <v>-3267</v>
      </c>
      <c r="P3461" s="8">
        <f t="shared" si="223"/>
        <v>8.944558521560575</v>
      </c>
      <c r="Q3461" s="5" t="str">
        <f t="shared" si="221"/>
        <v>Employed</v>
      </c>
      <c r="R3461">
        <v>1</v>
      </c>
      <c r="S3461">
        <v>0</v>
      </c>
      <c r="T3461">
        <v>0</v>
      </c>
      <c r="U3461">
        <v>0</v>
      </c>
      <c r="V3461" t="s">
        <v>29</v>
      </c>
      <c r="W3461">
        <v>4</v>
      </c>
    </row>
    <row r="3462" spans="1:23" x14ac:dyDescent="0.2">
      <c r="A3462">
        <v>5115462</v>
      </c>
      <c r="B3462" t="s">
        <v>25</v>
      </c>
      <c r="C3462" t="s">
        <v>19</v>
      </c>
      <c r="D3462" t="s">
        <v>19</v>
      </c>
      <c r="E3462">
        <v>0</v>
      </c>
      <c r="F3462">
        <v>157500</v>
      </c>
      <c r="G3462" t="s">
        <v>26</v>
      </c>
      <c r="H3462" t="s">
        <v>22</v>
      </c>
      <c r="I3462" t="s">
        <v>37</v>
      </c>
      <c r="J3462" t="s">
        <v>24</v>
      </c>
      <c r="K3462" s="6">
        <f t="shared" ca="1" si="220"/>
        <v>36400</v>
      </c>
      <c r="L3462">
        <v>-9361</v>
      </c>
      <c r="M3462" s="7">
        <f t="shared" ca="1" si="222"/>
        <v>25.629021218343599</v>
      </c>
      <c r="N3462" s="5" t="str">
        <f ca="1">VLOOKUP(Data!M3462,temp!$B$3:$C$9,2,1)</f>
        <v>20-30</v>
      </c>
      <c r="O3462">
        <v>-164</v>
      </c>
      <c r="P3462" s="8">
        <f t="shared" si="223"/>
        <v>0.44900752908966463</v>
      </c>
      <c r="Q3462" s="5" t="str">
        <f t="shared" si="221"/>
        <v>Employed</v>
      </c>
      <c r="R3462">
        <v>1</v>
      </c>
      <c r="S3462">
        <v>1</v>
      </c>
      <c r="T3462">
        <v>0</v>
      </c>
      <c r="U3462">
        <v>0</v>
      </c>
      <c r="V3462" t="s">
        <v>54</v>
      </c>
      <c r="W3462">
        <v>2</v>
      </c>
    </row>
    <row r="3463" spans="1:23" x14ac:dyDescent="0.2">
      <c r="A3463">
        <v>5115465</v>
      </c>
      <c r="B3463" t="s">
        <v>18</v>
      </c>
      <c r="C3463" t="s">
        <v>19</v>
      </c>
      <c r="D3463" t="s">
        <v>20</v>
      </c>
      <c r="E3463">
        <v>0</v>
      </c>
      <c r="F3463">
        <v>112500</v>
      </c>
      <c r="G3463" t="s">
        <v>21</v>
      </c>
      <c r="H3463" t="s">
        <v>27</v>
      </c>
      <c r="I3463" t="s">
        <v>28</v>
      </c>
      <c r="J3463" t="s">
        <v>24</v>
      </c>
      <c r="K3463" s="6">
        <f t="shared" ca="1" si="220"/>
        <v>24753</v>
      </c>
      <c r="L3463">
        <v>-21008</v>
      </c>
      <c r="M3463" s="7">
        <f t="shared" ca="1" si="222"/>
        <v>57.516769336071185</v>
      </c>
      <c r="N3463" s="5" t="str">
        <f ca="1">VLOOKUP(Data!M3463,temp!$B$3:$C$9,2,1)</f>
        <v>50-60</v>
      </c>
      <c r="O3463">
        <v>365243</v>
      </c>
      <c r="P3463" s="8">
        <f t="shared" si="223"/>
        <v>0</v>
      </c>
      <c r="Q3463" s="5" t="str">
        <f t="shared" si="221"/>
        <v>Unemployed</v>
      </c>
      <c r="R3463">
        <v>1</v>
      </c>
      <c r="S3463">
        <v>0</v>
      </c>
      <c r="T3463">
        <v>0</v>
      </c>
      <c r="U3463">
        <v>0</v>
      </c>
      <c r="W3463">
        <v>2</v>
      </c>
    </row>
    <row r="3464" spans="1:23" x14ac:dyDescent="0.2">
      <c r="A3464">
        <v>5115472</v>
      </c>
      <c r="B3464" t="s">
        <v>18</v>
      </c>
      <c r="C3464" t="s">
        <v>19</v>
      </c>
      <c r="D3464" t="s">
        <v>20</v>
      </c>
      <c r="E3464">
        <v>0</v>
      </c>
      <c r="F3464">
        <v>112500</v>
      </c>
      <c r="G3464" t="s">
        <v>21</v>
      </c>
      <c r="H3464" t="s">
        <v>27</v>
      </c>
      <c r="I3464" t="s">
        <v>28</v>
      </c>
      <c r="J3464" t="s">
        <v>24</v>
      </c>
      <c r="K3464" s="6">
        <f t="shared" ref="K3464:K3527" ca="1" si="224">TODAY()+($L3464)</f>
        <v>24753</v>
      </c>
      <c r="L3464">
        <v>-21008</v>
      </c>
      <c r="M3464" s="7">
        <f t="shared" ca="1" si="222"/>
        <v>57.516769336071185</v>
      </c>
      <c r="N3464" s="5" t="str">
        <f ca="1">VLOOKUP(Data!M3464,temp!$B$3:$C$9,2,1)</f>
        <v>50-60</v>
      </c>
      <c r="O3464">
        <v>365243</v>
      </c>
      <c r="P3464" s="8">
        <f t="shared" si="223"/>
        <v>0</v>
      </c>
      <c r="Q3464" s="5" t="str">
        <f t="shared" ref="Q3464:Q3527" si="225">IF($O3464&gt;0,"Unemployed","Employed")</f>
        <v>Unemployed</v>
      </c>
      <c r="R3464">
        <v>1</v>
      </c>
      <c r="S3464">
        <v>0</v>
      </c>
      <c r="T3464">
        <v>0</v>
      </c>
      <c r="U3464">
        <v>0</v>
      </c>
      <c r="W3464">
        <v>2</v>
      </c>
    </row>
    <row r="3465" spans="1:23" x14ac:dyDescent="0.2">
      <c r="A3465">
        <v>5115474</v>
      </c>
      <c r="B3465" t="s">
        <v>18</v>
      </c>
      <c r="C3465" t="s">
        <v>19</v>
      </c>
      <c r="D3465" t="s">
        <v>20</v>
      </c>
      <c r="E3465">
        <v>0</v>
      </c>
      <c r="F3465">
        <v>112500</v>
      </c>
      <c r="G3465" t="s">
        <v>21</v>
      </c>
      <c r="H3465" t="s">
        <v>27</v>
      </c>
      <c r="I3465" t="s">
        <v>28</v>
      </c>
      <c r="J3465" t="s">
        <v>24</v>
      </c>
      <c r="K3465" s="6">
        <f t="shared" ca="1" si="224"/>
        <v>24753</v>
      </c>
      <c r="L3465">
        <v>-21008</v>
      </c>
      <c r="M3465" s="7">
        <f t="shared" ca="1" si="222"/>
        <v>57.516769336071185</v>
      </c>
      <c r="N3465" s="5" t="str">
        <f ca="1">VLOOKUP(Data!M3465,temp!$B$3:$C$9,2,1)</f>
        <v>50-60</v>
      </c>
      <c r="O3465">
        <v>365243</v>
      </c>
      <c r="P3465" s="8">
        <f t="shared" si="223"/>
        <v>0</v>
      </c>
      <c r="Q3465" s="5" t="str">
        <f t="shared" si="225"/>
        <v>Unemployed</v>
      </c>
      <c r="R3465">
        <v>1</v>
      </c>
      <c r="S3465">
        <v>0</v>
      </c>
      <c r="T3465">
        <v>0</v>
      </c>
      <c r="U3465">
        <v>0</v>
      </c>
      <c r="W3465">
        <v>2</v>
      </c>
    </row>
    <row r="3466" spans="1:23" x14ac:dyDescent="0.2">
      <c r="A3466">
        <v>5115492</v>
      </c>
      <c r="B3466" t="s">
        <v>25</v>
      </c>
      <c r="C3466" t="s">
        <v>20</v>
      </c>
      <c r="D3466" t="s">
        <v>20</v>
      </c>
      <c r="E3466">
        <v>2</v>
      </c>
      <c r="F3466">
        <v>225000</v>
      </c>
      <c r="G3466" t="s">
        <v>26</v>
      </c>
      <c r="H3466" t="s">
        <v>27</v>
      </c>
      <c r="I3466" t="s">
        <v>28</v>
      </c>
      <c r="J3466" t="s">
        <v>24</v>
      </c>
      <c r="K3466" s="6">
        <f t="shared" ca="1" si="224"/>
        <v>29677</v>
      </c>
      <c r="L3466">
        <v>-16084</v>
      </c>
      <c r="M3466" s="7">
        <f t="shared" ca="1" si="222"/>
        <v>44.035592060232716</v>
      </c>
      <c r="N3466" s="5" t="str">
        <f ca="1">VLOOKUP(Data!M3466,temp!$B$3:$C$9,2,1)</f>
        <v>40-50</v>
      </c>
      <c r="O3466">
        <v>-1382</v>
      </c>
      <c r="P3466" s="8">
        <f t="shared" si="223"/>
        <v>3.783709787816564</v>
      </c>
      <c r="Q3466" s="5" t="str">
        <f t="shared" si="225"/>
        <v>Employed</v>
      </c>
      <c r="R3466">
        <v>1</v>
      </c>
      <c r="S3466">
        <v>0</v>
      </c>
      <c r="T3466">
        <v>0</v>
      </c>
      <c r="U3466">
        <v>0</v>
      </c>
      <c r="V3466" t="s">
        <v>29</v>
      </c>
      <c r="W3466">
        <v>4</v>
      </c>
    </row>
    <row r="3467" spans="1:23" x14ac:dyDescent="0.2">
      <c r="A3467">
        <v>5115497</v>
      </c>
      <c r="B3467" t="s">
        <v>25</v>
      </c>
      <c r="C3467" t="s">
        <v>20</v>
      </c>
      <c r="D3467" t="s">
        <v>20</v>
      </c>
      <c r="E3467">
        <v>2</v>
      </c>
      <c r="F3467">
        <v>225000</v>
      </c>
      <c r="G3467" t="s">
        <v>26</v>
      </c>
      <c r="H3467" t="s">
        <v>27</v>
      </c>
      <c r="I3467" t="s">
        <v>28</v>
      </c>
      <c r="J3467" t="s">
        <v>24</v>
      </c>
      <c r="K3467" s="6">
        <f t="shared" ca="1" si="224"/>
        <v>29677</v>
      </c>
      <c r="L3467">
        <v>-16084</v>
      </c>
      <c r="M3467" s="7">
        <f t="shared" ca="1" si="222"/>
        <v>44.035592060232716</v>
      </c>
      <c r="N3467" s="5" t="str">
        <f ca="1">VLOOKUP(Data!M3467,temp!$B$3:$C$9,2,1)</f>
        <v>40-50</v>
      </c>
      <c r="O3467">
        <v>-1382</v>
      </c>
      <c r="P3467" s="8">
        <f t="shared" si="223"/>
        <v>3.783709787816564</v>
      </c>
      <c r="Q3467" s="5" t="str">
        <f t="shared" si="225"/>
        <v>Employed</v>
      </c>
      <c r="R3467">
        <v>1</v>
      </c>
      <c r="S3467">
        <v>0</v>
      </c>
      <c r="T3467">
        <v>0</v>
      </c>
      <c r="U3467">
        <v>0</v>
      </c>
      <c r="V3467" t="s">
        <v>29</v>
      </c>
      <c r="W3467">
        <v>4</v>
      </c>
    </row>
    <row r="3468" spans="1:23" x14ac:dyDescent="0.2">
      <c r="A3468">
        <v>5115498</v>
      </c>
      <c r="B3468" t="s">
        <v>25</v>
      </c>
      <c r="C3468" t="s">
        <v>20</v>
      </c>
      <c r="D3468" t="s">
        <v>20</v>
      </c>
      <c r="E3468">
        <v>2</v>
      </c>
      <c r="F3468">
        <v>225000</v>
      </c>
      <c r="G3468" t="s">
        <v>26</v>
      </c>
      <c r="H3468" t="s">
        <v>27</v>
      </c>
      <c r="I3468" t="s">
        <v>28</v>
      </c>
      <c r="J3468" t="s">
        <v>24</v>
      </c>
      <c r="K3468" s="6">
        <f t="shared" ca="1" si="224"/>
        <v>29677</v>
      </c>
      <c r="L3468">
        <v>-16084</v>
      </c>
      <c r="M3468" s="7">
        <f t="shared" ca="1" si="222"/>
        <v>44.035592060232716</v>
      </c>
      <c r="N3468" s="5" t="str">
        <f ca="1">VLOOKUP(Data!M3468,temp!$B$3:$C$9,2,1)</f>
        <v>40-50</v>
      </c>
      <c r="O3468">
        <v>-1382</v>
      </c>
      <c r="P3468" s="8">
        <f t="shared" si="223"/>
        <v>3.783709787816564</v>
      </c>
      <c r="Q3468" s="5" t="str">
        <f t="shared" si="225"/>
        <v>Employed</v>
      </c>
      <c r="R3468">
        <v>1</v>
      </c>
      <c r="S3468">
        <v>0</v>
      </c>
      <c r="T3468">
        <v>0</v>
      </c>
      <c r="U3468">
        <v>0</v>
      </c>
      <c r="V3468" t="s">
        <v>29</v>
      </c>
      <c r="W3468">
        <v>4</v>
      </c>
    </row>
    <row r="3469" spans="1:23" x14ac:dyDescent="0.2">
      <c r="A3469">
        <v>5115503</v>
      </c>
      <c r="B3469" t="s">
        <v>25</v>
      </c>
      <c r="C3469" t="s">
        <v>20</v>
      </c>
      <c r="D3469" t="s">
        <v>20</v>
      </c>
      <c r="E3469">
        <v>2</v>
      </c>
      <c r="F3469">
        <v>225000</v>
      </c>
      <c r="G3469" t="s">
        <v>26</v>
      </c>
      <c r="H3469" t="s">
        <v>27</v>
      </c>
      <c r="I3469" t="s">
        <v>28</v>
      </c>
      <c r="J3469" t="s">
        <v>24</v>
      </c>
      <c r="K3469" s="6">
        <f t="shared" ca="1" si="224"/>
        <v>29677</v>
      </c>
      <c r="L3469">
        <v>-16084</v>
      </c>
      <c r="M3469" s="7">
        <f t="shared" ca="1" si="222"/>
        <v>44.035592060232716</v>
      </c>
      <c r="N3469" s="5" t="str">
        <f ca="1">VLOOKUP(Data!M3469,temp!$B$3:$C$9,2,1)</f>
        <v>40-50</v>
      </c>
      <c r="O3469">
        <v>-1382</v>
      </c>
      <c r="P3469" s="8">
        <f t="shared" si="223"/>
        <v>3.783709787816564</v>
      </c>
      <c r="Q3469" s="5" t="str">
        <f t="shared" si="225"/>
        <v>Employed</v>
      </c>
      <c r="R3469">
        <v>1</v>
      </c>
      <c r="S3469">
        <v>0</v>
      </c>
      <c r="T3469">
        <v>0</v>
      </c>
      <c r="U3469">
        <v>0</v>
      </c>
      <c r="V3469" t="s">
        <v>29</v>
      </c>
      <c r="W3469">
        <v>4</v>
      </c>
    </row>
    <row r="3470" spans="1:23" x14ac:dyDescent="0.2">
      <c r="A3470">
        <v>5115523</v>
      </c>
      <c r="B3470" t="s">
        <v>18</v>
      </c>
      <c r="C3470" t="s">
        <v>19</v>
      </c>
      <c r="D3470" t="s">
        <v>20</v>
      </c>
      <c r="E3470">
        <v>3</v>
      </c>
      <c r="F3470">
        <v>112500</v>
      </c>
      <c r="G3470" t="s">
        <v>31</v>
      </c>
      <c r="H3470" t="s">
        <v>27</v>
      </c>
      <c r="I3470" t="s">
        <v>28</v>
      </c>
      <c r="J3470" t="s">
        <v>24</v>
      </c>
      <c r="K3470" s="6">
        <f t="shared" ca="1" si="224"/>
        <v>32741</v>
      </c>
      <c r="L3470">
        <v>-13020</v>
      </c>
      <c r="M3470" s="7">
        <f t="shared" ca="1" si="222"/>
        <v>35.646817248459961</v>
      </c>
      <c r="N3470" s="5" t="str">
        <f ca="1">VLOOKUP(Data!M3470,temp!$B$3:$C$9,2,1)</f>
        <v>30-40</v>
      </c>
      <c r="O3470">
        <v>-3693</v>
      </c>
      <c r="P3470" s="8">
        <f t="shared" si="223"/>
        <v>10.11088295687885</v>
      </c>
      <c r="Q3470" s="5" t="str">
        <f t="shared" si="225"/>
        <v>Employed</v>
      </c>
      <c r="R3470">
        <v>1</v>
      </c>
      <c r="S3470">
        <v>0</v>
      </c>
      <c r="T3470">
        <v>0</v>
      </c>
      <c r="U3470">
        <v>0</v>
      </c>
      <c r="V3470" t="s">
        <v>38</v>
      </c>
      <c r="W3470">
        <v>5</v>
      </c>
    </row>
    <row r="3471" spans="1:23" x14ac:dyDescent="0.2">
      <c r="A3471">
        <v>5115538</v>
      </c>
      <c r="B3471" t="s">
        <v>18</v>
      </c>
      <c r="C3471" t="s">
        <v>19</v>
      </c>
      <c r="D3471" t="s">
        <v>20</v>
      </c>
      <c r="E3471">
        <v>0</v>
      </c>
      <c r="F3471">
        <v>225000</v>
      </c>
      <c r="G3471" t="s">
        <v>31</v>
      </c>
      <c r="H3471" t="s">
        <v>27</v>
      </c>
      <c r="I3471" t="s">
        <v>28</v>
      </c>
      <c r="J3471" t="s">
        <v>53</v>
      </c>
      <c r="K3471" s="6">
        <f t="shared" ca="1" si="224"/>
        <v>26697</v>
      </c>
      <c r="L3471">
        <v>-19064</v>
      </c>
      <c r="M3471" s="7">
        <f t="shared" ca="1" si="222"/>
        <v>52.194387405886381</v>
      </c>
      <c r="N3471" s="5" t="str">
        <f ca="1">VLOOKUP(Data!M3471,temp!$B$3:$C$9,2,1)</f>
        <v>50-60</v>
      </c>
      <c r="O3471">
        <v>-3907</v>
      </c>
      <c r="P3471" s="8">
        <f t="shared" si="223"/>
        <v>10.69678302532512</v>
      </c>
      <c r="Q3471" s="5" t="str">
        <f t="shared" si="225"/>
        <v>Employed</v>
      </c>
      <c r="R3471">
        <v>1</v>
      </c>
      <c r="S3471">
        <v>1</v>
      </c>
      <c r="T3471">
        <v>1</v>
      </c>
      <c r="U3471">
        <v>0</v>
      </c>
      <c r="W3471">
        <v>2</v>
      </c>
    </row>
    <row r="3472" spans="1:23" x14ac:dyDescent="0.2">
      <c r="A3472">
        <v>5115545</v>
      </c>
      <c r="B3472" t="s">
        <v>18</v>
      </c>
      <c r="C3472" t="s">
        <v>19</v>
      </c>
      <c r="D3472" t="s">
        <v>20</v>
      </c>
      <c r="E3472">
        <v>1</v>
      </c>
      <c r="F3472">
        <v>135000</v>
      </c>
      <c r="G3472" t="s">
        <v>31</v>
      </c>
      <c r="H3472" t="s">
        <v>27</v>
      </c>
      <c r="I3472" t="s">
        <v>28</v>
      </c>
      <c r="J3472" t="s">
        <v>24</v>
      </c>
      <c r="K3472" s="6">
        <f t="shared" ca="1" si="224"/>
        <v>30813</v>
      </c>
      <c r="L3472">
        <v>-14948</v>
      </c>
      <c r="M3472" s="7">
        <f t="shared" ca="1" si="222"/>
        <v>40.925393566050651</v>
      </c>
      <c r="N3472" s="5" t="str">
        <f ca="1">VLOOKUP(Data!M3472,temp!$B$3:$C$9,2,1)</f>
        <v>40-50</v>
      </c>
      <c r="O3472">
        <v>-4881</v>
      </c>
      <c r="P3472" s="8">
        <f t="shared" si="223"/>
        <v>13.363449691991786</v>
      </c>
      <c r="Q3472" s="5" t="str">
        <f t="shared" si="225"/>
        <v>Employed</v>
      </c>
      <c r="R3472">
        <v>1</v>
      </c>
      <c r="S3472">
        <v>0</v>
      </c>
      <c r="T3472">
        <v>0</v>
      </c>
      <c r="U3472">
        <v>0</v>
      </c>
      <c r="V3472" t="s">
        <v>29</v>
      </c>
      <c r="W3472">
        <v>3</v>
      </c>
    </row>
    <row r="3473" spans="1:23" x14ac:dyDescent="0.2">
      <c r="A3473">
        <v>5115558</v>
      </c>
      <c r="B3473" t="s">
        <v>18</v>
      </c>
      <c r="C3473" t="s">
        <v>20</v>
      </c>
      <c r="D3473" t="s">
        <v>20</v>
      </c>
      <c r="E3473">
        <v>0</v>
      </c>
      <c r="F3473">
        <v>135000</v>
      </c>
      <c r="G3473" t="s">
        <v>26</v>
      </c>
      <c r="H3473" t="s">
        <v>22</v>
      </c>
      <c r="I3473" t="s">
        <v>28</v>
      </c>
      <c r="J3473" t="s">
        <v>24</v>
      </c>
      <c r="K3473" s="6">
        <f t="shared" ca="1" si="224"/>
        <v>30951</v>
      </c>
      <c r="L3473">
        <v>-14810</v>
      </c>
      <c r="M3473" s="7">
        <f t="shared" ca="1" si="222"/>
        <v>40.547570157426421</v>
      </c>
      <c r="N3473" s="5" t="str">
        <f ca="1">VLOOKUP(Data!M3473,temp!$B$3:$C$9,2,1)</f>
        <v>40-50</v>
      </c>
      <c r="O3473">
        <v>-1655</v>
      </c>
      <c r="P3473" s="8">
        <f t="shared" si="223"/>
        <v>4.5311430527036274</v>
      </c>
      <c r="Q3473" s="5" t="str">
        <f t="shared" si="225"/>
        <v>Employed</v>
      </c>
      <c r="R3473">
        <v>1</v>
      </c>
      <c r="S3473">
        <v>0</v>
      </c>
      <c r="T3473">
        <v>0</v>
      </c>
      <c r="U3473">
        <v>0</v>
      </c>
      <c r="V3473" t="s">
        <v>29</v>
      </c>
      <c r="W3473">
        <v>2</v>
      </c>
    </row>
    <row r="3474" spans="1:23" x14ac:dyDescent="0.2">
      <c r="A3474">
        <v>5115561</v>
      </c>
      <c r="B3474" t="s">
        <v>18</v>
      </c>
      <c r="C3474" t="s">
        <v>19</v>
      </c>
      <c r="D3474" t="s">
        <v>19</v>
      </c>
      <c r="E3474">
        <v>0</v>
      </c>
      <c r="F3474">
        <v>121500</v>
      </c>
      <c r="G3474" t="s">
        <v>26</v>
      </c>
      <c r="H3474" t="s">
        <v>27</v>
      </c>
      <c r="I3474" t="s">
        <v>37</v>
      </c>
      <c r="J3474" t="s">
        <v>45</v>
      </c>
      <c r="K3474" s="6">
        <f t="shared" ca="1" si="224"/>
        <v>32026</v>
      </c>
      <c r="L3474">
        <v>-13735</v>
      </c>
      <c r="M3474" s="7">
        <f t="shared" ca="1" si="222"/>
        <v>37.604380561259411</v>
      </c>
      <c r="N3474" s="5" t="str">
        <f ca="1">VLOOKUP(Data!M3474,temp!$B$3:$C$9,2,1)</f>
        <v>30-40</v>
      </c>
      <c r="O3474">
        <v>-679</v>
      </c>
      <c r="P3474" s="8">
        <f t="shared" si="223"/>
        <v>1.8590006844626967</v>
      </c>
      <c r="Q3474" s="5" t="str">
        <f t="shared" si="225"/>
        <v>Employed</v>
      </c>
      <c r="R3474">
        <v>1</v>
      </c>
      <c r="S3474">
        <v>1</v>
      </c>
      <c r="T3474">
        <v>0</v>
      </c>
      <c r="U3474">
        <v>0</v>
      </c>
      <c r="V3474" t="s">
        <v>29</v>
      </c>
      <c r="W3474">
        <v>2</v>
      </c>
    </row>
    <row r="3475" spans="1:23" x14ac:dyDescent="0.2">
      <c r="A3475">
        <v>5115579</v>
      </c>
      <c r="B3475" t="s">
        <v>18</v>
      </c>
      <c r="C3475" t="s">
        <v>19</v>
      </c>
      <c r="D3475" t="s">
        <v>20</v>
      </c>
      <c r="E3475">
        <v>2</v>
      </c>
      <c r="F3475">
        <v>112500</v>
      </c>
      <c r="G3475" t="s">
        <v>31</v>
      </c>
      <c r="H3475" t="s">
        <v>27</v>
      </c>
      <c r="I3475" t="s">
        <v>28</v>
      </c>
      <c r="J3475" t="s">
        <v>24</v>
      </c>
      <c r="K3475" s="6">
        <f t="shared" ca="1" si="224"/>
        <v>33886</v>
      </c>
      <c r="L3475">
        <v>-11875</v>
      </c>
      <c r="M3475" s="7">
        <f t="shared" ca="1" si="222"/>
        <v>32.511978097193705</v>
      </c>
      <c r="N3475" s="5" t="str">
        <f ca="1">VLOOKUP(Data!M3475,temp!$B$3:$C$9,2,1)</f>
        <v>30-40</v>
      </c>
      <c r="O3475">
        <v>-2568</v>
      </c>
      <c r="P3475" s="8">
        <f t="shared" si="223"/>
        <v>7.0308008213552364</v>
      </c>
      <c r="Q3475" s="5" t="str">
        <f t="shared" si="225"/>
        <v>Employed</v>
      </c>
      <c r="R3475">
        <v>1</v>
      </c>
      <c r="S3475">
        <v>1</v>
      </c>
      <c r="T3475">
        <v>0</v>
      </c>
      <c r="U3475">
        <v>0</v>
      </c>
      <c r="V3475" t="s">
        <v>29</v>
      </c>
      <c r="W3475">
        <v>4</v>
      </c>
    </row>
    <row r="3476" spans="1:23" x14ac:dyDescent="0.2">
      <c r="A3476">
        <v>5115595</v>
      </c>
      <c r="B3476" t="s">
        <v>18</v>
      </c>
      <c r="C3476" t="s">
        <v>19</v>
      </c>
      <c r="D3476" t="s">
        <v>20</v>
      </c>
      <c r="E3476">
        <v>0</v>
      </c>
      <c r="F3476">
        <v>166500</v>
      </c>
      <c r="G3476" t="s">
        <v>31</v>
      </c>
      <c r="H3476" t="s">
        <v>22</v>
      </c>
      <c r="I3476" t="s">
        <v>33</v>
      </c>
      <c r="J3476" t="s">
        <v>24</v>
      </c>
      <c r="K3476" s="6">
        <f t="shared" ca="1" si="224"/>
        <v>29334</v>
      </c>
      <c r="L3476">
        <v>-16427</v>
      </c>
      <c r="M3476" s="7">
        <f t="shared" ca="1" si="222"/>
        <v>44.974674880219027</v>
      </c>
      <c r="N3476" s="5" t="str">
        <f ca="1">VLOOKUP(Data!M3476,temp!$B$3:$C$9,2,1)</f>
        <v>40-50</v>
      </c>
      <c r="O3476">
        <v>-7104</v>
      </c>
      <c r="P3476" s="8">
        <f t="shared" si="223"/>
        <v>19.449691991786448</v>
      </c>
      <c r="Q3476" s="5" t="str">
        <f t="shared" si="225"/>
        <v>Employed</v>
      </c>
      <c r="R3476">
        <v>1</v>
      </c>
      <c r="S3476">
        <v>0</v>
      </c>
      <c r="T3476">
        <v>0</v>
      </c>
      <c r="U3476">
        <v>0</v>
      </c>
      <c r="V3476" t="s">
        <v>47</v>
      </c>
      <c r="W3476">
        <v>1</v>
      </c>
    </row>
    <row r="3477" spans="1:23" x14ac:dyDescent="0.2">
      <c r="A3477">
        <v>5115601</v>
      </c>
      <c r="B3477" t="s">
        <v>18</v>
      </c>
      <c r="C3477" t="s">
        <v>19</v>
      </c>
      <c r="D3477" t="s">
        <v>20</v>
      </c>
      <c r="E3477">
        <v>1</v>
      </c>
      <c r="F3477">
        <v>67500</v>
      </c>
      <c r="G3477" t="s">
        <v>26</v>
      </c>
      <c r="H3477" t="s">
        <v>22</v>
      </c>
      <c r="I3477" t="s">
        <v>28</v>
      </c>
      <c r="J3477" t="s">
        <v>24</v>
      </c>
      <c r="K3477" s="6">
        <f t="shared" ca="1" si="224"/>
        <v>37241</v>
      </c>
      <c r="L3477">
        <v>-8520</v>
      </c>
      <c r="M3477" s="7">
        <f t="shared" ca="1" si="222"/>
        <v>23.326488706365502</v>
      </c>
      <c r="N3477" s="5" t="str">
        <f ca="1">VLOOKUP(Data!M3477,temp!$B$3:$C$9,2,1)</f>
        <v>20-30</v>
      </c>
      <c r="O3477">
        <v>-133</v>
      </c>
      <c r="P3477" s="8">
        <f t="shared" si="223"/>
        <v>0.36413415468856947</v>
      </c>
      <c r="Q3477" s="5" t="str">
        <f t="shared" si="225"/>
        <v>Employed</v>
      </c>
      <c r="R3477">
        <v>1</v>
      </c>
      <c r="S3477">
        <v>0</v>
      </c>
      <c r="T3477">
        <v>0</v>
      </c>
      <c r="U3477">
        <v>0</v>
      </c>
      <c r="W3477">
        <v>3</v>
      </c>
    </row>
    <row r="3478" spans="1:23" x14ac:dyDescent="0.2">
      <c r="A3478">
        <v>5115605</v>
      </c>
      <c r="B3478" t="s">
        <v>18</v>
      </c>
      <c r="C3478" t="s">
        <v>19</v>
      </c>
      <c r="D3478" t="s">
        <v>20</v>
      </c>
      <c r="E3478">
        <v>0</v>
      </c>
      <c r="F3478">
        <v>202500</v>
      </c>
      <c r="G3478" t="s">
        <v>31</v>
      </c>
      <c r="H3478" t="s">
        <v>27</v>
      </c>
      <c r="I3478" t="s">
        <v>28</v>
      </c>
      <c r="J3478" t="s">
        <v>24</v>
      </c>
      <c r="K3478" s="6">
        <f t="shared" ca="1" si="224"/>
        <v>31238</v>
      </c>
      <c r="L3478">
        <v>-14523</v>
      </c>
      <c r="M3478" s="7">
        <f t="shared" ca="1" si="222"/>
        <v>39.761806981519506</v>
      </c>
      <c r="N3478" s="5" t="str">
        <f ca="1">VLOOKUP(Data!M3478,temp!$B$3:$C$9,2,1)</f>
        <v>30-40</v>
      </c>
      <c r="O3478">
        <v>-3420</v>
      </c>
      <c r="P3478" s="8">
        <f t="shared" si="223"/>
        <v>9.3634496919917858</v>
      </c>
      <c r="Q3478" s="5" t="str">
        <f t="shared" si="225"/>
        <v>Employed</v>
      </c>
      <c r="R3478">
        <v>1</v>
      </c>
      <c r="S3478">
        <v>0</v>
      </c>
      <c r="T3478">
        <v>0</v>
      </c>
      <c r="U3478">
        <v>0</v>
      </c>
      <c r="V3478" t="s">
        <v>38</v>
      </c>
      <c r="W3478">
        <v>2</v>
      </c>
    </row>
    <row r="3479" spans="1:23" x14ac:dyDescent="0.2">
      <c r="A3479">
        <v>5115610</v>
      </c>
      <c r="B3479" t="s">
        <v>18</v>
      </c>
      <c r="C3479" t="s">
        <v>19</v>
      </c>
      <c r="D3479" t="s">
        <v>20</v>
      </c>
      <c r="E3479">
        <v>0</v>
      </c>
      <c r="F3479">
        <v>202500</v>
      </c>
      <c r="G3479" t="s">
        <v>31</v>
      </c>
      <c r="H3479" t="s">
        <v>27</v>
      </c>
      <c r="I3479" t="s">
        <v>28</v>
      </c>
      <c r="J3479" t="s">
        <v>24</v>
      </c>
      <c r="K3479" s="6">
        <f t="shared" ca="1" si="224"/>
        <v>31238</v>
      </c>
      <c r="L3479">
        <v>-14523</v>
      </c>
      <c r="M3479" s="7">
        <f t="shared" ca="1" si="222"/>
        <v>39.761806981519506</v>
      </c>
      <c r="N3479" s="5" t="str">
        <f ca="1">VLOOKUP(Data!M3479,temp!$B$3:$C$9,2,1)</f>
        <v>30-40</v>
      </c>
      <c r="O3479">
        <v>-3420</v>
      </c>
      <c r="P3479" s="8">
        <f t="shared" si="223"/>
        <v>9.3634496919917858</v>
      </c>
      <c r="Q3479" s="5" t="str">
        <f t="shared" si="225"/>
        <v>Employed</v>
      </c>
      <c r="R3479">
        <v>1</v>
      </c>
      <c r="S3479">
        <v>0</v>
      </c>
      <c r="T3479">
        <v>0</v>
      </c>
      <c r="U3479">
        <v>0</v>
      </c>
      <c r="V3479" t="s">
        <v>38</v>
      </c>
      <c r="W3479">
        <v>2</v>
      </c>
    </row>
    <row r="3480" spans="1:23" x14ac:dyDescent="0.2">
      <c r="A3480">
        <v>5115615</v>
      </c>
      <c r="B3480" t="s">
        <v>18</v>
      </c>
      <c r="C3480" t="s">
        <v>19</v>
      </c>
      <c r="D3480" t="s">
        <v>20</v>
      </c>
      <c r="E3480">
        <v>0</v>
      </c>
      <c r="F3480">
        <v>67500</v>
      </c>
      <c r="G3480" t="s">
        <v>21</v>
      </c>
      <c r="H3480" t="s">
        <v>27</v>
      </c>
      <c r="I3480" t="s">
        <v>42</v>
      </c>
      <c r="J3480" t="s">
        <v>24</v>
      </c>
      <c r="K3480" s="6">
        <f t="shared" ca="1" si="224"/>
        <v>24963</v>
      </c>
      <c r="L3480">
        <v>-20798</v>
      </c>
      <c r="M3480" s="7">
        <f t="shared" ca="1" si="222"/>
        <v>56.941820670773446</v>
      </c>
      <c r="N3480" s="5" t="str">
        <f ca="1">VLOOKUP(Data!M3480,temp!$B$3:$C$9,2,1)</f>
        <v>50-60</v>
      </c>
      <c r="O3480">
        <v>365243</v>
      </c>
      <c r="P3480" s="8">
        <f t="shared" si="223"/>
        <v>0</v>
      </c>
      <c r="Q3480" s="5" t="str">
        <f t="shared" si="225"/>
        <v>Unemployed</v>
      </c>
      <c r="R3480">
        <v>1</v>
      </c>
      <c r="S3480">
        <v>0</v>
      </c>
      <c r="T3480">
        <v>1</v>
      </c>
      <c r="U3480">
        <v>0</v>
      </c>
      <c r="W3480">
        <v>1</v>
      </c>
    </row>
    <row r="3481" spans="1:23" x14ac:dyDescent="0.2">
      <c r="A3481">
        <v>5115625</v>
      </c>
      <c r="B3481" t="s">
        <v>25</v>
      </c>
      <c r="C3481" t="s">
        <v>20</v>
      </c>
      <c r="D3481" t="s">
        <v>20</v>
      </c>
      <c r="E3481">
        <v>1</v>
      </c>
      <c r="F3481">
        <v>180000</v>
      </c>
      <c r="G3481" t="s">
        <v>26</v>
      </c>
      <c r="H3481" t="s">
        <v>22</v>
      </c>
      <c r="I3481" t="s">
        <v>28</v>
      </c>
      <c r="J3481" t="s">
        <v>24</v>
      </c>
      <c r="K3481" s="6">
        <f t="shared" ca="1" si="224"/>
        <v>35800</v>
      </c>
      <c r="L3481">
        <v>-9961</v>
      </c>
      <c r="M3481" s="7">
        <f t="shared" ca="1" si="222"/>
        <v>27.271731690622861</v>
      </c>
      <c r="N3481" s="5" t="str">
        <f ca="1">VLOOKUP(Data!M3481,temp!$B$3:$C$9,2,1)</f>
        <v>20-30</v>
      </c>
      <c r="O3481">
        <v>-1775</v>
      </c>
      <c r="P3481" s="8">
        <f t="shared" si="223"/>
        <v>4.85968514715948</v>
      </c>
      <c r="Q3481" s="5" t="str">
        <f t="shared" si="225"/>
        <v>Employed</v>
      </c>
      <c r="R3481">
        <v>1</v>
      </c>
      <c r="S3481">
        <v>0</v>
      </c>
      <c r="T3481">
        <v>0</v>
      </c>
      <c r="U3481">
        <v>0</v>
      </c>
      <c r="W3481">
        <v>3</v>
      </c>
    </row>
    <row r="3482" spans="1:23" x14ac:dyDescent="0.2">
      <c r="A3482">
        <v>5115640</v>
      </c>
      <c r="B3482" t="s">
        <v>25</v>
      </c>
      <c r="C3482" t="s">
        <v>20</v>
      </c>
      <c r="D3482" t="s">
        <v>20</v>
      </c>
      <c r="E3482">
        <v>0</v>
      </c>
      <c r="F3482">
        <v>382500</v>
      </c>
      <c r="G3482" t="s">
        <v>31</v>
      </c>
      <c r="H3482" t="s">
        <v>22</v>
      </c>
      <c r="I3482" t="s">
        <v>23</v>
      </c>
      <c r="J3482" t="s">
        <v>24</v>
      </c>
      <c r="K3482" s="6">
        <f t="shared" ca="1" si="224"/>
        <v>30955</v>
      </c>
      <c r="L3482">
        <v>-14806</v>
      </c>
      <c r="M3482" s="7">
        <f t="shared" ca="1" si="222"/>
        <v>40.536618754277889</v>
      </c>
      <c r="N3482" s="5" t="str">
        <f ca="1">VLOOKUP(Data!M3482,temp!$B$3:$C$9,2,1)</f>
        <v>40-50</v>
      </c>
      <c r="O3482">
        <v>-710</v>
      </c>
      <c r="P3482" s="8">
        <f t="shared" si="223"/>
        <v>1.9438740588637919</v>
      </c>
      <c r="Q3482" s="5" t="str">
        <f t="shared" si="225"/>
        <v>Employed</v>
      </c>
      <c r="R3482">
        <v>1</v>
      </c>
      <c r="S3482">
        <v>1</v>
      </c>
      <c r="T3482">
        <v>1</v>
      </c>
      <c r="U3482">
        <v>0</v>
      </c>
      <c r="V3482" t="s">
        <v>32</v>
      </c>
      <c r="W3482">
        <v>1</v>
      </c>
    </row>
    <row r="3483" spans="1:23" x14ac:dyDescent="0.2">
      <c r="A3483">
        <v>5115665</v>
      </c>
      <c r="B3483" t="s">
        <v>25</v>
      </c>
      <c r="C3483" t="s">
        <v>20</v>
      </c>
      <c r="D3483" t="s">
        <v>20</v>
      </c>
      <c r="E3483">
        <v>0</v>
      </c>
      <c r="F3483">
        <v>292500</v>
      </c>
      <c r="G3483" t="s">
        <v>21</v>
      </c>
      <c r="H3483" t="s">
        <v>27</v>
      </c>
      <c r="I3483" t="s">
        <v>28</v>
      </c>
      <c r="J3483" t="s">
        <v>24</v>
      </c>
      <c r="K3483" s="6">
        <f t="shared" ca="1" si="224"/>
        <v>23632</v>
      </c>
      <c r="L3483">
        <v>-22129</v>
      </c>
      <c r="M3483" s="7">
        <f t="shared" ca="1" si="222"/>
        <v>60.585900068446271</v>
      </c>
      <c r="N3483" s="5" t="str">
        <f ca="1">VLOOKUP(Data!M3483,temp!$B$3:$C$9,2,1)</f>
        <v>60-70</v>
      </c>
      <c r="O3483">
        <v>365243</v>
      </c>
      <c r="P3483" s="8">
        <f t="shared" si="223"/>
        <v>0</v>
      </c>
      <c r="Q3483" s="5" t="str">
        <f t="shared" si="225"/>
        <v>Unemployed</v>
      </c>
      <c r="R3483">
        <v>1</v>
      </c>
      <c r="S3483">
        <v>0</v>
      </c>
      <c r="T3483">
        <v>1</v>
      </c>
      <c r="U3483">
        <v>0</v>
      </c>
      <c r="W3483">
        <v>2</v>
      </c>
    </row>
    <row r="3484" spans="1:23" x14ac:dyDescent="0.2">
      <c r="A3484">
        <v>5115666</v>
      </c>
      <c r="B3484" t="s">
        <v>18</v>
      </c>
      <c r="C3484" t="s">
        <v>19</v>
      </c>
      <c r="D3484" t="s">
        <v>20</v>
      </c>
      <c r="E3484">
        <v>0</v>
      </c>
      <c r="F3484">
        <v>90000</v>
      </c>
      <c r="G3484" t="s">
        <v>26</v>
      </c>
      <c r="H3484" t="s">
        <v>27</v>
      </c>
      <c r="I3484" t="s">
        <v>28</v>
      </c>
      <c r="J3484" t="s">
        <v>24</v>
      </c>
      <c r="K3484" s="6">
        <f t="shared" ca="1" si="224"/>
        <v>25429</v>
      </c>
      <c r="L3484">
        <v>-20332</v>
      </c>
      <c r="M3484" s="7">
        <f t="shared" ca="1" si="222"/>
        <v>55.665982203969882</v>
      </c>
      <c r="N3484" s="5" t="str">
        <f ca="1">VLOOKUP(Data!M3484,temp!$B$3:$C$9,2,1)</f>
        <v>50-60</v>
      </c>
      <c r="O3484">
        <v>-1107</v>
      </c>
      <c r="P3484" s="8">
        <f t="shared" si="223"/>
        <v>3.030800821355236</v>
      </c>
      <c r="Q3484" s="5" t="str">
        <f t="shared" si="225"/>
        <v>Employed</v>
      </c>
      <c r="R3484">
        <v>1</v>
      </c>
      <c r="S3484">
        <v>0</v>
      </c>
      <c r="T3484">
        <v>0</v>
      </c>
      <c r="U3484">
        <v>0</v>
      </c>
      <c r="V3484" t="s">
        <v>39</v>
      </c>
      <c r="W3484">
        <v>2</v>
      </c>
    </row>
    <row r="3485" spans="1:23" x14ac:dyDescent="0.2">
      <c r="A3485">
        <v>5115667</v>
      </c>
      <c r="B3485" t="s">
        <v>18</v>
      </c>
      <c r="C3485" t="s">
        <v>19</v>
      </c>
      <c r="D3485" t="s">
        <v>20</v>
      </c>
      <c r="E3485">
        <v>0</v>
      </c>
      <c r="F3485">
        <v>90000</v>
      </c>
      <c r="G3485" t="s">
        <v>26</v>
      </c>
      <c r="H3485" t="s">
        <v>27</v>
      </c>
      <c r="I3485" t="s">
        <v>28</v>
      </c>
      <c r="J3485" t="s">
        <v>24</v>
      </c>
      <c r="K3485" s="6">
        <f t="shared" ca="1" si="224"/>
        <v>25429</v>
      </c>
      <c r="L3485">
        <v>-20332</v>
      </c>
      <c r="M3485" s="7">
        <f t="shared" ca="1" si="222"/>
        <v>55.665982203969882</v>
      </c>
      <c r="N3485" s="5" t="str">
        <f ca="1">VLOOKUP(Data!M3485,temp!$B$3:$C$9,2,1)</f>
        <v>50-60</v>
      </c>
      <c r="O3485">
        <v>-1107</v>
      </c>
      <c r="P3485" s="8">
        <f t="shared" si="223"/>
        <v>3.030800821355236</v>
      </c>
      <c r="Q3485" s="5" t="str">
        <f t="shared" si="225"/>
        <v>Employed</v>
      </c>
      <c r="R3485">
        <v>1</v>
      </c>
      <c r="S3485">
        <v>0</v>
      </c>
      <c r="T3485">
        <v>0</v>
      </c>
      <c r="U3485">
        <v>0</v>
      </c>
      <c r="V3485" t="s">
        <v>39</v>
      </c>
      <c r="W3485">
        <v>2</v>
      </c>
    </row>
    <row r="3486" spans="1:23" x14ac:dyDescent="0.2">
      <c r="A3486">
        <v>5115668</v>
      </c>
      <c r="B3486" t="s">
        <v>25</v>
      </c>
      <c r="C3486" t="s">
        <v>20</v>
      </c>
      <c r="D3486" t="s">
        <v>20</v>
      </c>
      <c r="E3486">
        <v>1</v>
      </c>
      <c r="F3486">
        <v>189000</v>
      </c>
      <c r="G3486" t="s">
        <v>31</v>
      </c>
      <c r="H3486" t="s">
        <v>22</v>
      </c>
      <c r="I3486" t="s">
        <v>28</v>
      </c>
      <c r="J3486" t="s">
        <v>24</v>
      </c>
      <c r="K3486" s="6">
        <f t="shared" ca="1" si="224"/>
        <v>32444</v>
      </c>
      <c r="L3486">
        <v>-13317</v>
      </c>
      <c r="M3486" s="7">
        <f t="shared" ca="1" si="222"/>
        <v>36.459958932238195</v>
      </c>
      <c r="N3486" s="5" t="str">
        <f ca="1">VLOOKUP(Data!M3486,temp!$B$3:$C$9,2,1)</f>
        <v>30-40</v>
      </c>
      <c r="O3486">
        <v>-3663</v>
      </c>
      <c r="P3486" s="8">
        <f t="shared" si="223"/>
        <v>10.028747433264886</v>
      </c>
      <c r="Q3486" s="5" t="str">
        <f t="shared" si="225"/>
        <v>Employed</v>
      </c>
      <c r="R3486">
        <v>1</v>
      </c>
      <c r="S3486">
        <v>0</v>
      </c>
      <c r="T3486">
        <v>0</v>
      </c>
      <c r="U3486">
        <v>0</v>
      </c>
      <c r="V3486" t="s">
        <v>47</v>
      </c>
      <c r="W3486">
        <v>3</v>
      </c>
    </row>
    <row r="3487" spans="1:23" x14ac:dyDescent="0.2">
      <c r="A3487">
        <v>5115669</v>
      </c>
      <c r="B3487" t="s">
        <v>25</v>
      </c>
      <c r="C3487" t="s">
        <v>20</v>
      </c>
      <c r="D3487" t="s">
        <v>20</v>
      </c>
      <c r="E3487">
        <v>1</v>
      </c>
      <c r="F3487">
        <v>189000</v>
      </c>
      <c r="G3487" t="s">
        <v>31</v>
      </c>
      <c r="H3487" t="s">
        <v>22</v>
      </c>
      <c r="I3487" t="s">
        <v>28</v>
      </c>
      <c r="J3487" t="s">
        <v>24</v>
      </c>
      <c r="K3487" s="6">
        <f t="shared" ca="1" si="224"/>
        <v>32444</v>
      </c>
      <c r="L3487">
        <v>-13317</v>
      </c>
      <c r="M3487" s="7">
        <f t="shared" ca="1" si="222"/>
        <v>36.459958932238195</v>
      </c>
      <c r="N3487" s="5" t="str">
        <f ca="1">VLOOKUP(Data!M3487,temp!$B$3:$C$9,2,1)</f>
        <v>30-40</v>
      </c>
      <c r="O3487">
        <v>-3663</v>
      </c>
      <c r="P3487" s="8">
        <f t="shared" si="223"/>
        <v>10.028747433264886</v>
      </c>
      <c r="Q3487" s="5" t="str">
        <f t="shared" si="225"/>
        <v>Employed</v>
      </c>
      <c r="R3487">
        <v>1</v>
      </c>
      <c r="S3487">
        <v>0</v>
      </c>
      <c r="T3487">
        <v>0</v>
      </c>
      <c r="U3487">
        <v>0</v>
      </c>
      <c r="V3487" t="s">
        <v>47</v>
      </c>
      <c r="W3487">
        <v>3</v>
      </c>
    </row>
    <row r="3488" spans="1:23" x14ac:dyDescent="0.2">
      <c r="A3488">
        <v>5115692</v>
      </c>
      <c r="B3488" t="s">
        <v>18</v>
      </c>
      <c r="C3488" t="s">
        <v>20</v>
      </c>
      <c r="D3488" t="s">
        <v>20</v>
      </c>
      <c r="E3488">
        <v>0</v>
      </c>
      <c r="F3488">
        <v>180000</v>
      </c>
      <c r="G3488" t="s">
        <v>31</v>
      </c>
      <c r="H3488" t="s">
        <v>22</v>
      </c>
      <c r="I3488" t="s">
        <v>28</v>
      </c>
      <c r="J3488" t="s">
        <v>24</v>
      </c>
      <c r="K3488" s="6">
        <f t="shared" ca="1" si="224"/>
        <v>30207</v>
      </c>
      <c r="L3488">
        <v>-15554</v>
      </c>
      <c r="M3488" s="7">
        <f t="shared" ca="1" si="222"/>
        <v>42.5845311430527</v>
      </c>
      <c r="N3488" s="5" t="str">
        <f ca="1">VLOOKUP(Data!M3488,temp!$B$3:$C$9,2,1)</f>
        <v>40-50</v>
      </c>
      <c r="O3488">
        <v>-2416</v>
      </c>
      <c r="P3488" s="8">
        <f t="shared" si="223"/>
        <v>6.6146475017111568</v>
      </c>
      <c r="Q3488" s="5" t="str">
        <f t="shared" si="225"/>
        <v>Employed</v>
      </c>
      <c r="R3488">
        <v>1</v>
      </c>
      <c r="S3488">
        <v>0</v>
      </c>
      <c r="T3488">
        <v>1</v>
      </c>
      <c r="U3488">
        <v>0</v>
      </c>
      <c r="V3488" t="s">
        <v>30</v>
      </c>
      <c r="W3488">
        <v>2</v>
      </c>
    </row>
    <row r="3489" spans="1:23" x14ac:dyDescent="0.2">
      <c r="A3489">
        <v>5115695</v>
      </c>
      <c r="B3489" t="s">
        <v>25</v>
      </c>
      <c r="C3489" t="s">
        <v>20</v>
      </c>
      <c r="D3489" t="s">
        <v>20</v>
      </c>
      <c r="E3489">
        <v>0</v>
      </c>
      <c r="F3489">
        <v>76500</v>
      </c>
      <c r="G3489" t="s">
        <v>31</v>
      </c>
      <c r="H3489" t="s">
        <v>27</v>
      </c>
      <c r="I3489" t="s">
        <v>28</v>
      </c>
      <c r="J3489" t="s">
        <v>24</v>
      </c>
      <c r="K3489" s="6">
        <f t="shared" ca="1" si="224"/>
        <v>27584</v>
      </c>
      <c r="L3489">
        <v>-18177</v>
      </c>
      <c r="M3489" s="7">
        <f t="shared" ca="1" si="222"/>
        <v>49.765913757700204</v>
      </c>
      <c r="N3489" s="5" t="str">
        <f ca="1">VLOOKUP(Data!M3489,temp!$B$3:$C$9,2,1)</f>
        <v>40-50</v>
      </c>
      <c r="O3489">
        <v>-2263</v>
      </c>
      <c r="P3489" s="8">
        <f t="shared" si="223"/>
        <v>6.1957563312799451</v>
      </c>
      <c r="Q3489" s="5" t="str">
        <f t="shared" si="225"/>
        <v>Employed</v>
      </c>
      <c r="R3489">
        <v>1</v>
      </c>
      <c r="S3489">
        <v>1</v>
      </c>
      <c r="T3489">
        <v>1</v>
      </c>
      <c r="U3489">
        <v>0</v>
      </c>
      <c r="V3489" t="s">
        <v>29</v>
      </c>
      <c r="W3489">
        <v>2</v>
      </c>
    </row>
    <row r="3490" spans="1:23" x14ac:dyDescent="0.2">
      <c r="A3490">
        <v>5115696</v>
      </c>
      <c r="B3490" t="s">
        <v>25</v>
      </c>
      <c r="C3490" t="s">
        <v>20</v>
      </c>
      <c r="D3490" t="s">
        <v>20</v>
      </c>
      <c r="E3490">
        <v>0</v>
      </c>
      <c r="F3490">
        <v>76500</v>
      </c>
      <c r="G3490" t="s">
        <v>31</v>
      </c>
      <c r="H3490" t="s">
        <v>27</v>
      </c>
      <c r="I3490" t="s">
        <v>28</v>
      </c>
      <c r="J3490" t="s">
        <v>24</v>
      </c>
      <c r="K3490" s="6">
        <f t="shared" ca="1" si="224"/>
        <v>27584</v>
      </c>
      <c r="L3490">
        <v>-18177</v>
      </c>
      <c r="M3490" s="7">
        <f t="shared" ca="1" si="222"/>
        <v>49.765913757700204</v>
      </c>
      <c r="N3490" s="5" t="str">
        <f ca="1">VLOOKUP(Data!M3490,temp!$B$3:$C$9,2,1)</f>
        <v>40-50</v>
      </c>
      <c r="O3490">
        <v>-2263</v>
      </c>
      <c r="P3490" s="8">
        <f t="shared" si="223"/>
        <v>6.1957563312799451</v>
      </c>
      <c r="Q3490" s="5" t="str">
        <f t="shared" si="225"/>
        <v>Employed</v>
      </c>
      <c r="R3490">
        <v>1</v>
      </c>
      <c r="S3490">
        <v>1</v>
      </c>
      <c r="T3490">
        <v>1</v>
      </c>
      <c r="U3490">
        <v>0</v>
      </c>
      <c r="V3490" t="s">
        <v>29</v>
      </c>
      <c r="W3490">
        <v>2</v>
      </c>
    </row>
    <row r="3491" spans="1:23" x14ac:dyDescent="0.2">
      <c r="A3491">
        <v>5115697</v>
      </c>
      <c r="B3491" t="s">
        <v>25</v>
      </c>
      <c r="C3491" t="s">
        <v>20</v>
      </c>
      <c r="D3491" t="s">
        <v>20</v>
      </c>
      <c r="E3491">
        <v>0</v>
      </c>
      <c r="F3491">
        <v>76500</v>
      </c>
      <c r="G3491" t="s">
        <v>31</v>
      </c>
      <c r="H3491" t="s">
        <v>27</v>
      </c>
      <c r="I3491" t="s">
        <v>28</v>
      </c>
      <c r="J3491" t="s">
        <v>24</v>
      </c>
      <c r="K3491" s="6">
        <f t="shared" ca="1" si="224"/>
        <v>27584</v>
      </c>
      <c r="L3491">
        <v>-18177</v>
      </c>
      <c r="M3491" s="7">
        <f t="shared" ca="1" si="222"/>
        <v>49.765913757700204</v>
      </c>
      <c r="N3491" s="5" t="str">
        <f ca="1">VLOOKUP(Data!M3491,temp!$B$3:$C$9,2,1)</f>
        <v>40-50</v>
      </c>
      <c r="O3491">
        <v>-2263</v>
      </c>
      <c r="P3491" s="8">
        <f t="shared" si="223"/>
        <v>6.1957563312799451</v>
      </c>
      <c r="Q3491" s="5" t="str">
        <f t="shared" si="225"/>
        <v>Employed</v>
      </c>
      <c r="R3491">
        <v>1</v>
      </c>
      <c r="S3491">
        <v>1</v>
      </c>
      <c r="T3491">
        <v>1</v>
      </c>
      <c r="U3491">
        <v>0</v>
      </c>
      <c r="V3491" t="s">
        <v>29</v>
      </c>
      <c r="W3491">
        <v>2</v>
      </c>
    </row>
    <row r="3492" spans="1:23" x14ac:dyDescent="0.2">
      <c r="A3492">
        <v>5115698</v>
      </c>
      <c r="B3492" t="s">
        <v>25</v>
      </c>
      <c r="C3492" t="s">
        <v>20</v>
      </c>
      <c r="D3492" t="s">
        <v>20</v>
      </c>
      <c r="E3492">
        <v>0</v>
      </c>
      <c r="F3492">
        <v>76500</v>
      </c>
      <c r="G3492" t="s">
        <v>31</v>
      </c>
      <c r="H3492" t="s">
        <v>27</v>
      </c>
      <c r="I3492" t="s">
        <v>28</v>
      </c>
      <c r="J3492" t="s">
        <v>24</v>
      </c>
      <c r="K3492" s="6">
        <f t="shared" ca="1" si="224"/>
        <v>27584</v>
      </c>
      <c r="L3492">
        <v>-18177</v>
      </c>
      <c r="M3492" s="7">
        <f t="shared" ca="1" si="222"/>
        <v>49.765913757700204</v>
      </c>
      <c r="N3492" s="5" t="str">
        <f ca="1">VLOOKUP(Data!M3492,temp!$B$3:$C$9,2,1)</f>
        <v>40-50</v>
      </c>
      <c r="O3492">
        <v>-2263</v>
      </c>
      <c r="P3492" s="8">
        <f t="shared" si="223"/>
        <v>6.1957563312799451</v>
      </c>
      <c r="Q3492" s="5" t="str">
        <f t="shared" si="225"/>
        <v>Employed</v>
      </c>
      <c r="R3492">
        <v>1</v>
      </c>
      <c r="S3492">
        <v>1</v>
      </c>
      <c r="T3492">
        <v>1</v>
      </c>
      <c r="U3492">
        <v>0</v>
      </c>
      <c r="V3492" t="s">
        <v>29</v>
      </c>
      <c r="W3492">
        <v>2</v>
      </c>
    </row>
    <row r="3493" spans="1:23" x14ac:dyDescent="0.2">
      <c r="A3493">
        <v>5115708</v>
      </c>
      <c r="B3493" t="s">
        <v>25</v>
      </c>
      <c r="C3493" t="s">
        <v>19</v>
      </c>
      <c r="D3493" t="s">
        <v>20</v>
      </c>
      <c r="E3493">
        <v>1</v>
      </c>
      <c r="F3493">
        <v>202500</v>
      </c>
      <c r="G3493" t="s">
        <v>35</v>
      </c>
      <c r="H3493" t="s">
        <v>22</v>
      </c>
      <c r="I3493" t="s">
        <v>28</v>
      </c>
      <c r="J3493" t="s">
        <v>24</v>
      </c>
      <c r="K3493" s="6">
        <f t="shared" ca="1" si="224"/>
        <v>35005</v>
      </c>
      <c r="L3493">
        <v>-10756</v>
      </c>
      <c r="M3493" s="7">
        <f t="shared" ca="1" si="222"/>
        <v>29.448323066392881</v>
      </c>
      <c r="N3493" s="5" t="str">
        <f ca="1">VLOOKUP(Data!M3493,temp!$B$3:$C$9,2,1)</f>
        <v>20-30</v>
      </c>
      <c r="O3493">
        <v>-2355</v>
      </c>
      <c r="P3493" s="8">
        <f t="shared" si="223"/>
        <v>6.4476386036960989</v>
      </c>
      <c r="Q3493" s="5" t="str">
        <f t="shared" si="225"/>
        <v>Employed</v>
      </c>
      <c r="R3493">
        <v>1</v>
      </c>
      <c r="S3493">
        <v>0</v>
      </c>
      <c r="T3493">
        <v>0</v>
      </c>
      <c r="U3493">
        <v>0</v>
      </c>
      <c r="V3493" t="s">
        <v>38</v>
      </c>
      <c r="W3493">
        <v>3</v>
      </c>
    </row>
    <row r="3494" spans="1:23" x14ac:dyDescent="0.2">
      <c r="A3494">
        <v>5115709</v>
      </c>
      <c r="B3494" t="s">
        <v>25</v>
      </c>
      <c r="C3494" t="s">
        <v>19</v>
      </c>
      <c r="D3494" t="s">
        <v>20</v>
      </c>
      <c r="E3494">
        <v>1</v>
      </c>
      <c r="F3494">
        <v>202500</v>
      </c>
      <c r="G3494" t="s">
        <v>35</v>
      </c>
      <c r="H3494" t="s">
        <v>22</v>
      </c>
      <c r="I3494" t="s">
        <v>28</v>
      </c>
      <c r="J3494" t="s">
        <v>24</v>
      </c>
      <c r="K3494" s="6">
        <f t="shared" ca="1" si="224"/>
        <v>35005</v>
      </c>
      <c r="L3494">
        <v>-10756</v>
      </c>
      <c r="M3494" s="7">
        <f t="shared" ca="1" si="222"/>
        <v>29.448323066392881</v>
      </c>
      <c r="N3494" s="5" t="str">
        <f ca="1">VLOOKUP(Data!M3494,temp!$B$3:$C$9,2,1)</f>
        <v>20-30</v>
      </c>
      <c r="O3494">
        <v>-2355</v>
      </c>
      <c r="P3494" s="8">
        <f t="shared" si="223"/>
        <v>6.4476386036960989</v>
      </c>
      <c r="Q3494" s="5" t="str">
        <f t="shared" si="225"/>
        <v>Employed</v>
      </c>
      <c r="R3494">
        <v>1</v>
      </c>
      <c r="S3494">
        <v>0</v>
      </c>
      <c r="T3494">
        <v>0</v>
      </c>
      <c r="U3494">
        <v>0</v>
      </c>
      <c r="V3494" t="s">
        <v>38</v>
      </c>
      <c r="W3494">
        <v>3</v>
      </c>
    </row>
    <row r="3495" spans="1:23" x14ac:dyDescent="0.2">
      <c r="A3495">
        <v>5115710</v>
      </c>
      <c r="B3495" t="s">
        <v>25</v>
      </c>
      <c r="C3495" t="s">
        <v>19</v>
      </c>
      <c r="D3495" t="s">
        <v>20</v>
      </c>
      <c r="E3495">
        <v>1</v>
      </c>
      <c r="F3495">
        <v>202500</v>
      </c>
      <c r="G3495" t="s">
        <v>35</v>
      </c>
      <c r="H3495" t="s">
        <v>22</v>
      </c>
      <c r="I3495" t="s">
        <v>28</v>
      </c>
      <c r="J3495" t="s">
        <v>24</v>
      </c>
      <c r="K3495" s="6">
        <f t="shared" ca="1" si="224"/>
        <v>35005</v>
      </c>
      <c r="L3495">
        <v>-10756</v>
      </c>
      <c r="M3495" s="7">
        <f t="shared" ca="1" si="222"/>
        <v>29.448323066392881</v>
      </c>
      <c r="N3495" s="5" t="str">
        <f ca="1">VLOOKUP(Data!M3495,temp!$B$3:$C$9,2,1)</f>
        <v>20-30</v>
      </c>
      <c r="O3495">
        <v>-2355</v>
      </c>
      <c r="P3495" s="8">
        <f t="shared" si="223"/>
        <v>6.4476386036960989</v>
      </c>
      <c r="Q3495" s="5" t="str">
        <f t="shared" si="225"/>
        <v>Employed</v>
      </c>
      <c r="R3495">
        <v>1</v>
      </c>
      <c r="S3495">
        <v>0</v>
      </c>
      <c r="T3495">
        <v>0</v>
      </c>
      <c r="U3495">
        <v>0</v>
      </c>
      <c r="V3495" t="s">
        <v>38</v>
      </c>
      <c r="W3495">
        <v>3</v>
      </c>
    </row>
    <row r="3496" spans="1:23" x14ac:dyDescent="0.2">
      <c r="A3496">
        <v>5115730</v>
      </c>
      <c r="B3496" t="s">
        <v>18</v>
      </c>
      <c r="C3496" t="s">
        <v>19</v>
      </c>
      <c r="D3496" t="s">
        <v>20</v>
      </c>
      <c r="E3496">
        <v>0</v>
      </c>
      <c r="F3496">
        <v>121500</v>
      </c>
      <c r="G3496" t="s">
        <v>21</v>
      </c>
      <c r="H3496" t="s">
        <v>27</v>
      </c>
      <c r="I3496" t="s">
        <v>28</v>
      </c>
      <c r="J3496" t="s">
        <v>24</v>
      </c>
      <c r="K3496" s="6">
        <f t="shared" ca="1" si="224"/>
        <v>21459</v>
      </c>
      <c r="L3496">
        <v>-24302</v>
      </c>
      <c r="M3496" s="7">
        <f t="shared" ca="1" si="222"/>
        <v>66.535249828884332</v>
      </c>
      <c r="N3496" s="5" t="str">
        <f ca="1">VLOOKUP(Data!M3496,temp!$B$3:$C$9,2,1)</f>
        <v>60-70</v>
      </c>
      <c r="O3496">
        <v>365243</v>
      </c>
      <c r="P3496" s="8">
        <f t="shared" si="223"/>
        <v>0</v>
      </c>
      <c r="Q3496" s="5" t="str">
        <f t="shared" si="225"/>
        <v>Unemployed</v>
      </c>
      <c r="R3496">
        <v>1</v>
      </c>
      <c r="S3496">
        <v>0</v>
      </c>
      <c r="T3496">
        <v>0</v>
      </c>
      <c r="U3496">
        <v>0</v>
      </c>
      <c r="W3496">
        <v>2</v>
      </c>
    </row>
    <row r="3497" spans="1:23" x14ac:dyDescent="0.2">
      <c r="A3497">
        <v>5115734</v>
      </c>
      <c r="B3497" t="s">
        <v>18</v>
      </c>
      <c r="C3497" t="s">
        <v>19</v>
      </c>
      <c r="D3497" t="s">
        <v>20</v>
      </c>
      <c r="E3497">
        <v>0</v>
      </c>
      <c r="F3497">
        <v>90000</v>
      </c>
      <c r="G3497" t="s">
        <v>31</v>
      </c>
      <c r="H3497" t="s">
        <v>27</v>
      </c>
      <c r="I3497" t="s">
        <v>23</v>
      </c>
      <c r="J3497" t="s">
        <v>24</v>
      </c>
      <c r="K3497" s="6">
        <f t="shared" ca="1" si="224"/>
        <v>25788</v>
      </c>
      <c r="L3497">
        <v>-19973</v>
      </c>
      <c r="M3497" s="7">
        <f t="shared" ca="1" si="222"/>
        <v>54.683093771389458</v>
      </c>
      <c r="N3497" s="5" t="str">
        <f ca="1">VLOOKUP(Data!M3497,temp!$B$3:$C$9,2,1)</f>
        <v>50-60</v>
      </c>
      <c r="O3497">
        <v>-12917</v>
      </c>
      <c r="P3497" s="8">
        <f t="shared" si="223"/>
        <v>35.364818617385353</v>
      </c>
      <c r="Q3497" s="5" t="str">
        <f t="shared" si="225"/>
        <v>Employed</v>
      </c>
      <c r="R3497">
        <v>1</v>
      </c>
      <c r="S3497">
        <v>0</v>
      </c>
      <c r="T3497">
        <v>0</v>
      </c>
      <c r="U3497">
        <v>0</v>
      </c>
      <c r="V3497" t="s">
        <v>44</v>
      </c>
      <c r="W3497">
        <v>1</v>
      </c>
    </row>
    <row r="3498" spans="1:23" x14ac:dyDescent="0.2">
      <c r="A3498">
        <v>5115735</v>
      </c>
      <c r="B3498" t="s">
        <v>18</v>
      </c>
      <c r="C3498" t="s">
        <v>19</v>
      </c>
      <c r="D3498" t="s">
        <v>20</v>
      </c>
      <c r="E3498">
        <v>0</v>
      </c>
      <c r="F3498">
        <v>90000</v>
      </c>
      <c r="G3498" t="s">
        <v>31</v>
      </c>
      <c r="H3498" t="s">
        <v>27</v>
      </c>
      <c r="I3498" t="s">
        <v>23</v>
      </c>
      <c r="J3498" t="s">
        <v>24</v>
      </c>
      <c r="K3498" s="6">
        <f t="shared" ca="1" si="224"/>
        <v>25788</v>
      </c>
      <c r="L3498">
        <v>-19973</v>
      </c>
      <c r="M3498" s="7">
        <f t="shared" ca="1" si="222"/>
        <v>54.683093771389458</v>
      </c>
      <c r="N3498" s="5" t="str">
        <f ca="1">VLOOKUP(Data!M3498,temp!$B$3:$C$9,2,1)</f>
        <v>50-60</v>
      </c>
      <c r="O3498">
        <v>-12917</v>
      </c>
      <c r="P3498" s="8">
        <f t="shared" si="223"/>
        <v>35.364818617385353</v>
      </c>
      <c r="Q3498" s="5" t="str">
        <f t="shared" si="225"/>
        <v>Employed</v>
      </c>
      <c r="R3498">
        <v>1</v>
      </c>
      <c r="S3498">
        <v>0</v>
      </c>
      <c r="T3498">
        <v>0</v>
      </c>
      <c r="U3498">
        <v>0</v>
      </c>
      <c r="V3498" t="s">
        <v>44</v>
      </c>
      <c r="W3498">
        <v>1</v>
      </c>
    </row>
    <row r="3499" spans="1:23" x14ac:dyDescent="0.2">
      <c r="A3499">
        <v>5115740</v>
      </c>
      <c r="B3499" t="s">
        <v>18</v>
      </c>
      <c r="C3499" t="s">
        <v>20</v>
      </c>
      <c r="D3499" t="s">
        <v>20</v>
      </c>
      <c r="E3499">
        <v>2</v>
      </c>
      <c r="F3499">
        <v>283500</v>
      </c>
      <c r="G3499" t="s">
        <v>35</v>
      </c>
      <c r="H3499" t="s">
        <v>22</v>
      </c>
      <c r="I3499" t="s">
        <v>28</v>
      </c>
      <c r="J3499" t="s">
        <v>24</v>
      </c>
      <c r="K3499" s="6">
        <f t="shared" ca="1" si="224"/>
        <v>32859</v>
      </c>
      <c r="L3499">
        <v>-12902</v>
      </c>
      <c r="M3499" s="7">
        <f t="shared" ca="1" si="222"/>
        <v>35.323750855578368</v>
      </c>
      <c r="N3499" s="5" t="str">
        <f ca="1">VLOOKUP(Data!M3499,temp!$B$3:$C$9,2,1)</f>
        <v>30-40</v>
      </c>
      <c r="O3499">
        <v>-4120</v>
      </c>
      <c r="P3499" s="8">
        <f t="shared" si="223"/>
        <v>11.279945242984258</v>
      </c>
      <c r="Q3499" s="5" t="str">
        <f t="shared" si="225"/>
        <v>Employed</v>
      </c>
      <c r="R3499">
        <v>1</v>
      </c>
      <c r="S3499">
        <v>0</v>
      </c>
      <c r="T3499">
        <v>0</v>
      </c>
      <c r="U3499">
        <v>0</v>
      </c>
      <c r="V3499" t="s">
        <v>38</v>
      </c>
      <c r="W3499">
        <v>4</v>
      </c>
    </row>
    <row r="3500" spans="1:23" x14ac:dyDescent="0.2">
      <c r="A3500">
        <v>5115744</v>
      </c>
      <c r="B3500" t="s">
        <v>18</v>
      </c>
      <c r="C3500" t="s">
        <v>20</v>
      </c>
      <c r="D3500" t="s">
        <v>20</v>
      </c>
      <c r="E3500">
        <v>2</v>
      </c>
      <c r="F3500">
        <v>283500</v>
      </c>
      <c r="G3500" t="s">
        <v>35</v>
      </c>
      <c r="H3500" t="s">
        <v>22</v>
      </c>
      <c r="I3500" t="s">
        <v>28</v>
      </c>
      <c r="J3500" t="s">
        <v>24</v>
      </c>
      <c r="K3500" s="6">
        <f t="shared" ca="1" si="224"/>
        <v>32859</v>
      </c>
      <c r="L3500">
        <v>-12902</v>
      </c>
      <c r="M3500" s="7">
        <f t="shared" ca="1" si="222"/>
        <v>35.323750855578368</v>
      </c>
      <c r="N3500" s="5" t="str">
        <f ca="1">VLOOKUP(Data!M3500,temp!$B$3:$C$9,2,1)</f>
        <v>30-40</v>
      </c>
      <c r="O3500">
        <v>-4120</v>
      </c>
      <c r="P3500" s="8">
        <f t="shared" si="223"/>
        <v>11.279945242984258</v>
      </c>
      <c r="Q3500" s="5" t="str">
        <f t="shared" si="225"/>
        <v>Employed</v>
      </c>
      <c r="R3500">
        <v>1</v>
      </c>
      <c r="S3500">
        <v>0</v>
      </c>
      <c r="T3500">
        <v>0</v>
      </c>
      <c r="U3500">
        <v>0</v>
      </c>
      <c r="V3500" t="s">
        <v>38</v>
      </c>
      <c r="W3500">
        <v>4</v>
      </c>
    </row>
    <row r="3501" spans="1:23" x14ac:dyDescent="0.2">
      <c r="A3501">
        <v>5115761</v>
      </c>
      <c r="B3501" t="s">
        <v>25</v>
      </c>
      <c r="C3501" t="s">
        <v>20</v>
      </c>
      <c r="D3501" t="s">
        <v>20</v>
      </c>
      <c r="E3501">
        <v>0</v>
      </c>
      <c r="F3501">
        <v>270000</v>
      </c>
      <c r="G3501" t="s">
        <v>26</v>
      </c>
      <c r="H3501" t="s">
        <v>27</v>
      </c>
      <c r="I3501" t="s">
        <v>28</v>
      </c>
      <c r="J3501" t="s">
        <v>24</v>
      </c>
      <c r="K3501" s="6">
        <f t="shared" ca="1" si="224"/>
        <v>31360</v>
      </c>
      <c r="L3501">
        <v>-14401</v>
      </c>
      <c r="M3501" s="7">
        <f t="shared" ca="1" si="222"/>
        <v>39.427789185489388</v>
      </c>
      <c r="N3501" s="5" t="str">
        <f ca="1">VLOOKUP(Data!M3501,temp!$B$3:$C$9,2,1)</f>
        <v>30-40</v>
      </c>
      <c r="O3501">
        <v>-3389</v>
      </c>
      <c r="P3501" s="8">
        <f t="shared" si="223"/>
        <v>9.2785763175906908</v>
      </c>
      <c r="Q3501" s="5" t="str">
        <f t="shared" si="225"/>
        <v>Employed</v>
      </c>
      <c r="R3501">
        <v>1</v>
      </c>
      <c r="S3501">
        <v>0</v>
      </c>
      <c r="T3501">
        <v>0</v>
      </c>
      <c r="U3501">
        <v>1</v>
      </c>
      <c r="V3501" t="s">
        <v>29</v>
      </c>
      <c r="W3501">
        <v>2</v>
      </c>
    </row>
    <row r="3502" spans="1:23" x14ac:dyDescent="0.2">
      <c r="A3502">
        <v>5115796</v>
      </c>
      <c r="B3502" t="s">
        <v>18</v>
      </c>
      <c r="C3502" t="s">
        <v>19</v>
      </c>
      <c r="D3502" t="s">
        <v>20</v>
      </c>
      <c r="E3502">
        <v>1</v>
      </c>
      <c r="F3502">
        <v>135000</v>
      </c>
      <c r="G3502" t="s">
        <v>26</v>
      </c>
      <c r="H3502" t="s">
        <v>27</v>
      </c>
      <c r="I3502" t="s">
        <v>33</v>
      </c>
      <c r="J3502" t="s">
        <v>24</v>
      </c>
      <c r="K3502" s="6">
        <f t="shared" ca="1" si="224"/>
        <v>31183</v>
      </c>
      <c r="L3502">
        <v>-14578</v>
      </c>
      <c r="M3502" s="7">
        <f t="shared" ca="1" si="222"/>
        <v>39.912388774811774</v>
      </c>
      <c r="N3502" s="5" t="str">
        <f ca="1">VLOOKUP(Data!M3502,temp!$B$3:$C$9,2,1)</f>
        <v>30-40</v>
      </c>
      <c r="O3502">
        <v>-7346</v>
      </c>
      <c r="P3502" s="8">
        <f t="shared" si="223"/>
        <v>20.112251882272417</v>
      </c>
      <c r="Q3502" s="5" t="str">
        <f t="shared" si="225"/>
        <v>Employed</v>
      </c>
      <c r="R3502">
        <v>1</v>
      </c>
      <c r="S3502">
        <v>0</v>
      </c>
      <c r="T3502">
        <v>0</v>
      </c>
      <c r="U3502">
        <v>0</v>
      </c>
      <c r="V3502" t="s">
        <v>29</v>
      </c>
      <c r="W3502">
        <v>2</v>
      </c>
    </row>
    <row r="3503" spans="1:23" x14ac:dyDescent="0.2">
      <c r="A3503">
        <v>5115797</v>
      </c>
      <c r="B3503" t="s">
        <v>18</v>
      </c>
      <c r="C3503" t="s">
        <v>19</v>
      </c>
      <c r="D3503" t="s">
        <v>20</v>
      </c>
      <c r="E3503">
        <v>1</v>
      </c>
      <c r="F3503">
        <v>135000</v>
      </c>
      <c r="G3503" t="s">
        <v>26</v>
      </c>
      <c r="H3503" t="s">
        <v>27</v>
      </c>
      <c r="I3503" t="s">
        <v>33</v>
      </c>
      <c r="J3503" t="s">
        <v>24</v>
      </c>
      <c r="K3503" s="6">
        <f t="shared" ca="1" si="224"/>
        <v>31183</v>
      </c>
      <c r="L3503">
        <v>-14578</v>
      </c>
      <c r="M3503" s="7">
        <f t="shared" ca="1" si="222"/>
        <v>39.912388774811774</v>
      </c>
      <c r="N3503" s="5" t="str">
        <f ca="1">VLOOKUP(Data!M3503,temp!$B$3:$C$9,2,1)</f>
        <v>30-40</v>
      </c>
      <c r="O3503">
        <v>-7346</v>
      </c>
      <c r="P3503" s="8">
        <f t="shared" si="223"/>
        <v>20.112251882272417</v>
      </c>
      <c r="Q3503" s="5" t="str">
        <f t="shared" si="225"/>
        <v>Employed</v>
      </c>
      <c r="R3503">
        <v>1</v>
      </c>
      <c r="S3503">
        <v>0</v>
      </c>
      <c r="T3503">
        <v>0</v>
      </c>
      <c r="U3503">
        <v>0</v>
      </c>
      <c r="V3503" t="s">
        <v>29</v>
      </c>
      <c r="W3503">
        <v>2</v>
      </c>
    </row>
    <row r="3504" spans="1:23" x14ac:dyDescent="0.2">
      <c r="A3504">
        <v>5115805</v>
      </c>
      <c r="B3504" t="s">
        <v>18</v>
      </c>
      <c r="C3504" t="s">
        <v>19</v>
      </c>
      <c r="D3504" t="s">
        <v>20</v>
      </c>
      <c r="E3504">
        <v>0</v>
      </c>
      <c r="F3504">
        <v>202500</v>
      </c>
      <c r="G3504" t="s">
        <v>31</v>
      </c>
      <c r="H3504" t="s">
        <v>27</v>
      </c>
      <c r="I3504" t="s">
        <v>33</v>
      </c>
      <c r="J3504" t="s">
        <v>24</v>
      </c>
      <c r="K3504" s="6">
        <f t="shared" ca="1" si="224"/>
        <v>35009</v>
      </c>
      <c r="L3504">
        <v>-10752</v>
      </c>
      <c r="M3504" s="7">
        <f t="shared" ca="1" si="222"/>
        <v>29.437371663244353</v>
      </c>
      <c r="N3504" s="5" t="str">
        <f ca="1">VLOOKUP(Data!M3504,temp!$B$3:$C$9,2,1)</f>
        <v>20-30</v>
      </c>
      <c r="O3504">
        <v>-590</v>
      </c>
      <c r="P3504" s="8">
        <f t="shared" si="223"/>
        <v>1.6153319644079398</v>
      </c>
      <c r="Q3504" s="5" t="str">
        <f t="shared" si="225"/>
        <v>Employed</v>
      </c>
      <c r="R3504">
        <v>1</v>
      </c>
      <c r="S3504">
        <v>1</v>
      </c>
      <c r="T3504">
        <v>0</v>
      </c>
      <c r="U3504">
        <v>0</v>
      </c>
      <c r="W3504">
        <v>1</v>
      </c>
    </row>
    <row r="3505" spans="1:23" x14ac:dyDescent="0.2">
      <c r="A3505">
        <v>5115806</v>
      </c>
      <c r="B3505" t="s">
        <v>18</v>
      </c>
      <c r="C3505" t="s">
        <v>19</v>
      </c>
      <c r="D3505" t="s">
        <v>20</v>
      </c>
      <c r="E3505">
        <v>0</v>
      </c>
      <c r="F3505">
        <v>202500</v>
      </c>
      <c r="G3505" t="s">
        <v>31</v>
      </c>
      <c r="H3505" t="s">
        <v>27</v>
      </c>
      <c r="I3505" t="s">
        <v>33</v>
      </c>
      <c r="J3505" t="s">
        <v>24</v>
      </c>
      <c r="K3505" s="6">
        <f t="shared" ca="1" si="224"/>
        <v>35009</v>
      </c>
      <c r="L3505">
        <v>-10752</v>
      </c>
      <c r="M3505" s="7">
        <f t="shared" ca="1" si="222"/>
        <v>29.437371663244353</v>
      </c>
      <c r="N3505" s="5" t="str">
        <f ca="1">VLOOKUP(Data!M3505,temp!$B$3:$C$9,2,1)</f>
        <v>20-30</v>
      </c>
      <c r="O3505">
        <v>-590</v>
      </c>
      <c r="P3505" s="8">
        <f t="shared" si="223"/>
        <v>1.6153319644079398</v>
      </c>
      <c r="Q3505" s="5" t="str">
        <f t="shared" si="225"/>
        <v>Employed</v>
      </c>
      <c r="R3505">
        <v>1</v>
      </c>
      <c r="S3505">
        <v>1</v>
      </c>
      <c r="T3505">
        <v>0</v>
      </c>
      <c r="U3505">
        <v>0</v>
      </c>
      <c r="W3505">
        <v>1</v>
      </c>
    </row>
    <row r="3506" spans="1:23" x14ac:dyDescent="0.2">
      <c r="A3506">
        <v>5115810</v>
      </c>
      <c r="B3506" t="s">
        <v>18</v>
      </c>
      <c r="C3506" t="s">
        <v>20</v>
      </c>
      <c r="D3506" t="s">
        <v>20</v>
      </c>
      <c r="E3506">
        <v>2</v>
      </c>
      <c r="F3506">
        <v>90000</v>
      </c>
      <c r="G3506" t="s">
        <v>31</v>
      </c>
      <c r="H3506" t="s">
        <v>22</v>
      </c>
      <c r="I3506" t="s">
        <v>28</v>
      </c>
      <c r="J3506" t="s">
        <v>24</v>
      </c>
      <c r="K3506" s="6">
        <f t="shared" ca="1" si="224"/>
        <v>34162</v>
      </c>
      <c r="L3506">
        <v>-11599</v>
      </c>
      <c r="M3506" s="7">
        <f t="shared" ca="1" si="222"/>
        <v>31.756331279945243</v>
      </c>
      <c r="N3506" s="5" t="str">
        <f ca="1">VLOOKUP(Data!M3506,temp!$B$3:$C$9,2,1)</f>
        <v>30-40</v>
      </c>
      <c r="O3506">
        <v>-1928</v>
      </c>
      <c r="P3506" s="8">
        <f t="shared" si="223"/>
        <v>5.2785763175906917</v>
      </c>
      <c r="Q3506" s="5" t="str">
        <f t="shared" si="225"/>
        <v>Employed</v>
      </c>
      <c r="R3506">
        <v>1</v>
      </c>
      <c r="S3506">
        <v>1</v>
      </c>
      <c r="T3506">
        <v>1</v>
      </c>
      <c r="U3506">
        <v>0</v>
      </c>
      <c r="V3506" t="s">
        <v>44</v>
      </c>
      <c r="W3506">
        <v>4</v>
      </c>
    </row>
    <row r="3507" spans="1:23" x14ac:dyDescent="0.2">
      <c r="A3507">
        <v>5115814</v>
      </c>
      <c r="B3507" t="s">
        <v>25</v>
      </c>
      <c r="C3507" t="s">
        <v>19</v>
      </c>
      <c r="D3507" t="s">
        <v>20</v>
      </c>
      <c r="E3507">
        <v>3</v>
      </c>
      <c r="F3507">
        <v>180000</v>
      </c>
      <c r="G3507" t="s">
        <v>31</v>
      </c>
      <c r="H3507" t="s">
        <v>27</v>
      </c>
      <c r="I3507" t="s">
        <v>28</v>
      </c>
      <c r="J3507" t="s">
        <v>24</v>
      </c>
      <c r="K3507" s="6">
        <f t="shared" ca="1" si="224"/>
        <v>31425</v>
      </c>
      <c r="L3507">
        <v>-14336</v>
      </c>
      <c r="M3507" s="7">
        <f t="shared" ca="1" si="222"/>
        <v>39.249828884325801</v>
      </c>
      <c r="N3507" s="5" t="str">
        <f ca="1">VLOOKUP(Data!M3507,temp!$B$3:$C$9,2,1)</f>
        <v>30-40</v>
      </c>
      <c r="O3507">
        <v>-6860</v>
      </c>
      <c r="P3507" s="8">
        <f t="shared" si="223"/>
        <v>18.781656399726216</v>
      </c>
      <c r="Q3507" s="5" t="str">
        <f t="shared" si="225"/>
        <v>Employed</v>
      </c>
      <c r="R3507">
        <v>1</v>
      </c>
      <c r="S3507">
        <v>0</v>
      </c>
      <c r="T3507">
        <v>0</v>
      </c>
      <c r="U3507">
        <v>0</v>
      </c>
      <c r="V3507" t="s">
        <v>29</v>
      </c>
      <c r="W3507">
        <v>5</v>
      </c>
    </row>
    <row r="3508" spans="1:23" x14ac:dyDescent="0.2">
      <c r="A3508">
        <v>5115821</v>
      </c>
      <c r="B3508" t="s">
        <v>18</v>
      </c>
      <c r="C3508" t="s">
        <v>20</v>
      </c>
      <c r="D3508" t="s">
        <v>20</v>
      </c>
      <c r="E3508">
        <v>2</v>
      </c>
      <c r="F3508">
        <v>234000</v>
      </c>
      <c r="G3508" t="s">
        <v>26</v>
      </c>
      <c r="H3508" t="s">
        <v>27</v>
      </c>
      <c r="I3508" t="s">
        <v>28</v>
      </c>
      <c r="J3508" t="s">
        <v>24</v>
      </c>
      <c r="K3508" s="6">
        <f t="shared" ca="1" si="224"/>
        <v>33535</v>
      </c>
      <c r="L3508">
        <v>-12226</v>
      </c>
      <c r="M3508" s="7">
        <f t="shared" ca="1" si="222"/>
        <v>33.472963723477072</v>
      </c>
      <c r="N3508" s="5" t="str">
        <f ca="1">VLOOKUP(Data!M3508,temp!$B$3:$C$9,2,1)</f>
        <v>30-40</v>
      </c>
      <c r="O3508">
        <v>-1382</v>
      </c>
      <c r="P3508" s="8">
        <f t="shared" si="223"/>
        <v>3.783709787816564</v>
      </c>
      <c r="Q3508" s="5" t="str">
        <f t="shared" si="225"/>
        <v>Employed</v>
      </c>
      <c r="R3508">
        <v>1</v>
      </c>
      <c r="S3508">
        <v>1</v>
      </c>
      <c r="T3508">
        <v>1</v>
      </c>
      <c r="U3508">
        <v>0</v>
      </c>
      <c r="V3508" t="s">
        <v>39</v>
      </c>
      <c r="W3508">
        <v>4</v>
      </c>
    </row>
    <row r="3509" spans="1:23" x14ac:dyDescent="0.2">
      <c r="A3509">
        <v>5115828</v>
      </c>
      <c r="B3509" t="s">
        <v>25</v>
      </c>
      <c r="C3509" t="s">
        <v>20</v>
      </c>
      <c r="D3509" t="s">
        <v>20</v>
      </c>
      <c r="E3509">
        <v>0</v>
      </c>
      <c r="F3509">
        <v>315000</v>
      </c>
      <c r="G3509" t="s">
        <v>26</v>
      </c>
      <c r="H3509" t="s">
        <v>22</v>
      </c>
      <c r="I3509" t="s">
        <v>28</v>
      </c>
      <c r="J3509" t="s">
        <v>24</v>
      </c>
      <c r="K3509" s="6">
        <f t="shared" ca="1" si="224"/>
        <v>32915</v>
      </c>
      <c r="L3509">
        <v>-12846</v>
      </c>
      <c r="M3509" s="7">
        <f t="shared" ca="1" si="222"/>
        <v>35.170431211498972</v>
      </c>
      <c r="N3509" s="5" t="str">
        <f ca="1">VLOOKUP(Data!M3509,temp!$B$3:$C$9,2,1)</f>
        <v>30-40</v>
      </c>
      <c r="O3509">
        <v>-164</v>
      </c>
      <c r="P3509" s="8">
        <f t="shared" si="223"/>
        <v>0.44900752908966463</v>
      </c>
      <c r="Q3509" s="5" t="str">
        <f t="shared" si="225"/>
        <v>Employed</v>
      </c>
      <c r="R3509">
        <v>1</v>
      </c>
      <c r="S3509">
        <v>0</v>
      </c>
      <c r="T3509">
        <v>0</v>
      </c>
      <c r="U3509">
        <v>0</v>
      </c>
      <c r="V3509" t="s">
        <v>32</v>
      </c>
      <c r="W3509">
        <v>2</v>
      </c>
    </row>
    <row r="3510" spans="1:23" x14ac:dyDescent="0.2">
      <c r="A3510">
        <v>5115829</v>
      </c>
      <c r="B3510" t="s">
        <v>25</v>
      </c>
      <c r="C3510" t="s">
        <v>20</v>
      </c>
      <c r="D3510" t="s">
        <v>20</v>
      </c>
      <c r="E3510">
        <v>0</v>
      </c>
      <c r="F3510">
        <v>315000</v>
      </c>
      <c r="G3510" t="s">
        <v>26</v>
      </c>
      <c r="H3510" t="s">
        <v>22</v>
      </c>
      <c r="I3510" t="s">
        <v>28</v>
      </c>
      <c r="J3510" t="s">
        <v>24</v>
      </c>
      <c r="K3510" s="6">
        <f t="shared" ca="1" si="224"/>
        <v>32915</v>
      </c>
      <c r="L3510">
        <v>-12846</v>
      </c>
      <c r="M3510" s="7">
        <f t="shared" ca="1" si="222"/>
        <v>35.170431211498972</v>
      </c>
      <c r="N3510" s="5" t="str">
        <f ca="1">VLOOKUP(Data!M3510,temp!$B$3:$C$9,2,1)</f>
        <v>30-40</v>
      </c>
      <c r="O3510">
        <v>-164</v>
      </c>
      <c r="P3510" s="8">
        <f t="shared" si="223"/>
        <v>0.44900752908966463</v>
      </c>
      <c r="Q3510" s="5" t="str">
        <f t="shared" si="225"/>
        <v>Employed</v>
      </c>
      <c r="R3510">
        <v>1</v>
      </c>
      <c r="S3510">
        <v>0</v>
      </c>
      <c r="T3510">
        <v>0</v>
      </c>
      <c r="U3510">
        <v>0</v>
      </c>
      <c r="V3510" t="s">
        <v>32</v>
      </c>
      <c r="W3510">
        <v>2</v>
      </c>
    </row>
    <row r="3511" spans="1:23" x14ac:dyDescent="0.2">
      <c r="A3511">
        <v>5115830</v>
      </c>
      <c r="B3511" t="s">
        <v>25</v>
      </c>
      <c r="C3511" t="s">
        <v>20</v>
      </c>
      <c r="D3511" t="s">
        <v>20</v>
      </c>
      <c r="E3511">
        <v>0</v>
      </c>
      <c r="F3511">
        <v>315000</v>
      </c>
      <c r="G3511" t="s">
        <v>26</v>
      </c>
      <c r="H3511" t="s">
        <v>22</v>
      </c>
      <c r="I3511" t="s">
        <v>28</v>
      </c>
      <c r="J3511" t="s">
        <v>24</v>
      </c>
      <c r="K3511" s="6">
        <f t="shared" ca="1" si="224"/>
        <v>32915</v>
      </c>
      <c r="L3511">
        <v>-12846</v>
      </c>
      <c r="M3511" s="7">
        <f t="shared" ca="1" si="222"/>
        <v>35.170431211498972</v>
      </c>
      <c r="N3511" s="5" t="str">
        <f ca="1">VLOOKUP(Data!M3511,temp!$B$3:$C$9,2,1)</f>
        <v>30-40</v>
      </c>
      <c r="O3511">
        <v>-164</v>
      </c>
      <c r="P3511" s="8">
        <f t="shared" si="223"/>
        <v>0.44900752908966463</v>
      </c>
      <c r="Q3511" s="5" t="str">
        <f t="shared" si="225"/>
        <v>Employed</v>
      </c>
      <c r="R3511">
        <v>1</v>
      </c>
      <c r="S3511">
        <v>0</v>
      </c>
      <c r="T3511">
        <v>0</v>
      </c>
      <c r="U3511">
        <v>0</v>
      </c>
      <c r="V3511" t="s">
        <v>32</v>
      </c>
      <c r="W3511">
        <v>2</v>
      </c>
    </row>
    <row r="3512" spans="1:23" x14ac:dyDescent="0.2">
      <c r="A3512">
        <v>5115838</v>
      </c>
      <c r="B3512" t="s">
        <v>18</v>
      </c>
      <c r="C3512" t="s">
        <v>19</v>
      </c>
      <c r="D3512" t="s">
        <v>20</v>
      </c>
      <c r="E3512">
        <v>0</v>
      </c>
      <c r="F3512">
        <v>121500</v>
      </c>
      <c r="G3512" t="s">
        <v>26</v>
      </c>
      <c r="H3512" t="s">
        <v>22</v>
      </c>
      <c r="I3512" t="s">
        <v>28</v>
      </c>
      <c r="J3512" t="s">
        <v>24</v>
      </c>
      <c r="K3512" s="6">
        <f t="shared" ca="1" si="224"/>
        <v>28715</v>
      </c>
      <c r="L3512">
        <v>-17046</v>
      </c>
      <c r="M3512" s="7">
        <f t="shared" ca="1" si="222"/>
        <v>46.669404517453799</v>
      </c>
      <c r="N3512" s="5" t="str">
        <f ca="1">VLOOKUP(Data!M3512,temp!$B$3:$C$9,2,1)</f>
        <v>40-50</v>
      </c>
      <c r="O3512">
        <v>-1410</v>
      </c>
      <c r="P3512" s="8">
        <f t="shared" si="223"/>
        <v>3.8603696098562628</v>
      </c>
      <c r="Q3512" s="5" t="str">
        <f t="shared" si="225"/>
        <v>Employed</v>
      </c>
      <c r="R3512">
        <v>1</v>
      </c>
      <c r="S3512">
        <v>0</v>
      </c>
      <c r="T3512">
        <v>1</v>
      </c>
      <c r="U3512">
        <v>0</v>
      </c>
      <c r="V3512" t="s">
        <v>44</v>
      </c>
      <c r="W3512">
        <v>2</v>
      </c>
    </row>
    <row r="3513" spans="1:23" x14ac:dyDescent="0.2">
      <c r="A3513">
        <v>5115848</v>
      </c>
      <c r="B3513" t="s">
        <v>18</v>
      </c>
      <c r="C3513" t="s">
        <v>19</v>
      </c>
      <c r="D3513" t="s">
        <v>20</v>
      </c>
      <c r="E3513">
        <v>0</v>
      </c>
      <c r="F3513">
        <v>67500</v>
      </c>
      <c r="G3513" t="s">
        <v>21</v>
      </c>
      <c r="H3513" t="s">
        <v>27</v>
      </c>
      <c r="I3513" t="s">
        <v>28</v>
      </c>
      <c r="J3513" t="s">
        <v>45</v>
      </c>
      <c r="K3513" s="6">
        <f t="shared" ca="1" si="224"/>
        <v>23942</v>
      </c>
      <c r="L3513">
        <v>-21819</v>
      </c>
      <c r="M3513" s="7">
        <f t="shared" ca="1" si="222"/>
        <v>59.737166324435321</v>
      </c>
      <c r="N3513" s="5" t="str">
        <f ca="1">VLOOKUP(Data!M3513,temp!$B$3:$C$9,2,1)</f>
        <v>50-60</v>
      </c>
      <c r="O3513">
        <v>365243</v>
      </c>
      <c r="P3513" s="8">
        <f t="shared" si="223"/>
        <v>0</v>
      </c>
      <c r="Q3513" s="5" t="str">
        <f t="shared" si="225"/>
        <v>Unemployed</v>
      </c>
      <c r="R3513">
        <v>1</v>
      </c>
      <c r="S3513">
        <v>0</v>
      </c>
      <c r="T3513">
        <v>0</v>
      </c>
      <c r="U3513">
        <v>0</v>
      </c>
      <c r="W3513">
        <v>2</v>
      </c>
    </row>
    <row r="3514" spans="1:23" x14ac:dyDescent="0.2">
      <c r="A3514">
        <v>5115850</v>
      </c>
      <c r="B3514" t="s">
        <v>18</v>
      </c>
      <c r="C3514" t="s">
        <v>19</v>
      </c>
      <c r="D3514" t="s">
        <v>20</v>
      </c>
      <c r="E3514">
        <v>0</v>
      </c>
      <c r="F3514">
        <v>67500</v>
      </c>
      <c r="G3514" t="s">
        <v>21</v>
      </c>
      <c r="H3514" t="s">
        <v>27</v>
      </c>
      <c r="I3514" t="s">
        <v>28</v>
      </c>
      <c r="J3514" t="s">
        <v>45</v>
      </c>
      <c r="K3514" s="6">
        <f t="shared" ca="1" si="224"/>
        <v>23942</v>
      </c>
      <c r="L3514">
        <v>-21819</v>
      </c>
      <c r="M3514" s="7">
        <f t="shared" ca="1" si="222"/>
        <v>59.737166324435321</v>
      </c>
      <c r="N3514" s="5" t="str">
        <f ca="1">VLOOKUP(Data!M3514,temp!$B$3:$C$9,2,1)</f>
        <v>50-60</v>
      </c>
      <c r="O3514">
        <v>365243</v>
      </c>
      <c r="P3514" s="8">
        <f t="shared" si="223"/>
        <v>0</v>
      </c>
      <c r="Q3514" s="5" t="str">
        <f t="shared" si="225"/>
        <v>Unemployed</v>
      </c>
      <c r="R3514">
        <v>1</v>
      </c>
      <c r="S3514">
        <v>0</v>
      </c>
      <c r="T3514">
        <v>0</v>
      </c>
      <c r="U3514">
        <v>0</v>
      </c>
      <c r="W3514">
        <v>2</v>
      </c>
    </row>
    <row r="3515" spans="1:23" x14ac:dyDescent="0.2">
      <c r="A3515">
        <v>5115886</v>
      </c>
      <c r="B3515" t="s">
        <v>18</v>
      </c>
      <c r="C3515" t="s">
        <v>19</v>
      </c>
      <c r="D3515" t="s">
        <v>20</v>
      </c>
      <c r="E3515">
        <v>0</v>
      </c>
      <c r="F3515">
        <v>54000</v>
      </c>
      <c r="G3515" t="s">
        <v>21</v>
      </c>
      <c r="H3515" t="s">
        <v>22</v>
      </c>
      <c r="I3515" t="s">
        <v>28</v>
      </c>
      <c r="J3515" t="s">
        <v>24</v>
      </c>
      <c r="K3515" s="6">
        <f t="shared" ca="1" si="224"/>
        <v>21254</v>
      </c>
      <c r="L3515">
        <v>-24507</v>
      </c>
      <c r="M3515" s="7">
        <f t="shared" ca="1" si="222"/>
        <v>67.096509240246405</v>
      </c>
      <c r="N3515" s="5" t="str">
        <f ca="1">VLOOKUP(Data!M3515,temp!$B$3:$C$9,2,1)</f>
        <v>60-70</v>
      </c>
      <c r="O3515">
        <v>365243</v>
      </c>
      <c r="P3515" s="8">
        <f t="shared" si="223"/>
        <v>0</v>
      </c>
      <c r="Q3515" s="5" t="str">
        <f t="shared" si="225"/>
        <v>Unemployed</v>
      </c>
      <c r="R3515">
        <v>1</v>
      </c>
      <c r="S3515">
        <v>0</v>
      </c>
      <c r="T3515">
        <v>0</v>
      </c>
      <c r="U3515">
        <v>0</v>
      </c>
      <c r="W3515">
        <v>2</v>
      </c>
    </row>
    <row r="3516" spans="1:23" x14ac:dyDescent="0.2">
      <c r="A3516">
        <v>5115887</v>
      </c>
      <c r="B3516" t="s">
        <v>18</v>
      </c>
      <c r="C3516" t="s">
        <v>19</v>
      </c>
      <c r="D3516" t="s">
        <v>20</v>
      </c>
      <c r="E3516">
        <v>0</v>
      </c>
      <c r="F3516">
        <v>54000</v>
      </c>
      <c r="G3516" t="s">
        <v>21</v>
      </c>
      <c r="H3516" t="s">
        <v>22</v>
      </c>
      <c r="I3516" t="s">
        <v>28</v>
      </c>
      <c r="J3516" t="s">
        <v>24</v>
      </c>
      <c r="K3516" s="6">
        <f t="shared" ca="1" si="224"/>
        <v>21254</v>
      </c>
      <c r="L3516">
        <v>-24507</v>
      </c>
      <c r="M3516" s="7">
        <f t="shared" ca="1" si="222"/>
        <v>67.096509240246405</v>
      </c>
      <c r="N3516" s="5" t="str">
        <f ca="1">VLOOKUP(Data!M3516,temp!$B$3:$C$9,2,1)</f>
        <v>60-70</v>
      </c>
      <c r="O3516">
        <v>365243</v>
      </c>
      <c r="P3516" s="8">
        <f t="shared" si="223"/>
        <v>0</v>
      </c>
      <c r="Q3516" s="5" t="str">
        <f t="shared" si="225"/>
        <v>Unemployed</v>
      </c>
      <c r="R3516">
        <v>1</v>
      </c>
      <c r="S3516">
        <v>0</v>
      </c>
      <c r="T3516">
        <v>0</v>
      </c>
      <c r="U3516">
        <v>0</v>
      </c>
      <c r="W3516">
        <v>2</v>
      </c>
    </row>
    <row r="3517" spans="1:23" x14ac:dyDescent="0.2">
      <c r="A3517">
        <v>5115888</v>
      </c>
      <c r="B3517" t="s">
        <v>25</v>
      </c>
      <c r="C3517" t="s">
        <v>20</v>
      </c>
      <c r="D3517" t="s">
        <v>20</v>
      </c>
      <c r="E3517">
        <v>0</v>
      </c>
      <c r="F3517">
        <v>112500</v>
      </c>
      <c r="G3517" t="s">
        <v>26</v>
      </c>
      <c r="H3517" t="s">
        <v>27</v>
      </c>
      <c r="I3517" t="s">
        <v>33</v>
      </c>
      <c r="J3517" t="s">
        <v>24</v>
      </c>
      <c r="K3517" s="6">
        <f t="shared" ca="1" si="224"/>
        <v>37489</v>
      </c>
      <c r="L3517">
        <v>-8272</v>
      </c>
      <c r="M3517" s="7">
        <f t="shared" ca="1" si="222"/>
        <v>22.647501711156742</v>
      </c>
      <c r="N3517" s="5" t="str">
        <f ca="1">VLOOKUP(Data!M3517,temp!$B$3:$C$9,2,1)</f>
        <v>20-30</v>
      </c>
      <c r="O3517">
        <v>-286</v>
      </c>
      <c r="P3517" s="8">
        <f t="shared" si="223"/>
        <v>0.78302532511978096</v>
      </c>
      <c r="Q3517" s="5" t="str">
        <f t="shared" si="225"/>
        <v>Employed</v>
      </c>
      <c r="R3517">
        <v>1</v>
      </c>
      <c r="S3517">
        <v>0</v>
      </c>
      <c r="T3517">
        <v>1</v>
      </c>
      <c r="U3517">
        <v>0</v>
      </c>
      <c r="V3517" t="s">
        <v>38</v>
      </c>
      <c r="W3517">
        <v>1</v>
      </c>
    </row>
    <row r="3518" spans="1:23" x14ac:dyDescent="0.2">
      <c r="A3518">
        <v>5115890</v>
      </c>
      <c r="B3518" t="s">
        <v>25</v>
      </c>
      <c r="C3518" t="s">
        <v>20</v>
      </c>
      <c r="D3518" t="s">
        <v>20</v>
      </c>
      <c r="E3518">
        <v>0</v>
      </c>
      <c r="F3518">
        <v>112500</v>
      </c>
      <c r="G3518" t="s">
        <v>26</v>
      </c>
      <c r="H3518" t="s">
        <v>27</v>
      </c>
      <c r="I3518" t="s">
        <v>33</v>
      </c>
      <c r="J3518" t="s">
        <v>24</v>
      </c>
      <c r="K3518" s="6">
        <f t="shared" ca="1" si="224"/>
        <v>37489</v>
      </c>
      <c r="L3518">
        <v>-8272</v>
      </c>
      <c r="M3518" s="7">
        <f t="shared" ca="1" si="222"/>
        <v>22.647501711156742</v>
      </c>
      <c r="N3518" s="5" t="str">
        <f ca="1">VLOOKUP(Data!M3518,temp!$B$3:$C$9,2,1)</f>
        <v>20-30</v>
      </c>
      <c r="O3518">
        <v>-286</v>
      </c>
      <c r="P3518" s="8">
        <f t="shared" si="223"/>
        <v>0.78302532511978096</v>
      </c>
      <c r="Q3518" s="5" t="str">
        <f t="shared" si="225"/>
        <v>Employed</v>
      </c>
      <c r="R3518">
        <v>1</v>
      </c>
      <c r="S3518">
        <v>0</v>
      </c>
      <c r="T3518">
        <v>1</v>
      </c>
      <c r="U3518">
        <v>0</v>
      </c>
      <c r="V3518" t="s">
        <v>38</v>
      </c>
      <c r="W3518">
        <v>1</v>
      </c>
    </row>
    <row r="3519" spans="1:23" x14ac:dyDescent="0.2">
      <c r="A3519">
        <v>5115908</v>
      </c>
      <c r="B3519" t="s">
        <v>18</v>
      </c>
      <c r="C3519" t="s">
        <v>19</v>
      </c>
      <c r="D3519" t="s">
        <v>20</v>
      </c>
      <c r="E3519">
        <v>1</v>
      </c>
      <c r="F3519">
        <v>157500</v>
      </c>
      <c r="G3519" t="s">
        <v>26</v>
      </c>
      <c r="H3519" t="s">
        <v>27</v>
      </c>
      <c r="I3519" t="s">
        <v>37</v>
      </c>
      <c r="J3519" t="s">
        <v>24</v>
      </c>
      <c r="K3519" s="6">
        <f t="shared" ca="1" si="224"/>
        <v>31119</v>
      </c>
      <c r="L3519">
        <v>-14642</v>
      </c>
      <c r="M3519" s="7">
        <f t="shared" ca="1" si="222"/>
        <v>40.087611225188226</v>
      </c>
      <c r="N3519" s="5" t="str">
        <f ca="1">VLOOKUP(Data!M3519,temp!$B$3:$C$9,2,1)</f>
        <v>40-50</v>
      </c>
      <c r="O3519">
        <v>-345</v>
      </c>
      <c r="P3519" s="8">
        <f t="shared" si="223"/>
        <v>0.94455852156057496</v>
      </c>
      <c r="Q3519" s="5" t="str">
        <f t="shared" si="225"/>
        <v>Employed</v>
      </c>
      <c r="R3519">
        <v>1</v>
      </c>
      <c r="S3519">
        <v>0</v>
      </c>
      <c r="T3519">
        <v>0</v>
      </c>
      <c r="U3519">
        <v>0</v>
      </c>
      <c r="V3519" t="s">
        <v>55</v>
      </c>
      <c r="W3519">
        <v>3</v>
      </c>
    </row>
    <row r="3520" spans="1:23" x14ac:dyDescent="0.2">
      <c r="A3520">
        <v>5115910</v>
      </c>
      <c r="B3520" t="s">
        <v>18</v>
      </c>
      <c r="C3520" t="s">
        <v>19</v>
      </c>
      <c r="D3520" t="s">
        <v>20</v>
      </c>
      <c r="E3520">
        <v>1</v>
      </c>
      <c r="F3520">
        <v>157500</v>
      </c>
      <c r="G3520" t="s">
        <v>26</v>
      </c>
      <c r="H3520" t="s">
        <v>27</v>
      </c>
      <c r="I3520" t="s">
        <v>37</v>
      </c>
      <c r="J3520" t="s">
        <v>24</v>
      </c>
      <c r="K3520" s="6">
        <f t="shared" ca="1" si="224"/>
        <v>31119</v>
      </c>
      <c r="L3520">
        <v>-14642</v>
      </c>
      <c r="M3520" s="7">
        <f t="shared" ca="1" si="222"/>
        <v>40.087611225188226</v>
      </c>
      <c r="N3520" s="5" t="str">
        <f ca="1">VLOOKUP(Data!M3520,temp!$B$3:$C$9,2,1)</f>
        <v>40-50</v>
      </c>
      <c r="O3520">
        <v>-345</v>
      </c>
      <c r="P3520" s="8">
        <f t="shared" si="223"/>
        <v>0.94455852156057496</v>
      </c>
      <c r="Q3520" s="5" t="str">
        <f t="shared" si="225"/>
        <v>Employed</v>
      </c>
      <c r="R3520">
        <v>1</v>
      </c>
      <c r="S3520">
        <v>0</v>
      </c>
      <c r="T3520">
        <v>0</v>
      </c>
      <c r="U3520">
        <v>0</v>
      </c>
      <c r="V3520" t="s">
        <v>55</v>
      </c>
      <c r="W3520">
        <v>3</v>
      </c>
    </row>
    <row r="3521" spans="1:23" x14ac:dyDescent="0.2">
      <c r="A3521">
        <v>5115914</v>
      </c>
      <c r="B3521" t="s">
        <v>18</v>
      </c>
      <c r="C3521" t="s">
        <v>19</v>
      </c>
      <c r="D3521" t="s">
        <v>19</v>
      </c>
      <c r="E3521">
        <v>1</v>
      </c>
      <c r="F3521">
        <v>157500</v>
      </c>
      <c r="G3521" t="s">
        <v>26</v>
      </c>
      <c r="H3521" t="s">
        <v>22</v>
      </c>
      <c r="I3521" t="s">
        <v>28</v>
      </c>
      <c r="J3521" t="s">
        <v>24</v>
      </c>
      <c r="K3521" s="6">
        <f t="shared" ca="1" si="224"/>
        <v>34048</v>
      </c>
      <c r="L3521">
        <v>-11713</v>
      </c>
      <c r="M3521" s="7">
        <f t="shared" ca="1" si="222"/>
        <v>32.068446269678304</v>
      </c>
      <c r="N3521" s="5" t="str">
        <f ca="1">VLOOKUP(Data!M3521,temp!$B$3:$C$9,2,1)</f>
        <v>30-40</v>
      </c>
      <c r="O3521">
        <v>-529</v>
      </c>
      <c r="P3521" s="8">
        <f t="shared" si="223"/>
        <v>1.4483230663928817</v>
      </c>
      <c r="Q3521" s="5" t="str">
        <f t="shared" si="225"/>
        <v>Employed</v>
      </c>
      <c r="R3521">
        <v>1</v>
      </c>
      <c r="S3521">
        <v>0</v>
      </c>
      <c r="T3521">
        <v>0</v>
      </c>
      <c r="U3521">
        <v>0</v>
      </c>
      <c r="W3521">
        <v>3</v>
      </c>
    </row>
    <row r="3522" spans="1:23" x14ac:dyDescent="0.2">
      <c r="A3522">
        <v>5115925</v>
      </c>
      <c r="B3522" t="s">
        <v>18</v>
      </c>
      <c r="C3522" t="s">
        <v>19</v>
      </c>
      <c r="D3522" t="s">
        <v>20</v>
      </c>
      <c r="E3522">
        <v>0</v>
      </c>
      <c r="F3522">
        <v>90000</v>
      </c>
      <c r="G3522" t="s">
        <v>26</v>
      </c>
      <c r="H3522" t="s">
        <v>27</v>
      </c>
      <c r="I3522" t="s">
        <v>28</v>
      </c>
      <c r="J3522" t="s">
        <v>24</v>
      </c>
      <c r="K3522" s="6">
        <f t="shared" ca="1" si="224"/>
        <v>29220</v>
      </c>
      <c r="L3522">
        <v>-16541</v>
      </c>
      <c r="M3522" s="7">
        <f t="shared" ca="1" si="222"/>
        <v>45.286789869952088</v>
      </c>
      <c r="N3522" s="5" t="str">
        <f ca="1">VLOOKUP(Data!M3522,temp!$B$3:$C$9,2,1)</f>
        <v>40-50</v>
      </c>
      <c r="O3522">
        <v>-102</v>
      </c>
      <c r="P3522" s="8">
        <f t="shared" si="223"/>
        <v>0.27926078028747431</v>
      </c>
      <c r="Q3522" s="5" t="str">
        <f t="shared" si="225"/>
        <v>Employed</v>
      </c>
      <c r="R3522">
        <v>1</v>
      </c>
      <c r="S3522">
        <v>1</v>
      </c>
      <c r="T3522">
        <v>1</v>
      </c>
      <c r="U3522">
        <v>0</v>
      </c>
      <c r="V3522" t="s">
        <v>39</v>
      </c>
      <c r="W3522">
        <v>2</v>
      </c>
    </row>
    <row r="3523" spans="1:23" x14ac:dyDescent="0.2">
      <c r="A3523">
        <v>5115946</v>
      </c>
      <c r="B3523" t="s">
        <v>18</v>
      </c>
      <c r="C3523" t="s">
        <v>19</v>
      </c>
      <c r="D3523" t="s">
        <v>20</v>
      </c>
      <c r="E3523">
        <v>0</v>
      </c>
      <c r="F3523">
        <v>112500</v>
      </c>
      <c r="G3523" t="s">
        <v>31</v>
      </c>
      <c r="H3523" t="s">
        <v>27</v>
      </c>
      <c r="I3523" t="s">
        <v>28</v>
      </c>
      <c r="J3523" t="s">
        <v>34</v>
      </c>
      <c r="K3523" s="6">
        <f t="shared" ca="1" si="224"/>
        <v>29739</v>
      </c>
      <c r="L3523">
        <v>-16022</v>
      </c>
      <c r="M3523" s="7">
        <f t="shared" ref="M3523:M3586" ca="1" si="226">(TODAY()-K3523)/365.25</f>
        <v>43.865845311430526</v>
      </c>
      <c r="N3523" s="5" t="str">
        <f ca="1">VLOOKUP(Data!M3523,temp!$B$3:$C$9,2,1)</f>
        <v>40-50</v>
      </c>
      <c r="O3523">
        <v>-9052</v>
      </c>
      <c r="P3523" s="8">
        <f t="shared" ref="P3523:P3586" si="227">IF(O3523&lt;=0,ABS(O3523)/365.25,0)</f>
        <v>24.78302532511978</v>
      </c>
      <c r="Q3523" s="5" t="str">
        <f t="shared" si="225"/>
        <v>Employed</v>
      </c>
      <c r="R3523">
        <v>1</v>
      </c>
      <c r="S3523">
        <v>0</v>
      </c>
      <c r="T3523">
        <v>0</v>
      </c>
      <c r="U3523">
        <v>0</v>
      </c>
      <c r="V3523" t="s">
        <v>39</v>
      </c>
      <c r="W3523">
        <v>2</v>
      </c>
    </row>
    <row r="3524" spans="1:23" x14ac:dyDescent="0.2">
      <c r="A3524">
        <v>5115956</v>
      </c>
      <c r="B3524" t="s">
        <v>18</v>
      </c>
      <c r="C3524" t="s">
        <v>20</v>
      </c>
      <c r="D3524" t="s">
        <v>20</v>
      </c>
      <c r="E3524">
        <v>0</v>
      </c>
      <c r="F3524">
        <v>180000</v>
      </c>
      <c r="G3524" t="s">
        <v>31</v>
      </c>
      <c r="H3524" t="s">
        <v>27</v>
      </c>
      <c r="I3524" t="s">
        <v>42</v>
      </c>
      <c r="J3524" t="s">
        <v>24</v>
      </c>
      <c r="K3524" s="6">
        <f t="shared" ca="1" si="224"/>
        <v>30267</v>
      </c>
      <c r="L3524">
        <v>-15494</v>
      </c>
      <c r="M3524" s="7">
        <f t="shared" ca="1" si="226"/>
        <v>42.42026009582478</v>
      </c>
      <c r="N3524" s="5" t="str">
        <f ca="1">VLOOKUP(Data!M3524,temp!$B$3:$C$9,2,1)</f>
        <v>40-50</v>
      </c>
      <c r="O3524">
        <v>-4304</v>
      </c>
      <c r="P3524" s="8">
        <f t="shared" si="227"/>
        <v>11.783709787816564</v>
      </c>
      <c r="Q3524" s="5" t="str">
        <f t="shared" si="225"/>
        <v>Employed</v>
      </c>
      <c r="R3524">
        <v>1</v>
      </c>
      <c r="S3524">
        <v>0</v>
      </c>
      <c r="T3524">
        <v>0</v>
      </c>
      <c r="U3524">
        <v>0</v>
      </c>
      <c r="V3524" t="s">
        <v>39</v>
      </c>
      <c r="W3524">
        <v>1</v>
      </c>
    </row>
    <row r="3525" spans="1:23" x14ac:dyDescent="0.2">
      <c r="A3525">
        <v>5115958</v>
      </c>
      <c r="B3525" t="s">
        <v>18</v>
      </c>
      <c r="C3525" t="s">
        <v>19</v>
      </c>
      <c r="D3525" t="s">
        <v>19</v>
      </c>
      <c r="E3525">
        <v>0</v>
      </c>
      <c r="F3525">
        <v>225000</v>
      </c>
      <c r="G3525" t="s">
        <v>35</v>
      </c>
      <c r="H3525" t="s">
        <v>22</v>
      </c>
      <c r="I3525" t="s">
        <v>28</v>
      </c>
      <c r="J3525" t="s">
        <v>24</v>
      </c>
      <c r="K3525" s="6">
        <f t="shared" ca="1" si="224"/>
        <v>28055</v>
      </c>
      <c r="L3525">
        <v>-17706</v>
      </c>
      <c r="M3525" s="7">
        <f t="shared" ca="1" si="226"/>
        <v>48.476386036960989</v>
      </c>
      <c r="N3525" s="5" t="str">
        <f ca="1">VLOOKUP(Data!M3525,temp!$B$3:$C$9,2,1)</f>
        <v>40-50</v>
      </c>
      <c r="O3525">
        <v>-2293</v>
      </c>
      <c r="P3525" s="8">
        <f t="shared" si="227"/>
        <v>6.277891854893908</v>
      </c>
      <c r="Q3525" s="5" t="str">
        <f t="shared" si="225"/>
        <v>Employed</v>
      </c>
      <c r="R3525">
        <v>1</v>
      </c>
      <c r="S3525">
        <v>0</v>
      </c>
      <c r="T3525">
        <v>0</v>
      </c>
      <c r="U3525">
        <v>0</v>
      </c>
      <c r="V3525" t="s">
        <v>38</v>
      </c>
      <c r="W3525">
        <v>2</v>
      </c>
    </row>
    <row r="3526" spans="1:23" x14ac:dyDescent="0.2">
      <c r="A3526">
        <v>5115966</v>
      </c>
      <c r="B3526" t="s">
        <v>25</v>
      </c>
      <c r="C3526" t="s">
        <v>20</v>
      </c>
      <c r="D3526" t="s">
        <v>20</v>
      </c>
      <c r="E3526">
        <v>2</v>
      </c>
      <c r="F3526">
        <v>135000</v>
      </c>
      <c r="G3526" t="s">
        <v>31</v>
      </c>
      <c r="H3526" t="s">
        <v>27</v>
      </c>
      <c r="I3526" t="s">
        <v>28</v>
      </c>
      <c r="J3526" t="s">
        <v>24</v>
      </c>
      <c r="K3526" s="6">
        <f t="shared" ca="1" si="224"/>
        <v>31084</v>
      </c>
      <c r="L3526">
        <v>-14677</v>
      </c>
      <c r="M3526" s="7">
        <f t="shared" ca="1" si="226"/>
        <v>40.183436002737849</v>
      </c>
      <c r="N3526" s="5" t="str">
        <f ca="1">VLOOKUP(Data!M3526,temp!$B$3:$C$9,2,1)</f>
        <v>40-50</v>
      </c>
      <c r="O3526">
        <v>-3938</v>
      </c>
      <c r="P3526" s="8">
        <f t="shared" si="227"/>
        <v>10.781656399726215</v>
      </c>
      <c r="Q3526" s="5" t="str">
        <f t="shared" si="225"/>
        <v>Employed</v>
      </c>
      <c r="R3526">
        <v>1</v>
      </c>
      <c r="S3526">
        <v>1</v>
      </c>
      <c r="T3526">
        <v>0</v>
      </c>
      <c r="U3526">
        <v>0</v>
      </c>
      <c r="V3526" t="s">
        <v>29</v>
      </c>
      <c r="W3526">
        <v>4</v>
      </c>
    </row>
    <row r="3527" spans="1:23" x14ac:dyDescent="0.2">
      <c r="A3527">
        <v>5115974</v>
      </c>
      <c r="B3527" t="s">
        <v>18</v>
      </c>
      <c r="C3527" t="s">
        <v>19</v>
      </c>
      <c r="D3527" t="s">
        <v>20</v>
      </c>
      <c r="E3527">
        <v>2</v>
      </c>
      <c r="F3527">
        <v>180000</v>
      </c>
      <c r="G3527" t="s">
        <v>31</v>
      </c>
      <c r="H3527" t="s">
        <v>22</v>
      </c>
      <c r="I3527" t="s">
        <v>28</v>
      </c>
      <c r="J3527" t="s">
        <v>24</v>
      </c>
      <c r="K3527" s="6">
        <f t="shared" ca="1" si="224"/>
        <v>34201</v>
      </c>
      <c r="L3527">
        <v>-11560</v>
      </c>
      <c r="M3527" s="7">
        <f t="shared" ca="1" si="226"/>
        <v>31.649555099247092</v>
      </c>
      <c r="N3527" s="5" t="str">
        <f ca="1">VLOOKUP(Data!M3527,temp!$B$3:$C$9,2,1)</f>
        <v>30-40</v>
      </c>
      <c r="O3527">
        <v>-467</v>
      </c>
      <c r="P3527" s="8">
        <f t="shared" si="227"/>
        <v>1.2785763175906912</v>
      </c>
      <c r="Q3527" s="5" t="str">
        <f t="shared" si="225"/>
        <v>Employed</v>
      </c>
      <c r="R3527">
        <v>1</v>
      </c>
      <c r="S3527">
        <v>1</v>
      </c>
      <c r="T3527">
        <v>0</v>
      </c>
      <c r="U3527">
        <v>0</v>
      </c>
      <c r="W3527">
        <v>4</v>
      </c>
    </row>
    <row r="3528" spans="1:23" x14ac:dyDescent="0.2">
      <c r="A3528">
        <v>5116012</v>
      </c>
      <c r="B3528" t="s">
        <v>18</v>
      </c>
      <c r="C3528" t="s">
        <v>19</v>
      </c>
      <c r="D3528" t="s">
        <v>20</v>
      </c>
      <c r="E3528">
        <v>0</v>
      </c>
      <c r="F3528">
        <v>90000</v>
      </c>
      <c r="G3528" t="s">
        <v>31</v>
      </c>
      <c r="H3528" t="s">
        <v>27</v>
      </c>
      <c r="I3528" t="s">
        <v>28</v>
      </c>
      <c r="J3528" t="s">
        <v>24</v>
      </c>
      <c r="K3528" s="6">
        <f t="shared" ref="K3528:K3591" ca="1" si="228">TODAY()+($L3528)</f>
        <v>27792</v>
      </c>
      <c r="L3528">
        <v>-17969</v>
      </c>
      <c r="M3528" s="7">
        <f t="shared" ca="1" si="226"/>
        <v>49.196440793976727</v>
      </c>
      <c r="N3528" s="5" t="str">
        <f ca="1">VLOOKUP(Data!M3528,temp!$B$3:$C$9,2,1)</f>
        <v>40-50</v>
      </c>
      <c r="O3528">
        <v>-3573</v>
      </c>
      <c r="P3528" s="8">
        <f t="shared" si="227"/>
        <v>9.7823408624229984</v>
      </c>
      <c r="Q3528" s="5" t="str">
        <f t="shared" ref="Q3528:Q3591" si="229">IF($O3528&gt;0,"Unemployed","Employed")</f>
        <v>Employed</v>
      </c>
      <c r="R3528">
        <v>1</v>
      </c>
      <c r="S3528">
        <v>0</v>
      </c>
      <c r="T3528">
        <v>0</v>
      </c>
      <c r="U3528">
        <v>0</v>
      </c>
      <c r="V3528" t="s">
        <v>39</v>
      </c>
      <c r="W3528">
        <v>2</v>
      </c>
    </row>
    <row r="3529" spans="1:23" x14ac:dyDescent="0.2">
      <c r="A3529">
        <v>5116013</v>
      </c>
      <c r="B3529" t="s">
        <v>18</v>
      </c>
      <c r="C3529" t="s">
        <v>19</v>
      </c>
      <c r="D3529" t="s">
        <v>20</v>
      </c>
      <c r="E3529">
        <v>0</v>
      </c>
      <c r="F3529">
        <v>90000</v>
      </c>
      <c r="G3529" t="s">
        <v>31</v>
      </c>
      <c r="H3529" t="s">
        <v>27</v>
      </c>
      <c r="I3529" t="s">
        <v>28</v>
      </c>
      <c r="J3529" t="s">
        <v>24</v>
      </c>
      <c r="K3529" s="6">
        <f t="shared" ca="1" si="228"/>
        <v>27792</v>
      </c>
      <c r="L3529">
        <v>-17969</v>
      </c>
      <c r="M3529" s="7">
        <f t="shared" ca="1" si="226"/>
        <v>49.196440793976727</v>
      </c>
      <c r="N3529" s="5" t="str">
        <f ca="1">VLOOKUP(Data!M3529,temp!$B$3:$C$9,2,1)</f>
        <v>40-50</v>
      </c>
      <c r="O3529">
        <v>-3573</v>
      </c>
      <c r="P3529" s="8">
        <f t="shared" si="227"/>
        <v>9.7823408624229984</v>
      </c>
      <c r="Q3529" s="5" t="str">
        <f t="shared" si="229"/>
        <v>Employed</v>
      </c>
      <c r="R3529">
        <v>1</v>
      </c>
      <c r="S3529">
        <v>0</v>
      </c>
      <c r="T3529">
        <v>0</v>
      </c>
      <c r="U3529">
        <v>0</v>
      </c>
      <c r="V3529" t="s">
        <v>39</v>
      </c>
      <c r="W3529">
        <v>2</v>
      </c>
    </row>
    <row r="3530" spans="1:23" x14ac:dyDescent="0.2">
      <c r="A3530">
        <v>5116021</v>
      </c>
      <c r="B3530" t="s">
        <v>18</v>
      </c>
      <c r="C3530" t="s">
        <v>20</v>
      </c>
      <c r="D3530" t="s">
        <v>20</v>
      </c>
      <c r="E3530">
        <v>0</v>
      </c>
      <c r="F3530">
        <v>450000</v>
      </c>
      <c r="G3530" t="s">
        <v>21</v>
      </c>
      <c r="H3530" t="s">
        <v>22</v>
      </c>
      <c r="I3530" t="s">
        <v>42</v>
      </c>
      <c r="J3530" t="s">
        <v>24</v>
      </c>
      <c r="K3530" s="6">
        <f t="shared" ca="1" si="228"/>
        <v>23678</v>
      </c>
      <c r="L3530">
        <v>-22083</v>
      </c>
      <c r="M3530" s="7">
        <f t="shared" ca="1" si="226"/>
        <v>60.459958932238195</v>
      </c>
      <c r="N3530" s="5" t="str">
        <f ca="1">VLOOKUP(Data!M3530,temp!$B$3:$C$9,2,1)</f>
        <v>60-70</v>
      </c>
      <c r="O3530">
        <v>365243</v>
      </c>
      <c r="P3530" s="8">
        <f t="shared" si="227"/>
        <v>0</v>
      </c>
      <c r="Q3530" s="5" t="str">
        <f t="shared" si="229"/>
        <v>Unemployed</v>
      </c>
      <c r="R3530">
        <v>1</v>
      </c>
      <c r="S3530">
        <v>0</v>
      </c>
      <c r="T3530">
        <v>1</v>
      </c>
      <c r="U3530">
        <v>0</v>
      </c>
      <c r="W3530">
        <v>1</v>
      </c>
    </row>
    <row r="3531" spans="1:23" x14ac:dyDescent="0.2">
      <c r="A3531">
        <v>5116032</v>
      </c>
      <c r="B3531" t="s">
        <v>18</v>
      </c>
      <c r="C3531" t="s">
        <v>19</v>
      </c>
      <c r="D3531" t="s">
        <v>20</v>
      </c>
      <c r="E3531">
        <v>0</v>
      </c>
      <c r="F3531">
        <v>135000</v>
      </c>
      <c r="G3531" t="s">
        <v>21</v>
      </c>
      <c r="H3531" t="s">
        <v>27</v>
      </c>
      <c r="I3531" t="s">
        <v>28</v>
      </c>
      <c r="J3531" t="s">
        <v>24</v>
      </c>
      <c r="K3531" s="6">
        <f t="shared" ca="1" si="228"/>
        <v>25316</v>
      </c>
      <c r="L3531">
        <v>-20445</v>
      </c>
      <c r="M3531" s="7">
        <f t="shared" ca="1" si="226"/>
        <v>55.975359342915809</v>
      </c>
      <c r="N3531" s="5" t="str">
        <f ca="1">VLOOKUP(Data!M3531,temp!$B$3:$C$9,2,1)</f>
        <v>50-60</v>
      </c>
      <c r="O3531">
        <v>365243</v>
      </c>
      <c r="P3531" s="8">
        <f t="shared" si="227"/>
        <v>0</v>
      </c>
      <c r="Q3531" s="5" t="str">
        <f t="shared" si="229"/>
        <v>Unemployed</v>
      </c>
      <c r="R3531">
        <v>1</v>
      </c>
      <c r="S3531">
        <v>0</v>
      </c>
      <c r="T3531">
        <v>0</v>
      </c>
      <c r="U3531">
        <v>0</v>
      </c>
      <c r="W3531">
        <v>2</v>
      </c>
    </row>
    <row r="3532" spans="1:23" x14ac:dyDescent="0.2">
      <c r="A3532">
        <v>5116040</v>
      </c>
      <c r="B3532" t="s">
        <v>18</v>
      </c>
      <c r="C3532" t="s">
        <v>20</v>
      </c>
      <c r="D3532" t="s">
        <v>20</v>
      </c>
      <c r="E3532">
        <v>0</v>
      </c>
      <c r="F3532">
        <v>225000</v>
      </c>
      <c r="G3532" t="s">
        <v>26</v>
      </c>
      <c r="H3532" t="s">
        <v>22</v>
      </c>
      <c r="I3532" t="s">
        <v>28</v>
      </c>
      <c r="J3532" t="s">
        <v>24</v>
      </c>
      <c r="K3532" s="6">
        <f t="shared" ca="1" si="228"/>
        <v>29498</v>
      </c>
      <c r="L3532">
        <v>-16263</v>
      </c>
      <c r="M3532" s="7">
        <f t="shared" ca="1" si="226"/>
        <v>44.525667351129364</v>
      </c>
      <c r="N3532" s="5" t="str">
        <f ca="1">VLOOKUP(Data!M3532,temp!$B$3:$C$9,2,1)</f>
        <v>40-50</v>
      </c>
      <c r="O3532">
        <v>-314</v>
      </c>
      <c r="P3532" s="8">
        <f t="shared" si="227"/>
        <v>0.85968514715947986</v>
      </c>
      <c r="Q3532" s="5" t="str">
        <f t="shared" si="229"/>
        <v>Employed</v>
      </c>
      <c r="R3532">
        <v>1</v>
      </c>
      <c r="S3532">
        <v>0</v>
      </c>
      <c r="T3532">
        <v>1</v>
      </c>
      <c r="U3532">
        <v>0</v>
      </c>
      <c r="V3532" t="s">
        <v>47</v>
      </c>
      <c r="W3532">
        <v>2</v>
      </c>
    </row>
    <row r="3533" spans="1:23" x14ac:dyDescent="0.2">
      <c r="A3533">
        <v>5116058</v>
      </c>
      <c r="B3533" t="s">
        <v>18</v>
      </c>
      <c r="C3533" t="s">
        <v>20</v>
      </c>
      <c r="D3533" t="s">
        <v>20</v>
      </c>
      <c r="E3533">
        <v>0</v>
      </c>
      <c r="F3533">
        <v>247500</v>
      </c>
      <c r="G3533" t="s">
        <v>31</v>
      </c>
      <c r="H3533" t="s">
        <v>27</v>
      </c>
      <c r="I3533" t="s">
        <v>28</v>
      </c>
      <c r="J3533" t="s">
        <v>24</v>
      </c>
      <c r="K3533" s="6">
        <f t="shared" ca="1" si="228"/>
        <v>27478</v>
      </c>
      <c r="L3533">
        <v>-18283</v>
      </c>
      <c r="M3533" s="7">
        <f t="shared" ca="1" si="226"/>
        <v>50.056125941136209</v>
      </c>
      <c r="N3533" s="5" t="str">
        <f ca="1">VLOOKUP(Data!M3533,temp!$B$3:$C$9,2,1)</f>
        <v>50-60</v>
      </c>
      <c r="O3533">
        <v>-1113</v>
      </c>
      <c r="P3533" s="8">
        <f t="shared" si="227"/>
        <v>3.0472279260780288</v>
      </c>
      <c r="Q3533" s="5" t="str">
        <f t="shared" si="229"/>
        <v>Employed</v>
      </c>
      <c r="R3533">
        <v>1</v>
      </c>
      <c r="S3533">
        <v>0</v>
      </c>
      <c r="T3533">
        <v>0</v>
      </c>
      <c r="U3533">
        <v>0</v>
      </c>
      <c r="W3533">
        <v>2</v>
      </c>
    </row>
    <row r="3534" spans="1:23" x14ac:dyDescent="0.2">
      <c r="A3534">
        <v>5116075</v>
      </c>
      <c r="B3534" t="s">
        <v>18</v>
      </c>
      <c r="C3534" t="s">
        <v>19</v>
      </c>
      <c r="D3534" t="s">
        <v>20</v>
      </c>
      <c r="E3534">
        <v>0</v>
      </c>
      <c r="F3534">
        <v>112500</v>
      </c>
      <c r="G3534" t="s">
        <v>21</v>
      </c>
      <c r="H3534" t="s">
        <v>27</v>
      </c>
      <c r="I3534" t="s">
        <v>28</v>
      </c>
      <c r="J3534" t="s">
        <v>24</v>
      </c>
      <c r="K3534" s="6">
        <f t="shared" ca="1" si="228"/>
        <v>24794</v>
      </c>
      <c r="L3534">
        <v>-20967</v>
      </c>
      <c r="M3534" s="7">
        <f t="shared" ca="1" si="226"/>
        <v>57.404517453798768</v>
      </c>
      <c r="N3534" s="5" t="str">
        <f ca="1">VLOOKUP(Data!M3534,temp!$B$3:$C$9,2,1)</f>
        <v>50-60</v>
      </c>
      <c r="O3534">
        <v>365243</v>
      </c>
      <c r="P3534" s="8">
        <f t="shared" si="227"/>
        <v>0</v>
      </c>
      <c r="Q3534" s="5" t="str">
        <f t="shared" si="229"/>
        <v>Unemployed</v>
      </c>
      <c r="R3534">
        <v>1</v>
      </c>
      <c r="S3534">
        <v>0</v>
      </c>
      <c r="T3534">
        <v>1</v>
      </c>
      <c r="U3534">
        <v>0</v>
      </c>
      <c r="W3534">
        <v>2</v>
      </c>
    </row>
    <row r="3535" spans="1:23" x14ac:dyDescent="0.2">
      <c r="A3535">
        <v>5116107</v>
      </c>
      <c r="B3535" t="s">
        <v>25</v>
      </c>
      <c r="C3535" t="s">
        <v>19</v>
      </c>
      <c r="D3535" t="s">
        <v>20</v>
      </c>
      <c r="E3535">
        <v>0</v>
      </c>
      <c r="F3535">
        <v>270000</v>
      </c>
      <c r="G3535" t="s">
        <v>21</v>
      </c>
      <c r="H3535" t="s">
        <v>22</v>
      </c>
      <c r="I3535" t="s">
        <v>28</v>
      </c>
      <c r="J3535" t="s">
        <v>24</v>
      </c>
      <c r="K3535" s="6">
        <f t="shared" ca="1" si="228"/>
        <v>30524</v>
      </c>
      <c r="L3535">
        <v>-15237</v>
      </c>
      <c r="M3535" s="7">
        <f t="shared" ca="1" si="226"/>
        <v>41.716632443531829</v>
      </c>
      <c r="N3535" s="5" t="str">
        <f ca="1">VLOOKUP(Data!M3535,temp!$B$3:$C$9,2,1)</f>
        <v>40-50</v>
      </c>
      <c r="O3535">
        <v>365243</v>
      </c>
      <c r="P3535" s="8">
        <f t="shared" si="227"/>
        <v>0</v>
      </c>
      <c r="Q3535" s="5" t="str">
        <f t="shared" si="229"/>
        <v>Unemployed</v>
      </c>
      <c r="R3535">
        <v>1</v>
      </c>
      <c r="S3535">
        <v>0</v>
      </c>
      <c r="T3535">
        <v>0</v>
      </c>
      <c r="U3535">
        <v>0</v>
      </c>
      <c r="W3535">
        <v>2</v>
      </c>
    </row>
    <row r="3536" spans="1:23" x14ac:dyDescent="0.2">
      <c r="A3536">
        <v>5116111</v>
      </c>
      <c r="B3536" t="s">
        <v>25</v>
      </c>
      <c r="C3536" t="s">
        <v>20</v>
      </c>
      <c r="D3536" t="s">
        <v>19</v>
      </c>
      <c r="E3536">
        <v>0</v>
      </c>
      <c r="F3536">
        <v>180000</v>
      </c>
      <c r="G3536" t="s">
        <v>31</v>
      </c>
      <c r="H3536" t="s">
        <v>27</v>
      </c>
      <c r="I3536" t="s">
        <v>33</v>
      </c>
      <c r="J3536" t="s">
        <v>41</v>
      </c>
      <c r="K3536" s="6">
        <f t="shared" ca="1" si="228"/>
        <v>34625</v>
      </c>
      <c r="L3536">
        <v>-11136</v>
      </c>
      <c r="M3536" s="7">
        <f t="shared" ca="1" si="226"/>
        <v>30.488706365503081</v>
      </c>
      <c r="N3536" s="5" t="str">
        <f ca="1">VLOOKUP(Data!M3536,temp!$B$3:$C$9,2,1)</f>
        <v>30-40</v>
      </c>
      <c r="O3536">
        <v>-3487</v>
      </c>
      <c r="P3536" s="8">
        <f t="shared" si="227"/>
        <v>9.546885694729637</v>
      </c>
      <c r="Q3536" s="5" t="str">
        <f t="shared" si="229"/>
        <v>Employed</v>
      </c>
      <c r="R3536">
        <v>1</v>
      </c>
      <c r="S3536">
        <v>0</v>
      </c>
      <c r="T3536">
        <v>1</v>
      </c>
      <c r="U3536">
        <v>0</v>
      </c>
      <c r="V3536" t="s">
        <v>39</v>
      </c>
      <c r="W3536">
        <v>1</v>
      </c>
    </row>
    <row r="3537" spans="1:23" x14ac:dyDescent="0.2">
      <c r="A3537">
        <v>5116116</v>
      </c>
      <c r="B3537" t="s">
        <v>25</v>
      </c>
      <c r="C3537" t="s">
        <v>20</v>
      </c>
      <c r="D3537" t="s">
        <v>19</v>
      </c>
      <c r="E3537">
        <v>0</v>
      </c>
      <c r="F3537">
        <v>180000</v>
      </c>
      <c r="G3537" t="s">
        <v>31</v>
      </c>
      <c r="H3537" t="s">
        <v>27</v>
      </c>
      <c r="I3537" t="s">
        <v>33</v>
      </c>
      <c r="J3537" t="s">
        <v>41</v>
      </c>
      <c r="K3537" s="6">
        <f t="shared" ca="1" si="228"/>
        <v>34625</v>
      </c>
      <c r="L3537">
        <v>-11136</v>
      </c>
      <c r="M3537" s="7">
        <f t="shared" ca="1" si="226"/>
        <v>30.488706365503081</v>
      </c>
      <c r="N3537" s="5" t="str">
        <f ca="1">VLOOKUP(Data!M3537,temp!$B$3:$C$9,2,1)</f>
        <v>30-40</v>
      </c>
      <c r="O3537">
        <v>-3487</v>
      </c>
      <c r="P3537" s="8">
        <f t="shared" si="227"/>
        <v>9.546885694729637</v>
      </c>
      <c r="Q3537" s="5" t="str">
        <f t="shared" si="229"/>
        <v>Employed</v>
      </c>
      <c r="R3537">
        <v>1</v>
      </c>
      <c r="S3537">
        <v>0</v>
      </c>
      <c r="T3537">
        <v>1</v>
      </c>
      <c r="U3537">
        <v>0</v>
      </c>
      <c r="V3537" t="s">
        <v>39</v>
      </c>
      <c r="W3537">
        <v>1</v>
      </c>
    </row>
    <row r="3538" spans="1:23" x14ac:dyDescent="0.2">
      <c r="A3538">
        <v>5116118</v>
      </c>
      <c r="B3538" t="s">
        <v>18</v>
      </c>
      <c r="C3538" t="s">
        <v>19</v>
      </c>
      <c r="D3538" t="s">
        <v>19</v>
      </c>
      <c r="E3538">
        <v>1</v>
      </c>
      <c r="F3538">
        <v>180000</v>
      </c>
      <c r="G3538" t="s">
        <v>31</v>
      </c>
      <c r="H3538" t="s">
        <v>36</v>
      </c>
      <c r="I3538" t="s">
        <v>28</v>
      </c>
      <c r="J3538" t="s">
        <v>41</v>
      </c>
      <c r="K3538" s="6">
        <f t="shared" ca="1" si="228"/>
        <v>35850</v>
      </c>
      <c r="L3538">
        <v>-9911</v>
      </c>
      <c r="M3538" s="7">
        <f t="shared" ca="1" si="226"/>
        <v>27.134839151266256</v>
      </c>
      <c r="N3538" s="5" t="str">
        <f ca="1">VLOOKUP(Data!M3538,temp!$B$3:$C$9,2,1)</f>
        <v>20-30</v>
      </c>
      <c r="O3538">
        <v>-2665</v>
      </c>
      <c r="P3538" s="8">
        <f t="shared" si="227"/>
        <v>7.2963723477070497</v>
      </c>
      <c r="Q3538" s="5" t="str">
        <f t="shared" si="229"/>
        <v>Employed</v>
      </c>
      <c r="R3538">
        <v>1</v>
      </c>
      <c r="S3538">
        <v>0</v>
      </c>
      <c r="T3538">
        <v>0</v>
      </c>
      <c r="U3538">
        <v>0</v>
      </c>
      <c r="W3538">
        <v>3</v>
      </c>
    </row>
    <row r="3539" spans="1:23" x14ac:dyDescent="0.2">
      <c r="A3539">
        <v>5116129</v>
      </c>
      <c r="B3539" t="s">
        <v>18</v>
      </c>
      <c r="C3539" t="s">
        <v>20</v>
      </c>
      <c r="D3539" t="s">
        <v>20</v>
      </c>
      <c r="E3539">
        <v>1</v>
      </c>
      <c r="F3539">
        <v>560250</v>
      </c>
      <c r="G3539" t="s">
        <v>31</v>
      </c>
      <c r="H3539" t="s">
        <v>27</v>
      </c>
      <c r="I3539" t="s">
        <v>33</v>
      </c>
      <c r="J3539" t="s">
        <v>24</v>
      </c>
      <c r="K3539" s="6">
        <f t="shared" ca="1" si="228"/>
        <v>32774</v>
      </c>
      <c r="L3539">
        <v>-12987</v>
      </c>
      <c r="M3539" s="7">
        <f t="shared" ca="1" si="226"/>
        <v>35.5564681724846</v>
      </c>
      <c r="N3539" s="5" t="str">
        <f ca="1">VLOOKUP(Data!M3539,temp!$B$3:$C$9,2,1)</f>
        <v>30-40</v>
      </c>
      <c r="O3539">
        <v>-2330</v>
      </c>
      <c r="P3539" s="8">
        <f t="shared" si="227"/>
        <v>6.3791923340177963</v>
      </c>
      <c r="Q3539" s="5" t="str">
        <f t="shared" si="229"/>
        <v>Employed</v>
      </c>
      <c r="R3539">
        <v>1</v>
      </c>
      <c r="S3539">
        <v>0</v>
      </c>
      <c r="T3539">
        <v>0</v>
      </c>
      <c r="U3539">
        <v>0</v>
      </c>
      <c r="V3539" t="s">
        <v>39</v>
      </c>
      <c r="W3539">
        <v>2</v>
      </c>
    </row>
    <row r="3540" spans="1:23" x14ac:dyDescent="0.2">
      <c r="A3540">
        <v>5116145</v>
      </c>
      <c r="B3540" t="s">
        <v>18</v>
      </c>
      <c r="C3540" t="s">
        <v>20</v>
      </c>
      <c r="D3540" t="s">
        <v>20</v>
      </c>
      <c r="E3540">
        <v>1</v>
      </c>
      <c r="F3540">
        <v>315000</v>
      </c>
      <c r="G3540" t="s">
        <v>35</v>
      </c>
      <c r="H3540" t="s">
        <v>22</v>
      </c>
      <c r="I3540" t="s">
        <v>28</v>
      </c>
      <c r="J3540" t="s">
        <v>24</v>
      </c>
      <c r="K3540" s="6">
        <f t="shared" ca="1" si="228"/>
        <v>31757</v>
      </c>
      <c r="L3540">
        <v>-14004</v>
      </c>
      <c r="M3540" s="7">
        <f t="shared" ca="1" si="226"/>
        <v>38.340862422997944</v>
      </c>
      <c r="N3540" s="5" t="str">
        <f ca="1">VLOOKUP(Data!M3540,temp!$B$3:$C$9,2,1)</f>
        <v>30-40</v>
      </c>
      <c r="O3540">
        <v>-292</v>
      </c>
      <c r="P3540" s="8">
        <f t="shared" si="227"/>
        <v>0.79945242984257359</v>
      </c>
      <c r="Q3540" s="5" t="str">
        <f t="shared" si="229"/>
        <v>Employed</v>
      </c>
      <c r="R3540">
        <v>1</v>
      </c>
      <c r="S3540">
        <v>0</v>
      </c>
      <c r="T3540">
        <v>0</v>
      </c>
      <c r="U3540">
        <v>0</v>
      </c>
      <c r="V3540" t="s">
        <v>32</v>
      </c>
      <c r="W3540">
        <v>3</v>
      </c>
    </row>
    <row r="3541" spans="1:23" x14ac:dyDescent="0.2">
      <c r="A3541">
        <v>5116168</v>
      </c>
      <c r="B3541" t="s">
        <v>18</v>
      </c>
      <c r="C3541" t="s">
        <v>20</v>
      </c>
      <c r="D3541" t="s">
        <v>20</v>
      </c>
      <c r="E3541">
        <v>0</v>
      </c>
      <c r="F3541">
        <v>202500</v>
      </c>
      <c r="G3541" t="s">
        <v>21</v>
      </c>
      <c r="H3541" t="s">
        <v>27</v>
      </c>
      <c r="I3541" t="s">
        <v>28</v>
      </c>
      <c r="J3541" t="s">
        <v>24</v>
      </c>
      <c r="K3541" s="6">
        <f t="shared" ca="1" si="228"/>
        <v>22371</v>
      </c>
      <c r="L3541">
        <v>-23390</v>
      </c>
      <c r="M3541" s="7">
        <f t="shared" ca="1" si="226"/>
        <v>64.038329911019844</v>
      </c>
      <c r="N3541" s="5" t="str">
        <f ca="1">VLOOKUP(Data!M3541,temp!$B$3:$C$9,2,1)</f>
        <v>60-70</v>
      </c>
      <c r="O3541">
        <v>365243</v>
      </c>
      <c r="P3541" s="8">
        <f t="shared" si="227"/>
        <v>0</v>
      </c>
      <c r="Q3541" s="5" t="str">
        <f t="shared" si="229"/>
        <v>Unemployed</v>
      </c>
      <c r="R3541">
        <v>1</v>
      </c>
      <c r="S3541">
        <v>0</v>
      </c>
      <c r="T3541">
        <v>0</v>
      </c>
      <c r="U3541">
        <v>0</v>
      </c>
      <c r="W3541">
        <v>2</v>
      </c>
    </row>
    <row r="3542" spans="1:23" x14ac:dyDescent="0.2">
      <c r="A3542">
        <v>5116170</v>
      </c>
      <c r="B3542" t="s">
        <v>18</v>
      </c>
      <c r="C3542" t="s">
        <v>20</v>
      </c>
      <c r="D3542" t="s">
        <v>20</v>
      </c>
      <c r="E3542">
        <v>0</v>
      </c>
      <c r="F3542">
        <v>202500</v>
      </c>
      <c r="G3542" t="s">
        <v>21</v>
      </c>
      <c r="H3542" t="s">
        <v>27</v>
      </c>
      <c r="I3542" t="s">
        <v>28</v>
      </c>
      <c r="J3542" t="s">
        <v>24</v>
      </c>
      <c r="K3542" s="6">
        <f t="shared" ca="1" si="228"/>
        <v>22371</v>
      </c>
      <c r="L3542">
        <v>-23390</v>
      </c>
      <c r="M3542" s="7">
        <f t="shared" ca="1" si="226"/>
        <v>64.038329911019844</v>
      </c>
      <c r="N3542" s="5" t="str">
        <f ca="1">VLOOKUP(Data!M3542,temp!$B$3:$C$9,2,1)</f>
        <v>60-70</v>
      </c>
      <c r="O3542">
        <v>365243</v>
      </c>
      <c r="P3542" s="8">
        <f t="shared" si="227"/>
        <v>0</v>
      </c>
      <c r="Q3542" s="5" t="str">
        <f t="shared" si="229"/>
        <v>Unemployed</v>
      </c>
      <c r="R3542">
        <v>1</v>
      </c>
      <c r="S3542">
        <v>0</v>
      </c>
      <c r="T3542">
        <v>0</v>
      </c>
      <c r="U3542">
        <v>0</v>
      </c>
      <c r="W3542">
        <v>2</v>
      </c>
    </row>
    <row r="3543" spans="1:23" x14ac:dyDescent="0.2">
      <c r="A3543">
        <v>5116208</v>
      </c>
      <c r="B3543" t="s">
        <v>25</v>
      </c>
      <c r="C3543" t="s">
        <v>20</v>
      </c>
      <c r="D3543" t="s">
        <v>20</v>
      </c>
      <c r="E3543">
        <v>2</v>
      </c>
      <c r="F3543">
        <v>112500</v>
      </c>
      <c r="G3543" t="s">
        <v>31</v>
      </c>
      <c r="H3543" t="s">
        <v>27</v>
      </c>
      <c r="I3543" t="s">
        <v>28</v>
      </c>
      <c r="J3543" t="s">
        <v>24</v>
      </c>
      <c r="K3543" s="6">
        <f t="shared" ca="1" si="228"/>
        <v>32739</v>
      </c>
      <c r="L3543">
        <v>-13022</v>
      </c>
      <c r="M3543" s="7">
        <f t="shared" ca="1" si="226"/>
        <v>35.652292950034223</v>
      </c>
      <c r="N3543" s="5" t="str">
        <f ca="1">VLOOKUP(Data!M3543,temp!$B$3:$C$9,2,1)</f>
        <v>30-40</v>
      </c>
      <c r="O3543">
        <v>-1600</v>
      </c>
      <c r="P3543" s="8">
        <f t="shared" si="227"/>
        <v>4.3805612594113619</v>
      </c>
      <c r="Q3543" s="5" t="str">
        <f t="shared" si="229"/>
        <v>Employed</v>
      </c>
      <c r="R3543">
        <v>1</v>
      </c>
      <c r="S3543">
        <v>0</v>
      </c>
      <c r="T3543">
        <v>0</v>
      </c>
      <c r="U3543">
        <v>0</v>
      </c>
      <c r="V3543" t="s">
        <v>29</v>
      </c>
      <c r="W3543">
        <v>4</v>
      </c>
    </row>
    <row r="3544" spans="1:23" x14ac:dyDescent="0.2">
      <c r="A3544">
        <v>5116220</v>
      </c>
      <c r="B3544" t="s">
        <v>25</v>
      </c>
      <c r="C3544" t="s">
        <v>19</v>
      </c>
      <c r="D3544" t="s">
        <v>20</v>
      </c>
      <c r="E3544">
        <v>2</v>
      </c>
      <c r="F3544">
        <v>135000</v>
      </c>
      <c r="G3544" t="s">
        <v>26</v>
      </c>
      <c r="H3544" t="s">
        <v>27</v>
      </c>
      <c r="I3544" t="s">
        <v>28</v>
      </c>
      <c r="J3544" t="s">
        <v>24</v>
      </c>
      <c r="K3544" s="6">
        <f t="shared" ca="1" si="228"/>
        <v>32724</v>
      </c>
      <c r="L3544">
        <v>-13037</v>
      </c>
      <c r="M3544" s="7">
        <f t="shared" ca="1" si="226"/>
        <v>35.693360711841201</v>
      </c>
      <c r="N3544" s="5" t="str">
        <f ca="1">VLOOKUP(Data!M3544,temp!$B$3:$C$9,2,1)</f>
        <v>30-40</v>
      </c>
      <c r="O3544">
        <v>-200</v>
      </c>
      <c r="P3544" s="8">
        <f t="shared" si="227"/>
        <v>0.54757015742642023</v>
      </c>
      <c r="Q3544" s="5" t="str">
        <f t="shared" si="229"/>
        <v>Employed</v>
      </c>
      <c r="R3544">
        <v>1</v>
      </c>
      <c r="S3544">
        <v>0</v>
      </c>
      <c r="T3544">
        <v>0</v>
      </c>
      <c r="U3544">
        <v>0</v>
      </c>
      <c r="V3544" t="s">
        <v>29</v>
      </c>
      <c r="W3544">
        <v>4</v>
      </c>
    </row>
    <row r="3545" spans="1:23" x14ac:dyDescent="0.2">
      <c r="A3545">
        <v>5116244</v>
      </c>
      <c r="B3545" t="s">
        <v>18</v>
      </c>
      <c r="C3545" t="s">
        <v>19</v>
      </c>
      <c r="D3545" t="s">
        <v>20</v>
      </c>
      <c r="E3545">
        <v>0</v>
      </c>
      <c r="F3545">
        <v>315000</v>
      </c>
      <c r="G3545" t="s">
        <v>31</v>
      </c>
      <c r="H3545" t="s">
        <v>27</v>
      </c>
      <c r="I3545" t="s">
        <v>28</v>
      </c>
      <c r="J3545" t="s">
        <v>24</v>
      </c>
      <c r="K3545" s="6">
        <f t="shared" ca="1" si="228"/>
        <v>23427</v>
      </c>
      <c r="L3545">
        <v>-22334</v>
      </c>
      <c r="M3545" s="7">
        <f t="shared" ca="1" si="226"/>
        <v>61.147159479808352</v>
      </c>
      <c r="N3545" s="5" t="str">
        <f ca="1">VLOOKUP(Data!M3545,temp!$B$3:$C$9,2,1)</f>
        <v>60-70</v>
      </c>
      <c r="O3545">
        <v>-14810</v>
      </c>
      <c r="P3545" s="8">
        <f t="shared" si="227"/>
        <v>40.547570157426421</v>
      </c>
      <c r="Q3545" s="5" t="str">
        <f t="shared" si="229"/>
        <v>Employed</v>
      </c>
      <c r="R3545">
        <v>1</v>
      </c>
      <c r="S3545">
        <v>0</v>
      </c>
      <c r="T3545">
        <v>0</v>
      </c>
      <c r="U3545">
        <v>0</v>
      </c>
      <c r="V3545" t="s">
        <v>50</v>
      </c>
      <c r="W3545">
        <v>2</v>
      </c>
    </row>
    <row r="3546" spans="1:23" x14ac:dyDescent="0.2">
      <c r="A3546">
        <v>5116248</v>
      </c>
      <c r="B3546" t="s">
        <v>18</v>
      </c>
      <c r="C3546" t="s">
        <v>19</v>
      </c>
      <c r="D3546" t="s">
        <v>20</v>
      </c>
      <c r="E3546">
        <v>0</v>
      </c>
      <c r="F3546">
        <v>315000</v>
      </c>
      <c r="G3546" t="s">
        <v>31</v>
      </c>
      <c r="H3546" t="s">
        <v>27</v>
      </c>
      <c r="I3546" t="s">
        <v>28</v>
      </c>
      <c r="J3546" t="s">
        <v>24</v>
      </c>
      <c r="K3546" s="6">
        <f t="shared" ca="1" si="228"/>
        <v>23427</v>
      </c>
      <c r="L3546">
        <v>-22334</v>
      </c>
      <c r="M3546" s="7">
        <f t="shared" ca="1" si="226"/>
        <v>61.147159479808352</v>
      </c>
      <c r="N3546" s="5" t="str">
        <f ca="1">VLOOKUP(Data!M3546,temp!$B$3:$C$9,2,1)</f>
        <v>60-70</v>
      </c>
      <c r="O3546">
        <v>-14810</v>
      </c>
      <c r="P3546" s="8">
        <f t="shared" si="227"/>
        <v>40.547570157426421</v>
      </c>
      <c r="Q3546" s="5" t="str">
        <f t="shared" si="229"/>
        <v>Employed</v>
      </c>
      <c r="R3546">
        <v>1</v>
      </c>
      <c r="S3546">
        <v>0</v>
      </c>
      <c r="T3546">
        <v>0</v>
      </c>
      <c r="U3546">
        <v>0</v>
      </c>
      <c r="V3546" t="s">
        <v>50</v>
      </c>
      <c r="W3546">
        <v>2</v>
      </c>
    </row>
    <row r="3547" spans="1:23" x14ac:dyDescent="0.2">
      <c r="A3547">
        <v>5116250</v>
      </c>
      <c r="B3547" t="s">
        <v>18</v>
      </c>
      <c r="C3547" t="s">
        <v>19</v>
      </c>
      <c r="D3547" t="s">
        <v>20</v>
      </c>
      <c r="E3547">
        <v>0</v>
      </c>
      <c r="F3547">
        <v>315000</v>
      </c>
      <c r="G3547" t="s">
        <v>31</v>
      </c>
      <c r="H3547" t="s">
        <v>27</v>
      </c>
      <c r="I3547" t="s">
        <v>28</v>
      </c>
      <c r="J3547" t="s">
        <v>24</v>
      </c>
      <c r="K3547" s="6">
        <f t="shared" ca="1" si="228"/>
        <v>23427</v>
      </c>
      <c r="L3547">
        <v>-22334</v>
      </c>
      <c r="M3547" s="7">
        <f t="shared" ca="1" si="226"/>
        <v>61.147159479808352</v>
      </c>
      <c r="N3547" s="5" t="str">
        <f ca="1">VLOOKUP(Data!M3547,temp!$B$3:$C$9,2,1)</f>
        <v>60-70</v>
      </c>
      <c r="O3547">
        <v>-14810</v>
      </c>
      <c r="P3547" s="8">
        <f t="shared" si="227"/>
        <v>40.547570157426421</v>
      </c>
      <c r="Q3547" s="5" t="str">
        <f t="shared" si="229"/>
        <v>Employed</v>
      </c>
      <c r="R3547">
        <v>1</v>
      </c>
      <c r="S3547">
        <v>0</v>
      </c>
      <c r="T3547">
        <v>0</v>
      </c>
      <c r="U3547">
        <v>0</v>
      </c>
      <c r="V3547" t="s">
        <v>50</v>
      </c>
      <c r="W3547">
        <v>2</v>
      </c>
    </row>
    <row r="3548" spans="1:23" x14ac:dyDescent="0.2">
      <c r="A3548">
        <v>5116251</v>
      </c>
      <c r="B3548" t="s">
        <v>18</v>
      </c>
      <c r="C3548" t="s">
        <v>19</v>
      </c>
      <c r="D3548" t="s">
        <v>20</v>
      </c>
      <c r="E3548">
        <v>0</v>
      </c>
      <c r="F3548">
        <v>315000</v>
      </c>
      <c r="G3548" t="s">
        <v>31</v>
      </c>
      <c r="H3548" t="s">
        <v>27</v>
      </c>
      <c r="I3548" t="s">
        <v>28</v>
      </c>
      <c r="J3548" t="s">
        <v>24</v>
      </c>
      <c r="K3548" s="6">
        <f t="shared" ca="1" si="228"/>
        <v>23427</v>
      </c>
      <c r="L3548">
        <v>-22334</v>
      </c>
      <c r="M3548" s="7">
        <f t="shared" ca="1" si="226"/>
        <v>61.147159479808352</v>
      </c>
      <c r="N3548" s="5" t="str">
        <f ca="1">VLOOKUP(Data!M3548,temp!$B$3:$C$9,2,1)</f>
        <v>60-70</v>
      </c>
      <c r="O3548">
        <v>-14810</v>
      </c>
      <c r="P3548" s="8">
        <f t="shared" si="227"/>
        <v>40.547570157426421</v>
      </c>
      <c r="Q3548" s="5" t="str">
        <f t="shared" si="229"/>
        <v>Employed</v>
      </c>
      <c r="R3548">
        <v>1</v>
      </c>
      <c r="S3548">
        <v>0</v>
      </c>
      <c r="T3548">
        <v>0</v>
      </c>
      <c r="U3548">
        <v>0</v>
      </c>
      <c r="V3548" t="s">
        <v>50</v>
      </c>
      <c r="W3548">
        <v>2</v>
      </c>
    </row>
    <row r="3549" spans="1:23" x14ac:dyDescent="0.2">
      <c r="A3549">
        <v>5116258</v>
      </c>
      <c r="B3549" t="s">
        <v>18</v>
      </c>
      <c r="C3549" t="s">
        <v>19</v>
      </c>
      <c r="D3549" t="s">
        <v>20</v>
      </c>
      <c r="E3549">
        <v>4</v>
      </c>
      <c r="F3549">
        <v>180000</v>
      </c>
      <c r="G3549" t="s">
        <v>26</v>
      </c>
      <c r="H3549" t="s">
        <v>27</v>
      </c>
      <c r="I3549" t="s">
        <v>28</v>
      </c>
      <c r="J3549" t="s">
        <v>24</v>
      </c>
      <c r="K3549" s="6">
        <f t="shared" ca="1" si="228"/>
        <v>28293</v>
      </c>
      <c r="L3549">
        <v>-17468</v>
      </c>
      <c r="M3549" s="7">
        <f t="shared" ca="1" si="226"/>
        <v>47.824777549623548</v>
      </c>
      <c r="N3549" s="5" t="str">
        <f ca="1">VLOOKUP(Data!M3549,temp!$B$3:$C$9,2,1)</f>
        <v>40-50</v>
      </c>
      <c r="O3549">
        <v>-7413</v>
      </c>
      <c r="P3549" s="8">
        <f t="shared" si="227"/>
        <v>20.295687885010267</v>
      </c>
      <c r="Q3549" s="5" t="str">
        <f t="shared" si="229"/>
        <v>Employed</v>
      </c>
      <c r="R3549">
        <v>1</v>
      </c>
      <c r="S3549">
        <v>0</v>
      </c>
      <c r="T3549">
        <v>0</v>
      </c>
      <c r="U3549">
        <v>0</v>
      </c>
      <c r="V3549" t="s">
        <v>38</v>
      </c>
      <c r="W3549">
        <v>6</v>
      </c>
    </row>
    <row r="3550" spans="1:23" x14ac:dyDescent="0.2">
      <c r="A3550">
        <v>5116284</v>
      </c>
      <c r="B3550" t="s">
        <v>18</v>
      </c>
      <c r="C3550" t="s">
        <v>19</v>
      </c>
      <c r="D3550" t="s">
        <v>19</v>
      </c>
      <c r="E3550">
        <v>0</v>
      </c>
      <c r="F3550">
        <v>112500</v>
      </c>
      <c r="G3550" t="s">
        <v>26</v>
      </c>
      <c r="H3550" t="s">
        <v>51</v>
      </c>
      <c r="I3550" t="s">
        <v>28</v>
      </c>
      <c r="J3550" t="s">
        <v>45</v>
      </c>
      <c r="K3550" s="6">
        <f t="shared" ca="1" si="228"/>
        <v>26741</v>
      </c>
      <c r="L3550">
        <v>-19020</v>
      </c>
      <c r="M3550" s="7">
        <f t="shared" ca="1" si="226"/>
        <v>52.073921971252567</v>
      </c>
      <c r="N3550" s="5" t="str">
        <f ca="1">VLOOKUP(Data!M3550,temp!$B$3:$C$9,2,1)</f>
        <v>50-60</v>
      </c>
      <c r="O3550">
        <v>-231</v>
      </c>
      <c r="P3550" s="8">
        <f t="shared" si="227"/>
        <v>0.63244353182751545</v>
      </c>
      <c r="Q3550" s="5" t="str">
        <f t="shared" si="229"/>
        <v>Employed</v>
      </c>
      <c r="R3550">
        <v>1</v>
      </c>
      <c r="S3550">
        <v>0</v>
      </c>
      <c r="T3550">
        <v>0</v>
      </c>
      <c r="U3550">
        <v>0</v>
      </c>
      <c r="V3550" t="s">
        <v>39</v>
      </c>
      <c r="W3550">
        <v>2</v>
      </c>
    </row>
    <row r="3551" spans="1:23" x14ac:dyDescent="0.2">
      <c r="A3551">
        <v>5116310</v>
      </c>
      <c r="B3551" t="s">
        <v>18</v>
      </c>
      <c r="C3551" t="s">
        <v>19</v>
      </c>
      <c r="D3551" t="s">
        <v>20</v>
      </c>
      <c r="E3551">
        <v>0</v>
      </c>
      <c r="F3551">
        <v>135000</v>
      </c>
      <c r="G3551" t="s">
        <v>31</v>
      </c>
      <c r="H3551" t="s">
        <v>27</v>
      </c>
      <c r="I3551" t="s">
        <v>28</v>
      </c>
      <c r="J3551" t="s">
        <v>24</v>
      </c>
      <c r="K3551" s="6">
        <f t="shared" ca="1" si="228"/>
        <v>25650</v>
      </c>
      <c r="L3551">
        <v>-20111</v>
      </c>
      <c r="M3551" s="7">
        <f t="shared" ca="1" si="226"/>
        <v>55.060917180013689</v>
      </c>
      <c r="N3551" s="5" t="str">
        <f ca="1">VLOOKUP(Data!M3551,temp!$B$3:$C$9,2,1)</f>
        <v>50-60</v>
      </c>
      <c r="O3551">
        <v>-10290</v>
      </c>
      <c r="P3551" s="8">
        <f t="shared" si="227"/>
        <v>28.172484599589321</v>
      </c>
      <c r="Q3551" s="5" t="str">
        <f t="shared" si="229"/>
        <v>Employed</v>
      </c>
      <c r="R3551">
        <v>1</v>
      </c>
      <c r="S3551">
        <v>0</v>
      </c>
      <c r="T3551">
        <v>0</v>
      </c>
      <c r="U3551">
        <v>0</v>
      </c>
      <c r="V3551" t="s">
        <v>50</v>
      </c>
      <c r="W3551">
        <v>2</v>
      </c>
    </row>
    <row r="3552" spans="1:23" x14ac:dyDescent="0.2">
      <c r="A3552">
        <v>5116325</v>
      </c>
      <c r="B3552" t="s">
        <v>18</v>
      </c>
      <c r="C3552" t="s">
        <v>19</v>
      </c>
      <c r="D3552" t="s">
        <v>20</v>
      </c>
      <c r="E3552">
        <v>0</v>
      </c>
      <c r="F3552">
        <v>54000</v>
      </c>
      <c r="G3552" t="s">
        <v>21</v>
      </c>
      <c r="H3552" t="s">
        <v>27</v>
      </c>
      <c r="I3552" t="s">
        <v>28</v>
      </c>
      <c r="J3552" t="s">
        <v>24</v>
      </c>
      <c r="K3552" s="6">
        <f t="shared" ca="1" si="228"/>
        <v>25265</v>
      </c>
      <c r="L3552">
        <v>-20496</v>
      </c>
      <c r="M3552" s="7">
        <f t="shared" ca="1" si="226"/>
        <v>56.114989733059545</v>
      </c>
      <c r="N3552" s="5" t="str">
        <f ca="1">VLOOKUP(Data!M3552,temp!$B$3:$C$9,2,1)</f>
        <v>50-60</v>
      </c>
      <c r="O3552">
        <v>365243</v>
      </c>
      <c r="P3552" s="8">
        <f t="shared" si="227"/>
        <v>0</v>
      </c>
      <c r="Q3552" s="5" t="str">
        <f t="shared" si="229"/>
        <v>Unemployed</v>
      </c>
      <c r="R3552">
        <v>1</v>
      </c>
      <c r="S3552">
        <v>0</v>
      </c>
      <c r="T3552">
        <v>0</v>
      </c>
      <c r="U3552">
        <v>0</v>
      </c>
      <c r="W3552">
        <v>2</v>
      </c>
    </row>
    <row r="3553" spans="1:23" x14ac:dyDescent="0.2">
      <c r="A3553">
        <v>5116333</v>
      </c>
      <c r="B3553" t="s">
        <v>18</v>
      </c>
      <c r="C3553" t="s">
        <v>20</v>
      </c>
      <c r="D3553" t="s">
        <v>20</v>
      </c>
      <c r="E3553">
        <v>0</v>
      </c>
      <c r="F3553">
        <v>162000</v>
      </c>
      <c r="G3553" t="s">
        <v>31</v>
      </c>
      <c r="H3553" t="s">
        <v>27</v>
      </c>
      <c r="I3553" t="s">
        <v>37</v>
      </c>
      <c r="J3553" t="s">
        <v>24</v>
      </c>
      <c r="K3553" s="6">
        <f t="shared" ca="1" si="228"/>
        <v>24609</v>
      </c>
      <c r="L3553">
        <v>-21152</v>
      </c>
      <c r="M3553" s="7">
        <f t="shared" ca="1" si="226"/>
        <v>57.91101984941821</v>
      </c>
      <c r="N3553" s="5" t="str">
        <f ca="1">VLOOKUP(Data!M3553,temp!$B$3:$C$9,2,1)</f>
        <v>50-60</v>
      </c>
      <c r="O3553">
        <v>-397</v>
      </c>
      <c r="P3553" s="8">
        <f t="shared" si="227"/>
        <v>1.0869267624914443</v>
      </c>
      <c r="Q3553" s="5" t="str">
        <f t="shared" si="229"/>
        <v>Employed</v>
      </c>
      <c r="R3553">
        <v>1</v>
      </c>
      <c r="S3553">
        <v>0</v>
      </c>
      <c r="T3553">
        <v>0</v>
      </c>
      <c r="U3553">
        <v>0</v>
      </c>
      <c r="V3553" t="s">
        <v>32</v>
      </c>
      <c r="W3553">
        <v>2</v>
      </c>
    </row>
    <row r="3554" spans="1:23" x14ac:dyDescent="0.2">
      <c r="A3554">
        <v>5116339</v>
      </c>
      <c r="B3554" t="s">
        <v>18</v>
      </c>
      <c r="C3554" t="s">
        <v>20</v>
      </c>
      <c r="D3554" t="s">
        <v>20</v>
      </c>
      <c r="E3554">
        <v>0</v>
      </c>
      <c r="F3554">
        <v>162000</v>
      </c>
      <c r="G3554" t="s">
        <v>31</v>
      </c>
      <c r="H3554" t="s">
        <v>27</v>
      </c>
      <c r="I3554" t="s">
        <v>37</v>
      </c>
      <c r="J3554" t="s">
        <v>24</v>
      </c>
      <c r="K3554" s="6">
        <f t="shared" ca="1" si="228"/>
        <v>24609</v>
      </c>
      <c r="L3554">
        <v>-21152</v>
      </c>
      <c r="M3554" s="7">
        <f t="shared" ca="1" si="226"/>
        <v>57.91101984941821</v>
      </c>
      <c r="N3554" s="5" t="str">
        <f ca="1">VLOOKUP(Data!M3554,temp!$B$3:$C$9,2,1)</f>
        <v>50-60</v>
      </c>
      <c r="O3554">
        <v>-397</v>
      </c>
      <c r="P3554" s="8">
        <f t="shared" si="227"/>
        <v>1.0869267624914443</v>
      </c>
      <c r="Q3554" s="5" t="str">
        <f t="shared" si="229"/>
        <v>Employed</v>
      </c>
      <c r="R3554">
        <v>1</v>
      </c>
      <c r="S3554">
        <v>0</v>
      </c>
      <c r="T3554">
        <v>0</v>
      </c>
      <c r="U3554">
        <v>0</v>
      </c>
      <c r="V3554" t="s">
        <v>32</v>
      </c>
      <c r="W3554">
        <v>2</v>
      </c>
    </row>
    <row r="3555" spans="1:23" x14ac:dyDescent="0.2">
      <c r="A3555">
        <v>5116364</v>
      </c>
      <c r="B3555" t="s">
        <v>18</v>
      </c>
      <c r="C3555" t="s">
        <v>19</v>
      </c>
      <c r="D3555" t="s">
        <v>20</v>
      </c>
      <c r="E3555">
        <v>0</v>
      </c>
      <c r="F3555">
        <v>157500</v>
      </c>
      <c r="G3555" t="s">
        <v>31</v>
      </c>
      <c r="H3555" t="s">
        <v>27</v>
      </c>
      <c r="I3555" t="s">
        <v>28</v>
      </c>
      <c r="J3555" t="s">
        <v>24</v>
      </c>
      <c r="K3555" s="6">
        <f t="shared" ca="1" si="228"/>
        <v>33893</v>
      </c>
      <c r="L3555">
        <v>-11868</v>
      </c>
      <c r="M3555" s="7">
        <f t="shared" ca="1" si="226"/>
        <v>32.492813141683776</v>
      </c>
      <c r="N3555" s="5" t="str">
        <f ca="1">VLOOKUP(Data!M3555,temp!$B$3:$C$9,2,1)</f>
        <v>30-40</v>
      </c>
      <c r="O3555">
        <v>-1220</v>
      </c>
      <c r="P3555" s="8">
        <f t="shared" si="227"/>
        <v>3.3401779603011637</v>
      </c>
      <c r="Q3555" s="5" t="str">
        <f t="shared" si="229"/>
        <v>Employed</v>
      </c>
      <c r="R3555">
        <v>1</v>
      </c>
      <c r="S3555">
        <v>0</v>
      </c>
      <c r="T3555">
        <v>0</v>
      </c>
      <c r="U3555">
        <v>0</v>
      </c>
      <c r="V3555" t="s">
        <v>39</v>
      </c>
      <c r="W3555">
        <v>2</v>
      </c>
    </row>
    <row r="3556" spans="1:23" x14ac:dyDescent="0.2">
      <c r="A3556">
        <v>5116365</v>
      </c>
      <c r="B3556" t="s">
        <v>25</v>
      </c>
      <c r="C3556" t="s">
        <v>19</v>
      </c>
      <c r="D3556" t="s">
        <v>20</v>
      </c>
      <c r="E3556">
        <v>0</v>
      </c>
      <c r="F3556">
        <v>112500</v>
      </c>
      <c r="G3556" t="s">
        <v>31</v>
      </c>
      <c r="H3556" t="s">
        <v>27</v>
      </c>
      <c r="I3556" t="s">
        <v>28</v>
      </c>
      <c r="J3556" t="s">
        <v>24</v>
      </c>
      <c r="K3556" s="6">
        <f t="shared" ca="1" si="228"/>
        <v>26250</v>
      </c>
      <c r="L3556">
        <v>-19511</v>
      </c>
      <c r="M3556" s="7">
        <f t="shared" ca="1" si="226"/>
        <v>53.418206707734427</v>
      </c>
      <c r="N3556" s="5" t="str">
        <f ca="1">VLOOKUP(Data!M3556,temp!$B$3:$C$9,2,1)</f>
        <v>50-60</v>
      </c>
      <c r="O3556">
        <v>-3503</v>
      </c>
      <c r="P3556" s="8">
        <f t="shared" si="227"/>
        <v>9.5906913073237501</v>
      </c>
      <c r="Q3556" s="5" t="str">
        <f t="shared" si="229"/>
        <v>Employed</v>
      </c>
      <c r="R3556">
        <v>1</v>
      </c>
      <c r="S3556">
        <v>0</v>
      </c>
      <c r="T3556">
        <v>0</v>
      </c>
      <c r="U3556">
        <v>0</v>
      </c>
      <c r="V3556" t="s">
        <v>30</v>
      </c>
      <c r="W3556">
        <v>2</v>
      </c>
    </row>
    <row r="3557" spans="1:23" x14ac:dyDescent="0.2">
      <c r="A3557">
        <v>5116382</v>
      </c>
      <c r="B3557" t="s">
        <v>18</v>
      </c>
      <c r="C3557" t="s">
        <v>19</v>
      </c>
      <c r="D3557" t="s">
        <v>20</v>
      </c>
      <c r="E3557">
        <v>1</v>
      </c>
      <c r="F3557">
        <v>120150</v>
      </c>
      <c r="G3557" t="s">
        <v>31</v>
      </c>
      <c r="H3557" t="s">
        <v>22</v>
      </c>
      <c r="I3557" t="s">
        <v>28</v>
      </c>
      <c r="J3557" t="s">
        <v>24</v>
      </c>
      <c r="K3557" s="6">
        <f t="shared" ca="1" si="228"/>
        <v>36474</v>
      </c>
      <c r="L3557">
        <v>-9287</v>
      </c>
      <c r="M3557" s="7">
        <f t="shared" ca="1" si="226"/>
        <v>25.426420260095824</v>
      </c>
      <c r="N3557" s="5" t="str">
        <f ca="1">VLOOKUP(Data!M3557,temp!$B$3:$C$9,2,1)</f>
        <v>20-30</v>
      </c>
      <c r="O3557">
        <v>-1432</v>
      </c>
      <c r="P3557" s="8">
        <f t="shared" si="227"/>
        <v>3.9206023271731691</v>
      </c>
      <c r="Q3557" s="5" t="str">
        <f t="shared" si="229"/>
        <v>Employed</v>
      </c>
      <c r="R3557">
        <v>1</v>
      </c>
      <c r="S3557">
        <v>1</v>
      </c>
      <c r="T3557">
        <v>0</v>
      </c>
      <c r="U3557">
        <v>0</v>
      </c>
      <c r="V3557" t="s">
        <v>38</v>
      </c>
      <c r="W3557">
        <v>3</v>
      </c>
    </row>
    <row r="3558" spans="1:23" x14ac:dyDescent="0.2">
      <c r="A3558">
        <v>5116383</v>
      </c>
      <c r="B3558" t="s">
        <v>18</v>
      </c>
      <c r="C3558" t="s">
        <v>20</v>
      </c>
      <c r="D3558" t="s">
        <v>20</v>
      </c>
      <c r="E3558">
        <v>0</v>
      </c>
      <c r="F3558">
        <v>292500</v>
      </c>
      <c r="G3558" t="s">
        <v>31</v>
      </c>
      <c r="H3558" t="s">
        <v>22</v>
      </c>
      <c r="I3558" t="s">
        <v>33</v>
      </c>
      <c r="J3558" t="s">
        <v>24</v>
      </c>
      <c r="K3558" s="6">
        <f t="shared" ca="1" si="228"/>
        <v>33477</v>
      </c>
      <c r="L3558">
        <v>-12284</v>
      </c>
      <c r="M3558" s="7">
        <f t="shared" ca="1" si="226"/>
        <v>33.63175906913073</v>
      </c>
      <c r="N3558" s="5" t="str">
        <f ca="1">VLOOKUP(Data!M3558,temp!$B$3:$C$9,2,1)</f>
        <v>30-40</v>
      </c>
      <c r="O3558">
        <v>-854</v>
      </c>
      <c r="P3558" s="8">
        <f t="shared" si="227"/>
        <v>2.3381245722108144</v>
      </c>
      <c r="Q3558" s="5" t="str">
        <f t="shared" si="229"/>
        <v>Employed</v>
      </c>
      <c r="R3558">
        <v>1</v>
      </c>
      <c r="S3558">
        <v>0</v>
      </c>
      <c r="T3558">
        <v>0</v>
      </c>
      <c r="U3558">
        <v>0</v>
      </c>
      <c r="V3558" t="s">
        <v>32</v>
      </c>
      <c r="W3558">
        <v>1</v>
      </c>
    </row>
    <row r="3559" spans="1:23" x14ac:dyDescent="0.2">
      <c r="A3559">
        <v>5116384</v>
      </c>
      <c r="B3559" t="s">
        <v>18</v>
      </c>
      <c r="C3559" t="s">
        <v>20</v>
      </c>
      <c r="D3559" t="s">
        <v>20</v>
      </c>
      <c r="E3559">
        <v>0</v>
      </c>
      <c r="F3559">
        <v>292500</v>
      </c>
      <c r="G3559" t="s">
        <v>31</v>
      </c>
      <c r="H3559" t="s">
        <v>22</v>
      </c>
      <c r="I3559" t="s">
        <v>33</v>
      </c>
      <c r="J3559" t="s">
        <v>24</v>
      </c>
      <c r="K3559" s="6">
        <f t="shared" ca="1" si="228"/>
        <v>33477</v>
      </c>
      <c r="L3559">
        <v>-12284</v>
      </c>
      <c r="M3559" s="7">
        <f t="shared" ca="1" si="226"/>
        <v>33.63175906913073</v>
      </c>
      <c r="N3559" s="5" t="str">
        <f ca="1">VLOOKUP(Data!M3559,temp!$B$3:$C$9,2,1)</f>
        <v>30-40</v>
      </c>
      <c r="O3559">
        <v>-854</v>
      </c>
      <c r="P3559" s="8">
        <f t="shared" si="227"/>
        <v>2.3381245722108144</v>
      </c>
      <c r="Q3559" s="5" t="str">
        <f t="shared" si="229"/>
        <v>Employed</v>
      </c>
      <c r="R3559">
        <v>1</v>
      </c>
      <c r="S3559">
        <v>0</v>
      </c>
      <c r="T3559">
        <v>0</v>
      </c>
      <c r="U3559">
        <v>0</v>
      </c>
      <c r="V3559" t="s">
        <v>32</v>
      </c>
      <c r="W3559">
        <v>1</v>
      </c>
    </row>
    <row r="3560" spans="1:23" x14ac:dyDescent="0.2">
      <c r="A3560">
        <v>5116390</v>
      </c>
      <c r="B3560" t="s">
        <v>18</v>
      </c>
      <c r="C3560" t="s">
        <v>19</v>
      </c>
      <c r="D3560" t="s">
        <v>20</v>
      </c>
      <c r="E3560">
        <v>0</v>
      </c>
      <c r="F3560">
        <v>193500</v>
      </c>
      <c r="G3560" t="s">
        <v>35</v>
      </c>
      <c r="H3560" t="s">
        <v>22</v>
      </c>
      <c r="I3560" t="s">
        <v>28</v>
      </c>
      <c r="J3560" t="s">
        <v>24</v>
      </c>
      <c r="K3560" s="6">
        <f t="shared" ca="1" si="228"/>
        <v>34637</v>
      </c>
      <c r="L3560">
        <v>-11124</v>
      </c>
      <c r="M3560" s="7">
        <f t="shared" ca="1" si="226"/>
        <v>30.455852156057496</v>
      </c>
      <c r="N3560" s="5" t="str">
        <f ca="1">VLOOKUP(Data!M3560,temp!$B$3:$C$9,2,1)</f>
        <v>30-40</v>
      </c>
      <c r="O3560">
        <v>-1159</v>
      </c>
      <c r="P3560" s="8">
        <f t="shared" si="227"/>
        <v>3.1731690622861053</v>
      </c>
      <c r="Q3560" s="5" t="str">
        <f t="shared" si="229"/>
        <v>Employed</v>
      </c>
      <c r="R3560">
        <v>1</v>
      </c>
      <c r="S3560">
        <v>0</v>
      </c>
      <c r="T3560">
        <v>0</v>
      </c>
      <c r="U3560">
        <v>0</v>
      </c>
      <c r="V3560" t="s">
        <v>38</v>
      </c>
      <c r="W3560">
        <v>2</v>
      </c>
    </row>
    <row r="3561" spans="1:23" x14ac:dyDescent="0.2">
      <c r="A3561">
        <v>5116400</v>
      </c>
      <c r="B3561" t="s">
        <v>18</v>
      </c>
      <c r="C3561" t="s">
        <v>19</v>
      </c>
      <c r="D3561" t="s">
        <v>20</v>
      </c>
      <c r="E3561">
        <v>0</v>
      </c>
      <c r="F3561">
        <v>180000</v>
      </c>
      <c r="G3561" t="s">
        <v>31</v>
      </c>
      <c r="H3561" t="s">
        <v>22</v>
      </c>
      <c r="I3561" t="s">
        <v>33</v>
      </c>
      <c r="J3561" t="s">
        <v>24</v>
      </c>
      <c r="K3561" s="6">
        <f t="shared" ca="1" si="228"/>
        <v>28228</v>
      </c>
      <c r="L3561">
        <v>-17533</v>
      </c>
      <c r="M3561" s="7">
        <f t="shared" ca="1" si="226"/>
        <v>48.002737850787135</v>
      </c>
      <c r="N3561" s="5" t="str">
        <f ca="1">VLOOKUP(Data!M3561,temp!$B$3:$C$9,2,1)</f>
        <v>40-50</v>
      </c>
      <c r="O3561">
        <v>-3776</v>
      </c>
      <c r="P3561" s="8">
        <f t="shared" si="227"/>
        <v>10.338124572210814</v>
      </c>
      <c r="Q3561" s="5" t="str">
        <f t="shared" si="229"/>
        <v>Employed</v>
      </c>
      <c r="R3561">
        <v>1</v>
      </c>
      <c r="S3561">
        <v>0</v>
      </c>
      <c r="T3561">
        <v>0</v>
      </c>
      <c r="U3561">
        <v>0</v>
      </c>
      <c r="V3561" t="s">
        <v>50</v>
      </c>
      <c r="W3561">
        <v>1</v>
      </c>
    </row>
    <row r="3562" spans="1:23" x14ac:dyDescent="0.2">
      <c r="A3562">
        <v>5116406</v>
      </c>
      <c r="B3562" t="s">
        <v>18</v>
      </c>
      <c r="C3562" t="s">
        <v>19</v>
      </c>
      <c r="D3562" t="s">
        <v>20</v>
      </c>
      <c r="E3562">
        <v>0</v>
      </c>
      <c r="F3562">
        <v>179100</v>
      </c>
      <c r="G3562" t="s">
        <v>21</v>
      </c>
      <c r="H3562" t="s">
        <v>27</v>
      </c>
      <c r="I3562" t="s">
        <v>37</v>
      </c>
      <c r="J3562" t="s">
        <v>24</v>
      </c>
      <c r="K3562" s="6">
        <f t="shared" ca="1" si="228"/>
        <v>24870</v>
      </c>
      <c r="L3562">
        <v>-20891</v>
      </c>
      <c r="M3562" s="7">
        <f t="shared" ca="1" si="226"/>
        <v>57.196440793976727</v>
      </c>
      <c r="N3562" s="5" t="str">
        <f ca="1">VLOOKUP(Data!M3562,temp!$B$3:$C$9,2,1)</f>
        <v>50-60</v>
      </c>
      <c r="O3562">
        <v>365243</v>
      </c>
      <c r="P3562" s="8">
        <f t="shared" si="227"/>
        <v>0</v>
      </c>
      <c r="Q3562" s="5" t="str">
        <f t="shared" si="229"/>
        <v>Unemployed</v>
      </c>
      <c r="R3562">
        <v>1</v>
      </c>
      <c r="S3562">
        <v>0</v>
      </c>
      <c r="T3562">
        <v>0</v>
      </c>
      <c r="U3562">
        <v>0</v>
      </c>
      <c r="W3562">
        <v>2</v>
      </c>
    </row>
    <row r="3563" spans="1:23" x14ac:dyDescent="0.2">
      <c r="A3563">
        <v>5116409</v>
      </c>
      <c r="B3563" t="s">
        <v>25</v>
      </c>
      <c r="C3563" t="s">
        <v>20</v>
      </c>
      <c r="D3563" t="s">
        <v>20</v>
      </c>
      <c r="E3563">
        <v>2</v>
      </c>
      <c r="F3563">
        <v>180000</v>
      </c>
      <c r="G3563" t="s">
        <v>35</v>
      </c>
      <c r="H3563" t="s">
        <v>27</v>
      </c>
      <c r="I3563" t="s">
        <v>28</v>
      </c>
      <c r="J3563" t="s">
        <v>24</v>
      </c>
      <c r="K3563" s="6">
        <f t="shared" ca="1" si="228"/>
        <v>33503</v>
      </c>
      <c r="L3563">
        <v>-12258</v>
      </c>
      <c r="M3563" s="7">
        <f t="shared" ca="1" si="226"/>
        <v>33.560574948665298</v>
      </c>
      <c r="N3563" s="5" t="str">
        <f ca="1">VLOOKUP(Data!M3563,temp!$B$3:$C$9,2,1)</f>
        <v>30-40</v>
      </c>
      <c r="O3563">
        <v>-5450</v>
      </c>
      <c r="P3563" s="8">
        <f t="shared" si="227"/>
        <v>14.921286789869953</v>
      </c>
      <c r="Q3563" s="5" t="str">
        <f t="shared" si="229"/>
        <v>Employed</v>
      </c>
      <c r="R3563">
        <v>1</v>
      </c>
      <c r="S3563">
        <v>0</v>
      </c>
      <c r="T3563">
        <v>0</v>
      </c>
      <c r="U3563">
        <v>0</v>
      </c>
      <c r="V3563" t="s">
        <v>30</v>
      </c>
      <c r="W3563">
        <v>4</v>
      </c>
    </row>
    <row r="3564" spans="1:23" x14ac:dyDescent="0.2">
      <c r="A3564">
        <v>5116412</v>
      </c>
      <c r="B3564" t="s">
        <v>25</v>
      </c>
      <c r="C3564" t="s">
        <v>20</v>
      </c>
      <c r="D3564" t="s">
        <v>20</v>
      </c>
      <c r="E3564">
        <v>2</v>
      </c>
      <c r="F3564">
        <v>180000</v>
      </c>
      <c r="G3564" t="s">
        <v>35</v>
      </c>
      <c r="H3564" t="s">
        <v>27</v>
      </c>
      <c r="I3564" t="s">
        <v>28</v>
      </c>
      <c r="J3564" t="s">
        <v>24</v>
      </c>
      <c r="K3564" s="6">
        <f t="shared" ca="1" si="228"/>
        <v>33503</v>
      </c>
      <c r="L3564">
        <v>-12258</v>
      </c>
      <c r="M3564" s="7">
        <f t="shared" ca="1" si="226"/>
        <v>33.560574948665298</v>
      </c>
      <c r="N3564" s="5" t="str">
        <f ca="1">VLOOKUP(Data!M3564,temp!$B$3:$C$9,2,1)</f>
        <v>30-40</v>
      </c>
      <c r="O3564">
        <v>-5450</v>
      </c>
      <c r="P3564" s="8">
        <f t="shared" si="227"/>
        <v>14.921286789869953</v>
      </c>
      <c r="Q3564" s="5" t="str">
        <f t="shared" si="229"/>
        <v>Employed</v>
      </c>
      <c r="R3564">
        <v>1</v>
      </c>
      <c r="S3564">
        <v>0</v>
      </c>
      <c r="T3564">
        <v>0</v>
      </c>
      <c r="U3564">
        <v>0</v>
      </c>
      <c r="V3564" t="s">
        <v>30</v>
      </c>
      <c r="W3564">
        <v>4</v>
      </c>
    </row>
    <row r="3565" spans="1:23" x14ac:dyDescent="0.2">
      <c r="A3565">
        <v>5116413</v>
      </c>
      <c r="B3565" t="s">
        <v>25</v>
      </c>
      <c r="C3565" t="s">
        <v>20</v>
      </c>
      <c r="D3565" t="s">
        <v>20</v>
      </c>
      <c r="E3565">
        <v>2</v>
      </c>
      <c r="F3565">
        <v>180000</v>
      </c>
      <c r="G3565" t="s">
        <v>35</v>
      </c>
      <c r="H3565" t="s">
        <v>27</v>
      </c>
      <c r="I3565" t="s">
        <v>28</v>
      </c>
      <c r="J3565" t="s">
        <v>24</v>
      </c>
      <c r="K3565" s="6">
        <f t="shared" ca="1" si="228"/>
        <v>33503</v>
      </c>
      <c r="L3565">
        <v>-12258</v>
      </c>
      <c r="M3565" s="7">
        <f t="shared" ca="1" si="226"/>
        <v>33.560574948665298</v>
      </c>
      <c r="N3565" s="5" t="str">
        <f ca="1">VLOOKUP(Data!M3565,temp!$B$3:$C$9,2,1)</f>
        <v>30-40</v>
      </c>
      <c r="O3565">
        <v>-5450</v>
      </c>
      <c r="P3565" s="8">
        <f t="shared" si="227"/>
        <v>14.921286789869953</v>
      </c>
      <c r="Q3565" s="5" t="str">
        <f t="shared" si="229"/>
        <v>Employed</v>
      </c>
      <c r="R3565">
        <v>1</v>
      </c>
      <c r="S3565">
        <v>0</v>
      </c>
      <c r="T3565">
        <v>0</v>
      </c>
      <c r="U3565">
        <v>0</v>
      </c>
      <c r="V3565" t="s">
        <v>30</v>
      </c>
      <c r="W3565">
        <v>4</v>
      </c>
    </row>
    <row r="3566" spans="1:23" x14ac:dyDescent="0.2">
      <c r="A3566">
        <v>5116416</v>
      </c>
      <c r="B3566" t="s">
        <v>18</v>
      </c>
      <c r="C3566" t="s">
        <v>19</v>
      </c>
      <c r="D3566" t="s">
        <v>20</v>
      </c>
      <c r="E3566">
        <v>0</v>
      </c>
      <c r="F3566">
        <v>81000</v>
      </c>
      <c r="G3566" t="s">
        <v>26</v>
      </c>
      <c r="H3566" t="s">
        <v>27</v>
      </c>
      <c r="I3566" t="s">
        <v>28</v>
      </c>
      <c r="J3566" t="s">
        <v>24</v>
      </c>
      <c r="K3566" s="6">
        <f t="shared" ca="1" si="228"/>
        <v>28598</v>
      </c>
      <c r="L3566">
        <v>-17163</v>
      </c>
      <c r="M3566" s="7">
        <f t="shared" ca="1" si="226"/>
        <v>46.989733059548257</v>
      </c>
      <c r="N3566" s="5" t="str">
        <f ca="1">VLOOKUP(Data!M3566,temp!$B$3:$C$9,2,1)</f>
        <v>40-50</v>
      </c>
      <c r="O3566">
        <v>-3258</v>
      </c>
      <c r="P3566" s="8">
        <f t="shared" si="227"/>
        <v>8.9199178644763855</v>
      </c>
      <c r="Q3566" s="5" t="str">
        <f t="shared" si="229"/>
        <v>Employed</v>
      </c>
      <c r="R3566">
        <v>1</v>
      </c>
      <c r="S3566">
        <v>1</v>
      </c>
      <c r="T3566">
        <v>1</v>
      </c>
      <c r="U3566">
        <v>0</v>
      </c>
      <c r="V3566" t="s">
        <v>39</v>
      </c>
      <c r="W3566">
        <v>2</v>
      </c>
    </row>
    <row r="3567" spans="1:23" x14ac:dyDescent="0.2">
      <c r="A3567">
        <v>5116426</v>
      </c>
      <c r="B3567" t="s">
        <v>18</v>
      </c>
      <c r="C3567" t="s">
        <v>19</v>
      </c>
      <c r="D3567" t="s">
        <v>19</v>
      </c>
      <c r="E3567">
        <v>2</v>
      </c>
      <c r="F3567">
        <v>126000</v>
      </c>
      <c r="G3567" t="s">
        <v>31</v>
      </c>
      <c r="H3567" t="s">
        <v>27</v>
      </c>
      <c r="I3567" t="s">
        <v>28</v>
      </c>
      <c r="J3567" t="s">
        <v>24</v>
      </c>
      <c r="K3567" s="6">
        <f t="shared" ca="1" si="228"/>
        <v>35673</v>
      </c>
      <c r="L3567">
        <v>-10088</v>
      </c>
      <c r="M3567" s="7">
        <f t="shared" ca="1" si="226"/>
        <v>27.619438740588638</v>
      </c>
      <c r="N3567" s="5" t="str">
        <f ca="1">VLOOKUP(Data!M3567,temp!$B$3:$C$9,2,1)</f>
        <v>20-30</v>
      </c>
      <c r="O3567">
        <v>-1797</v>
      </c>
      <c r="P3567" s="8">
        <f t="shared" si="227"/>
        <v>4.9199178644763863</v>
      </c>
      <c r="Q3567" s="5" t="str">
        <f t="shared" si="229"/>
        <v>Employed</v>
      </c>
      <c r="R3567">
        <v>1</v>
      </c>
      <c r="S3567">
        <v>1</v>
      </c>
      <c r="T3567">
        <v>1</v>
      </c>
      <c r="U3567">
        <v>0</v>
      </c>
      <c r="V3567" t="s">
        <v>47</v>
      </c>
      <c r="W3567">
        <v>4</v>
      </c>
    </row>
    <row r="3568" spans="1:23" x14ac:dyDescent="0.2">
      <c r="A3568">
        <v>5116427</v>
      </c>
      <c r="B3568" t="s">
        <v>18</v>
      </c>
      <c r="C3568" t="s">
        <v>19</v>
      </c>
      <c r="D3568" t="s">
        <v>20</v>
      </c>
      <c r="E3568">
        <v>1</v>
      </c>
      <c r="F3568">
        <v>112500</v>
      </c>
      <c r="G3568" t="s">
        <v>31</v>
      </c>
      <c r="H3568" t="s">
        <v>27</v>
      </c>
      <c r="I3568" t="s">
        <v>28</v>
      </c>
      <c r="J3568" t="s">
        <v>24</v>
      </c>
      <c r="K3568" s="6">
        <f t="shared" ca="1" si="228"/>
        <v>35876</v>
      </c>
      <c r="L3568">
        <v>-9885</v>
      </c>
      <c r="M3568" s="7">
        <f t="shared" ca="1" si="226"/>
        <v>27.06365503080082</v>
      </c>
      <c r="N3568" s="5" t="str">
        <f ca="1">VLOOKUP(Data!M3568,temp!$B$3:$C$9,2,1)</f>
        <v>20-30</v>
      </c>
      <c r="O3568">
        <v>-2072</v>
      </c>
      <c r="P3568" s="8">
        <f t="shared" si="227"/>
        <v>5.6728268309377139</v>
      </c>
      <c r="Q3568" s="5" t="str">
        <f t="shared" si="229"/>
        <v>Employed</v>
      </c>
      <c r="R3568">
        <v>1</v>
      </c>
      <c r="S3568">
        <v>0</v>
      </c>
      <c r="T3568">
        <v>0</v>
      </c>
      <c r="U3568">
        <v>1</v>
      </c>
      <c r="V3568" t="s">
        <v>39</v>
      </c>
      <c r="W3568">
        <v>3</v>
      </c>
    </row>
    <row r="3569" spans="1:23" x14ac:dyDescent="0.2">
      <c r="A3569">
        <v>5116436</v>
      </c>
      <c r="B3569" t="s">
        <v>18</v>
      </c>
      <c r="C3569" t="s">
        <v>20</v>
      </c>
      <c r="D3569" t="s">
        <v>20</v>
      </c>
      <c r="E3569">
        <v>0</v>
      </c>
      <c r="F3569">
        <v>202500</v>
      </c>
      <c r="G3569" t="s">
        <v>31</v>
      </c>
      <c r="H3569" t="s">
        <v>27</v>
      </c>
      <c r="I3569" t="s">
        <v>28</v>
      </c>
      <c r="J3569" t="s">
        <v>24</v>
      </c>
      <c r="K3569" s="6">
        <f t="shared" ca="1" si="228"/>
        <v>31050</v>
      </c>
      <c r="L3569">
        <v>-14711</v>
      </c>
      <c r="M3569" s="7">
        <f t="shared" ca="1" si="226"/>
        <v>40.276522929500345</v>
      </c>
      <c r="N3569" s="5" t="str">
        <f ca="1">VLOOKUP(Data!M3569,temp!$B$3:$C$9,2,1)</f>
        <v>40-50</v>
      </c>
      <c r="O3569">
        <v>-6425</v>
      </c>
      <c r="P3569" s="8">
        <f t="shared" si="227"/>
        <v>17.590691307323752</v>
      </c>
      <c r="Q3569" s="5" t="str">
        <f t="shared" si="229"/>
        <v>Employed</v>
      </c>
      <c r="R3569">
        <v>1</v>
      </c>
      <c r="S3569">
        <v>0</v>
      </c>
      <c r="T3569">
        <v>0</v>
      </c>
      <c r="U3569">
        <v>0</v>
      </c>
      <c r="V3569" t="s">
        <v>39</v>
      </c>
      <c r="W3569">
        <v>2</v>
      </c>
    </row>
    <row r="3570" spans="1:23" x14ac:dyDescent="0.2">
      <c r="A3570">
        <v>5116448</v>
      </c>
      <c r="B3570" t="s">
        <v>18</v>
      </c>
      <c r="C3570" t="s">
        <v>20</v>
      </c>
      <c r="D3570" t="s">
        <v>20</v>
      </c>
      <c r="E3570">
        <v>1</v>
      </c>
      <c r="F3570">
        <v>67500</v>
      </c>
      <c r="G3570" t="s">
        <v>31</v>
      </c>
      <c r="H3570" t="s">
        <v>27</v>
      </c>
      <c r="I3570" t="s">
        <v>28</v>
      </c>
      <c r="J3570" t="s">
        <v>41</v>
      </c>
      <c r="K3570" s="6">
        <f t="shared" ca="1" si="228"/>
        <v>28555</v>
      </c>
      <c r="L3570">
        <v>-17206</v>
      </c>
      <c r="M3570" s="7">
        <f t="shared" ca="1" si="226"/>
        <v>47.107460643394937</v>
      </c>
      <c r="N3570" s="5" t="str">
        <f ca="1">VLOOKUP(Data!M3570,temp!$B$3:$C$9,2,1)</f>
        <v>40-50</v>
      </c>
      <c r="O3570">
        <v>-1401</v>
      </c>
      <c r="P3570" s="8">
        <f t="shared" si="227"/>
        <v>3.8357289527720737</v>
      </c>
      <c r="Q3570" s="5" t="str">
        <f t="shared" si="229"/>
        <v>Employed</v>
      </c>
      <c r="R3570">
        <v>1</v>
      </c>
      <c r="S3570">
        <v>0</v>
      </c>
      <c r="T3570">
        <v>0</v>
      </c>
      <c r="U3570">
        <v>0</v>
      </c>
      <c r="V3570" t="s">
        <v>29</v>
      </c>
      <c r="W3570">
        <v>3</v>
      </c>
    </row>
    <row r="3571" spans="1:23" x14ac:dyDescent="0.2">
      <c r="A3571">
        <v>5116504</v>
      </c>
      <c r="B3571" t="s">
        <v>25</v>
      </c>
      <c r="C3571" t="s">
        <v>20</v>
      </c>
      <c r="D3571" t="s">
        <v>20</v>
      </c>
      <c r="E3571">
        <v>0</v>
      </c>
      <c r="F3571">
        <v>225000</v>
      </c>
      <c r="G3571" t="s">
        <v>26</v>
      </c>
      <c r="H3571" t="s">
        <v>27</v>
      </c>
      <c r="I3571" t="s">
        <v>28</v>
      </c>
      <c r="J3571" t="s">
        <v>24</v>
      </c>
      <c r="K3571" s="6">
        <f t="shared" ca="1" si="228"/>
        <v>36744</v>
      </c>
      <c r="L3571">
        <v>-9017</v>
      </c>
      <c r="M3571" s="7">
        <f t="shared" ca="1" si="226"/>
        <v>24.687200547570157</v>
      </c>
      <c r="N3571" s="5" t="str">
        <f ca="1">VLOOKUP(Data!M3571,temp!$B$3:$C$9,2,1)</f>
        <v>20-30</v>
      </c>
      <c r="O3571">
        <v>-581</v>
      </c>
      <c r="P3571" s="8">
        <f t="shared" si="227"/>
        <v>1.5906913073237507</v>
      </c>
      <c r="Q3571" s="5" t="str">
        <f t="shared" si="229"/>
        <v>Employed</v>
      </c>
      <c r="R3571">
        <v>1</v>
      </c>
      <c r="S3571">
        <v>0</v>
      </c>
      <c r="T3571">
        <v>0</v>
      </c>
      <c r="U3571">
        <v>0</v>
      </c>
      <c r="V3571" t="s">
        <v>39</v>
      </c>
      <c r="W3571">
        <v>2</v>
      </c>
    </row>
    <row r="3572" spans="1:23" x14ac:dyDescent="0.2">
      <c r="A3572">
        <v>5116509</v>
      </c>
      <c r="B3572" t="s">
        <v>18</v>
      </c>
      <c r="C3572" t="s">
        <v>20</v>
      </c>
      <c r="D3572" t="s">
        <v>20</v>
      </c>
      <c r="E3572">
        <v>0</v>
      </c>
      <c r="F3572">
        <v>202500</v>
      </c>
      <c r="G3572" t="s">
        <v>31</v>
      </c>
      <c r="H3572" t="s">
        <v>22</v>
      </c>
      <c r="I3572" t="s">
        <v>37</v>
      </c>
      <c r="J3572" t="s">
        <v>24</v>
      </c>
      <c r="K3572" s="6">
        <f t="shared" ca="1" si="228"/>
        <v>29783</v>
      </c>
      <c r="L3572">
        <v>-15978</v>
      </c>
      <c r="M3572" s="7">
        <f t="shared" ca="1" si="226"/>
        <v>43.745379876796711</v>
      </c>
      <c r="N3572" s="5" t="str">
        <f ca="1">VLOOKUP(Data!M3572,temp!$B$3:$C$9,2,1)</f>
        <v>40-50</v>
      </c>
      <c r="O3572">
        <v>-3472</v>
      </c>
      <c r="P3572" s="8">
        <f t="shared" si="227"/>
        <v>9.5058179329226551</v>
      </c>
      <c r="Q3572" s="5" t="str">
        <f t="shared" si="229"/>
        <v>Employed</v>
      </c>
      <c r="R3572">
        <v>1</v>
      </c>
      <c r="S3572">
        <v>1</v>
      </c>
      <c r="T3572">
        <v>1</v>
      </c>
      <c r="U3572">
        <v>0</v>
      </c>
      <c r="V3572" t="s">
        <v>38</v>
      </c>
      <c r="W3572">
        <v>2</v>
      </c>
    </row>
    <row r="3573" spans="1:23" x14ac:dyDescent="0.2">
      <c r="A3573">
        <v>5116513</v>
      </c>
      <c r="B3573" t="s">
        <v>18</v>
      </c>
      <c r="C3573" t="s">
        <v>20</v>
      </c>
      <c r="D3573" t="s">
        <v>20</v>
      </c>
      <c r="E3573">
        <v>0</v>
      </c>
      <c r="F3573">
        <v>202500</v>
      </c>
      <c r="G3573" t="s">
        <v>31</v>
      </c>
      <c r="H3573" t="s">
        <v>22</v>
      </c>
      <c r="I3573" t="s">
        <v>37</v>
      </c>
      <c r="J3573" t="s">
        <v>24</v>
      </c>
      <c r="K3573" s="6">
        <f t="shared" ca="1" si="228"/>
        <v>29783</v>
      </c>
      <c r="L3573">
        <v>-15978</v>
      </c>
      <c r="M3573" s="7">
        <f t="shared" ca="1" si="226"/>
        <v>43.745379876796711</v>
      </c>
      <c r="N3573" s="5" t="str">
        <f ca="1">VLOOKUP(Data!M3573,temp!$B$3:$C$9,2,1)</f>
        <v>40-50</v>
      </c>
      <c r="O3573">
        <v>-3472</v>
      </c>
      <c r="P3573" s="8">
        <f t="shared" si="227"/>
        <v>9.5058179329226551</v>
      </c>
      <c r="Q3573" s="5" t="str">
        <f t="shared" si="229"/>
        <v>Employed</v>
      </c>
      <c r="R3573">
        <v>1</v>
      </c>
      <c r="S3573">
        <v>1</v>
      </c>
      <c r="T3573">
        <v>1</v>
      </c>
      <c r="U3573">
        <v>0</v>
      </c>
      <c r="V3573" t="s">
        <v>38</v>
      </c>
      <c r="W3573">
        <v>2</v>
      </c>
    </row>
    <row r="3574" spans="1:23" x14ac:dyDescent="0.2">
      <c r="A3574">
        <v>5116518</v>
      </c>
      <c r="B3574" t="s">
        <v>18</v>
      </c>
      <c r="C3574" t="s">
        <v>20</v>
      </c>
      <c r="D3574" t="s">
        <v>20</v>
      </c>
      <c r="E3574">
        <v>0</v>
      </c>
      <c r="F3574">
        <v>202500</v>
      </c>
      <c r="G3574" t="s">
        <v>31</v>
      </c>
      <c r="H3574" t="s">
        <v>22</v>
      </c>
      <c r="I3574" t="s">
        <v>37</v>
      </c>
      <c r="J3574" t="s">
        <v>24</v>
      </c>
      <c r="K3574" s="6">
        <f t="shared" ca="1" si="228"/>
        <v>29783</v>
      </c>
      <c r="L3574">
        <v>-15978</v>
      </c>
      <c r="M3574" s="7">
        <f t="shared" ca="1" si="226"/>
        <v>43.745379876796711</v>
      </c>
      <c r="N3574" s="5" t="str">
        <f ca="1">VLOOKUP(Data!M3574,temp!$B$3:$C$9,2,1)</f>
        <v>40-50</v>
      </c>
      <c r="O3574">
        <v>-3472</v>
      </c>
      <c r="P3574" s="8">
        <f t="shared" si="227"/>
        <v>9.5058179329226551</v>
      </c>
      <c r="Q3574" s="5" t="str">
        <f t="shared" si="229"/>
        <v>Employed</v>
      </c>
      <c r="R3574">
        <v>1</v>
      </c>
      <c r="S3574">
        <v>1</v>
      </c>
      <c r="T3574">
        <v>1</v>
      </c>
      <c r="U3574">
        <v>0</v>
      </c>
      <c r="V3574" t="s">
        <v>38</v>
      </c>
      <c r="W3574">
        <v>2</v>
      </c>
    </row>
    <row r="3575" spans="1:23" x14ac:dyDescent="0.2">
      <c r="A3575">
        <v>5116521</v>
      </c>
      <c r="B3575" t="s">
        <v>18</v>
      </c>
      <c r="C3575" t="s">
        <v>19</v>
      </c>
      <c r="D3575" t="s">
        <v>20</v>
      </c>
      <c r="E3575">
        <v>1</v>
      </c>
      <c r="F3575">
        <v>157500</v>
      </c>
      <c r="G3575" t="s">
        <v>31</v>
      </c>
      <c r="H3575" t="s">
        <v>27</v>
      </c>
      <c r="I3575" t="s">
        <v>28</v>
      </c>
      <c r="J3575" t="s">
        <v>24</v>
      </c>
      <c r="K3575" s="6">
        <f t="shared" ca="1" si="228"/>
        <v>31628</v>
      </c>
      <c r="L3575">
        <v>-14133</v>
      </c>
      <c r="M3575" s="7">
        <f t="shared" ca="1" si="226"/>
        <v>38.69404517453799</v>
      </c>
      <c r="N3575" s="5" t="str">
        <f ca="1">VLOOKUP(Data!M3575,temp!$B$3:$C$9,2,1)</f>
        <v>30-40</v>
      </c>
      <c r="O3575">
        <v>-185</v>
      </c>
      <c r="P3575" s="8">
        <f t="shared" si="227"/>
        <v>0.50650239561943877</v>
      </c>
      <c r="Q3575" s="5" t="str">
        <f t="shared" si="229"/>
        <v>Employed</v>
      </c>
      <c r="R3575">
        <v>1</v>
      </c>
      <c r="S3575">
        <v>0</v>
      </c>
      <c r="T3575">
        <v>1</v>
      </c>
      <c r="U3575">
        <v>0</v>
      </c>
      <c r="V3575" t="s">
        <v>39</v>
      </c>
      <c r="W3575">
        <v>3</v>
      </c>
    </row>
    <row r="3576" spans="1:23" x14ac:dyDescent="0.2">
      <c r="A3576">
        <v>5116534</v>
      </c>
      <c r="B3576" t="s">
        <v>25</v>
      </c>
      <c r="C3576" t="s">
        <v>19</v>
      </c>
      <c r="D3576" t="s">
        <v>20</v>
      </c>
      <c r="E3576">
        <v>0</v>
      </c>
      <c r="F3576">
        <v>180000</v>
      </c>
      <c r="G3576" t="s">
        <v>21</v>
      </c>
      <c r="H3576" t="s">
        <v>27</v>
      </c>
      <c r="I3576" t="s">
        <v>28</v>
      </c>
      <c r="J3576" t="s">
        <v>24</v>
      </c>
      <c r="K3576" s="6">
        <f t="shared" ca="1" si="228"/>
        <v>26197</v>
      </c>
      <c r="L3576">
        <v>-19564</v>
      </c>
      <c r="M3576" s="7">
        <f t="shared" ca="1" si="226"/>
        <v>53.563312799452433</v>
      </c>
      <c r="N3576" s="5" t="str">
        <f ca="1">VLOOKUP(Data!M3576,temp!$B$3:$C$9,2,1)</f>
        <v>50-60</v>
      </c>
      <c r="O3576">
        <v>365243</v>
      </c>
      <c r="P3576" s="8">
        <f t="shared" si="227"/>
        <v>0</v>
      </c>
      <c r="Q3576" s="5" t="str">
        <f t="shared" si="229"/>
        <v>Unemployed</v>
      </c>
      <c r="R3576">
        <v>1</v>
      </c>
      <c r="S3576">
        <v>0</v>
      </c>
      <c r="T3576">
        <v>1</v>
      </c>
      <c r="U3576">
        <v>0</v>
      </c>
      <c r="W3576">
        <v>2</v>
      </c>
    </row>
    <row r="3577" spans="1:23" x14ac:dyDescent="0.2">
      <c r="A3577">
        <v>5116552</v>
      </c>
      <c r="B3577" t="s">
        <v>18</v>
      </c>
      <c r="C3577" t="s">
        <v>19</v>
      </c>
      <c r="D3577" t="s">
        <v>20</v>
      </c>
      <c r="E3577">
        <v>0</v>
      </c>
      <c r="F3577">
        <v>90000</v>
      </c>
      <c r="G3577" t="s">
        <v>21</v>
      </c>
      <c r="H3577" t="s">
        <v>27</v>
      </c>
      <c r="I3577" t="s">
        <v>28</v>
      </c>
      <c r="J3577" t="s">
        <v>24</v>
      </c>
      <c r="K3577" s="6">
        <f t="shared" ca="1" si="228"/>
        <v>23536</v>
      </c>
      <c r="L3577">
        <v>-22225</v>
      </c>
      <c r="M3577" s="7">
        <f t="shared" ca="1" si="226"/>
        <v>60.84873374401095</v>
      </c>
      <c r="N3577" s="5" t="str">
        <f ca="1">VLOOKUP(Data!M3577,temp!$B$3:$C$9,2,1)</f>
        <v>60-70</v>
      </c>
      <c r="O3577">
        <v>365243</v>
      </c>
      <c r="P3577" s="8">
        <f t="shared" si="227"/>
        <v>0</v>
      </c>
      <c r="Q3577" s="5" t="str">
        <f t="shared" si="229"/>
        <v>Unemployed</v>
      </c>
      <c r="R3577">
        <v>1</v>
      </c>
      <c r="S3577">
        <v>0</v>
      </c>
      <c r="T3577">
        <v>0</v>
      </c>
      <c r="U3577">
        <v>0</v>
      </c>
      <c r="W3577">
        <v>2</v>
      </c>
    </row>
    <row r="3578" spans="1:23" x14ac:dyDescent="0.2">
      <c r="A3578">
        <v>5116553</v>
      </c>
      <c r="B3578" t="s">
        <v>18</v>
      </c>
      <c r="C3578" t="s">
        <v>20</v>
      </c>
      <c r="D3578" t="s">
        <v>19</v>
      </c>
      <c r="E3578">
        <v>0</v>
      </c>
      <c r="F3578">
        <v>180000</v>
      </c>
      <c r="G3578" t="s">
        <v>31</v>
      </c>
      <c r="H3578" t="s">
        <v>36</v>
      </c>
      <c r="I3578" t="s">
        <v>28</v>
      </c>
      <c r="J3578" t="s">
        <v>41</v>
      </c>
      <c r="K3578" s="6">
        <f t="shared" ca="1" si="228"/>
        <v>34937</v>
      </c>
      <c r="L3578">
        <v>-10824</v>
      </c>
      <c r="M3578" s="7">
        <f t="shared" ca="1" si="226"/>
        <v>29.634496919917865</v>
      </c>
      <c r="N3578" s="5" t="str">
        <f ca="1">VLOOKUP(Data!M3578,temp!$B$3:$C$9,2,1)</f>
        <v>20-30</v>
      </c>
      <c r="O3578">
        <v>-762</v>
      </c>
      <c r="P3578" s="8">
        <f t="shared" si="227"/>
        <v>2.086242299794661</v>
      </c>
      <c r="Q3578" s="5" t="str">
        <f t="shared" si="229"/>
        <v>Employed</v>
      </c>
      <c r="R3578">
        <v>1</v>
      </c>
      <c r="S3578">
        <v>0</v>
      </c>
      <c r="T3578">
        <v>0</v>
      </c>
      <c r="U3578">
        <v>0</v>
      </c>
      <c r="V3578" t="s">
        <v>32</v>
      </c>
      <c r="W3578">
        <v>2</v>
      </c>
    </row>
    <row r="3579" spans="1:23" x14ac:dyDescent="0.2">
      <c r="A3579">
        <v>5116563</v>
      </c>
      <c r="B3579" t="s">
        <v>18</v>
      </c>
      <c r="C3579" t="s">
        <v>19</v>
      </c>
      <c r="D3579" t="s">
        <v>20</v>
      </c>
      <c r="E3579">
        <v>0</v>
      </c>
      <c r="F3579">
        <v>135000</v>
      </c>
      <c r="G3579" t="s">
        <v>35</v>
      </c>
      <c r="H3579" t="s">
        <v>22</v>
      </c>
      <c r="I3579" t="s">
        <v>23</v>
      </c>
      <c r="J3579" t="s">
        <v>24</v>
      </c>
      <c r="K3579" s="6">
        <f t="shared" ca="1" si="228"/>
        <v>29268</v>
      </c>
      <c r="L3579">
        <v>-16493</v>
      </c>
      <c r="M3579" s="7">
        <f t="shared" ca="1" si="226"/>
        <v>45.155373032169749</v>
      </c>
      <c r="N3579" s="5" t="str">
        <f ca="1">VLOOKUP(Data!M3579,temp!$B$3:$C$9,2,1)</f>
        <v>40-50</v>
      </c>
      <c r="O3579">
        <v>-9255</v>
      </c>
      <c r="P3579" s="8">
        <f t="shared" si="227"/>
        <v>25.338809034907598</v>
      </c>
      <c r="Q3579" s="5" t="str">
        <f t="shared" si="229"/>
        <v>Employed</v>
      </c>
      <c r="R3579">
        <v>1</v>
      </c>
      <c r="S3579">
        <v>0</v>
      </c>
      <c r="T3579">
        <v>0</v>
      </c>
      <c r="U3579">
        <v>0</v>
      </c>
      <c r="V3579" t="s">
        <v>38</v>
      </c>
      <c r="W3579">
        <v>1</v>
      </c>
    </row>
    <row r="3580" spans="1:23" x14ac:dyDescent="0.2">
      <c r="A3580">
        <v>5116571</v>
      </c>
      <c r="B3580" t="s">
        <v>18</v>
      </c>
      <c r="C3580" t="s">
        <v>19</v>
      </c>
      <c r="D3580" t="s">
        <v>20</v>
      </c>
      <c r="E3580">
        <v>1</v>
      </c>
      <c r="F3580">
        <v>180000</v>
      </c>
      <c r="G3580" t="s">
        <v>31</v>
      </c>
      <c r="H3580" t="s">
        <v>27</v>
      </c>
      <c r="I3580" t="s">
        <v>28</v>
      </c>
      <c r="J3580" t="s">
        <v>24</v>
      </c>
      <c r="K3580" s="6">
        <f t="shared" ca="1" si="228"/>
        <v>35116</v>
      </c>
      <c r="L3580">
        <v>-10645</v>
      </c>
      <c r="M3580" s="7">
        <f t="shared" ca="1" si="226"/>
        <v>29.144421629021217</v>
      </c>
      <c r="N3580" s="5" t="str">
        <f ca="1">VLOOKUP(Data!M3580,temp!$B$3:$C$9,2,1)</f>
        <v>20-30</v>
      </c>
      <c r="O3580">
        <v>-3868</v>
      </c>
      <c r="P3580" s="8">
        <f t="shared" si="227"/>
        <v>10.590006844626968</v>
      </c>
      <c r="Q3580" s="5" t="str">
        <f t="shared" si="229"/>
        <v>Employed</v>
      </c>
      <c r="R3580">
        <v>1</v>
      </c>
      <c r="S3580">
        <v>1</v>
      </c>
      <c r="T3580">
        <v>1</v>
      </c>
      <c r="U3580">
        <v>0</v>
      </c>
      <c r="V3580" t="s">
        <v>39</v>
      </c>
      <c r="W3580">
        <v>3</v>
      </c>
    </row>
    <row r="3581" spans="1:23" x14ac:dyDescent="0.2">
      <c r="A3581">
        <v>5116572</v>
      </c>
      <c r="B3581" t="s">
        <v>18</v>
      </c>
      <c r="C3581" t="s">
        <v>19</v>
      </c>
      <c r="D3581" t="s">
        <v>20</v>
      </c>
      <c r="E3581">
        <v>1</v>
      </c>
      <c r="F3581">
        <v>180000</v>
      </c>
      <c r="G3581" t="s">
        <v>31</v>
      </c>
      <c r="H3581" t="s">
        <v>27</v>
      </c>
      <c r="I3581" t="s">
        <v>28</v>
      </c>
      <c r="J3581" t="s">
        <v>24</v>
      </c>
      <c r="K3581" s="6">
        <f t="shared" ca="1" si="228"/>
        <v>35116</v>
      </c>
      <c r="L3581">
        <v>-10645</v>
      </c>
      <c r="M3581" s="7">
        <f t="shared" ca="1" si="226"/>
        <v>29.144421629021217</v>
      </c>
      <c r="N3581" s="5" t="str">
        <f ca="1">VLOOKUP(Data!M3581,temp!$B$3:$C$9,2,1)</f>
        <v>20-30</v>
      </c>
      <c r="O3581">
        <v>-3868</v>
      </c>
      <c r="P3581" s="8">
        <f t="shared" si="227"/>
        <v>10.590006844626968</v>
      </c>
      <c r="Q3581" s="5" t="str">
        <f t="shared" si="229"/>
        <v>Employed</v>
      </c>
      <c r="R3581">
        <v>1</v>
      </c>
      <c r="S3581">
        <v>1</v>
      </c>
      <c r="T3581">
        <v>1</v>
      </c>
      <c r="U3581">
        <v>0</v>
      </c>
      <c r="V3581" t="s">
        <v>39</v>
      </c>
      <c r="W3581">
        <v>3</v>
      </c>
    </row>
    <row r="3582" spans="1:23" x14ac:dyDescent="0.2">
      <c r="A3582">
        <v>5116576</v>
      </c>
      <c r="B3582" t="s">
        <v>18</v>
      </c>
      <c r="C3582" t="s">
        <v>19</v>
      </c>
      <c r="D3582" t="s">
        <v>19</v>
      </c>
      <c r="E3582">
        <v>0</v>
      </c>
      <c r="F3582">
        <v>157500</v>
      </c>
      <c r="G3582" t="s">
        <v>31</v>
      </c>
      <c r="H3582" t="s">
        <v>27</v>
      </c>
      <c r="I3582" t="s">
        <v>28</v>
      </c>
      <c r="J3582" t="s">
        <v>24</v>
      </c>
      <c r="K3582" s="6">
        <f t="shared" ca="1" si="228"/>
        <v>34621</v>
      </c>
      <c r="L3582">
        <v>-11140</v>
      </c>
      <c r="M3582" s="7">
        <f t="shared" ca="1" si="226"/>
        <v>30.499657768651609</v>
      </c>
      <c r="N3582" s="5" t="str">
        <f ca="1">VLOOKUP(Data!M3582,temp!$B$3:$C$9,2,1)</f>
        <v>30-40</v>
      </c>
      <c r="O3582">
        <v>-3807</v>
      </c>
      <c r="P3582" s="8">
        <f t="shared" si="227"/>
        <v>10.422997946611909</v>
      </c>
      <c r="Q3582" s="5" t="str">
        <f t="shared" si="229"/>
        <v>Employed</v>
      </c>
      <c r="R3582">
        <v>1</v>
      </c>
      <c r="S3582">
        <v>1</v>
      </c>
      <c r="T3582">
        <v>0</v>
      </c>
      <c r="U3582">
        <v>0</v>
      </c>
      <c r="V3582" t="s">
        <v>29</v>
      </c>
      <c r="W3582">
        <v>2</v>
      </c>
    </row>
    <row r="3583" spans="1:23" x14ac:dyDescent="0.2">
      <c r="A3583">
        <v>5116577</v>
      </c>
      <c r="B3583" t="s">
        <v>18</v>
      </c>
      <c r="C3583" t="s">
        <v>19</v>
      </c>
      <c r="D3583" t="s">
        <v>20</v>
      </c>
      <c r="E3583">
        <v>0</v>
      </c>
      <c r="F3583">
        <v>112500</v>
      </c>
      <c r="G3583" t="s">
        <v>31</v>
      </c>
      <c r="H3583" t="s">
        <v>27</v>
      </c>
      <c r="I3583" t="s">
        <v>33</v>
      </c>
      <c r="J3583" t="s">
        <v>24</v>
      </c>
      <c r="K3583" s="6">
        <f t="shared" ca="1" si="228"/>
        <v>25039</v>
      </c>
      <c r="L3583">
        <v>-20722</v>
      </c>
      <c r="M3583" s="7">
        <f t="shared" ca="1" si="226"/>
        <v>56.733744010951405</v>
      </c>
      <c r="N3583" s="5" t="str">
        <f ca="1">VLOOKUP(Data!M3583,temp!$B$3:$C$9,2,1)</f>
        <v>50-60</v>
      </c>
      <c r="O3583">
        <v>-2742</v>
      </c>
      <c r="P3583" s="8">
        <f t="shared" si="227"/>
        <v>7.5071868583162216</v>
      </c>
      <c r="Q3583" s="5" t="str">
        <f t="shared" si="229"/>
        <v>Employed</v>
      </c>
      <c r="R3583">
        <v>1</v>
      </c>
      <c r="S3583">
        <v>0</v>
      </c>
      <c r="T3583">
        <v>1</v>
      </c>
      <c r="U3583">
        <v>0</v>
      </c>
      <c r="W3583">
        <v>1</v>
      </c>
    </row>
    <row r="3584" spans="1:23" x14ac:dyDescent="0.2">
      <c r="A3584">
        <v>5116596</v>
      </c>
      <c r="B3584" t="s">
        <v>18</v>
      </c>
      <c r="C3584" t="s">
        <v>19</v>
      </c>
      <c r="D3584" t="s">
        <v>19</v>
      </c>
      <c r="E3584">
        <v>0</v>
      </c>
      <c r="F3584">
        <v>144000</v>
      </c>
      <c r="G3584" t="s">
        <v>21</v>
      </c>
      <c r="H3584" t="s">
        <v>27</v>
      </c>
      <c r="I3584" t="s">
        <v>28</v>
      </c>
      <c r="J3584" t="s">
        <v>24</v>
      </c>
      <c r="K3584" s="6">
        <f t="shared" ca="1" si="228"/>
        <v>23118</v>
      </c>
      <c r="L3584">
        <v>-22643</v>
      </c>
      <c r="M3584" s="7">
        <f t="shared" ca="1" si="226"/>
        <v>61.993155373032167</v>
      </c>
      <c r="N3584" s="5" t="str">
        <f ca="1">VLOOKUP(Data!M3584,temp!$B$3:$C$9,2,1)</f>
        <v>60-70</v>
      </c>
      <c r="O3584">
        <v>365243</v>
      </c>
      <c r="P3584" s="8">
        <f t="shared" si="227"/>
        <v>0</v>
      </c>
      <c r="Q3584" s="5" t="str">
        <f t="shared" si="229"/>
        <v>Unemployed</v>
      </c>
      <c r="R3584">
        <v>1</v>
      </c>
      <c r="S3584">
        <v>0</v>
      </c>
      <c r="T3584">
        <v>1</v>
      </c>
      <c r="U3584">
        <v>0</v>
      </c>
      <c r="W3584">
        <v>2</v>
      </c>
    </row>
    <row r="3585" spans="1:23" x14ac:dyDescent="0.2">
      <c r="A3585">
        <v>5116599</v>
      </c>
      <c r="B3585" t="s">
        <v>18</v>
      </c>
      <c r="C3585" t="s">
        <v>19</v>
      </c>
      <c r="D3585" t="s">
        <v>19</v>
      </c>
      <c r="E3585">
        <v>0</v>
      </c>
      <c r="F3585">
        <v>144000</v>
      </c>
      <c r="G3585" t="s">
        <v>21</v>
      </c>
      <c r="H3585" t="s">
        <v>27</v>
      </c>
      <c r="I3585" t="s">
        <v>28</v>
      </c>
      <c r="J3585" t="s">
        <v>24</v>
      </c>
      <c r="K3585" s="6">
        <f t="shared" ca="1" si="228"/>
        <v>23118</v>
      </c>
      <c r="L3585">
        <v>-22643</v>
      </c>
      <c r="M3585" s="7">
        <f t="shared" ca="1" si="226"/>
        <v>61.993155373032167</v>
      </c>
      <c r="N3585" s="5" t="str">
        <f ca="1">VLOOKUP(Data!M3585,temp!$B$3:$C$9,2,1)</f>
        <v>60-70</v>
      </c>
      <c r="O3585">
        <v>365243</v>
      </c>
      <c r="P3585" s="8">
        <f t="shared" si="227"/>
        <v>0</v>
      </c>
      <c r="Q3585" s="5" t="str">
        <f t="shared" si="229"/>
        <v>Unemployed</v>
      </c>
      <c r="R3585">
        <v>1</v>
      </c>
      <c r="S3585">
        <v>0</v>
      </c>
      <c r="T3585">
        <v>1</v>
      </c>
      <c r="U3585">
        <v>0</v>
      </c>
      <c r="W3585">
        <v>2</v>
      </c>
    </row>
    <row r="3586" spans="1:23" x14ac:dyDescent="0.2">
      <c r="A3586">
        <v>5116609</v>
      </c>
      <c r="B3586" t="s">
        <v>25</v>
      </c>
      <c r="C3586" t="s">
        <v>20</v>
      </c>
      <c r="D3586" t="s">
        <v>20</v>
      </c>
      <c r="E3586">
        <v>0</v>
      </c>
      <c r="F3586">
        <v>180000</v>
      </c>
      <c r="G3586" t="s">
        <v>31</v>
      </c>
      <c r="H3586" t="s">
        <v>36</v>
      </c>
      <c r="I3586" t="s">
        <v>28</v>
      </c>
      <c r="J3586" t="s">
        <v>24</v>
      </c>
      <c r="K3586" s="6">
        <f t="shared" ca="1" si="228"/>
        <v>28646</v>
      </c>
      <c r="L3586">
        <v>-17115</v>
      </c>
      <c r="M3586" s="7">
        <f t="shared" ca="1" si="226"/>
        <v>46.858316221765911</v>
      </c>
      <c r="N3586" s="5" t="str">
        <f ca="1">VLOOKUP(Data!M3586,temp!$B$3:$C$9,2,1)</f>
        <v>40-50</v>
      </c>
      <c r="O3586">
        <v>-4599</v>
      </c>
      <c r="P3586" s="8">
        <f t="shared" si="227"/>
        <v>12.591375770020534</v>
      </c>
      <c r="Q3586" s="5" t="str">
        <f t="shared" si="229"/>
        <v>Employed</v>
      </c>
      <c r="R3586">
        <v>1</v>
      </c>
      <c r="S3586">
        <v>0</v>
      </c>
      <c r="T3586">
        <v>1</v>
      </c>
      <c r="U3586">
        <v>0</v>
      </c>
      <c r="V3586" t="s">
        <v>29</v>
      </c>
      <c r="W3586">
        <v>2</v>
      </c>
    </row>
    <row r="3587" spans="1:23" x14ac:dyDescent="0.2">
      <c r="A3587">
        <v>5116612</v>
      </c>
      <c r="B3587" t="s">
        <v>25</v>
      </c>
      <c r="C3587" t="s">
        <v>19</v>
      </c>
      <c r="D3587" t="s">
        <v>20</v>
      </c>
      <c r="E3587">
        <v>0</v>
      </c>
      <c r="F3587">
        <v>225000</v>
      </c>
      <c r="G3587" t="s">
        <v>26</v>
      </c>
      <c r="H3587" t="s">
        <v>27</v>
      </c>
      <c r="I3587" t="s">
        <v>28</v>
      </c>
      <c r="J3587" t="s">
        <v>24</v>
      </c>
      <c r="K3587" s="6">
        <f t="shared" ca="1" si="228"/>
        <v>33953</v>
      </c>
      <c r="L3587">
        <v>-11808</v>
      </c>
      <c r="M3587" s="7">
        <f t="shared" ref="M3587:M3650" ca="1" si="230">(TODAY()-K3587)/365.25</f>
        <v>32.328542094455855</v>
      </c>
      <c r="N3587" s="5" t="str">
        <f ca="1">VLOOKUP(Data!M3587,temp!$B$3:$C$9,2,1)</f>
        <v>30-40</v>
      </c>
      <c r="O3587">
        <v>-3533</v>
      </c>
      <c r="P3587" s="8">
        <f t="shared" ref="P3587:P3650" si="231">IF(O3587&lt;=0,ABS(O3587)/365.25,0)</f>
        <v>9.6728268309377139</v>
      </c>
      <c r="Q3587" s="5" t="str">
        <f t="shared" si="229"/>
        <v>Employed</v>
      </c>
      <c r="R3587">
        <v>1</v>
      </c>
      <c r="S3587">
        <v>0</v>
      </c>
      <c r="T3587">
        <v>0</v>
      </c>
      <c r="U3587">
        <v>0</v>
      </c>
      <c r="W3587">
        <v>2</v>
      </c>
    </row>
    <row r="3588" spans="1:23" x14ac:dyDescent="0.2">
      <c r="A3588">
        <v>5116634</v>
      </c>
      <c r="B3588" t="s">
        <v>18</v>
      </c>
      <c r="C3588" t="s">
        <v>19</v>
      </c>
      <c r="D3588" t="s">
        <v>20</v>
      </c>
      <c r="E3588">
        <v>0</v>
      </c>
      <c r="F3588">
        <v>135000</v>
      </c>
      <c r="G3588" t="s">
        <v>21</v>
      </c>
      <c r="H3588" t="s">
        <v>22</v>
      </c>
      <c r="I3588" t="s">
        <v>33</v>
      </c>
      <c r="J3588" t="s">
        <v>24</v>
      </c>
      <c r="K3588" s="6">
        <f t="shared" ca="1" si="228"/>
        <v>23260</v>
      </c>
      <c r="L3588">
        <v>-22501</v>
      </c>
      <c r="M3588" s="7">
        <f t="shared" ca="1" si="230"/>
        <v>61.604380561259411</v>
      </c>
      <c r="N3588" s="5" t="str">
        <f ca="1">VLOOKUP(Data!M3588,temp!$B$3:$C$9,2,1)</f>
        <v>60-70</v>
      </c>
      <c r="O3588">
        <v>365243</v>
      </c>
      <c r="P3588" s="8">
        <f t="shared" si="231"/>
        <v>0</v>
      </c>
      <c r="Q3588" s="5" t="str">
        <f t="shared" si="229"/>
        <v>Unemployed</v>
      </c>
      <c r="R3588">
        <v>1</v>
      </c>
      <c r="S3588">
        <v>0</v>
      </c>
      <c r="T3588">
        <v>0</v>
      </c>
      <c r="U3588">
        <v>0</v>
      </c>
      <c r="W3588">
        <v>1</v>
      </c>
    </row>
    <row r="3589" spans="1:23" x14ac:dyDescent="0.2">
      <c r="A3589">
        <v>5116658</v>
      </c>
      <c r="B3589" t="s">
        <v>18</v>
      </c>
      <c r="C3589" t="s">
        <v>19</v>
      </c>
      <c r="D3589" t="s">
        <v>20</v>
      </c>
      <c r="E3589">
        <v>1</v>
      </c>
      <c r="F3589">
        <v>180000</v>
      </c>
      <c r="G3589" t="s">
        <v>31</v>
      </c>
      <c r="H3589" t="s">
        <v>27</v>
      </c>
      <c r="I3589" t="s">
        <v>28</v>
      </c>
      <c r="J3589" t="s">
        <v>24</v>
      </c>
      <c r="K3589" s="6">
        <f t="shared" ca="1" si="228"/>
        <v>30645</v>
      </c>
      <c r="L3589">
        <v>-15116</v>
      </c>
      <c r="M3589" s="7">
        <f t="shared" ca="1" si="230"/>
        <v>41.385352498288846</v>
      </c>
      <c r="N3589" s="5" t="str">
        <f ca="1">VLOOKUP(Data!M3589,temp!$B$3:$C$9,2,1)</f>
        <v>40-50</v>
      </c>
      <c r="O3589">
        <v>-2284</v>
      </c>
      <c r="P3589" s="8">
        <f t="shared" si="231"/>
        <v>6.2532511978097194</v>
      </c>
      <c r="Q3589" s="5" t="str">
        <f t="shared" si="229"/>
        <v>Employed</v>
      </c>
      <c r="R3589">
        <v>1</v>
      </c>
      <c r="S3589">
        <v>0</v>
      </c>
      <c r="T3589">
        <v>0</v>
      </c>
      <c r="U3589">
        <v>0</v>
      </c>
      <c r="V3589" t="s">
        <v>29</v>
      </c>
      <c r="W3589">
        <v>3</v>
      </c>
    </row>
    <row r="3590" spans="1:23" x14ac:dyDescent="0.2">
      <c r="A3590">
        <v>5116675</v>
      </c>
      <c r="B3590" t="s">
        <v>25</v>
      </c>
      <c r="C3590" t="s">
        <v>20</v>
      </c>
      <c r="D3590" t="s">
        <v>20</v>
      </c>
      <c r="E3590">
        <v>3</v>
      </c>
      <c r="F3590">
        <v>270000</v>
      </c>
      <c r="G3590" t="s">
        <v>31</v>
      </c>
      <c r="H3590" t="s">
        <v>27</v>
      </c>
      <c r="I3590" t="s">
        <v>28</v>
      </c>
      <c r="J3590" t="s">
        <v>24</v>
      </c>
      <c r="K3590" s="6">
        <f t="shared" ca="1" si="228"/>
        <v>32334</v>
      </c>
      <c r="L3590">
        <v>-13427</v>
      </c>
      <c r="M3590" s="7">
        <f t="shared" ca="1" si="230"/>
        <v>36.761122518822724</v>
      </c>
      <c r="N3590" s="5" t="str">
        <f ca="1">VLOOKUP(Data!M3590,temp!$B$3:$C$9,2,1)</f>
        <v>30-40</v>
      </c>
      <c r="O3590">
        <v>-458</v>
      </c>
      <c r="P3590" s="8">
        <f t="shared" si="231"/>
        <v>1.2539356605065024</v>
      </c>
      <c r="Q3590" s="5" t="str">
        <f t="shared" si="229"/>
        <v>Employed</v>
      </c>
      <c r="R3590">
        <v>1</v>
      </c>
      <c r="S3590">
        <v>1</v>
      </c>
      <c r="T3590">
        <v>0</v>
      </c>
      <c r="U3590">
        <v>0</v>
      </c>
      <c r="V3590" t="s">
        <v>29</v>
      </c>
      <c r="W3590">
        <v>5</v>
      </c>
    </row>
    <row r="3591" spans="1:23" x14ac:dyDescent="0.2">
      <c r="A3591">
        <v>5116683</v>
      </c>
      <c r="B3591" t="s">
        <v>18</v>
      </c>
      <c r="C3591" t="s">
        <v>19</v>
      </c>
      <c r="D3591" t="s">
        <v>20</v>
      </c>
      <c r="E3591">
        <v>0</v>
      </c>
      <c r="F3591">
        <v>112500</v>
      </c>
      <c r="G3591" t="s">
        <v>31</v>
      </c>
      <c r="H3591" t="s">
        <v>27</v>
      </c>
      <c r="I3591" t="s">
        <v>42</v>
      </c>
      <c r="J3591" t="s">
        <v>24</v>
      </c>
      <c r="K3591" s="6">
        <f t="shared" ca="1" si="228"/>
        <v>28844</v>
      </c>
      <c r="L3591">
        <v>-16917</v>
      </c>
      <c r="M3591" s="7">
        <f t="shared" ca="1" si="230"/>
        <v>46.31622176591376</v>
      </c>
      <c r="N3591" s="5" t="str">
        <f ca="1">VLOOKUP(Data!M3591,temp!$B$3:$C$9,2,1)</f>
        <v>40-50</v>
      </c>
      <c r="O3591">
        <v>-4081</v>
      </c>
      <c r="P3591" s="8">
        <f t="shared" si="231"/>
        <v>11.173169062286105</v>
      </c>
      <c r="Q3591" s="5" t="str">
        <f t="shared" si="229"/>
        <v>Employed</v>
      </c>
      <c r="R3591">
        <v>1</v>
      </c>
      <c r="S3591">
        <v>1</v>
      </c>
      <c r="T3591">
        <v>0</v>
      </c>
      <c r="U3591">
        <v>0</v>
      </c>
      <c r="V3591" t="s">
        <v>29</v>
      </c>
      <c r="W3591">
        <v>1</v>
      </c>
    </row>
    <row r="3592" spans="1:23" x14ac:dyDescent="0.2">
      <c r="A3592">
        <v>5116702</v>
      </c>
      <c r="B3592" t="s">
        <v>25</v>
      </c>
      <c r="C3592" t="s">
        <v>19</v>
      </c>
      <c r="D3592" t="s">
        <v>20</v>
      </c>
      <c r="E3592">
        <v>1</v>
      </c>
      <c r="F3592">
        <v>112500</v>
      </c>
      <c r="G3592" t="s">
        <v>26</v>
      </c>
      <c r="H3592" t="s">
        <v>27</v>
      </c>
      <c r="I3592" t="s">
        <v>28</v>
      </c>
      <c r="J3592" t="s">
        <v>24</v>
      </c>
      <c r="K3592" s="6">
        <f t="shared" ref="K3592:K3655" ca="1" si="232">TODAY()+($L3592)</f>
        <v>35572</v>
      </c>
      <c r="L3592">
        <v>-10189</v>
      </c>
      <c r="M3592" s="7">
        <f t="shared" ca="1" si="230"/>
        <v>27.89596167008898</v>
      </c>
      <c r="N3592" s="5" t="str">
        <f ca="1">VLOOKUP(Data!M3592,temp!$B$3:$C$9,2,1)</f>
        <v>20-30</v>
      </c>
      <c r="O3592">
        <v>-1189</v>
      </c>
      <c r="P3592" s="8">
        <f t="shared" si="231"/>
        <v>3.2553045859000687</v>
      </c>
      <c r="Q3592" s="5" t="str">
        <f t="shared" ref="Q3592:Q3655" si="233">IF($O3592&gt;0,"Unemployed","Employed")</f>
        <v>Employed</v>
      </c>
      <c r="R3592">
        <v>1</v>
      </c>
      <c r="S3592">
        <v>1</v>
      </c>
      <c r="T3592">
        <v>1</v>
      </c>
      <c r="U3592">
        <v>0</v>
      </c>
      <c r="W3592">
        <v>3</v>
      </c>
    </row>
    <row r="3593" spans="1:23" x14ac:dyDescent="0.2">
      <c r="A3593">
        <v>5116705</v>
      </c>
      <c r="B3593" t="s">
        <v>18</v>
      </c>
      <c r="C3593" t="s">
        <v>19</v>
      </c>
      <c r="D3593" t="s">
        <v>20</v>
      </c>
      <c r="E3593">
        <v>1</v>
      </c>
      <c r="F3593">
        <v>157500</v>
      </c>
      <c r="G3593" t="s">
        <v>31</v>
      </c>
      <c r="H3593" t="s">
        <v>51</v>
      </c>
      <c r="I3593" t="s">
        <v>42</v>
      </c>
      <c r="J3593" t="s">
        <v>24</v>
      </c>
      <c r="K3593" s="6">
        <f t="shared" ca="1" si="232"/>
        <v>32400</v>
      </c>
      <c r="L3593">
        <v>-13361</v>
      </c>
      <c r="M3593" s="7">
        <f t="shared" ca="1" si="230"/>
        <v>36.580424366872002</v>
      </c>
      <c r="N3593" s="5" t="str">
        <f ca="1">VLOOKUP(Data!M3593,temp!$B$3:$C$9,2,1)</f>
        <v>30-40</v>
      </c>
      <c r="O3593">
        <v>-3258</v>
      </c>
      <c r="P3593" s="8">
        <f t="shared" si="231"/>
        <v>8.9199178644763855</v>
      </c>
      <c r="Q3593" s="5" t="str">
        <f t="shared" si="233"/>
        <v>Employed</v>
      </c>
      <c r="R3593">
        <v>1</v>
      </c>
      <c r="S3593">
        <v>0</v>
      </c>
      <c r="T3593">
        <v>0</v>
      </c>
      <c r="U3593">
        <v>0</v>
      </c>
      <c r="V3593" t="s">
        <v>55</v>
      </c>
      <c r="W3593">
        <v>2</v>
      </c>
    </row>
    <row r="3594" spans="1:23" x14ac:dyDescent="0.2">
      <c r="A3594">
        <v>5116707</v>
      </c>
      <c r="B3594" t="s">
        <v>18</v>
      </c>
      <c r="C3594" t="s">
        <v>19</v>
      </c>
      <c r="D3594" t="s">
        <v>20</v>
      </c>
      <c r="E3594">
        <v>0</v>
      </c>
      <c r="F3594">
        <v>112500</v>
      </c>
      <c r="G3594" t="s">
        <v>21</v>
      </c>
      <c r="H3594" t="s">
        <v>27</v>
      </c>
      <c r="I3594" t="s">
        <v>28</v>
      </c>
      <c r="J3594" t="s">
        <v>24</v>
      </c>
      <c r="K3594" s="6">
        <f t="shared" ca="1" si="232"/>
        <v>23365</v>
      </c>
      <c r="L3594">
        <v>-22396</v>
      </c>
      <c r="M3594" s="7">
        <f t="shared" ca="1" si="230"/>
        <v>61.316906228610542</v>
      </c>
      <c r="N3594" s="5" t="str">
        <f ca="1">VLOOKUP(Data!M3594,temp!$B$3:$C$9,2,1)</f>
        <v>60-70</v>
      </c>
      <c r="O3594">
        <v>365243</v>
      </c>
      <c r="P3594" s="8">
        <f t="shared" si="231"/>
        <v>0</v>
      </c>
      <c r="Q3594" s="5" t="str">
        <f t="shared" si="233"/>
        <v>Unemployed</v>
      </c>
      <c r="R3594">
        <v>1</v>
      </c>
      <c r="S3594">
        <v>0</v>
      </c>
      <c r="T3594">
        <v>0</v>
      </c>
      <c r="U3594">
        <v>0</v>
      </c>
      <c r="W3594">
        <v>2</v>
      </c>
    </row>
    <row r="3595" spans="1:23" x14ac:dyDescent="0.2">
      <c r="A3595">
        <v>5116708</v>
      </c>
      <c r="B3595" t="s">
        <v>18</v>
      </c>
      <c r="C3595" t="s">
        <v>19</v>
      </c>
      <c r="D3595" t="s">
        <v>20</v>
      </c>
      <c r="E3595">
        <v>0</v>
      </c>
      <c r="F3595">
        <v>112500</v>
      </c>
      <c r="G3595" t="s">
        <v>21</v>
      </c>
      <c r="H3595" t="s">
        <v>27</v>
      </c>
      <c r="I3595" t="s">
        <v>28</v>
      </c>
      <c r="J3595" t="s">
        <v>24</v>
      </c>
      <c r="K3595" s="6">
        <f t="shared" ca="1" si="232"/>
        <v>23365</v>
      </c>
      <c r="L3595">
        <v>-22396</v>
      </c>
      <c r="M3595" s="7">
        <f t="shared" ca="1" si="230"/>
        <v>61.316906228610542</v>
      </c>
      <c r="N3595" s="5" t="str">
        <f ca="1">VLOOKUP(Data!M3595,temp!$B$3:$C$9,2,1)</f>
        <v>60-70</v>
      </c>
      <c r="O3595">
        <v>365243</v>
      </c>
      <c r="P3595" s="8">
        <f t="shared" si="231"/>
        <v>0</v>
      </c>
      <c r="Q3595" s="5" t="str">
        <f t="shared" si="233"/>
        <v>Unemployed</v>
      </c>
      <c r="R3595">
        <v>1</v>
      </c>
      <c r="S3595">
        <v>0</v>
      </c>
      <c r="T3595">
        <v>0</v>
      </c>
      <c r="U3595">
        <v>0</v>
      </c>
      <c r="W3595">
        <v>2</v>
      </c>
    </row>
    <row r="3596" spans="1:23" x14ac:dyDescent="0.2">
      <c r="A3596">
        <v>5116713</v>
      </c>
      <c r="B3596" t="s">
        <v>18</v>
      </c>
      <c r="C3596" t="s">
        <v>19</v>
      </c>
      <c r="D3596" t="s">
        <v>19</v>
      </c>
      <c r="E3596">
        <v>0</v>
      </c>
      <c r="F3596">
        <v>135000</v>
      </c>
      <c r="G3596" t="s">
        <v>26</v>
      </c>
      <c r="H3596" t="s">
        <v>27</v>
      </c>
      <c r="I3596" t="s">
        <v>23</v>
      </c>
      <c r="J3596" t="s">
        <v>45</v>
      </c>
      <c r="K3596" s="6">
        <f t="shared" ca="1" si="232"/>
        <v>26637</v>
      </c>
      <c r="L3596">
        <v>-19124</v>
      </c>
      <c r="M3596" s="7">
        <f t="shared" ca="1" si="230"/>
        <v>52.358658453114302</v>
      </c>
      <c r="N3596" s="5" t="str">
        <f ca="1">VLOOKUP(Data!M3596,temp!$B$3:$C$9,2,1)</f>
        <v>50-60</v>
      </c>
      <c r="O3596">
        <v>-670</v>
      </c>
      <c r="P3596" s="8">
        <f t="shared" si="231"/>
        <v>1.8343600273785079</v>
      </c>
      <c r="Q3596" s="5" t="str">
        <f t="shared" si="233"/>
        <v>Employed</v>
      </c>
      <c r="R3596">
        <v>1</v>
      </c>
      <c r="S3596">
        <v>0</v>
      </c>
      <c r="T3596">
        <v>0</v>
      </c>
      <c r="U3596">
        <v>0</v>
      </c>
      <c r="W3596">
        <v>1</v>
      </c>
    </row>
    <row r="3597" spans="1:23" x14ac:dyDescent="0.2">
      <c r="A3597">
        <v>5116718</v>
      </c>
      <c r="B3597" t="s">
        <v>18</v>
      </c>
      <c r="C3597" t="s">
        <v>19</v>
      </c>
      <c r="D3597" t="s">
        <v>19</v>
      </c>
      <c r="E3597">
        <v>0</v>
      </c>
      <c r="F3597">
        <v>135000</v>
      </c>
      <c r="G3597" t="s">
        <v>26</v>
      </c>
      <c r="H3597" t="s">
        <v>27</v>
      </c>
      <c r="I3597" t="s">
        <v>23</v>
      </c>
      <c r="J3597" t="s">
        <v>45</v>
      </c>
      <c r="K3597" s="6">
        <f t="shared" ca="1" si="232"/>
        <v>26637</v>
      </c>
      <c r="L3597">
        <v>-19124</v>
      </c>
      <c r="M3597" s="7">
        <f t="shared" ca="1" si="230"/>
        <v>52.358658453114302</v>
      </c>
      <c r="N3597" s="5" t="str">
        <f ca="1">VLOOKUP(Data!M3597,temp!$B$3:$C$9,2,1)</f>
        <v>50-60</v>
      </c>
      <c r="O3597">
        <v>-670</v>
      </c>
      <c r="P3597" s="8">
        <f t="shared" si="231"/>
        <v>1.8343600273785079</v>
      </c>
      <c r="Q3597" s="5" t="str">
        <f t="shared" si="233"/>
        <v>Employed</v>
      </c>
      <c r="R3597">
        <v>1</v>
      </c>
      <c r="S3597">
        <v>0</v>
      </c>
      <c r="T3597">
        <v>0</v>
      </c>
      <c r="U3597">
        <v>0</v>
      </c>
      <c r="W3597">
        <v>1</v>
      </c>
    </row>
    <row r="3598" spans="1:23" x14ac:dyDescent="0.2">
      <c r="A3598">
        <v>5116729</v>
      </c>
      <c r="B3598" t="s">
        <v>25</v>
      </c>
      <c r="C3598" t="s">
        <v>20</v>
      </c>
      <c r="D3598" t="s">
        <v>20</v>
      </c>
      <c r="E3598">
        <v>0</v>
      </c>
      <c r="F3598">
        <v>180000</v>
      </c>
      <c r="G3598" t="s">
        <v>21</v>
      </c>
      <c r="H3598" t="s">
        <v>27</v>
      </c>
      <c r="I3598" t="s">
        <v>37</v>
      </c>
      <c r="J3598" t="s">
        <v>24</v>
      </c>
      <c r="K3598" s="6">
        <f t="shared" ca="1" si="232"/>
        <v>20981</v>
      </c>
      <c r="L3598">
        <v>-24780</v>
      </c>
      <c r="M3598" s="7">
        <f t="shared" ca="1" si="230"/>
        <v>67.843942505133469</v>
      </c>
      <c r="N3598" s="5" t="str">
        <f ca="1">VLOOKUP(Data!M3598,temp!$B$3:$C$9,2,1)</f>
        <v>60-70</v>
      </c>
      <c r="O3598">
        <v>365243</v>
      </c>
      <c r="P3598" s="8">
        <f t="shared" si="231"/>
        <v>0</v>
      </c>
      <c r="Q3598" s="5" t="str">
        <f t="shared" si="233"/>
        <v>Unemployed</v>
      </c>
      <c r="R3598">
        <v>1</v>
      </c>
      <c r="S3598">
        <v>0</v>
      </c>
      <c r="T3598">
        <v>0</v>
      </c>
      <c r="U3598">
        <v>0</v>
      </c>
      <c r="W3598">
        <v>2</v>
      </c>
    </row>
    <row r="3599" spans="1:23" x14ac:dyDescent="0.2">
      <c r="A3599">
        <v>5116736</v>
      </c>
      <c r="B3599" t="s">
        <v>25</v>
      </c>
      <c r="C3599" t="s">
        <v>19</v>
      </c>
      <c r="D3599" t="s">
        <v>19</v>
      </c>
      <c r="E3599">
        <v>0</v>
      </c>
      <c r="F3599">
        <v>135000</v>
      </c>
      <c r="G3599" t="s">
        <v>35</v>
      </c>
      <c r="H3599" t="s">
        <v>27</v>
      </c>
      <c r="I3599" t="s">
        <v>33</v>
      </c>
      <c r="J3599" t="s">
        <v>53</v>
      </c>
      <c r="K3599" s="6">
        <f t="shared" ca="1" si="232"/>
        <v>37661</v>
      </c>
      <c r="L3599">
        <v>-8100</v>
      </c>
      <c r="M3599" s="7">
        <f t="shared" ca="1" si="230"/>
        <v>22.17659137577002</v>
      </c>
      <c r="N3599" s="5" t="str">
        <f ca="1">VLOOKUP(Data!M3599,temp!$B$3:$C$9,2,1)</f>
        <v>20-30</v>
      </c>
      <c r="O3599">
        <v>-1493</v>
      </c>
      <c r="P3599" s="8">
        <f t="shared" si="231"/>
        <v>4.0876112251882271</v>
      </c>
      <c r="Q3599" s="5" t="str">
        <f t="shared" si="233"/>
        <v>Employed</v>
      </c>
      <c r="R3599">
        <v>1</v>
      </c>
      <c r="S3599">
        <v>0</v>
      </c>
      <c r="T3599">
        <v>0</v>
      </c>
      <c r="U3599">
        <v>0</v>
      </c>
      <c r="V3599" t="s">
        <v>30</v>
      </c>
      <c r="W3599">
        <v>1</v>
      </c>
    </row>
    <row r="3600" spans="1:23" x14ac:dyDescent="0.2">
      <c r="A3600">
        <v>5116748</v>
      </c>
      <c r="B3600" t="s">
        <v>25</v>
      </c>
      <c r="C3600" t="s">
        <v>19</v>
      </c>
      <c r="D3600" t="s">
        <v>20</v>
      </c>
      <c r="E3600">
        <v>1</v>
      </c>
      <c r="F3600">
        <v>157500</v>
      </c>
      <c r="G3600" t="s">
        <v>31</v>
      </c>
      <c r="H3600" t="s">
        <v>27</v>
      </c>
      <c r="I3600" t="s">
        <v>28</v>
      </c>
      <c r="J3600" t="s">
        <v>24</v>
      </c>
      <c r="K3600" s="6">
        <f t="shared" ca="1" si="232"/>
        <v>30134</v>
      </c>
      <c r="L3600">
        <v>-15627</v>
      </c>
      <c r="M3600" s="7">
        <f t="shared" ca="1" si="230"/>
        <v>42.784394250513344</v>
      </c>
      <c r="N3600" s="5" t="str">
        <f ca="1">VLOOKUP(Data!M3600,temp!$B$3:$C$9,2,1)</f>
        <v>40-50</v>
      </c>
      <c r="O3600">
        <v>-2315</v>
      </c>
      <c r="P3600" s="8">
        <f t="shared" si="231"/>
        <v>6.3381245722108144</v>
      </c>
      <c r="Q3600" s="5" t="str">
        <f t="shared" si="233"/>
        <v>Employed</v>
      </c>
      <c r="R3600">
        <v>1</v>
      </c>
      <c r="S3600">
        <v>0</v>
      </c>
      <c r="T3600">
        <v>0</v>
      </c>
      <c r="U3600">
        <v>0</v>
      </c>
      <c r="W3600">
        <v>3</v>
      </c>
    </row>
    <row r="3601" spans="1:23" x14ac:dyDescent="0.2">
      <c r="A3601">
        <v>5116753</v>
      </c>
      <c r="B3601" t="s">
        <v>25</v>
      </c>
      <c r="C3601" t="s">
        <v>20</v>
      </c>
      <c r="D3601" t="s">
        <v>20</v>
      </c>
      <c r="E3601">
        <v>0</v>
      </c>
      <c r="F3601">
        <v>216000</v>
      </c>
      <c r="G3601" t="s">
        <v>26</v>
      </c>
      <c r="H3601" t="s">
        <v>27</v>
      </c>
      <c r="I3601" t="s">
        <v>28</v>
      </c>
      <c r="J3601" t="s">
        <v>24</v>
      </c>
      <c r="K3601" s="6">
        <f t="shared" ca="1" si="232"/>
        <v>29424</v>
      </c>
      <c r="L3601">
        <v>-16337</v>
      </c>
      <c r="M3601" s="7">
        <f t="shared" ca="1" si="230"/>
        <v>44.728268309377142</v>
      </c>
      <c r="N3601" s="5" t="str">
        <f ca="1">VLOOKUP(Data!M3601,temp!$B$3:$C$9,2,1)</f>
        <v>40-50</v>
      </c>
      <c r="O3601">
        <v>-1797</v>
      </c>
      <c r="P3601" s="8">
        <f t="shared" si="231"/>
        <v>4.9199178644763863</v>
      </c>
      <c r="Q3601" s="5" t="str">
        <f t="shared" si="233"/>
        <v>Employed</v>
      </c>
      <c r="R3601">
        <v>1</v>
      </c>
      <c r="S3601">
        <v>0</v>
      </c>
      <c r="T3601">
        <v>0</v>
      </c>
      <c r="U3601">
        <v>0</v>
      </c>
      <c r="V3601" t="s">
        <v>30</v>
      </c>
      <c r="W3601">
        <v>2</v>
      </c>
    </row>
    <row r="3602" spans="1:23" x14ac:dyDescent="0.2">
      <c r="A3602">
        <v>5116755</v>
      </c>
      <c r="B3602" t="s">
        <v>25</v>
      </c>
      <c r="C3602" t="s">
        <v>20</v>
      </c>
      <c r="D3602" t="s">
        <v>19</v>
      </c>
      <c r="E3602">
        <v>2</v>
      </c>
      <c r="F3602">
        <v>135000</v>
      </c>
      <c r="G3602" t="s">
        <v>31</v>
      </c>
      <c r="H3602" t="s">
        <v>27</v>
      </c>
      <c r="I3602" t="s">
        <v>28</v>
      </c>
      <c r="J3602" t="s">
        <v>24</v>
      </c>
      <c r="K3602" s="6">
        <f t="shared" ca="1" si="232"/>
        <v>31482</v>
      </c>
      <c r="L3602">
        <v>-14279</v>
      </c>
      <c r="M3602" s="7">
        <f t="shared" ca="1" si="230"/>
        <v>39.093771389459278</v>
      </c>
      <c r="N3602" s="5" t="str">
        <f ca="1">VLOOKUP(Data!M3602,temp!$B$3:$C$9,2,1)</f>
        <v>30-40</v>
      </c>
      <c r="O3602">
        <v>-5329</v>
      </c>
      <c r="P3602" s="8">
        <f t="shared" si="231"/>
        <v>14.590006844626968</v>
      </c>
      <c r="Q3602" s="5" t="str">
        <f t="shared" si="233"/>
        <v>Employed</v>
      </c>
      <c r="R3602">
        <v>1</v>
      </c>
      <c r="S3602">
        <v>0</v>
      </c>
      <c r="T3602">
        <v>0</v>
      </c>
      <c r="U3602">
        <v>0</v>
      </c>
      <c r="V3602" t="s">
        <v>39</v>
      </c>
      <c r="W3602">
        <v>4</v>
      </c>
    </row>
    <row r="3603" spans="1:23" x14ac:dyDescent="0.2">
      <c r="A3603">
        <v>5116756</v>
      </c>
      <c r="B3603" t="s">
        <v>25</v>
      </c>
      <c r="C3603" t="s">
        <v>20</v>
      </c>
      <c r="D3603" t="s">
        <v>19</v>
      </c>
      <c r="E3603">
        <v>2</v>
      </c>
      <c r="F3603">
        <v>135000</v>
      </c>
      <c r="G3603" t="s">
        <v>31</v>
      </c>
      <c r="H3603" t="s">
        <v>27</v>
      </c>
      <c r="I3603" t="s">
        <v>28</v>
      </c>
      <c r="J3603" t="s">
        <v>24</v>
      </c>
      <c r="K3603" s="6">
        <f t="shared" ca="1" si="232"/>
        <v>31482</v>
      </c>
      <c r="L3603">
        <v>-14279</v>
      </c>
      <c r="M3603" s="7">
        <f t="shared" ca="1" si="230"/>
        <v>39.093771389459278</v>
      </c>
      <c r="N3603" s="5" t="str">
        <f ca="1">VLOOKUP(Data!M3603,temp!$B$3:$C$9,2,1)</f>
        <v>30-40</v>
      </c>
      <c r="O3603">
        <v>-5329</v>
      </c>
      <c r="P3603" s="8">
        <f t="shared" si="231"/>
        <v>14.590006844626968</v>
      </c>
      <c r="Q3603" s="5" t="str">
        <f t="shared" si="233"/>
        <v>Employed</v>
      </c>
      <c r="R3603">
        <v>1</v>
      </c>
      <c r="S3603">
        <v>0</v>
      </c>
      <c r="T3603">
        <v>0</v>
      </c>
      <c r="U3603">
        <v>0</v>
      </c>
      <c r="V3603" t="s">
        <v>39</v>
      </c>
      <c r="W3603">
        <v>4</v>
      </c>
    </row>
    <row r="3604" spans="1:23" x14ac:dyDescent="0.2">
      <c r="A3604">
        <v>5116767</v>
      </c>
      <c r="B3604" t="s">
        <v>18</v>
      </c>
      <c r="C3604" t="s">
        <v>19</v>
      </c>
      <c r="D3604" t="s">
        <v>20</v>
      </c>
      <c r="E3604">
        <v>0</v>
      </c>
      <c r="F3604">
        <v>121500</v>
      </c>
      <c r="G3604" t="s">
        <v>31</v>
      </c>
      <c r="H3604" t="s">
        <v>27</v>
      </c>
      <c r="I3604" t="s">
        <v>28</v>
      </c>
      <c r="J3604" t="s">
        <v>24</v>
      </c>
      <c r="K3604" s="6">
        <f t="shared" ca="1" si="232"/>
        <v>23715</v>
      </c>
      <c r="L3604">
        <v>-22046</v>
      </c>
      <c r="M3604" s="7">
        <f t="shared" ca="1" si="230"/>
        <v>60.358658453114302</v>
      </c>
      <c r="N3604" s="5" t="str">
        <f ca="1">VLOOKUP(Data!M3604,temp!$B$3:$C$9,2,1)</f>
        <v>60-70</v>
      </c>
      <c r="O3604">
        <v>-2011</v>
      </c>
      <c r="P3604" s="8">
        <f t="shared" si="231"/>
        <v>5.505817932922656</v>
      </c>
      <c r="Q3604" s="5" t="str">
        <f t="shared" si="233"/>
        <v>Employed</v>
      </c>
      <c r="R3604">
        <v>1</v>
      </c>
      <c r="S3604">
        <v>0</v>
      </c>
      <c r="T3604">
        <v>0</v>
      </c>
      <c r="U3604">
        <v>0</v>
      </c>
      <c r="V3604" t="s">
        <v>29</v>
      </c>
      <c r="W3604">
        <v>2</v>
      </c>
    </row>
    <row r="3605" spans="1:23" x14ac:dyDescent="0.2">
      <c r="A3605">
        <v>5116769</v>
      </c>
      <c r="B3605" t="s">
        <v>18</v>
      </c>
      <c r="C3605" t="s">
        <v>19</v>
      </c>
      <c r="D3605" t="s">
        <v>20</v>
      </c>
      <c r="E3605">
        <v>0</v>
      </c>
      <c r="F3605">
        <v>121500</v>
      </c>
      <c r="G3605" t="s">
        <v>31</v>
      </c>
      <c r="H3605" t="s">
        <v>27</v>
      </c>
      <c r="I3605" t="s">
        <v>28</v>
      </c>
      <c r="J3605" t="s">
        <v>24</v>
      </c>
      <c r="K3605" s="6">
        <f t="shared" ca="1" si="232"/>
        <v>23715</v>
      </c>
      <c r="L3605">
        <v>-22046</v>
      </c>
      <c r="M3605" s="7">
        <f t="shared" ca="1" si="230"/>
        <v>60.358658453114302</v>
      </c>
      <c r="N3605" s="5" t="str">
        <f ca="1">VLOOKUP(Data!M3605,temp!$B$3:$C$9,2,1)</f>
        <v>60-70</v>
      </c>
      <c r="O3605">
        <v>-2011</v>
      </c>
      <c r="P3605" s="8">
        <f t="shared" si="231"/>
        <v>5.505817932922656</v>
      </c>
      <c r="Q3605" s="5" t="str">
        <f t="shared" si="233"/>
        <v>Employed</v>
      </c>
      <c r="R3605">
        <v>1</v>
      </c>
      <c r="S3605">
        <v>0</v>
      </c>
      <c r="T3605">
        <v>0</v>
      </c>
      <c r="U3605">
        <v>0</v>
      </c>
      <c r="V3605" t="s">
        <v>29</v>
      </c>
      <c r="W3605">
        <v>2</v>
      </c>
    </row>
    <row r="3606" spans="1:23" x14ac:dyDescent="0.2">
      <c r="A3606">
        <v>5116770</v>
      </c>
      <c r="B3606" t="s">
        <v>18</v>
      </c>
      <c r="C3606" t="s">
        <v>19</v>
      </c>
      <c r="D3606" t="s">
        <v>20</v>
      </c>
      <c r="E3606">
        <v>0</v>
      </c>
      <c r="F3606">
        <v>121500</v>
      </c>
      <c r="G3606" t="s">
        <v>31</v>
      </c>
      <c r="H3606" t="s">
        <v>27</v>
      </c>
      <c r="I3606" t="s">
        <v>28</v>
      </c>
      <c r="J3606" t="s">
        <v>24</v>
      </c>
      <c r="K3606" s="6">
        <f t="shared" ca="1" si="232"/>
        <v>23715</v>
      </c>
      <c r="L3606">
        <v>-22046</v>
      </c>
      <c r="M3606" s="7">
        <f t="shared" ca="1" si="230"/>
        <v>60.358658453114302</v>
      </c>
      <c r="N3606" s="5" t="str">
        <f ca="1">VLOOKUP(Data!M3606,temp!$B$3:$C$9,2,1)</f>
        <v>60-70</v>
      </c>
      <c r="O3606">
        <v>-2011</v>
      </c>
      <c r="P3606" s="8">
        <f t="shared" si="231"/>
        <v>5.505817932922656</v>
      </c>
      <c r="Q3606" s="5" t="str">
        <f t="shared" si="233"/>
        <v>Employed</v>
      </c>
      <c r="R3606">
        <v>1</v>
      </c>
      <c r="S3606">
        <v>0</v>
      </c>
      <c r="T3606">
        <v>0</v>
      </c>
      <c r="U3606">
        <v>0</v>
      </c>
      <c r="V3606" t="s">
        <v>29</v>
      </c>
      <c r="W3606">
        <v>2</v>
      </c>
    </row>
    <row r="3607" spans="1:23" x14ac:dyDescent="0.2">
      <c r="A3607">
        <v>5116782</v>
      </c>
      <c r="B3607" t="s">
        <v>18</v>
      </c>
      <c r="C3607" t="s">
        <v>19</v>
      </c>
      <c r="D3607" t="s">
        <v>19</v>
      </c>
      <c r="E3607">
        <v>1</v>
      </c>
      <c r="F3607">
        <v>90000</v>
      </c>
      <c r="G3607" t="s">
        <v>26</v>
      </c>
      <c r="H3607" t="s">
        <v>27</v>
      </c>
      <c r="I3607" t="s">
        <v>28</v>
      </c>
      <c r="J3607" t="s">
        <v>24</v>
      </c>
      <c r="K3607" s="6">
        <f t="shared" ca="1" si="232"/>
        <v>34878</v>
      </c>
      <c r="L3607">
        <v>-10883</v>
      </c>
      <c r="M3607" s="7">
        <f t="shared" ca="1" si="230"/>
        <v>29.796030116358658</v>
      </c>
      <c r="N3607" s="5" t="str">
        <f ca="1">VLOOKUP(Data!M3607,temp!$B$3:$C$9,2,1)</f>
        <v>20-30</v>
      </c>
      <c r="O3607">
        <v>-1858</v>
      </c>
      <c r="P3607" s="8">
        <f t="shared" si="231"/>
        <v>5.0869267624914443</v>
      </c>
      <c r="Q3607" s="5" t="str">
        <f t="shared" si="233"/>
        <v>Employed</v>
      </c>
      <c r="R3607">
        <v>1</v>
      </c>
      <c r="S3607">
        <v>0</v>
      </c>
      <c r="T3607">
        <v>0</v>
      </c>
      <c r="U3607">
        <v>0</v>
      </c>
      <c r="W3607">
        <v>3</v>
      </c>
    </row>
    <row r="3608" spans="1:23" x14ac:dyDescent="0.2">
      <c r="A3608">
        <v>5116788</v>
      </c>
      <c r="B3608" t="s">
        <v>18</v>
      </c>
      <c r="C3608" t="s">
        <v>19</v>
      </c>
      <c r="D3608" t="s">
        <v>20</v>
      </c>
      <c r="E3608">
        <v>0</v>
      </c>
      <c r="F3608">
        <v>81000</v>
      </c>
      <c r="G3608" t="s">
        <v>31</v>
      </c>
      <c r="H3608" t="s">
        <v>27</v>
      </c>
      <c r="I3608" t="s">
        <v>28</v>
      </c>
      <c r="J3608" t="s">
        <v>24</v>
      </c>
      <c r="K3608" s="6">
        <f t="shared" ca="1" si="232"/>
        <v>26100</v>
      </c>
      <c r="L3608">
        <v>-19661</v>
      </c>
      <c r="M3608" s="7">
        <f t="shared" ca="1" si="230"/>
        <v>53.828884325804246</v>
      </c>
      <c r="N3608" s="5" t="str">
        <f ca="1">VLOOKUP(Data!M3608,temp!$B$3:$C$9,2,1)</f>
        <v>50-60</v>
      </c>
      <c r="O3608">
        <v>-3046</v>
      </c>
      <c r="P3608" s="8">
        <f t="shared" si="231"/>
        <v>8.33949349760438</v>
      </c>
      <c r="Q3608" s="5" t="str">
        <f t="shared" si="233"/>
        <v>Employed</v>
      </c>
      <c r="R3608">
        <v>1</v>
      </c>
      <c r="S3608">
        <v>1</v>
      </c>
      <c r="T3608">
        <v>1</v>
      </c>
      <c r="U3608">
        <v>0</v>
      </c>
      <c r="V3608" t="s">
        <v>32</v>
      </c>
      <c r="W3608">
        <v>2</v>
      </c>
    </row>
    <row r="3609" spans="1:23" x14ac:dyDescent="0.2">
      <c r="A3609">
        <v>5116814</v>
      </c>
      <c r="B3609" t="s">
        <v>18</v>
      </c>
      <c r="C3609" t="s">
        <v>19</v>
      </c>
      <c r="D3609" t="s">
        <v>20</v>
      </c>
      <c r="E3609">
        <v>0</v>
      </c>
      <c r="F3609">
        <v>112500</v>
      </c>
      <c r="G3609" t="s">
        <v>31</v>
      </c>
      <c r="H3609" t="s">
        <v>27</v>
      </c>
      <c r="I3609" t="s">
        <v>28</v>
      </c>
      <c r="J3609" t="s">
        <v>24</v>
      </c>
      <c r="K3609" s="6">
        <f t="shared" ca="1" si="232"/>
        <v>27396</v>
      </c>
      <c r="L3609">
        <v>-18365</v>
      </c>
      <c r="M3609" s="7">
        <f t="shared" ca="1" si="230"/>
        <v>50.280629705681044</v>
      </c>
      <c r="N3609" s="5" t="str">
        <f ca="1">VLOOKUP(Data!M3609,temp!$B$3:$C$9,2,1)</f>
        <v>50-60</v>
      </c>
      <c r="O3609">
        <v>-701</v>
      </c>
      <c r="P3609" s="8">
        <f t="shared" si="231"/>
        <v>1.9192334017796031</v>
      </c>
      <c r="Q3609" s="5" t="str">
        <f t="shared" si="233"/>
        <v>Employed</v>
      </c>
      <c r="R3609">
        <v>1</v>
      </c>
      <c r="S3609">
        <v>0</v>
      </c>
      <c r="T3609">
        <v>0</v>
      </c>
      <c r="U3609">
        <v>0</v>
      </c>
      <c r="V3609" t="s">
        <v>47</v>
      </c>
      <c r="W3609">
        <v>2</v>
      </c>
    </row>
    <row r="3610" spans="1:23" x14ac:dyDescent="0.2">
      <c r="A3610">
        <v>5116817</v>
      </c>
      <c r="B3610" t="s">
        <v>25</v>
      </c>
      <c r="C3610" t="s">
        <v>19</v>
      </c>
      <c r="D3610" t="s">
        <v>20</v>
      </c>
      <c r="E3610">
        <v>0</v>
      </c>
      <c r="F3610">
        <v>85500</v>
      </c>
      <c r="G3610" t="s">
        <v>35</v>
      </c>
      <c r="H3610" t="s">
        <v>27</v>
      </c>
      <c r="I3610" t="s">
        <v>23</v>
      </c>
      <c r="J3610" t="s">
        <v>43</v>
      </c>
      <c r="K3610" s="6">
        <f t="shared" ca="1" si="232"/>
        <v>29219</v>
      </c>
      <c r="L3610">
        <v>-16542</v>
      </c>
      <c r="M3610" s="7">
        <f t="shared" ca="1" si="230"/>
        <v>45.289527720739223</v>
      </c>
      <c r="N3610" s="5" t="str">
        <f ca="1">VLOOKUP(Data!M3610,temp!$B$3:$C$9,2,1)</f>
        <v>40-50</v>
      </c>
      <c r="O3610">
        <v>-8737</v>
      </c>
      <c r="P3610" s="8">
        <f t="shared" si="231"/>
        <v>23.920602327173167</v>
      </c>
      <c r="Q3610" s="5" t="str">
        <f t="shared" si="233"/>
        <v>Employed</v>
      </c>
      <c r="R3610">
        <v>1</v>
      </c>
      <c r="S3610">
        <v>1</v>
      </c>
      <c r="T3610">
        <v>1</v>
      </c>
      <c r="U3610">
        <v>0</v>
      </c>
      <c r="V3610" t="s">
        <v>38</v>
      </c>
      <c r="W3610">
        <v>1</v>
      </c>
    </row>
    <row r="3611" spans="1:23" x14ac:dyDescent="0.2">
      <c r="A3611">
        <v>5116819</v>
      </c>
      <c r="B3611" t="s">
        <v>25</v>
      </c>
      <c r="C3611" t="s">
        <v>19</v>
      </c>
      <c r="D3611" t="s">
        <v>20</v>
      </c>
      <c r="E3611">
        <v>0</v>
      </c>
      <c r="F3611">
        <v>85500</v>
      </c>
      <c r="G3611" t="s">
        <v>35</v>
      </c>
      <c r="H3611" t="s">
        <v>27</v>
      </c>
      <c r="I3611" t="s">
        <v>23</v>
      </c>
      <c r="J3611" t="s">
        <v>43</v>
      </c>
      <c r="K3611" s="6">
        <f t="shared" ca="1" si="232"/>
        <v>29219</v>
      </c>
      <c r="L3611">
        <v>-16542</v>
      </c>
      <c r="M3611" s="7">
        <f t="shared" ca="1" si="230"/>
        <v>45.289527720739223</v>
      </c>
      <c r="N3611" s="5" t="str">
        <f ca="1">VLOOKUP(Data!M3611,temp!$B$3:$C$9,2,1)</f>
        <v>40-50</v>
      </c>
      <c r="O3611">
        <v>-8737</v>
      </c>
      <c r="P3611" s="8">
        <f t="shared" si="231"/>
        <v>23.920602327173167</v>
      </c>
      <c r="Q3611" s="5" t="str">
        <f t="shared" si="233"/>
        <v>Employed</v>
      </c>
      <c r="R3611">
        <v>1</v>
      </c>
      <c r="S3611">
        <v>1</v>
      </c>
      <c r="T3611">
        <v>1</v>
      </c>
      <c r="U3611">
        <v>0</v>
      </c>
      <c r="V3611" t="s">
        <v>38</v>
      </c>
      <c r="W3611">
        <v>1</v>
      </c>
    </row>
    <row r="3612" spans="1:23" x14ac:dyDescent="0.2">
      <c r="A3612">
        <v>5116828</v>
      </c>
      <c r="B3612" t="s">
        <v>25</v>
      </c>
      <c r="C3612" t="s">
        <v>20</v>
      </c>
      <c r="D3612" t="s">
        <v>20</v>
      </c>
      <c r="E3612">
        <v>3</v>
      </c>
      <c r="F3612">
        <v>135000</v>
      </c>
      <c r="G3612" t="s">
        <v>26</v>
      </c>
      <c r="H3612" t="s">
        <v>27</v>
      </c>
      <c r="I3612" t="s">
        <v>28</v>
      </c>
      <c r="J3612" t="s">
        <v>24</v>
      </c>
      <c r="K3612" s="6">
        <f t="shared" ca="1" si="232"/>
        <v>30323</v>
      </c>
      <c r="L3612">
        <v>-15438</v>
      </c>
      <c r="M3612" s="7">
        <f t="shared" ca="1" si="230"/>
        <v>42.266940451745377</v>
      </c>
      <c r="N3612" s="5" t="str">
        <f ca="1">VLOOKUP(Data!M3612,temp!$B$3:$C$9,2,1)</f>
        <v>40-50</v>
      </c>
      <c r="O3612">
        <v>-4872</v>
      </c>
      <c r="P3612" s="8">
        <f t="shared" si="231"/>
        <v>13.338809034907598</v>
      </c>
      <c r="Q3612" s="5" t="str">
        <f t="shared" si="233"/>
        <v>Employed</v>
      </c>
      <c r="R3612">
        <v>1</v>
      </c>
      <c r="S3612">
        <v>0</v>
      </c>
      <c r="T3612">
        <v>0</v>
      </c>
      <c r="U3612">
        <v>0</v>
      </c>
      <c r="V3612" t="s">
        <v>30</v>
      </c>
      <c r="W3612">
        <v>5</v>
      </c>
    </row>
    <row r="3613" spans="1:23" x14ac:dyDescent="0.2">
      <c r="A3613">
        <v>5116838</v>
      </c>
      <c r="B3613" t="s">
        <v>18</v>
      </c>
      <c r="C3613" t="s">
        <v>20</v>
      </c>
      <c r="D3613" t="s">
        <v>20</v>
      </c>
      <c r="E3613">
        <v>1</v>
      </c>
      <c r="F3613">
        <v>126000</v>
      </c>
      <c r="G3613" t="s">
        <v>26</v>
      </c>
      <c r="H3613" t="s">
        <v>27</v>
      </c>
      <c r="I3613" t="s">
        <v>28</v>
      </c>
      <c r="J3613" t="s">
        <v>24</v>
      </c>
      <c r="K3613" s="6">
        <f t="shared" ca="1" si="232"/>
        <v>35633</v>
      </c>
      <c r="L3613">
        <v>-10128</v>
      </c>
      <c r="M3613" s="7">
        <f t="shared" ca="1" si="230"/>
        <v>27.728952772073921</v>
      </c>
      <c r="N3613" s="5" t="str">
        <f ca="1">VLOOKUP(Data!M3613,temp!$B$3:$C$9,2,1)</f>
        <v>20-30</v>
      </c>
      <c r="O3613">
        <v>-367</v>
      </c>
      <c r="P3613" s="8">
        <f t="shared" si="231"/>
        <v>1.0047912388774811</v>
      </c>
      <c r="Q3613" s="5" t="str">
        <f t="shared" si="233"/>
        <v>Employed</v>
      </c>
      <c r="R3613">
        <v>1</v>
      </c>
      <c r="S3613">
        <v>0</v>
      </c>
      <c r="T3613">
        <v>1</v>
      </c>
      <c r="U3613">
        <v>0</v>
      </c>
      <c r="V3613" t="s">
        <v>38</v>
      </c>
      <c r="W3613">
        <v>3</v>
      </c>
    </row>
    <row r="3614" spans="1:23" x14ac:dyDescent="0.2">
      <c r="A3614">
        <v>5116850</v>
      </c>
      <c r="B3614" t="s">
        <v>18</v>
      </c>
      <c r="C3614" t="s">
        <v>19</v>
      </c>
      <c r="D3614" t="s">
        <v>20</v>
      </c>
      <c r="E3614">
        <v>0</v>
      </c>
      <c r="F3614">
        <v>193500</v>
      </c>
      <c r="G3614" t="s">
        <v>31</v>
      </c>
      <c r="H3614" t="s">
        <v>27</v>
      </c>
      <c r="I3614" t="s">
        <v>28</v>
      </c>
      <c r="J3614" t="s">
        <v>24</v>
      </c>
      <c r="K3614" s="6">
        <f t="shared" ca="1" si="232"/>
        <v>27668</v>
      </c>
      <c r="L3614">
        <v>-18093</v>
      </c>
      <c r="M3614" s="7">
        <f t="shared" ca="1" si="230"/>
        <v>49.535934291581107</v>
      </c>
      <c r="N3614" s="5" t="str">
        <f ca="1">VLOOKUP(Data!M3614,temp!$B$3:$C$9,2,1)</f>
        <v>40-50</v>
      </c>
      <c r="O3614">
        <v>-1036</v>
      </c>
      <c r="P3614" s="8">
        <f t="shared" si="231"/>
        <v>2.8364134154688569</v>
      </c>
      <c r="Q3614" s="5" t="str">
        <f t="shared" si="233"/>
        <v>Employed</v>
      </c>
      <c r="R3614">
        <v>1</v>
      </c>
      <c r="S3614">
        <v>0</v>
      </c>
      <c r="T3614">
        <v>0</v>
      </c>
      <c r="U3614">
        <v>0</v>
      </c>
      <c r="V3614" t="s">
        <v>29</v>
      </c>
      <c r="W3614">
        <v>2</v>
      </c>
    </row>
    <row r="3615" spans="1:23" x14ac:dyDescent="0.2">
      <c r="A3615">
        <v>5116856</v>
      </c>
      <c r="B3615" t="s">
        <v>18</v>
      </c>
      <c r="C3615" t="s">
        <v>19</v>
      </c>
      <c r="D3615" t="s">
        <v>19</v>
      </c>
      <c r="E3615">
        <v>0</v>
      </c>
      <c r="F3615">
        <v>135000</v>
      </c>
      <c r="G3615" t="s">
        <v>31</v>
      </c>
      <c r="H3615" t="s">
        <v>22</v>
      </c>
      <c r="I3615" t="s">
        <v>33</v>
      </c>
      <c r="J3615" t="s">
        <v>24</v>
      </c>
      <c r="K3615" s="6">
        <f t="shared" ca="1" si="232"/>
        <v>35943</v>
      </c>
      <c r="L3615">
        <v>-9818</v>
      </c>
      <c r="M3615" s="7">
        <f t="shared" ca="1" si="230"/>
        <v>26.880219028062971</v>
      </c>
      <c r="N3615" s="5" t="str">
        <f ca="1">VLOOKUP(Data!M3615,temp!$B$3:$C$9,2,1)</f>
        <v>20-30</v>
      </c>
      <c r="O3615">
        <v>-520</v>
      </c>
      <c r="P3615" s="8">
        <f t="shared" si="231"/>
        <v>1.4236824093086926</v>
      </c>
      <c r="Q3615" s="5" t="str">
        <f t="shared" si="233"/>
        <v>Employed</v>
      </c>
      <c r="R3615">
        <v>1</v>
      </c>
      <c r="S3615">
        <v>0</v>
      </c>
      <c r="T3615">
        <v>0</v>
      </c>
      <c r="U3615">
        <v>0</v>
      </c>
      <c r="V3615" t="s">
        <v>38</v>
      </c>
      <c r="W3615">
        <v>1</v>
      </c>
    </row>
    <row r="3616" spans="1:23" x14ac:dyDescent="0.2">
      <c r="A3616">
        <v>5116858</v>
      </c>
      <c r="B3616" t="s">
        <v>18</v>
      </c>
      <c r="C3616" t="s">
        <v>19</v>
      </c>
      <c r="D3616" t="s">
        <v>19</v>
      </c>
      <c r="E3616">
        <v>0</v>
      </c>
      <c r="F3616">
        <v>135000</v>
      </c>
      <c r="G3616" t="s">
        <v>31</v>
      </c>
      <c r="H3616" t="s">
        <v>22</v>
      </c>
      <c r="I3616" t="s">
        <v>33</v>
      </c>
      <c r="J3616" t="s">
        <v>24</v>
      </c>
      <c r="K3616" s="6">
        <f t="shared" ca="1" si="232"/>
        <v>35943</v>
      </c>
      <c r="L3616">
        <v>-9818</v>
      </c>
      <c r="M3616" s="7">
        <f t="shared" ca="1" si="230"/>
        <v>26.880219028062971</v>
      </c>
      <c r="N3616" s="5" t="str">
        <f ca="1">VLOOKUP(Data!M3616,temp!$B$3:$C$9,2,1)</f>
        <v>20-30</v>
      </c>
      <c r="O3616">
        <v>-520</v>
      </c>
      <c r="P3616" s="8">
        <f t="shared" si="231"/>
        <v>1.4236824093086926</v>
      </c>
      <c r="Q3616" s="5" t="str">
        <f t="shared" si="233"/>
        <v>Employed</v>
      </c>
      <c r="R3616">
        <v>1</v>
      </c>
      <c r="S3616">
        <v>0</v>
      </c>
      <c r="T3616">
        <v>0</v>
      </c>
      <c r="U3616">
        <v>0</v>
      </c>
      <c r="V3616" t="s">
        <v>38</v>
      </c>
      <c r="W3616">
        <v>1</v>
      </c>
    </row>
    <row r="3617" spans="1:23" x14ac:dyDescent="0.2">
      <c r="A3617">
        <v>5116878</v>
      </c>
      <c r="B3617" t="s">
        <v>18</v>
      </c>
      <c r="C3617" t="s">
        <v>19</v>
      </c>
      <c r="D3617" t="s">
        <v>19</v>
      </c>
      <c r="E3617">
        <v>0</v>
      </c>
      <c r="F3617">
        <v>112500</v>
      </c>
      <c r="G3617" t="s">
        <v>31</v>
      </c>
      <c r="H3617" t="s">
        <v>22</v>
      </c>
      <c r="I3617" t="s">
        <v>33</v>
      </c>
      <c r="J3617" t="s">
        <v>41</v>
      </c>
      <c r="K3617" s="6">
        <f t="shared" ca="1" si="232"/>
        <v>34700</v>
      </c>
      <c r="L3617">
        <v>-11061</v>
      </c>
      <c r="M3617" s="7">
        <f t="shared" ca="1" si="230"/>
        <v>30.283367556468171</v>
      </c>
      <c r="N3617" s="5" t="str">
        <f ca="1">VLOOKUP(Data!M3617,temp!$B$3:$C$9,2,1)</f>
        <v>30-40</v>
      </c>
      <c r="O3617">
        <v>-157</v>
      </c>
      <c r="P3617" s="8">
        <f t="shared" si="231"/>
        <v>0.42984257357973993</v>
      </c>
      <c r="Q3617" s="5" t="str">
        <f t="shared" si="233"/>
        <v>Employed</v>
      </c>
      <c r="R3617">
        <v>1</v>
      </c>
      <c r="S3617">
        <v>1</v>
      </c>
      <c r="T3617">
        <v>1</v>
      </c>
      <c r="U3617">
        <v>0</v>
      </c>
      <c r="V3617" t="s">
        <v>47</v>
      </c>
      <c r="W3617">
        <v>1</v>
      </c>
    </row>
    <row r="3618" spans="1:23" x14ac:dyDescent="0.2">
      <c r="A3618">
        <v>5116885</v>
      </c>
      <c r="B3618" t="s">
        <v>25</v>
      </c>
      <c r="C3618" t="s">
        <v>20</v>
      </c>
      <c r="D3618" t="s">
        <v>20</v>
      </c>
      <c r="E3618">
        <v>0</v>
      </c>
      <c r="F3618">
        <v>180000</v>
      </c>
      <c r="G3618" t="s">
        <v>26</v>
      </c>
      <c r="H3618" t="s">
        <v>27</v>
      </c>
      <c r="I3618" t="s">
        <v>37</v>
      </c>
      <c r="J3618" t="s">
        <v>24</v>
      </c>
      <c r="K3618" s="6">
        <f t="shared" ca="1" si="232"/>
        <v>29695</v>
      </c>
      <c r="L3618">
        <v>-16066</v>
      </c>
      <c r="M3618" s="7">
        <f t="shared" ca="1" si="230"/>
        <v>43.986310746064341</v>
      </c>
      <c r="N3618" s="5" t="str">
        <f ca="1">VLOOKUP(Data!M3618,temp!$B$3:$C$9,2,1)</f>
        <v>40-50</v>
      </c>
      <c r="O3618">
        <v>-1434</v>
      </c>
      <c r="P3618" s="8">
        <f t="shared" si="231"/>
        <v>3.9260780287474333</v>
      </c>
      <c r="Q3618" s="5" t="str">
        <f t="shared" si="233"/>
        <v>Employed</v>
      </c>
      <c r="R3618">
        <v>1</v>
      </c>
      <c r="S3618">
        <v>0</v>
      </c>
      <c r="T3618">
        <v>0</v>
      </c>
      <c r="U3618">
        <v>0</v>
      </c>
      <c r="V3618" t="s">
        <v>29</v>
      </c>
      <c r="W3618">
        <v>2</v>
      </c>
    </row>
    <row r="3619" spans="1:23" x14ac:dyDescent="0.2">
      <c r="A3619">
        <v>5116912</v>
      </c>
      <c r="B3619" t="s">
        <v>25</v>
      </c>
      <c r="C3619" t="s">
        <v>19</v>
      </c>
      <c r="D3619" t="s">
        <v>20</v>
      </c>
      <c r="E3619">
        <v>0</v>
      </c>
      <c r="F3619">
        <v>270000</v>
      </c>
      <c r="G3619" t="s">
        <v>31</v>
      </c>
      <c r="H3619" t="s">
        <v>27</v>
      </c>
      <c r="I3619" t="s">
        <v>28</v>
      </c>
      <c r="J3619" t="s">
        <v>24</v>
      </c>
      <c r="K3619" s="6">
        <f t="shared" ca="1" si="232"/>
        <v>25973</v>
      </c>
      <c r="L3619">
        <v>-19788</v>
      </c>
      <c r="M3619" s="7">
        <f t="shared" ca="1" si="230"/>
        <v>54.176591375770023</v>
      </c>
      <c r="N3619" s="5" t="str">
        <f ca="1">VLOOKUP(Data!M3619,temp!$B$3:$C$9,2,1)</f>
        <v>50-60</v>
      </c>
      <c r="O3619">
        <v>-2286</v>
      </c>
      <c r="P3619" s="8">
        <f t="shared" si="231"/>
        <v>6.2587268993839835</v>
      </c>
      <c r="Q3619" s="5" t="str">
        <f t="shared" si="233"/>
        <v>Employed</v>
      </c>
      <c r="R3619">
        <v>1</v>
      </c>
      <c r="S3619">
        <v>0</v>
      </c>
      <c r="T3619">
        <v>0</v>
      </c>
      <c r="U3619">
        <v>0</v>
      </c>
      <c r="V3619" t="s">
        <v>30</v>
      </c>
      <c r="W3619">
        <v>2</v>
      </c>
    </row>
    <row r="3620" spans="1:23" x14ac:dyDescent="0.2">
      <c r="A3620">
        <v>5116914</v>
      </c>
      <c r="B3620" t="s">
        <v>18</v>
      </c>
      <c r="C3620" t="s">
        <v>19</v>
      </c>
      <c r="D3620" t="s">
        <v>20</v>
      </c>
      <c r="E3620">
        <v>0</v>
      </c>
      <c r="F3620">
        <v>76500</v>
      </c>
      <c r="G3620" t="s">
        <v>31</v>
      </c>
      <c r="H3620" t="s">
        <v>27</v>
      </c>
      <c r="I3620" t="s">
        <v>28</v>
      </c>
      <c r="J3620" t="s">
        <v>24</v>
      </c>
      <c r="K3620" s="6">
        <f t="shared" ca="1" si="232"/>
        <v>28189</v>
      </c>
      <c r="L3620">
        <v>-17572</v>
      </c>
      <c r="M3620" s="7">
        <f t="shared" ca="1" si="230"/>
        <v>48.109514031485283</v>
      </c>
      <c r="N3620" s="5" t="str">
        <f ca="1">VLOOKUP(Data!M3620,temp!$B$3:$C$9,2,1)</f>
        <v>40-50</v>
      </c>
      <c r="O3620">
        <v>-4601</v>
      </c>
      <c r="P3620" s="8">
        <f t="shared" si="231"/>
        <v>12.596851471594798</v>
      </c>
      <c r="Q3620" s="5" t="str">
        <f t="shared" si="233"/>
        <v>Employed</v>
      </c>
      <c r="R3620">
        <v>1</v>
      </c>
      <c r="S3620">
        <v>1</v>
      </c>
      <c r="T3620">
        <v>0</v>
      </c>
      <c r="U3620">
        <v>0</v>
      </c>
      <c r="V3620" t="s">
        <v>55</v>
      </c>
      <c r="W3620">
        <v>2</v>
      </c>
    </row>
    <row r="3621" spans="1:23" x14ac:dyDescent="0.2">
      <c r="A3621">
        <v>5116920</v>
      </c>
      <c r="B3621" t="s">
        <v>18</v>
      </c>
      <c r="C3621" t="s">
        <v>19</v>
      </c>
      <c r="D3621" t="s">
        <v>20</v>
      </c>
      <c r="E3621">
        <v>0</v>
      </c>
      <c r="F3621">
        <v>193500</v>
      </c>
      <c r="G3621" t="s">
        <v>31</v>
      </c>
      <c r="H3621" t="s">
        <v>27</v>
      </c>
      <c r="I3621" t="s">
        <v>33</v>
      </c>
      <c r="J3621" t="s">
        <v>24</v>
      </c>
      <c r="K3621" s="6">
        <f t="shared" ca="1" si="232"/>
        <v>27312</v>
      </c>
      <c r="L3621">
        <v>-18449</v>
      </c>
      <c r="M3621" s="7">
        <f t="shared" ca="1" si="230"/>
        <v>50.510609171800134</v>
      </c>
      <c r="N3621" s="5" t="str">
        <f ca="1">VLOOKUP(Data!M3621,temp!$B$3:$C$9,2,1)</f>
        <v>50-60</v>
      </c>
      <c r="O3621">
        <v>-9683</v>
      </c>
      <c r="P3621" s="8">
        <f t="shared" si="231"/>
        <v>26.510609171800137</v>
      </c>
      <c r="Q3621" s="5" t="str">
        <f t="shared" si="233"/>
        <v>Employed</v>
      </c>
      <c r="R3621">
        <v>1</v>
      </c>
      <c r="S3621">
        <v>0</v>
      </c>
      <c r="T3621">
        <v>0</v>
      </c>
      <c r="U3621">
        <v>0</v>
      </c>
      <c r="W3621">
        <v>1</v>
      </c>
    </row>
    <row r="3622" spans="1:23" x14ac:dyDescent="0.2">
      <c r="A3622">
        <v>5116926</v>
      </c>
      <c r="B3622" t="s">
        <v>25</v>
      </c>
      <c r="C3622" t="s">
        <v>20</v>
      </c>
      <c r="D3622" t="s">
        <v>20</v>
      </c>
      <c r="E3622">
        <v>0</v>
      </c>
      <c r="F3622">
        <v>270000</v>
      </c>
      <c r="G3622" t="s">
        <v>26</v>
      </c>
      <c r="H3622" t="s">
        <v>27</v>
      </c>
      <c r="I3622" t="s">
        <v>28</v>
      </c>
      <c r="J3622" t="s">
        <v>24</v>
      </c>
      <c r="K3622" s="6">
        <f t="shared" ca="1" si="232"/>
        <v>27914</v>
      </c>
      <c r="L3622">
        <v>-17847</v>
      </c>
      <c r="M3622" s="7">
        <f t="shared" ca="1" si="230"/>
        <v>48.862422997946609</v>
      </c>
      <c r="N3622" s="5" t="str">
        <f ca="1">VLOOKUP(Data!M3622,temp!$B$3:$C$9,2,1)</f>
        <v>40-50</v>
      </c>
      <c r="O3622">
        <v>-5331</v>
      </c>
      <c r="P3622" s="8">
        <f t="shared" si="231"/>
        <v>14.595482546201232</v>
      </c>
      <c r="Q3622" s="5" t="str">
        <f t="shared" si="233"/>
        <v>Employed</v>
      </c>
      <c r="R3622">
        <v>1</v>
      </c>
      <c r="S3622">
        <v>0</v>
      </c>
      <c r="T3622">
        <v>0</v>
      </c>
      <c r="U3622">
        <v>0</v>
      </c>
      <c r="V3622" t="s">
        <v>29</v>
      </c>
      <c r="W3622">
        <v>2</v>
      </c>
    </row>
    <row r="3623" spans="1:23" x14ac:dyDescent="0.2">
      <c r="A3623">
        <v>5116927</v>
      </c>
      <c r="B3623" t="s">
        <v>25</v>
      </c>
      <c r="C3623" t="s">
        <v>19</v>
      </c>
      <c r="D3623" t="s">
        <v>20</v>
      </c>
      <c r="E3623">
        <v>0</v>
      </c>
      <c r="F3623">
        <v>225000</v>
      </c>
      <c r="G3623" t="s">
        <v>31</v>
      </c>
      <c r="H3623" t="s">
        <v>22</v>
      </c>
      <c r="I3623" t="s">
        <v>28</v>
      </c>
      <c r="J3623" t="s">
        <v>24</v>
      </c>
      <c r="K3623" s="6">
        <f t="shared" ca="1" si="232"/>
        <v>28989</v>
      </c>
      <c r="L3623">
        <v>-16772</v>
      </c>
      <c r="M3623" s="7">
        <f t="shared" ca="1" si="230"/>
        <v>45.9192334017796</v>
      </c>
      <c r="N3623" s="5" t="str">
        <f ca="1">VLOOKUP(Data!M3623,temp!$B$3:$C$9,2,1)</f>
        <v>40-50</v>
      </c>
      <c r="O3623">
        <v>-279</v>
      </c>
      <c r="P3623" s="8">
        <f t="shared" si="231"/>
        <v>0.76386036960985626</v>
      </c>
      <c r="Q3623" s="5" t="str">
        <f t="shared" si="233"/>
        <v>Employed</v>
      </c>
      <c r="R3623">
        <v>1</v>
      </c>
      <c r="S3623">
        <v>0</v>
      </c>
      <c r="T3623">
        <v>0</v>
      </c>
      <c r="U3623">
        <v>0</v>
      </c>
      <c r="V3623" t="s">
        <v>47</v>
      </c>
      <c r="W3623">
        <v>2</v>
      </c>
    </row>
    <row r="3624" spans="1:23" x14ac:dyDescent="0.2">
      <c r="A3624">
        <v>5116928</v>
      </c>
      <c r="B3624" t="s">
        <v>25</v>
      </c>
      <c r="C3624" t="s">
        <v>19</v>
      </c>
      <c r="D3624" t="s">
        <v>20</v>
      </c>
      <c r="E3624">
        <v>0</v>
      </c>
      <c r="F3624">
        <v>225000</v>
      </c>
      <c r="G3624" t="s">
        <v>31</v>
      </c>
      <c r="H3624" t="s">
        <v>22</v>
      </c>
      <c r="I3624" t="s">
        <v>28</v>
      </c>
      <c r="J3624" t="s">
        <v>24</v>
      </c>
      <c r="K3624" s="6">
        <f t="shared" ca="1" si="232"/>
        <v>28989</v>
      </c>
      <c r="L3624">
        <v>-16772</v>
      </c>
      <c r="M3624" s="7">
        <f t="shared" ca="1" si="230"/>
        <v>45.9192334017796</v>
      </c>
      <c r="N3624" s="5" t="str">
        <f ca="1">VLOOKUP(Data!M3624,temp!$B$3:$C$9,2,1)</f>
        <v>40-50</v>
      </c>
      <c r="O3624">
        <v>-279</v>
      </c>
      <c r="P3624" s="8">
        <f t="shared" si="231"/>
        <v>0.76386036960985626</v>
      </c>
      <c r="Q3624" s="5" t="str">
        <f t="shared" si="233"/>
        <v>Employed</v>
      </c>
      <c r="R3624">
        <v>1</v>
      </c>
      <c r="S3624">
        <v>0</v>
      </c>
      <c r="T3624">
        <v>0</v>
      </c>
      <c r="U3624">
        <v>0</v>
      </c>
      <c r="V3624" t="s">
        <v>47</v>
      </c>
      <c r="W3624">
        <v>2</v>
      </c>
    </row>
    <row r="3625" spans="1:23" x14ac:dyDescent="0.2">
      <c r="A3625">
        <v>5116937</v>
      </c>
      <c r="B3625" t="s">
        <v>25</v>
      </c>
      <c r="C3625" t="s">
        <v>19</v>
      </c>
      <c r="D3625" t="s">
        <v>20</v>
      </c>
      <c r="E3625">
        <v>0</v>
      </c>
      <c r="F3625">
        <v>67500</v>
      </c>
      <c r="G3625" t="s">
        <v>21</v>
      </c>
      <c r="H3625" t="s">
        <v>27</v>
      </c>
      <c r="I3625" t="s">
        <v>28</v>
      </c>
      <c r="J3625" t="s">
        <v>24</v>
      </c>
      <c r="K3625" s="6">
        <f t="shared" ca="1" si="232"/>
        <v>21721</v>
      </c>
      <c r="L3625">
        <v>-24040</v>
      </c>
      <c r="M3625" s="7">
        <f t="shared" ca="1" si="230"/>
        <v>65.817932922655714</v>
      </c>
      <c r="N3625" s="5" t="str">
        <f ca="1">VLOOKUP(Data!M3625,temp!$B$3:$C$9,2,1)</f>
        <v>60-70</v>
      </c>
      <c r="O3625">
        <v>365243</v>
      </c>
      <c r="P3625" s="8">
        <f t="shared" si="231"/>
        <v>0</v>
      </c>
      <c r="Q3625" s="5" t="str">
        <f t="shared" si="233"/>
        <v>Unemployed</v>
      </c>
      <c r="R3625">
        <v>1</v>
      </c>
      <c r="S3625">
        <v>0</v>
      </c>
      <c r="T3625">
        <v>0</v>
      </c>
      <c r="U3625">
        <v>0</v>
      </c>
      <c r="W3625">
        <v>2</v>
      </c>
    </row>
    <row r="3626" spans="1:23" x14ac:dyDescent="0.2">
      <c r="A3626">
        <v>5116983</v>
      </c>
      <c r="B3626" t="s">
        <v>18</v>
      </c>
      <c r="C3626" t="s">
        <v>19</v>
      </c>
      <c r="D3626" t="s">
        <v>20</v>
      </c>
      <c r="E3626">
        <v>0</v>
      </c>
      <c r="F3626">
        <v>112500</v>
      </c>
      <c r="G3626" t="s">
        <v>35</v>
      </c>
      <c r="H3626" t="s">
        <v>27</v>
      </c>
      <c r="I3626" t="s">
        <v>42</v>
      </c>
      <c r="J3626" t="s">
        <v>24</v>
      </c>
      <c r="K3626" s="6">
        <f t="shared" ca="1" si="232"/>
        <v>25686</v>
      </c>
      <c r="L3626">
        <v>-20075</v>
      </c>
      <c r="M3626" s="7">
        <f t="shared" ca="1" si="230"/>
        <v>54.962354551676931</v>
      </c>
      <c r="N3626" s="5" t="str">
        <f ca="1">VLOOKUP(Data!M3626,temp!$B$3:$C$9,2,1)</f>
        <v>50-60</v>
      </c>
      <c r="O3626">
        <v>-672</v>
      </c>
      <c r="P3626" s="8">
        <f t="shared" si="231"/>
        <v>1.839835728952772</v>
      </c>
      <c r="Q3626" s="5" t="str">
        <f t="shared" si="233"/>
        <v>Employed</v>
      </c>
      <c r="R3626">
        <v>1</v>
      </c>
      <c r="S3626">
        <v>0</v>
      </c>
      <c r="T3626">
        <v>0</v>
      </c>
      <c r="U3626">
        <v>0</v>
      </c>
      <c r="V3626" t="s">
        <v>50</v>
      </c>
      <c r="W3626">
        <v>1</v>
      </c>
    </row>
    <row r="3627" spans="1:23" x14ac:dyDescent="0.2">
      <c r="A3627">
        <v>5117004</v>
      </c>
      <c r="B3627" t="s">
        <v>18</v>
      </c>
      <c r="C3627" t="s">
        <v>19</v>
      </c>
      <c r="D3627" t="s">
        <v>20</v>
      </c>
      <c r="E3627">
        <v>0</v>
      </c>
      <c r="F3627">
        <v>121500</v>
      </c>
      <c r="G3627" t="s">
        <v>31</v>
      </c>
      <c r="H3627" t="s">
        <v>27</v>
      </c>
      <c r="I3627" t="s">
        <v>42</v>
      </c>
      <c r="J3627" t="s">
        <v>24</v>
      </c>
      <c r="K3627" s="6">
        <f t="shared" ca="1" si="232"/>
        <v>25818</v>
      </c>
      <c r="L3627">
        <v>-19943</v>
      </c>
      <c r="M3627" s="7">
        <f t="shared" ca="1" si="230"/>
        <v>54.600958247775495</v>
      </c>
      <c r="N3627" s="5" t="str">
        <f ca="1">VLOOKUP(Data!M3627,temp!$B$3:$C$9,2,1)</f>
        <v>50-60</v>
      </c>
      <c r="O3627">
        <v>-12148</v>
      </c>
      <c r="P3627" s="8">
        <f t="shared" si="231"/>
        <v>33.259411362080769</v>
      </c>
      <c r="Q3627" s="5" t="str">
        <f t="shared" si="233"/>
        <v>Employed</v>
      </c>
      <c r="R3627">
        <v>1</v>
      </c>
      <c r="S3627">
        <v>0</v>
      </c>
      <c r="T3627">
        <v>0</v>
      </c>
      <c r="U3627">
        <v>0</v>
      </c>
      <c r="V3627" t="s">
        <v>29</v>
      </c>
      <c r="W3627">
        <v>1</v>
      </c>
    </row>
    <row r="3628" spans="1:23" x14ac:dyDescent="0.2">
      <c r="A3628">
        <v>5117014</v>
      </c>
      <c r="B3628" t="s">
        <v>18</v>
      </c>
      <c r="C3628" t="s">
        <v>19</v>
      </c>
      <c r="D3628" t="s">
        <v>19</v>
      </c>
      <c r="E3628">
        <v>1</v>
      </c>
      <c r="F3628">
        <v>225000</v>
      </c>
      <c r="G3628" t="s">
        <v>26</v>
      </c>
      <c r="H3628" t="s">
        <v>27</v>
      </c>
      <c r="I3628" t="s">
        <v>37</v>
      </c>
      <c r="J3628" t="s">
        <v>24</v>
      </c>
      <c r="K3628" s="6">
        <f t="shared" ca="1" si="232"/>
        <v>33121</v>
      </c>
      <c r="L3628">
        <v>-12640</v>
      </c>
      <c r="M3628" s="7">
        <f t="shared" ca="1" si="230"/>
        <v>34.606433949349757</v>
      </c>
      <c r="N3628" s="5" t="str">
        <f ca="1">VLOOKUP(Data!M3628,temp!$B$3:$C$9,2,1)</f>
        <v>30-40</v>
      </c>
      <c r="O3628">
        <v>-399</v>
      </c>
      <c r="P3628" s="8">
        <f t="shared" si="231"/>
        <v>1.0924024640657084</v>
      </c>
      <c r="Q3628" s="5" t="str">
        <f t="shared" si="233"/>
        <v>Employed</v>
      </c>
      <c r="R3628">
        <v>1</v>
      </c>
      <c r="S3628">
        <v>0</v>
      </c>
      <c r="T3628">
        <v>0</v>
      </c>
      <c r="U3628">
        <v>0</v>
      </c>
      <c r="V3628" t="s">
        <v>44</v>
      </c>
      <c r="W3628">
        <v>3</v>
      </c>
    </row>
    <row r="3629" spans="1:23" x14ac:dyDescent="0.2">
      <c r="A3629">
        <v>5117020</v>
      </c>
      <c r="B3629" t="s">
        <v>18</v>
      </c>
      <c r="C3629" t="s">
        <v>19</v>
      </c>
      <c r="D3629" t="s">
        <v>19</v>
      </c>
      <c r="E3629">
        <v>0</v>
      </c>
      <c r="F3629">
        <v>135000</v>
      </c>
      <c r="G3629" t="s">
        <v>31</v>
      </c>
      <c r="H3629" t="s">
        <v>27</v>
      </c>
      <c r="I3629" t="s">
        <v>28</v>
      </c>
      <c r="J3629" t="s">
        <v>41</v>
      </c>
      <c r="K3629" s="6">
        <f t="shared" ca="1" si="232"/>
        <v>33412</v>
      </c>
      <c r="L3629">
        <v>-12349</v>
      </c>
      <c r="M3629" s="7">
        <f t="shared" ca="1" si="230"/>
        <v>33.809719370294317</v>
      </c>
      <c r="N3629" s="5" t="str">
        <f ca="1">VLOOKUP(Data!M3629,temp!$B$3:$C$9,2,1)</f>
        <v>30-40</v>
      </c>
      <c r="O3629">
        <v>-1799</v>
      </c>
      <c r="P3629" s="8">
        <f t="shared" si="231"/>
        <v>4.9253935660506505</v>
      </c>
      <c r="Q3629" s="5" t="str">
        <f t="shared" si="233"/>
        <v>Employed</v>
      </c>
      <c r="R3629">
        <v>1</v>
      </c>
      <c r="S3629">
        <v>0</v>
      </c>
      <c r="T3629">
        <v>0</v>
      </c>
      <c r="U3629">
        <v>0</v>
      </c>
      <c r="V3629" t="s">
        <v>29</v>
      </c>
      <c r="W3629">
        <v>2</v>
      </c>
    </row>
    <row r="3630" spans="1:23" x14ac:dyDescent="0.2">
      <c r="A3630">
        <v>5117032</v>
      </c>
      <c r="B3630" t="s">
        <v>25</v>
      </c>
      <c r="C3630" t="s">
        <v>20</v>
      </c>
      <c r="D3630" t="s">
        <v>19</v>
      </c>
      <c r="E3630">
        <v>0</v>
      </c>
      <c r="F3630">
        <v>90000</v>
      </c>
      <c r="G3630" t="s">
        <v>31</v>
      </c>
      <c r="H3630" t="s">
        <v>27</v>
      </c>
      <c r="I3630" t="s">
        <v>33</v>
      </c>
      <c r="J3630" t="s">
        <v>24</v>
      </c>
      <c r="K3630" s="6">
        <f t="shared" ca="1" si="232"/>
        <v>35173</v>
      </c>
      <c r="L3630">
        <v>-10588</v>
      </c>
      <c r="M3630" s="7">
        <f t="shared" ca="1" si="230"/>
        <v>28.98836413415469</v>
      </c>
      <c r="N3630" s="5" t="str">
        <f ca="1">VLOOKUP(Data!M3630,temp!$B$3:$C$9,2,1)</f>
        <v>20-30</v>
      </c>
      <c r="O3630">
        <v>-1375</v>
      </c>
      <c r="P3630" s="8">
        <f t="shared" si="231"/>
        <v>3.7645448323066395</v>
      </c>
      <c r="Q3630" s="5" t="str">
        <f t="shared" si="233"/>
        <v>Employed</v>
      </c>
      <c r="R3630">
        <v>1</v>
      </c>
      <c r="S3630">
        <v>1</v>
      </c>
      <c r="T3630">
        <v>1</v>
      </c>
      <c r="U3630">
        <v>0</v>
      </c>
      <c r="V3630" t="s">
        <v>40</v>
      </c>
      <c r="W3630">
        <v>1</v>
      </c>
    </row>
    <row r="3631" spans="1:23" x14ac:dyDescent="0.2">
      <c r="A3631">
        <v>5117070</v>
      </c>
      <c r="B3631" t="s">
        <v>18</v>
      </c>
      <c r="C3631" t="s">
        <v>19</v>
      </c>
      <c r="D3631" t="s">
        <v>19</v>
      </c>
      <c r="E3631">
        <v>2</v>
      </c>
      <c r="F3631">
        <v>315000</v>
      </c>
      <c r="G3631" t="s">
        <v>35</v>
      </c>
      <c r="H3631" t="s">
        <v>22</v>
      </c>
      <c r="I3631" t="s">
        <v>28</v>
      </c>
      <c r="J3631" t="s">
        <v>24</v>
      </c>
      <c r="K3631" s="6">
        <f t="shared" ca="1" si="232"/>
        <v>32913</v>
      </c>
      <c r="L3631">
        <v>-12848</v>
      </c>
      <c r="M3631" s="7">
        <f t="shared" ca="1" si="230"/>
        <v>35.175906913073234</v>
      </c>
      <c r="N3631" s="5" t="str">
        <f ca="1">VLOOKUP(Data!M3631,temp!$B$3:$C$9,2,1)</f>
        <v>30-40</v>
      </c>
      <c r="O3631">
        <v>-3839</v>
      </c>
      <c r="P3631" s="8">
        <f t="shared" si="231"/>
        <v>10.510609171800137</v>
      </c>
      <c r="Q3631" s="5" t="str">
        <f t="shared" si="233"/>
        <v>Employed</v>
      </c>
      <c r="R3631">
        <v>1</v>
      </c>
      <c r="S3631">
        <v>0</v>
      </c>
      <c r="T3631">
        <v>0</v>
      </c>
      <c r="U3631">
        <v>1</v>
      </c>
      <c r="V3631" t="s">
        <v>38</v>
      </c>
      <c r="W3631">
        <v>4</v>
      </c>
    </row>
    <row r="3632" spans="1:23" x14ac:dyDescent="0.2">
      <c r="A3632">
        <v>5117078</v>
      </c>
      <c r="B3632" t="s">
        <v>18</v>
      </c>
      <c r="C3632" t="s">
        <v>19</v>
      </c>
      <c r="D3632" t="s">
        <v>19</v>
      </c>
      <c r="E3632">
        <v>0</v>
      </c>
      <c r="F3632">
        <v>180000</v>
      </c>
      <c r="G3632" t="s">
        <v>31</v>
      </c>
      <c r="H3632" t="s">
        <v>22</v>
      </c>
      <c r="I3632" t="s">
        <v>28</v>
      </c>
      <c r="J3632" t="s">
        <v>24</v>
      </c>
      <c r="K3632" s="6">
        <f t="shared" ca="1" si="232"/>
        <v>35813</v>
      </c>
      <c r="L3632">
        <v>-9948</v>
      </c>
      <c r="M3632" s="7">
        <f t="shared" ca="1" si="230"/>
        <v>27.236139630390145</v>
      </c>
      <c r="N3632" s="5" t="str">
        <f ca="1">VLOOKUP(Data!M3632,temp!$B$3:$C$9,2,1)</f>
        <v>20-30</v>
      </c>
      <c r="O3632">
        <v>-704</v>
      </c>
      <c r="P3632" s="8">
        <f t="shared" si="231"/>
        <v>1.9274469541409993</v>
      </c>
      <c r="Q3632" s="5" t="str">
        <f t="shared" si="233"/>
        <v>Employed</v>
      </c>
      <c r="R3632">
        <v>1</v>
      </c>
      <c r="S3632">
        <v>0</v>
      </c>
      <c r="T3632">
        <v>0</v>
      </c>
      <c r="U3632">
        <v>0</v>
      </c>
      <c r="V3632" t="s">
        <v>44</v>
      </c>
      <c r="W3632">
        <v>2</v>
      </c>
    </row>
    <row r="3633" spans="1:23" x14ac:dyDescent="0.2">
      <c r="A3633">
        <v>5117093</v>
      </c>
      <c r="B3633" t="s">
        <v>25</v>
      </c>
      <c r="C3633" t="s">
        <v>20</v>
      </c>
      <c r="D3633" t="s">
        <v>20</v>
      </c>
      <c r="E3633">
        <v>0</v>
      </c>
      <c r="F3633">
        <v>360000</v>
      </c>
      <c r="G3633" t="s">
        <v>21</v>
      </c>
      <c r="H3633" t="s">
        <v>27</v>
      </c>
      <c r="I3633" t="s">
        <v>28</v>
      </c>
      <c r="J3633" t="s">
        <v>24</v>
      </c>
      <c r="K3633" s="6">
        <f t="shared" ca="1" si="232"/>
        <v>31751</v>
      </c>
      <c r="L3633">
        <v>-14010</v>
      </c>
      <c r="M3633" s="7">
        <f t="shared" ca="1" si="230"/>
        <v>38.357289527720738</v>
      </c>
      <c r="N3633" s="5" t="str">
        <f ca="1">VLOOKUP(Data!M3633,temp!$B$3:$C$9,2,1)</f>
        <v>30-40</v>
      </c>
      <c r="O3633">
        <v>365243</v>
      </c>
      <c r="P3633" s="8">
        <f t="shared" si="231"/>
        <v>0</v>
      </c>
      <c r="Q3633" s="5" t="str">
        <f t="shared" si="233"/>
        <v>Unemployed</v>
      </c>
      <c r="R3633">
        <v>1</v>
      </c>
      <c r="S3633">
        <v>0</v>
      </c>
      <c r="T3633">
        <v>0</v>
      </c>
      <c r="U3633">
        <v>0</v>
      </c>
      <c r="W3633">
        <v>2</v>
      </c>
    </row>
    <row r="3634" spans="1:23" x14ac:dyDescent="0.2">
      <c r="A3634">
        <v>5117105</v>
      </c>
      <c r="B3634" t="s">
        <v>18</v>
      </c>
      <c r="C3634" t="s">
        <v>19</v>
      </c>
      <c r="D3634" t="s">
        <v>20</v>
      </c>
      <c r="E3634">
        <v>0</v>
      </c>
      <c r="F3634">
        <v>126000</v>
      </c>
      <c r="G3634" t="s">
        <v>21</v>
      </c>
      <c r="H3634" t="s">
        <v>27</v>
      </c>
      <c r="I3634" t="s">
        <v>28</v>
      </c>
      <c r="J3634" t="s">
        <v>24</v>
      </c>
      <c r="K3634" s="6">
        <f t="shared" ca="1" si="232"/>
        <v>21847</v>
      </c>
      <c r="L3634">
        <v>-23914</v>
      </c>
      <c r="M3634" s="7">
        <f t="shared" ca="1" si="230"/>
        <v>65.472963723477065</v>
      </c>
      <c r="N3634" s="5" t="str">
        <f ca="1">VLOOKUP(Data!M3634,temp!$B$3:$C$9,2,1)</f>
        <v>60-70</v>
      </c>
      <c r="O3634">
        <v>365243</v>
      </c>
      <c r="P3634" s="8">
        <f t="shared" si="231"/>
        <v>0</v>
      </c>
      <c r="Q3634" s="5" t="str">
        <f t="shared" si="233"/>
        <v>Unemployed</v>
      </c>
      <c r="R3634">
        <v>1</v>
      </c>
      <c r="S3634">
        <v>0</v>
      </c>
      <c r="T3634">
        <v>0</v>
      </c>
      <c r="U3634">
        <v>0</v>
      </c>
      <c r="W3634">
        <v>2</v>
      </c>
    </row>
    <row r="3635" spans="1:23" x14ac:dyDescent="0.2">
      <c r="A3635">
        <v>5117113</v>
      </c>
      <c r="B3635" t="s">
        <v>25</v>
      </c>
      <c r="C3635" t="s">
        <v>20</v>
      </c>
      <c r="D3635" t="s">
        <v>20</v>
      </c>
      <c r="E3635">
        <v>1</v>
      </c>
      <c r="F3635">
        <v>427500</v>
      </c>
      <c r="G3635" t="s">
        <v>31</v>
      </c>
      <c r="H3635" t="s">
        <v>27</v>
      </c>
      <c r="I3635" t="s">
        <v>37</v>
      </c>
      <c r="J3635" t="s">
        <v>24</v>
      </c>
      <c r="K3635" s="6">
        <f t="shared" ca="1" si="232"/>
        <v>29973</v>
      </c>
      <c r="L3635">
        <v>-15788</v>
      </c>
      <c r="M3635" s="7">
        <f t="shared" ca="1" si="230"/>
        <v>43.225188227241617</v>
      </c>
      <c r="N3635" s="5" t="str">
        <f ca="1">VLOOKUP(Data!M3635,temp!$B$3:$C$9,2,1)</f>
        <v>40-50</v>
      </c>
      <c r="O3635">
        <v>-430</v>
      </c>
      <c r="P3635" s="8">
        <f t="shared" si="231"/>
        <v>1.1772758384668036</v>
      </c>
      <c r="Q3635" s="5" t="str">
        <f t="shared" si="233"/>
        <v>Employed</v>
      </c>
      <c r="R3635">
        <v>1</v>
      </c>
      <c r="S3635">
        <v>0</v>
      </c>
      <c r="T3635">
        <v>0</v>
      </c>
      <c r="U3635">
        <v>0</v>
      </c>
      <c r="W3635">
        <v>3</v>
      </c>
    </row>
    <row r="3636" spans="1:23" x14ac:dyDescent="0.2">
      <c r="A3636">
        <v>5117117</v>
      </c>
      <c r="B3636" t="s">
        <v>25</v>
      </c>
      <c r="C3636" t="s">
        <v>20</v>
      </c>
      <c r="D3636" t="s">
        <v>20</v>
      </c>
      <c r="E3636">
        <v>1</v>
      </c>
      <c r="F3636">
        <v>427500</v>
      </c>
      <c r="G3636" t="s">
        <v>31</v>
      </c>
      <c r="H3636" t="s">
        <v>27</v>
      </c>
      <c r="I3636" t="s">
        <v>37</v>
      </c>
      <c r="J3636" t="s">
        <v>24</v>
      </c>
      <c r="K3636" s="6">
        <f t="shared" ca="1" si="232"/>
        <v>29973</v>
      </c>
      <c r="L3636">
        <v>-15788</v>
      </c>
      <c r="M3636" s="7">
        <f t="shared" ca="1" si="230"/>
        <v>43.225188227241617</v>
      </c>
      <c r="N3636" s="5" t="str">
        <f ca="1">VLOOKUP(Data!M3636,temp!$B$3:$C$9,2,1)</f>
        <v>40-50</v>
      </c>
      <c r="O3636">
        <v>-430</v>
      </c>
      <c r="P3636" s="8">
        <f t="shared" si="231"/>
        <v>1.1772758384668036</v>
      </c>
      <c r="Q3636" s="5" t="str">
        <f t="shared" si="233"/>
        <v>Employed</v>
      </c>
      <c r="R3636">
        <v>1</v>
      </c>
      <c r="S3636">
        <v>0</v>
      </c>
      <c r="T3636">
        <v>0</v>
      </c>
      <c r="U3636">
        <v>0</v>
      </c>
      <c r="W3636">
        <v>3</v>
      </c>
    </row>
    <row r="3637" spans="1:23" x14ac:dyDescent="0.2">
      <c r="A3637">
        <v>5117125</v>
      </c>
      <c r="B3637" t="s">
        <v>18</v>
      </c>
      <c r="C3637" t="s">
        <v>20</v>
      </c>
      <c r="D3637" t="s">
        <v>20</v>
      </c>
      <c r="E3637">
        <v>2</v>
      </c>
      <c r="F3637">
        <v>202500</v>
      </c>
      <c r="G3637" t="s">
        <v>31</v>
      </c>
      <c r="H3637" t="s">
        <v>27</v>
      </c>
      <c r="I3637" t="s">
        <v>28</v>
      </c>
      <c r="J3637" t="s">
        <v>24</v>
      </c>
      <c r="K3637" s="6">
        <f t="shared" ca="1" si="232"/>
        <v>32620</v>
      </c>
      <c r="L3637">
        <v>-13141</v>
      </c>
      <c r="M3637" s="7">
        <f t="shared" ca="1" si="230"/>
        <v>35.978097193702943</v>
      </c>
      <c r="N3637" s="5" t="str">
        <f ca="1">VLOOKUP(Data!M3637,temp!$B$3:$C$9,2,1)</f>
        <v>30-40</v>
      </c>
      <c r="O3637">
        <v>-1222</v>
      </c>
      <c r="P3637" s="8">
        <f t="shared" si="231"/>
        <v>3.3456536618754278</v>
      </c>
      <c r="Q3637" s="5" t="str">
        <f t="shared" si="233"/>
        <v>Employed</v>
      </c>
      <c r="R3637">
        <v>1</v>
      </c>
      <c r="S3637">
        <v>0</v>
      </c>
      <c r="T3637">
        <v>0</v>
      </c>
      <c r="U3637">
        <v>0</v>
      </c>
      <c r="V3637" t="s">
        <v>50</v>
      </c>
      <c r="W3637">
        <v>4</v>
      </c>
    </row>
    <row r="3638" spans="1:23" x14ac:dyDescent="0.2">
      <c r="A3638">
        <v>5117141</v>
      </c>
      <c r="B3638" t="s">
        <v>18</v>
      </c>
      <c r="C3638" t="s">
        <v>19</v>
      </c>
      <c r="D3638" t="s">
        <v>20</v>
      </c>
      <c r="E3638">
        <v>4</v>
      </c>
      <c r="F3638">
        <v>261000</v>
      </c>
      <c r="G3638" t="s">
        <v>31</v>
      </c>
      <c r="H3638" t="s">
        <v>27</v>
      </c>
      <c r="I3638" t="s">
        <v>28</v>
      </c>
      <c r="J3638" t="s">
        <v>24</v>
      </c>
      <c r="K3638" s="6">
        <f t="shared" ca="1" si="232"/>
        <v>33286</v>
      </c>
      <c r="L3638">
        <v>-12475</v>
      </c>
      <c r="M3638" s="7">
        <f t="shared" ca="1" si="230"/>
        <v>34.154688569472967</v>
      </c>
      <c r="N3638" s="5" t="str">
        <f ca="1">VLOOKUP(Data!M3638,temp!$B$3:$C$9,2,1)</f>
        <v>30-40</v>
      </c>
      <c r="O3638">
        <v>-1588</v>
      </c>
      <c r="P3638" s="8">
        <f t="shared" si="231"/>
        <v>4.3477070499657771</v>
      </c>
      <c r="Q3638" s="5" t="str">
        <f t="shared" si="233"/>
        <v>Employed</v>
      </c>
      <c r="R3638">
        <v>1</v>
      </c>
      <c r="S3638">
        <v>0</v>
      </c>
      <c r="T3638">
        <v>0</v>
      </c>
      <c r="U3638">
        <v>0</v>
      </c>
      <c r="V3638" t="s">
        <v>47</v>
      </c>
      <c r="W3638">
        <v>6</v>
      </c>
    </row>
    <row r="3639" spans="1:23" x14ac:dyDescent="0.2">
      <c r="A3639">
        <v>5117144</v>
      </c>
      <c r="B3639" t="s">
        <v>25</v>
      </c>
      <c r="C3639" t="s">
        <v>20</v>
      </c>
      <c r="D3639" t="s">
        <v>19</v>
      </c>
      <c r="E3639">
        <v>0</v>
      </c>
      <c r="F3639">
        <v>360000</v>
      </c>
      <c r="G3639" t="s">
        <v>26</v>
      </c>
      <c r="H3639" t="s">
        <v>27</v>
      </c>
      <c r="I3639" t="s">
        <v>33</v>
      </c>
      <c r="J3639" t="s">
        <v>24</v>
      </c>
      <c r="K3639" s="6">
        <f t="shared" ca="1" si="232"/>
        <v>29491</v>
      </c>
      <c r="L3639">
        <v>-16270</v>
      </c>
      <c r="M3639" s="7">
        <f t="shared" ca="1" si="230"/>
        <v>44.544832306639286</v>
      </c>
      <c r="N3639" s="5" t="str">
        <f ca="1">VLOOKUP(Data!M3639,temp!$B$3:$C$9,2,1)</f>
        <v>40-50</v>
      </c>
      <c r="O3639">
        <v>-460</v>
      </c>
      <c r="P3639" s="8">
        <f t="shared" si="231"/>
        <v>1.2594113620807665</v>
      </c>
      <c r="Q3639" s="5" t="str">
        <f t="shared" si="233"/>
        <v>Employed</v>
      </c>
      <c r="R3639">
        <v>1</v>
      </c>
      <c r="S3639">
        <v>0</v>
      </c>
      <c r="T3639">
        <v>1</v>
      </c>
      <c r="U3639">
        <v>0</v>
      </c>
      <c r="V3639" t="s">
        <v>30</v>
      </c>
      <c r="W3639">
        <v>1</v>
      </c>
    </row>
    <row r="3640" spans="1:23" x14ac:dyDescent="0.2">
      <c r="A3640">
        <v>5117148</v>
      </c>
      <c r="B3640" t="s">
        <v>25</v>
      </c>
      <c r="C3640" t="s">
        <v>20</v>
      </c>
      <c r="D3640" t="s">
        <v>19</v>
      </c>
      <c r="E3640">
        <v>0</v>
      </c>
      <c r="F3640">
        <v>360000</v>
      </c>
      <c r="G3640" t="s">
        <v>26</v>
      </c>
      <c r="H3640" t="s">
        <v>27</v>
      </c>
      <c r="I3640" t="s">
        <v>33</v>
      </c>
      <c r="J3640" t="s">
        <v>24</v>
      </c>
      <c r="K3640" s="6">
        <f t="shared" ca="1" si="232"/>
        <v>29491</v>
      </c>
      <c r="L3640">
        <v>-16270</v>
      </c>
      <c r="M3640" s="7">
        <f t="shared" ca="1" si="230"/>
        <v>44.544832306639286</v>
      </c>
      <c r="N3640" s="5" t="str">
        <f ca="1">VLOOKUP(Data!M3640,temp!$B$3:$C$9,2,1)</f>
        <v>40-50</v>
      </c>
      <c r="O3640">
        <v>-460</v>
      </c>
      <c r="P3640" s="8">
        <f t="shared" si="231"/>
        <v>1.2594113620807665</v>
      </c>
      <c r="Q3640" s="5" t="str">
        <f t="shared" si="233"/>
        <v>Employed</v>
      </c>
      <c r="R3640">
        <v>1</v>
      </c>
      <c r="S3640">
        <v>0</v>
      </c>
      <c r="T3640">
        <v>1</v>
      </c>
      <c r="U3640">
        <v>0</v>
      </c>
      <c r="V3640" t="s">
        <v>30</v>
      </c>
      <c r="W3640">
        <v>1</v>
      </c>
    </row>
    <row r="3641" spans="1:23" x14ac:dyDescent="0.2">
      <c r="A3641">
        <v>5117176</v>
      </c>
      <c r="B3641" t="s">
        <v>18</v>
      </c>
      <c r="C3641" t="s">
        <v>19</v>
      </c>
      <c r="D3641" t="s">
        <v>20</v>
      </c>
      <c r="E3641">
        <v>0</v>
      </c>
      <c r="F3641">
        <v>252000</v>
      </c>
      <c r="G3641" t="s">
        <v>21</v>
      </c>
      <c r="H3641" t="s">
        <v>22</v>
      </c>
      <c r="I3641" t="s">
        <v>28</v>
      </c>
      <c r="J3641" t="s">
        <v>24</v>
      </c>
      <c r="K3641" s="6">
        <f t="shared" ca="1" si="232"/>
        <v>22708</v>
      </c>
      <c r="L3641">
        <v>-23053</v>
      </c>
      <c r="M3641" s="7">
        <f t="shared" ca="1" si="230"/>
        <v>63.115674195756334</v>
      </c>
      <c r="N3641" s="5" t="str">
        <f ca="1">VLOOKUP(Data!M3641,temp!$B$3:$C$9,2,1)</f>
        <v>60-70</v>
      </c>
      <c r="O3641">
        <v>365243</v>
      </c>
      <c r="P3641" s="8">
        <f t="shared" si="231"/>
        <v>0</v>
      </c>
      <c r="Q3641" s="5" t="str">
        <f t="shared" si="233"/>
        <v>Unemployed</v>
      </c>
      <c r="R3641">
        <v>1</v>
      </c>
      <c r="S3641">
        <v>0</v>
      </c>
      <c r="T3641">
        <v>0</v>
      </c>
      <c r="U3641">
        <v>0</v>
      </c>
      <c r="W3641">
        <v>2</v>
      </c>
    </row>
    <row r="3642" spans="1:23" x14ac:dyDescent="0.2">
      <c r="A3642">
        <v>5117179</v>
      </c>
      <c r="B3642" t="s">
        <v>25</v>
      </c>
      <c r="C3642" t="s">
        <v>19</v>
      </c>
      <c r="D3642" t="s">
        <v>20</v>
      </c>
      <c r="E3642">
        <v>0</v>
      </c>
      <c r="F3642">
        <v>135000</v>
      </c>
      <c r="G3642" t="s">
        <v>31</v>
      </c>
      <c r="H3642" t="s">
        <v>22</v>
      </c>
      <c r="I3642" t="s">
        <v>28</v>
      </c>
      <c r="J3642" t="s">
        <v>24</v>
      </c>
      <c r="K3642" s="6">
        <f t="shared" ca="1" si="232"/>
        <v>25981</v>
      </c>
      <c r="L3642">
        <v>-19780</v>
      </c>
      <c r="M3642" s="7">
        <f t="shared" ca="1" si="230"/>
        <v>54.154688569472967</v>
      </c>
      <c r="N3642" s="5" t="str">
        <f ca="1">VLOOKUP(Data!M3642,temp!$B$3:$C$9,2,1)</f>
        <v>50-60</v>
      </c>
      <c r="O3642">
        <v>-7097</v>
      </c>
      <c r="P3642" s="8">
        <f t="shared" si="231"/>
        <v>19.430527036276523</v>
      </c>
      <c r="Q3642" s="5" t="str">
        <f t="shared" si="233"/>
        <v>Employed</v>
      </c>
      <c r="R3642">
        <v>1</v>
      </c>
      <c r="S3642">
        <v>0</v>
      </c>
      <c r="T3642">
        <v>0</v>
      </c>
      <c r="U3642">
        <v>0</v>
      </c>
      <c r="V3642" t="s">
        <v>29</v>
      </c>
      <c r="W3642">
        <v>2</v>
      </c>
    </row>
    <row r="3643" spans="1:23" x14ac:dyDescent="0.2">
      <c r="A3643">
        <v>5117191</v>
      </c>
      <c r="B3643" t="s">
        <v>18</v>
      </c>
      <c r="C3643" t="s">
        <v>19</v>
      </c>
      <c r="D3643" t="s">
        <v>20</v>
      </c>
      <c r="E3643">
        <v>3</v>
      </c>
      <c r="F3643">
        <v>207000</v>
      </c>
      <c r="G3643" t="s">
        <v>26</v>
      </c>
      <c r="H3643" t="s">
        <v>27</v>
      </c>
      <c r="I3643" t="s">
        <v>42</v>
      </c>
      <c r="J3643" t="s">
        <v>24</v>
      </c>
      <c r="K3643" s="6">
        <f t="shared" ca="1" si="232"/>
        <v>30494</v>
      </c>
      <c r="L3643">
        <v>-15267</v>
      </c>
      <c r="M3643" s="7">
        <f t="shared" ca="1" si="230"/>
        <v>41.798767967145793</v>
      </c>
      <c r="N3643" s="5" t="str">
        <f ca="1">VLOOKUP(Data!M3643,temp!$B$3:$C$9,2,1)</f>
        <v>40-50</v>
      </c>
      <c r="O3643">
        <v>-461</v>
      </c>
      <c r="P3643" s="8">
        <f t="shared" si="231"/>
        <v>1.2621492128678986</v>
      </c>
      <c r="Q3643" s="5" t="str">
        <f t="shared" si="233"/>
        <v>Employed</v>
      </c>
      <c r="R3643">
        <v>1</v>
      </c>
      <c r="S3643">
        <v>1</v>
      </c>
      <c r="T3643">
        <v>1</v>
      </c>
      <c r="U3643">
        <v>0</v>
      </c>
      <c r="W3643">
        <v>4</v>
      </c>
    </row>
    <row r="3644" spans="1:23" x14ac:dyDescent="0.2">
      <c r="A3644">
        <v>5117236</v>
      </c>
      <c r="B3644" t="s">
        <v>25</v>
      </c>
      <c r="C3644" t="s">
        <v>19</v>
      </c>
      <c r="D3644" t="s">
        <v>20</v>
      </c>
      <c r="E3644">
        <v>0</v>
      </c>
      <c r="F3644">
        <v>364500</v>
      </c>
      <c r="G3644" t="s">
        <v>31</v>
      </c>
      <c r="H3644" t="s">
        <v>27</v>
      </c>
      <c r="I3644" t="s">
        <v>28</v>
      </c>
      <c r="J3644" t="s">
        <v>24</v>
      </c>
      <c r="K3644" s="6">
        <f t="shared" ca="1" si="232"/>
        <v>37410</v>
      </c>
      <c r="L3644">
        <v>-8351</v>
      </c>
      <c r="M3644" s="7">
        <f t="shared" ca="1" si="230"/>
        <v>22.863791923340177</v>
      </c>
      <c r="N3644" s="5" t="str">
        <f ca="1">VLOOKUP(Data!M3644,temp!$B$3:$C$9,2,1)</f>
        <v>20-30</v>
      </c>
      <c r="O3644">
        <v>-672</v>
      </c>
      <c r="P3644" s="8">
        <f t="shared" si="231"/>
        <v>1.839835728952772</v>
      </c>
      <c r="Q3644" s="5" t="str">
        <f t="shared" si="233"/>
        <v>Employed</v>
      </c>
      <c r="R3644">
        <v>1</v>
      </c>
      <c r="S3644">
        <v>0</v>
      </c>
      <c r="T3644">
        <v>0</v>
      </c>
      <c r="U3644">
        <v>0</v>
      </c>
      <c r="V3644" t="s">
        <v>29</v>
      </c>
      <c r="W3644">
        <v>2</v>
      </c>
    </row>
    <row r="3645" spans="1:23" x14ac:dyDescent="0.2">
      <c r="A3645">
        <v>5117245</v>
      </c>
      <c r="B3645" t="s">
        <v>18</v>
      </c>
      <c r="C3645" t="s">
        <v>19</v>
      </c>
      <c r="D3645" t="s">
        <v>20</v>
      </c>
      <c r="E3645">
        <v>2</v>
      </c>
      <c r="F3645">
        <v>112500</v>
      </c>
      <c r="G3645" t="s">
        <v>31</v>
      </c>
      <c r="H3645" t="s">
        <v>27</v>
      </c>
      <c r="I3645" t="s">
        <v>28</v>
      </c>
      <c r="J3645" t="s">
        <v>24</v>
      </c>
      <c r="K3645" s="6">
        <f t="shared" ca="1" si="232"/>
        <v>32787</v>
      </c>
      <c r="L3645">
        <v>-12974</v>
      </c>
      <c r="M3645" s="7">
        <f t="shared" ca="1" si="230"/>
        <v>35.520876112251884</v>
      </c>
      <c r="N3645" s="5" t="str">
        <f ca="1">VLOOKUP(Data!M3645,temp!$B$3:$C$9,2,1)</f>
        <v>30-40</v>
      </c>
      <c r="O3645">
        <v>-2379</v>
      </c>
      <c r="P3645" s="8">
        <f t="shared" si="231"/>
        <v>6.5133470225872694</v>
      </c>
      <c r="Q3645" s="5" t="str">
        <f t="shared" si="233"/>
        <v>Employed</v>
      </c>
      <c r="R3645">
        <v>1</v>
      </c>
      <c r="S3645">
        <v>0</v>
      </c>
      <c r="T3645">
        <v>0</v>
      </c>
      <c r="U3645">
        <v>0</v>
      </c>
      <c r="V3645" t="s">
        <v>29</v>
      </c>
      <c r="W3645">
        <v>4</v>
      </c>
    </row>
    <row r="3646" spans="1:23" x14ac:dyDescent="0.2">
      <c r="A3646">
        <v>5117247</v>
      </c>
      <c r="B3646" t="s">
        <v>18</v>
      </c>
      <c r="C3646" t="s">
        <v>19</v>
      </c>
      <c r="D3646" t="s">
        <v>20</v>
      </c>
      <c r="E3646">
        <v>2</v>
      </c>
      <c r="F3646">
        <v>112500</v>
      </c>
      <c r="G3646" t="s">
        <v>31</v>
      </c>
      <c r="H3646" t="s">
        <v>27</v>
      </c>
      <c r="I3646" t="s">
        <v>28</v>
      </c>
      <c r="J3646" t="s">
        <v>24</v>
      </c>
      <c r="K3646" s="6">
        <f t="shared" ca="1" si="232"/>
        <v>32787</v>
      </c>
      <c r="L3646">
        <v>-12974</v>
      </c>
      <c r="M3646" s="7">
        <f t="shared" ca="1" si="230"/>
        <v>35.520876112251884</v>
      </c>
      <c r="N3646" s="5" t="str">
        <f ca="1">VLOOKUP(Data!M3646,temp!$B$3:$C$9,2,1)</f>
        <v>30-40</v>
      </c>
      <c r="O3646">
        <v>-2379</v>
      </c>
      <c r="P3646" s="8">
        <f t="shared" si="231"/>
        <v>6.5133470225872694</v>
      </c>
      <c r="Q3646" s="5" t="str">
        <f t="shared" si="233"/>
        <v>Employed</v>
      </c>
      <c r="R3646">
        <v>1</v>
      </c>
      <c r="S3646">
        <v>0</v>
      </c>
      <c r="T3646">
        <v>0</v>
      </c>
      <c r="U3646">
        <v>0</v>
      </c>
      <c r="V3646" t="s">
        <v>29</v>
      </c>
      <c r="W3646">
        <v>4</v>
      </c>
    </row>
    <row r="3647" spans="1:23" x14ac:dyDescent="0.2">
      <c r="A3647">
        <v>5117257</v>
      </c>
      <c r="B3647" t="s">
        <v>18</v>
      </c>
      <c r="C3647" t="s">
        <v>20</v>
      </c>
      <c r="D3647" t="s">
        <v>20</v>
      </c>
      <c r="E3647">
        <v>0</v>
      </c>
      <c r="F3647">
        <v>207000</v>
      </c>
      <c r="G3647" t="s">
        <v>35</v>
      </c>
      <c r="H3647" t="s">
        <v>22</v>
      </c>
      <c r="I3647" t="s">
        <v>28</v>
      </c>
      <c r="J3647" t="s">
        <v>24</v>
      </c>
      <c r="K3647" s="6">
        <f t="shared" ca="1" si="232"/>
        <v>23363</v>
      </c>
      <c r="L3647">
        <v>-22398</v>
      </c>
      <c r="M3647" s="7">
        <f t="shared" ca="1" si="230"/>
        <v>61.322381930184804</v>
      </c>
      <c r="N3647" s="5" t="str">
        <f ca="1">VLOOKUP(Data!M3647,temp!$B$3:$C$9,2,1)</f>
        <v>60-70</v>
      </c>
      <c r="O3647">
        <v>-3506</v>
      </c>
      <c r="P3647" s="8">
        <f t="shared" si="231"/>
        <v>9.5989048596851472</v>
      </c>
      <c r="Q3647" s="5" t="str">
        <f t="shared" si="233"/>
        <v>Employed</v>
      </c>
      <c r="R3647">
        <v>1</v>
      </c>
      <c r="S3647">
        <v>0</v>
      </c>
      <c r="T3647">
        <v>0</v>
      </c>
      <c r="U3647">
        <v>0</v>
      </c>
      <c r="V3647" t="s">
        <v>50</v>
      </c>
      <c r="W3647">
        <v>2</v>
      </c>
    </row>
    <row r="3648" spans="1:23" x14ac:dyDescent="0.2">
      <c r="A3648">
        <v>5117259</v>
      </c>
      <c r="B3648" t="s">
        <v>18</v>
      </c>
      <c r="C3648" t="s">
        <v>19</v>
      </c>
      <c r="D3648" t="s">
        <v>20</v>
      </c>
      <c r="E3648">
        <v>0</v>
      </c>
      <c r="F3648">
        <v>112500</v>
      </c>
      <c r="G3648" t="s">
        <v>21</v>
      </c>
      <c r="H3648" t="s">
        <v>27</v>
      </c>
      <c r="I3648" t="s">
        <v>28</v>
      </c>
      <c r="J3648" t="s">
        <v>24</v>
      </c>
      <c r="K3648" s="6">
        <f t="shared" ca="1" si="232"/>
        <v>23400</v>
      </c>
      <c r="L3648">
        <v>-22361</v>
      </c>
      <c r="M3648" s="7">
        <f t="shared" ca="1" si="230"/>
        <v>61.221081451060918</v>
      </c>
      <c r="N3648" s="5" t="str">
        <f ca="1">VLOOKUP(Data!M3648,temp!$B$3:$C$9,2,1)</f>
        <v>60-70</v>
      </c>
      <c r="O3648">
        <v>365243</v>
      </c>
      <c r="P3648" s="8">
        <f t="shared" si="231"/>
        <v>0</v>
      </c>
      <c r="Q3648" s="5" t="str">
        <f t="shared" si="233"/>
        <v>Unemployed</v>
      </c>
      <c r="R3648">
        <v>1</v>
      </c>
      <c r="S3648">
        <v>0</v>
      </c>
      <c r="T3648">
        <v>0</v>
      </c>
      <c r="U3648">
        <v>0</v>
      </c>
      <c r="W3648">
        <v>2</v>
      </c>
    </row>
    <row r="3649" spans="1:23" x14ac:dyDescent="0.2">
      <c r="A3649">
        <v>5117261</v>
      </c>
      <c r="B3649" t="s">
        <v>18</v>
      </c>
      <c r="C3649" t="s">
        <v>19</v>
      </c>
      <c r="D3649" t="s">
        <v>20</v>
      </c>
      <c r="E3649">
        <v>0</v>
      </c>
      <c r="F3649">
        <v>112500</v>
      </c>
      <c r="G3649" t="s">
        <v>21</v>
      </c>
      <c r="H3649" t="s">
        <v>27</v>
      </c>
      <c r="I3649" t="s">
        <v>28</v>
      </c>
      <c r="J3649" t="s">
        <v>24</v>
      </c>
      <c r="K3649" s="6">
        <f t="shared" ca="1" si="232"/>
        <v>23400</v>
      </c>
      <c r="L3649">
        <v>-22361</v>
      </c>
      <c r="M3649" s="7">
        <f t="shared" ca="1" si="230"/>
        <v>61.221081451060918</v>
      </c>
      <c r="N3649" s="5" t="str">
        <f ca="1">VLOOKUP(Data!M3649,temp!$B$3:$C$9,2,1)</f>
        <v>60-70</v>
      </c>
      <c r="O3649">
        <v>365243</v>
      </c>
      <c r="P3649" s="8">
        <f t="shared" si="231"/>
        <v>0</v>
      </c>
      <c r="Q3649" s="5" t="str">
        <f t="shared" si="233"/>
        <v>Unemployed</v>
      </c>
      <c r="R3649">
        <v>1</v>
      </c>
      <c r="S3649">
        <v>0</v>
      </c>
      <c r="T3649">
        <v>0</v>
      </c>
      <c r="U3649">
        <v>0</v>
      </c>
      <c r="W3649">
        <v>2</v>
      </c>
    </row>
    <row r="3650" spans="1:23" x14ac:dyDescent="0.2">
      <c r="A3650">
        <v>5117266</v>
      </c>
      <c r="B3650" t="s">
        <v>25</v>
      </c>
      <c r="C3650" t="s">
        <v>19</v>
      </c>
      <c r="D3650" t="s">
        <v>20</v>
      </c>
      <c r="E3650">
        <v>0</v>
      </c>
      <c r="F3650">
        <v>225000</v>
      </c>
      <c r="G3650" t="s">
        <v>31</v>
      </c>
      <c r="H3650" t="s">
        <v>27</v>
      </c>
      <c r="I3650" t="s">
        <v>33</v>
      </c>
      <c r="J3650" t="s">
        <v>24</v>
      </c>
      <c r="K3650" s="6">
        <f t="shared" ca="1" si="232"/>
        <v>29265</v>
      </c>
      <c r="L3650">
        <v>-16496</v>
      </c>
      <c r="M3650" s="7">
        <f t="shared" ca="1" si="230"/>
        <v>45.163586584531146</v>
      </c>
      <c r="N3650" s="5" t="str">
        <f ca="1">VLOOKUP(Data!M3650,temp!$B$3:$C$9,2,1)</f>
        <v>40-50</v>
      </c>
      <c r="O3650">
        <v>-338</v>
      </c>
      <c r="P3650" s="8">
        <f t="shared" si="231"/>
        <v>0.92539356605065026</v>
      </c>
      <c r="Q3650" s="5" t="str">
        <f t="shared" si="233"/>
        <v>Employed</v>
      </c>
      <c r="R3650">
        <v>1</v>
      </c>
      <c r="S3650">
        <v>0</v>
      </c>
      <c r="T3650">
        <v>0</v>
      </c>
      <c r="U3650">
        <v>0</v>
      </c>
      <c r="V3650" t="s">
        <v>50</v>
      </c>
      <c r="W3650">
        <v>1</v>
      </c>
    </row>
    <row r="3651" spans="1:23" x14ac:dyDescent="0.2">
      <c r="A3651">
        <v>5117287</v>
      </c>
      <c r="B3651" t="s">
        <v>25</v>
      </c>
      <c r="C3651" t="s">
        <v>20</v>
      </c>
      <c r="D3651" t="s">
        <v>20</v>
      </c>
      <c r="E3651">
        <v>1</v>
      </c>
      <c r="F3651">
        <v>180000</v>
      </c>
      <c r="G3651" t="s">
        <v>31</v>
      </c>
      <c r="H3651" t="s">
        <v>22</v>
      </c>
      <c r="I3651" t="s">
        <v>28</v>
      </c>
      <c r="J3651" t="s">
        <v>24</v>
      </c>
      <c r="K3651" s="6">
        <f t="shared" ca="1" si="232"/>
        <v>31679</v>
      </c>
      <c r="L3651">
        <v>-14082</v>
      </c>
      <c r="M3651" s="7">
        <f t="shared" ref="M3651:M3714" ca="1" si="234">(TODAY()-K3651)/365.25</f>
        <v>38.554414784394254</v>
      </c>
      <c r="N3651" s="5" t="str">
        <f ca="1">VLOOKUP(Data!M3651,temp!$B$3:$C$9,2,1)</f>
        <v>30-40</v>
      </c>
      <c r="O3651">
        <v>-1800</v>
      </c>
      <c r="P3651" s="8">
        <f t="shared" ref="P3651:P3714" si="235">IF(O3651&lt;=0,ABS(O3651)/365.25,0)</f>
        <v>4.9281314168377826</v>
      </c>
      <c r="Q3651" s="5" t="str">
        <f t="shared" si="233"/>
        <v>Employed</v>
      </c>
      <c r="R3651">
        <v>1</v>
      </c>
      <c r="S3651">
        <v>0</v>
      </c>
      <c r="T3651">
        <v>0</v>
      </c>
      <c r="U3651">
        <v>0</v>
      </c>
      <c r="V3651" t="s">
        <v>32</v>
      </c>
      <c r="W3651">
        <v>3</v>
      </c>
    </row>
    <row r="3652" spans="1:23" x14ac:dyDescent="0.2">
      <c r="A3652">
        <v>5117313</v>
      </c>
      <c r="B3652" t="s">
        <v>18</v>
      </c>
      <c r="C3652" t="s">
        <v>19</v>
      </c>
      <c r="D3652" t="s">
        <v>20</v>
      </c>
      <c r="E3652">
        <v>1</v>
      </c>
      <c r="F3652">
        <v>157500</v>
      </c>
      <c r="G3652" t="s">
        <v>26</v>
      </c>
      <c r="H3652" t="s">
        <v>27</v>
      </c>
      <c r="I3652" t="s">
        <v>28</v>
      </c>
      <c r="J3652" t="s">
        <v>24</v>
      </c>
      <c r="K3652" s="6">
        <f t="shared" ca="1" si="232"/>
        <v>32739</v>
      </c>
      <c r="L3652">
        <v>-13022</v>
      </c>
      <c r="M3652" s="7">
        <f t="shared" ca="1" si="234"/>
        <v>35.652292950034223</v>
      </c>
      <c r="N3652" s="5" t="str">
        <f ca="1">VLOOKUP(Data!M3652,temp!$B$3:$C$9,2,1)</f>
        <v>30-40</v>
      </c>
      <c r="O3652">
        <v>-3931</v>
      </c>
      <c r="P3652" s="8">
        <f t="shared" si="235"/>
        <v>10.762491444216289</v>
      </c>
      <c r="Q3652" s="5" t="str">
        <f t="shared" si="233"/>
        <v>Employed</v>
      </c>
      <c r="R3652">
        <v>1</v>
      </c>
      <c r="S3652">
        <v>1</v>
      </c>
      <c r="T3652">
        <v>1</v>
      </c>
      <c r="U3652">
        <v>0</v>
      </c>
      <c r="V3652" t="s">
        <v>29</v>
      </c>
      <c r="W3652">
        <v>3</v>
      </c>
    </row>
    <row r="3653" spans="1:23" x14ac:dyDescent="0.2">
      <c r="A3653">
        <v>5117321</v>
      </c>
      <c r="B3653" t="s">
        <v>25</v>
      </c>
      <c r="C3653" t="s">
        <v>20</v>
      </c>
      <c r="D3653" t="s">
        <v>20</v>
      </c>
      <c r="E3653">
        <v>1</v>
      </c>
      <c r="F3653">
        <v>315000</v>
      </c>
      <c r="G3653" t="s">
        <v>26</v>
      </c>
      <c r="H3653" t="s">
        <v>22</v>
      </c>
      <c r="I3653" t="s">
        <v>28</v>
      </c>
      <c r="J3653" t="s">
        <v>24</v>
      </c>
      <c r="K3653" s="6">
        <f t="shared" ca="1" si="232"/>
        <v>28391</v>
      </c>
      <c r="L3653">
        <v>-17370</v>
      </c>
      <c r="M3653" s="7">
        <f t="shared" ca="1" si="234"/>
        <v>47.5564681724846</v>
      </c>
      <c r="N3653" s="5" t="str">
        <f ca="1">VLOOKUP(Data!M3653,temp!$B$3:$C$9,2,1)</f>
        <v>40-50</v>
      </c>
      <c r="O3653">
        <v>-492</v>
      </c>
      <c r="P3653" s="8">
        <f t="shared" si="235"/>
        <v>1.3470225872689938</v>
      </c>
      <c r="Q3653" s="5" t="str">
        <f t="shared" si="233"/>
        <v>Employed</v>
      </c>
      <c r="R3653">
        <v>1</v>
      </c>
      <c r="S3653">
        <v>0</v>
      </c>
      <c r="T3653">
        <v>0</v>
      </c>
      <c r="U3653">
        <v>0</v>
      </c>
      <c r="V3653" t="s">
        <v>47</v>
      </c>
      <c r="W3653">
        <v>3</v>
      </c>
    </row>
    <row r="3654" spans="1:23" x14ac:dyDescent="0.2">
      <c r="A3654">
        <v>5117322</v>
      </c>
      <c r="B3654" t="s">
        <v>25</v>
      </c>
      <c r="C3654" t="s">
        <v>20</v>
      </c>
      <c r="D3654" t="s">
        <v>20</v>
      </c>
      <c r="E3654">
        <v>1</v>
      </c>
      <c r="F3654">
        <v>315000</v>
      </c>
      <c r="G3654" t="s">
        <v>26</v>
      </c>
      <c r="H3654" t="s">
        <v>22</v>
      </c>
      <c r="I3654" t="s">
        <v>28</v>
      </c>
      <c r="J3654" t="s">
        <v>24</v>
      </c>
      <c r="K3654" s="6">
        <f t="shared" ca="1" si="232"/>
        <v>28391</v>
      </c>
      <c r="L3654">
        <v>-17370</v>
      </c>
      <c r="M3654" s="7">
        <f t="shared" ca="1" si="234"/>
        <v>47.5564681724846</v>
      </c>
      <c r="N3654" s="5" t="str">
        <f ca="1">VLOOKUP(Data!M3654,temp!$B$3:$C$9,2,1)</f>
        <v>40-50</v>
      </c>
      <c r="O3654">
        <v>-492</v>
      </c>
      <c r="P3654" s="8">
        <f t="shared" si="235"/>
        <v>1.3470225872689938</v>
      </c>
      <c r="Q3654" s="5" t="str">
        <f t="shared" si="233"/>
        <v>Employed</v>
      </c>
      <c r="R3654">
        <v>1</v>
      </c>
      <c r="S3654">
        <v>0</v>
      </c>
      <c r="T3654">
        <v>0</v>
      </c>
      <c r="U3654">
        <v>0</v>
      </c>
      <c r="V3654" t="s">
        <v>47</v>
      </c>
      <c r="W3654">
        <v>3</v>
      </c>
    </row>
    <row r="3655" spans="1:23" x14ac:dyDescent="0.2">
      <c r="A3655">
        <v>5117331</v>
      </c>
      <c r="B3655" t="s">
        <v>18</v>
      </c>
      <c r="C3655" t="s">
        <v>20</v>
      </c>
      <c r="D3655" t="s">
        <v>20</v>
      </c>
      <c r="E3655">
        <v>0</v>
      </c>
      <c r="F3655">
        <v>270000</v>
      </c>
      <c r="G3655" t="s">
        <v>26</v>
      </c>
      <c r="H3655" t="s">
        <v>27</v>
      </c>
      <c r="I3655" t="s">
        <v>23</v>
      </c>
      <c r="J3655" t="s">
        <v>24</v>
      </c>
      <c r="K3655" s="6">
        <f t="shared" ca="1" si="232"/>
        <v>30734</v>
      </c>
      <c r="L3655">
        <v>-15027</v>
      </c>
      <c r="M3655" s="7">
        <f t="shared" ca="1" si="234"/>
        <v>41.141683778234089</v>
      </c>
      <c r="N3655" s="5" t="str">
        <f ca="1">VLOOKUP(Data!M3655,temp!$B$3:$C$9,2,1)</f>
        <v>40-50</v>
      </c>
      <c r="O3655">
        <v>-2257</v>
      </c>
      <c r="P3655" s="8">
        <f t="shared" si="235"/>
        <v>6.1793292265571527</v>
      </c>
      <c r="Q3655" s="5" t="str">
        <f t="shared" si="233"/>
        <v>Employed</v>
      </c>
      <c r="R3655">
        <v>1</v>
      </c>
      <c r="S3655">
        <v>0</v>
      </c>
      <c r="T3655">
        <v>1</v>
      </c>
      <c r="U3655">
        <v>0</v>
      </c>
      <c r="V3655" t="s">
        <v>39</v>
      </c>
      <c r="W3655">
        <v>1</v>
      </c>
    </row>
    <row r="3656" spans="1:23" x14ac:dyDescent="0.2">
      <c r="A3656">
        <v>5117345</v>
      </c>
      <c r="B3656" t="s">
        <v>18</v>
      </c>
      <c r="C3656" t="s">
        <v>19</v>
      </c>
      <c r="D3656" t="s">
        <v>19</v>
      </c>
      <c r="E3656">
        <v>0</v>
      </c>
      <c r="F3656">
        <v>135000</v>
      </c>
      <c r="G3656" t="s">
        <v>21</v>
      </c>
      <c r="H3656" t="s">
        <v>27</v>
      </c>
      <c r="I3656" t="s">
        <v>42</v>
      </c>
      <c r="J3656" t="s">
        <v>45</v>
      </c>
      <c r="K3656" s="6">
        <f t="shared" ref="K3656:K3719" ca="1" si="236">TODAY()+($L3656)</f>
        <v>22934</v>
      </c>
      <c r="L3656">
        <v>-22827</v>
      </c>
      <c r="M3656" s="7">
        <f t="shared" ca="1" si="234"/>
        <v>62.496919917864474</v>
      </c>
      <c r="N3656" s="5" t="str">
        <f ca="1">VLOOKUP(Data!M3656,temp!$B$3:$C$9,2,1)</f>
        <v>60-70</v>
      </c>
      <c r="O3656">
        <v>365243</v>
      </c>
      <c r="P3656" s="8">
        <f t="shared" si="235"/>
        <v>0</v>
      </c>
      <c r="Q3656" s="5" t="str">
        <f t="shared" ref="Q3656:Q3719" si="237">IF($O3656&gt;0,"Unemployed","Employed")</f>
        <v>Unemployed</v>
      </c>
      <c r="R3656">
        <v>1</v>
      </c>
      <c r="S3656">
        <v>0</v>
      </c>
      <c r="T3656">
        <v>0</v>
      </c>
      <c r="U3656">
        <v>0</v>
      </c>
      <c r="W3656">
        <v>1</v>
      </c>
    </row>
    <row r="3657" spans="1:23" x14ac:dyDescent="0.2">
      <c r="A3657">
        <v>5117357</v>
      </c>
      <c r="B3657" t="s">
        <v>18</v>
      </c>
      <c r="C3657" t="s">
        <v>19</v>
      </c>
      <c r="D3657" t="s">
        <v>20</v>
      </c>
      <c r="E3657">
        <v>3</v>
      </c>
      <c r="F3657">
        <v>135000</v>
      </c>
      <c r="G3657" t="s">
        <v>26</v>
      </c>
      <c r="H3657" t="s">
        <v>27</v>
      </c>
      <c r="I3657" t="s">
        <v>28</v>
      </c>
      <c r="J3657" t="s">
        <v>24</v>
      </c>
      <c r="K3657" s="6">
        <f t="shared" ca="1" si="236"/>
        <v>33567</v>
      </c>
      <c r="L3657">
        <v>-12194</v>
      </c>
      <c r="M3657" s="7">
        <f t="shared" ca="1" si="234"/>
        <v>33.385352498288846</v>
      </c>
      <c r="N3657" s="5" t="str">
        <f ca="1">VLOOKUP(Data!M3657,temp!$B$3:$C$9,2,1)</f>
        <v>30-40</v>
      </c>
      <c r="O3657">
        <v>-2287</v>
      </c>
      <c r="P3657" s="8">
        <f t="shared" si="235"/>
        <v>6.2614647501711156</v>
      </c>
      <c r="Q3657" s="5" t="str">
        <f t="shared" si="237"/>
        <v>Employed</v>
      </c>
      <c r="R3657">
        <v>1</v>
      </c>
      <c r="S3657">
        <v>0</v>
      </c>
      <c r="T3657">
        <v>0</v>
      </c>
      <c r="U3657">
        <v>0</v>
      </c>
      <c r="V3657" t="s">
        <v>39</v>
      </c>
      <c r="W3657">
        <v>5</v>
      </c>
    </row>
    <row r="3658" spans="1:23" x14ac:dyDescent="0.2">
      <c r="A3658">
        <v>5117366</v>
      </c>
      <c r="B3658" t="s">
        <v>25</v>
      </c>
      <c r="C3658" t="s">
        <v>20</v>
      </c>
      <c r="D3658" t="s">
        <v>20</v>
      </c>
      <c r="E3658">
        <v>1</v>
      </c>
      <c r="F3658">
        <v>180000</v>
      </c>
      <c r="G3658" t="s">
        <v>31</v>
      </c>
      <c r="H3658" t="s">
        <v>22</v>
      </c>
      <c r="I3658" t="s">
        <v>28</v>
      </c>
      <c r="J3658" t="s">
        <v>41</v>
      </c>
      <c r="K3658" s="6">
        <f t="shared" ca="1" si="236"/>
        <v>33844</v>
      </c>
      <c r="L3658">
        <v>-11917</v>
      </c>
      <c r="M3658" s="7">
        <f t="shared" ca="1" si="234"/>
        <v>32.62696783025325</v>
      </c>
      <c r="N3658" s="5" t="str">
        <f ca="1">VLOOKUP(Data!M3658,temp!$B$3:$C$9,2,1)</f>
        <v>30-40</v>
      </c>
      <c r="O3658">
        <v>-1680</v>
      </c>
      <c r="P3658" s="8">
        <f t="shared" si="235"/>
        <v>4.59958932238193</v>
      </c>
      <c r="Q3658" s="5" t="str">
        <f t="shared" si="237"/>
        <v>Employed</v>
      </c>
      <c r="R3658">
        <v>1</v>
      </c>
      <c r="S3658">
        <v>1</v>
      </c>
      <c r="T3658">
        <v>0</v>
      </c>
      <c r="U3658">
        <v>0</v>
      </c>
      <c r="V3658" t="s">
        <v>29</v>
      </c>
      <c r="W3658">
        <v>3</v>
      </c>
    </row>
    <row r="3659" spans="1:23" x14ac:dyDescent="0.2">
      <c r="A3659">
        <v>5117391</v>
      </c>
      <c r="B3659" t="s">
        <v>18</v>
      </c>
      <c r="C3659" t="s">
        <v>19</v>
      </c>
      <c r="D3659" t="s">
        <v>19</v>
      </c>
      <c r="E3659">
        <v>0</v>
      </c>
      <c r="F3659">
        <v>135000</v>
      </c>
      <c r="G3659" t="s">
        <v>26</v>
      </c>
      <c r="H3659" t="s">
        <v>36</v>
      </c>
      <c r="I3659" t="s">
        <v>33</v>
      </c>
      <c r="J3659" t="s">
        <v>24</v>
      </c>
      <c r="K3659" s="6">
        <f t="shared" ca="1" si="236"/>
        <v>28146</v>
      </c>
      <c r="L3659">
        <v>-17615</v>
      </c>
      <c r="M3659" s="7">
        <f t="shared" ca="1" si="234"/>
        <v>48.227241615331963</v>
      </c>
      <c r="N3659" s="5" t="str">
        <f ca="1">VLOOKUP(Data!M3659,temp!$B$3:$C$9,2,1)</f>
        <v>40-50</v>
      </c>
      <c r="O3659">
        <v>-339</v>
      </c>
      <c r="P3659" s="8">
        <f t="shared" si="235"/>
        <v>0.92813141683778233</v>
      </c>
      <c r="Q3659" s="5" t="str">
        <f t="shared" si="237"/>
        <v>Employed</v>
      </c>
      <c r="R3659">
        <v>1</v>
      </c>
      <c r="S3659">
        <v>0</v>
      </c>
      <c r="T3659">
        <v>0</v>
      </c>
      <c r="U3659">
        <v>0</v>
      </c>
      <c r="V3659" t="s">
        <v>44</v>
      </c>
      <c r="W3659">
        <v>1</v>
      </c>
    </row>
    <row r="3660" spans="1:23" x14ac:dyDescent="0.2">
      <c r="A3660">
        <v>5117392</v>
      </c>
      <c r="B3660" t="s">
        <v>18</v>
      </c>
      <c r="C3660" t="s">
        <v>19</v>
      </c>
      <c r="D3660" t="s">
        <v>19</v>
      </c>
      <c r="E3660">
        <v>0</v>
      </c>
      <c r="F3660">
        <v>135000</v>
      </c>
      <c r="G3660" t="s">
        <v>26</v>
      </c>
      <c r="H3660" t="s">
        <v>36</v>
      </c>
      <c r="I3660" t="s">
        <v>33</v>
      </c>
      <c r="J3660" t="s">
        <v>24</v>
      </c>
      <c r="K3660" s="6">
        <f t="shared" ca="1" si="236"/>
        <v>28146</v>
      </c>
      <c r="L3660">
        <v>-17615</v>
      </c>
      <c r="M3660" s="7">
        <f t="shared" ca="1" si="234"/>
        <v>48.227241615331963</v>
      </c>
      <c r="N3660" s="5" t="str">
        <f ca="1">VLOOKUP(Data!M3660,temp!$B$3:$C$9,2,1)</f>
        <v>40-50</v>
      </c>
      <c r="O3660">
        <v>-339</v>
      </c>
      <c r="P3660" s="8">
        <f t="shared" si="235"/>
        <v>0.92813141683778233</v>
      </c>
      <c r="Q3660" s="5" t="str">
        <f t="shared" si="237"/>
        <v>Employed</v>
      </c>
      <c r="R3660">
        <v>1</v>
      </c>
      <c r="S3660">
        <v>0</v>
      </c>
      <c r="T3660">
        <v>0</v>
      </c>
      <c r="U3660">
        <v>0</v>
      </c>
      <c r="V3660" t="s">
        <v>44</v>
      </c>
      <c r="W3660">
        <v>1</v>
      </c>
    </row>
    <row r="3661" spans="1:23" x14ac:dyDescent="0.2">
      <c r="A3661">
        <v>5117401</v>
      </c>
      <c r="B3661" t="s">
        <v>25</v>
      </c>
      <c r="C3661" t="s">
        <v>19</v>
      </c>
      <c r="D3661" t="s">
        <v>19</v>
      </c>
      <c r="E3661">
        <v>0</v>
      </c>
      <c r="F3661">
        <v>180000</v>
      </c>
      <c r="G3661" t="s">
        <v>26</v>
      </c>
      <c r="H3661" t="s">
        <v>27</v>
      </c>
      <c r="I3661" t="s">
        <v>33</v>
      </c>
      <c r="J3661" t="s">
        <v>24</v>
      </c>
      <c r="K3661" s="6">
        <f t="shared" ca="1" si="236"/>
        <v>36182</v>
      </c>
      <c r="L3661">
        <v>-9579</v>
      </c>
      <c r="M3661" s="7">
        <f t="shared" ca="1" si="234"/>
        <v>26.225872689938399</v>
      </c>
      <c r="N3661" s="5" t="str">
        <f ca="1">VLOOKUP(Data!M3661,temp!$B$3:$C$9,2,1)</f>
        <v>20-30</v>
      </c>
      <c r="O3661">
        <v>-1953</v>
      </c>
      <c r="P3661" s="8">
        <f t="shared" si="235"/>
        <v>5.3470225872689943</v>
      </c>
      <c r="Q3661" s="5" t="str">
        <f t="shared" si="237"/>
        <v>Employed</v>
      </c>
      <c r="R3661">
        <v>1</v>
      </c>
      <c r="S3661">
        <v>0</v>
      </c>
      <c r="T3661">
        <v>0</v>
      </c>
      <c r="U3661">
        <v>0</v>
      </c>
      <c r="V3661" t="s">
        <v>29</v>
      </c>
      <c r="W3661">
        <v>1</v>
      </c>
    </row>
    <row r="3662" spans="1:23" x14ac:dyDescent="0.2">
      <c r="A3662">
        <v>5117406</v>
      </c>
      <c r="B3662" t="s">
        <v>18</v>
      </c>
      <c r="C3662" t="s">
        <v>19</v>
      </c>
      <c r="D3662" t="s">
        <v>19</v>
      </c>
      <c r="E3662">
        <v>0</v>
      </c>
      <c r="F3662">
        <v>94500</v>
      </c>
      <c r="G3662" t="s">
        <v>31</v>
      </c>
      <c r="H3662" t="s">
        <v>27</v>
      </c>
      <c r="I3662" t="s">
        <v>28</v>
      </c>
      <c r="J3662" t="s">
        <v>24</v>
      </c>
      <c r="K3662" s="6">
        <f t="shared" ca="1" si="236"/>
        <v>29003</v>
      </c>
      <c r="L3662">
        <v>-16758</v>
      </c>
      <c r="M3662" s="7">
        <f t="shared" ca="1" si="234"/>
        <v>45.880903490759756</v>
      </c>
      <c r="N3662" s="5" t="str">
        <f ca="1">VLOOKUP(Data!M3662,temp!$B$3:$C$9,2,1)</f>
        <v>40-50</v>
      </c>
      <c r="O3662">
        <v>-1619</v>
      </c>
      <c r="P3662" s="8">
        <f t="shared" si="235"/>
        <v>4.4325804243668721</v>
      </c>
      <c r="Q3662" s="5" t="str">
        <f t="shared" si="237"/>
        <v>Employed</v>
      </c>
      <c r="R3662">
        <v>1</v>
      </c>
      <c r="S3662">
        <v>0</v>
      </c>
      <c r="T3662">
        <v>0</v>
      </c>
      <c r="U3662">
        <v>0</v>
      </c>
      <c r="V3662" t="s">
        <v>54</v>
      </c>
      <c r="W3662">
        <v>2</v>
      </c>
    </row>
    <row r="3663" spans="1:23" x14ac:dyDescent="0.2">
      <c r="A3663">
        <v>5117414</v>
      </c>
      <c r="B3663" t="s">
        <v>18</v>
      </c>
      <c r="C3663" t="s">
        <v>19</v>
      </c>
      <c r="D3663" t="s">
        <v>19</v>
      </c>
      <c r="E3663">
        <v>0</v>
      </c>
      <c r="F3663">
        <v>112500</v>
      </c>
      <c r="G3663" t="s">
        <v>35</v>
      </c>
      <c r="H3663" t="s">
        <v>22</v>
      </c>
      <c r="I3663" t="s">
        <v>28</v>
      </c>
      <c r="J3663" t="s">
        <v>24</v>
      </c>
      <c r="K3663" s="6">
        <f t="shared" ca="1" si="236"/>
        <v>32187</v>
      </c>
      <c r="L3663">
        <v>-13574</v>
      </c>
      <c r="M3663" s="7">
        <f t="shared" ca="1" si="234"/>
        <v>37.163586584531146</v>
      </c>
      <c r="N3663" s="5" t="str">
        <f ca="1">VLOOKUP(Data!M3663,temp!$B$3:$C$9,2,1)</f>
        <v>30-40</v>
      </c>
      <c r="O3663">
        <v>-188</v>
      </c>
      <c r="P3663" s="8">
        <f t="shared" si="235"/>
        <v>0.51471594798083509</v>
      </c>
      <c r="Q3663" s="5" t="str">
        <f t="shared" si="237"/>
        <v>Employed</v>
      </c>
      <c r="R3663">
        <v>1</v>
      </c>
      <c r="S3663">
        <v>0</v>
      </c>
      <c r="T3663">
        <v>1</v>
      </c>
      <c r="U3663">
        <v>0</v>
      </c>
      <c r="V3663" t="s">
        <v>38</v>
      </c>
      <c r="W3663">
        <v>2</v>
      </c>
    </row>
    <row r="3664" spans="1:23" x14ac:dyDescent="0.2">
      <c r="A3664">
        <v>5117415</v>
      </c>
      <c r="B3664" t="s">
        <v>18</v>
      </c>
      <c r="C3664" t="s">
        <v>20</v>
      </c>
      <c r="D3664" t="s">
        <v>19</v>
      </c>
      <c r="E3664">
        <v>0</v>
      </c>
      <c r="F3664">
        <v>112500</v>
      </c>
      <c r="G3664" t="s">
        <v>31</v>
      </c>
      <c r="H3664" t="s">
        <v>27</v>
      </c>
      <c r="I3664" t="s">
        <v>28</v>
      </c>
      <c r="J3664" t="s">
        <v>24</v>
      </c>
      <c r="K3664" s="6">
        <f t="shared" ca="1" si="236"/>
        <v>29546</v>
      </c>
      <c r="L3664">
        <v>-16215</v>
      </c>
      <c r="M3664" s="7">
        <f t="shared" ca="1" si="234"/>
        <v>44.394250513347025</v>
      </c>
      <c r="N3664" s="5" t="str">
        <f ca="1">VLOOKUP(Data!M3664,temp!$B$3:$C$9,2,1)</f>
        <v>40-50</v>
      </c>
      <c r="O3664">
        <v>-3567</v>
      </c>
      <c r="P3664" s="8">
        <f t="shared" si="235"/>
        <v>9.765913757700206</v>
      </c>
      <c r="Q3664" s="5" t="str">
        <f t="shared" si="237"/>
        <v>Employed</v>
      </c>
      <c r="R3664">
        <v>1</v>
      </c>
      <c r="S3664">
        <v>0</v>
      </c>
      <c r="T3664">
        <v>0</v>
      </c>
      <c r="U3664">
        <v>0</v>
      </c>
      <c r="V3664" t="s">
        <v>39</v>
      </c>
      <c r="W3664">
        <v>2</v>
      </c>
    </row>
    <row r="3665" spans="1:23" x14ac:dyDescent="0.2">
      <c r="A3665">
        <v>5117417</v>
      </c>
      <c r="B3665" t="s">
        <v>18</v>
      </c>
      <c r="C3665" t="s">
        <v>20</v>
      </c>
      <c r="D3665" t="s">
        <v>19</v>
      </c>
      <c r="E3665">
        <v>0</v>
      </c>
      <c r="F3665">
        <v>112500</v>
      </c>
      <c r="G3665" t="s">
        <v>31</v>
      </c>
      <c r="H3665" t="s">
        <v>27</v>
      </c>
      <c r="I3665" t="s">
        <v>28</v>
      </c>
      <c r="J3665" t="s">
        <v>24</v>
      </c>
      <c r="K3665" s="6">
        <f t="shared" ca="1" si="236"/>
        <v>29546</v>
      </c>
      <c r="L3665">
        <v>-16215</v>
      </c>
      <c r="M3665" s="7">
        <f t="shared" ca="1" si="234"/>
        <v>44.394250513347025</v>
      </c>
      <c r="N3665" s="5" t="str">
        <f ca="1">VLOOKUP(Data!M3665,temp!$B$3:$C$9,2,1)</f>
        <v>40-50</v>
      </c>
      <c r="O3665">
        <v>-3567</v>
      </c>
      <c r="P3665" s="8">
        <f t="shared" si="235"/>
        <v>9.765913757700206</v>
      </c>
      <c r="Q3665" s="5" t="str">
        <f t="shared" si="237"/>
        <v>Employed</v>
      </c>
      <c r="R3665">
        <v>1</v>
      </c>
      <c r="S3665">
        <v>0</v>
      </c>
      <c r="T3665">
        <v>0</v>
      </c>
      <c r="U3665">
        <v>0</v>
      </c>
      <c r="V3665" t="s">
        <v>39</v>
      </c>
      <c r="W3665">
        <v>2</v>
      </c>
    </row>
    <row r="3666" spans="1:23" x14ac:dyDescent="0.2">
      <c r="A3666">
        <v>5117421</v>
      </c>
      <c r="B3666" t="s">
        <v>25</v>
      </c>
      <c r="C3666" t="s">
        <v>20</v>
      </c>
      <c r="D3666" t="s">
        <v>19</v>
      </c>
      <c r="E3666">
        <v>3</v>
      </c>
      <c r="F3666">
        <v>180000</v>
      </c>
      <c r="G3666" t="s">
        <v>31</v>
      </c>
      <c r="H3666" t="s">
        <v>27</v>
      </c>
      <c r="I3666" t="s">
        <v>28</v>
      </c>
      <c r="J3666" t="s">
        <v>24</v>
      </c>
      <c r="K3666" s="6">
        <f t="shared" ca="1" si="236"/>
        <v>35713</v>
      </c>
      <c r="L3666">
        <v>-10048</v>
      </c>
      <c r="M3666" s="7">
        <f t="shared" ca="1" si="234"/>
        <v>27.509924709103355</v>
      </c>
      <c r="N3666" s="5" t="str">
        <f ca="1">VLOOKUP(Data!M3666,temp!$B$3:$C$9,2,1)</f>
        <v>20-30</v>
      </c>
      <c r="O3666">
        <v>-3475</v>
      </c>
      <c r="P3666" s="8">
        <f t="shared" si="235"/>
        <v>9.5140314852840522</v>
      </c>
      <c r="Q3666" s="5" t="str">
        <f t="shared" si="237"/>
        <v>Employed</v>
      </c>
      <c r="R3666">
        <v>1</v>
      </c>
      <c r="S3666">
        <v>1</v>
      </c>
      <c r="T3666">
        <v>0</v>
      </c>
      <c r="U3666">
        <v>0</v>
      </c>
      <c r="W3666">
        <v>5</v>
      </c>
    </row>
    <row r="3667" spans="1:23" x14ac:dyDescent="0.2">
      <c r="A3667">
        <v>5117451</v>
      </c>
      <c r="B3667" t="s">
        <v>18</v>
      </c>
      <c r="C3667" t="s">
        <v>19</v>
      </c>
      <c r="D3667" t="s">
        <v>19</v>
      </c>
      <c r="E3667">
        <v>2</v>
      </c>
      <c r="F3667">
        <v>90000</v>
      </c>
      <c r="G3667" t="s">
        <v>31</v>
      </c>
      <c r="H3667" t="s">
        <v>27</v>
      </c>
      <c r="I3667" t="s">
        <v>28</v>
      </c>
      <c r="J3667" t="s">
        <v>24</v>
      </c>
      <c r="K3667" s="6">
        <f t="shared" ca="1" si="236"/>
        <v>33898</v>
      </c>
      <c r="L3667">
        <v>-11863</v>
      </c>
      <c r="M3667" s="7">
        <f t="shared" ca="1" si="234"/>
        <v>32.479123887748116</v>
      </c>
      <c r="N3667" s="5" t="str">
        <f ca="1">VLOOKUP(Data!M3667,temp!$B$3:$C$9,2,1)</f>
        <v>30-40</v>
      </c>
      <c r="O3667">
        <v>-96</v>
      </c>
      <c r="P3667" s="8">
        <f t="shared" si="235"/>
        <v>0.26283367556468173</v>
      </c>
      <c r="Q3667" s="5" t="str">
        <f t="shared" si="237"/>
        <v>Employed</v>
      </c>
      <c r="R3667">
        <v>1</v>
      </c>
      <c r="S3667">
        <v>1</v>
      </c>
      <c r="T3667">
        <v>0</v>
      </c>
      <c r="U3667">
        <v>0</v>
      </c>
      <c r="W3667">
        <v>4</v>
      </c>
    </row>
    <row r="3668" spans="1:23" x14ac:dyDescent="0.2">
      <c r="A3668">
        <v>5117460</v>
      </c>
      <c r="B3668" t="s">
        <v>18</v>
      </c>
      <c r="C3668" t="s">
        <v>20</v>
      </c>
      <c r="D3668" t="s">
        <v>19</v>
      </c>
      <c r="E3668">
        <v>1</v>
      </c>
      <c r="F3668">
        <v>148500</v>
      </c>
      <c r="G3668" t="s">
        <v>31</v>
      </c>
      <c r="H3668" t="s">
        <v>27</v>
      </c>
      <c r="I3668" t="s">
        <v>28</v>
      </c>
      <c r="J3668" t="s">
        <v>24</v>
      </c>
      <c r="K3668" s="6">
        <f t="shared" ca="1" si="236"/>
        <v>34086</v>
      </c>
      <c r="L3668">
        <v>-11675</v>
      </c>
      <c r="M3668" s="7">
        <f t="shared" ca="1" si="234"/>
        <v>31.964407939767284</v>
      </c>
      <c r="N3668" s="5" t="str">
        <f ca="1">VLOOKUP(Data!M3668,temp!$B$3:$C$9,2,1)</f>
        <v>30-40</v>
      </c>
      <c r="O3668">
        <v>-3779</v>
      </c>
      <c r="P3668" s="8">
        <f t="shared" si="235"/>
        <v>10.346338124572211</v>
      </c>
      <c r="Q3668" s="5" t="str">
        <f t="shared" si="237"/>
        <v>Employed</v>
      </c>
      <c r="R3668">
        <v>1</v>
      </c>
      <c r="S3668">
        <v>1</v>
      </c>
      <c r="T3668">
        <v>0</v>
      </c>
      <c r="U3668">
        <v>0</v>
      </c>
      <c r="V3668" t="s">
        <v>39</v>
      </c>
      <c r="W3668">
        <v>3</v>
      </c>
    </row>
    <row r="3669" spans="1:23" x14ac:dyDescent="0.2">
      <c r="A3669">
        <v>5117464</v>
      </c>
      <c r="B3669" t="s">
        <v>25</v>
      </c>
      <c r="C3669" t="s">
        <v>19</v>
      </c>
      <c r="D3669" t="s">
        <v>19</v>
      </c>
      <c r="E3669">
        <v>1</v>
      </c>
      <c r="F3669">
        <v>202500</v>
      </c>
      <c r="G3669" t="s">
        <v>26</v>
      </c>
      <c r="H3669" t="s">
        <v>22</v>
      </c>
      <c r="I3669" t="s">
        <v>28</v>
      </c>
      <c r="J3669" t="s">
        <v>24</v>
      </c>
      <c r="K3669" s="6">
        <f t="shared" ca="1" si="236"/>
        <v>32721</v>
      </c>
      <c r="L3669">
        <v>-13040</v>
      </c>
      <c r="M3669" s="7">
        <f t="shared" ca="1" si="234"/>
        <v>35.701574264202598</v>
      </c>
      <c r="N3669" s="5" t="str">
        <f ca="1">VLOOKUP(Data!M3669,temp!$B$3:$C$9,2,1)</f>
        <v>30-40</v>
      </c>
      <c r="O3669">
        <v>-1223</v>
      </c>
      <c r="P3669" s="8">
        <f t="shared" si="235"/>
        <v>3.3483915126625599</v>
      </c>
      <c r="Q3669" s="5" t="str">
        <f t="shared" si="237"/>
        <v>Employed</v>
      </c>
      <c r="R3669">
        <v>1</v>
      </c>
      <c r="S3669">
        <v>1</v>
      </c>
      <c r="T3669">
        <v>0</v>
      </c>
      <c r="U3669">
        <v>0</v>
      </c>
      <c r="V3669" t="s">
        <v>38</v>
      </c>
      <c r="W3669">
        <v>3</v>
      </c>
    </row>
    <row r="3670" spans="1:23" x14ac:dyDescent="0.2">
      <c r="A3670">
        <v>5117473</v>
      </c>
      <c r="B3670" t="s">
        <v>25</v>
      </c>
      <c r="C3670" t="s">
        <v>19</v>
      </c>
      <c r="D3670" t="s">
        <v>19</v>
      </c>
      <c r="E3670">
        <v>1</v>
      </c>
      <c r="F3670">
        <v>202500</v>
      </c>
      <c r="G3670" t="s">
        <v>26</v>
      </c>
      <c r="H3670" t="s">
        <v>22</v>
      </c>
      <c r="I3670" t="s">
        <v>28</v>
      </c>
      <c r="J3670" t="s">
        <v>24</v>
      </c>
      <c r="K3670" s="6">
        <f t="shared" ca="1" si="236"/>
        <v>32721</v>
      </c>
      <c r="L3670">
        <v>-13040</v>
      </c>
      <c r="M3670" s="7">
        <f t="shared" ca="1" si="234"/>
        <v>35.701574264202598</v>
      </c>
      <c r="N3670" s="5" t="str">
        <f ca="1">VLOOKUP(Data!M3670,temp!$B$3:$C$9,2,1)</f>
        <v>30-40</v>
      </c>
      <c r="O3670">
        <v>-1223</v>
      </c>
      <c r="P3670" s="8">
        <f t="shared" si="235"/>
        <v>3.3483915126625599</v>
      </c>
      <c r="Q3670" s="5" t="str">
        <f t="shared" si="237"/>
        <v>Employed</v>
      </c>
      <c r="R3670">
        <v>1</v>
      </c>
      <c r="S3670">
        <v>1</v>
      </c>
      <c r="T3670">
        <v>0</v>
      </c>
      <c r="U3670">
        <v>0</v>
      </c>
      <c r="V3670" t="s">
        <v>38</v>
      </c>
      <c r="W3670">
        <v>3</v>
      </c>
    </row>
    <row r="3671" spans="1:23" x14ac:dyDescent="0.2">
      <c r="A3671">
        <v>5117475</v>
      </c>
      <c r="B3671" t="s">
        <v>25</v>
      </c>
      <c r="C3671" t="s">
        <v>19</v>
      </c>
      <c r="D3671" t="s">
        <v>19</v>
      </c>
      <c r="E3671">
        <v>1</v>
      </c>
      <c r="F3671">
        <v>202500</v>
      </c>
      <c r="G3671" t="s">
        <v>26</v>
      </c>
      <c r="H3671" t="s">
        <v>22</v>
      </c>
      <c r="I3671" t="s">
        <v>28</v>
      </c>
      <c r="J3671" t="s">
        <v>24</v>
      </c>
      <c r="K3671" s="6">
        <f t="shared" ca="1" si="236"/>
        <v>32721</v>
      </c>
      <c r="L3671">
        <v>-13040</v>
      </c>
      <c r="M3671" s="7">
        <f t="shared" ca="1" si="234"/>
        <v>35.701574264202598</v>
      </c>
      <c r="N3671" s="5" t="str">
        <f ca="1">VLOOKUP(Data!M3671,temp!$B$3:$C$9,2,1)</f>
        <v>30-40</v>
      </c>
      <c r="O3671">
        <v>-1223</v>
      </c>
      <c r="P3671" s="8">
        <f t="shared" si="235"/>
        <v>3.3483915126625599</v>
      </c>
      <c r="Q3671" s="5" t="str">
        <f t="shared" si="237"/>
        <v>Employed</v>
      </c>
      <c r="R3671">
        <v>1</v>
      </c>
      <c r="S3671">
        <v>1</v>
      </c>
      <c r="T3671">
        <v>0</v>
      </c>
      <c r="U3671">
        <v>0</v>
      </c>
      <c r="V3671" t="s">
        <v>38</v>
      </c>
      <c r="W3671">
        <v>3</v>
      </c>
    </row>
    <row r="3672" spans="1:23" x14ac:dyDescent="0.2">
      <c r="A3672">
        <v>5117486</v>
      </c>
      <c r="B3672" t="s">
        <v>25</v>
      </c>
      <c r="C3672" t="s">
        <v>20</v>
      </c>
      <c r="D3672" t="s">
        <v>19</v>
      </c>
      <c r="E3672">
        <v>0</v>
      </c>
      <c r="F3672">
        <v>135000</v>
      </c>
      <c r="G3672" t="s">
        <v>26</v>
      </c>
      <c r="H3672" t="s">
        <v>27</v>
      </c>
      <c r="I3672" t="s">
        <v>28</v>
      </c>
      <c r="J3672" t="s">
        <v>24</v>
      </c>
      <c r="K3672" s="6">
        <f t="shared" ca="1" si="236"/>
        <v>26713</v>
      </c>
      <c r="L3672">
        <v>-19048</v>
      </c>
      <c r="M3672" s="7">
        <f t="shared" ca="1" si="234"/>
        <v>52.150581793292268</v>
      </c>
      <c r="N3672" s="5" t="str">
        <f ca="1">VLOOKUP(Data!M3672,temp!$B$3:$C$9,2,1)</f>
        <v>50-60</v>
      </c>
      <c r="O3672">
        <v>-3932</v>
      </c>
      <c r="P3672" s="8">
        <f t="shared" si="235"/>
        <v>10.765229295003422</v>
      </c>
      <c r="Q3672" s="5" t="str">
        <f t="shared" si="237"/>
        <v>Employed</v>
      </c>
      <c r="R3672">
        <v>1</v>
      </c>
      <c r="S3672">
        <v>1</v>
      </c>
      <c r="T3672">
        <v>0</v>
      </c>
      <c r="U3672">
        <v>0</v>
      </c>
      <c r="V3672" t="s">
        <v>30</v>
      </c>
      <c r="W3672">
        <v>2</v>
      </c>
    </row>
    <row r="3673" spans="1:23" x14ac:dyDescent="0.2">
      <c r="A3673">
        <v>5117487</v>
      </c>
      <c r="B3673" t="s">
        <v>18</v>
      </c>
      <c r="C3673" t="s">
        <v>19</v>
      </c>
      <c r="D3673" t="s">
        <v>19</v>
      </c>
      <c r="E3673">
        <v>0</v>
      </c>
      <c r="F3673">
        <v>108000</v>
      </c>
      <c r="G3673" t="s">
        <v>26</v>
      </c>
      <c r="H3673" t="s">
        <v>27</v>
      </c>
      <c r="I3673" t="s">
        <v>28</v>
      </c>
      <c r="J3673" t="s">
        <v>24</v>
      </c>
      <c r="K3673" s="6">
        <f t="shared" ca="1" si="236"/>
        <v>26934</v>
      </c>
      <c r="L3673">
        <v>-18827</v>
      </c>
      <c r="M3673" s="7">
        <f t="shared" ca="1" si="234"/>
        <v>51.545516769336068</v>
      </c>
      <c r="N3673" s="5" t="str">
        <f ca="1">VLOOKUP(Data!M3673,temp!$B$3:$C$9,2,1)</f>
        <v>50-60</v>
      </c>
      <c r="O3673">
        <v>-1131</v>
      </c>
      <c r="P3673" s="8">
        <f t="shared" si="235"/>
        <v>3.0965092402464065</v>
      </c>
      <c r="Q3673" s="5" t="str">
        <f t="shared" si="237"/>
        <v>Employed</v>
      </c>
      <c r="R3673">
        <v>1</v>
      </c>
      <c r="S3673">
        <v>0</v>
      </c>
      <c r="T3673">
        <v>1</v>
      </c>
      <c r="U3673">
        <v>0</v>
      </c>
      <c r="V3673" t="s">
        <v>29</v>
      </c>
      <c r="W3673">
        <v>2</v>
      </c>
    </row>
    <row r="3674" spans="1:23" x14ac:dyDescent="0.2">
      <c r="A3674">
        <v>5117488</v>
      </c>
      <c r="B3674" t="s">
        <v>18</v>
      </c>
      <c r="C3674" t="s">
        <v>19</v>
      </c>
      <c r="D3674" t="s">
        <v>19</v>
      </c>
      <c r="E3674">
        <v>0</v>
      </c>
      <c r="F3674">
        <v>108000</v>
      </c>
      <c r="G3674" t="s">
        <v>26</v>
      </c>
      <c r="H3674" t="s">
        <v>27</v>
      </c>
      <c r="I3674" t="s">
        <v>28</v>
      </c>
      <c r="J3674" t="s">
        <v>24</v>
      </c>
      <c r="K3674" s="6">
        <f t="shared" ca="1" si="236"/>
        <v>26934</v>
      </c>
      <c r="L3674">
        <v>-18827</v>
      </c>
      <c r="M3674" s="7">
        <f t="shared" ca="1" si="234"/>
        <v>51.545516769336068</v>
      </c>
      <c r="N3674" s="5" t="str">
        <f ca="1">VLOOKUP(Data!M3674,temp!$B$3:$C$9,2,1)</f>
        <v>50-60</v>
      </c>
      <c r="O3674">
        <v>-1131</v>
      </c>
      <c r="P3674" s="8">
        <f t="shared" si="235"/>
        <v>3.0965092402464065</v>
      </c>
      <c r="Q3674" s="5" t="str">
        <f t="shared" si="237"/>
        <v>Employed</v>
      </c>
      <c r="R3674">
        <v>1</v>
      </c>
      <c r="S3674">
        <v>0</v>
      </c>
      <c r="T3674">
        <v>1</v>
      </c>
      <c r="U3674">
        <v>0</v>
      </c>
      <c r="V3674" t="s">
        <v>29</v>
      </c>
      <c r="W3674">
        <v>2</v>
      </c>
    </row>
    <row r="3675" spans="1:23" x14ac:dyDescent="0.2">
      <c r="A3675">
        <v>5117505</v>
      </c>
      <c r="B3675" t="s">
        <v>25</v>
      </c>
      <c r="C3675" t="s">
        <v>19</v>
      </c>
      <c r="D3675" t="s">
        <v>19</v>
      </c>
      <c r="E3675">
        <v>0</v>
      </c>
      <c r="F3675">
        <v>247500</v>
      </c>
      <c r="G3675" t="s">
        <v>31</v>
      </c>
      <c r="H3675" t="s">
        <v>27</v>
      </c>
      <c r="I3675" t="s">
        <v>33</v>
      </c>
      <c r="J3675" t="s">
        <v>24</v>
      </c>
      <c r="K3675" s="6">
        <f t="shared" ca="1" si="236"/>
        <v>35536</v>
      </c>
      <c r="L3675">
        <v>-10225</v>
      </c>
      <c r="M3675" s="7">
        <f t="shared" ca="1" si="234"/>
        <v>27.994524298425734</v>
      </c>
      <c r="N3675" s="5" t="str">
        <f ca="1">VLOOKUP(Data!M3675,temp!$B$3:$C$9,2,1)</f>
        <v>20-30</v>
      </c>
      <c r="O3675">
        <v>-1376</v>
      </c>
      <c r="P3675" s="8">
        <f t="shared" si="235"/>
        <v>3.7672826830937716</v>
      </c>
      <c r="Q3675" s="5" t="str">
        <f t="shared" si="237"/>
        <v>Employed</v>
      </c>
      <c r="R3675">
        <v>1</v>
      </c>
      <c r="S3675">
        <v>1</v>
      </c>
      <c r="T3675">
        <v>0</v>
      </c>
      <c r="U3675">
        <v>0</v>
      </c>
      <c r="V3675" t="s">
        <v>29</v>
      </c>
      <c r="W3675">
        <v>1</v>
      </c>
    </row>
    <row r="3676" spans="1:23" x14ac:dyDescent="0.2">
      <c r="A3676">
        <v>5117507</v>
      </c>
      <c r="B3676" t="s">
        <v>25</v>
      </c>
      <c r="C3676" t="s">
        <v>19</v>
      </c>
      <c r="D3676" t="s">
        <v>19</v>
      </c>
      <c r="E3676">
        <v>0</v>
      </c>
      <c r="F3676">
        <v>247500</v>
      </c>
      <c r="G3676" t="s">
        <v>31</v>
      </c>
      <c r="H3676" t="s">
        <v>27</v>
      </c>
      <c r="I3676" t="s">
        <v>33</v>
      </c>
      <c r="J3676" t="s">
        <v>24</v>
      </c>
      <c r="K3676" s="6">
        <f t="shared" ca="1" si="236"/>
        <v>35536</v>
      </c>
      <c r="L3676">
        <v>-10225</v>
      </c>
      <c r="M3676" s="7">
        <f t="shared" ca="1" si="234"/>
        <v>27.994524298425734</v>
      </c>
      <c r="N3676" s="5" t="str">
        <f ca="1">VLOOKUP(Data!M3676,temp!$B$3:$C$9,2,1)</f>
        <v>20-30</v>
      </c>
      <c r="O3676">
        <v>-1376</v>
      </c>
      <c r="P3676" s="8">
        <f t="shared" si="235"/>
        <v>3.7672826830937716</v>
      </c>
      <c r="Q3676" s="5" t="str">
        <f t="shared" si="237"/>
        <v>Employed</v>
      </c>
      <c r="R3676">
        <v>1</v>
      </c>
      <c r="S3676">
        <v>1</v>
      </c>
      <c r="T3676">
        <v>0</v>
      </c>
      <c r="U3676">
        <v>0</v>
      </c>
      <c r="V3676" t="s">
        <v>29</v>
      </c>
      <c r="W3676">
        <v>1</v>
      </c>
    </row>
    <row r="3677" spans="1:23" x14ac:dyDescent="0.2">
      <c r="A3677">
        <v>5117518</v>
      </c>
      <c r="B3677" t="s">
        <v>18</v>
      </c>
      <c r="C3677" t="s">
        <v>19</v>
      </c>
      <c r="D3677" t="s">
        <v>19</v>
      </c>
      <c r="E3677">
        <v>1</v>
      </c>
      <c r="F3677">
        <v>144000</v>
      </c>
      <c r="G3677" t="s">
        <v>31</v>
      </c>
      <c r="H3677" t="s">
        <v>27</v>
      </c>
      <c r="I3677" t="s">
        <v>33</v>
      </c>
      <c r="J3677" t="s">
        <v>34</v>
      </c>
      <c r="K3677" s="6">
        <f t="shared" ca="1" si="236"/>
        <v>31334</v>
      </c>
      <c r="L3677">
        <v>-14427</v>
      </c>
      <c r="M3677" s="7">
        <f t="shared" ca="1" si="234"/>
        <v>39.498973305954827</v>
      </c>
      <c r="N3677" s="5" t="str">
        <f ca="1">VLOOKUP(Data!M3677,temp!$B$3:$C$9,2,1)</f>
        <v>30-40</v>
      </c>
      <c r="O3677">
        <v>-3506</v>
      </c>
      <c r="P3677" s="8">
        <f t="shared" si="235"/>
        <v>9.5989048596851472</v>
      </c>
      <c r="Q3677" s="5" t="str">
        <f t="shared" si="237"/>
        <v>Employed</v>
      </c>
      <c r="R3677">
        <v>1</v>
      </c>
      <c r="S3677">
        <v>1</v>
      </c>
      <c r="T3677">
        <v>1</v>
      </c>
      <c r="U3677">
        <v>0</v>
      </c>
      <c r="V3677" t="s">
        <v>47</v>
      </c>
      <c r="W3677">
        <v>2</v>
      </c>
    </row>
    <row r="3678" spans="1:23" x14ac:dyDescent="0.2">
      <c r="A3678">
        <v>5117528</v>
      </c>
      <c r="B3678" t="s">
        <v>18</v>
      </c>
      <c r="C3678" t="s">
        <v>19</v>
      </c>
      <c r="D3678" t="s">
        <v>19</v>
      </c>
      <c r="E3678">
        <v>1</v>
      </c>
      <c r="F3678">
        <v>144000</v>
      </c>
      <c r="G3678" t="s">
        <v>31</v>
      </c>
      <c r="H3678" t="s">
        <v>27</v>
      </c>
      <c r="I3678" t="s">
        <v>33</v>
      </c>
      <c r="J3678" t="s">
        <v>34</v>
      </c>
      <c r="K3678" s="6">
        <f t="shared" ca="1" si="236"/>
        <v>31334</v>
      </c>
      <c r="L3678">
        <v>-14427</v>
      </c>
      <c r="M3678" s="7">
        <f t="shared" ca="1" si="234"/>
        <v>39.498973305954827</v>
      </c>
      <c r="N3678" s="5" t="str">
        <f ca="1">VLOOKUP(Data!M3678,temp!$B$3:$C$9,2,1)</f>
        <v>30-40</v>
      </c>
      <c r="O3678">
        <v>-3506</v>
      </c>
      <c r="P3678" s="8">
        <f t="shared" si="235"/>
        <v>9.5989048596851472</v>
      </c>
      <c r="Q3678" s="5" t="str">
        <f t="shared" si="237"/>
        <v>Employed</v>
      </c>
      <c r="R3678">
        <v>1</v>
      </c>
      <c r="S3678">
        <v>1</v>
      </c>
      <c r="T3678">
        <v>1</v>
      </c>
      <c r="U3678">
        <v>0</v>
      </c>
      <c r="V3678" t="s">
        <v>47</v>
      </c>
      <c r="W3678">
        <v>2</v>
      </c>
    </row>
    <row r="3679" spans="1:23" x14ac:dyDescent="0.2">
      <c r="A3679">
        <v>5117531</v>
      </c>
      <c r="B3679" t="s">
        <v>18</v>
      </c>
      <c r="C3679" t="s">
        <v>19</v>
      </c>
      <c r="D3679" t="s">
        <v>19</v>
      </c>
      <c r="E3679">
        <v>0</v>
      </c>
      <c r="F3679">
        <v>76500</v>
      </c>
      <c r="G3679" t="s">
        <v>31</v>
      </c>
      <c r="H3679" t="s">
        <v>27</v>
      </c>
      <c r="I3679" t="s">
        <v>28</v>
      </c>
      <c r="J3679" t="s">
        <v>24</v>
      </c>
      <c r="K3679" s="6">
        <f t="shared" ca="1" si="236"/>
        <v>30325</v>
      </c>
      <c r="L3679">
        <v>-15436</v>
      </c>
      <c r="M3679" s="7">
        <f t="shared" ca="1" si="234"/>
        <v>42.261464750171115</v>
      </c>
      <c r="N3679" s="5" t="str">
        <f ca="1">VLOOKUP(Data!M3679,temp!$B$3:$C$9,2,1)</f>
        <v>40-50</v>
      </c>
      <c r="O3679">
        <v>-1953</v>
      </c>
      <c r="P3679" s="8">
        <f t="shared" si="235"/>
        <v>5.3470225872689943</v>
      </c>
      <c r="Q3679" s="5" t="str">
        <f t="shared" si="237"/>
        <v>Employed</v>
      </c>
      <c r="R3679">
        <v>1</v>
      </c>
      <c r="S3679">
        <v>1</v>
      </c>
      <c r="T3679">
        <v>0</v>
      </c>
      <c r="U3679">
        <v>0</v>
      </c>
      <c r="V3679" t="s">
        <v>38</v>
      </c>
      <c r="W3679">
        <v>2</v>
      </c>
    </row>
    <row r="3680" spans="1:23" x14ac:dyDescent="0.2">
      <c r="A3680">
        <v>5117550</v>
      </c>
      <c r="B3680" t="s">
        <v>25</v>
      </c>
      <c r="C3680" t="s">
        <v>20</v>
      </c>
      <c r="D3680" t="s">
        <v>19</v>
      </c>
      <c r="E3680">
        <v>1</v>
      </c>
      <c r="F3680">
        <v>148500</v>
      </c>
      <c r="G3680" t="s">
        <v>26</v>
      </c>
      <c r="H3680" t="s">
        <v>27</v>
      </c>
      <c r="I3680" t="s">
        <v>28</v>
      </c>
      <c r="J3680" t="s">
        <v>24</v>
      </c>
      <c r="K3680" s="6">
        <f t="shared" ca="1" si="236"/>
        <v>32831</v>
      </c>
      <c r="L3680">
        <v>-12930</v>
      </c>
      <c r="M3680" s="7">
        <f t="shared" ca="1" si="234"/>
        <v>35.400410677618069</v>
      </c>
      <c r="N3680" s="5" t="str">
        <f ca="1">VLOOKUP(Data!M3680,temp!$B$3:$C$9,2,1)</f>
        <v>30-40</v>
      </c>
      <c r="O3680">
        <v>-2865</v>
      </c>
      <c r="P3680" s="8">
        <f t="shared" si="235"/>
        <v>7.8439425051334704</v>
      </c>
      <c r="Q3680" s="5" t="str">
        <f t="shared" si="237"/>
        <v>Employed</v>
      </c>
      <c r="R3680">
        <v>1</v>
      </c>
      <c r="S3680">
        <v>1</v>
      </c>
      <c r="T3680">
        <v>1</v>
      </c>
      <c r="U3680">
        <v>0</v>
      </c>
      <c r="V3680" t="s">
        <v>30</v>
      </c>
      <c r="W3680">
        <v>3</v>
      </c>
    </row>
    <row r="3681" spans="1:23" x14ac:dyDescent="0.2">
      <c r="A3681">
        <v>5117578</v>
      </c>
      <c r="B3681" t="s">
        <v>18</v>
      </c>
      <c r="C3681" t="s">
        <v>20</v>
      </c>
      <c r="D3681" t="s">
        <v>19</v>
      </c>
      <c r="E3681">
        <v>0</v>
      </c>
      <c r="F3681">
        <v>180000</v>
      </c>
      <c r="G3681" t="s">
        <v>31</v>
      </c>
      <c r="H3681" t="s">
        <v>27</v>
      </c>
      <c r="I3681" t="s">
        <v>28</v>
      </c>
      <c r="J3681" t="s">
        <v>24</v>
      </c>
      <c r="K3681" s="6">
        <f t="shared" ca="1" si="236"/>
        <v>26444</v>
      </c>
      <c r="L3681">
        <v>-19317</v>
      </c>
      <c r="M3681" s="7">
        <f t="shared" ca="1" si="234"/>
        <v>52.887063655030801</v>
      </c>
      <c r="N3681" s="5" t="str">
        <f ca="1">VLOOKUP(Data!M3681,temp!$B$3:$C$9,2,1)</f>
        <v>50-60</v>
      </c>
      <c r="O3681">
        <v>-11542</v>
      </c>
      <c r="P3681" s="8">
        <f t="shared" si="235"/>
        <v>31.600273785078713</v>
      </c>
      <c r="Q3681" s="5" t="str">
        <f t="shared" si="237"/>
        <v>Employed</v>
      </c>
      <c r="R3681">
        <v>1</v>
      </c>
      <c r="S3681">
        <v>0</v>
      </c>
      <c r="T3681">
        <v>0</v>
      </c>
      <c r="U3681">
        <v>0</v>
      </c>
      <c r="V3681" t="s">
        <v>50</v>
      </c>
      <c r="W3681">
        <v>2</v>
      </c>
    </row>
    <row r="3682" spans="1:23" x14ac:dyDescent="0.2">
      <c r="A3682">
        <v>5117584</v>
      </c>
      <c r="B3682" t="s">
        <v>18</v>
      </c>
      <c r="C3682" t="s">
        <v>19</v>
      </c>
      <c r="D3682" t="s">
        <v>19</v>
      </c>
      <c r="E3682">
        <v>0</v>
      </c>
      <c r="F3682">
        <v>135000</v>
      </c>
      <c r="G3682" t="s">
        <v>35</v>
      </c>
      <c r="H3682" t="s">
        <v>22</v>
      </c>
      <c r="I3682" t="s">
        <v>28</v>
      </c>
      <c r="J3682" t="s">
        <v>24</v>
      </c>
      <c r="K3682" s="6">
        <f t="shared" ca="1" si="236"/>
        <v>27564</v>
      </c>
      <c r="L3682">
        <v>-18197</v>
      </c>
      <c r="M3682" s="7">
        <f t="shared" ca="1" si="234"/>
        <v>49.820670773442849</v>
      </c>
      <c r="N3682" s="5" t="str">
        <f ca="1">VLOOKUP(Data!M3682,temp!$B$3:$C$9,2,1)</f>
        <v>40-50</v>
      </c>
      <c r="O3682">
        <v>-4418</v>
      </c>
      <c r="P3682" s="8">
        <f t="shared" si="235"/>
        <v>12.095824777549623</v>
      </c>
      <c r="Q3682" s="5" t="str">
        <f t="shared" si="237"/>
        <v>Employed</v>
      </c>
      <c r="R3682">
        <v>1</v>
      </c>
      <c r="S3682">
        <v>1</v>
      </c>
      <c r="T3682">
        <v>0</v>
      </c>
      <c r="U3682">
        <v>0</v>
      </c>
      <c r="V3682" t="s">
        <v>44</v>
      </c>
      <c r="W3682">
        <v>2</v>
      </c>
    </row>
    <row r="3683" spans="1:23" x14ac:dyDescent="0.2">
      <c r="A3683">
        <v>5117598</v>
      </c>
      <c r="B3683" t="s">
        <v>18</v>
      </c>
      <c r="C3683" t="s">
        <v>19</v>
      </c>
      <c r="D3683" t="s">
        <v>19</v>
      </c>
      <c r="E3683">
        <v>0</v>
      </c>
      <c r="F3683">
        <v>144000</v>
      </c>
      <c r="G3683" t="s">
        <v>31</v>
      </c>
      <c r="H3683" t="s">
        <v>27</v>
      </c>
      <c r="I3683" t="s">
        <v>33</v>
      </c>
      <c r="J3683" t="s">
        <v>24</v>
      </c>
      <c r="K3683" s="6">
        <f t="shared" ca="1" si="236"/>
        <v>28863</v>
      </c>
      <c r="L3683">
        <v>-16898</v>
      </c>
      <c r="M3683" s="7">
        <f t="shared" ca="1" si="234"/>
        <v>46.264202600958249</v>
      </c>
      <c r="N3683" s="5" t="str">
        <f ca="1">VLOOKUP(Data!M3683,temp!$B$3:$C$9,2,1)</f>
        <v>40-50</v>
      </c>
      <c r="O3683">
        <v>-7310</v>
      </c>
      <c r="P3683" s="8">
        <f t="shared" si="235"/>
        <v>20.013689253935659</v>
      </c>
      <c r="Q3683" s="5" t="str">
        <f t="shared" si="237"/>
        <v>Employed</v>
      </c>
      <c r="R3683">
        <v>1</v>
      </c>
      <c r="S3683">
        <v>1</v>
      </c>
      <c r="T3683">
        <v>1</v>
      </c>
      <c r="U3683">
        <v>0</v>
      </c>
      <c r="V3683" t="s">
        <v>38</v>
      </c>
      <c r="W3683">
        <v>1</v>
      </c>
    </row>
    <row r="3684" spans="1:23" x14ac:dyDescent="0.2">
      <c r="A3684">
        <v>5117604</v>
      </c>
      <c r="B3684" t="s">
        <v>18</v>
      </c>
      <c r="C3684" t="s">
        <v>19</v>
      </c>
      <c r="D3684" t="s">
        <v>19</v>
      </c>
      <c r="E3684">
        <v>0</v>
      </c>
      <c r="F3684">
        <v>157500</v>
      </c>
      <c r="G3684" t="s">
        <v>31</v>
      </c>
      <c r="H3684" t="s">
        <v>22</v>
      </c>
      <c r="I3684" t="s">
        <v>28</v>
      </c>
      <c r="J3684" t="s">
        <v>24</v>
      </c>
      <c r="K3684" s="6">
        <f t="shared" ca="1" si="236"/>
        <v>31663</v>
      </c>
      <c r="L3684">
        <v>-14098</v>
      </c>
      <c r="M3684" s="7">
        <f t="shared" ca="1" si="234"/>
        <v>38.598220396988367</v>
      </c>
      <c r="N3684" s="5" t="str">
        <f ca="1">VLOOKUP(Data!M3684,temp!$B$3:$C$9,2,1)</f>
        <v>30-40</v>
      </c>
      <c r="O3684">
        <v>-2257</v>
      </c>
      <c r="P3684" s="8">
        <f t="shared" si="235"/>
        <v>6.1793292265571527</v>
      </c>
      <c r="Q3684" s="5" t="str">
        <f t="shared" si="237"/>
        <v>Employed</v>
      </c>
      <c r="R3684">
        <v>1</v>
      </c>
      <c r="S3684">
        <v>0</v>
      </c>
      <c r="T3684">
        <v>0</v>
      </c>
      <c r="U3684">
        <v>0</v>
      </c>
      <c r="V3684" t="s">
        <v>38</v>
      </c>
      <c r="W3684">
        <v>2</v>
      </c>
    </row>
    <row r="3685" spans="1:23" x14ac:dyDescent="0.2">
      <c r="A3685">
        <v>5117620</v>
      </c>
      <c r="B3685" t="s">
        <v>18</v>
      </c>
      <c r="C3685" t="s">
        <v>19</v>
      </c>
      <c r="D3685" t="s">
        <v>19</v>
      </c>
      <c r="E3685">
        <v>0</v>
      </c>
      <c r="F3685">
        <v>166500</v>
      </c>
      <c r="G3685" t="s">
        <v>31</v>
      </c>
      <c r="H3685" t="s">
        <v>22</v>
      </c>
      <c r="I3685" t="s">
        <v>28</v>
      </c>
      <c r="J3685" t="s">
        <v>24</v>
      </c>
      <c r="K3685" s="6">
        <f t="shared" ca="1" si="236"/>
        <v>24295</v>
      </c>
      <c r="L3685">
        <v>-21466</v>
      </c>
      <c r="M3685" s="7">
        <f t="shared" ca="1" si="234"/>
        <v>58.770704996577685</v>
      </c>
      <c r="N3685" s="5" t="str">
        <f ca="1">VLOOKUP(Data!M3685,temp!$B$3:$C$9,2,1)</f>
        <v>50-60</v>
      </c>
      <c r="O3685">
        <v>-3992</v>
      </c>
      <c r="P3685" s="8">
        <f t="shared" si="235"/>
        <v>10.929500342231348</v>
      </c>
      <c r="Q3685" s="5" t="str">
        <f t="shared" si="237"/>
        <v>Employed</v>
      </c>
      <c r="R3685">
        <v>1</v>
      </c>
      <c r="S3685">
        <v>0</v>
      </c>
      <c r="T3685">
        <v>0</v>
      </c>
      <c r="U3685">
        <v>0</v>
      </c>
      <c r="V3685" t="s">
        <v>38</v>
      </c>
      <c r="W3685">
        <v>2</v>
      </c>
    </row>
    <row r="3686" spans="1:23" x14ac:dyDescent="0.2">
      <c r="A3686">
        <v>5117627</v>
      </c>
      <c r="B3686" t="s">
        <v>25</v>
      </c>
      <c r="C3686" t="s">
        <v>19</v>
      </c>
      <c r="D3686" t="s">
        <v>19</v>
      </c>
      <c r="E3686">
        <v>0</v>
      </c>
      <c r="F3686">
        <v>157500</v>
      </c>
      <c r="G3686" t="s">
        <v>26</v>
      </c>
      <c r="H3686" t="s">
        <v>36</v>
      </c>
      <c r="I3686" t="s">
        <v>33</v>
      </c>
      <c r="J3686" t="s">
        <v>24</v>
      </c>
      <c r="K3686" s="6">
        <f t="shared" ca="1" si="236"/>
        <v>35912</v>
      </c>
      <c r="L3686">
        <v>-9849</v>
      </c>
      <c r="M3686" s="7">
        <f t="shared" ca="1" si="234"/>
        <v>26.965092402464066</v>
      </c>
      <c r="N3686" s="5" t="str">
        <f ca="1">VLOOKUP(Data!M3686,temp!$B$3:$C$9,2,1)</f>
        <v>20-30</v>
      </c>
      <c r="O3686">
        <v>-219</v>
      </c>
      <c r="P3686" s="8">
        <f t="shared" si="235"/>
        <v>0.59958932238193019</v>
      </c>
      <c r="Q3686" s="5" t="str">
        <f t="shared" si="237"/>
        <v>Employed</v>
      </c>
      <c r="R3686">
        <v>1</v>
      </c>
      <c r="S3686">
        <v>0</v>
      </c>
      <c r="T3686">
        <v>1</v>
      </c>
      <c r="U3686">
        <v>0</v>
      </c>
      <c r="W3686">
        <v>1</v>
      </c>
    </row>
    <row r="3687" spans="1:23" x14ac:dyDescent="0.2">
      <c r="A3687">
        <v>5117654</v>
      </c>
      <c r="B3687" t="s">
        <v>18</v>
      </c>
      <c r="C3687" t="s">
        <v>19</v>
      </c>
      <c r="D3687" t="s">
        <v>19</v>
      </c>
      <c r="E3687">
        <v>2</v>
      </c>
      <c r="F3687">
        <v>180000</v>
      </c>
      <c r="G3687" t="s">
        <v>35</v>
      </c>
      <c r="H3687" t="s">
        <v>27</v>
      </c>
      <c r="I3687" t="s">
        <v>28</v>
      </c>
      <c r="J3687" t="s">
        <v>24</v>
      </c>
      <c r="K3687" s="6">
        <f t="shared" ca="1" si="236"/>
        <v>32127</v>
      </c>
      <c r="L3687">
        <v>-13634</v>
      </c>
      <c r="M3687" s="7">
        <f t="shared" ca="1" si="234"/>
        <v>37.327857631759066</v>
      </c>
      <c r="N3687" s="5" t="str">
        <f ca="1">VLOOKUP(Data!M3687,temp!$B$3:$C$9,2,1)</f>
        <v>30-40</v>
      </c>
      <c r="O3687">
        <v>-1741</v>
      </c>
      <c r="P3687" s="8">
        <f t="shared" si="235"/>
        <v>4.7665982203969888</v>
      </c>
      <c r="Q3687" s="5" t="str">
        <f t="shared" si="237"/>
        <v>Employed</v>
      </c>
      <c r="R3687">
        <v>1</v>
      </c>
      <c r="S3687">
        <v>0</v>
      </c>
      <c r="T3687">
        <v>0</v>
      </c>
      <c r="U3687">
        <v>0</v>
      </c>
      <c r="V3687" t="s">
        <v>29</v>
      </c>
      <c r="W3687">
        <v>4</v>
      </c>
    </row>
    <row r="3688" spans="1:23" x14ac:dyDescent="0.2">
      <c r="A3688">
        <v>5117659</v>
      </c>
      <c r="B3688" t="s">
        <v>18</v>
      </c>
      <c r="C3688" t="s">
        <v>20</v>
      </c>
      <c r="D3688" t="s">
        <v>19</v>
      </c>
      <c r="E3688">
        <v>0</v>
      </c>
      <c r="F3688">
        <v>69750</v>
      </c>
      <c r="G3688" t="s">
        <v>21</v>
      </c>
      <c r="H3688" t="s">
        <v>22</v>
      </c>
      <c r="I3688" t="s">
        <v>42</v>
      </c>
      <c r="J3688" t="s">
        <v>24</v>
      </c>
      <c r="K3688" s="6">
        <f t="shared" ca="1" si="236"/>
        <v>24695</v>
      </c>
      <c r="L3688">
        <v>-21066</v>
      </c>
      <c r="M3688" s="7">
        <f t="shared" ca="1" si="234"/>
        <v>57.675564681724843</v>
      </c>
      <c r="N3688" s="5" t="str">
        <f ca="1">VLOOKUP(Data!M3688,temp!$B$3:$C$9,2,1)</f>
        <v>50-60</v>
      </c>
      <c r="O3688">
        <v>365243</v>
      </c>
      <c r="P3688" s="8">
        <f t="shared" si="235"/>
        <v>0</v>
      </c>
      <c r="Q3688" s="5" t="str">
        <f t="shared" si="237"/>
        <v>Unemployed</v>
      </c>
      <c r="R3688">
        <v>1</v>
      </c>
      <c r="S3688">
        <v>0</v>
      </c>
      <c r="T3688">
        <v>0</v>
      </c>
      <c r="U3688">
        <v>0</v>
      </c>
      <c r="W3688">
        <v>1</v>
      </c>
    </row>
    <row r="3689" spans="1:23" x14ac:dyDescent="0.2">
      <c r="A3689">
        <v>5117666</v>
      </c>
      <c r="B3689" t="s">
        <v>25</v>
      </c>
      <c r="C3689" t="s">
        <v>19</v>
      </c>
      <c r="D3689" t="s">
        <v>19</v>
      </c>
      <c r="E3689">
        <v>0</v>
      </c>
      <c r="F3689">
        <v>162000</v>
      </c>
      <c r="G3689" t="s">
        <v>21</v>
      </c>
      <c r="H3689" t="s">
        <v>27</v>
      </c>
      <c r="I3689" t="s">
        <v>28</v>
      </c>
      <c r="J3689" t="s">
        <v>24</v>
      </c>
      <c r="K3689" s="6">
        <f t="shared" ca="1" si="236"/>
        <v>22106</v>
      </c>
      <c r="L3689">
        <v>-23655</v>
      </c>
      <c r="M3689" s="7">
        <f t="shared" ca="1" si="234"/>
        <v>64.763860369609858</v>
      </c>
      <c r="N3689" s="5" t="str">
        <f ca="1">VLOOKUP(Data!M3689,temp!$B$3:$C$9,2,1)</f>
        <v>60-70</v>
      </c>
      <c r="O3689">
        <v>365243</v>
      </c>
      <c r="P3689" s="8">
        <f t="shared" si="235"/>
        <v>0</v>
      </c>
      <c r="Q3689" s="5" t="str">
        <f t="shared" si="237"/>
        <v>Unemployed</v>
      </c>
      <c r="R3689">
        <v>1</v>
      </c>
      <c r="S3689">
        <v>0</v>
      </c>
      <c r="T3689">
        <v>0</v>
      </c>
      <c r="U3689">
        <v>0</v>
      </c>
      <c r="W3689">
        <v>2</v>
      </c>
    </row>
    <row r="3690" spans="1:23" x14ac:dyDescent="0.2">
      <c r="A3690">
        <v>5117697</v>
      </c>
      <c r="B3690" t="s">
        <v>18</v>
      </c>
      <c r="C3690" t="s">
        <v>19</v>
      </c>
      <c r="D3690" t="s">
        <v>19</v>
      </c>
      <c r="E3690">
        <v>0</v>
      </c>
      <c r="F3690">
        <v>265500</v>
      </c>
      <c r="G3690" t="s">
        <v>35</v>
      </c>
      <c r="H3690" t="s">
        <v>27</v>
      </c>
      <c r="I3690" t="s">
        <v>23</v>
      </c>
      <c r="J3690" t="s">
        <v>24</v>
      </c>
      <c r="K3690" s="6">
        <f t="shared" ca="1" si="236"/>
        <v>23099</v>
      </c>
      <c r="L3690">
        <v>-22662</v>
      </c>
      <c r="M3690" s="7">
        <f t="shared" ca="1" si="234"/>
        <v>62.045174537987677</v>
      </c>
      <c r="N3690" s="5" t="str">
        <f ca="1">VLOOKUP(Data!M3690,temp!$B$3:$C$9,2,1)</f>
        <v>60-70</v>
      </c>
      <c r="O3690">
        <v>-4206</v>
      </c>
      <c r="P3690" s="8">
        <f t="shared" si="235"/>
        <v>11.515400410677618</v>
      </c>
      <c r="Q3690" s="5" t="str">
        <f t="shared" si="237"/>
        <v>Employed</v>
      </c>
      <c r="R3690">
        <v>1</v>
      </c>
      <c r="S3690">
        <v>0</v>
      </c>
      <c r="T3690">
        <v>0</v>
      </c>
      <c r="U3690">
        <v>0</v>
      </c>
      <c r="W3690">
        <v>1</v>
      </c>
    </row>
    <row r="3691" spans="1:23" x14ac:dyDescent="0.2">
      <c r="A3691">
        <v>5117704</v>
      </c>
      <c r="B3691" t="s">
        <v>25</v>
      </c>
      <c r="C3691" t="s">
        <v>20</v>
      </c>
      <c r="D3691" t="s">
        <v>19</v>
      </c>
      <c r="E3691">
        <v>0</v>
      </c>
      <c r="F3691">
        <v>315000</v>
      </c>
      <c r="G3691" t="s">
        <v>31</v>
      </c>
      <c r="H3691" t="s">
        <v>22</v>
      </c>
      <c r="I3691" t="s">
        <v>28</v>
      </c>
      <c r="J3691" t="s">
        <v>24</v>
      </c>
      <c r="K3691" s="6">
        <f t="shared" ca="1" si="236"/>
        <v>25442</v>
      </c>
      <c r="L3691">
        <v>-20319</v>
      </c>
      <c r="M3691" s="7">
        <f t="shared" ca="1" si="234"/>
        <v>55.630390143737166</v>
      </c>
      <c r="N3691" s="5" t="str">
        <f ca="1">VLOOKUP(Data!M3691,temp!$B$3:$C$9,2,1)</f>
        <v>50-60</v>
      </c>
      <c r="O3691">
        <v>-3961</v>
      </c>
      <c r="P3691" s="8">
        <f t="shared" si="235"/>
        <v>10.844626967830253</v>
      </c>
      <c r="Q3691" s="5" t="str">
        <f t="shared" si="237"/>
        <v>Employed</v>
      </c>
      <c r="R3691">
        <v>1</v>
      </c>
      <c r="S3691">
        <v>1</v>
      </c>
      <c r="T3691">
        <v>0</v>
      </c>
      <c r="U3691">
        <v>0</v>
      </c>
      <c r="W3691">
        <v>2</v>
      </c>
    </row>
    <row r="3692" spans="1:23" x14ac:dyDescent="0.2">
      <c r="A3692">
        <v>5117707</v>
      </c>
      <c r="B3692" t="s">
        <v>25</v>
      </c>
      <c r="C3692" t="s">
        <v>20</v>
      </c>
      <c r="D3692" t="s">
        <v>19</v>
      </c>
      <c r="E3692">
        <v>0</v>
      </c>
      <c r="F3692">
        <v>315000</v>
      </c>
      <c r="G3692" t="s">
        <v>31</v>
      </c>
      <c r="H3692" t="s">
        <v>22</v>
      </c>
      <c r="I3692" t="s">
        <v>28</v>
      </c>
      <c r="J3692" t="s">
        <v>24</v>
      </c>
      <c r="K3692" s="6">
        <f t="shared" ca="1" si="236"/>
        <v>25442</v>
      </c>
      <c r="L3692">
        <v>-20319</v>
      </c>
      <c r="M3692" s="7">
        <f t="shared" ca="1" si="234"/>
        <v>55.630390143737166</v>
      </c>
      <c r="N3692" s="5" t="str">
        <f ca="1">VLOOKUP(Data!M3692,temp!$B$3:$C$9,2,1)</f>
        <v>50-60</v>
      </c>
      <c r="O3692">
        <v>-3961</v>
      </c>
      <c r="P3692" s="8">
        <f t="shared" si="235"/>
        <v>10.844626967830253</v>
      </c>
      <c r="Q3692" s="5" t="str">
        <f t="shared" si="237"/>
        <v>Employed</v>
      </c>
      <c r="R3692">
        <v>1</v>
      </c>
      <c r="S3692">
        <v>1</v>
      </c>
      <c r="T3692">
        <v>0</v>
      </c>
      <c r="U3692">
        <v>0</v>
      </c>
      <c r="W3692">
        <v>2</v>
      </c>
    </row>
    <row r="3693" spans="1:23" x14ac:dyDescent="0.2">
      <c r="A3693">
        <v>5117710</v>
      </c>
      <c r="B3693" t="s">
        <v>18</v>
      </c>
      <c r="C3693" t="s">
        <v>19</v>
      </c>
      <c r="D3693" t="s">
        <v>19</v>
      </c>
      <c r="E3693">
        <v>2</v>
      </c>
      <c r="F3693">
        <v>76500</v>
      </c>
      <c r="G3693" t="s">
        <v>26</v>
      </c>
      <c r="H3693" t="s">
        <v>27</v>
      </c>
      <c r="I3693" t="s">
        <v>28</v>
      </c>
      <c r="J3693" t="s">
        <v>24</v>
      </c>
      <c r="K3693" s="6">
        <f t="shared" ca="1" si="236"/>
        <v>33783</v>
      </c>
      <c r="L3693">
        <v>-11978</v>
      </c>
      <c r="M3693" s="7">
        <f t="shared" ca="1" si="234"/>
        <v>32.793976728268312</v>
      </c>
      <c r="N3693" s="5" t="str">
        <f ca="1">VLOOKUP(Data!M3693,temp!$B$3:$C$9,2,1)</f>
        <v>30-40</v>
      </c>
      <c r="O3693">
        <v>-370</v>
      </c>
      <c r="P3693" s="8">
        <f t="shared" si="235"/>
        <v>1.0130047912388775</v>
      </c>
      <c r="Q3693" s="5" t="str">
        <f t="shared" si="237"/>
        <v>Employed</v>
      </c>
      <c r="R3693">
        <v>1</v>
      </c>
      <c r="S3693">
        <v>0</v>
      </c>
      <c r="T3693">
        <v>0</v>
      </c>
      <c r="U3693">
        <v>0</v>
      </c>
      <c r="W3693">
        <v>4</v>
      </c>
    </row>
    <row r="3694" spans="1:23" x14ac:dyDescent="0.2">
      <c r="A3694">
        <v>5117756</v>
      </c>
      <c r="B3694" t="s">
        <v>25</v>
      </c>
      <c r="C3694" t="s">
        <v>20</v>
      </c>
      <c r="D3694" t="s">
        <v>19</v>
      </c>
      <c r="E3694">
        <v>0</v>
      </c>
      <c r="F3694">
        <v>306000</v>
      </c>
      <c r="G3694" t="s">
        <v>31</v>
      </c>
      <c r="H3694" t="s">
        <v>27</v>
      </c>
      <c r="I3694" t="s">
        <v>28</v>
      </c>
      <c r="J3694" t="s">
        <v>24</v>
      </c>
      <c r="K3694" s="6">
        <f t="shared" ca="1" si="236"/>
        <v>29750</v>
      </c>
      <c r="L3694">
        <v>-16011</v>
      </c>
      <c r="M3694" s="7">
        <f t="shared" ca="1" si="234"/>
        <v>43.835728952772072</v>
      </c>
      <c r="N3694" s="5" t="str">
        <f ca="1">VLOOKUP(Data!M3694,temp!$B$3:$C$9,2,1)</f>
        <v>40-50</v>
      </c>
      <c r="O3694">
        <v>-1649</v>
      </c>
      <c r="P3694" s="8">
        <f t="shared" si="235"/>
        <v>4.514715947980835</v>
      </c>
      <c r="Q3694" s="5" t="str">
        <f t="shared" si="237"/>
        <v>Employed</v>
      </c>
      <c r="R3694">
        <v>1</v>
      </c>
      <c r="S3694">
        <v>0</v>
      </c>
      <c r="T3694">
        <v>0</v>
      </c>
      <c r="U3694">
        <v>0</v>
      </c>
      <c r="V3694" t="s">
        <v>32</v>
      </c>
      <c r="W3694">
        <v>2</v>
      </c>
    </row>
    <row r="3695" spans="1:23" x14ac:dyDescent="0.2">
      <c r="A3695">
        <v>5117761</v>
      </c>
      <c r="B3695" t="s">
        <v>18</v>
      </c>
      <c r="C3695" t="s">
        <v>19</v>
      </c>
      <c r="D3695" t="s">
        <v>19</v>
      </c>
      <c r="E3695">
        <v>0</v>
      </c>
      <c r="F3695">
        <v>74250</v>
      </c>
      <c r="G3695" t="s">
        <v>35</v>
      </c>
      <c r="H3695" t="s">
        <v>27</v>
      </c>
      <c r="I3695" t="s">
        <v>28</v>
      </c>
      <c r="J3695" t="s">
        <v>24</v>
      </c>
      <c r="K3695" s="6">
        <f t="shared" ca="1" si="236"/>
        <v>25830</v>
      </c>
      <c r="L3695">
        <v>-19931</v>
      </c>
      <c r="M3695" s="7">
        <f t="shared" ca="1" si="234"/>
        <v>54.568104038329913</v>
      </c>
      <c r="N3695" s="5" t="str">
        <f ca="1">VLOOKUP(Data!M3695,temp!$B$3:$C$9,2,1)</f>
        <v>50-60</v>
      </c>
      <c r="O3695">
        <v>-3141</v>
      </c>
      <c r="P3695" s="8">
        <f t="shared" si="235"/>
        <v>8.5995893223819309</v>
      </c>
      <c r="Q3695" s="5" t="str">
        <f t="shared" si="237"/>
        <v>Employed</v>
      </c>
      <c r="R3695">
        <v>1</v>
      </c>
      <c r="S3695">
        <v>1</v>
      </c>
      <c r="T3695">
        <v>0</v>
      </c>
      <c r="U3695">
        <v>0</v>
      </c>
      <c r="V3695" t="s">
        <v>38</v>
      </c>
      <c r="W3695">
        <v>2</v>
      </c>
    </row>
    <row r="3696" spans="1:23" x14ac:dyDescent="0.2">
      <c r="A3696">
        <v>5117770</v>
      </c>
      <c r="B3696" t="s">
        <v>18</v>
      </c>
      <c r="C3696" t="s">
        <v>20</v>
      </c>
      <c r="D3696" t="s">
        <v>19</v>
      </c>
      <c r="E3696">
        <v>0</v>
      </c>
      <c r="F3696">
        <v>144000</v>
      </c>
      <c r="G3696" t="s">
        <v>31</v>
      </c>
      <c r="H3696" t="s">
        <v>27</v>
      </c>
      <c r="I3696" t="s">
        <v>42</v>
      </c>
      <c r="J3696" t="s">
        <v>24</v>
      </c>
      <c r="K3696" s="6">
        <f t="shared" ca="1" si="236"/>
        <v>31354</v>
      </c>
      <c r="L3696">
        <v>-14407</v>
      </c>
      <c r="M3696" s="7">
        <f t="shared" ca="1" si="234"/>
        <v>39.444216290212182</v>
      </c>
      <c r="N3696" s="5" t="str">
        <f ca="1">VLOOKUP(Data!M3696,temp!$B$3:$C$9,2,1)</f>
        <v>30-40</v>
      </c>
      <c r="O3696">
        <v>-1345</v>
      </c>
      <c r="P3696" s="8">
        <f t="shared" si="235"/>
        <v>3.6824093086926761</v>
      </c>
      <c r="Q3696" s="5" t="str">
        <f t="shared" si="237"/>
        <v>Employed</v>
      </c>
      <c r="R3696">
        <v>1</v>
      </c>
      <c r="S3696">
        <v>0</v>
      </c>
      <c r="T3696">
        <v>0</v>
      </c>
      <c r="U3696">
        <v>0</v>
      </c>
      <c r="V3696" t="s">
        <v>58</v>
      </c>
      <c r="W3696">
        <v>1</v>
      </c>
    </row>
    <row r="3697" spans="1:23" x14ac:dyDescent="0.2">
      <c r="A3697">
        <v>5117778</v>
      </c>
      <c r="B3697" t="s">
        <v>18</v>
      </c>
      <c r="C3697" t="s">
        <v>20</v>
      </c>
      <c r="D3697" t="s">
        <v>19</v>
      </c>
      <c r="E3697">
        <v>0</v>
      </c>
      <c r="F3697">
        <v>144000</v>
      </c>
      <c r="G3697" t="s">
        <v>31</v>
      </c>
      <c r="H3697" t="s">
        <v>27</v>
      </c>
      <c r="I3697" t="s">
        <v>42</v>
      </c>
      <c r="J3697" t="s">
        <v>24</v>
      </c>
      <c r="K3697" s="6">
        <f t="shared" ca="1" si="236"/>
        <v>31354</v>
      </c>
      <c r="L3697">
        <v>-14407</v>
      </c>
      <c r="M3697" s="7">
        <f t="shared" ca="1" si="234"/>
        <v>39.444216290212182</v>
      </c>
      <c r="N3697" s="5" t="str">
        <f ca="1">VLOOKUP(Data!M3697,temp!$B$3:$C$9,2,1)</f>
        <v>30-40</v>
      </c>
      <c r="O3697">
        <v>-1345</v>
      </c>
      <c r="P3697" s="8">
        <f t="shared" si="235"/>
        <v>3.6824093086926761</v>
      </c>
      <c r="Q3697" s="5" t="str">
        <f t="shared" si="237"/>
        <v>Employed</v>
      </c>
      <c r="R3697">
        <v>1</v>
      </c>
      <c r="S3697">
        <v>0</v>
      </c>
      <c r="T3697">
        <v>0</v>
      </c>
      <c r="U3697">
        <v>0</v>
      </c>
      <c r="V3697" t="s">
        <v>58</v>
      </c>
      <c r="W3697">
        <v>1</v>
      </c>
    </row>
    <row r="3698" spans="1:23" x14ac:dyDescent="0.2">
      <c r="A3698">
        <v>5117779</v>
      </c>
      <c r="B3698" t="s">
        <v>18</v>
      </c>
      <c r="C3698" t="s">
        <v>20</v>
      </c>
      <c r="D3698" t="s">
        <v>19</v>
      </c>
      <c r="E3698">
        <v>0</v>
      </c>
      <c r="F3698">
        <v>144000</v>
      </c>
      <c r="G3698" t="s">
        <v>31</v>
      </c>
      <c r="H3698" t="s">
        <v>27</v>
      </c>
      <c r="I3698" t="s">
        <v>42</v>
      </c>
      <c r="J3698" t="s">
        <v>24</v>
      </c>
      <c r="K3698" s="6">
        <f t="shared" ca="1" si="236"/>
        <v>31354</v>
      </c>
      <c r="L3698">
        <v>-14407</v>
      </c>
      <c r="M3698" s="7">
        <f t="shared" ca="1" si="234"/>
        <v>39.444216290212182</v>
      </c>
      <c r="N3698" s="5" t="str">
        <f ca="1">VLOOKUP(Data!M3698,temp!$B$3:$C$9,2,1)</f>
        <v>30-40</v>
      </c>
      <c r="O3698">
        <v>-1345</v>
      </c>
      <c r="P3698" s="8">
        <f t="shared" si="235"/>
        <v>3.6824093086926761</v>
      </c>
      <c r="Q3698" s="5" t="str">
        <f t="shared" si="237"/>
        <v>Employed</v>
      </c>
      <c r="R3698">
        <v>1</v>
      </c>
      <c r="S3698">
        <v>0</v>
      </c>
      <c r="T3698">
        <v>0</v>
      </c>
      <c r="U3698">
        <v>0</v>
      </c>
      <c r="V3698" t="s">
        <v>58</v>
      </c>
      <c r="W3698">
        <v>1</v>
      </c>
    </row>
    <row r="3699" spans="1:23" x14ac:dyDescent="0.2">
      <c r="A3699">
        <v>5117801</v>
      </c>
      <c r="B3699" t="s">
        <v>25</v>
      </c>
      <c r="C3699" t="s">
        <v>19</v>
      </c>
      <c r="D3699" t="s">
        <v>19</v>
      </c>
      <c r="E3699">
        <v>0</v>
      </c>
      <c r="F3699">
        <v>112500</v>
      </c>
      <c r="G3699" t="s">
        <v>21</v>
      </c>
      <c r="H3699" t="s">
        <v>27</v>
      </c>
      <c r="I3699" t="s">
        <v>28</v>
      </c>
      <c r="J3699" t="s">
        <v>24</v>
      </c>
      <c r="K3699" s="6">
        <f t="shared" ca="1" si="236"/>
        <v>22791</v>
      </c>
      <c r="L3699">
        <v>-22970</v>
      </c>
      <c r="M3699" s="7">
        <f t="shared" ca="1" si="234"/>
        <v>62.888432580424364</v>
      </c>
      <c r="N3699" s="5" t="str">
        <f ca="1">VLOOKUP(Data!M3699,temp!$B$3:$C$9,2,1)</f>
        <v>60-70</v>
      </c>
      <c r="O3699">
        <v>365243</v>
      </c>
      <c r="P3699" s="8">
        <f t="shared" si="235"/>
        <v>0</v>
      </c>
      <c r="Q3699" s="5" t="str">
        <f t="shared" si="237"/>
        <v>Unemployed</v>
      </c>
      <c r="R3699">
        <v>1</v>
      </c>
      <c r="S3699">
        <v>0</v>
      </c>
      <c r="T3699">
        <v>0</v>
      </c>
      <c r="U3699">
        <v>0</v>
      </c>
      <c r="W3699">
        <v>2</v>
      </c>
    </row>
    <row r="3700" spans="1:23" x14ac:dyDescent="0.2">
      <c r="A3700">
        <v>5117805</v>
      </c>
      <c r="B3700" t="s">
        <v>18</v>
      </c>
      <c r="C3700" t="s">
        <v>19</v>
      </c>
      <c r="D3700" t="s">
        <v>19</v>
      </c>
      <c r="E3700">
        <v>0</v>
      </c>
      <c r="F3700">
        <v>67500</v>
      </c>
      <c r="G3700" t="s">
        <v>21</v>
      </c>
      <c r="H3700" t="s">
        <v>27</v>
      </c>
      <c r="I3700" t="s">
        <v>42</v>
      </c>
      <c r="J3700" t="s">
        <v>24</v>
      </c>
      <c r="K3700" s="6">
        <f t="shared" ca="1" si="236"/>
        <v>24144</v>
      </c>
      <c r="L3700">
        <v>-21617</v>
      </c>
      <c r="M3700" s="7">
        <f t="shared" ca="1" si="234"/>
        <v>59.184120465434631</v>
      </c>
      <c r="N3700" s="5" t="str">
        <f ca="1">VLOOKUP(Data!M3700,temp!$B$3:$C$9,2,1)</f>
        <v>50-60</v>
      </c>
      <c r="O3700">
        <v>365243</v>
      </c>
      <c r="P3700" s="8">
        <f t="shared" si="235"/>
        <v>0</v>
      </c>
      <c r="Q3700" s="5" t="str">
        <f t="shared" si="237"/>
        <v>Unemployed</v>
      </c>
      <c r="R3700">
        <v>1</v>
      </c>
      <c r="S3700">
        <v>0</v>
      </c>
      <c r="T3700">
        <v>0</v>
      </c>
      <c r="U3700">
        <v>0</v>
      </c>
      <c r="W3700">
        <v>1</v>
      </c>
    </row>
    <row r="3701" spans="1:23" x14ac:dyDescent="0.2">
      <c r="A3701">
        <v>5117815</v>
      </c>
      <c r="B3701" t="s">
        <v>25</v>
      </c>
      <c r="C3701" t="s">
        <v>19</v>
      </c>
      <c r="D3701" t="s">
        <v>19</v>
      </c>
      <c r="E3701">
        <v>0</v>
      </c>
      <c r="F3701">
        <v>126000</v>
      </c>
      <c r="G3701" t="s">
        <v>21</v>
      </c>
      <c r="H3701" t="s">
        <v>22</v>
      </c>
      <c r="I3701" t="s">
        <v>28</v>
      </c>
      <c r="J3701" t="s">
        <v>24</v>
      </c>
      <c r="K3701" s="6">
        <f t="shared" ca="1" si="236"/>
        <v>25138</v>
      </c>
      <c r="L3701">
        <v>-20623</v>
      </c>
      <c r="M3701" s="7">
        <f t="shared" ca="1" si="234"/>
        <v>56.462696783025322</v>
      </c>
      <c r="N3701" s="5" t="str">
        <f ca="1">VLOOKUP(Data!M3701,temp!$B$3:$C$9,2,1)</f>
        <v>50-60</v>
      </c>
      <c r="O3701">
        <v>365243</v>
      </c>
      <c r="P3701" s="8">
        <f t="shared" si="235"/>
        <v>0</v>
      </c>
      <c r="Q3701" s="5" t="str">
        <f t="shared" si="237"/>
        <v>Unemployed</v>
      </c>
      <c r="R3701">
        <v>1</v>
      </c>
      <c r="S3701">
        <v>0</v>
      </c>
      <c r="T3701">
        <v>1</v>
      </c>
      <c r="U3701">
        <v>0</v>
      </c>
      <c r="W3701">
        <v>2</v>
      </c>
    </row>
    <row r="3702" spans="1:23" x14ac:dyDescent="0.2">
      <c r="A3702">
        <v>5117820</v>
      </c>
      <c r="B3702" t="s">
        <v>25</v>
      </c>
      <c r="C3702" t="s">
        <v>20</v>
      </c>
      <c r="D3702" t="s">
        <v>19</v>
      </c>
      <c r="E3702">
        <v>0</v>
      </c>
      <c r="F3702">
        <v>274500</v>
      </c>
      <c r="G3702" t="s">
        <v>26</v>
      </c>
      <c r="H3702" t="s">
        <v>27</v>
      </c>
      <c r="I3702" t="s">
        <v>28</v>
      </c>
      <c r="J3702" t="s">
        <v>24</v>
      </c>
      <c r="K3702" s="6">
        <f t="shared" ca="1" si="236"/>
        <v>28313</v>
      </c>
      <c r="L3702">
        <v>-17448</v>
      </c>
      <c r="M3702" s="7">
        <f t="shared" ca="1" si="234"/>
        <v>47.770020533880903</v>
      </c>
      <c r="N3702" s="5" t="str">
        <f ca="1">VLOOKUP(Data!M3702,temp!$B$3:$C$9,2,1)</f>
        <v>40-50</v>
      </c>
      <c r="O3702">
        <v>-3567</v>
      </c>
      <c r="P3702" s="8">
        <f t="shared" si="235"/>
        <v>9.765913757700206</v>
      </c>
      <c r="Q3702" s="5" t="str">
        <f t="shared" si="237"/>
        <v>Employed</v>
      </c>
      <c r="R3702">
        <v>1</v>
      </c>
      <c r="S3702">
        <v>0</v>
      </c>
      <c r="T3702">
        <v>0</v>
      </c>
      <c r="U3702">
        <v>0</v>
      </c>
      <c r="V3702" t="s">
        <v>29</v>
      </c>
      <c r="W3702">
        <v>2</v>
      </c>
    </row>
    <row r="3703" spans="1:23" x14ac:dyDescent="0.2">
      <c r="A3703">
        <v>5117823</v>
      </c>
      <c r="B3703" t="s">
        <v>25</v>
      </c>
      <c r="C3703" t="s">
        <v>20</v>
      </c>
      <c r="D3703" t="s">
        <v>19</v>
      </c>
      <c r="E3703">
        <v>0</v>
      </c>
      <c r="F3703">
        <v>274500</v>
      </c>
      <c r="G3703" t="s">
        <v>26</v>
      </c>
      <c r="H3703" t="s">
        <v>27</v>
      </c>
      <c r="I3703" t="s">
        <v>28</v>
      </c>
      <c r="J3703" t="s">
        <v>24</v>
      </c>
      <c r="K3703" s="6">
        <f t="shared" ca="1" si="236"/>
        <v>28313</v>
      </c>
      <c r="L3703">
        <v>-17448</v>
      </c>
      <c r="M3703" s="7">
        <f t="shared" ca="1" si="234"/>
        <v>47.770020533880903</v>
      </c>
      <c r="N3703" s="5" t="str">
        <f ca="1">VLOOKUP(Data!M3703,temp!$B$3:$C$9,2,1)</f>
        <v>40-50</v>
      </c>
      <c r="O3703">
        <v>-3567</v>
      </c>
      <c r="P3703" s="8">
        <f t="shared" si="235"/>
        <v>9.765913757700206</v>
      </c>
      <c r="Q3703" s="5" t="str">
        <f t="shared" si="237"/>
        <v>Employed</v>
      </c>
      <c r="R3703">
        <v>1</v>
      </c>
      <c r="S3703">
        <v>0</v>
      </c>
      <c r="T3703">
        <v>0</v>
      </c>
      <c r="U3703">
        <v>0</v>
      </c>
      <c r="V3703" t="s">
        <v>29</v>
      </c>
      <c r="W3703">
        <v>2</v>
      </c>
    </row>
    <row r="3704" spans="1:23" x14ac:dyDescent="0.2">
      <c r="A3704">
        <v>5117826</v>
      </c>
      <c r="B3704" t="s">
        <v>25</v>
      </c>
      <c r="C3704" t="s">
        <v>20</v>
      </c>
      <c r="D3704" t="s">
        <v>20</v>
      </c>
      <c r="E3704">
        <v>0</v>
      </c>
      <c r="F3704">
        <v>202500</v>
      </c>
      <c r="G3704" t="s">
        <v>21</v>
      </c>
      <c r="H3704" t="s">
        <v>27</v>
      </c>
      <c r="I3704" t="s">
        <v>28</v>
      </c>
      <c r="J3704" t="s">
        <v>24</v>
      </c>
      <c r="K3704" s="6">
        <f t="shared" ca="1" si="236"/>
        <v>29688</v>
      </c>
      <c r="L3704">
        <v>-16073</v>
      </c>
      <c r="M3704" s="7">
        <f t="shared" ca="1" si="234"/>
        <v>44.005475701574262</v>
      </c>
      <c r="N3704" s="5" t="str">
        <f ca="1">VLOOKUP(Data!M3704,temp!$B$3:$C$9,2,1)</f>
        <v>40-50</v>
      </c>
      <c r="O3704">
        <v>365243</v>
      </c>
      <c r="P3704" s="8">
        <f t="shared" si="235"/>
        <v>0</v>
      </c>
      <c r="Q3704" s="5" t="str">
        <f t="shared" si="237"/>
        <v>Unemployed</v>
      </c>
      <c r="R3704">
        <v>1</v>
      </c>
      <c r="S3704">
        <v>0</v>
      </c>
      <c r="T3704">
        <v>0</v>
      </c>
      <c r="U3704">
        <v>0</v>
      </c>
      <c r="W3704">
        <v>2</v>
      </c>
    </row>
    <row r="3705" spans="1:23" x14ac:dyDescent="0.2">
      <c r="A3705">
        <v>5117837</v>
      </c>
      <c r="B3705" t="s">
        <v>25</v>
      </c>
      <c r="C3705" t="s">
        <v>20</v>
      </c>
      <c r="D3705" t="s">
        <v>19</v>
      </c>
      <c r="E3705">
        <v>0</v>
      </c>
      <c r="F3705">
        <v>157500</v>
      </c>
      <c r="G3705" t="s">
        <v>31</v>
      </c>
      <c r="H3705" t="s">
        <v>27</v>
      </c>
      <c r="I3705" t="s">
        <v>28</v>
      </c>
      <c r="J3705" t="s">
        <v>24</v>
      </c>
      <c r="K3705" s="6">
        <f t="shared" ca="1" si="236"/>
        <v>25918</v>
      </c>
      <c r="L3705">
        <v>-19843</v>
      </c>
      <c r="M3705" s="7">
        <f t="shared" ca="1" si="234"/>
        <v>54.327173169062284</v>
      </c>
      <c r="N3705" s="5" t="str">
        <f ca="1">VLOOKUP(Data!M3705,temp!$B$3:$C$9,2,1)</f>
        <v>50-60</v>
      </c>
      <c r="O3705">
        <v>-1922</v>
      </c>
      <c r="P3705" s="8">
        <f t="shared" si="235"/>
        <v>5.2621492128678984</v>
      </c>
      <c r="Q3705" s="5" t="str">
        <f t="shared" si="237"/>
        <v>Employed</v>
      </c>
      <c r="R3705">
        <v>1</v>
      </c>
      <c r="S3705">
        <v>0</v>
      </c>
      <c r="T3705">
        <v>0</v>
      </c>
      <c r="U3705">
        <v>0</v>
      </c>
      <c r="V3705" t="s">
        <v>32</v>
      </c>
      <c r="W3705">
        <v>2</v>
      </c>
    </row>
    <row r="3706" spans="1:23" x14ac:dyDescent="0.2">
      <c r="A3706">
        <v>5117852</v>
      </c>
      <c r="B3706" t="s">
        <v>18</v>
      </c>
      <c r="C3706" t="s">
        <v>19</v>
      </c>
      <c r="D3706" t="s">
        <v>19</v>
      </c>
      <c r="E3706">
        <v>1</v>
      </c>
      <c r="F3706">
        <v>135000</v>
      </c>
      <c r="G3706" t="s">
        <v>31</v>
      </c>
      <c r="H3706" t="s">
        <v>22</v>
      </c>
      <c r="I3706" t="s">
        <v>28</v>
      </c>
      <c r="J3706" t="s">
        <v>41</v>
      </c>
      <c r="K3706" s="6">
        <f t="shared" ca="1" si="236"/>
        <v>34884</v>
      </c>
      <c r="L3706">
        <v>-10877</v>
      </c>
      <c r="M3706" s="7">
        <f t="shared" ca="1" si="234"/>
        <v>29.779603011635867</v>
      </c>
      <c r="N3706" s="5" t="str">
        <f ca="1">VLOOKUP(Data!M3706,temp!$B$3:$C$9,2,1)</f>
        <v>20-30</v>
      </c>
      <c r="O3706">
        <v>-2349</v>
      </c>
      <c r="P3706" s="8">
        <f t="shared" si="235"/>
        <v>6.4312114989733056</v>
      </c>
      <c r="Q3706" s="5" t="str">
        <f t="shared" si="237"/>
        <v>Employed</v>
      </c>
      <c r="R3706">
        <v>1</v>
      </c>
      <c r="S3706">
        <v>0</v>
      </c>
      <c r="T3706">
        <v>0</v>
      </c>
      <c r="U3706">
        <v>0</v>
      </c>
      <c r="V3706" t="s">
        <v>38</v>
      </c>
      <c r="W3706">
        <v>3</v>
      </c>
    </row>
    <row r="3707" spans="1:23" x14ac:dyDescent="0.2">
      <c r="A3707">
        <v>5117862</v>
      </c>
      <c r="B3707" t="s">
        <v>18</v>
      </c>
      <c r="C3707" t="s">
        <v>19</v>
      </c>
      <c r="D3707" t="s">
        <v>19</v>
      </c>
      <c r="E3707">
        <v>0</v>
      </c>
      <c r="F3707">
        <v>90000</v>
      </c>
      <c r="G3707" t="s">
        <v>21</v>
      </c>
      <c r="H3707" t="s">
        <v>27</v>
      </c>
      <c r="I3707" t="s">
        <v>33</v>
      </c>
      <c r="J3707" t="s">
        <v>24</v>
      </c>
      <c r="K3707" s="6">
        <f t="shared" ca="1" si="236"/>
        <v>20918</v>
      </c>
      <c r="L3707">
        <v>-24843</v>
      </c>
      <c r="M3707" s="7">
        <f t="shared" ca="1" si="234"/>
        <v>68.016427104722794</v>
      </c>
      <c r="N3707" s="5" t="str">
        <f ca="1">VLOOKUP(Data!M3707,temp!$B$3:$C$9,2,1)</f>
        <v>60-70</v>
      </c>
      <c r="O3707">
        <v>365243</v>
      </c>
      <c r="P3707" s="8">
        <f t="shared" si="235"/>
        <v>0</v>
      </c>
      <c r="Q3707" s="5" t="str">
        <f t="shared" si="237"/>
        <v>Unemployed</v>
      </c>
      <c r="R3707">
        <v>1</v>
      </c>
      <c r="S3707">
        <v>0</v>
      </c>
      <c r="T3707">
        <v>0</v>
      </c>
      <c r="U3707">
        <v>0</v>
      </c>
      <c r="W3707">
        <v>1</v>
      </c>
    </row>
    <row r="3708" spans="1:23" x14ac:dyDescent="0.2">
      <c r="A3708">
        <v>5117873</v>
      </c>
      <c r="B3708" t="s">
        <v>18</v>
      </c>
      <c r="C3708" t="s">
        <v>19</v>
      </c>
      <c r="D3708" t="s">
        <v>19</v>
      </c>
      <c r="E3708">
        <v>0</v>
      </c>
      <c r="F3708">
        <v>157500</v>
      </c>
      <c r="G3708" t="s">
        <v>31</v>
      </c>
      <c r="H3708" t="s">
        <v>22</v>
      </c>
      <c r="I3708" t="s">
        <v>28</v>
      </c>
      <c r="J3708" t="s">
        <v>24</v>
      </c>
      <c r="K3708" s="6">
        <f t="shared" ca="1" si="236"/>
        <v>36338</v>
      </c>
      <c r="L3708">
        <v>-9423</v>
      </c>
      <c r="M3708" s="7">
        <f t="shared" ca="1" si="234"/>
        <v>25.798767967145789</v>
      </c>
      <c r="N3708" s="5" t="str">
        <f ca="1">VLOOKUP(Data!M3708,temp!$B$3:$C$9,2,1)</f>
        <v>20-30</v>
      </c>
      <c r="O3708">
        <v>-370</v>
      </c>
      <c r="P3708" s="8">
        <f t="shared" si="235"/>
        <v>1.0130047912388775</v>
      </c>
      <c r="Q3708" s="5" t="str">
        <f t="shared" si="237"/>
        <v>Employed</v>
      </c>
      <c r="R3708">
        <v>1</v>
      </c>
      <c r="S3708">
        <v>1</v>
      </c>
      <c r="T3708">
        <v>0</v>
      </c>
      <c r="U3708">
        <v>0</v>
      </c>
      <c r="V3708" t="s">
        <v>39</v>
      </c>
      <c r="W3708">
        <v>2</v>
      </c>
    </row>
    <row r="3709" spans="1:23" x14ac:dyDescent="0.2">
      <c r="A3709">
        <v>5117879</v>
      </c>
      <c r="B3709" t="s">
        <v>25</v>
      </c>
      <c r="C3709" t="s">
        <v>20</v>
      </c>
      <c r="D3709" t="s">
        <v>19</v>
      </c>
      <c r="E3709">
        <v>0</v>
      </c>
      <c r="F3709">
        <v>292500</v>
      </c>
      <c r="G3709" t="s">
        <v>31</v>
      </c>
      <c r="H3709" t="s">
        <v>27</v>
      </c>
      <c r="I3709" t="s">
        <v>28</v>
      </c>
      <c r="J3709" t="s">
        <v>24</v>
      </c>
      <c r="K3709" s="6">
        <f t="shared" ca="1" si="236"/>
        <v>27277</v>
      </c>
      <c r="L3709">
        <v>-18484</v>
      </c>
      <c r="M3709" s="7">
        <f t="shared" ca="1" si="234"/>
        <v>50.606433949349757</v>
      </c>
      <c r="N3709" s="5" t="str">
        <f ca="1">VLOOKUP(Data!M3709,temp!$B$3:$C$9,2,1)</f>
        <v>50-60</v>
      </c>
      <c r="O3709">
        <v>-461</v>
      </c>
      <c r="P3709" s="8">
        <f t="shared" si="235"/>
        <v>1.2621492128678986</v>
      </c>
      <c r="Q3709" s="5" t="str">
        <f t="shared" si="237"/>
        <v>Employed</v>
      </c>
      <c r="R3709">
        <v>1</v>
      </c>
      <c r="S3709">
        <v>0</v>
      </c>
      <c r="T3709">
        <v>1</v>
      </c>
      <c r="U3709">
        <v>0</v>
      </c>
      <c r="V3709" t="s">
        <v>30</v>
      </c>
      <c r="W3709">
        <v>2</v>
      </c>
    </row>
    <row r="3710" spans="1:23" x14ac:dyDescent="0.2">
      <c r="A3710">
        <v>5117883</v>
      </c>
      <c r="B3710" t="s">
        <v>25</v>
      </c>
      <c r="C3710" t="s">
        <v>20</v>
      </c>
      <c r="D3710" t="s">
        <v>19</v>
      </c>
      <c r="E3710">
        <v>0</v>
      </c>
      <c r="F3710">
        <v>292500</v>
      </c>
      <c r="G3710" t="s">
        <v>31</v>
      </c>
      <c r="H3710" t="s">
        <v>27</v>
      </c>
      <c r="I3710" t="s">
        <v>28</v>
      </c>
      <c r="J3710" t="s">
        <v>24</v>
      </c>
      <c r="K3710" s="6">
        <f t="shared" ca="1" si="236"/>
        <v>27277</v>
      </c>
      <c r="L3710">
        <v>-18484</v>
      </c>
      <c r="M3710" s="7">
        <f t="shared" ca="1" si="234"/>
        <v>50.606433949349757</v>
      </c>
      <c r="N3710" s="5" t="str">
        <f ca="1">VLOOKUP(Data!M3710,temp!$B$3:$C$9,2,1)</f>
        <v>50-60</v>
      </c>
      <c r="O3710">
        <v>-461</v>
      </c>
      <c r="P3710" s="8">
        <f t="shared" si="235"/>
        <v>1.2621492128678986</v>
      </c>
      <c r="Q3710" s="5" t="str">
        <f t="shared" si="237"/>
        <v>Employed</v>
      </c>
      <c r="R3710">
        <v>1</v>
      </c>
      <c r="S3710">
        <v>0</v>
      </c>
      <c r="T3710">
        <v>1</v>
      </c>
      <c r="U3710">
        <v>0</v>
      </c>
      <c r="V3710" t="s">
        <v>30</v>
      </c>
      <c r="W3710">
        <v>2</v>
      </c>
    </row>
    <row r="3711" spans="1:23" x14ac:dyDescent="0.2">
      <c r="A3711">
        <v>5117885</v>
      </c>
      <c r="B3711" t="s">
        <v>25</v>
      </c>
      <c r="C3711" t="s">
        <v>20</v>
      </c>
      <c r="D3711" t="s">
        <v>19</v>
      </c>
      <c r="E3711">
        <v>0</v>
      </c>
      <c r="F3711">
        <v>292500</v>
      </c>
      <c r="G3711" t="s">
        <v>31</v>
      </c>
      <c r="H3711" t="s">
        <v>27</v>
      </c>
      <c r="I3711" t="s">
        <v>28</v>
      </c>
      <c r="J3711" t="s">
        <v>24</v>
      </c>
      <c r="K3711" s="6">
        <f t="shared" ca="1" si="236"/>
        <v>27277</v>
      </c>
      <c r="L3711">
        <v>-18484</v>
      </c>
      <c r="M3711" s="7">
        <f t="shared" ca="1" si="234"/>
        <v>50.606433949349757</v>
      </c>
      <c r="N3711" s="5" t="str">
        <f ca="1">VLOOKUP(Data!M3711,temp!$B$3:$C$9,2,1)</f>
        <v>50-60</v>
      </c>
      <c r="O3711">
        <v>-461</v>
      </c>
      <c r="P3711" s="8">
        <f t="shared" si="235"/>
        <v>1.2621492128678986</v>
      </c>
      <c r="Q3711" s="5" t="str">
        <f t="shared" si="237"/>
        <v>Employed</v>
      </c>
      <c r="R3711">
        <v>1</v>
      </c>
      <c r="S3711">
        <v>0</v>
      </c>
      <c r="T3711">
        <v>1</v>
      </c>
      <c r="U3711">
        <v>0</v>
      </c>
      <c r="V3711" t="s">
        <v>30</v>
      </c>
      <c r="W3711">
        <v>2</v>
      </c>
    </row>
    <row r="3712" spans="1:23" x14ac:dyDescent="0.2">
      <c r="A3712">
        <v>5117888</v>
      </c>
      <c r="B3712" t="s">
        <v>18</v>
      </c>
      <c r="C3712" t="s">
        <v>20</v>
      </c>
      <c r="D3712" t="s">
        <v>19</v>
      </c>
      <c r="E3712">
        <v>0</v>
      </c>
      <c r="F3712">
        <v>187650</v>
      </c>
      <c r="G3712" t="s">
        <v>31</v>
      </c>
      <c r="H3712" t="s">
        <v>22</v>
      </c>
      <c r="I3712" t="s">
        <v>33</v>
      </c>
      <c r="J3712" t="s">
        <v>24</v>
      </c>
      <c r="K3712" s="6">
        <f t="shared" ca="1" si="236"/>
        <v>37247</v>
      </c>
      <c r="L3712">
        <v>-8514</v>
      </c>
      <c r="M3712" s="7">
        <f t="shared" ca="1" si="234"/>
        <v>23.310061601642712</v>
      </c>
      <c r="N3712" s="5" t="str">
        <f ca="1">VLOOKUP(Data!M3712,temp!$B$3:$C$9,2,1)</f>
        <v>20-30</v>
      </c>
      <c r="O3712">
        <v>-280</v>
      </c>
      <c r="P3712" s="8">
        <f t="shared" si="235"/>
        <v>0.76659822039698833</v>
      </c>
      <c r="Q3712" s="5" t="str">
        <f t="shared" si="237"/>
        <v>Employed</v>
      </c>
      <c r="R3712">
        <v>1</v>
      </c>
      <c r="S3712">
        <v>0</v>
      </c>
      <c r="T3712">
        <v>0</v>
      </c>
      <c r="U3712">
        <v>0</v>
      </c>
      <c r="W3712">
        <v>1</v>
      </c>
    </row>
    <row r="3713" spans="1:23" x14ac:dyDescent="0.2">
      <c r="A3713">
        <v>5117907</v>
      </c>
      <c r="B3713" t="s">
        <v>18</v>
      </c>
      <c r="C3713" t="s">
        <v>20</v>
      </c>
      <c r="D3713" t="s">
        <v>19</v>
      </c>
      <c r="E3713">
        <v>0</v>
      </c>
      <c r="F3713">
        <v>117000</v>
      </c>
      <c r="G3713" t="s">
        <v>21</v>
      </c>
      <c r="H3713" t="s">
        <v>27</v>
      </c>
      <c r="I3713" t="s">
        <v>37</v>
      </c>
      <c r="J3713" t="s">
        <v>24</v>
      </c>
      <c r="K3713" s="6">
        <f t="shared" ca="1" si="236"/>
        <v>24176</v>
      </c>
      <c r="L3713">
        <v>-21585</v>
      </c>
      <c r="M3713" s="7">
        <f t="shared" ca="1" si="234"/>
        <v>59.096509240246405</v>
      </c>
      <c r="N3713" s="5" t="str">
        <f ca="1">VLOOKUP(Data!M3713,temp!$B$3:$C$9,2,1)</f>
        <v>50-60</v>
      </c>
      <c r="O3713">
        <v>365243</v>
      </c>
      <c r="P3713" s="8">
        <f t="shared" si="235"/>
        <v>0</v>
      </c>
      <c r="Q3713" s="5" t="str">
        <f t="shared" si="237"/>
        <v>Unemployed</v>
      </c>
      <c r="R3713">
        <v>1</v>
      </c>
      <c r="S3713">
        <v>0</v>
      </c>
      <c r="T3713">
        <v>1</v>
      </c>
      <c r="U3713">
        <v>0</v>
      </c>
      <c r="W3713">
        <v>2</v>
      </c>
    </row>
    <row r="3714" spans="1:23" x14ac:dyDescent="0.2">
      <c r="A3714">
        <v>5117908</v>
      </c>
      <c r="B3714" t="s">
        <v>18</v>
      </c>
      <c r="C3714" t="s">
        <v>20</v>
      </c>
      <c r="D3714" t="s">
        <v>19</v>
      </c>
      <c r="E3714">
        <v>0</v>
      </c>
      <c r="F3714">
        <v>117000</v>
      </c>
      <c r="G3714" t="s">
        <v>21</v>
      </c>
      <c r="H3714" t="s">
        <v>27</v>
      </c>
      <c r="I3714" t="s">
        <v>37</v>
      </c>
      <c r="J3714" t="s">
        <v>24</v>
      </c>
      <c r="K3714" s="6">
        <f t="shared" ca="1" si="236"/>
        <v>24176</v>
      </c>
      <c r="L3714">
        <v>-21585</v>
      </c>
      <c r="M3714" s="7">
        <f t="shared" ca="1" si="234"/>
        <v>59.096509240246405</v>
      </c>
      <c r="N3714" s="5" t="str">
        <f ca="1">VLOOKUP(Data!M3714,temp!$B$3:$C$9,2,1)</f>
        <v>50-60</v>
      </c>
      <c r="O3714">
        <v>365243</v>
      </c>
      <c r="P3714" s="8">
        <f t="shared" si="235"/>
        <v>0</v>
      </c>
      <c r="Q3714" s="5" t="str">
        <f t="shared" si="237"/>
        <v>Unemployed</v>
      </c>
      <c r="R3714">
        <v>1</v>
      </c>
      <c r="S3714">
        <v>0</v>
      </c>
      <c r="T3714">
        <v>1</v>
      </c>
      <c r="U3714">
        <v>0</v>
      </c>
      <c r="W3714">
        <v>2</v>
      </c>
    </row>
    <row r="3715" spans="1:23" x14ac:dyDescent="0.2">
      <c r="A3715">
        <v>5117910</v>
      </c>
      <c r="B3715" t="s">
        <v>18</v>
      </c>
      <c r="C3715" t="s">
        <v>20</v>
      </c>
      <c r="D3715" t="s">
        <v>19</v>
      </c>
      <c r="E3715">
        <v>0</v>
      </c>
      <c r="F3715">
        <v>117000</v>
      </c>
      <c r="G3715" t="s">
        <v>21</v>
      </c>
      <c r="H3715" t="s">
        <v>27</v>
      </c>
      <c r="I3715" t="s">
        <v>37</v>
      </c>
      <c r="J3715" t="s">
        <v>24</v>
      </c>
      <c r="K3715" s="6">
        <f t="shared" ca="1" si="236"/>
        <v>24176</v>
      </c>
      <c r="L3715">
        <v>-21585</v>
      </c>
      <c r="M3715" s="7">
        <f t="shared" ref="M3715:M3778" ca="1" si="238">(TODAY()-K3715)/365.25</f>
        <v>59.096509240246405</v>
      </c>
      <c r="N3715" s="5" t="str">
        <f ca="1">VLOOKUP(Data!M3715,temp!$B$3:$C$9,2,1)</f>
        <v>50-60</v>
      </c>
      <c r="O3715">
        <v>365243</v>
      </c>
      <c r="P3715" s="8">
        <f t="shared" ref="P3715:P3778" si="239">IF(O3715&lt;=0,ABS(O3715)/365.25,0)</f>
        <v>0</v>
      </c>
      <c r="Q3715" s="5" t="str">
        <f t="shared" si="237"/>
        <v>Unemployed</v>
      </c>
      <c r="R3715">
        <v>1</v>
      </c>
      <c r="S3715">
        <v>0</v>
      </c>
      <c r="T3715">
        <v>1</v>
      </c>
      <c r="U3715">
        <v>0</v>
      </c>
      <c r="W3715">
        <v>2</v>
      </c>
    </row>
    <row r="3716" spans="1:23" x14ac:dyDescent="0.2">
      <c r="A3716">
        <v>5117911</v>
      </c>
      <c r="B3716" t="s">
        <v>18</v>
      </c>
      <c r="C3716" t="s">
        <v>20</v>
      </c>
      <c r="D3716" t="s">
        <v>19</v>
      </c>
      <c r="E3716">
        <v>0</v>
      </c>
      <c r="F3716">
        <v>117000</v>
      </c>
      <c r="G3716" t="s">
        <v>21</v>
      </c>
      <c r="H3716" t="s">
        <v>27</v>
      </c>
      <c r="I3716" t="s">
        <v>37</v>
      </c>
      <c r="J3716" t="s">
        <v>24</v>
      </c>
      <c r="K3716" s="6">
        <f t="shared" ca="1" si="236"/>
        <v>24176</v>
      </c>
      <c r="L3716">
        <v>-21585</v>
      </c>
      <c r="M3716" s="7">
        <f t="shared" ca="1" si="238"/>
        <v>59.096509240246405</v>
      </c>
      <c r="N3716" s="5" t="str">
        <f ca="1">VLOOKUP(Data!M3716,temp!$B$3:$C$9,2,1)</f>
        <v>50-60</v>
      </c>
      <c r="O3716">
        <v>365243</v>
      </c>
      <c r="P3716" s="8">
        <f t="shared" si="239"/>
        <v>0</v>
      </c>
      <c r="Q3716" s="5" t="str">
        <f t="shared" si="237"/>
        <v>Unemployed</v>
      </c>
      <c r="R3716">
        <v>1</v>
      </c>
      <c r="S3716">
        <v>0</v>
      </c>
      <c r="T3716">
        <v>1</v>
      </c>
      <c r="U3716">
        <v>0</v>
      </c>
      <c r="W3716">
        <v>2</v>
      </c>
    </row>
    <row r="3717" spans="1:23" x14ac:dyDescent="0.2">
      <c r="A3717">
        <v>5117922</v>
      </c>
      <c r="B3717" t="s">
        <v>18</v>
      </c>
      <c r="C3717" t="s">
        <v>19</v>
      </c>
      <c r="D3717" t="s">
        <v>19</v>
      </c>
      <c r="E3717">
        <v>0</v>
      </c>
      <c r="F3717">
        <v>67500</v>
      </c>
      <c r="G3717" t="s">
        <v>31</v>
      </c>
      <c r="H3717" t="s">
        <v>27</v>
      </c>
      <c r="I3717" t="s">
        <v>28</v>
      </c>
      <c r="J3717" t="s">
        <v>24</v>
      </c>
      <c r="K3717" s="6">
        <f t="shared" ca="1" si="236"/>
        <v>28012</v>
      </c>
      <c r="L3717">
        <v>-17749</v>
      </c>
      <c r="M3717" s="7">
        <f t="shared" ca="1" si="238"/>
        <v>48.594113620807668</v>
      </c>
      <c r="N3717" s="5" t="str">
        <f ca="1">VLOOKUP(Data!M3717,temp!$B$3:$C$9,2,1)</f>
        <v>40-50</v>
      </c>
      <c r="O3717">
        <v>-1010</v>
      </c>
      <c r="P3717" s="8">
        <f t="shared" si="239"/>
        <v>2.7652292950034223</v>
      </c>
      <c r="Q3717" s="5" t="str">
        <f t="shared" si="237"/>
        <v>Employed</v>
      </c>
      <c r="R3717">
        <v>1</v>
      </c>
      <c r="S3717">
        <v>1</v>
      </c>
      <c r="T3717">
        <v>0</v>
      </c>
      <c r="U3717">
        <v>0</v>
      </c>
      <c r="W3717">
        <v>2</v>
      </c>
    </row>
    <row r="3718" spans="1:23" x14ac:dyDescent="0.2">
      <c r="A3718">
        <v>5117941</v>
      </c>
      <c r="B3718" t="s">
        <v>18</v>
      </c>
      <c r="C3718" t="s">
        <v>20</v>
      </c>
      <c r="D3718" t="s">
        <v>19</v>
      </c>
      <c r="E3718">
        <v>0</v>
      </c>
      <c r="F3718">
        <v>207000</v>
      </c>
      <c r="G3718" t="s">
        <v>21</v>
      </c>
      <c r="H3718" t="s">
        <v>27</v>
      </c>
      <c r="I3718" t="s">
        <v>42</v>
      </c>
      <c r="J3718" t="s">
        <v>24</v>
      </c>
      <c r="K3718" s="6">
        <f t="shared" ca="1" si="236"/>
        <v>22236</v>
      </c>
      <c r="L3718">
        <v>-23525</v>
      </c>
      <c r="M3718" s="7">
        <f t="shared" ca="1" si="238"/>
        <v>64.407939767282684</v>
      </c>
      <c r="N3718" s="5" t="str">
        <f ca="1">VLOOKUP(Data!M3718,temp!$B$3:$C$9,2,1)</f>
        <v>60-70</v>
      </c>
      <c r="O3718">
        <v>365243</v>
      </c>
      <c r="P3718" s="8">
        <f t="shared" si="239"/>
        <v>0</v>
      </c>
      <c r="Q3718" s="5" t="str">
        <f t="shared" si="237"/>
        <v>Unemployed</v>
      </c>
      <c r="R3718">
        <v>1</v>
      </c>
      <c r="S3718">
        <v>0</v>
      </c>
      <c r="T3718">
        <v>0</v>
      </c>
      <c r="U3718">
        <v>0</v>
      </c>
      <c r="W3718">
        <v>1</v>
      </c>
    </row>
    <row r="3719" spans="1:23" x14ac:dyDescent="0.2">
      <c r="A3719">
        <v>5117947</v>
      </c>
      <c r="B3719" t="s">
        <v>18</v>
      </c>
      <c r="C3719" t="s">
        <v>19</v>
      </c>
      <c r="D3719" t="s">
        <v>19</v>
      </c>
      <c r="E3719">
        <v>1</v>
      </c>
      <c r="F3719">
        <v>180000</v>
      </c>
      <c r="G3719" t="s">
        <v>31</v>
      </c>
      <c r="H3719" t="s">
        <v>27</v>
      </c>
      <c r="I3719" t="s">
        <v>28</v>
      </c>
      <c r="J3719" t="s">
        <v>24</v>
      </c>
      <c r="K3719" s="6">
        <f t="shared" ca="1" si="236"/>
        <v>35371</v>
      </c>
      <c r="L3719">
        <v>-10390</v>
      </c>
      <c r="M3719" s="7">
        <f t="shared" ca="1" si="238"/>
        <v>28.446269678302532</v>
      </c>
      <c r="N3719" s="5" t="str">
        <f ca="1">VLOOKUP(Data!M3719,temp!$B$3:$C$9,2,1)</f>
        <v>20-30</v>
      </c>
      <c r="O3719">
        <v>-1010</v>
      </c>
      <c r="P3719" s="8">
        <f t="shared" si="239"/>
        <v>2.7652292950034223</v>
      </c>
      <c r="Q3719" s="5" t="str">
        <f t="shared" si="237"/>
        <v>Employed</v>
      </c>
      <c r="R3719">
        <v>1</v>
      </c>
      <c r="S3719">
        <v>1</v>
      </c>
      <c r="T3719">
        <v>0</v>
      </c>
      <c r="U3719">
        <v>0</v>
      </c>
      <c r="W3719">
        <v>3</v>
      </c>
    </row>
    <row r="3720" spans="1:23" x14ac:dyDescent="0.2">
      <c r="A3720">
        <v>5117957</v>
      </c>
      <c r="B3720" t="s">
        <v>25</v>
      </c>
      <c r="C3720" t="s">
        <v>20</v>
      </c>
      <c r="D3720" t="s">
        <v>19</v>
      </c>
      <c r="E3720">
        <v>0</v>
      </c>
      <c r="F3720">
        <v>67500</v>
      </c>
      <c r="G3720" t="s">
        <v>21</v>
      </c>
      <c r="H3720" t="s">
        <v>51</v>
      </c>
      <c r="I3720" t="s">
        <v>28</v>
      </c>
      <c r="J3720" t="s">
        <v>24</v>
      </c>
      <c r="K3720" s="6">
        <f t="shared" ref="K3720:K3783" ca="1" si="240">TODAY()+($L3720)</f>
        <v>21261</v>
      </c>
      <c r="L3720">
        <v>-24500</v>
      </c>
      <c r="M3720" s="7">
        <f t="shared" ca="1" si="238"/>
        <v>67.077344284736483</v>
      </c>
      <c r="N3720" s="5" t="str">
        <f ca="1">VLOOKUP(Data!M3720,temp!$B$3:$C$9,2,1)</f>
        <v>60-70</v>
      </c>
      <c r="O3720">
        <v>365243</v>
      </c>
      <c r="P3720" s="8">
        <f t="shared" si="239"/>
        <v>0</v>
      </c>
      <c r="Q3720" s="5" t="str">
        <f t="shared" ref="Q3720:Q3783" si="241">IF($O3720&gt;0,"Unemployed","Employed")</f>
        <v>Unemployed</v>
      </c>
      <c r="R3720">
        <v>1</v>
      </c>
      <c r="S3720">
        <v>0</v>
      </c>
      <c r="T3720">
        <v>0</v>
      </c>
      <c r="U3720">
        <v>0</v>
      </c>
      <c r="W3720">
        <v>2</v>
      </c>
    </row>
    <row r="3721" spans="1:23" x14ac:dyDescent="0.2">
      <c r="A3721">
        <v>5117963</v>
      </c>
      <c r="B3721" t="s">
        <v>18</v>
      </c>
      <c r="C3721" t="s">
        <v>20</v>
      </c>
      <c r="D3721" t="s">
        <v>19</v>
      </c>
      <c r="E3721">
        <v>0</v>
      </c>
      <c r="F3721">
        <v>135000</v>
      </c>
      <c r="G3721" t="s">
        <v>31</v>
      </c>
      <c r="H3721" t="s">
        <v>36</v>
      </c>
      <c r="I3721" t="s">
        <v>37</v>
      </c>
      <c r="J3721" t="s">
        <v>24</v>
      </c>
      <c r="K3721" s="6">
        <f t="shared" ca="1" si="240"/>
        <v>35693</v>
      </c>
      <c r="L3721">
        <v>-10068</v>
      </c>
      <c r="M3721" s="7">
        <f t="shared" ca="1" si="238"/>
        <v>27.564681724845997</v>
      </c>
      <c r="N3721" s="5" t="str">
        <f ca="1">VLOOKUP(Data!M3721,temp!$B$3:$C$9,2,1)</f>
        <v>20-30</v>
      </c>
      <c r="O3721">
        <v>-219</v>
      </c>
      <c r="P3721" s="8">
        <f t="shared" si="239"/>
        <v>0.59958932238193019</v>
      </c>
      <c r="Q3721" s="5" t="str">
        <f t="shared" si="241"/>
        <v>Employed</v>
      </c>
      <c r="R3721">
        <v>1</v>
      </c>
      <c r="S3721">
        <v>1</v>
      </c>
      <c r="T3721">
        <v>0</v>
      </c>
      <c r="U3721">
        <v>0</v>
      </c>
      <c r="V3721" t="s">
        <v>39</v>
      </c>
      <c r="W3721">
        <v>2</v>
      </c>
    </row>
    <row r="3722" spans="1:23" x14ac:dyDescent="0.2">
      <c r="A3722">
        <v>5117975</v>
      </c>
      <c r="B3722" t="s">
        <v>18</v>
      </c>
      <c r="C3722" t="s">
        <v>20</v>
      </c>
      <c r="D3722" t="s">
        <v>19</v>
      </c>
      <c r="E3722">
        <v>0</v>
      </c>
      <c r="F3722">
        <v>144000</v>
      </c>
      <c r="G3722" t="s">
        <v>31</v>
      </c>
      <c r="H3722" t="s">
        <v>22</v>
      </c>
      <c r="I3722" t="s">
        <v>37</v>
      </c>
      <c r="J3722" t="s">
        <v>24</v>
      </c>
      <c r="K3722" s="6">
        <f t="shared" ca="1" si="240"/>
        <v>35983</v>
      </c>
      <c r="L3722">
        <v>-9778</v>
      </c>
      <c r="M3722" s="7">
        <f t="shared" ca="1" si="238"/>
        <v>26.770704996577688</v>
      </c>
      <c r="N3722" s="5" t="str">
        <f ca="1">VLOOKUP(Data!M3722,temp!$B$3:$C$9,2,1)</f>
        <v>20-30</v>
      </c>
      <c r="O3722">
        <v>-857</v>
      </c>
      <c r="P3722" s="8">
        <f t="shared" si="239"/>
        <v>2.346338124572211</v>
      </c>
      <c r="Q3722" s="5" t="str">
        <f t="shared" si="241"/>
        <v>Employed</v>
      </c>
      <c r="R3722">
        <v>1</v>
      </c>
      <c r="S3722">
        <v>1</v>
      </c>
      <c r="T3722">
        <v>1</v>
      </c>
      <c r="U3722">
        <v>0</v>
      </c>
      <c r="W3722">
        <v>2</v>
      </c>
    </row>
    <row r="3723" spans="1:23" x14ac:dyDescent="0.2">
      <c r="A3723">
        <v>5117980</v>
      </c>
      <c r="B3723" t="s">
        <v>18</v>
      </c>
      <c r="C3723" t="s">
        <v>19</v>
      </c>
      <c r="D3723" t="s">
        <v>19</v>
      </c>
      <c r="E3723">
        <v>0</v>
      </c>
      <c r="F3723">
        <v>121500</v>
      </c>
      <c r="G3723" t="s">
        <v>21</v>
      </c>
      <c r="H3723" t="s">
        <v>27</v>
      </c>
      <c r="I3723" t="s">
        <v>37</v>
      </c>
      <c r="J3723" t="s">
        <v>24</v>
      </c>
      <c r="K3723" s="6">
        <f t="shared" ca="1" si="240"/>
        <v>24286</v>
      </c>
      <c r="L3723">
        <v>-21475</v>
      </c>
      <c r="M3723" s="7">
        <f t="shared" ca="1" si="238"/>
        <v>58.795345653661876</v>
      </c>
      <c r="N3723" s="5" t="str">
        <f ca="1">VLOOKUP(Data!M3723,temp!$B$3:$C$9,2,1)</f>
        <v>50-60</v>
      </c>
      <c r="O3723">
        <v>365243</v>
      </c>
      <c r="P3723" s="8">
        <f t="shared" si="239"/>
        <v>0</v>
      </c>
      <c r="Q3723" s="5" t="str">
        <f t="shared" si="241"/>
        <v>Unemployed</v>
      </c>
      <c r="R3723">
        <v>1</v>
      </c>
      <c r="S3723">
        <v>0</v>
      </c>
      <c r="T3723">
        <v>0</v>
      </c>
      <c r="U3723">
        <v>0</v>
      </c>
      <c r="W3723">
        <v>2</v>
      </c>
    </row>
    <row r="3724" spans="1:23" x14ac:dyDescent="0.2">
      <c r="A3724">
        <v>5117984</v>
      </c>
      <c r="B3724" t="s">
        <v>18</v>
      </c>
      <c r="C3724" t="s">
        <v>19</v>
      </c>
      <c r="D3724" t="s">
        <v>20</v>
      </c>
      <c r="E3724">
        <v>0</v>
      </c>
      <c r="F3724">
        <v>135000</v>
      </c>
      <c r="G3724" t="s">
        <v>31</v>
      </c>
      <c r="H3724" t="s">
        <v>22</v>
      </c>
      <c r="I3724" t="s">
        <v>28</v>
      </c>
      <c r="J3724" t="s">
        <v>24</v>
      </c>
      <c r="K3724" s="6">
        <f t="shared" ca="1" si="240"/>
        <v>32191</v>
      </c>
      <c r="L3724">
        <v>-13570</v>
      </c>
      <c r="M3724" s="7">
        <f t="shared" ca="1" si="238"/>
        <v>37.152635181382614</v>
      </c>
      <c r="N3724" s="5" t="str">
        <f ca="1">VLOOKUP(Data!M3724,temp!$B$3:$C$9,2,1)</f>
        <v>30-40</v>
      </c>
      <c r="O3724">
        <v>-3626</v>
      </c>
      <c r="P3724" s="8">
        <f t="shared" si="239"/>
        <v>9.9274469541409989</v>
      </c>
      <c r="Q3724" s="5" t="str">
        <f t="shared" si="241"/>
        <v>Employed</v>
      </c>
      <c r="R3724">
        <v>1</v>
      </c>
      <c r="S3724">
        <v>0</v>
      </c>
      <c r="T3724">
        <v>0</v>
      </c>
      <c r="U3724">
        <v>0</v>
      </c>
      <c r="V3724" t="s">
        <v>44</v>
      </c>
      <c r="W3724">
        <v>2</v>
      </c>
    </row>
    <row r="3725" spans="1:23" x14ac:dyDescent="0.2">
      <c r="A3725">
        <v>5117987</v>
      </c>
      <c r="B3725" t="s">
        <v>18</v>
      </c>
      <c r="C3725" t="s">
        <v>19</v>
      </c>
      <c r="D3725" t="s">
        <v>20</v>
      </c>
      <c r="E3725">
        <v>0</v>
      </c>
      <c r="F3725">
        <v>32400</v>
      </c>
      <c r="G3725" t="s">
        <v>35</v>
      </c>
      <c r="H3725" t="s">
        <v>27</v>
      </c>
      <c r="I3725" t="s">
        <v>28</v>
      </c>
      <c r="J3725" t="s">
        <v>24</v>
      </c>
      <c r="K3725" s="6">
        <f t="shared" ca="1" si="240"/>
        <v>26561</v>
      </c>
      <c r="L3725">
        <v>-19200</v>
      </c>
      <c r="M3725" s="7">
        <f t="shared" ca="1" si="238"/>
        <v>52.566735112936342</v>
      </c>
      <c r="N3725" s="5" t="str">
        <f ca="1">VLOOKUP(Data!M3725,temp!$B$3:$C$9,2,1)</f>
        <v>50-60</v>
      </c>
      <c r="O3725">
        <v>-5637</v>
      </c>
      <c r="P3725" s="8">
        <f t="shared" si="239"/>
        <v>15.433264887063656</v>
      </c>
      <c r="Q3725" s="5" t="str">
        <f t="shared" si="241"/>
        <v>Employed</v>
      </c>
      <c r="R3725">
        <v>1</v>
      </c>
      <c r="S3725">
        <v>0</v>
      </c>
      <c r="T3725">
        <v>0</v>
      </c>
      <c r="U3725">
        <v>0</v>
      </c>
      <c r="V3725" t="s">
        <v>32</v>
      </c>
      <c r="W3725">
        <v>2</v>
      </c>
    </row>
    <row r="3726" spans="1:23" x14ac:dyDescent="0.2">
      <c r="A3726">
        <v>5118008</v>
      </c>
      <c r="B3726" t="s">
        <v>25</v>
      </c>
      <c r="C3726" t="s">
        <v>19</v>
      </c>
      <c r="D3726" t="s">
        <v>19</v>
      </c>
      <c r="E3726">
        <v>0</v>
      </c>
      <c r="F3726">
        <v>90000</v>
      </c>
      <c r="G3726" t="s">
        <v>26</v>
      </c>
      <c r="H3726" t="s">
        <v>27</v>
      </c>
      <c r="I3726" t="s">
        <v>28</v>
      </c>
      <c r="J3726" t="s">
        <v>24</v>
      </c>
      <c r="K3726" s="6">
        <f t="shared" ca="1" si="240"/>
        <v>27302</v>
      </c>
      <c r="L3726">
        <v>-18459</v>
      </c>
      <c r="M3726" s="7">
        <f t="shared" ca="1" si="238"/>
        <v>50.53798767967146</v>
      </c>
      <c r="N3726" s="5" t="str">
        <f ca="1">VLOOKUP(Data!M3726,temp!$B$3:$C$9,2,1)</f>
        <v>50-60</v>
      </c>
      <c r="O3726">
        <v>-826</v>
      </c>
      <c r="P3726" s="8">
        <f t="shared" si="239"/>
        <v>2.2614647501711156</v>
      </c>
      <c r="Q3726" s="5" t="str">
        <f t="shared" si="241"/>
        <v>Employed</v>
      </c>
      <c r="R3726">
        <v>1</v>
      </c>
      <c r="S3726">
        <v>0</v>
      </c>
      <c r="T3726">
        <v>0</v>
      </c>
      <c r="U3726">
        <v>0</v>
      </c>
      <c r="W3726">
        <v>2</v>
      </c>
    </row>
    <row r="3727" spans="1:23" x14ac:dyDescent="0.2">
      <c r="A3727">
        <v>5118017</v>
      </c>
      <c r="B3727" t="s">
        <v>25</v>
      </c>
      <c r="C3727" t="s">
        <v>20</v>
      </c>
      <c r="D3727" t="s">
        <v>19</v>
      </c>
      <c r="E3727">
        <v>0</v>
      </c>
      <c r="F3727">
        <v>225000</v>
      </c>
      <c r="G3727" t="s">
        <v>31</v>
      </c>
      <c r="H3727" t="s">
        <v>27</v>
      </c>
      <c r="I3727" t="s">
        <v>28</v>
      </c>
      <c r="J3727" t="s">
        <v>24</v>
      </c>
      <c r="K3727" s="6">
        <f t="shared" ca="1" si="240"/>
        <v>32992</v>
      </c>
      <c r="L3727">
        <v>-12769</v>
      </c>
      <c r="M3727" s="7">
        <f t="shared" ca="1" si="238"/>
        <v>34.959616700889804</v>
      </c>
      <c r="N3727" s="5" t="str">
        <f ca="1">VLOOKUP(Data!M3727,temp!$B$3:$C$9,2,1)</f>
        <v>30-40</v>
      </c>
      <c r="O3727">
        <v>-4114</v>
      </c>
      <c r="P3727" s="8">
        <f t="shared" si="239"/>
        <v>11.263518138261464</v>
      </c>
      <c r="Q3727" s="5" t="str">
        <f t="shared" si="241"/>
        <v>Employed</v>
      </c>
      <c r="R3727">
        <v>1</v>
      </c>
      <c r="S3727">
        <v>1</v>
      </c>
      <c r="T3727">
        <v>1</v>
      </c>
      <c r="U3727">
        <v>0</v>
      </c>
      <c r="V3727" t="s">
        <v>58</v>
      </c>
      <c r="W3727">
        <v>2</v>
      </c>
    </row>
    <row r="3728" spans="1:23" x14ac:dyDescent="0.2">
      <c r="A3728">
        <v>5118018</v>
      </c>
      <c r="B3728" t="s">
        <v>25</v>
      </c>
      <c r="C3728" t="s">
        <v>20</v>
      </c>
      <c r="D3728" t="s">
        <v>19</v>
      </c>
      <c r="E3728">
        <v>0</v>
      </c>
      <c r="F3728">
        <v>225000</v>
      </c>
      <c r="G3728" t="s">
        <v>31</v>
      </c>
      <c r="H3728" t="s">
        <v>27</v>
      </c>
      <c r="I3728" t="s">
        <v>28</v>
      </c>
      <c r="J3728" t="s">
        <v>24</v>
      </c>
      <c r="K3728" s="6">
        <f t="shared" ca="1" si="240"/>
        <v>32992</v>
      </c>
      <c r="L3728">
        <v>-12769</v>
      </c>
      <c r="M3728" s="7">
        <f t="shared" ca="1" si="238"/>
        <v>34.959616700889804</v>
      </c>
      <c r="N3728" s="5" t="str">
        <f ca="1">VLOOKUP(Data!M3728,temp!$B$3:$C$9,2,1)</f>
        <v>30-40</v>
      </c>
      <c r="O3728">
        <v>-4114</v>
      </c>
      <c r="P3728" s="8">
        <f t="shared" si="239"/>
        <v>11.263518138261464</v>
      </c>
      <c r="Q3728" s="5" t="str">
        <f t="shared" si="241"/>
        <v>Employed</v>
      </c>
      <c r="R3728">
        <v>1</v>
      </c>
      <c r="S3728">
        <v>1</v>
      </c>
      <c r="T3728">
        <v>1</v>
      </c>
      <c r="U3728">
        <v>0</v>
      </c>
      <c r="V3728" t="s">
        <v>58</v>
      </c>
      <c r="W3728">
        <v>2</v>
      </c>
    </row>
    <row r="3729" spans="1:23" x14ac:dyDescent="0.2">
      <c r="A3729">
        <v>5118038</v>
      </c>
      <c r="B3729" t="s">
        <v>18</v>
      </c>
      <c r="C3729" t="s">
        <v>19</v>
      </c>
      <c r="D3729" t="s">
        <v>19</v>
      </c>
      <c r="E3729">
        <v>2</v>
      </c>
      <c r="F3729">
        <v>121500</v>
      </c>
      <c r="G3729" t="s">
        <v>31</v>
      </c>
      <c r="H3729" t="s">
        <v>22</v>
      </c>
      <c r="I3729" t="s">
        <v>28</v>
      </c>
      <c r="J3729" t="s">
        <v>24</v>
      </c>
      <c r="K3729" s="6">
        <f t="shared" ca="1" si="240"/>
        <v>34064</v>
      </c>
      <c r="L3729">
        <v>-11697</v>
      </c>
      <c r="M3729" s="7">
        <f t="shared" ca="1" si="238"/>
        <v>32.024640657084191</v>
      </c>
      <c r="N3729" s="5" t="str">
        <f ca="1">VLOOKUP(Data!M3729,temp!$B$3:$C$9,2,1)</f>
        <v>30-40</v>
      </c>
      <c r="O3729">
        <v>-614</v>
      </c>
      <c r="P3729" s="8">
        <f t="shared" si="239"/>
        <v>1.6810403832991101</v>
      </c>
      <c r="Q3729" s="5" t="str">
        <f t="shared" si="241"/>
        <v>Employed</v>
      </c>
      <c r="R3729">
        <v>1</v>
      </c>
      <c r="S3729">
        <v>0</v>
      </c>
      <c r="T3729">
        <v>0</v>
      </c>
      <c r="U3729">
        <v>0</v>
      </c>
      <c r="V3729" t="s">
        <v>58</v>
      </c>
      <c r="W3729">
        <v>4</v>
      </c>
    </row>
    <row r="3730" spans="1:23" x14ac:dyDescent="0.2">
      <c r="A3730">
        <v>5118040</v>
      </c>
      <c r="B3730" t="s">
        <v>18</v>
      </c>
      <c r="C3730" t="s">
        <v>20</v>
      </c>
      <c r="D3730" t="s">
        <v>19</v>
      </c>
      <c r="E3730">
        <v>0</v>
      </c>
      <c r="F3730">
        <v>216000</v>
      </c>
      <c r="G3730" t="s">
        <v>31</v>
      </c>
      <c r="H3730" t="s">
        <v>22</v>
      </c>
      <c r="I3730" t="s">
        <v>37</v>
      </c>
      <c r="J3730" t="s">
        <v>24</v>
      </c>
      <c r="K3730" s="6">
        <f t="shared" ca="1" si="240"/>
        <v>33457</v>
      </c>
      <c r="L3730">
        <v>-12304</v>
      </c>
      <c r="M3730" s="7">
        <f t="shared" ca="1" si="238"/>
        <v>33.686516084873375</v>
      </c>
      <c r="N3730" s="5" t="str">
        <f ca="1">VLOOKUP(Data!M3730,temp!$B$3:$C$9,2,1)</f>
        <v>30-40</v>
      </c>
      <c r="O3730">
        <v>-857</v>
      </c>
      <c r="P3730" s="8">
        <f t="shared" si="239"/>
        <v>2.346338124572211</v>
      </c>
      <c r="Q3730" s="5" t="str">
        <f t="shared" si="241"/>
        <v>Employed</v>
      </c>
      <c r="R3730">
        <v>1</v>
      </c>
      <c r="S3730">
        <v>1</v>
      </c>
      <c r="T3730">
        <v>0</v>
      </c>
      <c r="U3730">
        <v>0</v>
      </c>
      <c r="W3730">
        <v>2</v>
      </c>
    </row>
    <row r="3731" spans="1:23" x14ac:dyDescent="0.2">
      <c r="A3731">
        <v>5118054</v>
      </c>
      <c r="B3731" t="s">
        <v>18</v>
      </c>
      <c r="C3731" t="s">
        <v>20</v>
      </c>
      <c r="D3731" t="s">
        <v>20</v>
      </c>
      <c r="E3731">
        <v>1</v>
      </c>
      <c r="F3731">
        <v>180000</v>
      </c>
      <c r="G3731" t="s">
        <v>31</v>
      </c>
      <c r="H3731" t="s">
        <v>22</v>
      </c>
      <c r="I3731" t="s">
        <v>28</v>
      </c>
      <c r="J3731" t="s">
        <v>24</v>
      </c>
      <c r="K3731" s="6">
        <f t="shared" ca="1" si="240"/>
        <v>30760</v>
      </c>
      <c r="L3731">
        <v>-15001</v>
      </c>
      <c r="M3731" s="7">
        <f t="shared" ca="1" si="238"/>
        <v>41.07049965776865</v>
      </c>
      <c r="N3731" s="5" t="str">
        <f ca="1">VLOOKUP(Data!M3731,temp!$B$3:$C$9,2,1)</f>
        <v>40-50</v>
      </c>
      <c r="O3731">
        <v>-249</v>
      </c>
      <c r="P3731" s="8">
        <f t="shared" si="239"/>
        <v>0.68172484599589322</v>
      </c>
      <c r="Q3731" s="5" t="str">
        <f t="shared" si="241"/>
        <v>Employed</v>
      </c>
      <c r="R3731">
        <v>1</v>
      </c>
      <c r="S3731">
        <v>0</v>
      </c>
      <c r="T3731">
        <v>0</v>
      </c>
      <c r="U3731">
        <v>0</v>
      </c>
      <c r="V3731" t="s">
        <v>32</v>
      </c>
      <c r="W3731">
        <v>3</v>
      </c>
    </row>
    <row r="3732" spans="1:23" x14ac:dyDescent="0.2">
      <c r="A3732">
        <v>5118080</v>
      </c>
      <c r="B3732" t="s">
        <v>25</v>
      </c>
      <c r="C3732" t="s">
        <v>20</v>
      </c>
      <c r="D3732" t="s">
        <v>19</v>
      </c>
      <c r="E3732">
        <v>1</v>
      </c>
      <c r="F3732">
        <v>135000</v>
      </c>
      <c r="G3732" t="s">
        <v>31</v>
      </c>
      <c r="H3732" t="s">
        <v>22</v>
      </c>
      <c r="I3732" t="s">
        <v>28</v>
      </c>
      <c r="J3732" t="s">
        <v>24</v>
      </c>
      <c r="K3732" s="6">
        <f t="shared" ca="1" si="240"/>
        <v>27918</v>
      </c>
      <c r="L3732">
        <v>-17843</v>
      </c>
      <c r="M3732" s="7">
        <f t="shared" ca="1" si="238"/>
        <v>48.851471594798085</v>
      </c>
      <c r="N3732" s="5" t="str">
        <f ca="1">VLOOKUP(Data!M3732,temp!$B$3:$C$9,2,1)</f>
        <v>40-50</v>
      </c>
      <c r="O3732">
        <v>-3353</v>
      </c>
      <c r="P3732" s="8">
        <f t="shared" si="239"/>
        <v>9.1800136892539363</v>
      </c>
      <c r="Q3732" s="5" t="str">
        <f t="shared" si="241"/>
        <v>Employed</v>
      </c>
      <c r="R3732">
        <v>1</v>
      </c>
      <c r="S3732">
        <v>1</v>
      </c>
      <c r="T3732">
        <v>0</v>
      </c>
      <c r="U3732">
        <v>0</v>
      </c>
      <c r="V3732" t="s">
        <v>29</v>
      </c>
      <c r="W3732">
        <v>3</v>
      </c>
    </row>
    <row r="3733" spans="1:23" x14ac:dyDescent="0.2">
      <c r="A3733">
        <v>5118083</v>
      </c>
      <c r="B3733" t="s">
        <v>25</v>
      </c>
      <c r="C3733" t="s">
        <v>20</v>
      </c>
      <c r="D3733" t="s">
        <v>19</v>
      </c>
      <c r="E3733">
        <v>1</v>
      </c>
      <c r="F3733">
        <v>135000</v>
      </c>
      <c r="G3733" t="s">
        <v>31</v>
      </c>
      <c r="H3733" t="s">
        <v>22</v>
      </c>
      <c r="I3733" t="s">
        <v>28</v>
      </c>
      <c r="J3733" t="s">
        <v>24</v>
      </c>
      <c r="K3733" s="6">
        <f t="shared" ca="1" si="240"/>
        <v>27918</v>
      </c>
      <c r="L3733">
        <v>-17843</v>
      </c>
      <c r="M3733" s="7">
        <f t="shared" ca="1" si="238"/>
        <v>48.851471594798085</v>
      </c>
      <c r="N3733" s="5" t="str">
        <f ca="1">VLOOKUP(Data!M3733,temp!$B$3:$C$9,2,1)</f>
        <v>40-50</v>
      </c>
      <c r="O3733">
        <v>-3353</v>
      </c>
      <c r="P3733" s="8">
        <f t="shared" si="239"/>
        <v>9.1800136892539363</v>
      </c>
      <c r="Q3733" s="5" t="str">
        <f t="shared" si="241"/>
        <v>Employed</v>
      </c>
      <c r="R3733">
        <v>1</v>
      </c>
      <c r="S3733">
        <v>1</v>
      </c>
      <c r="T3733">
        <v>0</v>
      </c>
      <c r="U3733">
        <v>0</v>
      </c>
      <c r="V3733" t="s">
        <v>29</v>
      </c>
      <c r="W3733">
        <v>3</v>
      </c>
    </row>
    <row r="3734" spans="1:23" x14ac:dyDescent="0.2">
      <c r="A3734">
        <v>5118085</v>
      </c>
      <c r="B3734" t="s">
        <v>25</v>
      </c>
      <c r="C3734" t="s">
        <v>20</v>
      </c>
      <c r="D3734" t="s">
        <v>19</v>
      </c>
      <c r="E3734">
        <v>1</v>
      </c>
      <c r="F3734">
        <v>135000</v>
      </c>
      <c r="G3734" t="s">
        <v>31</v>
      </c>
      <c r="H3734" t="s">
        <v>22</v>
      </c>
      <c r="I3734" t="s">
        <v>28</v>
      </c>
      <c r="J3734" t="s">
        <v>24</v>
      </c>
      <c r="K3734" s="6">
        <f t="shared" ca="1" si="240"/>
        <v>27918</v>
      </c>
      <c r="L3734">
        <v>-17843</v>
      </c>
      <c r="M3734" s="7">
        <f t="shared" ca="1" si="238"/>
        <v>48.851471594798085</v>
      </c>
      <c r="N3734" s="5" t="str">
        <f ca="1">VLOOKUP(Data!M3734,temp!$B$3:$C$9,2,1)</f>
        <v>40-50</v>
      </c>
      <c r="O3734">
        <v>-3353</v>
      </c>
      <c r="P3734" s="8">
        <f t="shared" si="239"/>
        <v>9.1800136892539363</v>
      </c>
      <c r="Q3734" s="5" t="str">
        <f t="shared" si="241"/>
        <v>Employed</v>
      </c>
      <c r="R3734">
        <v>1</v>
      </c>
      <c r="S3734">
        <v>1</v>
      </c>
      <c r="T3734">
        <v>0</v>
      </c>
      <c r="U3734">
        <v>0</v>
      </c>
      <c r="V3734" t="s">
        <v>29</v>
      </c>
      <c r="W3734">
        <v>3</v>
      </c>
    </row>
    <row r="3735" spans="1:23" x14ac:dyDescent="0.2">
      <c r="A3735">
        <v>5118100</v>
      </c>
      <c r="B3735" t="s">
        <v>18</v>
      </c>
      <c r="C3735" t="s">
        <v>19</v>
      </c>
      <c r="D3735" t="s">
        <v>19</v>
      </c>
      <c r="E3735">
        <v>0</v>
      </c>
      <c r="F3735">
        <v>180000</v>
      </c>
      <c r="G3735" t="s">
        <v>21</v>
      </c>
      <c r="H3735" t="s">
        <v>27</v>
      </c>
      <c r="I3735" t="s">
        <v>42</v>
      </c>
      <c r="J3735" t="s">
        <v>24</v>
      </c>
      <c r="K3735" s="6">
        <f t="shared" ca="1" si="240"/>
        <v>22732</v>
      </c>
      <c r="L3735">
        <v>-23029</v>
      </c>
      <c r="M3735" s="7">
        <f t="shared" ca="1" si="238"/>
        <v>63.049965776865157</v>
      </c>
      <c r="N3735" s="5" t="str">
        <f ca="1">VLOOKUP(Data!M3735,temp!$B$3:$C$9,2,1)</f>
        <v>60-70</v>
      </c>
      <c r="O3735">
        <v>365243</v>
      </c>
      <c r="P3735" s="8">
        <f t="shared" si="239"/>
        <v>0</v>
      </c>
      <c r="Q3735" s="5" t="str">
        <f t="shared" si="241"/>
        <v>Unemployed</v>
      </c>
      <c r="R3735">
        <v>1</v>
      </c>
      <c r="S3735">
        <v>0</v>
      </c>
      <c r="T3735">
        <v>0</v>
      </c>
      <c r="U3735">
        <v>0</v>
      </c>
      <c r="W3735">
        <v>1</v>
      </c>
    </row>
    <row r="3736" spans="1:23" x14ac:dyDescent="0.2">
      <c r="A3736">
        <v>5118112</v>
      </c>
      <c r="B3736" t="s">
        <v>18</v>
      </c>
      <c r="C3736" t="s">
        <v>19</v>
      </c>
      <c r="D3736" t="s">
        <v>19</v>
      </c>
      <c r="E3736">
        <v>0</v>
      </c>
      <c r="F3736">
        <v>72000</v>
      </c>
      <c r="G3736" t="s">
        <v>26</v>
      </c>
      <c r="H3736" t="s">
        <v>27</v>
      </c>
      <c r="I3736" t="s">
        <v>28</v>
      </c>
      <c r="J3736" t="s">
        <v>41</v>
      </c>
      <c r="K3736" s="6">
        <f t="shared" ca="1" si="240"/>
        <v>36550</v>
      </c>
      <c r="L3736">
        <v>-9211</v>
      </c>
      <c r="M3736" s="7">
        <f t="shared" ca="1" si="238"/>
        <v>25.218343600273784</v>
      </c>
      <c r="N3736" s="5" t="str">
        <f ca="1">VLOOKUP(Data!M3736,temp!$B$3:$C$9,2,1)</f>
        <v>20-30</v>
      </c>
      <c r="O3736">
        <v>-1131</v>
      </c>
      <c r="P3736" s="8">
        <f t="shared" si="239"/>
        <v>3.0965092402464065</v>
      </c>
      <c r="Q3736" s="5" t="str">
        <f t="shared" si="241"/>
        <v>Employed</v>
      </c>
      <c r="R3736">
        <v>1</v>
      </c>
      <c r="S3736">
        <v>1</v>
      </c>
      <c r="T3736">
        <v>0</v>
      </c>
      <c r="U3736">
        <v>0</v>
      </c>
      <c r="V3736" t="s">
        <v>52</v>
      </c>
      <c r="W3736">
        <v>2</v>
      </c>
    </row>
    <row r="3737" spans="1:23" x14ac:dyDescent="0.2">
      <c r="A3737">
        <v>5118114</v>
      </c>
      <c r="B3737" t="s">
        <v>25</v>
      </c>
      <c r="C3737" t="s">
        <v>19</v>
      </c>
      <c r="D3737" t="s">
        <v>19</v>
      </c>
      <c r="E3737">
        <v>1</v>
      </c>
      <c r="F3737">
        <v>270000</v>
      </c>
      <c r="G3737" t="s">
        <v>26</v>
      </c>
      <c r="H3737" t="s">
        <v>27</v>
      </c>
      <c r="I3737" t="s">
        <v>28</v>
      </c>
      <c r="J3737" t="s">
        <v>24</v>
      </c>
      <c r="K3737" s="6">
        <f t="shared" ca="1" si="240"/>
        <v>32223</v>
      </c>
      <c r="L3737">
        <v>-13538</v>
      </c>
      <c r="M3737" s="7">
        <f t="shared" ca="1" si="238"/>
        <v>37.065023956194388</v>
      </c>
      <c r="N3737" s="5" t="str">
        <f ca="1">VLOOKUP(Data!M3737,temp!$B$3:$C$9,2,1)</f>
        <v>30-40</v>
      </c>
      <c r="O3737">
        <v>-5422</v>
      </c>
      <c r="P3737" s="8">
        <f t="shared" si="239"/>
        <v>14.844626967830253</v>
      </c>
      <c r="Q3737" s="5" t="str">
        <f t="shared" si="241"/>
        <v>Employed</v>
      </c>
      <c r="R3737">
        <v>1</v>
      </c>
      <c r="S3737">
        <v>1</v>
      </c>
      <c r="T3737">
        <v>1</v>
      </c>
      <c r="U3737">
        <v>0</v>
      </c>
      <c r="V3737" t="s">
        <v>30</v>
      </c>
      <c r="W3737">
        <v>3</v>
      </c>
    </row>
    <row r="3738" spans="1:23" x14ac:dyDescent="0.2">
      <c r="A3738">
        <v>5118120</v>
      </c>
      <c r="B3738" t="s">
        <v>25</v>
      </c>
      <c r="C3738" t="s">
        <v>19</v>
      </c>
      <c r="D3738" t="s">
        <v>19</v>
      </c>
      <c r="E3738">
        <v>1</v>
      </c>
      <c r="F3738">
        <v>270000</v>
      </c>
      <c r="G3738" t="s">
        <v>26</v>
      </c>
      <c r="H3738" t="s">
        <v>27</v>
      </c>
      <c r="I3738" t="s">
        <v>28</v>
      </c>
      <c r="J3738" t="s">
        <v>24</v>
      </c>
      <c r="K3738" s="6">
        <f t="shared" ca="1" si="240"/>
        <v>32223</v>
      </c>
      <c r="L3738">
        <v>-13538</v>
      </c>
      <c r="M3738" s="7">
        <f t="shared" ca="1" si="238"/>
        <v>37.065023956194388</v>
      </c>
      <c r="N3738" s="5" t="str">
        <f ca="1">VLOOKUP(Data!M3738,temp!$B$3:$C$9,2,1)</f>
        <v>30-40</v>
      </c>
      <c r="O3738">
        <v>-5422</v>
      </c>
      <c r="P3738" s="8">
        <f t="shared" si="239"/>
        <v>14.844626967830253</v>
      </c>
      <c r="Q3738" s="5" t="str">
        <f t="shared" si="241"/>
        <v>Employed</v>
      </c>
      <c r="R3738">
        <v>1</v>
      </c>
      <c r="S3738">
        <v>1</v>
      </c>
      <c r="T3738">
        <v>1</v>
      </c>
      <c r="U3738">
        <v>0</v>
      </c>
      <c r="V3738" t="s">
        <v>30</v>
      </c>
      <c r="W3738">
        <v>3</v>
      </c>
    </row>
    <row r="3739" spans="1:23" x14ac:dyDescent="0.2">
      <c r="A3739">
        <v>5118133</v>
      </c>
      <c r="B3739" t="s">
        <v>25</v>
      </c>
      <c r="C3739" t="s">
        <v>20</v>
      </c>
      <c r="D3739" t="s">
        <v>19</v>
      </c>
      <c r="E3739">
        <v>2</v>
      </c>
      <c r="F3739">
        <v>135000</v>
      </c>
      <c r="G3739" t="s">
        <v>31</v>
      </c>
      <c r="H3739" t="s">
        <v>22</v>
      </c>
      <c r="I3739" t="s">
        <v>28</v>
      </c>
      <c r="J3739" t="s">
        <v>41</v>
      </c>
      <c r="K3739" s="6">
        <f t="shared" ca="1" si="240"/>
        <v>34116</v>
      </c>
      <c r="L3739">
        <v>-11645</v>
      </c>
      <c r="M3739" s="7">
        <f t="shared" ca="1" si="238"/>
        <v>31.88227241615332</v>
      </c>
      <c r="N3739" s="5" t="str">
        <f ca="1">VLOOKUP(Data!M3739,temp!$B$3:$C$9,2,1)</f>
        <v>30-40</v>
      </c>
      <c r="O3739">
        <v>-5056</v>
      </c>
      <c r="P3739" s="8">
        <f t="shared" si="239"/>
        <v>13.842573579739904</v>
      </c>
      <c r="Q3739" s="5" t="str">
        <f t="shared" si="241"/>
        <v>Employed</v>
      </c>
      <c r="R3739">
        <v>1</v>
      </c>
      <c r="S3739">
        <v>0</v>
      </c>
      <c r="T3739">
        <v>1</v>
      </c>
      <c r="U3739">
        <v>0</v>
      </c>
      <c r="V3739" t="s">
        <v>29</v>
      </c>
      <c r="W3739">
        <v>4</v>
      </c>
    </row>
    <row r="3740" spans="1:23" x14ac:dyDescent="0.2">
      <c r="A3740">
        <v>5118155</v>
      </c>
      <c r="B3740" t="s">
        <v>18</v>
      </c>
      <c r="C3740" t="s">
        <v>19</v>
      </c>
      <c r="D3740" t="s">
        <v>19</v>
      </c>
      <c r="E3740">
        <v>1</v>
      </c>
      <c r="F3740">
        <v>202500</v>
      </c>
      <c r="G3740" t="s">
        <v>31</v>
      </c>
      <c r="H3740" t="s">
        <v>22</v>
      </c>
      <c r="I3740" t="s">
        <v>28</v>
      </c>
      <c r="J3740" t="s">
        <v>24</v>
      </c>
      <c r="K3740" s="6">
        <f t="shared" ca="1" si="240"/>
        <v>29370</v>
      </c>
      <c r="L3740">
        <v>-16391</v>
      </c>
      <c r="M3740" s="7">
        <f t="shared" ca="1" si="238"/>
        <v>44.876112251882276</v>
      </c>
      <c r="N3740" s="5" t="str">
        <f ca="1">VLOOKUP(Data!M3740,temp!$B$3:$C$9,2,1)</f>
        <v>40-50</v>
      </c>
      <c r="O3740">
        <v>-2014</v>
      </c>
      <c r="P3740" s="8">
        <f t="shared" si="239"/>
        <v>5.5140314852840522</v>
      </c>
      <c r="Q3740" s="5" t="str">
        <f t="shared" si="241"/>
        <v>Employed</v>
      </c>
      <c r="R3740">
        <v>1</v>
      </c>
      <c r="S3740">
        <v>1</v>
      </c>
      <c r="T3740">
        <v>0</v>
      </c>
      <c r="U3740">
        <v>0</v>
      </c>
      <c r="W3740">
        <v>3</v>
      </c>
    </row>
    <row r="3741" spans="1:23" x14ac:dyDescent="0.2">
      <c r="A3741">
        <v>5118173</v>
      </c>
      <c r="B3741" t="s">
        <v>25</v>
      </c>
      <c r="C3741" t="s">
        <v>19</v>
      </c>
      <c r="D3741" t="s">
        <v>19</v>
      </c>
      <c r="E3741">
        <v>1</v>
      </c>
      <c r="F3741">
        <v>180000</v>
      </c>
      <c r="G3741" t="s">
        <v>26</v>
      </c>
      <c r="H3741" t="s">
        <v>27</v>
      </c>
      <c r="I3741" t="s">
        <v>28</v>
      </c>
      <c r="J3741" t="s">
        <v>24</v>
      </c>
      <c r="K3741" s="6">
        <f t="shared" ca="1" si="240"/>
        <v>31360</v>
      </c>
      <c r="L3741">
        <v>-14401</v>
      </c>
      <c r="M3741" s="7">
        <f t="shared" ca="1" si="238"/>
        <v>39.427789185489388</v>
      </c>
      <c r="N3741" s="5" t="str">
        <f ca="1">VLOOKUP(Data!M3741,temp!$B$3:$C$9,2,1)</f>
        <v>30-40</v>
      </c>
      <c r="O3741">
        <v>-979</v>
      </c>
      <c r="P3741" s="8">
        <f t="shared" si="239"/>
        <v>2.6803559206023273</v>
      </c>
      <c r="Q3741" s="5" t="str">
        <f t="shared" si="241"/>
        <v>Employed</v>
      </c>
      <c r="R3741">
        <v>1</v>
      </c>
      <c r="S3741">
        <v>1</v>
      </c>
      <c r="T3741">
        <v>1</v>
      </c>
      <c r="U3741">
        <v>0</v>
      </c>
      <c r="V3741" t="s">
        <v>40</v>
      </c>
      <c r="W3741">
        <v>3</v>
      </c>
    </row>
    <row r="3742" spans="1:23" x14ac:dyDescent="0.2">
      <c r="A3742">
        <v>5118187</v>
      </c>
      <c r="B3742" t="s">
        <v>18</v>
      </c>
      <c r="C3742" t="s">
        <v>19</v>
      </c>
      <c r="D3742" t="s">
        <v>19</v>
      </c>
      <c r="E3742">
        <v>1</v>
      </c>
      <c r="F3742">
        <v>45000</v>
      </c>
      <c r="G3742" t="s">
        <v>31</v>
      </c>
      <c r="H3742" t="s">
        <v>27</v>
      </c>
      <c r="I3742" t="s">
        <v>28</v>
      </c>
      <c r="J3742" t="s">
        <v>24</v>
      </c>
      <c r="K3742" s="6">
        <f t="shared" ca="1" si="240"/>
        <v>32164</v>
      </c>
      <c r="L3742">
        <v>-13597</v>
      </c>
      <c r="M3742" s="7">
        <f t="shared" ca="1" si="238"/>
        <v>37.226557152635181</v>
      </c>
      <c r="N3742" s="5" t="str">
        <f ca="1">VLOOKUP(Data!M3742,temp!$B$3:$C$9,2,1)</f>
        <v>30-40</v>
      </c>
      <c r="O3742">
        <v>-96</v>
      </c>
      <c r="P3742" s="8">
        <f t="shared" si="239"/>
        <v>0.26283367556468173</v>
      </c>
      <c r="Q3742" s="5" t="str">
        <f t="shared" si="241"/>
        <v>Employed</v>
      </c>
      <c r="R3742">
        <v>1</v>
      </c>
      <c r="S3742">
        <v>0</v>
      </c>
      <c r="T3742">
        <v>0</v>
      </c>
      <c r="U3742">
        <v>0</v>
      </c>
      <c r="V3742" t="s">
        <v>38</v>
      </c>
      <c r="W3742">
        <v>3</v>
      </c>
    </row>
    <row r="3743" spans="1:23" x14ac:dyDescent="0.2">
      <c r="A3743">
        <v>5118195</v>
      </c>
      <c r="B3743" t="s">
        <v>18</v>
      </c>
      <c r="C3743" t="s">
        <v>19</v>
      </c>
      <c r="D3743" t="s">
        <v>19</v>
      </c>
      <c r="E3743">
        <v>0</v>
      </c>
      <c r="F3743">
        <v>171000</v>
      </c>
      <c r="G3743" t="s">
        <v>31</v>
      </c>
      <c r="H3743" t="s">
        <v>27</v>
      </c>
      <c r="I3743" t="s">
        <v>23</v>
      </c>
      <c r="J3743" t="s">
        <v>53</v>
      </c>
      <c r="K3743" s="6">
        <f t="shared" ca="1" si="240"/>
        <v>29520</v>
      </c>
      <c r="L3743">
        <v>-16241</v>
      </c>
      <c r="M3743" s="7">
        <f t="shared" ca="1" si="238"/>
        <v>44.465434633812457</v>
      </c>
      <c r="N3743" s="5" t="str">
        <f ca="1">VLOOKUP(Data!M3743,temp!$B$3:$C$9,2,1)</f>
        <v>40-50</v>
      </c>
      <c r="O3743">
        <v>-8862</v>
      </c>
      <c r="P3743" s="8">
        <f t="shared" si="239"/>
        <v>24.262833675564682</v>
      </c>
      <c r="Q3743" s="5" t="str">
        <f t="shared" si="241"/>
        <v>Employed</v>
      </c>
      <c r="R3743">
        <v>1</v>
      </c>
      <c r="S3743">
        <v>1</v>
      </c>
      <c r="T3743">
        <v>0</v>
      </c>
      <c r="U3743">
        <v>0</v>
      </c>
      <c r="V3743" t="s">
        <v>30</v>
      </c>
      <c r="W3743">
        <v>1</v>
      </c>
    </row>
    <row r="3744" spans="1:23" x14ac:dyDescent="0.2">
      <c r="A3744">
        <v>5118196</v>
      </c>
      <c r="B3744" t="s">
        <v>18</v>
      </c>
      <c r="C3744" t="s">
        <v>19</v>
      </c>
      <c r="D3744" t="s">
        <v>19</v>
      </c>
      <c r="E3744">
        <v>0</v>
      </c>
      <c r="F3744">
        <v>171000</v>
      </c>
      <c r="G3744" t="s">
        <v>31</v>
      </c>
      <c r="H3744" t="s">
        <v>27</v>
      </c>
      <c r="I3744" t="s">
        <v>23</v>
      </c>
      <c r="J3744" t="s">
        <v>53</v>
      </c>
      <c r="K3744" s="6">
        <f t="shared" ca="1" si="240"/>
        <v>29520</v>
      </c>
      <c r="L3744">
        <v>-16241</v>
      </c>
      <c r="M3744" s="7">
        <f t="shared" ca="1" si="238"/>
        <v>44.465434633812457</v>
      </c>
      <c r="N3744" s="5" t="str">
        <f ca="1">VLOOKUP(Data!M3744,temp!$B$3:$C$9,2,1)</f>
        <v>40-50</v>
      </c>
      <c r="O3744">
        <v>-8862</v>
      </c>
      <c r="P3744" s="8">
        <f t="shared" si="239"/>
        <v>24.262833675564682</v>
      </c>
      <c r="Q3744" s="5" t="str">
        <f t="shared" si="241"/>
        <v>Employed</v>
      </c>
      <c r="R3744">
        <v>1</v>
      </c>
      <c r="S3744">
        <v>1</v>
      </c>
      <c r="T3744">
        <v>0</v>
      </c>
      <c r="U3744">
        <v>0</v>
      </c>
      <c r="V3744" t="s">
        <v>30</v>
      </c>
      <c r="W3744">
        <v>1</v>
      </c>
    </row>
    <row r="3745" spans="1:23" x14ac:dyDescent="0.2">
      <c r="A3745">
        <v>5118203</v>
      </c>
      <c r="B3745" t="s">
        <v>18</v>
      </c>
      <c r="C3745" t="s">
        <v>19</v>
      </c>
      <c r="D3745" t="s">
        <v>19</v>
      </c>
      <c r="E3745">
        <v>1</v>
      </c>
      <c r="F3745">
        <v>90000</v>
      </c>
      <c r="G3745" t="s">
        <v>21</v>
      </c>
      <c r="H3745" t="s">
        <v>27</v>
      </c>
      <c r="I3745" t="s">
        <v>28</v>
      </c>
      <c r="J3745" t="s">
        <v>24</v>
      </c>
      <c r="K3745" s="6">
        <f t="shared" ca="1" si="240"/>
        <v>35900</v>
      </c>
      <c r="L3745">
        <v>-9861</v>
      </c>
      <c r="M3745" s="7">
        <f t="shared" ca="1" si="238"/>
        <v>26.997946611909651</v>
      </c>
      <c r="N3745" s="5" t="str">
        <f ca="1">VLOOKUP(Data!M3745,temp!$B$3:$C$9,2,1)</f>
        <v>20-30</v>
      </c>
      <c r="O3745">
        <v>365243</v>
      </c>
      <c r="P3745" s="8">
        <f t="shared" si="239"/>
        <v>0</v>
      </c>
      <c r="Q3745" s="5" t="str">
        <f t="shared" si="241"/>
        <v>Unemployed</v>
      </c>
      <c r="R3745">
        <v>1</v>
      </c>
      <c r="S3745">
        <v>0</v>
      </c>
      <c r="T3745">
        <v>0</v>
      </c>
      <c r="U3745">
        <v>0</v>
      </c>
      <c r="W3745">
        <v>3</v>
      </c>
    </row>
    <row r="3746" spans="1:23" x14ac:dyDescent="0.2">
      <c r="A3746">
        <v>5118212</v>
      </c>
      <c r="B3746" t="s">
        <v>18</v>
      </c>
      <c r="C3746" t="s">
        <v>19</v>
      </c>
      <c r="D3746" t="s">
        <v>19</v>
      </c>
      <c r="E3746">
        <v>0</v>
      </c>
      <c r="F3746">
        <v>76500</v>
      </c>
      <c r="G3746" t="s">
        <v>26</v>
      </c>
      <c r="H3746" t="s">
        <v>27</v>
      </c>
      <c r="I3746" t="s">
        <v>28</v>
      </c>
      <c r="J3746" t="s">
        <v>24</v>
      </c>
      <c r="K3746" s="6">
        <f t="shared" ca="1" si="240"/>
        <v>32638</v>
      </c>
      <c r="L3746">
        <v>-13123</v>
      </c>
      <c r="M3746" s="7">
        <f t="shared" ca="1" si="238"/>
        <v>35.928815879534568</v>
      </c>
      <c r="N3746" s="5" t="str">
        <f ca="1">VLOOKUP(Data!M3746,temp!$B$3:$C$9,2,1)</f>
        <v>30-40</v>
      </c>
      <c r="O3746">
        <v>-5240</v>
      </c>
      <c r="P3746" s="8">
        <f t="shared" si="239"/>
        <v>14.346338124572211</v>
      </c>
      <c r="Q3746" s="5" t="str">
        <f t="shared" si="241"/>
        <v>Employed</v>
      </c>
      <c r="R3746">
        <v>1</v>
      </c>
      <c r="S3746">
        <v>0</v>
      </c>
      <c r="T3746">
        <v>0</v>
      </c>
      <c r="U3746">
        <v>0</v>
      </c>
      <c r="W3746">
        <v>2</v>
      </c>
    </row>
    <row r="3747" spans="1:23" x14ac:dyDescent="0.2">
      <c r="A3747">
        <v>5118217</v>
      </c>
      <c r="B3747" t="s">
        <v>18</v>
      </c>
      <c r="C3747" t="s">
        <v>19</v>
      </c>
      <c r="D3747" t="s">
        <v>19</v>
      </c>
      <c r="E3747">
        <v>2</v>
      </c>
      <c r="F3747">
        <v>112500</v>
      </c>
      <c r="G3747" t="s">
        <v>35</v>
      </c>
      <c r="H3747" t="s">
        <v>27</v>
      </c>
      <c r="I3747" t="s">
        <v>28</v>
      </c>
      <c r="J3747" t="s">
        <v>24</v>
      </c>
      <c r="K3747" s="6">
        <f t="shared" ca="1" si="240"/>
        <v>35611</v>
      </c>
      <c r="L3747">
        <v>-10150</v>
      </c>
      <c r="M3747" s="7">
        <f t="shared" ca="1" si="238"/>
        <v>27.789185489390828</v>
      </c>
      <c r="N3747" s="5" t="str">
        <f ca="1">VLOOKUP(Data!M3747,temp!$B$3:$C$9,2,1)</f>
        <v>20-30</v>
      </c>
      <c r="O3747">
        <v>-1162</v>
      </c>
      <c r="P3747" s="8">
        <f t="shared" si="239"/>
        <v>3.1813826146475015</v>
      </c>
      <c r="Q3747" s="5" t="str">
        <f t="shared" si="241"/>
        <v>Employed</v>
      </c>
      <c r="R3747">
        <v>1</v>
      </c>
      <c r="S3747">
        <v>1</v>
      </c>
      <c r="T3747">
        <v>1</v>
      </c>
      <c r="U3747">
        <v>0</v>
      </c>
      <c r="V3747" t="s">
        <v>38</v>
      </c>
      <c r="W3747">
        <v>4</v>
      </c>
    </row>
    <row r="3748" spans="1:23" x14ac:dyDescent="0.2">
      <c r="A3748">
        <v>5118230</v>
      </c>
      <c r="B3748" t="s">
        <v>25</v>
      </c>
      <c r="C3748" t="s">
        <v>20</v>
      </c>
      <c r="D3748" t="s">
        <v>19</v>
      </c>
      <c r="E3748">
        <v>0</v>
      </c>
      <c r="F3748">
        <v>166500</v>
      </c>
      <c r="G3748" t="s">
        <v>26</v>
      </c>
      <c r="H3748" t="s">
        <v>22</v>
      </c>
      <c r="I3748" t="s">
        <v>28</v>
      </c>
      <c r="J3748" t="s">
        <v>24</v>
      </c>
      <c r="K3748" s="6">
        <f t="shared" ca="1" si="240"/>
        <v>26066</v>
      </c>
      <c r="L3748">
        <v>-19695</v>
      </c>
      <c r="M3748" s="7">
        <f t="shared" ca="1" si="238"/>
        <v>53.921971252566735</v>
      </c>
      <c r="N3748" s="5" t="str">
        <f ca="1">VLOOKUP(Data!M3748,temp!$B$3:$C$9,2,1)</f>
        <v>50-60</v>
      </c>
      <c r="O3748">
        <v>-339</v>
      </c>
      <c r="P3748" s="8">
        <f t="shared" si="239"/>
        <v>0.92813141683778233</v>
      </c>
      <c r="Q3748" s="5" t="str">
        <f t="shared" si="241"/>
        <v>Employed</v>
      </c>
      <c r="R3748">
        <v>1</v>
      </c>
      <c r="S3748">
        <v>1</v>
      </c>
      <c r="T3748">
        <v>0</v>
      </c>
      <c r="U3748">
        <v>0</v>
      </c>
      <c r="V3748" t="s">
        <v>29</v>
      </c>
      <c r="W3748">
        <v>2</v>
      </c>
    </row>
    <row r="3749" spans="1:23" x14ac:dyDescent="0.2">
      <c r="A3749">
        <v>5118241</v>
      </c>
      <c r="B3749" t="s">
        <v>25</v>
      </c>
      <c r="C3749" t="s">
        <v>19</v>
      </c>
      <c r="D3749" t="s">
        <v>19</v>
      </c>
      <c r="E3749">
        <v>0</v>
      </c>
      <c r="F3749">
        <v>157500</v>
      </c>
      <c r="G3749" t="s">
        <v>31</v>
      </c>
      <c r="H3749" t="s">
        <v>27</v>
      </c>
      <c r="I3749" t="s">
        <v>28</v>
      </c>
      <c r="J3749" t="s">
        <v>24</v>
      </c>
      <c r="K3749" s="6">
        <f t="shared" ca="1" si="240"/>
        <v>32022</v>
      </c>
      <c r="L3749">
        <v>-13739</v>
      </c>
      <c r="M3749" s="7">
        <f t="shared" ca="1" si="238"/>
        <v>37.615331964407943</v>
      </c>
      <c r="N3749" s="5" t="str">
        <f ca="1">VLOOKUP(Data!M3749,temp!$B$3:$C$9,2,1)</f>
        <v>30-40</v>
      </c>
      <c r="O3749">
        <v>-2896</v>
      </c>
      <c r="P3749" s="8">
        <f t="shared" si="239"/>
        <v>7.9288158795345653</v>
      </c>
      <c r="Q3749" s="5" t="str">
        <f t="shared" si="241"/>
        <v>Employed</v>
      </c>
      <c r="R3749">
        <v>1</v>
      </c>
      <c r="S3749">
        <v>0</v>
      </c>
      <c r="T3749">
        <v>0</v>
      </c>
      <c r="U3749">
        <v>0</v>
      </c>
      <c r="V3749" t="s">
        <v>40</v>
      </c>
      <c r="W3749">
        <v>2</v>
      </c>
    </row>
    <row r="3750" spans="1:23" x14ac:dyDescent="0.2">
      <c r="A3750">
        <v>5118260</v>
      </c>
      <c r="B3750" t="s">
        <v>25</v>
      </c>
      <c r="C3750" t="s">
        <v>19</v>
      </c>
      <c r="D3750" t="s">
        <v>19</v>
      </c>
      <c r="E3750">
        <v>0</v>
      </c>
      <c r="F3750">
        <v>450000</v>
      </c>
      <c r="G3750" t="s">
        <v>26</v>
      </c>
      <c r="H3750" t="s">
        <v>36</v>
      </c>
      <c r="I3750" t="s">
        <v>28</v>
      </c>
      <c r="J3750" t="s">
        <v>24</v>
      </c>
      <c r="K3750" s="6">
        <f t="shared" ca="1" si="240"/>
        <v>31296</v>
      </c>
      <c r="L3750">
        <v>-14465</v>
      </c>
      <c r="M3750" s="7">
        <f t="shared" ca="1" si="238"/>
        <v>39.603011635865847</v>
      </c>
      <c r="N3750" s="5" t="str">
        <f ca="1">VLOOKUP(Data!M3750,temp!$B$3:$C$9,2,1)</f>
        <v>30-40</v>
      </c>
      <c r="O3750">
        <v>-4145</v>
      </c>
      <c r="P3750" s="8">
        <f t="shared" si="239"/>
        <v>11.348391512662561</v>
      </c>
      <c r="Q3750" s="5" t="str">
        <f t="shared" si="241"/>
        <v>Employed</v>
      </c>
      <c r="R3750">
        <v>1</v>
      </c>
      <c r="S3750">
        <v>1</v>
      </c>
      <c r="T3750">
        <v>1</v>
      </c>
      <c r="U3750">
        <v>0</v>
      </c>
      <c r="V3750" t="s">
        <v>32</v>
      </c>
      <c r="W3750">
        <v>2</v>
      </c>
    </row>
    <row r="3751" spans="1:23" x14ac:dyDescent="0.2">
      <c r="A3751">
        <v>5118261</v>
      </c>
      <c r="B3751" t="s">
        <v>25</v>
      </c>
      <c r="C3751" t="s">
        <v>19</v>
      </c>
      <c r="D3751" t="s">
        <v>19</v>
      </c>
      <c r="E3751">
        <v>0</v>
      </c>
      <c r="F3751">
        <v>450000</v>
      </c>
      <c r="G3751" t="s">
        <v>26</v>
      </c>
      <c r="H3751" t="s">
        <v>36</v>
      </c>
      <c r="I3751" t="s">
        <v>28</v>
      </c>
      <c r="J3751" t="s">
        <v>24</v>
      </c>
      <c r="K3751" s="6">
        <f t="shared" ca="1" si="240"/>
        <v>31296</v>
      </c>
      <c r="L3751">
        <v>-14465</v>
      </c>
      <c r="M3751" s="7">
        <f t="shared" ca="1" si="238"/>
        <v>39.603011635865847</v>
      </c>
      <c r="N3751" s="5" t="str">
        <f ca="1">VLOOKUP(Data!M3751,temp!$B$3:$C$9,2,1)</f>
        <v>30-40</v>
      </c>
      <c r="O3751">
        <v>-4145</v>
      </c>
      <c r="P3751" s="8">
        <f t="shared" si="239"/>
        <v>11.348391512662561</v>
      </c>
      <c r="Q3751" s="5" t="str">
        <f t="shared" si="241"/>
        <v>Employed</v>
      </c>
      <c r="R3751">
        <v>1</v>
      </c>
      <c r="S3751">
        <v>1</v>
      </c>
      <c r="T3751">
        <v>1</v>
      </c>
      <c r="U3751">
        <v>0</v>
      </c>
      <c r="V3751" t="s">
        <v>32</v>
      </c>
      <c r="W3751">
        <v>2</v>
      </c>
    </row>
    <row r="3752" spans="1:23" x14ac:dyDescent="0.2">
      <c r="A3752">
        <v>5118287</v>
      </c>
      <c r="B3752" t="s">
        <v>18</v>
      </c>
      <c r="C3752" t="s">
        <v>19</v>
      </c>
      <c r="D3752" t="s">
        <v>19</v>
      </c>
      <c r="E3752">
        <v>0</v>
      </c>
      <c r="F3752">
        <v>360000</v>
      </c>
      <c r="G3752" t="s">
        <v>31</v>
      </c>
      <c r="H3752" t="s">
        <v>22</v>
      </c>
      <c r="I3752" t="s">
        <v>28</v>
      </c>
      <c r="J3752" t="s">
        <v>24</v>
      </c>
      <c r="K3752" s="6">
        <f t="shared" ca="1" si="240"/>
        <v>28666</v>
      </c>
      <c r="L3752">
        <v>-17095</v>
      </c>
      <c r="M3752" s="7">
        <f t="shared" ca="1" si="238"/>
        <v>46.803559206023273</v>
      </c>
      <c r="N3752" s="5" t="str">
        <f ca="1">VLOOKUP(Data!M3752,temp!$B$3:$C$9,2,1)</f>
        <v>40-50</v>
      </c>
      <c r="O3752">
        <v>-6275</v>
      </c>
      <c r="P3752" s="8">
        <f t="shared" si="239"/>
        <v>17.180013689253936</v>
      </c>
      <c r="Q3752" s="5" t="str">
        <f t="shared" si="241"/>
        <v>Employed</v>
      </c>
      <c r="R3752">
        <v>1</v>
      </c>
      <c r="S3752">
        <v>0</v>
      </c>
      <c r="T3752">
        <v>1</v>
      </c>
      <c r="U3752">
        <v>0</v>
      </c>
      <c r="V3752" t="s">
        <v>38</v>
      </c>
      <c r="W3752">
        <v>2</v>
      </c>
    </row>
    <row r="3753" spans="1:23" x14ac:dyDescent="0.2">
      <c r="A3753">
        <v>5118291</v>
      </c>
      <c r="B3753" t="s">
        <v>18</v>
      </c>
      <c r="C3753" t="s">
        <v>19</v>
      </c>
      <c r="D3753" t="s">
        <v>19</v>
      </c>
      <c r="E3753">
        <v>2</v>
      </c>
      <c r="F3753">
        <v>139500</v>
      </c>
      <c r="G3753" t="s">
        <v>31</v>
      </c>
      <c r="H3753" t="s">
        <v>36</v>
      </c>
      <c r="I3753" t="s">
        <v>28</v>
      </c>
      <c r="J3753" t="s">
        <v>41</v>
      </c>
      <c r="K3753" s="6">
        <f t="shared" ca="1" si="240"/>
        <v>32595</v>
      </c>
      <c r="L3753">
        <v>-13166</v>
      </c>
      <c r="M3753" s="7">
        <f t="shared" ca="1" si="238"/>
        <v>36.046543463381248</v>
      </c>
      <c r="N3753" s="5" t="str">
        <f ca="1">VLOOKUP(Data!M3753,temp!$B$3:$C$9,2,1)</f>
        <v>30-40</v>
      </c>
      <c r="O3753">
        <v>-2988</v>
      </c>
      <c r="P3753" s="8">
        <f t="shared" si="239"/>
        <v>8.1806981519507183</v>
      </c>
      <c r="Q3753" s="5" t="str">
        <f t="shared" si="241"/>
        <v>Employed</v>
      </c>
      <c r="R3753">
        <v>1</v>
      </c>
      <c r="S3753">
        <v>1</v>
      </c>
      <c r="T3753">
        <v>1</v>
      </c>
      <c r="U3753">
        <v>0</v>
      </c>
      <c r="V3753" t="s">
        <v>38</v>
      </c>
      <c r="W3753">
        <v>4</v>
      </c>
    </row>
    <row r="3754" spans="1:23" x14ac:dyDescent="0.2">
      <c r="A3754">
        <v>5118300</v>
      </c>
      <c r="B3754" t="s">
        <v>18</v>
      </c>
      <c r="C3754" t="s">
        <v>19</v>
      </c>
      <c r="D3754" t="s">
        <v>19</v>
      </c>
      <c r="E3754">
        <v>2</v>
      </c>
      <c r="F3754">
        <v>139500</v>
      </c>
      <c r="G3754" t="s">
        <v>31</v>
      </c>
      <c r="H3754" t="s">
        <v>36</v>
      </c>
      <c r="I3754" t="s">
        <v>28</v>
      </c>
      <c r="J3754" t="s">
        <v>41</v>
      </c>
      <c r="K3754" s="6">
        <f t="shared" ca="1" si="240"/>
        <v>32595</v>
      </c>
      <c r="L3754">
        <v>-13166</v>
      </c>
      <c r="M3754" s="7">
        <f t="shared" ca="1" si="238"/>
        <v>36.046543463381248</v>
      </c>
      <c r="N3754" s="5" t="str">
        <f ca="1">VLOOKUP(Data!M3754,temp!$B$3:$C$9,2,1)</f>
        <v>30-40</v>
      </c>
      <c r="O3754">
        <v>-2988</v>
      </c>
      <c r="P3754" s="8">
        <f t="shared" si="239"/>
        <v>8.1806981519507183</v>
      </c>
      <c r="Q3754" s="5" t="str">
        <f t="shared" si="241"/>
        <v>Employed</v>
      </c>
      <c r="R3754">
        <v>1</v>
      </c>
      <c r="S3754">
        <v>1</v>
      </c>
      <c r="T3754">
        <v>1</v>
      </c>
      <c r="U3754">
        <v>0</v>
      </c>
      <c r="V3754" t="s">
        <v>38</v>
      </c>
      <c r="W3754">
        <v>4</v>
      </c>
    </row>
    <row r="3755" spans="1:23" x14ac:dyDescent="0.2">
      <c r="A3755">
        <v>5118301</v>
      </c>
      <c r="B3755" t="s">
        <v>18</v>
      </c>
      <c r="C3755" t="s">
        <v>19</v>
      </c>
      <c r="D3755" t="s">
        <v>19</v>
      </c>
      <c r="E3755">
        <v>2</v>
      </c>
      <c r="F3755">
        <v>139500</v>
      </c>
      <c r="G3755" t="s">
        <v>31</v>
      </c>
      <c r="H3755" t="s">
        <v>36</v>
      </c>
      <c r="I3755" t="s">
        <v>28</v>
      </c>
      <c r="J3755" t="s">
        <v>41</v>
      </c>
      <c r="K3755" s="6">
        <f t="shared" ca="1" si="240"/>
        <v>32595</v>
      </c>
      <c r="L3755">
        <v>-13166</v>
      </c>
      <c r="M3755" s="7">
        <f t="shared" ca="1" si="238"/>
        <v>36.046543463381248</v>
      </c>
      <c r="N3755" s="5" t="str">
        <f ca="1">VLOOKUP(Data!M3755,temp!$B$3:$C$9,2,1)</f>
        <v>30-40</v>
      </c>
      <c r="O3755">
        <v>-2988</v>
      </c>
      <c r="P3755" s="8">
        <f t="shared" si="239"/>
        <v>8.1806981519507183</v>
      </c>
      <c r="Q3755" s="5" t="str">
        <f t="shared" si="241"/>
        <v>Employed</v>
      </c>
      <c r="R3755">
        <v>1</v>
      </c>
      <c r="S3755">
        <v>1</v>
      </c>
      <c r="T3755">
        <v>1</v>
      </c>
      <c r="U3755">
        <v>0</v>
      </c>
      <c r="V3755" t="s">
        <v>38</v>
      </c>
      <c r="W3755">
        <v>4</v>
      </c>
    </row>
    <row r="3756" spans="1:23" x14ac:dyDescent="0.2">
      <c r="A3756">
        <v>5118328</v>
      </c>
      <c r="B3756" t="s">
        <v>18</v>
      </c>
      <c r="C3756" t="s">
        <v>19</v>
      </c>
      <c r="D3756" t="s">
        <v>19</v>
      </c>
      <c r="E3756">
        <v>1</v>
      </c>
      <c r="F3756">
        <v>180000</v>
      </c>
      <c r="G3756" t="s">
        <v>31</v>
      </c>
      <c r="H3756" t="s">
        <v>27</v>
      </c>
      <c r="I3756" t="s">
        <v>28</v>
      </c>
      <c r="J3756" t="s">
        <v>34</v>
      </c>
      <c r="K3756" s="6">
        <f t="shared" ca="1" si="240"/>
        <v>35999</v>
      </c>
      <c r="L3756">
        <v>-9762</v>
      </c>
      <c r="M3756" s="7">
        <f t="shared" ca="1" si="238"/>
        <v>26.726899383983572</v>
      </c>
      <c r="N3756" s="5" t="str">
        <f ca="1">VLOOKUP(Data!M3756,temp!$B$3:$C$9,2,1)</f>
        <v>20-30</v>
      </c>
      <c r="O3756">
        <v>-1223</v>
      </c>
      <c r="P3756" s="8">
        <f t="shared" si="239"/>
        <v>3.3483915126625599</v>
      </c>
      <c r="Q3756" s="5" t="str">
        <f t="shared" si="241"/>
        <v>Employed</v>
      </c>
      <c r="R3756">
        <v>1</v>
      </c>
      <c r="S3756">
        <v>1</v>
      </c>
      <c r="T3756">
        <v>0</v>
      </c>
      <c r="U3756">
        <v>0</v>
      </c>
      <c r="V3756" t="s">
        <v>29</v>
      </c>
      <c r="W3756">
        <v>3</v>
      </c>
    </row>
    <row r="3757" spans="1:23" x14ac:dyDescent="0.2">
      <c r="A3757">
        <v>5118342</v>
      </c>
      <c r="B3757" t="s">
        <v>18</v>
      </c>
      <c r="C3757" t="s">
        <v>20</v>
      </c>
      <c r="D3757" t="s">
        <v>19</v>
      </c>
      <c r="E3757">
        <v>1</v>
      </c>
      <c r="F3757">
        <v>81000</v>
      </c>
      <c r="G3757" t="s">
        <v>31</v>
      </c>
      <c r="H3757" t="s">
        <v>27</v>
      </c>
      <c r="I3757" t="s">
        <v>28</v>
      </c>
      <c r="J3757" t="s">
        <v>24</v>
      </c>
      <c r="K3757" s="6">
        <f t="shared" ca="1" si="240"/>
        <v>30699</v>
      </c>
      <c r="L3757">
        <v>-15062</v>
      </c>
      <c r="M3757" s="7">
        <f t="shared" ca="1" si="238"/>
        <v>41.237508555783712</v>
      </c>
      <c r="N3757" s="5" t="str">
        <f ca="1">VLOOKUP(Data!M3757,temp!$B$3:$C$9,2,1)</f>
        <v>40-50</v>
      </c>
      <c r="O3757">
        <v>-2014</v>
      </c>
      <c r="P3757" s="8">
        <f t="shared" si="239"/>
        <v>5.5140314852840522</v>
      </c>
      <c r="Q3757" s="5" t="str">
        <f t="shared" si="241"/>
        <v>Employed</v>
      </c>
      <c r="R3757">
        <v>1</v>
      </c>
      <c r="S3757">
        <v>1</v>
      </c>
      <c r="T3757">
        <v>0</v>
      </c>
      <c r="U3757">
        <v>0</v>
      </c>
      <c r="W3757">
        <v>3</v>
      </c>
    </row>
    <row r="3758" spans="1:23" x14ac:dyDescent="0.2">
      <c r="A3758">
        <v>5118343</v>
      </c>
      <c r="B3758" t="s">
        <v>18</v>
      </c>
      <c r="C3758" t="s">
        <v>20</v>
      </c>
      <c r="D3758" t="s">
        <v>19</v>
      </c>
      <c r="E3758">
        <v>1</v>
      </c>
      <c r="F3758">
        <v>81000</v>
      </c>
      <c r="G3758" t="s">
        <v>31</v>
      </c>
      <c r="H3758" t="s">
        <v>27</v>
      </c>
      <c r="I3758" t="s">
        <v>28</v>
      </c>
      <c r="J3758" t="s">
        <v>24</v>
      </c>
      <c r="K3758" s="6">
        <f t="shared" ca="1" si="240"/>
        <v>30699</v>
      </c>
      <c r="L3758">
        <v>-15062</v>
      </c>
      <c r="M3758" s="7">
        <f t="shared" ca="1" si="238"/>
        <v>41.237508555783712</v>
      </c>
      <c r="N3758" s="5" t="str">
        <f ca="1">VLOOKUP(Data!M3758,temp!$B$3:$C$9,2,1)</f>
        <v>40-50</v>
      </c>
      <c r="O3758">
        <v>-2014</v>
      </c>
      <c r="P3758" s="8">
        <f t="shared" si="239"/>
        <v>5.5140314852840522</v>
      </c>
      <c r="Q3758" s="5" t="str">
        <f t="shared" si="241"/>
        <v>Employed</v>
      </c>
      <c r="R3758">
        <v>1</v>
      </c>
      <c r="S3758">
        <v>1</v>
      </c>
      <c r="T3758">
        <v>0</v>
      </c>
      <c r="U3758">
        <v>0</v>
      </c>
      <c r="W3758">
        <v>3</v>
      </c>
    </row>
    <row r="3759" spans="1:23" x14ac:dyDescent="0.2">
      <c r="A3759">
        <v>5118363</v>
      </c>
      <c r="B3759" t="s">
        <v>18</v>
      </c>
      <c r="C3759" t="s">
        <v>19</v>
      </c>
      <c r="D3759" t="s">
        <v>19</v>
      </c>
      <c r="E3759">
        <v>0</v>
      </c>
      <c r="F3759">
        <v>135000</v>
      </c>
      <c r="G3759" t="s">
        <v>31</v>
      </c>
      <c r="H3759" t="s">
        <v>22</v>
      </c>
      <c r="I3759" t="s">
        <v>28</v>
      </c>
      <c r="J3759" t="s">
        <v>24</v>
      </c>
      <c r="K3759" s="6">
        <f t="shared" ca="1" si="240"/>
        <v>35086</v>
      </c>
      <c r="L3759">
        <v>-10675</v>
      </c>
      <c r="M3759" s="7">
        <f t="shared" ca="1" si="238"/>
        <v>29.226557152635181</v>
      </c>
      <c r="N3759" s="5" t="str">
        <f ca="1">VLOOKUP(Data!M3759,temp!$B$3:$C$9,2,1)</f>
        <v>20-30</v>
      </c>
      <c r="O3759">
        <v>-1284</v>
      </c>
      <c r="P3759" s="8">
        <f t="shared" si="239"/>
        <v>3.5154004106776182</v>
      </c>
      <c r="Q3759" s="5" t="str">
        <f t="shared" si="241"/>
        <v>Employed</v>
      </c>
      <c r="R3759">
        <v>1</v>
      </c>
      <c r="S3759">
        <v>1</v>
      </c>
      <c r="T3759">
        <v>0</v>
      </c>
      <c r="U3759">
        <v>0</v>
      </c>
      <c r="V3759" t="s">
        <v>38</v>
      </c>
      <c r="W3759">
        <v>2</v>
      </c>
    </row>
    <row r="3760" spans="1:23" x14ac:dyDescent="0.2">
      <c r="A3760">
        <v>5118370</v>
      </c>
      <c r="B3760" t="s">
        <v>18</v>
      </c>
      <c r="C3760" t="s">
        <v>19</v>
      </c>
      <c r="D3760" t="s">
        <v>19</v>
      </c>
      <c r="E3760">
        <v>0</v>
      </c>
      <c r="F3760">
        <v>180000</v>
      </c>
      <c r="G3760" t="s">
        <v>31</v>
      </c>
      <c r="H3760" t="s">
        <v>27</v>
      </c>
      <c r="I3760" t="s">
        <v>37</v>
      </c>
      <c r="J3760" t="s">
        <v>24</v>
      </c>
      <c r="K3760" s="6">
        <f t="shared" ca="1" si="240"/>
        <v>35305</v>
      </c>
      <c r="L3760">
        <v>-10456</v>
      </c>
      <c r="M3760" s="7">
        <f t="shared" ca="1" si="238"/>
        <v>28.62696783025325</v>
      </c>
      <c r="N3760" s="5" t="str">
        <f ca="1">VLOOKUP(Data!M3760,temp!$B$3:$C$9,2,1)</f>
        <v>20-30</v>
      </c>
      <c r="O3760">
        <v>-1953</v>
      </c>
      <c r="P3760" s="8">
        <f t="shared" si="239"/>
        <v>5.3470225872689943</v>
      </c>
      <c r="Q3760" s="5" t="str">
        <f t="shared" si="241"/>
        <v>Employed</v>
      </c>
      <c r="R3760">
        <v>1</v>
      </c>
      <c r="S3760">
        <v>1</v>
      </c>
      <c r="T3760">
        <v>0</v>
      </c>
      <c r="U3760">
        <v>0</v>
      </c>
      <c r="V3760" t="s">
        <v>50</v>
      </c>
      <c r="W3760">
        <v>2</v>
      </c>
    </row>
    <row r="3761" spans="1:23" x14ac:dyDescent="0.2">
      <c r="A3761">
        <v>5118373</v>
      </c>
      <c r="B3761" t="s">
        <v>18</v>
      </c>
      <c r="C3761" t="s">
        <v>19</v>
      </c>
      <c r="D3761" t="s">
        <v>19</v>
      </c>
      <c r="E3761">
        <v>0</v>
      </c>
      <c r="F3761">
        <v>90000</v>
      </c>
      <c r="G3761" t="s">
        <v>21</v>
      </c>
      <c r="H3761" t="s">
        <v>27</v>
      </c>
      <c r="I3761" t="s">
        <v>28</v>
      </c>
      <c r="J3761" t="s">
        <v>24</v>
      </c>
      <c r="K3761" s="6">
        <f t="shared" ca="1" si="240"/>
        <v>25266</v>
      </c>
      <c r="L3761">
        <v>-20495</v>
      </c>
      <c r="M3761" s="7">
        <f t="shared" ca="1" si="238"/>
        <v>56.112251882272417</v>
      </c>
      <c r="N3761" s="5" t="str">
        <f ca="1">VLOOKUP(Data!M3761,temp!$B$3:$C$9,2,1)</f>
        <v>50-60</v>
      </c>
      <c r="O3761">
        <v>365243</v>
      </c>
      <c r="P3761" s="8">
        <f t="shared" si="239"/>
        <v>0</v>
      </c>
      <c r="Q3761" s="5" t="str">
        <f t="shared" si="241"/>
        <v>Unemployed</v>
      </c>
      <c r="R3761">
        <v>1</v>
      </c>
      <c r="S3761">
        <v>0</v>
      </c>
      <c r="T3761">
        <v>1</v>
      </c>
      <c r="U3761">
        <v>0</v>
      </c>
      <c r="W3761">
        <v>2</v>
      </c>
    </row>
    <row r="3762" spans="1:23" x14ac:dyDescent="0.2">
      <c r="A3762">
        <v>5118374</v>
      </c>
      <c r="B3762" t="s">
        <v>18</v>
      </c>
      <c r="C3762" t="s">
        <v>19</v>
      </c>
      <c r="D3762" t="s">
        <v>19</v>
      </c>
      <c r="E3762">
        <v>0</v>
      </c>
      <c r="F3762">
        <v>90000</v>
      </c>
      <c r="G3762" t="s">
        <v>21</v>
      </c>
      <c r="H3762" t="s">
        <v>27</v>
      </c>
      <c r="I3762" t="s">
        <v>28</v>
      </c>
      <c r="J3762" t="s">
        <v>24</v>
      </c>
      <c r="K3762" s="6">
        <f t="shared" ca="1" si="240"/>
        <v>25266</v>
      </c>
      <c r="L3762">
        <v>-20495</v>
      </c>
      <c r="M3762" s="7">
        <f t="shared" ca="1" si="238"/>
        <v>56.112251882272417</v>
      </c>
      <c r="N3762" s="5" t="str">
        <f ca="1">VLOOKUP(Data!M3762,temp!$B$3:$C$9,2,1)</f>
        <v>50-60</v>
      </c>
      <c r="O3762">
        <v>365243</v>
      </c>
      <c r="P3762" s="8">
        <f t="shared" si="239"/>
        <v>0</v>
      </c>
      <c r="Q3762" s="5" t="str">
        <f t="shared" si="241"/>
        <v>Unemployed</v>
      </c>
      <c r="R3762">
        <v>1</v>
      </c>
      <c r="S3762">
        <v>0</v>
      </c>
      <c r="T3762">
        <v>1</v>
      </c>
      <c r="U3762">
        <v>0</v>
      </c>
      <c r="W3762">
        <v>2</v>
      </c>
    </row>
    <row r="3763" spans="1:23" x14ac:dyDescent="0.2">
      <c r="A3763">
        <v>5118380</v>
      </c>
      <c r="B3763" t="s">
        <v>25</v>
      </c>
      <c r="C3763" t="s">
        <v>20</v>
      </c>
      <c r="D3763" t="s">
        <v>19</v>
      </c>
      <c r="E3763">
        <v>0</v>
      </c>
      <c r="F3763">
        <v>270000</v>
      </c>
      <c r="G3763" t="s">
        <v>26</v>
      </c>
      <c r="H3763" t="s">
        <v>27</v>
      </c>
      <c r="I3763" t="s">
        <v>28</v>
      </c>
      <c r="J3763" t="s">
        <v>24</v>
      </c>
      <c r="K3763" s="6">
        <f t="shared" ca="1" si="240"/>
        <v>24985</v>
      </c>
      <c r="L3763">
        <v>-20776</v>
      </c>
      <c r="M3763" s="7">
        <f t="shared" ca="1" si="238"/>
        <v>56.881587953456538</v>
      </c>
      <c r="N3763" s="5" t="str">
        <f ca="1">VLOOKUP(Data!M3763,temp!$B$3:$C$9,2,1)</f>
        <v>50-60</v>
      </c>
      <c r="O3763">
        <v>-2745</v>
      </c>
      <c r="P3763" s="8">
        <f t="shared" si="239"/>
        <v>7.5154004106776178</v>
      </c>
      <c r="Q3763" s="5" t="str">
        <f t="shared" si="241"/>
        <v>Employed</v>
      </c>
      <c r="R3763">
        <v>1</v>
      </c>
      <c r="S3763">
        <v>1</v>
      </c>
      <c r="T3763">
        <v>1</v>
      </c>
      <c r="U3763">
        <v>0</v>
      </c>
      <c r="V3763" t="s">
        <v>32</v>
      </c>
      <c r="W3763">
        <v>2</v>
      </c>
    </row>
    <row r="3764" spans="1:23" x14ac:dyDescent="0.2">
      <c r="A3764">
        <v>5118390</v>
      </c>
      <c r="B3764" t="s">
        <v>25</v>
      </c>
      <c r="C3764" t="s">
        <v>20</v>
      </c>
      <c r="D3764" t="s">
        <v>19</v>
      </c>
      <c r="E3764">
        <v>0</v>
      </c>
      <c r="F3764">
        <v>270000</v>
      </c>
      <c r="G3764" t="s">
        <v>26</v>
      </c>
      <c r="H3764" t="s">
        <v>27</v>
      </c>
      <c r="I3764" t="s">
        <v>28</v>
      </c>
      <c r="J3764" t="s">
        <v>24</v>
      </c>
      <c r="K3764" s="6">
        <f t="shared" ca="1" si="240"/>
        <v>24985</v>
      </c>
      <c r="L3764">
        <v>-20776</v>
      </c>
      <c r="M3764" s="7">
        <f t="shared" ca="1" si="238"/>
        <v>56.881587953456538</v>
      </c>
      <c r="N3764" s="5" t="str">
        <f ca="1">VLOOKUP(Data!M3764,temp!$B$3:$C$9,2,1)</f>
        <v>50-60</v>
      </c>
      <c r="O3764">
        <v>-2745</v>
      </c>
      <c r="P3764" s="8">
        <f t="shared" si="239"/>
        <v>7.5154004106776178</v>
      </c>
      <c r="Q3764" s="5" t="str">
        <f t="shared" si="241"/>
        <v>Employed</v>
      </c>
      <c r="R3764">
        <v>1</v>
      </c>
      <c r="S3764">
        <v>1</v>
      </c>
      <c r="T3764">
        <v>1</v>
      </c>
      <c r="U3764">
        <v>0</v>
      </c>
      <c r="V3764" t="s">
        <v>32</v>
      </c>
      <c r="W3764">
        <v>2</v>
      </c>
    </row>
    <row r="3765" spans="1:23" x14ac:dyDescent="0.2">
      <c r="A3765">
        <v>5118405</v>
      </c>
      <c r="B3765" t="s">
        <v>18</v>
      </c>
      <c r="C3765" t="s">
        <v>20</v>
      </c>
      <c r="D3765" t="s">
        <v>19</v>
      </c>
      <c r="E3765">
        <v>0</v>
      </c>
      <c r="F3765">
        <v>67500</v>
      </c>
      <c r="G3765" t="s">
        <v>31</v>
      </c>
      <c r="H3765" t="s">
        <v>27</v>
      </c>
      <c r="I3765" t="s">
        <v>28</v>
      </c>
      <c r="J3765" t="s">
        <v>24</v>
      </c>
      <c r="K3765" s="6">
        <f t="shared" ca="1" si="240"/>
        <v>33449</v>
      </c>
      <c r="L3765">
        <v>-12312</v>
      </c>
      <c r="M3765" s="7">
        <f t="shared" ca="1" si="238"/>
        <v>33.708418891170432</v>
      </c>
      <c r="N3765" s="5" t="str">
        <f ca="1">VLOOKUP(Data!M3765,temp!$B$3:$C$9,2,1)</f>
        <v>30-40</v>
      </c>
      <c r="O3765">
        <v>-1404</v>
      </c>
      <c r="P3765" s="8">
        <f t="shared" si="239"/>
        <v>3.8439425051334704</v>
      </c>
      <c r="Q3765" s="5" t="str">
        <f t="shared" si="241"/>
        <v>Employed</v>
      </c>
      <c r="R3765">
        <v>1</v>
      </c>
      <c r="S3765">
        <v>1</v>
      </c>
      <c r="T3765">
        <v>1</v>
      </c>
      <c r="U3765">
        <v>0</v>
      </c>
      <c r="V3765" t="s">
        <v>39</v>
      </c>
      <c r="W3765">
        <v>2</v>
      </c>
    </row>
    <row r="3766" spans="1:23" x14ac:dyDescent="0.2">
      <c r="A3766">
        <v>5118406</v>
      </c>
      <c r="B3766" t="s">
        <v>18</v>
      </c>
      <c r="C3766" t="s">
        <v>20</v>
      </c>
      <c r="D3766" t="s">
        <v>19</v>
      </c>
      <c r="E3766">
        <v>0</v>
      </c>
      <c r="F3766">
        <v>67500</v>
      </c>
      <c r="G3766" t="s">
        <v>31</v>
      </c>
      <c r="H3766" t="s">
        <v>27</v>
      </c>
      <c r="I3766" t="s">
        <v>28</v>
      </c>
      <c r="J3766" t="s">
        <v>24</v>
      </c>
      <c r="K3766" s="6">
        <f t="shared" ca="1" si="240"/>
        <v>33449</v>
      </c>
      <c r="L3766">
        <v>-12312</v>
      </c>
      <c r="M3766" s="7">
        <f t="shared" ca="1" si="238"/>
        <v>33.708418891170432</v>
      </c>
      <c r="N3766" s="5" t="str">
        <f ca="1">VLOOKUP(Data!M3766,temp!$B$3:$C$9,2,1)</f>
        <v>30-40</v>
      </c>
      <c r="O3766">
        <v>-1404</v>
      </c>
      <c r="P3766" s="8">
        <f t="shared" si="239"/>
        <v>3.8439425051334704</v>
      </c>
      <c r="Q3766" s="5" t="str">
        <f t="shared" si="241"/>
        <v>Employed</v>
      </c>
      <c r="R3766">
        <v>1</v>
      </c>
      <c r="S3766">
        <v>1</v>
      </c>
      <c r="T3766">
        <v>1</v>
      </c>
      <c r="U3766">
        <v>0</v>
      </c>
      <c r="V3766" t="s">
        <v>39</v>
      </c>
      <c r="W3766">
        <v>2</v>
      </c>
    </row>
    <row r="3767" spans="1:23" x14ac:dyDescent="0.2">
      <c r="A3767">
        <v>5118412</v>
      </c>
      <c r="B3767" t="s">
        <v>18</v>
      </c>
      <c r="C3767" t="s">
        <v>19</v>
      </c>
      <c r="D3767" t="s">
        <v>20</v>
      </c>
      <c r="E3767">
        <v>1</v>
      </c>
      <c r="F3767">
        <v>112500</v>
      </c>
      <c r="G3767" t="s">
        <v>31</v>
      </c>
      <c r="H3767" t="s">
        <v>27</v>
      </c>
      <c r="I3767" t="s">
        <v>28</v>
      </c>
      <c r="J3767" t="s">
        <v>24</v>
      </c>
      <c r="K3767" s="6">
        <f t="shared" ca="1" si="240"/>
        <v>33554</v>
      </c>
      <c r="L3767">
        <v>-12207</v>
      </c>
      <c r="M3767" s="7">
        <f t="shared" ca="1" si="238"/>
        <v>33.420944558521562</v>
      </c>
      <c r="N3767" s="5" t="str">
        <f ca="1">VLOOKUP(Data!M3767,temp!$B$3:$C$9,2,1)</f>
        <v>30-40</v>
      </c>
      <c r="O3767">
        <v>-3018</v>
      </c>
      <c r="P3767" s="8">
        <f t="shared" si="239"/>
        <v>8.2628336755646821</v>
      </c>
      <c r="Q3767" s="5" t="str">
        <f t="shared" si="241"/>
        <v>Employed</v>
      </c>
      <c r="R3767">
        <v>1</v>
      </c>
      <c r="S3767">
        <v>0</v>
      </c>
      <c r="T3767">
        <v>0</v>
      </c>
      <c r="U3767">
        <v>0</v>
      </c>
      <c r="V3767" t="s">
        <v>29</v>
      </c>
      <c r="W3767">
        <v>3</v>
      </c>
    </row>
    <row r="3768" spans="1:23" x14ac:dyDescent="0.2">
      <c r="A3768">
        <v>5118424</v>
      </c>
      <c r="B3768" t="s">
        <v>18</v>
      </c>
      <c r="C3768" t="s">
        <v>19</v>
      </c>
      <c r="D3768" t="s">
        <v>19</v>
      </c>
      <c r="E3768">
        <v>0</v>
      </c>
      <c r="F3768">
        <v>157500</v>
      </c>
      <c r="G3768" t="s">
        <v>31</v>
      </c>
      <c r="H3768" t="s">
        <v>27</v>
      </c>
      <c r="I3768" t="s">
        <v>28</v>
      </c>
      <c r="J3768" t="s">
        <v>24</v>
      </c>
      <c r="K3768" s="6">
        <f t="shared" ca="1" si="240"/>
        <v>27314</v>
      </c>
      <c r="L3768">
        <v>-18447</v>
      </c>
      <c r="M3768" s="7">
        <f t="shared" ca="1" si="238"/>
        <v>50.505133470225871</v>
      </c>
      <c r="N3768" s="5" t="str">
        <f ca="1">VLOOKUP(Data!M3768,temp!$B$3:$C$9,2,1)</f>
        <v>50-60</v>
      </c>
      <c r="O3768">
        <v>-4632</v>
      </c>
      <c r="P3768" s="8">
        <f t="shared" si="239"/>
        <v>12.681724845995893</v>
      </c>
      <c r="Q3768" s="5" t="str">
        <f t="shared" si="241"/>
        <v>Employed</v>
      </c>
      <c r="R3768">
        <v>1</v>
      </c>
      <c r="S3768">
        <v>1</v>
      </c>
      <c r="T3768">
        <v>1</v>
      </c>
      <c r="U3768">
        <v>0</v>
      </c>
      <c r="V3768" t="s">
        <v>55</v>
      </c>
      <c r="W3768">
        <v>2</v>
      </c>
    </row>
    <row r="3769" spans="1:23" x14ac:dyDescent="0.2">
      <c r="A3769">
        <v>5118435</v>
      </c>
      <c r="B3769" t="s">
        <v>18</v>
      </c>
      <c r="C3769" t="s">
        <v>19</v>
      </c>
      <c r="D3769" t="s">
        <v>19</v>
      </c>
      <c r="E3769">
        <v>0</v>
      </c>
      <c r="F3769">
        <v>171000</v>
      </c>
      <c r="G3769" t="s">
        <v>21</v>
      </c>
      <c r="H3769" t="s">
        <v>22</v>
      </c>
      <c r="I3769" t="s">
        <v>28</v>
      </c>
      <c r="J3769" t="s">
        <v>24</v>
      </c>
      <c r="K3769" s="6">
        <f t="shared" ca="1" si="240"/>
        <v>24990</v>
      </c>
      <c r="L3769">
        <v>-20771</v>
      </c>
      <c r="M3769" s="7">
        <f t="shared" ca="1" si="238"/>
        <v>56.867898699520879</v>
      </c>
      <c r="N3769" s="5" t="str">
        <f ca="1">VLOOKUP(Data!M3769,temp!$B$3:$C$9,2,1)</f>
        <v>50-60</v>
      </c>
      <c r="O3769">
        <v>365243</v>
      </c>
      <c r="P3769" s="8">
        <f t="shared" si="239"/>
        <v>0</v>
      </c>
      <c r="Q3769" s="5" t="str">
        <f t="shared" si="241"/>
        <v>Unemployed</v>
      </c>
      <c r="R3769">
        <v>1</v>
      </c>
      <c r="S3769">
        <v>0</v>
      </c>
      <c r="T3769">
        <v>1</v>
      </c>
      <c r="U3769">
        <v>0</v>
      </c>
      <c r="W3769">
        <v>2</v>
      </c>
    </row>
    <row r="3770" spans="1:23" x14ac:dyDescent="0.2">
      <c r="A3770">
        <v>5118441</v>
      </c>
      <c r="B3770" t="s">
        <v>18</v>
      </c>
      <c r="C3770" t="s">
        <v>20</v>
      </c>
      <c r="D3770" t="s">
        <v>19</v>
      </c>
      <c r="E3770">
        <v>1</v>
      </c>
      <c r="F3770">
        <v>108000</v>
      </c>
      <c r="G3770" t="s">
        <v>26</v>
      </c>
      <c r="H3770" t="s">
        <v>22</v>
      </c>
      <c r="I3770" t="s">
        <v>28</v>
      </c>
      <c r="J3770" t="s">
        <v>24</v>
      </c>
      <c r="K3770" s="6">
        <f t="shared" ca="1" si="240"/>
        <v>29623</v>
      </c>
      <c r="L3770">
        <v>-16138</v>
      </c>
      <c r="M3770" s="7">
        <f t="shared" ca="1" si="238"/>
        <v>44.183436002737849</v>
      </c>
      <c r="N3770" s="5" t="str">
        <f ca="1">VLOOKUP(Data!M3770,temp!$B$3:$C$9,2,1)</f>
        <v>40-50</v>
      </c>
      <c r="O3770">
        <v>-431</v>
      </c>
      <c r="P3770" s="8">
        <f t="shared" si="239"/>
        <v>1.1800136892539357</v>
      </c>
      <c r="Q3770" s="5" t="str">
        <f t="shared" si="241"/>
        <v>Employed</v>
      </c>
      <c r="R3770">
        <v>1</v>
      </c>
      <c r="S3770">
        <v>1</v>
      </c>
      <c r="T3770">
        <v>0</v>
      </c>
      <c r="U3770">
        <v>0</v>
      </c>
      <c r="V3770" t="s">
        <v>39</v>
      </c>
      <c r="W3770">
        <v>3</v>
      </c>
    </row>
    <row r="3771" spans="1:23" x14ac:dyDescent="0.2">
      <c r="A3771">
        <v>5118449</v>
      </c>
      <c r="B3771" t="s">
        <v>18</v>
      </c>
      <c r="C3771" t="s">
        <v>19</v>
      </c>
      <c r="D3771" t="s">
        <v>19</v>
      </c>
      <c r="E3771">
        <v>1</v>
      </c>
      <c r="F3771">
        <v>76500</v>
      </c>
      <c r="G3771" t="s">
        <v>31</v>
      </c>
      <c r="H3771" t="s">
        <v>27</v>
      </c>
      <c r="I3771" t="s">
        <v>28</v>
      </c>
      <c r="J3771" t="s">
        <v>24</v>
      </c>
      <c r="K3771" s="6">
        <f t="shared" ca="1" si="240"/>
        <v>35681</v>
      </c>
      <c r="L3771">
        <v>-10080</v>
      </c>
      <c r="M3771" s="7">
        <f t="shared" ca="1" si="238"/>
        <v>27.597535934291582</v>
      </c>
      <c r="N3771" s="5" t="str">
        <f ca="1">VLOOKUP(Data!M3771,temp!$B$3:$C$9,2,1)</f>
        <v>20-30</v>
      </c>
      <c r="O3771">
        <v>-735</v>
      </c>
      <c r="P3771" s="8">
        <f t="shared" si="239"/>
        <v>2.0123203285420943</v>
      </c>
      <c r="Q3771" s="5" t="str">
        <f t="shared" si="241"/>
        <v>Employed</v>
      </c>
      <c r="R3771">
        <v>1</v>
      </c>
      <c r="S3771">
        <v>1</v>
      </c>
      <c r="T3771">
        <v>0</v>
      </c>
      <c r="U3771">
        <v>0</v>
      </c>
      <c r="V3771" t="s">
        <v>39</v>
      </c>
      <c r="W3771">
        <v>3</v>
      </c>
    </row>
    <row r="3772" spans="1:23" x14ac:dyDescent="0.2">
      <c r="A3772">
        <v>5118450</v>
      </c>
      <c r="B3772" t="s">
        <v>18</v>
      </c>
      <c r="C3772" t="s">
        <v>19</v>
      </c>
      <c r="D3772" t="s">
        <v>19</v>
      </c>
      <c r="E3772">
        <v>1</v>
      </c>
      <c r="F3772">
        <v>76500</v>
      </c>
      <c r="G3772" t="s">
        <v>31</v>
      </c>
      <c r="H3772" t="s">
        <v>27</v>
      </c>
      <c r="I3772" t="s">
        <v>28</v>
      </c>
      <c r="J3772" t="s">
        <v>24</v>
      </c>
      <c r="K3772" s="6">
        <f t="shared" ca="1" si="240"/>
        <v>35681</v>
      </c>
      <c r="L3772">
        <v>-10080</v>
      </c>
      <c r="M3772" s="7">
        <f t="shared" ca="1" si="238"/>
        <v>27.597535934291582</v>
      </c>
      <c r="N3772" s="5" t="str">
        <f ca="1">VLOOKUP(Data!M3772,temp!$B$3:$C$9,2,1)</f>
        <v>20-30</v>
      </c>
      <c r="O3772">
        <v>-735</v>
      </c>
      <c r="P3772" s="8">
        <f t="shared" si="239"/>
        <v>2.0123203285420943</v>
      </c>
      <c r="Q3772" s="5" t="str">
        <f t="shared" si="241"/>
        <v>Employed</v>
      </c>
      <c r="R3772">
        <v>1</v>
      </c>
      <c r="S3772">
        <v>1</v>
      </c>
      <c r="T3772">
        <v>0</v>
      </c>
      <c r="U3772">
        <v>0</v>
      </c>
      <c r="V3772" t="s">
        <v>39</v>
      </c>
      <c r="W3772">
        <v>3</v>
      </c>
    </row>
    <row r="3773" spans="1:23" x14ac:dyDescent="0.2">
      <c r="A3773">
        <v>5118460</v>
      </c>
      <c r="B3773" t="s">
        <v>18</v>
      </c>
      <c r="C3773" t="s">
        <v>20</v>
      </c>
      <c r="D3773" t="s">
        <v>20</v>
      </c>
      <c r="E3773">
        <v>1</v>
      </c>
      <c r="F3773">
        <v>112500</v>
      </c>
      <c r="G3773" t="s">
        <v>26</v>
      </c>
      <c r="H3773" t="s">
        <v>27</v>
      </c>
      <c r="I3773" t="s">
        <v>28</v>
      </c>
      <c r="J3773" t="s">
        <v>24</v>
      </c>
      <c r="K3773" s="6">
        <f t="shared" ca="1" si="240"/>
        <v>33134</v>
      </c>
      <c r="L3773">
        <v>-12627</v>
      </c>
      <c r="M3773" s="7">
        <f t="shared" ca="1" si="238"/>
        <v>34.570841889117041</v>
      </c>
      <c r="N3773" s="5" t="str">
        <f ca="1">VLOOKUP(Data!M3773,temp!$B$3:$C$9,2,1)</f>
        <v>30-40</v>
      </c>
      <c r="O3773">
        <v>-1404</v>
      </c>
      <c r="P3773" s="8">
        <f t="shared" si="239"/>
        <v>3.8439425051334704</v>
      </c>
      <c r="Q3773" s="5" t="str">
        <f t="shared" si="241"/>
        <v>Employed</v>
      </c>
      <c r="R3773">
        <v>1</v>
      </c>
      <c r="S3773">
        <v>1</v>
      </c>
      <c r="T3773">
        <v>0</v>
      </c>
      <c r="U3773">
        <v>0</v>
      </c>
      <c r="V3773" t="s">
        <v>39</v>
      </c>
      <c r="W3773">
        <v>3</v>
      </c>
    </row>
    <row r="3774" spans="1:23" x14ac:dyDescent="0.2">
      <c r="A3774">
        <v>5118463</v>
      </c>
      <c r="B3774" t="s">
        <v>25</v>
      </c>
      <c r="C3774" t="s">
        <v>20</v>
      </c>
      <c r="D3774" t="s">
        <v>19</v>
      </c>
      <c r="E3774">
        <v>2</v>
      </c>
      <c r="F3774">
        <v>270000</v>
      </c>
      <c r="G3774" t="s">
        <v>31</v>
      </c>
      <c r="H3774" t="s">
        <v>27</v>
      </c>
      <c r="I3774" t="s">
        <v>28</v>
      </c>
      <c r="J3774" t="s">
        <v>24</v>
      </c>
      <c r="K3774" s="6">
        <f t="shared" ca="1" si="240"/>
        <v>27614</v>
      </c>
      <c r="L3774">
        <v>-18147</v>
      </c>
      <c r="M3774" s="7">
        <f t="shared" ca="1" si="238"/>
        <v>49.68377823408624</v>
      </c>
      <c r="N3774" s="5" t="str">
        <f ca="1">VLOOKUP(Data!M3774,temp!$B$3:$C$9,2,1)</f>
        <v>40-50</v>
      </c>
      <c r="O3774">
        <v>-1101</v>
      </c>
      <c r="P3774" s="8">
        <f t="shared" si="239"/>
        <v>3.0143737166324436</v>
      </c>
      <c r="Q3774" s="5" t="str">
        <f t="shared" si="241"/>
        <v>Employed</v>
      </c>
      <c r="R3774">
        <v>1</v>
      </c>
      <c r="S3774">
        <v>1</v>
      </c>
      <c r="T3774">
        <v>0</v>
      </c>
      <c r="U3774">
        <v>0</v>
      </c>
      <c r="V3774" t="s">
        <v>32</v>
      </c>
      <c r="W3774">
        <v>4</v>
      </c>
    </row>
    <row r="3775" spans="1:23" x14ac:dyDescent="0.2">
      <c r="A3775">
        <v>5118471</v>
      </c>
      <c r="B3775" t="s">
        <v>25</v>
      </c>
      <c r="C3775" t="s">
        <v>20</v>
      </c>
      <c r="D3775" t="s">
        <v>19</v>
      </c>
      <c r="E3775">
        <v>2</v>
      </c>
      <c r="F3775">
        <v>270000</v>
      </c>
      <c r="G3775" t="s">
        <v>31</v>
      </c>
      <c r="H3775" t="s">
        <v>27</v>
      </c>
      <c r="I3775" t="s">
        <v>28</v>
      </c>
      <c r="J3775" t="s">
        <v>24</v>
      </c>
      <c r="K3775" s="6">
        <f t="shared" ca="1" si="240"/>
        <v>27614</v>
      </c>
      <c r="L3775">
        <v>-18147</v>
      </c>
      <c r="M3775" s="7">
        <f t="shared" ca="1" si="238"/>
        <v>49.68377823408624</v>
      </c>
      <c r="N3775" s="5" t="str">
        <f ca="1">VLOOKUP(Data!M3775,temp!$B$3:$C$9,2,1)</f>
        <v>40-50</v>
      </c>
      <c r="O3775">
        <v>-1101</v>
      </c>
      <c r="P3775" s="8">
        <f t="shared" si="239"/>
        <v>3.0143737166324436</v>
      </c>
      <c r="Q3775" s="5" t="str">
        <f t="shared" si="241"/>
        <v>Employed</v>
      </c>
      <c r="R3775">
        <v>1</v>
      </c>
      <c r="S3775">
        <v>1</v>
      </c>
      <c r="T3775">
        <v>0</v>
      </c>
      <c r="U3775">
        <v>0</v>
      </c>
      <c r="V3775" t="s">
        <v>32</v>
      </c>
      <c r="W3775">
        <v>4</v>
      </c>
    </row>
    <row r="3776" spans="1:23" x14ac:dyDescent="0.2">
      <c r="A3776">
        <v>5118480</v>
      </c>
      <c r="B3776" t="s">
        <v>18</v>
      </c>
      <c r="C3776" t="s">
        <v>19</v>
      </c>
      <c r="D3776" t="s">
        <v>20</v>
      </c>
      <c r="E3776">
        <v>0</v>
      </c>
      <c r="F3776">
        <v>180000</v>
      </c>
      <c r="G3776" t="s">
        <v>31</v>
      </c>
      <c r="H3776" t="s">
        <v>27</v>
      </c>
      <c r="I3776" t="s">
        <v>28</v>
      </c>
      <c r="J3776" t="s">
        <v>24</v>
      </c>
      <c r="K3776" s="6">
        <f t="shared" ca="1" si="240"/>
        <v>28375</v>
      </c>
      <c r="L3776">
        <v>-17386</v>
      </c>
      <c r="M3776" s="7">
        <f t="shared" ca="1" si="238"/>
        <v>47.600273785078713</v>
      </c>
      <c r="N3776" s="5" t="str">
        <f ca="1">VLOOKUP(Data!M3776,temp!$B$3:$C$9,2,1)</f>
        <v>40-50</v>
      </c>
      <c r="O3776">
        <v>-888</v>
      </c>
      <c r="P3776" s="8">
        <f t="shared" si="239"/>
        <v>2.431211498973306</v>
      </c>
      <c r="Q3776" s="5" t="str">
        <f t="shared" si="241"/>
        <v>Employed</v>
      </c>
      <c r="R3776">
        <v>1</v>
      </c>
      <c r="S3776">
        <v>0</v>
      </c>
      <c r="T3776">
        <v>0</v>
      </c>
      <c r="U3776">
        <v>0</v>
      </c>
      <c r="V3776" t="s">
        <v>29</v>
      </c>
      <c r="W3776">
        <v>2</v>
      </c>
    </row>
    <row r="3777" spans="1:23" x14ac:dyDescent="0.2">
      <c r="A3777">
        <v>5118492</v>
      </c>
      <c r="B3777" t="s">
        <v>18</v>
      </c>
      <c r="C3777" t="s">
        <v>19</v>
      </c>
      <c r="D3777" t="s">
        <v>20</v>
      </c>
      <c r="E3777">
        <v>0</v>
      </c>
      <c r="F3777">
        <v>135000</v>
      </c>
      <c r="G3777" t="s">
        <v>31</v>
      </c>
      <c r="H3777" t="s">
        <v>27</v>
      </c>
      <c r="I3777" t="s">
        <v>37</v>
      </c>
      <c r="J3777" t="s">
        <v>24</v>
      </c>
      <c r="K3777" s="6">
        <f t="shared" ca="1" si="240"/>
        <v>30947</v>
      </c>
      <c r="L3777">
        <v>-14814</v>
      </c>
      <c r="M3777" s="7">
        <f t="shared" ca="1" si="238"/>
        <v>40.558521560574945</v>
      </c>
      <c r="N3777" s="5" t="str">
        <f ca="1">VLOOKUP(Data!M3777,temp!$B$3:$C$9,2,1)</f>
        <v>40-50</v>
      </c>
      <c r="O3777">
        <v>-492</v>
      </c>
      <c r="P3777" s="8">
        <f t="shared" si="239"/>
        <v>1.3470225872689938</v>
      </c>
      <c r="Q3777" s="5" t="str">
        <f t="shared" si="241"/>
        <v>Employed</v>
      </c>
      <c r="R3777">
        <v>1</v>
      </c>
      <c r="S3777">
        <v>0</v>
      </c>
      <c r="T3777">
        <v>0</v>
      </c>
      <c r="U3777">
        <v>0</v>
      </c>
      <c r="V3777" t="s">
        <v>29</v>
      </c>
      <c r="W3777">
        <v>2</v>
      </c>
    </row>
    <row r="3778" spans="1:23" x14ac:dyDescent="0.2">
      <c r="A3778">
        <v>5118529</v>
      </c>
      <c r="B3778" t="s">
        <v>18</v>
      </c>
      <c r="C3778" t="s">
        <v>19</v>
      </c>
      <c r="D3778" t="s">
        <v>20</v>
      </c>
      <c r="E3778">
        <v>0</v>
      </c>
      <c r="F3778">
        <v>135000</v>
      </c>
      <c r="G3778" t="s">
        <v>31</v>
      </c>
      <c r="H3778" t="s">
        <v>27</v>
      </c>
      <c r="I3778" t="s">
        <v>28</v>
      </c>
      <c r="J3778" t="s">
        <v>24</v>
      </c>
      <c r="K3778" s="6">
        <f t="shared" ca="1" si="240"/>
        <v>33315</v>
      </c>
      <c r="L3778">
        <v>-12446</v>
      </c>
      <c r="M3778" s="7">
        <f t="shared" ca="1" si="238"/>
        <v>34.075290896646131</v>
      </c>
      <c r="N3778" s="5" t="str">
        <f ca="1">VLOOKUP(Data!M3778,temp!$B$3:$C$9,2,1)</f>
        <v>30-40</v>
      </c>
      <c r="O3778">
        <v>-645</v>
      </c>
      <c r="P3778" s="8">
        <f t="shared" si="239"/>
        <v>1.7659137577002053</v>
      </c>
      <c r="Q3778" s="5" t="str">
        <f t="shared" si="241"/>
        <v>Employed</v>
      </c>
      <c r="R3778">
        <v>1</v>
      </c>
      <c r="S3778">
        <v>0</v>
      </c>
      <c r="T3778">
        <v>0</v>
      </c>
      <c r="U3778">
        <v>0</v>
      </c>
      <c r="V3778" t="s">
        <v>38</v>
      </c>
      <c r="W3778">
        <v>2</v>
      </c>
    </row>
    <row r="3779" spans="1:23" x14ac:dyDescent="0.2">
      <c r="A3779">
        <v>5118543</v>
      </c>
      <c r="B3779" t="s">
        <v>18</v>
      </c>
      <c r="C3779" t="s">
        <v>19</v>
      </c>
      <c r="D3779" t="s">
        <v>19</v>
      </c>
      <c r="E3779">
        <v>0</v>
      </c>
      <c r="F3779">
        <v>130500</v>
      </c>
      <c r="G3779" t="s">
        <v>31</v>
      </c>
      <c r="H3779" t="s">
        <v>27</v>
      </c>
      <c r="I3779" t="s">
        <v>28</v>
      </c>
      <c r="J3779" t="s">
        <v>24</v>
      </c>
      <c r="K3779" s="6">
        <f t="shared" ca="1" si="240"/>
        <v>27277</v>
      </c>
      <c r="L3779">
        <v>-18484</v>
      </c>
      <c r="M3779" s="7">
        <f t="shared" ref="M3779:M3842" ca="1" si="242">(TODAY()-K3779)/365.25</f>
        <v>50.606433949349757</v>
      </c>
      <c r="N3779" s="5" t="str">
        <f ca="1">VLOOKUP(Data!M3779,temp!$B$3:$C$9,2,1)</f>
        <v>50-60</v>
      </c>
      <c r="O3779">
        <v>-3932</v>
      </c>
      <c r="P3779" s="8">
        <f t="shared" ref="P3779:P3842" si="243">IF(O3779&lt;=0,ABS(O3779)/365.25,0)</f>
        <v>10.765229295003422</v>
      </c>
      <c r="Q3779" s="5" t="str">
        <f t="shared" si="241"/>
        <v>Employed</v>
      </c>
      <c r="R3779">
        <v>1</v>
      </c>
      <c r="S3779">
        <v>1</v>
      </c>
      <c r="T3779">
        <v>0</v>
      </c>
      <c r="U3779">
        <v>0</v>
      </c>
      <c r="V3779" t="s">
        <v>47</v>
      </c>
      <c r="W3779">
        <v>2</v>
      </c>
    </row>
    <row r="3780" spans="1:23" x14ac:dyDescent="0.2">
      <c r="A3780">
        <v>5118555</v>
      </c>
      <c r="B3780" t="s">
        <v>18</v>
      </c>
      <c r="C3780" t="s">
        <v>19</v>
      </c>
      <c r="D3780" t="s">
        <v>20</v>
      </c>
      <c r="E3780">
        <v>0</v>
      </c>
      <c r="F3780">
        <v>126000</v>
      </c>
      <c r="G3780" t="s">
        <v>31</v>
      </c>
      <c r="H3780" t="s">
        <v>27</v>
      </c>
      <c r="I3780" t="s">
        <v>33</v>
      </c>
      <c r="J3780" t="s">
        <v>24</v>
      </c>
      <c r="K3780" s="6">
        <f t="shared" ca="1" si="240"/>
        <v>28912</v>
      </c>
      <c r="L3780">
        <v>-16849</v>
      </c>
      <c r="M3780" s="7">
        <f t="shared" ca="1" si="242"/>
        <v>46.130047912388775</v>
      </c>
      <c r="N3780" s="5" t="str">
        <f ca="1">VLOOKUP(Data!M3780,temp!$B$3:$C$9,2,1)</f>
        <v>40-50</v>
      </c>
      <c r="O3780">
        <v>-2896</v>
      </c>
      <c r="P3780" s="8">
        <f t="shared" si="243"/>
        <v>7.9288158795345653</v>
      </c>
      <c r="Q3780" s="5" t="str">
        <f t="shared" si="241"/>
        <v>Employed</v>
      </c>
      <c r="R3780">
        <v>1</v>
      </c>
      <c r="S3780">
        <v>0</v>
      </c>
      <c r="T3780">
        <v>1</v>
      </c>
      <c r="U3780">
        <v>0</v>
      </c>
      <c r="V3780" t="s">
        <v>55</v>
      </c>
      <c r="W3780">
        <v>1</v>
      </c>
    </row>
    <row r="3781" spans="1:23" x14ac:dyDescent="0.2">
      <c r="A3781">
        <v>5118561</v>
      </c>
      <c r="B3781" t="s">
        <v>18</v>
      </c>
      <c r="C3781" t="s">
        <v>20</v>
      </c>
      <c r="D3781" t="s">
        <v>20</v>
      </c>
      <c r="E3781">
        <v>0</v>
      </c>
      <c r="F3781">
        <v>180000</v>
      </c>
      <c r="G3781" t="s">
        <v>31</v>
      </c>
      <c r="H3781" t="s">
        <v>22</v>
      </c>
      <c r="I3781" t="s">
        <v>28</v>
      </c>
      <c r="J3781" t="s">
        <v>43</v>
      </c>
      <c r="K3781" s="6">
        <f t="shared" ca="1" si="240"/>
        <v>34935</v>
      </c>
      <c r="L3781">
        <v>-10826</v>
      </c>
      <c r="M3781" s="7">
        <f t="shared" ca="1" si="242"/>
        <v>29.639972621492127</v>
      </c>
      <c r="N3781" s="5" t="str">
        <f ca="1">VLOOKUP(Data!M3781,temp!$B$3:$C$9,2,1)</f>
        <v>20-30</v>
      </c>
      <c r="O3781">
        <v>-949</v>
      </c>
      <c r="P3781" s="8">
        <f t="shared" si="243"/>
        <v>2.5982203969883639</v>
      </c>
      <c r="Q3781" s="5" t="str">
        <f t="shared" si="241"/>
        <v>Employed</v>
      </c>
      <c r="R3781">
        <v>1</v>
      </c>
      <c r="S3781">
        <v>0</v>
      </c>
      <c r="T3781">
        <v>0</v>
      </c>
      <c r="U3781">
        <v>0</v>
      </c>
      <c r="V3781" t="s">
        <v>39</v>
      </c>
      <c r="W3781">
        <v>2</v>
      </c>
    </row>
    <row r="3782" spans="1:23" x14ac:dyDescent="0.2">
      <c r="A3782">
        <v>5118566</v>
      </c>
      <c r="B3782" t="s">
        <v>18</v>
      </c>
      <c r="C3782" t="s">
        <v>19</v>
      </c>
      <c r="D3782" t="s">
        <v>20</v>
      </c>
      <c r="E3782">
        <v>2</v>
      </c>
      <c r="F3782">
        <v>147150</v>
      </c>
      <c r="G3782" t="s">
        <v>35</v>
      </c>
      <c r="H3782" t="s">
        <v>27</v>
      </c>
      <c r="I3782" t="s">
        <v>28</v>
      </c>
      <c r="J3782" t="s">
        <v>24</v>
      </c>
      <c r="K3782" s="6">
        <f t="shared" ca="1" si="240"/>
        <v>31908</v>
      </c>
      <c r="L3782">
        <v>-13853</v>
      </c>
      <c r="M3782" s="7">
        <f t="shared" ca="1" si="242"/>
        <v>37.927446954140997</v>
      </c>
      <c r="N3782" s="5" t="str">
        <f ca="1">VLOOKUP(Data!M3782,temp!$B$3:$C$9,2,1)</f>
        <v>30-40</v>
      </c>
      <c r="O3782">
        <v>-3261</v>
      </c>
      <c r="P3782" s="8">
        <f t="shared" si="243"/>
        <v>8.9281314168377826</v>
      </c>
      <c r="Q3782" s="5" t="str">
        <f t="shared" si="241"/>
        <v>Employed</v>
      </c>
      <c r="R3782">
        <v>1</v>
      </c>
      <c r="S3782">
        <v>0</v>
      </c>
      <c r="T3782">
        <v>0</v>
      </c>
      <c r="U3782">
        <v>0</v>
      </c>
      <c r="V3782" t="s">
        <v>32</v>
      </c>
      <c r="W3782">
        <v>4</v>
      </c>
    </row>
    <row r="3783" spans="1:23" x14ac:dyDescent="0.2">
      <c r="A3783">
        <v>5118592</v>
      </c>
      <c r="B3783" t="s">
        <v>18</v>
      </c>
      <c r="C3783" t="s">
        <v>19</v>
      </c>
      <c r="D3783" t="s">
        <v>20</v>
      </c>
      <c r="E3783">
        <v>0</v>
      </c>
      <c r="F3783">
        <v>225000</v>
      </c>
      <c r="G3783" t="s">
        <v>35</v>
      </c>
      <c r="H3783" t="s">
        <v>27</v>
      </c>
      <c r="I3783" t="s">
        <v>28</v>
      </c>
      <c r="J3783" t="s">
        <v>24</v>
      </c>
      <c r="K3783" s="6">
        <f t="shared" ca="1" si="240"/>
        <v>29634</v>
      </c>
      <c r="L3783">
        <v>-16127</v>
      </c>
      <c r="M3783" s="7">
        <f t="shared" ca="1" si="242"/>
        <v>44.153319644079396</v>
      </c>
      <c r="N3783" s="5" t="str">
        <f ca="1">VLOOKUP(Data!M3783,temp!$B$3:$C$9,2,1)</f>
        <v>40-50</v>
      </c>
      <c r="O3783">
        <v>-8497</v>
      </c>
      <c r="P3783" s="8">
        <f t="shared" si="243"/>
        <v>23.263518138261464</v>
      </c>
      <c r="Q3783" s="5" t="str">
        <f t="shared" si="241"/>
        <v>Employed</v>
      </c>
      <c r="R3783">
        <v>1</v>
      </c>
      <c r="S3783">
        <v>0</v>
      </c>
      <c r="T3783">
        <v>1</v>
      </c>
      <c r="U3783">
        <v>0</v>
      </c>
      <c r="W3783">
        <v>2</v>
      </c>
    </row>
    <row r="3784" spans="1:23" x14ac:dyDescent="0.2">
      <c r="A3784">
        <v>5118597</v>
      </c>
      <c r="B3784" t="s">
        <v>25</v>
      </c>
      <c r="C3784" t="s">
        <v>20</v>
      </c>
      <c r="D3784" t="s">
        <v>19</v>
      </c>
      <c r="E3784">
        <v>0</v>
      </c>
      <c r="F3784">
        <v>315000</v>
      </c>
      <c r="G3784" t="s">
        <v>26</v>
      </c>
      <c r="H3784" t="s">
        <v>27</v>
      </c>
      <c r="I3784" t="s">
        <v>28</v>
      </c>
      <c r="J3784" t="s">
        <v>24</v>
      </c>
      <c r="K3784" s="6">
        <f t="shared" ref="K3784:K3847" ca="1" si="244">TODAY()+($L3784)</f>
        <v>28907</v>
      </c>
      <c r="L3784">
        <v>-16854</v>
      </c>
      <c r="M3784" s="7">
        <f t="shared" ca="1" si="242"/>
        <v>46.143737166324435</v>
      </c>
      <c r="N3784" s="5" t="str">
        <f ca="1">VLOOKUP(Data!M3784,temp!$B$3:$C$9,2,1)</f>
        <v>40-50</v>
      </c>
      <c r="O3784">
        <v>-5179</v>
      </c>
      <c r="P3784" s="8">
        <f t="shared" si="243"/>
        <v>14.179329226557153</v>
      </c>
      <c r="Q3784" s="5" t="str">
        <f t="shared" ref="Q3784:Q3847" si="245">IF($O3784&gt;0,"Unemployed","Employed")</f>
        <v>Employed</v>
      </c>
      <c r="R3784">
        <v>1</v>
      </c>
      <c r="S3784">
        <v>1</v>
      </c>
      <c r="T3784">
        <v>0</v>
      </c>
      <c r="U3784">
        <v>0</v>
      </c>
      <c r="V3784" t="s">
        <v>32</v>
      </c>
      <c r="W3784">
        <v>2</v>
      </c>
    </row>
    <row r="3785" spans="1:23" x14ac:dyDescent="0.2">
      <c r="A3785">
        <v>5118642</v>
      </c>
      <c r="B3785" t="s">
        <v>25</v>
      </c>
      <c r="C3785" t="s">
        <v>20</v>
      </c>
      <c r="D3785" t="s">
        <v>19</v>
      </c>
      <c r="E3785">
        <v>0</v>
      </c>
      <c r="F3785">
        <v>900000</v>
      </c>
      <c r="G3785" t="s">
        <v>35</v>
      </c>
      <c r="H3785" t="s">
        <v>22</v>
      </c>
      <c r="I3785" t="s">
        <v>28</v>
      </c>
      <c r="J3785" t="s">
        <v>24</v>
      </c>
      <c r="K3785" s="6">
        <f t="shared" ca="1" si="244"/>
        <v>22369</v>
      </c>
      <c r="L3785">
        <v>-23392</v>
      </c>
      <c r="M3785" s="7">
        <f t="shared" ca="1" si="242"/>
        <v>64.043805612594113</v>
      </c>
      <c r="N3785" s="5" t="str">
        <f ca="1">VLOOKUP(Data!M3785,temp!$B$3:$C$9,2,1)</f>
        <v>60-70</v>
      </c>
      <c r="O3785">
        <v>-1921</v>
      </c>
      <c r="P3785" s="8">
        <f t="shared" si="243"/>
        <v>5.2594113620807663</v>
      </c>
      <c r="Q3785" s="5" t="str">
        <f t="shared" si="245"/>
        <v>Employed</v>
      </c>
      <c r="R3785">
        <v>1</v>
      </c>
      <c r="S3785">
        <v>0</v>
      </c>
      <c r="T3785">
        <v>1</v>
      </c>
      <c r="U3785">
        <v>0</v>
      </c>
      <c r="V3785" t="s">
        <v>38</v>
      </c>
      <c r="W3785">
        <v>2</v>
      </c>
    </row>
    <row r="3786" spans="1:23" x14ac:dyDescent="0.2">
      <c r="A3786">
        <v>5118647</v>
      </c>
      <c r="B3786" t="s">
        <v>18</v>
      </c>
      <c r="C3786" t="s">
        <v>19</v>
      </c>
      <c r="D3786" t="s">
        <v>20</v>
      </c>
      <c r="E3786">
        <v>2</v>
      </c>
      <c r="F3786">
        <v>270000</v>
      </c>
      <c r="G3786" t="s">
        <v>35</v>
      </c>
      <c r="H3786" t="s">
        <v>22</v>
      </c>
      <c r="I3786" t="s">
        <v>33</v>
      </c>
      <c r="J3786" t="s">
        <v>24</v>
      </c>
      <c r="K3786" s="6">
        <f t="shared" ca="1" si="244"/>
        <v>35336</v>
      </c>
      <c r="L3786">
        <v>-10425</v>
      </c>
      <c r="M3786" s="7">
        <f t="shared" ca="1" si="242"/>
        <v>28.542094455852155</v>
      </c>
      <c r="N3786" s="5" t="str">
        <f ca="1">VLOOKUP(Data!M3786,temp!$B$3:$C$9,2,1)</f>
        <v>20-30</v>
      </c>
      <c r="O3786">
        <v>-2745</v>
      </c>
      <c r="P3786" s="8">
        <f t="shared" si="243"/>
        <v>7.5154004106776178</v>
      </c>
      <c r="Q3786" s="5" t="str">
        <f t="shared" si="245"/>
        <v>Employed</v>
      </c>
      <c r="R3786">
        <v>1</v>
      </c>
      <c r="S3786">
        <v>0</v>
      </c>
      <c r="T3786">
        <v>0</v>
      </c>
      <c r="U3786">
        <v>0</v>
      </c>
      <c r="V3786" t="s">
        <v>38</v>
      </c>
      <c r="W3786">
        <v>3</v>
      </c>
    </row>
    <row r="3787" spans="1:23" x14ac:dyDescent="0.2">
      <c r="A3787">
        <v>5118649</v>
      </c>
      <c r="B3787" t="s">
        <v>18</v>
      </c>
      <c r="C3787" t="s">
        <v>19</v>
      </c>
      <c r="D3787" t="s">
        <v>20</v>
      </c>
      <c r="E3787">
        <v>2</v>
      </c>
      <c r="F3787">
        <v>270000</v>
      </c>
      <c r="G3787" t="s">
        <v>35</v>
      </c>
      <c r="H3787" t="s">
        <v>22</v>
      </c>
      <c r="I3787" t="s">
        <v>33</v>
      </c>
      <c r="J3787" t="s">
        <v>24</v>
      </c>
      <c r="K3787" s="6">
        <f t="shared" ca="1" si="244"/>
        <v>35336</v>
      </c>
      <c r="L3787">
        <v>-10425</v>
      </c>
      <c r="M3787" s="7">
        <f t="shared" ca="1" si="242"/>
        <v>28.542094455852155</v>
      </c>
      <c r="N3787" s="5" t="str">
        <f ca="1">VLOOKUP(Data!M3787,temp!$B$3:$C$9,2,1)</f>
        <v>20-30</v>
      </c>
      <c r="O3787">
        <v>-2745</v>
      </c>
      <c r="P3787" s="8">
        <f t="shared" si="243"/>
        <v>7.5154004106776178</v>
      </c>
      <c r="Q3787" s="5" t="str">
        <f t="shared" si="245"/>
        <v>Employed</v>
      </c>
      <c r="R3787">
        <v>1</v>
      </c>
      <c r="S3787">
        <v>0</v>
      </c>
      <c r="T3787">
        <v>0</v>
      </c>
      <c r="U3787">
        <v>0</v>
      </c>
      <c r="V3787" t="s">
        <v>38</v>
      </c>
      <c r="W3787">
        <v>3</v>
      </c>
    </row>
    <row r="3788" spans="1:23" x14ac:dyDescent="0.2">
      <c r="A3788">
        <v>5125120</v>
      </c>
      <c r="B3788" t="s">
        <v>18</v>
      </c>
      <c r="C3788" t="s">
        <v>19</v>
      </c>
      <c r="D3788" t="s">
        <v>20</v>
      </c>
      <c r="E3788">
        <v>0</v>
      </c>
      <c r="F3788">
        <v>103500</v>
      </c>
      <c r="G3788" t="s">
        <v>21</v>
      </c>
      <c r="H3788" t="s">
        <v>27</v>
      </c>
      <c r="I3788" t="s">
        <v>42</v>
      </c>
      <c r="J3788" t="s">
        <v>24</v>
      </c>
      <c r="K3788" s="6">
        <f t="shared" ca="1" si="244"/>
        <v>24041</v>
      </c>
      <c r="L3788">
        <v>-21720</v>
      </c>
      <c r="M3788" s="7">
        <f t="shared" ca="1" si="242"/>
        <v>59.466119096509239</v>
      </c>
      <c r="N3788" s="5" t="str">
        <f ca="1">VLOOKUP(Data!M3788,temp!$B$3:$C$9,2,1)</f>
        <v>50-60</v>
      </c>
      <c r="O3788">
        <v>365243</v>
      </c>
      <c r="P3788" s="8">
        <f t="shared" si="243"/>
        <v>0</v>
      </c>
      <c r="Q3788" s="5" t="str">
        <f t="shared" si="245"/>
        <v>Unemployed</v>
      </c>
      <c r="R3788">
        <v>1</v>
      </c>
      <c r="S3788">
        <v>0</v>
      </c>
      <c r="T3788">
        <v>0</v>
      </c>
      <c r="U3788">
        <v>1</v>
      </c>
      <c r="W3788">
        <v>1</v>
      </c>
    </row>
    <row r="3789" spans="1:23" x14ac:dyDescent="0.2">
      <c r="A3789">
        <v>5125124</v>
      </c>
      <c r="B3789" t="s">
        <v>18</v>
      </c>
      <c r="C3789" t="s">
        <v>19</v>
      </c>
      <c r="D3789" t="s">
        <v>20</v>
      </c>
      <c r="E3789">
        <v>0</v>
      </c>
      <c r="F3789">
        <v>103500</v>
      </c>
      <c r="G3789" t="s">
        <v>21</v>
      </c>
      <c r="H3789" t="s">
        <v>27</v>
      </c>
      <c r="I3789" t="s">
        <v>42</v>
      </c>
      <c r="J3789" t="s">
        <v>24</v>
      </c>
      <c r="K3789" s="6">
        <f t="shared" ca="1" si="244"/>
        <v>24041</v>
      </c>
      <c r="L3789">
        <v>-21720</v>
      </c>
      <c r="M3789" s="7">
        <f t="shared" ca="1" si="242"/>
        <v>59.466119096509239</v>
      </c>
      <c r="N3789" s="5" t="str">
        <f ca="1">VLOOKUP(Data!M3789,temp!$B$3:$C$9,2,1)</f>
        <v>50-60</v>
      </c>
      <c r="O3789">
        <v>365243</v>
      </c>
      <c r="P3789" s="8">
        <f t="shared" si="243"/>
        <v>0</v>
      </c>
      <c r="Q3789" s="5" t="str">
        <f t="shared" si="245"/>
        <v>Unemployed</v>
      </c>
      <c r="R3789">
        <v>1</v>
      </c>
      <c r="S3789">
        <v>0</v>
      </c>
      <c r="T3789">
        <v>0</v>
      </c>
      <c r="U3789">
        <v>1</v>
      </c>
      <c r="W3789">
        <v>1</v>
      </c>
    </row>
    <row r="3790" spans="1:23" x14ac:dyDescent="0.2">
      <c r="A3790">
        <v>5125130</v>
      </c>
      <c r="B3790" t="s">
        <v>18</v>
      </c>
      <c r="C3790" t="s">
        <v>19</v>
      </c>
      <c r="D3790" t="s">
        <v>20</v>
      </c>
      <c r="E3790">
        <v>0</v>
      </c>
      <c r="F3790">
        <v>315000</v>
      </c>
      <c r="G3790" t="s">
        <v>26</v>
      </c>
      <c r="H3790" t="s">
        <v>27</v>
      </c>
      <c r="I3790" t="s">
        <v>28</v>
      </c>
      <c r="J3790" t="s">
        <v>24</v>
      </c>
      <c r="K3790" s="6">
        <f t="shared" ca="1" si="244"/>
        <v>28482</v>
      </c>
      <c r="L3790">
        <v>-17279</v>
      </c>
      <c r="M3790" s="7">
        <f t="shared" ca="1" si="242"/>
        <v>47.307323750855581</v>
      </c>
      <c r="N3790" s="5" t="str">
        <f ca="1">VLOOKUP(Data!M3790,temp!$B$3:$C$9,2,1)</f>
        <v>40-50</v>
      </c>
      <c r="O3790">
        <v>-195</v>
      </c>
      <c r="P3790" s="8">
        <f t="shared" si="243"/>
        <v>0.53388090349075978</v>
      </c>
      <c r="Q3790" s="5" t="str">
        <f t="shared" si="245"/>
        <v>Employed</v>
      </c>
      <c r="R3790">
        <v>1</v>
      </c>
      <c r="S3790">
        <v>1</v>
      </c>
      <c r="T3790">
        <v>1</v>
      </c>
      <c r="U3790">
        <v>0</v>
      </c>
      <c r="V3790" t="s">
        <v>44</v>
      </c>
      <c r="W3790">
        <v>2</v>
      </c>
    </row>
    <row r="3791" spans="1:23" x14ac:dyDescent="0.2">
      <c r="A3791">
        <v>5125134</v>
      </c>
      <c r="B3791" t="s">
        <v>18</v>
      </c>
      <c r="C3791" t="s">
        <v>19</v>
      </c>
      <c r="D3791" t="s">
        <v>20</v>
      </c>
      <c r="E3791">
        <v>0</v>
      </c>
      <c r="F3791">
        <v>220500</v>
      </c>
      <c r="G3791" t="s">
        <v>31</v>
      </c>
      <c r="H3791" t="s">
        <v>27</v>
      </c>
      <c r="I3791" t="s">
        <v>23</v>
      </c>
      <c r="J3791" t="s">
        <v>24</v>
      </c>
      <c r="K3791" s="6">
        <f t="shared" ca="1" si="244"/>
        <v>28565</v>
      </c>
      <c r="L3791">
        <v>-17196</v>
      </c>
      <c r="M3791" s="7">
        <f t="shared" ca="1" si="242"/>
        <v>47.080082135523611</v>
      </c>
      <c r="N3791" s="5" t="str">
        <f ca="1">VLOOKUP(Data!M3791,temp!$B$3:$C$9,2,1)</f>
        <v>40-50</v>
      </c>
      <c r="O3791">
        <v>-560</v>
      </c>
      <c r="P3791" s="8">
        <f t="shared" si="243"/>
        <v>1.5331964407939767</v>
      </c>
      <c r="Q3791" s="5" t="str">
        <f t="shared" si="245"/>
        <v>Employed</v>
      </c>
      <c r="R3791">
        <v>1</v>
      </c>
      <c r="S3791">
        <v>1</v>
      </c>
      <c r="T3791">
        <v>0</v>
      </c>
      <c r="U3791">
        <v>0</v>
      </c>
      <c r="V3791" t="s">
        <v>38</v>
      </c>
      <c r="W3791">
        <v>1</v>
      </c>
    </row>
    <row r="3792" spans="1:23" x14ac:dyDescent="0.2">
      <c r="A3792">
        <v>5125166</v>
      </c>
      <c r="B3792" t="s">
        <v>25</v>
      </c>
      <c r="C3792" t="s">
        <v>19</v>
      </c>
      <c r="D3792" t="s">
        <v>20</v>
      </c>
      <c r="E3792">
        <v>1</v>
      </c>
      <c r="F3792">
        <v>234000</v>
      </c>
      <c r="G3792" t="s">
        <v>31</v>
      </c>
      <c r="H3792" t="s">
        <v>27</v>
      </c>
      <c r="I3792" t="s">
        <v>28</v>
      </c>
      <c r="J3792" t="s">
        <v>24</v>
      </c>
      <c r="K3792" s="6">
        <f t="shared" ca="1" si="244"/>
        <v>33791</v>
      </c>
      <c r="L3792">
        <v>-11970</v>
      </c>
      <c r="M3792" s="7">
        <f t="shared" ca="1" si="242"/>
        <v>32.772073921971256</v>
      </c>
      <c r="N3792" s="5" t="str">
        <f ca="1">VLOOKUP(Data!M3792,temp!$B$3:$C$9,2,1)</f>
        <v>30-40</v>
      </c>
      <c r="O3792">
        <v>-1748</v>
      </c>
      <c r="P3792" s="8">
        <f t="shared" si="243"/>
        <v>4.7857631759069132</v>
      </c>
      <c r="Q3792" s="5" t="str">
        <f t="shared" si="245"/>
        <v>Employed</v>
      </c>
      <c r="R3792">
        <v>1</v>
      </c>
      <c r="S3792">
        <v>0</v>
      </c>
      <c r="T3792">
        <v>0</v>
      </c>
      <c r="U3792">
        <v>0</v>
      </c>
      <c r="V3792" t="s">
        <v>29</v>
      </c>
      <c r="W3792">
        <v>3</v>
      </c>
    </row>
    <row r="3793" spans="1:23" x14ac:dyDescent="0.2">
      <c r="A3793">
        <v>5125184</v>
      </c>
      <c r="B3793" t="s">
        <v>25</v>
      </c>
      <c r="C3793" t="s">
        <v>19</v>
      </c>
      <c r="D3793" t="s">
        <v>20</v>
      </c>
      <c r="E3793">
        <v>1</v>
      </c>
      <c r="F3793">
        <v>225000</v>
      </c>
      <c r="G3793" t="s">
        <v>26</v>
      </c>
      <c r="H3793" t="s">
        <v>27</v>
      </c>
      <c r="I3793" t="s">
        <v>23</v>
      </c>
      <c r="J3793" t="s">
        <v>24</v>
      </c>
      <c r="K3793" s="6">
        <f t="shared" ca="1" si="244"/>
        <v>30360</v>
      </c>
      <c r="L3793">
        <v>-15401</v>
      </c>
      <c r="M3793" s="7">
        <f t="shared" ca="1" si="242"/>
        <v>42.165639972621491</v>
      </c>
      <c r="N3793" s="5" t="str">
        <f ca="1">VLOOKUP(Data!M3793,temp!$B$3:$C$9,2,1)</f>
        <v>40-50</v>
      </c>
      <c r="O3793">
        <v>-3878</v>
      </c>
      <c r="P3793" s="8">
        <f t="shared" si="243"/>
        <v>10.617385352498289</v>
      </c>
      <c r="Q3793" s="5" t="str">
        <f t="shared" si="245"/>
        <v>Employed</v>
      </c>
      <c r="R3793">
        <v>1</v>
      </c>
      <c r="S3793">
        <v>0</v>
      </c>
      <c r="T3793">
        <v>1</v>
      </c>
      <c r="U3793">
        <v>0</v>
      </c>
      <c r="V3793" t="s">
        <v>29</v>
      </c>
      <c r="W3793">
        <v>2</v>
      </c>
    </row>
    <row r="3794" spans="1:23" x14ac:dyDescent="0.2">
      <c r="A3794">
        <v>5125185</v>
      </c>
      <c r="B3794" t="s">
        <v>25</v>
      </c>
      <c r="C3794" t="s">
        <v>19</v>
      </c>
      <c r="D3794" t="s">
        <v>20</v>
      </c>
      <c r="E3794">
        <v>1</v>
      </c>
      <c r="F3794">
        <v>225000</v>
      </c>
      <c r="G3794" t="s">
        <v>26</v>
      </c>
      <c r="H3794" t="s">
        <v>27</v>
      </c>
      <c r="I3794" t="s">
        <v>23</v>
      </c>
      <c r="J3794" t="s">
        <v>24</v>
      </c>
      <c r="K3794" s="6">
        <f t="shared" ca="1" si="244"/>
        <v>30360</v>
      </c>
      <c r="L3794">
        <v>-15401</v>
      </c>
      <c r="M3794" s="7">
        <f t="shared" ca="1" si="242"/>
        <v>42.165639972621491</v>
      </c>
      <c r="N3794" s="5" t="str">
        <f ca="1">VLOOKUP(Data!M3794,temp!$B$3:$C$9,2,1)</f>
        <v>40-50</v>
      </c>
      <c r="O3794">
        <v>-3878</v>
      </c>
      <c r="P3794" s="8">
        <f t="shared" si="243"/>
        <v>10.617385352498289</v>
      </c>
      <c r="Q3794" s="5" t="str">
        <f t="shared" si="245"/>
        <v>Employed</v>
      </c>
      <c r="R3794">
        <v>1</v>
      </c>
      <c r="S3794">
        <v>0</v>
      </c>
      <c r="T3794">
        <v>1</v>
      </c>
      <c r="U3794">
        <v>0</v>
      </c>
      <c r="V3794" t="s">
        <v>29</v>
      </c>
      <c r="W3794">
        <v>2</v>
      </c>
    </row>
    <row r="3795" spans="1:23" x14ac:dyDescent="0.2">
      <c r="A3795">
        <v>5125190</v>
      </c>
      <c r="B3795" t="s">
        <v>25</v>
      </c>
      <c r="C3795" t="s">
        <v>19</v>
      </c>
      <c r="D3795" t="s">
        <v>20</v>
      </c>
      <c r="E3795">
        <v>0</v>
      </c>
      <c r="F3795">
        <v>112500</v>
      </c>
      <c r="G3795" t="s">
        <v>26</v>
      </c>
      <c r="H3795" t="s">
        <v>27</v>
      </c>
      <c r="I3795" t="s">
        <v>28</v>
      </c>
      <c r="J3795" t="s">
        <v>24</v>
      </c>
      <c r="K3795" s="6">
        <f t="shared" ca="1" si="244"/>
        <v>28238</v>
      </c>
      <c r="L3795">
        <v>-17523</v>
      </c>
      <c r="M3795" s="7">
        <f t="shared" ca="1" si="242"/>
        <v>47.975359342915809</v>
      </c>
      <c r="N3795" s="5" t="str">
        <f ca="1">VLOOKUP(Data!M3795,temp!$B$3:$C$9,2,1)</f>
        <v>40-50</v>
      </c>
      <c r="O3795">
        <v>-4152</v>
      </c>
      <c r="P3795" s="8">
        <f t="shared" si="243"/>
        <v>11.367556468172484</v>
      </c>
      <c r="Q3795" s="5" t="str">
        <f t="shared" si="245"/>
        <v>Employed</v>
      </c>
      <c r="R3795">
        <v>1</v>
      </c>
      <c r="S3795">
        <v>1</v>
      </c>
      <c r="T3795">
        <v>0</v>
      </c>
      <c r="U3795">
        <v>0</v>
      </c>
      <c r="W3795">
        <v>2</v>
      </c>
    </row>
    <row r="3796" spans="1:23" x14ac:dyDescent="0.2">
      <c r="A3796">
        <v>5125194</v>
      </c>
      <c r="B3796" t="s">
        <v>25</v>
      </c>
      <c r="C3796" t="s">
        <v>19</v>
      </c>
      <c r="D3796" t="s">
        <v>20</v>
      </c>
      <c r="E3796">
        <v>0</v>
      </c>
      <c r="F3796">
        <v>112500</v>
      </c>
      <c r="G3796" t="s">
        <v>26</v>
      </c>
      <c r="H3796" t="s">
        <v>27</v>
      </c>
      <c r="I3796" t="s">
        <v>28</v>
      </c>
      <c r="J3796" t="s">
        <v>24</v>
      </c>
      <c r="K3796" s="6">
        <f t="shared" ca="1" si="244"/>
        <v>28238</v>
      </c>
      <c r="L3796">
        <v>-17523</v>
      </c>
      <c r="M3796" s="7">
        <f t="shared" ca="1" si="242"/>
        <v>47.975359342915809</v>
      </c>
      <c r="N3796" s="5" t="str">
        <f ca="1">VLOOKUP(Data!M3796,temp!$B$3:$C$9,2,1)</f>
        <v>40-50</v>
      </c>
      <c r="O3796">
        <v>-4152</v>
      </c>
      <c r="P3796" s="8">
        <f t="shared" si="243"/>
        <v>11.367556468172484</v>
      </c>
      <c r="Q3796" s="5" t="str">
        <f t="shared" si="245"/>
        <v>Employed</v>
      </c>
      <c r="R3796">
        <v>1</v>
      </c>
      <c r="S3796">
        <v>1</v>
      </c>
      <c r="T3796">
        <v>0</v>
      </c>
      <c r="U3796">
        <v>0</v>
      </c>
      <c r="W3796">
        <v>2</v>
      </c>
    </row>
    <row r="3797" spans="1:23" x14ac:dyDescent="0.2">
      <c r="A3797">
        <v>5125220</v>
      </c>
      <c r="B3797" t="s">
        <v>18</v>
      </c>
      <c r="C3797" t="s">
        <v>19</v>
      </c>
      <c r="D3797" t="s">
        <v>20</v>
      </c>
      <c r="E3797">
        <v>1</v>
      </c>
      <c r="F3797">
        <v>90000</v>
      </c>
      <c r="G3797" t="s">
        <v>31</v>
      </c>
      <c r="H3797" t="s">
        <v>27</v>
      </c>
      <c r="I3797" t="s">
        <v>33</v>
      </c>
      <c r="J3797" t="s">
        <v>24</v>
      </c>
      <c r="K3797" s="6">
        <f t="shared" ca="1" si="244"/>
        <v>27515</v>
      </c>
      <c r="L3797">
        <v>-18246</v>
      </c>
      <c r="M3797" s="7">
        <f t="shared" ca="1" si="242"/>
        <v>49.954825462012323</v>
      </c>
      <c r="N3797" s="5" t="str">
        <f ca="1">VLOOKUP(Data!M3797,temp!$B$3:$C$9,2,1)</f>
        <v>40-50</v>
      </c>
      <c r="O3797">
        <v>-6070</v>
      </c>
      <c r="P3797" s="8">
        <f t="shared" si="243"/>
        <v>16.618754277891856</v>
      </c>
      <c r="Q3797" s="5" t="str">
        <f t="shared" si="245"/>
        <v>Employed</v>
      </c>
      <c r="R3797">
        <v>1</v>
      </c>
      <c r="S3797">
        <v>1</v>
      </c>
      <c r="T3797">
        <v>1</v>
      </c>
      <c r="U3797">
        <v>0</v>
      </c>
      <c r="V3797" t="s">
        <v>32</v>
      </c>
      <c r="W3797">
        <v>2</v>
      </c>
    </row>
    <row r="3798" spans="1:23" x14ac:dyDescent="0.2">
      <c r="A3798">
        <v>5125222</v>
      </c>
      <c r="B3798" t="s">
        <v>18</v>
      </c>
      <c r="C3798" t="s">
        <v>19</v>
      </c>
      <c r="D3798" t="s">
        <v>20</v>
      </c>
      <c r="E3798">
        <v>1</v>
      </c>
      <c r="F3798">
        <v>90000</v>
      </c>
      <c r="G3798" t="s">
        <v>31</v>
      </c>
      <c r="H3798" t="s">
        <v>27</v>
      </c>
      <c r="I3798" t="s">
        <v>33</v>
      </c>
      <c r="J3798" t="s">
        <v>24</v>
      </c>
      <c r="K3798" s="6">
        <f t="shared" ca="1" si="244"/>
        <v>27515</v>
      </c>
      <c r="L3798">
        <v>-18246</v>
      </c>
      <c r="M3798" s="7">
        <f t="shared" ca="1" si="242"/>
        <v>49.954825462012323</v>
      </c>
      <c r="N3798" s="5" t="str">
        <f ca="1">VLOOKUP(Data!M3798,temp!$B$3:$C$9,2,1)</f>
        <v>40-50</v>
      </c>
      <c r="O3798">
        <v>-6070</v>
      </c>
      <c r="P3798" s="8">
        <f t="shared" si="243"/>
        <v>16.618754277891856</v>
      </c>
      <c r="Q3798" s="5" t="str">
        <f t="shared" si="245"/>
        <v>Employed</v>
      </c>
      <c r="R3798">
        <v>1</v>
      </c>
      <c r="S3798">
        <v>1</v>
      </c>
      <c r="T3798">
        <v>1</v>
      </c>
      <c r="U3798">
        <v>0</v>
      </c>
      <c r="V3798" t="s">
        <v>32</v>
      </c>
      <c r="W3798">
        <v>2</v>
      </c>
    </row>
    <row r="3799" spans="1:23" x14ac:dyDescent="0.2">
      <c r="A3799">
        <v>5125223</v>
      </c>
      <c r="B3799" t="s">
        <v>18</v>
      </c>
      <c r="C3799" t="s">
        <v>19</v>
      </c>
      <c r="D3799" t="s">
        <v>20</v>
      </c>
      <c r="E3799">
        <v>1</v>
      </c>
      <c r="F3799">
        <v>90000</v>
      </c>
      <c r="G3799" t="s">
        <v>31</v>
      </c>
      <c r="H3799" t="s">
        <v>27</v>
      </c>
      <c r="I3799" t="s">
        <v>33</v>
      </c>
      <c r="J3799" t="s">
        <v>24</v>
      </c>
      <c r="K3799" s="6">
        <f t="shared" ca="1" si="244"/>
        <v>27515</v>
      </c>
      <c r="L3799">
        <v>-18246</v>
      </c>
      <c r="M3799" s="7">
        <f t="shared" ca="1" si="242"/>
        <v>49.954825462012323</v>
      </c>
      <c r="N3799" s="5" t="str">
        <f ca="1">VLOOKUP(Data!M3799,temp!$B$3:$C$9,2,1)</f>
        <v>40-50</v>
      </c>
      <c r="O3799">
        <v>-6070</v>
      </c>
      <c r="P3799" s="8">
        <f t="shared" si="243"/>
        <v>16.618754277891856</v>
      </c>
      <c r="Q3799" s="5" t="str">
        <f t="shared" si="245"/>
        <v>Employed</v>
      </c>
      <c r="R3799">
        <v>1</v>
      </c>
      <c r="S3799">
        <v>1</v>
      </c>
      <c r="T3799">
        <v>1</v>
      </c>
      <c r="U3799">
        <v>0</v>
      </c>
      <c r="V3799" t="s">
        <v>32</v>
      </c>
      <c r="W3799">
        <v>2</v>
      </c>
    </row>
    <row r="3800" spans="1:23" x14ac:dyDescent="0.2">
      <c r="A3800">
        <v>5125225</v>
      </c>
      <c r="B3800" t="s">
        <v>18</v>
      </c>
      <c r="C3800" t="s">
        <v>19</v>
      </c>
      <c r="D3800" t="s">
        <v>20</v>
      </c>
      <c r="E3800">
        <v>2</v>
      </c>
      <c r="F3800">
        <v>157500</v>
      </c>
      <c r="G3800" t="s">
        <v>26</v>
      </c>
      <c r="H3800" t="s">
        <v>22</v>
      </c>
      <c r="I3800" t="s">
        <v>28</v>
      </c>
      <c r="J3800" t="s">
        <v>24</v>
      </c>
      <c r="K3800" s="6">
        <f t="shared" ca="1" si="244"/>
        <v>31995</v>
      </c>
      <c r="L3800">
        <v>-13766</v>
      </c>
      <c r="M3800" s="7">
        <f t="shared" ca="1" si="242"/>
        <v>37.68925393566051</v>
      </c>
      <c r="N3800" s="5" t="str">
        <f ca="1">VLOOKUP(Data!M3800,temp!$B$3:$C$9,2,1)</f>
        <v>30-40</v>
      </c>
      <c r="O3800">
        <v>-73</v>
      </c>
      <c r="P3800" s="8">
        <f t="shared" si="243"/>
        <v>0.1998631074606434</v>
      </c>
      <c r="Q3800" s="5" t="str">
        <f t="shared" si="245"/>
        <v>Employed</v>
      </c>
      <c r="R3800">
        <v>1</v>
      </c>
      <c r="S3800">
        <v>0</v>
      </c>
      <c r="T3800">
        <v>0</v>
      </c>
      <c r="U3800">
        <v>0</v>
      </c>
      <c r="V3800" t="s">
        <v>47</v>
      </c>
      <c r="W3800">
        <v>4</v>
      </c>
    </row>
    <row r="3801" spans="1:23" x14ac:dyDescent="0.2">
      <c r="A3801">
        <v>5125239</v>
      </c>
      <c r="B3801" t="s">
        <v>18</v>
      </c>
      <c r="C3801" t="s">
        <v>19</v>
      </c>
      <c r="D3801" t="s">
        <v>20</v>
      </c>
      <c r="E3801">
        <v>1</v>
      </c>
      <c r="F3801">
        <v>157500</v>
      </c>
      <c r="G3801" t="s">
        <v>26</v>
      </c>
      <c r="H3801" t="s">
        <v>27</v>
      </c>
      <c r="I3801" t="s">
        <v>28</v>
      </c>
      <c r="J3801" t="s">
        <v>24</v>
      </c>
      <c r="K3801" s="6">
        <f t="shared" ca="1" si="244"/>
        <v>30384</v>
      </c>
      <c r="L3801">
        <v>-15377</v>
      </c>
      <c r="M3801" s="7">
        <f t="shared" ca="1" si="242"/>
        <v>42.099931553730322</v>
      </c>
      <c r="N3801" s="5" t="str">
        <f ca="1">VLOOKUP(Data!M3801,temp!$B$3:$C$9,2,1)</f>
        <v>40-50</v>
      </c>
      <c r="O3801">
        <v>-3544</v>
      </c>
      <c r="P3801" s="8">
        <f t="shared" si="243"/>
        <v>9.7029431895961675</v>
      </c>
      <c r="Q3801" s="5" t="str">
        <f t="shared" si="245"/>
        <v>Employed</v>
      </c>
      <c r="R3801">
        <v>1</v>
      </c>
      <c r="S3801">
        <v>1</v>
      </c>
      <c r="T3801">
        <v>1</v>
      </c>
      <c r="U3801">
        <v>0</v>
      </c>
      <c r="V3801" t="s">
        <v>46</v>
      </c>
      <c r="W3801">
        <v>3</v>
      </c>
    </row>
    <row r="3802" spans="1:23" x14ac:dyDescent="0.2">
      <c r="A3802">
        <v>5125247</v>
      </c>
      <c r="B3802" t="s">
        <v>25</v>
      </c>
      <c r="C3802" t="s">
        <v>19</v>
      </c>
      <c r="D3802" t="s">
        <v>20</v>
      </c>
      <c r="E3802">
        <v>1</v>
      </c>
      <c r="F3802">
        <v>225000</v>
      </c>
      <c r="G3802" t="s">
        <v>31</v>
      </c>
      <c r="H3802" t="s">
        <v>22</v>
      </c>
      <c r="I3802" t="s">
        <v>33</v>
      </c>
      <c r="J3802" t="s">
        <v>41</v>
      </c>
      <c r="K3802" s="6">
        <f t="shared" ca="1" si="244"/>
        <v>32803</v>
      </c>
      <c r="L3802">
        <v>-12958</v>
      </c>
      <c r="M3802" s="7">
        <f t="shared" ca="1" si="242"/>
        <v>35.477070499657771</v>
      </c>
      <c r="N3802" s="5" t="str">
        <f ca="1">VLOOKUP(Data!M3802,temp!$B$3:$C$9,2,1)</f>
        <v>30-40</v>
      </c>
      <c r="O3802">
        <v>-1475</v>
      </c>
      <c r="P3802" s="8">
        <f t="shared" si="243"/>
        <v>4.0383299110198498</v>
      </c>
      <c r="Q3802" s="5" t="str">
        <f t="shared" si="245"/>
        <v>Employed</v>
      </c>
      <c r="R3802">
        <v>1</v>
      </c>
      <c r="S3802">
        <v>1</v>
      </c>
      <c r="T3802">
        <v>0</v>
      </c>
      <c r="U3802">
        <v>1</v>
      </c>
      <c r="V3802" t="s">
        <v>29</v>
      </c>
      <c r="W3802">
        <v>2</v>
      </c>
    </row>
    <row r="3803" spans="1:23" x14ac:dyDescent="0.2">
      <c r="A3803">
        <v>5125255</v>
      </c>
      <c r="B3803" t="s">
        <v>25</v>
      </c>
      <c r="C3803" t="s">
        <v>20</v>
      </c>
      <c r="D3803" t="s">
        <v>19</v>
      </c>
      <c r="E3803">
        <v>1</v>
      </c>
      <c r="F3803">
        <v>337500</v>
      </c>
      <c r="G3803" t="s">
        <v>35</v>
      </c>
      <c r="H3803" t="s">
        <v>22</v>
      </c>
      <c r="I3803" t="s">
        <v>28</v>
      </c>
      <c r="J3803" t="s">
        <v>24</v>
      </c>
      <c r="K3803" s="6">
        <f t="shared" ca="1" si="244"/>
        <v>32967</v>
      </c>
      <c r="L3803">
        <v>-12794</v>
      </c>
      <c r="M3803" s="7">
        <f t="shared" ca="1" si="242"/>
        <v>35.028062970568101</v>
      </c>
      <c r="N3803" s="5" t="str">
        <f ca="1">VLOOKUP(Data!M3803,temp!$B$3:$C$9,2,1)</f>
        <v>30-40</v>
      </c>
      <c r="O3803">
        <v>-3574</v>
      </c>
      <c r="P3803" s="8">
        <f t="shared" si="243"/>
        <v>9.7850787132101296</v>
      </c>
      <c r="Q3803" s="5" t="str">
        <f t="shared" si="245"/>
        <v>Employed</v>
      </c>
      <c r="R3803">
        <v>1</v>
      </c>
      <c r="S3803">
        <v>0</v>
      </c>
      <c r="T3803">
        <v>0</v>
      </c>
      <c r="U3803">
        <v>0</v>
      </c>
      <c r="W3803">
        <v>3</v>
      </c>
    </row>
    <row r="3804" spans="1:23" x14ac:dyDescent="0.2">
      <c r="A3804">
        <v>5125263</v>
      </c>
      <c r="B3804" t="s">
        <v>25</v>
      </c>
      <c r="C3804" t="s">
        <v>19</v>
      </c>
      <c r="D3804" t="s">
        <v>20</v>
      </c>
      <c r="E3804">
        <v>0</v>
      </c>
      <c r="F3804">
        <v>157500</v>
      </c>
      <c r="G3804" t="s">
        <v>26</v>
      </c>
      <c r="H3804" t="s">
        <v>22</v>
      </c>
      <c r="I3804" t="s">
        <v>28</v>
      </c>
      <c r="J3804" t="s">
        <v>24</v>
      </c>
      <c r="K3804" s="6">
        <f t="shared" ca="1" si="244"/>
        <v>30338</v>
      </c>
      <c r="L3804">
        <v>-15423</v>
      </c>
      <c r="M3804" s="7">
        <f t="shared" ca="1" si="242"/>
        <v>42.225872689938399</v>
      </c>
      <c r="N3804" s="5" t="str">
        <f ca="1">VLOOKUP(Data!M3804,temp!$B$3:$C$9,2,1)</f>
        <v>40-50</v>
      </c>
      <c r="O3804">
        <v>-1200</v>
      </c>
      <c r="P3804" s="8">
        <f t="shared" si="243"/>
        <v>3.2854209445585214</v>
      </c>
      <c r="Q3804" s="5" t="str">
        <f t="shared" si="245"/>
        <v>Employed</v>
      </c>
      <c r="R3804">
        <v>1</v>
      </c>
      <c r="S3804">
        <v>1</v>
      </c>
      <c r="T3804">
        <v>1</v>
      </c>
      <c r="U3804">
        <v>0</v>
      </c>
      <c r="W3804">
        <v>2</v>
      </c>
    </row>
    <row r="3805" spans="1:23" x14ac:dyDescent="0.2">
      <c r="A3805">
        <v>5125274</v>
      </c>
      <c r="B3805" t="s">
        <v>25</v>
      </c>
      <c r="C3805" t="s">
        <v>19</v>
      </c>
      <c r="D3805" t="s">
        <v>19</v>
      </c>
      <c r="E3805">
        <v>1</v>
      </c>
      <c r="F3805">
        <v>360000</v>
      </c>
      <c r="G3805" t="s">
        <v>31</v>
      </c>
      <c r="H3805" t="s">
        <v>51</v>
      </c>
      <c r="I3805" t="s">
        <v>28</v>
      </c>
      <c r="J3805" t="s">
        <v>24</v>
      </c>
      <c r="K3805" s="6">
        <f t="shared" ca="1" si="244"/>
        <v>33146</v>
      </c>
      <c r="L3805">
        <v>-12615</v>
      </c>
      <c r="M3805" s="7">
        <f t="shared" ca="1" si="242"/>
        <v>34.53798767967146</v>
      </c>
      <c r="N3805" s="5" t="str">
        <f ca="1">VLOOKUP(Data!M3805,temp!$B$3:$C$9,2,1)</f>
        <v>30-40</v>
      </c>
      <c r="O3805">
        <v>-1048</v>
      </c>
      <c r="P3805" s="8">
        <f t="shared" si="243"/>
        <v>2.8692676249144422</v>
      </c>
      <c r="Q3805" s="5" t="str">
        <f t="shared" si="245"/>
        <v>Employed</v>
      </c>
      <c r="R3805">
        <v>1</v>
      </c>
      <c r="S3805">
        <v>0</v>
      </c>
      <c r="T3805">
        <v>0</v>
      </c>
      <c r="U3805">
        <v>1</v>
      </c>
      <c r="V3805" t="s">
        <v>29</v>
      </c>
      <c r="W3805">
        <v>3</v>
      </c>
    </row>
    <row r="3806" spans="1:23" x14ac:dyDescent="0.2">
      <c r="A3806">
        <v>5125290</v>
      </c>
      <c r="B3806" t="s">
        <v>18</v>
      </c>
      <c r="C3806" t="s">
        <v>19</v>
      </c>
      <c r="D3806" t="s">
        <v>19</v>
      </c>
      <c r="E3806">
        <v>1</v>
      </c>
      <c r="F3806">
        <v>202500</v>
      </c>
      <c r="G3806" t="s">
        <v>31</v>
      </c>
      <c r="H3806" t="s">
        <v>27</v>
      </c>
      <c r="I3806" t="s">
        <v>23</v>
      </c>
      <c r="J3806" t="s">
        <v>24</v>
      </c>
      <c r="K3806" s="6">
        <f t="shared" ca="1" si="244"/>
        <v>31822</v>
      </c>
      <c r="L3806">
        <v>-13939</v>
      </c>
      <c r="M3806" s="7">
        <f t="shared" ca="1" si="242"/>
        <v>38.162902121834357</v>
      </c>
      <c r="N3806" s="5" t="str">
        <f ca="1">VLOOKUP(Data!M3806,temp!$B$3:$C$9,2,1)</f>
        <v>30-40</v>
      </c>
      <c r="O3806">
        <v>-134</v>
      </c>
      <c r="P3806" s="8">
        <f t="shared" si="243"/>
        <v>0.36687200547570159</v>
      </c>
      <c r="Q3806" s="5" t="str">
        <f t="shared" si="245"/>
        <v>Employed</v>
      </c>
      <c r="R3806">
        <v>1</v>
      </c>
      <c r="S3806">
        <v>0</v>
      </c>
      <c r="T3806">
        <v>0</v>
      </c>
      <c r="U3806">
        <v>0</v>
      </c>
      <c r="V3806" t="s">
        <v>29</v>
      </c>
      <c r="W3806">
        <v>2</v>
      </c>
    </row>
    <row r="3807" spans="1:23" x14ac:dyDescent="0.2">
      <c r="A3807">
        <v>5125295</v>
      </c>
      <c r="B3807" t="s">
        <v>18</v>
      </c>
      <c r="C3807" t="s">
        <v>20</v>
      </c>
      <c r="D3807" t="s">
        <v>19</v>
      </c>
      <c r="E3807">
        <v>0</v>
      </c>
      <c r="F3807">
        <v>126000</v>
      </c>
      <c r="G3807" t="s">
        <v>31</v>
      </c>
      <c r="H3807" t="s">
        <v>27</v>
      </c>
      <c r="I3807" t="s">
        <v>23</v>
      </c>
      <c r="J3807" t="s">
        <v>24</v>
      </c>
      <c r="K3807" s="6">
        <f t="shared" ca="1" si="244"/>
        <v>28889</v>
      </c>
      <c r="L3807">
        <v>-16872</v>
      </c>
      <c r="M3807" s="7">
        <f t="shared" ca="1" si="242"/>
        <v>46.19301848049281</v>
      </c>
      <c r="N3807" s="5" t="str">
        <f ca="1">VLOOKUP(Data!M3807,temp!$B$3:$C$9,2,1)</f>
        <v>40-50</v>
      </c>
      <c r="O3807">
        <v>-1656</v>
      </c>
      <c r="P3807" s="8">
        <f t="shared" si="243"/>
        <v>4.5338809034907595</v>
      </c>
      <c r="Q3807" s="5" t="str">
        <f t="shared" si="245"/>
        <v>Employed</v>
      </c>
      <c r="R3807">
        <v>1</v>
      </c>
      <c r="S3807">
        <v>0</v>
      </c>
      <c r="T3807">
        <v>0</v>
      </c>
      <c r="U3807">
        <v>0</v>
      </c>
      <c r="V3807" t="s">
        <v>38</v>
      </c>
      <c r="W3807">
        <v>1</v>
      </c>
    </row>
    <row r="3808" spans="1:23" x14ac:dyDescent="0.2">
      <c r="A3808">
        <v>5125332</v>
      </c>
      <c r="B3808" t="s">
        <v>25</v>
      </c>
      <c r="C3808" t="s">
        <v>20</v>
      </c>
      <c r="D3808" t="s">
        <v>20</v>
      </c>
      <c r="E3808">
        <v>2</v>
      </c>
      <c r="F3808">
        <v>337500</v>
      </c>
      <c r="G3808" t="s">
        <v>35</v>
      </c>
      <c r="H3808" t="s">
        <v>27</v>
      </c>
      <c r="I3808" t="s">
        <v>28</v>
      </c>
      <c r="J3808" t="s">
        <v>53</v>
      </c>
      <c r="K3808" s="6">
        <f t="shared" ca="1" si="244"/>
        <v>32784</v>
      </c>
      <c r="L3808">
        <v>-12977</v>
      </c>
      <c r="M3808" s="7">
        <f t="shared" ca="1" si="242"/>
        <v>35.529089664613281</v>
      </c>
      <c r="N3808" s="5" t="str">
        <f ca="1">VLOOKUP(Data!M3808,temp!$B$3:$C$9,2,1)</f>
        <v>30-40</v>
      </c>
      <c r="O3808">
        <v>-3970</v>
      </c>
      <c r="P3808" s="8">
        <f t="shared" si="243"/>
        <v>10.869267624914443</v>
      </c>
      <c r="Q3808" s="5" t="str">
        <f t="shared" si="245"/>
        <v>Employed</v>
      </c>
      <c r="R3808">
        <v>1</v>
      </c>
      <c r="S3808">
        <v>0</v>
      </c>
      <c r="T3808">
        <v>0</v>
      </c>
      <c r="U3808">
        <v>0</v>
      </c>
      <c r="V3808" t="s">
        <v>29</v>
      </c>
      <c r="W3808">
        <v>4</v>
      </c>
    </row>
    <row r="3809" spans="1:23" x14ac:dyDescent="0.2">
      <c r="A3809">
        <v>5125333</v>
      </c>
      <c r="B3809" t="s">
        <v>25</v>
      </c>
      <c r="C3809" t="s">
        <v>20</v>
      </c>
      <c r="D3809" t="s">
        <v>20</v>
      </c>
      <c r="E3809">
        <v>2</v>
      </c>
      <c r="F3809">
        <v>337500</v>
      </c>
      <c r="G3809" t="s">
        <v>35</v>
      </c>
      <c r="H3809" t="s">
        <v>27</v>
      </c>
      <c r="I3809" t="s">
        <v>28</v>
      </c>
      <c r="J3809" t="s">
        <v>53</v>
      </c>
      <c r="K3809" s="6">
        <f t="shared" ca="1" si="244"/>
        <v>32784</v>
      </c>
      <c r="L3809">
        <v>-12977</v>
      </c>
      <c r="M3809" s="7">
        <f t="shared" ca="1" si="242"/>
        <v>35.529089664613281</v>
      </c>
      <c r="N3809" s="5" t="str">
        <f ca="1">VLOOKUP(Data!M3809,temp!$B$3:$C$9,2,1)</f>
        <v>30-40</v>
      </c>
      <c r="O3809">
        <v>-3970</v>
      </c>
      <c r="P3809" s="8">
        <f t="shared" si="243"/>
        <v>10.869267624914443</v>
      </c>
      <c r="Q3809" s="5" t="str">
        <f t="shared" si="245"/>
        <v>Employed</v>
      </c>
      <c r="R3809">
        <v>1</v>
      </c>
      <c r="S3809">
        <v>0</v>
      </c>
      <c r="T3809">
        <v>0</v>
      </c>
      <c r="U3809">
        <v>0</v>
      </c>
      <c r="V3809" t="s">
        <v>29</v>
      </c>
      <c r="W3809">
        <v>4</v>
      </c>
    </row>
    <row r="3810" spans="1:23" x14ac:dyDescent="0.2">
      <c r="A3810">
        <v>5125336</v>
      </c>
      <c r="B3810" t="s">
        <v>25</v>
      </c>
      <c r="C3810" t="s">
        <v>20</v>
      </c>
      <c r="D3810" t="s">
        <v>20</v>
      </c>
      <c r="E3810">
        <v>2</v>
      </c>
      <c r="F3810">
        <v>337500</v>
      </c>
      <c r="G3810" t="s">
        <v>35</v>
      </c>
      <c r="H3810" t="s">
        <v>27</v>
      </c>
      <c r="I3810" t="s">
        <v>28</v>
      </c>
      <c r="J3810" t="s">
        <v>53</v>
      </c>
      <c r="K3810" s="6">
        <f t="shared" ca="1" si="244"/>
        <v>32784</v>
      </c>
      <c r="L3810">
        <v>-12977</v>
      </c>
      <c r="M3810" s="7">
        <f t="shared" ca="1" si="242"/>
        <v>35.529089664613281</v>
      </c>
      <c r="N3810" s="5" t="str">
        <f ca="1">VLOOKUP(Data!M3810,temp!$B$3:$C$9,2,1)</f>
        <v>30-40</v>
      </c>
      <c r="O3810">
        <v>-3970</v>
      </c>
      <c r="P3810" s="8">
        <f t="shared" si="243"/>
        <v>10.869267624914443</v>
      </c>
      <c r="Q3810" s="5" t="str">
        <f t="shared" si="245"/>
        <v>Employed</v>
      </c>
      <c r="R3810">
        <v>1</v>
      </c>
      <c r="S3810">
        <v>0</v>
      </c>
      <c r="T3810">
        <v>0</v>
      </c>
      <c r="U3810">
        <v>0</v>
      </c>
      <c r="V3810" t="s">
        <v>29</v>
      </c>
      <c r="W3810">
        <v>4</v>
      </c>
    </row>
    <row r="3811" spans="1:23" x14ac:dyDescent="0.2">
      <c r="A3811">
        <v>5125343</v>
      </c>
      <c r="B3811" t="s">
        <v>18</v>
      </c>
      <c r="C3811" t="s">
        <v>19</v>
      </c>
      <c r="D3811" t="s">
        <v>20</v>
      </c>
      <c r="E3811">
        <v>0</v>
      </c>
      <c r="F3811">
        <v>247500</v>
      </c>
      <c r="G3811" t="s">
        <v>21</v>
      </c>
      <c r="H3811" t="s">
        <v>27</v>
      </c>
      <c r="I3811" t="s">
        <v>42</v>
      </c>
      <c r="J3811" t="s">
        <v>24</v>
      </c>
      <c r="K3811" s="6">
        <f t="shared" ca="1" si="244"/>
        <v>23429</v>
      </c>
      <c r="L3811">
        <v>-22332</v>
      </c>
      <c r="M3811" s="7">
        <f t="shared" ca="1" si="242"/>
        <v>61.141683778234089</v>
      </c>
      <c r="N3811" s="5" t="str">
        <f ca="1">VLOOKUP(Data!M3811,temp!$B$3:$C$9,2,1)</f>
        <v>60-70</v>
      </c>
      <c r="O3811">
        <v>365243</v>
      </c>
      <c r="P3811" s="8">
        <f t="shared" si="243"/>
        <v>0</v>
      </c>
      <c r="Q3811" s="5" t="str">
        <f t="shared" si="245"/>
        <v>Unemployed</v>
      </c>
      <c r="R3811">
        <v>1</v>
      </c>
      <c r="S3811">
        <v>0</v>
      </c>
      <c r="T3811">
        <v>0</v>
      </c>
      <c r="U3811">
        <v>0</v>
      </c>
      <c r="W3811">
        <v>1</v>
      </c>
    </row>
    <row r="3812" spans="1:23" x14ac:dyDescent="0.2">
      <c r="A3812">
        <v>5125362</v>
      </c>
      <c r="B3812" t="s">
        <v>25</v>
      </c>
      <c r="C3812" t="s">
        <v>20</v>
      </c>
      <c r="D3812" t="s">
        <v>19</v>
      </c>
      <c r="E3812">
        <v>0</v>
      </c>
      <c r="F3812">
        <v>135000</v>
      </c>
      <c r="G3812" t="s">
        <v>31</v>
      </c>
      <c r="H3812" t="s">
        <v>27</v>
      </c>
      <c r="I3812" t="s">
        <v>28</v>
      </c>
      <c r="J3812" t="s">
        <v>24</v>
      </c>
      <c r="K3812" s="6">
        <f t="shared" ca="1" si="244"/>
        <v>33539</v>
      </c>
      <c r="L3812">
        <v>-12222</v>
      </c>
      <c r="M3812" s="7">
        <f t="shared" ca="1" si="242"/>
        <v>33.46201232032854</v>
      </c>
      <c r="N3812" s="5" t="str">
        <f ca="1">VLOOKUP(Data!M3812,temp!$B$3:$C$9,2,1)</f>
        <v>30-40</v>
      </c>
      <c r="O3812">
        <v>-195</v>
      </c>
      <c r="P3812" s="8">
        <f t="shared" si="243"/>
        <v>0.53388090349075978</v>
      </c>
      <c r="Q3812" s="5" t="str">
        <f t="shared" si="245"/>
        <v>Employed</v>
      </c>
      <c r="R3812">
        <v>1</v>
      </c>
      <c r="S3812">
        <v>0</v>
      </c>
      <c r="T3812">
        <v>0</v>
      </c>
      <c r="U3812">
        <v>0</v>
      </c>
      <c r="V3812" t="s">
        <v>30</v>
      </c>
      <c r="W3812">
        <v>2</v>
      </c>
    </row>
    <row r="3813" spans="1:23" x14ac:dyDescent="0.2">
      <c r="A3813">
        <v>5125390</v>
      </c>
      <c r="B3813" t="s">
        <v>18</v>
      </c>
      <c r="C3813" t="s">
        <v>19</v>
      </c>
      <c r="D3813" t="s">
        <v>20</v>
      </c>
      <c r="E3813">
        <v>0</v>
      </c>
      <c r="F3813">
        <v>135000</v>
      </c>
      <c r="G3813" t="s">
        <v>35</v>
      </c>
      <c r="H3813" t="s">
        <v>27</v>
      </c>
      <c r="I3813" t="s">
        <v>33</v>
      </c>
      <c r="J3813" t="s">
        <v>24</v>
      </c>
      <c r="K3813" s="6">
        <f t="shared" ca="1" si="244"/>
        <v>35695</v>
      </c>
      <c r="L3813">
        <v>-10066</v>
      </c>
      <c r="M3813" s="7">
        <f t="shared" ca="1" si="242"/>
        <v>27.559206023271731</v>
      </c>
      <c r="N3813" s="5" t="str">
        <f ca="1">VLOOKUP(Data!M3813,temp!$B$3:$C$9,2,1)</f>
        <v>20-30</v>
      </c>
      <c r="O3813">
        <v>-3026</v>
      </c>
      <c r="P3813" s="8">
        <f t="shared" si="243"/>
        <v>8.2847364818617386</v>
      </c>
      <c r="Q3813" s="5" t="str">
        <f t="shared" si="245"/>
        <v>Employed</v>
      </c>
      <c r="R3813">
        <v>1</v>
      </c>
      <c r="S3813">
        <v>1</v>
      </c>
      <c r="T3813">
        <v>1</v>
      </c>
      <c r="U3813">
        <v>0</v>
      </c>
      <c r="V3813" t="s">
        <v>47</v>
      </c>
      <c r="W3813">
        <v>1</v>
      </c>
    </row>
    <row r="3814" spans="1:23" x14ac:dyDescent="0.2">
      <c r="A3814">
        <v>5125402</v>
      </c>
      <c r="B3814" t="s">
        <v>18</v>
      </c>
      <c r="C3814" t="s">
        <v>19</v>
      </c>
      <c r="D3814" t="s">
        <v>20</v>
      </c>
      <c r="E3814">
        <v>1</v>
      </c>
      <c r="F3814">
        <v>81000</v>
      </c>
      <c r="G3814" t="s">
        <v>26</v>
      </c>
      <c r="H3814" t="s">
        <v>27</v>
      </c>
      <c r="I3814" t="s">
        <v>33</v>
      </c>
      <c r="J3814" t="s">
        <v>24</v>
      </c>
      <c r="K3814" s="6">
        <f t="shared" ca="1" si="244"/>
        <v>36439</v>
      </c>
      <c r="L3814">
        <v>-9322</v>
      </c>
      <c r="M3814" s="7">
        <f t="shared" ca="1" si="242"/>
        <v>25.522245037645447</v>
      </c>
      <c r="N3814" s="5" t="str">
        <f ca="1">VLOOKUP(Data!M3814,temp!$B$3:$C$9,2,1)</f>
        <v>20-30</v>
      </c>
      <c r="O3814">
        <v>-1291</v>
      </c>
      <c r="P3814" s="8">
        <f t="shared" si="243"/>
        <v>3.5345653661875427</v>
      </c>
      <c r="Q3814" s="5" t="str">
        <f t="shared" si="245"/>
        <v>Employed</v>
      </c>
      <c r="R3814">
        <v>1</v>
      </c>
      <c r="S3814">
        <v>0</v>
      </c>
      <c r="T3814">
        <v>0</v>
      </c>
      <c r="U3814">
        <v>1</v>
      </c>
      <c r="W3814">
        <v>2</v>
      </c>
    </row>
    <row r="3815" spans="1:23" x14ac:dyDescent="0.2">
      <c r="A3815">
        <v>5125404</v>
      </c>
      <c r="B3815" t="s">
        <v>18</v>
      </c>
      <c r="C3815" t="s">
        <v>19</v>
      </c>
      <c r="D3815" t="s">
        <v>20</v>
      </c>
      <c r="E3815">
        <v>1</v>
      </c>
      <c r="F3815">
        <v>81000</v>
      </c>
      <c r="G3815" t="s">
        <v>26</v>
      </c>
      <c r="H3815" t="s">
        <v>27</v>
      </c>
      <c r="I3815" t="s">
        <v>33</v>
      </c>
      <c r="J3815" t="s">
        <v>24</v>
      </c>
      <c r="K3815" s="6">
        <f t="shared" ca="1" si="244"/>
        <v>36439</v>
      </c>
      <c r="L3815">
        <v>-9322</v>
      </c>
      <c r="M3815" s="7">
        <f t="shared" ca="1" si="242"/>
        <v>25.522245037645447</v>
      </c>
      <c r="N3815" s="5" t="str">
        <f ca="1">VLOOKUP(Data!M3815,temp!$B$3:$C$9,2,1)</f>
        <v>20-30</v>
      </c>
      <c r="O3815">
        <v>-1291</v>
      </c>
      <c r="P3815" s="8">
        <f t="shared" si="243"/>
        <v>3.5345653661875427</v>
      </c>
      <c r="Q3815" s="5" t="str">
        <f t="shared" si="245"/>
        <v>Employed</v>
      </c>
      <c r="R3815">
        <v>1</v>
      </c>
      <c r="S3815">
        <v>0</v>
      </c>
      <c r="T3815">
        <v>0</v>
      </c>
      <c r="U3815">
        <v>1</v>
      </c>
      <c r="W3815">
        <v>2</v>
      </c>
    </row>
    <row r="3816" spans="1:23" x14ac:dyDescent="0.2">
      <c r="A3816">
        <v>5125409</v>
      </c>
      <c r="B3816" t="s">
        <v>18</v>
      </c>
      <c r="C3816" t="s">
        <v>19</v>
      </c>
      <c r="D3816" t="s">
        <v>20</v>
      </c>
      <c r="E3816">
        <v>1</v>
      </c>
      <c r="F3816">
        <v>81000</v>
      </c>
      <c r="G3816" t="s">
        <v>26</v>
      </c>
      <c r="H3816" t="s">
        <v>27</v>
      </c>
      <c r="I3816" t="s">
        <v>33</v>
      </c>
      <c r="J3816" t="s">
        <v>24</v>
      </c>
      <c r="K3816" s="6">
        <f t="shared" ca="1" si="244"/>
        <v>36439</v>
      </c>
      <c r="L3816">
        <v>-9322</v>
      </c>
      <c r="M3816" s="7">
        <f t="shared" ca="1" si="242"/>
        <v>25.522245037645447</v>
      </c>
      <c r="N3816" s="5" t="str">
        <f ca="1">VLOOKUP(Data!M3816,temp!$B$3:$C$9,2,1)</f>
        <v>20-30</v>
      </c>
      <c r="O3816">
        <v>-1291</v>
      </c>
      <c r="P3816" s="8">
        <f t="shared" si="243"/>
        <v>3.5345653661875427</v>
      </c>
      <c r="Q3816" s="5" t="str">
        <f t="shared" si="245"/>
        <v>Employed</v>
      </c>
      <c r="R3816">
        <v>1</v>
      </c>
      <c r="S3816">
        <v>0</v>
      </c>
      <c r="T3816">
        <v>0</v>
      </c>
      <c r="U3816">
        <v>1</v>
      </c>
      <c r="W3816">
        <v>2</v>
      </c>
    </row>
    <row r="3817" spans="1:23" x14ac:dyDescent="0.2">
      <c r="A3817">
        <v>5125411</v>
      </c>
      <c r="B3817" t="s">
        <v>25</v>
      </c>
      <c r="C3817" t="s">
        <v>19</v>
      </c>
      <c r="D3817" t="s">
        <v>20</v>
      </c>
      <c r="E3817">
        <v>0</v>
      </c>
      <c r="F3817">
        <v>135000</v>
      </c>
      <c r="G3817" t="s">
        <v>31</v>
      </c>
      <c r="H3817" t="s">
        <v>27</v>
      </c>
      <c r="I3817" t="s">
        <v>28</v>
      </c>
      <c r="J3817" t="s">
        <v>24</v>
      </c>
      <c r="K3817" s="6">
        <f t="shared" ca="1" si="244"/>
        <v>30535</v>
      </c>
      <c r="L3817">
        <v>-15226</v>
      </c>
      <c r="M3817" s="7">
        <f t="shared" ca="1" si="242"/>
        <v>41.686516084873375</v>
      </c>
      <c r="N3817" s="5" t="str">
        <f ca="1">VLOOKUP(Data!M3817,temp!$B$3:$C$9,2,1)</f>
        <v>40-50</v>
      </c>
      <c r="O3817">
        <v>-2995</v>
      </c>
      <c r="P3817" s="8">
        <f t="shared" si="243"/>
        <v>8.1998631074606436</v>
      </c>
      <c r="Q3817" s="5" t="str">
        <f t="shared" si="245"/>
        <v>Employed</v>
      </c>
      <c r="R3817">
        <v>1</v>
      </c>
      <c r="S3817">
        <v>0</v>
      </c>
      <c r="T3817">
        <v>0</v>
      </c>
      <c r="U3817">
        <v>0</v>
      </c>
      <c r="V3817" t="s">
        <v>29</v>
      </c>
      <c r="W3817">
        <v>2</v>
      </c>
    </row>
    <row r="3818" spans="1:23" x14ac:dyDescent="0.2">
      <c r="A3818">
        <v>5125415</v>
      </c>
      <c r="B3818" t="s">
        <v>25</v>
      </c>
      <c r="C3818" t="s">
        <v>20</v>
      </c>
      <c r="D3818" t="s">
        <v>20</v>
      </c>
      <c r="E3818">
        <v>2</v>
      </c>
      <c r="F3818">
        <v>130500</v>
      </c>
      <c r="G3818" t="s">
        <v>31</v>
      </c>
      <c r="H3818" t="s">
        <v>27</v>
      </c>
      <c r="I3818" t="s">
        <v>28</v>
      </c>
      <c r="J3818" t="s">
        <v>24</v>
      </c>
      <c r="K3818" s="6">
        <f t="shared" ca="1" si="244"/>
        <v>34114</v>
      </c>
      <c r="L3818">
        <v>-11647</v>
      </c>
      <c r="M3818" s="7">
        <f t="shared" ca="1" si="242"/>
        <v>31.887748117727583</v>
      </c>
      <c r="N3818" s="5" t="str">
        <f ca="1">VLOOKUP(Data!M3818,temp!$B$3:$C$9,2,1)</f>
        <v>30-40</v>
      </c>
      <c r="O3818">
        <v>-2905</v>
      </c>
      <c r="P3818" s="8">
        <f t="shared" si="243"/>
        <v>7.953456536618754</v>
      </c>
      <c r="Q3818" s="5" t="str">
        <f t="shared" si="245"/>
        <v>Employed</v>
      </c>
      <c r="R3818">
        <v>1</v>
      </c>
      <c r="S3818">
        <v>1</v>
      </c>
      <c r="T3818">
        <v>1</v>
      </c>
      <c r="U3818">
        <v>0</v>
      </c>
      <c r="V3818" t="s">
        <v>29</v>
      </c>
      <c r="W3818">
        <v>4</v>
      </c>
    </row>
    <row r="3819" spans="1:23" x14ac:dyDescent="0.2">
      <c r="A3819">
        <v>5125453</v>
      </c>
      <c r="B3819" t="s">
        <v>18</v>
      </c>
      <c r="C3819" t="s">
        <v>19</v>
      </c>
      <c r="D3819" t="s">
        <v>20</v>
      </c>
      <c r="E3819">
        <v>0</v>
      </c>
      <c r="F3819">
        <v>337500</v>
      </c>
      <c r="G3819" t="s">
        <v>26</v>
      </c>
      <c r="H3819" t="s">
        <v>22</v>
      </c>
      <c r="I3819" t="s">
        <v>33</v>
      </c>
      <c r="J3819" t="s">
        <v>24</v>
      </c>
      <c r="K3819" s="6">
        <f t="shared" ca="1" si="244"/>
        <v>29171</v>
      </c>
      <c r="L3819">
        <v>-16590</v>
      </c>
      <c r="M3819" s="7">
        <f t="shared" ca="1" si="242"/>
        <v>45.420944558521562</v>
      </c>
      <c r="N3819" s="5" t="str">
        <f ca="1">VLOOKUP(Data!M3819,temp!$B$3:$C$9,2,1)</f>
        <v>40-50</v>
      </c>
      <c r="O3819">
        <v>-438</v>
      </c>
      <c r="P3819" s="8">
        <f t="shared" si="243"/>
        <v>1.1991786447638604</v>
      </c>
      <c r="Q3819" s="5" t="str">
        <f t="shared" si="245"/>
        <v>Employed</v>
      </c>
      <c r="R3819">
        <v>1</v>
      </c>
      <c r="S3819">
        <v>0</v>
      </c>
      <c r="T3819">
        <v>1</v>
      </c>
      <c r="U3819">
        <v>1</v>
      </c>
      <c r="V3819" t="s">
        <v>32</v>
      </c>
      <c r="W3819">
        <v>1</v>
      </c>
    </row>
    <row r="3820" spans="1:23" x14ac:dyDescent="0.2">
      <c r="A3820">
        <v>5125455</v>
      </c>
      <c r="B3820" t="s">
        <v>18</v>
      </c>
      <c r="C3820" t="s">
        <v>19</v>
      </c>
      <c r="D3820" t="s">
        <v>20</v>
      </c>
      <c r="E3820">
        <v>0</v>
      </c>
      <c r="F3820">
        <v>337500</v>
      </c>
      <c r="G3820" t="s">
        <v>26</v>
      </c>
      <c r="H3820" t="s">
        <v>22</v>
      </c>
      <c r="I3820" t="s">
        <v>33</v>
      </c>
      <c r="J3820" t="s">
        <v>24</v>
      </c>
      <c r="K3820" s="6">
        <f t="shared" ca="1" si="244"/>
        <v>29171</v>
      </c>
      <c r="L3820">
        <v>-16590</v>
      </c>
      <c r="M3820" s="7">
        <f t="shared" ca="1" si="242"/>
        <v>45.420944558521562</v>
      </c>
      <c r="N3820" s="5" t="str">
        <f ca="1">VLOOKUP(Data!M3820,temp!$B$3:$C$9,2,1)</f>
        <v>40-50</v>
      </c>
      <c r="O3820">
        <v>-438</v>
      </c>
      <c r="P3820" s="8">
        <f t="shared" si="243"/>
        <v>1.1991786447638604</v>
      </c>
      <c r="Q3820" s="5" t="str">
        <f t="shared" si="245"/>
        <v>Employed</v>
      </c>
      <c r="R3820">
        <v>1</v>
      </c>
      <c r="S3820">
        <v>0</v>
      </c>
      <c r="T3820">
        <v>1</v>
      </c>
      <c r="U3820">
        <v>1</v>
      </c>
      <c r="V3820" t="s">
        <v>32</v>
      </c>
      <c r="W3820">
        <v>1</v>
      </c>
    </row>
    <row r="3821" spans="1:23" x14ac:dyDescent="0.2">
      <c r="A3821">
        <v>5125465</v>
      </c>
      <c r="B3821" t="s">
        <v>25</v>
      </c>
      <c r="C3821" t="s">
        <v>19</v>
      </c>
      <c r="D3821" t="s">
        <v>20</v>
      </c>
      <c r="E3821">
        <v>1</v>
      </c>
      <c r="F3821">
        <v>112500</v>
      </c>
      <c r="G3821" t="s">
        <v>31</v>
      </c>
      <c r="H3821" t="s">
        <v>27</v>
      </c>
      <c r="I3821" t="s">
        <v>28</v>
      </c>
      <c r="J3821" t="s">
        <v>24</v>
      </c>
      <c r="K3821" s="6">
        <f t="shared" ca="1" si="244"/>
        <v>27367</v>
      </c>
      <c r="L3821">
        <v>-18394</v>
      </c>
      <c r="M3821" s="7">
        <f t="shared" ca="1" si="242"/>
        <v>50.360027378507873</v>
      </c>
      <c r="N3821" s="5" t="str">
        <f ca="1">VLOOKUP(Data!M3821,temp!$B$3:$C$9,2,1)</f>
        <v>50-60</v>
      </c>
      <c r="O3821">
        <v>-5155</v>
      </c>
      <c r="P3821" s="8">
        <f t="shared" si="243"/>
        <v>14.113620807665983</v>
      </c>
      <c r="Q3821" s="5" t="str">
        <f t="shared" si="245"/>
        <v>Employed</v>
      </c>
      <c r="R3821">
        <v>1</v>
      </c>
      <c r="S3821">
        <v>0</v>
      </c>
      <c r="T3821">
        <v>0</v>
      </c>
      <c r="U3821">
        <v>0</v>
      </c>
      <c r="V3821" t="s">
        <v>29</v>
      </c>
      <c r="W3821">
        <v>3</v>
      </c>
    </row>
    <row r="3822" spans="1:23" x14ac:dyDescent="0.2">
      <c r="A3822">
        <v>5125477</v>
      </c>
      <c r="B3822" t="s">
        <v>18</v>
      </c>
      <c r="C3822" t="s">
        <v>19</v>
      </c>
      <c r="D3822" t="s">
        <v>20</v>
      </c>
      <c r="E3822">
        <v>0</v>
      </c>
      <c r="F3822">
        <v>202500</v>
      </c>
      <c r="G3822" t="s">
        <v>21</v>
      </c>
      <c r="H3822" t="s">
        <v>27</v>
      </c>
      <c r="I3822" t="s">
        <v>28</v>
      </c>
      <c r="J3822" t="s">
        <v>24</v>
      </c>
      <c r="K3822" s="6">
        <f t="shared" ca="1" si="244"/>
        <v>25100</v>
      </c>
      <c r="L3822">
        <v>-20661</v>
      </c>
      <c r="M3822" s="7">
        <f t="shared" ca="1" si="242"/>
        <v>56.566735112936342</v>
      </c>
      <c r="N3822" s="5" t="str">
        <f ca="1">VLOOKUP(Data!M3822,temp!$B$3:$C$9,2,1)</f>
        <v>50-60</v>
      </c>
      <c r="O3822">
        <v>365243</v>
      </c>
      <c r="P3822" s="8">
        <f t="shared" si="243"/>
        <v>0</v>
      </c>
      <c r="Q3822" s="5" t="str">
        <f t="shared" si="245"/>
        <v>Unemployed</v>
      </c>
      <c r="R3822">
        <v>1</v>
      </c>
      <c r="S3822">
        <v>0</v>
      </c>
      <c r="T3822">
        <v>0</v>
      </c>
      <c r="U3822">
        <v>0</v>
      </c>
      <c r="W3822">
        <v>2</v>
      </c>
    </row>
    <row r="3823" spans="1:23" x14ac:dyDescent="0.2">
      <c r="A3823">
        <v>5125478</v>
      </c>
      <c r="B3823" t="s">
        <v>18</v>
      </c>
      <c r="C3823" t="s">
        <v>19</v>
      </c>
      <c r="D3823" t="s">
        <v>20</v>
      </c>
      <c r="E3823">
        <v>0</v>
      </c>
      <c r="F3823">
        <v>202500</v>
      </c>
      <c r="G3823" t="s">
        <v>21</v>
      </c>
      <c r="H3823" t="s">
        <v>27</v>
      </c>
      <c r="I3823" t="s">
        <v>28</v>
      </c>
      <c r="J3823" t="s">
        <v>24</v>
      </c>
      <c r="K3823" s="6">
        <f t="shared" ca="1" si="244"/>
        <v>25100</v>
      </c>
      <c r="L3823">
        <v>-20661</v>
      </c>
      <c r="M3823" s="7">
        <f t="shared" ca="1" si="242"/>
        <v>56.566735112936342</v>
      </c>
      <c r="N3823" s="5" t="str">
        <f ca="1">VLOOKUP(Data!M3823,temp!$B$3:$C$9,2,1)</f>
        <v>50-60</v>
      </c>
      <c r="O3823">
        <v>365243</v>
      </c>
      <c r="P3823" s="8">
        <f t="shared" si="243"/>
        <v>0</v>
      </c>
      <c r="Q3823" s="5" t="str">
        <f t="shared" si="245"/>
        <v>Unemployed</v>
      </c>
      <c r="R3823">
        <v>1</v>
      </c>
      <c r="S3823">
        <v>0</v>
      </c>
      <c r="T3823">
        <v>0</v>
      </c>
      <c r="U3823">
        <v>0</v>
      </c>
      <c r="W3823">
        <v>2</v>
      </c>
    </row>
    <row r="3824" spans="1:23" x14ac:dyDescent="0.2">
      <c r="A3824">
        <v>5125484</v>
      </c>
      <c r="B3824" t="s">
        <v>18</v>
      </c>
      <c r="C3824" t="s">
        <v>19</v>
      </c>
      <c r="D3824" t="s">
        <v>20</v>
      </c>
      <c r="E3824">
        <v>0</v>
      </c>
      <c r="F3824">
        <v>58500</v>
      </c>
      <c r="G3824" t="s">
        <v>21</v>
      </c>
      <c r="H3824" t="s">
        <v>22</v>
      </c>
      <c r="I3824" t="s">
        <v>28</v>
      </c>
      <c r="J3824" t="s">
        <v>24</v>
      </c>
      <c r="K3824" s="6">
        <f t="shared" ca="1" si="244"/>
        <v>25104</v>
      </c>
      <c r="L3824">
        <v>-20657</v>
      </c>
      <c r="M3824" s="7">
        <f t="shared" ca="1" si="242"/>
        <v>56.555783709787818</v>
      </c>
      <c r="N3824" s="5" t="str">
        <f ca="1">VLOOKUP(Data!M3824,temp!$B$3:$C$9,2,1)</f>
        <v>50-60</v>
      </c>
      <c r="O3824">
        <v>365243</v>
      </c>
      <c r="P3824" s="8">
        <f t="shared" si="243"/>
        <v>0</v>
      </c>
      <c r="Q3824" s="5" t="str">
        <f t="shared" si="245"/>
        <v>Unemployed</v>
      </c>
      <c r="R3824">
        <v>1</v>
      </c>
      <c r="S3824">
        <v>0</v>
      </c>
      <c r="T3824">
        <v>0</v>
      </c>
      <c r="U3824">
        <v>0</v>
      </c>
      <c r="W3824">
        <v>2</v>
      </c>
    </row>
    <row r="3825" spans="1:23" x14ac:dyDescent="0.2">
      <c r="A3825">
        <v>5125487</v>
      </c>
      <c r="B3825" t="s">
        <v>25</v>
      </c>
      <c r="C3825" t="s">
        <v>20</v>
      </c>
      <c r="D3825" t="s">
        <v>19</v>
      </c>
      <c r="E3825">
        <v>1</v>
      </c>
      <c r="F3825">
        <v>135000</v>
      </c>
      <c r="G3825" t="s">
        <v>31</v>
      </c>
      <c r="H3825" t="s">
        <v>22</v>
      </c>
      <c r="I3825" t="s">
        <v>28</v>
      </c>
      <c r="J3825" t="s">
        <v>24</v>
      </c>
      <c r="K3825" s="6">
        <f t="shared" ca="1" si="244"/>
        <v>32979</v>
      </c>
      <c r="L3825">
        <v>-12782</v>
      </c>
      <c r="M3825" s="7">
        <f t="shared" ca="1" si="242"/>
        <v>34.99520876112252</v>
      </c>
      <c r="N3825" s="5" t="str">
        <f ca="1">VLOOKUP(Data!M3825,temp!$B$3:$C$9,2,1)</f>
        <v>30-40</v>
      </c>
      <c r="O3825">
        <v>-1078</v>
      </c>
      <c r="P3825" s="8">
        <f t="shared" si="243"/>
        <v>2.9514031485284051</v>
      </c>
      <c r="Q3825" s="5" t="str">
        <f t="shared" si="245"/>
        <v>Employed</v>
      </c>
      <c r="R3825">
        <v>1</v>
      </c>
      <c r="S3825">
        <v>0</v>
      </c>
      <c r="T3825">
        <v>0</v>
      </c>
      <c r="U3825">
        <v>0</v>
      </c>
      <c r="V3825" t="s">
        <v>29</v>
      </c>
      <c r="W3825">
        <v>3</v>
      </c>
    </row>
    <row r="3826" spans="1:23" x14ac:dyDescent="0.2">
      <c r="A3826">
        <v>5125491</v>
      </c>
      <c r="B3826" t="s">
        <v>25</v>
      </c>
      <c r="C3826" t="s">
        <v>20</v>
      </c>
      <c r="D3826" t="s">
        <v>19</v>
      </c>
      <c r="E3826">
        <v>1</v>
      </c>
      <c r="F3826">
        <v>135000</v>
      </c>
      <c r="G3826" t="s">
        <v>31</v>
      </c>
      <c r="H3826" t="s">
        <v>22</v>
      </c>
      <c r="I3826" t="s">
        <v>28</v>
      </c>
      <c r="J3826" t="s">
        <v>24</v>
      </c>
      <c r="K3826" s="6">
        <f t="shared" ca="1" si="244"/>
        <v>32979</v>
      </c>
      <c r="L3826">
        <v>-12782</v>
      </c>
      <c r="M3826" s="7">
        <f t="shared" ca="1" si="242"/>
        <v>34.99520876112252</v>
      </c>
      <c r="N3826" s="5" t="str">
        <f ca="1">VLOOKUP(Data!M3826,temp!$B$3:$C$9,2,1)</f>
        <v>30-40</v>
      </c>
      <c r="O3826">
        <v>-1078</v>
      </c>
      <c r="P3826" s="8">
        <f t="shared" si="243"/>
        <v>2.9514031485284051</v>
      </c>
      <c r="Q3826" s="5" t="str">
        <f t="shared" si="245"/>
        <v>Employed</v>
      </c>
      <c r="R3826">
        <v>1</v>
      </c>
      <c r="S3826">
        <v>0</v>
      </c>
      <c r="T3826">
        <v>0</v>
      </c>
      <c r="U3826">
        <v>0</v>
      </c>
      <c r="V3826" t="s">
        <v>29</v>
      </c>
      <c r="W3826">
        <v>3</v>
      </c>
    </row>
    <row r="3827" spans="1:23" x14ac:dyDescent="0.2">
      <c r="A3827">
        <v>5125501</v>
      </c>
      <c r="B3827" t="s">
        <v>18</v>
      </c>
      <c r="C3827" t="s">
        <v>19</v>
      </c>
      <c r="D3827" t="s">
        <v>20</v>
      </c>
      <c r="E3827">
        <v>0</v>
      </c>
      <c r="F3827">
        <v>121500</v>
      </c>
      <c r="G3827" t="s">
        <v>21</v>
      </c>
      <c r="H3827" t="s">
        <v>27</v>
      </c>
      <c r="I3827" t="s">
        <v>28</v>
      </c>
      <c r="J3827" t="s">
        <v>24</v>
      </c>
      <c r="K3827" s="6">
        <f t="shared" ca="1" si="244"/>
        <v>24850</v>
      </c>
      <c r="L3827">
        <v>-20911</v>
      </c>
      <c r="M3827" s="7">
        <f t="shared" ca="1" si="242"/>
        <v>57.251197809719372</v>
      </c>
      <c r="N3827" s="5" t="str">
        <f ca="1">VLOOKUP(Data!M3827,temp!$B$3:$C$9,2,1)</f>
        <v>50-60</v>
      </c>
      <c r="O3827">
        <v>365243</v>
      </c>
      <c r="P3827" s="8">
        <f t="shared" si="243"/>
        <v>0</v>
      </c>
      <c r="Q3827" s="5" t="str">
        <f t="shared" si="245"/>
        <v>Unemployed</v>
      </c>
      <c r="R3827">
        <v>1</v>
      </c>
      <c r="S3827">
        <v>0</v>
      </c>
      <c r="T3827">
        <v>0</v>
      </c>
      <c r="U3827">
        <v>0</v>
      </c>
      <c r="W3827">
        <v>2</v>
      </c>
    </row>
    <row r="3828" spans="1:23" x14ac:dyDescent="0.2">
      <c r="A3828">
        <v>5125510</v>
      </c>
      <c r="B3828" t="s">
        <v>25</v>
      </c>
      <c r="C3828" t="s">
        <v>19</v>
      </c>
      <c r="D3828" t="s">
        <v>20</v>
      </c>
      <c r="E3828">
        <v>1</v>
      </c>
      <c r="F3828">
        <v>202500</v>
      </c>
      <c r="G3828" t="s">
        <v>26</v>
      </c>
      <c r="H3828" t="s">
        <v>27</v>
      </c>
      <c r="I3828" t="s">
        <v>28</v>
      </c>
      <c r="J3828" t="s">
        <v>24</v>
      </c>
      <c r="K3828" s="6">
        <f t="shared" ca="1" si="244"/>
        <v>30809</v>
      </c>
      <c r="L3828">
        <v>-14952</v>
      </c>
      <c r="M3828" s="7">
        <f t="shared" ca="1" si="242"/>
        <v>40.936344969199176</v>
      </c>
      <c r="N3828" s="5" t="str">
        <f ca="1">VLOOKUP(Data!M3828,temp!$B$3:$C$9,2,1)</f>
        <v>40-50</v>
      </c>
      <c r="O3828">
        <v>-104</v>
      </c>
      <c r="P3828" s="8">
        <f t="shared" si="243"/>
        <v>0.28473648186173856</v>
      </c>
      <c r="Q3828" s="5" t="str">
        <f t="shared" si="245"/>
        <v>Employed</v>
      </c>
      <c r="R3828">
        <v>1</v>
      </c>
      <c r="S3828">
        <v>0</v>
      </c>
      <c r="T3828">
        <v>1</v>
      </c>
      <c r="U3828">
        <v>0</v>
      </c>
      <c r="V3828" t="s">
        <v>40</v>
      </c>
      <c r="W3828">
        <v>3</v>
      </c>
    </row>
    <row r="3829" spans="1:23" x14ac:dyDescent="0.2">
      <c r="A3829">
        <v>5125515</v>
      </c>
      <c r="B3829" t="s">
        <v>25</v>
      </c>
      <c r="C3829" t="s">
        <v>19</v>
      </c>
      <c r="D3829" t="s">
        <v>20</v>
      </c>
      <c r="E3829">
        <v>1</v>
      </c>
      <c r="F3829">
        <v>202500</v>
      </c>
      <c r="G3829" t="s">
        <v>26</v>
      </c>
      <c r="H3829" t="s">
        <v>27</v>
      </c>
      <c r="I3829" t="s">
        <v>28</v>
      </c>
      <c r="J3829" t="s">
        <v>24</v>
      </c>
      <c r="K3829" s="6">
        <f t="shared" ca="1" si="244"/>
        <v>30809</v>
      </c>
      <c r="L3829">
        <v>-14952</v>
      </c>
      <c r="M3829" s="7">
        <f t="shared" ca="1" si="242"/>
        <v>40.936344969199176</v>
      </c>
      <c r="N3829" s="5" t="str">
        <f ca="1">VLOOKUP(Data!M3829,temp!$B$3:$C$9,2,1)</f>
        <v>40-50</v>
      </c>
      <c r="O3829">
        <v>-104</v>
      </c>
      <c r="P3829" s="8">
        <f t="shared" si="243"/>
        <v>0.28473648186173856</v>
      </c>
      <c r="Q3829" s="5" t="str">
        <f t="shared" si="245"/>
        <v>Employed</v>
      </c>
      <c r="R3829">
        <v>1</v>
      </c>
      <c r="S3829">
        <v>0</v>
      </c>
      <c r="T3829">
        <v>1</v>
      </c>
      <c r="U3829">
        <v>0</v>
      </c>
      <c r="V3829" t="s">
        <v>40</v>
      </c>
      <c r="W3829">
        <v>3</v>
      </c>
    </row>
    <row r="3830" spans="1:23" x14ac:dyDescent="0.2">
      <c r="A3830">
        <v>5125530</v>
      </c>
      <c r="B3830" t="s">
        <v>18</v>
      </c>
      <c r="C3830" t="s">
        <v>20</v>
      </c>
      <c r="D3830" t="s">
        <v>19</v>
      </c>
      <c r="E3830">
        <v>0</v>
      </c>
      <c r="F3830">
        <v>58500</v>
      </c>
      <c r="G3830" t="s">
        <v>21</v>
      </c>
      <c r="H3830" t="s">
        <v>51</v>
      </c>
      <c r="I3830" t="s">
        <v>28</v>
      </c>
      <c r="J3830" t="s">
        <v>24</v>
      </c>
      <c r="K3830" s="6">
        <f t="shared" ca="1" si="244"/>
        <v>22384</v>
      </c>
      <c r="L3830">
        <v>-23377</v>
      </c>
      <c r="M3830" s="7">
        <f t="shared" ca="1" si="242"/>
        <v>64.002737850787128</v>
      </c>
      <c r="N3830" s="5" t="str">
        <f ca="1">VLOOKUP(Data!M3830,temp!$B$3:$C$9,2,1)</f>
        <v>60-70</v>
      </c>
      <c r="O3830">
        <v>365243</v>
      </c>
      <c r="P3830" s="8">
        <f t="shared" si="243"/>
        <v>0</v>
      </c>
      <c r="Q3830" s="5" t="str">
        <f t="shared" si="245"/>
        <v>Unemployed</v>
      </c>
      <c r="R3830">
        <v>1</v>
      </c>
      <c r="S3830">
        <v>0</v>
      </c>
      <c r="T3830">
        <v>0</v>
      </c>
      <c r="U3830">
        <v>0</v>
      </c>
      <c r="W3830">
        <v>2</v>
      </c>
    </row>
    <row r="3831" spans="1:23" x14ac:dyDescent="0.2">
      <c r="A3831">
        <v>5125533</v>
      </c>
      <c r="B3831" t="s">
        <v>18</v>
      </c>
      <c r="C3831" t="s">
        <v>19</v>
      </c>
      <c r="D3831" t="s">
        <v>19</v>
      </c>
      <c r="E3831">
        <v>0</v>
      </c>
      <c r="F3831">
        <v>49500</v>
      </c>
      <c r="G3831" t="s">
        <v>31</v>
      </c>
      <c r="H3831" t="s">
        <v>27</v>
      </c>
      <c r="I3831" t="s">
        <v>28</v>
      </c>
      <c r="J3831" t="s">
        <v>24</v>
      </c>
      <c r="K3831" s="6">
        <f t="shared" ca="1" si="244"/>
        <v>27174</v>
      </c>
      <c r="L3831">
        <v>-18587</v>
      </c>
      <c r="M3831" s="7">
        <f t="shared" ca="1" si="242"/>
        <v>50.888432580424364</v>
      </c>
      <c r="N3831" s="5" t="str">
        <f ca="1">VLOOKUP(Data!M3831,temp!$B$3:$C$9,2,1)</f>
        <v>50-60</v>
      </c>
      <c r="O3831">
        <v>-195</v>
      </c>
      <c r="P3831" s="8">
        <f t="shared" si="243"/>
        <v>0.53388090349075978</v>
      </c>
      <c r="Q3831" s="5" t="str">
        <f t="shared" si="245"/>
        <v>Employed</v>
      </c>
      <c r="R3831">
        <v>1</v>
      </c>
      <c r="S3831">
        <v>1</v>
      </c>
      <c r="T3831">
        <v>0</v>
      </c>
      <c r="U3831">
        <v>0</v>
      </c>
      <c r="V3831" t="s">
        <v>46</v>
      </c>
      <c r="W3831">
        <v>2</v>
      </c>
    </row>
    <row r="3832" spans="1:23" x14ac:dyDescent="0.2">
      <c r="A3832">
        <v>5125535</v>
      </c>
      <c r="B3832" t="s">
        <v>25</v>
      </c>
      <c r="C3832" t="s">
        <v>20</v>
      </c>
      <c r="D3832" t="s">
        <v>20</v>
      </c>
      <c r="E3832">
        <v>0</v>
      </c>
      <c r="F3832">
        <v>225000</v>
      </c>
      <c r="G3832" t="s">
        <v>31</v>
      </c>
      <c r="H3832" t="s">
        <v>27</v>
      </c>
      <c r="I3832" t="s">
        <v>28</v>
      </c>
      <c r="J3832" t="s">
        <v>24</v>
      </c>
      <c r="K3832" s="6">
        <f t="shared" ca="1" si="244"/>
        <v>26623</v>
      </c>
      <c r="L3832">
        <v>-19138</v>
      </c>
      <c r="M3832" s="7">
        <f t="shared" ca="1" si="242"/>
        <v>52.396988364134153</v>
      </c>
      <c r="N3832" s="5" t="str">
        <f ca="1">VLOOKUP(Data!M3832,temp!$B$3:$C$9,2,1)</f>
        <v>50-60</v>
      </c>
      <c r="O3832">
        <v>-1291</v>
      </c>
      <c r="P3832" s="8">
        <f t="shared" si="243"/>
        <v>3.5345653661875427</v>
      </c>
      <c r="Q3832" s="5" t="str">
        <f t="shared" si="245"/>
        <v>Employed</v>
      </c>
      <c r="R3832">
        <v>1</v>
      </c>
      <c r="S3832">
        <v>1</v>
      </c>
      <c r="T3832">
        <v>0</v>
      </c>
      <c r="U3832">
        <v>0</v>
      </c>
      <c r="V3832" t="s">
        <v>32</v>
      </c>
      <c r="W3832">
        <v>2</v>
      </c>
    </row>
    <row r="3833" spans="1:23" x14ac:dyDescent="0.2">
      <c r="A3833">
        <v>5125536</v>
      </c>
      <c r="B3833" t="s">
        <v>25</v>
      </c>
      <c r="C3833" t="s">
        <v>19</v>
      </c>
      <c r="D3833" t="s">
        <v>19</v>
      </c>
      <c r="E3833">
        <v>1</v>
      </c>
      <c r="F3833">
        <v>180000</v>
      </c>
      <c r="G3833" t="s">
        <v>31</v>
      </c>
      <c r="H3833" t="s">
        <v>27</v>
      </c>
      <c r="I3833" t="s">
        <v>28</v>
      </c>
      <c r="J3833" t="s">
        <v>45</v>
      </c>
      <c r="K3833" s="6">
        <f t="shared" ca="1" si="244"/>
        <v>31254</v>
      </c>
      <c r="L3833">
        <v>-14507</v>
      </c>
      <c r="M3833" s="7">
        <f t="shared" ca="1" si="242"/>
        <v>39.718001368925393</v>
      </c>
      <c r="N3833" s="5" t="str">
        <f ca="1">VLOOKUP(Data!M3833,temp!$B$3:$C$9,2,1)</f>
        <v>30-40</v>
      </c>
      <c r="O3833">
        <v>-4213</v>
      </c>
      <c r="P3833" s="8">
        <f t="shared" si="243"/>
        <v>11.534565366187543</v>
      </c>
      <c r="Q3833" s="5" t="str">
        <f t="shared" si="245"/>
        <v>Employed</v>
      </c>
      <c r="R3833">
        <v>1</v>
      </c>
      <c r="S3833">
        <v>1</v>
      </c>
      <c r="T3833">
        <v>1</v>
      </c>
      <c r="U3833">
        <v>0</v>
      </c>
      <c r="V3833" t="s">
        <v>29</v>
      </c>
      <c r="W3833">
        <v>3</v>
      </c>
    </row>
    <row r="3834" spans="1:23" x14ac:dyDescent="0.2">
      <c r="A3834">
        <v>5125547</v>
      </c>
      <c r="B3834" t="s">
        <v>25</v>
      </c>
      <c r="C3834" t="s">
        <v>20</v>
      </c>
      <c r="D3834" t="s">
        <v>19</v>
      </c>
      <c r="E3834">
        <v>0</v>
      </c>
      <c r="F3834">
        <v>427500</v>
      </c>
      <c r="G3834" t="s">
        <v>31</v>
      </c>
      <c r="H3834" t="s">
        <v>22</v>
      </c>
      <c r="I3834" t="s">
        <v>28</v>
      </c>
      <c r="J3834" t="s">
        <v>24</v>
      </c>
      <c r="K3834" s="6">
        <f t="shared" ca="1" si="244"/>
        <v>29070</v>
      </c>
      <c r="L3834">
        <v>-16691</v>
      </c>
      <c r="M3834" s="7">
        <f t="shared" ca="1" si="242"/>
        <v>45.6974674880219</v>
      </c>
      <c r="N3834" s="5" t="str">
        <f ca="1">VLOOKUP(Data!M3834,temp!$B$3:$C$9,2,1)</f>
        <v>40-50</v>
      </c>
      <c r="O3834">
        <v>-1565</v>
      </c>
      <c r="P3834" s="8">
        <f t="shared" si="243"/>
        <v>4.2847364818617386</v>
      </c>
      <c r="Q3834" s="5" t="str">
        <f t="shared" si="245"/>
        <v>Employed</v>
      </c>
      <c r="R3834">
        <v>1</v>
      </c>
      <c r="S3834">
        <v>1</v>
      </c>
      <c r="T3834">
        <v>0</v>
      </c>
      <c r="U3834">
        <v>0</v>
      </c>
      <c r="V3834" t="s">
        <v>32</v>
      </c>
      <c r="W3834">
        <v>2</v>
      </c>
    </row>
    <row r="3835" spans="1:23" x14ac:dyDescent="0.2">
      <c r="A3835">
        <v>5125548</v>
      </c>
      <c r="B3835" t="s">
        <v>18</v>
      </c>
      <c r="C3835" t="s">
        <v>19</v>
      </c>
      <c r="D3835" t="s">
        <v>20</v>
      </c>
      <c r="E3835">
        <v>0</v>
      </c>
      <c r="F3835">
        <v>225000</v>
      </c>
      <c r="G3835" t="s">
        <v>26</v>
      </c>
      <c r="H3835" t="s">
        <v>22</v>
      </c>
      <c r="I3835" t="s">
        <v>28</v>
      </c>
      <c r="J3835" t="s">
        <v>24</v>
      </c>
      <c r="K3835" s="6">
        <f t="shared" ca="1" si="244"/>
        <v>36343</v>
      </c>
      <c r="L3835">
        <v>-9418</v>
      </c>
      <c r="M3835" s="7">
        <f t="shared" ca="1" si="242"/>
        <v>25.78507871321013</v>
      </c>
      <c r="N3835" s="5" t="str">
        <f ca="1">VLOOKUP(Data!M3835,temp!$B$3:$C$9,2,1)</f>
        <v>20-30</v>
      </c>
      <c r="O3835">
        <v>-1595</v>
      </c>
      <c r="P3835" s="8">
        <f t="shared" si="243"/>
        <v>4.3668720054757015</v>
      </c>
      <c r="Q3835" s="5" t="str">
        <f t="shared" si="245"/>
        <v>Employed</v>
      </c>
      <c r="R3835">
        <v>1</v>
      </c>
      <c r="S3835">
        <v>0</v>
      </c>
      <c r="T3835">
        <v>1</v>
      </c>
      <c r="U3835">
        <v>0</v>
      </c>
      <c r="V3835" t="s">
        <v>32</v>
      </c>
      <c r="W3835">
        <v>2</v>
      </c>
    </row>
    <row r="3836" spans="1:23" x14ac:dyDescent="0.2">
      <c r="A3836">
        <v>5125549</v>
      </c>
      <c r="B3836" t="s">
        <v>18</v>
      </c>
      <c r="C3836" t="s">
        <v>19</v>
      </c>
      <c r="D3836" t="s">
        <v>20</v>
      </c>
      <c r="E3836">
        <v>0</v>
      </c>
      <c r="F3836">
        <v>225000</v>
      </c>
      <c r="G3836" t="s">
        <v>26</v>
      </c>
      <c r="H3836" t="s">
        <v>22</v>
      </c>
      <c r="I3836" t="s">
        <v>28</v>
      </c>
      <c r="J3836" t="s">
        <v>24</v>
      </c>
      <c r="K3836" s="6">
        <f t="shared" ca="1" si="244"/>
        <v>36343</v>
      </c>
      <c r="L3836">
        <v>-9418</v>
      </c>
      <c r="M3836" s="7">
        <f t="shared" ca="1" si="242"/>
        <v>25.78507871321013</v>
      </c>
      <c r="N3836" s="5" t="str">
        <f ca="1">VLOOKUP(Data!M3836,temp!$B$3:$C$9,2,1)</f>
        <v>20-30</v>
      </c>
      <c r="O3836">
        <v>-1595</v>
      </c>
      <c r="P3836" s="8">
        <f t="shared" si="243"/>
        <v>4.3668720054757015</v>
      </c>
      <c r="Q3836" s="5" t="str">
        <f t="shared" si="245"/>
        <v>Employed</v>
      </c>
      <c r="R3836">
        <v>1</v>
      </c>
      <c r="S3836">
        <v>0</v>
      </c>
      <c r="T3836">
        <v>1</v>
      </c>
      <c r="U3836">
        <v>0</v>
      </c>
      <c r="V3836" t="s">
        <v>32</v>
      </c>
      <c r="W3836">
        <v>2</v>
      </c>
    </row>
    <row r="3837" spans="1:23" x14ac:dyDescent="0.2">
      <c r="A3837">
        <v>5125553</v>
      </c>
      <c r="B3837" t="s">
        <v>18</v>
      </c>
      <c r="C3837" t="s">
        <v>19</v>
      </c>
      <c r="D3837" t="s">
        <v>19</v>
      </c>
      <c r="E3837">
        <v>0</v>
      </c>
      <c r="F3837">
        <v>94500</v>
      </c>
      <c r="G3837" t="s">
        <v>31</v>
      </c>
      <c r="H3837" t="s">
        <v>27</v>
      </c>
      <c r="I3837" t="s">
        <v>33</v>
      </c>
      <c r="J3837" t="s">
        <v>24</v>
      </c>
      <c r="K3837" s="6">
        <f t="shared" ca="1" si="244"/>
        <v>30089</v>
      </c>
      <c r="L3837">
        <v>-15672</v>
      </c>
      <c r="M3837" s="7">
        <f t="shared" ca="1" si="242"/>
        <v>42.907597535934293</v>
      </c>
      <c r="N3837" s="5" t="str">
        <f ca="1">VLOOKUP(Data!M3837,temp!$B$3:$C$9,2,1)</f>
        <v>40-50</v>
      </c>
      <c r="O3837">
        <v>-622</v>
      </c>
      <c r="P3837" s="8">
        <f t="shared" si="243"/>
        <v>1.7029431895961671</v>
      </c>
      <c r="Q3837" s="5" t="str">
        <f t="shared" si="245"/>
        <v>Employed</v>
      </c>
      <c r="R3837">
        <v>1</v>
      </c>
      <c r="S3837">
        <v>1</v>
      </c>
      <c r="T3837">
        <v>0</v>
      </c>
      <c r="U3837">
        <v>0</v>
      </c>
      <c r="V3837" t="s">
        <v>29</v>
      </c>
      <c r="W3837">
        <v>1</v>
      </c>
    </row>
    <row r="3838" spans="1:23" x14ac:dyDescent="0.2">
      <c r="A3838">
        <v>5125568</v>
      </c>
      <c r="B3838" t="s">
        <v>25</v>
      </c>
      <c r="C3838" t="s">
        <v>20</v>
      </c>
      <c r="D3838" t="s">
        <v>19</v>
      </c>
      <c r="E3838">
        <v>0</v>
      </c>
      <c r="F3838">
        <v>148500</v>
      </c>
      <c r="G3838" t="s">
        <v>35</v>
      </c>
      <c r="H3838" t="s">
        <v>27</v>
      </c>
      <c r="I3838" t="s">
        <v>28</v>
      </c>
      <c r="J3838" t="s">
        <v>24</v>
      </c>
      <c r="K3838" s="6">
        <f t="shared" ca="1" si="244"/>
        <v>35436</v>
      </c>
      <c r="L3838">
        <v>-10325</v>
      </c>
      <c r="M3838" s="7">
        <f t="shared" ca="1" si="242"/>
        <v>28.268309377138944</v>
      </c>
      <c r="N3838" s="5" t="str">
        <f ca="1">VLOOKUP(Data!M3838,temp!$B$3:$C$9,2,1)</f>
        <v>20-30</v>
      </c>
      <c r="O3838">
        <v>-3026</v>
      </c>
      <c r="P3838" s="8">
        <f t="shared" si="243"/>
        <v>8.2847364818617386</v>
      </c>
      <c r="Q3838" s="5" t="str">
        <f t="shared" si="245"/>
        <v>Employed</v>
      </c>
      <c r="R3838">
        <v>1</v>
      </c>
      <c r="S3838">
        <v>1</v>
      </c>
      <c r="T3838">
        <v>0</v>
      </c>
      <c r="U3838">
        <v>0</v>
      </c>
      <c r="W3838">
        <v>2</v>
      </c>
    </row>
    <row r="3839" spans="1:23" x14ac:dyDescent="0.2">
      <c r="A3839">
        <v>5125571</v>
      </c>
      <c r="B3839" t="s">
        <v>25</v>
      </c>
      <c r="C3839" t="s">
        <v>20</v>
      </c>
      <c r="D3839" t="s">
        <v>19</v>
      </c>
      <c r="E3839">
        <v>0</v>
      </c>
      <c r="F3839">
        <v>148500</v>
      </c>
      <c r="G3839" t="s">
        <v>35</v>
      </c>
      <c r="H3839" t="s">
        <v>27</v>
      </c>
      <c r="I3839" t="s">
        <v>28</v>
      </c>
      <c r="J3839" t="s">
        <v>24</v>
      </c>
      <c r="K3839" s="6">
        <f t="shared" ca="1" si="244"/>
        <v>35436</v>
      </c>
      <c r="L3839">
        <v>-10325</v>
      </c>
      <c r="M3839" s="7">
        <f t="shared" ca="1" si="242"/>
        <v>28.268309377138944</v>
      </c>
      <c r="N3839" s="5" t="str">
        <f ca="1">VLOOKUP(Data!M3839,temp!$B$3:$C$9,2,1)</f>
        <v>20-30</v>
      </c>
      <c r="O3839">
        <v>-3026</v>
      </c>
      <c r="P3839" s="8">
        <f t="shared" si="243"/>
        <v>8.2847364818617386</v>
      </c>
      <c r="Q3839" s="5" t="str">
        <f t="shared" si="245"/>
        <v>Employed</v>
      </c>
      <c r="R3839">
        <v>1</v>
      </c>
      <c r="S3839">
        <v>1</v>
      </c>
      <c r="T3839">
        <v>0</v>
      </c>
      <c r="U3839">
        <v>0</v>
      </c>
      <c r="W3839">
        <v>2</v>
      </c>
    </row>
    <row r="3840" spans="1:23" x14ac:dyDescent="0.2">
      <c r="A3840">
        <v>5125585</v>
      </c>
      <c r="B3840" t="s">
        <v>18</v>
      </c>
      <c r="C3840" t="s">
        <v>19</v>
      </c>
      <c r="D3840" t="s">
        <v>20</v>
      </c>
      <c r="E3840">
        <v>0</v>
      </c>
      <c r="F3840">
        <v>121500</v>
      </c>
      <c r="G3840" t="s">
        <v>21</v>
      </c>
      <c r="H3840" t="s">
        <v>27</v>
      </c>
      <c r="I3840" t="s">
        <v>28</v>
      </c>
      <c r="J3840" t="s">
        <v>24</v>
      </c>
      <c r="K3840" s="6">
        <f t="shared" ca="1" si="244"/>
        <v>23190</v>
      </c>
      <c r="L3840">
        <v>-22571</v>
      </c>
      <c r="M3840" s="7">
        <f t="shared" ca="1" si="242"/>
        <v>61.796030116358658</v>
      </c>
      <c r="N3840" s="5" t="str">
        <f ca="1">VLOOKUP(Data!M3840,temp!$B$3:$C$9,2,1)</f>
        <v>60-70</v>
      </c>
      <c r="O3840">
        <v>365243</v>
      </c>
      <c r="P3840" s="8">
        <f t="shared" si="243"/>
        <v>0</v>
      </c>
      <c r="Q3840" s="5" t="str">
        <f t="shared" si="245"/>
        <v>Unemployed</v>
      </c>
      <c r="R3840">
        <v>1</v>
      </c>
      <c r="S3840">
        <v>0</v>
      </c>
      <c r="T3840">
        <v>1</v>
      </c>
      <c r="U3840">
        <v>0</v>
      </c>
      <c r="W3840">
        <v>2</v>
      </c>
    </row>
    <row r="3841" spans="1:23" x14ac:dyDescent="0.2">
      <c r="A3841">
        <v>5125601</v>
      </c>
      <c r="B3841" t="s">
        <v>18</v>
      </c>
      <c r="C3841" t="s">
        <v>20</v>
      </c>
      <c r="D3841" t="s">
        <v>20</v>
      </c>
      <c r="E3841">
        <v>0</v>
      </c>
      <c r="F3841">
        <v>450000</v>
      </c>
      <c r="G3841" t="s">
        <v>26</v>
      </c>
      <c r="H3841" t="s">
        <v>22</v>
      </c>
      <c r="I3841" t="s">
        <v>28</v>
      </c>
      <c r="J3841" t="s">
        <v>24</v>
      </c>
      <c r="K3841" s="6">
        <f t="shared" ca="1" si="244"/>
        <v>35612</v>
      </c>
      <c r="L3841">
        <v>-10149</v>
      </c>
      <c r="M3841" s="7">
        <f t="shared" ca="1" si="242"/>
        <v>27.786447638603697</v>
      </c>
      <c r="N3841" s="5" t="str">
        <f ca="1">VLOOKUP(Data!M3841,temp!$B$3:$C$9,2,1)</f>
        <v>20-30</v>
      </c>
      <c r="O3841">
        <v>-2783</v>
      </c>
      <c r="P3841" s="8">
        <f t="shared" si="243"/>
        <v>7.6194387405886381</v>
      </c>
      <c r="Q3841" s="5" t="str">
        <f t="shared" si="245"/>
        <v>Employed</v>
      </c>
      <c r="R3841">
        <v>1</v>
      </c>
      <c r="S3841">
        <v>0</v>
      </c>
      <c r="T3841">
        <v>0</v>
      </c>
      <c r="U3841">
        <v>0</v>
      </c>
      <c r="V3841" t="s">
        <v>44</v>
      </c>
      <c r="W3841">
        <v>2</v>
      </c>
    </row>
    <row r="3842" spans="1:23" x14ac:dyDescent="0.2">
      <c r="A3842">
        <v>5125602</v>
      </c>
      <c r="B3842" t="s">
        <v>18</v>
      </c>
      <c r="C3842" t="s">
        <v>20</v>
      </c>
      <c r="D3842" t="s">
        <v>20</v>
      </c>
      <c r="E3842">
        <v>0</v>
      </c>
      <c r="F3842">
        <v>450000</v>
      </c>
      <c r="G3842" t="s">
        <v>26</v>
      </c>
      <c r="H3842" t="s">
        <v>22</v>
      </c>
      <c r="I3842" t="s">
        <v>28</v>
      </c>
      <c r="J3842" t="s">
        <v>24</v>
      </c>
      <c r="K3842" s="6">
        <f t="shared" ca="1" si="244"/>
        <v>35612</v>
      </c>
      <c r="L3842">
        <v>-10149</v>
      </c>
      <c r="M3842" s="7">
        <f t="shared" ca="1" si="242"/>
        <v>27.786447638603697</v>
      </c>
      <c r="N3842" s="5" t="str">
        <f ca="1">VLOOKUP(Data!M3842,temp!$B$3:$C$9,2,1)</f>
        <v>20-30</v>
      </c>
      <c r="O3842">
        <v>-2783</v>
      </c>
      <c r="P3842" s="8">
        <f t="shared" si="243"/>
        <v>7.6194387405886381</v>
      </c>
      <c r="Q3842" s="5" t="str">
        <f t="shared" si="245"/>
        <v>Employed</v>
      </c>
      <c r="R3842">
        <v>1</v>
      </c>
      <c r="S3842">
        <v>0</v>
      </c>
      <c r="T3842">
        <v>0</v>
      </c>
      <c r="U3842">
        <v>0</v>
      </c>
      <c r="V3842" t="s">
        <v>44</v>
      </c>
      <c r="W3842">
        <v>2</v>
      </c>
    </row>
    <row r="3843" spans="1:23" x14ac:dyDescent="0.2">
      <c r="A3843">
        <v>5125607</v>
      </c>
      <c r="B3843" t="s">
        <v>18</v>
      </c>
      <c r="C3843" t="s">
        <v>19</v>
      </c>
      <c r="D3843" t="s">
        <v>19</v>
      </c>
      <c r="E3843">
        <v>0</v>
      </c>
      <c r="F3843">
        <v>202500</v>
      </c>
      <c r="G3843" t="s">
        <v>31</v>
      </c>
      <c r="H3843" t="s">
        <v>27</v>
      </c>
      <c r="I3843" t="s">
        <v>23</v>
      </c>
      <c r="J3843" t="s">
        <v>24</v>
      </c>
      <c r="K3843" s="6">
        <f t="shared" ca="1" si="244"/>
        <v>30154</v>
      </c>
      <c r="L3843">
        <v>-15607</v>
      </c>
      <c r="M3843" s="7">
        <f t="shared" ref="M3843:M3906" ca="1" si="246">(TODAY()-K3843)/365.25</f>
        <v>42.729637234770706</v>
      </c>
      <c r="N3843" s="5" t="str">
        <f ca="1">VLOOKUP(Data!M3843,temp!$B$3:$C$9,2,1)</f>
        <v>40-50</v>
      </c>
      <c r="O3843">
        <v>-3240</v>
      </c>
      <c r="P3843" s="8">
        <f t="shared" ref="P3843:P3906" si="247">IF(O3843&lt;=0,ABS(O3843)/365.25,0)</f>
        <v>8.8706365503080082</v>
      </c>
      <c r="Q3843" s="5" t="str">
        <f t="shared" si="245"/>
        <v>Employed</v>
      </c>
      <c r="R3843">
        <v>1</v>
      </c>
      <c r="S3843">
        <v>1</v>
      </c>
      <c r="T3843">
        <v>1</v>
      </c>
      <c r="U3843">
        <v>1</v>
      </c>
      <c r="V3843" t="s">
        <v>47</v>
      </c>
      <c r="W3843">
        <v>1</v>
      </c>
    </row>
    <row r="3844" spans="1:23" x14ac:dyDescent="0.2">
      <c r="A3844">
        <v>5125625</v>
      </c>
      <c r="B3844" t="s">
        <v>25</v>
      </c>
      <c r="C3844" t="s">
        <v>20</v>
      </c>
      <c r="D3844" t="s">
        <v>20</v>
      </c>
      <c r="E3844">
        <v>0</v>
      </c>
      <c r="F3844">
        <v>112500</v>
      </c>
      <c r="G3844" t="s">
        <v>31</v>
      </c>
      <c r="H3844" t="s">
        <v>27</v>
      </c>
      <c r="I3844" t="s">
        <v>28</v>
      </c>
      <c r="J3844" t="s">
        <v>24</v>
      </c>
      <c r="K3844" s="6">
        <f t="shared" ca="1" si="244"/>
        <v>27030</v>
      </c>
      <c r="L3844">
        <v>-18731</v>
      </c>
      <c r="M3844" s="7">
        <f t="shared" ca="1" si="246"/>
        <v>51.282683093771389</v>
      </c>
      <c r="N3844" s="5" t="str">
        <f ca="1">VLOOKUP(Data!M3844,temp!$B$3:$C$9,2,1)</f>
        <v>50-60</v>
      </c>
      <c r="O3844">
        <v>-4397</v>
      </c>
      <c r="P3844" s="8">
        <f t="shared" si="247"/>
        <v>12.038329911019849</v>
      </c>
      <c r="Q3844" s="5" t="str">
        <f t="shared" si="245"/>
        <v>Employed</v>
      </c>
      <c r="R3844">
        <v>1</v>
      </c>
      <c r="S3844">
        <v>0</v>
      </c>
      <c r="T3844">
        <v>0</v>
      </c>
      <c r="U3844">
        <v>0</v>
      </c>
      <c r="V3844" t="s">
        <v>29</v>
      </c>
      <c r="W3844">
        <v>2</v>
      </c>
    </row>
    <row r="3845" spans="1:23" x14ac:dyDescent="0.2">
      <c r="A3845">
        <v>5125635</v>
      </c>
      <c r="B3845" t="s">
        <v>25</v>
      </c>
      <c r="C3845" t="s">
        <v>19</v>
      </c>
      <c r="D3845" t="s">
        <v>19</v>
      </c>
      <c r="E3845">
        <v>1</v>
      </c>
      <c r="F3845">
        <v>292500</v>
      </c>
      <c r="G3845" t="s">
        <v>35</v>
      </c>
      <c r="H3845" t="s">
        <v>27</v>
      </c>
      <c r="I3845" t="s">
        <v>28</v>
      </c>
      <c r="J3845" t="s">
        <v>24</v>
      </c>
      <c r="K3845" s="6">
        <f t="shared" ca="1" si="244"/>
        <v>30324</v>
      </c>
      <c r="L3845">
        <v>-15437</v>
      </c>
      <c r="M3845" s="7">
        <f t="shared" ca="1" si="246"/>
        <v>42.264202600958249</v>
      </c>
      <c r="N3845" s="5" t="str">
        <f ca="1">VLOOKUP(Data!M3845,temp!$B$3:$C$9,2,1)</f>
        <v>40-50</v>
      </c>
      <c r="O3845">
        <v>-7835</v>
      </c>
      <c r="P3845" s="8">
        <f t="shared" si="247"/>
        <v>21.451060917180012</v>
      </c>
      <c r="Q3845" s="5" t="str">
        <f t="shared" si="245"/>
        <v>Employed</v>
      </c>
      <c r="R3845">
        <v>1</v>
      </c>
      <c r="S3845">
        <v>0</v>
      </c>
      <c r="T3845">
        <v>1</v>
      </c>
      <c r="U3845">
        <v>0</v>
      </c>
      <c r="W3845">
        <v>3</v>
      </c>
    </row>
    <row r="3846" spans="1:23" x14ac:dyDescent="0.2">
      <c r="A3846">
        <v>5125666</v>
      </c>
      <c r="B3846" t="s">
        <v>18</v>
      </c>
      <c r="C3846" t="s">
        <v>19</v>
      </c>
      <c r="D3846" t="s">
        <v>19</v>
      </c>
      <c r="E3846">
        <v>0</v>
      </c>
      <c r="F3846">
        <v>45000</v>
      </c>
      <c r="G3846" t="s">
        <v>35</v>
      </c>
      <c r="H3846" t="s">
        <v>27</v>
      </c>
      <c r="I3846" t="s">
        <v>28</v>
      </c>
      <c r="J3846" t="s">
        <v>24</v>
      </c>
      <c r="K3846" s="6">
        <f t="shared" ca="1" si="244"/>
        <v>27229</v>
      </c>
      <c r="L3846">
        <v>-18532</v>
      </c>
      <c r="M3846" s="7">
        <f t="shared" ca="1" si="246"/>
        <v>50.737850787132103</v>
      </c>
      <c r="N3846" s="5" t="str">
        <f ca="1">VLOOKUP(Data!M3846,temp!$B$3:$C$9,2,1)</f>
        <v>50-60</v>
      </c>
      <c r="O3846">
        <v>-3666</v>
      </c>
      <c r="P3846" s="8">
        <f t="shared" si="247"/>
        <v>10.036960985626283</v>
      </c>
      <c r="Q3846" s="5" t="str">
        <f t="shared" si="245"/>
        <v>Employed</v>
      </c>
      <c r="R3846">
        <v>1</v>
      </c>
      <c r="S3846">
        <v>1</v>
      </c>
      <c r="T3846">
        <v>1</v>
      </c>
      <c r="U3846">
        <v>0</v>
      </c>
      <c r="V3846" t="s">
        <v>38</v>
      </c>
      <c r="W3846">
        <v>2</v>
      </c>
    </row>
    <row r="3847" spans="1:23" x14ac:dyDescent="0.2">
      <c r="A3847">
        <v>5125671</v>
      </c>
      <c r="B3847" t="s">
        <v>18</v>
      </c>
      <c r="C3847" t="s">
        <v>19</v>
      </c>
      <c r="D3847" t="s">
        <v>19</v>
      </c>
      <c r="E3847">
        <v>0</v>
      </c>
      <c r="F3847">
        <v>45000</v>
      </c>
      <c r="G3847" t="s">
        <v>35</v>
      </c>
      <c r="H3847" t="s">
        <v>27</v>
      </c>
      <c r="I3847" t="s">
        <v>28</v>
      </c>
      <c r="J3847" t="s">
        <v>24</v>
      </c>
      <c r="K3847" s="6">
        <f t="shared" ca="1" si="244"/>
        <v>27229</v>
      </c>
      <c r="L3847">
        <v>-18532</v>
      </c>
      <c r="M3847" s="7">
        <f t="shared" ca="1" si="246"/>
        <v>50.737850787132103</v>
      </c>
      <c r="N3847" s="5" t="str">
        <f ca="1">VLOOKUP(Data!M3847,temp!$B$3:$C$9,2,1)</f>
        <v>50-60</v>
      </c>
      <c r="O3847">
        <v>-3666</v>
      </c>
      <c r="P3847" s="8">
        <f t="shared" si="247"/>
        <v>10.036960985626283</v>
      </c>
      <c r="Q3847" s="5" t="str">
        <f t="shared" si="245"/>
        <v>Employed</v>
      </c>
      <c r="R3847">
        <v>1</v>
      </c>
      <c r="S3847">
        <v>1</v>
      </c>
      <c r="T3847">
        <v>1</v>
      </c>
      <c r="U3847">
        <v>0</v>
      </c>
      <c r="V3847" t="s">
        <v>38</v>
      </c>
      <c r="W3847">
        <v>2</v>
      </c>
    </row>
    <row r="3848" spans="1:23" x14ac:dyDescent="0.2">
      <c r="A3848">
        <v>5125679</v>
      </c>
      <c r="B3848" t="s">
        <v>18</v>
      </c>
      <c r="C3848" t="s">
        <v>19</v>
      </c>
      <c r="D3848" t="s">
        <v>19</v>
      </c>
      <c r="E3848">
        <v>0</v>
      </c>
      <c r="F3848">
        <v>337500</v>
      </c>
      <c r="G3848" t="s">
        <v>26</v>
      </c>
      <c r="H3848" t="s">
        <v>27</v>
      </c>
      <c r="I3848" t="s">
        <v>28</v>
      </c>
      <c r="J3848" t="s">
        <v>34</v>
      </c>
      <c r="K3848" s="6">
        <f t="shared" ref="K3848:K3911" ca="1" si="248">TODAY()+($L3848)</f>
        <v>27681</v>
      </c>
      <c r="L3848">
        <v>-18080</v>
      </c>
      <c r="M3848" s="7">
        <f t="shared" ca="1" si="246"/>
        <v>49.500342231348391</v>
      </c>
      <c r="N3848" s="5" t="str">
        <f ca="1">VLOOKUP(Data!M3848,temp!$B$3:$C$9,2,1)</f>
        <v>40-50</v>
      </c>
      <c r="O3848">
        <v>-1718</v>
      </c>
      <c r="P3848" s="8">
        <f t="shared" si="247"/>
        <v>4.7036276522929503</v>
      </c>
      <c r="Q3848" s="5" t="str">
        <f t="shared" ref="Q3848:Q3911" si="249">IF($O3848&gt;0,"Unemployed","Employed")</f>
        <v>Employed</v>
      </c>
      <c r="R3848">
        <v>1</v>
      </c>
      <c r="S3848">
        <v>1</v>
      </c>
      <c r="T3848">
        <v>0</v>
      </c>
      <c r="U3848">
        <v>0</v>
      </c>
      <c r="V3848" t="s">
        <v>32</v>
      </c>
      <c r="W3848">
        <v>2</v>
      </c>
    </row>
    <row r="3849" spans="1:23" x14ac:dyDescent="0.2">
      <c r="A3849">
        <v>5125680</v>
      </c>
      <c r="B3849" t="s">
        <v>18</v>
      </c>
      <c r="C3849" t="s">
        <v>19</v>
      </c>
      <c r="D3849" t="s">
        <v>19</v>
      </c>
      <c r="E3849">
        <v>0</v>
      </c>
      <c r="F3849">
        <v>337500</v>
      </c>
      <c r="G3849" t="s">
        <v>26</v>
      </c>
      <c r="H3849" t="s">
        <v>27</v>
      </c>
      <c r="I3849" t="s">
        <v>28</v>
      </c>
      <c r="J3849" t="s">
        <v>34</v>
      </c>
      <c r="K3849" s="6">
        <f t="shared" ca="1" si="248"/>
        <v>27681</v>
      </c>
      <c r="L3849">
        <v>-18080</v>
      </c>
      <c r="M3849" s="7">
        <f t="shared" ca="1" si="246"/>
        <v>49.500342231348391</v>
      </c>
      <c r="N3849" s="5" t="str">
        <f ca="1">VLOOKUP(Data!M3849,temp!$B$3:$C$9,2,1)</f>
        <v>40-50</v>
      </c>
      <c r="O3849">
        <v>-1718</v>
      </c>
      <c r="P3849" s="8">
        <f t="shared" si="247"/>
        <v>4.7036276522929503</v>
      </c>
      <c r="Q3849" s="5" t="str">
        <f t="shared" si="249"/>
        <v>Employed</v>
      </c>
      <c r="R3849">
        <v>1</v>
      </c>
      <c r="S3849">
        <v>1</v>
      </c>
      <c r="T3849">
        <v>0</v>
      </c>
      <c r="U3849">
        <v>0</v>
      </c>
      <c r="V3849" t="s">
        <v>32</v>
      </c>
      <c r="W3849">
        <v>2</v>
      </c>
    </row>
    <row r="3850" spans="1:23" x14ac:dyDescent="0.2">
      <c r="A3850">
        <v>5125685</v>
      </c>
      <c r="B3850" t="s">
        <v>18</v>
      </c>
      <c r="C3850" t="s">
        <v>19</v>
      </c>
      <c r="D3850" t="s">
        <v>20</v>
      </c>
      <c r="E3850">
        <v>1</v>
      </c>
      <c r="F3850">
        <v>225000</v>
      </c>
      <c r="G3850" t="s">
        <v>26</v>
      </c>
      <c r="H3850" t="s">
        <v>27</v>
      </c>
      <c r="I3850" t="s">
        <v>28</v>
      </c>
      <c r="J3850" t="s">
        <v>24</v>
      </c>
      <c r="K3850" s="6">
        <f t="shared" ca="1" si="248"/>
        <v>31703</v>
      </c>
      <c r="L3850">
        <v>-14058</v>
      </c>
      <c r="M3850" s="7">
        <f t="shared" ca="1" si="246"/>
        <v>38.488706365503077</v>
      </c>
      <c r="N3850" s="5" t="str">
        <f ca="1">VLOOKUP(Data!M3850,temp!$B$3:$C$9,2,1)</f>
        <v>30-40</v>
      </c>
      <c r="O3850">
        <v>-3694</v>
      </c>
      <c r="P3850" s="8">
        <f t="shared" si="247"/>
        <v>10.113620807665983</v>
      </c>
      <c r="Q3850" s="5" t="str">
        <f t="shared" si="249"/>
        <v>Employed</v>
      </c>
      <c r="R3850">
        <v>1</v>
      </c>
      <c r="S3850">
        <v>0</v>
      </c>
      <c r="T3850">
        <v>0</v>
      </c>
      <c r="U3850">
        <v>0</v>
      </c>
      <c r="V3850" t="s">
        <v>57</v>
      </c>
      <c r="W3850">
        <v>3</v>
      </c>
    </row>
    <row r="3851" spans="1:23" x14ac:dyDescent="0.2">
      <c r="A3851">
        <v>5125690</v>
      </c>
      <c r="B3851" t="s">
        <v>18</v>
      </c>
      <c r="C3851" t="s">
        <v>19</v>
      </c>
      <c r="D3851" t="s">
        <v>20</v>
      </c>
      <c r="E3851">
        <v>1</v>
      </c>
      <c r="F3851">
        <v>225000</v>
      </c>
      <c r="G3851" t="s">
        <v>26</v>
      </c>
      <c r="H3851" t="s">
        <v>27</v>
      </c>
      <c r="I3851" t="s">
        <v>28</v>
      </c>
      <c r="J3851" t="s">
        <v>24</v>
      </c>
      <c r="K3851" s="6">
        <f t="shared" ca="1" si="248"/>
        <v>31703</v>
      </c>
      <c r="L3851">
        <v>-14058</v>
      </c>
      <c r="M3851" s="7">
        <f t="shared" ca="1" si="246"/>
        <v>38.488706365503077</v>
      </c>
      <c r="N3851" s="5" t="str">
        <f ca="1">VLOOKUP(Data!M3851,temp!$B$3:$C$9,2,1)</f>
        <v>30-40</v>
      </c>
      <c r="O3851">
        <v>-3694</v>
      </c>
      <c r="P3851" s="8">
        <f t="shared" si="247"/>
        <v>10.113620807665983</v>
      </c>
      <c r="Q3851" s="5" t="str">
        <f t="shared" si="249"/>
        <v>Employed</v>
      </c>
      <c r="R3851">
        <v>1</v>
      </c>
      <c r="S3851">
        <v>0</v>
      </c>
      <c r="T3851">
        <v>0</v>
      </c>
      <c r="U3851">
        <v>0</v>
      </c>
      <c r="V3851" t="s">
        <v>57</v>
      </c>
      <c r="W3851">
        <v>3</v>
      </c>
    </row>
    <row r="3852" spans="1:23" x14ac:dyDescent="0.2">
      <c r="A3852">
        <v>5125693</v>
      </c>
      <c r="B3852" t="s">
        <v>25</v>
      </c>
      <c r="C3852" t="s">
        <v>20</v>
      </c>
      <c r="D3852" t="s">
        <v>20</v>
      </c>
      <c r="E3852">
        <v>1</v>
      </c>
      <c r="F3852">
        <v>135000</v>
      </c>
      <c r="G3852" t="s">
        <v>31</v>
      </c>
      <c r="H3852" t="s">
        <v>27</v>
      </c>
      <c r="I3852" t="s">
        <v>28</v>
      </c>
      <c r="J3852" t="s">
        <v>24</v>
      </c>
      <c r="K3852" s="6">
        <f t="shared" ca="1" si="248"/>
        <v>35761</v>
      </c>
      <c r="L3852">
        <v>-10000</v>
      </c>
      <c r="M3852" s="7">
        <f t="shared" ca="1" si="246"/>
        <v>27.378507871321013</v>
      </c>
      <c r="N3852" s="5" t="str">
        <f ca="1">VLOOKUP(Data!M3852,temp!$B$3:$C$9,2,1)</f>
        <v>20-30</v>
      </c>
      <c r="O3852">
        <v>-1779</v>
      </c>
      <c r="P3852" s="8">
        <f t="shared" si="247"/>
        <v>4.8706365503080082</v>
      </c>
      <c r="Q3852" s="5" t="str">
        <f t="shared" si="249"/>
        <v>Employed</v>
      </c>
      <c r="R3852">
        <v>1</v>
      </c>
      <c r="S3852">
        <v>0</v>
      </c>
      <c r="T3852">
        <v>0</v>
      </c>
      <c r="U3852">
        <v>0</v>
      </c>
      <c r="V3852" t="s">
        <v>29</v>
      </c>
      <c r="W3852">
        <v>3</v>
      </c>
    </row>
    <row r="3853" spans="1:23" x14ac:dyDescent="0.2">
      <c r="A3853">
        <v>5125704</v>
      </c>
      <c r="B3853" t="s">
        <v>18</v>
      </c>
      <c r="C3853" t="s">
        <v>20</v>
      </c>
      <c r="D3853" t="s">
        <v>20</v>
      </c>
      <c r="E3853">
        <v>1</v>
      </c>
      <c r="F3853">
        <v>207000</v>
      </c>
      <c r="G3853" t="s">
        <v>31</v>
      </c>
      <c r="H3853" t="s">
        <v>22</v>
      </c>
      <c r="I3853" t="s">
        <v>28</v>
      </c>
      <c r="J3853" t="s">
        <v>24</v>
      </c>
      <c r="K3853" s="6">
        <f t="shared" ca="1" si="248"/>
        <v>34970</v>
      </c>
      <c r="L3853">
        <v>-10791</v>
      </c>
      <c r="M3853" s="7">
        <f t="shared" ca="1" si="246"/>
        <v>29.544147843942504</v>
      </c>
      <c r="N3853" s="5" t="str">
        <f ca="1">VLOOKUP(Data!M3853,temp!$B$3:$C$9,2,1)</f>
        <v>20-30</v>
      </c>
      <c r="O3853">
        <v>-2478</v>
      </c>
      <c r="P3853" s="8">
        <f t="shared" si="247"/>
        <v>6.7843942505133468</v>
      </c>
      <c r="Q3853" s="5" t="str">
        <f t="shared" si="249"/>
        <v>Employed</v>
      </c>
      <c r="R3853">
        <v>1</v>
      </c>
      <c r="S3853">
        <v>0</v>
      </c>
      <c r="T3853">
        <v>1</v>
      </c>
      <c r="U3853">
        <v>1</v>
      </c>
      <c r="V3853" t="s">
        <v>44</v>
      </c>
      <c r="W3853">
        <v>3</v>
      </c>
    </row>
    <row r="3854" spans="1:23" x14ac:dyDescent="0.2">
      <c r="A3854">
        <v>5125707</v>
      </c>
      <c r="B3854" t="s">
        <v>18</v>
      </c>
      <c r="C3854" t="s">
        <v>20</v>
      </c>
      <c r="D3854" t="s">
        <v>20</v>
      </c>
      <c r="E3854">
        <v>0</v>
      </c>
      <c r="F3854">
        <v>135000</v>
      </c>
      <c r="G3854" t="s">
        <v>31</v>
      </c>
      <c r="H3854" t="s">
        <v>51</v>
      </c>
      <c r="I3854" t="s">
        <v>28</v>
      </c>
      <c r="J3854" t="s">
        <v>24</v>
      </c>
      <c r="K3854" s="6">
        <f t="shared" ca="1" si="248"/>
        <v>29348</v>
      </c>
      <c r="L3854">
        <v>-16413</v>
      </c>
      <c r="M3854" s="7">
        <f t="shared" ca="1" si="246"/>
        <v>44.936344969199176</v>
      </c>
      <c r="N3854" s="5" t="str">
        <f ca="1">VLOOKUP(Data!M3854,temp!$B$3:$C$9,2,1)</f>
        <v>40-50</v>
      </c>
      <c r="O3854">
        <v>-622</v>
      </c>
      <c r="P3854" s="8">
        <f t="shared" si="247"/>
        <v>1.7029431895961671</v>
      </c>
      <c r="Q3854" s="5" t="str">
        <f t="shared" si="249"/>
        <v>Employed</v>
      </c>
      <c r="R3854">
        <v>1</v>
      </c>
      <c r="S3854">
        <v>0</v>
      </c>
      <c r="T3854">
        <v>1</v>
      </c>
      <c r="U3854">
        <v>0</v>
      </c>
      <c r="V3854" t="s">
        <v>47</v>
      </c>
      <c r="W3854">
        <v>2</v>
      </c>
    </row>
    <row r="3855" spans="1:23" x14ac:dyDescent="0.2">
      <c r="A3855">
        <v>5125710</v>
      </c>
      <c r="B3855" t="s">
        <v>18</v>
      </c>
      <c r="C3855" t="s">
        <v>20</v>
      </c>
      <c r="D3855" t="s">
        <v>20</v>
      </c>
      <c r="E3855">
        <v>0</v>
      </c>
      <c r="F3855">
        <v>135000</v>
      </c>
      <c r="G3855" t="s">
        <v>31</v>
      </c>
      <c r="H3855" t="s">
        <v>51</v>
      </c>
      <c r="I3855" t="s">
        <v>28</v>
      </c>
      <c r="J3855" t="s">
        <v>24</v>
      </c>
      <c r="K3855" s="6">
        <f t="shared" ca="1" si="248"/>
        <v>29348</v>
      </c>
      <c r="L3855">
        <v>-16413</v>
      </c>
      <c r="M3855" s="7">
        <f t="shared" ca="1" si="246"/>
        <v>44.936344969199176</v>
      </c>
      <c r="N3855" s="5" t="str">
        <f ca="1">VLOOKUP(Data!M3855,temp!$B$3:$C$9,2,1)</f>
        <v>40-50</v>
      </c>
      <c r="O3855">
        <v>-622</v>
      </c>
      <c r="P3855" s="8">
        <f t="shared" si="247"/>
        <v>1.7029431895961671</v>
      </c>
      <c r="Q3855" s="5" t="str">
        <f t="shared" si="249"/>
        <v>Employed</v>
      </c>
      <c r="R3855">
        <v>1</v>
      </c>
      <c r="S3855">
        <v>0</v>
      </c>
      <c r="T3855">
        <v>1</v>
      </c>
      <c r="U3855">
        <v>0</v>
      </c>
      <c r="V3855" t="s">
        <v>47</v>
      </c>
      <c r="W3855">
        <v>2</v>
      </c>
    </row>
    <row r="3856" spans="1:23" x14ac:dyDescent="0.2">
      <c r="A3856">
        <v>5125712</v>
      </c>
      <c r="B3856" t="s">
        <v>18</v>
      </c>
      <c r="C3856" t="s">
        <v>20</v>
      </c>
      <c r="D3856" t="s">
        <v>20</v>
      </c>
      <c r="E3856">
        <v>0</v>
      </c>
      <c r="F3856">
        <v>135000</v>
      </c>
      <c r="G3856" t="s">
        <v>31</v>
      </c>
      <c r="H3856" t="s">
        <v>51</v>
      </c>
      <c r="I3856" t="s">
        <v>28</v>
      </c>
      <c r="J3856" t="s">
        <v>24</v>
      </c>
      <c r="K3856" s="6">
        <f t="shared" ca="1" si="248"/>
        <v>29348</v>
      </c>
      <c r="L3856">
        <v>-16413</v>
      </c>
      <c r="M3856" s="7">
        <f t="shared" ca="1" si="246"/>
        <v>44.936344969199176</v>
      </c>
      <c r="N3856" s="5" t="str">
        <f ca="1">VLOOKUP(Data!M3856,temp!$B$3:$C$9,2,1)</f>
        <v>40-50</v>
      </c>
      <c r="O3856">
        <v>-622</v>
      </c>
      <c r="P3856" s="8">
        <f t="shared" si="247"/>
        <v>1.7029431895961671</v>
      </c>
      <c r="Q3856" s="5" t="str">
        <f t="shared" si="249"/>
        <v>Employed</v>
      </c>
      <c r="R3856">
        <v>1</v>
      </c>
      <c r="S3856">
        <v>0</v>
      </c>
      <c r="T3856">
        <v>1</v>
      </c>
      <c r="U3856">
        <v>0</v>
      </c>
      <c r="V3856" t="s">
        <v>47</v>
      </c>
      <c r="W3856">
        <v>2</v>
      </c>
    </row>
    <row r="3857" spans="1:23" x14ac:dyDescent="0.2">
      <c r="A3857">
        <v>5125751</v>
      </c>
      <c r="B3857" t="s">
        <v>18</v>
      </c>
      <c r="C3857" t="s">
        <v>19</v>
      </c>
      <c r="D3857" t="s">
        <v>20</v>
      </c>
      <c r="E3857">
        <v>0</v>
      </c>
      <c r="F3857">
        <v>99000</v>
      </c>
      <c r="G3857" t="s">
        <v>31</v>
      </c>
      <c r="H3857" t="s">
        <v>27</v>
      </c>
      <c r="I3857" t="s">
        <v>28</v>
      </c>
      <c r="J3857" t="s">
        <v>24</v>
      </c>
      <c r="K3857" s="6">
        <f t="shared" ca="1" si="248"/>
        <v>25697</v>
      </c>
      <c r="L3857">
        <v>-20064</v>
      </c>
      <c r="M3857" s="7">
        <f t="shared" ca="1" si="246"/>
        <v>54.932238193018478</v>
      </c>
      <c r="N3857" s="5" t="str">
        <f ca="1">VLOOKUP(Data!M3857,temp!$B$3:$C$9,2,1)</f>
        <v>50-60</v>
      </c>
      <c r="O3857">
        <v>-3360</v>
      </c>
      <c r="P3857" s="8">
        <f t="shared" si="247"/>
        <v>9.1991786447638599</v>
      </c>
      <c r="Q3857" s="5" t="str">
        <f t="shared" si="249"/>
        <v>Employed</v>
      </c>
      <c r="R3857">
        <v>1</v>
      </c>
      <c r="S3857">
        <v>1</v>
      </c>
      <c r="T3857">
        <v>1</v>
      </c>
      <c r="U3857">
        <v>0</v>
      </c>
      <c r="V3857" t="s">
        <v>39</v>
      </c>
      <c r="W3857">
        <v>2</v>
      </c>
    </row>
    <row r="3858" spans="1:23" x14ac:dyDescent="0.2">
      <c r="A3858">
        <v>5125768</v>
      </c>
      <c r="B3858" t="s">
        <v>18</v>
      </c>
      <c r="C3858" t="s">
        <v>19</v>
      </c>
      <c r="D3858" t="s">
        <v>20</v>
      </c>
      <c r="E3858">
        <v>1</v>
      </c>
      <c r="F3858">
        <v>180000</v>
      </c>
      <c r="G3858" t="s">
        <v>31</v>
      </c>
      <c r="H3858" t="s">
        <v>27</v>
      </c>
      <c r="I3858" t="s">
        <v>28</v>
      </c>
      <c r="J3858" t="s">
        <v>24</v>
      </c>
      <c r="K3858" s="6">
        <f t="shared" ca="1" si="248"/>
        <v>29295</v>
      </c>
      <c r="L3858">
        <v>-16466</v>
      </c>
      <c r="M3858" s="7">
        <f t="shared" ca="1" si="246"/>
        <v>45.081451060917182</v>
      </c>
      <c r="N3858" s="5" t="str">
        <f ca="1">VLOOKUP(Data!M3858,temp!$B$3:$C$9,2,1)</f>
        <v>40-50</v>
      </c>
      <c r="O3858">
        <v>-2083</v>
      </c>
      <c r="P3858" s="8">
        <f t="shared" si="247"/>
        <v>5.7029431895961666</v>
      </c>
      <c r="Q3858" s="5" t="str">
        <f t="shared" si="249"/>
        <v>Employed</v>
      </c>
      <c r="R3858">
        <v>1</v>
      </c>
      <c r="S3858">
        <v>0</v>
      </c>
      <c r="T3858">
        <v>0</v>
      </c>
      <c r="U3858">
        <v>0</v>
      </c>
      <c r="V3858" t="s">
        <v>39</v>
      </c>
      <c r="W3858">
        <v>3</v>
      </c>
    </row>
    <row r="3859" spans="1:23" x14ac:dyDescent="0.2">
      <c r="A3859">
        <v>5125770</v>
      </c>
      <c r="B3859" t="s">
        <v>18</v>
      </c>
      <c r="C3859" t="s">
        <v>19</v>
      </c>
      <c r="D3859" t="s">
        <v>20</v>
      </c>
      <c r="E3859">
        <v>0</v>
      </c>
      <c r="F3859">
        <v>112500</v>
      </c>
      <c r="G3859" t="s">
        <v>31</v>
      </c>
      <c r="H3859" t="s">
        <v>27</v>
      </c>
      <c r="I3859" t="s">
        <v>28</v>
      </c>
      <c r="J3859" t="s">
        <v>24</v>
      </c>
      <c r="K3859" s="6">
        <f t="shared" ca="1" si="248"/>
        <v>22401</v>
      </c>
      <c r="L3859">
        <v>-23360</v>
      </c>
      <c r="M3859" s="7">
        <f t="shared" ca="1" si="246"/>
        <v>63.956194387405887</v>
      </c>
      <c r="N3859" s="5" t="str">
        <f ca="1">VLOOKUP(Data!M3859,temp!$B$3:$C$9,2,1)</f>
        <v>60-70</v>
      </c>
      <c r="O3859">
        <v>-469</v>
      </c>
      <c r="P3859" s="8">
        <f t="shared" si="247"/>
        <v>1.2840520191649556</v>
      </c>
      <c r="Q3859" s="5" t="str">
        <f t="shared" si="249"/>
        <v>Employed</v>
      </c>
      <c r="R3859">
        <v>1</v>
      </c>
      <c r="S3859">
        <v>0</v>
      </c>
      <c r="T3859">
        <v>0</v>
      </c>
      <c r="U3859">
        <v>0</v>
      </c>
      <c r="W3859">
        <v>2</v>
      </c>
    </row>
    <row r="3860" spans="1:23" x14ac:dyDescent="0.2">
      <c r="A3860">
        <v>5125786</v>
      </c>
      <c r="B3860" t="s">
        <v>18</v>
      </c>
      <c r="C3860" t="s">
        <v>19</v>
      </c>
      <c r="D3860" t="s">
        <v>20</v>
      </c>
      <c r="E3860">
        <v>0</v>
      </c>
      <c r="F3860">
        <v>112500</v>
      </c>
      <c r="G3860" t="s">
        <v>31</v>
      </c>
      <c r="H3860" t="s">
        <v>27</v>
      </c>
      <c r="I3860" t="s">
        <v>28</v>
      </c>
      <c r="J3860" t="s">
        <v>24</v>
      </c>
      <c r="K3860" s="6">
        <f t="shared" ca="1" si="248"/>
        <v>22401</v>
      </c>
      <c r="L3860">
        <v>-23360</v>
      </c>
      <c r="M3860" s="7">
        <f t="shared" ca="1" si="246"/>
        <v>63.956194387405887</v>
      </c>
      <c r="N3860" s="5" t="str">
        <f ca="1">VLOOKUP(Data!M3860,temp!$B$3:$C$9,2,1)</f>
        <v>60-70</v>
      </c>
      <c r="O3860">
        <v>-469</v>
      </c>
      <c r="P3860" s="8">
        <f t="shared" si="247"/>
        <v>1.2840520191649556</v>
      </c>
      <c r="Q3860" s="5" t="str">
        <f t="shared" si="249"/>
        <v>Employed</v>
      </c>
      <c r="R3860">
        <v>1</v>
      </c>
      <c r="S3860">
        <v>0</v>
      </c>
      <c r="T3860">
        <v>0</v>
      </c>
      <c r="U3860">
        <v>0</v>
      </c>
      <c r="W3860">
        <v>2</v>
      </c>
    </row>
    <row r="3861" spans="1:23" x14ac:dyDescent="0.2">
      <c r="A3861">
        <v>5125805</v>
      </c>
      <c r="B3861" t="s">
        <v>18</v>
      </c>
      <c r="C3861" t="s">
        <v>19</v>
      </c>
      <c r="D3861" t="s">
        <v>20</v>
      </c>
      <c r="E3861">
        <v>0</v>
      </c>
      <c r="F3861">
        <v>270000</v>
      </c>
      <c r="G3861" t="s">
        <v>31</v>
      </c>
      <c r="H3861" t="s">
        <v>27</v>
      </c>
      <c r="I3861" t="s">
        <v>23</v>
      </c>
      <c r="J3861" t="s">
        <v>24</v>
      </c>
      <c r="K3861" s="6">
        <f t="shared" ca="1" si="248"/>
        <v>27421</v>
      </c>
      <c r="L3861">
        <v>-18340</v>
      </c>
      <c r="M3861" s="7">
        <f t="shared" ca="1" si="246"/>
        <v>50.212183436002739</v>
      </c>
      <c r="N3861" s="5" t="str">
        <f ca="1">VLOOKUP(Data!M3861,temp!$B$3:$C$9,2,1)</f>
        <v>50-60</v>
      </c>
      <c r="O3861">
        <v>-2052</v>
      </c>
      <c r="P3861" s="8">
        <f t="shared" si="247"/>
        <v>5.6180698151950716</v>
      </c>
      <c r="Q3861" s="5" t="str">
        <f t="shared" si="249"/>
        <v>Employed</v>
      </c>
      <c r="R3861">
        <v>1</v>
      </c>
      <c r="S3861">
        <v>0</v>
      </c>
      <c r="T3861">
        <v>0</v>
      </c>
      <c r="U3861">
        <v>1</v>
      </c>
      <c r="V3861" t="s">
        <v>29</v>
      </c>
      <c r="W3861">
        <v>1</v>
      </c>
    </row>
    <row r="3862" spans="1:23" x14ac:dyDescent="0.2">
      <c r="A3862">
        <v>5125828</v>
      </c>
      <c r="B3862" t="s">
        <v>25</v>
      </c>
      <c r="C3862" t="s">
        <v>20</v>
      </c>
      <c r="D3862" t="s">
        <v>20</v>
      </c>
      <c r="E3862">
        <v>0</v>
      </c>
      <c r="F3862">
        <v>360000</v>
      </c>
      <c r="G3862" t="s">
        <v>26</v>
      </c>
      <c r="H3862" t="s">
        <v>27</v>
      </c>
      <c r="I3862" t="s">
        <v>28</v>
      </c>
      <c r="J3862" t="s">
        <v>24</v>
      </c>
      <c r="K3862" s="6">
        <f t="shared" ca="1" si="248"/>
        <v>34148</v>
      </c>
      <c r="L3862">
        <v>-11613</v>
      </c>
      <c r="M3862" s="7">
        <f t="shared" ca="1" si="246"/>
        <v>31.794661190965094</v>
      </c>
      <c r="N3862" s="5" t="str">
        <f ca="1">VLOOKUP(Data!M3862,temp!$B$3:$C$9,2,1)</f>
        <v>30-40</v>
      </c>
      <c r="O3862">
        <v>-4031</v>
      </c>
      <c r="P3862" s="8">
        <f t="shared" si="247"/>
        <v>11.0362765229295</v>
      </c>
      <c r="Q3862" s="5" t="str">
        <f t="shared" si="249"/>
        <v>Employed</v>
      </c>
      <c r="R3862">
        <v>1</v>
      </c>
      <c r="S3862">
        <v>0</v>
      </c>
      <c r="T3862">
        <v>1</v>
      </c>
      <c r="U3862">
        <v>0</v>
      </c>
      <c r="V3862" t="s">
        <v>29</v>
      </c>
      <c r="W3862">
        <v>2</v>
      </c>
    </row>
    <row r="3863" spans="1:23" x14ac:dyDescent="0.2">
      <c r="A3863">
        <v>5125837</v>
      </c>
      <c r="B3863" t="s">
        <v>25</v>
      </c>
      <c r="C3863" t="s">
        <v>20</v>
      </c>
      <c r="D3863" t="s">
        <v>20</v>
      </c>
      <c r="E3863">
        <v>0</v>
      </c>
      <c r="F3863">
        <v>382500</v>
      </c>
      <c r="G3863" t="s">
        <v>31</v>
      </c>
      <c r="H3863" t="s">
        <v>22</v>
      </c>
      <c r="I3863" t="s">
        <v>28</v>
      </c>
      <c r="J3863" t="s">
        <v>24</v>
      </c>
      <c r="K3863" s="6">
        <f t="shared" ca="1" si="248"/>
        <v>33897</v>
      </c>
      <c r="L3863">
        <v>-11864</v>
      </c>
      <c r="M3863" s="7">
        <f t="shared" ca="1" si="246"/>
        <v>32.481861738535251</v>
      </c>
      <c r="N3863" s="5" t="str">
        <f ca="1">VLOOKUP(Data!M3863,temp!$B$3:$C$9,2,1)</f>
        <v>30-40</v>
      </c>
      <c r="O3863">
        <v>-1748</v>
      </c>
      <c r="P3863" s="8">
        <f t="shared" si="247"/>
        <v>4.7857631759069132</v>
      </c>
      <c r="Q3863" s="5" t="str">
        <f t="shared" si="249"/>
        <v>Employed</v>
      </c>
      <c r="R3863">
        <v>1</v>
      </c>
      <c r="S3863">
        <v>0</v>
      </c>
      <c r="T3863">
        <v>1</v>
      </c>
      <c r="U3863">
        <v>0</v>
      </c>
      <c r="V3863" t="s">
        <v>56</v>
      </c>
      <c r="W3863">
        <v>2</v>
      </c>
    </row>
    <row r="3864" spans="1:23" x14ac:dyDescent="0.2">
      <c r="A3864">
        <v>5125847</v>
      </c>
      <c r="B3864" t="s">
        <v>18</v>
      </c>
      <c r="C3864" t="s">
        <v>19</v>
      </c>
      <c r="D3864" t="s">
        <v>19</v>
      </c>
      <c r="E3864">
        <v>0</v>
      </c>
      <c r="F3864">
        <v>234000</v>
      </c>
      <c r="G3864" t="s">
        <v>31</v>
      </c>
      <c r="H3864" t="s">
        <v>27</v>
      </c>
      <c r="I3864" t="s">
        <v>33</v>
      </c>
      <c r="J3864" t="s">
        <v>24</v>
      </c>
      <c r="K3864" s="6">
        <f t="shared" ca="1" si="248"/>
        <v>27801</v>
      </c>
      <c r="L3864">
        <v>-17960</v>
      </c>
      <c r="M3864" s="7">
        <f t="shared" ca="1" si="246"/>
        <v>49.171800136892543</v>
      </c>
      <c r="N3864" s="5" t="str">
        <f ca="1">VLOOKUP(Data!M3864,temp!$B$3:$C$9,2,1)</f>
        <v>40-50</v>
      </c>
      <c r="O3864">
        <v>-1626</v>
      </c>
      <c r="P3864" s="8">
        <f t="shared" si="247"/>
        <v>4.4517453798767965</v>
      </c>
      <c r="Q3864" s="5" t="str">
        <f t="shared" si="249"/>
        <v>Employed</v>
      </c>
      <c r="R3864">
        <v>1</v>
      </c>
      <c r="S3864">
        <v>1</v>
      </c>
      <c r="T3864">
        <v>0</v>
      </c>
      <c r="U3864">
        <v>0</v>
      </c>
      <c r="V3864" t="s">
        <v>46</v>
      </c>
      <c r="W3864">
        <v>1</v>
      </c>
    </row>
    <row r="3865" spans="1:23" x14ac:dyDescent="0.2">
      <c r="A3865">
        <v>5125851</v>
      </c>
      <c r="B3865" t="s">
        <v>18</v>
      </c>
      <c r="C3865" t="s">
        <v>19</v>
      </c>
      <c r="D3865" t="s">
        <v>19</v>
      </c>
      <c r="E3865">
        <v>0</v>
      </c>
      <c r="F3865">
        <v>234000</v>
      </c>
      <c r="G3865" t="s">
        <v>31</v>
      </c>
      <c r="H3865" t="s">
        <v>27</v>
      </c>
      <c r="I3865" t="s">
        <v>33</v>
      </c>
      <c r="J3865" t="s">
        <v>24</v>
      </c>
      <c r="K3865" s="6">
        <f t="shared" ca="1" si="248"/>
        <v>27801</v>
      </c>
      <c r="L3865">
        <v>-17960</v>
      </c>
      <c r="M3865" s="7">
        <f t="shared" ca="1" si="246"/>
        <v>49.171800136892543</v>
      </c>
      <c r="N3865" s="5" t="str">
        <f ca="1">VLOOKUP(Data!M3865,temp!$B$3:$C$9,2,1)</f>
        <v>40-50</v>
      </c>
      <c r="O3865">
        <v>-1626</v>
      </c>
      <c r="P3865" s="8">
        <f t="shared" si="247"/>
        <v>4.4517453798767965</v>
      </c>
      <c r="Q3865" s="5" t="str">
        <f t="shared" si="249"/>
        <v>Employed</v>
      </c>
      <c r="R3865">
        <v>1</v>
      </c>
      <c r="S3865">
        <v>1</v>
      </c>
      <c r="T3865">
        <v>0</v>
      </c>
      <c r="U3865">
        <v>0</v>
      </c>
      <c r="V3865" t="s">
        <v>46</v>
      </c>
      <c r="W3865">
        <v>1</v>
      </c>
    </row>
    <row r="3866" spans="1:23" x14ac:dyDescent="0.2">
      <c r="A3866">
        <v>5125877</v>
      </c>
      <c r="B3866" t="s">
        <v>18</v>
      </c>
      <c r="C3866" t="s">
        <v>20</v>
      </c>
      <c r="D3866" t="s">
        <v>20</v>
      </c>
      <c r="E3866">
        <v>2</v>
      </c>
      <c r="F3866">
        <v>180000</v>
      </c>
      <c r="G3866" t="s">
        <v>26</v>
      </c>
      <c r="H3866" t="s">
        <v>22</v>
      </c>
      <c r="I3866" t="s">
        <v>37</v>
      </c>
      <c r="J3866" t="s">
        <v>24</v>
      </c>
      <c r="K3866" s="6">
        <f t="shared" ca="1" si="248"/>
        <v>34219</v>
      </c>
      <c r="L3866">
        <v>-11542</v>
      </c>
      <c r="M3866" s="7">
        <f t="shared" ca="1" si="246"/>
        <v>31.600273785078713</v>
      </c>
      <c r="N3866" s="5" t="str">
        <f ca="1">VLOOKUP(Data!M3866,temp!$B$3:$C$9,2,1)</f>
        <v>30-40</v>
      </c>
      <c r="O3866">
        <v>-1169</v>
      </c>
      <c r="P3866" s="8">
        <f t="shared" si="247"/>
        <v>3.2005475701574264</v>
      </c>
      <c r="Q3866" s="5" t="str">
        <f t="shared" si="249"/>
        <v>Employed</v>
      </c>
      <c r="R3866">
        <v>1</v>
      </c>
      <c r="S3866">
        <v>0</v>
      </c>
      <c r="T3866">
        <v>0</v>
      </c>
      <c r="U3866">
        <v>1</v>
      </c>
      <c r="V3866" t="s">
        <v>39</v>
      </c>
      <c r="W3866">
        <v>4</v>
      </c>
    </row>
    <row r="3867" spans="1:23" x14ac:dyDescent="0.2">
      <c r="A3867">
        <v>5125883</v>
      </c>
      <c r="B3867" t="s">
        <v>18</v>
      </c>
      <c r="C3867" t="s">
        <v>20</v>
      </c>
      <c r="D3867" t="s">
        <v>20</v>
      </c>
      <c r="E3867">
        <v>2</v>
      </c>
      <c r="F3867">
        <v>180000</v>
      </c>
      <c r="G3867" t="s">
        <v>26</v>
      </c>
      <c r="H3867" t="s">
        <v>22</v>
      </c>
      <c r="I3867" t="s">
        <v>37</v>
      </c>
      <c r="J3867" t="s">
        <v>24</v>
      </c>
      <c r="K3867" s="6">
        <f t="shared" ca="1" si="248"/>
        <v>34219</v>
      </c>
      <c r="L3867">
        <v>-11542</v>
      </c>
      <c r="M3867" s="7">
        <f t="shared" ca="1" si="246"/>
        <v>31.600273785078713</v>
      </c>
      <c r="N3867" s="5" t="str">
        <f ca="1">VLOOKUP(Data!M3867,temp!$B$3:$C$9,2,1)</f>
        <v>30-40</v>
      </c>
      <c r="O3867">
        <v>-1169</v>
      </c>
      <c r="P3867" s="8">
        <f t="shared" si="247"/>
        <v>3.2005475701574264</v>
      </c>
      <c r="Q3867" s="5" t="str">
        <f t="shared" si="249"/>
        <v>Employed</v>
      </c>
      <c r="R3867">
        <v>1</v>
      </c>
      <c r="S3867">
        <v>0</v>
      </c>
      <c r="T3867">
        <v>0</v>
      </c>
      <c r="U3867">
        <v>1</v>
      </c>
      <c r="V3867" t="s">
        <v>39</v>
      </c>
      <c r="W3867">
        <v>4</v>
      </c>
    </row>
    <row r="3868" spans="1:23" x14ac:dyDescent="0.2">
      <c r="A3868">
        <v>5125889</v>
      </c>
      <c r="B3868" t="s">
        <v>18</v>
      </c>
      <c r="C3868" t="s">
        <v>20</v>
      </c>
      <c r="D3868" t="s">
        <v>20</v>
      </c>
      <c r="E3868">
        <v>0</v>
      </c>
      <c r="F3868">
        <v>112500</v>
      </c>
      <c r="G3868" t="s">
        <v>31</v>
      </c>
      <c r="H3868" t="s">
        <v>22</v>
      </c>
      <c r="I3868" t="s">
        <v>28</v>
      </c>
      <c r="J3868" t="s">
        <v>24</v>
      </c>
      <c r="K3868" s="6">
        <f t="shared" ca="1" si="248"/>
        <v>27230</v>
      </c>
      <c r="L3868">
        <v>-18531</v>
      </c>
      <c r="M3868" s="7">
        <f t="shared" ca="1" si="246"/>
        <v>50.735112936344969</v>
      </c>
      <c r="N3868" s="5" t="str">
        <f ca="1">VLOOKUP(Data!M3868,temp!$B$3:$C$9,2,1)</f>
        <v>50-60</v>
      </c>
      <c r="O3868">
        <v>-925</v>
      </c>
      <c r="P3868" s="8">
        <f t="shared" si="247"/>
        <v>2.5325119780971939</v>
      </c>
      <c r="Q3868" s="5" t="str">
        <f t="shared" si="249"/>
        <v>Employed</v>
      </c>
      <c r="R3868">
        <v>1</v>
      </c>
      <c r="S3868">
        <v>0</v>
      </c>
      <c r="T3868">
        <v>1</v>
      </c>
      <c r="U3868">
        <v>0</v>
      </c>
      <c r="V3868" t="s">
        <v>47</v>
      </c>
      <c r="W3868">
        <v>2</v>
      </c>
    </row>
    <row r="3869" spans="1:23" x14ac:dyDescent="0.2">
      <c r="A3869">
        <v>5125899</v>
      </c>
      <c r="B3869" t="s">
        <v>18</v>
      </c>
      <c r="C3869" t="s">
        <v>20</v>
      </c>
      <c r="D3869" t="s">
        <v>20</v>
      </c>
      <c r="E3869">
        <v>0</v>
      </c>
      <c r="F3869">
        <v>675000</v>
      </c>
      <c r="G3869" t="s">
        <v>21</v>
      </c>
      <c r="H3869" t="s">
        <v>22</v>
      </c>
      <c r="I3869" t="s">
        <v>28</v>
      </c>
      <c r="J3869" t="s">
        <v>24</v>
      </c>
      <c r="K3869" s="6">
        <f t="shared" ca="1" si="248"/>
        <v>24040</v>
      </c>
      <c r="L3869">
        <v>-21721</v>
      </c>
      <c r="M3869" s="7">
        <f t="shared" ca="1" si="246"/>
        <v>59.468856947296374</v>
      </c>
      <c r="N3869" s="5" t="str">
        <f ca="1">VLOOKUP(Data!M3869,temp!$B$3:$C$9,2,1)</f>
        <v>50-60</v>
      </c>
      <c r="O3869">
        <v>365243</v>
      </c>
      <c r="P3869" s="8">
        <f t="shared" si="247"/>
        <v>0</v>
      </c>
      <c r="Q3869" s="5" t="str">
        <f t="shared" si="249"/>
        <v>Unemployed</v>
      </c>
      <c r="R3869">
        <v>1</v>
      </c>
      <c r="S3869">
        <v>0</v>
      </c>
      <c r="T3869">
        <v>0</v>
      </c>
      <c r="U3869">
        <v>0</v>
      </c>
      <c r="W3869">
        <v>2</v>
      </c>
    </row>
    <row r="3870" spans="1:23" x14ac:dyDescent="0.2">
      <c r="A3870">
        <v>5125901</v>
      </c>
      <c r="B3870" t="s">
        <v>18</v>
      </c>
      <c r="C3870" t="s">
        <v>19</v>
      </c>
      <c r="D3870" t="s">
        <v>20</v>
      </c>
      <c r="E3870">
        <v>0</v>
      </c>
      <c r="F3870">
        <v>103500</v>
      </c>
      <c r="G3870" t="s">
        <v>31</v>
      </c>
      <c r="H3870" t="s">
        <v>27</v>
      </c>
      <c r="I3870" t="s">
        <v>28</v>
      </c>
      <c r="J3870" t="s">
        <v>24</v>
      </c>
      <c r="K3870" s="6">
        <f t="shared" ca="1" si="248"/>
        <v>26722</v>
      </c>
      <c r="L3870">
        <v>-19039</v>
      </c>
      <c r="M3870" s="7">
        <f t="shared" ca="1" si="246"/>
        <v>52.125941136208077</v>
      </c>
      <c r="N3870" s="5" t="str">
        <f ca="1">VLOOKUP(Data!M3870,temp!$B$3:$C$9,2,1)</f>
        <v>50-60</v>
      </c>
      <c r="O3870">
        <v>-3240</v>
      </c>
      <c r="P3870" s="8">
        <f t="shared" si="247"/>
        <v>8.8706365503080082</v>
      </c>
      <c r="Q3870" s="5" t="str">
        <f t="shared" si="249"/>
        <v>Employed</v>
      </c>
      <c r="R3870">
        <v>1</v>
      </c>
      <c r="S3870">
        <v>0</v>
      </c>
      <c r="T3870">
        <v>0</v>
      </c>
      <c r="U3870">
        <v>0</v>
      </c>
      <c r="V3870" t="s">
        <v>46</v>
      </c>
      <c r="W3870">
        <v>2</v>
      </c>
    </row>
    <row r="3871" spans="1:23" x14ac:dyDescent="0.2">
      <c r="A3871">
        <v>5125902</v>
      </c>
      <c r="B3871" t="s">
        <v>18</v>
      </c>
      <c r="C3871" t="s">
        <v>19</v>
      </c>
      <c r="D3871" t="s">
        <v>20</v>
      </c>
      <c r="E3871">
        <v>0</v>
      </c>
      <c r="F3871">
        <v>103500</v>
      </c>
      <c r="G3871" t="s">
        <v>31</v>
      </c>
      <c r="H3871" t="s">
        <v>27</v>
      </c>
      <c r="I3871" t="s">
        <v>28</v>
      </c>
      <c r="J3871" t="s">
        <v>24</v>
      </c>
      <c r="K3871" s="6">
        <f t="shared" ca="1" si="248"/>
        <v>26722</v>
      </c>
      <c r="L3871">
        <v>-19039</v>
      </c>
      <c r="M3871" s="7">
        <f t="shared" ca="1" si="246"/>
        <v>52.125941136208077</v>
      </c>
      <c r="N3871" s="5" t="str">
        <f ca="1">VLOOKUP(Data!M3871,temp!$B$3:$C$9,2,1)</f>
        <v>50-60</v>
      </c>
      <c r="O3871">
        <v>-3240</v>
      </c>
      <c r="P3871" s="8">
        <f t="shared" si="247"/>
        <v>8.8706365503080082</v>
      </c>
      <c r="Q3871" s="5" t="str">
        <f t="shared" si="249"/>
        <v>Employed</v>
      </c>
      <c r="R3871">
        <v>1</v>
      </c>
      <c r="S3871">
        <v>0</v>
      </c>
      <c r="T3871">
        <v>0</v>
      </c>
      <c r="U3871">
        <v>0</v>
      </c>
      <c r="V3871" t="s">
        <v>46</v>
      </c>
      <c r="W3871">
        <v>2</v>
      </c>
    </row>
    <row r="3872" spans="1:23" x14ac:dyDescent="0.2">
      <c r="A3872">
        <v>5125907</v>
      </c>
      <c r="B3872" t="s">
        <v>25</v>
      </c>
      <c r="C3872" t="s">
        <v>19</v>
      </c>
      <c r="D3872" t="s">
        <v>20</v>
      </c>
      <c r="E3872">
        <v>0</v>
      </c>
      <c r="F3872">
        <v>517500</v>
      </c>
      <c r="G3872" t="s">
        <v>26</v>
      </c>
      <c r="H3872" t="s">
        <v>22</v>
      </c>
      <c r="I3872" t="s">
        <v>33</v>
      </c>
      <c r="J3872" t="s">
        <v>24</v>
      </c>
      <c r="K3872" s="6">
        <f t="shared" ca="1" si="248"/>
        <v>35126</v>
      </c>
      <c r="L3872">
        <v>-10635</v>
      </c>
      <c r="M3872" s="7">
        <f t="shared" ca="1" si="246"/>
        <v>29.117043121149898</v>
      </c>
      <c r="N3872" s="5" t="str">
        <f ca="1">VLOOKUP(Data!M3872,temp!$B$3:$C$9,2,1)</f>
        <v>20-30</v>
      </c>
      <c r="O3872">
        <v>-287</v>
      </c>
      <c r="P3872" s="8">
        <f t="shared" si="247"/>
        <v>0.78576317590691303</v>
      </c>
      <c r="Q3872" s="5" t="str">
        <f t="shared" si="249"/>
        <v>Employed</v>
      </c>
      <c r="R3872">
        <v>1</v>
      </c>
      <c r="S3872">
        <v>0</v>
      </c>
      <c r="T3872">
        <v>0</v>
      </c>
      <c r="U3872">
        <v>0</v>
      </c>
      <c r="V3872" t="s">
        <v>38</v>
      </c>
      <c r="W3872">
        <v>1</v>
      </c>
    </row>
    <row r="3873" spans="1:23" x14ac:dyDescent="0.2">
      <c r="A3873">
        <v>5125914</v>
      </c>
      <c r="B3873" t="s">
        <v>18</v>
      </c>
      <c r="C3873" t="s">
        <v>19</v>
      </c>
      <c r="D3873" t="s">
        <v>19</v>
      </c>
      <c r="E3873">
        <v>0</v>
      </c>
      <c r="F3873">
        <v>157500</v>
      </c>
      <c r="G3873" t="s">
        <v>31</v>
      </c>
      <c r="H3873" t="s">
        <v>22</v>
      </c>
      <c r="I3873" t="s">
        <v>28</v>
      </c>
      <c r="J3873" t="s">
        <v>24</v>
      </c>
      <c r="K3873" s="6">
        <f t="shared" ca="1" si="248"/>
        <v>34146</v>
      </c>
      <c r="L3873">
        <v>-11615</v>
      </c>
      <c r="M3873" s="7">
        <f t="shared" ca="1" si="246"/>
        <v>31.800136892539356</v>
      </c>
      <c r="N3873" s="5" t="str">
        <f ca="1">VLOOKUP(Data!M3873,temp!$B$3:$C$9,2,1)</f>
        <v>30-40</v>
      </c>
      <c r="O3873">
        <v>-2936</v>
      </c>
      <c r="P3873" s="8">
        <f t="shared" si="247"/>
        <v>8.038329911019849</v>
      </c>
      <c r="Q3873" s="5" t="str">
        <f t="shared" si="249"/>
        <v>Employed</v>
      </c>
      <c r="R3873">
        <v>1</v>
      </c>
      <c r="S3873">
        <v>0</v>
      </c>
      <c r="T3873">
        <v>0</v>
      </c>
      <c r="U3873">
        <v>0</v>
      </c>
      <c r="V3873" t="s">
        <v>39</v>
      </c>
      <c r="W3873">
        <v>2</v>
      </c>
    </row>
    <row r="3874" spans="1:23" x14ac:dyDescent="0.2">
      <c r="A3874">
        <v>5125924</v>
      </c>
      <c r="B3874" t="s">
        <v>18</v>
      </c>
      <c r="C3874" t="s">
        <v>19</v>
      </c>
      <c r="D3874" t="s">
        <v>20</v>
      </c>
      <c r="E3874">
        <v>0</v>
      </c>
      <c r="F3874">
        <v>166500</v>
      </c>
      <c r="G3874" t="s">
        <v>31</v>
      </c>
      <c r="H3874" t="s">
        <v>36</v>
      </c>
      <c r="I3874" t="s">
        <v>33</v>
      </c>
      <c r="J3874" t="s">
        <v>24</v>
      </c>
      <c r="K3874" s="6">
        <f t="shared" ca="1" si="248"/>
        <v>36596</v>
      </c>
      <c r="L3874">
        <v>-9165</v>
      </c>
      <c r="M3874" s="7">
        <f t="shared" ca="1" si="246"/>
        <v>25.09240246406571</v>
      </c>
      <c r="N3874" s="5" t="str">
        <f ca="1">VLOOKUP(Data!M3874,temp!$B$3:$C$9,2,1)</f>
        <v>20-30</v>
      </c>
      <c r="O3874">
        <v>-348</v>
      </c>
      <c r="P3874" s="8">
        <f t="shared" si="247"/>
        <v>0.95277207392197127</v>
      </c>
      <c r="Q3874" s="5" t="str">
        <f t="shared" si="249"/>
        <v>Employed</v>
      </c>
      <c r="R3874">
        <v>1</v>
      </c>
      <c r="S3874">
        <v>0</v>
      </c>
      <c r="T3874">
        <v>0</v>
      </c>
      <c r="U3874">
        <v>0</v>
      </c>
      <c r="V3874" t="s">
        <v>47</v>
      </c>
      <c r="W3874">
        <v>1</v>
      </c>
    </row>
    <row r="3875" spans="1:23" x14ac:dyDescent="0.2">
      <c r="A3875">
        <v>5125951</v>
      </c>
      <c r="B3875" t="s">
        <v>18</v>
      </c>
      <c r="C3875" t="s">
        <v>19</v>
      </c>
      <c r="D3875" t="s">
        <v>20</v>
      </c>
      <c r="E3875">
        <v>0</v>
      </c>
      <c r="F3875">
        <v>135000</v>
      </c>
      <c r="G3875" t="s">
        <v>31</v>
      </c>
      <c r="H3875" t="s">
        <v>27</v>
      </c>
      <c r="I3875" t="s">
        <v>28</v>
      </c>
      <c r="J3875" t="s">
        <v>34</v>
      </c>
      <c r="K3875" s="6">
        <f t="shared" ca="1" si="248"/>
        <v>31202</v>
      </c>
      <c r="L3875">
        <v>-14559</v>
      </c>
      <c r="M3875" s="7">
        <f t="shared" ca="1" si="246"/>
        <v>39.860369609856264</v>
      </c>
      <c r="N3875" s="5" t="str">
        <f ca="1">VLOOKUP(Data!M3875,temp!$B$3:$C$9,2,1)</f>
        <v>30-40</v>
      </c>
      <c r="O3875">
        <v>-2599</v>
      </c>
      <c r="P3875" s="8">
        <f t="shared" si="247"/>
        <v>7.1156741957563314</v>
      </c>
      <c r="Q3875" s="5" t="str">
        <f t="shared" si="249"/>
        <v>Employed</v>
      </c>
      <c r="R3875">
        <v>1</v>
      </c>
      <c r="S3875">
        <v>0</v>
      </c>
      <c r="T3875">
        <v>0</v>
      </c>
      <c r="U3875">
        <v>0</v>
      </c>
      <c r="V3875" t="s">
        <v>29</v>
      </c>
      <c r="W3875">
        <v>2</v>
      </c>
    </row>
    <row r="3876" spans="1:23" x14ac:dyDescent="0.2">
      <c r="A3876">
        <v>5125952</v>
      </c>
      <c r="B3876" t="s">
        <v>25</v>
      </c>
      <c r="C3876" t="s">
        <v>19</v>
      </c>
      <c r="D3876" t="s">
        <v>20</v>
      </c>
      <c r="E3876">
        <v>0</v>
      </c>
      <c r="F3876">
        <v>135000</v>
      </c>
      <c r="G3876" t="s">
        <v>31</v>
      </c>
      <c r="H3876" t="s">
        <v>27</v>
      </c>
      <c r="I3876" t="s">
        <v>28</v>
      </c>
      <c r="J3876" t="s">
        <v>34</v>
      </c>
      <c r="K3876" s="6">
        <f t="shared" ca="1" si="248"/>
        <v>31202</v>
      </c>
      <c r="L3876">
        <v>-14559</v>
      </c>
      <c r="M3876" s="7">
        <f t="shared" ca="1" si="246"/>
        <v>39.860369609856264</v>
      </c>
      <c r="N3876" s="5" t="str">
        <f ca="1">VLOOKUP(Data!M3876,temp!$B$3:$C$9,2,1)</f>
        <v>30-40</v>
      </c>
      <c r="O3876">
        <v>-2599</v>
      </c>
      <c r="P3876" s="8">
        <f t="shared" si="247"/>
        <v>7.1156741957563314</v>
      </c>
      <c r="Q3876" s="5" t="str">
        <f t="shared" si="249"/>
        <v>Employed</v>
      </c>
      <c r="R3876">
        <v>1</v>
      </c>
      <c r="S3876">
        <v>0</v>
      </c>
      <c r="T3876">
        <v>0</v>
      </c>
      <c r="U3876">
        <v>0</v>
      </c>
      <c r="V3876" t="s">
        <v>29</v>
      </c>
      <c r="W3876">
        <v>2</v>
      </c>
    </row>
    <row r="3877" spans="1:23" x14ac:dyDescent="0.2">
      <c r="A3877">
        <v>5125956</v>
      </c>
      <c r="B3877" t="s">
        <v>18</v>
      </c>
      <c r="C3877" t="s">
        <v>19</v>
      </c>
      <c r="D3877" t="s">
        <v>20</v>
      </c>
      <c r="E3877">
        <v>0</v>
      </c>
      <c r="F3877">
        <v>166500</v>
      </c>
      <c r="G3877" t="s">
        <v>26</v>
      </c>
      <c r="H3877" t="s">
        <v>27</v>
      </c>
      <c r="I3877" t="s">
        <v>33</v>
      </c>
      <c r="J3877" t="s">
        <v>24</v>
      </c>
      <c r="K3877" s="6">
        <f t="shared" ca="1" si="248"/>
        <v>29693</v>
      </c>
      <c r="L3877">
        <v>-16068</v>
      </c>
      <c r="M3877" s="7">
        <f t="shared" ca="1" si="246"/>
        <v>43.991786447638603</v>
      </c>
      <c r="N3877" s="5" t="str">
        <f ca="1">VLOOKUP(Data!M3877,temp!$B$3:$C$9,2,1)</f>
        <v>40-50</v>
      </c>
      <c r="O3877">
        <v>-2722</v>
      </c>
      <c r="P3877" s="8">
        <f t="shared" si="247"/>
        <v>7.4524298425735793</v>
      </c>
      <c r="Q3877" s="5" t="str">
        <f t="shared" si="249"/>
        <v>Employed</v>
      </c>
      <c r="R3877">
        <v>1</v>
      </c>
      <c r="S3877">
        <v>0</v>
      </c>
      <c r="T3877">
        <v>1</v>
      </c>
      <c r="U3877">
        <v>0</v>
      </c>
      <c r="V3877" t="s">
        <v>29</v>
      </c>
      <c r="W3877">
        <v>1</v>
      </c>
    </row>
    <row r="3878" spans="1:23" x14ac:dyDescent="0.2">
      <c r="A3878">
        <v>5125972</v>
      </c>
      <c r="B3878" t="s">
        <v>25</v>
      </c>
      <c r="C3878" t="s">
        <v>20</v>
      </c>
      <c r="D3878" t="s">
        <v>20</v>
      </c>
      <c r="E3878">
        <v>0</v>
      </c>
      <c r="F3878">
        <v>202500</v>
      </c>
      <c r="G3878" t="s">
        <v>31</v>
      </c>
      <c r="H3878" t="s">
        <v>27</v>
      </c>
      <c r="I3878" t="s">
        <v>28</v>
      </c>
      <c r="J3878" t="s">
        <v>24</v>
      </c>
      <c r="K3878" s="6">
        <f t="shared" ca="1" si="248"/>
        <v>30903</v>
      </c>
      <c r="L3878">
        <v>-14858</v>
      </c>
      <c r="M3878" s="7">
        <f t="shared" ca="1" si="246"/>
        <v>40.67898699520876</v>
      </c>
      <c r="N3878" s="5" t="str">
        <f ca="1">VLOOKUP(Data!M3878,temp!$B$3:$C$9,2,1)</f>
        <v>40-50</v>
      </c>
      <c r="O3878">
        <v>-1109</v>
      </c>
      <c r="P3878" s="8">
        <f t="shared" si="247"/>
        <v>3.0362765229295001</v>
      </c>
      <c r="Q3878" s="5" t="str">
        <f t="shared" si="249"/>
        <v>Employed</v>
      </c>
      <c r="R3878">
        <v>1</v>
      </c>
      <c r="S3878">
        <v>0</v>
      </c>
      <c r="T3878">
        <v>0</v>
      </c>
      <c r="U3878">
        <v>0</v>
      </c>
      <c r="V3878" t="s">
        <v>29</v>
      </c>
      <c r="W3878">
        <v>2</v>
      </c>
    </row>
    <row r="3879" spans="1:23" x14ac:dyDescent="0.2">
      <c r="A3879">
        <v>5125976</v>
      </c>
      <c r="B3879" t="s">
        <v>25</v>
      </c>
      <c r="C3879" t="s">
        <v>19</v>
      </c>
      <c r="D3879" t="s">
        <v>20</v>
      </c>
      <c r="E3879">
        <v>0</v>
      </c>
      <c r="F3879">
        <v>247500</v>
      </c>
      <c r="G3879" t="s">
        <v>26</v>
      </c>
      <c r="H3879" t="s">
        <v>22</v>
      </c>
      <c r="I3879" t="s">
        <v>42</v>
      </c>
      <c r="J3879" t="s">
        <v>24</v>
      </c>
      <c r="K3879" s="6">
        <f t="shared" ca="1" si="248"/>
        <v>30291</v>
      </c>
      <c r="L3879">
        <v>-15470</v>
      </c>
      <c r="M3879" s="7">
        <f t="shared" ca="1" si="246"/>
        <v>42.35455167693361</v>
      </c>
      <c r="N3879" s="5" t="str">
        <f ca="1">VLOOKUP(Data!M3879,temp!$B$3:$C$9,2,1)</f>
        <v>40-50</v>
      </c>
      <c r="O3879">
        <v>-2233</v>
      </c>
      <c r="P3879" s="8">
        <f t="shared" si="247"/>
        <v>6.1136208076659821</v>
      </c>
      <c r="Q3879" s="5" t="str">
        <f t="shared" si="249"/>
        <v>Employed</v>
      </c>
      <c r="R3879">
        <v>1</v>
      </c>
      <c r="S3879">
        <v>0</v>
      </c>
      <c r="T3879">
        <v>1</v>
      </c>
      <c r="U3879">
        <v>0</v>
      </c>
      <c r="V3879" t="s">
        <v>29</v>
      </c>
      <c r="W3879">
        <v>1</v>
      </c>
    </row>
    <row r="3880" spans="1:23" x14ac:dyDescent="0.2">
      <c r="A3880">
        <v>5125979</v>
      </c>
      <c r="B3880" t="s">
        <v>25</v>
      </c>
      <c r="C3880" t="s">
        <v>19</v>
      </c>
      <c r="D3880" t="s">
        <v>20</v>
      </c>
      <c r="E3880">
        <v>0</v>
      </c>
      <c r="F3880">
        <v>148500</v>
      </c>
      <c r="G3880" t="s">
        <v>31</v>
      </c>
      <c r="H3880" t="s">
        <v>22</v>
      </c>
      <c r="I3880" t="s">
        <v>23</v>
      </c>
      <c r="J3880" t="s">
        <v>24</v>
      </c>
      <c r="K3880" s="6">
        <f t="shared" ca="1" si="248"/>
        <v>33642</v>
      </c>
      <c r="L3880">
        <v>-12119</v>
      </c>
      <c r="M3880" s="7">
        <f t="shared" ca="1" si="246"/>
        <v>33.180013689253933</v>
      </c>
      <c r="N3880" s="5" t="str">
        <f ca="1">VLOOKUP(Data!M3880,temp!$B$3:$C$9,2,1)</f>
        <v>30-40</v>
      </c>
      <c r="O3880">
        <v>-1230</v>
      </c>
      <c r="P3880" s="8">
        <f t="shared" si="247"/>
        <v>3.3675564681724848</v>
      </c>
      <c r="Q3880" s="5" t="str">
        <f t="shared" si="249"/>
        <v>Employed</v>
      </c>
      <c r="R3880">
        <v>1</v>
      </c>
      <c r="S3880">
        <v>0</v>
      </c>
      <c r="T3880">
        <v>1</v>
      </c>
      <c r="U3880">
        <v>1</v>
      </c>
      <c r="V3880" t="s">
        <v>32</v>
      </c>
      <c r="W3880">
        <v>1</v>
      </c>
    </row>
    <row r="3881" spans="1:23" x14ac:dyDescent="0.2">
      <c r="A3881">
        <v>5125980</v>
      </c>
      <c r="B3881" t="s">
        <v>25</v>
      </c>
      <c r="C3881" t="s">
        <v>19</v>
      </c>
      <c r="D3881" t="s">
        <v>20</v>
      </c>
      <c r="E3881">
        <v>0</v>
      </c>
      <c r="F3881">
        <v>148500</v>
      </c>
      <c r="G3881" t="s">
        <v>31</v>
      </c>
      <c r="H3881" t="s">
        <v>22</v>
      </c>
      <c r="I3881" t="s">
        <v>23</v>
      </c>
      <c r="J3881" t="s">
        <v>24</v>
      </c>
      <c r="K3881" s="6">
        <f t="shared" ca="1" si="248"/>
        <v>33642</v>
      </c>
      <c r="L3881">
        <v>-12119</v>
      </c>
      <c r="M3881" s="7">
        <f t="shared" ca="1" si="246"/>
        <v>33.180013689253933</v>
      </c>
      <c r="N3881" s="5" t="str">
        <f ca="1">VLOOKUP(Data!M3881,temp!$B$3:$C$9,2,1)</f>
        <v>30-40</v>
      </c>
      <c r="O3881">
        <v>-1230</v>
      </c>
      <c r="P3881" s="8">
        <f t="shared" si="247"/>
        <v>3.3675564681724848</v>
      </c>
      <c r="Q3881" s="5" t="str">
        <f t="shared" si="249"/>
        <v>Employed</v>
      </c>
      <c r="R3881">
        <v>1</v>
      </c>
      <c r="S3881">
        <v>0</v>
      </c>
      <c r="T3881">
        <v>1</v>
      </c>
      <c r="U3881">
        <v>1</v>
      </c>
      <c r="V3881" t="s">
        <v>32</v>
      </c>
      <c r="W3881">
        <v>1</v>
      </c>
    </row>
    <row r="3882" spans="1:23" x14ac:dyDescent="0.2">
      <c r="A3882">
        <v>5125982</v>
      </c>
      <c r="B3882" t="s">
        <v>25</v>
      </c>
      <c r="C3882" t="s">
        <v>19</v>
      </c>
      <c r="D3882" t="s">
        <v>19</v>
      </c>
      <c r="E3882">
        <v>1</v>
      </c>
      <c r="F3882">
        <v>135000</v>
      </c>
      <c r="G3882" t="s">
        <v>31</v>
      </c>
      <c r="H3882" t="s">
        <v>27</v>
      </c>
      <c r="I3882" t="s">
        <v>28</v>
      </c>
      <c r="J3882" t="s">
        <v>24</v>
      </c>
      <c r="K3882" s="6">
        <f t="shared" ca="1" si="248"/>
        <v>33215</v>
      </c>
      <c r="L3882">
        <v>-12546</v>
      </c>
      <c r="M3882" s="7">
        <f t="shared" ca="1" si="246"/>
        <v>34.349075975359341</v>
      </c>
      <c r="N3882" s="5" t="str">
        <f ca="1">VLOOKUP(Data!M3882,temp!$B$3:$C$9,2,1)</f>
        <v>30-40</v>
      </c>
      <c r="O3882">
        <v>-2539</v>
      </c>
      <c r="P3882" s="8">
        <f t="shared" si="247"/>
        <v>6.9514031485284056</v>
      </c>
      <c r="Q3882" s="5" t="str">
        <f t="shared" si="249"/>
        <v>Employed</v>
      </c>
      <c r="R3882">
        <v>1</v>
      </c>
      <c r="S3882">
        <v>0</v>
      </c>
      <c r="T3882">
        <v>0</v>
      </c>
      <c r="U3882">
        <v>0</v>
      </c>
      <c r="V3882" t="s">
        <v>48</v>
      </c>
      <c r="W3882">
        <v>3</v>
      </c>
    </row>
    <row r="3883" spans="1:23" x14ac:dyDescent="0.2">
      <c r="A3883">
        <v>5125993</v>
      </c>
      <c r="B3883" t="s">
        <v>18</v>
      </c>
      <c r="C3883" t="s">
        <v>19</v>
      </c>
      <c r="D3883" t="s">
        <v>20</v>
      </c>
      <c r="E3883">
        <v>1</v>
      </c>
      <c r="F3883">
        <v>225000</v>
      </c>
      <c r="G3883" t="s">
        <v>26</v>
      </c>
      <c r="H3883" t="s">
        <v>22</v>
      </c>
      <c r="I3883" t="s">
        <v>28</v>
      </c>
      <c r="J3883" t="s">
        <v>24</v>
      </c>
      <c r="K3883" s="6">
        <f t="shared" ca="1" si="248"/>
        <v>34499</v>
      </c>
      <c r="L3883">
        <v>-11262</v>
      </c>
      <c r="M3883" s="7">
        <f t="shared" ca="1" si="246"/>
        <v>30.833675564681723</v>
      </c>
      <c r="N3883" s="5" t="str">
        <f ca="1">VLOOKUP(Data!M3883,temp!$B$3:$C$9,2,1)</f>
        <v>30-40</v>
      </c>
      <c r="O3883">
        <v>-1779</v>
      </c>
      <c r="P3883" s="8">
        <f t="shared" si="247"/>
        <v>4.8706365503080082</v>
      </c>
      <c r="Q3883" s="5" t="str">
        <f t="shared" si="249"/>
        <v>Employed</v>
      </c>
      <c r="R3883">
        <v>1</v>
      </c>
      <c r="S3883">
        <v>1</v>
      </c>
      <c r="T3883">
        <v>1</v>
      </c>
      <c r="U3883">
        <v>0</v>
      </c>
      <c r="V3883" t="s">
        <v>54</v>
      </c>
      <c r="W3883">
        <v>3</v>
      </c>
    </row>
    <row r="3884" spans="1:23" x14ac:dyDescent="0.2">
      <c r="A3884">
        <v>5126007</v>
      </c>
      <c r="B3884" t="s">
        <v>25</v>
      </c>
      <c r="C3884" t="s">
        <v>20</v>
      </c>
      <c r="D3884" t="s">
        <v>20</v>
      </c>
      <c r="E3884">
        <v>2</v>
      </c>
      <c r="F3884">
        <v>171000</v>
      </c>
      <c r="G3884" t="s">
        <v>31</v>
      </c>
      <c r="H3884" t="s">
        <v>27</v>
      </c>
      <c r="I3884" t="s">
        <v>28</v>
      </c>
      <c r="J3884" t="s">
        <v>24</v>
      </c>
      <c r="K3884" s="6">
        <f t="shared" ca="1" si="248"/>
        <v>32417</v>
      </c>
      <c r="L3884">
        <v>-13344</v>
      </c>
      <c r="M3884" s="7">
        <f t="shared" ca="1" si="246"/>
        <v>36.533880903490761</v>
      </c>
      <c r="N3884" s="5" t="str">
        <f ca="1">VLOOKUP(Data!M3884,temp!$B$3:$C$9,2,1)</f>
        <v>30-40</v>
      </c>
      <c r="O3884">
        <v>-1230</v>
      </c>
      <c r="P3884" s="8">
        <f t="shared" si="247"/>
        <v>3.3675564681724848</v>
      </c>
      <c r="Q3884" s="5" t="str">
        <f t="shared" si="249"/>
        <v>Employed</v>
      </c>
      <c r="R3884">
        <v>1</v>
      </c>
      <c r="S3884">
        <v>0</v>
      </c>
      <c r="T3884">
        <v>0</v>
      </c>
      <c r="U3884">
        <v>0</v>
      </c>
      <c r="V3884" t="s">
        <v>38</v>
      </c>
      <c r="W3884">
        <v>4</v>
      </c>
    </row>
    <row r="3885" spans="1:23" x14ac:dyDescent="0.2">
      <c r="A3885">
        <v>5126009</v>
      </c>
      <c r="B3885" t="s">
        <v>18</v>
      </c>
      <c r="C3885" t="s">
        <v>19</v>
      </c>
      <c r="D3885" t="s">
        <v>20</v>
      </c>
      <c r="E3885">
        <v>0</v>
      </c>
      <c r="F3885">
        <v>270000</v>
      </c>
      <c r="G3885" t="s">
        <v>35</v>
      </c>
      <c r="H3885" t="s">
        <v>27</v>
      </c>
      <c r="I3885" t="s">
        <v>28</v>
      </c>
      <c r="J3885" t="s">
        <v>24</v>
      </c>
      <c r="K3885" s="6">
        <f t="shared" ca="1" si="248"/>
        <v>25658</v>
      </c>
      <c r="L3885">
        <v>-20103</v>
      </c>
      <c r="M3885" s="7">
        <f t="shared" ca="1" si="246"/>
        <v>55.039014373716633</v>
      </c>
      <c r="N3885" s="5" t="str">
        <f ca="1">VLOOKUP(Data!M3885,temp!$B$3:$C$9,2,1)</f>
        <v>50-60</v>
      </c>
      <c r="O3885">
        <v>-1444</v>
      </c>
      <c r="P3885" s="8">
        <f t="shared" si="247"/>
        <v>3.9534565366187544</v>
      </c>
      <c r="Q3885" s="5" t="str">
        <f t="shared" si="249"/>
        <v>Employed</v>
      </c>
      <c r="R3885">
        <v>1</v>
      </c>
      <c r="S3885">
        <v>1</v>
      </c>
      <c r="T3885">
        <v>1</v>
      </c>
      <c r="U3885">
        <v>0</v>
      </c>
      <c r="V3885" t="s">
        <v>54</v>
      </c>
      <c r="W3885">
        <v>2</v>
      </c>
    </row>
    <row r="3886" spans="1:23" x14ac:dyDescent="0.2">
      <c r="A3886">
        <v>5126010</v>
      </c>
      <c r="B3886" t="s">
        <v>18</v>
      </c>
      <c r="C3886" t="s">
        <v>19</v>
      </c>
      <c r="D3886" t="s">
        <v>20</v>
      </c>
      <c r="E3886">
        <v>0</v>
      </c>
      <c r="F3886">
        <v>270000</v>
      </c>
      <c r="G3886" t="s">
        <v>35</v>
      </c>
      <c r="H3886" t="s">
        <v>27</v>
      </c>
      <c r="I3886" t="s">
        <v>28</v>
      </c>
      <c r="J3886" t="s">
        <v>24</v>
      </c>
      <c r="K3886" s="6">
        <f t="shared" ca="1" si="248"/>
        <v>25658</v>
      </c>
      <c r="L3886">
        <v>-20103</v>
      </c>
      <c r="M3886" s="7">
        <f t="shared" ca="1" si="246"/>
        <v>55.039014373716633</v>
      </c>
      <c r="N3886" s="5" t="str">
        <f ca="1">VLOOKUP(Data!M3886,temp!$B$3:$C$9,2,1)</f>
        <v>50-60</v>
      </c>
      <c r="O3886">
        <v>-1444</v>
      </c>
      <c r="P3886" s="8">
        <f t="shared" si="247"/>
        <v>3.9534565366187544</v>
      </c>
      <c r="Q3886" s="5" t="str">
        <f t="shared" si="249"/>
        <v>Employed</v>
      </c>
      <c r="R3886">
        <v>1</v>
      </c>
      <c r="S3886">
        <v>1</v>
      </c>
      <c r="T3886">
        <v>1</v>
      </c>
      <c r="U3886">
        <v>0</v>
      </c>
      <c r="V3886" t="s">
        <v>54</v>
      </c>
      <c r="W3886">
        <v>2</v>
      </c>
    </row>
    <row r="3887" spans="1:23" x14ac:dyDescent="0.2">
      <c r="A3887">
        <v>5126018</v>
      </c>
      <c r="B3887" t="s">
        <v>18</v>
      </c>
      <c r="C3887" t="s">
        <v>19</v>
      </c>
      <c r="D3887" t="s">
        <v>19</v>
      </c>
      <c r="E3887">
        <v>1</v>
      </c>
      <c r="F3887">
        <v>112500</v>
      </c>
      <c r="G3887" t="s">
        <v>31</v>
      </c>
      <c r="H3887" t="s">
        <v>27</v>
      </c>
      <c r="I3887" t="s">
        <v>37</v>
      </c>
      <c r="J3887" t="s">
        <v>24</v>
      </c>
      <c r="K3887" s="6">
        <f t="shared" ca="1" si="248"/>
        <v>30973</v>
      </c>
      <c r="L3887">
        <v>-14788</v>
      </c>
      <c r="M3887" s="7">
        <f t="shared" ca="1" si="246"/>
        <v>40.487337440109513</v>
      </c>
      <c r="N3887" s="5" t="str">
        <f ca="1">VLOOKUP(Data!M3887,temp!$B$3:$C$9,2,1)</f>
        <v>40-50</v>
      </c>
      <c r="O3887">
        <v>-2661</v>
      </c>
      <c r="P3887" s="8">
        <f t="shared" si="247"/>
        <v>7.2854209445585214</v>
      </c>
      <c r="Q3887" s="5" t="str">
        <f t="shared" si="249"/>
        <v>Employed</v>
      </c>
      <c r="R3887">
        <v>1</v>
      </c>
      <c r="S3887">
        <v>1</v>
      </c>
      <c r="T3887">
        <v>1</v>
      </c>
      <c r="U3887">
        <v>0</v>
      </c>
      <c r="V3887" t="s">
        <v>38</v>
      </c>
      <c r="W3887">
        <v>3</v>
      </c>
    </row>
    <row r="3888" spans="1:23" x14ac:dyDescent="0.2">
      <c r="A3888">
        <v>5126019</v>
      </c>
      <c r="B3888" t="s">
        <v>18</v>
      </c>
      <c r="C3888" t="s">
        <v>19</v>
      </c>
      <c r="D3888" t="s">
        <v>19</v>
      </c>
      <c r="E3888">
        <v>1</v>
      </c>
      <c r="F3888">
        <v>112500</v>
      </c>
      <c r="G3888" t="s">
        <v>31</v>
      </c>
      <c r="H3888" t="s">
        <v>27</v>
      </c>
      <c r="I3888" t="s">
        <v>37</v>
      </c>
      <c r="J3888" t="s">
        <v>24</v>
      </c>
      <c r="K3888" s="6">
        <f t="shared" ca="1" si="248"/>
        <v>30973</v>
      </c>
      <c r="L3888">
        <v>-14788</v>
      </c>
      <c r="M3888" s="7">
        <f t="shared" ca="1" si="246"/>
        <v>40.487337440109513</v>
      </c>
      <c r="N3888" s="5" t="str">
        <f ca="1">VLOOKUP(Data!M3888,temp!$B$3:$C$9,2,1)</f>
        <v>40-50</v>
      </c>
      <c r="O3888">
        <v>-2661</v>
      </c>
      <c r="P3888" s="8">
        <f t="shared" si="247"/>
        <v>7.2854209445585214</v>
      </c>
      <c r="Q3888" s="5" t="str">
        <f t="shared" si="249"/>
        <v>Employed</v>
      </c>
      <c r="R3888">
        <v>1</v>
      </c>
      <c r="S3888">
        <v>1</v>
      </c>
      <c r="T3888">
        <v>1</v>
      </c>
      <c r="U3888">
        <v>0</v>
      </c>
      <c r="V3888" t="s">
        <v>38</v>
      </c>
      <c r="W3888">
        <v>3</v>
      </c>
    </row>
    <row r="3889" spans="1:23" x14ac:dyDescent="0.2">
      <c r="A3889">
        <v>5126020</v>
      </c>
      <c r="B3889" t="s">
        <v>18</v>
      </c>
      <c r="C3889" t="s">
        <v>19</v>
      </c>
      <c r="D3889" t="s">
        <v>19</v>
      </c>
      <c r="E3889">
        <v>1</v>
      </c>
      <c r="F3889">
        <v>112500</v>
      </c>
      <c r="G3889" t="s">
        <v>31</v>
      </c>
      <c r="H3889" t="s">
        <v>27</v>
      </c>
      <c r="I3889" t="s">
        <v>37</v>
      </c>
      <c r="J3889" t="s">
        <v>24</v>
      </c>
      <c r="K3889" s="6">
        <f t="shared" ca="1" si="248"/>
        <v>30973</v>
      </c>
      <c r="L3889">
        <v>-14788</v>
      </c>
      <c r="M3889" s="7">
        <f t="shared" ca="1" si="246"/>
        <v>40.487337440109513</v>
      </c>
      <c r="N3889" s="5" t="str">
        <f ca="1">VLOOKUP(Data!M3889,temp!$B$3:$C$9,2,1)</f>
        <v>40-50</v>
      </c>
      <c r="O3889">
        <v>-2661</v>
      </c>
      <c r="P3889" s="8">
        <f t="shared" si="247"/>
        <v>7.2854209445585214</v>
      </c>
      <c r="Q3889" s="5" t="str">
        <f t="shared" si="249"/>
        <v>Employed</v>
      </c>
      <c r="R3889">
        <v>1</v>
      </c>
      <c r="S3889">
        <v>1</v>
      </c>
      <c r="T3889">
        <v>1</v>
      </c>
      <c r="U3889">
        <v>0</v>
      </c>
      <c r="V3889" t="s">
        <v>38</v>
      </c>
      <c r="W3889">
        <v>3</v>
      </c>
    </row>
    <row r="3890" spans="1:23" x14ac:dyDescent="0.2">
      <c r="A3890">
        <v>5126022</v>
      </c>
      <c r="B3890" t="s">
        <v>18</v>
      </c>
      <c r="C3890" t="s">
        <v>19</v>
      </c>
      <c r="D3890" t="s">
        <v>19</v>
      </c>
      <c r="E3890">
        <v>1</v>
      </c>
      <c r="F3890">
        <v>112500</v>
      </c>
      <c r="G3890" t="s">
        <v>31</v>
      </c>
      <c r="H3890" t="s">
        <v>27</v>
      </c>
      <c r="I3890" t="s">
        <v>37</v>
      </c>
      <c r="J3890" t="s">
        <v>24</v>
      </c>
      <c r="K3890" s="6">
        <f t="shared" ca="1" si="248"/>
        <v>30973</v>
      </c>
      <c r="L3890">
        <v>-14788</v>
      </c>
      <c r="M3890" s="7">
        <f t="shared" ca="1" si="246"/>
        <v>40.487337440109513</v>
      </c>
      <c r="N3890" s="5" t="str">
        <f ca="1">VLOOKUP(Data!M3890,temp!$B$3:$C$9,2,1)</f>
        <v>40-50</v>
      </c>
      <c r="O3890">
        <v>-2661</v>
      </c>
      <c r="P3890" s="8">
        <f t="shared" si="247"/>
        <v>7.2854209445585214</v>
      </c>
      <c r="Q3890" s="5" t="str">
        <f t="shared" si="249"/>
        <v>Employed</v>
      </c>
      <c r="R3890">
        <v>1</v>
      </c>
      <c r="S3890">
        <v>1</v>
      </c>
      <c r="T3890">
        <v>1</v>
      </c>
      <c r="U3890">
        <v>0</v>
      </c>
      <c r="V3890" t="s">
        <v>38</v>
      </c>
      <c r="W3890">
        <v>3</v>
      </c>
    </row>
    <row r="3891" spans="1:23" x14ac:dyDescent="0.2">
      <c r="A3891">
        <v>5126044</v>
      </c>
      <c r="B3891" t="s">
        <v>25</v>
      </c>
      <c r="C3891" t="s">
        <v>20</v>
      </c>
      <c r="D3891" t="s">
        <v>20</v>
      </c>
      <c r="E3891">
        <v>2</v>
      </c>
      <c r="F3891">
        <v>112500</v>
      </c>
      <c r="G3891" t="s">
        <v>31</v>
      </c>
      <c r="H3891" t="s">
        <v>27</v>
      </c>
      <c r="I3891" t="s">
        <v>28</v>
      </c>
      <c r="J3891" t="s">
        <v>24</v>
      </c>
      <c r="K3891" s="6">
        <f t="shared" ca="1" si="248"/>
        <v>35727</v>
      </c>
      <c r="L3891">
        <v>-10034</v>
      </c>
      <c r="M3891" s="7">
        <f t="shared" ca="1" si="246"/>
        <v>27.471594798083505</v>
      </c>
      <c r="N3891" s="5" t="str">
        <f ca="1">VLOOKUP(Data!M3891,temp!$B$3:$C$9,2,1)</f>
        <v>20-30</v>
      </c>
      <c r="O3891">
        <v>-1840</v>
      </c>
      <c r="P3891" s="8">
        <f t="shared" si="247"/>
        <v>5.0376454483230662</v>
      </c>
      <c r="Q3891" s="5" t="str">
        <f t="shared" si="249"/>
        <v>Employed</v>
      </c>
      <c r="R3891">
        <v>1</v>
      </c>
      <c r="S3891">
        <v>1</v>
      </c>
      <c r="T3891">
        <v>0</v>
      </c>
      <c r="U3891">
        <v>0</v>
      </c>
      <c r="V3891" t="s">
        <v>50</v>
      </c>
      <c r="W3891">
        <v>4</v>
      </c>
    </row>
    <row r="3892" spans="1:23" x14ac:dyDescent="0.2">
      <c r="A3892">
        <v>5126046</v>
      </c>
      <c r="B3892" t="s">
        <v>25</v>
      </c>
      <c r="C3892" t="s">
        <v>20</v>
      </c>
      <c r="D3892" t="s">
        <v>20</v>
      </c>
      <c r="E3892">
        <v>0</v>
      </c>
      <c r="F3892">
        <v>121500</v>
      </c>
      <c r="G3892" t="s">
        <v>26</v>
      </c>
      <c r="H3892" t="s">
        <v>27</v>
      </c>
      <c r="I3892" t="s">
        <v>28</v>
      </c>
      <c r="J3892" t="s">
        <v>24</v>
      </c>
      <c r="K3892" s="6">
        <f t="shared" ca="1" si="248"/>
        <v>26503</v>
      </c>
      <c r="L3892">
        <v>-19258</v>
      </c>
      <c r="M3892" s="7">
        <f t="shared" ca="1" si="246"/>
        <v>52.725530458590008</v>
      </c>
      <c r="N3892" s="5" t="str">
        <f ca="1">VLOOKUP(Data!M3892,temp!$B$3:$C$9,2,1)</f>
        <v>50-60</v>
      </c>
      <c r="O3892">
        <v>-3605</v>
      </c>
      <c r="P3892" s="8">
        <f t="shared" si="247"/>
        <v>9.8699520876112246</v>
      </c>
      <c r="Q3892" s="5" t="str">
        <f t="shared" si="249"/>
        <v>Employed</v>
      </c>
      <c r="R3892">
        <v>1</v>
      </c>
      <c r="S3892">
        <v>1</v>
      </c>
      <c r="T3892">
        <v>1</v>
      </c>
      <c r="U3892">
        <v>0</v>
      </c>
      <c r="V3892" t="s">
        <v>30</v>
      </c>
      <c r="W3892">
        <v>2</v>
      </c>
    </row>
    <row r="3893" spans="1:23" x14ac:dyDescent="0.2">
      <c r="A3893">
        <v>5126048</v>
      </c>
      <c r="B3893" t="s">
        <v>18</v>
      </c>
      <c r="C3893" t="s">
        <v>20</v>
      </c>
      <c r="D3893" t="s">
        <v>19</v>
      </c>
      <c r="E3893">
        <v>1</v>
      </c>
      <c r="F3893">
        <v>67500</v>
      </c>
      <c r="G3893" t="s">
        <v>35</v>
      </c>
      <c r="H3893" t="s">
        <v>22</v>
      </c>
      <c r="I3893" t="s">
        <v>28</v>
      </c>
      <c r="J3893" t="s">
        <v>24</v>
      </c>
      <c r="K3893" s="6">
        <f t="shared" ca="1" si="248"/>
        <v>31885</v>
      </c>
      <c r="L3893">
        <v>-13876</v>
      </c>
      <c r="M3893" s="7">
        <f t="shared" ca="1" si="246"/>
        <v>37.990417522245039</v>
      </c>
      <c r="N3893" s="5" t="str">
        <f ca="1">VLOOKUP(Data!M3893,temp!$B$3:$C$9,2,1)</f>
        <v>30-40</v>
      </c>
      <c r="O3893">
        <v>-5370</v>
      </c>
      <c r="P3893" s="8">
        <f t="shared" si="247"/>
        <v>14.702258726899384</v>
      </c>
      <c r="Q3893" s="5" t="str">
        <f t="shared" si="249"/>
        <v>Employed</v>
      </c>
      <c r="R3893">
        <v>1</v>
      </c>
      <c r="S3893">
        <v>1</v>
      </c>
      <c r="T3893">
        <v>0</v>
      </c>
      <c r="U3893">
        <v>0</v>
      </c>
      <c r="V3893" t="s">
        <v>47</v>
      </c>
      <c r="W3893">
        <v>3</v>
      </c>
    </row>
    <row r="3894" spans="1:23" x14ac:dyDescent="0.2">
      <c r="A3894">
        <v>5126053</v>
      </c>
      <c r="B3894" t="s">
        <v>18</v>
      </c>
      <c r="C3894" t="s">
        <v>20</v>
      </c>
      <c r="D3894" t="s">
        <v>19</v>
      </c>
      <c r="E3894">
        <v>1</v>
      </c>
      <c r="F3894">
        <v>67500</v>
      </c>
      <c r="G3894" t="s">
        <v>35</v>
      </c>
      <c r="H3894" t="s">
        <v>22</v>
      </c>
      <c r="I3894" t="s">
        <v>28</v>
      </c>
      <c r="J3894" t="s">
        <v>24</v>
      </c>
      <c r="K3894" s="6">
        <f t="shared" ca="1" si="248"/>
        <v>31885</v>
      </c>
      <c r="L3894">
        <v>-13876</v>
      </c>
      <c r="M3894" s="7">
        <f t="shared" ca="1" si="246"/>
        <v>37.990417522245039</v>
      </c>
      <c r="N3894" s="5" t="str">
        <f ca="1">VLOOKUP(Data!M3894,temp!$B$3:$C$9,2,1)</f>
        <v>30-40</v>
      </c>
      <c r="O3894">
        <v>-5370</v>
      </c>
      <c r="P3894" s="8">
        <f t="shared" si="247"/>
        <v>14.702258726899384</v>
      </c>
      <c r="Q3894" s="5" t="str">
        <f t="shared" si="249"/>
        <v>Employed</v>
      </c>
      <c r="R3894">
        <v>1</v>
      </c>
      <c r="S3894">
        <v>1</v>
      </c>
      <c r="T3894">
        <v>0</v>
      </c>
      <c r="U3894">
        <v>0</v>
      </c>
      <c r="V3894" t="s">
        <v>47</v>
      </c>
      <c r="W3894">
        <v>3</v>
      </c>
    </row>
    <row r="3895" spans="1:23" x14ac:dyDescent="0.2">
      <c r="A3895">
        <v>5126068</v>
      </c>
      <c r="B3895" t="s">
        <v>18</v>
      </c>
      <c r="C3895" t="s">
        <v>20</v>
      </c>
      <c r="D3895" t="s">
        <v>19</v>
      </c>
      <c r="E3895">
        <v>0</v>
      </c>
      <c r="F3895">
        <v>135000</v>
      </c>
      <c r="G3895" t="s">
        <v>31</v>
      </c>
      <c r="H3895" t="s">
        <v>22</v>
      </c>
      <c r="I3895" t="s">
        <v>28</v>
      </c>
      <c r="J3895" t="s">
        <v>24</v>
      </c>
      <c r="K3895" s="6">
        <f t="shared" ca="1" si="248"/>
        <v>33021</v>
      </c>
      <c r="L3895">
        <v>-12740</v>
      </c>
      <c r="M3895" s="7">
        <f t="shared" ca="1" si="246"/>
        <v>34.880219028062967</v>
      </c>
      <c r="N3895" s="5" t="str">
        <f ca="1">VLOOKUP(Data!M3895,temp!$B$3:$C$9,2,1)</f>
        <v>30-40</v>
      </c>
      <c r="O3895">
        <v>-1656</v>
      </c>
      <c r="P3895" s="8">
        <f t="shared" si="247"/>
        <v>4.5338809034907595</v>
      </c>
      <c r="Q3895" s="5" t="str">
        <f t="shared" si="249"/>
        <v>Employed</v>
      </c>
      <c r="R3895">
        <v>1</v>
      </c>
      <c r="S3895">
        <v>1</v>
      </c>
      <c r="T3895">
        <v>1</v>
      </c>
      <c r="U3895">
        <v>0</v>
      </c>
      <c r="W3895">
        <v>2</v>
      </c>
    </row>
    <row r="3896" spans="1:23" x14ac:dyDescent="0.2">
      <c r="A3896">
        <v>5126079</v>
      </c>
      <c r="B3896" t="s">
        <v>18</v>
      </c>
      <c r="C3896" t="s">
        <v>19</v>
      </c>
      <c r="D3896" t="s">
        <v>20</v>
      </c>
      <c r="E3896">
        <v>1</v>
      </c>
      <c r="F3896">
        <v>112500</v>
      </c>
      <c r="G3896" t="s">
        <v>35</v>
      </c>
      <c r="H3896" t="s">
        <v>27</v>
      </c>
      <c r="I3896" t="s">
        <v>28</v>
      </c>
      <c r="J3896" t="s">
        <v>24</v>
      </c>
      <c r="K3896" s="6">
        <f t="shared" ca="1" si="248"/>
        <v>30874</v>
      </c>
      <c r="L3896">
        <v>-14887</v>
      </c>
      <c r="M3896" s="7">
        <f t="shared" ca="1" si="246"/>
        <v>40.758384668035589</v>
      </c>
      <c r="N3896" s="5" t="str">
        <f ca="1">VLOOKUP(Data!M3896,temp!$B$3:$C$9,2,1)</f>
        <v>40-50</v>
      </c>
      <c r="O3896">
        <v>-2599</v>
      </c>
      <c r="P3896" s="8">
        <f t="shared" si="247"/>
        <v>7.1156741957563314</v>
      </c>
      <c r="Q3896" s="5" t="str">
        <f t="shared" si="249"/>
        <v>Employed</v>
      </c>
      <c r="R3896">
        <v>1</v>
      </c>
      <c r="S3896">
        <v>0</v>
      </c>
      <c r="T3896">
        <v>0</v>
      </c>
      <c r="U3896">
        <v>0</v>
      </c>
      <c r="V3896" t="s">
        <v>32</v>
      </c>
      <c r="W3896">
        <v>3</v>
      </c>
    </row>
    <row r="3897" spans="1:23" x14ac:dyDescent="0.2">
      <c r="A3897">
        <v>5126099</v>
      </c>
      <c r="B3897" t="s">
        <v>18</v>
      </c>
      <c r="C3897" t="s">
        <v>19</v>
      </c>
      <c r="D3897" t="s">
        <v>19</v>
      </c>
      <c r="E3897">
        <v>0</v>
      </c>
      <c r="F3897">
        <v>157500</v>
      </c>
      <c r="G3897" t="s">
        <v>26</v>
      </c>
      <c r="H3897" t="s">
        <v>27</v>
      </c>
      <c r="I3897" t="s">
        <v>28</v>
      </c>
      <c r="J3897" t="s">
        <v>24</v>
      </c>
      <c r="K3897" s="6">
        <f t="shared" ca="1" si="248"/>
        <v>35336</v>
      </c>
      <c r="L3897">
        <v>-10425</v>
      </c>
      <c r="M3897" s="7">
        <f t="shared" ca="1" si="246"/>
        <v>28.542094455852155</v>
      </c>
      <c r="N3897" s="5" t="str">
        <f ca="1">VLOOKUP(Data!M3897,temp!$B$3:$C$9,2,1)</f>
        <v>20-30</v>
      </c>
      <c r="O3897">
        <v>-1534</v>
      </c>
      <c r="P3897" s="8">
        <f t="shared" si="247"/>
        <v>4.1998631074606436</v>
      </c>
      <c r="Q3897" s="5" t="str">
        <f t="shared" si="249"/>
        <v>Employed</v>
      </c>
      <c r="R3897">
        <v>1</v>
      </c>
      <c r="S3897">
        <v>1</v>
      </c>
      <c r="T3897">
        <v>1</v>
      </c>
      <c r="U3897">
        <v>0</v>
      </c>
      <c r="V3897" t="s">
        <v>39</v>
      </c>
      <c r="W3897">
        <v>2</v>
      </c>
    </row>
    <row r="3898" spans="1:23" x14ac:dyDescent="0.2">
      <c r="A3898">
        <v>5126100</v>
      </c>
      <c r="B3898" t="s">
        <v>18</v>
      </c>
      <c r="C3898" t="s">
        <v>19</v>
      </c>
      <c r="D3898" t="s">
        <v>20</v>
      </c>
      <c r="E3898">
        <v>0</v>
      </c>
      <c r="F3898">
        <v>112500</v>
      </c>
      <c r="G3898" t="s">
        <v>21</v>
      </c>
      <c r="H3898" t="s">
        <v>27</v>
      </c>
      <c r="I3898" t="s">
        <v>28</v>
      </c>
      <c r="J3898" t="s">
        <v>24</v>
      </c>
      <c r="K3898" s="6">
        <f t="shared" ca="1" si="248"/>
        <v>24719</v>
      </c>
      <c r="L3898">
        <v>-21042</v>
      </c>
      <c r="M3898" s="7">
        <f t="shared" ca="1" si="246"/>
        <v>57.609856262833674</v>
      </c>
      <c r="N3898" s="5" t="str">
        <f ca="1">VLOOKUP(Data!M3898,temp!$B$3:$C$9,2,1)</f>
        <v>50-60</v>
      </c>
      <c r="O3898">
        <v>365243</v>
      </c>
      <c r="P3898" s="8">
        <f t="shared" si="247"/>
        <v>0</v>
      </c>
      <c r="Q3898" s="5" t="str">
        <f t="shared" si="249"/>
        <v>Unemployed</v>
      </c>
      <c r="R3898">
        <v>1</v>
      </c>
      <c r="S3898">
        <v>0</v>
      </c>
      <c r="T3898">
        <v>1</v>
      </c>
      <c r="U3898">
        <v>0</v>
      </c>
      <c r="W3898">
        <v>2</v>
      </c>
    </row>
    <row r="3899" spans="1:23" x14ac:dyDescent="0.2">
      <c r="A3899">
        <v>5126103</v>
      </c>
      <c r="B3899" t="s">
        <v>18</v>
      </c>
      <c r="C3899" t="s">
        <v>19</v>
      </c>
      <c r="D3899" t="s">
        <v>20</v>
      </c>
      <c r="E3899">
        <v>0</v>
      </c>
      <c r="F3899">
        <v>112500</v>
      </c>
      <c r="G3899" t="s">
        <v>21</v>
      </c>
      <c r="H3899" t="s">
        <v>27</v>
      </c>
      <c r="I3899" t="s">
        <v>28</v>
      </c>
      <c r="J3899" t="s">
        <v>24</v>
      </c>
      <c r="K3899" s="6">
        <f t="shared" ca="1" si="248"/>
        <v>24719</v>
      </c>
      <c r="L3899">
        <v>-21042</v>
      </c>
      <c r="M3899" s="7">
        <f t="shared" ca="1" si="246"/>
        <v>57.609856262833674</v>
      </c>
      <c r="N3899" s="5" t="str">
        <f ca="1">VLOOKUP(Data!M3899,temp!$B$3:$C$9,2,1)</f>
        <v>50-60</v>
      </c>
      <c r="O3899">
        <v>365243</v>
      </c>
      <c r="P3899" s="8">
        <f t="shared" si="247"/>
        <v>0</v>
      </c>
      <c r="Q3899" s="5" t="str">
        <f t="shared" si="249"/>
        <v>Unemployed</v>
      </c>
      <c r="R3899">
        <v>1</v>
      </c>
      <c r="S3899">
        <v>0</v>
      </c>
      <c r="T3899">
        <v>1</v>
      </c>
      <c r="U3899">
        <v>0</v>
      </c>
      <c r="W3899">
        <v>2</v>
      </c>
    </row>
    <row r="3900" spans="1:23" x14ac:dyDescent="0.2">
      <c r="A3900">
        <v>5126118</v>
      </c>
      <c r="B3900" t="s">
        <v>18</v>
      </c>
      <c r="C3900" t="s">
        <v>20</v>
      </c>
      <c r="D3900" t="s">
        <v>19</v>
      </c>
      <c r="E3900">
        <v>0</v>
      </c>
      <c r="F3900">
        <v>360000</v>
      </c>
      <c r="G3900" t="s">
        <v>26</v>
      </c>
      <c r="H3900" t="s">
        <v>36</v>
      </c>
      <c r="I3900" t="s">
        <v>28</v>
      </c>
      <c r="J3900" t="s">
        <v>24</v>
      </c>
      <c r="K3900" s="6">
        <f t="shared" ca="1" si="248"/>
        <v>29577</v>
      </c>
      <c r="L3900">
        <v>-16184</v>
      </c>
      <c r="M3900" s="7">
        <f t="shared" ca="1" si="246"/>
        <v>44.309377138945926</v>
      </c>
      <c r="N3900" s="5" t="str">
        <f ca="1">VLOOKUP(Data!M3900,temp!$B$3:$C$9,2,1)</f>
        <v>40-50</v>
      </c>
      <c r="O3900">
        <v>-1688</v>
      </c>
      <c r="P3900" s="8">
        <f t="shared" si="247"/>
        <v>4.6214921286789874</v>
      </c>
      <c r="Q3900" s="5" t="str">
        <f t="shared" si="249"/>
        <v>Employed</v>
      </c>
      <c r="R3900">
        <v>1</v>
      </c>
      <c r="S3900">
        <v>1</v>
      </c>
      <c r="T3900">
        <v>1</v>
      </c>
      <c r="U3900">
        <v>0</v>
      </c>
      <c r="V3900" t="s">
        <v>32</v>
      </c>
      <c r="W3900">
        <v>2</v>
      </c>
    </row>
    <row r="3901" spans="1:23" x14ac:dyDescent="0.2">
      <c r="A3901">
        <v>5126121</v>
      </c>
      <c r="B3901" t="s">
        <v>18</v>
      </c>
      <c r="C3901" t="s">
        <v>20</v>
      </c>
      <c r="D3901" t="s">
        <v>19</v>
      </c>
      <c r="E3901">
        <v>0</v>
      </c>
      <c r="F3901">
        <v>72000</v>
      </c>
      <c r="G3901" t="s">
        <v>31</v>
      </c>
      <c r="H3901" t="s">
        <v>27</v>
      </c>
      <c r="I3901" t="s">
        <v>28</v>
      </c>
      <c r="J3901" t="s">
        <v>24</v>
      </c>
      <c r="K3901" s="6">
        <f t="shared" ca="1" si="248"/>
        <v>30576</v>
      </c>
      <c r="L3901">
        <v>-15185</v>
      </c>
      <c r="M3901" s="7">
        <f t="shared" ca="1" si="246"/>
        <v>41.574264202600958</v>
      </c>
      <c r="N3901" s="5" t="str">
        <f ca="1">VLOOKUP(Data!M3901,temp!$B$3:$C$9,2,1)</f>
        <v>40-50</v>
      </c>
      <c r="O3901">
        <v>-227</v>
      </c>
      <c r="P3901" s="8">
        <f t="shared" si="247"/>
        <v>0.62149212867898695</v>
      </c>
      <c r="Q3901" s="5" t="str">
        <f t="shared" si="249"/>
        <v>Employed</v>
      </c>
      <c r="R3901">
        <v>1</v>
      </c>
      <c r="S3901">
        <v>1</v>
      </c>
      <c r="T3901">
        <v>1</v>
      </c>
      <c r="U3901">
        <v>0</v>
      </c>
      <c r="V3901" t="s">
        <v>50</v>
      </c>
      <c r="W3901">
        <v>2</v>
      </c>
    </row>
    <row r="3902" spans="1:23" x14ac:dyDescent="0.2">
      <c r="A3902">
        <v>5126123</v>
      </c>
      <c r="B3902" t="s">
        <v>18</v>
      </c>
      <c r="C3902" t="s">
        <v>20</v>
      </c>
      <c r="D3902" t="s">
        <v>19</v>
      </c>
      <c r="E3902">
        <v>0</v>
      </c>
      <c r="F3902">
        <v>72000</v>
      </c>
      <c r="G3902" t="s">
        <v>31</v>
      </c>
      <c r="H3902" t="s">
        <v>27</v>
      </c>
      <c r="I3902" t="s">
        <v>28</v>
      </c>
      <c r="J3902" t="s">
        <v>24</v>
      </c>
      <c r="K3902" s="6">
        <f t="shared" ca="1" si="248"/>
        <v>30576</v>
      </c>
      <c r="L3902">
        <v>-15185</v>
      </c>
      <c r="M3902" s="7">
        <f t="shared" ca="1" si="246"/>
        <v>41.574264202600958</v>
      </c>
      <c r="N3902" s="5" t="str">
        <f ca="1">VLOOKUP(Data!M3902,temp!$B$3:$C$9,2,1)</f>
        <v>40-50</v>
      </c>
      <c r="O3902">
        <v>-227</v>
      </c>
      <c r="P3902" s="8">
        <f t="shared" si="247"/>
        <v>0.62149212867898695</v>
      </c>
      <c r="Q3902" s="5" t="str">
        <f t="shared" si="249"/>
        <v>Employed</v>
      </c>
      <c r="R3902">
        <v>1</v>
      </c>
      <c r="S3902">
        <v>1</v>
      </c>
      <c r="T3902">
        <v>1</v>
      </c>
      <c r="U3902">
        <v>0</v>
      </c>
      <c r="V3902" t="s">
        <v>50</v>
      </c>
      <c r="W3902">
        <v>2</v>
      </c>
    </row>
    <row r="3903" spans="1:23" x14ac:dyDescent="0.2">
      <c r="A3903">
        <v>5126124</v>
      </c>
      <c r="B3903" t="s">
        <v>18</v>
      </c>
      <c r="C3903" t="s">
        <v>20</v>
      </c>
      <c r="D3903" t="s">
        <v>19</v>
      </c>
      <c r="E3903">
        <v>0</v>
      </c>
      <c r="F3903">
        <v>72000</v>
      </c>
      <c r="G3903" t="s">
        <v>31</v>
      </c>
      <c r="H3903" t="s">
        <v>27</v>
      </c>
      <c r="I3903" t="s">
        <v>28</v>
      </c>
      <c r="J3903" t="s">
        <v>24</v>
      </c>
      <c r="K3903" s="6">
        <f t="shared" ca="1" si="248"/>
        <v>30576</v>
      </c>
      <c r="L3903">
        <v>-15185</v>
      </c>
      <c r="M3903" s="7">
        <f t="shared" ca="1" si="246"/>
        <v>41.574264202600958</v>
      </c>
      <c r="N3903" s="5" t="str">
        <f ca="1">VLOOKUP(Data!M3903,temp!$B$3:$C$9,2,1)</f>
        <v>40-50</v>
      </c>
      <c r="O3903">
        <v>-227</v>
      </c>
      <c r="P3903" s="8">
        <f t="shared" si="247"/>
        <v>0.62149212867898695</v>
      </c>
      <c r="Q3903" s="5" t="str">
        <f t="shared" si="249"/>
        <v>Employed</v>
      </c>
      <c r="R3903">
        <v>1</v>
      </c>
      <c r="S3903">
        <v>1</v>
      </c>
      <c r="T3903">
        <v>1</v>
      </c>
      <c r="U3903">
        <v>0</v>
      </c>
      <c r="V3903" t="s">
        <v>50</v>
      </c>
      <c r="W3903">
        <v>2</v>
      </c>
    </row>
    <row r="3904" spans="1:23" x14ac:dyDescent="0.2">
      <c r="A3904">
        <v>5126125</v>
      </c>
      <c r="B3904" t="s">
        <v>18</v>
      </c>
      <c r="C3904" t="s">
        <v>20</v>
      </c>
      <c r="D3904" t="s">
        <v>19</v>
      </c>
      <c r="E3904">
        <v>0</v>
      </c>
      <c r="F3904">
        <v>72000</v>
      </c>
      <c r="G3904" t="s">
        <v>31</v>
      </c>
      <c r="H3904" t="s">
        <v>27</v>
      </c>
      <c r="I3904" t="s">
        <v>28</v>
      </c>
      <c r="J3904" t="s">
        <v>24</v>
      </c>
      <c r="K3904" s="6">
        <f t="shared" ca="1" si="248"/>
        <v>30576</v>
      </c>
      <c r="L3904">
        <v>-15185</v>
      </c>
      <c r="M3904" s="7">
        <f t="shared" ca="1" si="246"/>
        <v>41.574264202600958</v>
      </c>
      <c r="N3904" s="5" t="str">
        <f ca="1">VLOOKUP(Data!M3904,temp!$B$3:$C$9,2,1)</f>
        <v>40-50</v>
      </c>
      <c r="O3904">
        <v>-227</v>
      </c>
      <c r="P3904" s="8">
        <f t="shared" si="247"/>
        <v>0.62149212867898695</v>
      </c>
      <c r="Q3904" s="5" t="str">
        <f t="shared" si="249"/>
        <v>Employed</v>
      </c>
      <c r="R3904">
        <v>1</v>
      </c>
      <c r="S3904">
        <v>1</v>
      </c>
      <c r="T3904">
        <v>1</v>
      </c>
      <c r="U3904">
        <v>0</v>
      </c>
      <c r="V3904" t="s">
        <v>50</v>
      </c>
      <c r="W3904">
        <v>2</v>
      </c>
    </row>
    <row r="3905" spans="1:23" x14ac:dyDescent="0.2">
      <c r="A3905">
        <v>5126135</v>
      </c>
      <c r="B3905" t="s">
        <v>25</v>
      </c>
      <c r="C3905" t="s">
        <v>20</v>
      </c>
      <c r="D3905" t="s">
        <v>19</v>
      </c>
      <c r="E3905">
        <v>2</v>
      </c>
      <c r="F3905">
        <v>202500</v>
      </c>
      <c r="G3905" t="s">
        <v>31</v>
      </c>
      <c r="H3905" t="s">
        <v>27</v>
      </c>
      <c r="I3905" t="s">
        <v>28</v>
      </c>
      <c r="J3905" t="s">
        <v>24</v>
      </c>
      <c r="K3905" s="6">
        <f t="shared" ca="1" si="248"/>
        <v>29857</v>
      </c>
      <c r="L3905">
        <v>-15904</v>
      </c>
      <c r="M3905" s="7">
        <f t="shared" ca="1" si="246"/>
        <v>43.54277891854894</v>
      </c>
      <c r="N3905" s="5" t="str">
        <f ca="1">VLOOKUP(Data!M3905,temp!$B$3:$C$9,2,1)</f>
        <v>40-50</v>
      </c>
      <c r="O3905">
        <v>-3787</v>
      </c>
      <c r="P3905" s="8">
        <f t="shared" si="247"/>
        <v>10.368240930869268</v>
      </c>
      <c r="Q3905" s="5" t="str">
        <f t="shared" si="249"/>
        <v>Employed</v>
      </c>
      <c r="R3905">
        <v>1</v>
      </c>
      <c r="S3905">
        <v>0</v>
      </c>
      <c r="T3905">
        <v>0</v>
      </c>
      <c r="U3905">
        <v>0</v>
      </c>
      <c r="V3905" t="s">
        <v>29</v>
      </c>
      <c r="W3905">
        <v>4</v>
      </c>
    </row>
    <row r="3906" spans="1:23" x14ac:dyDescent="0.2">
      <c r="A3906">
        <v>5126145</v>
      </c>
      <c r="B3906" t="s">
        <v>25</v>
      </c>
      <c r="C3906" t="s">
        <v>20</v>
      </c>
      <c r="D3906" t="s">
        <v>19</v>
      </c>
      <c r="E3906">
        <v>2</v>
      </c>
      <c r="F3906">
        <v>202500</v>
      </c>
      <c r="G3906" t="s">
        <v>31</v>
      </c>
      <c r="H3906" t="s">
        <v>27</v>
      </c>
      <c r="I3906" t="s">
        <v>28</v>
      </c>
      <c r="J3906" t="s">
        <v>24</v>
      </c>
      <c r="K3906" s="6">
        <f t="shared" ca="1" si="248"/>
        <v>29857</v>
      </c>
      <c r="L3906">
        <v>-15904</v>
      </c>
      <c r="M3906" s="7">
        <f t="shared" ca="1" si="246"/>
        <v>43.54277891854894</v>
      </c>
      <c r="N3906" s="5" t="str">
        <f ca="1">VLOOKUP(Data!M3906,temp!$B$3:$C$9,2,1)</f>
        <v>40-50</v>
      </c>
      <c r="O3906">
        <v>-3787</v>
      </c>
      <c r="P3906" s="8">
        <f t="shared" si="247"/>
        <v>10.368240930869268</v>
      </c>
      <c r="Q3906" s="5" t="str">
        <f t="shared" si="249"/>
        <v>Employed</v>
      </c>
      <c r="R3906">
        <v>1</v>
      </c>
      <c r="S3906">
        <v>0</v>
      </c>
      <c r="T3906">
        <v>0</v>
      </c>
      <c r="U3906">
        <v>0</v>
      </c>
      <c r="V3906" t="s">
        <v>29</v>
      </c>
      <c r="W3906">
        <v>4</v>
      </c>
    </row>
    <row r="3907" spans="1:23" x14ac:dyDescent="0.2">
      <c r="A3907">
        <v>5126152</v>
      </c>
      <c r="B3907" t="s">
        <v>18</v>
      </c>
      <c r="C3907" t="s">
        <v>19</v>
      </c>
      <c r="D3907" t="s">
        <v>19</v>
      </c>
      <c r="E3907">
        <v>0</v>
      </c>
      <c r="F3907">
        <v>135000</v>
      </c>
      <c r="G3907" t="s">
        <v>31</v>
      </c>
      <c r="H3907" t="s">
        <v>27</v>
      </c>
      <c r="I3907" t="s">
        <v>42</v>
      </c>
      <c r="J3907" t="s">
        <v>24</v>
      </c>
      <c r="K3907" s="6">
        <f t="shared" ca="1" si="248"/>
        <v>29873</v>
      </c>
      <c r="L3907">
        <v>-15888</v>
      </c>
      <c r="M3907" s="7">
        <f t="shared" ref="M3907:M3970" ca="1" si="250">(TODAY()-K3907)/365.25</f>
        <v>43.498973305954827</v>
      </c>
      <c r="N3907" s="5" t="str">
        <f ca="1">VLOOKUP(Data!M3907,temp!$B$3:$C$9,2,1)</f>
        <v>40-50</v>
      </c>
      <c r="O3907">
        <v>-500</v>
      </c>
      <c r="P3907" s="8">
        <f t="shared" ref="P3907:P3970" si="251">IF(O3907&lt;=0,ABS(O3907)/365.25,0)</f>
        <v>1.3689253935660506</v>
      </c>
      <c r="Q3907" s="5" t="str">
        <f t="shared" si="249"/>
        <v>Employed</v>
      </c>
      <c r="R3907">
        <v>1</v>
      </c>
      <c r="S3907">
        <v>1</v>
      </c>
      <c r="T3907">
        <v>1</v>
      </c>
      <c r="U3907">
        <v>0</v>
      </c>
      <c r="V3907" t="s">
        <v>29</v>
      </c>
      <c r="W3907">
        <v>1</v>
      </c>
    </row>
    <row r="3908" spans="1:23" x14ac:dyDescent="0.2">
      <c r="A3908">
        <v>5126153</v>
      </c>
      <c r="B3908" t="s">
        <v>18</v>
      </c>
      <c r="C3908" t="s">
        <v>19</v>
      </c>
      <c r="D3908" t="s">
        <v>19</v>
      </c>
      <c r="E3908">
        <v>0</v>
      </c>
      <c r="F3908">
        <v>135000</v>
      </c>
      <c r="G3908" t="s">
        <v>31</v>
      </c>
      <c r="H3908" t="s">
        <v>27</v>
      </c>
      <c r="I3908" t="s">
        <v>42</v>
      </c>
      <c r="J3908" t="s">
        <v>24</v>
      </c>
      <c r="K3908" s="6">
        <f t="shared" ca="1" si="248"/>
        <v>29873</v>
      </c>
      <c r="L3908">
        <v>-15888</v>
      </c>
      <c r="M3908" s="7">
        <f t="shared" ca="1" si="250"/>
        <v>43.498973305954827</v>
      </c>
      <c r="N3908" s="5" t="str">
        <f ca="1">VLOOKUP(Data!M3908,temp!$B$3:$C$9,2,1)</f>
        <v>40-50</v>
      </c>
      <c r="O3908">
        <v>-500</v>
      </c>
      <c r="P3908" s="8">
        <f t="shared" si="251"/>
        <v>1.3689253935660506</v>
      </c>
      <c r="Q3908" s="5" t="str">
        <f t="shared" si="249"/>
        <v>Employed</v>
      </c>
      <c r="R3908">
        <v>1</v>
      </c>
      <c r="S3908">
        <v>1</v>
      </c>
      <c r="T3908">
        <v>1</v>
      </c>
      <c r="U3908">
        <v>0</v>
      </c>
      <c r="V3908" t="s">
        <v>29</v>
      </c>
      <c r="W3908">
        <v>1</v>
      </c>
    </row>
    <row r="3909" spans="1:23" x14ac:dyDescent="0.2">
      <c r="A3909">
        <v>5126155</v>
      </c>
      <c r="B3909" t="s">
        <v>18</v>
      </c>
      <c r="C3909" t="s">
        <v>19</v>
      </c>
      <c r="D3909" t="s">
        <v>19</v>
      </c>
      <c r="E3909">
        <v>0</v>
      </c>
      <c r="F3909">
        <v>135000</v>
      </c>
      <c r="G3909" t="s">
        <v>31</v>
      </c>
      <c r="H3909" t="s">
        <v>27</v>
      </c>
      <c r="I3909" t="s">
        <v>42</v>
      </c>
      <c r="J3909" t="s">
        <v>24</v>
      </c>
      <c r="K3909" s="6">
        <f t="shared" ca="1" si="248"/>
        <v>29873</v>
      </c>
      <c r="L3909">
        <v>-15888</v>
      </c>
      <c r="M3909" s="7">
        <f t="shared" ca="1" si="250"/>
        <v>43.498973305954827</v>
      </c>
      <c r="N3909" s="5" t="str">
        <f ca="1">VLOOKUP(Data!M3909,temp!$B$3:$C$9,2,1)</f>
        <v>40-50</v>
      </c>
      <c r="O3909">
        <v>-500</v>
      </c>
      <c r="P3909" s="8">
        <f t="shared" si="251"/>
        <v>1.3689253935660506</v>
      </c>
      <c r="Q3909" s="5" t="str">
        <f t="shared" si="249"/>
        <v>Employed</v>
      </c>
      <c r="R3909">
        <v>1</v>
      </c>
      <c r="S3909">
        <v>1</v>
      </c>
      <c r="T3909">
        <v>1</v>
      </c>
      <c r="U3909">
        <v>0</v>
      </c>
      <c r="V3909" t="s">
        <v>29</v>
      </c>
      <c r="W3909">
        <v>1</v>
      </c>
    </row>
    <row r="3910" spans="1:23" x14ac:dyDescent="0.2">
      <c r="A3910">
        <v>5126159</v>
      </c>
      <c r="B3910" t="s">
        <v>25</v>
      </c>
      <c r="C3910" t="s">
        <v>19</v>
      </c>
      <c r="D3910" t="s">
        <v>19</v>
      </c>
      <c r="E3910">
        <v>0</v>
      </c>
      <c r="F3910">
        <v>180000</v>
      </c>
      <c r="G3910" t="s">
        <v>31</v>
      </c>
      <c r="H3910" t="s">
        <v>27</v>
      </c>
      <c r="I3910" t="s">
        <v>28</v>
      </c>
      <c r="J3910" t="s">
        <v>24</v>
      </c>
      <c r="K3910" s="6">
        <f t="shared" ca="1" si="248"/>
        <v>31399</v>
      </c>
      <c r="L3910">
        <v>-14362</v>
      </c>
      <c r="M3910" s="7">
        <f t="shared" ca="1" si="250"/>
        <v>39.32101300479124</v>
      </c>
      <c r="N3910" s="5" t="str">
        <f ca="1">VLOOKUP(Data!M3910,temp!$B$3:$C$9,2,1)</f>
        <v>30-40</v>
      </c>
      <c r="O3910">
        <v>-288</v>
      </c>
      <c r="P3910" s="8">
        <f t="shared" si="251"/>
        <v>0.7885010266940452</v>
      </c>
      <c r="Q3910" s="5" t="str">
        <f t="shared" si="249"/>
        <v>Employed</v>
      </c>
      <c r="R3910">
        <v>1</v>
      </c>
      <c r="S3910">
        <v>1</v>
      </c>
      <c r="T3910">
        <v>1</v>
      </c>
      <c r="U3910">
        <v>0</v>
      </c>
      <c r="V3910" t="s">
        <v>29</v>
      </c>
      <c r="W3910">
        <v>2</v>
      </c>
    </row>
    <row r="3911" spans="1:23" x14ac:dyDescent="0.2">
      <c r="A3911">
        <v>5126163</v>
      </c>
      <c r="B3911" t="s">
        <v>18</v>
      </c>
      <c r="C3911" t="s">
        <v>19</v>
      </c>
      <c r="D3911" t="s">
        <v>19</v>
      </c>
      <c r="E3911">
        <v>0</v>
      </c>
      <c r="F3911">
        <v>144000</v>
      </c>
      <c r="G3911" t="s">
        <v>21</v>
      </c>
      <c r="H3911" t="s">
        <v>27</v>
      </c>
      <c r="I3911" t="s">
        <v>28</v>
      </c>
      <c r="J3911" t="s">
        <v>24</v>
      </c>
      <c r="K3911" s="6">
        <f t="shared" ca="1" si="248"/>
        <v>25035</v>
      </c>
      <c r="L3911">
        <v>-20726</v>
      </c>
      <c r="M3911" s="7">
        <f t="shared" ca="1" si="250"/>
        <v>56.74469541409993</v>
      </c>
      <c r="N3911" s="5" t="str">
        <f ca="1">VLOOKUP(Data!M3911,temp!$B$3:$C$9,2,1)</f>
        <v>50-60</v>
      </c>
      <c r="O3911">
        <v>365243</v>
      </c>
      <c r="P3911" s="8">
        <f t="shared" si="251"/>
        <v>0</v>
      </c>
      <c r="Q3911" s="5" t="str">
        <f t="shared" si="249"/>
        <v>Unemployed</v>
      </c>
      <c r="R3911">
        <v>1</v>
      </c>
      <c r="S3911">
        <v>0</v>
      </c>
      <c r="T3911">
        <v>1</v>
      </c>
      <c r="U3911">
        <v>0</v>
      </c>
      <c r="W3911">
        <v>2</v>
      </c>
    </row>
    <row r="3912" spans="1:23" x14ac:dyDescent="0.2">
      <c r="A3912">
        <v>5126167</v>
      </c>
      <c r="B3912" t="s">
        <v>18</v>
      </c>
      <c r="C3912" t="s">
        <v>19</v>
      </c>
      <c r="D3912" t="s">
        <v>19</v>
      </c>
      <c r="E3912">
        <v>2</v>
      </c>
      <c r="F3912">
        <v>112500</v>
      </c>
      <c r="G3912" t="s">
        <v>31</v>
      </c>
      <c r="H3912" t="s">
        <v>27</v>
      </c>
      <c r="I3912" t="s">
        <v>28</v>
      </c>
      <c r="J3912" t="s">
        <v>45</v>
      </c>
      <c r="K3912" s="6">
        <f t="shared" ref="K3912:K3975" ca="1" si="252">TODAY()+($L3912)</f>
        <v>33300</v>
      </c>
      <c r="L3912">
        <v>-12461</v>
      </c>
      <c r="M3912" s="7">
        <f t="shared" ca="1" si="250"/>
        <v>34.116358658453116</v>
      </c>
      <c r="N3912" s="5" t="str">
        <f ca="1">VLOOKUP(Data!M3912,temp!$B$3:$C$9,2,1)</f>
        <v>30-40</v>
      </c>
      <c r="O3912">
        <v>-714</v>
      </c>
      <c r="P3912" s="8">
        <f t="shared" si="251"/>
        <v>1.9548254620123204</v>
      </c>
      <c r="Q3912" s="5" t="str">
        <f t="shared" ref="Q3912:Q3975" si="253">IF($O3912&gt;0,"Unemployed","Employed")</f>
        <v>Employed</v>
      </c>
      <c r="R3912">
        <v>1</v>
      </c>
      <c r="S3912">
        <v>0</v>
      </c>
      <c r="T3912">
        <v>1</v>
      </c>
      <c r="U3912">
        <v>0</v>
      </c>
      <c r="V3912" t="s">
        <v>50</v>
      </c>
      <c r="W3912">
        <v>4</v>
      </c>
    </row>
    <row r="3913" spans="1:23" x14ac:dyDescent="0.2">
      <c r="A3913">
        <v>5126183</v>
      </c>
      <c r="B3913" t="s">
        <v>18</v>
      </c>
      <c r="C3913" t="s">
        <v>19</v>
      </c>
      <c r="D3913" t="s">
        <v>19</v>
      </c>
      <c r="E3913">
        <v>0</v>
      </c>
      <c r="F3913">
        <v>94500</v>
      </c>
      <c r="G3913" t="s">
        <v>21</v>
      </c>
      <c r="H3913" t="s">
        <v>27</v>
      </c>
      <c r="I3913" t="s">
        <v>28</v>
      </c>
      <c r="J3913" t="s">
        <v>24</v>
      </c>
      <c r="K3913" s="6">
        <f t="shared" ca="1" si="252"/>
        <v>24536</v>
      </c>
      <c r="L3913">
        <v>-21225</v>
      </c>
      <c r="M3913" s="7">
        <f t="shared" ca="1" si="250"/>
        <v>58.110882956878854</v>
      </c>
      <c r="N3913" s="5" t="str">
        <f ca="1">VLOOKUP(Data!M3913,temp!$B$3:$C$9,2,1)</f>
        <v>50-60</v>
      </c>
      <c r="O3913">
        <v>365243</v>
      </c>
      <c r="P3913" s="8">
        <f t="shared" si="251"/>
        <v>0</v>
      </c>
      <c r="Q3913" s="5" t="str">
        <f t="shared" si="253"/>
        <v>Unemployed</v>
      </c>
      <c r="R3913">
        <v>1</v>
      </c>
      <c r="S3913">
        <v>0</v>
      </c>
      <c r="T3913">
        <v>1</v>
      </c>
      <c r="U3913">
        <v>1</v>
      </c>
      <c r="W3913">
        <v>2</v>
      </c>
    </row>
    <row r="3914" spans="1:23" x14ac:dyDescent="0.2">
      <c r="A3914">
        <v>5126187</v>
      </c>
      <c r="B3914" t="s">
        <v>18</v>
      </c>
      <c r="C3914" t="s">
        <v>19</v>
      </c>
      <c r="D3914" t="s">
        <v>19</v>
      </c>
      <c r="E3914">
        <v>0</v>
      </c>
      <c r="F3914">
        <v>94500</v>
      </c>
      <c r="G3914" t="s">
        <v>21</v>
      </c>
      <c r="H3914" t="s">
        <v>27</v>
      </c>
      <c r="I3914" t="s">
        <v>28</v>
      </c>
      <c r="J3914" t="s">
        <v>24</v>
      </c>
      <c r="K3914" s="6">
        <f t="shared" ca="1" si="252"/>
        <v>24536</v>
      </c>
      <c r="L3914">
        <v>-21225</v>
      </c>
      <c r="M3914" s="7">
        <f t="shared" ca="1" si="250"/>
        <v>58.110882956878854</v>
      </c>
      <c r="N3914" s="5" t="str">
        <f ca="1">VLOOKUP(Data!M3914,temp!$B$3:$C$9,2,1)</f>
        <v>50-60</v>
      </c>
      <c r="O3914">
        <v>365243</v>
      </c>
      <c r="P3914" s="8">
        <f t="shared" si="251"/>
        <v>0</v>
      </c>
      <c r="Q3914" s="5" t="str">
        <f t="shared" si="253"/>
        <v>Unemployed</v>
      </c>
      <c r="R3914">
        <v>1</v>
      </c>
      <c r="S3914">
        <v>0</v>
      </c>
      <c r="T3914">
        <v>1</v>
      </c>
      <c r="U3914">
        <v>1</v>
      </c>
      <c r="W3914">
        <v>2</v>
      </c>
    </row>
    <row r="3915" spans="1:23" x14ac:dyDescent="0.2">
      <c r="A3915">
        <v>5126204</v>
      </c>
      <c r="B3915" t="s">
        <v>18</v>
      </c>
      <c r="C3915" t="s">
        <v>19</v>
      </c>
      <c r="D3915" t="s">
        <v>19</v>
      </c>
      <c r="E3915">
        <v>0</v>
      </c>
      <c r="F3915">
        <v>270000</v>
      </c>
      <c r="G3915" t="s">
        <v>35</v>
      </c>
      <c r="H3915" t="s">
        <v>22</v>
      </c>
      <c r="I3915" t="s">
        <v>28</v>
      </c>
      <c r="J3915" t="s">
        <v>24</v>
      </c>
      <c r="K3915" s="6">
        <f t="shared" ca="1" si="252"/>
        <v>34310</v>
      </c>
      <c r="L3915">
        <v>-11451</v>
      </c>
      <c r="M3915" s="7">
        <f t="shared" ca="1" si="250"/>
        <v>31.351129363449694</v>
      </c>
      <c r="N3915" s="5" t="str">
        <f ca="1">VLOOKUP(Data!M3915,temp!$B$3:$C$9,2,1)</f>
        <v>30-40</v>
      </c>
      <c r="O3915">
        <v>-2206</v>
      </c>
      <c r="P3915" s="8">
        <f t="shared" si="251"/>
        <v>6.0396988364134154</v>
      </c>
      <c r="Q3915" s="5" t="str">
        <f t="shared" si="253"/>
        <v>Employed</v>
      </c>
      <c r="R3915">
        <v>1</v>
      </c>
      <c r="S3915">
        <v>0</v>
      </c>
      <c r="T3915">
        <v>1</v>
      </c>
      <c r="U3915">
        <v>0</v>
      </c>
      <c r="V3915" t="s">
        <v>44</v>
      </c>
      <c r="W3915">
        <v>2</v>
      </c>
    </row>
    <row r="3916" spans="1:23" x14ac:dyDescent="0.2">
      <c r="A3916">
        <v>5126233</v>
      </c>
      <c r="B3916" t="s">
        <v>18</v>
      </c>
      <c r="C3916" t="s">
        <v>19</v>
      </c>
      <c r="D3916" t="s">
        <v>19</v>
      </c>
      <c r="E3916">
        <v>0</v>
      </c>
      <c r="F3916">
        <v>135000</v>
      </c>
      <c r="G3916" t="s">
        <v>31</v>
      </c>
      <c r="H3916" t="s">
        <v>22</v>
      </c>
      <c r="I3916" t="s">
        <v>28</v>
      </c>
      <c r="J3916" t="s">
        <v>24</v>
      </c>
      <c r="K3916" s="6">
        <f t="shared" ca="1" si="252"/>
        <v>28891</v>
      </c>
      <c r="L3916">
        <v>-16870</v>
      </c>
      <c r="M3916" s="7">
        <f t="shared" ca="1" si="250"/>
        <v>46.187542778918548</v>
      </c>
      <c r="N3916" s="5" t="str">
        <f ca="1">VLOOKUP(Data!M3916,temp!$B$3:$C$9,2,1)</f>
        <v>40-50</v>
      </c>
      <c r="O3916">
        <v>-957</v>
      </c>
      <c r="P3916" s="8">
        <f t="shared" si="251"/>
        <v>2.6201232032854209</v>
      </c>
      <c r="Q3916" s="5" t="str">
        <f t="shared" si="253"/>
        <v>Employed</v>
      </c>
      <c r="R3916">
        <v>1</v>
      </c>
      <c r="S3916">
        <v>0</v>
      </c>
      <c r="T3916">
        <v>1</v>
      </c>
      <c r="U3916">
        <v>0</v>
      </c>
      <c r="V3916" t="s">
        <v>39</v>
      </c>
      <c r="W3916">
        <v>2</v>
      </c>
    </row>
    <row r="3917" spans="1:23" x14ac:dyDescent="0.2">
      <c r="A3917">
        <v>5126241</v>
      </c>
      <c r="B3917" t="s">
        <v>18</v>
      </c>
      <c r="C3917" t="s">
        <v>19</v>
      </c>
      <c r="D3917" t="s">
        <v>19</v>
      </c>
      <c r="E3917">
        <v>0</v>
      </c>
      <c r="F3917">
        <v>216000</v>
      </c>
      <c r="G3917" t="s">
        <v>31</v>
      </c>
      <c r="H3917" t="s">
        <v>27</v>
      </c>
      <c r="I3917" t="s">
        <v>23</v>
      </c>
      <c r="J3917" t="s">
        <v>24</v>
      </c>
      <c r="K3917" s="6">
        <f t="shared" ca="1" si="252"/>
        <v>25699</v>
      </c>
      <c r="L3917">
        <v>-20062</v>
      </c>
      <c r="M3917" s="7">
        <f t="shared" ca="1" si="250"/>
        <v>54.926762491444215</v>
      </c>
      <c r="N3917" s="5" t="str">
        <f ca="1">VLOOKUP(Data!M3917,temp!$B$3:$C$9,2,1)</f>
        <v>50-60</v>
      </c>
      <c r="O3917">
        <v>-561</v>
      </c>
      <c r="P3917" s="8">
        <f t="shared" si="251"/>
        <v>1.5359342915811087</v>
      </c>
      <c r="Q3917" s="5" t="str">
        <f t="shared" si="253"/>
        <v>Employed</v>
      </c>
      <c r="R3917">
        <v>1</v>
      </c>
      <c r="S3917">
        <v>1</v>
      </c>
      <c r="T3917">
        <v>0</v>
      </c>
      <c r="U3917">
        <v>0</v>
      </c>
      <c r="V3917" t="s">
        <v>46</v>
      </c>
      <c r="W3917">
        <v>1</v>
      </c>
    </row>
    <row r="3918" spans="1:23" x14ac:dyDescent="0.2">
      <c r="A3918">
        <v>5126242</v>
      </c>
      <c r="B3918" t="s">
        <v>18</v>
      </c>
      <c r="C3918" t="s">
        <v>19</v>
      </c>
      <c r="D3918" t="s">
        <v>19</v>
      </c>
      <c r="E3918">
        <v>0</v>
      </c>
      <c r="F3918">
        <v>216000</v>
      </c>
      <c r="G3918" t="s">
        <v>31</v>
      </c>
      <c r="H3918" t="s">
        <v>27</v>
      </c>
      <c r="I3918" t="s">
        <v>23</v>
      </c>
      <c r="J3918" t="s">
        <v>24</v>
      </c>
      <c r="K3918" s="6">
        <f t="shared" ca="1" si="252"/>
        <v>25699</v>
      </c>
      <c r="L3918">
        <v>-20062</v>
      </c>
      <c r="M3918" s="7">
        <f t="shared" ca="1" si="250"/>
        <v>54.926762491444215</v>
      </c>
      <c r="N3918" s="5" t="str">
        <f ca="1">VLOOKUP(Data!M3918,temp!$B$3:$C$9,2,1)</f>
        <v>50-60</v>
      </c>
      <c r="O3918">
        <v>-561</v>
      </c>
      <c r="P3918" s="8">
        <f t="shared" si="251"/>
        <v>1.5359342915811087</v>
      </c>
      <c r="Q3918" s="5" t="str">
        <f t="shared" si="253"/>
        <v>Employed</v>
      </c>
      <c r="R3918">
        <v>1</v>
      </c>
      <c r="S3918">
        <v>1</v>
      </c>
      <c r="T3918">
        <v>0</v>
      </c>
      <c r="U3918">
        <v>0</v>
      </c>
      <c r="V3918" t="s">
        <v>46</v>
      </c>
      <c r="W3918">
        <v>1</v>
      </c>
    </row>
    <row r="3919" spans="1:23" x14ac:dyDescent="0.2">
      <c r="A3919">
        <v>5126247</v>
      </c>
      <c r="B3919" t="s">
        <v>18</v>
      </c>
      <c r="C3919" t="s">
        <v>19</v>
      </c>
      <c r="D3919" t="s">
        <v>19</v>
      </c>
      <c r="E3919">
        <v>0</v>
      </c>
      <c r="F3919">
        <v>216000</v>
      </c>
      <c r="G3919" t="s">
        <v>31</v>
      </c>
      <c r="H3919" t="s">
        <v>27</v>
      </c>
      <c r="I3919" t="s">
        <v>23</v>
      </c>
      <c r="J3919" t="s">
        <v>24</v>
      </c>
      <c r="K3919" s="6">
        <f t="shared" ca="1" si="252"/>
        <v>25699</v>
      </c>
      <c r="L3919">
        <v>-20062</v>
      </c>
      <c r="M3919" s="7">
        <f t="shared" ca="1" si="250"/>
        <v>54.926762491444215</v>
      </c>
      <c r="N3919" s="5" t="str">
        <f ca="1">VLOOKUP(Data!M3919,temp!$B$3:$C$9,2,1)</f>
        <v>50-60</v>
      </c>
      <c r="O3919">
        <v>-561</v>
      </c>
      <c r="P3919" s="8">
        <f t="shared" si="251"/>
        <v>1.5359342915811087</v>
      </c>
      <c r="Q3919" s="5" t="str">
        <f t="shared" si="253"/>
        <v>Employed</v>
      </c>
      <c r="R3919">
        <v>1</v>
      </c>
      <c r="S3919">
        <v>1</v>
      </c>
      <c r="T3919">
        <v>0</v>
      </c>
      <c r="U3919">
        <v>0</v>
      </c>
      <c r="V3919" t="s">
        <v>46</v>
      </c>
      <c r="W3919">
        <v>1</v>
      </c>
    </row>
    <row r="3920" spans="1:23" x14ac:dyDescent="0.2">
      <c r="A3920">
        <v>5126261</v>
      </c>
      <c r="B3920" t="s">
        <v>18</v>
      </c>
      <c r="C3920" t="s">
        <v>19</v>
      </c>
      <c r="D3920" t="s">
        <v>19</v>
      </c>
      <c r="E3920">
        <v>2</v>
      </c>
      <c r="F3920">
        <v>72000</v>
      </c>
      <c r="G3920" t="s">
        <v>26</v>
      </c>
      <c r="H3920" t="s">
        <v>27</v>
      </c>
      <c r="I3920" t="s">
        <v>28</v>
      </c>
      <c r="J3920" t="s">
        <v>24</v>
      </c>
      <c r="K3920" s="6">
        <f t="shared" ca="1" si="252"/>
        <v>33344</v>
      </c>
      <c r="L3920">
        <v>-12417</v>
      </c>
      <c r="M3920" s="7">
        <f t="shared" ca="1" si="250"/>
        <v>33.995893223819301</v>
      </c>
      <c r="N3920" s="5" t="str">
        <f ca="1">VLOOKUP(Data!M3920,temp!$B$3:$C$9,2,1)</f>
        <v>30-40</v>
      </c>
      <c r="O3920">
        <v>-2265</v>
      </c>
      <c r="P3920" s="8">
        <f t="shared" si="251"/>
        <v>6.2012320328542092</v>
      </c>
      <c r="Q3920" s="5" t="str">
        <f t="shared" si="253"/>
        <v>Employed</v>
      </c>
      <c r="R3920">
        <v>1</v>
      </c>
      <c r="S3920">
        <v>1</v>
      </c>
      <c r="T3920">
        <v>0</v>
      </c>
      <c r="U3920">
        <v>0</v>
      </c>
      <c r="V3920" t="s">
        <v>39</v>
      </c>
      <c r="W3920">
        <v>4</v>
      </c>
    </row>
    <row r="3921" spans="1:23" x14ac:dyDescent="0.2">
      <c r="A3921">
        <v>5126358</v>
      </c>
      <c r="B3921" t="s">
        <v>25</v>
      </c>
      <c r="C3921" t="s">
        <v>19</v>
      </c>
      <c r="D3921" t="s">
        <v>19</v>
      </c>
      <c r="E3921">
        <v>1</v>
      </c>
      <c r="F3921">
        <v>157500</v>
      </c>
      <c r="G3921" t="s">
        <v>31</v>
      </c>
      <c r="H3921" t="s">
        <v>22</v>
      </c>
      <c r="I3921" t="s">
        <v>28</v>
      </c>
      <c r="J3921" t="s">
        <v>24</v>
      </c>
      <c r="K3921" s="6">
        <f t="shared" ca="1" si="252"/>
        <v>33413</v>
      </c>
      <c r="L3921">
        <v>-12348</v>
      </c>
      <c r="M3921" s="7">
        <f t="shared" ca="1" si="250"/>
        <v>33.80698151950719</v>
      </c>
      <c r="N3921" s="5" t="str">
        <f ca="1">VLOOKUP(Data!M3921,temp!$B$3:$C$9,2,1)</f>
        <v>30-40</v>
      </c>
      <c r="O3921">
        <v>-380</v>
      </c>
      <c r="P3921" s="8">
        <f t="shared" si="251"/>
        <v>1.0403832991101984</v>
      </c>
      <c r="Q3921" s="5" t="str">
        <f t="shared" si="253"/>
        <v>Employed</v>
      </c>
      <c r="R3921">
        <v>1</v>
      </c>
      <c r="S3921">
        <v>0</v>
      </c>
      <c r="T3921">
        <v>1</v>
      </c>
      <c r="U3921">
        <v>0</v>
      </c>
      <c r="W3921">
        <v>3</v>
      </c>
    </row>
    <row r="3922" spans="1:23" x14ac:dyDescent="0.2">
      <c r="A3922">
        <v>5126377</v>
      </c>
      <c r="B3922" t="s">
        <v>18</v>
      </c>
      <c r="C3922" t="s">
        <v>19</v>
      </c>
      <c r="D3922" t="s">
        <v>19</v>
      </c>
      <c r="E3922">
        <v>0</v>
      </c>
      <c r="F3922">
        <v>135000</v>
      </c>
      <c r="G3922" t="s">
        <v>31</v>
      </c>
      <c r="H3922" t="s">
        <v>27</v>
      </c>
      <c r="I3922" t="s">
        <v>28</v>
      </c>
      <c r="J3922" t="s">
        <v>24</v>
      </c>
      <c r="K3922" s="6">
        <f t="shared" ca="1" si="252"/>
        <v>32195</v>
      </c>
      <c r="L3922">
        <v>-13566</v>
      </c>
      <c r="M3922" s="7">
        <f t="shared" ca="1" si="250"/>
        <v>37.141683778234089</v>
      </c>
      <c r="N3922" s="5" t="str">
        <f ca="1">VLOOKUP(Data!M3922,temp!$B$3:$C$9,2,1)</f>
        <v>30-40</v>
      </c>
      <c r="O3922">
        <v>-1900</v>
      </c>
      <c r="P3922" s="8">
        <f t="shared" si="251"/>
        <v>5.2019164955509929</v>
      </c>
      <c r="Q3922" s="5" t="str">
        <f t="shared" si="253"/>
        <v>Employed</v>
      </c>
      <c r="R3922">
        <v>1</v>
      </c>
      <c r="S3922">
        <v>1</v>
      </c>
      <c r="T3922">
        <v>0</v>
      </c>
      <c r="U3922">
        <v>0</v>
      </c>
      <c r="V3922" t="s">
        <v>47</v>
      </c>
      <c r="W3922">
        <v>2</v>
      </c>
    </row>
    <row r="3923" spans="1:23" x14ac:dyDescent="0.2">
      <c r="A3923">
        <v>5126381</v>
      </c>
      <c r="B3923" t="s">
        <v>25</v>
      </c>
      <c r="C3923" t="s">
        <v>20</v>
      </c>
      <c r="D3923" t="s">
        <v>19</v>
      </c>
      <c r="E3923">
        <v>0</v>
      </c>
      <c r="F3923">
        <v>180000</v>
      </c>
      <c r="G3923" t="s">
        <v>31</v>
      </c>
      <c r="H3923" t="s">
        <v>22</v>
      </c>
      <c r="I3923" t="s">
        <v>28</v>
      </c>
      <c r="J3923" t="s">
        <v>24</v>
      </c>
      <c r="K3923" s="6">
        <f t="shared" ca="1" si="252"/>
        <v>35289</v>
      </c>
      <c r="L3923">
        <v>-10472</v>
      </c>
      <c r="M3923" s="7">
        <f t="shared" ca="1" si="250"/>
        <v>28.670773442847366</v>
      </c>
      <c r="N3923" s="5" t="str">
        <f ca="1">VLOOKUP(Data!M3923,temp!$B$3:$C$9,2,1)</f>
        <v>20-30</v>
      </c>
      <c r="O3923">
        <v>-2996</v>
      </c>
      <c r="P3923" s="8">
        <f t="shared" si="251"/>
        <v>8.2026009582477748</v>
      </c>
      <c r="Q3923" s="5" t="str">
        <f t="shared" si="253"/>
        <v>Employed</v>
      </c>
      <c r="R3923">
        <v>1</v>
      </c>
      <c r="S3923">
        <v>1</v>
      </c>
      <c r="T3923">
        <v>0</v>
      </c>
      <c r="U3923">
        <v>1</v>
      </c>
      <c r="V3923" t="s">
        <v>32</v>
      </c>
      <c r="W3923">
        <v>2</v>
      </c>
    </row>
    <row r="3924" spans="1:23" x14ac:dyDescent="0.2">
      <c r="A3924">
        <v>5126384</v>
      </c>
      <c r="B3924" t="s">
        <v>25</v>
      </c>
      <c r="C3924" t="s">
        <v>20</v>
      </c>
      <c r="D3924" t="s">
        <v>19</v>
      </c>
      <c r="E3924">
        <v>0</v>
      </c>
      <c r="F3924">
        <v>180000</v>
      </c>
      <c r="G3924" t="s">
        <v>31</v>
      </c>
      <c r="H3924" t="s">
        <v>22</v>
      </c>
      <c r="I3924" t="s">
        <v>28</v>
      </c>
      <c r="J3924" t="s">
        <v>24</v>
      </c>
      <c r="K3924" s="6">
        <f t="shared" ca="1" si="252"/>
        <v>35289</v>
      </c>
      <c r="L3924">
        <v>-10472</v>
      </c>
      <c r="M3924" s="7">
        <f t="shared" ca="1" si="250"/>
        <v>28.670773442847366</v>
      </c>
      <c r="N3924" s="5" t="str">
        <f ca="1">VLOOKUP(Data!M3924,temp!$B$3:$C$9,2,1)</f>
        <v>20-30</v>
      </c>
      <c r="O3924">
        <v>-2996</v>
      </c>
      <c r="P3924" s="8">
        <f t="shared" si="251"/>
        <v>8.2026009582477748</v>
      </c>
      <c r="Q3924" s="5" t="str">
        <f t="shared" si="253"/>
        <v>Employed</v>
      </c>
      <c r="R3924">
        <v>1</v>
      </c>
      <c r="S3924">
        <v>1</v>
      </c>
      <c r="T3924">
        <v>0</v>
      </c>
      <c r="U3924">
        <v>1</v>
      </c>
      <c r="V3924" t="s">
        <v>32</v>
      </c>
      <c r="W3924">
        <v>2</v>
      </c>
    </row>
    <row r="3925" spans="1:23" x14ac:dyDescent="0.2">
      <c r="A3925">
        <v>5126422</v>
      </c>
      <c r="B3925" t="s">
        <v>18</v>
      </c>
      <c r="C3925" t="s">
        <v>19</v>
      </c>
      <c r="D3925" t="s">
        <v>19</v>
      </c>
      <c r="E3925">
        <v>0</v>
      </c>
      <c r="F3925">
        <v>90000</v>
      </c>
      <c r="G3925" t="s">
        <v>21</v>
      </c>
      <c r="H3925" t="s">
        <v>27</v>
      </c>
      <c r="I3925" t="s">
        <v>28</v>
      </c>
      <c r="J3925" t="s">
        <v>24</v>
      </c>
      <c r="K3925" s="6">
        <f t="shared" ca="1" si="252"/>
        <v>23513</v>
      </c>
      <c r="L3925">
        <v>-22248</v>
      </c>
      <c r="M3925" s="7">
        <f t="shared" ca="1" si="250"/>
        <v>60.911704312114992</v>
      </c>
      <c r="N3925" s="5" t="str">
        <f ca="1">VLOOKUP(Data!M3925,temp!$B$3:$C$9,2,1)</f>
        <v>60-70</v>
      </c>
      <c r="O3925">
        <v>365243</v>
      </c>
      <c r="P3925" s="8">
        <f t="shared" si="251"/>
        <v>0</v>
      </c>
      <c r="Q3925" s="5" t="str">
        <f t="shared" si="253"/>
        <v>Unemployed</v>
      </c>
      <c r="R3925">
        <v>1</v>
      </c>
      <c r="S3925">
        <v>0</v>
      </c>
      <c r="T3925">
        <v>1</v>
      </c>
      <c r="U3925">
        <v>0</v>
      </c>
      <c r="W3925">
        <v>2</v>
      </c>
    </row>
    <row r="3926" spans="1:23" x14ac:dyDescent="0.2">
      <c r="A3926">
        <v>5126433</v>
      </c>
      <c r="B3926" t="s">
        <v>18</v>
      </c>
      <c r="C3926" t="s">
        <v>19</v>
      </c>
      <c r="D3926" t="s">
        <v>19</v>
      </c>
      <c r="E3926">
        <v>0</v>
      </c>
      <c r="F3926">
        <v>112500</v>
      </c>
      <c r="G3926" t="s">
        <v>21</v>
      </c>
      <c r="H3926" t="s">
        <v>27</v>
      </c>
      <c r="I3926" t="s">
        <v>33</v>
      </c>
      <c r="J3926" t="s">
        <v>24</v>
      </c>
      <c r="K3926" s="6">
        <f t="shared" ca="1" si="252"/>
        <v>23641</v>
      </c>
      <c r="L3926">
        <v>-22120</v>
      </c>
      <c r="M3926" s="7">
        <f t="shared" ca="1" si="250"/>
        <v>60.56125941136208</v>
      </c>
      <c r="N3926" s="5" t="str">
        <f ca="1">VLOOKUP(Data!M3926,temp!$B$3:$C$9,2,1)</f>
        <v>60-70</v>
      </c>
      <c r="O3926">
        <v>365243</v>
      </c>
      <c r="P3926" s="8">
        <f t="shared" si="251"/>
        <v>0</v>
      </c>
      <c r="Q3926" s="5" t="str">
        <f t="shared" si="253"/>
        <v>Unemployed</v>
      </c>
      <c r="R3926">
        <v>1</v>
      </c>
      <c r="S3926">
        <v>0</v>
      </c>
      <c r="T3926">
        <v>0</v>
      </c>
      <c r="U3926">
        <v>0</v>
      </c>
      <c r="W3926">
        <v>1</v>
      </c>
    </row>
    <row r="3927" spans="1:23" x14ac:dyDescent="0.2">
      <c r="A3927">
        <v>5126451</v>
      </c>
      <c r="B3927" t="s">
        <v>25</v>
      </c>
      <c r="C3927" t="s">
        <v>20</v>
      </c>
      <c r="D3927" t="s">
        <v>19</v>
      </c>
      <c r="E3927">
        <v>0</v>
      </c>
      <c r="F3927">
        <v>315000</v>
      </c>
      <c r="G3927" t="s">
        <v>26</v>
      </c>
      <c r="H3927" t="s">
        <v>22</v>
      </c>
      <c r="I3927" t="s">
        <v>28</v>
      </c>
      <c r="J3927" t="s">
        <v>24</v>
      </c>
      <c r="K3927" s="6">
        <f t="shared" ca="1" si="252"/>
        <v>31824</v>
      </c>
      <c r="L3927">
        <v>-13937</v>
      </c>
      <c r="M3927" s="7">
        <f t="shared" ca="1" si="250"/>
        <v>38.157426420260094</v>
      </c>
      <c r="N3927" s="5" t="str">
        <f ca="1">VLOOKUP(Data!M3927,temp!$B$3:$C$9,2,1)</f>
        <v>30-40</v>
      </c>
      <c r="O3927">
        <v>-4853</v>
      </c>
      <c r="P3927" s="8">
        <f t="shared" si="251"/>
        <v>13.286789869952088</v>
      </c>
      <c r="Q3927" s="5" t="str">
        <f t="shared" si="253"/>
        <v>Employed</v>
      </c>
      <c r="R3927">
        <v>1</v>
      </c>
      <c r="S3927">
        <v>1</v>
      </c>
      <c r="T3927">
        <v>1</v>
      </c>
      <c r="U3927">
        <v>0</v>
      </c>
      <c r="V3927" t="s">
        <v>32</v>
      </c>
      <c r="W3927">
        <v>2</v>
      </c>
    </row>
    <row r="3928" spans="1:23" x14ac:dyDescent="0.2">
      <c r="A3928">
        <v>5126457</v>
      </c>
      <c r="B3928" t="s">
        <v>18</v>
      </c>
      <c r="C3928" t="s">
        <v>19</v>
      </c>
      <c r="D3928" t="s">
        <v>19</v>
      </c>
      <c r="E3928">
        <v>0</v>
      </c>
      <c r="F3928">
        <v>94500</v>
      </c>
      <c r="G3928" t="s">
        <v>31</v>
      </c>
      <c r="H3928" t="s">
        <v>22</v>
      </c>
      <c r="I3928" t="s">
        <v>28</v>
      </c>
      <c r="J3928" t="s">
        <v>24</v>
      </c>
      <c r="K3928" s="6">
        <f t="shared" ca="1" si="252"/>
        <v>28936</v>
      </c>
      <c r="L3928">
        <v>-16825</v>
      </c>
      <c r="M3928" s="7">
        <f t="shared" ca="1" si="250"/>
        <v>46.064339493497606</v>
      </c>
      <c r="N3928" s="5" t="str">
        <f ca="1">VLOOKUP(Data!M3928,temp!$B$3:$C$9,2,1)</f>
        <v>40-50</v>
      </c>
      <c r="O3928">
        <v>-196</v>
      </c>
      <c r="P3928" s="8">
        <f t="shared" si="251"/>
        <v>0.53661875427789185</v>
      </c>
      <c r="Q3928" s="5" t="str">
        <f t="shared" si="253"/>
        <v>Employed</v>
      </c>
      <c r="R3928">
        <v>1</v>
      </c>
      <c r="S3928">
        <v>0</v>
      </c>
      <c r="T3928">
        <v>0</v>
      </c>
      <c r="U3928">
        <v>0</v>
      </c>
      <c r="V3928" t="s">
        <v>40</v>
      </c>
      <c r="W3928">
        <v>2</v>
      </c>
    </row>
    <row r="3929" spans="1:23" x14ac:dyDescent="0.2">
      <c r="A3929">
        <v>5126468</v>
      </c>
      <c r="B3929" t="s">
        <v>25</v>
      </c>
      <c r="C3929" t="s">
        <v>20</v>
      </c>
      <c r="D3929" t="s">
        <v>19</v>
      </c>
      <c r="E3929">
        <v>0</v>
      </c>
      <c r="F3929">
        <v>157500</v>
      </c>
      <c r="G3929" t="s">
        <v>31</v>
      </c>
      <c r="H3929" t="s">
        <v>27</v>
      </c>
      <c r="I3929" t="s">
        <v>28</v>
      </c>
      <c r="J3929" t="s">
        <v>24</v>
      </c>
      <c r="K3929" s="6">
        <f t="shared" ca="1" si="252"/>
        <v>30082</v>
      </c>
      <c r="L3929">
        <v>-15679</v>
      </c>
      <c r="M3929" s="7">
        <f t="shared" ca="1" si="250"/>
        <v>42.926762491444215</v>
      </c>
      <c r="N3929" s="5" t="str">
        <f ca="1">VLOOKUP(Data!M3929,temp!$B$3:$C$9,2,1)</f>
        <v>40-50</v>
      </c>
      <c r="O3929">
        <v>-3667</v>
      </c>
      <c r="P3929" s="8">
        <f t="shared" si="251"/>
        <v>10.039698836413416</v>
      </c>
      <c r="Q3929" s="5" t="str">
        <f t="shared" si="253"/>
        <v>Employed</v>
      </c>
      <c r="R3929">
        <v>1</v>
      </c>
      <c r="S3929">
        <v>0</v>
      </c>
      <c r="T3929">
        <v>0</v>
      </c>
      <c r="U3929">
        <v>0</v>
      </c>
      <c r="V3929" t="s">
        <v>39</v>
      </c>
      <c r="W3929">
        <v>2</v>
      </c>
    </row>
    <row r="3930" spans="1:23" x14ac:dyDescent="0.2">
      <c r="A3930">
        <v>5126492</v>
      </c>
      <c r="B3930" t="s">
        <v>18</v>
      </c>
      <c r="C3930" t="s">
        <v>19</v>
      </c>
      <c r="D3930" t="s">
        <v>19</v>
      </c>
      <c r="E3930">
        <v>0</v>
      </c>
      <c r="F3930">
        <v>450000</v>
      </c>
      <c r="G3930" t="s">
        <v>21</v>
      </c>
      <c r="H3930" t="s">
        <v>27</v>
      </c>
      <c r="I3930" t="s">
        <v>28</v>
      </c>
      <c r="J3930" t="s">
        <v>45</v>
      </c>
      <c r="K3930" s="6">
        <f t="shared" ca="1" si="252"/>
        <v>24355</v>
      </c>
      <c r="L3930">
        <v>-21406</v>
      </c>
      <c r="M3930" s="7">
        <f t="shared" ca="1" si="250"/>
        <v>58.606433949349757</v>
      </c>
      <c r="N3930" s="5" t="str">
        <f ca="1">VLOOKUP(Data!M3930,temp!$B$3:$C$9,2,1)</f>
        <v>50-60</v>
      </c>
      <c r="O3930">
        <v>365243</v>
      </c>
      <c r="P3930" s="8">
        <f t="shared" si="251"/>
        <v>0</v>
      </c>
      <c r="Q3930" s="5" t="str">
        <f t="shared" si="253"/>
        <v>Unemployed</v>
      </c>
      <c r="R3930">
        <v>1</v>
      </c>
      <c r="S3930">
        <v>0</v>
      </c>
      <c r="T3930">
        <v>0</v>
      </c>
      <c r="U3930">
        <v>0</v>
      </c>
      <c r="W3930">
        <v>2</v>
      </c>
    </row>
    <row r="3931" spans="1:23" x14ac:dyDescent="0.2">
      <c r="A3931">
        <v>5126504</v>
      </c>
      <c r="B3931" t="s">
        <v>18</v>
      </c>
      <c r="C3931" t="s">
        <v>19</v>
      </c>
      <c r="D3931" t="s">
        <v>19</v>
      </c>
      <c r="E3931">
        <v>0</v>
      </c>
      <c r="F3931">
        <v>171000</v>
      </c>
      <c r="G3931" t="s">
        <v>21</v>
      </c>
      <c r="H3931" t="s">
        <v>27</v>
      </c>
      <c r="I3931" t="s">
        <v>28</v>
      </c>
      <c r="J3931" t="s">
        <v>24</v>
      </c>
      <c r="K3931" s="6">
        <f t="shared" ca="1" si="252"/>
        <v>24784</v>
      </c>
      <c r="L3931">
        <v>-20977</v>
      </c>
      <c r="M3931" s="7">
        <f t="shared" ca="1" si="250"/>
        <v>57.431895961670087</v>
      </c>
      <c r="N3931" s="5" t="str">
        <f ca="1">VLOOKUP(Data!M3931,temp!$B$3:$C$9,2,1)</f>
        <v>50-60</v>
      </c>
      <c r="O3931">
        <v>365243</v>
      </c>
      <c r="P3931" s="8">
        <f t="shared" si="251"/>
        <v>0</v>
      </c>
      <c r="Q3931" s="5" t="str">
        <f t="shared" si="253"/>
        <v>Unemployed</v>
      </c>
      <c r="R3931">
        <v>1</v>
      </c>
      <c r="S3931">
        <v>0</v>
      </c>
      <c r="T3931">
        <v>1</v>
      </c>
      <c r="U3931">
        <v>0</v>
      </c>
      <c r="W3931">
        <v>2</v>
      </c>
    </row>
    <row r="3932" spans="1:23" x14ac:dyDescent="0.2">
      <c r="A3932">
        <v>5126523</v>
      </c>
      <c r="B3932" t="s">
        <v>25</v>
      </c>
      <c r="C3932" t="s">
        <v>20</v>
      </c>
      <c r="D3932" t="s">
        <v>19</v>
      </c>
      <c r="E3932">
        <v>0</v>
      </c>
      <c r="F3932">
        <v>157500</v>
      </c>
      <c r="G3932" t="s">
        <v>31</v>
      </c>
      <c r="H3932" t="s">
        <v>22</v>
      </c>
      <c r="I3932" t="s">
        <v>28</v>
      </c>
      <c r="J3932" t="s">
        <v>24</v>
      </c>
      <c r="K3932" s="6">
        <f t="shared" ca="1" si="252"/>
        <v>25245</v>
      </c>
      <c r="L3932">
        <v>-20516</v>
      </c>
      <c r="M3932" s="7">
        <f t="shared" ca="1" si="250"/>
        <v>56.16974674880219</v>
      </c>
      <c r="N3932" s="5" t="str">
        <f ca="1">VLOOKUP(Data!M3932,temp!$B$3:$C$9,2,1)</f>
        <v>50-60</v>
      </c>
      <c r="O3932">
        <v>-2265</v>
      </c>
      <c r="P3932" s="8">
        <f t="shared" si="251"/>
        <v>6.2012320328542092</v>
      </c>
      <c r="Q3932" s="5" t="str">
        <f t="shared" si="253"/>
        <v>Employed</v>
      </c>
      <c r="R3932">
        <v>1</v>
      </c>
      <c r="S3932">
        <v>0</v>
      </c>
      <c r="T3932">
        <v>1</v>
      </c>
      <c r="U3932">
        <v>0</v>
      </c>
      <c r="V3932" t="s">
        <v>29</v>
      </c>
      <c r="W3932">
        <v>2</v>
      </c>
    </row>
    <row r="3933" spans="1:23" x14ac:dyDescent="0.2">
      <c r="A3933">
        <v>5126542</v>
      </c>
      <c r="B3933" t="s">
        <v>18</v>
      </c>
      <c r="C3933" t="s">
        <v>20</v>
      </c>
      <c r="D3933" t="s">
        <v>19</v>
      </c>
      <c r="E3933">
        <v>0</v>
      </c>
      <c r="F3933">
        <v>112500</v>
      </c>
      <c r="G3933" t="s">
        <v>31</v>
      </c>
      <c r="H3933" t="s">
        <v>27</v>
      </c>
      <c r="I3933" t="s">
        <v>28</v>
      </c>
      <c r="J3933" t="s">
        <v>24</v>
      </c>
      <c r="K3933" s="6">
        <f t="shared" ca="1" si="252"/>
        <v>35523</v>
      </c>
      <c r="L3933">
        <v>-10238</v>
      </c>
      <c r="M3933" s="7">
        <f t="shared" ca="1" si="250"/>
        <v>28.030116358658454</v>
      </c>
      <c r="N3933" s="5" t="str">
        <f ca="1">VLOOKUP(Data!M3933,temp!$B$3:$C$9,2,1)</f>
        <v>20-30</v>
      </c>
      <c r="O3933">
        <v>-3453</v>
      </c>
      <c r="P3933" s="8">
        <f t="shared" si="251"/>
        <v>9.4537987679671449</v>
      </c>
      <c r="Q3933" s="5" t="str">
        <f t="shared" si="253"/>
        <v>Employed</v>
      </c>
      <c r="R3933">
        <v>1</v>
      </c>
      <c r="S3933">
        <v>0</v>
      </c>
      <c r="T3933">
        <v>0</v>
      </c>
      <c r="U3933">
        <v>0</v>
      </c>
      <c r="V3933" t="s">
        <v>29</v>
      </c>
      <c r="W3933">
        <v>2</v>
      </c>
    </row>
    <row r="3934" spans="1:23" x14ac:dyDescent="0.2">
      <c r="A3934">
        <v>5126545</v>
      </c>
      <c r="B3934" t="s">
        <v>18</v>
      </c>
      <c r="C3934" t="s">
        <v>20</v>
      </c>
      <c r="D3934" t="s">
        <v>19</v>
      </c>
      <c r="E3934">
        <v>1</v>
      </c>
      <c r="F3934">
        <v>225000</v>
      </c>
      <c r="G3934" t="s">
        <v>26</v>
      </c>
      <c r="H3934" t="s">
        <v>27</v>
      </c>
      <c r="I3934" t="s">
        <v>33</v>
      </c>
      <c r="J3934" t="s">
        <v>24</v>
      </c>
      <c r="K3934" s="6">
        <f t="shared" ca="1" si="252"/>
        <v>33048</v>
      </c>
      <c r="L3934">
        <v>-12713</v>
      </c>
      <c r="M3934" s="7">
        <f t="shared" ca="1" si="250"/>
        <v>34.806297056810401</v>
      </c>
      <c r="N3934" s="5" t="str">
        <f ca="1">VLOOKUP(Data!M3934,temp!$B$3:$C$9,2,1)</f>
        <v>30-40</v>
      </c>
      <c r="O3934">
        <v>-1810</v>
      </c>
      <c r="P3934" s="8">
        <f t="shared" si="251"/>
        <v>4.9555099247091032</v>
      </c>
      <c r="Q3934" s="5" t="str">
        <f t="shared" si="253"/>
        <v>Employed</v>
      </c>
      <c r="R3934">
        <v>1</v>
      </c>
      <c r="S3934">
        <v>1</v>
      </c>
      <c r="T3934">
        <v>0</v>
      </c>
      <c r="U3934">
        <v>0</v>
      </c>
      <c r="V3934" t="s">
        <v>49</v>
      </c>
      <c r="W3934">
        <v>2</v>
      </c>
    </row>
    <row r="3935" spans="1:23" x14ac:dyDescent="0.2">
      <c r="A3935">
        <v>5126556</v>
      </c>
      <c r="B3935" t="s">
        <v>18</v>
      </c>
      <c r="C3935" t="s">
        <v>19</v>
      </c>
      <c r="D3935" t="s">
        <v>19</v>
      </c>
      <c r="E3935">
        <v>1</v>
      </c>
      <c r="F3935">
        <v>157500</v>
      </c>
      <c r="G3935" t="s">
        <v>31</v>
      </c>
      <c r="H3935" t="s">
        <v>27</v>
      </c>
      <c r="I3935" t="s">
        <v>28</v>
      </c>
      <c r="J3935" t="s">
        <v>24</v>
      </c>
      <c r="K3935" s="6">
        <f t="shared" ca="1" si="252"/>
        <v>36244</v>
      </c>
      <c r="L3935">
        <v>-9517</v>
      </c>
      <c r="M3935" s="7">
        <f t="shared" ca="1" si="250"/>
        <v>26.056125941136209</v>
      </c>
      <c r="N3935" s="5" t="str">
        <f ca="1">VLOOKUP(Data!M3935,temp!$B$3:$C$9,2,1)</f>
        <v>20-30</v>
      </c>
      <c r="O3935">
        <v>-1810</v>
      </c>
      <c r="P3935" s="8">
        <f t="shared" si="251"/>
        <v>4.9555099247091032</v>
      </c>
      <c r="Q3935" s="5" t="str">
        <f t="shared" si="253"/>
        <v>Employed</v>
      </c>
      <c r="R3935">
        <v>1</v>
      </c>
      <c r="S3935">
        <v>1</v>
      </c>
      <c r="T3935">
        <v>1</v>
      </c>
      <c r="U3935">
        <v>0</v>
      </c>
      <c r="V3935" t="s">
        <v>29</v>
      </c>
      <c r="W3935">
        <v>3</v>
      </c>
    </row>
    <row r="3936" spans="1:23" x14ac:dyDescent="0.2">
      <c r="A3936">
        <v>5126566</v>
      </c>
      <c r="B3936" t="s">
        <v>18</v>
      </c>
      <c r="C3936" t="s">
        <v>20</v>
      </c>
      <c r="D3936" t="s">
        <v>19</v>
      </c>
      <c r="E3936">
        <v>0</v>
      </c>
      <c r="F3936">
        <v>675000</v>
      </c>
      <c r="G3936" t="s">
        <v>26</v>
      </c>
      <c r="H3936" t="s">
        <v>22</v>
      </c>
      <c r="I3936" t="s">
        <v>33</v>
      </c>
      <c r="J3936" t="s">
        <v>24</v>
      </c>
      <c r="K3936" s="6">
        <f t="shared" ca="1" si="252"/>
        <v>29261</v>
      </c>
      <c r="L3936">
        <v>-16500</v>
      </c>
      <c r="M3936" s="7">
        <f t="shared" ca="1" si="250"/>
        <v>45.17453798767967</v>
      </c>
      <c r="N3936" s="5" t="str">
        <f ca="1">VLOOKUP(Data!M3936,temp!$B$3:$C$9,2,1)</f>
        <v>40-50</v>
      </c>
      <c r="O3936">
        <v>-1535</v>
      </c>
      <c r="P3936" s="8">
        <f t="shared" si="251"/>
        <v>4.2026009582477757</v>
      </c>
      <c r="Q3936" s="5" t="str">
        <f t="shared" si="253"/>
        <v>Employed</v>
      </c>
      <c r="R3936">
        <v>1</v>
      </c>
      <c r="S3936">
        <v>0</v>
      </c>
      <c r="T3936">
        <v>0</v>
      </c>
      <c r="U3936">
        <v>0</v>
      </c>
      <c r="V3936" t="s">
        <v>32</v>
      </c>
      <c r="W3936">
        <v>1</v>
      </c>
    </row>
    <row r="3937" spans="1:23" x14ac:dyDescent="0.2">
      <c r="A3937">
        <v>5126600</v>
      </c>
      <c r="B3937" t="s">
        <v>18</v>
      </c>
      <c r="C3937" t="s">
        <v>19</v>
      </c>
      <c r="D3937" t="s">
        <v>19</v>
      </c>
      <c r="E3937">
        <v>0</v>
      </c>
      <c r="F3937">
        <v>112500</v>
      </c>
      <c r="G3937" t="s">
        <v>31</v>
      </c>
      <c r="H3937" t="s">
        <v>27</v>
      </c>
      <c r="I3937" t="s">
        <v>23</v>
      </c>
      <c r="J3937" t="s">
        <v>24</v>
      </c>
      <c r="K3937" s="6">
        <f t="shared" ca="1" si="252"/>
        <v>32126</v>
      </c>
      <c r="L3937">
        <v>-13635</v>
      </c>
      <c r="M3937" s="7">
        <f t="shared" ca="1" si="250"/>
        <v>37.330595482546201</v>
      </c>
      <c r="N3937" s="5" t="str">
        <f ca="1">VLOOKUP(Data!M3937,temp!$B$3:$C$9,2,1)</f>
        <v>30-40</v>
      </c>
      <c r="O3937">
        <v>-349</v>
      </c>
      <c r="P3937" s="8">
        <f t="shared" si="251"/>
        <v>0.95550992470910334</v>
      </c>
      <c r="Q3937" s="5" t="str">
        <f t="shared" si="253"/>
        <v>Employed</v>
      </c>
      <c r="R3937">
        <v>1</v>
      </c>
      <c r="S3937">
        <v>1</v>
      </c>
      <c r="T3937">
        <v>1</v>
      </c>
      <c r="U3937">
        <v>0</v>
      </c>
      <c r="W3937">
        <v>1</v>
      </c>
    </row>
    <row r="3938" spans="1:23" x14ac:dyDescent="0.2">
      <c r="A3938">
        <v>5126625</v>
      </c>
      <c r="B3938" t="s">
        <v>18</v>
      </c>
      <c r="C3938" t="s">
        <v>20</v>
      </c>
      <c r="D3938" t="s">
        <v>20</v>
      </c>
      <c r="E3938">
        <v>0</v>
      </c>
      <c r="F3938">
        <v>90000</v>
      </c>
      <c r="G3938" t="s">
        <v>21</v>
      </c>
      <c r="H3938" t="s">
        <v>27</v>
      </c>
      <c r="I3938" t="s">
        <v>42</v>
      </c>
      <c r="J3938" t="s">
        <v>24</v>
      </c>
      <c r="K3938" s="6">
        <f t="shared" ca="1" si="252"/>
        <v>22892</v>
      </c>
      <c r="L3938">
        <v>-22869</v>
      </c>
      <c r="M3938" s="7">
        <f t="shared" ca="1" si="250"/>
        <v>62.611909650924026</v>
      </c>
      <c r="N3938" s="5" t="str">
        <f ca="1">VLOOKUP(Data!M3938,temp!$B$3:$C$9,2,1)</f>
        <v>60-70</v>
      </c>
      <c r="O3938">
        <v>365243</v>
      </c>
      <c r="P3938" s="8">
        <f t="shared" si="251"/>
        <v>0</v>
      </c>
      <c r="Q3938" s="5" t="str">
        <f t="shared" si="253"/>
        <v>Unemployed</v>
      </c>
      <c r="R3938">
        <v>1</v>
      </c>
      <c r="S3938">
        <v>0</v>
      </c>
      <c r="T3938">
        <v>0</v>
      </c>
      <c r="U3938">
        <v>0</v>
      </c>
      <c r="W3938">
        <v>1</v>
      </c>
    </row>
    <row r="3939" spans="1:23" x14ac:dyDescent="0.2">
      <c r="A3939">
        <v>5126650</v>
      </c>
      <c r="B3939" t="s">
        <v>18</v>
      </c>
      <c r="C3939" t="s">
        <v>19</v>
      </c>
      <c r="D3939" t="s">
        <v>20</v>
      </c>
      <c r="E3939">
        <v>1</v>
      </c>
      <c r="F3939">
        <v>112500</v>
      </c>
      <c r="G3939" t="s">
        <v>31</v>
      </c>
      <c r="H3939" t="s">
        <v>27</v>
      </c>
      <c r="I3939" t="s">
        <v>28</v>
      </c>
      <c r="J3939" t="s">
        <v>24</v>
      </c>
      <c r="K3939" s="6">
        <f t="shared" ca="1" si="252"/>
        <v>34772</v>
      </c>
      <c r="L3939">
        <v>-10989</v>
      </c>
      <c r="M3939" s="7">
        <f t="shared" ca="1" si="250"/>
        <v>30.086242299794662</v>
      </c>
      <c r="N3939" s="5" t="str">
        <f ca="1">VLOOKUP(Data!M3939,temp!$B$3:$C$9,2,1)</f>
        <v>30-40</v>
      </c>
      <c r="O3939">
        <v>-135</v>
      </c>
      <c r="P3939" s="8">
        <f t="shared" si="251"/>
        <v>0.36960985626283366</v>
      </c>
      <c r="Q3939" s="5" t="str">
        <f t="shared" si="253"/>
        <v>Employed</v>
      </c>
      <c r="R3939">
        <v>1</v>
      </c>
      <c r="S3939">
        <v>1</v>
      </c>
      <c r="T3939">
        <v>1</v>
      </c>
      <c r="U3939">
        <v>0</v>
      </c>
      <c r="W3939">
        <v>3</v>
      </c>
    </row>
    <row r="3940" spans="1:23" x14ac:dyDescent="0.2">
      <c r="A3940">
        <v>5126664</v>
      </c>
      <c r="B3940" t="s">
        <v>18</v>
      </c>
      <c r="C3940" t="s">
        <v>19</v>
      </c>
      <c r="D3940" t="s">
        <v>20</v>
      </c>
      <c r="E3940">
        <v>0</v>
      </c>
      <c r="F3940">
        <v>351000</v>
      </c>
      <c r="G3940" t="s">
        <v>35</v>
      </c>
      <c r="H3940" t="s">
        <v>27</v>
      </c>
      <c r="I3940" t="s">
        <v>33</v>
      </c>
      <c r="J3940" t="s">
        <v>24</v>
      </c>
      <c r="K3940" s="6">
        <f t="shared" ca="1" si="252"/>
        <v>28326</v>
      </c>
      <c r="L3940">
        <v>-17435</v>
      </c>
      <c r="M3940" s="7">
        <f t="shared" ca="1" si="250"/>
        <v>47.734428473648187</v>
      </c>
      <c r="N3940" s="5" t="str">
        <f ca="1">VLOOKUP(Data!M3940,temp!$B$3:$C$9,2,1)</f>
        <v>40-50</v>
      </c>
      <c r="O3940">
        <v>-4184</v>
      </c>
      <c r="P3940" s="8">
        <f t="shared" si="251"/>
        <v>11.455167693360712</v>
      </c>
      <c r="Q3940" s="5" t="str">
        <f t="shared" si="253"/>
        <v>Employed</v>
      </c>
      <c r="R3940">
        <v>1</v>
      </c>
      <c r="S3940">
        <v>0</v>
      </c>
      <c r="T3940">
        <v>0</v>
      </c>
      <c r="U3940">
        <v>0</v>
      </c>
      <c r="V3940" t="s">
        <v>50</v>
      </c>
      <c r="W3940">
        <v>1</v>
      </c>
    </row>
    <row r="3941" spans="1:23" x14ac:dyDescent="0.2">
      <c r="A3941">
        <v>5126666</v>
      </c>
      <c r="B3941" t="s">
        <v>18</v>
      </c>
      <c r="C3941" t="s">
        <v>19</v>
      </c>
      <c r="D3941" t="s">
        <v>20</v>
      </c>
      <c r="E3941">
        <v>0</v>
      </c>
      <c r="F3941">
        <v>351000</v>
      </c>
      <c r="G3941" t="s">
        <v>35</v>
      </c>
      <c r="H3941" t="s">
        <v>27</v>
      </c>
      <c r="I3941" t="s">
        <v>33</v>
      </c>
      <c r="J3941" t="s">
        <v>24</v>
      </c>
      <c r="K3941" s="6">
        <f t="shared" ca="1" si="252"/>
        <v>28326</v>
      </c>
      <c r="L3941">
        <v>-17435</v>
      </c>
      <c r="M3941" s="7">
        <f t="shared" ca="1" si="250"/>
        <v>47.734428473648187</v>
      </c>
      <c r="N3941" s="5" t="str">
        <f ca="1">VLOOKUP(Data!M3941,temp!$B$3:$C$9,2,1)</f>
        <v>40-50</v>
      </c>
      <c r="O3941">
        <v>-4184</v>
      </c>
      <c r="P3941" s="8">
        <f t="shared" si="251"/>
        <v>11.455167693360712</v>
      </c>
      <c r="Q3941" s="5" t="str">
        <f t="shared" si="253"/>
        <v>Employed</v>
      </c>
      <c r="R3941">
        <v>1</v>
      </c>
      <c r="S3941">
        <v>0</v>
      </c>
      <c r="T3941">
        <v>0</v>
      </c>
      <c r="U3941">
        <v>0</v>
      </c>
      <c r="V3941" t="s">
        <v>50</v>
      </c>
      <c r="W3941">
        <v>1</v>
      </c>
    </row>
    <row r="3942" spans="1:23" x14ac:dyDescent="0.2">
      <c r="A3942">
        <v>5126667</v>
      </c>
      <c r="B3942" t="s">
        <v>18</v>
      </c>
      <c r="C3942" t="s">
        <v>19</v>
      </c>
      <c r="D3942" t="s">
        <v>20</v>
      </c>
      <c r="E3942">
        <v>0</v>
      </c>
      <c r="F3942">
        <v>351000</v>
      </c>
      <c r="G3942" t="s">
        <v>35</v>
      </c>
      <c r="H3942" t="s">
        <v>27</v>
      </c>
      <c r="I3942" t="s">
        <v>33</v>
      </c>
      <c r="J3942" t="s">
        <v>24</v>
      </c>
      <c r="K3942" s="6">
        <f t="shared" ca="1" si="252"/>
        <v>28326</v>
      </c>
      <c r="L3942">
        <v>-17435</v>
      </c>
      <c r="M3942" s="7">
        <f t="shared" ca="1" si="250"/>
        <v>47.734428473648187</v>
      </c>
      <c r="N3942" s="5" t="str">
        <f ca="1">VLOOKUP(Data!M3942,temp!$B$3:$C$9,2,1)</f>
        <v>40-50</v>
      </c>
      <c r="O3942">
        <v>-4184</v>
      </c>
      <c r="P3942" s="8">
        <f t="shared" si="251"/>
        <v>11.455167693360712</v>
      </c>
      <c r="Q3942" s="5" t="str">
        <f t="shared" si="253"/>
        <v>Employed</v>
      </c>
      <c r="R3942">
        <v>1</v>
      </c>
      <c r="S3942">
        <v>0</v>
      </c>
      <c r="T3942">
        <v>0</v>
      </c>
      <c r="U3942">
        <v>0</v>
      </c>
      <c r="V3942" t="s">
        <v>50</v>
      </c>
      <c r="W3942">
        <v>1</v>
      </c>
    </row>
    <row r="3943" spans="1:23" x14ac:dyDescent="0.2">
      <c r="A3943">
        <v>5126687</v>
      </c>
      <c r="B3943" t="s">
        <v>18</v>
      </c>
      <c r="C3943" t="s">
        <v>19</v>
      </c>
      <c r="D3943" t="s">
        <v>20</v>
      </c>
      <c r="E3943">
        <v>0</v>
      </c>
      <c r="F3943">
        <v>90000</v>
      </c>
      <c r="G3943" t="s">
        <v>31</v>
      </c>
      <c r="H3943" t="s">
        <v>27</v>
      </c>
      <c r="I3943" t="s">
        <v>28</v>
      </c>
      <c r="J3943" t="s">
        <v>24</v>
      </c>
      <c r="K3943" s="6">
        <f t="shared" ca="1" si="252"/>
        <v>25862</v>
      </c>
      <c r="L3943">
        <v>-19899</v>
      </c>
      <c r="M3943" s="7">
        <f t="shared" ca="1" si="250"/>
        <v>54.480492813141687</v>
      </c>
      <c r="N3943" s="5" t="str">
        <f ca="1">VLOOKUP(Data!M3943,temp!$B$3:$C$9,2,1)</f>
        <v>50-60</v>
      </c>
      <c r="O3943">
        <v>-3149</v>
      </c>
      <c r="P3943" s="8">
        <f t="shared" si="251"/>
        <v>8.6214921286789874</v>
      </c>
      <c r="Q3943" s="5" t="str">
        <f t="shared" si="253"/>
        <v>Employed</v>
      </c>
      <c r="R3943">
        <v>1</v>
      </c>
      <c r="S3943">
        <v>1</v>
      </c>
      <c r="T3943">
        <v>0</v>
      </c>
      <c r="U3943">
        <v>0</v>
      </c>
      <c r="W3943">
        <v>2</v>
      </c>
    </row>
    <row r="3944" spans="1:23" x14ac:dyDescent="0.2">
      <c r="A3944">
        <v>5126689</v>
      </c>
      <c r="B3944" t="s">
        <v>18</v>
      </c>
      <c r="C3944" t="s">
        <v>19</v>
      </c>
      <c r="D3944" t="s">
        <v>19</v>
      </c>
      <c r="E3944">
        <v>0</v>
      </c>
      <c r="F3944">
        <v>61875</v>
      </c>
      <c r="G3944" t="s">
        <v>21</v>
      </c>
      <c r="H3944" t="s">
        <v>27</v>
      </c>
      <c r="I3944" t="s">
        <v>28</v>
      </c>
      <c r="J3944" t="s">
        <v>24</v>
      </c>
      <c r="K3944" s="6">
        <f t="shared" ca="1" si="252"/>
        <v>24131</v>
      </c>
      <c r="L3944">
        <v>-21630</v>
      </c>
      <c r="M3944" s="7">
        <f t="shared" ca="1" si="250"/>
        <v>59.219712525667354</v>
      </c>
      <c r="N3944" s="5" t="str">
        <f ca="1">VLOOKUP(Data!M3944,temp!$B$3:$C$9,2,1)</f>
        <v>50-60</v>
      </c>
      <c r="O3944">
        <v>365243</v>
      </c>
      <c r="P3944" s="8">
        <f t="shared" si="251"/>
        <v>0</v>
      </c>
      <c r="Q3944" s="5" t="str">
        <f t="shared" si="253"/>
        <v>Unemployed</v>
      </c>
      <c r="R3944">
        <v>1</v>
      </c>
      <c r="S3944">
        <v>0</v>
      </c>
      <c r="T3944">
        <v>0</v>
      </c>
      <c r="U3944">
        <v>0</v>
      </c>
      <c r="W3944">
        <v>2</v>
      </c>
    </row>
    <row r="3945" spans="1:23" x14ac:dyDescent="0.2">
      <c r="A3945">
        <v>5126697</v>
      </c>
      <c r="B3945" t="s">
        <v>18</v>
      </c>
      <c r="C3945" t="s">
        <v>19</v>
      </c>
      <c r="D3945" t="s">
        <v>20</v>
      </c>
      <c r="E3945">
        <v>2</v>
      </c>
      <c r="F3945">
        <v>54000</v>
      </c>
      <c r="G3945" t="s">
        <v>21</v>
      </c>
      <c r="H3945" t="s">
        <v>22</v>
      </c>
      <c r="I3945" t="s">
        <v>28</v>
      </c>
      <c r="J3945" t="s">
        <v>24</v>
      </c>
      <c r="K3945" s="6">
        <f t="shared" ca="1" si="252"/>
        <v>23674</v>
      </c>
      <c r="L3945">
        <v>-22087</v>
      </c>
      <c r="M3945" s="7">
        <f t="shared" ca="1" si="250"/>
        <v>60.470910335386719</v>
      </c>
      <c r="N3945" s="5" t="str">
        <f ca="1">VLOOKUP(Data!M3945,temp!$B$3:$C$9,2,1)</f>
        <v>60-70</v>
      </c>
      <c r="O3945">
        <v>365243</v>
      </c>
      <c r="P3945" s="8">
        <f t="shared" si="251"/>
        <v>0</v>
      </c>
      <c r="Q3945" s="5" t="str">
        <f t="shared" si="253"/>
        <v>Unemployed</v>
      </c>
      <c r="R3945">
        <v>1</v>
      </c>
      <c r="S3945">
        <v>0</v>
      </c>
      <c r="T3945">
        <v>0</v>
      </c>
      <c r="U3945">
        <v>0</v>
      </c>
      <c r="W3945">
        <v>4</v>
      </c>
    </row>
    <row r="3946" spans="1:23" x14ac:dyDescent="0.2">
      <c r="A3946">
        <v>5126733</v>
      </c>
      <c r="B3946" t="s">
        <v>25</v>
      </c>
      <c r="C3946" t="s">
        <v>19</v>
      </c>
      <c r="D3946" t="s">
        <v>20</v>
      </c>
      <c r="E3946">
        <v>0</v>
      </c>
      <c r="F3946">
        <v>229500</v>
      </c>
      <c r="G3946" t="s">
        <v>31</v>
      </c>
      <c r="H3946" t="s">
        <v>27</v>
      </c>
      <c r="I3946" t="s">
        <v>33</v>
      </c>
      <c r="J3946" t="s">
        <v>24</v>
      </c>
      <c r="K3946" s="6">
        <f t="shared" ca="1" si="252"/>
        <v>29280</v>
      </c>
      <c r="L3946">
        <v>-16481</v>
      </c>
      <c r="M3946" s="7">
        <f t="shared" ca="1" si="250"/>
        <v>45.12251882272416</v>
      </c>
      <c r="N3946" s="5" t="str">
        <f ca="1">VLOOKUP(Data!M3946,temp!$B$3:$C$9,2,1)</f>
        <v>40-50</v>
      </c>
      <c r="O3946">
        <v>-1292</v>
      </c>
      <c r="P3946" s="8">
        <f t="shared" si="251"/>
        <v>3.5373032169746748</v>
      </c>
      <c r="Q3946" s="5" t="str">
        <f t="shared" si="253"/>
        <v>Employed</v>
      </c>
      <c r="R3946">
        <v>1</v>
      </c>
      <c r="S3946">
        <v>1</v>
      </c>
      <c r="T3946">
        <v>1</v>
      </c>
      <c r="U3946">
        <v>0</v>
      </c>
      <c r="V3946" t="s">
        <v>30</v>
      </c>
      <c r="W3946">
        <v>1</v>
      </c>
    </row>
    <row r="3947" spans="1:23" x14ac:dyDescent="0.2">
      <c r="A3947">
        <v>5126760</v>
      </c>
      <c r="B3947" t="s">
        <v>18</v>
      </c>
      <c r="C3947" t="s">
        <v>19</v>
      </c>
      <c r="D3947" t="s">
        <v>19</v>
      </c>
      <c r="E3947">
        <v>1</v>
      </c>
      <c r="F3947">
        <v>225000</v>
      </c>
      <c r="G3947" t="s">
        <v>31</v>
      </c>
      <c r="H3947" t="s">
        <v>27</v>
      </c>
      <c r="I3947" t="s">
        <v>28</v>
      </c>
      <c r="J3947" t="s">
        <v>24</v>
      </c>
      <c r="K3947" s="6">
        <f t="shared" ca="1" si="252"/>
        <v>34661</v>
      </c>
      <c r="L3947">
        <v>-11100</v>
      </c>
      <c r="M3947" s="7">
        <f t="shared" ca="1" si="250"/>
        <v>30.390143737166323</v>
      </c>
      <c r="N3947" s="5" t="str">
        <f ca="1">VLOOKUP(Data!M3947,temp!$B$3:$C$9,2,1)</f>
        <v>30-40</v>
      </c>
      <c r="O3947">
        <v>-3118</v>
      </c>
      <c r="P3947" s="8">
        <f t="shared" si="251"/>
        <v>8.5366187542778924</v>
      </c>
      <c r="Q3947" s="5" t="str">
        <f t="shared" si="253"/>
        <v>Employed</v>
      </c>
      <c r="R3947">
        <v>1</v>
      </c>
      <c r="S3947">
        <v>0</v>
      </c>
      <c r="T3947">
        <v>0</v>
      </c>
      <c r="U3947">
        <v>0</v>
      </c>
      <c r="V3947" t="s">
        <v>44</v>
      </c>
      <c r="W3947">
        <v>3</v>
      </c>
    </row>
    <row r="3948" spans="1:23" x14ac:dyDescent="0.2">
      <c r="A3948">
        <v>5126786</v>
      </c>
      <c r="B3948" t="s">
        <v>18</v>
      </c>
      <c r="C3948" t="s">
        <v>19</v>
      </c>
      <c r="D3948" t="s">
        <v>20</v>
      </c>
      <c r="E3948">
        <v>0</v>
      </c>
      <c r="F3948">
        <v>184500</v>
      </c>
      <c r="G3948" t="s">
        <v>21</v>
      </c>
      <c r="H3948" t="s">
        <v>27</v>
      </c>
      <c r="I3948" t="s">
        <v>37</v>
      </c>
      <c r="J3948" t="s">
        <v>24</v>
      </c>
      <c r="K3948" s="6">
        <f t="shared" ca="1" si="252"/>
        <v>25265</v>
      </c>
      <c r="L3948">
        <v>-20496</v>
      </c>
      <c r="M3948" s="7">
        <f t="shared" ca="1" si="250"/>
        <v>56.114989733059545</v>
      </c>
      <c r="N3948" s="5" t="str">
        <f ca="1">VLOOKUP(Data!M3948,temp!$B$3:$C$9,2,1)</f>
        <v>50-60</v>
      </c>
      <c r="O3948">
        <v>365243</v>
      </c>
      <c r="P3948" s="8">
        <f t="shared" si="251"/>
        <v>0</v>
      </c>
      <c r="Q3948" s="5" t="str">
        <f t="shared" si="253"/>
        <v>Unemployed</v>
      </c>
      <c r="R3948">
        <v>1</v>
      </c>
      <c r="S3948">
        <v>0</v>
      </c>
      <c r="T3948">
        <v>0</v>
      </c>
      <c r="U3948">
        <v>0</v>
      </c>
      <c r="W3948">
        <v>2</v>
      </c>
    </row>
    <row r="3949" spans="1:23" x14ac:dyDescent="0.2">
      <c r="A3949">
        <v>5126802</v>
      </c>
      <c r="B3949" t="s">
        <v>18</v>
      </c>
      <c r="C3949" t="s">
        <v>19</v>
      </c>
      <c r="D3949" t="s">
        <v>20</v>
      </c>
      <c r="E3949">
        <v>1</v>
      </c>
      <c r="F3949">
        <v>391500</v>
      </c>
      <c r="G3949" t="s">
        <v>31</v>
      </c>
      <c r="H3949" t="s">
        <v>22</v>
      </c>
      <c r="I3949" t="s">
        <v>28</v>
      </c>
      <c r="J3949" t="s">
        <v>24</v>
      </c>
      <c r="K3949" s="6">
        <f t="shared" ca="1" si="252"/>
        <v>31695</v>
      </c>
      <c r="L3949">
        <v>-14066</v>
      </c>
      <c r="M3949" s="7">
        <f t="shared" ca="1" si="250"/>
        <v>38.510609171800134</v>
      </c>
      <c r="N3949" s="5" t="str">
        <f ca="1">VLOOKUP(Data!M3949,temp!$B$3:$C$9,2,1)</f>
        <v>30-40</v>
      </c>
      <c r="O3949">
        <v>-3027</v>
      </c>
      <c r="P3949" s="8">
        <f t="shared" si="251"/>
        <v>8.2874743326488698</v>
      </c>
      <c r="Q3949" s="5" t="str">
        <f t="shared" si="253"/>
        <v>Employed</v>
      </c>
      <c r="R3949">
        <v>1</v>
      </c>
      <c r="S3949">
        <v>0</v>
      </c>
      <c r="T3949">
        <v>0</v>
      </c>
      <c r="U3949">
        <v>0</v>
      </c>
      <c r="W3949">
        <v>3</v>
      </c>
    </row>
    <row r="3950" spans="1:23" x14ac:dyDescent="0.2">
      <c r="A3950">
        <v>5126827</v>
      </c>
      <c r="B3950" t="s">
        <v>18</v>
      </c>
      <c r="C3950" t="s">
        <v>19</v>
      </c>
      <c r="D3950" t="s">
        <v>19</v>
      </c>
      <c r="E3950">
        <v>1</v>
      </c>
      <c r="F3950">
        <v>157500</v>
      </c>
      <c r="G3950" t="s">
        <v>31</v>
      </c>
      <c r="H3950" t="s">
        <v>27</v>
      </c>
      <c r="I3950" t="s">
        <v>37</v>
      </c>
      <c r="J3950" t="s">
        <v>41</v>
      </c>
      <c r="K3950" s="6">
        <f t="shared" ca="1" si="252"/>
        <v>34081</v>
      </c>
      <c r="L3950">
        <v>-11680</v>
      </c>
      <c r="M3950" s="7">
        <f t="shared" ca="1" si="250"/>
        <v>31.978097193702943</v>
      </c>
      <c r="N3950" s="5" t="str">
        <f ca="1">VLOOKUP(Data!M3950,temp!$B$3:$C$9,2,1)</f>
        <v>30-40</v>
      </c>
      <c r="O3950">
        <v>-3695</v>
      </c>
      <c r="P3950" s="8">
        <f t="shared" si="251"/>
        <v>10.116358658453114</v>
      </c>
      <c r="Q3950" s="5" t="str">
        <f t="shared" si="253"/>
        <v>Employed</v>
      </c>
      <c r="R3950">
        <v>1</v>
      </c>
      <c r="S3950">
        <v>0</v>
      </c>
      <c r="T3950">
        <v>0</v>
      </c>
      <c r="U3950">
        <v>0</v>
      </c>
      <c r="V3950" t="s">
        <v>39</v>
      </c>
      <c r="W3950">
        <v>3</v>
      </c>
    </row>
    <row r="3951" spans="1:23" x14ac:dyDescent="0.2">
      <c r="A3951">
        <v>5126833</v>
      </c>
      <c r="B3951" t="s">
        <v>18</v>
      </c>
      <c r="C3951" t="s">
        <v>19</v>
      </c>
      <c r="D3951" t="s">
        <v>20</v>
      </c>
      <c r="E3951">
        <v>1</v>
      </c>
      <c r="F3951">
        <v>90000</v>
      </c>
      <c r="G3951" t="s">
        <v>31</v>
      </c>
      <c r="H3951" t="s">
        <v>27</v>
      </c>
      <c r="I3951" t="s">
        <v>37</v>
      </c>
      <c r="J3951" t="s">
        <v>24</v>
      </c>
      <c r="K3951" s="6">
        <f t="shared" ca="1" si="252"/>
        <v>34253</v>
      </c>
      <c r="L3951">
        <v>-11508</v>
      </c>
      <c r="M3951" s="7">
        <f t="shared" ca="1" si="250"/>
        <v>31.507186858316221</v>
      </c>
      <c r="N3951" s="5" t="str">
        <f ca="1">VLOOKUP(Data!M3951,temp!$B$3:$C$9,2,1)</f>
        <v>30-40</v>
      </c>
      <c r="O3951">
        <v>-1170</v>
      </c>
      <c r="P3951" s="8">
        <f t="shared" si="251"/>
        <v>3.2032854209445585</v>
      </c>
      <c r="Q3951" s="5" t="str">
        <f t="shared" si="253"/>
        <v>Employed</v>
      </c>
      <c r="R3951">
        <v>1</v>
      </c>
      <c r="S3951">
        <v>0</v>
      </c>
      <c r="T3951">
        <v>0</v>
      </c>
      <c r="U3951">
        <v>0</v>
      </c>
      <c r="V3951" t="s">
        <v>55</v>
      </c>
      <c r="W3951">
        <v>3</v>
      </c>
    </row>
    <row r="3952" spans="1:23" x14ac:dyDescent="0.2">
      <c r="A3952">
        <v>5126853</v>
      </c>
      <c r="B3952" t="s">
        <v>25</v>
      </c>
      <c r="C3952" t="s">
        <v>19</v>
      </c>
      <c r="D3952" t="s">
        <v>19</v>
      </c>
      <c r="E3952">
        <v>0</v>
      </c>
      <c r="F3952">
        <v>135000</v>
      </c>
      <c r="G3952" t="s">
        <v>31</v>
      </c>
      <c r="H3952" t="s">
        <v>27</v>
      </c>
      <c r="I3952" t="s">
        <v>28</v>
      </c>
      <c r="J3952" t="s">
        <v>24</v>
      </c>
      <c r="K3952" s="6">
        <f t="shared" ca="1" si="252"/>
        <v>24775</v>
      </c>
      <c r="L3952">
        <v>-20986</v>
      </c>
      <c r="M3952" s="7">
        <f t="shared" ca="1" si="250"/>
        <v>57.456536618754278</v>
      </c>
      <c r="N3952" s="5" t="str">
        <f ca="1">VLOOKUP(Data!M3952,temp!$B$3:$C$9,2,1)</f>
        <v>50-60</v>
      </c>
      <c r="O3952">
        <v>-1262</v>
      </c>
      <c r="P3952" s="8">
        <f t="shared" si="251"/>
        <v>3.4551676933607118</v>
      </c>
      <c r="Q3952" s="5" t="str">
        <f t="shared" si="253"/>
        <v>Employed</v>
      </c>
      <c r="R3952">
        <v>1</v>
      </c>
      <c r="S3952">
        <v>0</v>
      </c>
      <c r="T3952">
        <v>1</v>
      </c>
      <c r="U3952">
        <v>0</v>
      </c>
      <c r="V3952" t="s">
        <v>29</v>
      </c>
      <c r="W3952">
        <v>2</v>
      </c>
    </row>
    <row r="3953" spans="1:23" x14ac:dyDescent="0.2">
      <c r="A3953">
        <v>5132295</v>
      </c>
      <c r="B3953" t="s">
        <v>25</v>
      </c>
      <c r="C3953" t="s">
        <v>19</v>
      </c>
      <c r="D3953" t="s">
        <v>20</v>
      </c>
      <c r="E3953">
        <v>0</v>
      </c>
      <c r="F3953">
        <v>79650</v>
      </c>
      <c r="G3953" t="s">
        <v>21</v>
      </c>
      <c r="H3953" t="s">
        <v>27</v>
      </c>
      <c r="I3953" t="s">
        <v>28</v>
      </c>
      <c r="J3953" t="s">
        <v>24</v>
      </c>
      <c r="K3953" s="6">
        <f t="shared" ca="1" si="252"/>
        <v>29680</v>
      </c>
      <c r="L3953">
        <v>-16081</v>
      </c>
      <c r="M3953" s="7">
        <f t="shared" ca="1" si="250"/>
        <v>44.027378507871319</v>
      </c>
      <c r="N3953" s="5" t="str">
        <f ca="1">VLOOKUP(Data!M3953,temp!$B$3:$C$9,2,1)</f>
        <v>40-50</v>
      </c>
      <c r="O3953">
        <v>365243</v>
      </c>
      <c r="P3953" s="8">
        <f t="shared" si="251"/>
        <v>0</v>
      </c>
      <c r="Q3953" s="5" t="str">
        <f t="shared" si="253"/>
        <v>Unemployed</v>
      </c>
      <c r="R3953">
        <v>1</v>
      </c>
      <c r="S3953">
        <v>0</v>
      </c>
      <c r="T3953">
        <v>1</v>
      </c>
      <c r="U3953">
        <v>0</v>
      </c>
      <c r="W3953">
        <v>2</v>
      </c>
    </row>
    <row r="3954" spans="1:23" x14ac:dyDescent="0.2">
      <c r="A3954">
        <v>5132324</v>
      </c>
      <c r="B3954" t="s">
        <v>18</v>
      </c>
      <c r="C3954" t="s">
        <v>19</v>
      </c>
      <c r="D3954" t="s">
        <v>19</v>
      </c>
      <c r="E3954">
        <v>0</v>
      </c>
      <c r="F3954">
        <v>33300</v>
      </c>
      <c r="G3954" t="s">
        <v>21</v>
      </c>
      <c r="H3954" t="s">
        <v>27</v>
      </c>
      <c r="I3954" t="s">
        <v>28</v>
      </c>
      <c r="J3954" t="s">
        <v>53</v>
      </c>
      <c r="K3954" s="6">
        <f t="shared" ca="1" si="252"/>
        <v>26156</v>
      </c>
      <c r="L3954">
        <v>-19605</v>
      </c>
      <c r="M3954" s="7">
        <f t="shared" ca="1" si="250"/>
        <v>53.675564681724843</v>
      </c>
      <c r="N3954" s="5" t="str">
        <f ca="1">VLOOKUP(Data!M3954,temp!$B$3:$C$9,2,1)</f>
        <v>50-60</v>
      </c>
      <c r="O3954">
        <v>365243</v>
      </c>
      <c r="P3954" s="8">
        <f t="shared" si="251"/>
        <v>0</v>
      </c>
      <c r="Q3954" s="5" t="str">
        <f t="shared" si="253"/>
        <v>Unemployed</v>
      </c>
      <c r="R3954">
        <v>1</v>
      </c>
      <c r="S3954">
        <v>0</v>
      </c>
      <c r="T3954">
        <v>0</v>
      </c>
      <c r="U3954">
        <v>0</v>
      </c>
      <c r="W3954">
        <v>2</v>
      </c>
    </row>
    <row r="3955" spans="1:23" x14ac:dyDescent="0.2">
      <c r="A3955">
        <v>5132404</v>
      </c>
      <c r="B3955" t="s">
        <v>18</v>
      </c>
      <c r="C3955" t="s">
        <v>19</v>
      </c>
      <c r="D3955" t="s">
        <v>20</v>
      </c>
      <c r="E3955">
        <v>0</v>
      </c>
      <c r="F3955">
        <v>202500</v>
      </c>
      <c r="G3955" t="s">
        <v>31</v>
      </c>
      <c r="H3955" t="s">
        <v>27</v>
      </c>
      <c r="I3955" t="s">
        <v>28</v>
      </c>
      <c r="J3955" t="s">
        <v>24</v>
      </c>
      <c r="K3955" s="6">
        <f t="shared" ca="1" si="252"/>
        <v>28977</v>
      </c>
      <c r="L3955">
        <v>-16784</v>
      </c>
      <c r="M3955" s="7">
        <f t="shared" ca="1" si="250"/>
        <v>45.952087611225188</v>
      </c>
      <c r="N3955" s="5" t="str">
        <f ca="1">VLOOKUP(Data!M3955,temp!$B$3:$C$9,2,1)</f>
        <v>40-50</v>
      </c>
      <c r="O3955">
        <v>-1503</v>
      </c>
      <c r="P3955" s="8">
        <f t="shared" si="251"/>
        <v>4.1149897330595486</v>
      </c>
      <c r="Q3955" s="5" t="str">
        <f t="shared" si="253"/>
        <v>Employed</v>
      </c>
      <c r="R3955">
        <v>1</v>
      </c>
      <c r="S3955">
        <v>0</v>
      </c>
      <c r="T3955">
        <v>0</v>
      </c>
      <c r="U3955">
        <v>0</v>
      </c>
      <c r="V3955" t="s">
        <v>50</v>
      </c>
      <c r="W3955">
        <v>2</v>
      </c>
    </row>
    <row r="3956" spans="1:23" x14ac:dyDescent="0.2">
      <c r="A3956">
        <v>5132422</v>
      </c>
      <c r="B3956" t="s">
        <v>18</v>
      </c>
      <c r="C3956" t="s">
        <v>20</v>
      </c>
      <c r="D3956" t="s">
        <v>20</v>
      </c>
      <c r="E3956">
        <v>0</v>
      </c>
      <c r="F3956">
        <v>292500</v>
      </c>
      <c r="G3956" t="s">
        <v>26</v>
      </c>
      <c r="H3956" t="s">
        <v>22</v>
      </c>
      <c r="I3956" t="s">
        <v>28</v>
      </c>
      <c r="J3956" t="s">
        <v>24</v>
      </c>
      <c r="K3956" s="6">
        <f t="shared" ca="1" si="252"/>
        <v>27352</v>
      </c>
      <c r="L3956">
        <v>-18409</v>
      </c>
      <c r="M3956" s="7">
        <f t="shared" ca="1" si="250"/>
        <v>50.401095140314851</v>
      </c>
      <c r="N3956" s="5" t="str">
        <f ca="1">VLOOKUP(Data!M3956,temp!$B$3:$C$9,2,1)</f>
        <v>50-60</v>
      </c>
      <c r="O3956">
        <v>-3482</v>
      </c>
      <c r="P3956" s="8">
        <f t="shared" si="251"/>
        <v>9.5331964407939775</v>
      </c>
      <c r="Q3956" s="5" t="str">
        <f t="shared" si="253"/>
        <v>Employed</v>
      </c>
      <c r="R3956">
        <v>1</v>
      </c>
      <c r="S3956">
        <v>0</v>
      </c>
      <c r="T3956">
        <v>0</v>
      </c>
      <c r="U3956">
        <v>0</v>
      </c>
      <c r="V3956" t="s">
        <v>39</v>
      </c>
      <c r="W3956">
        <v>2</v>
      </c>
    </row>
    <row r="3957" spans="1:23" x14ac:dyDescent="0.2">
      <c r="A3957">
        <v>5132439</v>
      </c>
      <c r="B3957" t="s">
        <v>18</v>
      </c>
      <c r="C3957" t="s">
        <v>19</v>
      </c>
      <c r="D3957" t="s">
        <v>20</v>
      </c>
      <c r="E3957">
        <v>1</v>
      </c>
      <c r="F3957">
        <v>315000</v>
      </c>
      <c r="G3957" t="s">
        <v>31</v>
      </c>
      <c r="H3957" t="s">
        <v>27</v>
      </c>
      <c r="I3957" t="s">
        <v>28</v>
      </c>
      <c r="J3957" t="s">
        <v>24</v>
      </c>
      <c r="K3957" s="6">
        <f t="shared" ca="1" si="252"/>
        <v>28860</v>
      </c>
      <c r="L3957">
        <v>-16901</v>
      </c>
      <c r="M3957" s="7">
        <f t="shared" ca="1" si="250"/>
        <v>46.272416153319647</v>
      </c>
      <c r="N3957" s="5" t="str">
        <f ca="1">VLOOKUP(Data!M3957,temp!$B$3:$C$9,2,1)</f>
        <v>40-50</v>
      </c>
      <c r="O3957">
        <v>-956</v>
      </c>
      <c r="P3957" s="8">
        <f t="shared" si="251"/>
        <v>2.6173853524982889</v>
      </c>
      <c r="Q3957" s="5" t="str">
        <f t="shared" si="253"/>
        <v>Employed</v>
      </c>
      <c r="R3957">
        <v>1</v>
      </c>
      <c r="S3957">
        <v>0</v>
      </c>
      <c r="T3957">
        <v>0</v>
      </c>
      <c r="U3957">
        <v>0</v>
      </c>
      <c r="V3957" t="s">
        <v>47</v>
      </c>
      <c r="W3957">
        <v>3</v>
      </c>
    </row>
    <row r="3958" spans="1:23" x14ac:dyDescent="0.2">
      <c r="A3958">
        <v>5132440</v>
      </c>
      <c r="B3958" t="s">
        <v>18</v>
      </c>
      <c r="C3958" t="s">
        <v>19</v>
      </c>
      <c r="D3958" t="s">
        <v>20</v>
      </c>
      <c r="E3958">
        <v>1</v>
      </c>
      <c r="F3958">
        <v>315000</v>
      </c>
      <c r="G3958" t="s">
        <v>31</v>
      </c>
      <c r="H3958" t="s">
        <v>27</v>
      </c>
      <c r="I3958" t="s">
        <v>28</v>
      </c>
      <c r="J3958" t="s">
        <v>24</v>
      </c>
      <c r="K3958" s="6">
        <f t="shared" ca="1" si="252"/>
        <v>28860</v>
      </c>
      <c r="L3958">
        <v>-16901</v>
      </c>
      <c r="M3958" s="7">
        <f t="shared" ca="1" si="250"/>
        <v>46.272416153319647</v>
      </c>
      <c r="N3958" s="5" t="str">
        <f ca="1">VLOOKUP(Data!M3958,temp!$B$3:$C$9,2,1)</f>
        <v>40-50</v>
      </c>
      <c r="O3958">
        <v>-956</v>
      </c>
      <c r="P3958" s="8">
        <f t="shared" si="251"/>
        <v>2.6173853524982889</v>
      </c>
      <c r="Q3958" s="5" t="str">
        <f t="shared" si="253"/>
        <v>Employed</v>
      </c>
      <c r="R3958">
        <v>1</v>
      </c>
      <c r="S3958">
        <v>0</v>
      </c>
      <c r="T3958">
        <v>0</v>
      </c>
      <c r="U3958">
        <v>0</v>
      </c>
      <c r="V3958" t="s">
        <v>47</v>
      </c>
      <c r="W3958">
        <v>3</v>
      </c>
    </row>
    <row r="3959" spans="1:23" x14ac:dyDescent="0.2">
      <c r="A3959">
        <v>5132529</v>
      </c>
      <c r="B3959" t="s">
        <v>18</v>
      </c>
      <c r="C3959" t="s">
        <v>19</v>
      </c>
      <c r="D3959" t="s">
        <v>20</v>
      </c>
      <c r="E3959">
        <v>0</v>
      </c>
      <c r="F3959">
        <v>144000</v>
      </c>
      <c r="G3959" t="s">
        <v>31</v>
      </c>
      <c r="H3959" t="s">
        <v>22</v>
      </c>
      <c r="I3959" t="s">
        <v>33</v>
      </c>
      <c r="J3959" t="s">
        <v>24</v>
      </c>
      <c r="K3959" s="6">
        <f t="shared" ca="1" si="252"/>
        <v>32571</v>
      </c>
      <c r="L3959">
        <v>-13190</v>
      </c>
      <c r="M3959" s="7">
        <f t="shared" ca="1" si="250"/>
        <v>36.112251882272417</v>
      </c>
      <c r="N3959" s="5" t="str">
        <f ca="1">VLOOKUP(Data!M3959,temp!$B$3:$C$9,2,1)</f>
        <v>30-40</v>
      </c>
      <c r="O3959">
        <v>-4943</v>
      </c>
      <c r="P3959" s="8">
        <f t="shared" si="251"/>
        <v>13.533196440793978</v>
      </c>
      <c r="Q3959" s="5" t="str">
        <f t="shared" si="253"/>
        <v>Employed</v>
      </c>
      <c r="R3959">
        <v>1</v>
      </c>
      <c r="S3959">
        <v>0</v>
      </c>
      <c r="T3959">
        <v>0</v>
      </c>
      <c r="U3959">
        <v>0</v>
      </c>
      <c r="W3959">
        <v>1</v>
      </c>
    </row>
    <row r="3960" spans="1:23" x14ac:dyDescent="0.2">
      <c r="A3960">
        <v>5132535</v>
      </c>
      <c r="B3960" t="s">
        <v>18</v>
      </c>
      <c r="C3960" t="s">
        <v>19</v>
      </c>
      <c r="D3960" t="s">
        <v>20</v>
      </c>
      <c r="E3960">
        <v>0</v>
      </c>
      <c r="F3960">
        <v>144000</v>
      </c>
      <c r="G3960" t="s">
        <v>31</v>
      </c>
      <c r="H3960" t="s">
        <v>22</v>
      </c>
      <c r="I3960" t="s">
        <v>33</v>
      </c>
      <c r="J3960" t="s">
        <v>24</v>
      </c>
      <c r="K3960" s="6">
        <f t="shared" ca="1" si="252"/>
        <v>32571</v>
      </c>
      <c r="L3960">
        <v>-13190</v>
      </c>
      <c r="M3960" s="7">
        <f t="shared" ca="1" si="250"/>
        <v>36.112251882272417</v>
      </c>
      <c r="N3960" s="5" t="str">
        <f ca="1">VLOOKUP(Data!M3960,temp!$B$3:$C$9,2,1)</f>
        <v>30-40</v>
      </c>
      <c r="O3960">
        <v>-4943</v>
      </c>
      <c r="P3960" s="8">
        <f t="shared" si="251"/>
        <v>13.533196440793978</v>
      </c>
      <c r="Q3960" s="5" t="str">
        <f t="shared" si="253"/>
        <v>Employed</v>
      </c>
      <c r="R3960">
        <v>1</v>
      </c>
      <c r="S3960">
        <v>0</v>
      </c>
      <c r="T3960">
        <v>0</v>
      </c>
      <c r="U3960">
        <v>0</v>
      </c>
      <c r="W3960">
        <v>1</v>
      </c>
    </row>
    <row r="3961" spans="1:23" x14ac:dyDescent="0.2">
      <c r="A3961">
        <v>5132537</v>
      </c>
      <c r="B3961" t="s">
        <v>18</v>
      </c>
      <c r="C3961" t="s">
        <v>19</v>
      </c>
      <c r="D3961" t="s">
        <v>20</v>
      </c>
      <c r="E3961">
        <v>0</v>
      </c>
      <c r="F3961">
        <v>144000</v>
      </c>
      <c r="G3961" t="s">
        <v>31</v>
      </c>
      <c r="H3961" t="s">
        <v>22</v>
      </c>
      <c r="I3961" t="s">
        <v>33</v>
      </c>
      <c r="J3961" t="s">
        <v>24</v>
      </c>
      <c r="K3961" s="6">
        <f t="shared" ca="1" si="252"/>
        <v>32571</v>
      </c>
      <c r="L3961">
        <v>-13190</v>
      </c>
      <c r="M3961" s="7">
        <f t="shared" ca="1" si="250"/>
        <v>36.112251882272417</v>
      </c>
      <c r="N3961" s="5" t="str">
        <f ca="1">VLOOKUP(Data!M3961,temp!$B$3:$C$9,2,1)</f>
        <v>30-40</v>
      </c>
      <c r="O3961">
        <v>-4943</v>
      </c>
      <c r="P3961" s="8">
        <f t="shared" si="251"/>
        <v>13.533196440793978</v>
      </c>
      <c r="Q3961" s="5" t="str">
        <f t="shared" si="253"/>
        <v>Employed</v>
      </c>
      <c r="R3961">
        <v>1</v>
      </c>
      <c r="S3961">
        <v>0</v>
      </c>
      <c r="T3961">
        <v>0</v>
      </c>
      <c r="U3961">
        <v>0</v>
      </c>
      <c r="W3961">
        <v>1</v>
      </c>
    </row>
    <row r="3962" spans="1:23" x14ac:dyDescent="0.2">
      <c r="A3962">
        <v>5132541</v>
      </c>
      <c r="B3962" t="s">
        <v>18</v>
      </c>
      <c r="C3962" t="s">
        <v>19</v>
      </c>
      <c r="D3962" t="s">
        <v>20</v>
      </c>
      <c r="E3962">
        <v>0</v>
      </c>
      <c r="F3962">
        <v>144000</v>
      </c>
      <c r="G3962" t="s">
        <v>31</v>
      </c>
      <c r="H3962" t="s">
        <v>22</v>
      </c>
      <c r="I3962" t="s">
        <v>33</v>
      </c>
      <c r="J3962" t="s">
        <v>24</v>
      </c>
      <c r="K3962" s="6">
        <f t="shared" ca="1" si="252"/>
        <v>32571</v>
      </c>
      <c r="L3962">
        <v>-13190</v>
      </c>
      <c r="M3962" s="7">
        <f t="shared" ca="1" si="250"/>
        <v>36.112251882272417</v>
      </c>
      <c r="N3962" s="5" t="str">
        <f ca="1">VLOOKUP(Data!M3962,temp!$B$3:$C$9,2,1)</f>
        <v>30-40</v>
      </c>
      <c r="O3962">
        <v>-4943</v>
      </c>
      <c r="P3962" s="8">
        <f t="shared" si="251"/>
        <v>13.533196440793978</v>
      </c>
      <c r="Q3962" s="5" t="str">
        <f t="shared" si="253"/>
        <v>Employed</v>
      </c>
      <c r="R3962">
        <v>1</v>
      </c>
      <c r="S3962">
        <v>0</v>
      </c>
      <c r="T3962">
        <v>0</v>
      </c>
      <c r="U3962">
        <v>0</v>
      </c>
      <c r="W3962">
        <v>1</v>
      </c>
    </row>
    <row r="3963" spans="1:23" x14ac:dyDescent="0.2">
      <c r="A3963">
        <v>5132546</v>
      </c>
      <c r="B3963" t="s">
        <v>18</v>
      </c>
      <c r="C3963" t="s">
        <v>19</v>
      </c>
      <c r="D3963" t="s">
        <v>20</v>
      </c>
      <c r="E3963">
        <v>0</v>
      </c>
      <c r="F3963">
        <v>144000</v>
      </c>
      <c r="G3963" t="s">
        <v>31</v>
      </c>
      <c r="H3963" t="s">
        <v>22</v>
      </c>
      <c r="I3963" t="s">
        <v>33</v>
      </c>
      <c r="J3963" t="s">
        <v>24</v>
      </c>
      <c r="K3963" s="6">
        <f t="shared" ca="1" si="252"/>
        <v>32571</v>
      </c>
      <c r="L3963">
        <v>-13190</v>
      </c>
      <c r="M3963" s="7">
        <f t="shared" ca="1" si="250"/>
        <v>36.112251882272417</v>
      </c>
      <c r="N3963" s="5" t="str">
        <f ca="1">VLOOKUP(Data!M3963,temp!$B$3:$C$9,2,1)</f>
        <v>30-40</v>
      </c>
      <c r="O3963">
        <v>-4943</v>
      </c>
      <c r="P3963" s="8">
        <f t="shared" si="251"/>
        <v>13.533196440793978</v>
      </c>
      <c r="Q3963" s="5" t="str">
        <f t="shared" si="253"/>
        <v>Employed</v>
      </c>
      <c r="R3963">
        <v>1</v>
      </c>
      <c r="S3963">
        <v>0</v>
      </c>
      <c r="T3963">
        <v>0</v>
      </c>
      <c r="U3963">
        <v>0</v>
      </c>
      <c r="W3963">
        <v>1</v>
      </c>
    </row>
    <row r="3964" spans="1:23" x14ac:dyDescent="0.2">
      <c r="A3964">
        <v>5132570</v>
      </c>
      <c r="B3964" t="s">
        <v>18</v>
      </c>
      <c r="C3964" t="s">
        <v>19</v>
      </c>
      <c r="D3964" t="s">
        <v>20</v>
      </c>
      <c r="E3964">
        <v>1</v>
      </c>
      <c r="F3964">
        <v>112500</v>
      </c>
      <c r="G3964" t="s">
        <v>26</v>
      </c>
      <c r="H3964" t="s">
        <v>27</v>
      </c>
      <c r="I3964" t="s">
        <v>37</v>
      </c>
      <c r="J3964" t="s">
        <v>24</v>
      </c>
      <c r="K3964" s="6">
        <f t="shared" ca="1" si="252"/>
        <v>30827</v>
      </c>
      <c r="L3964">
        <v>-14934</v>
      </c>
      <c r="M3964" s="7">
        <f t="shared" ca="1" si="250"/>
        <v>40.887063655030801</v>
      </c>
      <c r="N3964" s="5" t="str">
        <f ca="1">VLOOKUP(Data!M3964,temp!$B$3:$C$9,2,1)</f>
        <v>40-50</v>
      </c>
      <c r="O3964">
        <v>-1350</v>
      </c>
      <c r="P3964" s="8">
        <f t="shared" si="251"/>
        <v>3.6960985626283369</v>
      </c>
      <c r="Q3964" s="5" t="str">
        <f t="shared" si="253"/>
        <v>Employed</v>
      </c>
      <c r="R3964">
        <v>1</v>
      </c>
      <c r="S3964">
        <v>0</v>
      </c>
      <c r="T3964">
        <v>1</v>
      </c>
      <c r="U3964">
        <v>0</v>
      </c>
      <c r="V3964" t="s">
        <v>39</v>
      </c>
      <c r="W3964">
        <v>3</v>
      </c>
    </row>
    <row r="3965" spans="1:23" x14ac:dyDescent="0.2">
      <c r="A3965">
        <v>5132590</v>
      </c>
      <c r="B3965" t="s">
        <v>18</v>
      </c>
      <c r="C3965" t="s">
        <v>20</v>
      </c>
      <c r="D3965" t="s">
        <v>20</v>
      </c>
      <c r="E3965">
        <v>0</v>
      </c>
      <c r="F3965">
        <v>112500</v>
      </c>
      <c r="G3965" t="s">
        <v>31</v>
      </c>
      <c r="H3965" t="s">
        <v>27</v>
      </c>
      <c r="I3965" t="s">
        <v>28</v>
      </c>
      <c r="J3965" t="s">
        <v>24</v>
      </c>
      <c r="K3965" s="6">
        <f t="shared" ca="1" si="252"/>
        <v>30869</v>
      </c>
      <c r="L3965">
        <v>-14892</v>
      </c>
      <c r="M3965" s="7">
        <f t="shared" ca="1" si="250"/>
        <v>40.772073921971256</v>
      </c>
      <c r="N3965" s="5" t="str">
        <f ca="1">VLOOKUP(Data!M3965,temp!$B$3:$C$9,2,1)</f>
        <v>40-50</v>
      </c>
      <c r="O3965">
        <v>-895</v>
      </c>
      <c r="P3965" s="8">
        <f t="shared" si="251"/>
        <v>2.4503764544832305</v>
      </c>
      <c r="Q3965" s="5" t="str">
        <f t="shared" si="253"/>
        <v>Employed</v>
      </c>
      <c r="R3965">
        <v>1</v>
      </c>
      <c r="S3965">
        <v>1</v>
      </c>
      <c r="T3965">
        <v>1</v>
      </c>
      <c r="U3965">
        <v>0</v>
      </c>
      <c r="V3965" t="s">
        <v>44</v>
      </c>
      <c r="W3965">
        <v>2</v>
      </c>
    </row>
    <row r="3966" spans="1:23" x14ac:dyDescent="0.2">
      <c r="A3966">
        <v>5132608</v>
      </c>
      <c r="B3966" t="s">
        <v>25</v>
      </c>
      <c r="C3966" t="s">
        <v>20</v>
      </c>
      <c r="D3966" t="s">
        <v>20</v>
      </c>
      <c r="E3966">
        <v>0</v>
      </c>
      <c r="F3966">
        <v>157500</v>
      </c>
      <c r="G3966" t="s">
        <v>31</v>
      </c>
      <c r="H3966" t="s">
        <v>27</v>
      </c>
      <c r="I3966" t="s">
        <v>28</v>
      </c>
      <c r="J3966" t="s">
        <v>24</v>
      </c>
      <c r="K3966" s="6">
        <f t="shared" ca="1" si="252"/>
        <v>26811</v>
      </c>
      <c r="L3966">
        <v>-18950</v>
      </c>
      <c r="M3966" s="7">
        <f t="shared" ca="1" si="250"/>
        <v>51.88227241615332</v>
      </c>
      <c r="N3966" s="5" t="str">
        <f ca="1">VLOOKUP(Data!M3966,temp!$B$3:$C$9,2,1)</f>
        <v>50-60</v>
      </c>
      <c r="O3966">
        <v>-2021</v>
      </c>
      <c r="P3966" s="8">
        <f t="shared" si="251"/>
        <v>5.5331964407939767</v>
      </c>
      <c r="Q3966" s="5" t="str">
        <f t="shared" si="253"/>
        <v>Employed</v>
      </c>
      <c r="R3966">
        <v>1</v>
      </c>
      <c r="S3966">
        <v>0</v>
      </c>
      <c r="T3966">
        <v>0</v>
      </c>
      <c r="U3966">
        <v>0</v>
      </c>
      <c r="W3966">
        <v>2</v>
      </c>
    </row>
    <row r="3967" spans="1:23" x14ac:dyDescent="0.2">
      <c r="A3967">
        <v>5132656</v>
      </c>
      <c r="B3967" t="s">
        <v>18</v>
      </c>
      <c r="C3967" t="s">
        <v>20</v>
      </c>
      <c r="D3967" t="s">
        <v>20</v>
      </c>
      <c r="E3967">
        <v>1</v>
      </c>
      <c r="F3967">
        <v>135000</v>
      </c>
      <c r="G3967" t="s">
        <v>26</v>
      </c>
      <c r="H3967" t="s">
        <v>22</v>
      </c>
      <c r="I3967" t="s">
        <v>37</v>
      </c>
      <c r="J3967" t="s">
        <v>24</v>
      </c>
      <c r="K3967" s="6">
        <f t="shared" ca="1" si="252"/>
        <v>34699</v>
      </c>
      <c r="L3967">
        <v>-11062</v>
      </c>
      <c r="M3967" s="7">
        <f t="shared" ca="1" si="250"/>
        <v>30.286105407255306</v>
      </c>
      <c r="N3967" s="5" t="str">
        <f ca="1">VLOOKUP(Data!M3967,temp!$B$3:$C$9,2,1)</f>
        <v>30-40</v>
      </c>
      <c r="O3967">
        <v>-134</v>
      </c>
      <c r="P3967" s="8">
        <f t="shared" si="251"/>
        <v>0.36687200547570159</v>
      </c>
      <c r="Q3967" s="5" t="str">
        <f t="shared" si="253"/>
        <v>Employed</v>
      </c>
      <c r="R3967">
        <v>1</v>
      </c>
      <c r="S3967">
        <v>0</v>
      </c>
      <c r="T3967">
        <v>1</v>
      </c>
      <c r="U3967">
        <v>0</v>
      </c>
      <c r="V3967" t="s">
        <v>44</v>
      </c>
      <c r="W3967">
        <v>3</v>
      </c>
    </row>
    <row r="3968" spans="1:23" x14ac:dyDescent="0.2">
      <c r="A3968">
        <v>5132664</v>
      </c>
      <c r="B3968" t="s">
        <v>18</v>
      </c>
      <c r="C3968" t="s">
        <v>19</v>
      </c>
      <c r="D3968" t="s">
        <v>20</v>
      </c>
      <c r="E3968">
        <v>2</v>
      </c>
      <c r="F3968">
        <v>54000</v>
      </c>
      <c r="G3968" t="s">
        <v>26</v>
      </c>
      <c r="H3968" t="s">
        <v>22</v>
      </c>
      <c r="I3968" t="s">
        <v>28</v>
      </c>
      <c r="J3968" t="s">
        <v>24</v>
      </c>
      <c r="K3968" s="6">
        <f t="shared" ca="1" si="252"/>
        <v>32670</v>
      </c>
      <c r="L3968">
        <v>-13091</v>
      </c>
      <c r="M3968" s="7">
        <f t="shared" ca="1" si="250"/>
        <v>35.841204654346335</v>
      </c>
      <c r="N3968" s="5" t="str">
        <f ca="1">VLOOKUP(Data!M3968,temp!$B$3:$C$9,2,1)</f>
        <v>30-40</v>
      </c>
      <c r="O3968">
        <v>-316</v>
      </c>
      <c r="P3968" s="8">
        <f t="shared" si="251"/>
        <v>0.86516084873374399</v>
      </c>
      <c r="Q3968" s="5" t="str">
        <f t="shared" si="253"/>
        <v>Employed</v>
      </c>
      <c r="R3968">
        <v>1</v>
      </c>
      <c r="S3968">
        <v>1</v>
      </c>
      <c r="T3968">
        <v>1</v>
      </c>
      <c r="U3968">
        <v>0</v>
      </c>
      <c r="V3968" t="s">
        <v>39</v>
      </c>
      <c r="W3968">
        <v>4</v>
      </c>
    </row>
    <row r="3969" spans="1:23" x14ac:dyDescent="0.2">
      <c r="A3969">
        <v>5132665</v>
      </c>
      <c r="B3969" t="s">
        <v>18</v>
      </c>
      <c r="C3969" t="s">
        <v>19</v>
      </c>
      <c r="D3969" t="s">
        <v>20</v>
      </c>
      <c r="E3969">
        <v>2</v>
      </c>
      <c r="F3969">
        <v>54000</v>
      </c>
      <c r="G3969" t="s">
        <v>26</v>
      </c>
      <c r="H3969" t="s">
        <v>22</v>
      </c>
      <c r="I3969" t="s">
        <v>28</v>
      </c>
      <c r="J3969" t="s">
        <v>24</v>
      </c>
      <c r="K3969" s="6">
        <f t="shared" ca="1" si="252"/>
        <v>32670</v>
      </c>
      <c r="L3969">
        <v>-13091</v>
      </c>
      <c r="M3969" s="7">
        <f t="shared" ca="1" si="250"/>
        <v>35.841204654346335</v>
      </c>
      <c r="N3969" s="5" t="str">
        <f ca="1">VLOOKUP(Data!M3969,temp!$B$3:$C$9,2,1)</f>
        <v>30-40</v>
      </c>
      <c r="O3969">
        <v>-316</v>
      </c>
      <c r="P3969" s="8">
        <f t="shared" si="251"/>
        <v>0.86516084873374399</v>
      </c>
      <c r="Q3969" s="5" t="str">
        <f t="shared" si="253"/>
        <v>Employed</v>
      </c>
      <c r="R3969">
        <v>1</v>
      </c>
      <c r="S3969">
        <v>1</v>
      </c>
      <c r="T3969">
        <v>1</v>
      </c>
      <c r="U3969">
        <v>0</v>
      </c>
      <c r="V3969" t="s">
        <v>39</v>
      </c>
      <c r="W3969">
        <v>4</v>
      </c>
    </row>
    <row r="3970" spans="1:23" x14ac:dyDescent="0.2">
      <c r="A3970">
        <v>5132670</v>
      </c>
      <c r="B3970" t="s">
        <v>18</v>
      </c>
      <c r="C3970" t="s">
        <v>19</v>
      </c>
      <c r="D3970" t="s">
        <v>20</v>
      </c>
      <c r="E3970">
        <v>0</v>
      </c>
      <c r="F3970">
        <v>67500</v>
      </c>
      <c r="G3970" t="s">
        <v>21</v>
      </c>
      <c r="H3970" t="s">
        <v>27</v>
      </c>
      <c r="I3970" t="s">
        <v>28</v>
      </c>
      <c r="J3970" t="s">
        <v>24</v>
      </c>
      <c r="K3970" s="6">
        <f t="shared" ca="1" si="252"/>
        <v>23739</v>
      </c>
      <c r="L3970">
        <v>-22022</v>
      </c>
      <c r="M3970" s="7">
        <f t="shared" ca="1" si="250"/>
        <v>60.292950034223132</v>
      </c>
      <c r="N3970" s="5" t="str">
        <f ca="1">VLOOKUP(Data!M3970,temp!$B$3:$C$9,2,1)</f>
        <v>60-70</v>
      </c>
      <c r="O3970">
        <v>365243</v>
      </c>
      <c r="P3970" s="8">
        <f t="shared" si="251"/>
        <v>0</v>
      </c>
      <c r="Q3970" s="5" t="str">
        <f t="shared" si="253"/>
        <v>Unemployed</v>
      </c>
      <c r="R3970">
        <v>1</v>
      </c>
      <c r="S3970">
        <v>0</v>
      </c>
      <c r="T3970">
        <v>0</v>
      </c>
      <c r="U3970">
        <v>0</v>
      </c>
      <c r="W3970">
        <v>2</v>
      </c>
    </row>
    <row r="3971" spans="1:23" x14ac:dyDescent="0.2">
      <c r="A3971">
        <v>5132675</v>
      </c>
      <c r="B3971" t="s">
        <v>25</v>
      </c>
      <c r="C3971" t="s">
        <v>20</v>
      </c>
      <c r="D3971" t="s">
        <v>20</v>
      </c>
      <c r="E3971">
        <v>1</v>
      </c>
      <c r="F3971">
        <v>225000</v>
      </c>
      <c r="G3971" t="s">
        <v>31</v>
      </c>
      <c r="H3971" t="s">
        <v>27</v>
      </c>
      <c r="I3971" t="s">
        <v>28</v>
      </c>
      <c r="J3971" t="s">
        <v>24</v>
      </c>
      <c r="K3971" s="6">
        <f t="shared" ca="1" si="252"/>
        <v>35726</v>
      </c>
      <c r="L3971">
        <v>-10035</v>
      </c>
      <c r="M3971" s="7">
        <f t="shared" ref="M3971:M4034" ca="1" si="254">(TODAY()-K3971)/365.25</f>
        <v>27.474332648870636</v>
      </c>
      <c r="N3971" s="5" t="str">
        <f ca="1">VLOOKUP(Data!M3971,temp!$B$3:$C$9,2,1)</f>
        <v>20-30</v>
      </c>
      <c r="O3971">
        <v>-1108</v>
      </c>
      <c r="P3971" s="8">
        <f t="shared" ref="P3971:P4034" si="255">IF(O3971&lt;=0,ABS(O3971)/365.25,0)</f>
        <v>3.0335386721423681</v>
      </c>
      <c r="Q3971" s="5" t="str">
        <f t="shared" si="253"/>
        <v>Employed</v>
      </c>
      <c r="R3971">
        <v>1</v>
      </c>
      <c r="S3971">
        <v>1</v>
      </c>
      <c r="T3971">
        <v>1</v>
      </c>
      <c r="U3971">
        <v>1</v>
      </c>
      <c r="V3971" t="s">
        <v>39</v>
      </c>
      <c r="W3971">
        <v>3</v>
      </c>
    </row>
    <row r="3972" spans="1:23" x14ac:dyDescent="0.2">
      <c r="A3972">
        <v>5132699</v>
      </c>
      <c r="B3972" t="s">
        <v>25</v>
      </c>
      <c r="C3972" t="s">
        <v>19</v>
      </c>
      <c r="D3972" t="s">
        <v>20</v>
      </c>
      <c r="E3972">
        <v>0</v>
      </c>
      <c r="F3972">
        <v>157500</v>
      </c>
      <c r="G3972" t="s">
        <v>31</v>
      </c>
      <c r="H3972" t="s">
        <v>27</v>
      </c>
      <c r="I3972" t="s">
        <v>28</v>
      </c>
      <c r="J3972" t="s">
        <v>24</v>
      </c>
      <c r="K3972" s="6">
        <f t="shared" ca="1" si="252"/>
        <v>33117</v>
      </c>
      <c r="L3972">
        <v>-12644</v>
      </c>
      <c r="M3972" s="7">
        <f t="shared" ca="1" si="254"/>
        <v>34.617385352498289</v>
      </c>
      <c r="N3972" s="5" t="str">
        <f ca="1">VLOOKUP(Data!M3972,temp!$B$3:$C$9,2,1)</f>
        <v>30-40</v>
      </c>
      <c r="O3972">
        <v>-2811</v>
      </c>
      <c r="P3972" s="8">
        <f t="shared" si="255"/>
        <v>7.6960985626283369</v>
      </c>
      <c r="Q3972" s="5" t="str">
        <f t="shared" si="253"/>
        <v>Employed</v>
      </c>
      <c r="R3972">
        <v>1</v>
      </c>
      <c r="S3972">
        <v>0</v>
      </c>
      <c r="T3972">
        <v>0</v>
      </c>
      <c r="U3972">
        <v>0</v>
      </c>
      <c r="V3972" t="s">
        <v>29</v>
      </c>
      <c r="W3972">
        <v>2</v>
      </c>
    </row>
    <row r="3973" spans="1:23" x14ac:dyDescent="0.2">
      <c r="A3973">
        <v>5132711</v>
      </c>
      <c r="B3973" t="s">
        <v>18</v>
      </c>
      <c r="C3973" t="s">
        <v>19</v>
      </c>
      <c r="D3973" t="s">
        <v>20</v>
      </c>
      <c r="E3973">
        <v>0</v>
      </c>
      <c r="F3973">
        <v>135000</v>
      </c>
      <c r="G3973" t="s">
        <v>21</v>
      </c>
      <c r="H3973" t="s">
        <v>27</v>
      </c>
      <c r="I3973" t="s">
        <v>28</v>
      </c>
      <c r="J3973" t="s">
        <v>24</v>
      </c>
      <c r="K3973" s="6">
        <f t="shared" ca="1" si="252"/>
        <v>22410</v>
      </c>
      <c r="L3973">
        <v>-23351</v>
      </c>
      <c r="M3973" s="7">
        <f t="shared" ca="1" si="254"/>
        <v>63.931553730321696</v>
      </c>
      <c r="N3973" s="5" t="str">
        <f ca="1">VLOOKUP(Data!M3973,temp!$B$3:$C$9,2,1)</f>
        <v>60-70</v>
      </c>
      <c r="O3973">
        <v>365243</v>
      </c>
      <c r="P3973" s="8">
        <f t="shared" si="255"/>
        <v>0</v>
      </c>
      <c r="Q3973" s="5" t="str">
        <f t="shared" si="253"/>
        <v>Unemployed</v>
      </c>
      <c r="R3973">
        <v>1</v>
      </c>
      <c r="S3973">
        <v>0</v>
      </c>
      <c r="T3973">
        <v>0</v>
      </c>
      <c r="U3973">
        <v>0</v>
      </c>
      <c r="W3973">
        <v>2</v>
      </c>
    </row>
    <row r="3974" spans="1:23" x14ac:dyDescent="0.2">
      <c r="A3974">
        <v>5132722</v>
      </c>
      <c r="B3974" t="s">
        <v>18</v>
      </c>
      <c r="C3974" t="s">
        <v>19</v>
      </c>
      <c r="D3974" t="s">
        <v>20</v>
      </c>
      <c r="E3974">
        <v>0</v>
      </c>
      <c r="F3974">
        <v>135000</v>
      </c>
      <c r="G3974" t="s">
        <v>31</v>
      </c>
      <c r="H3974" t="s">
        <v>27</v>
      </c>
      <c r="I3974" t="s">
        <v>28</v>
      </c>
      <c r="J3974" t="s">
        <v>24</v>
      </c>
      <c r="K3974" s="6">
        <f t="shared" ca="1" si="252"/>
        <v>21312</v>
      </c>
      <c r="L3974">
        <v>-24449</v>
      </c>
      <c r="M3974" s="7">
        <f t="shared" ca="1" si="254"/>
        <v>66.937713894592747</v>
      </c>
      <c r="N3974" s="5" t="str">
        <f ca="1">VLOOKUP(Data!M3974,temp!$B$3:$C$9,2,1)</f>
        <v>60-70</v>
      </c>
      <c r="O3974">
        <v>-3056</v>
      </c>
      <c r="P3974" s="8">
        <f t="shared" si="255"/>
        <v>8.3668720054757024</v>
      </c>
      <c r="Q3974" s="5" t="str">
        <f t="shared" si="253"/>
        <v>Employed</v>
      </c>
      <c r="R3974">
        <v>1</v>
      </c>
      <c r="S3974">
        <v>0</v>
      </c>
      <c r="T3974">
        <v>1</v>
      </c>
      <c r="U3974">
        <v>0</v>
      </c>
      <c r="V3974" t="s">
        <v>50</v>
      </c>
      <c r="W3974">
        <v>2</v>
      </c>
    </row>
    <row r="3975" spans="1:23" x14ac:dyDescent="0.2">
      <c r="A3975">
        <v>5132732</v>
      </c>
      <c r="B3975" t="s">
        <v>18</v>
      </c>
      <c r="C3975" t="s">
        <v>19</v>
      </c>
      <c r="D3975" t="s">
        <v>20</v>
      </c>
      <c r="E3975">
        <v>3</v>
      </c>
      <c r="F3975">
        <v>135000</v>
      </c>
      <c r="G3975" t="s">
        <v>26</v>
      </c>
      <c r="H3975" t="s">
        <v>27</v>
      </c>
      <c r="I3975" t="s">
        <v>28</v>
      </c>
      <c r="J3975" t="s">
        <v>24</v>
      </c>
      <c r="K3975" s="6">
        <f t="shared" ca="1" si="252"/>
        <v>32906</v>
      </c>
      <c r="L3975">
        <v>-12855</v>
      </c>
      <c r="M3975" s="7">
        <f t="shared" ca="1" si="254"/>
        <v>35.195071868583163</v>
      </c>
      <c r="N3975" s="5" t="str">
        <f ca="1">VLOOKUP(Data!M3975,temp!$B$3:$C$9,2,1)</f>
        <v>30-40</v>
      </c>
      <c r="O3975">
        <v>-772</v>
      </c>
      <c r="P3975" s="8">
        <f t="shared" si="255"/>
        <v>2.1136208076659821</v>
      </c>
      <c r="Q3975" s="5" t="str">
        <f t="shared" si="253"/>
        <v>Employed</v>
      </c>
      <c r="R3975">
        <v>1</v>
      </c>
      <c r="S3975">
        <v>0</v>
      </c>
      <c r="T3975">
        <v>0</v>
      </c>
      <c r="U3975">
        <v>0</v>
      </c>
      <c r="V3975" t="s">
        <v>39</v>
      </c>
      <c r="W3975">
        <v>5</v>
      </c>
    </row>
    <row r="3976" spans="1:23" x14ac:dyDescent="0.2">
      <c r="A3976">
        <v>5132747</v>
      </c>
      <c r="B3976" t="s">
        <v>18</v>
      </c>
      <c r="C3976" t="s">
        <v>20</v>
      </c>
      <c r="D3976" t="s">
        <v>19</v>
      </c>
      <c r="E3976">
        <v>0</v>
      </c>
      <c r="F3976">
        <v>225000</v>
      </c>
      <c r="G3976" t="s">
        <v>26</v>
      </c>
      <c r="H3976" t="s">
        <v>22</v>
      </c>
      <c r="I3976" t="s">
        <v>28</v>
      </c>
      <c r="J3976" t="s">
        <v>41</v>
      </c>
      <c r="K3976" s="6">
        <f t="shared" ref="K3976:K4039" ca="1" si="256">TODAY()+($L3976)</f>
        <v>33933</v>
      </c>
      <c r="L3976">
        <v>-11828</v>
      </c>
      <c r="M3976" s="7">
        <f t="shared" ca="1" si="254"/>
        <v>32.383299110198493</v>
      </c>
      <c r="N3976" s="5" t="str">
        <f ca="1">VLOOKUP(Data!M3976,temp!$B$3:$C$9,2,1)</f>
        <v>30-40</v>
      </c>
      <c r="O3976">
        <v>-165</v>
      </c>
      <c r="P3976" s="8">
        <f t="shared" si="255"/>
        <v>0.45174537987679669</v>
      </c>
      <c r="Q3976" s="5" t="str">
        <f t="shared" ref="Q3976:Q4039" si="257">IF($O3976&gt;0,"Unemployed","Employed")</f>
        <v>Employed</v>
      </c>
      <c r="R3976">
        <v>1</v>
      </c>
      <c r="S3976">
        <v>0</v>
      </c>
      <c r="T3976">
        <v>0</v>
      </c>
      <c r="U3976">
        <v>0</v>
      </c>
      <c r="V3976" t="s">
        <v>44</v>
      </c>
      <c r="W3976">
        <v>2</v>
      </c>
    </row>
    <row r="3977" spans="1:23" x14ac:dyDescent="0.2">
      <c r="A3977">
        <v>5132752</v>
      </c>
      <c r="B3977" t="s">
        <v>25</v>
      </c>
      <c r="C3977" t="s">
        <v>19</v>
      </c>
      <c r="D3977" t="s">
        <v>20</v>
      </c>
      <c r="E3977">
        <v>0</v>
      </c>
      <c r="F3977">
        <v>90000</v>
      </c>
      <c r="G3977" t="s">
        <v>31</v>
      </c>
      <c r="H3977" t="s">
        <v>27</v>
      </c>
      <c r="I3977" t="s">
        <v>33</v>
      </c>
      <c r="J3977" t="s">
        <v>24</v>
      </c>
      <c r="K3977" s="6">
        <f t="shared" ca="1" si="256"/>
        <v>35192</v>
      </c>
      <c r="L3977">
        <v>-10569</v>
      </c>
      <c r="M3977" s="7">
        <f t="shared" ca="1" si="254"/>
        <v>28.93634496919918</v>
      </c>
      <c r="N3977" s="5" t="str">
        <f ca="1">VLOOKUP(Data!M3977,temp!$B$3:$C$9,2,1)</f>
        <v>20-30</v>
      </c>
      <c r="O3977">
        <v>-226</v>
      </c>
      <c r="P3977" s="8">
        <f t="shared" si="255"/>
        <v>0.61875427789185489</v>
      </c>
      <c r="Q3977" s="5" t="str">
        <f t="shared" si="257"/>
        <v>Employed</v>
      </c>
      <c r="R3977">
        <v>1</v>
      </c>
      <c r="S3977">
        <v>1</v>
      </c>
      <c r="T3977">
        <v>1</v>
      </c>
      <c r="U3977">
        <v>0</v>
      </c>
      <c r="V3977" t="s">
        <v>30</v>
      </c>
      <c r="W3977">
        <v>1</v>
      </c>
    </row>
    <row r="3978" spans="1:23" x14ac:dyDescent="0.2">
      <c r="A3978">
        <v>5132755</v>
      </c>
      <c r="B3978" t="s">
        <v>25</v>
      </c>
      <c r="C3978" t="s">
        <v>19</v>
      </c>
      <c r="D3978" t="s">
        <v>20</v>
      </c>
      <c r="E3978">
        <v>0</v>
      </c>
      <c r="F3978">
        <v>90000</v>
      </c>
      <c r="G3978" t="s">
        <v>31</v>
      </c>
      <c r="H3978" t="s">
        <v>27</v>
      </c>
      <c r="I3978" t="s">
        <v>33</v>
      </c>
      <c r="J3978" t="s">
        <v>24</v>
      </c>
      <c r="K3978" s="6">
        <f t="shared" ca="1" si="256"/>
        <v>35192</v>
      </c>
      <c r="L3978">
        <v>-10569</v>
      </c>
      <c r="M3978" s="7">
        <f t="shared" ca="1" si="254"/>
        <v>28.93634496919918</v>
      </c>
      <c r="N3978" s="5" t="str">
        <f ca="1">VLOOKUP(Data!M3978,temp!$B$3:$C$9,2,1)</f>
        <v>20-30</v>
      </c>
      <c r="O3978">
        <v>-226</v>
      </c>
      <c r="P3978" s="8">
        <f t="shared" si="255"/>
        <v>0.61875427789185489</v>
      </c>
      <c r="Q3978" s="5" t="str">
        <f t="shared" si="257"/>
        <v>Employed</v>
      </c>
      <c r="R3978">
        <v>1</v>
      </c>
      <c r="S3978">
        <v>1</v>
      </c>
      <c r="T3978">
        <v>1</v>
      </c>
      <c r="U3978">
        <v>0</v>
      </c>
      <c r="V3978" t="s">
        <v>30</v>
      </c>
      <c r="W3978">
        <v>1</v>
      </c>
    </row>
    <row r="3979" spans="1:23" x14ac:dyDescent="0.2">
      <c r="A3979">
        <v>5132785</v>
      </c>
      <c r="B3979" t="s">
        <v>25</v>
      </c>
      <c r="C3979" t="s">
        <v>20</v>
      </c>
      <c r="D3979" t="s">
        <v>20</v>
      </c>
      <c r="E3979">
        <v>0</v>
      </c>
      <c r="F3979">
        <v>112500</v>
      </c>
      <c r="G3979" t="s">
        <v>31</v>
      </c>
      <c r="H3979" t="s">
        <v>27</v>
      </c>
      <c r="I3979" t="s">
        <v>33</v>
      </c>
      <c r="J3979" t="s">
        <v>24</v>
      </c>
      <c r="K3979" s="6">
        <f t="shared" ca="1" si="256"/>
        <v>36907</v>
      </c>
      <c r="L3979">
        <v>-8854</v>
      </c>
      <c r="M3979" s="7">
        <f t="shared" ca="1" si="254"/>
        <v>24.240930869267626</v>
      </c>
      <c r="N3979" s="5" t="str">
        <f ca="1">VLOOKUP(Data!M3979,temp!$B$3:$C$9,2,1)</f>
        <v>20-30</v>
      </c>
      <c r="O3979">
        <v>-195</v>
      </c>
      <c r="P3979" s="8">
        <f t="shared" si="255"/>
        <v>0.53388090349075978</v>
      </c>
      <c r="Q3979" s="5" t="str">
        <f t="shared" si="257"/>
        <v>Employed</v>
      </c>
      <c r="R3979">
        <v>1</v>
      </c>
      <c r="S3979">
        <v>1</v>
      </c>
      <c r="T3979">
        <v>0</v>
      </c>
      <c r="U3979">
        <v>0</v>
      </c>
      <c r="V3979" t="s">
        <v>29</v>
      </c>
      <c r="W3979">
        <v>1</v>
      </c>
    </row>
    <row r="3980" spans="1:23" x14ac:dyDescent="0.2">
      <c r="A3980">
        <v>5132787</v>
      </c>
      <c r="B3980" t="s">
        <v>18</v>
      </c>
      <c r="C3980" t="s">
        <v>19</v>
      </c>
      <c r="D3980" t="s">
        <v>20</v>
      </c>
      <c r="E3980">
        <v>2</v>
      </c>
      <c r="F3980">
        <v>180000</v>
      </c>
      <c r="G3980" t="s">
        <v>31</v>
      </c>
      <c r="H3980" t="s">
        <v>27</v>
      </c>
      <c r="I3980" t="s">
        <v>28</v>
      </c>
      <c r="J3980" t="s">
        <v>24</v>
      </c>
      <c r="K3980" s="6">
        <f t="shared" ca="1" si="256"/>
        <v>32400</v>
      </c>
      <c r="L3980">
        <v>-13361</v>
      </c>
      <c r="M3980" s="7">
        <f t="shared" ca="1" si="254"/>
        <v>36.580424366872002</v>
      </c>
      <c r="N3980" s="5" t="str">
        <f ca="1">VLOOKUP(Data!M3980,temp!$B$3:$C$9,2,1)</f>
        <v>30-40</v>
      </c>
      <c r="O3980">
        <v>-6586</v>
      </c>
      <c r="P3980" s="8">
        <f t="shared" si="255"/>
        <v>18.031485284052017</v>
      </c>
      <c r="Q3980" s="5" t="str">
        <f t="shared" si="257"/>
        <v>Employed</v>
      </c>
      <c r="R3980">
        <v>1</v>
      </c>
      <c r="S3980">
        <v>1</v>
      </c>
      <c r="T3980">
        <v>0</v>
      </c>
      <c r="U3980">
        <v>0</v>
      </c>
      <c r="V3980" t="s">
        <v>38</v>
      </c>
      <c r="W3980">
        <v>4</v>
      </c>
    </row>
    <row r="3981" spans="1:23" x14ac:dyDescent="0.2">
      <c r="A3981">
        <v>5132801</v>
      </c>
      <c r="B3981" t="s">
        <v>18</v>
      </c>
      <c r="C3981" t="s">
        <v>19</v>
      </c>
      <c r="D3981" t="s">
        <v>20</v>
      </c>
      <c r="E3981">
        <v>0</v>
      </c>
      <c r="F3981">
        <v>157500</v>
      </c>
      <c r="G3981" t="s">
        <v>31</v>
      </c>
      <c r="H3981" t="s">
        <v>27</v>
      </c>
      <c r="I3981" t="s">
        <v>23</v>
      </c>
      <c r="J3981" t="s">
        <v>24</v>
      </c>
      <c r="K3981" s="6">
        <f t="shared" ca="1" si="256"/>
        <v>27221</v>
      </c>
      <c r="L3981">
        <v>-18540</v>
      </c>
      <c r="M3981" s="7">
        <f t="shared" ca="1" si="254"/>
        <v>50.75975359342916</v>
      </c>
      <c r="N3981" s="5" t="str">
        <f ca="1">VLOOKUP(Data!M3981,temp!$B$3:$C$9,2,1)</f>
        <v>50-60</v>
      </c>
      <c r="O3981">
        <v>-1534</v>
      </c>
      <c r="P3981" s="8">
        <f t="shared" si="255"/>
        <v>4.1998631074606436</v>
      </c>
      <c r="Q3981" s="5" t="str">
        <f t="shared" si="257"/>
        <v>Employed</v>
      </c>
      <c r="R3981">
        <v>1</v>
      </c>
      <c r="S3981">
        <v>0</v>
      </c>
      <c r="T3981">
        <v>0</v>
      </c>
      <c r="U3981">
        <v>0</v>
      </c>
      <c r="V3981" t="s">
        <v>39</v>
      </c>
      <c r="W3981">
        <v>1</v>
      </c>
    </row>
    <row r="3982" spans="1:23" x14ac:dyDescent="0.2">
      <c r="A3982">
        <v>5132808</v>
      </c>
      <c r="B3982" t="s">
        <v>18</v>
      </c>
      <c r="C3982" t="s">
        <v>19</v>
      </c>
      <c r="D3982" t="s">
        <v>20</v>
      </c>
      <c r="E3982">
        <v>0</v>
      </c>
      <c r="F3982">
        <v>157500</v>
      </c>
      <c r="G3982" t="s">
        <v>31</v>
      </c>
      <c r="H3982" t="s">
        <v>27</v>
      </c>
      <c r="I3982" t="s">
        <v>23</v>
      </c>
      <c r="J3982" t="s">
        <v>24</v>
      </c>
      <c r="K3982" s="6">
        <f t="shared" ca="1" si="256"/>
        <v>27221</v>
      </c>
      <c r="L3982">
        <v>-18540</v>
      </c>
      <c r="M3982" s="7">
        <f t="shared" ca="1" si="254"/>
        <v>50.75975359342916</v>
      </c>
      <c r="N3982" s="5" t="str">
        <f ca="1">VLOOKUP(Data!M3982,temp!$B$3:$C$9,2,1)</f>
        <v>50-60</v>
      </c>
      <c r="O3982">
        <v>-1534</v>
      </c>
      <c r="P3982" s="8">
        <f t="shared" si="255"/>
        <v>4.1998631074606436</v>
      </c>
      <c r="Q3982" s="5" t="str">
        <f t="shared" si="257"/>
        <v>Employed</v>
      </c>
      <c r="R3982">
        <v>1</v>
      </c>
      <c r="S3982">
        <v>0</v>
      </c>
      <c r="T3982">
        <v>0</v>
      </c>
      <c r="U3982">
        <v>0</v>
      </c>
      <c r="V3982" t="s">
        <v>39</v>
      </c>
      <c r="W3982">
        <v>1</v>
      </c>
    </row>
    <row r="3983" spans="1:23" x14ac:dyDescent="0.2">
      <c r="A3983">
        <v>5132841</v>
      </c>
      <c r="B3983" t="s">
        <v>18</v>
      </c>
      <c r="C3983" t="s">
        <v>20</v>
      </c>
      <c r="D3983" t="s">
        <v>20</v>
      </c>
      <c r="E3983">
        <v>0</v>
      </c>
      <c r="F3983">
        <v>126000</v>
      </c>
      <c r="G3983" t="s">
        <v>31</v>
      </c>
      <c r="H3983" t="s">
        <v>51</v>
      </c>
      <c r="I3983" t="s">
        <v>28</v>
      </c>
      <c r="J3983" t="s">
        <v>41</v>
      </c>
      <c r="K3983" s="6">
        <f t="shared" ca="1" si="256"/>
        <v>34042</v>
      </c>
      <c r="L3983">
        <v>-11719</v>
      </c>
      <c r="M3983" s="7">
        <f t="shared" ca="1" si="254"/>
        <v>32.084873374401099</v>
      </c>
      <c r="N3983" s="5" t="str">
        <f ca="1">VLOOKUP(Data!M3983,temp!$B$3:$C$9,2,1)</f>
        <v>30-40</v>
      </c>
      <c r="O3983">
        <v>-285</v>
      </c>
      <c r="P3983" s="8">
        <f t="shared" si="255"/>
        <v>0.78028747433264889</v>
      </c>
      <c r="Q3983" s="5" t="str">
        <f t="shared" si="257"/>
        <v>Employed</v>
      </c>
      <c r="R3983">
        <v>1</v>
      </c>
      <c r="S3983">
        <v>0</v>
      </c>
      <c r="T3983">
        <v>1</v>
      </c>
      <c r="U3983">
        <v>0</v>
      </c>
      <c r="V3983" t="s">
        <v>38</v>
      </c>
      <c r="W3983">
        <v>2</v>
      </c>
    </row>
    <row r="3984" spans="1:23" x14ac:dyDescent="0.2">
      <c r="A3984">
        <v>5132843</v>
      </c>
      <c r="B3984" t="s">
        <v>18</v>
      </c>
      <c r="C3984" t="s">
        <v>20</v>
      </c>
      <c r="D3984" t="s">
        <v>20</v>
      </c>
      <c r="E3984">
        <v>0</v>
      </c>
      <c r="F3984">
        <v>126000</v>
      </c>
      <c r="G3984" t="s">
        <v>31</v>
      </c>
      <c r="H3984" t="s">
        <v>51</v>
      </c>
      <c r="I3984" t="s">
        <v>28</v>
      </c>
      <c r="J3984" t="s">
        <v>41</v>
      </c>
      <c r="K3984" s="6">
        <f t="shared" ca="1" si="256"/>
        <v>34042</v>
      </c>
      <c r="L3984">
        <v>-11719</v>
      </c>
      <c r="M3984" s="7">
        <f t="shared" ca="1" si="254"/>
        <v>32.084873374401099</v>
      </c>
      <c r="N3984" s="5" t="str">
        <f ca="1">VLOOKUP(Data!M3984,temp!$B$3:$C$9,2,1)</f>
        <v>30-40</v>
      </c>
      <c r="O3984">
        <v>-285</v>
      </c>
      <c r="P3984" s="8">
        <f t="shared" si="255"/>
        <v>0.78028747433264889</v>
      </c>
      <c r="Q3984" s="5" t="str">
        <f t="shared" si="257"/>
        <v>Employed</v>
      </c>
      <c r="R3984">
        <v>1</v>
      </c>
      <c r="S3984">
        <v>0</v>
      </c>
      <c r="T3984">
        <v>1</v>
      </c>
      <c r="U3984">
        <v>0</v>
      </c>
      <c r="V3984" t="s">
        <v>38</v>
      </c>
      <c r="W3984">
        <v>2</v>
      </c>
    </row>
    <row r="3985" spans="1:23" x14ac:dyDescent="0.2">
      <c r="A3985">
        <v>5132846</v>
      </c>
      <c r="B3985" t="s">
        <v>18</v>
      </c>
      <c r="C3985" t="s">
        <v>19</v>
      </c>
      <c r="D3985" t="s">
        <v>20</v>
      </c>
      <c r="E3985">
        <v>0</v>
      </c>
      <c r="F3985">
        <v>112500</v>
      </c>
      <c r="G3985" t="s">
        <v>35</v>
      </c>
      <c r="H3985" t="s">
        <v>27</v>
      </c>
      <c r="I3985" t="s">
        <v>28</v>
      </c>
      <c r="J3985" t="s">
        <v>24</v>
      </c>
      <c r="K3985" s="6">
        <f t="shared" ca="1" si="256"/>
        <v>28268</v>
      </c>
      <c r="L3985">
        <v>-17493</v>
      </c>
      <c r="M3985" s="7">
        <f t="shared" ca="1" si="254"/>
        <v>47.893223819301845</v>
      </c>
      <c r="N3985" s="5" t="str">
        <f ca="1">VLOOKUP(Data!M3985,temp!$B$3:$C$9,2,1)</f>
        <v>40-50</v>
      </c>
      <c r="O3985">
        <v>-3694</v>
      </c>
      <c r="P3985" s="8">
        <f t="shared" si="255"/>
        <v>10.113620807665983</v>
      </c>
      <c r="Q3985" s="5" t="str">
        <f t="shared" si="257"/>
        <v>Employed</v>
      </c>
      <c r="R3985">
        <v>1</v>
      </c>
      <c r="S3985">
        <v>0</v>
      </c>
      <c r="T3985">
        <v>0</v>
      </c>
      <c r="U3985">
        <v>1</v>
      </c>
      <c r="V3985" t="s">
        <v>50</v>
      </c>
      <c r="W3985">
        <v>2</v>
      </c>
    </row>
    <row r="3986" spans="1:23" x14ac:dyDescent="0.2">
      <c r="A3986">
        <v>5132847</v>
      </c>
      <c r="B3986" t="s">
        <v>18</v>
      </c>
      <c r="C3986" t="s">
        <v>19</v>
      </c>
      <c r="D3986" t="s">
        <v>20</v>
      </c>
      <c r="E3986">
        <v>0</v>
      </c>
      <c r="F3986">
        <v>112500</v>
      </c>
      <c r="G3986" t="s">
        <v>35</v>
      </c>
      <c r="H3986" t="s">
        <v>27</v>
      </c>
      <c r="I3986" t="s">
        <v>28</v>
      </c>
      <c r="J3986" t="s">
        <v>24</v>
      </c>
      <c r="K3986" s="6">
        <f t="shared" ca="1" si="256"/>
        <v>28268</v>
      </c>
      <c r="L3986">
        <v>-17493</v>
      </c>
      <c r="M3986" s="7">
        <f t="shared" ca="1" si="254"/>
        <v>47.893223819301845</v>
      </c>
      <c r="N3986" s="5" t="str">
        <f ca="1">VLOOKUP(Data!M3986,temp!$B$3:$C$9,2,1)</f>
        <v>40-50</v>
      </c>
      <c r="O3986">
        <v>-3694</v>
      </c>
      <c r="P3986" s="8">
        <f t="shared" si="255"/>
        <v>10.113620807665983</v>
      </c>
      <c r="Q3986" s="5" t="str">
        <f t="shared" si="257"/>
        <v>Employed</v>
      </c>
      <c r="R3986">
        <v>1</v>
      </c>
      <c r="S3986">
        <v>0</v>
      </c>
      <c r="T3986">
        <v>0</v>
      </c>
      <c r="U3986">
        <v>1</v>
      </c>
      <c r="V3986" t="s">
        <v>50</v>
      </c>
      <c r="W3986">
        <v>2</v>
      </c>
    </row>
    <row r="3987" spans="1:23" x14ac:dyDescent="0.2">
      <c r="A3987">
        <v>5132901</v>
      </c>
      <c r="B3987" t="s">
        <v>18</v>
      </c>
      <c r="C3987" t="s">
        <v>19</v>
      </c>
      <c r="D3987" t="s">
        <v>20</v>
      </c>
      <c r="E3987">
        <v>0</v>
      </c>
      <c r="F3987">
        <v>180000</v>
      </c>
      <c r="G3987" t="s">
        <v>26</v>
      </c>
      <c r="H3987" t="s">
        <v>27</v>
      </c>
      <c r="I3987" t="s">
        <v>28</v>
      </c>
      <c r="J3987" t="s">
        <v>24</v>
      </c>
      <c r="K3987" s="6">
        <f t="shared" ca="1" si="256"/>
        <v>35323</v>
      </c>
      <c r="L3987">
        <v>-10438</v>
      </c>
      <c r="M3987" s="7">
        <f t="shared" ca="1" si="254"/>
        <v>28.577686516084874</v>
      </c>
      <c r="N3987" s="5" t="str">
        <f ca="1">VLOOKUP(Data!M3987,temp!$B$3:$C$9,2,1)</f>
        <v>20-30</v>
      </c>
      <c r="O3987">
        <v>-2264</v>
      </c>
      <c r="P3987" s="8">
        <f t="shared" si="255"/>
        <v>6.1984941820670771</v>
      </c>
      <c r="Q3987" s="5" t="str">
        <f t="shared" si="257"/>
        <v>Employed</v>
      </c>
      <c r="R3987">
        <v>1</v>
      </c>
      <c r="S3987">
        <v>0</v>
      </c>
      <c r="T3987">
        <v>1</v>
      </c>
      <c r="U3987">
        <v>0</v>
      </c>
      <c r="W3987">
        <v>2</v>
      </c>
    </row>
    <row r="3988" spans="1:23" x14ac:dyDescent="0.2">
      <c r="A3988">
        <v>5132924</v>
      </c>
      <c r="B3988" t="s">
        <v>25</v>
      </c>
      <c r="C3988" t="s">
        <v>19</v>
      </c>
      <c r="D3988" t="s">
        <v>20</v>
      </c>
      <c r="E3988">
        <v>0</v>
      </c>
      <c r="F3988">
        <v>157500</v>
      </c>
      <c r="G3988" t="s">
        <v>31</v>
      </c>
      <c r="H3988" t="s">
        <v>27</v>
      </c>
      <c r="I3988" t="s">
        <v>28</v>
      </c>
      <c r="J3988" t="s">
        <v>24</v>
      </c>
      <c r="K3988" s="6">
        <f t="shared" ca="1" si="256"/>
        <v>34708</v>
      </c>
      <c r="L3988">
        <v>-11053</v>
      </c>
      <c r="M3988" s="7">
        <f t="shared" ca="1" si="254"/>
        <v>30.261464750171115</v>
      </c>
      <c r="N3988" s="5" t="str">
        <f ca="1">VLOOKUP(Data!M3988,temp!$B$3:$C$9,2,1)</f>
        <v>30-40</v>
      </c>
      <c r="O3988">
        <v>-1626</v>
      </c>
      <c r="P3988" s="8">
        <f t="shared" si="255"/>
        <v>4.4517453798767965</v>
      </c>
      <c r="Q3988" s="5" t="str">
        <f t="shared" si="257"/>
        <v>Employed</v>
      </c>
      <c r="R3988">
        <v>1</v>
      </c>
      <c r="S3988">
        <v>0</v>
      </c>
      <c r="T3988">
        <v>0</v>
      </c>
      <c r="U3988">
        <v>0</v>
      </c>
      <c r="V3988" t="s">
        <v>29</v>
      </c>
      <c r="W3988">
        <v>2</v>
      </c>
    </row>
    <row r="3989" spans="1:23" x14ac:dyDescent="0.2">
      <c r="A3989">
        <v>5132932</v>
      </c>
      <c r="B3989" t="s">
        <v>18</v>
      </c>
      <c r="C3989" t="s">
        <v>19</v>
      </c>
      <c r="D3989" t="s">
        <v>20</v>
      </c>
      <c r="E3989">
        <v>1</v>
      </c>
      <c r="F3989">
        <v>157500</v>
      </c>
      <c r="G3989" t="s">
        <v>35</v>
      </c>
      <c r="H3989" t="s">
        <v>27</v>
      </c>
      <c r="I3989" t="s">
        <v>33</v>
      </c>
      <c r="J3989" t="s">
        <v>24</v>
      </c>
      <c r="K3989" s="6">
        <f t="shared" ca="1" si="256"/>
        <v>33085</v>
      </c>
      <c r="L3989">
        <v>-12676</v>
      </c>
      <c r="M3989" s="7">
        <f t="shared" ca="1" si="254"/>
        <v>34.704996577686515</v>
      </c>
      <c r="N3989" s="5" t="str">
        <f ca="1">VLOOKUP(Data!M3989,temp!$B$3:$C$9,2,1)</f>
        <v>30-40</v>
      </c>
      <c r="O3989">
        <v>-1350</v>
      </c>
      <c r="P3989" s="8">
        <f t="shared" si="255"/>
        <v>3.6960985626283369</v>
      </c>
      <c r="Q3989" s="5" t="str">
        <f t="shared" si="257"/>
        <v>Employed</v>
      </c>
      <c r="R3989">
        <v>1</v>
      </c>
      <c r="S3989">
        <v>0</v>
      </c>
      <c r="T3989">
        <v>0</v>
      </c>
      <c r="U3989">
        <v>0</v>
      </c>
      <c r="V3989" t="s">
        <v>54</v>
      </c>
      <c r="W3989">
        <v>2</v>
      </c>
    </row>
    <row r="3990" spans="1:23" x14ac:dyDescent="0.2">
      <c r="A3990">
        <v>5132935</v>
      </c>
      <c r="B3990" t="s">
        <v>18</v>
      </c>
      <c r="C3990" t="s">
        <v>19</v>
      </c>
      <c r="D3990" t="s">
        <v>20</v>
      </c>
      <c r="E3990">
        <v>1</v>
      </c>
      <c r="F3990">
        <v>157500</v>
      </c>
      <c r="G3990" t="s">
        <v>35</v>
      </c>
      <c r="H3990" t="s">
        <v>27</v>
      </c>
      <c r="I3990" t="s">
        <v>33</v>
      </c>
      <c r="J3990" t="s">
        <v>24</v>
      </c>
      <c r="K3990" s="6">
        <f t="shared" ca="1" si="256"/>
        <v>33085</v>
      </c>
      <c r="L3990">
        <v>-12676</v>
      </c>
      <c r="M3990" s="7">
        <f t="shared" ca="1" si="254"/>
        <v>34.704996577686515</v>
      </c>
      <c r="N3990" s="5" t="str">
        <f ca="1">VLOOKUP(Data!M3990,temp!$B$3:$C$9,2,1)</f>
        <v>30-40</v>
      </c>
      <c r="O3990">
        <v>-1350</v>
      </c>
      <c r="P3990" s="8">
        <f t="shared" si="255"/>
        <v>3.6960985626283369</v>
      </c>
      <c r="Q3990" s="5" t="str">
        <f t="shared" si="257"/>
        <v>Employed</v>
      </c>
      <c r="R3990">
        <v>1</v>
      </c>
      <c r="S3990">
        <v>0</v>
      </c>
      <c r="T3990">
        <v>0</v>
      </c>
      <c r="U3990">
        <v>0</v>
      </c>
      <c r="V3990" t="s">
        <v>54</v>
      </c>
      <c r="W3990">
        <v>2</v>
      </c>
    </row>
    <row r="3991" spans="1:23" x14ac:dyDescent="0.2">
      <c r="A3991">
        <v>5132950</v>
      </c>
      <c r="B3991" t="s">
        <v>18</v>
      </c>
      <c r="C3991" t="s">
        <v>19</v>
      </c>
      <c r="D3991" t="s">
        <v>20</v>
      </c>
      <c r="E3991">
        <v>1</v>
      </c>
      <c r="F3991">
        <v>157500</v>
      </c>
      <c r="G3991" t="s">
        <v>35</v>
      </c>
      <c r="H3991" t="s">
        <v>27</v>
      </c>
      <c r="I3991" t="s">
        <v>33</v>
      </c>
      <c r="J3991" t="s">
        <v>24</v>
      </c>
      <c r="K3991" s="6">
        <f t="shared" ca="1" si="256"/>
        <v>33085</v>
      </c>
      <c r="L3991">
        <v>-12676</v>
      </c>
      <c r="M3991" s="7">
        <f t="shared" ca="1" si="254"/>
        <v>34.704996577686515</v>
      </c>
      <c r="N3991" s="5" t="str">
        <f ca="1">VLOOKUP(Data!M3991,temp!$B$3:$C$9,2,1)</f>
        <v>30-40</v>
      </c>
      <c r="O3991">
        <v>-1350</v>
      </c>
      <c r="P3991" s="8">
        <f t="shared" si="255"/>
        <v>3.6960985626283369</v>
      </c>
      <c r="Q3991" s="5" t="str">
        <f t="shared" si="257"/>
        <v>Employed</v>
      </c>
      <c r="R3991">
        <v>1</v>
      </c>
      <c r="S3991">
        <v>0</v>
      </c>
      <c r="T3991">
        <v>0</v>
      </c>
      <c r="U3991">
        <v>0</v>
      </c>
      <c r="V3991" t="s">
        <v>54</v>
      </c>
      <c r="W3991">
        <v>2</v>
      </c>
    </row>
    <row r="3992" spans="1:23" x14ac:dyDescent="0.2">
      <c r="A3992">
        <v>5132954</v>
      </c>
      <c r="B3992" t="s">
        <v>18</v>
      </c>
      <c r="C3992" t="s">
        <v>19</v>
      </c>
      <c r="D3992" t="s">
        <v>20</v>
      </c>
      <c r="E3992">
        <v>1</v>
      </c>
      <c r="F3992">
        <v>157500</v>
      </c>
      <c r="G3992" t="s">
        <v>35</v>
      </c>
      <c r="H3992" t="s">
        <v>27</v>
      </c>
      <c r="I3992" t="s">
        <v>33</v>
      </c>
      <c r="J3992" t="s">
        <v>24</v>
      </c>
      <c r="K3992" s="6">
        <f t="shared" ca="1" si="256"/>
        <v>33085</v>
      </c>
      <c r="L3992">
        <v>-12676</v>
      </c>
      <c r="M3992" s="7">
        <f t="shared" ca="1" si="254"/>
        <v>34.704996577686515</v>
      </c>
      <c r="N3992" s="5" t="str">
        <f ca="1">VLOOKUP(Data!M3992,temp!$B$3:$C$9,2,1)</f>
        <v>30-40</v>
      </c>
      <c r="O3992">
        <v>-1350</v>
      </c>
      <c r="P3992" s="8">
        <f t="shared" si="255"/>
        <v>3.6960985626283369</v>
      </c>
      <c r="Q3992" s="5" t="str">
        <f t="shared" si="257"/>
        <v>Employed</v>
      </c>
      <c r="R3992">
        <v>1</v>
      </c>
      <c r="S3992">
        <v>0</v>
      </c>
      <c r="T3992">
        <v>0</v>
      </c>
      <c r="U3992">
        <v>0</v>
      </c>
      <c r="V3992" t="s">
        <v>54</v>
      </c>
      <c r="W3992">
        <v>2</v>
      </c>
    </row>
    <row r="3993" spans="1:23" x14ac:dyDescent="0.2">
      <c r="A3993">
        <v>5132956</v>
      </c>
      <c r="B3993" t="s">
        <v>18</v>
      </c>
      <c r="C3993" t="s">
        <v>19</v>
      </c>
      <c r="D3993" t="s">
        <v>20</v>
      </c>
      <c r="E3993">
        <v>1</v>
      </c>
      <c r="F3993">
        <v>157500</v>
      </c>
      <c r="G3993" t="s">
        <v>35</v>
      </c>
      <c r="H3993" t="s">
        <v>27</v>
      </c>
      <c r="I3993" t="s">
        <v>33</v>
      </c>
      <c r="J3993" t="s">
        <v>24</v>
      </c>
      <c r="K3993" s="6">
        <f t="shared" ca="1" si="256"/>
        <v>33085</v>
      </c>
      <c r="L3993">
        <v>-12676</v>
      </c>
      <c r="M3993" s="7">
        <f t="shared" ca="1" si="254"/>
        <v>34.704996577686515</v>
      </c>
      <c r="N3993" s="5" t="str">
        <f ca="1">VLOOKUP(Data!M3993,temp!$B$3:$C$9,2,1)</f>
        <v>30-40</v>
      </c>
      <c r="O3993">
        <v>-1350</v>
      </c>
      <c r="P3993" s="8">
        <f t="shared" si="255"/>
        <v>3.6960985626283369</v>
      </c>
      <c r="Q3993" s="5" t="str">
        <f t="shared" si="257"/>
        <v>Employed</v>
      </c>
      <c r="R3993">
        <v>1</v>
      </c>
      <c r="S3993">
        <v>0</v>
      </c>
      <c r="T3993">
        <v>0</v>
      </c>
      <c r="U3993">
        <v>0</v>
      </c>
      <c r="V3993" t="s">
        <v>54</v>
      </c>
      <c r="W3993">
        <v>2</v>
      </c>
    </row>
    <row r="3994" spans="1:23" x14ac:dyDescent="0.2">
      <c r="A3994">
        <v>5132975</v>
      </c>
      <c r="B3994" t="s">
        <v>18</v>
      </c>
      <c r="C3994" t="s">
        <v>19</v>
      </c>
      <c r="D3994" t="s">
        <v>20</v>
      </c>
      <c r="E3994">
        <v>2</v>
      </c>
      <c r="F3994">
        <v>112500</v>
      </c>
      <c r="G3994" t="s">
        <v>31</v>
      </c>
      <c r="H3994" t="s">
        <v>27</v>
      </c>
      <c r="I3994" t="s">
        <v>28</v>
      </c>
      <c r="J3994" t="s">
        <v>24</v>
      </c>
      <c r="K3994" s="6">
        <f t="shared" ca="1" si="256"/>
        <v>31153</v>
      </c>
      <c r="L3994">
        <v>-14608</v>
      </c>
      <c r="M3994" s="7">
        <f t="shared" ca="1" si="254"/>
        <v>39.994524298425738</v>
      </c>
      <c r="N3994" s="5" t="str">
        <f ca="1">VLOOKUP(Data!M3994,temp!$B$3:$C$9,2,1)</f>
        <v>30-40</v>
      </c>
      <c r="O3994">
        <v>-1261</v>
      </c>
      <c r="P3994" s="8">
        <f t="shared" si="255"/>
        <v>3.4524298425735798</v>
      </c>
      <c r="Q3994" s="5" t="str">
        <f t="shared" si="257"/>
        <v>Employed</v>
      </c>
      <c r="R3994">
        <v>1</v>
      </c>
      <c r="S3994">
        <v>1</v>
      </c>
      <c r="T3994">
        <v>0</v>
      </c>
      <c r="U3994">
        <v>0</v>
      </c>
      <c r="V3994" t="s">
        <v>39</v>
      </c>
      <c r="W3994">
        <v>4</v>
      </c>
    </row>
    <row r="3995" spans="1:23" x14ac:dyDescent="0.2">
      <c r="A3995">
        <v>5132976</v>
      </c>
      <c r="B3995" t="s">
        <v>18</v>
      </c>
      <c r="C3995" t="s">
        <v>19</v>
      </c>
      <c r="D3995" t="s">
        <v>20</v>
      </c>
      <c r="E3995">
        <v>2</v>
      </c>
      <c r="F3995">
        <v>112500</v>
      </c>
      <c r="G3995" t="s">
        <v>31</v>
      </c>
      <c r="H3995" t="s">
        <v>27</v>
      </c>
      <c r="I3995" t="s">
        <v>28</v>
      </c>
      <c r="J3995" t="s">
        <v>24</v>
      </c>
      <c r="K3995" s="6">
        <f t="shared" ca="1" si="256"/>
        <v>31153</v>
      </c>
      <c r="L3995">
        <v>-14608</v>
      </c>
      <c r="M3995" s="7">
        <f t="shared" ca="1" si="254"/>
        <v>39.994524298425738</v>
      </c>
      <c r="N3995" s="5" t="str">
        <f ca="1">VLOOKUP(Data!M3995,temp!$B$3:$C$9,2,1)</f>
        <v>30-40</v>
      </c>
      <c r="O3995">
        <v>-1261</v>
      </c>
      <c r="P3995" s="8">
        <f t="shared" si="255"/>
        <v>3.4524298425735798</v>
      </c>
      <c r="Q3995" s="5" t="str">
        <f t="shared" si="257"/>
        <v>Employed</v>
      </c>
      <c r="R3995">
        <v>1</v>
      </c>
      <c r="S3995">
        <v>1</v>
      </c>
      <c r="T3995">
        <v>0</v>
      </c>
      <c r="U3995">
        <v>0</v>
      </c>
      <c r="V3995" t="s">
        <v>39</v>
      </c>
      <c r="W3995">
        <v>4</v>
      </c>
    </row>
    <row r="3996" spans="1:23" x14ac:dyDescent="0.2">
      <c r="A3996">
        <v>5135258</v>
      </c>
      <c r="B3996" t="s">
        <v>18</v>
      </c>
      <c r="C3996" t="s">
        <v>19</v>
      </c>
      <c r="D3996" t="s">
        <v>20</v>
      </c>
      <c r="E3996">
        <v>0</v>
      </c>
      <c r="F3996">
        <v>90000</v>
      </c>
      <c r="G3996" t="s">
        <v>21</v>
      </c>
      <c r="H3996" t="s">
        <v>27</v>
      </c>
      <c r="I3996" t="s">
        <v>28</v>
      </c>
      <c r="J3996" t="s">
        <v>24</v>
      </c>
      <c r="K3996" s="6">
        <f t="shared" ca="1" si="256"/>
        <v>23737</v>
      </c>
      <c r="L3996">
        <v>-22024</v>
      </c>
      <c r="M3996" s="7">
        <f t="shared" ca="1" si="254"/>
        <v>60.298425735797402</v>
      </c>
      <c r="N3996" s="5" t="str">
        <f ca="1">VLOOKUP(Data!M3996,temp!$B$3:$C$9,2,1)</f>
        <v>60-70</v>
      </c>
      <c r="O3996">
        <v>365243</v>
      </c>
      <c r="P3996" s="8">
        <f t="shared" si="255"/>
        <v>0</v>
      </c>
      <c r="Q3996" s="5" t="str">
        <f t="shared" si="257"/>
        <v>Unemployed</v>
      </c>
      <c r="R3996">
        <v>1</v>
      </c>
      <c r="S3996">
        <v>0</v>
      </c>
      <c r="T3996">
        <v>0</v>
      </c>
      <c r="U3996">
        <v>0</v>
      </c>
      <c r="W3996">
        <v>2</v>
      </c>
    </row>
    <row r="3997" spans="1:23" x14ac:dyDescent="0.2">
      <c r="A3997">
        <v>5135310</v>
      </c>
      <c r="B3997" t="s">
        <v>18</v>
      </c>
      <c r="C3997" t="s">
        <v>19</v>
      </c>
      <c r="D3997" t="s">
        <v>19</v>
      </c>
      <c r="E3997">
        <v>1</v>
      </c>
      <c r="F3997">
        <v>225000</v>
      </c>
      <c r="G3997" t="s">
        <v>26</v>
      </c>
      <c r="H3997" t="s">
        <v>27</v>
      </c>
      <c r="I3997" t="s">
        <v>37</v>
      </c>
      <c r="J3997" t="s">
        <v>24</v>
      </c>
      <c r="K3997" s="6">
        <f t="shared" ca="1" si="256"/>
        <v>30996</v>
      </c>
      <c r="L3997">
        <v>-14765</v>
      </c>
      <c r="M3997" s="7">
        <f t="shared" ca="1" si="254"/>
        <v>40.424366872005479</v>
      </c>
      <c r="N3997" s="5" t="str">
        <f ca="1">VLOOKUP(Data!M3997,temp!$B$3:$C$9,2,1)</f>
        <v>40-50</v>
      </c>
      <c r="O3997">
        <v>-3294</v>
      </c>
      <c r="P3997" s="8">
        <f t="shared" si="255"/>
        <v>9.0184804928131417</v>
      </c>
      <c r="Q3997" s="5" t="str">
        <f t="shared" si="257"/>
        <v>Employed</v>
      </c>
      <c r="R3997">
        <v>1</v>
      </c>
      <c r="S3997">
        <v>0</v>
      </c>
      <c r="T3997">
        <v>0</v>
      </c>
      <c r="U3997">
        <v>0</v>
      </c>
      <c r="V3997" t="s">
        <v>38</v>
      </c>
      <c r="W3997">
        <v>3</v>
      </c>
    </row>
    <row r="3998" spans="1:23" x14ac:dyDescent="0.2">
      <c r="A3998">
        <v>5135377</v>
      </c>
      <c r="B3998" t="s">
        <v>18</v>
      </c>
      <c r="C3998" t="s">
        <v>19</v>
      </c>
      <c r="D3998" t="s">
        <v>20</v>
      </c>
      <c r="E3998">
        <v>0</v>
      </c>
      <c r="F3998">
        <v>387000</v>
      </c>
      <c r="G3998" t="s">
        <v>26</v>
      </c>
      <c r="H3998" t="s">
        <v>27</v>
      </c>
      <c r="I3998" t="s">
        <v>28</v>
      </c>
      <c r="J3998" t="s">
        <v>24</v>
      </c>
      <c r="K3998" s="6">
        <f t="shared" ca="1" si="256"/>
        <v>25679</v>
      </c>
      <c r="L3998">
        <v>-20082</v>
      </c>
      <c r="M3998" s="7">
        <f t="shared" ca="1" si="254"/>
        <v>54.98151950718686</v>
      </c>
      <c r="N3998" s="5" t="str">
        <f ca="1">VLOOKUP(Data!M3998,temp!$B$3:$C$9,2,1)</f>
        <v>50-60</v>
      </c>
      <c r="O3998">
        <v>-4979</v>
      </c>
      <c r="P3998" s="8">
        <f t="shared" si="255"/>
        <v>13.631759069130732</v>
      </c>
      <c r="Q3998" s="5" t="str">
        <f t="shared" si="257"/>
        <v>Employed</v>
      </c>
      <c r="R3998">
        <v>1</v>
      </c>
      <c r="S3998">
        <v>0</v>
      </c>
      <c r="T3998">
        <v>0</v>
      </c>
      <c r="U3998">
        <v>0</v>
      </c>
      <c r="V3998" t="s">
        <v>39</v>
      </c>
      <c r="W3998">
        <v>2</v>
      </c>
    </row>
    <row r="3999" spans="1:23" x14ac:dyDescent="0.2">
      <c r="A3999">
        <v>5135378</v>
      </c>
      <c r="B3999" t="s">
        <v>18</v>
      </c>
      <c r="C3999" t="s">
        <v>19</v>
      </c>
      <c r="D3999" t="s">
        <v>20</v>
      </c>
      <c r="E3999">
        <v>0</v>
      </c>
      <c r="F3999">
        <v>387000</v>
      </c>
      <c r="G3999" t="s">
        <v>26</v>
      </c>
      <c r="H3999" t="s">
        <v>27</v>
      </c>
      <c r="I3999" t="s">
        <v>28</v>
      </c>
      <c r="J3999" t="s">
        <v>24</v>
      </c>
      <c r="K3999" s="6">
        <f t="shared" ca="1" si="256"/>
        <v>25679</v>
      </c>
      <c r="L3999">
        <v>-20082</v>
      </c>
      <c r="M3999" s="7">
        <f t="shared" ca="1" si="254"/>
        <v>54.98151950718686</v>
      </c>
      <c r="N3999" s="5" t="str">
        <f ca="1">VLOOKUP(Data!M3999,temp!$B$3:$C$9,2,1)</f>
        <v>50-60</v>
      </c>
      <c r="O3999">
        <v>-4979</v>
      </c>
      <c r="P3999" s="8">
        <f t="shared" si="255"/>
        <v>13.631759069130732</v>
      </c>
      <c r="Q3999" s="5" t="str">
        <f t="shared" si="257"/>
        <v>Employed</v>
      </c>
      <c r="R3999">
        <v>1</v>
      </c>
      <c r="S3999">
        <v>0</v>
      </c>
      <c r="T3999">
        <v>0</v>
      </c>
      <c r="U3999">
        <v>0</v>
      </c>
      <c r="V3999" t="s">
        <v>39</v>
      </c>
      <c r="W3999">
        <v>2</v>
      </c>
    </row>
    <row r="4000" spans="1:23" x14ac:dyDescent="0.2">
      <c r="A4000">
        <v>5135384</v>
      </c>
      <c r="B4000" t="s">
        <v>18</v>
      </c>
      <c r="C4000" t="s">
        <v>19</v>
      </c>
      <c r="D4000" t="s">
        <v>20</v>
      </c>
      <c r="E4000">
        <v>0</v>
      </c>
      <c r="F4000">
        <v>387000</v>
      </c>
      <c r="G4000" t="s">
        <v>26</v>
      </c>
      <c r="H4000" t="s">
        <v>27</v>
      </c>
      <c r="I4000" t="s">
        <v>28</v>
      </c>
      <c r="J4000" t="s">
        <v>24</v>
      </c>
      <c r="K4000" s="6">
        <f t="shared" ca="1" si="256"/>
        <v>25679</v>
      </c>
      <c r="L4000">
        <v>-20082</v>
      </c>
      <c r="M4000" s="7">
        <f t="shared" ca="1" si="254"/>
        <v>54.98151950718686</v>
      </c>
      <c r="N4000" s="5" t="str">
        <f ca="1">VLOOKUP(Data!M4000,temp!$B$3:$C$9,2,1)</f>
        <v>50-60</v>
      </c>
      <c r="O4000">
        <v>-4979</v>
      </c>
      <c r="P4000" s="8">
        <f t="shared" si="255"/>
        <v>13.631759069130732</v>
      </c>
      <c r="Q4000" s="5" t="str">
        <f t="shared" si="257"/>
        <v>Employed</v>
      </c>
      <c r="R4000">
        <v>1</v>
      </c>
      <c r="S4000">
        <v>0</v>
      </c>
      <c r="T4000">
        <v>0</v>
      </c>
      <c r="U4000">
        <v>0</v>
      </c>
      <c r="V4000" t="s">
        <v>39</v>
      </c>
      <c r="W4000">
        <v>2</v>
      </c>
    </row>
    <row r="4001" spans="1:23" x14ac:dyDescent="0.2">
      <c r="A4001">
        <v>5135386</v>
      </c>
      <c r="B4001" t="s">
        <v>18</v>
      </c>
      <c r="C4001" t="s">
        <v>19</v>
      </c>
      <c r="D4001" t="s">
        <v>20</v>
      </c>
      <c r="E4001">
        <v>0</v>
      </c>
      <c r="F4001">
        <v>387000</v>
      </c>
      <c r="G4001" t="s">
        <v>26</v>
      </c>
      <c r="H4001" t="s">
        <v>27</v>
      </c>
      <c r="I4001" t="s">
        <v>28</v>
      </c>
      <c r="J4001" t="s">
        <v>24</v>
      </c>
      <c r="K4001" s="6">
        <f t="shared" ca="1" si="256"/>
        <v>25679</v>
      </c>
      <c r="L4001">
        <v>-20082</v>
      </c>
      <c r="M4001" s="7">
        <f t="shared" ca="1" si="254"/>
        <v>54.98151950718686</v>
      </c>
      <c r="N4001" s="5" t="str">
        <f ca="1">VLOOKUP(Data!M4001,temp!$B$3:$C$9,2,1)</f>
        <v>50-60</v>
      </c>
      <c r="O4001">
        <v>-4979</v>
      </c>
      <c r="P4001" s="8">
        <f t="shared" si="255"/>
        <v>13.631759069130732</v>
      </c>
      <c r="Q4001" s="5" t="str">
        <f t="shared" si="257"/>
        <v>Employed</v>
      </c>
      <c r="R4001">
        <v>1</v>
      </c>
      <c r="S4001">
        <v>0</v>
      </c>
      <c r="T4001">
        <v>0</v>
      </c>
      <c r="U4001">
        <v>0</v>
      </c>
      <c r="V4001" t="s">
        <v>39</v>
      </c>
      <c r="W4001">
        <v>2</v>
      </c>
    </row>
    <row r="4002" spans="1:23" x14ac:dyDescent="0.2">
      <c r="A4002">
        <v>5135393</v>
      </c>
      <c r="B4002" t="s">
        <v>18</v>
      </c>
      <c r="C4002" t="s">
        <v>19</v>
      </c>
      <c r="D4002" t="s">
        <v>19</v>
      </c>
      <c r="E4002">
        <v>0</v>
      </c>
      <c r="F4002">
        <v>126000</v>
      </c>
      <c r="G4002" t="s">
        <v>31</v>
      </c>
      <c r="H4002" t="s">
        <v>27</v>
      </c>
      <c r="I4002" t="s">
        <v>28</v>
      </c>
      <c r="J4002" t="s">
        <v>45</v>
      </c>
      <c r="K4002" s="6">
        <f t="shared" ca="1" si="256"/>
        <v>30417</v>
      </c>
      <c r="L4002">
        <v>-15344</v>
      </c>
      <c r="M4002" s="7">
        <f t="shared" ca="1" si="254"/>
        <v>42.009582477754961</v>
      </c>
      <c r="N4002" s="5" t="str">
        <f ca="1">VLOOKUP(Data!M4002,temp!$B$3:$C$9,2,1)</f>
        <v>40-50</v>
      </c>
      <c r="O4002">
        <v>-4461</v>
      </c>
      <c r="P4002" s="8">
        <f t="shared" si="255"/>
        <v>12.213552361396303</v>
      </c>
      <c r="Q4002" s="5" t="str">
        <f t="shared" si="257"/>
        <v>Employed</v>
      </c>
      <c r="R4002">
        <v>1</v>
      </c>
      <c r="S4002">
        <v>0</v>
      </c>
      <c r="T4002">
        <v>0</v>
      </c>
      <c r="U4002">
        <v>0</v>
      </c>
      <c r="W4002">
        <v>2</v>
      </c>
    </row>
    <row r="4003" spans="1:23" x14ac:dyDescent="0.2">
      <c r="A4003">
        <v>5135404</v>
      </c>
      <c r="B4003" t="s">
        <v>18</v>
      </c>
      <c r="C4003" t="s">
        <v>19</v>
      </c>
      <c r="D4003" t="s">
        <v>20</v>
      </c>
      <c r="E4003">
        <v>0</v>
      </c>
      <c r="F4003">
        <v>162000</v>
      </c>
      <c r="G4003" t="s">
        <v>26</v>
      </c>
      <c r="H4003" t="s">
        <v>51</v>
      </c>
      <c r="I4003" t="s">
        <v>28</v>
      </c>
      <c r="J4003" t="s">
        <v>24</v>
      </c>
      <c r="K4003" s="6">
        <f t="shared" ca="1" si="256"/>
        <v>35385</v>
      </c>
      <c r="L4003">
        <v>-10376</v>
      </c>
      <c r="M4003" s="7">
        <f t="shared" ca="1" si="254"/>
        <v>28.407939767282684</v>
      </c>
      <c r="N4003" s="5" t="str">
        <f ca="1">VLOOKUP(Data!M4003,temp!$B$3:$C$9,2,1)</f>
        <v>20-30</v>
      </c>
      <c r="O4003">
        <v>-3092</v>
      </c>
      <c r="P4003" s="8">
        <f t="shared" si="255"/>
        <v>8.4654346338124569</v>
      </c>
      <c r="Q4003" s="5" t="str">
        <f t="shared" si="257"/>
        <v>Employed</v>
      </c>
      <c r="R4003">
        <v>1</v>
      </c>
      <c r="S4003">
        <v>0</v>
      </c>
      <c r="T4003">
        <v>0</v>
      </c>
      <c r="U4003">
        <v>0</v>
      </c>
      <c r="W4003">
        <v>2</v>
      </c>
    </row>
    <row r="4004" spans="1:23" x14ac:dyDescent="0.2">
      <c r="A4004">
        <v>5135424</v>
      </c>
      <c r="B4004" t="s">
        <v>18</v>
      </c>
      <c r="C4004" t="s">
        <v>19</v>
      </c>
      <c r="D4004" t="s">
        <v>20</v>
      </c>
      <c r="E4004">
        <v>0</v>
      </c>
      <c r="F4004">
        <v>121500</v>
      </c>
      <c r="G4004" t="s">
        <v>31</v>
      </c>
      <c r="H4004" t="s">
        <v>27</v>
      </c>
      <c r="I4004" t="s">
        <v>28</v>
      </c>
      <c r="J4004" t="s">
        <v>24</v>
      </c>
      <c r="K4004" s="6">
        <f t="shared" ca="1" si="256"/>
        <v>35639</v>
      </c>
      <c r="L4004">
        <v>-10122</v>
      </c>
      <c r="M4004" s="7">
        <f t="shared" ca="1" si="254"/>
        <v>27.71252566735113</v>
      </c>
      <c r="N4004" s="5" t="str">
        <f ca="1">VLOOKUP(Data!M4004,temp!$B$3:$C$9,2,1)</f>
        <v>20-30</v>
      </c>
      <c r="O4004">
        <v>-231</v>
      </c>
      <c r="P4004" s="8">
        <f t="shared" si="255"/>
        <v>0.63244353182751545</v>
      </c>
      <c r="Q4004" s="5" t="str">
        <f t="shared" si="257"/>
        <v>Employed</v>
      </c>
      <c r="R4004">
        <v>1</v>
      </c>
      <c r="S4004">
        <v>0</v>
      </c>
      <c r="T4004">
        <v>0</v>
      </c>
      <c r="U4004">
        <v>0</v>
      </c>
      <c r="W4004">
        <v>2</v>
      </c>
    </row>
    <row r="4005" spans="1:23" x14ac:dyDescent="0.2">
      <c r="A4005">
        <v>5135455</v>
      </c>
      <c r="B4005" t="s">
        <v>18</v>
      </c>
      <c r="C4005" t="s">
        <v>19</v>
      </c>
      <c r="D4005" t="s">
        <v>20</v>
      </c>
      <c r="E4005">
        <v>0</v>
      </c>
      <c r="F4005">
        <v>225000</v>
      </c>
      <c r="G4005" t="s">
        <v>31</v>
      </c>
      <c r="H4005" t="s">
        <v>27</v>
      </c>
      <c r="I4005" t="s">
        <v>23</v>
      </c>
      <c r="J4005" t="s">
        <v>24</v>
      </c>
      <c r="K4005" s="6">
        <f t="shared" ca="1" si="256"/>
        <v>28770</v>
      </c>
      <c r="L4005">
        <v>-16991</v>
      </c>
      <c r="M4005" s="7">
        <f t="shared" ca="1" si="254"/>
        <v>46.518822724161531</v>
      </c>
      <c r="N4005" s="5" t="str">
        <f ca="1">VLOOKUP(Data!M4005,temp!$B$3:$C$9,2,1)</f>
        <v>40-50</v>
      </c>
      <c r="O4005">
        <v>-231</v>
      </c>
      <c r="P4005" s="8">
        <f t="shared" si="255"/>
        <v>0.63244353182751545</v>
      </c>
      <c r="Q4005" s="5" t="str">
        <f t="shared" si="257"/>
        <v>Employed</v>
      </c>
      <c r="R4005">
        <v>1</v>
      </c>
      <c r="S4005">
        <v>0</v>
      </c>
      <c r="T4005">
        <v>0</v>
      </c>
      <c r="U4005">
        <v>0</v>
      </c>
      <c r="V4005" t="s">
        <v>29</v>
      </c>
      <c r="W4005">
        <v>1</v>
      </c>
    </row>
    <row r="4006" spans="1:23" x14ac:dyDescent="0.2">
      <c r="A4006">
        <v>5135459</v>
      </c>
      <c r="B4006" t="s">
        <v>25</v>
      </c>
      <c r="C4006" t="s">
        <v>20</v>
      </c>
      <c r="D4006" t="s">
        <v>20</v>
      </c>
      <c r="E4006">
        <v>0</v>
      </c>
      <c r="F4006">
        <v>162000</v>
      </c>
      <c r="G4006" t="s">
        <v>31</v>
      </c>
      <c r="H4006" t="s">
        <v>27</v>
      </c>
      <c r="I4006" t="s">
        <v>28</v>
      </c>
      <c r="J4006" t="s">
        <v>24</v>
      </c>
      <c r="K4006" s="6">
        <f t="shared" ca="1" si="256"/>
        <v>32543</v>
      </c>
      <c r="L4006">
        <v>-13218</v>
      </c>
      <c r="M4006" s="7">
        <f t="shared" ca="1" si="254"/>
        <v>36.188911704312112</v>
      </c>
      <c r="N4006" s="5" t="str">
        <f ca="1">VLOOKUP(Data!M4006,temp!$B$3:$C$9,2,1)</f>
        <v>30-40</v>
      </c>
      <c r="O4006">
        <v>-78</v>
      </c>
      <c r="P4006" s="8">
        <f t="shared" si="255"/>
        <v>0.2135523613963039</v>
      </c>
      <c r="Q4006" s="5" t="str">
        <f t="shared" si="257"/>
        <v>Employed</v>
      </c>
      <c r="R4006">
        <v>1</v>
      </c>
      <c r="S4006">
        <v>0</v>
      </c>
      <c r="T4006">
        <v>0</v>
      </c>
      <c r="U4006">
        <v>0</v>
      </c>
      <c r="V4006" t="s">
        <v>29</v>
      </c>
      <c r="W4006">
        <v>2</v>
      </c>
    </row>
    <row r="4007" spans="1:23" x14ac:dyDescent="0.2">
      <c r="A4007">
        <v>5135468</v>
      </c>
      <c r="B4007" t="s">
        <v>18</v>
      </c>
      <c r="C4007" t="s">
        <v>19</v>
      </c>
      <c r="D4007" t="s">
        <v>20</v>
      </c>
      <c r="E4007">
        <v>0</v>
      </c>
      <c r="F4007">
        <v>180000</v>
      </c>
      <c r="G4007" t="s">
        <v>31</v>
      </c>
      <c r="H4007" t="s">
        <v>27</v>
      </c>
      <c r="I4007" t="s">
        <v>28</v>
      </c>
      <c r="J4007" t="s">
        <v>24</v>
      </c>
      <c r="K4007" s="6">
        <f t="shared" ca="1" si="256"/>
        <v>25880</v>
      </c>
      <c r="L4007">
        <v>-19881</v>
      </c>
      <c r="M4007" s="7">
        <f t="shared" ca="1" si="254"/>
        <v>54.431211498973305</v>
      </c>
      <c r="N4007" s="5" t="str">
        <f ca="1">VLOOKUP(Data!M4007,temp!$B$3:$C$9,2,1)</f>
        <v>50-60</v>
      </c>
      <c r="O4007">
        <v>-7718</v>
      </c>
      <c r="P4007" s="8">
        <f t="shared" si="255"/>
        <v>21.130732375085557</v>
      </c>
      <c r="Q4007" s="5" t="str">
        <f t="shared" si="257"/>
        <v>Employed</v>
      </c>
      <c r="R4007">
        <v>1</v>
      </c>
      <c r="S4007">
        <v>0</v>
      </c>
      <c r="T4007">
        <v>0</v>
      </c>
      <c r="U4007">
        <v>0</v>
      </c>
      <c r="V4007" t="s">
        <v>52</v>
      </c>
      <c r="W4007">
        <v>2</v>
      </c>
    </row>
    <row r="4008" spans="1:23" x14ac:dyDescent="0.2">
      <c r="A4008">
        <v>5135482</v>
      </c>
      <c r="B4008" t="s">
        <v>18</v>
      </c>
      <c r="C4008" t="s">
        <v>19</v>
      </c>
      <c r="D4008" t="s">
        <v>19</v>
      </c>
      <c r="E4008">
        <v>2</v>
      </c>
      <c r="F4008">
        <v>121500</v>
      </c>
      <c r="G4008" t="s">
        <v>31</v>
      </c>
      <c r="H4008" t="s">
        <v>27</v>
      </c>
      <c r="I4008" t="s">
        <v>28</v>
      </c>
      <c r="J4008" t="s">
        <v>41</v>
      </c>
      <c r="K4008" s="6">
        <f t="shared" ca="1" si="256"/>
        <v>35755</v>
      </c>
      <c r="L4008">
        <v>-10006</v>
      </c>
      <c r="M4008" s="7">
        <f t="shared" ca="1" si="254"/>
        <v>27.394934976043807</v>
      </c>
      <c r="N4008" s="5" t="str">
        <f ca="1">VLOOKUP(Data!M4008,temp!$B$3:$C$9,2,1)</f>
        <v>20-30</v>
      </c>
      <c r="O4008">
        <v>-413</v>
      </c>
      <c r="P4008" s="8">
        <f t="shared" si="255"/>
        <v>1.1307323750855578</v>
      </c>
      <c r="Q4008" s="5" t="str">
        <f t="shared" si="257"/>
        <v>Employed</v>
      </c>
      <c r="R4008">
        <v>1</v>
      </c>
      <c r="S4008">
        <v>0</v>
      </c>
      <c r="T4008">
        <v>0</v>
      </c>
      <c r="U4008">
        <v>0</v>
      </c>
      <c r="V4008" t="s">
        <v>50</v>
      </c>
      <c r="W4008">
        <v>4</v>
      </c>
    </row>
    <row r="4009" spans="1:23" x14ac:dyDescent="0.2">
      <c r="A4009">
        <v>5135487</v>
      </c>
      <c r="B4009" t="s">
        <v>18</v>
      </c>
      <c r="C4009" t="s">
        <v>19</v>
      </c>
      <c r="D4009" t="s">
        <v>20</v>
      </c>
      <c r="E4009">
        <v>0</v>
      </c>
      <c r="F4009">
        <v>135000</v>
      </c>
      <c r="G4009" t="s">
        <v>35</v>
      </c>
      <c r="H4009" t="s">
        <v>22</v>
      </c>
      <c r="I4009" t="s">
        <v>33</v>
      </c>
      <c r="J4009" t="s">
        <v>45</v>
      </c>
      <c r="K4009" s="6">
        <f t="shared" ca="1" si="256"/>
        <v>35101</v>
      </c>
      <c r="L4009">
        <v>-10660</v>
      </c>
      <c r="M4009" s="7">
        <f t="shared" ca="1" si="254"/>
        <v>29.185489390828199</v>
      </c>
      <c r="N4009" s="5" t="str">
        <f ca="1">VLOOKUP(Data!M4009,temp!$B$3:$C$9,2,1)</f>
        <v>20-30</v>
      </c>
      <c r="O4009">
        <v>-1935</v>
      </c>
      <c r="P4009" s="8">
        <f t="shared" si="255"/>
        <v>5.2977412731006162</v>
      </c>
      <c r="Q4009" s="5" t="str">
        <f t="shared" si="257"/>
        <v>Employed</v>
      </c>
      <c r="R4009">
        <v>1</v>
      </c>
      <c r="S4009">
        <v>0</v>
      </c>
      <c r="T4009">
        <v>0</v>
      </c>
      <c r="U4009">
        <v>0</v>
      </c>
      <c r="V4009" t="s">
        <v>38</v>
      </c>
      <c r="W4009">
        <v>1</v>
      </c>
    </row>
    <row r="4010" spans="1:23" x14ac:dyDescent="0.2">
      <c r="A4010">
        <v>5135497</v>
      </c>
      <c r="B4010" t="s">
        <v>25</v>
      </c>
      <c r="C4010" t="s">
        <v>20</v>
      </c>
      <c r="D4010" t="s">
        <v>20</v>
      </c>
      <c r="E4010">
        <v>2</v>
      </c>
      <c r="F4010">
        <v>225000</v>
      </c>
      <c r="G4010" t="s">
        <v>31</v>
      </c>
      <c r="H4010" t="s">
        <v>27</v>
      </c>
      <c r="I4010" t="s">
        <v>28</v>
      </c>
      <c r="J4010" t="s">
        <v>24</v>
      </c>
      <c r="K4010" s="6">
        <f t="shared" ca="1" si="256"/>
        <v>35381</v>
      </c>
      <c r="L4010">
        <v>-10380</v>
      </c>
      <c r="M4010" s="7">
        <f t="shared" ca="1" si="254"/>
        <v>28.418891170431213</v>
      </c>
      <c r="N4010" s="5" t="str">
        <f ca="1">VLOOKUP(Data!M4010,temp!$B$3:$C$9,2,1)</f>
        <v>20-30</v>
      </c>
      <c r="O4010">
        <v>-3396</v>
      </c>
      <c r="P4010" s="8">
        <f t="shared" si="255"/>
        <v>9.2977412731006162</v>
      </c>
      <c r="Q4010" s="5" t="str">
        <f t="shared" si="257"/>
        <v>Employed</v>
      </c>
      <c r="R4010">
        <v>1</v>
      </c>
      <c r="S4010">
        <v>0</v>
      </c>
      <c r="T4010">
        <v>0</v>
      </c>
      <c r="U4010">
        <v>0</v>
      </c>
      <c r="V4010" t="s">
        <v>29</v>
      </c>
      <c r="W4010">
        <v>4</v>
      </c>
    </row>
    <row r="4011" spans="1:23" x14ac:dyDescent="0.2">
      <c r="A4011">
        <v>5135502</v>
      </c>
      <c r="B4011" t="s">
        <v>18</v>
      </c>
      <c r="C4011" t="s">
        <v>20</v>
      </c>
      <c r="D4011" t="s">
        <v>20</v>
      </c>
      <c r="E4011">
        <v>0</v>
      </c>
      <c r="F4011">
        <v>202500</v>
      </c>
      <c r="G4011" t="s">
        <v>31</v>
      </c>
      <c r="H4011" t="s">
        <v>22</v>
      </c>
      <c r="I4011" t="s">
        <v>33</v>
      </c>
      <c r="J4011" t="s">
        <v>24</v>
      </c>
      <c r="K4011" s="6">
        <f t="shared" ca="1" si="256"/>
        <v>27782</v>
      </c>
      <c r="L4011">
        <v>-17979</v>
      </c>
      <c r="M4011" s="7">
        <f t="shared" ca="1" si="254"/>
        <v>49.223819301848046</v>
      </c>
      <c r="N4011" s="5" t="str">
        <f ca="1">VLOOKUP(Data!M4011,temp!$B$3:$C$9,2,1)</f>
        <v>40-50</v>
      </c>
      <c r="O4011">
        <v>-1782</v>
      </c>
      <c r="P4011" s="8">
        <f t="shared" si="255"/>
        <v>4.8788501026694044</v>
      </c>
      <c r="Q4011" s="5" t="str">
        <f t="shared" si="257"/>
        <v>Employed</v>
      </c>
      <c r="R4011">
        <v>1</v>
      </c>
      <c r="S4011">
        <v>1</v>
      </c>
      <c r="T4011">
        <v>0</v>
      </c>
      <c r="U4011">
        <v>0</v>
      </c>
      <c r="V4011" t="s">
        <v>29</v>
      </c>
      <c r="W4011">
        <v>1</v>
      </c>
    </row>
    <row r="4012" spans="1:23" x14ac:dyDescent="0.2">
      <c r="A4012">
        <v>5135505</v>
      </c>
      <c r="B4012" t="s">
        <v>18</v>
      </c>
      <c r="C4012" t="s">
        <v>19</v>
      </c>
      <c r="D4012" t="s">
        <v>20</v>
      </c>
      <c r="E4012">
        <v>1</v>
      </c>
      <c r="F4012">
        <v>112500</v>
      </c>
      <c r="G4012" t="s">
        <v>31</v>
      </c>
      <c r="H4012" t="s">
        <v>27</v>
      </c>
      <c r="I4012" t="s">
        <v>37</v>
      </c>
      <c r="J4012" t="s">
        <v>24</v>
      </c>
      <c r="K4012" s="6">
        <f t="shared" ca="1" si="256"/>
        <v>35637</v>
      </c>
      <c r="L4012">
        <v>-10124</v>
      </c>
      <c r="M4012" s="7">
        <f t="shared" ca="1" si="254"/>
        <v>27.718001368925393</v>
      </c>
      <c r="N4012" s="5" t="str">
        <f ca="1">VLOOKUP(Data!M4012,temp!$B$3:$C$9,2,1)</f>
        <v>20-30</v>
      </c>
      <c r="O4012">
        <v>-1358</v>
      </c>
      <c r="P4012" s="8">
        <f t="shared" si="255"/>
        <v>3.7180013689253935</v>
      </c>
      <c r="Q4012" s="5" t="str">
        <f t="shared" si="257"/>
        <v>Employed</v>
      </c>
      <c r="R4012">
        <v>1</v>
      </c>
      <c r="S4012">
        <v>0</v>
      </c>
      <c r="T4012">
        <v>0</v>
      </c>
      <c r="U4012">
        <v>0</v>
      </c>
      <c r="V4012" t="s">
        <v>29</v>
      </c>
      <c r="W4012">
        <v>3</v>
      </c>
    </row>
    <row r="4013" spans="1:23" x14ac:dyDescent="0.2">
      <c r="A4013">
        <v>5135507</v>
      </c>
      <c r="B4013" t="s">
        <v>18</v>
      </c>
      <c r="C4013" t="s">
        <v>19</v>
      </c>
      <c r="D4013" t="s">
        <v>20</v>
      </c>
      <c r="E4013">
        <v>1</v>
      </c>
      <c r="F4013">
        <v>112500</v>
      </c>
      <c r="G4013" t="s">
        <v>31</v>
      </c>
      <c r="H4013" t="s">
        <v>27</v>
      </c>
      <c r="I4013" t="s">
        <v>37</v>
      </c>
      <c r="J4013" t="s">
        <v>24</v>
      </c>
      <c r="K4013" s="6">
        <f t="shared" ca="1" si="256"/>
        <v>35637</v>
      </c>
      <c r="L4013">
        <v>-10124</v>
      </c>
      <c r="M4013" s="7">
        <f t="shared" ca="1" si="254"/>
        <v>27.718001368925393</v>
      </c>
      <c r="N4013" s="5" t="str">
        <f ca="1">VLOOKUP(Data!M4013,temp!$B$3:$C$9,2,1)</f>
        <v>20-30</v>
      </c>
      <c r="O4013">
        <v>-1358</v>
      </c>
      <c r="P4013" s="8">
        <f t="shared" si="255"/>
        <v>3.7180013689253935</v>
      </c>
      <c r="Q4013" s="5" t="str">
        <f t="shared" si="257"/>
        <v>Employed</v>
      </c>
      <c r="R4013">
        <v>1</v>
      </c>
      <c r="S4013">
        <v>0</v>
      </c>
      <c r="T4013">
        <v>0</v>
      </c>
      <c r="U4013">
        <v>0</v>
      </c>
      <c r="V4013" t="s">
        <v>29</v>
      </c>
      <c r="W4013">
        <v>3</v>
      </c>
    </row>
    <row r="4014" spans="1:23" x14ac:dyDescent="0.2">
      <c r="A4014">
        <v>5135512</v>
      </c>
      <c r="B4014" t="s">
        <v>18</v>
      </c>
      <c r="C4014" t="s">
        <v>20</v>
      </c>
      <c r="D4014" t="s">
        <v>19</v>
      </c>
      <c r="E4014">
        <v>0</v>
      </c>
      <c r="F4014">
        <v>202500</v>
      </c>
      <c r="G4014" t="s">
        <v>31</v>
      </c>
      <c r="H4014" t="s">
        <v>27</v>
      </c>
      <c r="I4014" t="s">
        <v>28</v>
      </c>
      <c r="J4014" t="s">
        <v>24</v>
      </c>
      <c r="K4014" s="6">
        <f t="shared" ca="1" si="256"/>
        <v>30852</v>
      </c>
      <c r="L4014">
        <v>-14909</v>
      </c>
      <c r="M4014" s="7">
        <f t="shared" ca="1" si="254"/>
        <v>40.818617385352496</v>
      </c>
      <c r="N4014" s="5" t="str">
        <f ca="1">VLOOKUP(Data!M4014,temp!$B$3:$C$9,2,1)</f>
        <v>40-50</v>
      </c>
      <c r="O4014">
        <v>-8083</v>
      </c>
      <c r="P4014" s="8">
        <f t="shared" si="255"/>
        <v>22.130047912388775</v>
      </c>
      <c r="Q4014" s="5" t="str">
        <f t="shared" si="257"/>
        <v>Employed</v>
      </c>
      <c r="R4014">
        <v>1</v>
      </c>
      <c r="S4014">
        <v>0</v>
      </c>
      <c r="T4014">
        <v>1</v>
      </c>
      <c r="U4014">
        <v>0</v>
      </c>
      <c r="V4014" t="s">
        <v>50</v>
      </c>
      <c r="W4014">
        <v>2</v>
      </c>
    </row>
    <row r="4015" spans="1:23" x14ac:dyDescent="0.2">
      <c r="A4015">
        <v>5135523</v>
      </c>
      <c r="B4015" t="s">
        <v>18</v>
      </c>
      <c r="C4015" t="s">
        <v>20</v>
      </c>
      <c r="D4015" t="s">
        <v>20</v>
      </c>
      <c r="E4015">
        <v>1</v>
      </c>
      <c r="F4015">
        <v>157500</v>
      </c>
      <c r="G4015" t="s">
        <v>26</v>
      </c>
      <c r="H4015" t="s">
        <v>22</v>
      </c>
      <c r="I4015" t="s">
        <v>28</v>
      </c>
      <c r="J4015" t="s">
        <v>24</v>
      </c>
      <c r="K4015" s="6">
        <f t="shared" ca="1" si="256"/>
        <v>28345</v>
      </c>
      <c r="L4015">
        <v>-17416</v>
      </c>
      <c r="M4015" s="7">
        <f t="shared" ca="1" si="254"/>
        <v>47.682409308692677</v>
      </c>
      <c r="N4015" s="5" t="str">
        <f ca="1">VLOOKUP(Data!M4015,temp!$B$3:$C$9,2,1)</f>
        <v>40-50</v>
      </c>
      <c r="O4015">
        <v>-201</v>
      </c>
      <c r="P4015" s="8">
        <f t="shared" si="255"/>
        <v>0.55030800821355241</v>
      </c>
      <c r="Q4015" s="5" t="str">
        <f t="shared" si="257"/>
        <v>Employed</v>
      </c>
      <c r="R4015">
        <v>1</v>
      </c>
      <c r="S4015">
        <v>0</v>
      </c>
      <c r="T4015">
        <v>0</v>
      </c>
      <c r="U4015">
        <v>0</v>
      </c>
      <c r="W4015">
        <v>3</v>
      </c>
    </row>
    <row r="4016" spans="1:23" x14ac:dyDescent="0.2">
      <c r="A4016">
        <v>5135544</v>
      </c>
      <c r="B4016" t="s">
        <v>18</v>
      </c>
      <c r="C4016" t="s">
        <v>19</v>
      </c>
      <c r="D4016" t="s">
        <v>20</v>
      </c>
      <c r="E4016">
        <v>0</v>
      </c>
      <c r="F4016">
        <v>225000</v>
      </c>
      <c r="G4016" t="s">
        <v>31</v>
      </c>
      <c r="H4016" t="s">
        <v>27</v>
      </c>
      <c r="I4016" t="s">
        <v>28</v>
      </c>
      <c r="J4016" t="s">
        <v>24</v>
      </c>
      <c r="K4016" s="6">
        <f t="shared" ca="1" si="256"/>
        <v>25056</v>
      </c>
      <c r="L4016">
        <v>-20705</v>
      </c>
      <c r="M4016" s="7">
        <f t="shared" ca="1" si="254"/>
        <v>56.687200547570157</v>
      </c>
      <c r="N4016" s="5" t="str">
        <f ca="1">VLOOKUP(Data!M4016,temp!$B$3:$C$9,2,1)</f>
        <v>50-60</v>
      </c>
      <c r="O4016">
        <v>-443</v>
      </c>
      <c r="P4016" s="8">
        <f t="shared" si="255"/>
        <v>1.2128678986995209</v>
      </c>
      <c r="Q4016" s="5" t="str">
        <f t="shared" si="257"/>
        <v>Employed</v>
      </c>
      <c r="R4016">
        <v>1</v>
      </c>
      <c r="S4016">
        <v>0</v>
      </c>
      <c r="T4016">
        <v>0</v>
      </c>
      <c r="U4016">
        <v>0</v>
      </c>
      <c r="V4016" t="s">
        <v>46</v>
      </c>
      <c r="W4016">
        <v>2</v>
      </c>
    </row>
    <row r="4017" spans="1:23" x14ac:dyDescent="0.2">
      <c r="A4017">
        <v>5135554</v>
      </c>
      <c r="B4017" t="s">
        <v>18</v>
      </c>
      <c r="C4017" t="s">
        <v>19</v>
      </c>
      <c r="D4017" t="s">
        <v>20</v>
      </c>
      <c r="E4017">
        <v>0</v>
      </c>
      <c r="F4017">
        <v>135000</v>
      </c>
      <c r="G4017" t="s">
        <v>26</v>
      </c>
      <c r="H4017" t="s">
        <v>22</v>
      </c>
      <c r="I4017" t="s">
        <v>33</v>
      </c>
      <c r="J4017" t="s">
        <v>24</v>
      </c>
      <c r="K4017" s="6">
        <f t="shared" ca="1" si="256"/>
        <v>34386</v>
      </c>
      <c r="L4017">
        <v>-11375</v>
      </c>
      <c r="M4017" s="7">
        <f t="shared" ca="1" si="254"/>
        <v>31.143052703627653</v>
      </c>
      <c r="N4017" s="5" t="str">
        <f ca="1">VLOOKUP(Data!M4017,temp!$B$3:$C$9,2,1)</f>
        <v>30-40</v>
      </c>
      <c r="O4017">
        <v>-1236</v>
      </c>
      <c r="P4017" s="8">
        <f t="shared" si="255"/>
        <v>3.3839835728952772</v>
      </c>
      <c r="Q4017" s="5" t="str">
        <f t="shared" si="257"/>
        <v>Employed</v>
      </c>
      <c r="R4017">
        <v>1</v>
      </c>
      <c r="S4017">
        <v>0</v>
      </c>
      <c r="T4017">
        <v>0</v>
      </c>
      <c r="U4017">
        <v>0</v>
      </c>
      <c r="V4017" t="s">
        <v>39</v>
      </c>
      <c r="W4017">
        <v>1</v>
      </c>
    </row>
    <row r="4018" spans="1:23" x14ac:dyDescent="0.2">
      <c r="A4018">
        <v>5135555</v>
      </c>
      <c r="B4018" t="s">
        <v>18</v>
      </c>
      <c r="C4018" t="s">
        <v>19</v>
      </c>
      <c r="D4018" t="s">
        <v>20</v>
      </c>
      <c r="E4018">
        <v>0</v>
      </c>
      <c r="F4018">
        <v>135000</v>
      </c>
      <c r="G4018" t="s">
        <v>26</v>
      </c>
      <c r="H4018" t="s">
        <v>22</v>
      </c>
      <c r="I4018" t="s">
        <v>33</v>
      </c>
      <c r="J4018" t="s">
        <v>24</v>
      </c>
      <c r="K4018" s="6">
        <f t="shared" ca="1" si="256"/>
        <v>34386</v>
      </c>
      <c r="L4018">
        <v>-11375</v>
      </c>
      <c r="M4018" s="7">
        <f t="shared" ca="1" si="254"/>
        <v>31.143052703627653</v>
      </c>
      <c r="N4018" s="5" t="str">
        <f ca="1">VLOOKUP(Data!M4018,temp!$B$3:$C$9,2,1)</f>
        <v>30-40</v>
      </c>
      <c r="O4018">
        <v>-1236</v>
      </c>
      <c r="P4018" s="8">
        <f t="shared" si="255"/>
        <v>3.3839835728952772</v>
      </c>
      <c r="Q4018" s="5" t="str">
        <f t="shared" si="257"/>
        <v>Employed</v>
      </c>
      <c r="R4018">
        <v>1</v>
      </c>
      <c r="S4018">
        <v>0</v>
      </c>
      <c r="T4018">
        <v>0</v>
      </c>
      <c r="U4018">
        <v>0</v>
      </c>
      <c r="V4018" t="s">
        <v>39</v>
      </c>
      <c r="W4018">
        <v>1</v>
      </c>
    </row>
    <row r="4019" spans="1:23" x14ac:dyDescent="0.2">
      <c r="A4019">
        <v>5135559</v>
      </c>
      <c r="B4019" t="s">
        <v>18</v>
      </c>
      <c r="C4019" t="s">
        <v>19</v>
      </c>
      <c r="D4019" t="s">
        <v>20</v>
      </c>
      <c r="E4019">
        <v>0</v>
      </c>
      <c r="F4019">
        <v>180000</v>
      </c>
      <c r="G4019" t="s">
        <v>31</v>
      </c>
      <c r="H4019" t="s">
        <v>22</v>
      </c>
      <c r="I4019" t="s">
        <v>28</v>
      </c>
      <c r="J4019" t="s">
        <v>24</v>
      </c>
      <c r="K4019" s="6">
        <f t="shared" ca="1" si="256"/>
        <v>31678</v>
      </c>
      <c r="L4019">
        <v>-14083</v>
      </c>
      <c r="M4019" s="7">
        <f t="shared" ca="1" si="254"/>
        <v>38.557152635181382</v>
      </c>
      <c r="N4019" s="5" t="str">
        <f ca="1">VLOOKUP(Data!M4019,temp!$B$3:$C$9,2,1)</f>
        <v>30-40</v>
      </c>
      <c r="O4019">
        <v>-7049</v>
      </c>
      <c r="P4019" s="8">
        <f t="shared" si="255"/>
        <v>19.299110198494184</v>
      </c>
      <c r="Q4019" s="5" t="str">
        <f t="shared" si="257"/>
        <v>Employed</v>
      </c>
      <c r="R4019">
        <v>1</v>
      </c>
      <c r="S4019">
        <v>1</v>
      </c>
      <c r="T4019">
        <v>0</v>
      </c>
      <c r="U4019">
        <v>0</v>
      </c>
      <c r="V4019" t="s">
        <v>38</v>
      </c>
      <c r="W4019">
        <v>2</v>
      </c>
    </row>
    <row r="4020" spans="1:23" x14ac:dyDescent="0.2">
      <c r="A4020">
        <v>5135574</v>
      </c>
      <c r="B4020" t="s">
        <v>18</v>
      </c>
      <c r="C4020" t="s">
        <v>20</v>
      </c>
      <c r="D4020" t="s">
        <v>20</v>
      </c>
      <c r="E4020">
        <v>0</v>
      </c>
      <c r="F4020">
        <v>180000</v>
      </c>
      <c r="G4020" t="s">
        <v>31</v>
      </c>
      <c r="H4020" t="s">
        <v>27</v>
      </c>
      <c r="I4020" t="s">
        <v>28</v>
      </c>
      <c r="J4020" t="s">
        <v>24</v>
      </c>
      <c r="K4020" s="6">
        <f t="shared" ca="1" si="256"/>
        <v>34012</v>
      </c>
      <c r="L4020">
        <v>-11749</v>
      </c>
      <c r="M4020" s="7">
        <f t="shared" ca="1" si="254"/>
        <v>32.167008898015055</v>
      </c>
      <c r="N4020" s="5" t="str">
        <f ca="1">VLOOKUP(Data!M4020,temp!$B$3:$C$9,2,1)</f>
        <v>30-40</v>
      </c>
      <c r="O4020">
        <v>-992</v>
      </c>
      <c r="P4020" s="8">
        <f t="shared" si="255"/>
        <v>2.7159479808350446</v>
      </c>
      <c r="Q4020" s="5" t="str">
        <f t="shared" si="257"/>
        <v>Employed</v>
      </c>
      <c r="R4020">
        <v>1</v>
      </c>
      <c r="S4020">
        <v>0</v>
      </c>
      <c r="T4020">
        <v>0</v>
      </c>
      <c r="U4020">
        <v>0</v>
      </c>
      <c r="V4020" t="s">
        <v>50</v>
      </c>
      <c r="W4020">
        <v>2</v>
      </c>
    </row>
    <row r="4021" spans="1:23" x14ac:dyDescent="0.2">
      <c r="A4021">
        <v>5135577</v>
      </c>
      <c r="B4021" t="s">
        <v>18</v>
      </c>
      <c r="C4021" t="s">
        <v>19</v>
      </c>
      <c r="D4021" t="s">
        <v>20</v>
      </c>
      <c r="E4021">
        <v>0</v>
      </c>
      <c r="F4021">
        <v>112500</v>
      </c>
      <c r="G4021" t="s">
        <v>31</v>
      </c>
      <c r="H4021" t="s">
        <v>27</v>
      </c>
      <c r="I4021" t="s">
        <v>28</v>
      </c>
      <c r="J4021" t="s">
        <v>24</v>
      </c>
      <c r="K4021" s="6">
        <f t="shared" ca="1" si="256"/>
        <v>32624</v>
      </c>
      <c r="L4021">
        <v>-13137</v>
      </c>
      <c r="M4021" s="7">
        <f t="shared" ca="1" si="254"/>
        <v>35.967145790554412</v>
      </c>
      <c r="N4021" s="5" t="str">
        <f ca="1">VLOOKUP(Data!M4021,temp!$B$3:$C$9,2,1)</f>
        <v>30-40</v>
      </c>
      <c r="O4021">
        <v>-2392</v>
      </c>
      <c r="P4021" s="8">
        <f t="shared" si="255"/>
        <v>6.5489390828199863</v>
      </c>
      <c r="Q4021" s="5" t="str">
        <f t="shared" si="257"/>
        <v>Employed</v>
      </c>
      <c r="R4021">
        <v>1</v>
      </c>
      <c r="S4021">
        <v>1</v>
      </c>
      <c r="T4021">
        <v>1</v>
      </c>
      <c r="U4021">
        <v>0</v>
      </c>
      <c r="V4021" t="s">
        <v>54</v>
      </c>
      <c r="W4021">
        <v>2</v>
      </c>
    </row>
    <row r="4022" spans="1:23" x14ac:dyDescent="0.2">
      <c r="A4022">
        <v>5135586</v>
      </c>
      <c r="B4022" t="s">
        <v>25</v>
      </c>
      <c r="C4022" t="s">
        <v>20</v>
      </c>
      <c r="D4022" t="s">
        <v>20</v>
      </c>
      <c r="E4022">
        <v>2</v>
      </c>
      <c r="F4022">
        <v>265500</v>
      </c>
      <c r="G4022" t="s">
        <v>31</v>
      </c>
      <c r="H4022" t="s">
        <v>22</v>
      </c>
      <c r="I4022" t="s">
        <v>28</v>
      </c>
      <c r="J4022" t="s">
        <v>24</v>
      </c>
      <c r="K4022" s="6">
        <f t="shared" ca="1" si="256"/>
        <v>34131</v>
      </c>
      <c r="L4022">
        <v>-11630</v>
      </c>
      <c r="M4022" s="7">
        <f t="shared" ca="1" si="254"/>
        <v>31.841204654346338</v>
      </c>
      <c r="N4022" s="5" t="str">
        <f ca="1">VLOOKUP(Data!M4022,temp!$B$3:$C$9,2,1)</f>
        <v>30-40</v>
      </c>
      <c r="O4022">
        <v>-1904</v>
      </c>
      <c r="P4022" s="8">
        <f t="shared" si="255"/>
        <v>5.2128678986995212</v>
      </c>
      <c r="Q4022" s="5" t="str">
        <f t="shared" si="257"/>
        <v>Employed</v>
      </c>
      <c r="R4022">
        <v>1</v>
      </c>
      <c r="S4022">
        <v>0</v>
      </c>
      <c r="T4022">
        <v>0</v>
      </c>
      <c r="U4022">
        <v>0</v>
      </c>
      <c r="V4022" t="s">
        <v>29</v>
      </c>
      <c r="W4022">
        <v>4</v>
      </c>
    </row>
    <row r="4023" spans="1:23" x14ac:dyDescent="0.2">
      <c r="A4023">
        <v>5135605</v>
      </c>
      <c r="B4023" t="s">
        <v>18</v>
      </c>
      <c r="C4023" t="s">
        <v>19</v>
      </c>
      <c r="D4023" t="s">
        <v>20</v>
      </c>
      <c r="E4023">
        <v>0</v>
      </c>
      <c r="F4023">
        <v>157500</v>
      </c>
      <c r="G4023" t="s">
        <v>31</v>
      </c>
      <c r="H4023" t="s">
        <v>27</v>
      </c>
      <c r="I4023" t="s">
        <v>28</v>
      </c>
      <c r="J4023" t="s">
        <v>24</v>
      </c>
      <c r="K4023" s="6">
        <f t="shared" ca="1" si="256"/>
        <v>26697</v>
      </c>
      <c r="L4023">
        <v>-19064</v>
      </c>
      <c r="M4023" s="7">
        <f t="shared" ca="1" si="254"/>
        <v>52.194387405886381</v>
      </c>
      <c r="N4023" s="5" t="str">
        <f ca="1">VLOOKUP(Data!M4023,temp!$B$3:$C$9,2,1)</f>
        <v>50-60</v>
      </c>
      <c r="O4023">
        <v>-2939</v>
      </c>
      <c r="P4023" s="8">
        <f t="shared" si="255"/>
        <v>8.046543463381246</v>
      </c>
      <c r="Q4023" s="5" t="str">
        <f t="shared" si="257"/>
        <v>Employed</v>
      </c>
      <c r="R4023">
        <v>1</v>
      </c>
      <c r="S4023">
        <v>0</v>
      </c>
      <c r="T4023">
        <v>0</v>
      </c>
      <c r="U4023">
        <v>0</v>
      </c>
      <c r="W4023">
        <v>2</v>
      </c>
    </row>
    <row r="4024" spans="1:23" x14ac:dyDescent="0.2">
      <c r="A4024">
        <v>5135607</v>
      </c>
      <c r="B4024" t="s">
        <v>18</v>
      </c>
      <c r="C4024" t="s">
        <v>19</v>
      </c>
      <c r="D4024" t="s">
        <v>20</v>
      </c>
      <c r="E4024">
        <v>0</v>
      </c>
      <c r="F4024">
        <v>157500</v>
      </c>
      <c r="G4024" t="s">
        <v>31</v>
      </c>
      <c r="H4024" t="s">
        <v>27</v>
      </c>
      <c r="I4024" t="s">
        <v>28</v>
      </c>
      <c r="J4024" t="s">
        <v>24</v>
      </c>
      <c r="K4024" s="6">
        <f t="shared" ca="1" si="256"/>
        <v>26697</v>
      </c>
      <c r="L4024">
        <v>-19064</v>
      </c>
      <c r="M4024" s="7">
        <f t="shared" ca="1" si="254"/>
        <v>52.194387405886381</v>
      </c>
      <c r="N4024" s="5" t="str">
        <f ca="1">VLOOKUP(Data!M4024,temp!$B$3:$C$9,2,1)</f>
        <v>50-60</v>
      </c>
      <c r="O4024">
        <v>-2939</v>
      </c>
      <c r="P4024" s="8">
        <f t="shared" si="255"/>
        <v>8.046543463381246</v>
      </c>
      <c r="Q4024" s="5" t="str">
        <f t="shared" si="257"/>
        <v>Employed</v>
      </c>
      <c r="R4024">
        <v>1</v>
      </c>
      <c r="S4024">
        <v>0</v>
      </c>
      <c r="T4024">
        <v>0</v>
      </c>
      <c r="U4024">
        <v>0</v>
      </c>
      <c r="W4024">
        <v>2</v>
      </c>
    </row>
    <row r="4025" spans="1:23" x14ac:dyDescent="0.2">
      <c r="A4025">
        <v>5135622</v>
      </c>
      <c r="B4025" t="s">
        <v>18</v>
      </c>
      <c r="C4025" t="s">
        <v>19</v>
      </c>
      <c r="D4025" t="s">
        <v>20</v>
      </c>
      <c r="E4025">
        <v>0</v>
      </c>
      <c r="F4025">
        <v>112500</v>
      </c>
      <c r="G4025" t="s">
        <v>31</v>
      </c>
      <c r="H4025" t="s">
        <v>27</v>
      </c>
      <c r="I4025" t="s">
        <v>37</v>
      </c>
      <c r="J4025" t="s">
        <v>24</v>
      </c>
      <c r="K4025" s="6">
        <f t="shared" ca="1" si="256"/>
        <v>29894</v>
      </c>
      <c r="L4025">
        <v>-15867</v>
      </c>
      <c r="M4025" s="7">
        <f t="shared" ca="1" si="254"/>
        <v>43.441478439425055</v>
      </c>
      <c r="N4025" s="5" t="str">
        <f ca="1">VLOOKUP(Data!M4025,temp!$B$3:$C$9,2,1)</f>
        <v>40-50</v>
      </c>
      <c r="O4025">
        <v>-2088</v>
      </c>
      <c r="P4025" s="8">
        <f t="shared" si="255"/>
        <v>5.7166324435318279</v>
      </c>
      <c r="Q4025" s="5" t="str">
        <f t="shared" si="257"/>
        <v>Employed</v>
      </c>
      <c r="R4025">
        <v>1</v>
      </c>
      <c r="S4025">
        <v>0</v>
      </c>
      <c r="T4025">
        <v>0</v>
      </c>
      <c r="U4025">
        <v>0</v>
      </c>
      <c r="V4025" t="s">
        <v>39</v>
      </c>
      <c r="W4025">
        <v>2</v>
      </c>
    </row>
    <row r="4026" spans="1:23" x14ac:dyDescent="0.2">
      <c r="A4026">
        <v>5135629</v>
      </c>
      <c r="B4026" t="s">
        <v>25</v>
      </c>
      <c r="C4026" t="s">
        <v>20</v>
      </c>
      <c r="D4026" t="s">
        <v>20</v>
      </c>
      <c r="E4026">
        <v>0</v>
      </c>
      <c r="F4026">
        <v>220500</v>
      </c>
      <c r="G4026" t="s">
        <v>21</v>
      </c>
      <c r="H4026" t="s">
        <v>27</v>
      </c>
      <c r="I4026" t="s">
        <v>28</v>
      </c>
      <c r="J4026" t="s">
        <v>24</v>
      </c>
      <c r="K4026" s="6">
        <f t="shared" ca="1" si="256"/>
        <v>22648</v>
      </c>
      <c r="L4026">
        <v>-23113</v>
      </c>
      <c r="M4026" s="7">
        <f t="shared" ca="1" si="254"/>
        <v>63.279945242984255</v>
      </c>
      <c r="N4026" s="5" t="str">
        <f ca="1">VLOOKUP(Data!M4026,temp!$B$3:$C$9,2,1)</f>
        <v>60-70</v>
      </c>
      <c r="O4026">
        <v>365243</v>
      </c>
      <c r="P4026" s="8">
        <f t="shared" si="255"/>
        <v>0</v>
      </c>
      <c r="Q4026" s="5" t="str">
        <f t="shared" si="257"/>
        <v>Unemployed</v>
      </c>
      <c r="R4026">
        <v>1</v>
      </c>
      <c r="S4026">
        <v>0</v>
      </c>
      <c r="T4026">
        <v>0</v>
      </c>
      <c r="U4026">
        <v>0</v>
      </c>
      <c r="W4026">
        <v>2</v>
      </c>
    </row>
    <row r="4027" spans="1:23" x14ac:dyDescent="0.2">
      <c r="A4027">
        <v>5135630</v>
      </c>
      <c r="B4027" t="s">
        <v>25</v>
      </c>
      <c r="C4027" t="s">
        <v>20</v>
      </c>
      <c r="D4027" t="s">
        <v>20</v>
      </c>
      <c r="E4027">
        <v>0</v>
      </c>
      <c r="F4027">
        <v>220500</v>
      </c>
      <c r="G4027" t="s">
        <v>21</v>
      </c>
      <c r="H4027" t="s">
        <v>27</v>
      </c>
      <c r="I4027" t="s">
        <v>28</v>
      </c>
      <c r="J4027" t="s">
        <v>24</v>
      </c>
      <c r="K4027" s="6">
        <f t="shared" ca="1" si="256"/>
        <v>22648</v>
      </c>
      <c r="L4027">
        <v>-23113</v>
      </c>
      <c r="M4027" s="7">
        <f t="shared" ca="1" si="254"/>
        <v>63.279945242984255</v>
      </c>
      <c r="N4027" s="5" t="str">
        <f ca="1">VLOOKUP(Data!M4027,temp!$B$3:$C$9,2,1)</f>
        <v>60-70</v>
      </c>
      <c r="O4027">
        <v>365243</v>
      </c>
      <c r="P4027" s="8">
        <f t="shared" si="255"/>
        <v>0</v>
      </c>
      <c r="Q4027" s="5" t="str">
        <f t="shared" si="257"/>
        <v>Unemployed</v>
      </c>
      <c r="R4027">
        <v>1</v>
      </c>
      <c r="S4027">
        <v>0</v>
      </c>
      <c r="T4027">
        <v>0</v>
      </c>
      <c r="U4027">
        <v>0</v>
      </c>
      <c r="W4027">
        <v>2</v>
      </c>
    </row>
    <row r="4028" spans="1:23" x14ac:dyDescent="0.2">
      <c r="A4028">
        <v>5135636</v>
      </c>
      <c r="B4028" t="s">
        <v>25</v>
      </c>
      <c r="C4028" t="s">
        <v>20</v>
      </c>
      <c r="D4028" t="s">
        <v>20</v>
      </c>
      <c r="E4028">
        <v>0</v>
      </c>
      <c r="F4028">
        <v>195750</v>
      </c>
      <c r="G4028" t="s">
        <v>31</v>
      </c>
      <c r="H4028" t="s">
        <v>27</v>
      </c>
      <c r="I4028" t="s">
        <v>28</v>
      </c>
      <c r="J4028" t="s">
        <v>24</v>
      </c>
      <c r="K4028" s="6">
        <f t="shared" ca="1" si="256"/>
        <v>26925</v>
      </c>
      <c r="L4028">
        <v>-18836</v>
      </c>
      <c r="M4028" s="7">
        <f t="shared" ca="1" si="254"/>
        <v>51.570157426420259</v>
      </c>
      <c r="N4028" s="5" t="str">
        <f ca="1">VLOOKUP(Data!M4028,temp!$B$3:$C$9,2,1)</f>
        <v>50-60</v>
      </c>
      <c r="O4028">
        <v>-931</v>
      </c>
      <c r="P4028" s="8">
        <f t="shared" si="255"/>
        <v>2.5489390828199863</v>
      </c>
      <c r="Q4028" s="5" t="str">
        <f t="shared" si="257"/>
        <v>Employed</v>
      </c>
      <c r="R4028">
        <v>1</v>
      </c>
      <c r="S4028">
        <v>1</v>
      </c>
      <c r="T4028">
        <v>1</v>
      </c>
      <c r="U4028">
        <v>0</v>
      </c>
      <c r="V4028" t="s">
        <v>29</v>
      </c>
      <c r="W4028">
        <v>2</v>
      </c>
    </row>
    <row r="4029" spans="1:23" x14ac:dyDescent="0.2">
      <c r="A4029">
        <v>5135639</v>
      </c>
      <c r="B4029" t="s">
        <v>25</v>
      </c>
      <c r="C4029" t="s">
        <v>19</v>
      </c>
      <c r="D4029" t="s">
        <v>19</v>
      </c>
      <c r="E4029">
        <v>0</v>
      </c>
      <c r="F4029">
        <v>180000</v>
      </c>
      <c r="G4029" t="s">
        <v>31</v>
      </c>
      <c r="H4029" t="s">
        <v>27</v>
      </c>
      <c r="I4029" t="s">
        <v>33</v>
      </c>
      <c r="J4029" t="s">
        <v>53</v>
      </c>
      <c r="K4029" s="6">
        <f t="shared" ca="1" si="256"/>
        <v>29018</v>
      </c>
      <c r="L4029">
        <v>-16743</v>
      </c>
      <c r="M4029" s="7">
        <f t="shared" ca="1" si="254"/>
        <v>45.839835728952771</v>
      </c>
      <c r="N4029" s="5" t="str">
        <f ca="1">VLOOKUP(Data!M4029,temp!$B$3:$C$9,2,1)</f>
        <v>40-50</v>
      </c>
      <c r="O4029">
        <v>-808</v>
      </c>
      <c r="P4029" s="8">
        <f t="shared" si="255"/>
        <v>2.2121834360027379</v>
      </c>
      <c r="Q4029" s="5" t="str">
        <f t="shared" si="257"/>
        <v>Employed</v>
      </c>
      <c r="R4029">
        <v>1</v>
      </c>
      <c r="S4029">
        <v>0</v>
      </c>
      <c r="T4029">
        <v>1</v>
      </c>
      <c r="U4029">
        <v>0</v>
      </c>
      <c r="V4029" t="s">
        <v>29</v>
      </c>
      <c r="W4029">
        <v>1</v>
      </c>
    </row>
    <row r="4030" spans="1:23" x14ac:dyDescent="0.2">
      <c r="A4030">
        <v>5135641</v>
      </c>
      <c r="B4030" t="s">
        <v>18</v>
      </c>
      <c r="C4030" t="s">
        <v>19</v>
      </c>
      <c r="D4030" t="s">
        <v>20</v>
      </c>
      <c r="E4030">
        <v>1</v>
      </c>
      <c r="F4030">
        <v>112500</v>
      </c>
      <c r="G4030" t="s">
        <v>31</v>
      </c>
      <c r="H4030" t="s">
        <v>27</v>
      </c>
      <c r="I4030" t="s">
        <v>28</v>
      </c>
      <c r="J4030" t="s">
        <v>24</v>
      </c>
      <c r="K4030" s="6">
        <f t="shared" ca="1" si="256"/>
        <v>30548</v>
      </c>
      <c r="L4030">
        <v>-15213</v>
      </c>
      <c r="M4030" s="7">
        <f t="shared" ca="1" si="254"/>
        <v>41.650924024640659</v>
      </c>
      <c r="N4030" s="5" t="str">
        <f ca="1">VLOOKUP(Data!M4030,temp!$B$3:$C$9,2,1)</f>
        <v>40-50</v>
      </c>
      <c r="O4030">
        <v>-109</v>
      </c>
      <c r="P4030" s="8">
        <f t="shared" si="255"/>
        <v>0.29842573579739906</v>
      </c>
      <c r="Q4030" s="5" t="str">
        <f t="shared" si="257"/>
        <v>Employed</v>
      </c>
      <c r="R4030">
        <v>1</v>
      </c>
      <c r="S4030">
        <v>0</v>
      </c>
      <c r="T4030">
        <v>0</v>
      </c>
      <c r="U4030">
        <v>0</v>
      </c>
      <c r="V4030" t="s">
        <v>29</v>
      </c>
      <c r="W4030">
        <v>3</v>
      </c>
    </row>
    <row r="4031" spans="1:23" x14ac:dyDescent="0.2">
      <c r="A4031">
        <v>5135645</v>
      </c>
      <c r="B4031" t="s">
        <v>18</v>
      </c>
      <c r="C4031" t="s">
        <v>19</v>
      </c>
      <c r="D4031" t="s">
        <v>20</v>
      </c>
      <c r="E4031">
        <v>0</v>
      </c>
      <c r="F4031">
        <v>270000</v>
      </c>
      <c r="G4031" t="s">
        <v>26</v>
      </c>
      <c r="H4031" t="s">
        <v>27</v>
      </c>
      <c r="I4031" t="s">
        <v>28</v>
      </c>
      <c r="J4031" t="s">
        <v>24</v>
      </c>
      <c r="K4031" s="6">
        <f t="shared" ca="1" si="256"/>
        <v>28839</v>
      </c>
      <c r="L4031">
        <v>-16922</v>
      </c>
      <c r="M4031" s="7">
        <f t="shared" ca="1" si="254"/>
        <v>46.329911019849419</v>
      </c>
      <c r="N4031" s="5" t="str">
        <f ca="1">VLOOKUP(Data!M4031,temp!$B$3:$C$9,2,1)</f>
        <v>40-50</v>
      </c>
      <c r="O4031">
        <v>-1386</v>
      </c>
      <c r="P4031" s="8">
        <f t="shared" si="255"/>
        <v>3.7946611909650922</v>
      </c>
      <c r="Q4031" s="5" t="str">
        <f t="shared" si="257"/>
        <v>Employed</v>
      </c>
      <c r="R4031">
        <v>1</v>
      </c>
      <c r="S4031">
        <v>0</v>
      </c>
      <c r="T4031">
        <v>0</v>
      </c>
      <c r="U4031">
        <v>0</v>
      </c>
      <c r="V4031" t="s">
        <v>57</v>
      </c>
      <c r="W4031">
        <v>2</v>
      </c>
    </row>
    <row r="4032" spans="1:23" x14ac:dyDescent="0.2">
      <c r="A4032">
        <v>5135648</v>
      </c>
      <c r="B4032" t="s">
        <v>18</v>
      </c>
      <c r="C4032" t="s">
        <v>19</v>
      </c>
      <c r="D4032" t="s">
        <v>20</v>
      </c>
      <c r="E4032">
        <v>0</v>
      </c>
      <c r="F4032">
        <v>270000</v>
      </c>
      <c r="G4032" t="s">
        <v>26</v>
      </c>
      <c r="H4032" t="s">
        <v>27</v>
      </c>
      <c r="I4032" t="s">
        <v>28</v>
      </c>
      <c r="J4032" t="s">
        <v>24</v>
      </c>
      <c r="K4032" s="6">
        <f t="shared" ca="1" si="256"/>
        <v>28839</v>
      </c>
      <c r="L4032">
        <v>-16922</v>
      </c>
      <c r="M4032" s="7">
        <f t="shared" ca="1" si="254"/>
        <v>46.329911019849419</v>
      </c>
      <c r="N4032" s="5" t="str">
        <f ca="1">VLOOKUP(Data!M4032,temp!$B$3:$C$9,2,1)</f>
        <v>40-50</v>
      </c>
      <c r="O4032">
        <v>-1386</v>
      </c>
      <c r="P4032" s="8">
        <f t="shared" si="255"/>
        <v>3.7946611909650922</v>
      </c>
      <c r="Q4032" s="5" t="str">
        <f t="shared" si="257"/>
        <v>Employed</v>
      </c>
      <c r="R4032">
        <v>1</v>
      </c>
      <c r="S4032">
        <v>0</v>
      </c>
      <c r="T4032">
        <v>0</v>
      </c>
      <c r="U4032">
        <v>0</v>
      </c>
      <c r="V4032" t="s">
        <v>57</v>
      </c>
      <c r="W4032">
        <v>2</v>
      </c>
    </row>
    <row r="4033" spans="1:23" x14ac:dyDescent="0.2">
      <c r="A4033">
        <v>5135681</v>
      </c>
      <c r="B4033" t="s">
        <v>18</v>
      </c>
      <c r="C4033" t="s">
        <v>19</v>
      </c>
      <c r="D4033" t="s">
        <v>20</v>
      </c>
      <c r="E4033">
        <v>0</v>
      </c>
      <c r="F4033">
        <v>292500</v>
      </c>
      <c r="G4033" t="s">
        <v>31</v>
      </c>
      <c r="H4033" t="s">
        <v>22</v>
      </c>
      <c r="I4033" t="s">
        <v>28</v>
      </c>
      <c r="J4033" t="s">
        <v>24</v>
      </c>
      <c r="K4033" s="6">
        <f t="shared" ca="1" si="256"/>
        <v>32184</v>
      </c>
      <c r="L4033">
        <v>-13577</v>
      </c>
      <c r="M4033" s="7">
        <f t="shared" ca="1" si="254"/>
        <v>37.171800136892543</v>
      </c>
      <c r="N4033" s="5" t="str">
        <f ca="1">VLOOKUP(Data!M4033,temp!$B$3:$C$9,2,1)</f>
        <v>30-40</v>
      </c>
      <c r="O4033">
        <v>-1266</v>
      </c>
      <c r="P4033" s="8">
        <f t="shared" si="255"/>
        <v>3.4661190965092401</v>
      </c>
      <c r="Q4033" s="5" t="str">
        <f t="shared" si="257"/>
        <v>Employed</v>
      </c>
      <c r="R4033">
        <v>1</v>
      </c>
      <c r="S4033">
        <v>0</v>
      </c>
      <c r="T4033">
        <v>1</v>
      </c>
      <c r="U4033">
        <v>0</v>
      </c>
      <c r="V4033" t="s">
        <v>44</v>
      </c>
      <c r="W4033">
        <v>2</v>
      </c>
    </row>
    <row r="4034" spans="1:23" x14ac:dyDescent="0.2">
      <c r="A4034">
        <v>5135683</v>
      </c>
      <c r="B4034" t="s">
        <v>18</v>
      </c>
      <c r="C4034" t="s">
        <v>19</v>
      </c>
      <c r="D4034" t="s">
        <v>20</v>
      </c>
      <c r="E4034">
        <v>0</v>
      </c>
      <c r="F4034">
        <v>292500</v>
      </c>
      <c r="G4034" t="s">
        <v>31</v>
      </c>
      <c r="H4034" t="s">
        <v>22</v>
      </c>
      <c r="I4034" t="s">
        <v>28</v>
      </c>
      <c r="J4034" t="s">
        <v>24</v>
      </c>
      <c r="K4034" s="6">
        <f t="shared" ca="1" si="256"/>
        <v>32184</v>
      </c>
      <c r="L4034">
        <v>-13577</v>
      </c>
      <c r="M4034" s="7">
        <f t="shared" ca="1" si="254"/>
        <v>37.171800136892543</v>
      </c>
      <c r="N4034" s="5" t="str">
        <f ca="1">VLOOKUP(Data!M4034,temp!$B$3:$C$9,2,1)</f>
        <v>30-40</v>
      </c>
      <c r="O4034">
        <v>-1266</v>
      </c>
      <c r="P4034" s="8">
        <f t="shared" si="255"/>
        <v>3.4661190965092401</v>
      </c>
      <c r="Q4034" s="5" t="str">
        <f t="shared" si="257"/>
        <v>Employed</v>
      </c>
      <c r="R4034">
        <v>1</v>
      </c>
      <c r="S4034">
        <v>0</v>
      </c>
      <c r="T4034">
        <v>1</v>
      </c>
      <c r="U4034">
        <v>0</v>
      </c>
      <c r="V4034" t="s">
        <v>44</v>
      </c>
      <c r="W4034">
        <v>2</v>
      </c>
    </row>
    <row r="4035" spans="1:23" x14ac:dyDescent="0.2">
      <c r="A4035">
        <v>5135685</v>
      </c>
      <c r="B4035" t="s">
        <v>18</v>
      </c>
      <c r="C4035" t="s">
        <v>19</v>
      </c>
      <c r="D4035" t="s">
        <v>20</v>
      </c>
      <c r="E4035">
        <v>0</v>
      </c>
      <c r="F4035">
        <v>292500</v>
      </c>
      <c r="G4035" t="s">
        <v>31</v>
      </c>
      <c r="H4035" t="s">
        <v>22</v>
      </c>
      <c r="I4035" t="s">
        <v>28</v>
      </c>
      <c r="J4035" t="s">
        <v>24</v>
      </c>
      <c r="K4035" s="6">
        <f t="shared" ca="1" si="256"/>
        <v>32184</v>
      </c>
      <c r="L4035">
        <v>-13577</v>
      </c>
      <c r="M4035" s="7">
        <f t="shared" ref="M4035:M4098" ca="1" si="258">(TODAY()-K4035)/365.25</f>
        <v>37.171800136892543</v>
      </c>
      <c r="N4035" s="5" t="str">
        <f ca="1">VLOOKUP(Data!M4035,temp!$B$3:$C$9,2,1)</f>
        <v>30-40</v>
      </c>
      <c r="O4035">
        <v>-1266</v>
      </c>
      <c r="P4035" s="8">
        <f t="shared" ref="P4035:P4098" si="259">IF(O4035&lt;=0,ABS(O4035)/365.25,0)</f>
        <v>3.4661190965092401</v>
      </c>
      <c r="Q4035" s="5" t="str">
        <f t="shared" si="257"/>
        <v>Employed</v>
      </c>
      <c r="R4035">
        <v>1</v>
      </c>
      <c r="S4035">
        <v>0</v>
      </c>
      <c r="T4035">
        <v>1</v>
      </c>
      <c r="U4035">
        <v>0</v>
      </c>
      <c r="V4035" t="s">
        <v>44</v>
      </c>
      <c r="W4035">
        <v>2</v>
      </c>
    </row>
    <row r="4036" spans="1:23" x14ac:dyDescent="0.2">
      <c r="A4036">
        <v>5135688</v>
      </c>
      <c r="B4036" t="s">
        <v>18</v>
      </c>
      <c r="C4036" t="s">
        <v>19</v>
      </c>
      <c r="D4036" t="s">
        <v>20</v>
      </c>
      <c r="E4036">
        <v>0</v>
      </c>
      <c r="F4036">
        <v>292500</v>
      </c>
      <c r="G4036" t="s">
        <v>31</v>
      </c>
      <c r="H4036" t="s">
        <v>22</v>
      </c>
      <c r="I4036" t="s">
        <v>28</v>
      </c>
      <c r="J4036" t="s">
        <v>24</v>
      </c>
      <c r="K4036" s="6">
        <f t="shared" ca="1" si="256"/>
        <v>32184</v>
      </c>
      <c r="L4036">
        <v>-13577</v>
      </c>
      <c r="M4036" s="7">
        <f t="shared" ca="1" si="258"/>
        <v>37.171800136892543</v>
      </c>
      <c r="N4036" s="5" t="str">
        <f ca="1">VLOOKUP(Data!M4036,temp!$B$3:$C$9,2,1)</f>
        <v>30-40</v>
      </c>
      <c r="O4036">
        <v>-1266</v>
      </c>
      <c r="P4036" s="8">
        <f t="shared" si="259"/>
        <v>3.4661190965092401</v>
      </c>
      <c r="Q4036" s="5" t="str">
        <f t="shared" si="257"/>
        <v>Employed</v>
      </c>
      <c r="R4036">
        <v>1</v>
      </c>
      <c r="S4036">
        <v>0</v>
      </c>
      <c r="T4036">
        <v>1</v>
      </c>
      <c r="U4036">
        <v>0</v>
      </c>
      <c r="V4036" t="s">
        <v>44</v>
      </c>
      <c r="W4036">
        <v>2</v>
      </c>
    </row>
    <row r="4037" spans="1:23" x14ac:dyDescent="0.2">
      <c r="A4037">
        <v>5135693</v>
      </c>
      <c r="B4037" t="s">
        <v>18</v>
      </c>
      <c r="C4037" t="s">
        <v>19</v>
      </c>
      <c r="D4037" t="s">
        <v>19</v>
      </c>
      <c r="E4037">
        <v>0</v>
      </c>
      <c r="F4037">
        <v>135000</v>
      </c>
      <c r="G4037" t="s">
        <v>31</v>
      </c>
      <c r="H4037" t="s">
        <v>27</v>
      </c>
      <c r="I4037" t="s">
        <v>28</v>
      </c>
      <c r="J4037" t="s">
        <v>24</v>
      </c>
      <c r="K4037" s="6">
        <f t="shared" ca="1" si="256"/>
        <v>34757</v>
      </c>
      <c r="L4037">
        <v>-11004</v>
      </c>
      <c r="M4037" s="7">
        <f t="shared" ca="1" si="258"/>
        <v>30.127310061601644</v>
      </c>
      <c r="N4037" s="5" t="str">
        <f ca="1">VLOOKUP(Data!M4037,temp!$B$3:$C$9,2,1)</f>
        <v>30-40</v>
      </c>
      <c r="O4037">
        <v>-1570</v>
      </c>
      <c r="P4037" s="8">
        <f t="shared" si="259"/>
        <v>4.2984257357973989</v>
      </c>
      <c r="Q4037" s="5" t="str">
        <f t="shared" si="257"/>
        <v>Employed</v>
      </c>
      <c r="R4037">
        <v>1</v>
      </c>
      <c r="S4037">
        <v>0</v>
      </c>
      <c r="T4037">
        <v>0</v>
      </c>
      <c r="U4037">
        <v>0</v>
      </c>
      <c r="V4037" t="s">
        <v>49</v>
      </c>
      <c r="W4037">
        <v>2</v>
      </c>
    </row>
    <row r="4038" spans="1:23" x14ac:dyDescent="0.2">
      <c r="A4038">
        <v>5135694</v>
      </c>
      <c r="B4038" t="s">
        <v>18</v>
      </c>
      <c r="C4038" t="s">
        <v>19</v>
      </c>
      <c r="D4038" t="s">
        <v>19</v>
      </c>
      <c r="E4038">
        <v>0</v>
      </c>
      <c r="F4038">
        <v>135000</v>
      </c>
      <c r="G4038" t="s">
        <v>31</v>
      </c>
      <c r="H4038" t="s">
        <v>27</v>
      </c>
      <c r="I4038" t="s">
        <v>28</v>
      </c>
      <c r="J4038" t="s">
        <v>24</v>
      </c>
      <c r="K4038" s="6">
        <f t="shared" ca="1" si="256"/>
        <v>34757</v>
      </c>
      <c r="L4038">
        <v>-11004</v>
      </c>
      <c r="M4038" s="7">
        <f t="shared" ca="1" si="258"/>
        <v>30.127310061601644</v>
      </c>
      <c r="N4038" s="5" t="str">
        <f ca="1">VLOOKUP(Data!M4038,temp!$B$3:$C$9,2,1)</f>
        <v>30-40</v>
      </c>
      <c r="O4038">
        <v>-1570</v>
      </c>
      <c r="P4038" s="8">
        <f t="shared" si="259"/>
        <v>4.2984257357973989</v>
      </c>
      <c r="Q4038" s="5" t="str">
        <f t="shared" si="257"/>
        <v>Employed</v>
      </c>
      <c r="R4038">
        <v>1</v>
      </c>
      <c r="S4038">
        <v>0</v>
      </c>
      <c r="T4038">
        <v>0</v>
      </c>
      <c r="U4038">
        <v>0</v>
      </c>
      <c r="V4038" t="s">
        <v>49</v>
      </c>
      <c r="W4038">
        <v>2</v>
      </c>
    </row>
    <row r="4039" spans="1:23" x14ac:dyDescent="0.2">
      <c r="A4039">
        <v>5135702</v>
      </c>
      <c r="B4039" t="s">
        <v>18</v>
      </c>
      <c r="C4039" t="s">
        <v>19</v>
      </c>
      <c r="D4039" t="s">
        <v>19</v>
      </c>
      <c r="E4039">
        <v>0</v>
      </c>
      <c r="F4039">
        <v>135000</v>
      </c>
      <c r="G4039" t="s">
        <v>31</v>
      </c>
      <c r="H4039" t="s">
        <v>27</v>
      </c>
      <c r="I4039" t="s">
        <v>28</v>
      </c>
      <c r="J4039" t="s">
        <v>24</v>
      </c>
      <c r="K4039" s="6">
        <f t="shared" ca="1" si="256"/>
        <v>34757</v>
      </c>
      <c r="L4039">
        <v>-11004</v>
      </c>
      <c r="M4039" s="7">
        <f t="shared" ca="1" si="258"/>
        <v>30.127310061601644</v>
      </c>
      <c r="N4039" s="5" t="str">
        <f ca="1">VLOOKUP(Data!M4039,temp!$B$3:$C$9,2,1)</f>
        <v>30-40</v>
      </c>
      <c r="O4039">
        <v>-1570</v>
      </c>
      <c r="P4039" s="8">
        <f t="shared" si="259"/>
        <v>4.2984257357973989</v>
      </c>
      <c r="Q4039" s="5" t="str">
        <f t="shared" si="257"/>
        <v>Employed</v>
      </c>
      <c r="R4039">
        <v>1</v>
      </c>
      <c r="S4039">
        <v>0</v>
      </c>
      <c r="T4039">
        <v>0</v>
      </c>
      <c r="U4039">
        <v>0</v>
      </c>
      <c r="V4039" t="s">
        <v>49</v>
      </c>
      <c r="W4039">
        <v>2</v>
      </c>
    </row>
    <row r="4040" spans="1:23" x14ac:dyDescent="0.2">
      <c r="A4040">
        <v>5135706</v>
      </c>
      <c r="B4040" t="s">
        <v>25</v>
      </c>
      <c r="C4040" t="s">
        <v>20</v>
      </c>
      <c r="D4040" t="s">
        <v>20</v>
      </c>
      <c r="E4040">
        <v>0</v>
      </c>
      <c r="F4040">
        <v>225000</v>
      </c>
      <c r="G4040" t="s">
        <v>31</v>
      </c>
      <c r="H4040" t="s">
        <v>22</v>
      </c>
      <c r="I4040" t="s">
        <v>28</v>
      </c>
      <c r="J4040" t="s">
        <v>24</v>
      </c>
      <c r="K4040" s="6">
        <f t="shared" ref="K4040:K4103" ca="1" si="260">TODAY()+($L4040)</f>
        <v>24870</v>
      </c>
      <c r="L4040">
        <v>-20891</v>
      </c>
      <c r="M4040" s="7">
        <f t="shared" ca="1" si="258"/>
        <v>57.196440793976727</v>
      </c>
      <c r="N4040" s="5" t="str">
        <f ca="1">VLOOKUP(Data!M4040,temp!$B$3:$C$9,2,1)</f>
        <v>50-60</v>
      </c>
      <c r="O4040">
        <v>-413</v>
      </c>
      <c r="P4040" s="8">
        <f t="shared" si="259"/>
        <v>1.1307323750855578</v>
      </c>
      <c r="Q4040" s="5" t="str">
        <f t="shared" ref="Q4040:Q4103" si="261">IF($O4040&gt;0,"Unemployed","Employed")</f>
        <v>Employed</v>
      </c>
      <c r="R4040">
        <v>1</v>
      </c>
      <c r="S4040">
        <v>0</v>
      </c>
      <c r="T4040">
        <v>0</v>
      </c>
      <c r="U4040">
        <v>0</v>
      </c>
      <c r="V4040" t="s">
        <v>40</v>
      </c>
      <c r="W4040">
        <v>2</v>
      </c>
    </row>
    <row r="4041" spans="1:23" x14ac:dyDescent="0.2">
      <c r="A4041">
        <v>5135708</v>
      </c>
      <c r="B4041" t="s">
        <v>25</v>
      </c>
      <c r="C4041" t="s">
        <v>20</v>
      </c>
      <c r="D4041" t="s">
        <v>20</v>
      </c>
      <c r="E4041">
        <v>0</v>
      </c>
      <c r="F4041">
        <v>225000</v>
      </c>
      <c r="G4041" t="s">
        <v>31</v>
      </c>
      <c r="H4041" t="s">
        <v>22</v>
      </c>
      <c r="I4041" t="s">
        <v>28</v>
      </c>
      <c r="J4041" t="s">
        <v>24</v>
      </c>
      <c r="K4041" s="6">
        <f t="shared" ca="1" si="260"/>
        <v>24870</v>
      </c>
      <c r="L4041">
        <v>-20891</v>
      </c>
      <c r="M4041" s="7">
        <f t="shared" ca="1" si="258"/>
        <v>57.196440793976727</v>
      </c>
      <c r="N4041" s="5" t="str">
        <f ca="1">VLOOKUP(Data!M4041,temp!$B$3:$C$9,2,1)</f>
        <v>50-60</v>
      </c>
      <c r="O4041">
        <v>-413</v>
      </c>
      <c r="P4041" s="8">
        <f t="shared" si="259"/>
        <v>1.1307323750855578</v>
      </c>
      <c r="Q4041" s="5" t="str">
        <f t="shared" si="261"/>
        <v>Employed</v>
      </c>
      <c r="R4041">
        <v>1</v>
      </c>
      <c r="S4041">
        <v>0</v>
      </c>
      <c r="T4041">
        <v>0</v>
      </c>
      <c r="U4041">
        <v>0</v>
      </c>
      <c r="V4041" t="s">
        <v>40</v>
      </c>
      <c r="W4041">
        <v>2</v>
      </c>
    </row>
    <row r="4042" spans="1:23" x14ac:dyDescent="0.2">
      <c r="A4042">
        <v>5135723</v>
      </c>
      <c r="B4042" t="s">
        <v>25</v>
      </c>
      <c r="C4042" t="s">
        <v>20</v>
      </c>
      <c r="D4042" t="s">
        <v>19</v>
      </c>
      <c r="E4042">
        <v>1</v>
      </c>
      <c r="F4042">
        <v>360000</v>
      </c>
      <c r="G4042" t="s">
        <v>35</v>
      </c>
      <c r="H4042" t="s">
        <v>22</v>
      </c>
      <c r="I4042" t="s">
        <v>28</v>
      </c>
      <c r="J4042" t="s">
        <v>53</v>
      </c>
      <c r="K4042" s="6">
        <f t="shared" ca="1" si="260"/>
        <v>30781</v>
      </c>
      <c r="L4042">
        <v>-14980</v>
      </c>
      <c r="M4042" s="7">
        <f t="shared" ca="1" si="258"/>
        <v>41.013004791238878</v>
      </c>
      <c r="N4042" s="5" t="str">
        <f ca="1">VLOOKUP(Data!M4042,temp!$B$3:$C$9,2,1)</f>
        <v>40-50</v>
      </c>
      <c r="O4042">
        <v>-2847</v>
      </c>
      <c r="P4042" s="8">
        <f t="shared" si="259"/>
        <v>7.7946611909650922</v>
      </c>
      <c r="Q4042" s="5" t="str">
        <f t="shared" si="261"/>
        <v>Employed</v>
      </c>
      <c r="R4042">
        <v>1</v>
      </c>
      <c r="S4042">
        <v>0</v>
      </c>
      <c r="T4042">
        <v>1</v>
      </c>
      <c r="U4042">
        <v>0</v>
      </c>
      <c r="V4042" t="s">
        <v>32</v>
      </c>
      <c r="W4042">
        <v>3</v>
      </c>
    </row>
    <row r="4043" spans="1:23" x14ac:dyDescent="0.2">
      <c r="A4043">
        <v>5135724</v>
      </c>
      <c r="B4043" t="s">
        <v>25</v>
      </c>
      <c r="C4043" t="s">
        <v>20</v>
      </c>
      <c r="D4043" t="s">
        <v>19</v>
      </c>
      <c r="E4043">
        <v>1</v>
      </c>
      <c r="F4043">
        <v>360000</v>
      </c>
      <c r="G4043" t="s">
        <v>35</v>
      </c>
      <c r="H4043" t="s">
        <v>22</v>
      </c>
      <c r="I4043" t="s">
        <v>28</v>
      </c>
      <c r="J4043" t="s">
        <v>53</v>
      </c>
      <c r="K4043" s="6">
        <f t="shared" ca="1" si="260"/>
        <v>30781</v>
      </c>
      <c r="L4043">
        <v>-14980</v>
      </c>
      <c r="M4043" s="7">
        <f t="shared" ca="1" si="258"/>
        <v>41.013004791238878</v>
      </c>
      <c r="N4043" s="5" t="str">
        <f ca="1">VLOOKUP(Data!M4043,temp!$B$3:$C$9,2,1)</f>
        <v>40-50</v>
      </c>
      <c r="O4043">
        <v>-2847</v>
      </c>
      <c r="P4043" s="8">
        <f t="shared" si="259"/>
        <v>7.7946611909650922</v>
      </c>
      <c r="Q4043" s="5" t="str">
        <f t="shared" si="261"/>
        <v>Employed</v>
      </c>
      <c r="R4043">
        <v>1</v>
      </c>
      <c r="S4043">
        <v>0</v>
      </c>
      <c r="T4043">
        <v>1</v>
      </c>
      <c r="U4043">
        <v>0</v>
      </c>
      <c r="V4043" t="s">
        <v>32</v>
      </c>
      <c r="W4043">
        <v>3</v>
      </c>
    </row>
    <row r="4044" spans="1:23" x14ac:dyDescent="0.2">
      <c r="A4044">
        <v>5135746</v>
      </c>
      <c r="B4044" t="s">
        <v>25</v>
      </c>
      <c r="C4044" t="s">
        <v>19</v>
      </c>
      <c r="D4044" t="s">
        <v>20</v>
      </c>
      <c r="E4044">
        <v>2</v>
      </c>
      <c r="F4044">
        <v>112500</v>
      </c>
      <c r="G4044" t="s">
        <v>31</v>
      </c>
      <c r="H4044" t="s">
        <v>27</v>
      </c>
      <c r="I4044" t="s">
        <v>28</v>
      </c>
      <c r="J4044" t="s">
        <v>24</v>
      </c>
      <c r="K4044" s="6">
        <f t="shared" ca="1" si="260"/>
        <v>33797</v>
      </c>
      <c r="L4044">
        <v>-11964</v>
      </c>
      <c r="M4044" s="7">
        <f t="shared" ca="1" si="258"/>
        <v>32.755646817248461</v>
      </c>
      <c r="N4044" s="5" t="str">
        <f ca="1">VLOOKUP(Data!M4044,temp!$B$3:$C$9,2,1)</f>
        <v>30-40</v>
      </c>
      <c r="O4044">
        <v>-4280</v>
      </c>
      <c r="P4044" s="8">
        <f t="shared" si="259"/>
        <v>11.718001368925394</v>
      </c>
      <c r="Q4044" s="5" t="str">
        <f t="shared" si="261"/>
        <v>Employed</v>
      </c>
      <c r="R4044">
        <v>1</v>
      </c>
      <c r="S4044">
        <v>0</v>
      </c>
      <c r="T4044">
        <v>0</v>
      </c>
      <c r="U4044">
        <v>0</v>
      </c>
      <c r="V4044" t="s">
        <v>29</v>
      </c>
      <c r="W4044">
        <v>4</v>
      </c>
    </row>
    <row r="4045" spans="1:23" x14ac:dyDescent="0.2">
      <c r="A4045">
        <v>5135750</v>
      </c>
      <c r="B4045" t="s">
        <v>18</v>
      </c>
      <c r="C4045" t="s">
        <v>19</v>
      </c>
      <c r="D4045" t="s">
        <v>19</v>
      </c>
      <c r="E4045">
        <v>0</v>
      </c>
      <c r="F4045">
        <v>117000</v>
      </c>
      <c r="G4045" t="s">
        <v>35</v>
      </c>
      <c r="H4045" t="s">
        <v>27</v>
      </c>
      <c r="I4045" t="s">
        <v>33</v>
      </c>
      <c r="J4045" t="s">
        <v>24</v>
      </c>
      <c r="K4045" s="6">
        <f t="shared" ca="1" si="260"/>
        <v>36909</v>
      </c>
      <c r="L4045">
        <v>-8852</v>
      </c>
      <c r="M4045" s="7">
        <f t="shared" ca="1" si="258"/>
        <v>24.23545516769336</v>
      </c>
      <c r="N4045" s="5" t="str">
        <f ca="1">VLOOKUP(Data!M4045,temp!$B$3:$C$9,2,1)</f>
        <v>20-30</v>
      </c>
      <c r="O4045">
        <v>-870</v>
      </c>
      <c r="P4045" s="8">
        <f t="shared" si="259"/>
        <v>2.3819301848049284</v>
      </c>
      <c r="Q4045" s="5" t="str">
        <f t="shared" si="261"/>
        <v>Employed</v>
      </c>
      <c r="R4045">
        <v>1</v>
      </c>
      <c r="S4045">
        <v>0</v>
      </c>
      <c r="T4045">
        <v>0</v>
      </c>
      <c r="U4045">
        <v>0</v>
      </c>
      <c r="V4045" t="s">
        <v>58</v>
      </c>
      <c r="W4045">
        <v>1</v>
      </c>
    </row>
    <row r="4046" spans="1:23" x14ac:dyDescent="0.2">
      <c r="A4046">
        <v>5135752</v>
      </c>
      <c r="B4046" t="s">
        <v>18</v>
      </c>
      <c r="C4046" t="s">
        <v>19</v>
      </c>
      <c r="D4046" t="s">
        <v>19</v>
      </c>
      <c r="E4046">
        <v>0</v>
      </c>
      <c r="F4046">
        <v>117000</v>
      </c>
      <c r="G4046" t="s">
        <v>35</v>
      </c>
      <c r="H4046" t="s">
        <v>27</v>
      </c>
      <c r="I4046" t="s">
        <v>33</v>
      </c>
      <c r="J4046" t="s">
        <v>24</v>
      </c>
      <c r="K4046" s="6">
        <f t="shared" ca="1" si="260"/>
        <v>36909</v>
      </c>
      <c r="L4046">
        <v>-8852</v>
      </c>
      <c r="M4046" s="7">
        <f t="shared" ca="1" si="258"/>
        <v>24.23545516769336</v>
      </c>
      <c r="N4046" s="5" t="str">
        <f ca="1">VLOOKUP(Data!M4046,temp!$B$3:$C$9,2,1)</f>
        <v>20-30</v>
      </c>
      <c r="O4046">
        <v>-870</v>
      </c>
      <c r="P4046" s="8">
        <f t="shared" si="259"/>
        <v>2.3819301848049284</v>
      </c>
      <c r="Q4046" s="5" t="str">
        <f t="shared" si="261"/>
        <v>Employed</v>
      </c>
      <c r="R4046">
        <v>1</v>
      </c>
      <c r="S4046">
        <v>0</v>
      </c>
      <c r="T4046">
        <v>0</v>
      </c>
      <c r="U4046">
        <v>0</v>
      </c>
      <c r="V4046" t="s">
        <v>58</v>
      </c>
      <c r="W4046">
        <v>1</v>
      </c>
    </row>
    <row r="4047" spans="1:23" x14ac:dyDescent="0.2">
      <c r="A4047">
        <v>5135768</v>
      </c>
      <c r="B4047" t="s">
        <v>18</v>
      </c>
      <c r="C4047" t="s">
        <v>19</v>
      </c>
      <c r="D4047" t="s">
        <v>20</v>
      </c>
      <c r="E4047">
        <v>1</v>
      </c>
      <c r="F4047">
        <v>180000</v>
      </c>
      <c r="G4047" t="s">
        <v>26</v>
      </c>
      <c r="H4047" t="s">
        <v>27</v>
      </c>
      <c r="I4047" t="s">
        <v>28</v>
      </c>
      <c r="J4047" t="s">
        <v>24</v>
      </c>
      <c r="K4047" s="6">
        <f t="shared" ca="1" si="260"/>
        <v>31924</v>
      </c>
      <c r="L4047">
        <v>-13837</v>
      </c>
      <c r="M4047" s="7">
        <f t="shared" ca="1" si="258"/>
        <v>37.883641341546884</v>
      </c>
      <c r="N4047" s="5" t="str">
        <f ca="1">VLOOKUP(Data!M4047,temp!$B$3:$C$9,2,1)</f>
        <v>30-40</v>
      </c>
      <c r="O4047">
        <v>-1386</v>
      </c>
      <c r="P4047" s="8">
        <f t="shared" si="259"/>
        <v>3.7946611909650922</v>
      </c>
      <c r="Q4047" s="5" t="str">
        <f t="shared" si="261"/>
        <v>Employed</v>
      </c>
      <c r="R4047">
        <v>1</v>
      </c>
      <c r="S4047">
        <v>0</v>
      </c>
      <c r="T4047">
        <v>1</v>
      </c>
      <c r="U4047">
        <v>0</v>
      </c>
      <c r="V4047" t="s">
        <v>29</v>
      </c>
      <c r="W4047">
        <v>3</v>
      </c>
    </row>
    <row r="4048" spans="1:23" x14ac:dyDescent="0.2">
      <c r="A4048">
        <v>5135775</v>
      </c>
      <c r="B4048" t="s">
        <v>18</v>
      </c>
      <c r="C4048" t="s">
        <v>19</v>
      </c>
      <c r="D4048" t="s">
        <v>20</v>
      </c>
      <c r="E4048">
        <v>1</v>
      </c>
      <c r="F4048">
        <v>108000</v>
      </c>
      <c r="G4048" t="s">
        <v>26</v>
      </c>
      <c r="H4048" t="s">
        <v>22</v>
      </c>
      <c r="I4048" t="s">
        <v>28</v>
      </c>
      <c r="J4048" t="s">
        <v>24</v>
      </c>
      <c r="K4048" s="6">
        <f t="shared" ca="1" si="260"/>
        <v>31884</v>
      </c>
      <c r="L4048">
        <v>-13877</v>
      </c>
      <c r="M4048" s="7">
        <f t="shared" ca="1" si="258"/>
        <v>37.993155373032167</v>
      </c>
      <c r="N4048" s="5" t="str">
        <f ca="1">VLOOKUP(Data!M4048,temp!$B$3:$C$9,2,1)</f>
        <v>30-40</v>
      </c>
      <c r="O4048">
        <v>-1021</v>
      </c>
      <c r="P4048" s="8">
        <f t="shared" si="259"/>
        <v>2.7953456536618755</v>
      </c>
      <c r="Q4048" s="5" t="str">
        <f t="shared" si="261"/>
        <v>Employed</v>
      </c>
      <c r="R4048">
        <v>1</v>
      </c>
      <c r="S4048">
        <v>0</v>
      </c>
      <c r="T4048">
        <v>0</v>
      </c>
      <c r="U4048">
        <v>0</v>
      </c>
      <c r="V4048" t="s">
        <v>44</v>
      </c>
      <c r="W4048">
        <v>3</v>
      </c>
    </row>
    <row r="4049" spans="1:23" x14ac:dyDescent="0.2">
      <c r="A4049">
        <v>5135783</v>
      </c>
      <c r="B4049" t="s">
        <v>18</v>
      </c>
      <c r="C4049" t="s">
        <v>19</v>
      </c>
      <c r="D4049" t="s">
        <v>20</v>
      </c>
      <c r="E4049">
        <v>0</v>
      </c>
      <c r="F4049">
        <v>126000</v>
      </c>
      <c r="G4049" t="s">
        <v>31</v>
      </c>
      <c r="H4049" t="s">
        <v>27</v>
      </c>
      <c r="I4049" t="s">
        <v>28</v>
      </c>
      <c r="J4049" t="s">
        <v>24</v>
      </c>
      <c r="K4049" s="6">
        <f t="shared" ca="1" si="260"/>
        <v>21917</v>
      </c>
      <c r="L4049">
        <v>-23844</v>
      </c>
      <c r="M4049" s="7">
        <f t="shared" ca="1" si="258"/>
        <v>65.281314168377818</v>
      </c>
      <c r="N4049" s="5" t="str">
        <f ca="1">VLOOKUP(Data!M4049,temp!$B$3:$C$9,2,1)</f>
        <v>60-70</v>
      </c>
      <c r="O4049">
        <v>-2147</v>
      </c>
      <c r="P4049" s="8">
        <f t="shared" si="259"/>
        <v>5.8781656399726216</v>
      </c>
      <c r="Q4049" s="5" t="str">
        <f t="shared" si="261"/>
        <v>Employed</v>
      </c>
      <c r="R4049">
        <v>1</v>
      </c>
      <c r="S4049">
        <v>0</v>
      </c>
      <c r="T4049">
        <v>1</v>
      </c>
      <c r="U4049">
        <v>0</v>
      </c>
      <c r="V4049" t="s">
        <v>44</v>
      </c>
      <c r="W4049">
        <v>2</v>
      </c>
    </row>
    <row r="4050" spans="1:23" x14ac:dyDescent="0.2">
      <c r="A4050">
        <v>5135807</v>
      </c>
      <c r="B4050" t="s">
        <v>18</v>
      </c>
      <c r="C4050" t="s">
        <v>19</v>
      </c>
      <c r="D4050" t="s">
        <v>20</v>
      </c>
      <c r="E4050">
        <v>0</v>
      </c>
      <c r="F4050">
        <v>90000</v>
      </c>
      <c r="G4050" t="s">
        <v>26</v>
      </c>
      <c r="H4050" t="s">
        <v>27</v>
      </c>
      <c r="I4050" t="s">
        <v>28</v>
      </c>
      <c r="J4050" t="s">
        <v>24</v>
      </c>
      <c r="K4050" s="6">
        <f t="shared" ca="1" si="260"/>
        <v>26279</v>
      </c>
      <c r="L4050">
        <v>-19482</v>
      </c>
      <c r="M4050" s="7">
        <f t="shared" ca="1" si="258"/>
        <v>53.338809034907598</v>
      </c>
      <c r="N4050" s="5" t="str">
        <f ca="1">VLOOKUP(Data!M4050,temp!$B$3:$C$9,2,1)</f>
        <v>50-60</v>
      </c>
      <c r="O4050">
        <v>-2878</v>
      </c>
      <c r="P4050" s="8">
        <f t="shared" si="259"/>
        <v>7.8795345653661872</v>
      </c>
      <c r="Q4050" s="5" t="str">
        <f t="shared" si="261"/>
        <v>Employed</v>
      </c>
      <c r="R4050">
        <v>1</v>
      </c>
      <c r="S4050">
        <v>0</v>
      </c>
      <c r="T4050">
        <v>0</v>
      </c>
      <c r="U4050">
        <v>0</v>
      </c>
      <c r="V4050" t="s">
        <v>29</v>
      </c>
      <c r="W4050">
        <v>2</v>
      </c>
    </row>
    <row r="4051" spans="1:23" x14ac:dyDescent="0.2">
      <c r="A4051">
        <v>5135808</v>
      </c>
      <c r="B4051" t="s">
        <v>18</v>
      </c>
      <c r="C4051" t="s">
        <v>19</v>
      </c>
      <c r="D4051" t="s">
        <v>20</v>
      </c>
      <c r="E4051">
        <v>0</v>
      </c>
      <c r="F4051">
        <v>90000</v>
      </c>
      <c r="G4051" t="s">
        <v>26</v>
      </c>
      <c r="H4051" t="s">
        <v>27</v>
      </c>
      <c r="I4051" t="s">
        <v>28</v>
      </c>
      <c r="J4051" t="s">
        <v>24</v>
      </c>
      <c r="K4051" s="6">
        <f t="shared" ca="1" si="260"/>
        <v>26279</v>
      </c>
      <c r="L4051">
        <v>-19482</v>
      </c>
      <c r="M4051" s="7">
        <f t="shared" ca="1" si="258"/>
        <v>53.338809034907598</v>
      </c>
      <c r="N4051" s="5" t="str">
        <f ca="1">VLOOKUP(Data!M4051,temp!$B$3:$C$9,2,1)</f>
        <v>50-60</v>
      </c>
      <c r="O4051">
        <v>-2878</v>
      </c>
      <c r="P4051" s="8">
        <f t="shared" si="259"/>
        <v>7.8795345653661872</v>
      </c>
      <c r="Q4051" s="5" t="str">
        <f t="shared" si="261"/>
        <v>Employed</v>
      </c>
      <c r="R4051">
        <v>1</v>
      </c>
      <c r="S4051">
        <v>0</v>
      </c>
      <c r="T4051">
        <v>0</v>
      </c>
      <c r="U4051">
        <v>0</v>
      </c>
      <c r="V4051" t="s">
        <v>29</v>
      </c>
      <c r="W4051">
        <v>2</v>
      </c>
    </row>
    <row r="4052" spans="1:23" x14ac:dyDescent="0.2">
      <c r="A4052">
        <v>5135811</v>
      </c>
      <c r="B4052" t="s">
        <v>18</v>
      </c>
      <c r="C4052" t="s">
        <v>19</v>
      </c>
      <c r="D4052" t="s">
        <v>20</v>
      </c>
      <c r="E4052">
        <v>0</v>
      </c>
      <c r="F4052">
        <v>90000</v>
      </c>
      <c r="G4052" t="s">
        <v>26</v>
      </c>
      <c r="H4052" t="s">
        <v>27</v>
      </c>
      <c r="I4052" t="s">
        <v>28</v>
      </c>
      <c r="J4052" t="s">
        <v>24</v>
      </c>
      <c r="K4052" s="6">
        <f t="shared" ca="1" si="260"/>
        <v>26279</v>
      </c>
      <c r="L4052">
        <v>-19482</v>
      </c>
      <c r="M4052" s="7">
        <f t="shared" ca="1" si="258"/>
        <v>53.338809034907598</v>
      </c>
      <c r="N4052" s="5" t="str">
        <f ca="1">VLOOKUP(Data!M4052,temp!$B$3:$C$9,2,1)</f>
        <v>50-60</v>
      </c>
      <c r="O4052">
        <v>-2878</v>
      </c>
      <c r="P4052" s="8">
        <f t="shared" si="259"/>
        <v>7.8795345653661872</v>
      </c>
      <c r="Q4052" s="5" t="str">
        <f t="shared" si="261"/>
        <v>Employed</v>
      </c>
      <c r="R4052">
        <v>1</v>
      </c>
      <c r="S4052">
        <v>0</v>
      </c>
      <c r="T4052">
        <v>0</v>
      </c>
      <c r="U4052">
        <v>0</v>
      </c>
      <c r="V4052" t="s">
        <v>29</v>
      </c>
      <c r="W4052">
        <v>2</v>
      </c>
    </row>
    <row r="4053" spans="1:23" x14ac:dyDescent="0.2">
      <c r="A4053">
        <v>5135816</v>
      </c>
      <c r="B4053" t="s">
        <v>18</v>
      </c>
      <c r="C4053" t="s">
        <v>19</v>
      </c>
      <c r="D4053" t="s">
        <v>20</v>
      </c>
      <c r="E4053">
        <v>0</v>
      </c>
      <c r="F4053">
        <v>90000</v>
      </c>
      <c r="G4053" t="s">
        <v>26</v>
      </c>
      <c r="H4053" t="s">
        <v>27</v>
      </c>
      <c r="I4053" t="s">
        <v>28</v>
      </c>
      <c r="J4053" t="s">
        <v>24</v>
      </c>
      <c r="K4053" s="6">
        <f t="shared" ca="1" si="260"/>
        <v>26279</v>
      </c>
      <c r="L4053">
        <v>-19482</v>
      </c>
      <c r="M4053" s="7">
        <f t="shared" ca="1" si="258"/>
        <v>53.338809034907598</v>
      </c>
      <c r="N4053" s="5" t="str">
        <f ca="1">VLOOKUP(Data!M4053,temp!$B$3:$C$9,2,1)</f>
        <v>50-60</v>
      </c>
      <c r="O4053">
        <v>-2878</v>
      </c>
      <c r="P4053" s="8">
        <f t="shared" si="259"/>
        <v>7.8795345653661872</v>
      </c>
      <c r="Q4053" s="5" t="str">
        <f t="shared" si="261"/>
        <v>Employed</v>
      </c>
      <c r="R4053">
        <v>1</v>
      </c>
      <c r="S4053">
        <v>0</v>
      </c>
      <c r="T4053">
        <v>0</v>
      </c>
      <c r="U4053">
        <v>0</v>
      </c>
      <c r="V4053" t="s">
        <v>29</v>
      </c>
      <c r="W4053">
        <v>2</v>
      </c>
    </row>
    <row r="4054" spans="1:23" x14ac:dyDescent="0.2">
      <c r="A4054">
        <v>5135822</v>
      </c>
      <c r="B4054" t="s">
        <v>18</v>
      </c>
      <c r="C4054" t="s">
        <v>19</v>
      </c>
      <c r="D4054" t="s">
        <v>20</v>
      </c>
      <c r="E4054">
        <v>0</v>
      </c>
      <c r="F4054">
        <v>90000</v>
      </c>
      <c r="G4054" t="s">
        <v>26</v>
      </c>
      <c r="H4054" t="s">
        <v>27</v>
      </c>
      <c r="I4054" t="s">
        <v>28</v>
      </c>
      <c r="J4054" t="s">
        <v>24</v>
      </c>
      <c r="K4054" s="6">
        <f t="shared" ca="1" si="260"/>
        <v>26279</v>
      </c>
      <c r="L4054">
        <v>-19482</v>
      </c>
      <c r="M4054" s="7">
        <f t="shared" ca="1" si="258"/>
        <v>53.338809034907598</v>
      </c>
      <c r="N4054" s="5" t="str">
        <f ca="1">VLOOKUP(Data!M4054,temp!$B$3:$C$9,2,1)</f>
        <v>50-60</v>
      </c>
      <c r="O4054">
        <v>-2878</v>
      </c>
      <c r="P4054" s="8">
        <f t="shared" si="259"/>
        <v>7.8795345653661872</v>
      </c>
      <c r="Q4054" s="5" t="str">
        <f t="shared" si="261"/>
        <v>Employed</v>
      </c>
      <c r="R4054">
        <v>1</v>
      </c>
      <c r="S4054">
        <v>0</v>
      </c>
      <c r="T4054">
        <v>0</v>
      </c>
      <c r="U4054">
        <v>0</v>
      </c>
      <c r="V4054" t="s">
        <v>29</v>
      </c>
      <c r="W4054">
        <v>2</v>
      </c>
    </row>
    <row r="4055" spans="1:23" x14ac:dyDescent="0.2">
      <c r="A4055">
        <v>5135824</v>
      </c>
      <c r="B4055" t="s">
        <v>18</v>
      </c>
      <c r="C4055" t="s">
        <v>19</v>
      </c>
      <c r="D4055" t="s">
        <v>20</v>
      </c>
      <c r="E4055">
        <v>0</v>
      </c>
      <c r="F4055">
        <v>90000</v>
      </c>
      <c r="G4055" t="s">
        <v>26</v>
      </c>
      <c r="H4055" t="s">
        <v>27</v>
      </c>
      <c r="I4055" t="s">
        <v>28</v>
      </c>
      <c r="J4055" t="s">
        <v>24</v>
      </c>
      <c r="K4055" s="6">
        <f t="shared" ca="1" si="260"/>
        <v>26279</v>
      </c>
      <c r="L4055">
        <v>-19482</v>
      </c>
      <c r="M4055" s="7">
        <f t="shared" ca="1" si="258"/>
        <v>53.338809034907598</v>
      </c>
      <c r="N4055" s="5" t="str">
        <f ca="1">VLOOKUP(Data!M4055,temp!$B$3:$C$9,2,1)</f>
        <v>50-60</v>
      </c>
      <c r="O4055">
        <v>-2878</v>
      </c>
      <c r="P4055" s="8">
        <f t="shared" si="259"/>
        <v>7.8795345653661872</v>
      </c>
      <c r="Q4055" s="5" t="str">
        <f t="shared" si="261"/>
        <v>Employed</v>
      </c>
      <c r="R4055">
        <v>1</v>
      </c>
      <c r="S4055">
        <v>0</v>
      </c>
      <c r="T4055">
        <v>0</v>
      </c>
      <c r="U4055">
        <v>0</v>
      </c>
      <c r="V4055" t="s">
        <v>29</v>
      </c>
      <c r="W4055">
        <v>2</v>
      </c>
    </row>
    <row r="4056" spans="1:23" x14ac:dyDescent="0.2">
      <c r="A4056">
        <v>5135829</v>
      </c>
      <c r="B4056" t="s">
        <v>18</v>
      </c>
      <c r="C4056" t="s">
        <v>19</v>
      </c>
      <c r="D4056" t="s">
        <v>20</v>
      </c>
      <c r="E4056">
        <v>0</v>
      </c>
      <c r="F4056">
        <v>180000</v>
      </c>
      <c r="G4056" t="s">
        <v>26</v>
      </c>
      <c r="H4056" t="s">
        <v>27</v>
      </c>
      <c r="I4056" t="s">
        <v>37</v>
      </c>
      <c r="J4056" t="s">
        <v>24</v>
      </c>
      <c r="K4056" s="6">
        <f t="shared" ca="1" si="260"/>
        <v>27048</v>
      </c>
      <c r="L4056">
        <v>-18713</v>
      </c>
      <c r="M4056" s="7">
        <f t="shared" ca="1" si="258"/>
        <v>51.233401779603014</v>
      </c>
      <c r="N4056" s="5" t="str">
        <f ca="1">VLOOKUP(Data!M4056,temp!$B$3:$C$9,2,1)</f>
        <v>50-60</v>
      </c>
      <c r="O4056">
        <v>-3549</v>
      </c>
      <c r="P4056" s="8">
        <f t="shared" si="259"/>
        <v>9.716632443531827</v>
      </c>
      <c r="Q4056" s="5" t="str">
        <f t="shared" si="261"/>
        <v>Employed</v>
      </c>
      <c r="R4056">
        <v>1</v>
      </c>
      <c r="S4056">
        <v>0</v>
      </c>
      <c r="T4056">
        <v>1</v>
      </c>
      <c r="U4056">
        <v>0</v>
      </c>
      <c r="V4056" t="s">
        <v>39</v>
      </c>
      <c r="W4056">
        <v>2</v>
      </c>
    </row>
    <row r="4057" spans="1:23" x14ac:dyDescent="0.2">
      <c r="A4057">
        <v>5135839</v>
      </c>
      <c r="B4057" t="s">
        <v>18</v>
      </c>
      <c r="C4057" t="s">
        <v>20</v>
      </c>
      <c r="D4057" t="s">
        <v>20</v>
      </c>
      <c r="E4057">
        <v>0</v>
      </c>
      <c r="F4057">
        <v>90000</v>
      </c>
      <c r="G4057" t="s">
        <v>21</v>
      </c>
      <c r="H4057" t="s">
        <v>22</v>
      </c>
      <c r="I4057" t="s">
        <v>28</v>
      </c>
      <c r="J4057" t="s">
        <v>24</v>
      </c>
      <c r="K4057" s="6">
        <f t="shared" ca="1" si="260"/>
        <v>24309</v>
      </c>
      <c r="L4057">
        <v>-21452</v>
      </c>
      <c r="M4057" s="7">
        <f t="shared" ca="1" si="258"/>
        <v>58.732375085557834</v>
      </c>
      <c r="N4057" s="5" t="str">
        <f ca="1">VLOOKUP(Data!M4057,temp!$B$3:$C$9,2,1)</f>
        <v>50-60</v>
      </c>
      <c r="O4057">
        <v>365243</v>
      </c>
      <c r="P4057" s="8">
        <f t="shared" si="259"/>
        <v>0</v>
      </c>
      <c r="Q4057" s="5" t="str">
        <f t="shared" si="261"/>
        <v>Unemployed</v>
      </c>
      <c r="R4057">
        <v>1</v>
      </c>
      <c r="S4057">
        <v>0</v>
      </c>
      <c r="T4057">
        <v>0</v>
      </c>
      <c r="U4057">
        <v>0</v>
      </c>
      <c r="W4057">
        <v>2</v>
      </c>
    </row>
    <row r="4058" spans="1:23" x14ac:dyDescent="0.2">
      <c r="A4058">
        <v>5135867</v>
      </c>
      <c r="B4058" t="s">
        <v>25</v>
      </c>
      <c r="C4058" t="s">
        <v>20</v>
      </c>
      <c r="D4058" t="s">
        <v>20</v>
      </c>
      <c r="E4058">
        <v>0</v>
      </c>
      <c r="F4058">
        <v>270000</v>
      </c>
      <c r="G4058" t="s">
        <v>26</v>
      </c>
      <c r="H4058" t="s">
        <v>27</v>
      </c>
      <c r="I4058" t="s">
        <v>28</v>
      </c>
      <c r="J4058" t="s">
        <v>24</v>
      </c>
      <c r="K4058" s="6">
        <f t="shared" ca="1" si="260"/>
        <v>25058</v>
      </c>
      <c r="L4058">
        <v>-20703</v>
      </c>
      <c r="M4058" s="7">
        <f t="shared" ca="1" si="258"/>
        <v>56.681724845995895</v>
      </c>
      <c r="N4058" s="5" t="str">
        <f ca="1">VLOOKUP(Data!M4058,temp!$B$3:$C$9,2,1)</f>
        <v>50-60</v>
      </c>
      <c r="O4058">
        <v>-2239</v>
      </c>
      <c r="P4058" s="8">
        <f t="shared" si="259"/>
        <v>6.1300479123887746</v>
      </c>
      <c r="Q4058" s="5" t="str">
        <f t="shared" si="261"/>
        <v>Employed</v>
      </c>
      <c r="R4058">
        <v>1</v>
      </c>
      <c r="S4058">
        <v>0</v>
      </c>
      <c r="T4058">
        <v>0</v>
      </c>
      <c r="U4058">
        <v>0</v>
      </c>
      <c r="V4058" t="s">
        <v>30</v>
      </c>
      <c r="W4058">
        <v>2</v>
      </c>
    </row>
    <row r="4059" spans="1:23" x14ac:dyDescent="0.2">
      <c r="A4059">
        <v>5135888</v>
      </c>
      <c r="B4059" t="s">
        <v>25</v>
      </c>
      <c r="C4059" t="s">
        <v>20</v>
      </c>
      <c r="D4059" t="s">
        <v>20</v>
      </c>
      <c r="E4059">
        <v>0</v>
      </c>
      <c r="F4059">
        <v>90000</v>
      </c>
      <c r="G4059" t="s">
        <v>31</v>
      </c>
      <c r="H4059" t="s">
        <v>36</v>
      </c>
      <c r="I4059" t="s">
        <v>28</v>
      </c>
      <c r="J4059" t="s">
        <v>24</v>
      </c>
      <c r="K4059" s="6">
        <f t="shared" ca="1" si="260"/>
        <v>26769</v>
      </c>
      <c r="L4059">
        <v>-18992</v>
      </c>
      <c r="M4059" s="7">
        <f t="shared" ca="1" si="258"/>
        <v>51.997262149212865</v>
      </c>
      <c r="N4059" s="5" t="str">
        <f ca="1">VLOOKUP(Data!M4059,temp!$B$3:$C$9,2,1)</f>
        <v>50-60</v>
      </c>
      <c r="O4059">
        <v>-3243</v>
      </c>
      <c r="P4059" s="8">
        <f t="shared" si="259"/>
        <v>8.8788501026694053</v>
      </c>
      <c r="Q4059" s="5" t="str">
        <f t="shared" si="261"/>
        <v>Employed</v>
      </c>
      <c r="R4059">
        <v>1</v>
      </c>
      <c r="S4059">
        <v>0</v>
      </c>
      <c r="T4059">
        <v>1</v>
      </c>
      <c r="U4059">
        <v>0</v>
      </c>
      <c r="V4059" t="s">
        <v>30</v>
      </c>
      <c r="W4059">
        <v>2</v>
      </c>
    </row>
    <row r="4060" spans="1:23" x14ac:dyDescent="0.2">
      <c r="A4060">
        <v>5135890</v>
      </c>
      <c r="B4060" t="s">
        <v>25</v>
      </c>
      <c r="C4060" t="s">
        <v>19</v>
      </c>
      <c r="D4060" t="s">
        <v>20</v>
      </c>
      <c r="E4060">
        <v>0</v>
      </c>
      <c r="F4060">
        <v>216000</v>
      </c>
      <c r="G4060" t="s">
        <v>31</v>
      </c>
      <c r="H4060" t="s">
        <v>27</v>
      </c>
      <c r="I4060" t="s">
        <v>23</v>
      </c>
      <c r="J4060" t="s">
        <v>24</v>
      </c>
      <c r="K4060" s="6">
        <f t="shared" ca="1" si="260"/>
        <v>31366</v>
      </c>
      <c r="L4060">
        <v>-14395</v>
      </c>
      <c r="M4060" s="7">
        <f t="shared" ca="1" si="258"/>
        <v>39.411362080766601</v>
      </c>
      <c r="N4060" s="5" t="str">
        <f ca="1">VLOOKUP(Data!M4060,temp!$B$3:$C$9,2,1)</f>
        <v>30-40</v>
      </c>
      <c r="O4060">
        <v>-596</v>
      </c>
      <c r="P4060" s="8">
        <f t="shared" si="259"/>
        <v>1.6317590691307324</v>
      </c>
      <c r="Q4060" s="5" t="str">
        <f t="shared" si="261"/>
        <v>Employed</v>
      </c>
      <c r="R4060">
        <v>1</v>
      </c>
      <c r="S4060">
        <v>1</v>
      </c>
      <c r="T4060">
        <v>1</v>
      </c>
      <c r="U4060">
        <v>0</v>
      </c>
      <c r="V4060" t="s">
        <v>40</v>
      </c>
      <c r="W4060">
        <v>1</v>
      </c>
    </row>
    <row r="4061" spans="1:23" x14ac:dyDescent="0.2">
      <c r="A4061">
        <v>5135899</v>
      </c>
      <c r="B4061" t="s">
        <v>18</v>
      </c>
      <c r="C4061" t="s">
        <v>19</v>
      </c>
      <c r="D4061" t="s">
        <v>20</v>
      </c>
      <c r="E4061">
        <v>2</v>
      </c>
      <c r="F4061">
        <v>90000</v>
      </c>
      <c r="G4061" t="s">
        <v>35</v>
      </c>
      <c r="H4061" t="s">
        <v>27</v>
      </c>
      <c r="I4061" t="s">
        <v>37</v>
      </c>
      <c r="J4061" t="s">
        <v>24</v>
      </c>
      <c r="K4061" s="6">
        <f t="shared" ca="1" si="260"/>
        <v>33037</v>
      </c>
      <c r="L4061">
        <v>-12724</v>
      </c>
      <c r="M4061" s="7">
        <f t="shared" ca="1" si="258"/>
        <v>34.836413415468854</v>
      </c>
      <c r="N4061" s="5" t="str">
        <f ca="1">VLOOKUP(Data!M4061,temp!$B$3:$C$9,2,1)</f>
        <v>30-40</v>
      </c>
      <c r="O4061">
        <v>-2635</v>
      </c>
      <c r="P4061" s="8">
        <f t="shared" si="259"/>
        <v>7.2142368240930868</v>
      </c>
      <c r="Q4061" s="5" t="str">
        <f t="shared" si="261"/>
        <v>Employed</v>
      </c>
      <c r="R4061">
        <v>1</v>
      </c>
      <c r="S4061">
        <v>1</v>
      </c>
      <c r="T4061">
        <v>0</v>
      </c>
      <c r="U4061">
        <v>0</v>
      </c>
      <c r="V4061" t="s">
        <v>38</v>
      </c>
      <c r="W4061">
        <v>4</v>
      </c>
    </row>
    <row r="4062" spans="1:23" x14ac:dyDescent="0.2">
      <c r="A4062">
        <v>5135905</v>
      </c>
      <c r="B4062" t="s">
        <v>18</v>
      </c>
      <c r="C4062" t="s">
        <v>19</v>
      </c>
      <c r="D4062" t="s">
        <v>20</v>
      </c>
      <c r="E4062">
        <v>1</v>
      </c>
      <c r="F4062">
        <v>171000</v>
      </c>
      <c r="G4062" t="s">
        <v>35</v>
      </c>
      <c r="H4062" t="s">
        <v>22</v>
      </c>
      <c r="I4062" t="s">
        <v>23</v>
      </c>
      <c r="J4062" t="s">
        <v>24</v>
      </c>
      <c r="K4062" s="6">
        <f t="shared" ca="1" si="260"/>
        <v>25180</v>
      </c>
      <c r="L4062">
        <v>-20581</v>
      </c>
      <c r="M4062" s="7">
        <f t="shared" ca="1" si="258"/>
        <v>56.347707049965777</v>
      </c>
      <c r="N4062" s="5" t="str">
        <f ca="1">VLOOKUP(Data!M4062,temp!$B$3:$C$9,2,1)</f>
        <v>50-60</v>
      </c>
      <c r="O4062">
        <v>-1751</v>
      </c>
      <c r="P4062" s="8">
        <f t="shared" si="259"/>
        <v>4.7939767282683095</v>
      </c>
      <c r="Q4062" s="5" t="str">
        <f t="shared" si="261"/>
        <v>Employed</v>
      </c>
      <c r="R4062">
        <v>1</v>
      </c>
      <c r="S4062">
        <v>0</v>
      </c>
      <c r="T4062">
        <v>0</v>
      </c>
      <c r="U4062">
        <v>0</v>
      </c>
      <c r="V4062" t="s">
        <v>56</v>
      </c>
      <c r="W4062">
        <v>2</v>
      </c>
    </row>
    <row r="4063" spans="1:23" x14ac:dyDescent="0.2">
      <c r="A4063">
        <v>5135908</v>
      </c>
      <c r="B4063" t="s">
        <v>18</v>
      </c>
      <c r="C4063" t="s">
        <v>19</v>
      </c>
      <c r="D4063" t="s">
        <v>20</v>
      </c>
      <c r="E4063">
        <v>0</v>
      </c>
      <c r="F4063">
        <v>135000</v>
      </c>
      <c r="G4063" t="s">
        <v>31</v>
      </c>
      <c r="H4063" t="s">
        <v>27</v>
      </c>
      <c r="I4063" t="s">
        <v>28</v>
      </c>
      <c r="J4063" t="s">
        <v>24</v>
      </c>
      <c r="K4063" s="6">
        <f t="shared" ca="1" si="260"/>
        <v>34671</v>
      </c>
      <c r="L4063">
        <v>-11090</v>
      </c>
      <c r="M4063" s="7">
        <f t="shared" ca="1" si="258"/>
        <v>30.362765229295004</v>
      </c>
      <c r="N4063" s="5" t="str">
        <f ca="1">VLOOKUP(Data!M4063,temp!$B$3:$C$9,2,1)</f>
        <v>30-40</v>
      </c>
      <c r="O4063">
        <v>-321</v>
      </c>
      <c r="P4063" s="8">
        <f t="shared" si="259"/>
        <v>0.87885010266940455</v>
      </c>
      <c r="Q4063" s="5" t="str">
        <f t="shared" si="261"/>
        <v>Employed</v>
      </c>
      <c r="R4063">
        <v>1</v>
      </c>
      <c r="S4063">
        <v>0</v>
      </c>
      <c r="T4063">
        <v>1</v>
      </c>
      <c r="U4063">
        <v>1</v>
      </c>
      <c r="V4063" t="s">
        <v>39</v>
      </c>
      <c r="W4063">
        <v>2</v>
      </c>
    </row>
    <row r="4064" spans="1:23" x14ac:dyDescent="0.2">
      <c r="A4064">
        <v>5135938</v>
      </c>
      <c r="B4064" t="s">
        <v>18</v>
      </c>
      <c r="C4064" t="s">
        <v>20</v>
      </c>
      <c r="D4064" t="s">
        <v>19</v>
      </c>
      <c r="E4064">
        <v>2</v>
      </c>
      <c r="F4064">
        <v>315000</v>
      </c>
      <c r="G4064" t="s">
        <v>31</v>
      </c>
      <c r="H4064" t="s">
        <v>27</v>
      </c>
      <c r="I4064" t="s">
        <v>28</v>
      </c>
      <c r="J4064" t="s">
        <v>24</v>
      </c>
      <c r="K4064" s="6">
        <f t="shared" ca="1" si="260"/>
        <v>30140</v>
      </c>
      <c r="L4064">
        <v>-15621</v>
      </c>
      <c r="M4064" s="7">
        <f t="shared" ca="1" si="258"/>
        <v>42.767967145790557</v>
      </c>
      <c r="N4064" s="5" t="str">
        <f ca="1">VLOOKUP(Data!M4064,temp!$B$3:$C$9,2,1)</f>
        <v>40-50</v>
      </c>
      <c r="O4064">
        <v>-3792</v>
      </c>
      <c r="P4064" s="8">
        <f t="shared" si="259"/>
        <v>10.381930184804927</v>
      </c>
      <c r="Q4064" s="5" t="str">
        <f t="shared" si="261"/>
        <v>Employed</v>
      </c>
      <c r="R4064">
        <v>1</v>
      </c>
      <c r="S4064">
        <v>0</v>
      </c>
      <c r="T4064">
        <v>0</v>
      </c>
      <c r="U4064">
        <v>0</v>
      </c>
      <c r="V4064" t="s">
        <v>39</v>
      </c>
      <c r="W4064">
        <v>4</v>
      </c>
    </row>
    <row r="4065" spans="1:23" x14ac:dyDescent="0.2">
      <c r="A4065">
        <v>5135940</v>
      </c>
      <c r="B4065" t="s">
        <v>18</v>
      </c>
      <c r="C4065" t="s">
        <v>20</v>
      </c>
      <c r="D4065" t="s">
        <v>19</v>
      </c>
      <c r="E4065">
        <v>2</v>
      </c>
      <c r="F4065">
        <v>315000</v>
      </c>
      <c r="G4065" t="s">
        <v>31</v>
      </c>
      <c r="H4065" t="s">
        <v>27</v>
      </c>
      <c r="I4065" t="s">
        <v>28</v>
      </c>
      <c r="J4065" t="s">
        <v>24</v>
      </c>
      <c r="K4065" s="6">
        <f t="shared" ca="1" si="260"/>
        <v>30140</v>
      </c>
      <c r="L4065">
        <v>-15621</v>
      </c>
      <c r="M4065" s="7">
        <f t="shared" ca="1" si="258"/>
        <v>42.767967145790557</v>
      </c>
      <c r="N4065" s="5" t="str">
        <f ca="1">VLOOKUP(Data!M4065,temp!$B$3:$C$9,2,1)</f>
        <v>40-50</v>
      </c>
      <c r="O4065">
        <v>-3792</v>
      </c>
      <c r="P4065" s="8">
        <f t="shared" si="259"/>
        <v>10.381930184804927</v>
      </c>
      <c r="Q4065" s="5" t="str">
        <f t="shared" si="261"/>
        <v>Employed</v>
      </c>
      <c r="R4065">
        <v>1</v>
      </c>
      <c r="S4065">
        <v>0</v>
      </c>
      <c r="T4065">
        <v>0</v>
      </c>
      <c r="U4065">
        <v>0</v>
      </c>
      <c r="V4065" t="s">
        <v>39</v>
      </c>
      <c r="W4065">
        <v>4</v>
      </c>
    </row>
    <row r="4066" spans="1:23" x14ac:dyDescent="0.2">
      <c r="A4066">
        <v>5135956</v>
      </c>
      <c r="B4066" t="s">
        <v>18</v>
      </c>
      <c r="C4066" t="s">
        <v>19</v>
      </c>
      <c r="D4066" t="s">
        <v>19</v>
      </c>
      <c r="E4066">
        <v>0</v>
      </c>
      <c r="F4066">
        <v>67500</v>
      </c>
      <c r="G4066" t="s">
        <v>21</v>
      </c>
      <c r="H4066" t="s">
        <v>22</v>
      </c>
      <c r="I4066" t="s">
        <v>42</v>
      </c>
      <c r="J4066" t="s">
        <v>24</v>
      </c>
      <c r="K4066" s="6">
        <f t="shared" ca="1" si="260"/>
        <v>21680</v>
      </c>
      <c r="L4066">
        <v>-24081</v>
      </c>
      <c r="M4066" s="7">
        <f t="shared" ca="1" si="258"/>
        <v>65.930184804928132</v>
      </c>
      <c r="N4066" s="5" t="str">
        <f ca="1">VLOOKUP(Data!M4066,temp!$B$3:$C$9,2,1)</f>
        <v>60-70</v>
      </c>
      <c r="O4066">
        <v>365243</v>
      </c>
      <c r="P4066" s="8">
        <f t="shared" si="259"/>
        <v>0</v>
      </c>
      <c r="Q4066" s="5" t="str">
        <f t="shared" si="261"/>
        <v>Unemployed</v>
      </c>
      <c r="R4066">
        <v>1</v>
      </c>
      <c r="S4066">
        <v>0</v>
      </c>
      <c r="T4066">
        <v>0</v>
      </c>
      <c r="U4066">
        <v>0</v>
      </c>
      <c r="W4066">
        <v>1</v>
      </c>
    </row>
    <row r="4067" spans="1:23" x14ac:dyDescent="0.2">
      <c r="A4067">
        <v>5135967</v>
      </c>
      <c r="B4067" t="s">
        <v>18</v>
      </c>
      <c r="C4067" t="s">
        <v>19</v>
      </c>
      <c r="D4067" t="s">
        <v>20</v>
      </c>
      <c r="E4067">
        <v>0</v>
      </c>
      <c r="F4067">
        <v>112500</v>
      </c>
      <c r="G4067" t="s">
        <v>21</v>
      </c>
      <c r="H4067" t="s">
        <v>27</v>
      </c>
      <c r="I4067" t="s">
        <v>37</v>
      </c>
      <c r="J4067" t="s">
        <v>24</v>
      </c>
      <c r="K4067" s="6">
        <f t="shared" ca="1" si="260"/>
        <v>22506</v>
      </c>
      <c r="L4067">
        <v>-23255</v>
      </c>
      <c r="M4067" s="7">
        <f t="shared" ca="1" si="258"/>
        <v>63.668720054757017</v>
      </c>
      <c r="N4067" s="5" t="str">
        <f ca="1">VLOOKUP(Data!M4067,temp!$B$3:$C$9,2,1)</f>
        <v>60-70</v>
      </c>
      <c r="O4067">
        <v>365243</v>
      </c>
      <c r="P4067" s="8">
        <f t="shared" si="259"/>
        <v>0</v>
      </c>
      <c r="Q4067" s="5" t="str">
        <f t="shared" si="261"/>
        <v>Unemployed</v>
      </c>
      <c r="R4067">
        <v>1</v>
      </c>
      <c r="S4067">
        <v>0</v>
      </c>
      <c r="T4067">
        <v>0</v>
      </c>
      <c r="U4067">
        <v>0</v>
      </c>
      <c r="W4067">
        <v>2</v>
      </c>
    </row>
    <row r="4068" spans="1:23" x14ac:dyDescent="0.2">
      <c r="A4068">
        <v>5135973</v>
      </c>
      <c r="B4068" t="s">
        <v>18</v>
      </c>
      <c r="C4068" t="s">
        <v>19</v>
      </c>
      <c r="D4068" t="s">
        <v>20</v>
      </c>
      <c r="E4068">
        <v>0</v>
      </c>
      <c r="F4068">
        <v>423000</v>
      </c>
      <c r="G4068" t="s">
        <v>26</v>
      </c>
      <c r="H4068" t="s">
        <v>27</v>
      </c>
      <c r="I4068" t="s">
        <v>23</v>
      </c>
      <c r="J4068" t="s">
        <v>24</v>
      </c>
      <c r="K4068" s="6">
        <f t="shared" ca="1" si="260"/>
        <v>32281</v>
      </c>
      <c r="L4068">
        <v>-13480</v>
      </c>
      <c r="M4068" s="7">
        <f t="shared" ca="1" si="258"/>
        <v>36.906228610540722</v>
      </c>
      <c r="N4068" s="5" t="str">
        <f ca="1">VLOOKUP(Data!M4068,temp!$B$3:$C$9,2,1)</f>
        <v>30-40</v>
      </c>
      <c r="O4068">
        <v>-3153</v>
      </c>
      <c r="P4068" s="8">
        <f t="shared" si="259"/>
        <v>8.6324435318275157</v>
      </c>
      <c r="Q4068" s="5" t="str">
        <f t="shared" si="261"/>
        <v>Employed</v>
      </c>
      <c r="R4068">
        <v>1</v>
      </c>
      <c r="S4068">
        <v>0</v>
      </c>
      <c r="T4068">
        <v>0</v>
      </c>
      <c r="U4068">
        <v>0</v>
      </c>
      <c r="V4068" t="s">
        <v>49</v>
      </c>
      <c r="W4068">
        <v>1</v>
      </c>
    </row>
    <row r="4069" spans="1:23" x14ac:dyDescent="0.2">
      <c r="A4069">
        <v>5135980</v>
      </c>
      <c r="B4069" t="s">
        <v>18</v>
      </c>
      <c r="C4069" t="s">
        <v>19</v>
      </c>
      <c r="D4069" t="s">
        <v>20</v>
      </c>
      <c r="E4069">
        <v>0</v>
      </c>
      <c r="F4069">
        <v>423000</v>
      </c>
      <c r="G4069" t="s">
        <v>26</v>
      </c>
      <c r="H4069" t="s">
        <v>27</v>
      </c>
      <c r="I4069" t="s">
        <v>23</v>
      </c>
      <c r="J4069" t="s">
        <v>24</v>
      </c>
      <c r="K4069" s="6">
        <f t="shared" ca="1" si="260"/>
        <v>32281</v>
      </c>
      <c r="L4069">
        <v>-13480</v>
      </c>
      <c r="M4069" s="7">
        <f t="shared" ca="1" si="258"/>
        <v>36.906228610540722</v>
      </c>
      <c r="N4069" s="5" t="str">
        <f ca="1">VLOOKUP(Data!M4069,temp!$B$3:$C$9,2,1)</f>
        <v>30-40</v>
      </c>
      <c r="O4069">
        <v>-3153</v>
      </c>
      <c r="P4069" s="8">
        <f t="shared" si="259"/>
        <v>8.6324435318275157</v>
      </c>
      <c r="Q4069" s="5" t="str">
        <f t="shared" si="261"/>
        <v>Employed</v>
      </c>
      <c r="R4069">
        <v>1</v>
      </c>
      <c r="S4069">
        <v>0</v>
      </c>
      <c r="T4069">
        <v>0</v>
      </c>
      <c r="U4069">
        <v>0</v>
      </c>
      <c r="V4069" t="s">
        <v>49</v>
      </c>
      <c r="W4069">
        <v>1</v>
      </c>
    </row>
    <row r="4070" spans="1:23" x14ac:dyDescent="0.2">
      <c r="A4070">
        <v>5136001</v>
      </c>
      <c r="B4070" t="s">
        <v>25</v>
      </c>
      <c r="C4070" t="s">
        <v>20</v>
      </c>
      <c r="D4070" t="s">
        <v>20</v>
      </c>
      <c r="E4070">
        <v>0</v>
      </c>
      <c r="F4070">
        <v>135000</v>
      </c>
      <c r="G4070" t="s">
        <v>21</v>
      </c>
      <c r="H4070" t="s">
        <v>27</v>
      </c>
      <c r="I4070" t="s">
        <v>28</v>
      </c>
      <c r="J4070" t="s">
        <v>24</v>
      </c>
      <c r="K4070" s="6">
        <f t="shared" ca="1" si="260"/>
        <v>23508</v>
      </c>
      <c r="L4070">
        <v>-22253</v>
      </c>
      <c r="M4070" s="7">
        <f t="shared" ca="1" si="258"/>
        <v>60.925393566050651</v>
      </c>
      <c r="N4070" s="5" t="str">
        <f ca="1">VLOOKUP(Data!M4070,temp!$B$3:$C$9,2,1)</f>
        <v>60-70</v>
      </c>
      <c r="O4070">
        <v>365243</v>
      </c>
      <c r="P4070" s="8">
        <f t="shared" si="259"/>
        <v>0</v>
      </c>
      <c r="Q4070" s="5" t="str">
        <f t="shared" si="261"/>
        <v>Unemployed</v>
      </c>
      <c r="R4070">
        <v>1</v>
      </c>
      <c r="S4070">
        <v>0</v>
      </c>
      <c r="T4070">
        <v>0</v>
      </c>
      <c r="U4070">
        <v>0</v>
      </c>
      <c r="W4070">
        <v>2</v>
      </c>
    </row>
    <row r="4071" spans="1:23" x14ac:dyDescent="0.2">
      <c r="A4071">
        <v>5136009</v>
      </c>
      <c r="B4071" t="s">
        <v>18</v>
      </c>
      <c r="C4071" t="s">
        <v>20</v>
      </c>
      <c r="D4071" t="s">
        <v>20</v>
      </c>
      <c r="E4071">
        <v>0</v>
      </c>
      <c r="F4071">
        <v>135000</v>
      </c>
      <c r="G4071" t="s">
        <v>21</v>
      </c>
      <c r="H4071" t="s">
        <v>27</v>
      </c>
      <c r="I4071" t="s">
        <v>42</v>
      </c>
      <c r="J4071" t="s">
        <v>24</v>
      </c>
      <c r="K4071" s="6">
        <f t="shared" ca="1" si="260"/>
        <v>23779</v>
      </c>
      <c r="L4071">
        <v>-21982</v>
      </c>
      <c r="M4071" s="7">
        <f t="shared" ca="1" si="258"/>
        <v>60.183436002737849</v>
      </c>
      <c r="N4071" s="5" t="str">
        <f ca="1">VLOOKUP(Data!M4071,temp!$B$3:$C$9,2,1)</f>
        <v>60-70</v>
      </c>
      <c r="O4071">
        <v>365243</v>
      </c>
      <c r="P4071" s="8">
        <f t="shared" si="259"/>
        <v>0</v>
      </c>
      <c r="Q4071" s="5" t="str">
        <f t="shared" si="261"/>
        <v>Unemployed</v>
      </c>
      <c r="R4071">
        <v>1</v>
      </c>
      <c r="S4071">
        <v>0</v>
      </c>
      <c r="T4071">
        <v>0</v>
      </c>
      <c r="U4071">
        <v>0</v>
      </c>
      <c r="W4071">
        <v>1</v>
      </c>
    </row>
    <row r="4072" spans="1:23" x14ac:dyDescent="0.2">
      <c r="A4072">
        <v>5136881</v>
      </c>
      <c r="B4072" t="s">
        <v>18</v>
      </c>
      <c r="C4072" t="s">
        <v>20</v>
      </c>
      <c r="D4072" t="s">
        <v>19</v>
      </c>
      <c r="E4072">
        <v>0</v>
      </c>
      <c r="F4072">
        <v>360000</v>
      </c>
      <c r="G4072" t="s">
        <v>31</v>
      </c>
      <c r="H4072" t="s">
        <v>22</v>
      </c>
      <c r="I4072" t="s">
        <v>28</v>
      </c>
      <c r="J4072" t="s">
        <v>24</v>
      </c>
      <c r="K4072" s="6">
        <f t="shared" ca="1" si="260"/>
        <v>35852</v>
      </c>
      <c r="L4072">
        <v>-9909</v>
      </c>
      <c r="M4072" s="7">
        <f t="shared" ca="1" si="258"/>
        <v>27.129363449691994</v>
      </c>
      <c r="N4072" s="5" t="str">
        <f ca="1">VLOOKUP(Data!M4072,temp!$B$3:$C$9,2,1)</f>
        <v>20-30</v>
      </c>
      <c r="O4072">
        <v>-747</v>
      </c>
      <c r="P4072" s="8">
        <f t="shared" si="259"/>
        <v>2.0451745379876796</v>
      </c>
      <c r="Q4072" s="5" t="str">
        <f t="shared" si="261"/>
        <v>Employed</v>
      </c>
      <c r="R4072">
        <v>1</v>
      </c>
      <c r="S4072">
        <v>0</v>
      </c>
      <c r="T4072">
        <v>0</v>
      </c>
      <c r="U4072">
        <v>0</v>
      </c>
      <c r="V4072" t="s">
        <v>32</v>
      </c>
      <c r="W4072">
        <v>2</v>
      </c>
    </row>
    <row r="4073" spans="1:23" x14ac:dyDescent="0.2">
      <c r="A4073">
        <v>5136904</v>
      </c>
      <c r="B4073" t="s">
        <v>18</v>
      </c>
      <c r="C4073" t="s">
        <v>19</v>
      </c>
      <c r="D4073" t="s">
        <v>19</v>
      </c>
      <c r="E4073">
        <v>0</v>
      </c>
      <c r="F4073">
        <v>90000</v>
      </c>
      <c r="G4073" t="s">
        <v>21</v>
      </c>
      <c r="H4073" t="s">
        <v>27</v>
      </c>
      <c r="I4073" t="s">
        <v>33</v>
      </c>
      <c r="J4073" t="s">
        <v>24</v>
      </c>
      <c r="K4073" s="6">
        <f t="shared" ca="1" si="260"/>
        <v>22631</v>
      </c>
      <c r="L4073">
        <v>-23130</v>
      </c>
      <c r="M4073" s="7">
        <f t="shared" ca="1" si="258"/>
        <v>63.326488706365502</v>
      </c>
      <c r="N4073" s="5" t="str">
        <f ca="1">VLOOKUP(Data!M4073,temp!$B$3:$C$9,2,1)</f>
        <v>60-70</v>
      </c>
      <c r="O4073">
        <v>365243</v>
      </c>
      <c r="P4073" s="8">
        <f t="shared" si="259"/>
        <v>0</v>
      </c>
      <c r="Q4073" s="5" t="str">
        <f t="shared" si="261"/>
        <v>Unemployed</v>
      </c>
      <c r="R4073">
        <v>1</v>
      </c>
      <c r="S4073">
        <v>0</v>
      </c>
      <c r="T4073">
        <v>1</v>
      </c>
      <c r="U4073">
        <v>0</v>
      </c>
      <c r="W4073">
        <v>1</v>
      </c>
    </row>
    <row r="4074" spans="1:23" x14ac:dyDescent="0.2">
      <c r="A4074">
        <v>5136910</v>
      </c>
      <c r="B4074" t="s">
        <v>25</v>
      </c>
      <c r="C4074" t="s">
        <v>19</v>
      </c>
      <c r="D4074" t="s">
        <v>19</v>
      </c>
      <c r="E4074">
        <v>1</v>
      </c>
      <c r="F4074">
        <v>360000</v>
      </c>
      <c r="G4074" t="s">
        <v>31</v>
      </c>
      <c r="H4074" t="s">
        <v>27</v>
      </c>
      <c r="I4074" t="s">
        <v>28</v>
      </c>
      <c r="J4074" t="s">
        <v>24</v>
      </c>
      <c r="K4074" s="6">
        <f t="shared" ca="1" si="260"/>
        <v>30517</v>
      </c>
      <c r="L4074">
        <v>-15244</v>
      </c>
      <c r="M4074" s="7">
        <f t="shared" ca="1" si="258"/>
        <v>41.735797399041751</v>
      </c>
      <c r="N4074" s="5" t="str">
        <f ca="1">VLOOKUP(Data!M4074,temp!$B$3:$C$9,2,1)</f>
        <v>40-50</v>
      </c>
      <c r="O4074">
        <v>-2908</v>
      </c>
      <c r="P4074" s="8">
        <f t="shared" si="259"/>
        <v>7.9616700889801502</v>
      </c>
      <c r="Q4074" s="5" t="str">
        <f t="shared" si="261"/>
        <v>Employed</v>
      </c>
      <c r="R4074">
        <v>1</v>
      </c>
      <c r="S4074">
        <v>1</v>
      </c>
      <c r="T4074">
        <v>0</v>
      </c>
      <c r="U4074">
        <v>1</v>
      </c>
      <c r="V4074" t="s">
        <v>32</v>
      </c>
      <c r="W4074">
        <v>3</v>
      </c>
    </row>
    <row r="4075" spans="1:23" x14ac:dyDescent="0.2">
      <c r="A4075">
        <v>5136967</v>
      </c>
      <c r="B4075" t="s">
        <v>25</v>
      </c>
      <c r="C4075" t="s">
        <v>19</v>
      </c>
      <c r="D4075" t="s">
        <v>19</v>
      </c>
      <c r="E4075">
        <v>0</v>
      </c>
      <c r="F4075">
        <v>135000</v>
      </c>
      <c r="G4075" t="s">
        <v>31</v>
      </c>
      <c r="H4075" t="s">
        <v>51</v>
      </c>
      <c r="I4075" t="s">
        <v>37</v>
      </c>
      <c r="J4075" t="s">
        <v>24</v>
      </c>
      <c r="K4075" s="6">
        <f t="shared" ca="1" si="260"/>
        <v>35765</v>
      </c>
      <c r="L4075">
        <v>-9996</v>
      </c>
      <c r="M4075" s="7">
        <f t="shared" ca="1" si="258"/>
        <v>27.367556468172484</v>
      </c>
      <c r="N4075" s="5" t="str">
        <f ca="1">VLOOKUP(Data!M4075,temp!$B$3:$C$9,2,1)</f>
        <v>20-30</v>
      </c>
      <c r="O4075">
        <v>-3395</v>
      </c>
      <c r="P4075" s="8">
        <f t="shared" si="259"/>
        <v>9.2950034223134832</v>
      </c>
      <c r="Q4075" s="5" t="str">
        <f t="shared" si="261"/>
        <v>Employed</v>
      </c>
      <c r="R4075">
        <v>1</v>
      </c>
      <c r="S4075">
        <v>0</v>
      </c>
      <c r="T4075">
        <v>1</v>
      </c>
      <c r="U4075">
        <v>0</v>
      </c>
      <c r="V4075" t="s">
        <v>48</v>
      </c>
      <c r="W4075">
        <v>2</v>
      </c>
    </row>
    <row r="4076" spans="1:23" x14ac:dyDescent="0.2">
      <c r="A4076">
        <v>5136981</v>
      </c>
      <c r="B4076" t="s">
        <v>18</v>
      </c>
      <c r="C4076" t="s">
        <v>19</v>
      </c>
      <c r="D4076" t="s">
        <v>19</v>
      </c>
      <c r="E4076">
        <v>0</v>
      </c>
      <c r="F4076">
        <v>306000</v>
      </c>
      <c r="G4076" t="s">
        <v>35</v>
      </c>
      <c r="H4076" t="s">
        <v>22</v>
      </c>
      <c r="I4076" t="s">
        <v>28</v>
      </c>
      <c r="J4076" t="s">
        <v>24</v>
      </c>
      <c r="K4076" s="6">
        <f t="shared" ca="1" si="260"/>
        <v>33084</v>
      </c>
      <c r="L4076">
        <v>-12677</v>
      </c>
      <c r="M4076" s="7">
        <f t="shared" ca="1" si="258"/>
        <v>34.70773442847365</v>
      </c>
      <c r="N4076" s="5" t="str">
        <f ca="1">VLOOKUP(Data!M4076,temp!$B$3:$C$9,2,1)</f>
        <v>30-40</v>
      </c>
      <c r="O4076">
        <v>-5587</v>
      </c>
      <c r="P4076" s="8">
        <f t="shared" si="259"/>
        <v>15.296372347707051</v>
      </c>
      <c r="Q4076" s="5" t="str">
        <f t="shared" si="261"/>
        <v>Employed</v>
      </c>
      <c r="R4076">
        <v>1</v>
      </c>
      <c r="S4076">
        <v>0</v>
      </c>
      <c r="T4076">
        <v>0</v>
      </c>
      <c r="U4076">
        <v>0</v>
      </c>
      <c r="V4076" t="s">
        <v>50</v>
      </c>
      <c r="W4076">
        <v>2</v>
      </c>
    </row>
    <row r="4077" spans="1:23" x14ac:dyDescent="0.2">
      <c r="A4077">
        <v>5136985</v>
      </c>
      <c r="B4077" t="s">
        <v>25</v>
      </c>
      <c r="C4077" t="s">
        <v>20</v>
      </c>
      <c r="D4077" t="s">
        <v>19</v>
      </c>
      <c r="E4077">
        <v>0</v>
      </c>
      <c r="F4077">
        <v>247500</v>
      </c>
      <c r="G4077" t="s">
        <v>31</v>
      </c>
      <c r="H4077" t="s">
        <v>27</v>
      </c>
      <c r="I4077" t="s">
        <v>33</v>
      </c>
      <c r="J4077" t="s">
        <v>24</v>
      </c>
      <c r="K4077" s="6">
        <f t="shared" ca="1" si="260"/>
        <v>33421</v>
      </c>
      <c r="L4077">
        <v>-12340</v>
      </c>
      <c r="M4077" s="7">
        <f t="shared" ca="1" si="258"/>
        <v>33.785078713210133</v>
      </c>
      <c r="N4077" s="5" t="str">
        <f ca="1">VLOOKUP(Data!M4077,temp!$B$3:$C$9,2,1)</f>
        <v>30-40</v>
      </c>
      <c r="O4077">
        <v>-3334</v>
      </c>
      <c r="P4077" s="8">
        <f t="shared" si="259"/>
        <v>9.1279945242984262</v>
      </c>
      <c r="Q4077" s="5" t="str">
        <f t="shared" si="261"/>
        <v>Employed</v>
      </c>
      <c r="R4077">
        <v>1</v>
      </c>
      <c r="S4077">
        <v>1</v>
      </c>
      <c r="T4077">
        <v>0</v>
      </c>
      <c r="U4077">
        <v>0</v>
      </c>
      <c r="V4077" t="s">
        <v>32</v>
      </c>
      <c r="W4077">
        <v>1</v>
      </c>
    </row>
    <row r="4078" spans="1:23" x14ac:dyDescent="0.2">
      <c r="A4078">
        <v>5137002</v>
      </c>
      <c r="B4078" t="s">
        <v>25</v>
      </c>
      <c r="C4078" t="s">
        <v>20</v>
      </c>
      <c r="D4078" t="s">
        <v>19</v>
      </c>
      <c r="E4078">
        <v>0</v>
      </c>
      <c r="F4078">
        <v>139500</v>
      </c>
      <c r="G4078" t="s">
        <v>31</v>
      </c>
      <c r="H4078" t="s">
        <v>27</v>
      </c>
      <c r="I4078" t="s">
        <v>28</v>
      </c>
      <c r="J4078" t="s">
        <v>24</v>
      </c>
      <c r="K4078" s="6">
        <f t="shared" ca="1" si="260"/>
        <v>27428</v>
      </c>
      <c r="L4078">
        <v>-18333</v>
      </c>
      <c r="M4078" s="7">
        <f t="shared" ca="1" si="258"/>
        <v>50.19301848049281</v>
      </c>
      <c r="N4078" s="5" t="str">
        <f ca="1">VLOOKUP(Data!M4078,temp!$B$3:$C$9,2,1)</f>
        <v>50-60</v>
      </c>
      <c r="O4078">
        <v>-8143</v>
      </c>
      <c r="P4078" s="8">
        <f t="shared" si="259"/>
        <v>22.2943189596167</v>
      </c>
      <c r="Q4078" s="5" t="str">
        <f t="shared" si="261"/>
        <v>Employed</v>
      </c>
      <c r="R4078">
        <v>1</v>
      </c>
      <c r="S4078">
        <v>1</v>
      </c>
      <c r="T4078">
        <v>1</v>
      </c>
      <c r="U4078">
        <v>0</v>
      </c>
      <c r="V4078" t="s">
        <v>30</v>
      </c>
      <c r="W4078">
        <v>2</v>
      </c>
    </row>
    <row r="4079" spans="1:23" x14ac:dyDescent="0.2">
      <c r="A4079">
        <v>5137008</v>
      </c>
      <c r="B4079" t="s">
        <v>18</v>
      </c>
      <c r="C4079" t="s">
        <v>20</v>
      </c>
      <c r="D4079" t="s">
        <v>19</v>
      </c>
      <c r="E4079">
        <v>0</v>
      </c>
      <c r="F4079">
        <v>90000</v>
      </c>
      <c r="G4079" t="s">
        <v>21</v>
      </c>
      <c r="H4079" t="s">
        <v>27</v>
      </c>
      <c r="I4079" t="s">
        <v>28</v>
      </c>
      <c r="J4079" t="s">
        <v>24</v>
      </c>
      <c r="K4079" s="6">
        <f t="shared" ca="1" si="260"/>
        <v>25765</v>
      </c>
      <c r="L4079">
        <v>-19996</v>
      </c>
      <c r="M4079" s="7">
        <f t="shared" ca="1" si="258"/>
        <v>54.7460643394935</v>
      </c>
      <c r="N4079" s="5" t="str">
        <f ca="1">VLOOKUP(Data!M4079,temp!$B$3:$C$9,2,1)</f>
        <v>50-60</v>
      </c>
      <c r="O4079">
        <v>365243</v>
      </c>
      <c r="P4079" s="8">
        <f t="shared" si="259"/>
        <v>0</v>
      </c>
      <c r="Q4079" s="5" t="str">
        <f t="shared" si="261"/>
        <v>Unemployed</v>
      </c>
      <c r="R4079">
        <v>1</v>
      </c>
      <c r="S4079">
        <v>0</v>
      </c>
      <c r="T4079">
        <v>0</v>
      </c>
      <c r="U4079">
        <v>0</v>
      </c>
      <c r="W4079">
        <v>2</v>
      </c>
    </row>
    <row r="4080" spans="1:23" x14ac:dyDescent="0.2">
      <c r="A4080">
        <v>5137017</v>
      </c>
      <c r="B4080" t="s">
        <v>25</v>
      </c>
      <c r="C4080" t="s">
        <v>20</v>
      </c>
      <c r="D4080" t="s">
        <v>19</v>
      </c>
      <c r="E4080">
        <v>0</v>
      </c>
      <c r="F4080">
        <v>180000</v>
      </c>
      <c r="G4080" t="s">
        <v>31</v>
      </c>
      <c r="H4080" t="s">
        <v>27</v>
      </c>
      <c r="I4080" t="s">
        <v>33</v>
      </c>
      <c r="J4080" t="s">
        <v>24</v>
      </c>
      <c r="K4080" s="6">
        <f t="shared" ca="1" si="260"/>
        <v>33960</v>
      </c>
      <c r="L4080">
        <v>-11801</v>
      </c>
      <c r="M4080" s="7">
        <f t="shared" ca="1" si="258"/>
        <v>32.309377138945926</v>
      </c>
      <c r="N4080" s="5" t="str">
        <f ca="1">VLOOKUP(Data!M4080,temp!$B$3:$C$9,2,1)</f>
        <v>30-40</v>
      </c>
      <c r="O4080">
        <v>-2877</v>
      </c>
      <c r="P4080" s="8">
        <f t="shared" si="259"/>
        <v>7.8767967145790552</v>
      </c>
      <c r="Q4080" s="5" t="str">
        <f t="shared" si="261"/>
        <v>Employed</v>
      </c>
      <c r="R4080">
        <v>1</v>
      </c>
      <c r="S4080">
        <v>1</v>
      </c>
      <c r="T4080">
        <v>0</v>
      </c>
      <c r="U4080">
        <v>0</v>
      </c>
      <c r="V4080" t="s">
        <v>30</v>
      </c>
      <c r="W4080">
        <v>1</v>
      </c>
    </row>
    <row r="4081" spans="1:23" x14ac:dyDescent="0.2">
      <c r="A4081">
        <v>5137027</v>
      </c>
      <c r="B4081" t="s">
        <v>18</v>
      </c>
      <c r="C4081" t="s">
        <v>19</v>
      </c>
      <c r="D4081" t="s">
        <v>19</v>
      </c>
      <c r="E4081">
        <v>0</v>
      </c>
      <c r="F4081">
        <v>180000</v>
      </c>
      <c r="G4081" t="s">
        <v>35</v>
      </c>
      <c r="H4081" t="s">
        <v>27</v>
      </c>
      <c r="I4081" t="s">
        <v>42</v>
      </c>
      <c r="J4081" t="s">
        <v>24</v>
      </c>
      <c r="K4081" s="6">
        <f t="shared" ca="1" si="260"/>
        <v>27580</v>
      </c>
      <c r="L4081">
        <v>-18181</v>
      </c>
      <c r="M4081" s="7">
        <f t="shared" ca="1" si="258"/>
        <v>49.776865160848736</v>
      </c>
      <c r="N4081" s="5" t="str">
        <f ca="1">VLOOKUP(Data!M4081,temp!$B$3:$C$9,2,1)</f>
        <v>40-50</v>
      </c>
      <c r="O4081">
        <v>-351</v>
      </c>
      <c r="P4081" s="8">
        <f t="shared" si="259"/>
        <v>0.96098562628336759</v>
      </c>
      <c r="Q4081" s="5" t="str">
        <f t="shared" si="261"/>
        <v>Employed</v>
      </c>
      <c r="R4081">
        <v>1</v>
      </c>
      <c r="S4081">
        <v>1</v>
      </c>
      <c r="T4081">
        <v>1</v>
      </c>
      <c r="U4081">
        <v>0</v>
      </c>
      <c r="V4081" t="s">
        <v>29</v>
      </c>
      <c r="W4081">
        <v>1</v>
      </c>
    </row>
    <row r="4082" spans="1:23" x14ac:dyDescent="0.2">
      <c r="A4082">
        <v>5137028</v>
      </c>
      <c r="B4082" t="s">
        <v>25</v>
      </c>
      <c r="C4082" t="s">
        <v>19</v>
      </c>
      <c r="D4082" t="s">
        <v>19</v>
      </c>
      <c r="E4082">
        <v>0</v>
      </c>
      <c r="F4082">
        <v>180000</v>
      </c>
      <c r="G4082" t="s">
        <v>31</v>
      </c>
      <c r="H4082" t="s">
        <v>27</v>
      </c>
      <c r="I4082" t="s">
        <v>28</v>
      </c>
      <c r="J4082" t="s">
        <v>24</v>
      </c>
      <c r="K4082" s="6">
        <f t="shared" ca="1" si="260"/>
        <v>25911</v>
      </c>
      <c r="L4082">
        <v>-19850</v>
      </c>
      <c r="M4082" s="7">
        <f t="shared" ca="1" si="258"/>
        <v>54.346338124572213</v>
      </c>
      <c r="N4082" s="5" t="str">
        <f ca="1">VLOOKUP(Data!M4082,temp!$B$3:$C$9,2,1)</f>
        <v>50-60</v>
      </c>
      <c r="O4082">
        <v>-1753</v>
      </c>
      <c r="P4082" s="8">
        <f t="shared" si="259"/>
        <v>4.7994524298425736</v>
      </c>
      <c r="Q4082" s="5" t="str">
        <f t="shared" si="261"/>
        <v>Employed</v>
      </c>
      <c r="R4082">
        <v>1</v>
      </c>
      <c r="S4082">
        <v>0</v>
      </c>
      <c r="T4082">
        <v>1</v>
      </c>
      <c r="U4082">
        <v>0</v>
      </c>
      <c r="W4082">
        <v>2</v>
      </c>
    </row>
    <row r="4083" spans="1:23" x14ac:dyDescent="0.2">
      <c r="A4083">
        <v>5137042</v>
      </c>
      <c r="B4083" t="s">
        <v>18</v>
      </c>
      <c r="C4083" t="s">
        <v>19</v>
      </c>
      <c r="D4083" t="s">
        <v>19</v>
      </c>
      <c r="E4083">
        <v>0</v>
      </c>
      <c r="F4083">
        <v>103500</v>
      </c>
      <c r="G4083" t="s">
        <v>21</v>
      </c>
      <c r="H4083" t="s">
        <v>27</v>
      </c>
      <c r="I4083" t="s">
        <v>28</v>
      </c>
      <c r="J4083" t="s">
        <v>24</v>
      </c>
      <c r="K4083" s="6">
        <f t="shared" ca="1" si="260"/>
        <v>25638</v>
      </c>
      <c r="L4083">
        <v>-20123</v>
      </c>
      <c r="M4083" s="7">
        <f t="shared" ca="1" si="258"/>
        <v>55.093771389459278</v>
      </c>
      <c r="N4083" s="5" t="str">
        <f ca="1">VLOOKUP(Data!M4083,temp!$B$3:$C$9,2,1)</f>
        <v>50-60</v>
      </c>
      <c r="O4083">
        <v>365243</v>
      </c>
      <c r="P4083" s="8">
        <f t="shared" si="259"/>
        <v>0</v>
      </c>
      <c r="Q4083" s="5" t="str">
        <f t="shared" si="261"/>
        <v>Unemployed</v>
      </c>
      <c r="R4083">
        <v>1</v>
      </c>
      <c r="S4083">
        <v>0</v>
      </c>
      <c r="T4083">
        <v>0</v>
      </c>
      <c r="U4083">
        <v>0</v>
      </c>
      <c r="W4083">
        <v>2</v>
      </c>
    </row>
    <row r="4084" spans="1:23" x14ac:dyDescent="0.2">
      <c r="A4084">
        <v>5137058</v>
      </c>
      <c r="B4084" t="s">
        <v>25</v>
      </c>
      <c r="C4084" t="s">
        <v>20</v>
      </c>
      <c r="D4084" t="s">
        <v>19</v>
      </c>
      <c r="E4084">
        <v>0</v>
      </c>
      <c r="F4084">
        <v>87448.5</v>
      </c>
      <c r="G4084" t="s">
        <v>31</v>
      </c>
      <c r="H4084" t="s">
        <v>27</v>
      </c>
      <c r="I4084" t="s">
        <v>28</v>
      </c>
      <c r="J4084" t="s">
        <v>24</v>
      </c>
      <c r="K4084" s="6">
        <f t="shared" ca="1" si="260"/>
        <v>33727</v>
      </c>
      <c r="L4084">
        <v>-12034</v>
      </c>
      <c r="M4084" s="7">
        <f t="shared" ca="1" si="258"/>
        <v>32.947296372347708</v>
      </c>
      <c r="N4084" s="5" t="str">
        <f ca="1">VLOOKUP(Data!M4084,temp!$B$3:$C$9,2,1)</f>
        <v>30-40</v>
      </c>
      <c r="O4084">
        <v>-139</v>
      </c>
      <c r="P4084" s="8">
        <f t="shared" si="259"/>
        <v>0.3805612594113621</v>
      </c>
      <c r="Q4084" s="5" t="str">
        <f t="shared" si="261"/>
        <v>Employed</v>
      </c>
      <c r="R4084">
        <v>1</v>
      </c>
      <c r="S4084">
        <v>1</v>
      </c>
      <c r="T4084">
        <v>0</v>
      </c>
      <c r="U4084">
        <v>0</v>
      </c>
      <c r="W4084">
        <v>2</v>
      </c>
    </row>
    <row r="4085" spans="1:23" x14ac:dyDescent="0.2">
      <c r="A4085">
        <v>5137077</v>
      </c>
      <c r="B4085" t="s">
        <v>25</v>
      </c>
      <c r="C4085" t="s">
        <v>20</v>
      </c>
      <c r="D4085" t="s">
        <v>19</v>
      </c>
      <c r="E4085">
        <v>1</v>
      </c>
      <c r="F4085">
        <v>315000</v>
      </c>
      <c r="G4085" t="s">
        <v>26</v>
      </c>
      <c r="H4085" t="s">
        <v>22</v>
      </c>
      <c r="I4085" t="s">
        <v>28</v>
      </c>
      <c r="J4085" t="s">
        <v>41</v>
      </c>
      <c r="K4085" s="6">
        <f t="shared" ca="1" si="260"/>
        <v>34072</v>
      </c>
      <c r="L4085">
        <v>-11689</v>
      </c>
      <c r="M4085" s="7">
        <f t="shared" ca="1" si="258"/>
        <v>32.002737850787135</v>
      </c>
      <c r="N4085" s="5" t="str">
        <f ca="1">VLOOKUP(Data!M4085,temp!$B$3:$C$9,2,1)</f>
        <v>30-40</v>
      </c>
      <c r="O4085">
        <v>-716</v>
      </c>
      <c r="P4085" s="8">
        <f t="shared" si="259"/>
        <v>1.9603011635865846</v>
      </c>
      <c r="Q4085" s="5" t="str">
        <f t="shared" si="261"/>
        <v>Employed</v>
      </c>
      <c r="R4085">
        <v>1</v>
      </c>
      <c r="S4085">
        <v>1</v>
      </c>
      <c r="T4085">
        <v>1</v>
      </c>
      <c r="U4085">
        <v>0</v>
      </c>
      <c r="V4085" t="s">
        <v>47</v>
      </c>
      <c r="W4085">
        <v>3</v>
      </c>
    </row>
    <row r="4086" spans="1:23" x14ac:dyDescent="0.2">
      <c r="A4086">
        <v>5137079</v>
      </c>
      <c r="B4086" t="s">
        <v>25</v>
      </c>
      <c r="C4086" t="s">
        <v>20</v>
      </c>
      <c r="D4086" t="s">
        <v>19</v>
      </c>
      <c r="E4086">
        <v>1</v>
      </c>
      <c r="F4086">
        <v>315000</v>
      </c>
      <c r="G4086" t="s">
        <v>26</v>
      </c>
      <c r="H4086" t="s">
        <v>22</v>
      </c>
      <c r="I4086" t="s">
        <v>28</v>
      </c>
      <c r="J4086" t="s">
        <v>41</v>
      </c>
      <c r="K4086" s="6">
        <f t="shared" ca="1" si="260"/>
        <v>34072</v>
      </c>
      <c r="L4086">
        <v>-11689</v>
      </c>
      <c r="M4086" s="7">
        <f t="shared" ca="1" si="258"/>
        <v>32.002737850787135</v>
      </c>
      <c r="N4086" s="5" t="str">
        <f ca="1">VLOOKUP(Data!M4086,temp!$B$3:$C$9,2,1)</f>
        <v>30-40</v>
      </c>
      <c r="O4086">
        <v>-716</v>
      </c>
      <c r="P4086" s="8">
        <f t="shared" si="259"/>
        <v>1.9603011635865846</v>
      </c>
      <c r="Q4086" s="5" t="str">
        <f t="shared" si="261"/>
        <v>Employed</v>
      </c>
      <c r="R4086">
        <v>1</v>
      </c>
      <c r="S4086">
        <v>1</v>
      </c>
      <c r="T4086">
        <v>1</v>
      </c>
      <c r="U4086">
        <v>0</v>
      </c>
      <c r="V4086" t="s">
        <v>47</v>
      </c>
      <c r="W4086">
        <v>3</v>
      </c>
    </row>
    <row r="4087" spans="1:23" x14ac:dyDescent="0.2">
      <c r="A4087">
        <v>5137087</v>
      </c>
      <c r="B4087" t="s">
        <v>25</v>
      </c>
      <c r="C4087" t="s">
        <v>20</v>
      </c>
      <c r="D4087" t="s">
        <v>19</v>
      </c>
      <c r="E4087">
        <v>1</v>
      </c>
      <c r="F4087">
        <v>180000</v>
      </c>
      <c r="G4087" t="s">
        <v>26</v>
      </c>
      <c r="H4087" t="s">
        <v>27</v>
      </c>
      <c r="I4087" t="s">
        <v>28</v>
      </c>
      <c r="J4087" t="s">
        <v>24</v>
      </c>
      <c r="K4087" s="6">
        <f t="shared" ca="1" si="260"/>
        <v>31195</v>
      </c>
      <c r="L4087">
        <v>-14566</v>
      </c>
      <c r="M4087" s="7">
        <f t="shared" ca="1" si="258"/>
        <v>39.879534565366185</v>
      </c>
      <c r="N4087" s="5" t="str">
        <f ca="1">VLOOKUP(Data!M4087,temp!$B$3:$C$9,2,1)</f>
        <v>30-40</v>
      </c>
      <c r="O4087">
        <v>-292</v>
      </c>
      <c r="P4087" s="8">
        <f t="shared" si="259"/>
        <v>0.79945242984257359</v>
      </c>
      <c r="Q4087" s="5" t="str">
        <f t="shared" si="261"/>
        <v>Employed</v>
      </c>
      <c r="R4087">
        <v>1</v>
      </c>
      <c r="S4087">
        <v>1</v>
      </c>
      <c r="T4087">
        <v>0</v>
      </c>
      <c r="U4087">
        <v>0</v>
      </c>
      <c r="V4087" t="s">
        <v>29</v>
      </c>
      <c r="W4087">
        <v>3</v>
      </c>
    </row>
    <row r="4088" spans="1:23" x14ac:dyDescent="0.2">
      <c r="A4088">
        <v>5137104</v>
      </c>
      <c r="B4088" t="s">
        <v>18</v>
      </c>
      <c r="C4088" t="s">
        <v>20</v>
      </c>
      <c r="D4088" t="s">
        <v>19</v>
      </c>
      <c r="E4088">
        <v>0</v>
      </c>
      <c r="F4088">
        <v>360000</v>
      </c>
      <c r="G4088" t="s">
        <v>35</v>
      </c>
      <c r="H4088" t="s">
        <v>27</v>
      </c>
      <c r="I4088" t="s">
        <v>28</v>
      </c>
      <c r="J4088" t="s">
        <v>24</v>
      </c>
      <c r="K4088" s="6">
        <f t="shared" ca="1" si="260"/>
        <v>27184</v>
      </c>
      <c r="L4088">
        <v>-18577</v>
      </c>
      <c r="M4088" s="7">
        <f t="shared" ca="1" si="258"/>
        <v>50.861054072553046</v>
      </c>
      <c r="N4088" s="5" t="str">
        <f ca="1">VLOOKUP(Data!M4088,temp!$B$3:$C$9,2,1)</f>
        <v>50-60</v>
      </c>
      <c r="O4088">
        <v>-108</v>
      </c>
      <c r="P4088" s="8">
        <f t="shared" si="259"/>
        <v>0.29568788501026694</v>
      </c>
      <c r="Q4088" s="5" t="str">
        <f t="shared" si="261"/>
        <v>Employed</v>
      </c>
      <c r="R4088">
        <v>1</v>
      </c>
      <c r="S4088">
        <v>1</v>
      </c>
      <c r="T4088">
        <v>1</v>
      </c>
      <c r="U4088">
        <v>0</v>
      </c>
      <c r="V4088" t="s">
        <v>50</v>
      </c>
      <c r="W4088">
        <v>2</v>
      </c>
    </row>
    <row r="4089" spans="1:23" x14ac:dyDescent="0.2">
      <c r="A4089">
        <v>5137116</v>
      </c>
      <c r="B4089" t="s">
        <v>18</v>
      </c>
      <c r="C4089" t="s">
        <v>20</v>
      </c>
      <c r="D4089" t="s">
        <v>19</v>
      </c>
      <c r="E4089">
        <v>0</v>
      </c>
      <c r="F4089">
        <v>337500</v>
      </c>
      <c r="G4089" t="s">
        <v>26</v>
      </c>
      <c r="H4089" t="s">
        <v>22</v>
      </c>
      <c r="I4089" t="s">
        <v>28</v>
      </c>
      <c r="J4089" t="s">
        <v>24</v>
      </c>
      <c r="K4089" s="6">
        <f t="shared" ca="1" si="260"/>
        <v>32935</v>
      </c>
      <c r="L4089">
        <v>-12826</v>
      </c>
      <c r="M4089" s="7">
        <f t="shared" ca="1" si="258"/>
        <v>35.115674195756334</v>
      </c>
      <c r="N4089" s="5" t="str">
        <f ca="1">VLOOKUP(Data!M4089,temp!$B$3:$C$9,2,1)</f>
        <v>30-40</v>
      </c>
      <c r="O4089">
        <v>-5099</v>
      </c>
      <c r="P4089" s="8">
        <f t="shared" si="259"/>
        <v>13.960301163586584</v>
      </c>
      <c r="Q4089" s="5" t="str">
        <f t="shared" si="261"/>
        <v>Employed</v>
      </c>
      <c r="R4089">
        <v>1</v>
      </c>
      <c r="S4089">
        <v>1</v>
      </c>
      <c r="T4089">
        <v>1</v>
      </c>
      <c r="U4089">
        <v>0</v>
      </c>
      <c r="W4089">
        <v>2</v>
      </c>
    </row>
    <row r="4090" spans="1:23" x14ac:dyDescent="0.2">
      <c r="A4090">
        <v>5137146</v>
      </c>
      <c r="B4090" t="s">
        <v>25</v>
      </c>
      <c r="C4090" t="s">
        <v>20</v>
      </c>
      <c r="D4090" t="s">
        <v>19</v>
      </c>
      <c r="E4090">
        <v>2</v>
      </c>
      <c r="F4090">
        <v>292500</v>
      </c>
      <c r="G4090" t="s">
        <v>26</v>
      </c>
      <c r="H4090" t="s">
        <v>27</v>
      </c>
      <c r="I4090" t="s">
        <v>28</v>
      </c>
      <c r="J4090" t="s">
        <v>24</v>
      </c>
      <c r="K4090" s="6">
        <f t="shared" ca="1" si="260"/>
        <v>31091</v>
      </c>
      <c r="L4090">
        <v>-14670</v>
      </c>
      <c r="M4090" s="7">
        <f t="shared" ca="1" si="258"/>
        <v>40.164271047227928</v>
      </c>
      <c r="N4090" s="5" t="str">
        <f ca="1">VLOOKUP(Data!M4090,temp!$B$3:$C$9,2,1)</f>
        <v>40-50</v>
      </c>
      <c r="O4090">
        <v>-6957</v>
      </c>
      <c r="P4090" s="8">
        <f t="shared" si="259"/>
        <v>19.04722792607803</v>
      </c>
      <c r="Q4090" s="5" t="str">
        <f t="shared" si="261"/>
        <v>Employed</v>
      </c>
      <c r="R4090">
        <v>1</v>
      </c>
      <c r="S4090">
        <v>0</v>
      </c>
      <c r="T4090">
        <v>1</v>
      </c>
      <c r="U4090">
        <v>0</v>
      </c>
      <c r="W4090">
        <v>4</v>
      </c>
    </row>
    <row r="4091" spans="1:23" x14ac:dyDescent="0.2">
      <c r="A4091">
        <v>5137149</v>
      </c>
      <c r="B4091" t="s">
        <v>18</v>
      </c>
      <c r="C4091" t="s">
        <v>19</v>
      </c>
      <c r="D4091" t="s">
        <v>19</v>
      </c>
      <c r="E4091">
        <v>0</v>
      </c>
      <c r="F4091">
        <v>225000</v>
      </c>
      <c r="G4091" t="s">
        <v>21</v>
      </c>
      <c r="H4091" t="s">
        <v>27</v>
      </c>
      <c r="I4091" t="s">
        <v>28</v>
      </c>
      <c r="J4091" t="s">
        <v>24</v>
      </c>
      <c r="K4091" s="6">
        <f t="shared" ca="1" si="260"/>
        <v>25332</v>
      </c>
      <c r="L4091">
        <v>-20429</v>
      </c>
      <c r="M4091" s="7">
        <f t="shared" ca="1" si="258"/>
        <v>55.931553730321696</v>
      </c>
      <c r="N4091" s="5" t="str">
        <f ca="1">VLOOKUP(Data!M4091,temp!$B$3:$C$9,2,1)</f>
        <v>50-60</v>
      </c>
      <c r="O4091">
        <v>365243</v>
      </c>
      <c r="P4091" s="8">
        <f t="shared" si="259"/>
        <v>0</v>
      </c>
      <c r="Q4091" s="5" t="str">
        <f t="shared" si="261"/>
        <v>Unemployed</v>
      </c>
      <c r="R4091">
        <v>1</v>
      </c>
      <c r="S4091">
        <v>0</v>
      </c>
      <c r="T4091">
        <v>1</v>
      </c>
      <c r="U4091">
        <v>0</v>
      </c>
      <c r="W4091">
        <v>2</v>
      </c>
    </row>
    <row r="4092" spans="1:23" x14ac:dyDescent="0.2">
      <c r="A4092">
        <v>5137184</v>
      </c>
      <c r="B4092" t="s">
        <v>18</v>
      </c>
      <c r="C4092" t="s">
        <v>20</v>
      </c>
      <c r="D4092" t="s">
        <v>19</v>
      </c>
      <c r="E4092">
        <v>0</v>
      </c>
      <c r="F4092">
        <v>67500</v>
      </c>
      <c r="G4092" t="s">
        <v>31</v>
      </c>
      <c r="H4092" t="s">
        <v>27</v>
      </c>
      <c r="I4092" t="s">
        <v>28</v>
      </c>
      <c r="J4092" t="s">
        <v>24</v>
      </c>
      <c r="K4092" s="6">
        <f t="shared" ca="1" si="260"/>
        <v>34356</v>
      </c>
      <c r="L4092">
        <v>-11405</v>
      </c>
      <c r="M4092" s="7">
        <f t="shared" ca="1" si="258"/>
        <v>31.225188227241617</v>
      </c>
      <c r="N4092" s="5" t="str">
        <f ca="1">VLOOKUP(Data!M4092,temp!$B$3:$C$9,2,1)</f>
        <v>30-40</v>
      </c>
      <c r="O4092">
        <v>-1934</v>
      </c>
      <c r="P4092" s="8">
        <f t="shared" si="259"/>
        <v>5.2950034223134841</v>
      </c>
      <c r="Q4092" s="5" t="str">
        <f t="shared" si="261"/>
        <v>Employed</v>
      </c>
      <c r="R4092">
        <v>1</v>
      </c>
      <c r="S4092">
        <v>1</v>
      </c>
      <c r="T4092">
        <v>0</v>
      </c>
      <c r="U4092">
        <v>0</v>
      </c>
      <c r="W4092">
        <v>2</v>
      </c>
    </row>
    <row r="4093" spans="1:23" x14ac:dyDescent="0.2">
      <c r="A4093">
        <v>5137190</v>
      </c>
      <c r="B4093" t="s">
        <v>18</v>
      </c>
      <c r="C4093" t="s">
        <v>20</v>
      </c>
      <c r="D4093" t="s">
        <v>19</v>
      </c>
      <c r="E4093">
        <v>0</v>
      </c>
      <c r="F4093">
        <v>45000</v>
      </c>
      <c r="G4093" t="s">
        <v>21</v>
      </c>
      <c r="H4093" t="s">
        <v>27</v>
      </c>
      <c r="I4093" t="s">
        <v>28</v>
      </c>
      <c r="J4093" t="s">
        <v>24</v>
      </c>
      <c r="K4093" s="6">
        <f t="shared" ca="1" si="260"/>
        <v>24379</v>
      </c>
      <c r="L4093">
        <v>-21382</v>
      </c>
      <c r="M4093" s="7">
        <f t="shared" ca="1" si="258"/>
        <v>58.540725530458587</v>
      </c>
      <c r="N4093" s="5" t="str">
        <f ca="1">VLOOKUP(Data!M4093,temp!$B$3:$C$9,2,1)</f>
        <v>50-60</v>
      </c>
      <c r="O4093">
        <v>365243</v>
      </c>
      <c r="P4093" s="8">
        <f t="shared" si="259"/>
        <v>0</v>
      </c>
      <c r="Q4093" s="5" t="str">
        <f t="shared" si="261"/>
        <v>Unemployed</v>
      </c>
      <c r="R4093">
        <v>1</v>
      </c>
      <c r="S4093">
        <v>0</v>
      </c>
      <c r="T4093">
        <v>0</v>
      </c>
      <c r="U4093">
        <v>0</v>
      </c>
      <c r="W4093">
        <v>2</v>
      </c>
    </row>
    <row r="4094" spans="1:23" x14ac:dyDescent="0.2">
      <c r="A4094">
        <v>5137198</v>
      </c>
      <c r="B4094" t="s">
        <v>25</v>
      </c>
      <c r="C4094" t="s">
        <v>20</v>
      </c>
      <c r="D4094" t="s">
        <v>19</v>
      </c>
      <c r="E4094">
        <v>0</v>
      </c>
      <c r="F4094">
        <v>90000</v>
      </c>
      <c r="G4094" t="s">
        <v>31</v>
      </c>
      <c r="H4094" t="s">
        <v>27</v>
      </c>
      <c r="I4094" t="s">
        <v>28</v>
      </c>
      <c r="J4094" t="s">
        <v>24</v>
      </c>
      <c r="K4094" s="6">
        <f t="shared" ca="1" si="260"/>
        <v>30196</v>
      </c>
      <c r="L4094">
        <v>-15565</v>
      </c>
      <c r="M4094" s="7">
        <f t="shared" ca="1" si="258"/>
        <v>42.614647501711154</v>
      </c>
      <c r="N4094" s="5" t="str">
        <f ca="1">VLOOKUP(Data!M4094,temp!$B$3:$C$9,2,1)</f>
        <v>40-50</v>
      </c>
      <c r="O4094">
        <v>-4004</v>
      </c>
      <c r="P4094" s="8">
        <f t="shared" si="259"/>
        <v>10.962354551676933</v>
      </c>
      <c r="Q4094" s="5" t="str">
        <f t="shared" si="261"/>
        <v>Employed</v>
      </c>
      <c r="R4094">
        <v>1</v>
      </c>
      <c r="S4094">
        <v>1</v>
      </c>
      <c r="T4094">
        <v>1</v>
      </c>
      <c r="U4094">
        <v>0</v>
      </c>
      <c r="W4094">
        <v>2</v>
      </c>
    </row>
    <row r="4095" spans="1:23" x14ac:dyDescent="0.2">
      <c r="A4095">
        <v>5137204</v>
      </c>
      <c r="B4095" t="s">
        <v>25</v>
      </c>
      <c r="C4095" t="s">
        <v>19</v>
      </c>
      <c r="D4095" t="s">
        <v>19</v>
      </c>
      <c r="E4095">
        <v>0</v>
      </c>
      <c r="F4095">
        <v>90000</v>
      </c>
      <c r="G4095" t="s">
        <v>31</v>
      </c>
      <c r="H4095" t="s">
        <v>27</v>
      </c>
      <c r="I4095" t="s">
        <v>33</v>
      </c>
      <c r="J4095" t="s">
        <v>41</v>
      </c>
      <c r="K4095" s="6">
        <f t="shared" ca="1" si="260"/>
        <v>35861</v>
      </c>
      <c r="L4095">
        <v>-9900</v>
      </c>
      <c r="M4095" s="7">
        <f t="shared" ca="1" si="258"/>
        <v>27.104722792607802</v>
      </c>
      <c r="N4095" s="5" t="str">
        <f ca="1">VLOOKUP(Data!M4095,temp!$B$3:$C$9,2,1)</f>
        <v>20-30</v>
      </c>
      <c r="O4095">
        <v>-170</v>
      </c>
      <c r="P4095" s="8">
        <f t="shared" si="259"/>
        <v>0.4654346338124572</v>
      </c>
      <c r="Q4095" s="5" t="str">
        <f t="shared" si="261"/>
        <v>Employed</v>
      </c>
      <c r="R4095">
        <v>1</v>
      </c>
      <c r="S4095">
        <v>1</v>
      </c>
      <c r="T4095">
        <v>0</v>
      </c>
      <c r="U4095">
        <v>0</v>
      </c>
      <c r="V4095" t="s">
        <v>30</v>
      </c>
      <c r="W4095">
        <v>1</v>
      </c>
    </row>
    <row r="4096" spans="1:23" x14ac:dyDescent="0.2">
      <c r="A4096">
        <v>5137226</v>
      </c>
      <c r="B4096" t="s">
        <v>18</v>
      </c>
      <c r="C4096" t="s">
        <v>19</v>
      </c>
      <c r="D4096" t="s">
        <v>19</v>
      </c>
      <c r="E4096">
        <v>0</v>
      </c>
      <c r="F4096">
        <v>180000</v>
      </c>
      <c r="G4096" t="s">
        <v>31</v>
      </c>
      <c r="H4096" t="s">
        <v>22</v>
      </c>
      <c r="I4096" t="s">
        <v>28</v>
      </c>
      <c r="J4096" t="s">
        <v>24</v>
      </c>
      <c r="K4096" s="6">
        <f t="shared" ca="1" si="260"/>
        <v>34893</v>
      </c>
      <c r="L4096">
        <v>-10868</v>
      </c>
      <c r="M4096" s="7">
        <f t="shared" ca="1" si="258"/>
        <v>29.754962354551676</v>
      </c>
      <c r="N4096" s="5" t="str">
        <f ca="1">VLOOKUP(Data!M4096,temp!$B$3:$C$9,2,1)</f>
        <v>20-30</v>
      </c>
      <c r="O4096">
        <v>-1266</v>
      </c>
      <c r="P4096" s="8">
        <f t="shared" si="259"/>
        <v>3.4661190965092401</v>
      </c>
      <c r="Q4096" s="5" t="str">
        <f t="shared" si="261"/>
        <v>Employed</v>
      </c>
      <c r="R4096">
        <v>1</v>
      </c>
      <c r="S4096">
        <v>1</v>
      </c>
      <c r="T4096">
        <v>1</v>
      </c>
      <c r="U4096">
        <v>1</v>
      </c>
      <c r="V4096" t="s">
        <v>44</v>
      </c>
      <c r="W4096">
        <v>2</v>
      </c>
    </row>
    <row r="4097" spans="1:23" x14ac:dyDescent="0.2">
      <c r="A4097">
        <v>5137228</v>
      </c>
      <c r="B4097" t="s">
        <v>18</v>
      </c>
      <c r="C4097" t="s">
        <v>19</v>
      </c>
      <c r="D4097" t="s">
        <v>19</v>
      </c>
      <c r="E4097">
        <v>0</v>
      </c>
      <c r="F4097">
        <v>180000</v>
      </c>
      <c r="G4097" t="s">
        <v>31</v>
      </c>
      <c r="H4097" t="s">
        <v>22</v>
      </c>
      <c r="I4097" t="s">
        <v>28</v>
      </c>
      <c r="J4097" t="s">
        <v>24</v>
      </c>
      <c r="K4097" s="6">
        <f t="shared" ca="1" si="260"/>
        <v>34893</v>
      </c>
      <c r="L4097">
        <v>-10868</v>
      </c>
      <c r="M4097" s="7">
        <f t="shared" ca="1" si="258"/>
        <v>29.754962354551676</v>
      </c>
      <c r="N4097" s="5" t="str">
        <f ca="1">VLOOKUP(Data!M4097,temp!$B$3:$C$9,2,1)</f>
        <v>20-30</v>
      </c>
      <c r="O4097">
        <v>-1266</v>
      </c>
      <c r="P4097" s="8">
        <f t="shared" si="259"/>
        <v>3.4661190965092401</v>
      </c>
      <c r="Q4097" s="5" t="str">
        <f t="shared" si="261"/>
        <v>Employed</v>
      </c>
      <c r="R4097">
        <v>1</v>
      </c>
      <c r="S4097">
        <v>1</v>
      </c>
      <c r="T4097">
        <v>1</v>
      </c>
      <c r="U4097">
        <v>1</v>
      </c>
      <c r="V4097" t="s">
        <v>44</v>
      </c>
      <c r="W4097">
        <v>2</v>
      </c>
    </row>
    <row r="4098" spans="1:23" x14ac:dyDescent="0.2">
      <c r="A4098">
        <v>5137234</v>
      </c>
      <c r="B4098" t="s">
        <v>25</v>
      </c>
      <c r="C4098" t="s">
        <v>20</v>
      </c>
      <c r="D4098" t="s">
        <v>19</v>
      </c>
      <c r="E4098">
        <v>0</v>
      </c>
      <c r="F4098">
        <v>180000</v>
      </c>
      <c r="G4098" t="s">
        <v>26</v>
      </c>
      <c r="H4098" t="s">
        <v>27</v>
      </c>
      <c r="I4098" t="s">
        <v>28</v>
      </c>
      <c r="J4098" t="s">
        <v>45</v>
      </c>
      <c r="K4098" s="6">
        <f t="shared" ca="1" si="260"/>
        <v>31677</v>
      </c>
      <c r="L4098">
        <v>-14084</v>
      </c>
      <c r="M4098" s="7">
        <f t="shared" ca="1" si="258"/>
        <v>38.559890485968516</v>
      </c>
      <c r="N4098" s="5" t="str">
        <f ca="1">VLOOKUP(Data!M4098,temp!$B$3:$C$9,2,1)</f>
        <v>30-40</v>
      </c>
      <c r="O4098">
        <v>-2696</v>
      </c>
      <c r="P4098" s="8">
        <f t="shared" si="259"/>
        <v>7.3812457221081447</v>
      </c>
      <c r="Q4098" s="5" t="str">
        <f t="shared" si="261"/>
        <v>Employed</v>
      </c>
      <c r="R4098">
        <v>1</v>
      </c>
      <c r="S4098">
        <v>1</v>
      </c>
      <c r="T4098">
        <v>0</v>
      </c>
      <c r="U4098">
        <v>0</v>
      </c>
      <c r="V4098" t="s">
        <v>30</v>
      </c>
      <c r="W4098">
        <v>2</v>
      </c>
    </row>
    <row r="4099" spans="1:23" x14ac:dyDescent="0.2">
      <c r="A4099">
        <v>5137236</v>
      </c>
      <c r="B4099" t="s">
        <v>18</v>
      </c>
      <c r="C4099" t="s">
        <v>19</v>
      </c>
      <c r="D4099" t="s">
        <v>19</v>
      </c>
      <c r="E4099">
        <v>1</v>
      </c>
      <c r="F4099">
        <v>225000</v>
      </c>
      <c r="G4099" t="s">
        <v>31</v>
      </c>
      <c r="H4099" t="s">
        <v>22</v>
      </c>
      <c r="I4099" t="s">
        <v>28</v>
      </c>
      <c r="J4099" t="s">
        <v>24</v>
      </c>
      <c r="K4099" s="6">
        <f t="shared" ca="1" si="260"/>
        <v>35253</v>
      </c>
      <c r="L4099">
        <v>-10508</v>
      </c>
      <c r="M4099" s="7">
        <f t="shared" ref="M4099:M4162" ca="1" si="262">(TODAY()-K4099)/365.25</f>
        <v>28.769336071184121</v>
      </c>
      <c r="N4099" s="5" t="str">
        <f ca="1">VLOOKUP(Data!M4099,temp!$B$3:$C$9,2,1)</f>
        <v>20-30</v>
      </c>
      <c r="O4099">
        <v>-1631</v>
      </c>
      <c r="P4099" s="8">
        <f t="shared" ref="P4099:P4162" si="263">IF(O4099&lt;=0,ABS(O4099)/365.25,0)</f>
        <v>4.4654346338124569</v>
      </c>
      <c r="Q4099" s="5" t="str">
        <f t="shared" si="261"/>
        <v>Employed</v>
      </c>
      <c r="R4099">
        <v>1</v>
      </c>
      <c r="S4099">
        <v>0</v>
      </c>
      <c r="T4099">
        <v>0</v>
      </c>
      <c r="U4099">
        <v>0</v>
      </c>
      <c r="V4099" t="s">
        <v>38</v>
      </c>
      <c r="W4099">
        <v>3</v>
      </c>
    </row>
    <row r="4100" spans="1:23" x14ac:dyDescent="0.2">
      <c r="A4100">
        <v>5137249</v>
      </c>
      <c r="B4100" t="s">
        <v>25</v>
      </c>
      <c r="C4100" t="s">
        <v>20</v>
      </c>
      <c r="D4100" t="s">
        <v>19</v>
      </c>
      <c r="E4100">
        <v>0</v>
      </c>
      <c r="F4100">
        <v>135000</v>
      </c>
      <c r="G4100" t="s">
        <v>31</v>
      </c>
      <c r="H4100" t="s">
        <v>27</v>
      </c>
      <c r="I4100" t="s">
        <v>33</v>
      </c>
      <c r="J4100" t="s">
        <v>24</v>
      </c>
      <c r="K4100" s="6">
        <f t="shared" ca="1" si="260"/>
        <v>27232</v>
      </c>
      <c r="L4100">
        <v>-18529</v>
      </c>
      <c r="M4100" s="7">
        <f t="shared" ca="1" si="262"/>
        <v>50.729637234770706</v>
      </c>
      <c r="N4100" s="5" t="str">
        <f ca="1">VLOOKUP(Data!M4100,temp!$B$3:$C$9,2,1)</f>
        <v>50-60</v>
      </c>
      <c r="O4100">
        <v>-1204</v>
      </c>
      <c r="P4100" s="8">
        <f t="shared" si="263"/>
        <v>3.2963723477070501</v>
      </c>
      <c r="Q4100" s="5" t="str">
        <f t="shared" si="261"/>
        <v>Employed</v>
      </c>
      <c r="R4100">
        <v>1</v>
      </c>
      <c r="S4100">
        <v>0</v>
      </c>
      <c r="T4100">
        <v>0</v>
      </c>
      <c r="U4100">
        <v>0</v>
      </c>
      <c r="V4100" t="s">
        <v>30</v>
      </c>
      <c r="W4100">
        <v>1</v>
      </c>
    </row>
    <row r="4101" spans="1:23" x14ac:dyDescent="0.2">
      <c r="A4101">
        <v>5137253</v>
      </c>
      <c r="B4101" t="s">
        <v>25</v>
      </c>
      <c r="C4101" t="s">
        <v>20</v>
      </c>
      <c r="D4101" t="s">
        <v>19</v>
      </c>
      <c r="E4101">
        <v>0</v>
      </c>
      <c r="F4101">
        <v>135000</v>
      </c>
      <c r="G4101" t="s">
        <v>31</v>
      </c>
      <c r="H4101" t="s">
        <v>27</v>
      </c>
      <c r="I4101" t="s">
        <v>33</v>
      </c>
      <c r="J4101" t="s">
        <v>24</v>
      </c>
      <c r="K4101" s="6">
        <f t="shared" ca="1" si="260"/>
        <v>27232</v>
      </c>
      <c r="L4101">
        <v>-18529</v>
      </c>
      <c r="M4101" s="7">
        <f t="shared" ca="1" si="262"/>
        <v>50.729637234770706</v>
      </c>
      <c r="N4101" s="5" t="str">
        <f ca="1">VLOOKUP(Data!M4101,temp!$B$3:$C$9,2,1)</f>
        <v>50-60</v>
      </c>
      <c r="O4101">
        <v>-1204</v>
      </c>
      <c r="P4101" s="8">
        <f t="shared" si="263"/>
        <v>3.2963723477070501</v>
      </c>
      <c r="Q4101" s="5" t="str">
        <f t="shared" si="261"/>
        <v>Employed</v>
      </c>
      <c r="R4101">
        <v>1</v>
      </c>
      <c r="S4101">
        <v>0</v>
      </c>
      <c r="T4101">
        <v>0</v>
      </c>
      <c r="U4101">
        <v>0</v>
      </c>
      <c r="V4101" t="s">
        <v>30</v>
      </c>
      <c r="W4101">
        <v>1</v>
      </c>
    </row>
    <row r="4102" spans="1:23" x14ac:dyDescent="0.2">
      <c r="A4102">
        <v>5137261</v>
      </c>
      <c r="B4102" t="s">
        <v>25</v>
      </c>
      <c r="C4102" t="s">
        <v>20</v>
      </c>
      <c r="D4102" t="s">
        <v>19</v>
      </c>
      <c r="E4102">
        <v>0</v>
      </c>
      <c r="F4102">
        <v>166500</v>
      </c>
      <c r="G4102" t="s">
        <v>26</v>
      </c>
      <c r="H4102" t="s">
        <v>36</v>
      </c>
      <c r="I4102" t="s">
        <v>33</v>
      </c>
      <c r="J4102" t="s">
        <v>24</v>
      </c>
      <c r="K4102" s="6">
        <f t="shared" ca="1" si="260"/>
        <v>35193</v>
      </c>
      <c r="L4102">
        <v>-10568</v>
      </c>
      <c r="M4102" s="7">
        <f t="shared" ca="1" si="262"/>
        <v>28.933607118412045</v>
      </c>
      <c r="N4102" s="5" t="str">
        <f ca="1">VLOOKUP(Data!M4102,temp!$B$3:$C$9,2,1)</f>
        <v>20-30</v>
      </c>
      <c r="O4102">
        <v>-2026</v>
      </c>
      <c r="P4102" s="8">
        <f t="shared" si="263"/>
        <v>5.546885694729637</v>
      </c>
      <c r="Q4102" s="5" t="str">
        <f t="shared" si="261"/>
        <v>Employed</v>
      </c>
      <c r="R4102">
        <v>1</v>
      </c>
      <c r="S4102">
        <v>1</v>
      </c>
      <c r="T4102">
        <v>0</v>
      </c>
      <c r="U4102">
        <v>0</v>
      </c>
      <c r="V4102" t="s">
        <v>29</v>
      </c>
      <c r="W4102">
        <v>1</v>
      </c>
    </row>
    <row r="4103" spans="1:23" x14ac:dyDescent="0.2">
      <c r="A4103">
        <v>5137262</v>
      </c>
      <c r="B4103" t="s">
        <v>25</v>
      </c>
      <c r="C4103" t="s">
        <v>20</v>
      </c>
      <c r="D4103" t="s">
        <v>19</v>
      </c>
      <c r="E4103">
        <v>0</v>
      </c>
      <c r="F4103">
        <v>166500</v>
      </c>
      <c r="G4103" t="s">
        <v>26</v>
      </c>
      <c r="H4103" t="s">
        <v>36</v>
      </c>
      <c r="I4103" t="s">
        <v>33</v>
      </c>
      <c r="J4103" t="s">
        <v>24</v>
      </c>
      <c r="K4103" s="6">
        <f t="shared" ca="1" si="260"/>
        <v>35193</v>
      </c>
      <c r="L4103">
        <v>-10568</v>
      </c>
      <c r="M4103" s="7">
        <f t="shared" ca="1" si="262"/>
        <v>28.933607118412045</v>
      </c>
      <c r="N4103" s="5" t="str">
        <f ca="1">VLOOKUP(Data!M4103,temp!$B$3:$C$9,2,1)</f>
        <v>20-30</v>
      </c>
      <c r="O4103">
        <v>-2026</v>
      </c>
      <c r="P4103" s="8">
        <f t="shared" si="263"/>
        <v>5.546885694729637</v>
      </c>
      <c r="Q4103" s="5" t="str">
        <f t="shared" si="261"/>
        <v>Employed</v>
      </c>
      <c r="R4103">
        <v>1</v>
      </c>
      <c r="S4103">
        <v>1</v>
      </c>
      <c r="T4103">
        <v>0</v>
      </c>
      <c r="U4103">
        <v>0</v>
      </c>
      <c r="V4103" t="s">
        <v>29</v>
      </c>
      <c r="W4103">
        <v>1</v>
      </c>
    </row>
    <row r="4104" spans="1:23" x14ac:dyDescent="0.2">
      <c r="A4104">
        <v>5137281</v>
      </c>
      <c r="B4104" t="s">
        <v>18</v>
      </c>
      <c r="C4104" t="s">
        <v>19</v>
      </c>
      <c r="D4104" t="s">
        <v>19</v>
      </c>
      <c r="E4104">
        <v>0</v>
      </c>
      <c r="F4104">
        <v>405000</v>
      </c>
      <c r="G4104" t="s">
        <v>26</v>
      </c>
      <c r="H4104" t="s">
        <v>22</v>
      </c>
      <c r="I4104" t="s">
        <v>28</v>
      </c>
      <c r="J4104" t="s">
        <v>24</v>
      </c>
      <c r="K4104" s="6">
        <f t="shared" ref="K4104:K4167" ca="1" si="264">TODAY()+($L4104)</f>
        <v>32069</v>
      </c>
      <c r="L4104">
        <v>-13692</v>
      </c>
      <c r="M4104" s="7">
        <f t="shared" ca="1" si="262"/>
        <v>37.486652977412732</v>
      </c>
      <c r="N4104" s="5" t="str">
        <f ca="1">VLOOKUP(Data!M4104,temp!$B$3:$C$9,2,1)</f>
        <v>30-40</v>
      </c>
      <c r="O4104">
        <v>-200</v>
      </c>
      <c r="P4104" s="8">
        <f t="shared" si="263"/>
        <v>0.54757015742642023</v>
      </c>
      <c r="Q4104" s="5" t="str">
        <f t="shared" ref="Q4104:Q4167" si="265">IF($O4104&gt;0,"Unemployed","Employed")</f>
        <v>Employed</v>
      </c>
      <c r="R4104">
        <v>1</v>
      </c>
      <c r="S4104">
        <v>0</v>
      </c>
      <c r="T4104">
        <v>1</v>
      </c>
      <c r="U4104">
        <v>0</v>
      </c>
      <c r="V4104" t="s">
        <v>32</v>
      </c>
      <c r="W4104">
        <v>2</v>
      </c>
    </row>
    <row r="4105" spans="1:23" x14ac:dyDescent="0.2">
      <c r="A4105">
        <v>5137290</v>
      </c>
      <c r="B4105" t="s">
        <v>25</v>
      </c>
      <c r="C4105" t="s">
        <v>20</v>
      </c>
      <c r="D4105" t="s">
        <v>19</v>
      </c>
      <c r="E4105">
        <v>1</v>
      </c>
      <c r="F4105">
        <v>225000</v>
      </c>
      <c r="G4105" t="s">
        <v>31</v>
      </c>
      <c r="H4105" t="s">
        <v>27</v>
      </c>
      <c r="I4105" t="s">
        <v>28</v>
      </c>
      <c r="J4105" t="s">
        <v>24</v>
      </c>
      <c r="K4105" s="6">
        <f t="shared" ca="1" si="264"/>
        <v>30518</v>
      </c>
      <c r="L4105">
        <v>-15243</v>
      </c>
      <c r="M4105" s="7">
        <f t="shared" ca="1" si="262"/>
        <v>41.733059548254623</v>
      </c>
      <c r="N4105" s="5" t="str">
        <f ca="1">VLOOKUP(Data!M4105,temp!$B$3:$C$9,2,1)</f>
        <v>40-50</v>
      </c>
      <c r="O4105">
        <v>-7260</v>
      </c>
      <c r="P4105" s="8">
        <f t="shared" si="263"/>
        <v>19.876796714579054</v>
      </c>
      <c r="Q4105" s="5" t="str">
        <f t="shared" si="265"/>
        <v>Employed</v>
      </c>
      <c r="R4105">
        <v>1</v>
      </c>
      <c r="S4105">
        <v>1</v>
      </c>
      <c r="T4105">
        <v>1</v>
      </c>
      <c r="U4105">
        <v>0</v>
      </c>
      <c r="V4105" t="s">
        <v>47</v>
      </c>
      <c r="W4105">
        <v>3</v>
      </c>
    </row>
    <row r="4106" spans="1:23" x14ac:dyDescent="0.2">
      <c r="A4106">
        <v>5137297</v>
      </c>
      <c r="B4106" t="s">
        <v>25</v>
      </c>
      <c r="C4106" t="s">
        <v>20</v>
      </c>
      <c r="D4106" t="s">
        <v>19</v>
      </c>
      <c r="E4106">
        <v>1</v>
      </c>
      <c r="F4106">
        <v>225000</v>
      </c>
      <c r="G4106" t="s">
        <v>31</v>
      </c>
      <c r="H4106" t="s">
        <v>27</v>
      </c>
      <c r="I4106" t="s">
        <v>28</v>
      </c>
      <c r="J4106" t="s">
        <v>24</v>
      </c>
      <c r="K4106" s="6">
        <f t="shared" ca="1" si="264"/>
        <v>30518</v>
      </c>
      <c r="L4106">
        <v>-15243</v>
      </c>
      <c r="M4106" s="7">
        <f t="shared" ca="1" si="262"/>
        <v>41.733059548254623</v>
      </c>
      <c r="N4106" s="5" t="str">
        <f ca="1">VLOOKUP(Data!M4106,temp!$B$3:$C$9,2,1)</f>
        <v>40-50</v>
      </c>
      <c r="O4106">
        <v>-7260</v>
      </c>
      <c r="P4106" s="8">
        <f t="shared" si="263"/>
        <v>19.876796714579054</v>
      </c>
      <c r="Q4106" s="5" t="str">
        <f t="shared" si="265"/>
        <v>Employed</v>
      </c>
      <c r="R4106">
        <v>1</v>
      </c>
      <c r="S4106">
        <v>1</v>
      </c>
      <c r="T4106">
        <v>1</v>
      </c>
      <c r="U4106">
        <v>0</v>
      </c>
      <c r="V4106" t="s">
        <v>47</v>
      </c>
      <c r="W4106">
        <v>3</v>
      </c>
    </row>
    <row r="4107" spans="1:23" x14ac:dyDescent="0.2">
      <c r="A4107">
        <v>5137298</v>
      </c>
      <c r="B4107" t="s">
        <v>25</v>
      </c>
      <c r="C4107" t="s">
        <v>20</v>
      </c>
      <c r="D4107" t="s">
        <v>19</v>
      </c>
      <c r="E4107">
        <v>1</v>
      </c>
      <c r="F4107">
        <v>225000</v>
      </c>
      <c r="G4107" t="s">
        <v>31</v>
      </c>
      <c r="H4107" t="s">
        <v>27</v>
      </c>
      <c r="I4107" t="s">
        <v>28</v>
      </c>
      <c r="J4107" t="s">
        <v>24</v>
      </c>
      <c r="K4107" s="6">
        <f t="shared" ca="1" si="264"/>
        <v>30518</v>
      </c>
      <c r="L4107">
        <v>-15243</v>
      </c>
      <c r="M4107" s="7">
        <f t="shared" ca="1" si="262"/>
        <v>41.733059548254623</v>
      </c>
      <c r="N4107" s="5" t="str">
        <f ca="1">VLOOKUP(Data!M4107,temp!$B$3:$C$9,2,1)</f>
        <v>40-50</v>
      </c>
      <c r="O4107">
        <v>-7260</v>
      </c>
      <c r="P4107" s="8">
        <f t="shared" si="263"/>
        <v>19.876796714579054</v>
      </c>
      <c r="Q4107" s="5" t="str">
        <f t="shared" si="265"/>
        <v>Employed</v>
      </c>
      <c r="R4107">
        <v>1</v>
      </c>
      <c r="S4107">
        <v>1</v>
      </c>
      <c r="T4107">
        <v>1</v>
      </c>
      <c r="U4107">
        <v>0</v>
      </c>
      <c r="V4107" t="s">
        <v>47</v>
      </c>
      <c r="W4107">
        <v>3</v>
      </c>
    </row>
    <row r="4108" spans="1:23" x14ac:dyDescent="0.2">
      <c r="A4108">
        <v>5137300</v>
      </c>
      <c r="B4108" t="s">
        <v>25</v>
      </c>
      <c r="C4108" t="s">
        <v>20</v>
      </c>
      <c r="D4108" t="s">
        <v>19</v>
      </c>
      <c r="E4108">
        <v>2</v>
      </c>
      <c r="F4108">
        <v>157500</v>
      </c>
      <c r="G4108" t="s">
        <v>26</v>
      </c>
      <c r="H4108" t="s">
        <v>22</v>
      </c>
      <c r="I4108" t="s">
        <v>23</v>
      </c>
      <c r="J4108" t="s">
        <v>53</v>
      </c>
      <c r="K4108" s="6">
        <f t="shared" ca="1" si="264"/>
        <v>32247</v>
      </c>
      <c r="L4108">
        <v>-13514</v>
      </c>
      <c r="M4108" s="7">
        <f t="shared" ca="1" si="262"/>
        <v>36.999315537303218</v>
      </c>
      <c r="N4108" s="5" t="str">
        <f ca="1">VLOOKUP(Data!M4108,temp!$B$3:$C$9,2,1)</f>
        <v>30-40</v>
      </c>
      <c r="O4108">
        <v>-1357</v>
      </c>
      <c r="P4108" s="8">
        <f t="shared" si="263"/>
        <v>3.7152635181382614</v>
      </c>
      <c r="Q4108" s="5" t="str">
        <f t="shared" si="265"/>
        <v>Employed</v>
      </c>
      <c r="R4108">
        <v>1</v>
      </c>
      <c r="S4108">
        <v>0</v>
      </c>
      <c r="T4108">
        <v>1</v>
      </c>
      <c r="U4108">
        <v>0</v>
      </c>
      <c r="V4108" t="s">
        <v>32</v>
      </c>
      <c r="W4108">
        <v>3</v>
      </c>
    </row>
    <row r="4109" spans="1:23" x14ac:dyDescent="0.2">
      <c r="A4109">
        <v>5137305</v>
      </c>
      <c r="B4109" t="s">
        <v>25</v>
      </c>
      <c r="C4109" t="s">
        <v>20</v>
      </c>
      <c r="D4109" t="s">
        <v>19</v>
      </c>
      <c r="E4109">
        <v>2</v>
      </c>
      <c r="F4109">
        <v>157500</v>
      </c>
      <c r="G4109" t="s">
        <v>26</v>
      </c>
      <c r="H4109" t="s">
        <v>22</v>
      </c>
      <c r="I4109" t="s">
        <v>23</v>
      </c>
      <c r="J4109" t="s">
        <v>53</v>
      </c>
      <c r="K4109" s="6">
        <f t="shared" ca="1" si="264"/>
        <v>32247</v>
      </c>
      <c r="L4109">
        <v>-13514</v>
      </c>
      <c r="M4109" s="7">
        <f t="shared" ca="1" si="262"/>
        <v>36.999315537303218</v>
      </c>
      <c r="N4109" s="5" t="str">
        <f ca="1">VLOOKUP(Data!M4109,temp!$B$3:$C$9,2,1)</f>
        <v>30-40</v>
      </c>
      <c r="O4109">
        <v>-1357</v>
      </c>
      <c r="P4109" s="8">
        <f t="shared" si="263"/>
        <v>3.7152635181382614</v>
      </c>
      <c r="Q4109" s="5" t="str">
        <f t="shared" si="265"/>
        <v>Employed</v>
      </c>
      <c r="R4109">
        <v>1</v>
      </c>
      <c r="S4109">
        <v>0</v>
      </c>
      <c r="T4109">
        <v>1</v>
      </c>
      <c r="U4109">
        <v>0</v>
      </c>
      <c r="V4109" t="s">
        <v>32</v>
      </c>
      <c r="W4109">
        <v>3</v>
      </c>
    </row>
    <row r="4110" spans="1:23" x14ac:dyDescent="0.2">
      <c r="A4110">
        <v>5137309</v>
      </c>
      <c r="B4110" t="s">
        <v>25</v>
      </c>
      <c r="C4110" t="s">
        <v>20</v>
      </c>
      <c r="D4110" t="s">
        <v>19</v>
      </c>
      <c r="E4110">
        <v>2</v>
      </c>
      <c r="F4110">
        <v>157500</v>
      </c>
      <c r="G4110" t="s">
        <v>26</v>
      </c>
      <c r="H4110" t="s">
        <v>22</v>
      </c>
      <c r="I4110" t="s">
        <v>23</v>
      </c>
      <c r="J4110" t="s">
        <v>53</v>
      </c>
      <c r="K4110" s="6">
        <f t="shared" ca="1" si="264"/>
        <v>32247</v>
      </c>
      <c r="L4110">
        <v>-13514</v>
      </c>
      <c r="M4110" s="7">
        <f t="shared" ca="1" si="262"/>
        <v>36.999315537303218</v>
      </c>
      <c r="N4110" s="5" t="str">
        <f ca="1">VLOOKUP(Data!M4110,temp!$B$3:$C$9,2,1)</f>
        <v>30-40</v>
      </c>
      <c r="O4110">
        <v>-1357</v>
      </c>
      <c r="P4110" s="8">
        <f t="shared" si="263"/>
        <v>3.7152635181382614</v>
      </c>
      <c r="Q4110" s="5" t="str">
        <f t="shared" si="265"/>
        <v>Employed</v>
      </c>
      <c r="R4110">
        <v>1</v>
      </c>
      <c r="S4110">
        <v>0</v>
      </c>
      <c r="T4110">
        <v>1</v>
      </c>
      <c r="U4110">
        <v>0</v>
      </c>
      <c r="V4110" t="s">
        <v>32</v>
      </c>
      <c r="W4110">
        <v>3</v>
      </c>
    </row>
    <row r="4111" spans="1:23" x14ac:dyDescent="0.2">
      <c r="A4111">
        <v>5137317</v>
      </c>
      <c r="B4111" t="s">
        <v>18</v>
      </c>
      <c r="C4111" t="s">
        <v>19</v>
      </c>
      <c r="D4111" t="s">
        <v>19</v>
      </c>
      <c r="E4111">
        <v>1</v>
      </c>
      <c r="F4111">
        <v>135000</v>
      </c>
      <c r="G4111" t="s">
        <v>35</v>
      </c>
      <c r="H4111" t="s">
        <v>22</v>
      </c>
      <c r="I4111" t="s">
        <v>28</v>
      </c>
      <c r="J4111" t="s">
        <v>24</v>
      </c>
      <c r="K4111" s="6">
        <f t="shared" ca="1" si="264"/>
        <v>36307</v>
      </c>
      <c r="L4111">
        <v>-9454</v>
      </c>
      <c r="M4111" s="7">
        <f t="shared" ca="1" si="262"/>
        <v>25.883641341546884</v>
      </c>
      <c r="N4111" s="5" t="str">
        <f ca="1">VLOOKUP(Data!M4111,temp!$B$3:$C$9,2,1)</f>
        <v>20-30</v>
      </c>
      <c r="O4111">
        <v>-1022</v>
      </c>
      <c r="P4111" s="8">
        <f t="shared" si="263"/>
        <v>2.7980835044490076</v>
      </c>
      <c r="Q4111" s="5" t="str">
        <f t="shared" si="265"/>
        <v>Employed</v>
      </c>
      <c r="R4111">
        <v>1</v>
      </c>
      <c r="S4111">
        <v>1</v>
      </c>
      <c r="T4111">
        <v>0</v>
      </c>
      <c r="U4111">
        <v>0</v>
      </c>
      <c r="V4111" t="s">
        <v>32</v>
      </c>
      <c r="W4111">
        <v>3</v>
      </c>
    </row>
    <row r="4112" spans="1:23" x14ac:dyDescent="0.2">
      <c r="A4112">
        <v>5137322</v>
      </c>
      <c r="B4112" t="s">
        <v>18</v>
      </c>
      <c r="C4112" t="s">
        <v>19</v>
      </c>
      <c r="D4112" t="s">
        <v>19</v>
      </c>
      <c r="E4112">
        <v>0</v>
      </c>
      <c r="F4112">
        <v>36900</v>
      </c>
      <c r="G4112" t="s">
        <v>21</v>
      </c>
      <c r="H4112" t="s">
        <v>22</v>
      </c>
      <c r="I4112" t="s">
        <v>28</v>
      </c>
      <c r="J4112" t="s">
        <v>24</v>
      </c>
      <c r="K4112" s="6">
        <f t="shared" ca="1" si="264"/>
        <v>23180</v>
      </c>
      <c r="L4112">
        <v>-22581</v>
      </c>
      <c r="M4112" s="7">
        <f t="shared" ca="1" si="262"/>
        <v>61.823408624229977</v>
      </c>
      <c r="N4112" s="5" t="str">
        <f ca="1">VLOOKUP(Data!M4112,temp!$B$3:$C$9,2,1)</f>
        <v>60-70</v>
      </c>
      <c r="O4112">
        <v>365243</v>
      </c>
      <c r="P4112" s="8">
        <f t="shared" si="263"/>
        <v>0</v>
      </c>
      <c r="Q4112" s="5" t="str">
        <f t="shared" si="265"/>
        <v>Unemployed</v>
      </c>
      <c r="R4112">
        <v>1</v>
      </c>
      <c r="S4112">
        <v>0</v>
      </c>
      <c r="T4112">
        <v>0</v>
      </c>
      <c r="U4112">
        <v>0</v>
      </c>
      <c r="W4112">
        <v>2</v>
      </c>
    </row>
    <row r="4113" spans="1:23" x14ac:dyDescent="0.2">
      <c r="A4113">
        <v>5137333</v>
      </c>
      <c r="B4113" t="s">
        <v>18</v>
      </c>
      <c r="C4113" t="s">
        <v>19</v>
      </c>
      <c r="D4113" t="s">
        <v>19</v>
      </c>
      <c r="E4113">
        <v>1</v>
      </c>
      <c r="F4113">
        <v>157500</v>
      </c>
      <c r="G4113" t="s">
        <v>31</v>
      </c>
      <c r="H4113" t="s">
        <v>27</v>
      </c>
      <c r="I4113" t="s">
        <v>28</v>
      </c>
      <c r="J4113" t="s">
        <v>24</v>
      </c>
      <c r="K4113" s="6">
        <f t="shared" ca="1" si="264"/>
        <v>35674</v>
      </c>
      <c r="L4113">
        <v>-10087</v>
      </c>
      <c r="M4113" s="7">
        <f t="shared" ca="1" si="262"/>
        <v>27.616700889801507</v>
      </c>
      <c r="N4113" s="5" t="str">
        <f ca="1">VLOOKUP(Data!M4113,temp!$B$3:$C$9,2,1)</f>
        <v>20-30</v>
      </c>
      <c r="O4113">
        <v>-2908</v>
      </c>
      <c r="P4113" s="8">
        <f t="shared" si="263"/>
        <v>7.9616700889801502</v>
      </c>
      <c r="Q4113" s="5" t="str">
        <f t="shared" si="265"/>
        <v>Employed</v>
      </c>
      <c r="R4113">
        <v>1</v>
      </c>
      <c r="S4113">
        <v>1</v>
      </c>
      <c r="T4113">
        <v>1</v>
      </c>
      <c r="U4113">
        <v>0</v>
      </c>
      <c r="V4113" t="s">
        <v>39</v>
      </c>
      <c r="W4113">
        <v>3</v>
      </c>
    </row>
    <row r="4114" spans="1:23" x14ac:dyDescent="0.2">
      <c r="A4114">
        <v>5137373</v>
      </c>
      <c r="B4114" t="s">
        <v>25</v>
      </c>
      <c r="C4114" t="s">
        <v>20</v>
      </c>
      <c r="D4114" t="s">
        <v>19</v>
      </c>
      <c r="E4114">
        <v>1</v>
      </c>
      <c r="F4114">
        <v>202500</v>
      </c>
      <c r="G4114" t="s">
        <v>31</v>
      </c>
      <c r="H4114" t="s">
        <v>36</v>
      </c>
      <c r="I4114" t="s">
        <v>28</v>
      </c>
      <c r="J4114" t="s">
        <v>24</v>
      </c>
      <c r="K4114" s="6">
        <f t="shared" ca="1" si="264"/>
        <v>34016</v>
      </c>
      <c r="L4114">
        <v>-11745</v>
      </c>
      <c r="M4114" s="7">
        <f t="shared" ca="1" si="262"/>
        <v>32.156057494866531</v>
      </c>
      <c r="N4114" s="5" t="str">
        <f ca="1">VLOOKUP(Data!M4114,temp!$B$3:$C$9,2,1)</f>
        <v>30-40</v>
      </c>
      <c r="O4114">
        <v>-231</v>
      </c>
      <c r="P4114" s="8">
        <f t="shared" si="263"/>
        <v>0.63244353182751545</v>
      </c>
      <c r="Q4114" s="5" t="str">
        <f t="shared" si="265"/>
        <v>Employed</v>
      </c>
      <c r="R4114">
        <v>1</v>
      </c>
      <c r="S4114">
        <v>1</v>
      </c>
      <c r="T4114">
        <v>0</v>
      </c>
      <c r="U4114">
        <v>0</v>
      </c>
      <c r="V4114" t="s">
        <v>30</v>
      </c>
      <c r="W4114">
        <v>3</v>
      </c>
    </row>
    <row r="4115" spans="1:23" x14ac:dyDescent="0.2">
      <c r="A4115">
        <v>5137376</v>
      </c>
      <c r="B4115" t="s">
        <v>25</v>
      </c>
      <c r="C4115" t="s">
        <v>20</v>
      </c>
      <c r="D4115" t="s">
        <v>19</v>
      </c>
      <c r="E4115">
        <v>1</v>
      </c>
      <c r="F4115">
        <v>202500</v>
      </c>
      <c r="G4115" t="s">
        <v>31</v>
      </c>
      <c r="H4115" t="s">
        <v>36</v>
      </c>
      <c r="I4115" t="s">
        <v>28</v>
      </c>
      <c r="J4115" t="s">
        <v>24</v>
      </c>
      <c r="K4115" s="6">
        <f t="shared" ca="1" si="264"/>
        <v>34016</v>
      </c>
      <c r="L4115">
        <v>-11745</v>
      </c>
      <c r="M4115" s="7">
        <f t="shared" ca="1" si="262"/>
        <v>32.156057494866531</v>
      </c>
      <c r="N4115" s="5" t="str">
        <f ca="1">VLOOKUP(Data!M4115,temp!$B$3:$C$9,2,1)</f>
        <v>30-40</v>
      </c>
      <c r="O4115">
        <v>-231</v>
      </c>
      <c r="P4115" s="8">
        <f t="shared" si="263"/>
        <v>0.63244353182751545</v>
      </c>
      <c r="Q4115" s="5" t="str">
        <f t="shared" si="265"/>
        <v>Employed</v>
      </c>
      <c r="R4115">
        <v>1</v>
      </c>
      <c r="S4115">
        <v>1</v>
      </c>
      <c r="T4115">
        <v>0</v>
      </c>
      <c r="U4115">
        <v>0</v>
      </c>
      <c r="V4115" t="s">
        <v>30</v>
      </c>
      <c r="W4115">
        <v>3</v>
      </c>
    </row>
    <row r="4116" spans="1:23" x14ac:dyDescent="0.2">
      <c r="A4116">
        <v>5137394</v>
      </c>
      <c r="B4116" t="s">
        <v>25</v>
      </c>
      <c r="C4116" t="s">
        <v>19</v>
      </c>
      <c r="D4116" t="s">
        <v>19</v>
      </c>
      <c r="E4116">
        <v>1</v>
      </c>
      <c r="F4116">
        <v>180000</v>
      </c>
      <c r="G4116" t="s">
        <v>26</v>
      </c>
      <c r="H4116" t="s">
        <v>51</v>
      </c>
      <c r="I4116" t="s">
        <v>28</v>
      </c>
      <c r="J4116" t="s">
        <v>24</v>
      </c>
      <c r="K4116" s="6">
        <f t="shared" ca="1" si="264"/>
        <v>34821</v>
      </c>
      <c r="L4116">
        <v>-10940</v>
      </c>
      <c r="M4116" s="7">
        <f t="shared" ca="1" si="262"/>
        <v>29.952087611225188</v>
      </c>
      <c r="N4116" s="5" t="str">
        <f ca="1">VLOOKUP(Data!M4116,temp!$B$3:$C$9,2,1)</f>
        <v>20-30</v>
      </c>
      <c r="O4116">
        <v>-2483</v>
      </c>
      <c r="P4116" s="8">
        <f t="shared" si="263"/>
        <v>6.7980835044490071</v>
      </c>
      <c r="Q4116" s="5" t="str">
        <f t="shared" si="265"/>
        <v>Employed</v>
      </c>
      <c r="R4116">
        <v>1</v>
      </c>
      <c r="S4116">
        <v>1</v>
      </c>
      <c r="T4116">
        <v>0</v>
      </c>
      <c r="U4116">
        <v>0</v>
      </c>
      <c r="V4116" t="s">
        <v>29</v>
      </c>
      <c r="W4116">
        <v>3</v>
      </c>
    </row>
    <row r="4117" spans="1:23" x14ac:dyDescent="0.2">
      <c r="A4117">
        <v>5137405</v>
      </c>
      <c r="B4117" t="s">
        <v>18</v>
      </c>
      <c r="C4117" t="s">
        <v>19</v>
      </c>
      <c r="D4117" t="s">
        <v>19</v>
      </c>
      <c r="E4117">
        <v>0</v>
      </c>
      <c r="F4117">
        <v>157500</v>
      </c>
      <c r="G4117" t="s">
        <v>31</v>
      </c>
      <c r="H4117" t="s">
        <v>22</v>
      </c>
      <c r="I4117" t="s">
        <v>23</v>
      </c>
      <c r="J4117" t="s">
        <v>24</v>
      </c>
      <c r="K4117" s="6">
        <f t="shared" ca="1" si="264"/>
        <v>28524</v>
      </c>
      <c r="L4117">
        <v>-17237</v>
      </c>
      <c r="M4117" s="7">
        <f t="shared" ca="1" si="262"/>
        <v>47.192334017796028</v>
      </c>
      <c r="N4117" s="5" t="str">
        <f ca="1">VLOOKUP(Data!M4117,temp!$B$3:$C$9,2,1)</f>
        <v>40-50</v>
      </c>
      <c r="O4117">
        <v>-3000</v>
      </c>
      <c r="P4117" s="8">
        <f t="shared" si="263"/>
        <v>8.2135523613963031</v>
      </c>
      <c r="Q4117" s="5" t="str">
        <f t="shared" si="265"/>
        <v>Employed</v>
      </c>
      <c r="R4117">
        <v>1</v>
      </c>
      <c r="S4117">
        <v>0</v>
      </c>
      <c r="T4117">
        <v>0</v>
      </c>
      <c r="U4117">
        <v>0</v>
      </c>
      <c r="V4117" t="s">
        <v>50</v>
      </c>
      <c r="W4117">
        <v>1</v>
      </c>
    </row>
    <row r="4118" spans="1:23" x14ac:dyDescent="0.2">
      <c r="A4118">
        <v>5137408</v>
      </c>
      <c r="B4118" t="s">
        <v>18</v>
      </c>
      <c r="C4118" t="s">
        <v>20</v>
      </c>
      <c r="D4118" t="s">
        <v>19</v>
      </c>
      <c r="E4118">
        <v>0</v>
      </c>
      <c r="F4118">
        <v>225000</v>
      </c>
      <c r="G4118" t="s">
        <v>31</v>
      </c>
      <c r="H4118" t="s">
        <v>22</v>
      </c>
      <c r="I4118" t="s">
        <v>33</v>
      </c>
      <c r="J4118" t="s">
        <v>24</v>
      </c>
      <c r="K4118" s="6">
        <f t="shared" ca="1" si="264"/>
        <v>25561</v>
      </c>
      <c r="L4118">
        <v>-20200</v>
      </c>
      <c r="M4118" s="7">
        <f t="shared" ca="1" si="262"/>
        <v>55.304585900068446</v>
      </c>
      <c r="N4118" s="5" t="str">
        <f ca="1">VLOOKUP(Data!M4118,temp!$B$3:$C$9,2,1)</f>
        <v>50-60</v>
      </c>
      <c r="O4118">
        <v>-1022</v>
      </c>
      <c r="P4118" s="8">
        <f t="shared" si="263"/>
        <v>2.7980835044490076</v>
      </c>
      <c r="Q4118" s="5" t="str">
        <f t="shared" si="265"/>
        <v>Employed</v>
      </c>
      <c r="R4118">
        <v>1</v>
      </c>
      <c r="S4118">
        <v>1</v>
      </c>
      <c r="T4118">
        <v>1</v>
      </c>
      <c r="U4118">
        <v>0</v>
      </c>
      <c r="V4118" t="s">
        <v>44</v>
      </c>
      <c r="W4118">
        <v>1</v>
      </c>
    </row>
    <row r="4119" spans="1:23" x14ac:dyDescent="0.2">
      <c r="A4119">
        <v>5137410</v>
      </c>
      <c r="B4119" t="s">
        <v>18</v>
      </c>
      <c r="C4119" t="s">
        <v>20</v>
      </c>
      <c r="D4119" t="s">
        <v>19</v>
      </c>
      <c r="E4119">
        <v>0</v>
      </c>
      <c r="F4119">
        <v>225000</v>
      </c>
      <c r="G4119" t="s">
        <v>31</v>
      </c>
      <c r="H4119" t="s">
        <v>22</v>
      </c>
      <c r="I4119" t="s">
        <v>33</v>
      </c>
      <c r="J4119" t="s">
        <v>24</v>
      </c>
      <c r="K4119" s="6">
        <f t="shared" ca="1" si="264"/>
        <v>25561</v>
      </c>
      <c r="L4119">
        <v>-20200</v>
      </c>
      <c r="M4119" s="7">
        <f t="shared" ca="1" si="262"/>
        <v>55.304585900068446</v>
      </c>
      <c r="N4119" s="5" t="str">
        <f ca="1">VLOOKUP(Data!M4119,temp!$B$3:$C$9,2,1)</f>
        <v>50-60</v>
      </c>
      <c r="O4119">
        <v>-1022</v>
      </c>
      <c r="P4119" s="8">
        <f t="shared" si="263"/>
        <v>2.7980835044490076</v>
      </c>
      <c r="Q4119" s="5" t="str">
        <f t="shared" si="265"/>
        <v>Employed</v>
      </c>
      <c r="R4119">
        <v>1</v>
      </c>
      <c r="S4119">
        <v>1</v>
      </c>
      <c r="T4119">
        <v>1</v>
      </c>
      <c r="U4119">
        <v>0</v>
      </c>
      <c r="V4119" t="s">
        <v>44</v>
      </c>
      <c r="W4119">
        <v>1</v>
      </c>
    </row>
    <row r="4120" spans="1:23" x14ac:dyDescent="0.2">
      <c r="A4120">
        <v>5137416</v>
      </c>
      <c r="B4120" t="s">
        <v>18</v>
      </c>
      <c r="C4120" t="s">
        <v>19</v>
      </c>
      <c r="D4120" t="s">
        <v>19</v>
      </c>
      <c r="E4120">
        <v>0</v>
      </c>
      <c r="F4120">
        <v>103500</v>
      </c>
      <c r="G4120" t="s">
        <v>21</v>
      </c>
      <c r="H4120" t="s">
        <v>27</v>
      </c>
      <c r="I4120" t="s">
        <v>33</v>
      </c>
      <c r="J4120" t="s">
        <v>24</v>
      </c>
      <c r="K4120" s="6">
        <f t="shared" ca="1" si="264"/>
        <v>22322</v>
      </c>
      <c r="L4120">
        <v>-23439</v>
      </c>
      <c r="M4120" s="7">
        <f t="shared" ca="1" si="262"/>
        <v>64.172484599589325</v>
      </c>
      <c r="N4120" s="5" t="str">
        <f ca="1">VLOOKUP(Data!M4120,temp!$B$3:$C$9,2,1)</f>
        <v>60-70</v>
      </c>
      <c r="O4120">
        <v>365243</v>
      </c>
      <c r="P4120" s="8">
        <f t="shared" si="263"/>
        <v>0</v>
      </c>
      <c r="Q4120" s="5" t="str">
        <f t="shared" si="265"/>
        <v>Unemployed</v>
      </c>
      <c r="R4120">
        <v>1</v>
      </c>
      <c r="S4120">
        <v>0</v>
      </c>
      <c r="T4120">
        <v>1</v>
      </c>
      <c r="U4120">
        <v>0</v>
      </c>
      <c r="W4120">
        <v>1</v>
      </c>
    </row>
    <row r="4121" spans="1:23" x14ac:dyDescent="0.2">
      <c r="A4121">
        <v>5137428</v>
      </c>
      <c r="B4121" t="s">
        <v>25</v>
      </c>
      <c r="C4121" t="s">
        <v>19</v>
      </c>
      <c r="D4121" t="s">
        <v>19</v>
      </c>
      <c r="E4121">
        <v>0</v>
      </c>
      <c r="F4121">
        <v>135000</v>
      </c>
      <c r="G4121" t="s">
        <v>31</v>
      </c>
      <c r="H4121" t="s">
        <v>27</v>
      </c>
      <c r="I4121" t="s">
        <v>28</v>
      </c>
      <c r="J4121" t="s">
        <v>24</v>
      </c>
      <c r="K4121" s="6">
        <f t="shared" ca="1" si="264"/>
        <v>30885</v>
      </c>
      <c r="L4121">
        <v>-14876</v>
      </c>
      <c r="M4121" s="7">
        <f t="shared" ca="1" si="262"/>
        <v>40.728268309377142</v>
      </c>
      <c r="N4121" s="5" t="str">
        <f ca="1">VLOOKUP(Data!M4121,temp!$B$3:$C$9,2,1)</f>
        <v>40-50</v>
      </c>
      <c r="O4121">
        <v>-2087</v>
      </c>
      <c r="P4121" s="8">
        <f t="shared" si="263"/>
        <v>5.7138945927446958</v>
      </c>
      <c r="Q4121" s="5" t="str">
        <f t="shared" si="265"/>
        <v>Employed</v>
      </c>
      <c r="R4121">
        <v>1</v>
      </c>
      <c r="S4121">
        <v>0</v>
      </c>
      <c r="T4121">
        <v>0</v>
      </c>
      <c r="U4121">
        <v>0</v>
      </c>
      <c r="W4121">
        <v>2</v>
      </c>
    </row>
    <row r="4122" spans="1:23" x14ac:dyDescent="0.2">
      <c r="A4122">
        <v>5137430</v>
      </c>
      <c r="B4122" t="s">
        <v>25</v>
      </c>
      <c r="C4122" t="s">
        <v>19</v>
      </c>
      <c r="D4122" t="s">
        <v>19</v>
      </c>
      <c r="E4122">
        <v>0</v>
      </c>
      <c r="F4122">
        <v>135000</v>
      </c>
      <c r="G4122" t="s">
        <v>31</v>
      </c>
      <c r="H4122" t="s">
        <v>27</v>
      </c>
      <c r="I4122" t="s">
        <v>28</v>
      </c>
      <c r="J4122" t="s">
        <v>24</v>
      </c>
      <c r="K4122" s="6">
        <f t="shared" ca="1" si="264"/>
        <v>30885</v>
      </c>
      <c r="L4122">
        <v>-14876</v>
      </c>
      <c r="M4122" s="7">
        <f t="shared" ca="1" si="262"/>
        <v>40.728268309377142</v>
      </c>
      <c r="N4122" s="5" t="str">
        <f ca="1">VLOOKUP(Data!M4122,temp!$B$3:$C$9,2,1)</f>
        <v>40-50</v>
      </c>
      <c r="O4122">
        <v>-2087</v>
      </c>
      <c r="P4122" s="8">
        <f t="shared" si="263"/>
        <v>5.7138945927446958</v>
      </c>
      <c r="Q4122" s="5" t="str">
        <f t="shared" si="265"/>
        <v>Employed</v>
      </c>
      <c r="R4122">
        <v>1</v>
      </c>
      <c r="S4122">
        <v>0</v>
      </c>
      <c r="T4122">
        <v>0</v>
      </c>
      <c r="U4122">
        <v>0</v>
      </c>
      <c r="W4122">
        <v>2</v>
      </c>
    </row>
    <row r="4123" spans="1:23" x14ac:dyDescent="0.2">
      <c r="A4123">
        <v>5137433</v>
      </c>
      <c r="B4123" t="s">
        <v>25</v>
      </c>
      <c r="C4123" t="s">
        <v>19</v>
      </c>
      <c r="D4123" t="s">
        <v>19</v>
      </c>
      <c r="E4123">
        <v>0</v>
      </c>
      <c r="F4123">
        <v>135000</v>
      </c>
      <c r="G4123" t="s">
        <v>31</v>
      </c>
      <c r="H4123" t="s">
        <v>27</v>
      </c>
      <c r="I4123" t="s">
        <v>28</v>
      </c>
      <c r="J4123" t="s">
        <v>24</v>
      </c>
      <c r="K4123" s="6">
        <f t="shared" ca="1" si="264"/>
        <v>30885</v>
      </c>
      <c r="L4123">
        <v>-14876</v>
      </c>
      <c r="M4123" s="7">
        <f t="shared" ca="1" si="262"/>
        <v>40.728268309377142</v>
      </c>
      <c r="N4123" s="5" t="str">
        <f ca="1">VLOOKUP(Data!M4123,temp!$B$3:$C$9,2,1)</f>
        <v>40-50</v>
      </c>
      <c r="O4123">
        <v>-2087</v>
      </c>
      <c r="P4123" s="8">
        <f t="shared" si="263"/>
        <v>5.7138945927446958</v>
      </c>
      <c r="Q4123" s="5" t="str">
        <f t="shared" si="265"/>
        <v>Employed</v>
      </c>
      <c r="R4123">
        <v>1</v>
      </c>
      <c r="S4123">
        <v>0</v>
      </c>
      <c r="T4123">
        <v>0</v>
      </c>
      <c r="U4123">
        <v>0</v>
      </c>
      <c r="W4123">
        <v>2</v>
      </c>
    </row>
    <row r="4124" spans="1:23" x14ac:dyDescent="0.2">
      <c r="A4124">
        <v>5137440</v>
      </c>
      <c r="B4124" t="s">
        <v>25</v>
      </c>
      <c r="C4124" t="s">
        <v>19</v>
      </c>
      <c r="D4124" t="s">
        <v>19</v>
      </c>
      <c r="E4124">
        <v>0</v>
      </c>
      <c r="F4124">
        <v>225000</v>
      </c>
      <c r="G4124" t="s">
        <v>31</v>
      </c>
      <c r="H4124" t="s">
        <v>27</v>
      </c>
      <c r="I4124" t="s">
        <v>28</v>
      </c>
      <c r="J4124" t="s">
        <v>24</v>
      </c>
      <c r="K4124" s="6">
        <f t="shared" ca="1" si="264"/>
        <v>36607</v>
      </c>
      <c r="L4124">
        <v>-9154</v>
      </c>
      <c r="M4124" s="7">
        <f t="shared" ca="1" si="262"/>
        <v>25.062286105407257</v>
      </c>
      <c r="N4124" s="5" t="str">
        <f ca="1">VLOOKUP(Data!M4124,temp!$B$3:$C$9,2,1)</f>
        <v>20-30</v>
      </c>
      <c r="O4124">
        <v>-1051</v>
      </c>
      <c r="P4124" s="8">
        <f t="shared" si="263"/>
        <v>2.8774811772758384</v>
      </c>
      <c r="Q4124" s="5" t="str">
        <f t="shared" si="265"/>
        <v>Employed</v>
      </c>
      <c r="R4124">
        <v>1</v>
      </c>
      <c r="S4124">
        <v>0</v>
      </c>
      <c r="T4124">
        <v>1</v>
      </c>
      <c r="U4124">
        <v>0</v>
      </c>
      <c r="V4124" t="s">
        <v>29</v>
      </c>
      <c r="W4124">
        <v>2</v>
      </c>
    </row>
    <row r="4125" spans="1:23" x14ac:dyDescent="0.2">
      <c r="A4125">
        <v>5137445</v>
      </c>
      <c r="B4125" t="s">
        <v>18</v>
      </c>
      <c r="C4125" t="s">
        <v>19</v>
      </c>
      <c r="D4125" t="s">
        <v>19</v>
      </c>
      <c r="E4125">
        <v>0</v>
      </c>
      <c r="F4125">
        <v>315000</v>
      </c>
      <c r="G4125" t="s">
        <v>31</v>
      </c>
      <c r="H4125" t="s">
        <v>22</v>
      </c>
      <c r="I4125" t="s">
        <v>23</v>
      </c>
      <c r="J4125" t="s">
        <v>24</v>
      </c>
      <c r="K4125" s="6">
        <f t="shared" ca="1" si="264"/>
        <v>32053</v>
      </c>
      <c r="L4125">
        <v>-13708</v>
      </c>
      <c r="M4125" s="7">
        <f t="shared" ca="1" si="262"/>
        <v>37.530458590006845</v>
      </c>
      <c r="N4125" s="5" t="str">
        <f ca="1">VLOOKUP(Data!M4125,temp!$B$3:$C$9,2,1)</f>
        <v>30-40</v>
      </c>
      <c r="O4125">
        <v>-1934</v>
      </c>
      <c r="P4125" s="8">
        <f t="shared" si="263"/>
        <v>5.2950034223134841</v>
      </c>
      <c r="Q4125" s="5" t="str">
        <f t="shared" si="265"/>
        <v>Employed</v>
      </c>
      <c r="R4125">
        <v>1</v>
      </c>
      <c r="S4125">
        <v>0</v>
      </c>
      <c r="T4125">
        <v>0</v>
      </c>
      <c r="U4125">
        <v>0</v>
      </c>
      <c r="V4125" t="s">
        <v>49</v>
      </c>
      <c r="W4125">
        <v>1</v>
      </c>
    </row>
    <row r="4126" spans="1:23" x14ac:dyDescent="0.2">
      <c r="A4126">
        <v>5137455</v>
      </c>
      <c r="B4126" t="s">
        <v>25</v>
      </c>
      <c r="C4126" t="s">
        <v>19</v>
      </c>
      <c r="D4126" t="s">
        <v>19</v>
      </c>
      <c r="E4126">
        <v>0</v>
      </c>
      <c r="F4126">
        <v>135000</v>
      </c>
      <c r="G4126" t="s">
        <v>21</v>
      </c>
      <c r="H4126" t="s">
        <v>27</v>
      </c>
      <c r="I4126" t="s">
        <v>28</v>
      </c>
      <c r="J4126" t="s">
        <v>24</v>
      </c>
      <c r="K4126" s="6">
        <f t="shared" ca="1" si="264"/>
        <v>27132</v>
      </c>
      <c r="L4126">
        <v>-18629</v>
      </c>
      <c r="M4126" s="7">
        <f t="shared" ca="1" si="262"/>
        <v>51.003422313483917</v>
      </c>
      <c r="N4126" s="5" t="str">
        <f ca="1">VLOOKUP(Data!M4126,temp!$B$3:$C$9,2,1)</f>
        <v>50-60</v>
      </c>
      <c r="O4126">
        <v>365243</v>
      </c>
      <c r="P4126" s="8">
        <f t="shared" si="263"/>
        <v>0</v>
      </c>
      <c r="Q4126" s="5" t="str">
        <f t="shared" si="265"/>
        <v>Unemployed</v>
      </c>
      <c r="R4126">
        <v>1</v>
      </c>
      <c r="S4126">
        <v>0</v>
      </c>
      <c r="T4126">
        <v>0</v>
      </c>
      <c r="U4126">
        <v>0</v>
      </c>
      <c r="W4126">
        <v>2</v>
      </c>
    </row>
    <row r="4127" spans="1:23" x14ac:dyDescent="0.2">
      <c r="A4127">
        <v>5137459</v>
      </c>
      <c r="B4127" t="s">
        <v>18</v>
      </c>
      <c r="C4127" t="s">
        <v>19</v>
      </c>
      <c r="D4127" t="s">
        <v>19</v>
      </c>
      <c r="E4127">
        <v>0</v>
      </c>
      <c r="F4127">
        <v>180000</v>
      </c>
      <c r="G4127" t="s">
        <v>31</v>
      </c>
      <c r="H4127" t="s">
        <v>22</v>
      </c>
      <c r="I4127" t="s">
        <v>28</v>
      </c>
      <c r="J4127" t="s">
        <v>24</v>
      </c>
      <c r="K4127" s="6">
        <f t="shared" ca="1" si="264"/>
        <v>27942</v>
      </c>
      <c r="L4127">
        <v>-17819</v>
      </c>
      <c r="M4127" s="7">
        <f t="shared" ca="1" si="262"/>
        <v>48.785763175906915</v>
      </c>
      <c r="N4127" s="5" t="str">
        <f ca="1">VLOOKUP(Data!M4127,temp!$B$3:$C$9,2,1)</f>
        <v>40-50</v>
      </c>
      <c r="O4127">
        <v>-2452</v>
      </c>
      <c r="P4127" s="8">
        <f t="shared" si="263"/>
        <v>6.7132101300479121</v>
      </c>
      <c r="Q4127" s="5" t="str">
        <f t="shared" si="265"/>
        <v>Employed</v>
      </c>
      <c r="R4127">
        <v>1</v>
      </c>
      <c r="S4127">
        <v>1</v>
      </c>
      <c r="T4127">
        <v>0</v>
      </c>
      <c r="U4127">
        <v>0</v>
      </c>
      <c r="V4127" t="s">
        <v>32</v>
      </c>
      <c r="W4127">
        <v>2</v>
      </c>
    </row>
    <row r="4128" spans="1:23" x14ac:dyDescent="0.2">
      <c r="A4128">
        <v>5137461</v>
      </c>
      <c r="B4128" t="s">
        <v>18</v>
      </c>
      <c r="C4128" t="s">
        <v>19</v>
      </c>
      <c r="D4128" t="s">
        <v>19</v>
      </c>
      <c r="E4128">
        <v>0</v>
      </c>
      <c r="F4128">
        <v>180000</v>
      </c>
      <c r="G4128" t="s">
        <v>31</v>
      </c>
      <c r="H4128" t="s">
        <v>22</v>
      </c>
      <c r="I4128" t="s">
        <v>28</v>
      </c>
      <c r="J4128" t="s">
        <v>24</v>
      </c>
      <c r="K4128" s="6">
        <f t="shared" ca="1" si="264"/>
        <v>27942</v>
      </c>
      <c r="L4128">
        <v>-17819</v>
      </c>
      <c r="M4128" s="7">
        <f t="shared" ca="1" si="262"/>
        <v>48.785763175906915</v>
      </c>
      <c r="N4128" s="5" t="str">
        <f ca="1">VLOOKUP(Data!M4128,temp!$B$3:$C$9,2,1)</f>
        <v>40-50</v>
      </c>
      <c r="O4128">
        <v>-2452</v>
      </c>
      <c r="P4128" s="8">
        <f t="shared" si="263"/>
        <v>6.7132101300479121</v>
      </c>
      <c r="Q4128" s="5" t="str">
        <f t="shared" si="265"/>
        <v>Employed</v>
      </c>
      <c r="R4128">
        <v>1</v>
      </c>
      <c r="S4128">
        <v>1</v>
      </c>
      <c r="T4128">
        <v>0</v>
      </c>
      <c r="U4128">
        <v>0</v>
      </c>
      <c r="V4128" t="s">
        <v>32</v>
      </c>
      <c r="W4128">
        <v>2</v>
      </c>
    </row>
    <row r="4129" spans="1:23" x14ac:dyDescent="0.2">
      <c r="A4129">
        <v>5137464</v>
      </c>
      <c r="B4129" t="s">
        <v>18</v>
      </c>
      <c r="C4129" t="s">
        <v>19</v>
      </c>
      <c r="D4129" t="s">
        <v>19</v>
      </c>
      <c r="E4129">
        <v>0</v>
      </c>
      <c r="F4129">
        <v>135000</v>
      </c>
      <c r="G4129" t="s">
        <v>31</v>
      </c>
      <c r="H4129" t="s">
        <v>27</v>
      </c>
      <c r="I4129" t="s">
        <v>28</v>
      </c>
      <c r="J4129" t="s">
        <v>24</v>
      </c>
      <c r="K4129" s="6">
        <f t="shared" ca="1" si="264"/>
        <v>30262</v>
      </c>
      <c r="L4129">
        <v>-15499</v>
      </c>
      <c r="M4129" s="7">
        <f t="shared" ca="1" si="262"/>
        <v>42.433949349760439</v>
      </c>
      <c r="N4129" s="5" t="str">
        <f ca="1">VLOOKUP(Data!M4129,temp!$B$3:$C$9,2,1)</f>
        <v>40-50</v>
      </c>
      <c r="O4129">
        <v>-869</v>
      </c>
      <c r="P4129" s="8">
        <f t="shared" si="263"/>
        <v>2.3791923340177958</v>
      </c>
      <c r="Q4129" s="5" t="str">
        <f t="shared" si="265"/>
        <v>Employed</v>
      </c>
      <c r="R4129">
        <v>1</v>
      </c>
      <c r="S4129">
        <v>0</v>
      </c>
      <c r="T4129">
        <v>0</v>
      </c>
      <c r="U4129">
        <v>0</v>
      </c>
      <c r="V4129" t="s">
        <v>49</v>
      </c>
      <c r="W4129">
        <v>2</v>
      </c>
    </row>
    <row r="4130" spans="1:23" x14ac:dyDescent="0.2">
      <c r="A4130">
        <v>5137465</v>
      </c>
      <c r="B4130" t="s">
        <v>18</v>
      </c>
      <c r="C4130" t="s">
        <v>19</v>
      </c>
      <c r="D4130" t="s">
        <v>19</v>
      </c>
      <c r="E4130">
        <v>0</v>
      </c>
      <c r="F4130">
        <v>135000</v>
      </c>
      <c r="G4130" t="s">
        <v>31</v>
      </c>
      <c r="H4130" t="s">
        <v>27</v>
      </c>
      <c r="I4130" t="s">
        <v>28</v>
      </c>
      <c r="J4130" t="s">
        <v>24</v>
      </c>
      <c r="K4130" s="6">
        <f t="shared" ca="1" si="264"/>
        <v>30262</v>
      </c>
      <c r="L4130">
        <v>-15499</v>
      </c>
      <c r="M4130" s="7">
        <f t="shared" ca="1" si="262"/>
        <v>42.433949349760439</v>
      </c>
      <c r="N4130" s="5" t="str">
        <f ca="1">VLOOKUP(Data!M4130,temp!$B$3:$C$9,2,1)</f>
        <v>40-50</v>
      </c>
      <c r="O4130">
        <v>-869</v>
      </c>
      <c r="P4130" s="8">
        <f t="shared" si="263"/>
        <v>2.3791923340177958</v>
      </c>
      <c r="Q4130" s="5" t="str">
        <f t="shared" si="265"/>
        <v>Employed</v>
      </c>
      <c r="R4130">
        <v>1</v>
      </c>
      <c r="S4130">
        <v>0</v>
      </c>
      <c r="T4130">
        <v>0</v>
      </c>
      <c r="U4130">
        <v>0</v>
      </c>
      <c r="V4130" t="s">
        <v>49</v>
      </c>
      <c r="W4130">
        <v>2</v>
      </c>
    </row>
    <row r="4131" spans="1:23" x14ac:dyDescent="0.2">
      <c r="A4131">
        <v>5137467</v>
      </c>
      <c r="B4131" t="s">
        <v>18</v>
      </c>
      <c r="C4131" t="s">
        <v>19</v>
      </c>
      <c r="D4131" t="s">
        <v>19</v>
      </c>
      <c r="E4131">
        <v>0</v>
      </c>
      <c r="F4131">
        <v>135000</v>
      </c>
      <c r="G4131" t="s">
        <v>31</v>
      </c>
      <c r="H4131" t="s">
        <v>27</v>
      </c>
      <c r="I4131" t="s">
        <v>28</v>
      </c>
      <c r="J4131" t="s">
        <v>24</v>
      </c>
      <c r="K4131" s="6">
        <f t="shared" ca="1" si="264"/>
        <v>30262</v>
      </c>
      <c r="L4131">
        <v>-15499</v>
      </c>
      <c r="M4131" s="7">
        <f t="shared" ca="1" si="262"/>
        <v>42.433949349760439</v>
      </c>
      <c r="N4131" s="5" t="str">
        <f ca="1">VLOOKUP(Data!M4131,temp!$B$3:$C$9,2,1)</f>
        <v>40-50</v>
      </c>
      <c r="O4131">
        <v>-869</v>
      </c>
      <c r="P4131" s="8">
        <f t="shared" si="263"/>
        <v>2.3791923340177958</v>
      </c>
      <c r="Q4131" s="5" t="str">
        <f t="shared" si="265"/>
        <v>Employed</v>
      </c>
      <c r="R4131">
        <v>1</v>
      </c>
      <c r="S4131">
        <v>0</v>
      </c>
      <c r="T4131">
        <v>0</v>
      </c>
      <c r="U4131">
        <v>0</v>
      </c>
      <c r="V4131" t="s">
        <v>49</v>
      </c>
      <c r="W4131">
        <v>2</v>
      </c>
    </row>
    <row r="4132" spans="1:23" x14ac:dyDescent="0.2">
      <c r="A4132">
        <v>5137509</v>
      </c>
      <c r="B4132" t="s">
        <v>25</v>
      </c>
      <c r="C4132" t="s">
        <v>20</v>
      </c>
      <c r="D4132" t="s">
        <v>19</v>
      </c>
      <c r="E4132">
        <v>1</v>
      </c>
      <c r="F4132">
        <v>225000</v>
      </c>
      <c r="G4132" t="s">
        <v>26</v>
      </c>
      <c r="H4132" t="s">
        <v>22</v>
      </c>
      <c r="I4132" t="s">
        <v>28</v>
      </c>
      <c r="J4132" t="s">
        <v>41</v>
      </c>
      <c r="K4132" s="6">
        <f t="shared" ca="1" si="264"/>
        <v>33224</v>
      </c>
      <c r="L4132">
        <v>-12537</v>
      </c>
      <c r="M4132" s="7">
        <f t="shared" ca="1" si="262"/>
        <v>34.324435318275157</v>
      </c>
      <c r="N4132" s="5" t="str">
        <f ca="1">VLOOKUP(Data!M4132,temp!$B$3:$C$9,2,1)</f>
        <v>30-40</v>
      </c>
      <c r="O4132">
        <v>-3760</v>
      </c>
      <c r="P4132" s="8">
        <f t="shared" si="263"/>
        <v>10.294318959616701</v>
      </c>
      <c r="Q4132" s="5" t="str">
        <f t="shared" si="265"/>
        <v>Employed</v>
      </c>
      <c r="R4132">
        <v>1</v>
      </c>
      <c r="S4132">
        <v>1</v>
      </c>
      <c r="T4132">
        <v>0</v>
      </c>
      <c r="U4132">
        <v>0</v>
      </c>
      <c r="V4132" t="s">
        <v>47</v>
      </c>
      <c r="W4132">
        <v>3</v>
      </c>
    </row>
    <row r="4133" spans="1:23" x14ac:dyDescent="0.2">
      <c r="A4133">
        <v>5137517</v>
      </c>
      <c r="B4133" t="s">
        <v>18</v>
      </c>
      <c r="C4133" t="s">
        <v>20</v>
      </c>
      <c r="D4133" t="s">
        <v>19</v>
      </c>
      <c r="E4133">
        <v>1</v>
      </c>
      <c r="F4133">
        <v>67500</v>
      </c>
      <c r="G4133" t="s">
        <v>26</v>
      </c>
      <c r="H4133" t="s">
        <v>27</v>
      </c>
      <c r="I4133" t="s">
        <v>28</v>
      </c>
      <c r="J4133" t="s">
        <v>24</v>
      </c>
      <c r="K4133" s="6">
        <f t="shared" ca="1" si="264"/>
        <v>34607</v>
      </c>
      <c r="L4133">
        <v>-11154</v>
      </c>
      <c r="M4133" s="7">
        <f t="shared" ca="1" si="262"/>
        <v>30.537987679671456</v>
      </c>
      <c r="N4133" s="5" t="str">
        <f ca="1">VLOOKUP(Data!M4133,temp!$B$3:$C$9,2,1)</f>
        <v>30-40</v>
      </c>
      <c r="O4133">
        <v>-231</v>
      </c>
      <c r="P4133" s="8">
        <f t="shared" si="263"/>
        <v>0.63244353182751545</v>
      </c>
      <c r="Q4133" s="5" t="str">
        <f t="shared" si="265"/>
        <v>Employed</v>
      </c>
      <c r="R4133">
        <v>1</v>
      </c>
      <c r="S4133">
        <v>1</v>
      </c>
      <c r="T4133">
        <v>1</v>
      </c>
      <c r="U4133">
        <v>0</v>
      </c>
      <c r="W4133">
        <v>3</v>
      </c>
    </row>
    <row r="4134" spans="1:23" x14ac:dyDescent="0.2">
      <c r="A4134">
        <v>5137521</v>
      </c>
      <c r="B4134" t="s">
        <v>18</v>
      </c>
      <c r="C4134" t="s">
        <v>20</v>
      </c>
      <c r="D4134" t="s">
        <v>19</v>
      </c>
      <c r="E4134">
        <v>0</v>
      </c>
      <c r="F4134">
        <v>126000</v>
      </c>
      <c r="G4134" t="s">
        <v>31</v>
      </c>
      <c r="H4134" t="s">
        <v>27</v>
      </c>
      <c r="I4134" t="s">
        <v>23</v>
      </c>
      <c r="J4134" t="s">
        <v>24</v>
      </c>
      <c r="K4134" s="6">
        <f t="shared" ca="1" si="264"/>
        <v>25011</v>
      </c>
      <c r="L4134">
        <v>-20750</v>
      </c>
      <c r="M4134" s="7">
        <f t="shared" ca="1" si="262"/>
        <v>56.810403832991099</v>
      </c>
      <c r="N4134" s="5" t="str">
        <f ca="1">VLOOKUP(Data!M4134,temp!$B$3:$C$9,2,1)</f>
        <v>50-60</v>
      </c>
      <c r="O4134">
        <v>-443</v>
      </c>
      <c r="P4134" s="8">
        <f t="shared" si="263"/>
        <v>1.2128678986995209</v>
      </c>
      <c r="Q4134" s="5" t="str">
        <f t="shared" si="265"/>
        <v>Employed</v>
      </c>
      <c r="R4134">
        <v>1</v>
      </c>
      <c r="S4134">
        <v>1</v>
      </c>
      <c r="T4134">
        <v>0</v>
      </c>
      <c r="U4134">
        <v>0</v>
      </c>
      <c r="V4134" t="s">
        <v>44</v>
      </c>
      <c r="W4134">
        <v>1</v>
      </c>
    </row>
    <row r="4135" spans="1:23" x14ac:dyDescent="0.2">
      <c r="A4135">
        <v>5137524</v>
      </c>
      <c r="B4135" t="s">
        <v>25</v>
      </c>
      <c r="C4135" t="s">
        <v>19</v>
      </c>
      <c r="D4135" t="s">
        <v>19</v>
      </c>
      <c r="E4135">
        <v>0</v>
      </c>
      <c r="F4135">
        <v>135000</v>
      </c>
      <c r="G4135" t="s">
        <v>31</v>
      </c>
      <c r="H4135" t="s">
        <v>27</v>
      </c>
      <c r="I4135" t="s">
        <v>28</v>
      </c>
      <c r="J4135" t="s">
        <v>24</v>
      </c>
      <c r="K4135" s="6">
        <f t="shared" ca="1" si="264"/>
        <v>30907</v>
      </c>
      <c r="L4135">
        <v>-14854</v>
      </c>
      <c r="M4135" s="7">
        <f t="shared" ca="1" si="262"/>
        <v>40.668035592060235</v>
      </c>
      <c r="N4135" s="5" t="str">
        <f ca="1">VLOOKUP(Data!M4135,temp!$B$3:$C$9,2,1)</f>
        <v>40-50</v>
      </c>
      <c r="O4135">
        <v>-3518</v>
      </c>
      <c r="P4135" s="8">
        <f t="shared" si="263"/>
        <v>9.631759069130732</v>
      </c>
      <c r="Q4135" s="5" t="str">
        <f t="shared" si="265"/>
        <v>Employed</v>
      </c>
      <c r="R4135">
        <v>1</v>
      </c>
      <c r="S4135">
        <v>1</v>
      </c>
      <c r="T4135">
        <v>0</v>
      </c>
      <c r="U4135">
        <v>0</v>
      </c>
      <c r="V4135" t="s">
        <v>30</v>
      </c>
      <c r="W4135">
        <v>2</v>
      </c>
    </row>
    <row r="4136" spans="1:23" x14ac:dyDescent="0.2">
      <c r="A4136">
        <v>5137528</v>
      </c>
      <c r="B4136" t="s">
        <v>25</v>
      </c>
      <c r="C4136" t="s">
        <v>19</v>
      </c>
      <c r="D4136" t="s">
        <v>19</v>
      </c>
      <c r="E4136">
        <v>0</v>
      </c>
      <c r="F4136">
        <v>135000</v>
      </c>
      <c r="G4136" t="s">
        <v>31</v>
      </c>
      <c r="H4136" t="s">
        <v>27</v>
      </c>
      <c r="I4136" t="s">
        <v>28</v>
      </c>
      <c r="J4136" t="s">
        <v>24</v>
      </c>
      <c r="K4136" s="6">
        <f t="shared" ca="1" si="264"/>
        <v>30907</v>
      </c>
      <c r="L4136">
        <v>-14854</v>
      </c>
      <c r="M4136" s="7">
        <f t="shared" ca="1" si="262"/>
        <v>40.668035592060235</v>
      </c>
      <c r="N4136" s="5" t="str">
        <f ca="1">VLOOKUP(Data!M4136,temp!$B$3:$C$9,2,1)</f>
        <v>40-50</v>
      </c>
      <c r="O4136">
        <v>-3518</v>
      </c>
      <c r="P4136" s="8">
        <f t="shared" si="263"/>
        <v>9.631759069130732</v>
      </c>
      <c r="Q4136" s="5" t="str">
        <f t="shared" si="265"/>
        <v>Employed</v>
      </c>
      <c r="R4136">
        <v>1</v>
      </c>
      <c r="S4136">
        <v>1</v>
      </c>
      <c r="T4136">
        <v>0</v>
      </c>
      <c r="U4136">
        <v>0</v>
      </c>
      <c r="V4136" t="s">
        <v>30</v>
      </c>
      <c r="W4136">
        <v>2</v>
      </c>
    </row>
    <row r="4137" spans="1:23" x14ac:dyDescent="0.2">
      <c r="A4137">
        <v>5139310</v>
      </c>
      <c r="B4137" t="s">
        <v>25</v>
      </c>
      <c r="C4137" t="s">
        <v>20</v>
      </c>
      <c r="D4137" t="s">
        <v>20</v>
      </c>
      <c r="E4137">
        <v>0</v>
      </c>
      <c r="F4137">
        <v>180000</v>
      </c>
      <c r="G4137" t="s">
        <v>35</v>
      </c>
      <c r="H4137" t="s">
        <v>22</v>
      </c>
      <c r="I4137" t="s">
        <v>28</v>
      </c>
      <c r="J4137" t="s">
        <v>24</v>
      </c>
      <c r="K4137" s="6">
        <f t="shared" ca="1" si="264"/>
        <v>35670</v>
      </c>
      <c r="L4137">
        <v>-10091</v>
      </c>
      <c r="M4137" s="7">
        <f t="shared" ca="1" si="262"/>
        <v>27.627652292950035</v>
      </c>
      <c r="N4137" s="5" t="str">
        <f ca="1">VLOOKUP(Data!M4137,temp!$B$3:$C$9,2,1)</f>
        <v>20-30</v>
      </c>
      <c r="O4137">
        <v>-643</v>
      </c>
      <c r="P4137" s="8">
        <f t="shared" si="263"/>
        <v>1.7604380561259412</v>
      </c>
      <c r="Q4137" s="5" t="str">
        <f t="shared" si="265"/>
        <v>Employed</v>
      </c>
      <c r="R4137">
        <v>1</v>
      </c>
      <c r="S4137">
        <v>0</v>
      </c>
      <c r="T4137">
        <v>0</v>
      </c>
      <c r="U4137">
        <v>0</v>
      </c>
      <c r="V4137" t="s">
        <v>47</v>
      </c>
      <c r="W4137">
        <v>2</v>
      </c>
    </row>
    <row r="4138" spans="1:23" x14ac:dyDescent="0.2">
      <c r="A4138">
        <v>5139314</v>
      </c>
      <c r="B4138" t="s">
        <v>25</v>
      </c>
      <c r="C4138" t="s">
        <v>20</v>
      </c>
      <c r="D4138" t="s">
        <v>20</v>
      </c>
      <c r="E4138">
        <v>0</v>
      </c>
      <c r="F4138">
        <v>180000</v>
      </c>
      <c r="G4138" t="s">
        <v>35</v>
      </c>
      <c r="H4138" t="s">
        <v>22</v>
      </c>
      <c r="I4138" t="s">
        <v>28</v>
      </c>
      <c r="J4138" t="s">
        <v>24</v>
      </c>
      <c r="K4138" s="6">
        <f t="shared" ca="1" si="264"/>
        <v>35670</v>
      </c>
      <c r="L4138">
        <v>-10091</v>
      </c>
      <c r="M4138" s="7">
        <f t="shared" ca="1" si="262"/>
        <v>27.627652292950035</v>
      </c>
      <c r="N4138" s="5" t="str">
        <f ca="1">VLOOKUP(Data!M4138,temp!$B$3:$C$9,2,1)</f>
        <v>20-30</v>
      </c>
      <c r="O4138">
        <v>-643</v>
      </c>
      <c r="P4138" s="8">
        <f t="shared" si="263"/>
        <v>1.7604380561259412</v>
      </c>
      <c r="Q4138" s="5" t="str">
        <f t="shared" si="265"/>
        <v>Employed</v>
      </c>
      <c r="R4138">
        <v>1</v>
      </c>
      <c r="S4138">
        <v>0</v>
      </c>
      <c r="T4138">
        <v>0</v>
      </c>
      <c r="U4138">
        <v>0</v>
      </c>
      <c r="V4138" t="s">
        <v>47</v>
      </c>
      <c r="W4138">
        <v>2</v>
      </c>
    </row>
    <row r="4139" spans="1:23" x14ac:dyDescent="0.2">
      <c r="A4139">
        <v>5139355</v>
      </c>
      <c r="B4139" t="s">
        <v>18</v>
      </c>
      <c r="C4139" t="s">
        <v>20</v>
      </c>
      <c r="D4139" t="s">
        <v>20</v>
      </c>
      <c r="E4139">
        <v>0</v>
      </c>
      <c r="F4139">
        <v>202500</v>
      </c>
      <c r="G4139" t="s">
        <v>31</v>
      </c>
      <c r="H4139" t="s">
        <v>27</v>
      </c>
      <c r="I4139" t="s">
        <v>28</v>
      </c>
      <c r="J4139" t="s">
        <v>24</v>
      </c>
      <c r="K4139" s="6">
        <f t="shared" ca="1" si="264"/>
        <v>27017</v>
      </c>
      <c r="L4139">
        <v>-18744</v>
      </c>
      <c r="M4139" s="7">
        <f t="shared" ca="1" si="262"/>
        <v>51.318275154004105</v>
      </c>
      <c r="N4139" s="5" t="str">
        <f ca="1">VLOOKUP(Data!M4139,temp!$B$3:$C$9,2,1)</f>
        <v>50-60</v>
      </c>
      <c r="O4139">
        <v>-2988</v>
      </c>
      <c r="P4139" s="8">
        <f t="shared" si="263"/>
        <v>8.1806981519507183</v>
      </c>
      <c r="Q4139" s="5" t="str">
        <f t="shared" si="265"/>
        <v>Employed</v>
      </c>
      <c r="R4139">
        <v>1</v>
      </c>
      <c r="S4139">
        <v>0</v>
      </c>
      <c r="T4139">
        <v>0</v>
      </c>
      <c r="U4139">
        <v>0</v>
      </c>
      <c r="V4139" t="s">
        <v>49</v>
      </c>
      <c r="W4139">
        <v>2</v>
      </c>
    </row>
    <row r="4140" spans="1:23" x14ac:dyDescent="0.2">
      <c r="A4140">
        <v>5139381</v>
      </c>
      <c r="B4140" t="s">
        <v>18</v>
      </c>
      <c r="C4140" t="s">
        <v>19</v>
      </c>
      <c r="D4140" t="s">
        <v>20</v>
      </c>
      <c r="E4140">
        <v>1</v>
      </c>
      <c r="F4140">
        <v>117000</v>
      </c>
      <c r="G4140" t="s">
        <v>31</v>
      </c>
      <c r="H4140" t="s">
        <v>27</v>
      </c>
      <c r="I4140" t="s">
        <v>37</v>
      </c>
      <c r="J4140" t="s">
        <v>53</v>
      </c>
      <c r="K4140" s="6">
        <f t="shared" ca="1" si="264"/>
        <v>35483</v>
      </c>
      <c r="L4140">
        <v>-10278</v>
      </c>
      <c r="M4140" s="7">
        <f t="shared" ca="1" si="262"/>
        <v>28.139630390143736</v>
      </c>
      <c r="N4140" s="5" t="str">
        <f ca="1">VLOOKUP(Data!M4140,temp!$B$3:$C$9,2,1)</f>
        <v>20-30</v>
      </c>
      <c r="O4140">
        <v>-1619</v>
      </c>
      <c r="P4140" s="8">
        <f t="shared" si="263"/>
        <v>4.4325804243668721</v>
      </c>
      <c r="Q4140" s="5" t="str">
        <f t="shared" si="265"/>
        <v>Employed</v>
      </c>
      <c r="R4140">
        <v>1</v>
      </c>
      <c r="S4140">
        <v>0</v>
      </c>
      <c r="T4140">
        <v>0</v>
      </c>
      <c r="U4140">
        <v>0</v>
      </c>
      <c r="W4140">
        <v>3</v>
      </c>
    </row>
    <row r="4141" spans="1:23" x14ac:dyDescent="0.2">
      <c r="A4141">
        <v>5139406</v>
      </c>
      <c r="B4141" t="s">
        <v>18</v>
      </c>
      <c r="C4141" t="s">
        <v>20</v>
      </c>
      <c r="D4141" t="s">
        <v>20</v>
      </c>
      <c r="E4141">
        <v>2</v>
      </c>
      <c r="F4141">
        <v>135000</v>
      </c>
      <c r="G4141" t="s">
        <v>35</v>
      </c>
      <c r="H4141" t="s">
        <v>27</v>
      </c>
      <c r="I4141" t="s">
        <v>28</v>
      </c>
      <c r="J4141" t="s">
        <v>24</v>
      </c>
      <c r="K4141" s="6">
        <f t="shared" ca="1" si="264"/>
        <v>31322</v>
      </c>
      <c r="L4141">
        <v>-14439</v>
      </c>
      <c r="M4141" s="7">
        <f t="shared" ca="1" si="262"/>
        <v>39.531827515400408</v>
      </c>
      <c r="N4141" s="5" t="str">
        <f ca="1">VLOOKUP(Data!M4141,temp!$B$3:$C$9,2,1)</f>
        <v>30-40</v>
      </c>
      <c r="O4141">
        <v>-6094</v>
      </c>
      <c r="P4141" s="8">
        <f t="shared" si="263"/>
        <v>16.684462696783026</v>
      </c>
      <c r="Q4141" s="5" t="str">
        <f t="shared" si="265"/>
        <v>Employed</v>
      </c>
      <c r="R4141">
        <v>1</v>
      </c>
      <c r="S4141">
        <v>1</v>
      </c>
      <c r="T4141">
        <v>0</v>
      </c>
      <c r="U4141">
        <v>0</v>
      </c>
      <c r="V4141" t="s">
        <v>38</v>
      </c>
      <c r="W4141">
        <v>4</v>
      </c>
    </row>
    <row r="4142" spans="1:23" x14ac:dyDescent="0.2">
      <c r="A4142">
        <v>5139442</v>
      </c>
      <c r="B4142" t="s">
        <v>18</v>
      </c>
      <c r="C4142" t="s">
        <v>20</v>
      </c>
      <c r="D4142" t="s">
        <v>19</v>
      </c>
      <c r="E4142">
        <v>5</v>
      </c>
      <c r="F4142">
        <v>112500</v>
      </c>
      <c r="G4142" t="s">
        <v>31</v>
      </c>
      <c r="H4142" t="s">
        <v>27</v>
      </c>
      <c r="I4142" t="s">
        <v>28</v>
      </c>
      <c r="J4142" t="s">
        <v>24</v>
      </c>
      <c r="K4142" s="6">
        <f t="shared" ca="1" si="264"/>
        <v>33659</v>
      </c>
      <c r="L4142">
        <v>-12102</v>
      </c>
      <c r="M4142" s="7">
        <f t="shared" ca="1" si="262"/>
        <v>33.133470225872692</v>
      </c>
      <c r="N4142" s="5" t="str">
        <f ca="1">VLOOKUP(Data!M4142,temp!$B$3:$C$9,2,1)</f>
        <v>30-40</v>
      </c>
      <c r="O4142">
        <v>-1346</v>
      </c>
      <c r="P4142" s="8">
        <f t="shared" si="263"/>
        <v>3.6851471594798082</v>
      </c>
      <c r="Q4142" s="5" t="str">
        <f t="shared" si="265"/>
        <v>Employed</v>
      </c>
      <c r="R4142">
        <v>1</v>
      </c>
      <c r="S4142">
        <v>1</v>
      </c>
      <c r="T4142">
        <v>0</v>
      </c>
      <c r="U4142">
        <v>0</v>
      </c>
      <c r="W4142">
        <v>7</v>
      </c>
    </row>
    <row r="4143" spans="1:23" x14ac:dyDescent="0.2">
      <c r="A4143">
        <v>5139456</v>
      </c>
      <c r="B4143" t="s">
        <v>18</v>
      </c>
      <c r="C4143" t="s">
        <v>19</v>
      </c>
      <c r="D4143" t="s">
        <v>20</v>
      </c>
      <c r="E4143">
        <v>0</v>
      </c>
      <c r="F4143">
        <v>180000</v>
      </c>
      <c r="G4143" t="s">
        <v>21</v>
      </c>
      <c r="H4143" t="s">
        <v>27</v>
      </c>
      <c r="I4143" t="s">
        <v>28</v>
      </c>
      <c r="J4143" t="s">
        <v>24</v>
      </c>
      <c r="K4143" s="6">
        <f t="shared" ca="1" si="264"/>
        <v>22492</v>
      </c>
      <c r="L4143">
        <v>-23269</v>
      </c>
      <c r="M4143" s="7">
        <f t="shared" ca="1" si="262"/>
        <v>63.707049965776868</v>
      </c>
      <c r="N4143" s="5" t="str">
        <f ca="1">VLOOKUP(Data!M4143,temp!$B$3:$C$9,2,1)</f>
        <v>60-70</v>
      </c>
      <c r="O4143">
        <v>365243</v>
      </c>
      <c r="P4143" s="8">
        <f t="shared" si="263"/>
        <v>0</v>
      </c>
      <c r="Q4143" s="5" t="str">
        <f t="shared" si="265"/>
        <v>Unemployed</v>
      </c>
      <c r="R4143">
        <v>1</v>
      </c>
      <c r="S4143">
        <v>0</v>
      </c>
      <c r="T4143">
        <v>1</v>
      </c>
      <c r="U4143">
        <v>0</v>
      </c>
      <c r="W4143">
        <v>2</v>
      </c>
    </row>
    <row r="4144" spans="1:23" x14ac:dyDescent="0.2">
      <c r="A4144">
        <v>5139488</v>
      </c>
      <c r="B4144" t="s">
        <v>18</v>
      </c>
      <c r="C4144" t="s">
        <v>19</v>
      </c>
      <c r="D4144" t="s">
        <v>20</v>
      </c>
      <c r="E4144">
        <v>0</v>
      </c>
      <c r="F4144">
        <v>225000</v>
      </c>
      <c r="G4144" t="s">
        <v>31</v>
      </c>
      <c r="H4144" t="s">
        <v>27</v>
      </c>
      <c r="I4144" t="s">
        <v>28</v>
      </c>
      <c r="J4144" t="s">
        <v>41</v>
      </c>
      <c r="K4144" s="6">
        <f t="shared" ca="1" si="264"/>
        <v>29651</v>
      </c>
      <c r="L4144">
        <v>-16110</v>
      </c>
      <c r="M4144" s="7">
        <f t="shared" ca="1" si="262"/>
        <v>44.106776180698155</v>
      </c>
      <c r="N4144" s="5" t="str">
        <f ca="1">VLOOKUP(Data!M4144,temp!$B$3:$C$9,2,1)</f>
        <v>40-50</v>
      </c>
      <c r="O4144">
        <v>-401</v>
      </c>
      <c r="P4144" s="8">
        <f t="shared" si="263"/>
        <v>1.0978781656399725</v>
      </c>
      <c r="Q4144" s="5" t="str">
        <f t="shared" si="265"/>
        <v>Employed</v>
      </c>
      <c r="R4144">
        <v>1</v>
      </c>
      <c r="S4144">
        <v>0</v>
      </c>
      <c r="T4144">
        <v>0</v>
      </c>
      <c r="U4144">
        <v>0</v>
      </c>
      <c r="V4144" t="s">
        <v>55</v>
      </c>
      <c r="W4144">
        <v>2</v>
      </c>
    </row>
    <row r="4145" spans="1:23" x14ac:dyDescent="0.2">
      <c r="A4145">
        <v>5139504</v>
      </c>
      <c r="B4145" t="s">
        <v>18</v>
      </c>
      <c r="C4145" t="s">
        <v>19</v>
      </c>
      <c r="D4145" t="s">
        <v>20</v>
      </c>
      <c r="E4145">
        <v>0</v>
      </c>
      <c r="F4145">
        <v>270000</v>
      </c>
      <c r="G4145" t="s">
        <v>26</v>
      </c>
      <c r="H4145" t="s">
        <v>22</v>
      </c>
      <c r="I4145" t="s">
        <v>33</v>
      </c>
      <c r="J4145" t="s">
        <v>24</v>
      </c>
      <c r="K4145" s="6">
        <f t="shared" ca="1" si="264"/>
        <v>31751</v>
      </c>
      <c r="L4145">
        <v>-14010</v>
      </c>
      <c r="M4145" s="7">
        <f t="shared" ca="1" si="262"/>
        <v>38.357289527720738</v>
      </c>
      <c r="N4145" s="5" t="str">
        <f ca="1">VLOOKUP(Data!M4145,temp!$B$3:$C$9,2,1)</f>
        <v>30-40</v>
      </c>
      <c r="O4145">
        <v>-3050</v>
      </c>
      <c r="P4145" s="8">
        <f t="shared" si="263"/>
        <v>8.3504449007529082</v>
      </c>
      <c r="Q4145" s="5" t="str">
        <f t="shared" si="265"/>
        <v>Employed</v>
      </c>
      <c r="R4145">
        <v>1</v>
      </c>
      <c r="S4145">
        <v>0</v>
      </c>
      <c r="T4145">
        <v>1</v>
      </c>
      <c r="U4145">
        <v>1</v>
      </c>
      <c r="V4145" t="s">
        <v>49</v>
      </c>
      <c r="W4145">
        <v>1</v>
      </c>
    </row>
    <row r="4146" spans="1:23" x14ac:dyDescent="0.2">
      <c r="A4146">
        <v>5139528</v>
      </c>
      <c r="B4146" t="s">
        <v>25</v>
      </c>
      <c r="C4146" t="s">
        <v>19</v>
      </c>
      <c r="D4146" t="s">
        <v>20</v>
      </c>
      <c r="E4146">
        <v>0</v>
      </c>
      <c r="F4146">
        <v>135000</v>
      </c>
      <c r="G4146" t="s">
        <v>31</v>
      </c>
      <c r="H4146" t="s">
        <v>22</v>
      </c>
      <c r="I4146" t="s">
        <v>28</v>
      </c>
      <c r="J4146" t="s">
        <v>41</v>
      </c>
      <c r="K4146" s="6">
        <f t="shared" ca="1" si="264"/>
        <v>31027</v>
      </c>
      <c r="L4146">
        <v>-14734</v>
      </c>
      <c r="M4146" s="7">
        <f t="shared" ca="1" si="262"/>
        <v>40.33949349760438</v>
      </c>
      <c r="N4146" s="5" t="str">
        <f ca="1">VLOOKUP(Data!M4146,temp!$B$3:$C$9,2,1)</f>
        <v>40-50</v>
      </c>
      <c r="O4146">
        <v>-3172</v>
      </c>
      <c r="P4146" s="8">
        <f t="shared" si="263"/>
        <v>8.6844626967830258</v>
      </c>
      <c r="Q4146" s="5" t="str">
        <f t="shared" si="265"/>
        <v>Employed</v>
      </c>
      <c r="R4146">
        <v>1</v>
      </c>
      <c r="S4146">
        <v>1</v>
      </c>
      <c r="T4146">
        <v>1</v>
      </c>
      <c r="U4146">
        <v>0</v>
      </c>
      <c r="W4146">
        <v>2</v>
      </c>
    </row>
    <row r="4147" spans="1:23" x14ac:dyDescent="0.2">
      <c r="A4147">
        <v>5139551</v>
      </c>
      <c r="B4147" t="s">
        <v>18</v>
      </c>
      <c r="C4147" t="s">
        <v>20</v>
      </c>
      <c r="D4147" t="s">
        <v>20</v>
      </c>
      <c r="E4147">
        <v>2</v>
      </c>
      <c r="F4147">
        <v>157500</v>
      </c>
      <c r="G4147" t="s">
        <v>26</v>
      </c>
      <c r="H4147" t="s">
        <v>22</v>
      </c>
      <c r="I4147" t="s">
        <v>28</v>
      </c>
      <c r="J4147" t="s">
        <v>24</v>
      </c>
      <c r="K4147" s="6">
        <f t="shared" ca="1" si="264"/>
        <v>32177</v>
      </c>
      <c r="L4147">
        <v>-13584</v>
      </c>
      <c r="M4147" s="7">
        <f t="shared" ca="1" si="262"/>
        <v>37.190965092402465</v>
      </c>
      <c r="N4147" s="5" t="str">
        <f ca="1">VLOOKUP(Data!M4147,temp!$B$3:$C$9,2,1)</f>
        <v>30-40</v>
      </c>
      <c r="O4147">
        <v>-6337</v>
      </c>
      <c r="P4147" s="8">
        <f t="shared" si="263"/>
        <v>17.349760438056126</v>
      </c>
      <c r="Q4147" s="5" t="str">
        <f t="shared" si="265"/>
        <v>Employed</v>
      </c>
      <c r="R4147">
        <v>1</v>
      </c>
      <c r="S4147">
        <v>0</v>
      </c>
      <c r="T4147">
        <v>1</v>
      </c>
      <c r="U4147">
        <v>0</v>
      </c>
      <c r="V4147" t="s">
        <v>50</v>
      </c>
      <c r="W4147">
        <v>4</v>
      </c>
    </row>
    <row r="4148" spans="1:23" x14ac:dyDescent="0.2">
      <c r="A4148">
        <v>5139553</v>
      </c>
      <c r="B4148" t="s">
        <v>18</v>
      </c>
      <c r="C4148" t="s">
        <v>20</v>
      </c>
      <c r="D4148" t="s">
        <v>20</v>
      </c>
      <c r="E4148">
        <v>2</v>
      </c>
      <c r="F4148">
        <v>157500</v>
      </c>
      <c r="G4148" t="s">
        <v>26</v>
      </c>
      <c r="H4148" t="s">
        <v>22</v>
      </c>
      <c r="I4148" t="s">
        <v>28</v>
      </c>
      <c r="J4148" t="s">
        <v>24</v>
      </c>
      <c r="K4148" s="6">
        <f t="shared" ca="1" si="264"/>
        <v>32177</v>
      </c>
      <c r="L4148">
        <v>-13584</v>
      </c>
      <c r="M4148" s="7">
        <f t="shared" ca="1" si="262"/>
        <v>37.190965092402465</v>
      </c>
      <c r="N4148" s="5" t="str">
        <f ca="1">VLOOKUP(Data!M4148,temp!$B$3:$C$9,2,1)</f>
        <v>30-40</v>
      </c>
      <c r="O4148">
        <v>-6337</v>
      </c>
      <c r="P4148" s="8">
        <f t="shared" si="263"/>
        <v>17.349760438056126</v>
      </c>
      <c r="Q4148" s="5" t="str">
        <f t="shared" si="265"/>
        <v>Employed</v>
      </c>
      <c r="R4148">
        <v>1</v>
      </c>
      <c r="S4148">
        <v>0</v>
      </c>
      <c r="T4148">
        <v>1</v>
      </c>
      <c r="U4148">
        <v>0</v>
      </c>
      <c r="V4148" t="s">
        <v>50</v>
      </c>
      <c r="W4148">
        <v>4</v>
      </c>
    </row>
    <row r="4149" spans="1:23" x14ac:dyDescent="0.2">
      <c r="A4149">
        <v>5139572</v>
      </c>
      <c r="B4149" t="s">
        <v>18</v>
      </c>
      <c r="C4149" t="s">
        <v>20</v>
      </c>
      <c r="D4149" t="s">
        <v>20</v>
      </c>
      <c r="E4149">
        <v>2</v>
      </c>
      <c r="F4149">
        <v>225000</v>
      </c>
      <c r="G4149" t="s">
        <v>35</v>
      </c>
      <c r="H4149" t="s">
        <v>36</v>
      </c>
      <c r="I4149" t="s">
        <v>28</v>
      </c>
      <c r="J4149" t="s">
        <v>24</v>
      </c>
      <c r="K4149" s="6">
        <f t="shared" ca="1" si="264"/>
        <v>31108</v>
      </c>
      <c r="L4149">
        <v>-14653</v>
      </c>
      <c r="M4149" s="7">
        <f t="shared" ca="1" si="262"/>
        <v>40.11772758384668</v>
      </c>
      <c r="N4149" s="5" t="str">
        <f ca="1">VLOOKUP(Data!M4149,temp!$B$3:$C$9,2,1)</f>
        <v>40-50</v>
      </c>
      <c r="O4149">
        <v>-8071</v>
      </c>
      <c r="P4149" s="8">
        <f t="shared" si="263"/>
        <v>22.097193702943191</v>
      </c>
      <c r="Q4149" s="5" t="str">
        <f t="shared" si="265"/>
        <v>Employed</v>
      </c>
      <c r="R4149">
        <v>1</v>
      </c>
      <c r="S4149">
        <v>0</v>
      </c>
      <c r="T4149">
        <v>0</v>
      </c>
      <c r="U4149">
        <v>0</v>
      </c>
      <c r="W4149">
        <v>4</v>
      </c>
    </row>
    <row r="4150" spans="1:23" x14ac:dyDescent="0.2">
      <c r="A4150">
        <v>5139578</v>
      </c>
      <c r="B4150" t="s">
        <v>18</v>
      </c>
      <c r="C4150" t="s">
        <v>19</v>
      </c>
      <c r="D4150" t="s">
        <v>20</v>
      </c>
      <c r="E4150">
        <v>0</v>
      </c>
      <c r="F4150">
        <v>180000</v>
      </c>
      <c r="G4150" t="s">
        <v>21</v>
      </c>
      <c r="H4150" t="s">
        <v>27</v>
      </c>
      <c r="I4150" t="s">
        <v>42</v>
      </c>
      <c r="J4150" t="s">
        <v>24</v>
      </c>
      <c r="K4150" s="6">
        <f t="shared" ca="1" si="264"/>
        <v>22340</v>
      </c>
      <c r="L4150">
        <v>-23421</v>
      </c>
      <c r="M4150" s="7">
        <f t="shared" ca="1" si="262"/>
        <v>64.123203285420942</v>
      </c>
      <c r="N4150" s="5" t="str">
        <f ca="1">VLOOKUP(Data!M4150,temp!$B$3:$C$9,2,1)</f>
        <v>60-70</v>
      </c>
      <c r="O4150">
        <v>365243</v>
      </c>
      <c r="P4150" s="8">
        <f t="shared" si="263"/>
        <v>0</v>
      </c>
      <c r="Q4150" s="5" t="str">
        <f t="shared" si="265"/>
        <v>Unemployed</v>
      </c>
      <c r="R4150">
        <v>1</v>
      </c>
      <c r="S4150">
        <v>0</v>
      </c>
      <c r="T4150">
        <v>0</v>
      </c>
      <c r="U4150">
        <v>0</v>
      </c>
      <c r="W4150">
        <v>1</v>
      </c>
    </row>
    <row r="4151" spans="1:23" x14ac:dyDescent="0.2">
      <c r="A4151">
        <v>5139608</v>
      </c>
      <c r="B4151" t="s">
        <v>25</v>
      </c>
      <c r="C4151" t="s">
        <v>19</v>
      </c>
      <c r="D4151" t="s">
        <v>20</v>
      </c>
      <c r="E4151">
        <v>3</v>
      </c>
      <c r="F4151">
        <v>202500</v>
      </c>
      <c r="G4151" t="s">
        <v>31</v>
      </c>
      <c r="H4151" t="s">
        <v>27</v>
      </c>
      <c r="I4151" t="s">
        <v>28</v>
      </c>
      <c r="J4151" t="s">
        <v>24</v>
      </c>
      <c r="K4151" s="6">
        <f t="shared" ca="1" si="264"/>
        <v>32059</v>
      </c>
      <c r="L4151">
        <v>-13702</v>
      </c>
      <c r="M4151" s="7">
        <f t="shared" ca="1" si="262"/>
        <v>37.51403148528405</v>
      </c>
      <c r="N4151" s="5" t="str">
        <f ca="1">VLOOKUP(Data!M4151,temp!$B$3:$C$9,2,1)</f>
        <v>30-40</v>
      </c>
      <c r="O4151">
        <v>-3565</v>
      </c>
      <c r="P4151" s="8">
        <f t="shared" si="263"/>
        <v>9.7604380561259418</v>
      </c>
      <c r="Q4151" s="5" t="str">
        <f t="shared" si="265"/>
        <v>Employed</v>
      </c>
      <c r="R4151">
        <v>1</v>
      </c>
      <c r="S4151">
        <v>1</v>
      </c>
      <c r="T4151">
        <v>1</v>
      </c>
      <c r="U4151">
        <v>0</v>
      </c>
      <c r="V4151" t="s">
        <v>29</v>
      </c>
      <c r="W4151">
        <v>5</v>
      </c>
    </row>
    <row r="4152" spans="1:23" x14ac:dyDescent="0.2">
      <c r="A4152">
        <v>5139649</v>
      </c>
      <c r="B4152" t="s">
        <v>18</v>
      </c>
      <c r="C4152" t="s">
        <v>19</v>
      </c>
      <c r="D4152" t="s">
        <v>20</v>
      </c>
      <c r="E4152">
        <v>0</v>
      </c>
      <c r="F4152">
        <v>121500</v>
      </c>
      <c r="G4152" t="s">
        <v>26</v>
      </c>
      <c r="H4152" t="s">
        <v>27</v>
      </c>
      <c r="I4152" t="s">
        <v>28</v>
      </c>
      <c r="J4152" t="s">
        <v>43</v>
      </c>
      <c r="K4152" s="6">
        <f t="shared" ca="1" si="264"/>
        <v>33744</v>
      </c>
      <c r="L4152">
        <v>-12017</v>
      </c>
      <c r="M4152" s="7">
        <f t="shared" ca="1" si="262"/>
        <v>32.90075290896646</v>
      </c>
      <c r="N4152" s="5" t="str">
        <f ca="1">VLOOKUP(Data!M4152,temp!$B$3:$C$9,2,1)</f>
        <v>30-40</v>
      </c>
      <c r="O4152">
        <v>-1711</v>
      </c>
      <c r="P4152" s="8">
        <f t="shared" si="263"/>
        <v>4.684462696783025</v>
      </c>
      <c r="Q4152" s="5" t="str">
        <f t="shared" si="265"/>
        <v>Employed</v>
      </c>
      <c r="R4152">
        <v>1</v>
      </c>
      <c r="S4152">
        <v>0</v>
      </c>
      <c r="T4152">
        <v>1</v>
      </c>
      <c r="U4152">
        <v>0</v>
      </c>
      <c r="V4152" t="s">
        <v>39</v>
      </c>
      <c r="W4152">
        <v>2</v>
      </c>
    </row>
    <row r="4153" spans="1:23" x14ac:dyDescent="0.2">
      <c r="A4153">
        <v>5139652</v>
      </c>
      <c r="B4153" t="s">
        <v>18</v>
      </c>
      <c r="C4153" t="s">
        <v>19</v>
      </c>
      <c r="D4153" t="s">
        <v>20</v>
      </c>
      <c r="E4153">
        <v>0</v>
      </c>
      <c r="F4153">
        <v>121500</v>
      </c>
      <c r="G4153" t="s">
        <v>26</v>
      </c>
      <c r="H4153" t="s">
        <v>27</v>
      </c>
      <c r="I4153" t="s">
        <v>28</v>
      </c>
      <c r="J4153" t="s">
        <v>43</v>
      </c>
      <c r="K4153" s="6">
        <f t="shared" ca="1" si="264"/>
        <v>33744</v>
      </c>
      <c r="L4153">
        <v>-12017</v>
      </c>
      <c r="M4153" s="7">
        <f t="shared" ca="1" si="262"/>
        <v>32.90075290896646</v>
      </c>
      <c r="N4153" s="5" t="str">
        <f ca="1">VLOOKUP(Data!M4153,temp!$B$3:$C$9,2,1)</f>
        <v>30-40</v>
      </c>
      <c r="O4153">
        <v>-1711</v>
      </c>
      <c r="P4153" s="8">
        <f t="shared" si="263"/>
        <v>4.684462696783025</v>
      </c>
      <c r="Q4153" s="5" t="str">
        <f t="shared" si="265"/>
        <v>Employed</v>
      </c>
      <c r="R4153">
        <v>1</v>
      </c>
      <c r="S4153">
        <v>0</v>
      </c>
      <c r="T4153">
        <v>1</v>
      </c>
      <c r="U4153">
        <v>0</v>
      </c>
      <c r="V4153" t="s">
        <v>39</v>
      </c>
      <c r="W4153">
        <v>2</v>
      </c>
    </row>
    <row r="4154" spans="1:23" x14ac:dyDescent="0.2">
      <c r="A4154">
        <v>5139671</v>
      </c>
      <c r="B4154" t="s">
        <v>18</v>
      </c>
      <c r="C4154" t="s">
        <v>20</v>
      </c>
      <c r="D4154" t="s">
        <v>19</v>
      </c>
      <c r="E4154">
        <v>0</v>
      </c>
      <c r="F4154">
        <v>202500</v>
      </c>
      <c r="G4154" t="s">
        <v>21</v>
      </c>
      <c r="H4154" t="s">
        <v>27</v>
      </c>
      <c r="I4154" t="s">
        <v>28</v>
      </c>
      <c r="J4154" t="s">
        <v>24</v>
      </c>
      <c r="K4154" s="6">
        <f t="shared" ca="1" si="264"/>
        <v>24041</v>
      </c>
      <c r="L4154">
        <v>-21720</v>
      </c>
      <c r="M4154" s="7">
        <f t="shared" ca="1" si="262"/>
        <v>59.466119096509239</v>
      </c>
      <c r="N4154" s="5" t="str">
        <f ca="1">VLOOKUP(Data!M4154,temp!$B$3:$C$9,2,1)</f>
        <v>50-60</v>
      </c>
      <c r="O4154">
        <v>365243</v>
      </c>
      <c r="P4154" s="8">
        <f t="shared" si="263"/>
        <v>0</v>
      </c>
      <c r="Q4154" s="5" t="str">
        <f t="shared" si="265"/>
        <v>Unemployed</v>
      </c>
      <c r="R4154">
        <v>1</v>
      </c>
      <c r="S4154">
        <v>0</v>
      </c>
      <c r="T4154">
        <v>0</v>
      </c>
      <c r="U4154">
        <v>0</v>
      </c>
      <c r="W4154">
        <v>2</v>
      </c>
    </row>
    <row r="4155" spans="1:23" x14ac:dyDescent="0.2">
      <c r="A4155">
        <v>5139678</v>
      </c>
      <c r="B4155" t="s">
        <v>18</v>
      </c>
      <c r="C4155" t="s">
        <v>19</v>
      </c>
      <c r="D4155" t="s">
        <v>20</v>
      </c>
      <c r="E4155">
        <v>0</v>
      </c>
      <c r="F4155">
        <v>99000</v>
      </c>
      <c r="G4155" t="s">
        <v>26</v>
      </c>
      <c r="H4155" t="s">
        <v>22</v>
      </c>
      <c r="I4155" t="s">
        <v>33</v>
      </c>
      <c r="J4155" t="s">
        <v>24</v>
      </c>
      <c r="K4155" s="6">
        <f t="shared" ca="1" si="264"/>
        <v>35509</v>
      </c>
      <c r="L4155">
        <v>-10252</v>
      </c>
      <c r="M4155" s="7">
        <f t="shared" ca="1" si="262"/>
        <v>28.068446269678301</v>
      </c>
      <c r="N4155" s="5" t="str">
        <f ca="1">VLOOKUP(Data!M4155,temp!$B$3:$C$9,2,1)</f>
        <v>20-30</v>
      </c>
      <c r="O4155">
        <v>-1374</v>
      </c>
      <c r="P4155" s="8">
        <f t="shared" si="263"/>
        <v>3.761806981519507</v>
      </c>
      <c r="Q4155" s="5" t="str">
        <f t="shared" si="265"/>
        <v>Employed</v>
      </c>
      <c r="R4155">
        <v>1</v>
      </c>
      <c r="S4155">
        <v>1</v>
      </c>
      <c r="T4155">
        <v>1</v>
      </c>
      <c r="U4155">
        <v>0</v>
      </c>
      <c r="V4155" t="s">
        <v>39</v>
      </c>
      <c r="W4155">
        <v>1</v>
      </c>
    </row>
    <row r="4156" spans="1:23" x14ac:dyDescent="0.2">
      <c r="A4156">
        <v>5139694</v>
      </c>
      <c r="B4156" t="s">
        <v>18</v>
      </c>
      <c r="C4156" t="s">
        <v>20</v>
      </c>
      <c r="D4156" t="s">
        <v>20</v>
      </c>
      <c r="E4156">
        <v>0</v>
      </c>
      <c r="F4156">
        <v>247500</v>
      </c>
      <c r="G4156" t="s">
        <v>31</v>
      </c>
      <c r="H4156" t="s">
        <v>27</v>
      </c>
      <c r="I4156" t="s">
        <v>28</v>
      </c>
      <c r="J4156" t="s">
        <v>24</v>
      </c>
      <c r="K4156" s="6">
        <f t="shared" ca="1" si="264"/>
        <v>29842</v>
      </c>
      <c r="L4156">
        <v>-15919</v>
      </c>
      <c r="M4156" s="7">
        <f t="shared" ca="1" si="262"/>
        <v>43.583846680355919</v>
      </c>
      <c r="N4156" s="5" t="str">
        <f ca="1">VLOOKUP(Data!M4156,temp!$B$3:$C$9,2,1)</f>
        <v>40-50</v>
      </c>
      <c r="O4156">
        <v>-2104</v>
      </c>
      <c r="P4156" s="8">
        <f t="shared" si="263"/>
        <v>5.760438056125941</v>
      </c>
      <c r="Q4156" s="5" t="str">
        <f t="shared" si="265"/>
        <v>Employed</v>
      </c>
      <c r="R4156">
        <v>1</v>
      </c>
      <c r="S4156">
        <v>0</v>
      </c>
      <c r="T4156">
        <v>1</v>
      </c>
      <c r="U4156">
        <v>0</v>
      </c>
      <c r="W4156">
        <v>2</v>
      </c>
    </row>
    <row r="4157" spans="1:23" x14ac:dyDescent="0.2">
      <c r="A4157">
        <v>5139717</v>
      </c>
      <c r="B4157" t="s">
        <v>18</v>
      </c>
      <c r="C4157" t="s">
        <v>19</v>
      </c>
      <c r="D4157" t="s">
        <v>20</v>
      </c>
      <c r="E4157">
        <v>0</v>
      </c>
      <c r="F4157">
        <v>202500</v>
      </c>
      <c r="G4157" t="s">
        <v>21</v>
      </c>
      <c r="H4157" t="s">
        <v>27</v>
      </c>
      <c r="I4157" t="s">
        <v>28</v>
      </c>
      <c r="J4157" t="s">
        <v>24</v>
      </c>
      <c r="K4157" s="6">
        <f t="shared" ca="1" si="264"/>
        <v>22457</v>
      </c>
      <c r="L4157">
        <v>-23304</v>
      </c>
      <c r="M4157" s="7">
        <f t="shared" ca="1" si="262"/>
        <v>63.802874743326491</v>
      </c>
      <c r="N4157" s="5" t="str">
        <f ca="1">VLOOKUP(Data!M4157,temp!$B$3:$C$9,2,1)</f>
        <v>60-70</v>
      </c>
      <c r="O4157">
        <v>365243</v>
      </c>
      <c r="P4157" s="8">
        <f t="shared" si="263"/>
        <v>0</v>
      </c>
      <c r="Q4157" s="5" t="str">
        <f t="shared" si="265"/>
        <v>Unemployed</v>
      </c>
      <c r="R4157">
        <v>1</v>
      </c>
      <c r="S4157">
        <v>0</v>
      </c>
      <c r="T4157">
        <v>0</v>
      </c>
      <c r="U4157">
        <v>0</v>
      </c>
      <c r="W4157">
        <v>2</v>
      </c>
    </row>
    <row r="4158" spans="1:23" x14ac:dyDescent="0.2">
      <c r="A4158">
        <v>5139721</v>
      </c>
      <c r="B4158" t="s">
        <v>18</v>
      </c>
      <c r="C4158" t="s">
        <v>20</v>
      </c>
      <c r="D4158" t="s">
        <v>20</v>
      </c>
      <c r="E4158">
        <v>1</v>
      </c>
      <c r="F4158">
        <v>90000</v>
      </c>
      <c r="G4158" t="s">
        <v>26</v>
      </c>
      <c r="H4158" t="s">
        <v>27</v>
      </c>
      <c r="I4158" t="s">
        <v>28</v>
      </c>
      <c r="J4158" t="s">
        <v>24</v>
      </c>
      <c r="K4158" s="6">
        <f t="shared" ca="1" si="264"/>
        <v>30991</v>
      </c>
      <c r="L4158">
        <v>-14770</v>
      </c>
      <c r="M4158" s="7">
        <f t="shared" ca="1" si="262"/>
        <v>40.438056125941138</v>
      </c>
      <c r="N4158" s="5" t="str">
        <f ca="1">VLOOKUP(Data!M4158,temp!$B$3:$C$9,2,1)</f>
        <v>40-50</v>
      </c>
      <c r="O4158">
        <v>-219</v>
      </c>
      <c r="P4158" s="8">
        <f t="shared" si="263"/>
        <v>0.59958932238193019</v>
      </c>
      <c r="Q4158" s="5" t="str">
        <f t="shared" si="265"/>
        <v>Employed</v>
      </c>
      <c r="R4158">
        <v>1</v>
      </c>
      <c r="S4158">
        <v>1</v>
      </c>
      <c r="T4158">
        <v>0</v>
      </c>
      <c r="U4158">
        <v>0</v>
      </c>
      <c r="W4158">
        <v>3</v>
      </c>
    </row>
    <row r="4159" spans="1:23" x14ac:dyDescent="0.2">
      <c r="A4159">
        <v>5139748</v>
      </c>
      <c r="B4159" t="s">
        <v>25</v>
      </c>
      <c r="C4159" t="s">
        <v>19</v>
      </c>
      <c r="D4159" t="s">
        <v>20</v>
      </c>
      <c r="E4159">
        <v>0</v>
      </c>
      <c r="F4159">
        <v>202500</v>
      </c>
      <c r="G4159" t="s">
        <v>31</v>
      </c>
      <c r="H4159" t="s">
        <v>22</v>
      </c>
      <c r="I4159" t="s">
        <v>28</v>
      </c>
      <c r="J4159" t="s">
        <v>41</v>
      </c>
      <c r="K4159" s="6">
        <f t="shared" ca="1" si="264"/>
        <v>36089</v>
      </c>
      <c r="L4159">
        <v>-9672</v>
      </c>
      <c r="M4159" s="7">
        <f t="shared" ca="1" si="262"/>
        <v>26.480492813141684</v>
      </c>
      <c r="N4159" s="5" t="str">
        <f ca="1">VLOOKUP(Data!M4159,temp!$B$3:$C$9,2,1)</f>
        <v>20-30</v>
      </c>
      <c r="O4159">
        <v>-2654</v>
      </c>
      <c r="P4159" s="8">
        <f t="shared" si="263"/>
        <v>7.2662559890485969</v>
      </c>
      <c r="Q4159" s="5" t="str">
        <f t="shared" si="265"/>
        <v>Employed</v>
      </c>
      <c r="R4159">
        <v>1</v>
      </c>
      <c r="S4159">
        <v>0</v>
      </c>
      <c r="T4159">
        <v>1</v>
      </c>
      <c r="U4159">
        <v>1</v>
      </c>
      <c r="W4159">
        <v>2</v>
      </c>
    </row>
    <row r="4160" spans="1:23" x14ac:dyDescent="0.2">
      <c r="A4160">
        <v>5139749</v>
      </c>
      <c r="B4160" t="s">
        <v>25</v>
      </c>
      <c r="C4160" t="s">
        <v>19</v>
      </c>
      <c r="D4160" t="s">
        <v>20</v>
      </c>
      <c r="E4160">
        <v>0</v>
      </c>
      <c r="F4160">
        <v>202500</v>
      </c>
      <c r="G4160" t="s">
        <v>31</v>
      </c>
      <c r="H4160" t="s">
        <v>22</v>
      </c>
      <c r="I4160" t="s">
        <v>28</v>
      </c>
      <c r="J4160" t="s">
        <v>41</v>
      </c>
      <c r="K4160" s="6">
        <f t="shared" ca="1" si="264"/>
        <v>36089</v>
      </c>
      <c r="L4160">
        <v>-9672</v>
      </c>
      <c r="M4160" s="7">
        <f t="shared" ca="1" si="262"/>
        <v>26.480492813141684</v>
      </c>
      <c r="N4160" s="5" t="str">
        <f ca="1">VLOOKUP(Data!M4160,temp!$B$3:$C$9,2,1)</f>
        <v>20-30</v>
      </c>
      <c r="O4160">
        <v>-2654</v>
      </c>
      <c r="P4160" s="8">
        <f t="shared" si="263"/>
        <v>7.2662559890485969</v>
      </c>
      <c r="Q4160" s="5" t="str">
        <f t="shared" si="265"/>
        <v>Employed</v>
      </c>
      <c r="R4160">
        <v>1</v>
      </c>
      <c r="S4160">
        <v>0</v>
      </c>
      <c r="T4160">
        <v>1</v>
      </c>
      <c r="U4160">
        <v>1</v>
      </c>
      <c r="W4160">
        <v>2</v>
      </c>
    </row>
    <row r="4161" spans="1:23" x14ac:dyDescent="0.2">
      <c r="A4161">
        <v>5139758</v>
      </c>
      <c r="B4161" t="s">
        <v>25</v>
      </c>
      <c r="C4161" t="s">
        <v>20</v>
      </c>
      <c r="D4161" t="s">
        <v>20</v>
      </c>
      <c r="E4161">
        <v>0</v>
      </c>
      <c r="F4161">
        <v>337500</v>
      </c>
      <c r="G4161" t="s">
        <v>31</v>
      </c>
      <c r="H4161" t="s">
        <v>22</v>
      </c>
      <c r="I4161" t="s">
        <v>28</v>
      </c>
      <c r="J4161" t="s">
        <v>24</v>
      </c>
      <c r="K4161" s="6">
        <f t="shared" ca="1" si="264"/>
        <v>22050</v>
      </c>
      <c r="L4161">
        <v>-23711</v>
      </c>
      <c r="M4161" s="7">
        <f t="shared" ca="1" si="262"/>
        <v>64.917180013689247</v>
      </c>
      <c r="N4161" s="5" t="str">
        <f ca="1">VLOOKUP(Data!M4161,temp!$B$3:$C$9,2,1)</f>
        <v>60-70</v>
      </c>
      <c r="O4161">
        <v>-7494</v>
      </c>
      <c r="P4161" s="8">
        <f t="shared" si="263"/>
        <v>20.517453798767967</v>
      </c>
      <c r="Q4161" s="5" t="str">
        <f t="shared" si="265"/>
        <v>Employed</v>
      </c>
      <c r="R4161">
        <v>1</v>
      </c>
      <c r="S4161">
        <v>0</v>
      </c>
      <c r="T4161">
        <v>0</v>
      </c>
      <c r="U4161">
        <v>0</v>
      </c>
      <c r="V4161" t="s">
        <v>29</v>
      </c>
      <c r="W4161">
        <v>2</v>
      </c>
    </row>
    <row r="4162" spans="1:23" x14ac:dyDescent="0.2">
      <c r="A4162">
        <v>5139813</v>
      </c>
      <c r="B4162" t="s">
        <v>25</v>
      </c>
      <c r="C4162" t="s">
        <v>19</v>
      </c>
      <c r="D4162" t="s">
        <v>20</v>
      </c>
      <c r="E4162">
        <v>0</v>
      </c>
      <c r="F4162">
        <v>108000</v>
      </c>
      <c r="G4162" t="s">
        <v>31</v>
      </c>
      <c r="H4162" t="s">
        <v>27</v>
      </c>
      <c r="I4162" t="s">
        <v>28</v>
      </c>
      <c r="J4162" t="s">
        <v>24</v>
      </c>
      <c r="K4162" s="6">
        <f t="shared" ca="1" si="264"/>
        <v>29764</v>
      </c>
      <c r="L4162">
        <v>-15997</v>
      </c>
      <c r="M4162" s="7">
        <f t="shared" ca="1" si="262"/>
        <v>43.797399041752222</v>
      </c>
      <c r="N4162" s="5" t="str">
        <f ca="1">VLOOKUP(Data!M4162,temp!$B$3:$C$9,2,1)</f>
        <v>40-50</v>
      </c>
      <c r="O4162">
        <v>-7341</v>
      </c>
      <c r="P4162" s="8">
        <f t="shared" si="263"/>
        <v>20.098562628336754</v>
      </c>
      <c r="Q4162" s="5" t="str">
        <f t="shared" si="265"/>
        <v>Employed</v>
      </c>
      <c r="R4162">
        <v>1</v>
      </c>
      <c r="S4162">
        <v>1</v>
      </c>
      <c r="T4162">
        <v>1</v>
      </c>
      <c r="U4162">
        <v>0</v>
      </c>
      <c r="V4162" t="s">
        <v>29</v>
      </c>
      <c r="W4162">
        <v>2</v>
      </c>
    </row>
    <row r="4163" spans="1:23" x14ac:dyDescent="0.2">
      <c r="A4163">
        <v>5139884</v>
      </c>
      <c r="B4163" t="s">
        <v>18</v>
      </c>
      <c r="C4163" t="s">
        <v>19</v>
      </c>
      <c r="D4163" t="s">
        <v>20</v>
      </c>
      <c r="E4163">
        <v>0</v>
      </c>
      <c r="F4163">
        <v>112500</v>
      </c>
      <c r="G4163" t="s">
        <v>35</v>
      </c>
      <c r="H4163" t="s">
        <v>27</v>
      </c>
      <c r="I4163" t="s">
        <v>37</v>
      </c>
      <c r="J4163" t="s">
        <v>24</v>
      </c>
      <c r="K4163" s="6">
        <f t="shared" ca="1" si="264"/>
        <v>27277</v>
      </c>
      <c r="L4163">
        <v>-18484</v>
      </c>
      <c r="M4163" s="7">
        <f t="shared" ref="M4163:M4226" ca="1" si="266">(TODAY()-K4163)/365.25</f>
        <v>50.606433949349757</v>
      </c>
      <c r="N4163" s="5" t="str">
        <f ca="1">VLOOKUP(Data!M4163,temp!$B$3:$C$9,2,1)</f>
        <v>50-60</v>
      </c>
      <c r="O4163">
        <v>-6033</v>
      </c>
      <c r="P4163" s="8">
        <f t="shared" ref="P4163:P4226" si="267">IF(O4163&lt;=0,ABS(O4163)/365.25,0)</f>
        <v>16.517453798767967</v>
      </c>
      <c r="Q4163" s="5" t="str">
        <f t="shared" si="265"/>
        <v>Employed</v>
      </c>
      <c r="R4163">
        <v>1</v>
      </c>
      <c r="S4163">
        <v>0</v>
      </c>
      <c r="T4163">
        <v>1</v>
      </c>
      <c r="U4163">
        <v>0</v>
      </c>
      <c r="V4163" t="s">
        <v>50</v>
      </c>
      <c r="W4163">
        <v>2</v>
      </c>
    </row>
    <row r="4164" spans="1:23" x14ac:dyDescent="0.2">
      <c r="A4164">
        <v>5139933</v>
      </c>
      <c r="B4164" t="s">
        <v>25</v>
      </c>
      <c r="C4164" t="s">
        <v>20</v>
      </c>
      <c r="D4164" t="s">
        <v>20</v>
      </c>
      <c r="E4164">
        <v>1</v>
      </c>
      <c r="F4164">
        <v>189000</v>
      </c>
      <c r="G4164" t="s">
        <v>31</v>
      </c>
      <c r="H4164" t="s">
        <v>36</v>
      </c>
      <c r="I4164" t="s">
        <v>28</v>
      </c>
      <c r="J4164" t="s">
        <v>24</v>
      </c>
      <c r="K4164" s="6">
        <f t="shared" ca="1" si="264"/>
        <v>30474</v>
      </c>
      <c r="L4164">
        <v>-15287</v>
      </c>
      <c r="M4164" s="7">
        <f t="shared" ca="1" si="266"/>
        <v>41.85352498288843</v>
      </c>
      <c r="N4164" s="5" t="str">
        <f ca="1">VLOOKUP(Data!M4164,temp!$B$3:$C$9,2,1)</f>
        <v>40-50</v>
      </c>
      <c r="O4164">
        <v>-2501</v>
      </c>
      <c r="P4164" s="8">
        <f t="shared" si="267"/>
        <v>6.8473648186173852</v>
      </c>
      <c r="Q4164" s="5" t="str">
        <f t="shared" si="265"/>
        <v>Employed</v>
      </c>
      <c r="R4164">
        <v>1</v>
      </c>
      <c r="S4164">
        <v>0</v>
      </c>
      <c r="T4164">
        <v>1</v>
      </c>
      <c r="U4164">
        <v>0</v>
      </c>
      <c r="W4164">
        <v>3</v>
      </c>
    </row>
    <row r="4165" spans="1:23" x14ac:dyDescent="0.2">
      <c r="A4165">
        <v>5139952</v>
      </c>
      <c r="B4165" t="s">
        <v>25</v>
      </c>
      <c r="C4165" t="s">
        <v>20</v>
      </c>
      <c r="D4165" t="s">
        <v>20</v>
      </c>
      <c r="E4165">
        <v>0</v>
      </c>
      <c r="F4165">
        <v>135000</v>
      </c>
      <c r="G4165" t="s">
        <v>31</v>
      </c>
      <c r="H4165" t="s">
        <v>22</v>
      </c>
      <c r="I4165" t="s">
        <v>28</v>
      </c>
      <c r="J4165" t="s">
        <v>24</v>
      </c>
      <c r="K4165" s="6">
        <f t="shared" ca="1" si="264"/>
        <v>34015</v>
      </c>
      <c r="L4165">
        <v>-11746</v>
      </c>
      <c r="M4165" s="7">
        <f t="shared" ca="1" si="266"/>
        <v>32.158795345653665</v>
      </c>
      <c r="N4165" s="5" t="str">
        <f ca="1">VLOOKUP(Data!M4165,temp!$B$3:$C$9,2,1)</f>
        <v>30-40</v>
      </c>
      <c r="O4165">
        <v>-401</v>
      </c>
      <c r="P4165" s="8">
        <f t="shared" si="267"/>
        <v>1.0978781656399725</v>
      </c>
      <c r="Q4165" s="5" t="str">
        <f t="shared" si="265"/>
        <v>Employed</v>
      </c>
      <c r="R4165">
        <v>1</v>
      </c>
      <c r="S4165">
        <v>1</v>
      </c>
      <c r="T4165">
        <v>1</v>
      </c>
      <c r="U4165">
        <v>0</v>
      </c>
      <c r="V4165" t="s">
        <v>32</v>
      </c>
      <c r="W4165">
        <v>2</v>
      </c>
    </row>
    <row r="4166" spans="1:23" x14ac:dyDescent="0.2">
      <c r="A4166">
        <v>5139955</v>
      </c>
      <c r="B4166" t="s">
        <v>25</v>
      </c>
      <c r="C4166" t="s">
        <v>20</v>
      </c>
      <c r="D4166" t="s">
        <v>20</v>
      </c>
      <c r="E4166">
        <v>0</v>
      </c>
      <c r="F4166">
        <v>135000</v>
      </c>
      <c r="G4166" t="s">
        <v>31</v>
      </c>
      <c r="H4166" t="s">
        <v>22</v>
      </c>
      <c r="I4166" t="s">
        <v>28</v>
      </c>
      <c r="J4166" t="s">
        <v>24</v>
      </c>
      <c r="K4166" s="6">
        <f t="shared" ca="1" si="264"/>
        <v>34015</v>
      </c>
      <c r="L4166">
        <v>-11746</v>
      </c>
      <c r="M4166" s="7">
        <f t="shared" ca="1" si="266"/>
        <v>32.158795345653665</v>
      </c>
      <c r="N4166" s="5" t="str">
        <f ca="1">VLOOKUP(Data!M4166,temp!$B$3:$C$9,2,1)</f>
        <v>30-40</v>
      </c>
      <c r="O4166">
        <v>-401</v>
      </c>
      <c r="P4166" s="8">
        <f t="shared" si="267"/>
        <v>1.0978781656399725</v>
      </c>
      <c r="Q4166" s="5" t="str">
        <f t="shared" si="265"/>
        <v>Employed</v>
      </c>
      <c r="R4166">
        <v>1</v>
      </c>
      <c r="S4166">
        <v>1</v>
      </c>
      <c r="T4166">
        <v>1</v>
      </c>
      <c r="U4166">
        <v>0</v>
      </c>
      <c r="V4166" t="s">
        <v>32</v>
      </c>
      <c r="W4166">
        <v>2</v>
      </c>
    </row>
    <row r="4167" spans="1:23" x14ac:dyDescent="0.2">
      <c r="A4167">
        <v>5140066</v>
      </c>
      <c r="B4167" t="s">
        <v>18</v>
      </c>
      <c r="C4167" t="s">
        <v>19</v>
      </c>
      <c r="D4167" t="s">
        <v>20</v>
      </c>
      <c r="E4167">
        <v>0</v>
      </c>
      <c r="F4167">
        <v>450000</v>
      </c>
      <c r="G4167" t="s">
        <v>26</v>
      </c>
      <c r="H4167" t="s">
        <v>22</v>
      </c>
      <c r="I4167" t="s">
        <v>28</v>
      </c>
      <c r="J4167" t="s">
        <v>24</v>
      </c>
      <c r="K4167" s="6">
        <f t="shared" ca="1" si="264"/>
        <v>29259</v>
      </c>
      <c r="L4167">
        <v>-16502</v>
      </c>
      <c r="M4167" s="7">
        <f t="shared" ca="1" si="266"/>
        <v>45.180013689253933</v>
      </c>
      <c r="N4167" s="5" t="str">
        <f ca="1">VLOOKUP(Data!M4167,temp!$B$3:$C$9,2,1)</f>
        <v>40-50</v>
      </c>
      <c r="O4167">
        <v>-1040</v>
      </c>
      <c r="P4167" s="8">
        <f t="shared" si="267"/>
        <v>2.8473648186173852</v>
      </c>
      <c r="Q4167" s="5" t="str">
        <f t="shared" si="265"/>
        <v>Employed</v>
      </c>
      <c r="R4167">
        <v>1</v>
      </c>
      <c r="S4167">
        <v>0</v>
      </c>
      <c r="T4167">
        <v>0</v>
      </c>
      <c r="U4167">
        <v>0</v>
      </c>
      <c r="W4167">
        <v>2</v>
      </c>
    </row>
    <row r="4168" spans="1:23" x14ac:dyDescent="0.2">
      <c r="A4168">
        <v>5140067</v>
      </c>
      <c r="B4168" t="s">
        <v>18</v>
      </c>
      <c r="C4168" t="s">
        <v>19</v>
      </c>
      <c r="D4168" t="s">
        <v>20</v>
      </c>
      <c r="E4168">
        <v>0</v>
      </c>
      <c r="F4168">
        <v>450000</v>
      </c>
      <c r="G4168" t="s">
        <v>26</v>
      </c>
      <c r="H4168" t="s">
        <v>22</v>
      </c>
      <c r="I4168" t="s">
        <v>28</v>
      </c>
      <c r="J4168" t="s">
        <v>24</v>
      </c>
      <c r="K4168" s="6">
        <f t="shared" ref="K4168:K4231" ca="1" si="268">TODAY()+($L4168)</f>
        <v>29259</v>
      </c>
      <c r="L4168">
        <v>-16502</v>
      </c>
      <c r="M4168" s="7">
        <f t="shared" ca="1" si="266"/>
        <v>45.180013689253933</v>
      </c>
      <c r="N4168" s="5" t="str">
        <f ca="1">VLOOKUP(Data!M4168,temp!$B$3:$C$9,2,1)</f>
        <v>40-50</v>
      </c>
      <c r="O4168">
        <v>-1040</v>
      </c>
      <c r="P4168" s="8">
        <f t="shared" si="267"/>
        <v>2.8473648186173852</v>
      </c>
      <c r="Q4168" s="5" t="str">
        <f t="shared" ref="Q4168:Q4231" si="269">IF($O4168&gt;0,"Unemployed","Employed")</f>
        <v>Employed</v>
      </c>
      <c r="R4168">
        <v>1</v>
      </c>
      <c r="S4168">
        <v>0</v>
      </c>
      <c r="T4168">
        <v>0</v>
      </c>
      <c r="U4168">
        <v>0</v>
      </c>
      <c r="W4168">
        <v>2</v>
      </c>
    </row>
    <row r="4169" spans="1:23" x14ac:dyDescent="0.2">
      <c r="A4169">
        <v>5140074</v>
      </c>
      <c r="B4169" t="s">
        <v>18</v>
      </c>
      <c r="C4169" t="s">
        <v>19</v>
      </c>
      <c r="D4169" t="s">
        <v>20</v>
      </c>
      <c r="E4169">
        <v>0</v>
      </c>
      <c r="F4169">
        <v>90000</v>
      </c>
      <c r="G4169" t="s">
        <v>26</v>
      </c>
      <c r="H4169" t="s">
        <v>27</v>
      </c>
      <c r="I4169" t="s">
        <v>28</v>
      </c>
      <c r="J4169" t="s">
        <v>24</v>
      </c>
      <c r="K4169" s="6">
        <f t="shared" ca="1" si="268"/>
        <v>30637</v>
      </c>
      <c r="L4169">
        <v>-15124</v>
      </c>
      <c r="M4169" s="7">
        <f t="shared" ca="1" si="266"/>
        <v>41.407255304585902</v>
      </c>
      <c r="N4169" s="5" t="str">
        <f ca="1">VLOOKUP(Data!M4169,temp!$B$3:$C$9,2,1)</f>
        <v>40-50</v>
      </c>
      <c r="O4169">
        <v>-431</v>
      </c>
      <c r="P4169" s="8">
        <f t="shared" si="267"/>
        <v>1.1800136892539357</v>
      </c>
      <c r="Q4169" s="5" t="str">
        <f t="shared" si="269"/>
        <v>Employed</v>
      </c>
      <c r="R4169">
        <v>1</v>
      </c>
      <c r="S4169">
        <v>0</v>
      </c>
      <c r="T4169">
        <v>0</v>
      </c>
      <c r="U4169">
        <v>0</v>
      </c>
      <c r="V4169" t="s">
        <v>38</v>
      </c>
      <c r="W4169">
        <v>2</v>
      </c>
    </row>
    <row r="4170" spans="1:23" x14ac:dyDescent="0.2">
      <c r="A4170">
        <v>5140076</v>
      </c>
      <c r="B4170" t="s">
        <v>18</v>
      </c>
      <c r="C4170" t="s">
        <v>19</v>
      </c>
      <c r="D4170" t="s">
        <v>20</v>
      </c>
      <c r="E4170">
        <v>0</v>
      </c>
      <c r="F4170">
        <v>90000</v>
      </c>
      <c r="G4170" t="s">
        <v>26</v>
      </c>
      <c r="H4170" t="s">
        <v>27</v>
      </c>
      <c r="I4170" t="s">
        <v>28</v>
      </c>
      <c r="J4170" t="s">
        <v>24</v>
      </c>
      <c r="K4170" s="6">
        <f t="shared" ca="1" si="268"/>
        <v>30637</v>
      </c>
      <c r="L4170">
        <v>-15124</v>
      </c>
      <c r="M4170" s="7">
        <f t="shared" ca="1" si="266"/>
        <v>41.407255304585902</v>
      </c>
      <c r="N4170" s="5" t="str">
        <f ca="1">VLOOKUP(Data!M4170,temp!$B$3:$C$9,2,1)</f>
        <v>40-50</v>
      </c>
      <c r="O4170">
        <v>-431</v>
      </c>
      <c r="P4170" s="8">
        <f t="shared" si="267"/>
        <v>1.1800136892539357</v>
      </c>
      <c r="Q4170" s="5" t="str">
        <f t="shared" si="269"/>
        <v>Employed</v>
      </c>
      <c r="R4170">
        <v>1</v>
      </c>
      <c r="S4170">
        <v>0</v>
      </c>
      <c r="T4170">
        <v>0</v>
      </c>
      <c r="U4170">
        <v>0</v>
      </c>
      <c r="V4170" t="s">
        <v>38</v>
      </c>
      <c r="W4170">
        <v>2</v>
      </c>
    </row>
    <row r="4171" spans="1:23" x14ac:dyDescent="0.2">
      <c r="A4171">
        <v>5140102</v>
      </c>
      <c r="B4171" t="s">
        <v>18</v>
      </c>
      <c r="C4171" t="s">
        <v>19</v>
      </c>
      <c r="D4171" t="s">
        <v>19</v>
      </c>
      <c r="E4171">
        <v>0</v>
      </c>
      <c r="F4171">
        <v>135000</v>
      </c>
      <c r="G4171" t="s">
        <v>35</v>
      </c>
      <c r="H4171" t="s">
        <v>27</v>
      </c>
      <c r="I4171" t="s">
        <v>33</v>
      </c>
      <c r="J4171" t="s">
        <v>24</v>
      </c>
      <c r="K4171" s="6">
        <f t="shared" ca="1" si="268"/>
        <v>25134</v>
      </c>
      <c r="L4171">
        <v>-20627</v>
      </c>
      <c r="M4171" s="7">
        <f t="shared" ca="1" si="266"/>
        <v>56.473648186173854</v>
      </c>
      <c r="N4171" s="5" t="str">
        <f ca="1">VLOOKUP(Data!M4171,temp!$B$3:$C$9,2,1)</f>
        <v>50-60</v>
      </c>
      <c r="O4171">
        <v>-1285</v>
      </c>
      <c r="P4171" s="8">
        <f t="shared" si="267"/>
        <v>3.5181382614647503</v>
      </c>
      <c r="Q4171" s="5" t="str">
        <f t="shared" si="269"/>
        <v>Employed</v>
      </c>
      <c r="R4171">
        <v>1</v>
      </c>
      <c r="S4171">
        <v>0</v>
      </c>
      <c r="T4171">
        <v>0</v>
      </c>
      <c r="U4171">
        <v>0</v>
      </c>
      <c r="V4171" t="s">
        <v>38</v>
      </c>
      <c r="W4171">
        <v>1</v>
      </c>
    </row>
    <row r="4172" spans="1:23" x14ac:dyDescent="0.2">
      <c r="A4172">
        <v>5140105</v>
      </c>
      <c r="B4172" t="s">
        <v>18</v>
      </c>
      <c r="C4172" t="s">
        <v>19</v>
      </c>
      <c r="D4172" t="s">
        <v>19</v>
      </c>
      <c r="E4172">
        <v>0</v>
      </c>
      <c r="F4172">
        <v>135000</v>
      </c>
      <c r="G4172" t="s">
        <v>35</v>
      </c>
      <c r="H4172" t="s">
        <v>27</v>
      </c>
      <c r="I4172" t="s">
        <v>33</v>
      </c>
      <c r="J4172" t="s">
        <v>24</v>
      </c>
      <c r="K4172" s="6">
        <f t="shared" ca="1" si="268"/>
        <v>25134</v>
      </c>
      <c r="L4172">
        <v>-20627</v>
      </c>
      <c r="M4172" s="7">
        <f t="shared" ca="1" si="266"/>
        <v>56.473648186173854</v>
      </c>
      <c r="N4172" s="5" t="str">
        <f ca="1">VLOOKUP(Data!M4172,temp!$B$3:$C$9,2,1)</f>
        <v>50-60</v>
      </c>
      <c r="O4172">
        <v>-1285</v>
      </c>
      <c r="P4172" s="8">
        <f t="shared" si="267"/>
        <v>3.5181382614647503</v>
      </c>
      <c r="Q4172" s="5" t="str">
        <f t="shared" si="269"/>
        <v>Employed</v>
      </c>
      <c r="R4172">
        <v>1</v>
      </c>
      <c r="S4172">
        <v>0</v>
      </c>
      <c r="T4172">
        <v>0</v>
      </c>
      <c r="U4172">
        <v>0</v>
      </c>
      <c r="V4172" t="s">
        <v>38</v>
      </c>
      <c r="W4172">
        <v>1</v>
      </c>
    </row>
    <row r="4173" spans="1:23" x14ac:dyDescent="0.2">
      <c r="A4173">
        <v>5140107</v>
      </c>
      <c r="B4173" t="s">
        <v>25</v>
      </c>
      <c r="C4173" t="s">
        <v>20</v>
      </c>
      <c r="D4173" t="s">
        <v>20</v>
      </c>
      <c r="E4173">
        <v>0</v>
      </c>
      <c r="F4173">
        <v>360000</v>
      </c>
      <c r="G4173" t="s">
        <v>31</v>
      </c>
      <c r="H4173" t="s">
        <v>27</v>
      </c>
      <c r="I4173" t="s">
        <v>28</v>
      </c>
      <c r="J4173" t="s">
        <v>24</v>
      </c>
      <c r="K4173" s="6">
        <f t="shared" ca="1" si="268"/>
        <v>25575</v>
      </c>
      <c r="L4173">
        <v>-20186</v>
      </c>
      <c r="M4173" s="7">
        <f t="shared" ca="1" si="266"/>
        <v>55.266255989048595</v>
      </c>
      <c r="N4173" s="5" t="str">
        <f ca="1">VLOOKUP(Data!M4173,temp!$B$3:$C$9,2,1)</f>
        <v>50-60</v>
      </c>
      <c r="O4173">
        <v>-827</v>
      </c>
      <c r="P4173" s="8">
        <f t="shared" si="267"/>
        <v>2.2642026009582477</v>
      </c>
      <c r="Q4173" s="5" t="str">
        <f t="shared" si="269"/>
        <v>Employed</v>
      </c>
      <c r="R4173">
        <v>1</v>
      </c>
      <c r="S4173">
        <v>0</v>
      </c>
      <c r="T4173">
        <v>0</v>
      </c>
      <c r="U4173">
        <v>0</v>
      </c>
      <c r="V4173" t="s">
        <v>29</v>
      </c>
      <c r="W4173">
        <v>2</v>
      </c>
    </row>
    <row r="4174" spans="1:23" x14ac:dyDescent="0.2">
      <c r="A4174">
        <v>5140111</v>
      </c>
      <c r="B4174" t="s">
        <v>25</v>
      </c>
      <c r="C4174" t="s">
        <v>19</v>
      </c>
      <c r="D4174" t="s">
        <v>20</v>
      </c>
      <c r="E4174">
        <v>0</v>
      </c>
      <c r="F4174">
        <v>193500</v>
      </c>
      <c r="G4174" t="s">
        <v>26</v>
      </c>
      <c r="H4174" t="s">
        <v>36</v>
      </c>
      <c r="I4174" t="s">
        <v>33</v>
      </c>
      <c r="J4174" t="s">
        <v>24</v>
      </c>
      <c r="K4174" s="6">
        <f t="shared" ca="1" si="268"/>
        <v>36691</v>
      </c>
      <c r="L4174">
        <v>-9070</v>
      </c>
      <c r="M4174" s="7">
        <f t="shared" ca="1" si="266"/>
        <v>24.832306639288159</v>
      </c>
      <c r="N4174" s="5" t="str">
        <f ca="1">VLOOKUP(Data!M4174,temp!$B$3:$C$9,2,1)</f>
        <v>20-30</v>
      </c>
      <c r="O4174">
        <v>-401</v>
      </c>
      <c r="P4174" s="8">
        <f t="shared" si="267"/>
        <v>1.0978781656399725</v>
      </c>
      <c r="Q4174" s="5" t="str">
        <f t="shared" si="269"/>
        <v>Employed</v>
      </c>
      <c r="R4174">
        <v>1</v>
      </c>
      <c r="S4174">
        <v>0</v>
      </c>
      <c r="T4174">
        <v>0</v>
      </c>
      <c r="U4174">
        <v>0</v>
      </c>
      <c r="V4174" t="s">
        <v>39</v>
      </c>
      <c r="W4174">
        <v>1</v>
      </c>
    </row>
    <row r="4175" spans="1:23" x14ac:dyDescent="0.2">
      <c r="A4175">
        <v>5140124</v>
      </c>
      <c r="B4175" t="s">
        <v>18</v>
      </c>
      <c r="C4175" t="s">
        <v>20</v>
      </c>
      <c r="D4175" t="s">
        <v>20</v>
      </c>
      <c r="E4175">
        <v>0</v>
      </c>
      <c r="F4175">
        <v>126000</v>
      </c>
      <c r="G4175" t="s">
        <v>31</v>
      </c>
      <c r="H4175" t="s">
        <v>27</v>
      </c>
      <c r="I4175" t="s">
        <v>33</v>
      </c>
      <c r="J4175" t="s">
        <v>24</v>
      </c>
      <c r="K4175" s="6">
        <f t="shared" ca="1" si="268"/>
        <v>27303</v>
      </c>
      <c r="L4175">
        <v>-18458</v>
      </c>
      <c r="M4175" s="7">
        <f t="shared" ca="1" si="266"/>
        <v>50.535249828884325</v>
      </c>
      <c r="N4175" s="5" t="str">
        <f ca="1">VLOOKUP(Data!M4175,temp!$B$3:$C$9,2,1)</f>
        <v>50-60</v>
      </c>
      <c r="O4175">
        <v>-2104</v>
      </c>
      <c r="P4175" s="8">
        <f t="shared" si="267"/>
        <v>5.760438056125941</v>
      </c>
      <c r="Q4175" s="5" t="str">
        <f t="shared" si="269"/>
        <v>Employed</v>
      </c>
      <c r="R4175">
        <v>1</v>
      </c>
      <c r="S4175">
        <v>0</v>
      </c>
      <c r="T4175">
        <v>0</v>
      </c>
      <c r="U4175">
        <v>0</v>
      </c>
      <c r="V4175" t="s">
        <v>38</v>
      </c>
      <c r="W4175">
        <v>1</v>
      </c>
    </row>
    <row r="4176" spans="1:23" x14ac:dyDescent="0.2">
      <c r="A4176">
        <v>5140127</v>
      </c>
      <c r="B4176" t="s">
        <v>18</v>
      </c>
      <c r="C4176" t="s">
        <v>20</v>
      </c>
      <c r="D4176" t="s">
        <v>20</v>
      </c>
      <c r="E4176">
        <v>0</v>
      </c>
      <c r="F4176">
        <v>126000</v>
      </c>
      <c r="G4176" t="s">
        <v>31</v>
      </c>
      <c r="H4176" t="s">
        <v>27</v>
      </c>
      <c r="I4176" t="s">
        <v>33</v>
      </c>
      <c r="J4176" t="s">
        <v>24</v>
      </c>
      <c r="K4176" s="6">
        <f t="shared" ca="1" si="268"/>
        <v>27303</v>
      </c>
      <c r="L4176">
        <v>-18458</v>
      </c>
      <c r="M4176" s="7">
        <f t="shared" ca="1" si="266"/>
        <v>50.535249828884325</v>
      </c>
      <c r="N4176" s="5" t="str">
        <f ca="1">VLOOKUP(Data!M4176,temp!$B$3:$C$9,2,1)</f>
        <v>50-60</v>
      </c>
      <c r="O4176">
        <v>-2104</v>
      </c>
      <c r="P4176" s="8">
        <f t="shared" si="267"/>
        <v>5.760438056125941</v>
      </c>
      <c r="Q4176" s="5" t="str">
        <f t="shared" si="269"/>
        <v>Employed</v>
      </c>
      <c r="R4176">
        <v>1</v>
      </c>
      <c r="S4176">
        <v>0</v>
      </c>
      <c r="T4176">
        <v>0</v>
      </c>
      <c r="U4176">
        <v>0</v>
      </c>
      <c r="V4176" t="s">
        <v>38</v>
      </c>
      <c r="W4176">
        <v>1</v>
      </c>
    </row>
    <row r="4177" spans="1:23" x14ac:dyDescent="0.2">
      <c r="A4177">
        <v>5142086</v>
      </c>
      <c r="B4177" t="s">
        <v>18</v>
      </c>
      <c r="C4177" t="s">
        <v>20</v>
      </c>
      <c r="D4177" t="s">
        <v>20</v>
      </c>
      <c r="E4177">
        <v>0</v>
      </c>
      <c r="F4177">
        <v>112500</v>
      </c>
      <c r="G4177" t="s">
        <v>26</v>
      </c>
      <c r="H4177" t="s">
        <v>27</v>
      </c>
      <c r="I4177" t="s">
        <v>28</v>
      </c>
      <c r="J4177" t="s">
        <v>24</v>
      </c>
      <c r="K4177" s="6">
        <f t="shared" ca="1" si="268"/>
        <v>25743</v>
      </c>
      <c r="L4177">
        <v>-20018</v>
      </c>
      <c r="M4177" s="7">
        <f t="shared" ca="1" si="266"/>
        <v>54.806297056810401</v>
      </c>
      <c r="N4177" s="5" t="str">
        <f ca="1">VLOOKUP(Data!M4177,temp!$B$3:$C$9,2,1)</f>
        <v>50-60</v>
      </c>
      <c r="O4177">
        <v>-1732</v>
      </c>
      <c r="P4177" s="8">
        <f t="shared" si="267"/>
        <v>4.7419575633127993</v>
      </c>
      <c r="Q4177" s="5" t="str">
        <f t="shared" si="269"/>
        <v>Employed</v>
      </c>
      <c r="R4177">
        <v>1</v>
      </c>
      <c r="S4177">
        <v>0</v>
      </c>
      <c r="T4177">
        <v>0</v>
      </c>
      <c r="U4177">
        <v>0</v>
      </c>
      <c r="V4177" t="s">
        <v>29</v>
      </c>
      <c r="W4177">
        <v>2</v>
      </c>
    </row>
    <row r="4178" spans="1:23" x14ac:dyDescent="0.2">
      <c r="A4178">
        <v>5142092</v>
      </c>
      <c r="B4178" t="s">
        <v>25</v>
      </c>
      <c r="C4178" t="s">
        <v>19</v>
      </c>
      <c r="D4178" t="s">
        <v>19</v>
      </c>
      <c r="E4178">
        <v>0</v>
      </c>
      <c r="F4178">
        <v>315000</v>
      </c>
      <c r="G4178" t="s">
        <v>31</v>
      </c>
      <c r="H4178" t="s">
        <v>27</v>
      </c>
      <c r="I4178" t="s">
        <v>28</v>
      </c>
      <c r="J4178" t="s">
        <v>24</v>
      </c>
      <c r="K4178" s="6">
        <f t="shared" ca="1" si="268"/>
        <v>34901</v>
      </c>
      <c r="L4178">
        <v>-10860</v>
      </c>
      <c r="M4178" s="7">
        <f t="shared" ca="1" si="266"/>
        <v>29.733059548254619</v>
      </c>
      <c r="N4178" s="5" t="str">
        <f ca="1">VLOOKUP(Data!M4178,temp!$B$3:$C$9,2,1)</f>
        <v>20-30</v>
      </c>
      <c r="O4178">
        <v>-1001</v>
      </c>
      <c r="P4178" s="8">
        <f t="shared" si="267"/>
        <v>2.7405886379192332</v>
      </c>
      <c r="Q4178" s="5" t="str">
        <f t="shared" si="269"/>
        <v>Employed</v>
      </c>
      <c r="R4178">
        <v>1</v>
      </c>
      <c r="S4178">
        <v>1</v>
      </c>
      <c r="T4178">
        <v>0</v>
      </c>
      <c r="U4178">
        <v>0</v>
      </c>
      <c r="V4178" t="s">
        <v>40</v>
      </c>
      <c r="W4178">
        <v>2</v>
      </c>
    </row>
    <row r="4179" spans="1:23" x14ac:dyDescent="0.2">
      <c r="A4179">
        <v>5142096</v>
      </c>
      <c r="B4179" t="s">
        <v>25</v>
      </c>
      <c r="C4179" t="s">
        <v>19</v>
      </c>
      <c r="D4179" t="s">
        <v>19</v>
      </c>
      <c r="E4179">
        <v>0</v>
      </c>
      <c r="F4179">
        <v>315000</v>
      </c>
      <c r="G4179" t="s">
        <v>31</v>
      </c>
      <c r="H4179" t="s">
        <v>27</v>
      </c>
      <c r="I4179" t="s">
        <v>28</v>
      </c>
      <c r="J4179" t="s">
        <v>24</v>
      </c>
      <c r="K4179" s="6">
        <f t="shared" ca="1" si="268"/>
        <v>34901</v>
      </c>
      <c r="L4179">
        <v>-10860</v>
      </c>
      <c r="M4179" s="7">
        <f t="shared" ca="1" si="266"/>
        <v>29.733059548254619</v>
      </c>
      <c r="N4179" s="5" t="str">
        <f ca="1">VLOOKUP(Data!M4179,temp!$B$3:$C$9,2,1)</f>
        <v>20-30</v>
      </c>
      <c r="O4179">
        <v>-1001</v>
      </c>
      <c r="P4179" s="8">
        <f t="shared" si="267"/>
        <v>2.7405886379192332</v>
      </c>
      <c r="Q4179" s="5" t="str">
        <f t="shared" si="269"/>
        <v>Employed</v>
      </c>
      <c r="R4179">
        <v>1</v>
      </c>
      <c r="S4179">
        <v>1</v>
      </c>
      <c r="T4179">
        <v>0</v>
      </c>
      <c r="U4179">
        <v>0</v>
      </c>
      <c r="V4179" t="s">
        <v>40</v>
      </c>
      <c r="W4179">
        <v>2</v>
      </c>
    </row>
    <row r="4180" spans="1:23" x14ac:dyDescent="0.2">
      <c r="A4180">
        <v>5142098</v>
      </c>
      <c r="B4180" t="s">
        <v>18</v>
      </c>
      <c r="C4180" t="s">
        <v>19</v>
      </c>
      <c r="D4180" t="s">
        <v>20</v>
      </c>
      <c r="E4180">
        <v>0</v>
      </c>
      <c r="F4180">
        <v>112500</v>
      </c>
      <c r="G4180" t="s">
        <v>35</v>
      </c>
      <c r="H4180" t="s">
        <v>22</v>
      </c>
      <c r="I4180" t="s">
        <v>37</v>
      </c>
      <c r="J4180" t="s">
        <v>41</v>
      </c>
      <c r="K4180" s="6">
        <f t="shared" ca="1" si="268"/>
        <v>36821</v>
      </c>
      <c r="L4180">
        <v>-8940</v>
      </c>
      <c r="M4180" s="7">
        <f t="shared" ca="1" si="266"/>
        <v>24.476386036960985</v>
      </c>
      <c r="N4180" s="5" t="str">
        <f ca="1">VLOOKUP(Data!M4180,temp!$B$3:$C$9,2,1)</f>
        <v>20-30</v>
      </c>
      <c r="O4180">
        <v>-544</v>
      </c>
      <c r="P4180" s="8">
        <f t="shared" si="267"/>
        <v>1.4893908281998631</v>
      </c>
      <c r="Q4180" s="5" t="str">
        <f t="shared" si="269"/>
        <v>Employed</v>
      </c>
      <c r="R4180">
        <v>1</v>
      </c>
      <c r="S4180">
        <v>0</v>
      </c>
      <c r="T4180">
        <v>0</v>
      </c>
      <c r="U4180">
        <v>0</v>
      </c>
      <c r="W4180">
        <v>2</v>
      </c>
    </row>
    <row r="4181" spans="1:23" x14ac:dyDescent="0.2">
      <c r="A4181">
        <v>5142139</v>
      </c>
      <c r="B4181" t="s">
        <v>18</v>
      </c>
      <c r="C4181" t="s">
        <v>19</v>
      </c>
      <c r="D4181" t="s">
        <v>19</v>
      </c>
      <c r="E4181">
        <v>2</v>
      </c>
      <c r="F4181">
        <v>144000</v>
      </c>
      <c r="G4181" t="s">
        <v>31</v>
      </c>
      <c r="H4181" t="s">
        <v>27</v>
      </c>
      <c r="I4181" t="s">
        <v>28</v>
      </c>
      <c r="J4181" t="s">
        <v>24</v>
      </c>
      <c r="K4181" s="6">
        <f t="shared" ca="1" si="268"/>
        <v>28760</v>
      </c>
      <c r="L4181">
        <v>-17001</v>
      </c>
      <c r="M4181" s="7">
        <f t="shared" ca="1" si="266"/>
        <v>46.546201232032857</v>
      </c>
      <c r="N4181" s="5" t="str">
        <f ca="1">VLOOKUP(Data!M4181,temp!$B$3:$C$9,2,1)</f>
        <v>40-50</v>
      </c>
      <c r="O4181">
        <v>-5004</v>
      </c>
      <c r="P4181" s="8">
        <f t="shared" si="267"/>
        <v>13.700205338809035</v>
      </c>
      <c r="Q4181" s="5" t="str">
        <f t="shared" si="269"/>
        <v>Employed</v>
      </c>
      <c r="R4181">
        <v>1</v>
      </c>
      <c r="S4181">
        <v>0</v>
      </c>
      <c r="T4181">
        <v>0</v>
      </c>
      <c r="U4181">
        <v>0</v>
      </c>
      <c r="V4181" t="s">
        <v>50</v>
      </c>
      <c r="W4181">
        <v>4</v>
      </c>
    </row>
    <row r="4182" spans="1:23" x14ac:dyDescent="0.2">
      <c r="A4182">
        <v>5142153</v>
      </c>
      <c r="B4182" t="s">
        <v>25</v>
      </c>
      <c r="C4182" t="s">
        <v>20</v>
      </c>
      <c r="D4182" t="s">
        <v>20</v>
      </c>
      <c r="E4182">
        <v>0</v>
      </c>
      <c r="F4182">
        <v>450000</v>
      </c>
      <c r="G4182" t="s">
        <v>31</v>
      </c>
      <c r="H4182" t="s">
        <v>27</v>
      </c>
      <c r="I4182" t="s">
        <v>33</v>
      </c>
      <c r="J4182" t="s">
        <v>24</v>
      </c>
      <c r="K4182" s="6">
        <f t="shared" ca="1" si="268"/>
        <v>29801</v>
      </c>
      <c r="L4182">
        <v>-15960</v>
      </c>
      <c r="M4182" s="7">
        <f t="shared" ca="1" si="266"/>
        <v>43.696098562628336</v>
      </c>
      <c r="N4182" s="5" t="str">
        <f ca="1">VLOOKUP(Data!M4182,temp!$B$3:$C$9,2,1)</f>
        <v>40-50</v>
      </c>
      <c r="O4182">
        <v>-3574</v>
      </c>
      <c r="P4182" s="8">
        <f t="shared" si="267"/>
        <v>9.7850787132101296</v>
      </c>
      <c r="Q4182" s="5" t="str">
        <f t="shared" si="269"/>
        <v>Employed</v>
      </c>
      <c r="R4182">
        <v>1</v>
      </c>
      <c r="S4182">
        <v>0</v>
      </c>
      <c r="T4182">
        <v>0</v>
      </c>
      <c r="U4182">
        <v>0</v>
      </c>
      <c r="V4182" t="s">
        <v>47</v>
      </c>
      <c r="W4182">
        <v>1</v>
      </c>
    </row>
    <row r="4183" spans="1:23" x14ac:dyDescent="0.2">
      <c r="A4183">
        <v>5142166</v>
      </c>
      <c r="B4183" t="s">
        <v>25</v>
      </c>
      <c r="C4183" t="s">
        <v>19</v>
      </c>
      <c r="D4183" t="s">
        <v>20</v>
      </c>
      <c r="E4183">
        <v>1</v>
      </c>
      <c r="F4183">
        <v>360000</v>
      </c>
      <c r="G4183" t="s">
        <v>31</v>
      </c>
      <c r="H4183" t="s">
        <v>27</v>
      </c>
      <c r="I4183" t="s">
        <v>37</v>
      </c>
      <c r="J4183" t="s">
        <v>24</v>
      </c>
      <c r="K4183" s="6">
        <f t="shared" ca="1" si="268"/>
        <v>34237</v>
      </c>
      <c r="L4183">
        <v>-11524</v>
      </c>
      <c r="M4183" s="7">
        <f t="shared" ca="1" si="266"/>
        <v>31.550992470910334</v>
      </c>
      <c r="N4183" s="5" t="str">
        <f ca="1">VLOOKUP(Data!M4183,temp!$B$3:$C$9,2,1)</f>
        <v>30-40</v>
      </c>
      <c r="O4183">
        <v>-2554</v>
      </c>
      <c r="P4183" s="8">
        <f t="shared" si="267"/>
        <v>6.9924709103353866</v>
      </c>
      <c r="Q4183" s="5" t="str">
        <f t="shared" si="269"/>
        <v>Employed</v>
      </c>
      <c r="R4183">
        <v>1</v>
      </c>
      <c r="S4183">
        <v>0</v>
      </c>
      <c r="T4183">
        <v>0</v>
      </c>
      <c r="U4183">
        <v>0</v>
      </c>
      <c r="V4183" t="s">
        <v>39</v>
      </c>
      <c r="W4183">
        <v>3</v>
      </c>
    </row>
    <row r="4184" spans="1:23" x14ac:dyDescent="0.2">
      <c r="A4184">
        <v>5142167</v>
      </c>
      <c r="B4184" t="s">
        <v>25</v>
      </c>
      <c r="C4184" t="s">
        <v>19</v>
      </c>
      <c r="D4184" t="s">
        <v>20</v>
      </c>
      <c r="E4184">
        <v>0</v>
      </c>
      <c r="F4184">
        <v>315000</v>
      </c>
      <c r="G4184" t="s">
        <v>31</v>
      </c>
      <c r="H4184" t="s">
        <v>27</v>
      </c>
      <c r="I4184" t="s">
        <v>28</v>
      </c>
      <c r="J4184" t="s">
        <v>24</v>
      </c>
      <c r="K4184" s="6">
        <f t="shared" ca="1" si="268"/>
        <v>32818</v>
      </c>
      <c r="L4184">
        <v>-12943</v>
      </c>
      <c r="M4184" s="7">
        <f t="shared" ca="1" si="266"/>
        <v>35.436002737850785</v>
      </c>
      <c r="N4184" s="5" t="str">
        <f ca="1">VLOOKUP(Data!M4184,temp!$B$3:$C$9,2,1)</f>
        <v>30-40</v>
      </c>
      <c r="O4184">
        <v>-4029</v>
      </c>
      <c r="P4184" s="8">
        <f t="shared" si="267"/>
        <v>11.030800821355236</v>
      </c>
      <c r="Q4184" s="5" t="str">
        <f t="shared" si="269"/>
        <v>Employed</v>
      </c>
      <c r="R4184">
        <v>1</v>
      </c>
      <c r="S4184">
        <v>0</v>
      </c>
      <c r="T4184">
        <v>0</v>
      </c>
      <c r="U4184">
        <v>0</v>
      </c>
      <c r="V4184" t="s">
        <v>29</v>
      </c>
      <c r="W4184">
        <v>2</v>
      </c>
    </row>
    <row r="4185" spans="1:23" x14ac:dyDescent="0.2">
      <c r="A4185">
        <v>5142174</v>
      </c>
      <c r="B4185" t="s">
        <v>25</v>
      </c>
      <c r="C4185" t="s">
        <v>20</v>
      </c>
      <c r="D4185" t="s">
        <v>20</v>
      </c>
      <c r="E4185">
        <v>0</v>
      </c>
      <c r="F4185">
        <v>247500</v>
      </c>
      <c r="G4185" t="s">
        <v>31</v>
      </c>
      <c r="H4185" t="s">
        <v>27</v>
      </c>
      <c r="I4185" t="s">
        <v>28</v>
      </c>
      <c r="J4185" t="s">
        <v>43</v>
      </c>
      <c r="K4185" s="6">
        <f t="shared" ca="1" si="268"/>
        <v>34676</v>
      </c>
      <c r="L4185">
        <v>-11085</v>
      </c>
      <c r="M4185" s="7">
        <f t="shared" ca="1" si="266"/>
        <v>30.349075975359344</v>
      </c>
      <c r="N4185" s="5" t="str">
        <f ca="1">VLOOKUP(Data!M4185,temp!$B$3:$C$9,2,1)</f>
        <v>30-40</v>
      </c>
      <c r="O4185">
        <v>-2783</v>
      </c>
      <c r="P4185" s="8">
        <f t="shared" si="267"/>
        <v>7.6194387405886381</v>
      </c>
      <c r="Q4185" s="5" t="str">
        <f t="shared" si="269"/>
        <v>Employed</v>
      </c>
      <c r="R4185">
        <v>1</v>
      </c>
      <c r="S4185">
        <v>1</v>
      </c>
      <c r="T4185">
        <v>0</v>
      </c>
      <c r="U4185">
        <v>0</v>
      </c>
      <c r="V4185" t="s">
        <v>39</v>
      </c>
      <c r="W4185">
        <v>2</v>
      </c>
    </row>
    <row r="4186" spans="1:23" x14ac:dyDescent="0.2">
      <c r="A4186">
        <v>5142175</v>
      </c>
      <c r="B4186" t="s">
        <v>25</v>
      </c>
      <c r="C4186" t="s">
        <v>20</v>
      </c>
      <c r="D4186" t="s">
        <v>20</v>
      </c>
      <c r="E4186">
        <v>0</v>
      </c>
      <c r="F4186">
        <v>247500</v>
      </c>
      <c r="G4186" t="s">
        <v>31</v>
      </c>
      <c r="H4186" t="s">
        <v>27</v>
      </c>
      <c r="I4186" t="s">
        <v>28</v>
      </c>
      <c r="J4186" t="s">
        <v>43</v>
      </c>
      <c r="K4186" s="6">
        <f t="shared" ca="1" si="268"/>
        <v>34676</v>
      </c>
      <c r="L4186">
        <v>-11085</v>
      </c>
      <c r="M4186" s="7">
        <f t="shared" ca="1" si="266"/>
        <v>30.349075975359344</v>
      </c>
      <c r="N4186" s="5" t="str">
        <f ca="1">VLOOKUP(Data!M4186,temp!$B$3:$C$9,2,1)</f>
        <v>30-40</v>
      </c>
      <c r="O4186">
        <v>-2783</v>
      </c>
      <c r="P4186" s="8">
        <f t="shared" si="267"/>
        <v>7.6194387405886381</v>
      </c>
      <c r="Q4186" s="5" t="str">
        <f t="shared" si="269"/>
        <v>Employed</v>
      </c>
      <c r="R4186">
        <v>1</v>
      </c>
      <c r="S4186">
        <v>1</v>
      </c>
      <c r="T4186">
        <v>0</v>
      </c>
      <c r="U4186">
        <v>0</v>
      </c>
      <c r="V4186" t="s">
        <v>39</v>
      </c>
      <c r="W4186">
        <v>2</v>
      </c>
    </row>
    <row r="4187" spans="1:23" x14ac:dyDescent="0.2">
      <c r="A4187">
        <v>5142179</v>
      </c>
      <c r="B4187" t="s">
        <v>25</v>
      </c>
      <c r="C4187" t="s">
        <v>19</v>
      </c>
      <c r="D4187" t="s">
        <v>20</v>
      </c>
      <c r="E4187">
        <v>2</v>
      </c>
      <c r="F4187">
        <v>337500</v>
      </c>
      <c r="G4187" t="s">
        <v>26</v>
      </c>
      <c r="H4187" t="s">
        <v>27</v>
      </c>
      <c r="I4187" t="s">
        <v>28</v>
      </c>
      <c r="J4187" t="s">
        <v>24</v>
      </c>
      <c r="K4187" s="6">
        <f t="shared" ca="1" si="268"/>
        <v>36029</v>
      </c>
      <c r="L4187">
        <v>-9732</v>
      </c>
      <c r="M4187" s="7">
        <f t="shared" ca="1" si="266"/>
        <v>26.644763860369611</v>
      </c>
      <c r="N4187" s="5" t="str">
        <f ca="1">VLOOKUP(Data!M4187,temp!$B$3:$C$9,2,1)</f>
        <v>20-30</v>
      </c>
      <c r="O4187">
        <v>-134</v>
      </c>
      <c r="P4187" s="8">
        <f t="shared" si="267"/>
        <v>0.36687200547570159</v>
      </c>
      <c r="Q4187" s="5" t="str">
        <f t="shared" si="269"/>
        <v>Employed</v>
      </c>
      <c r="R4187">
        <v>1</v>
      </c>
      <c r="S4187">
        <v>0</v>
      </c>
      <c r="T4187">
        <v>0</v>
      </c>
      <c r="U4187">
        <v>0</v>
      </c>
      <c r="V4187" t="s">
        <v>48</v>
      </c>
      <c r="W4187">
        <v>4</v>
      </c>
    </row>
    <row r="4188" spans="1:23" x14ac:dyDescent="0.2">
      <c r="A4188">
        <v>5142185</v>
      </c>
      <c r="B4188" t="s">
        <v>25</v>
      </c>
      <c r="C4188" t="s">
        <v>20</v>
      </c>
      <c r="D4188" t="s">
        <v>20</v>
      </c>
      <c r="E4188">
        <v>2</v>
      </c>
      <c r="F4188">
        <v>450000</v>
      </c>
      <c r="G4188" t="s">
        <v>26</v>
      </c>
      <c r="H4188" t="s">
        <v>22</v>
      </c>
      <c r="I4188" t="s">
        <v>28</v>
      </c>
      <c r="J4188" t="s">
        <v>24</v>
      </c>
      <c r="K4188" s="6">
        <f t="shared" ca="1" si="268"/>
        <v>27920</v>
      </c>
      <c r="L4188">
        <v>-17841</v>
      </c>
      <c r="M4188" s="7">
        <f t="shared" ca="1" si="266"/>
        <v>48.845995893223822</v>
      </c>
      <c r="N4188" s="5" t="str">
        <f ca="1">VLOOKUP(Data!M4188,temp!$B$3:$C$9,2,1)</f>
        <v>40-50</v>
      </c>
      <c r="O4188">
        <v>-4305</v>
      </c>
      <c r="P4188" s="8">
        <f t="shared" si="267"/>
        <v>11.786447638603697</v>
      </c>
      <c r="Q4188" s="5" t="str">
        <f t="shared" si="269"/>
        <v>Employed</v>
      </c>
      <c r="R4188">
        <v>1</v>
      </c>
      <c r="S4188">
        <v>1</v>
      </c>
      <c r="T4188">
        <v>1</v>
      </c>
      <c r="U4188">
        <v>0</v>
      </c>
      <c r="V4188" t="s">
        <v>32</v>
      </c>
      <c r="W4188">
        <v>4</v>
      </c>
    </row>
    <row r="4189" spans="1:23" x14ac:dyDescent="0.2">
      <c r="A4189">
        <v>5142213</v>
      </c>
      <c r="B4189" t="s">
        <v>25</v>
      </c>
      <c r="C4189" t="s">
        <v>20</v>
      </c>
      <c r="D4189" t="s">
        <v>20</v>
      </c>
      <c r="E4189">
        <v>0</v>
      </c>
      <c r="F4189">
        <v>202500</v>
      </c>
      <c r="G4189" t="s">
        <v>26</v>
      </c>
      <c r="H4189" t="s">
        <v>27</v>
      </c>
      <c r="I4189" t="s">
        <v>28</v>
      </c>
      <c r="J4189" t="s">
        <v>24</v>
      </c>
      <c r="K4189" s="6">
        <f t="shared" ca="1" si="268"/>
        <v>33204</v>
      </c>
      <c r="L4189">
        <v>-12557</v>
      </c>
      <c r="M4189" s="7">
        <f t="shared" ca="1" si="266"/>
        <v>34.379192334017795</v>
      </c>
      <c r="N4189" s="5" t="str">
        <f ca="1">VLOOKUP(Data!M4189,temp!$B$3:$C$9,2,1)</f>
        <v>30-40</v>
      </c>
      <c r="O4189">
        <v>-210</v>
      </c>
      <c r="P4189" s="8">
        <f t="shared" si="267"/>
        <v>0.57494866529774125</v>
      </c>
      <c r="Q4189" s="5" t="str">
        <f t="shared" si="269"/>
        <v>Employed</v>
      </c>
      <c r="R4189">
        <v>1</v>
      </c>
      <c r="S4189">
        <v>0</v>
      </c>
      <c r="T4189">
        <v>0</v>
      </c>
      <c r="U4189">
        <v>0</v>
      </c>
      <c r="V4189" t="s">
        <v>29</v>
      </c>
      <c r="W4189">
        <v>2</v>
      </c>
    </row>
    <row r="4190" spans="1:23" x14ac:dyDescent="0.2">
      <c r="A4190">
        <v>5142223</v>
      </c>
      <c r="B4190" t="s">
        <v>18</v>
      </c>
      <c r="C4190" t="s">
        <v>19</v>
      </c>
      <c r="D4190" t="s">
        <v>20</v>
      </c>
      <c r="E4190">
        <v>1</v>
      </c>
      <c r="F4190">
        <v>112500</v>
      </c>
      <c r="G4190" t="s">
        <v>31</v>
      </c>
      <c r="H4190" t="s">
        <v>27</v>
      </c>
      <c r="I4190" t="s">
        <v>28</v>
      </c>
      <c r="J4190" t="s">
        <v>24</v>
      </c>
      <c r="K4190" s="6">
        <f t="shared" ca="1" si="268"/>
        <v>35950</v>
      </c>
      <c r="L4190">
        <v>-9811</v>
      </c>
      <c r="M4190" s="7">
        <f t="shared" ca="1" si="266"/>
        <v>26.861054072553046</v>
      </c>
      <c r="N4190" s="5" t="str">
        <f ca="1">VLOOKUP(Data!M4190,temp!$B$3:$C$9,2,1)</f>
        <v>20-30</v>
      </c>
      <c r="O4190">
        <v>-864</v>
      </c>
      <c r="P4190" s="8">
        <f t="shared" si="267"/>
        <v>2.3655030800821355</v>
      </c>
      <c r="Q4190" s="5" t="str">
        <f t="shared" si="269"/>
        <v>Employed</v>
      </c>
      <c r="R4190">
        <v>1</v>
      </c>
      <c r="S4190">
        <v>0</v>
      </c>
      <c r="T4190">
        <v>0</v>
      </c>
      <c r="U4190">
        <v>0</v>
      </c>
      <c r="V4190" t="s">
        <v>38</v>
      </c>
      <c r="W4190">
        <v>3</v>
      </c>
    </row>
    <row r="4191" spans="1:23" x14ac:dyDescent="0.2">
      <c r="A4191">
        <v>5142245</v>
      </c>
      <c r="B4191" t="s">
        <v>25</v>
      </c>
      <c r="C4191" t="s">
        <v>20</v>
      </c>
      <c r="D4191" t="s">
        <v>20</v>
      </c>
      <c r="E4191">
        <v>2</v>
      </c>
      <c r="F4191">
        <v>180000</v>
      </c>
      <c r="G4191" t="s">
        <v>31</v>
      </c>
      <c r="H4191" t="s">
        <v>22</v>
      </c>
      <c r="I4191" t="s">
        <v>28</v>
      </c>
      <c r="J4191" t="s">
        <v>24</v>
      </c>
      <c r="K4191" s="6">
        <f t="shared" ca="1" si="268"/>
        <v>26181</v>
      </c>
      <c r="L4191">
        <v>-19580</v>
      </c>
      <c r="M4191" s="7">
        <f t="shared" ca="1" si="266"/>
        <v>53.607118412046546</v>
      </c>
      <c r="N4191" s="5" t="str">
        <f ca="1">VLOOKUP(Data!M4191,temp!$B$3:$C$9,2,1)</f>
        <v>50-60</v>
      </c>
      <c r="O4191">
        <v>-1230</v>
      </c>
      <c r="P4191" s="8">
        <f t="shared" si="267"/>
        <v>3.3675564681724848</v>
      </c>
      <c r="Q4191" s="5" t="str">
        <f t="shared" si="269"/>
        <v>Employed</v>
      </c>
      <c r="R4191">
        <v>1</v>
      </c>
      <c r="S4191">
        <v>0</v>
      </c>
      <c r="T4191">
        <v>0</v>
      </c>
      <c r="U4191">
        <v>0</v>
      </c>
      <c r="V4191" t="s">
        <v>29</v>
      </c>
      <c r="W4191">
        <v>4</v>
      </c>
    </row>
    <row r="4192" spans="1:23" x14ac:dyDescent="0.2">
      <c r="A4192">
        <v>5142247</v>
      </c>
      <c r="B4192" t="s">
        <v>18</v>
      </c>
      <c r="C4192" t="s">
        <v>19</v>
      </c>
      <c r="D4192" t="s">
        <v>20</v>
      </c>
      <c r="E4192">
        <v>0</v>
      </c>
      <c r="F4192">
        <v>225000</v>
      </c>
      <c r="G4192" t="s">
        <v>35</v>
      </c>
      <c r="H4192" t="s">
        <v>27</v>
      </c>
      <c r="I4192" t="s">
        <v>28</v>
      </c>
      <c r="J4192" t="s">
        <v>24</v>
      </c>
      <c r="K4192" s="6">
        <f t="shared" ca="1" si="268"/>
        <v>25935</v>
      </c>
      <c r="L4192">
        <v>-19826</v>
      </c>
      <c r="M4192" s="7">
        <f t="shared" ca="1" si="266"/>
        <v>54.280629705681044</v>
      </c>
      <c r="N4192" s="5" t="str">
        <f ca="1">VLOOKUP(Data!M4192,temp!$B$3:$C$9,2,1)</f>
        <v>50-60</v>
      </c>
      <c r="O4192">
        <v>-2340</v>
      </c>
      <c r="P4192" s="8">
        <f t="shared" si="267"/>
        <v>6.406570841889117</v>
      </c>
      <c r="Q4192" s="5" t="str">
        <f t="shared" si="269"/>
        <v>Employed</v>
      </c>
      <c r="R4192">
        <v>1</v>
      </c>
      <c r="S4192">
        <v>0</v>
      </c>
      <c r="T4192">
        <v>0</v>
      </c>
      <c r="U4192">
        <v>0</v>
      </c>
      <c r="V4192" t="s">
        <v>49</v>
      </c>
      <c r="W4192">
        <v>2</v>
      </c>
    </row>
    <row r="4193" spans="1:23" x14ac:dyDescent="0.2">
      <c r="A4193">
        <v>5142251</v>
      </c>
      <c r="B4193" t="s">
        <v>18</v>
      </c>
      <c r="C4193" t="s">
        <v>19</v>
      </c>
      <c r="D4193" t="s">
        <v>20</v>
      </c>
      <c r="E4193">
        <v>0</v>
      </c>
      <c r="F4193">
        <v>270000</v>
      </c>
      <c r="G4193" t="s">
        <v>21</v>
      </c>
      <c r="H4193" t="s">
        <v>27</v>
      </c>
      <c r="I4193" t="s">
        <v>28</v>
      </c>
      <c r="J4193" t="s">
        <v>24</v>
      </c>
      <c r="K4193" s="6">
        <f t="shared" ca="1" si="268"/>
        <v>27528</v>
      </c>
      <c r="L4193">
        <v>-18233</v>
      </c>
      <c r="M4193" s="7">
        <f t="shared" ca="1" si="266"/>
        <v>49.9192334017796</v>
      </c>
      <c r="N4193" s="5" t="str">
        <f ca="1">VLOOKUP(Data!M4193,temp!$B$3:$C$9,2,1)</f>
        <v>40-50</v>
      </c>
      <c r="O4193">
        <v>365243</v>
      </c>
      <c r="P4193" s="8">
        <f t="shared" si="267"/>
        <v>0</v>
      </c>
      <c r="Q4193" s="5" t="str">
        <f t="shared" si="269"/>
        <v>Unemployed</v>
      </c>
      <c r="R4193">
        <v>1</v>
      </c>
      <c r="S4193">
        <v>0</v>
      </c>
      <c r="T4193">
        <v>0</v>
      </c>
      <c r="U4193">
        <v>0</v>
      </c>
      <c r="W4193">
        <v>2</v>
      </c>
    </row>
    <row r="4194" spans="1:23" x14ac:dyDescent="0.2">
      <c r="A4194">
        <v>5142262</v>
      </c>
      <c r="B4194" t="s">
        <v>18</v>
      </c>
      <c r="C4194" t="s">
        <v>20</v>
      </c>
      <c r="D4194" t="s">
        <v>19</v>
      </c>
      <c r="E4194">
        <v>0</v>
      </c>
      <c r="F4194">
        <v>180000</v>
      </c>
      <c r="G4194" t="s">
        <v>31</v>
      </c>
      <c r="H4194" t="s">
        <v>22</v>
      </c>
      <c r="I4194" t="s">
        <v>28</v>
      </c>
      <c r="J4194" t="s">
        <v>45</v>
      </c>
      <c r="K4194" s="6">
        <f t="shared" ca="1" si="268"/>
        <v>27843</v>
      </c>
      <c r="L4194">
        <v>-17918</v>
      </c>
      <c r="M4194" s="7">
        <f t="shared" ca="1" si="266"/>
        <v>49.056810403832991</v>
      </c>
      <c r="N4194" s="5" t="str">
        <f ca="1">VLOOKUP(Data!M4194,temp!$B$3:$C$9,2,1)</f>
        <v>40-50</v>
      </c>
      <c r="O4194">
        <v>-2005</v>
      </c>
      <c r="P4194" s="8">
        <f t="shared" si="267"/>
        <v>5.4893908281998627</v>
      </c>
      <c r="Q4194" s="5" t="str">
        <f t="shared" si="269"/>
        <v>Employed</v>
      </c>
      <c r="R4194">
        <v>1</v>
      </c>
      <c r="S4194">
        <v>0</v>
      </c>
      <c r="T4194">
        <v>0</v>
      </c>
      <c r="U4194">
        <v>0</v>
      </c>
      <c r="W4194">
        <v>2</v>
      </c>
    </row>
    <row r="4195" spans="1:23" x14ac:dyDescent="0.2">
      <c r="A4195">
        <v>5142290</v>
      </c>
      <c r="B4195" t="s">
        <v>18</v>
      </c>
      <c r="C4195" t="s">
        <v>19</v>
      </c>
      <c r="D4195" t="s">
        <v>20</v>
      </c>
      <c r="E4195">
        <v>1</v>
      </c>
      <c r="F4195">
        <v>162000</v>
      </c>
      <c r="G4195" t="s">
        <v>35</v>
      </c>
      <c r="H4195" t="s">
        <v>22</v>
      </c>
      <c r="I4195" t="s">
        <v>37</v>
      </c>
      <c r="J4195" t="s">
        <v>24</v>
      </c>
      <c r="K4195" s="6">
        <f t="shared" ca="1" si="268"/>
        <v>30734</v>
      </c>
      <c r="L4195">
        <v>-15027</v>
      </c>
      <c r="M4195" s="7">
        <f t="shared" ca="1" si="266"/>
        <v>41.141683778234089</v>
      </c>
      <c r="N4195" s="5" t="str">
        <f ca="1">VLOOKUP(Data!M4195,temp!$B$3:$C$9,2,1)</f>
        <v>40-50</v>
      </c>
      <c r="O4195">
        <v>-88</v>
      </c>
      <c r="P4195" s="8">
        <f t="shared" si="267"/>
        <v>0.24093086926762491</v>
      </c>
      <c r="Q4195" s="5" t="str">
        <f t="shared" si="269"/>
        <v>Employed</v>
      </c>
      <c r="R4195">
        <v>1</v>
      </c>
      <c r="S4195">
        <v>0</v>
      </c>
      <c r="T4195">
        <v>0</v>
      </c>
      <c r="U4195">
        <v>0</v>
      </c>
      <c r="V4195" t="s">
        <v>44</v>
      </c>
      <c r="W4195">
        <v>3</v>
      </c>
    </row>
    <row r="4196" spans="1:23" x14ac:dyDescent="0.2">
      <c r="A4196">
        <v>5142297</v>
      </c>
      <c r="B4196" t="s">
        <v>18</v>
      </c>
      <c r="C4196" t="s">
        <v>19</v>
      </c>
      <c r="D4196" t="s">
        <v>20</v>
      </c>
      <c r="E4196">
        <v>0</v>
      </c>
      <c r="F4196">
        <v>81000</v>
      </c>
      <c r="G4196" t="s">
        <v>26</v>
      </c>
      <c r="H4196" t="s">
        <v>27</v>
      </c>
      <c r="I4196" t="s">
        <v>33</v>
      </c>
      <c r="J4196" t="s">
        <v>24</v>
      </c>
      <c r="K4196" s="6">
        <f t="shared" ca="1" si="268"/>
        <v>35895</v>
      </c>
      <c r="L4196">
        <v>-9866</v>
      </c>
      <c r="M4196" s="7">
        <f t="shared" ca="1" si="266"/>
        <v>27.01163586584531</v>
      </c>
      <c r="N4196" s="5" t="str">
        <f ca="1">VLOOKUP(Data!M4196,temp!$B$3:$C$9,2,1)</f>
        <v>20-30</v>
      </c>
      <c r="O4196">
        <v>-2583</v>
      </c>
      <c r="P4196" s="8">
        <f t="shared" si="267"/>
        <v>7.0718685831622174</v>
      </c>
      <c r="Q4196" s="5" t="str">
        <f t="shared" si="269"/>
        <v>Employed</v>
      </c>
      <c r="R4196">
        <v>1</v>
      </c>
      <c r="S4196">
        <v>0</v>
      </c>
      <c r="T4196">
        <v>0</v>
      </c>
      <c r="U4196">
        <v>0</v>
      </c>
      <c r="V4196" t="s">
        <v>50</v>
      </c>
      <c r="W4196">
        <v>1</v>
      </c>
    </row>
    <row r="4197" spans="1:23" x14ac:dyDescent="0.2">
      <c r="A4197">
        <v>5142305</v>
      </c>
      <c r="B4197" t="s">
        <v>25</v>
      </c>
      <c r="C4197" t="s">
        <v>20</v>
      </c>
      <c r="D4197" t="s">
        <v>20</v>
      </c>
      <c r="E4197">
        <v>0</v>
      </c>
      <c r="F4197">
        <v>360000</v>
      </c>
      <c r="G4197" t="s">
        <v>26</v>
      </c>
      <c r="H4197" t="s">
        <v>22</v>
      </c>
      <c r="I4197" t="s">
        <v>28</v>
      </c>
      <c r="J4197" t="s">
        <v>24</v>
      </c>
      <c r="K4197" s="6">
        <f t="shared" ca="1" si="268"/>
        <v>28372</v>
      </c>
      <c r="L4197">
        <v>-17389</v>
      </c>
      <c r="M4197" s="7">
        <f t="shared" ca="1" si="266"/>
        <v>47.60848733744011</v>
      </c>
      <c r="N4197" s="5" t="str">
        <f ca="1">VLOOKUP(Data!M4197,temp!$B$3:$C$9,2,1)</f>
        <v>40-50</v>
      </c>
      <c r="O4197">
        <v>-2113</v>
      </c>
      <c r="P4197" s="8">
        <f t="shared" si="267"/>
        <v>5.7850787132101305</v>
      </c>
      <c r="Q4197" s="5" t="str">
        <f t="shared" si="269"/>
        <v>Employed</v>
      </c>
      <c r="R4197">
        <v>1</v>
      </c>
      <c r="S4197">
        <v>0</v>
      </c>
      <c r="T4197">
        <v>0</v>
      </c>
      <c r="U4197">
        <v>0</v>
      </c>
      <c r="V4197" t="s">
        <v>30</v>
      </c>
      <c r="W4197">
        <v>2</v>
      </c>
    </row>
    <row r="4198" spans="1:23" x14ac:dyDescent="0.2">
      <c r="A4198">
        <v>5142310</v>
      </c>
      <c r="B4198" t="s">
        <v>18</v>
      </c>
      <c r="C4198" t="s">
        <v>19</v>
      </c>
      <c r="D4198" t="s">
        <v>20</v>
      </c>
      <c r="E4198">
        <v>0</v>
      </c>
      <c r="F4198">
        <v>135000</v>
      </c>
      <c r="G4198" t="s">
        <v>26</v>
      </c>
      <c r="H4198" t="s">
        <v>27</v>
      </c>
      <c r="I4198" t="s">
        <v>28</v>
      </c>
      <c r="J4198" t="s">
        <v>24</v>
      </c>
      <c r="K4198" s="6">
        <f t="shared" ca="1" si="268"/>
        <v>26875</v>
      </c>
      <c r="L4198">
        <v>-18886</v>
      </c>
      <c r="M4198" s="7">
        <f t="shared" ca="1" si="266"/>
        <v>51.707049965776868</v>
      </c>
      <c r="N4198" s="5" t="str">
        <f ca="1">VLOOKUP(Data!M4198,temp!$B$3:$C$9,2,1)</f>
        <v>50-60</v>
      </c>
      <c r="O4198">
        <v>-2523</v>
      </c>
      <c r="P4198" s="8">
        <f t="shared" si="267"/>
        <v>6.9075975359342916</v>
      </c>
      <c r="Q4198" s="5" t="str">
        <f t="shared" si="269"/>
        <v>Employed</v>
      </c>
      <c r="R4198">
        <v>1</v>
      </c>
      <c r="S4198">
        <v>1</v>
      </c>
      <c r="T4198">
        <v>1</v>
      </c>
      <c r="U4198">
        <v>0</v>
      </c>
      <c r="V4198" t="s">
        <v>39</v>
      </c>
      <c r="W4198">
        <v>2</v>
      </c>
    </row>
    <row r="4199" spans="1:23" x14ac:dyDescent="0.2">
      <c r="A4199">
        <v>5142319</v>
      </c>
      <c r="B4199" t="s">
        <v>25</v>
      </c>
      <c r="C4199" t="s">
        <v>20</v>
      </c>
      <c r="D4199" t="s">
        <v>20</v>
      </c>
      <c r="E4199">
        <v>0</v>
      </c>
      <c r="F4199">
        <v>157500</v>
      </c>
      <c r="G4199" t="s">
        <v>26</v>
      </c>
      <c r="H4199" t="s">
        <v>27</v>
      </c>
      <c r="I4199" t="s">
        <v>37</v>
      </c>
      <c r="J4199" t="s">
        <v>24</v>
      </c>
      <c r="K4199" s="6">
        <f t="shared" ca="1" si="268"/>
        <v>35820</v>
      </c>
      <c r="L4199">
        <v>-9941</v>
      </c>
      <c r="M4199" s="7">
        <f t="shared" ca="1" si="266"/>
        <v>27.21697467488022</v>
      </c>
      <c r="N4199" s="5" t="str">
        <f ca="1">VLOOKUP(Data!M4199,temp!$B$3:$C$9,2,1)</f>
        <v>20-30</v>
      </c>
      <c r="O4199">
        <v>-1990</v>
      </c>
      <c r="P4199" s="8">
        <f t="shared" si="267"/>
        <v>5.4483230663928817</v>
      </c>
      <c r="Q4199" s="5" t="str">
        <f t="shared" si="269"/>
        <v>Employed</v>
      </c>
      <c r="R4199">
        <v>1</v>
      </c>
      <c r="S4199">
        <v>0</v>
      </c>
      <c r="T4199">
        <v>0</v>
      </c>
      <c r="U4199">
        <v>0</v>
      </c>
      <c r="V4199" t="s">
        <v>30</v>
      </c>
      <c r="W4199">
        <v>2</v>
      </c>
    </row>
    <row r="4200" spans="1:23" x14ac:dyDescent="0.2">
      <c r="A4200">
        <v>5142324</v>
      </c>
      <c r="B4200" t="s">
        <v>25</v>
      </c>
      <c r="C4200" t="s">
        <v>20</v>
      </c>
      <c r="D4200" t="s">
        <v>20</v>
      </c>
      <c r="E4200">
        <v>1</v>
      </c>
      <c r="F4200">
        <v>202500</v>
      </c>
      <c r="G4200" t="s">
        <v>26</v>
      </c>
      <c r="H4200" t="s">
        <v>22</v>
      </c>
      <c r="I4200" t="s">
        <v>28</v>
      </c>
      <c r="J4200" t="s">
        <v>24</v>
      </c>
      <c r="K4200" s="6">
        <f t="shared" ca="1" si="268"/>
        <v>36947</v>
      </c>
      <c r="L4200">
        <v>-8814</v>
      </c>
      <c r="M4200" s="7">
        <f t="shared" ca="1" si="266"/>
        <v>24.131416837782339</v>
      </c>
      <c r="N4200" s="5" t="str">
        <f ca="1">VLOOKUP(Data!M4200,temp!$B$3:$C$9,2,1)</f>
        <v>20-30</v>
      </c>
      <c r="O4200">
        <v>-818</v>
      </c>
      <c r="P4200" s="8">
        <f t="shared" si="267"/>
        <v>2.239561943874059</v>
      </c>
      <c r="Q4200" s="5" t="str">
        <f t="shared" si="269"/>
        <v>Employed</v>
      </c>
      <c r="R4200">
        <v>1</v>
      </c>
      <c r="S4200">
        <v>0</v>
      </c>
      <c r="T4200">
        <v>0</v>
      </c>
      <c r="U4200">
        <v>0</v>
      </c>
      <c r="V4200" t="s">
        <v>30</v>
      </c>
      <c r="W4200">
        <v>3</v>
      </c>
    </row>
    <row r="4201" spans="1:23" x14ac:dyDescent="0.2">
      <c r="A4201">
        <v>5142340</v>
      </c>
      <c r="B4201" t="s">
        <v>18</v>
      </c>
      <c r="C4201" t="s">
        <v>20</v>
      </c>
      <c r="D4201" t="s">
        <v>19</v>
      </c>
      <c r="E4201">
        <v>2</v>
      </c>
      <c r="F4201">
        <v>180000</v>
      </c>
      <c r="G4201" t="s">
        <v>31</v>
      </c>
      <c r="H4201" t="s">
        <v>22</v>
      </c>
      <c r="I4201" t="s">
        <v>28</v>
      </c>
      <c r="J4201" t="s">
        <v>24</v>
      </c>
      <c r="K4201" s="6">
        <f t="shared" ca="1" si="268"/>
        <v>33052</v>
      </c>
      <c r="L4201">
        <v>-12709</v>
      </c>
      <c r="M4201" s="7">
        <f t="shared" ca="1" si="266"/>
        <v>34.795345653661876</v>
      </c>
      <c r="N4201" s="5" t="str">
        <f ca="1">VLOOKUP(Data!M4201,temp!$B$3:$C$9,2,1)</f>
        <v>30-40</v>
      </c>
      <c r="O4201">
        <v>-3193</v>
      </c>
      <c r="P4201" s="8">
        <f t="shared" si="267"/>
        <v>8.7419575633128002</v>
      </c>
      <c r="Q4201" s="5" t="str">
        <f t="shared" si="269"/>
        <v>Employed</v>
      </c>
      <c r="R4201">
        <v>1</v>
      </c>
      <c r="S4201">
        <v>0</v>
      </c>
      <c r="T4201">
        <v>0</v>
      </c>
      <c r="U4201">
        <v>0</v>
      </c>
      <c r="V4201" t="s">
        <v>32</v>
      </c>
      <c r="W4201">
        <v>4</v>
      </c>
    </row>
    <row r="4202" spans="1:23" x14ac:dyDescent="0.2">
      <c r="A4202">
        <v>5142351</v>
      </c>
      <c r="B4202" t="s">
        <v>25</v>
      </c>
      <c r="C4202" t="s">
        <v>20</v>
      </c>
      <c r="D4202" t="s">
        <v>20</v>
      </c>
      <c r="E4202">
        <v>1</v>
      </c>
      <c r="F4202">
        <v>202500</v>
      </c>
      <c r="G4202" t="s">
        <v>26</v>
      </c>
      <c r="H4202" t="s">
        <v>27</v>
      </c>
      <c r="I4202" t="s">
        <v>37</v>
      </c>
      <c r="J4202" t="s">
        <v>24</v>
      </c>
      <c r="K4202" s="6">
        <f t="shared" ca="1" si="268"/>
        <v>33871</v>
      </c>
      <c r="L4202">
        <v>-11890</v>
      </c>
      <c r="M4202" s="7">
        <f t="shared" ca="1" si="266"/>
        <v>32.553045859000683</v>
      </c>
      <c r="N4202" s="5" t="str">
        <f ca="1">VLOOKUP(Data!M4202,temp!$B$3:$C$9,2,1)</f>
        <v>30-40</v>
      </c>
      <c r="O4202">
        <v>-741</v>
      </c>
      <c r="P4202" s="8">
        <f t="shared" si="267"/>
        <v>2.0287474332648872</v>
      </c>
      <c r="Q4202" s="5" t="str">
        <f t="shared" si="269"/>
        <v>Employed</v>
      </c>
      <c r="R4202">
        <v>1</v>
      </c>
      <c r="S4202">
        <v>1</v>
      </c>
      <c r="T4202">
        <v>0</v>
      </c>
      <c r="U4202">
        <v>0</v>
      </c>
      <c r="V4202" t="s">
        <v>39</v>
      </c>
      <c r="W4202">
        <v>3</v>
      </c>
    </row>
    <row r="4203" spans="1:23" x14ac:dyDescent="0.2">
      <c r="A4203">
        <v>5142357</v>
      </c>
      <c r="B4203" t="s">
        <v>25</v>
      </c>
      <c r="C4203" t="s">
        <v>19</v>
      </c>
      <c r="D4203" t="s">
        <v>20</v>
      </c>
      <c r="E4203">
        <v>1</v>
      </c>
      <c r="F4203">
        <v>202500</v>
      </c>
      <c r="G4203" t="s">
        <v>31</v>
      </c>
      <c r="H4203" t="s">
        <v>27</v>
      </c>
      <c r="I4203" t="s">
        <v>28</v>
      </c>
      <c r="J4203" t="s">
        <v>24</v>
      </c>
      <c r="K4203" s="6">
        <f t="shared" ca="1" si="268"/>
        <v>32335</v>
      </c>
      <c r="L4203">
        <v>-13426</v>
      </c>
      <c r="M4203" s="7">
        <f t="shared" ca="1" si="266"/>
        <v>36.758384668035589</v>
      </c>
      <c r="N4203" s="5" t="str">
        <f ca="1">VLOOKUP(Data!M4203,temp!$B$3:$C$9,2,1)</f>
        <v>30-40</v>
      </c>
      <c r="O4203">
        <v>-6753</v>
      </c>
      <c r="P4203" s="8">
        <f t="shared" si="267"/>
        <v>18.488706365503081</v>
      </c>
      <c r="Q4203" s="5" t="str">
        <f t="shared" si="269"/>
        <v>Employed</v>
      </c>
      <c r="R4203">
        <v>1</v>
      </c>
      <c r="S4203">
        <v>0</v>
      </c>
      <c r="T4203">
        <v>0</v>
      </c>
      <c r="U4203">
        <v>1</v>
      </c>
      <c r="V4203" t="s">
        <v>29</v>
      </c>
      <c r="W4203">
        <v>3</v>
      </c>
    </row>
    <row r="4204" spans="1:23" x14ac:dyDescent="0.2">
      <c r="A4204">
        <v>5142373</v>
      </c>
      <c r="B4204" t="s">
        <v>25</v>
      </c>
      <c r="C4204" t="s">
        <v>20</v>
      </c>
      <c r="D4204" t="s">
        <v>20</v>
      </c>
      <c r="E4204">
        <v>1</v>
      </c>
      <c r="F4204">
        <v>112500</v>
      </c>
      <c r="G4204" t="s">
        <v>31</v>
      </c>
      <c r="H4204" t="s">
        <v>27</v>
      </c>
      <c r="I4204" t="s">
        <v>28</v>
      </c>
      <c r="J4204" t="s">
        <v>24</v>
      </c>
      <c r="K4204" s="6">
        <f t="shared" ca="1" si="268"/>
        <v>29557</v>
      </c>
      <c r="L4204">
        <v>-16204</v>
      </c>
      <c r="M4204" s="7">
        <f t="shared" ca="1" si="266"/>
        <v>44.364134154688571</v>
      </c>
      <c r="N4204" s="5" t="str">
        <f ca="1">VLOOKUP(Data!M4204,temp!$B$3:$C$9,2,1)</f>
        <v>40-50</v>
      </c>
      <c r="O4204">
        <v>-925</v>
      </c>
      <c r="P4204" s="8">
        <f t="shared" si="267"/>
        <v>2.5325119780971939</v>
      </c>
      <c r="Q4204" s="5" t="str">
        <f t="shared" si="269"/>
        <v>Employed</v>
      </c>
      <c r="R4204">
        <v>1</v>
      </c>
      <c r="S4204">
        <v>1</v>
      </c>
      <c r="T4204">
        <v>1</v>
      </c>
      <c r="U4204">
        <v>0</v>
      </c>
      <c r="V4204" t="s">
        <v>30</v>
      </c>
      <c r="W4204">
        <v>3</v>
      </c>
    </row>
    <row r="4205" spans="1:23" x14ac:dyDescent="0.2">
      <c r="A4205">
        <v>5142380</v>
      </c>
      <c r="B4205" t="s">
        <v>25</v>
      </c>
      <c r="C4205" t="s">
        <v>20</v>
      </c>
      <c r="D4205" t="s">
        <v>19</v>
      </c>
      <c r="E4205">
        <v>0</v>
      </c>
      <c r="F4205">
        <v>112500</v>
      </c>
      <c r="G4205" t="s">
        <v>31</v>
      </c>
      <c r="H4205" t="s">
        <v>27</v>
      </c>
      <c r="I4205" t="s">
        <v>37</v>
      </c>
      <c r="J4205" t="s">
        <v>41</v>
      </c>
      <c r="K4205" s="6">
        <f t="shared" ca="1" si="268"/>
        <v>37295</v>
      </c>
      <c r="L4205">
        <v>-8466</v>
      </c>
      <c r="M4205" s="7">
        <f t="shared" ca="1" si="266"/>
        <v>23.178644763860369</v>
      </c>
      <c r="N4205" s="5" t="str">
        <f ca="1">VLOOKUP(Data!M4205,temp!$B$3:$C$9,2,1)</f>
        <v>20-30</v>
      </c>
      <c r="O4205">
        <v>-483</v>
      </c>
      <c r="P4205" s="8">
        <f t="shared" si="267"/>
        <v>1.322381930184805</v>
      </c>
      <c r="Q4205" s="5" t="str">
        <f t="shared" si="269"/>
        <v>Employed</v>
      </c>
      <c r="R4205">
        <v>1</v>
      </c>
      <c r="S4205">
        <v>1</v>
      </c>
      <c r="T4205">
        <v>0</v>
      </c>
      <c r="U4205">
        <v>0</v>
      </c>
      <c r="V4205" t="s">
        <v>38</v>
      </c>
      <c r="W4205">
        <v>2</v>
      </c>
    </row>
    <row r="4206" spans="1:23" x14ac:dyDescent="0.2">
      <c r="A4206">
        <v>5142381</v>
      </c>
      <c r="B4206" t="s">
        <v>25</v>
      </c>
      <c r="C4206" t="s">
        <v>20</v>
      </c>
      <c r="D4206" t="s">
        <v>19</v>
      </c>
      <c r="E4206">
        <v>0</v>
      </c>
      <c r="F4206">
        <v>112500</v>
      </c>
      <c r="G4206" t="s">
        <v>31</v>
      </c>
      <c r="H4206" t="s">
        <v>27</v>
      </c>
      <c r="I4206" t="s">
        <v>37</v>
      </c>
      <c r="J4206" t="s">
        <v>41</v>
      </c>
      <c r="K4206" s="6">
        <f t="shared" ca="1" si="268"/>
        <v>37295</v>
      </c>
      <c r="L4206">
        <v>-8466</v>
      </c>
      <c r="M4206" s="7">
        <f t="shared" ca="1" si="266"/>
        <v>23.178644763860369</v>
      </c>
      <c r="N4206" s="5" t="str">
        <f ca="1">VLOOKUP(Data!M4206,temp!$B$3:$C$9,2,1)</f>
        <v>20-30</v>
      </c>
      <c r="O4206">
        <v>-483</v>
      </c>
      <c r="P4206" s="8">
        <f t="shared" si="267"/>
        <v>1.322381930184805</v>
      </c>
      <c r="Q4206" s="5" t="str">
        <f t="shared" si="269"/>
        <v>Employed</v>
      </c>
      <c r="R4206">
        <v>1</v>
      </c>
      <c r="S4206">
        <v>1</v>
      </c>
      <c r="T4206">
        <v>0</v>
      </c>
      <c r="U4206">
        <v>0</v>
      </c>
      <c r="V4206" t="s">
        <v>38</v>
      </c>
      <c r="W4206">
        <v>2</v>
      </c>
    </row>
    <row r="4207" spans="1:23" x14ac:dyDescent="0.2">
      <c r="A4207">
        <v>5142382</v>
      </c>
      <c r="B4207" t="s">
        <v>25</v>
      </c>
      <c r="C4207" t="s">
        <v>20</v>
      </c>
      <c r="D4207" t="s">
        <v>19</v>
      </c>
      <c r="E4207">
        <v>0</v>
      </c>
      <c r="F4207">
        <v>112500</v>
      </c>
      <c r="G4207" t="s">
        <v>31</v>
      </c>
      <c r="H4207" t="s">
        <v>27</v>
      </c>
      <c r="I4207" t="s">
        <v>37</v>
      </c>
      <c r="J4207" t="s">
        <v>41</v>
      </c>
      <c r="K4207" s="6">
        <f t="shared" ca="1" si="268"/>
        <v>37295</v>
      </c>
      <c r="L4207">
        <v>-8466</v>
      </c>
      <c r="M4207" s="7">
        <f t="shared" ca="1" si="266"/>
        <v>23.178644763860369</v>
      </c>
      <c r="N4207" s="5" t="str">
        <f ca="1">VLOOKUP(Data!M4207,temp!$B$3:$C$9,2,1)</f>
        <v>20-30</v>
      </c>
      <c r="O4207">
        <v>-483</v>
      </c>
      <c r="P4207" s="8">
        <f t="shared" si="267"/>
        <v>1.322381930184805</v>
      </c>
      <c r="Q4207" s="5" t="str">
        <f t="shared" si="269"/>
        <v>Employed</v>
      </c>
      <c r="R4207">
        <v>1</v>
      </c>
      <c r="S4207">
        <v>1</v>
      </c>
      <c r="T4207">
        <v>0</v>
      </c>
      <c r="U4207">
        <v>0</v>
      </c>
      <c r="V4207" t="s">
        <v>38</v>
      </c>
      <c r="W4207">
        <v>2</v>
      </c>
    </row>
    <row r="4208" spans="1:23" x14ac:dyDescent="0.2">
      <c r="A4208">
        <v>5142409</v>
      </c>
      <c r="B4208" t="s">
        <v>18</v>
      </c>
      <c r="C4208" t="s">
        <v>20</v>
      </c>
      <c r="D4208" t="s">
        <v>20</v>
      </c>
      <c r="E4208">
        <v>0</v>
      </c>
      <c r="F4208">
        <v>185400</v>
      </c>
      <c r="G4208" t="s">
        <v>21</v>
      </c>
      <c r="H4208" t="s">
        <v>27</v>
      </c>
      <c r="I4208" t="s">
        <v>42</v>
      </c>
      <c r="J4208" t="s">
        <v>24</v>
      </c>
      <c r="K4208" s="6">
        <f t="shared" ca="1" si="268"/>
        <v>22177</v>
      </c>
      <c r="L4208">
        <v>-23584</v>
      </c>
      <c r="M4208" s="7">
        <f t="shared" ca="1" si="266"/>
        <v>64.56947296372347</v>
      </c>
      <c r="N4208" s="5" t="str">
        <f ca="1">VLOOKUP(Data!M4208,temp!$B$3:$C$9,2,1)</f>
        <v>60-70</v>
      </c>
      <c r="O4208">
        <v>365243</v>
      </c>
      <c r="P4208" s="8">
        <f t="shared" si="267"/>
        <v>0</v>
      </c>
      <c r="Q4208" s="5" t="str">
        <f t="shared" si="269"/>
        <v>Unemployed</v>
      </c>
      <c r="R4208">
        <v>1</v>
      </c>
      <c r="S4208">
        <v>0</v>
      </c>
      <c r="T4208">
        <v>0</v>
      </c>
      <c r="U4208">
        <v>0</v>
      </c>
      <c r="W4208">
        <v>1</v>
      </c>
    </row>
    <row r="4209" spans="1:23" x14ac:dyDescent="0.2">
      <c r="A4209">
        <v>5142411</v>
      </c>
      <c r="B4209" t="s">
        <v>18</v>
      </c>
      <c r="C4209" t="s">
        <v>20</v>
      </c>
      <c r="D4209" t="s">
        <v>20</v>
      </c>
      <c r="E4209">
        <v>0</v>
      </c>
      <c r="F4209">
        <v>185400</v>
      </c>
      <c r="G4209" t="s">
        <v>21</v>
      </c>
      <c r="H4209" t="s">
        <v>27</v>
      </c>
      <c r="I4209" t="s">
        <v>42</v>
      </c>
      <c r="J4209" t="s">
        <v>24</v>
      </c>
      <c r="K4209" s="6">
        <f t="shared" ca="1" si="268"/>
        <v>22177</v>
      </c>
      <c r="L4209">
        <v>-23584</v>
      </c>
      <c r="M4209" s="7">
        <f t="shared" ca="1" si="266"/>
        <v>64.56947296372347</v>
      </c>
      <c r="N4209" s="5" t="str">
        <f ca="1">VLOOKUP(Data!M4209,temp!$B$3:$C$9,2,1)</f>
        <v>60-70</v>
      </c>
      <c r="O4209">
        <v>365243</v>
      </c>
      <c r="P4209" s="8">
        <f t="shared" si="267"/>
        <v>0</v>
      </c>
      <c r="Q4209" s="5" t="str">
        <f t="shared" si="269"/>
        <v>Unemployed</v>
      </c>
      <c r="R4209">
        <v>1</v>
      </c>
      <c r="S4209">
        <v>0</v>
      </c>
      <c r="T4209">
        <v>0</v>
      </c>
      <c r="U4209">
        <v>0</v>
      </c>
      <c r="W4209">
        <v>1</v>
      </c>
    </row>
    <row r="4210" spans="1:23" x14ac:dyDescent="0.2">
      <c r="A4210">
        <v>5142419</v>
      </c>
      <c r="B4210" t="s">
        <v>25</v>
      </c>
      <c r="C4210" t="s">
        <v>19</v>
      </c>
      <c r="D4210" t="s">
        <v>20</v>
      </c>
      <c r="E4210">
        <v>1</v>
      </c>
      <c r="F4210">
        <v>270000</v>
      </c>
      <c r="G4210" t="s">
        <v>26</v>
      </c>
      <c r="H4210" t="s">
        <v>36</v>
      </c>
      <c r="I4210" t="s">
        <v>28</v>
      </c>
      <c r="J4210" t="s">
        <v>24</v>
      </c>
      <c r="K4210" s="6">
        <f t="shared" ca="1" si="268"/>
        <v>33318</v>
      </c>
      <c r="L4210">
        <v>-12443</v>
      </c>
      <c r="M4210" s="7">
        <f t="shared" ca="1" si="266"/>
        <v>34.067077344284733</v>
      </c>
      <c r="N4210" s="5" t="str">
        <f ca="1">VLOOKUP(Data!M4210,temp!$B$3:$C$9,2,1)</f>
        <v>30-40</v>
      </c>
      <c r="O4210">
        <v>-1169</v>
      </c>
      <c r="P4210" s="8">
        <f t="shared" si="267"/>
        <v>3.2005475701574264</v>
      </c>
      <c r="Q4210" s="5" t="str">
        <f t="shared" si="269"/>
        <v>Employed</v>
      </c>
      <c r="R4210">
        <v>1</v>
      </c>
      <c r="S4210">
        <v>0</v>
      </c>
      <c r="T4210">
        <v>1</v>
      </c>
      <c r="U4210">
        <v>0</v>
      </c>
      <c r="V4210" t="s">
        <v>30</v>
      </c>
      <c r="W4210">
        <v>3</v>
      </c>
    </row>
    <row r="4211" spans="1:23" x14ac:dyDescent="0.2">
      <c r="A4211">
        <v>5142440</v>
      </c>
      <c r="B4211" t="s">
        <v>25</v>
      </c>
      <c r="C4211" t="s">
        <v>20</v>
      </c>
      <c r="D4211" t="s">
        <v>20</v>
      </c>
      <c r="E4211">
        <v>1</v>
      </c>
      <c r="F4211">
        <v>225000</v>
      </c>
      <c r="G4211" t="s">
        <v>31</v>
      </c>
      <c r="H4211" t="s">
        <v>22</v>
      </c>
      <c r="I4211" t="s">
        <v>28</v>
      </c>
      <c r="J4211" t="s">
        <v>24</v>
      </c>
      <c r="K4211" s="6">
        <f t="shared" ca="1" si="268"/>
        <v>28978</v>
      </c>
      <c r="L4211">
        <v>-16783</v>
      </c>
      <c r="M4211" s="7">
        <f t="shared" ca="1" si="266"/>
        <v>45.949349760438054</v>
      </c>
      <c r="N4211" s="5" t="str">
        <f ca="1">VLOOKUP(Data!M4211,temp!$B$3:$C$9,2,1)</f>
        <v>40-50</v>
      </c>
      <c r="O4211">
        <v>-3451</v>
      </c>
      <c r="P4211" s="8">
        <f t="shared" si="267"/>
        <v>9.4483230663928808</v>
      </c>
      <c r="Q4211" s="5" t="str">
        <f t="shared" si="269"/>
        <v>Employed</v>
      </c>
      <c r="R4211">
        <v>1</v>
      </c>
      <c r="S4211">
        <v>0</v>
      </c>
      <c r="T4211">
        <v>0</v>
      </c>
      <c r="U4211">
        <v>0</v>
      </c>
      <c r="V4211" t="s">
        <v>32</v>
      </c>
      <c r="W4211">
        <v>3</v>
      </c>
    </row>
    <row r="4212" spans="1:23" x14ac:dyDescent="0.2">
      <c r="A4212">
        <v>5142449</v>
      </c>
      <c r="B4212" t="s">
        <v>25</v>
      </c>
      <c r="C4212" t="s">
        <v>20</v>
      </c>
      <c r="D4212" t="s">
        <v>20</v>
      </c>
      <c r="E4212">
        <v>0</v>
      </c>
      <c r="F4212">
        <v>315000</v>
      </c>
      <c r="G4212" t="s">
        <v>31</v>
      </c>
      <c r="H4212" t="s">
        <v>36</v>
      </c>
      <c r="I4212" t="s">
        <v>28</v>
      </c>
      <c r="J4212" t="s">
        <v>24</v>
      </c>
      <c r="K4212" s="6">
        <f t="shared" ca="1" si="268"/>
        <v>35106</v>
      </c>
      <c r="L4212">
        <v>-10655</v>
      </c>
      <c r="M4212" s="7">
        <f t="shared" ca="1" si="266"/>
        <v>29.171800136892539</v>
      </c>
      <c r="N4212" s="5" t="str">
        <f ca="1">VLOOKUP(Data!M4212,temp!$B$3:$C$9,2,1)</f>
        <v>20-30</v>
      </c>
      <c r="O4212">
        <v>-1444</v>
      </c>
      <c r="P4212" s="8">
        <f t="shared" si="267"/>
        <v>3.9534565366187544</v>
      </c>
      <c r="Q4212" s="5" t="str">
        <f t="shared" si="269"/>
        <v>Employed</v>
      </c>
      <c r="R4212">
        <v>1</v>
      </c>
      <c r="S4212">
        <v>0</v>
      </c>
      <c r="T4212">
        <v>0</v>
      </c>
      <c r="U4212">
        <v>0</v>
      </c>
      <c r="V4212" t="s">
        <v>32</v>
      </c>
      <c r="W4212">
        <v>2</v>
      </c>
    </row>
    <row r="4213" spans="1:23" x14ac:dyDescent="0.2">
      <c r="A4213">
        <v>5142470</v>
      </c>
      <c r="B4213" t="s">
        <v>25</v>
      </c>
      <c r="C4213" t="s">
        <v>19</v>
      </c>
      <c r="D4213" t="s">
        <v>20</v>
      </c>
      <c r="E4213">
        <v>1</v>
      </c>
      <c r="F4213">
        <v>117000</v>
      </c>
      <c r="G4213" t="s">
        <v>26</v>
      </c>
      <c r="H4213" t="s">
        <v>27</v>
      </c>
      <c r="I4213" t="s">
        <v>37</v>
      </c>
      <c r="J4213" t="s">
        <v>24</v>
      </c>
      <c r="K4213" s="6">
        <f t="shared" ca="1" si="268"/>
        <v>28952</v>
      </c>
      <c r="L4213">
        <v>-16809</v>
      </c>
      <c r="M4213" s="7">
        <f t="shared" ca="1" si="266"/>
        <v>46.020533880903493</v>
      </c>
      <c r="N4213" s="5" t="str">
        <f ca="1">VLOOKUP(Data!M4213,temp!$B$3:$C$9,2,1)</f>
        <v>40-50</v>
      </c>
      <c r="O4213">
        <v>-5247</v>
      </c>
      <c r="P4213" s="8">
        <f t="shared" si="267"/>
        <v>14.365503080082135</v>
      </c>
      <c r="Q4213" s="5" t="str">
        <f t="shared" si="269"/>
        <v>Employed</v>
      </c>
      <c r="R4213">
        <v>1</v>
      </c>
      <c r="S4213">
        <v>0</v>
      </c>
      <c r="T4213">
        <v>0</v>
      </c>
      <c r="U4213">
        <v>0</v>
      </c>
      <c r="V4213" t="s">
        <v>29</v>
      </c>
      <c r="W4213">
        <v>3</v>
      </c>
    </row>
    <row r="4214" spans="1:23" x14ac:dyDescent="0.2">
      <c r="A4214">
        <v>5142485</v>
      </c>
      <c r="B4214" t="s">
        <v>25</v>
      </c>
      <c r="C4214" t="s">
        <v>20</v>
      </c>
      <c r="D4214" t="s">
        <v>19</v>
      </c>
      <c r="E4214">
        <v>2</v>
      </c>
      <c r="F4214">
        <v>166500</v>
      </c>
      <c r="G4214" t="s">
        <v>26</v>
      </c>
      <c r="H4214" t="s">
        <v>22</v>
      </c>
      <c r="I4214" t="s">
        <v>28</v>
      </c>
      <c r="J4214" t="s">
        <v>24</v>
      </c>
      <c r="K4214" s="6">
        <f t="shared" ca="1" si="268"/>
        <v>33449</v>
      </c>
      <c r="L4214">
        <v>-12312</v>
      </c>
      <c r="M4214" s="7">
        <f t="shared" ca="1" si="266"/>
        <v>33.708418891170432</v>
      </c>
      <c r="N4214" s="5" t="str">
        <f ca="1">VLOOKUP(Data!M4214,temp!$B$3:$C$9,2,1)</f>
        <v>30-40</v>
      </c>
      <c r="O4214">
        <v>-1199</v>
      </c>
      <c r="P4214" s="8">
        <f t="shared" si="267"/>
        <v>3.2826830937713893</v>
      </c>
      <c r="Q4214" s="5" t="str">
        <f t="shared" si="269"/>
        <v>Employed</v>
      </c>
      <c r="R4214">
        <v>1</v>
      </c>
      <c r="S4214">
        <v>0</v>
      </c>
      <c r="T4214">
        <v>0</v>
      </c>
      <c r="U4214">
        <v>0</v>
      </c>
      <c r="V4214" t="s">
        <v>38</v>
      </c>
      <c r="W4214">
        <v>4</v>
      </c>
    </row>
    <row r="4215" spans="1:23" x14ac:dyDescent="0.2">
      <c r="A4215">
        <v>5142515</v>
      </c>
      <c r="B4215" t="s">
        <v>18</v>
      </c>
      <c r="C4215" t="s">
        <v>19</v>
      </c>
      <c r="D4215" t="s">
        <v>19</v>
      </c>
      <c r="E4215">
        <v>1</v>
      </c>
      <c r="F4215">
        <v>45000</v>
      </c>
      <c r="G4215" t="s">
        <v>31</v>
      </c>
      <c r="H4215" t="s">
        <v>27</v>
      </c>
      <c r="I4215" t="s">
        <v>28</v>
      </c>
      <c r="J4215" t="s">
        <v>24</v>
      </c>
      <c r="K4215" s="6">
        <f t="shared" ca="1" si="268"/>
        <v>33450</v>
      </c>
      <c r="L4215">
        <v>-12311</v>
      </c>
      <c r="M4215" s="7">
        <f t="shared" ca="1" si="266"/>
        <v>33.705681040383297</v>
      </c>
      <c r="N4215" s="5" t="str">
        <f ca="1">VLOOKUP(Data!M4215,temp!$B$3:$C$9,2,1)</f>
        <v>30-40</v>
      </c>
      <c r="O4215">
        <v>-3969</v>
      </c>
      <c r="P4215" s="8">
        <f t="shared" si="267"/>
        <v>10.86652977412731</v>
      </c>
      <c r="Q4215" s="5" t="str">
        <f t="shared" si="269"/>
        <v>Employed</v>
      </c>
      <c r="R4215">
        <v>1</v>
      </c>
      <c r="S4215">
        <v>0</v>
      </c>
      <c r="T4215">
        <v>0</v>
      </c>
      <c r="U4215">
        <v>0</v>
      </c>
      <c r="W4215">
        <v>3</v>
      </c>
    </row>
    <row r="4216" spans="1:23" x14ac:dyDescent="0.2">
      <c r="A4216">
        <v>5142534</v>
      </c>
      <c r="B4216" t="s">
        <v>18</v>
      </c>
      <c r="C4216" t="s">
        <v>19</v>
      </c>
      <c r="D4216" t="s">
        <v>19</v>
      </c>
      <c r="E4216">
        <v>0</v>
      </c>
      <c r="F4216">
        <v>157500</v>
      </c>
      <c r="G4216" t="s">
        <v>31</v>
      </c>
      <c r="H4216" t="s">
        <v>27</v>
      </c>
      <c r="I4216" t="s">
        <v>28</v>
      </c>
      <c r="J4216" t="s">
        <v>45</v>
      </c>
      <c r="K4216" s="6">
        <f t="shared" ca="1" si="268"/>
        <v>27515</v>
      </c>
      <c r="L4216">
        <v>-18246</v>
      </c>
      <c r="M4216" s="7">
        <f t="shared" ca="1" si="266"/>
        <v>49.954825462012323</v>
      </c>
      <c r="N4216" s="5" t="str">
        <f ca="1">VLOOKUP(Data!M4216,temp!$B$3:$C$9,2,1)</f>
        <v>40-50</v>
      </c>
      <c r="O4216">
        <v>-2417</v>
      </c>
      <c r="P4216" s="8">
        <f t="shared" si="267"/>
        <v>6.6173853524982889</v>
      </c>
      <c r="Q4216" s="5" t="str">
        <f t="shared" si="269"/>
        <v>Employed</v>
      </c>
      <c r="R4216">
        <v>1</v>
      </c>
      <c r="S4216">
        <v>0</v>
      </c>
      <c r="T4216">
        <v>0</v>
      </c>
      <c r="U4216">
        <v>0</v>
      </c>
      <c r="V4216" t="s">
        <v>38</v>
      </c>
      <c r="W4216">
        <v>2</v>
      </c>
    </row>
    <row r="4217" spans="1:23" x14ac:dyDescent="0.2">
      <c r="A4217">
        <v>5142535</v>
      </c>
      <c r="B4217" t="s">
        <v>25</v>
      </c>
      <c r="C4217" t="s">
        <v>20</v>
      </c>
      <c r="D4217" t="s">
        <v>20</v>
      </c>
      <c r="E4217">
        <v>0</v>
      </c>
      <c r="F4217">
        <v>90000</v>
      </c>
      <c r="G4217" t="s">
        <v>26</v>
      </c>
      <c r="H4217" t="s">
        <v>27</v>
      </c>
      <c r="I4217" t="s">
        <v>28</v>
      </c>
      <c r="J4217" t="s">
        <v>24</v>
      </c>
      <c r="K4217" s="6">
        <f t="shared" ca="1" si="268"/>
        <v>32012</v>
      </c>
      <c r="L4217">
        <v>-13749</v>
      </c>
      <c r="M4217" s="7">
        <f t="shared" ca="1" si="266"/>
        <v>37.642710472279262</v>
      </c>
      <c r="N4217" s="5" t="str">
        <f ca="1">VLOOKUP(Data!M4217,temp!$B$3:$C$9,2,1)</f>
        <v>30-40</v>
      </c>
      <c r="O4217">
        <v>-925</v>
      </c>
      <c r="P4217" s="8">
        <f t="shared" si="267"/>
        <v>2.5325119780971939</v>
      </c>
      <c r="Q4217" s="5" t="str">
        <f t="shared" si="269"/>
        <v>Employed</v>
      </c>
      <c r="R4217">
        <v>1</v>
      </c>
      <c r="S4217">
        <v>0</v>
      </c>
      <c r="T4217">
        <v>0</v>
      </c>
      <c r="U4217">
        <v>0</v>
      </c>
      <c r="W4217">
        <v>2</v>
      </c>
    </row>
    <row r="4218" spans="1:23" x14ac:dyDescent="0.2">
      <c r="A4218">
        <v>5142556</v>
      </c>
      <c r="B4218" t="s">
        <v>18</v>
      </c>
      <c r="C4218" t="s">
        <v>19</v>
      </c>
      <c r="D4218" t="s">
        <v>20</v>
      </c>
      <c r="E4218">
        <v>0</v>
      </c>
      <c r="F4218">
        <v>114750</v>
      </c>
      <c r="G4218" t="s">
        <v>31</v>
      </c>
      <c r="H4218" t="s">
        <v>27</v>
      </c>
      <c r="I4218" t="s">
        <v>42</v>
      </c>
      <c r="J4218" t="s">
        <v>24</v>
      </c>
      <c r="K4218" s="6">
        <f t="shared" ca="1" si="268"/>
        <v>25436</v>
      </c>
      <c r="L4218">
        <v>-20325</v>
      </c>
      <c r="M4218" s="7">
        <f t="shared" ca="1" si="266"/>
        <v>55.646817248459961</v>
      </c>
      <c r="N4218" s="5" t="str">
        <f ca="1">VLOOKUP(Data!M4218,temp!$B$3:$C$9,2,1)</f>
        <v>50-60</v>
      </c>
      <c r="O4218">
        <v>-4213</v>
      </c>
      <c r="P4218" s="8">
        <f t="shared" si="267"/>
        <v>11.534565366187543</v>
      </c>
      <c r="Q4218" s="5" t="str">
        <f t="shared" si="269"/>
        <v>Employed</v>
      </c>
      <c r="R4218">
        <v>1</v>
      </c>
      <c r="S4218">
        <v>1</v>
      </c>
      <c r="T4218">
        <v>1</v>
      </c>
      <c r="U4218">
        <v>0</v>
      </c>
      <c r="V4218" t="s">
        <v>40</v>
      </c>
      <c r="W4218">
        <v>1</v>
      </c>
    </row>
    <row r="4219" spans="1:23" x14ac:dyDescent="0.2">
      <c r="A4219">
        <v>5142558</v>
      </c>
      <c r="B4219" t="s">
        <v>18</v>
      </c>
      <c r="C4219" t="s">
        <v>19</v>
      </c>
      <c r="D4219" t="s">
        <v>20</v>
      </c>
      <c r="E4219">
        <v>0</v>
      </c>
      <c r="F4219">
        <v>114750</v>
      </c>
      <c r="G4219" t="s">
        <v>31</v>
      </c>
      <c r="H4219" t="s">
        <v>27</v>
      </c>
      <c r="I4219" t="s">
        <v>42</v>
      </c>
      <c r="J4219" t="s">
        <v>24</v>
      </c>
      <c r="K4219" s="6">
        <f t="shared" ca="1" si="268"/>
        <v>25436</v>
      </c>
      <c r="L4219">
        <v>-20325</v>
      </c>
      <c r="M4219" s="7">
        <f t="shared" ca="1" si="266"/>
        <v>55.646817248459961</v>
      </c>
      <c r="N4219" s="5" t="str">
        <f ca="1">VLOOKUP(Data!M4219,temp!$B$3:$C$9,2,1)</f>
        <v>50-60</v>
      </c>
      <c r="O4219">
        <v>-4213</v>
      </c>
      <c r="P4219" s="8">
        <f t="shared" si="267"/>
        <v>11.534565366187543</v>
      </c>
      <c r="Q4219" s="5" t="str">
        <f t="shared" si="269"/>
        <v>Employed</v>
      </c>
      <c r="R4219">
        <v>1</v>
      </c>
      <c r="S4219">
        <v>1</v>
      </c>
      <c r="T4219">
        <v>1</v>
      </c>
      <c r="U4219">
        <v>0</v>
      </c>
      <c r="V4219" t="s">
        <v>40</v>
      </c>
      <c r="W4219">
        <v>1</v>
      </c>
    </row>
    <row r="4220" spans="1:23" x14ac:dyDescent="0.2">
      <c r="A4220">
        <v>5142561</v>
      </c>
      <c r="B4220" t="s">
        <v>25</v>
      </c>
      <c r="C4220" t="s">
        <v>19</v>
      </c>
      <c r="D4220" t="s">
        <v>19</v>
      </c>
      <c r="E4220">
        <v>0</v>
      </c>
      <c r="F4220">
        <v>225000</v>
      </c>
      <c r="G4220" t="s">
        <v>31</v>
      </c>
      <c r="H4220" t="s">
        <v>27</v>
      </c>
      <c r="I4220" t="s">
        <v>28</v>
      </c>
      <c r="J4220" t="s">
        <v>24</v>
      </c>
      <c r="K4220" s="6">
        <f t="shared" ca="1" si="268"/>
        <v>27575</v>
      </c>
      <c r="L4220">
        <v>-18186</v>
      </c>
      <c r="M4220" s="7">
        <f t="shared" ca="1" si="266"/>
        <v>49.790554414784395</v>
      </c>
      <c r="N4220" s="5" t="str">
        <f ca="1">VLOOKUP(Data!M4220,temp!$B$3:$C$9,2,1)</f>
        <v>40-50</v>
      </c>
      <c r="O4220">
        <v>-376</v>
      </c>
      <c r="P4220" s="8">
        <f t="shared" si="267"/>
        <v>1.0294318959616702</v>
      </c>
      <c r="Q4220" s="5" t="str">
        <f t="shared" si="269"/>
        <v>Employed</v>
      </c>
      <c r="R4220">
        <v>1</v>
      </c>
      <c r="S4220">
        <v>0</v>
      </c>
      <c r="T4220">
        <v>1</v>
      </c>
      <c r="U4220">
        <v>0</v>
      </c>
      <c r="V4220" t="s">
        <v>29</v>
      </c>
      <c r="W4220">
        <v>2</v>
      </c>
    </row>
    <row r="4221" spans="1:23" x14ac:dyDescent="0.2">
      <c r="A4221">
        <v>5142573</v>
      </c>
      <c r="B4221" t="s">
        <v>18</v>
      </c>
      <c r="C4221" t="s">
        <v>19</v>
      </c>
      <c r="D4221" t="s">
        <v>20</v>
      </c>
      <c r="E4221">
        <v>0</v>
      </c>
      <c r="F4221">
        <v>126000</v>
      </c>
      <c r="G4221" t="s">
        <v>31</v>
      </c>
      <c r="H4221" t="s">
        <v>22</v>
      </c>
      <c r="I4221" t="s">
        <v>33</v>
      </c>
      <c r="J4221" t="s">
        <v>24</v>
      </c>
      <c r="K4221" s="6">
        <f t="shared" ca="1" si="268"/>
        <v>26033</v>
      </c>
      <c r="L4221">
        <v>-19728</v>
      </c>
      <c r="M4221" s="7">
        <f t="shared" ca="1" si="266"/>
        <v>54.012320328542096</v>
      </c>
      <c r="N4221" s="5" t="str">
        <f ca="1">VLOOKUP(Data!M4221,temp!$B$3:$C$9,2,1)</f>
        <v>50-60</v>
      </c>
      <c r="O4221">
        <v>-2905</v>
      </c>
      <c r="P4221" s="8">
        <f t="shared" si="267"/>
        <v>7.953456536618754</v>
      </c>
      <c r="Q4221" s="5" t="str">
        <f t="shared" si="269"/>
        <v>Employed</v>
      </c>
      <c r="R4221">
        <v>1</v>
      </c>
      <c r="S4221">
        <v>0</v>
      </c>
      <c r="T4221">
        <v>0</v>
      </c>
      <c r="U4221">
        <v>1</v>
      </c>
      <c r="V4221" t="s">
        <v>29</v>
      </c>
      <c r="W4221">
        <v>1</v>
      </c>
    </row>
    <row r="4222" spans="1:23" x14ac:dyDescent="0.2">
      <c r="A4222">
        <v>5142618</v>
      </c>
      <c r="B4222" t="s">
        <v>18</v>
      </c>
      <c r="C4222" t="s">
        <v>20</v>
      </c>
      <c r="D4222" t="s">
        <v>19</v>
      </c>
      <c r="E4222">
        <v>1</v>
      </c>
      <c r="F4222">
        <v>180000</v>
      </c>
      <c r="G4222" t="s">
        <v>26</v>
      </c>
      <c r="H4222" t="s">
        <v>27</v>
      </c>
      <c r="I4222" t="s">
        <v>28</v>
      </c>
      <c r="J4222" t="s">
        <v>24</v>
      </c>
      <c r="K4222" s="6">
        <f t="shared" ca="1" si="268"/>
        <v>35269</v>
      </c>
      <c r="L4222">
        <v>-10492</v>
      </c>
      <c r="M4222" s="7">
        <f t="shared" ca="1" si="266"/>
        <v>28.725530458590008</v>
      </c>
      <c r="N4222" s="5" t="str">
        <f ca="1">VLOOKUP(Data!M4222,temp!$B$3:$C$9,2,1)</f>
        <v>20-30</v>
      </c>
      <c r="O4222">
        <v>-1079</v>
      </c>
      <c r="P4222" s="8">
        <f t="shared" si="267"/>
        <v>2.9541409993155372</v>
      </c>
      <c r="Q4222" s="5" t="str">
        <f t="shared" si="269"/>
        <v>Employed</v>
      </c>
      <c r="R4222">
        <v>1</v>
      </c>
      <c r="S4222">
        <v>1</v>
      </c>
      <c r="T4222">
        <v>1</v>
      </c>
      <c r="U4222">
        <v>0</v>
      </c>
      <c r="V4222" t="s">
        <v>38</v>
      </c>
      <c r="W4222">
        <v>3</v>
      </c>
    </row>
    <row r="4223" spans="1:23" x14ac:dyDescent="0.2">
      <c r="A4223">
        <v>5142624</v>
      </c>
      <c r="B4223" t="s">
        <v>18</v>
      </c>
      <c r="C4223" t="s">
        <v>19</v>
      </c>
      <c r="D4223" t="s">
        <v>19</v>
      </c>
      <c r="E4223">
        <v>1</v>
      </c>
      <c r="F4223">
        <v>225000</v>
      </c>
      <c r="G4223" t="s">
        <v>31</v>
      </c>
      <c r="H4223" t="s">
        <v>36</v>
      </c>
      <c r="I4223" t="s">
        <v>28</v>
      </c>
      <c r="J4223" t="s">
        <v>41</v>
      </c>
      <c r="K4223" s="6">
        <f t="shared" ca="1" si="268"/>
        <v>29944</v>
      </c>
      <c r="L4223">
        <v>-15817</v>
      </c>
      <c r="M4223" s="7">
        <f t="shared" ca="1" si="266"/>
        <v>43.304585900068446</v>
      </c>
      <c r="N4223" s="5" t="str">
        <f ca="1">VLOOKUP(Data!M4223,temp!$B$3:$C$9,2,1)</f>
        <v>40-50</v>
      </c>
      <c r="O4223">
        <v>-7379</v>
      </c>
      <c r="P4223" s="8">
        <f t="shared" si="267"/>
        <v>20.202600958247775</v>
      </c>
      <c r="Q4223" s="5" t="str">
        <f t="shared" si="269"/>
        <v>Employed</v>
      </c>
      <c r="R4223">
        <v>1</v>
      </c>
      <c r="S4223">
        <v>0</v>
      </c>
      <c r="T4223">
        <v>0</v>
      </c>
      <c r="U4223">
        <v>0</v>
      </c>
      <c r="V4223" t="s">
        <v>44</v>
      </c>
      <c r="W4223">
        <v>3</v>
      </c>
    </row>
    <row r="4224" spans="1:23" x14ac:dyDescent="0.2">
      <c r="A4224">
        <v>5142630</v>
      </c>
      <c r="B4224" t="s">
        <v>18</v>
      </c>
      <c r="C4224" t="s">
        <v>19</v>
      </c>
      <c r="D4224" t="s">
        <v>19</v>
      </c>
      <c r="E4224">
        <v>1</v>
      </c>
      <c r="F4224">
        <v>225000</v>
      </c>
      <c r="G4224" t="s">
        <v>31</v>
      </c>
      <c r="H4224" t="s">
        <v>36</v>
      </c>
      <c r="I4224" t="s">
        <v>28</v>
      </c>
      <c r="J4224" t="s">
        <v>41</v>
      </c>
      <c r="K4224" s="6">
        <f t="shared" ca="1" si="268"/>
        <v>29944</v>
      </c>
      <c r="L4224">
        <v>-15817</v>
      </c>
      <c r="M4224" s="7">
        <f t="shared" ca="1" si="266"/>
        <v>43.304585900068446</v>
      </c>
      <c r="N4224" s="5" t="str">
        <f ca="1">VLOOKUP(Data!M4224,temp!$B$3:$C$9,2,1)</f>
        <v>40-50</v>
      </c>
      <c r="O4224">
        <v>-7379</v>
      </c>
      <c r="P4224" s="8">
        <f t="shared" si="267"/>
        <v>20.202600958247775</v>
      </c>
      <c r="Q4224" s="5" t="str">
        <f t="shared" si="269"/>
        <v>Employed</v>
      </c>
      <c r="R4224">
        <v>1</v>
      </c>
      <c r="S4224">
        <v>0</v>
      </c>
      <c r="T4224">
        <v>0</v>
      </c>
      <c r="U4224">
        <v>0</v>
      </c>
      <c r="V4224" t="s">
        <v>44</v>
      </c>
      <c r="W4224">
        <v>3</v>
      </c>
    </row>
    <row r="4225" spans="1:23" x14ac:dyDescent="0.2">
      <c r="A4225">
        <v>5142639</v>
      </c>
      <c r="B4225" t="s">
        <v>18</v>
      </c>
      <c r="C4225" t="s">
        <v>19</v>
      </c>
      <c r="D4225" t="s">
        <v>19</v>
      </c>
      <c r="E4225">
        <v>0</v>
      </c>
      <c r="F4225">
        <v>180000</v>
      </c>
      <c r="G4225" t="s">
        <v>31</v>
      </c>
      <c r="H4225" t="s">
        <v>27</v>
      </c>
      <c r="I4225" t="s">
        <v>28</v>
      </c>
      <c r="J4225" t="s">
        <v>24</v>
      </c>
      <c r="K4225" s="6">
        <f t="shared" ca="1" si="268"/>
        <v>27527</v>
      </c>
      <c r="L4225">
        <v>-18234</v>
      </c>
      <c r="M4225" s="7">
        <f t="shared" ca="1" si="266"/>
        <v>49.921971252566735</v>
      </c>
      <c r="N4225" s="5" t="str">
        <f ca="1">VLOOKUP(Data!M4225,temp!$B$3:$C$9,2,1)</f>
        <v>40-50</v>
      </c>
      <c r="O4225">
        <v>-2965</v>
      </c>
      <c r="P4225" s="8">
        <f t="shared" si="267"/>
        <v>8.1177275838466798</v>
      </c>
      <c r="Q4225" s="5" t="str">
        <f t="shared" si="269"/>
        <v>Employed</v>
      </c>
      <c r="R4225">
        <v>1</v>
      </c>
      <c r="S4225">
        <v>1</v>
      </c>
      <c r="T4225">
        <v>1</v>
      </c>
      <c r="U4225">
        <v>0</v>
      </c>
      <c r="V4225" t="s">
        <v>38</v>
      </c>
      <c r="W4225">
        <v>2</v>
      </c>
    </row>
    <row r="4226" spans="1:23" x14ac:dyDescent="0.2">
      <c r="A4226">
        <v>5142652</v>
      </c>
      <c r="B4226" t="s">
        <v>25</v>
      </c>
      <c r="C4226" t="s">
        <v>20</v>
      </c>
      <c r="D4226" t="s">
        <v>19</v>
      </c>
      <c r="E4226">
        <v>0</v>
      </c>
      <c r="F4226">
        <v>225000</v>
      </c>
      <c r="G4226" t="s">
        <v>26</v>
      </c>
      <c r="H4226" t="s">
        <v>27</v>
      </c>
      <c r="I4226" t="s">
        <v>28</v>
      </c>
      <c r="J4226" t="s">
        <v>34</v>
      </c>
      <c r="K4226" s="6">
        <f t="shared" ca="1" si="268"/>
        <v>34998</v>
      </c>
      <c r="L4226">
        <v>-10763</v>
      </c>
      <c r="M4226" s="7">
        <f t="shared" ca="1" si="266"/>
        <v>29.467488021902806</v>
      </c>
      <c r="N4226" s="5" t="str">
        <f ca="1">VLOOKUP(Data!M4226,temp!$B$3:$C$9,2,1)</f>
        <v>20-30</v>
      </c>
      <c r="O4226">
        <v>-1473</v>
      </c>
      <c r="P4226" s="8">
        <f t="shared" si="267"/>
        <v>4.0328542094455848</v>
      </c>
      <c r="Q4226" s="5" t="str">
        <f t="shared" si="269"/>
        <v>Employed</v>
      </c>
      <c r="R4226">
        <v>1</v>
      </c>
      <c r="S4226">
        <v>1</v>
      </c>
      <c r="T4226">
        <v>1</v>
      </c>
      <c r="U4226">
        <v>1</v>
      </c>
      <c r="W4226">
        <v>2</v>
      </c>
    </row>
    <row r="4227" spans="1:23" x14ac:dyDescent="0.2">
      <c r="A4227">
        <v>5142653</v>
      </c>
      <c r="B4227" t="s">
        <v>25</v>
      </c>
      <c r="C4227" t="s">
        <v>20</v>
      </c>
      <c r="D4227" t="s">
        <v>19</v>
      </c>
      <c r="E4227">
        <v>0</v>
      </c>
      <c r="F4227">
        <v>225000</v>
      </c>
      <c r="G4227" t="s">
        <v>26</v>
      </c>
      <c r="H4227" t="s">
        <v>27</v>
      </c>
      <c r="I4227" t="s">
        <v>28</v>
      </c>
      <c r="J4227" t="s">
        <v>34</v>
      </c>
      <c r="K4227" s="6">
        <f t="shared" ca="1" si="268"/>
        <v>34998</v>
      </c>
      <c r="L4227">
        <v>-10763</v>
      </c>
      <c r="M4227" s="7">
        <f t="shared" ref="M4227:M4290" ca="1" si="270">(TODAY()-K4227)/365.25</f>
        <v>29.467488021902806</v>
      </c>
      <c r="N4227" s="5" t="str">
        <f ca="1">VLOOKUP(Data!M4227,temp!$B$3:$C$9,2,1)</f>
        <v>20-30</v>
      </c>
      <c r="O4227">
        <v>-1473</v>
      </c>
      <c r="P4227" s="8">
        <f t="shared" ref="P4227:P4290" si="271">IF(O4227&lt;=0,ABS(O4227)/365.25,0)</f>
        <v>4.0328542094455848</v>
      </c>
      <c r="Q4227" s="5" t="str">
        <f t="shared" si="269"/>
        <v>Employed</v>
      </c>
      <c r="R4227">
        <v>1</v>
      </c>
      <c r="S4227">
        <v>1</v>
      </c>
      <c r="T4227">
        <v>1</v>
      </c>
      <c r="U4227">
        <v>1</v>
      </c>
      <c r="W4227">
        <v>2</v>
      </c>
    </row>
    <row r="4228" spans="1:23" x14ac:dyDescent="0.2">
      <c r="A4228">
        <v>5142664</v>
      </c>
      <c r="B4228" t="s">
        <v>18</v>
      </c>
      <c r="C4228" t="s">
        <v>19</v>
      </c>
      <c r="D4228" t="s">
        <v>19</v>
      </c>
      <c r="E4228">
        <v>0</v>
      </c>
      <c r="F4228">
        <v>117000</v>
      </c>
      <c r="G4228" t="s">
        <v>31</v>
      </c>
      <c r="H4228" t="s">
        <v>27</v>
      </c>
      <c r="I4228" t="s">
        <v>37</v>
      </c>
      <c r="J4228" t="s">
        <v>24</v>
      </c>
      <c r="K4228" s="6">
        <f t="shared" ca="1" si="268"/>
        <v>30337</v>
      </c>
      <c r="L4228">
        <v>-15424</v>
      </c>
      <c r="M4228" s="7">
        <f t="shared" ca="1" si="270"/>
        <v>42.228610540725533</v>
      </c>
      <c r="N4228" s="5" t="str">
        <f ca="1">VLOOKUP(Data!M4228,temp!$B$3:$C$9,2,1)</f>
        <v>40-50</v>
      </c>
      <c r="O4228">
        <v>-6801</v>
      </c>
      <c r="P4228" s="8">
        <f t="shared" si="271"/>
        <v>18.62012320328542</v>
      </c>
      <c r="Q4228" s="5" t="str">
        <f t="shared" si="269"/>
        <v>Employed</v>
      </c>
      <c r="R4228">
        <v>1</v>
      </c>
      <c r="S4228">
        <v>0</v>
      </c>
      <c r="T4228">
        <v>0</v>
      </c>
      <c r="U4228">
        <v>0</v>
      </c>
      <c r="V4228" t="s">
        <v>32</v>
      </c>
      <c r="W4228">
        <v>2</v>
      </c>
    </row>
    <row r="4229" spans="1:23" x14ac:dyDescent="0.2">
      <c r="A4229">
        <v>5142670</v>
      </c>
      <c r="B4229" t="s">
        <v>18</v>
      </c>
      <c r="C4229" t="s">
        <v>19</v>
      </c>
      <c r="D4229" t="s">
        <v>19</v>
      </c>
      <c r="E4229">
        <v>0</v>
      </c>
      <c r="F4229">
        <v>126000</v>
      </c>
      <c r="G4229" t="s">
        <v>21</v>
      </c>
      <c r="H4229" t="s">
        <v>27</v>
      </c>
      <c r="I4229" t="s">
        <v>37</v>
      </c>
      <c r="J4229" t="s">
        <v>24</v>
      </c>
      <c r="K4229" s="6">
        <f t="shared" ca="1" si="268"/>
        <v>23310</v>
      </c>
      <c r="L4229">
        <v>-22451</v>
      </c>
      <c r="M4229" s="7">
        <f t="shared" ca="1" si="270"/>
        <v>61.46748802190281</v>
      </c>
      <c r="N4229" s="5" t="str">
        <f ca="1">VLOOKUP(Data!M4229,temp!$B$3:$C$9,2,1)</f>
        <v>60-70</v>
      </c>
      <c r="O4229">
        <v>365243</v>
      </c>
      <c r="P4229" s="8">
        <f t="shared" si="271"/>
        <v>0</v>
      </c>
      <c r="Q4229" s="5" t="str">
        <f t="shared" si="269"/>
        <v>Unemployed</v>
      </c>
      <c r="R4229">
        <v>1</v>
      </c>
      <c r="S4229">
        <v>0</v>
      </c>
      <c r="T4229">
        <v>0</v>
      </c>
      <c r="U4229">
        <v>0</v>
      </c>
      <c r="W4229">
        <v>2</v>
      </c>
    </row>
    <row r="4230" spans="1:23" x14ac:dyDescent="0.2">
      <c r="A4230">
        <v>5142673</v>
      </c>
      <c r="B4230" t="s">
        <v>18</v>
      </c>
      <c r="C4230" t="s">
        <v>19</v>
      </c>
      <c r="D4230" t="s">
        <v>19</v>
      </c>
      <c r="E4230">
        <v>0</v>
      </c>
      <c r="F4230">
        <v>90000</v>
      </c>
      <c r="G4230" t="s">
        <v>21</v>
      </c>
      <c r="H4230" t="s">
        <v>27</v>
      </c>
      <c r="I4230" t="s">
        <v>28</v>
      </c>
      <c r="J4230" t="s">
        <v>24</v>
      </c>
      <c r="K4230" s="6">
        <f t="shared" ca="1" si="268"/>
        <v>25288</v>
      </c>
      <c r="L4230">
        <v>-20473</v>
      </c>
      <c r="M4230" s="7">
        <f t="shared" ca="1" si="270"/>
        <v>56.05201916495551</v>
      </c>
      <c r="N4230" s="5" t="str">
        <f ca="1">VLOOKUP(Data!M4230,temp!$B$3:$C$9,2,1)</f>
        <v>50-60</v>
      </c>
      <c r="O4230">
        <v>365243</v>
      </c>
      <c r="P4230" s="8">
        <f t="shared" si="271"/>
        <v>0</v>
      </c>
      <c r="Q4230" s="5" t="str">
        <f t="shared" si="269"/>
        <v>Unemployed</v>
      </c>
      <c r="R4230">
        <v>1</v>
      </c>
      <c r="S4230">
        <v>0</v>
      </c>
      <c r="T4230">
        <v>0</v>
      </c>
      <c r="U4230">
        <v>0</v>
      </c>
      <c r="W4230">
        <v>2</v>
      </c>
    </row>
    <row r="4231" spans="1:23" x14ac:dyDescent="0.2">
      <c r="A4231">
        <v>5142684</v>
      </c>
      <c r="B4231" t="s">
        <v>25</v>
      </c>
      <c r="C4231" t="s">
        <v>19</v>
      </c>
      <c r="D4231" t="s">
        <v>19</v>
      </c>
      <c r="E4231">
        <v>2</v>
      </c>
      <c r="F4231">
        <v>157500</v>
      </c>
      <c r="G4231" t="s">
        <v>26</v>
      </c>
      <c r="H4231" t="s">
        <v>27</v>
      </c>
      <c r="I4231" t="s">
        <v>28</v>
      </c>
      <c r="J4231" t="s">
        <v>24</v>
      </c>
      <c r="K4231" s="6">
        <f t="shared" ca="1" si="268"/>
        <v>30767</v>
      </c>
      <c r="L4231">
        <v>-14994</v>
      </c>
      <c r="M4231" s="7">
        <f t="shared" ca="1" si="270"/>
        <v>41.051334702258728</v>
      </c>
      <c r="N4231" s="5" t="str">
        <f ca="1">VLOOKUP(Data!M4231,temp!$B$3:$C$9,2,1)</f>
        <v>40-50</v>
      </c>
      <c r="O4231">
        <v>-926</v>
      </c>
      <c r="P4231" s="8">
        <f t="shared" si="271"/>
        <v>2.5352498288843259</v>
      </c>
      <c r="Q4231" s="5" t="str">
        <f t="shared" si="269"/>
        <v>Employed</v>
      </c>
      <c r="R4231">
        <v>1</v>
      </c>
      <c r="S4231">
        <v>1</v>
      </c>
      <c r="T4231">
        <v>0</v>
      </c>
      <c r="U4231">
        <v>0</v>
      </c>
      <c r="V4231" t="s">
        <v>32</v>
      </c>
      <c r="W4231">
        <v>4</v>
      </c>
    </row>
    <row r="4232" spans="1:23" x14ac:dyDescent="0.2">
      <c r="A4232">
        <v>5142685</v>
      </c>
      <c r="B4232" t="s">
        <v>25</v>
      </c>
      <c r="C4232" t="s">
        <v>19</v>
      </c>
      <c r="D4232" t="s">
        <v>19</v>
      </c>
      <c r="E4232">
        <v>2</v>
      </c>
      <c r="F4232">
        <v>157500</v>
      </c>
      <c r="G4232" t="s">
        <v>26</v>
      </c>
      <c r="H4232" t="s">
        <v>27</v>
      </c>
      <c r="I4232" t="s">
        <v>28</v>
      </c>
      <c r="J4232" t="s">
        <v>24</v>
      </c>
      <c r="K4232" s="6">
        <f t="shared" ref="K4232:K4295" ca="1" si="272">TODAY()+($L4232)</f>
        <v>30767</v>
      </c>
      <c r="L4232">
        <v>-14994</v>
      </c>
      <c r="M4232" s="7">
        <f t="shared" ca="1" si="270"/>
        <v>41.051334702258728</v>
      </c>
      <c r="N4232" s="5" t="str">
        <f ca="1">VLOOKUP(Data!M4232,temp!$B$3:$C$9,2,1)</f>
        <v>40-50</v>
      </c>
      <c r="O4232">
        <v>-926</v>
      </c>
      <c r="P4232" s="8">
        <f t="shared" si="271"/>
        <v>2.5352498288843259</v>
      </c>
      <c r="Q4232" s="5" t="str">
        <f t="shared" ref="Q4232:Q4295" si="273">IF($O4232&gt;0,"Unemployed","Employed")</f>
        <v>Employed</v>
      </c>
      <c r="R4232">
        <v>1</v>
      </c>
      <c r="S4232">
        <v>1</v>
      </c>
      <c r="T4232">
        <v>0</v>
      </c>
      <c r="U4232">
        <v>0</v>
      </c>
      <c r="V4232" t="s">
        <v>32</v>
      </c>
      <c r="W4232">
        <v>4</v>
      </c>
    </row>
    <row r="4233" spans="1:23" x14ac:dyDescent="0.2">
      <c r="A4233">
        <v>5142696</v>
      </c>
      <c r="B4233" t="s">
        <v>18</v>
      </c>
      <c r="C4233" t="s">
        <v>19</v>
      </c>
      <c r="D4233" t="s">
        <v>19</v>
      </c>
      <c r="E4233">
        <v>0</v>
      </c>
      <c r="F4233">
        <v>112500</v>
      </c>
      <c r="G4233" t="s">
        <v>21</v>
      </c>
      <c r="H4233" t="s">
        <v>27</v>
      </c>
      <c r="I4233" t="s">
        <v>28</v>
      </c>
      <c r="J4233" t="s">
        <v>24</v>
      </c>
      <c r="K4233" s="6">
        <f t="shared" ca="1" si="272"/>
        <v>23396</v>
      </c>
      <c r="L4233">
        <v>-22365</v>
      </c>
      <c r="M4233" s="7">
        <f t="shared" ca="1" si="270"/>
        <v>61.232032854209443</v>
      </c>
      <c r="N4233" s="5" t="str">
        <f ca="1">VLOOKUP(Data!M4233,temp!$B$3:$C$9,2,1)</f>
        <v>60-70</v>
      </c>
      <c r="O4233">
        <v>365243</v>
      </c>
      <c r="P4233" s="8">
        <f t="shared" si="271"/>
        <v>0</v>
      </c>
      <c r="Q4233" s="5" t="str">
        <f t="shared" si="273"/>
        <v>Unemployed</v>
      </c>
      <c r="R4233">
        <v>1</v>
      </c>
      <c r="S4233">
        <v>0</v>
      </c>
      <c r="T4233">
        <v>0</v>
      </c>
      <c r="U4233">
        <v>0</v>
      </c>
      <c r="W4233">
        <v>2</v>
      </c>
    </row>
    <row r="4234" spans="1:23" x14ac:dyDescent="0.2">
      <c r="A4234">
        <v>5142732</v>
      </c>
      <c r="B4234" t="s">
        <v>25</v>
      </c>
      <c r="C4234" t="s">
        <v>20</v>
      </c>
      <c r="D4234" t="s">
        <v>19</v>
      </c>
      <c r="E4234">
        <v>1</v>
      </c>
      <c r="F4234">
        <v>144000</v>
      </c>
      <c r="G4234" t="s">
        <v>31</v>
      </c>
      <c r="H4234" t="s">
        <v>27</v>
      </c>
      <c r="I4234" t="s">
        <v>28</v>
      </c>
      <c r="J4234" t="s">
        <v>24</v>
      </c>
      <c r="K4234" s="6">
        <f t="shared" ca="1" si="272"/>
        <v>33645</v>
      </c>
      <c r="L4234">
        <v>-12116</v>
      </c>
      <c r="M4234" s="7">
        <f t="shared" ca="1" si="270"/>
        <v>33.171800136892543</v>
      </c>
      <c r="N4234" s="5" t="str">
        <f ca="1">VLOOKUP(Data!M4234,temp!$B$3:$C$9,2,1)</f>
        <v>30-40</v>
      </c>
      <c r="O4234">
        <v>-196</v>
      </c>
      <c r="P4234" s="8">
        <f t="shared" si="271"/>
        <v>0.53661875427789185</v>
      </c>
      <c r="Q4234" s="5" t="str">
        <f t="shared" si="273"/>
        <v>Employed</v>
      </c>
      <c r="R4234">
        <v>1</v>
      </c>
      <c r="S4234">
        <v>1</v>
      </c>
      <c r="T4234">
        <v>1</v>
      </c>
      <c r="U4234">
        <v>0</v>
      </c>
      <c r="V4234" t="s">
        <v>30</v>
      </c>
      <c r="W4234">
        <v>3</v>
      </c>
    </row>
    <row r="4235" spans="1:23" x14ac:dyDescent="0.2">
      <c r="A4235">
        <v>5142744</v>
      </c>
      <c r="B4235" t="s">
        <v>18</v>
      </c>
      <c r="C4235" t="s">
        <v>19</v>
      </c>
      <c r="D4235" t="s">
        <v>19</v>
      </c>
      <c r="E4235">
        <v>0</v>
      </c>
      <c r="F4235">
        <v>81000</v>
      </c>
      <c r="G4235" t="s">
        <v>31</v>
      </c>
      <c r="H4235" t="s">
        <v>27</v>
      </c>
      <c r="I4235" t="s">
        <v>33</v>
      </c>
      <c r="J4235" t="s">
        <v>24</v>
      </c>
      <c r="K4235" s="6">
        <f t="shared" ca="1" si="272"/>
        <v>27885</v>
      </c>
      <c r="L4235">
        <v>-17876</v>
      </c>
      <c r="M4235" s="7">
        <f t="shared" ca="1" si="270"/>
        <v>48.941820670773446</v>
      </c>
      <c r="N4235" s="5" t="str">
        <f ca="1">VLOOKUP(Data!M4235,temp!$B$3:$C$9,2,1)</f>
        <v>40-50</v>
      </c>
      <c r="O4235">
        <v>-377</v>
      </c>
      <c r="P4235" s="8">
        <f t="shared" si="271"/>
        <v>1.0321697467488022</v>
      </c>
      <c r="Q4235" s="5" t="str">
        <f t="shared" si="273"/>
        <v>Employed</v>
      </c>
      <c r="R4235">
        <v>1</v>
      </c>
      <c r="S4235">
        <v>1</v>
      </c>
      <c r="T4235">
        <v>1</v>
      </c>
      <c r="U4235">
        <v>0</v>
      </c>
      <c r="V4235" t="s">
        <v>49</v>
      </c>
      <c r="W4235">
        <v>1</v>
      </c>
    </row>
    <row r="4236" spans="1:23" x14ac:dyDescent="0.2">
      <c r="A4236">
        <v>5142751</v>
      </c>
      <c r="B4236" t="s">
        <v>18</v>
      </c>
      <c r="C4236" t="s">
        <v>19</v>
      </c>
      <c r="D4236" t="s">
        <v>19</v>
      </c>
      <c r="E4236">
        <v>0</v>
      </c>
      <c r="F4236">
        <v>81000</v>
      </c>
      <c r="G4236" t="s">
        <v>31</v>
      </c>
      <c r="H4236" t="s">
        <v>27</v>
      </c>
      <c r="I4236" t="s">
        <v>33</v>
      </c>
      <c r="J4236" t="s">
        <v>24</v>
      </c>
      <c r="K4236" s="6">
        <f t="shared" ca="1" si="272"/>
        <v>27885</v>
      </c>
      <c r="L4236">
        <v>-17876</v>
      </c>
      <c r="M4236" s="7">
        <f t="shared" ca="1" si="270"/>
        <v>48.941820670773446</v>
      </c>
      <c r="N4236" s="5" t="str">
        <f ca="1">VLOOKUP(Data!M4236,temp!$B$3:$C$9,2,1)</f>
        <v>40-50</v>
      </c>
      <c r="O4236">
        <v>-377</v>
      </c>
      <c r="P4236" s="8">
        <f t="shared" si="271"/>
        <v>1.0321697467488022</v>
      </c>
      <c r="Q4236" s="5" t="str">
        <f t="shared" si="273"/>
        <v>Employed</v>
      </c>
      <c r="R4236">
        <v>1</v>
      </c>
      <c r="S4236">
        <v>1</v>
      </c>
      <c r="T4236">
        <v>1</v>
      </c>
      <c r="U4236">
        <v>0</v>
      </c>
      <c r="V4236" t="s">
        <v>49</v>
      </c>
      <c r="W4236">
        <v>1</v>
      </c>
    </row>
    <row r="4237" spans="1:23" x14ac:dyDescent="0.2">
      <c r="A4237">
        <v>5142754</v>
      </c>
      <c r="B4237" t="s">
        <v>18</v>
      </c>
      <c r="C4237" t="s">
        <v>19</v>
      </c>
      <c r="D4237" t="s">
        <v>19</v>
      </c>
      <c r="E4237">
        <v>0</v>
      </c>
      <c r="F4237">
        <v>67500</v>
      </c>
      <c r="G4237" t="s">
        <v>26</v>
      </c>
      <c r="H4237" t="s">
        <v>27</v>
      </c>
      <c r="I4237" t="s">
        <v>28</v>
      </c>
      <c r="J4237" t="s">
        <v>24</v>
      </c>
      <c r="K4237" s="6">
        <f t="shared" ca="1" si="272"/>
        <v>28251</v>
      </c>
      <c r="L4237">
        <v>-17510</v>
      </c>
      <c r="M4237" s="7">
        <f t="shared" ca="1" si="270"/>
        <v>47.939767282683093</v>
      </c>
      <c r="N4237" s="5" t="str">
        <f ca="1">VLOOKUP(Data!M4237,temp!$B$3:$C$9,2,1)</f>
        <v>40-50</v>
      </c>
      <c r="O4237">
        <v>-1108</v>
      </c>
      <c r="P4237" s="8">
        <f t="shared" si="271"/>
        <v>3.0335386721423681</v>
      </c>
      <c r="Q4237" s="5" t="str">
        <f t="shared" si="273"/>
        <v>Employed</v>
      </c>
      <c r="R4237">
        <v>1</v>
      </c>
      <c r="S4237">
        <v>1</v>
      </c>
      <c r="T4237">
        <v>0</v>
      </c>
      <c r="U4237">
        <v>0</v>
      </c>
      <c r="V4237" t="s">
        <v>39</v>
      </c>
      <c r="W4237">
        <v>2</v>
      </c>
    </row>
    <row r="4238" spans="1:23" x14ac:dyDescent="0.2">
      <c r="A4238">
        <v>5142792</v>
      </c>
      <c r="B4238" t="s">
        <v>18</v>
      </c>
      <c r="C4238" t="s">
        <v>19</v>
      </c>
      <c r="D4238" t="s">
        <v>19</v>
      </c>
      <c r="E4238">
        <v>1</v>
      </c>
      <c r="F4238">
        <v>189000</v>
      </c>
      <c r="G4238" t="s">
        <v>31</v>
      </c>
      <c r="H4238" t="s">
        <v>27</v>
      </c>
      <c r="I4238" t="s">
        <v>28</v>
      </c>
      <c r="J4238" t="s">
        <v>24</v>
      </c>
      <c r="K4238" s="6">
        <f t="shared" ca="1" si="272"/>
        <v>26782</v>
      </c>
      <c r="L4238">
        <v>-18979</v>
      </c>
      <c r="M4238" s="7">
        <f t="shared" ca="1" si="270"/>
        <v>51.961670088980149</v>
      </c>
      <c r="N4238" s="5" t="str">
        <f ca="1">VLOOKUP(Data!M4238,temp!$B$3:$C$9,2,1)</f>
        <v>50-60</v>
      </c>
      <c r="O4238">
        <v>-4487</v>
      </c>
      <c r="P4238" s="8">
        <f t="shared" si="271"/>
        <v>12.284736481861739</v>
      </c>
      <c r="Q4238" s="5" t="str">
        <f t="shared" si="273"/>
        <v>Employed</v>
      </c>
      <c r="R4238">
        <v>1</v>
      </c>
      <c r="S4238">
        <v>1</v>
      </c>
      <c r="T4238">
        <v>1</v>
      </c>
      <c r="U4238">
        <v>0</v>
      </c>
      <c r="V4238" t="s">
        <v>38</v>
      </c>
      <c r="W4238">
        <v>3</v>
      </c>
    </row>
    <row r="4239" spans="1:23" x14ac:dyDescent="0.2">
      <c r="A4239">
        <v>5142796</v>
      </c>
      <c r="B4239" t="s">
        <v>25</v>
      </c>
      <c r="C4239" t="s">
        <v>20</v>
      </c>
      <c r="D4239" t="s">
        <v>19</v>
      </c>
      <c r="E4239">
        <v>1</v>
      </c>
      <c r="F4239">
        <v>202500</v>
      </c>
      <c r="G4239" t="s">
        <v>31</v>
      </c>
      <c r="H4239" t="s">
        <v>27</v>
      </c>
      <c r="I4239" t="s">
        <v>23</v>
      </c>
      <c r="J4239" t="s">
        <v>41</v>
      </c>
      <c r="K4239" s="6">
        <f t="shared" ca="1" si="272"/>
        <v>32016</v>
      </c>
      <c r="L4239">
        <v>-13745</v>
      </c>
      <c r="M4239" s="7">
        <f t="shared" ca="1" si="270"/>
        <v>37.63175906913073</v>
      </c>
      <c r="N4239" s="5" t="str">
        <f ca="1">VLOOKUP(Data!M4239,temp!$B$3:$C$9,2,1)</f>
        <v>30-40</v>
      </c>
      <c r="O4239">
        <v>-622</v>
      </c>
      <c r="P4239" s="8">
        <f t="shared" si="271"/>
        <v>1.7029431895961671</v>
      </c>
      <c r="Q4239" s="5" t="str">
        <f t="shared" si="273"/>
        <v>Employed</v>
      </c>
      <c r="R4239">
        <v>1</v>
      </c>
      <c r="S4239">
        <v>1</v>
      </c>
      <c r="T4239">
        <v>0</v>
      </c>
      <c r="U4239">
        <v>0</v>
      </c>
      <c r="V4239" t="s">
        <v>29</v>
      </c>
      <c r="W4239">
        <v>2</v>
      </c>
    </row>
    <row r="4240" spans="1:23" x14ac:dyDescent="0.2">
      <c r="A4240">
        <v>5142806</v>
      </c>
      <c r="B4240" t="s">
        <v>18</v>
      </c>
      <c r="C4240" t="s">
        <v>19</v>
      </c>
      <c r="D4240" t="s">
        <v>19</v>
      </c>
      <c r="E4240">
        <v>0</v>
      </c>
      <c r="F4240">
        <v>180000</v>
      </c>
      <c r="G4240" t="s">
        <v>31</v>
      </c>
      <c r="H4240" t="s">
        <v>27</v>
      </c>
      <c r="I4240" t="s">
        <v>28</v>
      </c>
      <c r="J4240" t="s">
        <v>24</v>
      </c>
      <c r="K4240" s="6">
        <f t="shared" ca="1" si="272"/>
        <v>27379</v>
      </c>
      <c r="L4240">
        <v>-18382</v>
      </c>
      <c r="M4240" s="7">
        <f t="shared" ca="1" si="270"/>
        <v>50.327173169062284</v>
      </c>
      <c r="N4240" s="5" t="str">
        <f ca="1">VLOOKUP(Data!M4240,temp!$B$3:$C$9,2,1)</f>
        <v>50-60</v>
      </c>
      <c r="O4240">
        <v>-4548</v>
      </c>
      <c r="P4240" s="8">
        <f t="shared" si="271"/>
        <v>12.451745379876797</v>
      </c>
      <c r="Q4240" s="5" t="str">
        <f t="shared" si="273"/>
        <v>Employed</v>
      </c>
      <c r="R4240">
        <v>1</v>
      </c>
      <c r="S4240">
        <v>1</v>
      </c>
      <c r="T4240">
        <v>1</v>
      </c>
      <c r="U4240">
        <v>0</v>
      </c>
      <c r="V4240" t="s">
        <v>44</v>
      </c>
      <c r="W4240">
        <v>2</v>
      </c>
    </row>
    <row r="4241" spans="1:23" x14ac:dyDescent="0.2">
      <c r="A4241">
        <v>5142810</v>
      </c>
      <c r="B4241" t="s">
        <v>18</v>
      </c>
      <c r="C4241" t="s">
        <v>19</v>
      </c>
      <c r="D4241" t="s">
        <v>19</v>
      </c>
      <c r="E4241">
        <v>0</v>
      </c>
      <c r="F4241">
        <v>180000</v>
      </c>
      <c r="G4241" t="s">
        <v>31</v>
      </c>
      <c r="H4241" t="s">
        <v>27</v>
      </c>
      <c r="I4241" t="s">
        <v>28</v>
      </c>
      <c r="J4241" t="s">
        <v>24</v>
      </c>
      <c r="K4241" s="6">
        <f t="shared" ca="1" si="272"/>
        <v>27379</v>
      </c>
      <c r="L4241">
        <v>-18382</v>
      </c>
      <c r="M4241" s="7">
        <f t="shared" ca="1" si="270"/>
        <v>50.327173169062284</v>
      </c>
      <c r="N4241" s="5" t="str">
        <f ca="1">VLOOKUP(Data!M4241,temp!$B$3:$C$9,2,1)</f>
        <v>50-60</v>
      </c>
      <c r="O4241">
        <v>-4548</v>
      </c>
      <c r="P4241" s="8">
        <f t="shared" si="271"/>
        <v>12.451745379876797</v>
      </c>
      <c r="Q4241" s="5" t="str">
        <f t="shared" si="273"/>
        <v>Employed</v>
      </c>
      <c r="R4241">
        <v>1</v>
      </c>
      <c r="S4241">
        <v>1</v>
      </c>
      <c r="T4241">
        <v>1</v>
      </c>
      <c r="U4241">
        <v>0</v>
      </c>
      <c r="V4241" t="s">
        <v>44</v>
      </c>
      <c r="W4241">
        <v>2</v>
      </c>
    </row>
    <row r="4242" spans="1:23" x14ac:dyDescent="0.2">
      <c r="A4242">
        <v>5142811</v>
      </c>
      <c r="B4242" t="s">
        <v>25</v>
      </c>
      <c r="C4242" t="s">
        <v>20</v>
      </c>
      <c r="D4242" t="s">
        <v>19</v>
      </c>
      <c r="E4242">
        <v>0</v>
      </c>
      <c r="F4242">
        <v>202500</v>
      </c>
      <c r="G4242" t="s">
        <v>35</v>
      </c>
      <c r="H4242" t="s">
        <v>27</v>
      </c>
      <c r="I4242" t="s">
        <v>28</v>
      </c>
      <c r="J4242" t="s">
        <v>24</v>
      </c>
      <c r="K4242" s="6">
        <f t="shared" ca="1" si="272"/>
        <v>34113</v>
      </c>
      <c r="L4242">
        <v>-11648</v>
      </c>
      <c r="M4242" s="7">
        <f t="shared" ca="1" si="270"/>
        <v>31.890485968514717</v>
      </c>
      <c r="N4242" s="5" t="str">
        <f ca="1">VLOOKUP(Data!M4242,temp!$B$3:$C$9,2,1)</f>
        <v>30-40</v>
      </c>
      <c r="O4242">
        <v>-4275</v>
      </c>
      <c r="P4242" s="8">
        <f t="shared" si="271"/>
        <v>11.704312114989733</v>
      </c>
      <c r="Q4242" s="5" t="str">
        <f t="shared" si="273"/>
        <v>Employed</v>
      </c>
      <c r="R4242">
        <v>1</v>
      </c>
      <c r="S4242">
        <v>1</v>
      </c>
      <c r="T4242">
        <v>1</v>
      </c>
      <c r="U4242">
        <v>0</v>
      </c>
      <c r="V4242" t="s">
        <v>38</v>
      </c>
      <c r="W4242">
        <v>2</v>
      </c>
    </row>
    <row r="4243" spans="1:23" x14ac:dyDescent="0.2">
      <c r="A4243">
        <v>5142816</v>
      </c>
      <c r="B4243" t="s">
        <v>25</v>
      </c>
      <c r="C4243" t="s">
        <v>19</v>
      </c>
      <c r="D4243" t="s">
        <v>19</v>
      </c>
      <c r="E4243">
        <v>1</v>
      </c>
      <c r="F4243">
        <v>315000</v>
      </c>
      <c r="G4243" t="s">
        <v>31</v>
      </c>
      <c r="H4243" t="s">
        <v>27</v>
      </c>
      <c r="I4243" t="s">
        <v>28</v>
      </c>
      <c r="J4243" t="s">
        <v>24</v>
      </c>
      <c r="K4243" s="6">
        <f t="shared" ca="1" si="272"/>
        <v>28224</v>
      </c>
      <c r="L4243">
        <v>-17537</v>
      </c>
      <c r="M4243" s="7">
        <f t="shared" ca="1" si="270"/>
        <v>48.013689253935659</v>
      </c>
      <c r="N4243" s="5" t="str">
        <f ca="1">VLOOKUP(Data!M4243,temp!$B$3:$C$9,2,1)</f>
        <v>40-50</v>
      </c>
      <c r="O4243">
        <v>-1749</v>
      </c>
      <c r="P4243" s="8">
        <f t="shared" si="271"/>
        <v>4.7885010266940453</v>
      </c>
      <c r="Q4243" s="5" t="str">
        <f t="shared" si="273"/>
        <v>Employed</v>
      </c>
      <c r="R4243">
        <v>1</v>
      </c>
      <c r="S4243">
        <v>0</v>
      </c>
      <c r="T4243">
        <v>0</v>
      </c>
      <c r="U4243">
        <v>0</v>
      </c>
      <c r="V4243" t="s">
        <v>29</v>
      </c>
      <c r="W4243">
        <v>3</v>
      </c>
    </row>
    <row r="4244" spans="1:23" x14ac:dyDescent="0.2">
      <c r="A4244">
        <v>5142821</v>
      </c>
      <c r="B4244" t="s">
        <v>25</v>
      </c>
      <c r="C4244" t="s">
        <v>20</v>
      </c>
      <c r="D4244" t="s">
        <v>19</v>
      </c>
      <c r="E4244">
        <v>1</v>
      </c>
      <c r="F4244">
        <v>180000</v>
      </c>
      <c r="G4244" t="s">
        <v>31</v>
      </c>
      <c r="H4244" t="s">
        <v>22</v>
      </c>
      <c r="I4244" t="s">
        <v>33</v>
      </c>
      <c r="J4244" t="s">
        <v>24</v>
      </c>
      <c r="K4244" s="6">
        <f t="shared" ca="1" si="272"/>
        <v>30878</v>
      </c>
      <c r="L4244">
        <v>-14883</v>
      </c>
      <c r="M4244" s="7">
        <f t="shared" ca="1" si="270"/>
        <v>40.747433264887064</v>
      </c>
      <c r="N4244" s="5" t="str">
        <f ca="1">VLOOKUP(Data!M4244,temp!$B$3:$C$9,2,1)</f>
        <v>40-50</v>
      </c>
      <c r="O4244">
        <v>-6221</v>
      </c>
      <c r="P4244" s="8">
        <f t="shared" si="271"/>
        <v>17.032169746748803</v>
      </c>
      <c r="Q4244" s="5" t="str">
        <f t="shared" si="273"/>
        <v>Employed</v>
      </c>
      <c r="R4244">
        <v>1</v>
      </c>
      <c r="S4244">
        <v>0</v>
      </c>
      <c r="T4244">
        <v>1</v>
      </c>
      <c r="U4244">
        <v>0</v>
      </c>
      <c r="V4244" t="s">
        <v>32</v>
      </c>
      <c r="W4244">
        <v>2</v>
      </c>
    </row>
    <row r="4245" spans="1:23" x14ac:dyDescent="0.2">
      <c r="A4245">
        <v>5142828</v>
      </c>
      <c r="B4245" t="s">
        <v>18</v>
      </c>
      <c r="C4245" t="s">
        <v>19</v>
      </c>
      <c r="D4245" t="s">
        <v>19</v>
      </c>
      <c r="E4245">
        <v>0</v>
      </c>
      <c r="F4245">
        <v>157500</v>
      </c>
      <c r="G4245" t="s">
        <v>26</v>
      </c>
      <c r="H4245" t="s">
        <v>27</v>
      </c>
      <c r="I4245" t="s">
        <v>28</v>
      </c>
      <c r="J4245" t="s">
        <v>24</v>
      </c>
      <c r="K4245" s="6">
        <f t="shared" ca="1" si="272"/>
        <v>28853</v>
      </c>
      <c r="L4245">
        <v>-16908</v>
      </c>
      <c r="M4245" s="7">
        <f t="shared" ca="1" si="270"/>
        <v>46.291581108829568</v>
      </c>
      <c r="N4245" s="5" t="str">
        <f ca="1">VLOOKUP(Data!M4245,temp!$B$3:$C$9,2,1)</f>
        <v>40-50</v>
      </c>
      <c r="O4245">
        <v>-2934</v>
      </c>
      <c r="P4245" s="8">
        <f t="shared" si="271"/>
        <v>8.0328542094455848</v>
      </c>
      <c r="Q4245" s="5" t="str">
        <f t="shared" si="273"/>
        <v>Employed</v>
      </c>
      <c r="R4245">
        <v>1</v>
      </c>
      <c r="S4245">
        <v>0</v>
      </c>
      <c r="T4245">
        <v>0</v>
      </c>
      <c r="U4245">
        <v>0</v>
      </c>
      <c r="V4245" t="s">
        <v>55</v>
      </c>
      <c r="W4245">
        <v>2</v>
      </c>
    </row>
    <row r="4246" spans="1:23" x14ac:dyDescent="0.2">
      <c r="A4246">
        <v>5142832</v>
      </c>
      <c r="B4246" t="s">
        <v>18</v>
      </c>
      <c r="C4246" t="s">
        <v>19</v>
      </c>
      <c r="D4246" t="s">
        <v>19</v>
      </c>
      <c r="E4246">
        <v>0</v>
      </c>
      <c r="F4246">
        <v>121500</v>
      </c>
      <c r="G4246" t="s">
        <v>26</v>
      </c>
      <c r="H4246" t="s">
        <v>27</v>
      </c>
      <c r="I4246" t="s">
        <v>33</v>
      </c>
      <c r="J4246" t="s">
        <v>24</v>
      </c>
      <c r="K4246" s="6">
        <f t="shared" ca="1" si="272"/>
        <v>33585</v>
      </c>
      <c r="L4246">
        <v>-12176</v>
      </c>
      <c r="M4246" s="7">
        <f t="shared" ca="1" si="270"/>
        <v>33.336071184120463</v>
      </c>
      <c r="N4246" s="5" t="str">
        <f ca="1">VLOOKUP(Data!M4246,temp!$B$3:$C$9,2,1)</f>
        <v>30-40</v>
      </c>
      <c r="O4246">
        <v>-1292</v>
      </c>
      <c r="P4246" s="8">
        <f t="shared" si="271"/>
        <v>3.5373032169746748</v>
      </c>
      <c r="Q4246" s="5" t="str">
        <f t="shared" si="273"/>
        <v>Employed</v>
      </c>
      <c r="R4246">
        <v>1</v>
      </c>
      <c r="S4246">
        <v>1</v>
      </c>
      <c r="T4246">
        <v>0</v>
      </c>
      <c r="U4246">
        <v>0</v>
      </c>
      <c r="V4246" t="s">
        <v>55</v>
      </c>
      <c r="W4246">
        <v>1</v>
      </c>
    </row>
    <row r="4247" spans="1:23" x14ac:dyDescent="0.2">
      <c r="A4247">
        <v>5142859</v>
      </c>
      <c r="B4247" t="s">
        <v>18</v>
      </c>
      <c r="C4247" t="s">
        <v>19</v>
      </c>
      <c r="D4247" t="s">
        <v>19</v>
      </c>
      <c r="E4247">
        <v>0</v>
      </c>
      <c r="F4247">
        <v>135000</v>
      </c>
      <c r="G4247" t="s">
        <v>31</v>
      </c>
      <c r="H4247" t="s">
        <v>27</v>
      </c>
      <c r="I4247" t="s">
        <v>28</v>
      </c>
      <c r="J4247" t="s">
        <v>24</v>
      </c>
      <c r="K4247" s="6">
        <f t="shared" ca="1" si="272"/>
        <v>31681</v>
      </c>
      <c r="L4247">
        <v>-14080</v>
      </c>
      <c r="M4247" s="7">
        <f t="shared" ca="1" si="270"/>
        <v>38.548939082819984</v>
      </c>
      <c r="N4247" s="5" t="str">
        <f ca="1">VLOOKUP(Data!M4247,temp!$B$3:$C$9,2,1)</f>
        <v>30-40</v>
      </c>
      <c r="O4247">
        <v>-1869</v>
      </c>
      <c r="P4247" s="8">
        <f t="shared" si="271"/>
        <v>5.117043121149897</v>
      </c>
      <c r="Q4247" s="5" t="str">
        <f t="shared" si="273"/>
        <v>Employed</v>
      </c>
      <c r="R4247">
        <v>1</v>
      </c>
      <c r="S4247">
        <v>0</v>
      </c>
      <c r="T4247">
        <v>1</v>
      </c>
      <c r="U4247">
        <v>0</v>
      </c>
      <c r="W4247">
        <v>2</v>
      </c>
    </row>
    <row r="4248" spans="1:23" x14ac:dyDescent="0.2">
      <c r="A4248">
        <v>5142863</v>
      </c>
      <c r="B4248" t="s">
        <v>18</v>
      </c>
      <c r="C4248" t="s">
        <v>20</v>
      </c>
      <c r="D4248" t="s">
        <v>19</v>
      </c>
      <c r="E4248">
        <v>4</v>
      </c>
      <c r="F4248">
        <v>202500</v>
      </c>
      <c r="G4248" t="s">
        <v>35</v>
      </c>
      <c r="H4248" t="s">
        <v>27</v>
      </c>
      <c r="I4248" t="s">
        <v>28</v>
      </c>
      <c r="J4248" t="s">
        <v>24</v>
      </c>
      <c r="K4248" s="6">
        <f t="shared" ca="1" si="272"/>
        <v>31206</v>
      </c>
      <c r="L4248">
        <v>-14555</v>
      </c>
      <c r="M4248" s="7">
        <f t="shared" ca="1" si="270"/>
        <v>39.849418206707732</v>
      </c>
      <c r="N4248" s="5" t="str">
        <f ca="1">VLOOKUP(Data!M4248,temp!$B$3:$C$9,2,1)</f>
        <v>30-40</v>
      </c>
      <c r="O4248">
        <v>-1838</v>
      </c>
      <c r="P4248" s="8">
        <f t="shared" si="271"/>
        <v>5.032169746748802</v>
      </c>
      <c r="Q4248" s="5" t="str">
        <f t="shared" si="273"/>
        <v>Employed</v>
      </c>
      <c r="R4248">
        <v>1</v>
      </c>
      <c r="S4248">
        <v>1</v>
      </c>
      <c r="T4248">
        <v>0</v>
      </c>
      <c r="U4248">
        <v>0</v>
      </c>
      <c r="V4248" t="s">
        <v>38</v>
      </c>
      <c r="W4248">
        <v>6</v>
      </c>
    </row>
    <row r="4249" spans="1:23" x14ac:dyDescent="0.2">
      <c r="A4249">
        <v>5142864</v>
      </c>
      <c r="B4249" t="s">
        <v>18</v>
      </c>
      <c r="C4249" t="s">
        <v>20</v>
      </c>
      <c r="D4249" t="s">
        <v>19</v>
      </c>
      <c r="E4249">
        <v>4</v>
      </c>
      <c r="F4249">
        <v>202500</v>
      </c>
      <c r="G4249" t="s">
        <v>35</v>
      </c>
      <c r="H4249" t="s">
        <v>27</v>
      </c>
      <c r="I4249" t="s">
        <v>28</v>
      </c>
      <c r="J4249" t="s">
        <v>24</v>
      </c>
      <c r="K4249" s="6">
        <f t="shared" ca="1" si="272"/>
        <v>31206</v>
      </c>
      <c r="L4249">
        <v>-14555</v>
      </c>
      <c r="M4249" s="7">
        <f t="shared" ca="1" si="270"/>
        <v>39.849418206707732</v>
      </c>
      <c r="N4249" s="5" t="str">
        <f ca="1">VLOOKUP(Data!M4249,temp!$B$3:$C$9,2,1)</f>
        <v>30-40</v>
      </c>
      <c r="O4249">
        <v>-1838</v>
      </c>
      <c r="P4249" s="8">
        <f t="shared" si="271"/>
        <v>5.032169746748802</v>
      </c>
      <c r="Q4249" s="5" t="str">
        <f t="shared" si="273"/>
        <v>Employed</v>
      </c>
      <c r="R4249">
        <v>1</v>
      </c>
      <c r="S4249">
        <v>1</v>
      </c>
      <c r="T4249">
        <v>0</v>
      </c>
      <c r="U4249">
        <v>0</v>
      </c>
      <c r="V4249" t="s">
        <v>38</v>
      </c>
      <c r="W4249">
        <v>6</v>
      </c>
    </row>
    <row r="4250" spans="1:23" x14ac:dyDescent="0.2">
      <c r="A4250">
        <v>5142866</v>
      </c>
      <c r="B4250" t="s">
        <v>18</v>
      </c>
      <c r="C4250" t="s">
        <v>20</v>
      </c>
      <c r="D4250" t="s">
        <v>19</v>
      </c>
      <c r="E4250">
        <v>4</v>
      </c>
      <c r="F4250">
        <v>202500</v>
      </c>
      <c r="G4250" t="s">
        <v>35</v>
      </c>
      <c r="H4250" t="s">
        <v>27</v>
      </c>
      <c r="I4250" t="s">
        <v>28</v>
      </c>
      <c r="J4250" t="s">
        <v>24</v>
      </c>
      <c r="K4250" s="6">
        <f t="shared" ca="1" si="272"/>
        <v>31206</v>
      </c>
      <c r="L4250">
        <v>-14555</v>
      </c>
      <c r="M4250" s="7">
        <f t="shared" ca="1" si="270"/>
        <v>39.849418206707732</v>
      </c>
      <c r="N4250" s="5" t="str">
        <f ca="1">VLOOKUP(Data!M4250,temp!$B$3:$C$9,2,1)</f>
        <v>30-40</v>
      </c>
      <c r="O4250">
        <v>-1838</v>
      </c>
      <c r="P4250" s="8">
        <f t="shared" si="271"/>
        <v>5.032169746748802</v>
      </c>
      <c r="Q4250" s="5" t="str">
        <f t="shared" si="273"/>
        <v>Employed</v>
      </c>
      <c r="R4250">
        <v>1</v>
      </c>
      <c r="S4250">
        <v>1</v>
      </c>
      <c r="T4250">
        <v>0</v>
      </c>
      <c r="U4250">
        <v>0</v>
      </c>
      <c r="V4250" t="s">
        <v>38</v>
      </c>
      <c r="W4250">
        <v>6</v>
      </c>
    </row>
    <row r="4251" spans="1:23" x14ac:dyDescent="0.2">
      <c r="A4251">
        <v>5142873</v>
      </c>
      <c r="B4251" t="s">
        <v>18</v>
      </c>
      <c r="C4251" t="s">
        <v>20</v>
      </c>
      <c r="D4251" t="s">
        <v>19</v>
      </c>
      <c r="E4251">
        <v>0</v>
      </c>
      <c r="F4251">
        <v>58500</v>
      </c>
      <c r="G4251" t="s">
        <v>21</v>
      </c>
      <c r="H4251" t="s">
        <v>27</v>
      </c>
      <c r="I4251" t="s">
        <v>28</v>
      </c>
      <c r="J4251" t="s">
        <v>24</v>
      </c>
      <c r="K4251" s="6">
        <f t="shared" ca="1" si="272"/>
        <v>25446</v>
      </c>
      <c r="L4251">
        <v>-20315</v>
      </c>
      <c r="M4251" s="7">
        <f t="shared" ca="1" si="270"/>
        <v>55.619438740588635</v>
      </c>
      <c r="N4251" s="5" t="str">
        <f ca="1">VLOOKUP(Data!M4251,temp!$B$3:$C$9,2,1)</f>
        <v>50-60</v>
      </c>
      <c r="O4251">
        <v>365243</v>
      </c>
      <c r="P4251" s="8">
        <f t="shared" si="271"/>
        <v>0</v>
      </c>
      <c r="Q4251" s="5" t="str">
        <f t="shared" si="273"/>
        <v>Unemployed</v>
      </c>
      <c r="R4251">
        <v>1</v>
      </c>
      <c r="S4251">
        <v>0</v>
      </c>
      <c r="T4251">
        <v>0</v>
      </c>
      <c r="U4251">
        <v>0</v>
      </c>
      <c r="W4251">
        <v>2</v>
      </c>
    </row>
    <row r="4252" spans="1:23" x14ac:dyDescent="0.2">
      <c r="A4252">
        <v>5142877</v>
      </c>
      <c r="B4252" t="s">
        <v>18</v>
      </c>
      <c r="C4252" t="s">
        <v>20</v>
      </c>
      <c r="D4252" t="s">
        <v>19</v>
      </c>
      <c r="E4252">
        <v>0</v>
      </c>
      <c r="F4252">
        <v>58500</v>
      </c>
      <c r="G4252" t="s">
        <v>21</v>
      </c>
      <c r="H4252" t="s">
        <v>27</v>
      </c>
      <c r="I4252" t="s">
        <v>28</v>
      </c>
      <c r="J4252" t="s">
        <v>24</v>
      </c>
      <c r="K4252" s="6">
        <f t="shared" ca="1" si="272"/>
        <v>25446</v>
      </c>
      <c r="L4252">
        <v>-20315</v>
      </c>
      <c r="M4252" s="7">
        <f t="shared" ca="1" si="270"/>
        <v>55.619438740588635</v>
      </c>
      <c r="N4252" s="5" t="str">
        <f ca="1">VLOOKUP(Data!M4252,temp!$B$3:$C$9,2,1)</f>
        <v>50-60</v>
      </c>
      <c r="O4252">
        <v>365243</v>
      </c>
      <c r="P4252" s="8">
        <f t="shared" si="271"/>
        <v>0</v>
      </c>
      <c r="Q4252" s="5" t="str">
        <f t="shared" si="273"/>
        <v>Unemployed</v>
      </c>
      <c r="R4252">
        <v>1</v>
      </c>
      <c r="S4252">
        <v>0</v>
      </c>
      <c r="T4252">
        <v>0</v>
      </c>
      <c r="U4252">
        <v>0</v>
      </c>
      <c r="W4252">
        <v>2</v>
      </c>
    </row>
    <row r="4253" spans="1:23" x14ac:dyDescent="0.2">
      <c r="A4253">
        <v>5142898</v>
      </c>
      <c r="B4253" t="s">
        <v>18</v>
      </c>
      <c r="C4253" t="s">
        <v>19</v>
      </c>
      <c r="D4253" t="s">
        <v>19</v>
      </c>
      <c r="E4253">
        <v>0</v>
      </c>
      <c r="F4253">
        <v>112500</v>
      </c>
      <c r="G4253" t="s">
        <v>26</v>
      </c>
      <c r="H4253" t="s">
        <v>22</v>
      </c>
      <c r="I4253" t="s">
        <v>33</v>
      </c>
      <c r="J4253" t="s">
        <v>41</v>
      </c>
      <c r="K4253" s="6">
        <f t="shared" ca="1" si="272"/>
        <v>36709</v>
      </c>
      <c r="L4253">
        <v>-9052</v>
      </c>
      <c r="M4253" s="7">
        <f t="shared" ca="1" si="270"/>
        <v>24.78302532511978</v>
      </c>
      <c r="N4253" s="5" t="str">
        <f ca="1">VLOOKUP(Data!M4253,temp!$B$3:$C$9,2,1)</f>
        <v>20-30</v>
      </c>
      <c r="O4253">
        <v>-227</v>
      </c>
      <c r="P4253" s="8">
        <f t="shared" si="271"/>
        <v>0.62149212867898695</v>
      </c>
      <c r="Q4253" s="5" t="str">
        <f t="shared" si="273"/>
        <v>Employed</v>
      </c>
      <c r="R4253">
        <v>1</v>
      </c>
      <c r="S4253">
        <v>0</v>
      </c>
      <c r="T4253">
        <v>0</v>
      </c>
      <c r="U4253">
        <v>0</v>
      </c>
      <c r="V4253" t="s">
        <v>29</v>
      </c>
      <c r="W4253">
        <v>1</v>
      </c>
    </row>
    <row r="4254" spans="1:23" x14ac:dyDescent="0.2">
      <c r="A4254">
        <v>5142899</v>
      </c>
      <c r="B4254" t="s">
        <v>18</v>
      </c>
      <c r="C4254" t="s">
        <v>19</v>
      </c>
      <c r="D4254" t="s">
        <v>19</v>
      </c>
      <c r="E4254">
        <v>0</v>
      </c>
      <c r="F4254">
        <v>112500</v>
      </c>
      <c r="G4254" t="s">
        <v>26</v>
      </c>
      <c r="H4254" t="s">
        <v>22</v>
      </c>
      <c r="I4254" t="s">
        <v>33</v>
      </c>
      <c r="J4254" t="s">
        <v>41</v>
      </c>
      <c r="K4254" s="6">
        <f t="shared" ca="1" si="272"/>
        <v>36709</v>
      </c>
      <c r="L4254">
        <v>-9052</v>
      </c>
      <c r="M4254" s="7">
        <f t="shared" ca="1" si="270"/>
        <v>24.78302532511978</v>
      </c>
      <c r="N4254" s="5" t="str">
        <f ca="1">VLOOKUP(Data!M4254,temp!$B$3:$C$9,2,1)</f>
        <v>20-30</v>
      </c>
      <c r="O4254">
        <v>-227</v>
      </c>
      <c r="P4254" s="8">
        <f t="shared" si="271"/>
        <v>0.62149212867898695</v>
      </c>
      <c r="Q4254" s="5" t="str">
        <f t="shared" si="273"/>
        <v>Employed</v>
      </c>
      <c r="R4254">
        <v>1</v>
      </c>
      <c r="S4254">
        <v>0</v>
      </c>
      <c r="T4254">
        <v>0</v>
      </c>
      <c r="U4254">
        <v>0</v>
      </c>
      <c r="V4254" t="s">
        <v>29</v>
      </c>
      <c r="W4254">
        <v>1</v>
      </c>
    </row>
    <row r="4255" spans="1:23" x14ac:dyDescent="0.2">
      <c r="A4255">
        <v>5142909</v>
      </c>
      <c r="B4255" t="s">
        <v>18</v>
      </c>
      <c r="C4255" t="s">
        <v>19</v>
      </c>
      <c r="D4255" t="s">
        <v>19</v>
      </c>
      <c r="E4255">
        <v>1</v>
      </c>
      <c r="F4255">
        <v>292500</v>
      </c>
      <c r="G4255" t="s">
        <v>31</v>
      </c>
      <c r="H4255" t="s">
        <v>36</v>
      </c>
      <c r="I4255" t="s">
        <v>28</v>
      </c>
      <c r="J4255" t="s">
        <v>24</v>
      </c>
      <c r="K4255" s="6">
        <f t="shared" ca="1" si="272"/>
        <v>33307</v>
      </c>
      <c r="L4255">
        <v>-12454</v>
      </c>
      <c r="M4255" s="7">
        <f t="shared" ca="1" si="270"/>
        <v>34.097193702943187</v>
      </c>
      <c r="N4255" s="5" t="str">
        <f ca="1">VLOOKUP(Data!M4255,temp!$B$3:$C$9,2,1)</f>
        <v>30-40</v>
      </c>
      <c r="O4255">
        <v>-4030</v>
      </c>
      <c r="P4255" s="8">
        <f t="shared" si="271"/>
        <v>11.033538672142368</v>
      </c>
      <c r="Q4255" s="5" t="str">
        <f t="shared" si="273"/>
        <v>Employed</v>
      </c>
      <c r="R4255">
        <v>1</v>
      </c>
      <c r="S4255">
        <v>1</v>
      </c>
      <c r="T4255">
        <v>1</v>
      </c>
      <c r="U4255">
        <v>0</v>
      </c>
      <c r="V4255" t="s">
        <v>39</v>
      </c>
      <c r="W4255">
        <v>3</v>
      </c>
    </row>
    <row r="4256" spans="1:23" x14ac:dyDescent="0.2">
      <c r="A4256">
        <v>5142932</v>
      </c>
      <c r="B4256" t="s">
        <v>18</v>
      </c>
      <c r="C4256" t="s">
        <v>20</v>
      </c>
      <c r="D4256" t="s">
        <v>19</v>
      </c>
      <c r="E4256">
        <v>0</v>
      </c>
      <c r="F4256">
        <v>56250</v>
      </c>
      <c r="G4256" t="s">
        <v>21</v>
      </c>
      <c r="H4256" t="s">
        <v>27</v>
      </c>
      <c r="I4256" t="s">
        <v>28</v>
      </c>
      <c r="J4256" t="s">
        <v>24</v>
      </c>
      <c r="K4256" s="6">
        <f t="shared" ca="1" si="272"/>
        <v>24419</v>
      </c>
      <c r="L4256">
        <v>-21342</v>
      </c>
      <c r="M4256" s="7">
        <f t="shared" ca="1" si="270"/>
        <v>58.431211498973305</v>
      </c>
      <c r="N4256" s="5" t="str">
        <f ca="1">VLOOKUP(Data!M4256,temp!$B$3:$C$9,2,1)</f>
        <v>50-60</v>
      </c>
      <c r="O4256">
        <v>365243</v>
      </c>
      <c r="P4256" s="8">
        <f t="shared" si="271"/>
        <v>0</v>
      </c>
      <c r="Q4256" s="5" t="str">
        <f t="shared" si="273"/>
        <v>Unemployed</v>
      </c>
      <c r="R4256">
        <v>1</v>
      </c>
      <c r="S4256">
        <v>0</v>
      </c>
      <c r="T4256">
        <v>0</v>
      </c>
      <c r="U4256">
        <v>0</v>
      </c>
      <c r="W4256">
        <v>2</v>
      </c>
    </row>
    <row r="4257" spans="1:23" x14ac:dyDescent="0.2">
      <c r="A4257">
        <v>5142939</v>
      </c>
      <c r="B4257" t="s">
        <v>18</v>
      </c>
      <c r="C4257" t="s">
        <v>19</v>
      </c>
      <c r="D4257" t="s">
        <v>19</v>
      </c>
      <c r="E4257">
        <v>0</v>
      </c>
      <c r="F4257">
        <v>49500</v>
      </c>
      <c r="G4257" t="s">
        <v>21</v>
      </c>
      <c r="H4257" t="s">
        <v>22</v>
      </c>
      <c r="I4257" t="s">
        <v>28</v>
      </c>
      <c r="J4257" t="s">
        <v>45</v>
      </c>
      <c r="K4257" s="6">
        <f t="shared" ca="1" si="272"/>
        <v>24604</v>
      </c>
      <c r="L4257">
        <v>-21157</v>
      </c>
      <c r="M4257" s="7">
        <f t="shared" ca="1" si="270"/>
        <v>57.924709103353869</v>
      </c>
      <c r="N4257" s="5" t="str">
        <f ca="1">VLOOKUP(Data!M4257,temp!$B$3:$C$9,2,1)</f>
        <v>50-60</v>
      </c>
      <c r="O4257">
        <v>365243</v>
      </c>
      <c r="P4257" s="8">
        <f t="shared" si="271"/>
        <v>0</v>
      </c>
      <c r="Q4257" s="5" t="str">
        <f t="shared" si="273"/>
        <v>Unemployed</v>
      </c>
      <c r="R4257">
        <v>1</v>
      </c>
      <c r="S4257">
        <v>0</v>
      </c>
      <c r="T4257">
        <v>0</v>
      </c>
      <c r="U4257">
        <v>0</v>
      </c>
      <c r="W4257">
        <v>2</v>
      </c>
    </row>
    <row r="4258" spans="1:23" x14ac:dyDescent="0.2">
      <c r="A4258">
        <v>5142946</v>
      </c>
      <c r="B4258" t="s">
        <v>18</v>
      </c>
      <c r="C4258" t="s">
        <v>19</v>
      </c>
      <c r="D4258" t="s">
        <v>19</v>
      </c>
      <c r="E4258">
        <v>0</v>
      </c>
      <c r="F4258">
        <v>49500</v>
      </c>
      <c r="G4258" t="s">
        <v>21</v>
      </c>
      <c r="H4258" t="s">
        <v>22</v>
      </c>
      <c r="I4258" t="s">
        <v>28</v>
      </c>
      <c r="J4258" t="s">
        <v>45</v>
      </c>
      <c r="K4258" s="6">
        <f t="shared" ca="1" si="272"/>
        <v>24604</v>
      </c>
      <c r="L4258">
        <v>-21157</v>
      </c>
      <c r="M4258" s="7">
        <f t="shared" ca="1" si="270"/>
        <v>57.924709103353869</v>
      </c>
      <c r="N4258" s="5" t="str">
        <f ca="1">VLOOKUP(Data!M4258,temp!$B$3:$C$9,2,1)</f>
        <v>50-60</v>
      </c>
      <c r="O4258">
        <v>365243</v>
      </c>
      <c r="P4258" s="8">
        <f t="shared" si="271"/>
        <v>0</v>
      </c>
      <c r="Q4258" s="5" t="str">
        <f t="shared" si="273"/>
        <v>Unemployed</v>
      </c>
      <c r="R4258">
        <v>1</v>
      </c>
      <c r="S4258">
        <v>0</v>
      </c>
      <c r="T4258">
        <v>0</v>
      </c>
      <c r="U4258">
        <v>0</v>
      </c>
      <c r="W4258">
        <v>2</v>
      </c>
    </row>
    <row r="4259" spans="1:23" x14ac:dyDescent="0.2">
      <c r="A4259">
        <v>5142947</v>
      </c>
      <c r="B4259" t="s">
        <v>18</v>
      </c>
      <c r="C4259" t="s">
        <v>19</v>
      </c>
      <c r="D4259" t="s">
        <v>19</v>
      </c>
      <c r="E4259">
        <v>0</v>
      </c>
      <c r="F4259">
        <v>49500</v>
      </c>
      <c r="G4259" t="s">
        <v>21</v>
      </c>
      <c r="H4259" t="s">
        <v>22</v>
      </c>
      <c r="I4259" t="s">
        <v>28</v>
      </c>
      <c r="J4259" t="s">
        <v>45</v>
      </c>
      <c r="K4259" s="6">
        <f t="shared" ca="1" si="272"/>
        <v>24604</v>
      </c>
      <c r="L4259">
        <v>-21157</v>
      </c>
      <c r="M4259" s="7">
        <f t="shared" ca="1" si="270"/>
        <v>57.924709103353869</v>
      </c>
      <c r="N4259" s="5" t="str">
        <f ca="1">VLOOKUP(Data!M4259,temp!$B$3:$C$9,2,1)</f>
        <v>50-60</v>
      </c>
      <c r="O4259">
        <v>365243</v>
      </c>
      <c r="P4259" s="8">
        <f t="shared" si="271"/>
        <v>0</v>
      </c>
      <c r="Q4259" s="5" t="str">
        <f t="shared" si="273"/>
        <v>Unemployed</v>
      </c>
      <c r="R4259">
        <v>1</v>
      </c>
      <c r="S4259">
        <v>0</v>
      </c>
      <c r="T4259">
        <v>0</v>
      </c>
      <c r="U4259">
        <v>0</v>
      </c>
      <c r="W4259">
        <v>2</v>
      </c>
    </row>
    <row r="4260" spans="1:23" x14ac:dyDescent="0.2">
      <c r="A4260">
        <v>5142954</v>
      </c>
      <c r="B4260" t="s">
        <v>25</v>
      </c>
      <c r="C4260" t="s">
        <v>19</v>
      </c>
      <c r="D4260" t="s">
        <v>19</v>
      </c>
      <c r="E4260">
        <v>1</v>
      </c>
      <c r="F4260">
        <v>202500</v>
      </c>
      <c r="G4260" t="s">
        <v>31</v>
      </c>
      <c r="H4260" t="s">
        <v>27</v>
      </c>
      <c r="I4260" t="s">
        <v>23</v>
      </c>
      <c r="J4260" t="s">
        <v>24</v>
      </c>
      <c r="K4260" s="6">
        <f t="shared" ca="1" si="272"/>
        <v>37487</v>
      </c>
      <c r="L4260">
        <v>-8274</v>
      </c>
      <c r="M4260" s="7">
        <f t="shared" ca="1" si="270"/>
        <v>22.652977412731005</v>
      </c>
      <c r="N4260" s="5" t="str">
        <f ca="1">VLOOKUP(Data!M4260,temp!$B$3:$C$9,2,1)</f>
        <v>20-30</v>
      </c>
      <c r="O4260">
        <v>-742</v>
      </c>
      <c r="P4260" s="8">
        <f t="shared" si="271"/>
        <v>2.0314852840520192</v>
      </c>
      <c r="Q4260" s="5" t="str">
        <f t="shared" si="273"/>
        <v>Employed</v>
      </c>
      <c r="R4260">
        <v>1</v>
      </c>
      <c r="S4260">
        <v>1</v>
      </c>
      <c r="T4260">
        <v>1</v>
      </c>
      <c r="U4260">
        <v>0</v>
      </c>
      <c r="V4260" t="s">
        <v>29</v>
      </c>
      <c r="W4260">
        <v>2</v>
      </c>
    </row>
    <row r="4261" spans="1:23" x14ac:dyDescent="0.2">
      <c r="A4261">
        <v>5142960</v>
      </c>
      <c r="B4261" t="s">
        <v>25</v>
      </c>
      <c r="C4261" t="s">
        <v>20</v>
      </c>
      <c r="D4261" t="s">
        <v>19</v>
      </c>
      <c r="E4261">
        <v>1</v>
      </c>
      <c r="F4261">
        <v>225000</v>
      </c>
      <c r="G4261" t="s">
        <v>31</v>
      </c>
      <c r="H4261" t="s">
        <v>27</v>
      </c>
      <c r="I4261" t="s">
        <v>28</v>
      </c>
      <c r="J4261" t="s">
        <v>24</v>
      </c>
      <c r="K4261" s="6">
        <f t="shared" ca="1" si="272"/>
        <v>33522</v>
      </c>
      <c r="L4261">
        <v>-12239</v>
      </c>
      <c r="M4261" s="7">
        <f t="shared" ca="1" si="270"/>
        <v>33.508555783709788</v>
      </c>
      <c r="N4261" s="5" t="str">
        <f ca="1">VLOOKUP(Data!M4261,temp!$B$3:$C$9,2,1)</f>
        <v>30-40</v>
      </c>
      <c r="O4261">
        <v>-2600</v>
      </c>
      <c r="P4261" s="8">
        <f t="shared" si="271"/>
        <v>7.1184120465434635</v>
      </c>
      <c r="Q4261" s="5" t="str">
        <f t="shared" si="273"/>
        <v>Employed</v>
      </c>
      <c r="R4261">
        <v>1</v>
      </c>
      <c r="S4261">
        <v>1</v>
      </c>
      <c r="T4261">
        <v>1</v>
      </c>
      <c r="U4261">
        <v>0</v>
      </c>
      <c r="V4261" t="s">
        <v>32</v>
      </c>
      <c r="W4261">
        <v>3</v>
      </c>
    </row>
    <row r="4262" spans="1:23" x14ac:dyDescent="0.2">
      <c r="A4262">
        <v>5142973</v>
      </c>
      <c r="B4262" t="s">
        <v>25</v>
      </c>
      <c r="C4262" t="s">
        <v>19</v>
      </c>
      <c r="D4262" t="s">
        <v>19</v>
      </c>
      <c r="E4262">
        <v>1</v>
      </c>
      <c r="F4262">
        <v>180000</v>
      </c>
      <c r="G4262" t="s">
        <v>31</v>
      </c>
      <c r="H4262" t="s">
        <v>27</v>
      </c>
      <c r="I4262" t="s">
        <v>28</v>
      </c>
      <c r="J4262" t="s">
        <v>24</v>
      </c>
      <c r="K4262" s="6">
        <f t="shared" ca="1" si="272"/>
        <v>35105</v>
      </c>
      <c r="L4262">
        <v>-10656</v>
      </c>
      <c r="M4262" s="7">
        <f t="shared" ca="1" si="270"/>
        <v>29.17453798767967</v>
      </c>
      <c r="N4262" s="5" t="str">
        <f ca="1">VLOOKUP(Data!M4262,temp!$B$3:$C$9,2,1)</f>
        <v>20-30</v>
      </c>
      <c r="O4262">
        <v>-926</v>
      </c>
      <c r="P4262" s="8">
        <f t="shared" si="271"/>
        <v>2.5352498288843259</v>
      </c>
      <c r="Q4262" s="5" t="str">
        <f t="shared" si="273"/>
        <v>Employed</v>
      </c>
      <c r="R4262">
        <v>1</v>
      </c>
      <c r="S4262">
        <v>1</v>
      </c>
      <c r="T4262">
        <v>1</v>
      </c>
      <c r="U4262">
        <v>0</v>
      </c>
      <c r="V4262" t="s">
        <v>29</v>
      </c>
      <c r="W4262">
        <v>1</v>
      </c>
    </row>
    <row r="4263" spans="1:23" x14ac:dyDescent="0.2">
      <c r="A4263">
        <v>5142975</v>
      </c>
      <c r="B4263" t="s">
        <v>18</v>
      </c>
      <c r="C4263" t="s">
        <v>19</v>
      </c>
      <c r="D4263" t="s">
        <v>19</v>
      </c>
      <c r="E4263">
        <v>0</v>
      </c>
      <c r="F4263">
        <v>67500</v>
      </c>
      <c r="G4263" t="s">
        <v>31</v>
      </c>
      <c r="H4263" t="s">
        <v>27</v>
      </c>
      <c r="I4263" t="s">
        <v>33</v>
      </c>
      <c r="J4263" t="s">
        <v>24</v>
      </c>
      <c r="K4263" s="6">
        <f t="shared" ca="1" si="272"/>
        <v>37100</v>
      </c>
      <c r="L4263">
        <v>-8661</v>
      </c>
      <c r="M4263" s="7">
        <f t="shared" ca="1" si="270"/>
        <v>23.71252566735113</v>
      </c>
      <c r="N4263" s="5" t="str">
        <f ca="1">VLOOKUP(Data!M4263,temp!$B$3:$C$9,2,1)</f>
        <v>20-30</v>
      </c>
      <c r="O4263">
        <v>-500</v>
      </c>
      <c r="P4263" s="8">
        <f t="shared" si="271"/>
        <v>1.3689253935660506</v>
      </c>
      <c r="Q4263" s="5" t="str">
        <f t="shared" si="273"/>
        <v>Employed</v>
      </c>
      <c r="R4263">
        <v>1</v>
      </c>
      <c r="S4263">
        <v>1</v>
      </c>
      <c r="T4263">
        <v>0</v>
      </c>
      <c r="U4263">
        <v>0</v>
      </c>
      <c r="V4263" t="s">
        <v>39</v>
      </c>
      <c r="W4263">
        <v>1</v>
      </c>
    </row>
    <row r="4264" spans="1:23" x14ac:dyDescent="0.2">
      <c r="A4264">
        <v>5142987</v>
      </c>
      <c r="B4264" t="s">
        <v>18</v>
      </c>
      <c r="C4264" t="s">
        <v>19</v>
      </c>
      <c r="D4264" t="s">
        <v>19</v>
      </c>
      <c r="E4264">
        <v>1</v>
      </c>
      <c r="F4264">
        <v>135000</v>
      </c>
      <c r="G4264" t="s">
        <v>31</v>
      </c>
      <c r="H4264" t="s">
        <v>22</v>
      </c>
      <c r="I4264" t="s">
        <v>28</v>
      </c>
      <c r="J4264" t="s">
        <v>24</v>
      </c>
      <c r="K4264" s="6">
        <f t="shared" ca="1" si="272"/>
        <v>35194</v>
      </c>
      <c r="L4264">
        <v>-10567</v>
      </c>
      <c r="M4264" s="7">
        <f t="shared" ca="1" si="270"/>
        <v>28.930869267624914</v>
      </c>
      <c r="N4264" s="5" t="str">
        <f ca="1">VLOOKUP(Data!M4264,temp!$B$3:$C$9,2,1)</f>
        <v>20-30</v>
      </c>
      <c r="O4264">
        <v>-1504</v>
      </c>
      <c r="P4264" s="8">
        <f t="shared" si="271"/>
        <v>4.1177275838466807</v>
      </c>
      <c r="Q4264" s="5" t="str">
        <f t="shared" si="273"/>
        <v>Employed</v>
      </c>
      <c r="R4264">
        <v>1</v>
      </c>
      <c r="S4264">
        <v>1</v>
      </c>
      <c r="T4264">
        <v>0</v>
      </c>
      <c r="U4264">
        <v>0</v>
      </c>
      <c r="V4264" t="s">
        <v>38</v>
      </c>
      <c r="W4264">
        <v>3</v>
      </c>
    </row>
    <row r="4265" spans="1:23" x14ac:dyDescent="0.2">
      <c r="A4265">
        <v>5142999</v>
      </c>
      <c r="B4265" t="s">
        <v>25</v>
      </c>
      <c r="C4265" t="s">
        <v>20</v>
      </c>
      <c r="D4265" t="s">
        <v>19</v>
      </c>
      <c r="E4265">
        <v>1</v>
      </c>
      <c r="F4265">
        <v>166500</v>
      </c>
      <c r="G4265" t="s">
        <v>35</v>
      </c>
      <c r="H4265" t="s">
        <v>27</v>
      </c>
      <c r="I4265" t="s">
        <v>28</v>
      </c>
      <c r="J4265" t="s">
        <v>41</v>
      </c>
      <c r="K4265" s="6">
        <f t="shared" ca="1" si="272"/>
        <v>33389</v>
      </c>
      <c r="L4265">
        <v>-12372</v>
      </c>
      <c r="M4265" s="7">
        <f t="shared" ca="1" si="270"/>
        <v>33.872689938398359</v>
      </c>
      <c r="N4265" s="5" t="str">
        <f ca="1">VLOOKUP(Data!M4265,temp!$B$3:$C$9,2,1)</f>
        <v>30-40</v>
      </c>
      <c r="O4265">
        <v>-5401</v>
      </c>
      <c r="P4265" s="8">
        <f t="shared" si="271"/>
        <v>14.787132101300479</v>
      </c>
      <c r="Q4265" s="5" t="str">
        <f t="shared" si="273"/>
        <v>Employed</v>
      </c>
      <c r="R4265">
        <v>1</v>
      </c>
      <c r="S4265">
        <v>0</v>
      </c>
      <c r="T4265">
        <v>1</v>
      </c>
      <c r="U4265">
        <v>0</v>
      </c>
      <c r="V4265" t="s">
        <v>38</v>
      </c>
      <c r="W4265">
        <v>3</v>
      </c>
    </row>
    <row r="4266" spans="1:23" x14ac:dyDescent="0.2">
      <c r="A4266">
        <v>5143007</v>
      </c>
      <c r="B4266" t="s">
        <v>25</v>
      </c>
      <c r="C4266" t="s">
        <v>20</v>
      </c>
      <c r="D4266" t="s">
        <v>19</v>
      </c>
      <c r="E4266">
        <v>1</v>
      </c>
      <c r="F4266">
        <v>99000</v>
      </c>
      <c r="G4266" t="s">
        <v>21</v>
      </c>
      <c r="H4266" t="s">
        <v>27</v>
      </c>
      <c r="I4266" t="s">
        <v>28</v>
      </c>
      <c r="J4266" t="s">
        <v>24</v>
      </c>
      <c r="K4266" s="6">
        <f t="shared" ca="1" si="272"/>
        <v>27069</v>
      </c>
      <c r="L4266">
        <v>-18692</v>
      </c>
      <c r="M4266" s="7">
        <f t="shared" ca="1" si="270"/>
        <v>51.175906913073234</v>
      </c>
      <c r="N4266" s="5" t="str">
        <f ca="1">VLOOKUP(Data!M4266,temp!$B$3:$C$9,2,1)</f>
        <v>50-60</v>
      </c>
      <c r="O4266">
        <v>365243</v>
      </c>
      <c r="P4266" s="8">
        <f t="shared" si="271"/>
        <v>0</v>
      </c>
      <c r="Q4266" s="5" t="str">
        <f t="shared" si="273"/>
        <v>Unemployed</v>
      </c>
      <c r="R4266">
        <v>1</v>
      </c>
      <c r="S4266">
        <v>0</v>
      </c>
      <c r="T4266">
        <v>1</v>
      </c>
      <c r="U4266">
        <v>0</v>
      </c>
      <c r="W4266">
        <v>3</v>
      </c>
    </row>
    <row r="4267" spans="1:23" x14ac:dyDescent="0.2">
      <c r="A4267">
        <v>5143019</v>
      </c>
      <c r="B4267" t="s">
        <v>25</v>
      </c>
      <c r="C4267" t="s">
        <v>19</v>
      </c>
      <c r="D4267" t="s">
        <v>19</v>
      </c>
      <c r="E4267">
        <v>0</v>
      </c>
      <c r="F4267">
        <v>270000</v>
      </c>
      <c r="G4267" t="s">
        <v>31</v>
      </c>
      <c r="H4267" t="s">
        <v>27</v>
      </c>
      <c r="I4267" t="s">
        <v>28</v>
      </c>
      <c r="J4267" t="s">
        <v>41</v>
      </c>
      <c r="K4267" s="6">
        <f t="shared" ca="1" si="272"/>
        <v>33993</v>
      </c>
      <c r="L4267">
        <v>-11768</v>
      </c>
      <c r="M4267" s="7">
        <f t="shared" ca="1" si="270"/>
        <v>32.219028062970565</v>
      </c>
      <c r="N4267" s="5" t="str">
        <f ca="1">VLOOKUP(Data!M4267,temp!$B$3:$C$9,2,1)</f>
        <v>30-40</v>
      </c>
      <c r="O4267">
        <v>-622</v>
      </c>
      <c r="P4267" s="8">
        <f t="shared" si="271"/>
        <v>1.7029431895961671</v>
      </c>
      <c r="Q4267" s="5" t="str">
        <f t="shared" si="273"/>
        <v>Employed</v>
      </c>
      <c r="R4267">
        <v>1</v>
      </c>
      <c r="S4267">
        <v>1</v>
      </c>
      <c r="T4267">
        <v>1</v>
      </c>
      <c r="U4267">
        <v>0</v>
      </c>
      <c r="V4267" t="s">
        <v>29</v>
      </c>
      <c r="W4267">
        <v>2</v>
      </c>
    </row>
    <row r="4268" spans="1:23" x14ac:dyDescent="0.2">
      <c r="A4268">
        <v>5143036</v>
      </c>
      <c r="B4268" t="s">
        <v>25</v>
      </c>
      <c r="C4268" t="s">
        <v>19</v>
      </c>
      <c r="D4268" t="s">
        <v>19</v>
      </c>
      <c r="E4268">
        <v>1</v>
      </c>
      <c r="F4268">
        <v>270000</v>
      </c>
      <c r="G4268" t="s">
        <v>31</v>
      </c>
      <c r="H4268" t="s">
        <v>22</v>
      </c>
      <c r="I4268" t="s">
        <v>28</v>
      </c>
      <c r="J4268" t="s">
        <v>24</v>
      </c>
      <c r="K4268" s="6">
        <f t="shared" ca="1" si="272"/>
        <v>35653</v>
      </c>
      <c r="L4268">
        <v>-10108</v>
      </c>
      <c r="M4268" s="7">
        <f t="shared" ca="1" si="270"/>
        <v>27.674195756331279</v>
      </c>
      <c r="N4268" s="5" t="str">
        <f ca="1">VLOOKUP(Data!M4268,temp!$B$3:$C$9,2,1)</f>
        <v>20-30</v>
      </c>
      <c r="O4268">
        <v>-1473</v>
      </c>
      <c r="P4268" s="8">
        <f t="shared" si="271"/>
        <v>4.0328542094455848</v>
      </c>
      <c r="Q4268" s="5" t="str">
        <f t="shared" si="273"/>
        <v>Employed</v>
      </c>
      <c r="R4268">
        <v>1</v>
      </c>
      <c r="S4268">
        <v>1</v>
      </c>
      <c r="T4268">
        <v>0</v>
      </c>
      <c r="U4268">
        <v>0</v>
      </c>
      <c r="V4268" t="s">
        <v>47</v>
      </c>
      <c r="W4268">
        <v>3</v>
      </c>
    </row>
    <row r="4269" spans="1:23" x14ac:dyDescent="0.2">
      <c r="A4269">
        <v>5143040</v>
      </c>
      <c r="B4269" t="s">
        <v>18</v>
      </c>
      <c r="C4269" t="s">
        <v>19</v>
      </c>
      <c r="D4269" t="s">
        <v>19</v>
      </c>
      <c r="E4269">
        <v>0</v>
      </c>
      <c r="F4269">
        <v>135000</v>
      </c>
      <c r="G4269" t="s">
        <v>35</v>
      </c>
      <c r="H4269" t="s">
        <v>22</v>
      </c>
      <c r="I4269" t="s">
        <v>33</v>
      </c>
      <c r="J4269" t="s">
        <v>24</v>
      </c>
      <c r="K4269" s="6">
        <f t="shared" ca="1" si="272"/>
        <v>35391</v>
      </c>
      <c r="L4269">
        <v>-10370</v>
      </c>
      <c r="M4269" s="7">
        <f t="shared" ca="1" si="270"/>
        <v>28.39151266255989</v>
      </c>
      <c r="N4269" s="5" t="str">
        <f ca="1">VLOOKUP(Data!M4269,temp!$B$3:$C$9,2,1)</f>
        <v>20-30</v>
      </c>
      <c r="O4269">
        <v>-1384</v>
      </c>
      <c r="P4269" s="8">
        <f t="shared" si="271"/>
        <v>3.7891854893908281</v>
      </c>
      <c r="Q4269" s="5" t="str">
        <f t="shared" si="273"/>
        <v>Employed</v>
      </c>
      <c r="R4269">
        <v>1</v>
      </c>
      <c r="S4269">
        <v>1</v>
      </c>
      <c r="T4269">
        <v>0</v>
      </c>
      <c r="U4269">
        <v>0</v>
      </c>
      <c r="V4269" t="s">
        <v>44</v>
      </c>
      <c r="W4269">
        <v>1</v>
      </c>
    </row>
    <row r="4270" spans="1:23" x14ac:dyDescent="0.2">
      <c r="A4270">
        <v>5143049</v>
      </c>
      <c r="B4270" t="s">
        <v>25</v>
      </c>
      <c r="C4270" t="s">
        <v>20</v>
      </c>
      <c r="D4270" t="s">
        <v>19</v>
      </c>
      <c r="E4270">
        <v>2</v>
      </c>
      <c r="F4270">
        <v>360000</v>
      </c>
      <c r="G4270" t="s">
        <v>31</v>
      </c>
      <c r="H4270" t="s">
        <v>27</v>
      </c>
      <c r="I4270" t="s">
        <v>28</v>
      </c>
      <c r="J4270" t="s">
        <v>24</v>
      </c>
      <c r="K4270" s="6">
        <f t="shared" ca="1" si="272"/>
        <v>29731</v>
      </c>
      <c r="L4270">
        <v>-16030</v>
      </c>
      <c r="M4270" s="7">
        <f t="shared" ca="1" si="270"/>
        <v>43.887748117727583</v>
      </c>
      <c r="N4270" s="5" t="str">
        <f ca="1">VLOOKUP(Data!M4270,temp!$B$3:$C$9,2,1)</f>
        <v>40-50</v>
      </c>
      <c r="O4270">
        <v>-2540</v>
      </c>
      <c r="P4270" s="8">
        <f t="shared" si="271"/>
        <v>6.9541409993155376</v>
      </c>
      <c r="Q4270" s="5" t="str">
        <f t="shared" si="273"/>
        <v>Employed</v>
      </c>
      <c r="R4270">
        <v>1</v>
      </c>
      <c r="S4270">
        <v>1</v>
      </c>
      <c r="T4270">
        <v>0</v>
      </c>
      <c r="U4270">
        <v>0</v>
      </c>
      <c r="V4270" t="s">
        <v>30</v>
      </c>
      <c r="W4270">
        <v>4</v>
      </c>
    </row>
    <row r="4271" spans="1:23" x14ac:dyDescent="0.2">
      <c r="A4271">
        <v>5143050</v>
      </c>
      <c r="B4271" t="s">
        <v>25</v>
      </c>
      <c r="C4271" t="s">
        <v>20</v>
      </c>
      <c r="D4271" t="s">
        <v>19</v>
      </c>
      <c r="E4271">
        <v>2</v>
      </c>
      <c r="F4271">
        <v>360000</v>
      </c>
      <c r="G4271" t="s">
        <v>31</v>
      </c>
      <c r="H4271" t="s">
        <v>27</v>
      </c>
      <c r="I4271" t="s">
        <v>28</v>
      </c>
      <c r="J4271" t="s">
        <v>24</v>
      </c>
      <c r="K4271" s="6">
        <f t="shared" ca="1" si="272"/>
        <v>29731</v>
      </c>
      <c r="L4271">
        <v>-16030</v>
      </c>
      <c r="M4271" s="7">
        <f t="shared" ca="1" si="270"/>
        <v>43.887748117727583</v>
      </c>
      <c r="N4271" s="5" t="str">
        <f ca="1">VLOOKUP(Data!M4271,temp!$B$3:$C$9,2,1)</f>
        <v>40-50</v>
      </c>
      <c r="O4271">
        <v>-2540</v>
      </c>
      <c r="P4271" s="8">
        <f t="shared" si="271"/>
        <v>6.9541409993155376</v>
      </c>
      <c r="Q4271" s="5" t="str">
        <f t="shared" si="273"/>
        <v>Employed</v>
      </c>
      <c r="R4271">
        <v>1</v>
      </c>
      <c r="S4271">
        <v>1</v>
      </c>
      <c r="T4271">
        <v>0</v>
      </c>
      <c r="U4271">
        <v>0</v>
      </c>
      <c r="V4271" t="s">
        <v>30</v>
      </c>
      <c r="W4271">
        <v>4</v>
      </c>
    </row>
    <row r="4272" spans="1:23" x14ac:dyDescent="0.2">
      <c r="A4272">
        <v>5143051</v>
      </c>
      <c r="B4272" t="s">
        <v>25</v>
      </c>
      <c r="C4272" t="s">
        <v>19</v>
      </c>
      <c r="D4272" t="s">
        <v>19</v>
      </c>
      <c r="E4272">
        <v>0</v>
      </c>
      <c r="F4272">
        <v>180000</v>
      </c>
      <c r="G4272" t="s">
        <v>26</v>
      </c>
      <c r="H4272" t="s">
        <v>27</v>
      </c>
      <c r="I4272" t="s">
        <v>28</v>
      </c>
      <c r="J4272" t="s">
        <v>24</v>
      </c>
      <c r="K4272" s="6">
        <f t="shared" ca="1" si="272"/>
        <v>31691</v>
      </c>
      <c r="L4272">
        <v>-14070</v>
      </c>
      <c r="M4272" s="7">
        <f t="shared" ca="1" si="270"/>
        <v>38.521560574948666</v>
      </c>
      <c r="N4272" s="5" t="str">
        <f ca="1">VLOOKUP(Data!M4272,temp!$B$3:$C$9,2,1)</f>
        <v>30-40</v>
      </c>
      <c r="O4272">
        <v>-1565</v>
      </c>
      <c r="P4272" s="8">
        <f t="shared" si="271"/>
        <v>4.2847364818617386</v>
      </c>
      <c r="Q4272" s="5" t="str">
        <f t="shared" si="273"/>
        <v>Employed</v>
      </c>
      <c r="R4272">
        <v>1</v>
      </c>
      <c r="S4272">
        <v>1</v>
      </c>
      <c r="T4272">
        <v>1</v>
      </c>
      <c r="U4272">
        <v>0</v>
      </c>
      <c r="V4272" t="s">
        <v>29</v>
      </c>
      <c r="W4272">
        <v>2</v>
      </c>
    </row>
    <row r="4273" spans="1:23" x14ac:dyDescent="0.2">
      <c r="A4273">
        <v>5143072</v>
      </c>
      <c r="B4273" t="s">
        <v>18</v>
      </c>
      <c r="C4273" t="s">
        <v>20</v>
      </c>
      <c r="D4273" t="s">
        <v>19</v>
      </c>
      <c r="E4273">
        <v>1</v>
      </c>
      <c r="F4273">
        <v>157500</v>
      </c>
      <c r="G4273" t="s">
        <v>31</v>
      </c>
      <c r="H4273" t="s">
        <v>22</v>
      </c>
      <c r="I4273" t="s">
        <v>28</v>
      </c>
      <c r="J4273" t="s">
        <v>24</v>
      </c>
      <c r="K4273" s="6">
        <f t="shared" ca="1" si="272"/>
        <v>36064</v>
      </c>
      <c r="L4273">
        <v>-9697</v>
      </c>
      <c r="M4273" s="7">
        <f t="shared" ca="1" si="270"/>
        <v>26.548939082819988</v>
      </c>
      <c r="N4273" s="5" t="str">
        <f ca="1">VLOOKUP(Data!M4273,temp!$B$3:$C$9,2,1)</f>
        <v>20-30</v>
      </c>
      <c r="O4273">
        <v>-257</v>
      </c>
      <c r="P4273" s="8">
        <f t="shared" si="271"/>
        <v>0.70362765229294999</v>
      </c>
      <c r="Q4273" s="5" t="str">
        <f t="shared" si="273"/>
        <v>Employed</v>
      </c>
      <c r="R4273">
        <v>1</v>
      </c>
      <c r="S4273">
        <v>0</v>
      </c>
      <c r="T4273">
        <v>0</v>
      </c>
      <c r="U4273">
        <v>0</v>
      </c>
      <c r="V4273" t="s">
        <v>39</v>
      </c>
      <c r="W4273">
        <v>3</v>
      </c>
    </row>
    <row r="4274" spans="1:23" x14ac:dyDescent="0.2">
      <c r="A4274">
        <v>5143075</v>
      </c>
      <c r="B4274" t="s">
        <v>18</v>
      </c>
      <c r="C4274" t="s">
        <v>20</v>
      </c>
      <c r="D4274" t="s">
        <v>19</v>
      </c>
      <c r="E4274">
        <v>1</v>
      </c>
      <c r="F4274">
        <v>157500</v>
      </c>
      <c r="G4274" t="s">
        <v>31</v>
      </c>
      <c r="H4274" t="s">
        <v>22</v>
      </c>
      <c r="I4274" t="s">
        <v>28</v>
      </c>
      <c r="J4274" t="s">
        <v>24</v>
      </c>
      <c r="K4274" s="6">
        <f t="shared" ca="1" si="272"/>
        <v>36064</v>
      </c>
      <c r="L4274">
        <v>-9697</v>
      </c>
      <c r="M4274" s="7">
        <f t="shared" ca="1" si="270"/>
        <v>26.548939082819988</v>
      </c>
      <c r="N4274" s="5" t="str">
        <f ca="1">VLOOKUP(Data!M4274,temp!$B$3:$C$9,2,1)</f>
        <v>20-30</v>
      </c>
      <c r="O4274">
        <v>-257</v>
      </c>
      <c r="P4274" s="8">
        <f t="shared" si="271"/>
        <v>0.70362765229294999</v>
      </c>
      <c r="Q4274" s="5" t="str">
        <f t="shared" si="273"/>
        <v>Employed</v>
      </c>
      <c r="R4274">
        <v>1</v>
      </c>
      <c r="S4274">
        <v>0</v>
      </c>
      <c r="T4274">
        <v>0</v>
      </c>
      <c r="U4274">
        <v>0</v>
      </c>
      <c r="V4274" t="s">
        <v>39</v>
      </c>
      <c r="W4274">
        <v>3</v>
      </c>
    </row>
    <row r="4275" spans="1:23" x14ac:dyDescent="0.2">
      <c r="A4275">
        <v>5143081</v>
      </c>
      <c r="B4275" t="s">
        <v>18</v>
      </c>
      <c r="C4275" t="s">
        <v>20</v>
      </c>
      <c r="D4275" t="s">
        <v>19</v>
      </c>
      <c r="E4275">
        <v>0</v>
      </c>
      <c r="F4275">
        <v>225000</v>
      </c>
      <c r="G4275" t="s">
        <v>26</v>
      </c>
      <c r="H4275" t="s">
        <v>27</v>
      </c>
      <c r="I4275" t="s">
        <v>28</v>
      </c>
      <c r="J4275" t="s">
        <v>24</v>
      </c>
      <c r="K4275" s="6">
        <f t="shared" ca="1" si="272"/>
        <v>31835</v>
      </c>
      <c r="L4275">
        <v>-13926</v>
      </c>
      <c r="M4275" s="7">
        <f t="shared" ca="1" si="270"/>
        <v>38.127310061601641</v>
      </c>
      <c r="N4275" s="5" t="str">
        <f ca="1">VLOOKUP(Data!M4275,temp!$B$3:$C$9,2,1)</f>
        <v>30-40</v>
      </c>
      <c r="O4275">
        <v>-500</v>
      </c>
      <c r="P4275" s="8">
        <f t="shared" si="271"/>
        <v>1.3689253935660506</v>
      </c>
      <c r="Q4275" s="5" t="str">
        <f t="shared" si="273"/>
        <v>Employed</v>
      </c>
      <c r="R4275">
        <v>1</v>
      </c>
      <c r="S4275">
        <v>0</v>
      </c>
      <c r="T4275">
        <v>0</v>
      </c>
      <c r="U4275">
        <v>0</v>
      </c>
      <c r="V4275" t="s">
        <v>39</v>
      </c>
      <c r="W4275">
        <v>2</v>
      </c>
    </row>
    <row r="4276" spans="1:23" x14ac:dyDescent="0.2">
      <c r="A4276">
        <v>5143093</v>
      </c>
      <c r="B4276" t="s">
        <v>25</v>
      </c>
      <c r="C4276" t="s">
        <v>20</v>
      </c>
      <c r="D4276" t="s">
        <v>19</v>
      </c>
      <c r="E4276">
        <v>0</v>
      </c>
      <c r="F4276">
        <v>180000</v>
      </c>
      <c r="G4276" t="s">
        <v>31</v>
      </c>
      <c r="H4276" t="s">
        <v>22</v>
      </c>
      <c r="I4276" t="s">
        <v>28</v>
      </c>
      <c r="J4276" t="s">
        <v>41</v>
      </c>
      <c r="K4276" s="6">
        <f t="shared" ca="1" si="272"/>
        <v>32805</v>
      </c>
      <c r="L4276">
        <v>-12956</v>
      </c>
      <c r="M4276" s="7">
        <f t="shared" ca="1" si="270"/>
        <v>35.471594798083501</v>
      </c>
      <c r="N4276" s="5" t="str">
        <f ca="1">VLOOKUP(Data!M4276,temp!$B$3:$C$9,2,1)</f>
        <v>30-40</v>
      </c>
      <c r="O4276">
        <v>-5553</v>
      </c>
      <c r="P4276" s="8">
        <f t="shared" si="271"/>
        <v>15.203285420944558</v>
      </c>
      <c r="Q4276" s="5" t="str">
        <f t="shared" si="273"/>
        <v>Employed</v>
      </c>
      <c r="R4276">
        <v>1</v>
      </c>
      <c r="S4276">
        <v>0</v>
      </c>
      <c r="T4276">
        <v>0</v>
      </c>
      <c r="U4276">
        <v>0</v>
      </c>
      <c r="W4276">
        <v>2</v>
      </c>
    </row>
    <row r="4277" spans="1:23" x14ac:dyDescent="0.2">
      <c r="A4277">
        <v>5143099</v>
      </c>
      <c r="B4277" t="s">
        <v>25</v>
      </c>
      <c r="C4277" t="s">
        <v>20</v>
      </c>
      <c r="D4277" t="s">
        <v>19</v>
      </c>
      <c r="E4277">
        <v>0</v>
      </c>
      <c r="F4277">
        <v>180000</v>
      </c>
      <c r="G4277" t="s">
        <v>31</v>
      </c>
      <c r="H4277" t="s">
        <v>22</v>
      </c>
      <c r="I4277" t="s">
        <v>28</v>
      </c>
      <c r="J4277" t="s">
        <v>41</v>
      </c>
      <c r="K4277" s="6">
        <f t="shared" ca="1" si="272"/>
        <v>32805</v>
      </c>
      <c r="L4277">
        <v>-12956</v>
      </c>
      <c r="M4277" s="7">
        <f t="shared" ca="1" si="270"/>
        <v>35.471594798083501</v>
      </c>
      <c r="N4277" s="5" t="str">
        <f ca="1">VLOOKUP(Data!M4277,temp!$B$3:$C$9,2,1)</f>
        <v>30-40</v>
      </c>
      <c r="O4277">
        <v>-5553</v>
      </c>
      <c r="P4277" s="8">
        <f t="shared" si="271"/>
        <v>15.203285420944558</v>
      </c>
      <c r="Q4277" s="5" t="str">
        <f t="shared" si="273"/>
        <v>Employed</v>
      </c>
      <c r="R4277">
        <v>1</v>
      </c>
      <c r="S4277">
        <v>0</v>
      </c>
      <c r="T4277">
        <v>0</v>
      </c>
      <c r="U4277">
        <v>0</v>
      </c>
      <c r="W4277">
        <v>2</v>
      </c>
    </row>
    <row r="4278" spans="1:23" x14ac:dyDescent="0.2">
      <c r="A4278">
        <v>5143122</v>
      </c>
      <c r="B4278" t="s">
        <v>18</v>
      </c>
      <c r="C4278" t="s">
        <v>19</v>
      </c>
      <c r="D4278" t="s">
        <v>19</v>
      </c>
      <c r="E4278">
        <v>2</v>
      </c>
      <c r="F4278">
        <v>112500</v>
      </c>
      <c r="G4278" t="s">
        <v>26</v>
      </c>
      <c r="H4278" t="s">
        <v>27</v>
      </c>
      <c r="I4278" t="s">
        <v>28</v>
      </c>
      <c r="J4278" t="s">
        <v>24</v>
      </c>
      <c r="K4278" s="6">
        <f t="shared" ca="1" si="272"/>
        <v>30599</v>
      </c>
      <c r="L4278">
        <v>-15162</v>
      </c>
      <c r="M4278" s="7">
        <f t="shared" ca="1" si="270"/>
        <v>41.511293634496923</v>
      </c>
      <c r="N4278" s="5" t="str">
        <f ca="1">VLOOKUP(Data!M4278,temp!$B$3:$C$9,2,1)</f>
        <v>40-50</v>
      </c>
      <c r="O4278">
        <v>-1810</v>
      </c>
      <c r="P4278" s="8">
        <f t="shared" si="271"/>
        <v>4.9555099247091032</v>
      </c>
      <c r="Q4278" s="5" t="str">
        <f t="shared" si="273"/>
        <v>Employed</v>
      </c>
      <c r="R4278">
        <v>1</v>
      </c>
      <c r="S4278">
        <v>1</v>
      </c>
      <c r="T4278">
        <v>0</v>
      </c>
      <c r="U4278">
        <v>0</v>
      </c>
      <c r="W4278">
        <v>4</v>
      </c>
    </row>
    <row r="4279" spans="1:23" x14ac:dyDescent="0.2">
      <c r="A4279">
        <v>5143149</v>
      </c>
      <c r="B4279" t="s">
        <v>25</v>
      </c>
      <c r="C4279" t="s">
        <v>20</v>
      </c>
      <c r="D4279" t="s">
        <v>19</v>
      </c>
      <c r="E4279">
        <v>0</v>
      </c>
      <c r="F4279">
        <v>360000</v>
      </c>
      <c r="G4279" t="s">
        <v>26</v>
      </c>
      <c r="H4279" t="s">
        <v>36</v>
      </c>
      <c r="I4279" t="s">
        <v>33</v>
      </c>
      <c r="J4279" t="s">
        <v>24</v>
      </c>
      <c r="K4279" s="6">
        <f t="shared" ca="1" si="272"/>
        <v>36327</v>
      </c>
      <c r="L4279">
        <v>-9434</v>
      </c>
      <c r="M4279" s="7">
        <f t="shared" ca="1" si="270"/>
        <v>25.828884325804243</v>
      </c>
      <c r="N4279" s="5" t="str">
        <f ca="1">VLOOKUP(Data!M4279,temp!$B$3:$C$9,2,1)</f>
        <v>20-30</v>
      </c>
      <c r="O4279">
        <v>-1261</v>
      </c>
      <c r="P4279" s="8">
        <f t="shared" si="271"/>
        <v>3.4524298425735798</v>
      </c>
      <c r="Q4279" s="5" t="str">
        <f t="shared" si="273"/>
        <v>Employed</v>
      </c>
      <c r="R4279">
        <v>1</v>
      </c>
      <c r="S4279">
        <v>1</v>
      </c>
      <c r="T4279">
        <v>0</v>
      </c>
      <c r="U4279">
        <v>0</v>
      </c>
      <c r="W4279">
        <v>1</v>
      </c>
    </row>
    <row r="4280" spans="1:23" x14ac:dyDescent="0.2">
      <c r="A4280">
        <v>5143162</v>
      </c>
      <c r="B4280" t="s">
        <v>18</v>
      </c>
      <c r="C4280" t="s">
        <v>20</v>
      </c>
      <c r="D4280" t="s">
        <v>19</v>
      </c>
      <c r="E4280">
        <v>0</v>
      </c>
      <c r="F4280">
        <v>652500</v>
      </c>
      <c r="G4280" t="s">
        <v>31</v>
      </c>
      <c r="H4280" t="s">
        <v>22</v>
      </c>
      <c r="I4280" t="s">
        <v>33</v>
      </c>
      <c r="J4280" t="s">
        <v>24</v>
      </c>
      <c r="K4280" s="6">
        <f t="shared" ca="1" si="272"/>
        <v>26624</v>
      </c>
      <c r="L4280">
        <v>-19137</v>
      </c>
      <c r="M4280" s="7">
        <f t="shared" ca="1" si="270"/>
        <v>52.394250513347025</v>
      </c>
      <c r="N4280" s="5" t="str">
        <f ca="1">VLOOKUP(Data!M4280,temp!$B$3:$C$9,2,1)</f>
        <v>50-60</v>
      </c>
      <c r="O4280">
        <v>-349</v>
      </c>
      <c r="P4280" s="8">
        <f t="shared" si="271"/>
        <v>0.95550992470910334</v>
      </c>
      <c r="Q4280" s="5" t="str">
        <f t="shared" si="273"/>
        <v>Employed</v>
      </c>
      <c r="R4280">
        <v>1</v>
      </c>
      <c r="S4280">
        <v>1</v>
      </c>
      <c r="T4280">
        <v>1</v>
      </c>
      <c r="U4280">
        <v>1</v>
      </c>
      <c r="V4280" t="s">
        <v>32</v>
      </c>
      <c r="W4280">
        <v>1</v>
      </c>
    </row>
    <row r="4281" spans="1:23" x14ac:dyDescent="0.2">
      <c r="A4281">
        <v>5143172</v>
      </c>
      <c r="B4281" t="s">
        <v>25</v>
      </c>
      <c r="C4281" t="s">
        <v>20</v>
      </c>
      <c r="D4281" t="s">
        <v>19</v>
      </c>
      <c r="E4281">
        <v>0</v>
      </c>
      <c r="F4281">
        <v>225000</v>
      </c>
      <c r="G4281" t="s">
        <v>26</v>
      </c>
      <c r="H4281" t="s">
        <v>27</v>
      </c>
      <c r="I4281" t="s">
        <v>33</v>
      </c>
      <c r="J4281" t="s">
        <v>24</v>
      </c>
      <c r="K4281" s="6">
        <f t="shared" ca="1" si="272"/>
        <v>28288</v>
      </c>
      <c r="L4281">
        <v>-17473</v>
      </c>
      <c r="M4281" s="7">
        <f t="shared" ca="1" si="270"/>
        <v>47.838466803559207</v>
      </c>
      <c r="N4281" s="5" t="str">
        <f ca="1">VLOOKUP(Data!M4281,temp!$B$3:$C$9,2,1)</f>
        <v>40-50</v>
      </c>
      <c r="O4281">
        <v>-2631</v>
      </c>
      <c r="P4281" s="8">
        <f t="shared" si="271"/>
        <v>7.2032854209445585</v>
      </c>
      <c r="Q4281" s="5" t="str">
        <f t="shared" si="273"/>
        <v>Employed</v>
      </c>
      <c r="R4281">
        <v>1</v>
      </c>
      <c r="S4281">
        <v>0</v>
      </c>
      <c r="T4281">
        <v>0</v>
      </c>
      <c r="U4281">
        <v>0</v>
      </c>
      <c r="V4281" t="s">
        <v>32</v>
      </c>
      <c r="W4281">
        <v>1</v>
      </c>
    </row>
    <row r="4282" spans="1:23" x14ac:dyDescent="0.2">
      <c r="A4282">
        <v>5143175</v>
      </c>
      <c r="B4282" t="s">
        <v>25</v>
      </c>
      <c r="C4282" t="s">
        <v>20</v>
      </c>
      <c r="D4282" t="s">
        <v>19</v>
      </c>
      <c r="E4282">
        <v>0</v>
      </c>
      <c r="F4282">
        <v>225000</v>
      </c>
      <c r="G4282" t="s">
        <v>26</v>
      </c>
      <c r="H4282" t="s">
        <v>27</v>
      </c>
      <c r="I4282" t="s">
        <v>33</v>
      </c>
      <c r="J4282" t="s">
        <v>24</v>
      </c>
      <c r="K4282" s="6">
        <f t="shared" ca="1" si="272"/>
        <v>28288</v>
      </c>
      <c r="L4282">
        <v>-17473</v>
      </c>
      <c r="M4282" s="7">
        <f t="shared" ca="1" si="270"/>
        <v>47.838466803559207</v>
      </c>
      <c r="N4282" s="5" t="str">
        <f ca="1">VLOOKUP(Data!M4282,temp!$B$3:$C$9,2,1)</f>
        <v>40-50</v>
      </c>
      <c r="O4282">
        <v>-2631</v>
      </c>
      <c r="P4282" s="8">
        <f t="shared" si="271"/>
        <v>7.2032854209445585</v>
      </c>
      <c r="Q4282" s="5" t="str">
        <f t="shared" si="273"/>
        <v>Employed</v>
      </c>
      <c r="R4282">
        <v>1</v>
      </c>
      <c r="S4282">
        <v>0</v>
      </c>
      <c r="T4282">
        <v>0</v>
      </c>
      <c r="U4282">
        <v>0</v>
      </c>
      <c r="V4282" t="s">
        <v>32</v>
      </c>
      <c r="W4282">
        <v>1</v>
      </c>
    </row>
    <row r="4283" spans="1:23" x14ac:dyDescent="0.2">
      <c r="A4283">
        <v>5143183</v>
      </c>
      <c r="B4283" t="s">
        <v>25</v>
      </c>
      <c r="C4283" t="s">
        <v>20</v>
      </c>
      <c r="D4283" t="s">
        <v>19</v>
      </c>
      <c r="E4283">
        <v>0</v>
      </c>
      <c r="F4283">
        <v>225000</v>
      </c>
      <c r="G4283" t="s">
        <v>26</v>
      </c>
      <c r="H4283" t="s">
        <v>27</v>
      </c>
      <c r="I4283" t="s">
        <v>33</v>
      </c>
      <c r="J4283" t="s">
        <v>24</v>
      </c>
      <c r="K4283" s="6">
        <f t="shared" ca="1" si="272"/>
        <v>28288</v>
      </c>
      <c r="L4283">
        <v>-17473</v>
      </c>
      <c r="M4283" s="7">
        <f t="shared" ca="1" si="270"/>
        <v>47.838466803559207</v>
      </c>
      <c r="N4283" s="5" t="str">
        <f ca="1">VLOOKUP(Data!M4283,temp!$B$3:$C$9,2,1)</f>
        <v>40-50</v>
      </c>
      <c r="O4283">
        <v>-2631</v>
      </c>
      <c r="P4283" s="8">
        <f t="shared" si="271"/>
        <v>7.2032854209445585</v>
      </c>
      <c r="Q4283" s="5" t="str">
        <f t="shared" si="273"/>
        <v>Employed</v>
      </c>
      <c r="R4283">
        <v>1</v>
      </c>
      <c r="S4283">
        <v>0</v>
      </c>
      <c r="T4283">
        <v>0</v>
      </c>
      <c r="U4283">
        <v>0</v>
      </c>
      <c r="V4283" t="s">
        <v>32</v>
      </c>
      <c r="W4283">
        <v>1</v>
      </c>
    </row>
    <row r="4284" spans="1:23" x14ac:dyDescent="0.2">
      <c r="A4284">
        <v>5143185</v>
      </c>
      <c r="B4284" t="s">
        <v>18</v>
      </c>
      <c r="C4284" t="s">
        <v>19</v>
      </c>
      <c r="D4284" t="s">
        <v>20</v>
      </c>
      <c r="E4284">
        <v>1</v>
      </c>
      <c r="F4284">
        <v>157500</v>
      </c>
      <c r="G4284" t="s">
        <v>26</v>
      </c>
      <c r="H4284" t="s">
        <v>27</v>
      </c>
      <c r="I4284" t="s">
        <v>37</v>
      </c>
      <c r="J4284" t="s">
        <v>24</v>
      </c>
      <c r="K4284" s="6">
        <f t="shared" ca="1" si="272"/>
        <v>32770</v>
      </c>
      <c r="L4284">
        <v>-12991</v>
      </c>
      <c r="M4284" s="7">
        <f t="shared" ca="1" si="270"/>
        <v>35.567419575633132</v>
      </c>
      <c r="N4284" s="5" t="str">
        <f ca="1">VLOOKUP(Data!M4284,temp!$B$3:$C$9,2,1)</f>
        <v>30-40</v>
      </c>
      <c r="O4284">
        <v>-1596</v>
      </c>
      <c r="P4284" s="8">
        <f t="shared" si="271"/>
        <v>4.3696098562628336</v>
      </c>
      <c r="Q4284" s="5" t="str">
        <f t="shared" si="273"/>
        <v>Employed</v>
      </c>
      <c r="R4284">
        <v>1</v>
      </c>
      <c r="S4284">
        <v>0</v>
      </c>
      <c r="T4284">
        <v>1</v>
      </c>
      <c r="U4284">
        <v>0</v>
      </c>
      <c r="V4284" t="s">
        <v>38</v>
      </c>
      <c r="W4284">
        <v>3</v>
      </c>
    </row>
    <row r="4285" spans="1:23" x14ac:dyDescent="0.2">
      <c r="A4285">
        <v>5143199</v>
      </c>
      <c r="B4285" t="s">
        <v>25</v>
      </c>
      <c r="C4285" t="s">
        <v>20</v>
      </c>
      <c r="D4285" t="s">
        <v>19</v>
      </c>
      <c r="E4285">
        <v>0</v>
      </c>
      <c r="F4285">
        <v>202500</v>
      </c>
      <c r="G4285" t="s">
        <v>35</v>
      </c>
      <c r="H4285" t="s">
        <v>27</v>
      </c>
      <c r="I4285" t="s">
        <v>28</v>
      </c>
      <c r="J4285" t="s">
        <v>24</v>
      </c>
      <c r="K4285" s="6">
        <f t="shared" ca="1" si="272"/>
        <v>33516</v>
      </c>
      <c r="L4285">
        <v>-12245</v>
      </c>
      <c r="M4285" s="7">
        <f t="shared" ca="1" si="270"/>
        <v>33.524982888432582</v>
      </c>
      <c r="N4285" s="5" t="str">
        <f ca="1">VLOOKUP(Data!M4285,temp!$B$3:$C$9,2,1)</f>
        <v>30-40</v>
      </c>
      <c r="O4285">
        <v>-3271</v>
      </c>
      <c r="P4285" s="8">
        <f t="shared" si="271"/>
        <v>8.9555099247091032</v>
      </c>
      <c r="Q4285" s="5" t="str">
        <f t="shared" si="273"/>
        <v>Employed</v>
      </c>
      <c r="R4285">
        <v>1</v>
      </c>
      <c r="S4285">
        <v>1</v>
      </c>
      <c r="T4285">
        <v>0</v>
      </c>
      <c r="U4285">
        <v>0</v>
      </c>
      <c r="W4285">
        <v>2</v>
      </c>
    </row>
    <row r="4286" spans="1:23" x14ac:dyDescent="0.2">
      <c r="A4286">
        <v>5143202</v>
      </c>
      <c r="B4286" t="s">
        <v>25</v>
      </c>
      <c r="C4286" t="s">
        <v>20</v>
      </c>
      <c r="D4286" t="s">
        <v>19</v>
      </c>
      <c r="E4286">
        <v>0</v>
      </c>
      <c r="F4286">
        <v>202500</v>
      </c>
      <c r="G4286" t="s">
        <v>35</v>
      </c>
      <c r="H4286" t="s">
        <v>27</v>
      </c>
      <c r="I4286" t="s">
        <v>28</v>
      </c>
      <c r="J4286" t="s">
        <v>24</v>
      </c>
      <c r="K4286" s="6">
        <f t="shared" ca="1" si="272"/>
        <v>33516</v>
      </c>
      <c r="L4286">
        <v>-12245</v>
      </c>
      <c r="M4286" s="7">
        <f t="shared" ca="1" si="270"/>
        <v>33.524982888432582</v>
      </c>
      <c r="N4286" s="5" t="str">
        <f ca="1">VLOOKUP(Data!M4286,temp!$B$3:$C$9,2,1)</f>
        <v>30-40</v>
      </c>
      <c r="O4286">
        <v>-3271</v>
      </c>
      <c r="P4286" s="8">
        <f t="shared" si="271"/>
        <v>8.9555099247091032</v>
      </c>
      <c r="Q4286" s="5" t="str">
        <f t="shared" si="273"/>
        <v>Employed</v>
      </c>
      <c r="R4286">
        <v>1</v>
      </c>
      <c r="S4286">
        <v>1</v>
      </c>
      <c r="T4286">
        <v>0</v>
      </c>
      <c r="U4286">
        <v>0</v>
      </c>
      <c r="W4286">
        <v>2</v>
      </c>
    </row>
    <row r="4287" spans="1:23" x14ac:dyDescent="0.2">
      <c r="A4287">
        <v>5143206</v>
      </c>
      <c r="B4287" t="s">
        <v>18</v>
      </c>
      <c r="C4287" t="s">
        <v>19</v>
      </c>
      <c r="D4287" t="s">
        <v>20</v>
      </c>
      <c r="E4287">
        <v>1</v>
      </c>
      <c r="F4287">
        <v>166500</v>
      </c>
      <c r="G4287" t="s">
        <v>31</v>
      </c>
      <c r="H4287" t="s">
        <v>27</v>
      </c>
      <c r="I4287" t="s">
        <v>28</v>
      </c>
      <c r="J4287" t="s">
        <v>24</v>
      </c>
      <c r="K4287" s="6">
        <f t="shared" ca="1" si="272"/>
        <v>30986</v>
      </c>
      <c r="L4287">
        <v>-14775</v>
      </c>
      <c r="M4287" s="7">
        <f t="shared" ca="1" si="270"/>
        <v>40.451745379876797</v>
      </c>
      <c r="N4287" s="5" t="str">
        <f ca="1">VLOOKUP(Data!M4287,temp!$B$3:$C$9,2,1)</f>
        <v>40-50</v>
      </c>
      <c r="O4287">
        <v>-7866</v>
      </c>
      <c r="P4287" s="8">
        <f t="shared" si="271"/>
        <v>21.535934291581111</v>
      </c>
      <c r="Q4287" s="5" t="str">
        <f t="shared" si="273"/>
        <v>Employed</v>
      </c>
      <c r="R4287">
        <v>1</v>
      </c>
      <c r="S4287">
        <v>0</v>
      </c>
      <c r="T4287">
        <v>0</v>
      </c>
      <c r="U4287">
        <v>0</v>
      </c>
      <c r="V4287" t="s">
        <v>52</v>
      </c>
      <c r="W4287">
        <v>3</v>
      </c>
    </row>
    <row r="4288" spans="1:23" x14ac:dyDescent="0.2">
      <c r="A4288">
        <v>5143207</v>
      </c>
      <c r="B4288" t="s">
        <v>18</v>
      </c>
      <c r="C4288" t="s">
        <v>19</v>
      </c>
      <c r="D4288" t="s">
        <v>20</v>
      </c>
      <c r="E4288">
        <v>1</v>
      </c>
      <c r="F4288">
        <v>166500</v>
      </c>
      <c r="G4288" t="s">
        <v>31</v>
      </c>
      <c r="H4288" t="s">
        <v>27</v>
      </c>
      <c r="I4288" t="s">
        <v>28</v>
      </c>
      <c r="J4288" t="s">
        <v>24</v>
      </c>
      <c r="K4288" s="6">
        <f t="shared" ca="1" si="272"/>
        <v>30986</v>
      </c>
      <c r="L4288">
        <v>-14775</v>
      </c>
      <c r="M4288" s="7">
        <f t="shared" ca="1" si="270"/>
        <v>40.451745379876797</v>
      </c>
      <c r="N4288" s="5" t="str">
        <f ca="1">VLOOKUP(Data!M4288,temp!$B$3:$C$9,2,1)</f>
        <v>40-50</v>
      </c>
      <c r="O4288">
        <v>-7866</v>
      </c>
      <c r="P4288" s="8">
        <f t="shared" si="271"/>
        <v>21.535934291581111</v>
      </c>
      <c r="Q4288" s="5" t="str">
        <f t="shared" si="273"/>
        <v>Employed</v>
      </c>
      <c r="R4288">
        <v>1</v>
      </c>
      <c r="S4288">
        <v>0</v>
      </c>
      <c r="T4288">
        <v>0</v>
      </c>
      <c r="U4288">
        <v>0</v>
      </c>
      <c r="V4288" t="s">
        <v>52</v>
      </c>
      <c r="W4288">
        <v>3</v>
      </c>
    </row>
    <row r="4289" spans="1:23" x14ac:dyDescent="0.2">
      <c r="A4289">
        <v>5143223</v>
      </c>
      <c r="B4289" t="s">
        <v>18</v>
      </c>
      <c r="C4289" t="s">
        <v>19</v>
      </c>
      <c r="D4289" t="s">
        <v>20</v>
      </c>
      <c r="E4289">
        <v>0</v>
      </c>
      <c r="F4289">
        <v>67500</v>
      </c>
      <c r="G4289" t="s">
        <v>21</v>
      </c>
      <c r="H4289" t="s">
        <v>51</v>
      </c>
      <c r="I4289" t="s">
        <v>33</v>
      </c>
      <c r="J4289" t="s">
        <v>24</v>
      </c>
      <c r="K4289" s="6">
        <f t="shared" ca="1" si="272"/>
        <v>23616</v>
      </c>
      <c r="L4289">
        <v>-22145</v>
      </c>
      <c r="M4289" s="7">
        <f t="shared" ca="1" si="270"/>
        <v>60.629705681040384</v>
      </c>
      <c r="N4289" s="5" t="str">
        <f ca="1">VLOOKUP(Data!M4289,temp!$B$3:$C$9,2,1)</f>
        <v>60-70</v>
      </c>
      <c r="O4289">
        <v>365243</v>
      </c>
      <c r="P4289" s="8">
        <f t="shared" si="271"/>
        <v>0</v>
      </c>
      <c r="Q4289" s="5" t="str">
        <f t="shared" si="273"/>
        <v>Unemployed</v>
      </c>
      <c r="R4289">
        <v>1</v>
      </c>
      <c r="S4289">
        <v>0</v>
      </c>
      <c r="T4289">
        <v>0</v>
      </c>
      <c r="U4289">
        <v>0</v>
      </c>
      <c r="W4289">
        <v>1</v>
      </c>
    </row>
    <row r="4290" spans="1:23" x14ac:dyDescent="0.2">
      <c r="A4290">
        <v>5143225</v>
      </c>
      <c r="B4290" t="s">
        <v>18</v>
      </c>
      <c r="C4290" t="s">
        <v>19</v>
      </c>
      <c r="D4290" t="s">
        <v>20</v>
      </c>
      <c r="E4290">
        <v>0</v>
      </c>
      <c r="F4290">
        <v>67500</v>
      </c>
      <c r="G4290" t="s">
        <v>21</v>
      </c>
      <c r="H4290" t="s">
        <v>51</v>
      </c>
      <c r="I4290" t="s">
        <v>33</v>
      </c>
      <c r="J4290" t="s">
        <v>24</v>
      </c>
      <c r="K4290" s="6">
        <f t="shared" ca="1" si="272"/>
        <v>23616</v>
      </c>
      <c r="L4290">
        <v>-22145</v>
      </c>
      <c r="M4290" s="7">
        <f t="shared" ca="1" si="270"/>
        <v>60.629705681040384</v>
      </c>
      <c r="N4290" s="5" t="str">
        <f ca="1">VLOOKUP(Data!M4290,temp!$B$3:$C$9,2,1)</f>
        <v>60-70</v>
      </c>
      <c r="O4290">
        <v>365243</v>
      </c>
      <c r="P4290" s="8">
        <f t="shared" si="271"/>
        <v>0</v>
      </c>
      <c r="Q4290" s="5" t="str">
        <f t="shared" si="273"/>
        <v>Unemployed</v>
      </c>
      <c r="R4290">
        <v>1</v>
      </c>
      <c r="S4290">
        <v>0</v>
      </c>
      <c r="T4290">
        <v>0</v>
      </c>
      <c r="U4290">
        <v>0</v>
      </c>
      <c r="W4290">
        <v>1</v>
      </c>
    </row>
    <row r="4291" spans="1:23" x14ac:dyDescent="0.2">
      <c r="A4291">
        <v>5143227</v>
      </c>
      <c r="B4291" t="s">
        <v>18</v>
      </c>
      <c r="C4291" t="s">
        <v>19</v>
      </c>
      <c r="D4291" t="s">
        <v>20</v>
      </c>
      <c r="E4291">
        <v>0</v>
      </c>
      <c r="F4291">
        <v>67500</v>
      </c>
      <c r="G4291" t="s">
        <v>21</v>
      </c>
      <c r="H4291" t="s">
        <v>51</v>
      </c>
      <c r="I4291" t="s">
        <v>33</v>
      </c>
      <c r="J4291" t="s">
        <v>24</v>
      </c>
      <c r="K4291" s="6">
        <f t="shared" ca="1" si="272"/>
        <v>23616</v>
      </c>
      <c r="L4291">
        <v>-22145</v>
      </c>
      <c r="M4291" s="7">
        <f t="shared" ref="M4291:M4354" ca="1" si="274">(TODAY()-K4291)/365.25</f>
        <v>60.629705681040384</v>
      </c>
      <c r="N4291" s="5" t="str">
        <f ca="1">VLOOKUP(Data!M4291,temp!$B$3:$C$9,2,1)</f>
        <v>60-70</v>
      </c>
      <c r="O4291">
        <v>365243</v>
      </c>
      <c r="P4291" s="8">
        <f t="shared" ref="P4291:P4354" si="275">IF(O4291&lt;=0,ABS(O4291)/365.25,0)</f>
        <v>0</v>
      </c>
      <c r="Q4291" s="5" t="str">
        <f t="shared" si="273"/>
        <v>Unemployed</v>
      </c>
      <c r="R4291">
        <v>1</v>
      </c>
      <c r="S4291">
        <v>0</v>
      </c>
      <c r="T4291">
        <v>0</v>
      </c>
      <c r="U4291">
        <v>0</v>
      </c>
      <c r="W4291">
        <v>1</v>
      </c>
    </row>
    <row r="4292" spans="1:23" x14ac:dyDescent="0.2">
      <c r="A4292">
        <v>5143234</v>
      </c>
      <c r="B4292" t="s">
        <v>18</v>
      </c>
      <c r="C4292" t="s">
        <v>20</v>
      </c>
      <c r="D4292" t="s">
        <v>20</v>
      </c>
      <c r="E4292">
        <v>1</v>
      </c>
      <c r="F4292">
        <v>1575000</v>
      </c>
      <c r="G4292" t="s">
        <v>26</v>
      </c>
      <c r="H4292" t="s">
        <v>22</v>
      </c>
      <c r="I4292" t="s">
        <v>33</v>
      </c>
      <c r="J4292" t="s">
        <v>24</v>
      </c>
      <c r="K4292" s="6">
        <f t="shared" ca="1" si="272"/>
        <v>35619</v>
      </c>
      <c r="L4292">
        <v>-10142</v>
      </c>
      <c r="M4292" s="7">
        <f t="shared" ca="1" si="274"/>
        <v>27.767282683093772</v>
      </c>
      <c r="N4292" s="5" t="str">
        <f ca="1">VLOOKUP(Data!M4292,temp!$B$3:$C$9,2,1)</f>
        <v>20-30</v>
      </c>
      <c r="O4292">
        <v>-2479</v>
      </c>
      <c r="P4292" s="8">
        <f t="shared" si="275"/>
        <v>6.7871321013004788</v>
      </c>
      <c r="Q4292" s="5" t="str">
        <f t="shared" si="273"/>
        <v>Employed</v>
      </c>
      <c r="R4292">
        <v>1</v>
      </c>
      <c r="S4292">
        <v>0</v>
      </c>
      <c r="T4292">
        <v>0</v>
      </c>
      <c r="U4292">
        <v>0</v>
      </c>
      <c r="V4292" t="s">
        <v>32</v>
      </c>
      <c r="W4292">
        <v>2</v>
      </c>
    </row>
    <row r="4293" spans="1:23" x14ac:dyDescent="0.2">
      <c r="A4293">
        <v>5143235</v>
      </c>
      <c r="B4293" t="s">
        <v>18</v>
      </c>
      <c r="C4293" t="s">
        <v>20</v>
      </c>
      <c r="D4293" t="s">
        <v>20</v>
      </c>
      <c r="E4293">
        <v>1</v>
      </c>
      <c r="F4293">
        <v>1575000</v>
      </c>
      <c r="G4293" t="s">
        <v>26</v>
      </c>
      <c r="H4293" t="s">
        <v>22</v>
      </c>
      <c r="I4293" t="s">
        <v>33</v>
      </c>
      <c r="J4293" t="s">
        <v>24</v>
      </c>
      <c r="K4293" s="6">
        <f t="shared" ca="1" si="272"/>
        <v>35619</v>
      </c>
      <c r="L4293">
        <v>-10142</v>
      </c>
      <c r="M4293" s="7">
        <f t="shared" ca="1" si="274"/>
        <v>27.767282683093772</v>
      </c>
      <c r="N4293" s="5" t="str">
        <f ca="1">VLOOKUP(Data!M4293,temp!$B$3:$C$9,2,1)</f>
        <v>20-30</v>
      </c>
      <c r="O4293">
        <v>-2479</v>
      </c>
      <c r="P4293" s="8">
        <f t="shared" si="275"/>
        <v>6.7871321013004788</v>
      </c>
      <c r="Q4293" s="5" t="str">
        <f t="shared" si="273"/>
        <v>Employed</v>
      </c>
      <c r="R4293">
        <v>1</v>
      </c>
      <c r="S4293">
        <v>0</v>
      </c>
      <c r="T4293">
        <v>0</v>
      </c>
      <c r="U4293">
        <v>0</v>
      </c>
      <c r="V4293" t="s">
        <v>32</v>
      </c>
      <c r="W4293">
        <v>2</v>
      </c>
    </row>
    <row r="4294" spans="1:23" x14ac:dyDescent="0.2">
      <c r="A4294">
        <v>5143244</v>
      </c>
      <c r="B4294" t="s">
        <v>18</v>
      </c>
      <c r="C4294" t="s">
        <v>19</v>
      </c>
      <c r="D4294" t="s">
        <v>19</v>
      </c>
      <c r="E4294">
        <v>0</v>
      </c>
      <c r="F4294">
        <v>135000</v>
      </c>
      <c r="G4294" t="s">
        <v>35</v>
      </c>
      <c r="H4294" t="s">
        <v>22</v>
      </c>
      <c r="I4294" t="s">
        <v>23</v>
      </c>
      <c r="J4294" t="s">
        <v>41</v>
      </c>
      <c r="K4294" s="6">
        <f t="shared" ca="1" si="272"/>
        <v>26247</v>
      </c>
      <c r="L4294">
        <v>-19514</v>
      </c>
      <c r="M4294" s="7">
        <f t="shared" ca="1" si="274"/>
        <v>53.426420260095824</v>
      </c>
      <c r="N4294" s="5" t="str">
        <f ca="1">VLOOKUP(Data!M4294,temp!$B$3:$C$9,2,1)</f>
        <v>50-60</v>
      </c>
      <c r="O4294">
        <v>-1991</v>
      </c>
      <c r="P4294" s="8">
        <f t="shared" si="275"/>
        <v>5.4510609171800137</v>
      </c>
      <c r="Q4294" s="5" t="str">
        <f t="shared" si="273"/>
        <v>Employed</v>
      </c>
      <c r="R4294">
        <v>1</v>
      </c>
      <c r="S4294">
        <v>1</v>
      </c>
      <c r="T4294">
        <v>0</v>
      </c>
      <c r="U4294">
        <v>0</v>
      </c>
      <c r="V4294" t="s">
        <v>56</v>
      </c>
      <c r="W4294">
        <v>1</v>
      </c>
    </row>
    <row r="4295" spans="1:23" x14ac:dyDescent="0.2">
      <c r="A4295">
        <v>5143252</v>
      </c>
      <c r="B4295" t="s">
        <v>18</v>
      </c>
      <c r="C4295" t="s">
        <v>19</v>
      </c>
      <c r="D4295" t="s">
        <v>20</v>
      </c>
      <c r="E4295">
        <v>0</v>
      </c>
      <c r="F4295">
        <v>157500</v>
      </c>
      <c r="G4295" t="s">
        <v>21</v>
      </c>
      <c r="H4295" t="s">
        <v>27</v>
      </c>
      <c r="I4295" t="s">
        <v>28</v>
      </c>
      <c r="J4295" t="s">
        <v>24</v>
      </c>
      <c r="K4295" s="6">
        <f t="shared" ca="1" si="272"/>
        <v>25183</v>
      </c>
      <c r="L4295">
        <v>-20578</v>
      </c>
      <c r="M4295" s="7">
        <f t="shared" ca="1" si="274"/>
        <v>56.33949349760438</v>
      </c>
      <c r="N4295" s="5" t="str">
        <f ca="1">VLOOKUP(Data!M4295,temp!$B$3:$C$9,2,1)</f>
        <v>50-60</v>
      </c>
      <c r="O4295">
        <v>365243</v>
      </c>
      <c r="P4295" s="8">
        <f t="shared" si="275"/>
        <v>0</v>
      </c>
      <c r="Q4295" s="5" t="str">
        <f t="shared" si="273"/>
        <v>Unemployed</v>
      </c>
      <c r="R4295">
        <v>1</v>
      </c>
      <c r="S4295">
        <v>0</v>
      </c>
      <c r="T4295">
        <v>1</v>
      </c>
      <c r="U4295">
        <v>0</v>
      </c>
      <c r="W4295">
        <v>2</v>
      </c>
    </row>
    <row r="4296" spans="1:23" x14ac:dyDescent="0.2">
      <c r="A4296">
        <v>5143267</v>
      </c>
      <c r="B4296" t="s">
        <v>18</v>
      </c>
      <c r="C4296" t="s">
        <v>19</v>
      </c>
      <c r="D4296" t="s">
        <v>20</v>
      </c>
      <c r="E4296">
        <v>0</v>
      </c>
      <c r="F4296">
        <v>157500</v>
      </c>
      <c r="G4296" t="s">
        <v>21</v>
      </c>
      <c r="H4296" t="s">
        <v>27</v>
      </c>
      <c r="I4296" t="s">
        <v>28</v>
      </c>
      <c r="J4296" t="s">
        <v>24</v>
      </c>
      <c r="K4296" s="6">
        <f t="shared" ref="K4296:K4359" ca="1" si="276">TODAY()+($L4296)</f>
        <v>25183</v>
      </c>
      <c r="L4296">
        <v>-20578</v>
      </c>
      <c r="M4296" s="7">
        <f t="shared" ca="1" si="274"/>
        <v>56.33949349760438</v>
      </c>
      <c r="N4296" s="5" t="str">
        <f ca="1">VLOOKUP(Data!M4296,temp!$B$3:$C$9,2,1)</f>
        <v>50-60</v>
      </c>
      <c r="O4296">
        <v>365243</v>
      </c>
      <c r="P4296" s="8">
        <f t="shared" si="275"/>
        <v>0</v>
      </c>
      <c r="Q4296" s="5" t="str">
        <f t="shared" ref="Q4296:Q4359" si="277">IF($O4296&gt;0,"Unemployed","Employed")</f>
        <v>Unemployed</v>
      </c>
      <c r="R4296">
        <v>1</v>
      </c>
      <c r="S4296">
        <v>0</v>
      </c>
      <c r="T4296">
        <v>1</v>
      </c>
      <c r="U4296">
        <v>0</v>
      </c>
      <c r="W4296">
        <v>2</v>
      </c>
    </row>
    <row r="4297" spans="1:23" x14ac:dyDescent="0.2">
      <c r="A4297">
        <v>5143269</v>
      </c>
      <c r="B4297" t="s">
        <v>18</v>
      </c>
      <c r="C4297" t="s">
        <v>19</v>
      </c>
      <c r="D4297" t="s">
        <v>20</v>
      </c>
      <c r="E4297">
        <v>0</v>
      </c>
      <c r="F4297">
        <v>157500</v>
      </c>
      <c r="G4297" t="s">
        <v>21</v>
      </c>
      <c r="H4297" t="s">
        <v>27</v>
      </c>
      <c r="I4297" t="s">
        <v>28</v>
      </c>
      <c r="J4297" t="s">
        <v>24</v>
      </c>
      <c r="K4297" s="6">
        <f t="shared" ca="1" si="276"/>
        <v>25183</v>
      </c>
      <c r="L4297">
        <v>-20578</v>
      </c>
      <c r="M4297" s="7">
        <f t="shared" ca="1" si="274"/>
        <v>56.33949349760438</v>
      </c>
      <c r="N4297" s="5" t="str">
        <f ca="1">VLOOKUP(Data!M4297,temp!$B$3:$C$9,2,1)</f>
        <v>50-60</v>
      </c>
      <c r="O4297">
        <v>365243</v>
      </c>
      <c r="P4297" s="8">
        <f t="shared" si="275"/>
        <v>0</v>
      </c>
      <c r="Q4297" s="5" t="str">
        <f t="shared" si="277"/>
        <v>Unemployed</v>
      </c>
      <c r="R4297">
        <v>1</v>
      </c>
      <c r="S4297">
        <v>0</v>
      </c>
      <c r="T4297">
        <v>1</v>
      </c>
      <c r="U4297">
        <v>0</v>
      </c>
      <c r="W4297">
        <v>2</v>
      </c>
    </row>
    <row r="4298" spans="1:23" x14ac:dyDescent="0.2">
      <c r="A4298">
        <v>5143281</v>
      </c>
      <c r="B4298" t="s">
        <v>25</v>
      </c>
      <c r="C4298" t="s">
        <v>20</v>
      </c>
      <c r="D4298" t="s">
        <v>20</v>
      </c>
      <c r="E4298">
        <v>0</v>
      </c>
      <c r="F4298">
        <v>405000</v>
      </c>
      <c r="G4298" t="s">
        <v>31</v>
      </c>
      <c r="H4298" t="s">
        <v>27</v>
      </c>
      <c r="I4298" t="s">
        <v>28</v>
      </c>
      <c r="J4298" t="s">
        <v>24</v>
      </c>
      <c r="K4298" s="6">
        <f t="shared" ca="1" si="276"/>
        <v>27770</v>
      </c>
      <c r="L4298">
        <v>-17991</v>
      </c>
      <c r="M4298" s="7">
        <f t="shared" ca="1" si="274"/>
        <v>49.256673511293634</v>
      </c>
      <c r="N4298" s="5" t="str">
        <f ca="1">VLOOKUP(Data!M4298,temp!$B$3:$C$9,2,1)</f>
        <v>40-50</v>
      </c>
      <c r="O4298">
        <v>-683</v>
      </c>
      <c r="P4298" s="8">
        <f t="shared" si="275"/>
        <v>1.8699520876112252</v>
      </c>
      <c r="Q4298" s="5" t="str">
        <f t="shared" si="277"/>
        <v>Employed</v>
      </c>
      <c r="R4298">
        <v>1</v>
      </c>
      <c r="S4298">
        <v>0</v>
      </c>
      <c r="T4298">
        <v>0</v>
      </c>
      <c r="U4298">
        <v>0</v>
      </c>
      <c r="V4298" t="s">
        <v>39</v>
      </c>
      <c r="W4298">
        <v>2</v>
      </c>
    </row>
    <row r="4299" spans="1:23" x14ac:dyDescent="0.2">
      <c r="A4299">
        <v>5143303</v>
      </c>
      <c r="B4299" t="s">
        <v>18</v>
      </c>
      <c r="C4299" t="s">
        <v>19</v>
      </c>
      <c r="D4299" t="s">
        <v>20</v>
      </c>
      <c r="E4299">
        <v>0</v>
      </c>
      <c r="F4299">
        <v>382500</v>
      </c>
      <c r="G4299" t="s">
        <v>26</v>
      </c>
      <c r="H4299" t="s">
        <v>27</v>
      </c>
      <c r="I4299" t="s">
        <v>33</v>
      </c>
      <c r="J4299" t="s">
        <v>24</v>
      </c>
      <c r="K4299" s="6">
        <f t="shared" ca="1" si="276"/>
        <v>29247</v>
      </c>
      <c r="L4299">
        <v>-16514</v>
      </c>
      <c r="M4299" s="7">
        <f t="shared" ca="1" si="274"/>
        <v>45.212867898699521</v>
      </c>
      <c r="N4299" s="5" t="str">
        <f ca="1">VLOOKUP(Data!M4299,temp!$B$3:$C$9,2,1)</f>
        <v>40-50</v>
      </c>
      <c r="O4299">
        <v>-5187</v>
      </c>
      <c r="P4299" s="8">
        <f t="shared" si="275"/>
        <v>14.201232032854209</v>
      </c>
      <c r="Q4299" s="5" t="str">
        <f t="shared" si="277"/>
        <v>Employed</v>
      </c>
      <c r="R4299">
        <v>1</v>
      </c>
      <c r="S4299">
        <v>0</v>
      </c>
      <c r="T4299">
        <v>0</v>
      </c>
      <c r="U4299">
        <v>0</v>
      </c>
      <c r="V4299" t="s">
        <v>32</v>
      </c>
      <c r="W4299">
        <v>1</v>
      </c>
    </row>
    <row r="4300" spans="1:23" x14ac:dyDescent="0.2">
      <c r="A4300">
        <v>5143311</v>
      </c>
      <c r="B4300" t="s">
        <v>25</v>
      </c>
      <c r="C4300" t="s">
        <v>19</v>
      </c>
      <c r="D4300" t="s">
        <v>20</v>
      </c>
      <c r="E4300">
        <v>0</v>
      </c>
      <c r="F4300">
        <v>114750</v>
      </c>
      <c r="G4300" t="s">
        <v>21</v>
      </c>
      <c r="H4300" t="s">
        <v>27</v>
      </c>
      <c r="I4300" t="s">
        <v>23</v>
      </c>
      <c r="J4300" t="s">
        <v>24</v>
      </c>
      <c r="K4300" s="6">
        <f t="shared" ca="1" si="276"/>
        <v>24493</v>
      </c>
      <c r="L4300">
        <v>-21268</v>
      </c>
      <c r="M4300" s="7">
        <f t="shared" ca="1" si="274"/>
        <v>58.228610540725533</v>
      </c>
      <c r="N4300" s="5" t="str">
        <f ca="1">VLOOKUP(Data!M4300,temp!$B$3:$C$9,2,1)</f>
        <v>50-60</v>
      </c>
      <c r="O4300">
        <v>365243</v>
      </c>
      <c r="P4300" s="8">
        <f t="shared" si="275"/>
        <v>0</v>
      </c>
      <c r="Q4300" s="5" t="str">
        <f t="shared" si="277"/>
        <v>Unemployed</v>
      </c>
      <c r="R4300">
        <v>1</v>
      </c>
      <c r="S4300">
        <v>0</v>
      </c>
      <c r="T4300">
        <v>0</v>
      </c>
      <c r="U4300">
        <v>0</v>
      </c>
      <c r="W4300">
        <v>1</v>
      </c>
    </row>
    <row r="4301" spans="1:23" x14ac:dyDescent="0.2">
      <c r="A4301">
        <v>5143324</v>
      </c>
      <c r="B4301" t="s">
        <v>18</v>
      </c>
      <c r="C4301" t="s">
        <v>19</v>
      </c>
      <c r="D4301" t="s">
        <v>20</v>
      </c>
      <c r="E4301">
        <v>0</v>
      </c>
      <c r="F4301">
        <v>135000</v>
      </c>
      <c r="G4301" t="s">
        <v>26</v>
      </c>
      <c r="H4301" t="s">
        <v>22</v>
      </c>
      <c r="I4301" t="s">
        <v>37</v>
      </c>
      <c r="J4301" t="s">
        <v>24</v>
      </c>
      <c r="K4301" s="6">
        <f t="shared" ca="1" si="276"/>
        <v>25165</v>
      </c>
      <c r="L4301">
        <v>-20596</v>
      </c>
      <c r="M4301" s="7">
        <f t="shared" ca="1" si="274"/>
        <v>56.388774811772755</v>
      </c>
      <c r="N4301" s="5" t="str">
        <f ca="1">VLOOKUP(Data!M4301,temp!$B$3:$C$9,2,1)</f>
        <v>50-60</v>
      </c>
      <c r="O4301">
        <v>-5156</v>
      </c>
      <c r="P4301" s="8">
        <f t="shared" si="275"/>
        <v>14.116358658453114</v>
      </c>
      <c r="Q4301" s="5" t="str">
        <f t="shared" si="277"/>
        <v>Employed</v>
      </c>
      <c r="R4301">
        <v>1</v>
      </c>
      <c r="S4301">
        <v>0</v>
      </c>
      <c r="T4301">
        <v>0</v>
      </c>
      <c r="U4301">
        <v>0</v>
      </c>
      <c r="V4301" t="s">
        <v>47</v>
      </c>
      <c r="W4301">
        <v>2</v>
      </c>
    </row>
    <row r="4302" spans="1:23" x14ac:dyDescent="0.2">
      <c r="A4302">
        <v>5143339</v>
      </c>
      <c r="B4302" t="s">
        <v>25</v>
      </c>
      <c r="C4302" t="s">
        <v>19</v>
      </c>
      <c r="D4302" t="s">
        <v>19</v>
      </c>
      <c r="E4302">
        <v>1</v>
      </c>
      <c r="F4302">
        <v>216000</v>
      </c>
      <c r="G4302" t="s">
        <v>31</v>
      </c>
      <c r="H4302" t="s">
        <v>27</v>
      </c>
      <c r="I4302" t="s">
        <v>28</v>
      </c>
      <c r="J4302" t="s">
        <v>45</v>
      </c>
      <c r="K4302" s="6">
        <f t="shared" ca="1" si="276"/>
        <v>32815</v>
      </c>
      <c r="L4302">
        <v>-12946</v>
      </c>
      <c r="M4302" s="7">
        <f t="shared" ca="1" si="274"/>
        <v>35.444216290212182</v>
      </c>
      <c r="N4302" s="5" t="str">
        <f ca="1">VLOOKUP(Data!M4302,temp!$B$3:$C$9,2,1)</f>
        <v>30-40</v>
      </c>
      <c r="O4302">
        <v>-2418</v>
      </c>
      <c r="P4302" s="8">
        <f t="shared" si="275"/>
        <v>6.6201232032854209</v>
      </c>
      <c r="Q4302" s="5" t="str">
        <f t="shared" si="277"/>
        <v>Employed</v>
      </c>
      <c r="R4302">
        <v>1</v>
      </c>
      <c r="S4302">
        <v>0</v>
      </c>
      <c r="T4302">
        <v>0</v>
      </c>
      <c r="U4302">
        <v>1</v>
      </c>
      <c r="V4302" t="s">
        <v>29</v>
      </c>
      <c r="W4302">
        <v>3</v>
      </c>
    </row>
    <row r="4303" spans="1:23" x14ac:dyDescent="0.2">
      <c r="A4303">
        <v>5143344</v>
      </c>
      <c r="B4303" t="s">
        <v>25</v>
      </c>
      <c r="C4303" t="s">
        <v>19</v>
      </c>
      <c r="D4303" t="s">
        <v>19</v>
      </c>
      <c r="E4303">
        <v>1</v>
      </c>
      <c r="F4303">
        <v>216000</v>
      </c>
      <c r="G4303" t="s">
        <v>31</v>
      </c>
      <c r="H4303" t="s">
        <v>27</v>
      </c>
      <c r="I4303" t="s">
        <v>28</v>
      </c>
      <c r="J4303" t="s">
        <v>45</v>
      </c>
      <c r="K4303" s="6">
        <f t="shared" ca="1" si="276"/>
        <v>32815</v>
      </c>
      <c r="L4303">
        <v>-12946</v>
      </c>
      <c r="M4303" s="7">
        <f t="shared" ca="1" si="274"/>
        <v>35.444216290212182</v>
      </c>
      <c r="N4303" s="5" t="str">
        <f ca="1">VLOOKUP(Data!M4303,temp!$B$3:$C$9,2,1)</f>
        <v>30-40</v>
      </c>
      <c r="O4303">
        <v>-2418</v>
      </c>
      <c r="P4303" s="8">
        <f t="shared" si="275"/>
        <v>6.6201232032854209</v>
      </c>
      <c r="Q4303" s="5" t="str">
        <f t="shared" si="277"/>
        <v>Employed</v>
      </c>
      <c r="R4303">
        <v>1</v>
      </c>
      <c r="S4303">
        <v>0</v>
      </c>
      <c r="T4303">
        <v>0</v>
      </c>
      <c r="U4303">
        <v>1</v>
      </c>
      <c r="V4303" t="s">
        <v>29</v>
      </c>
      <c r="W4303">
        <v>3</v>
      </c>
    </row>
    <row r="4304" spans="1:23" x14ac:dyDescent="0.2">
      <c r="A4304">
        <v>5143357</v>
      </c>
      <c r="B4304" t="s">
        <v>18</v>
      </c>
      <c r="C4304" t="s">
        <v>19</v>
      </c>
      <c r="D4304" t="s">
        <v>20</v>
      </c>
      <c r="E4304">
        <v>0</v>
      </c>
      <c r="F4304">
        <v>126000</v>
      </c>
      <c r="G4304" t="s">
        <v>31</v>
      </c>
      <c r="H4304" t="s">
        <v>27</v>
      </c>
      <c r="I4304" t="s">
        <v>28</v>
      </c>
      <c r="J4304" t="s">
        <v>24</v>
      </c>
      <c r="K4304" s="6">
        <f t="shared" ca="1" si="276"/>
        <v>22950</v>
      </c>
      <c r="L4304">
        <v>-22811</v>
      </c>
      <c r="M4304" s="7">
        <f t="shared" ca="1" si="274"/>
        <v>62.453114305270361</v>
      </c>
      <c r="N4304" s="5" t="str">
        <f ca="1">VLOOKUP(Data!M4304,temp!$B$3:$C$9,2,1)</f>
        <v>60-70</v>
      </c>
      <c r="O4304">
        <v>-2234</v>
      </c>
      <c r="P4304" s="8">
        <f t="shared" si="275"/>
        <v>6.1163586584531142</v>
      </c>
      <c r="Q4304" s="5" t="str">
        <f t="shared" si="277"/>
        <v>Employed</v>
      </c>
      <c r="R4304">
        <v>1</v>
      </c>
      <c r="S4304">
        <v>1</v>
      </c>
      <c r="T4304">
        <v>1</v>
      </c>
      <c r="U4304">
        <v>0</v>
      </c>
      <c r="V4304" t="s">
        <v>47</v>
      </c>
      <c r="W4304">
        <v>2</v>
      </c>
    </row>
    <row r="4305" spans="1:23" x14ac:dyDescent="0.2">
      <c r="A4305">
        <v>5143358</v>
      </c>
      <c r="B4305" t="s">
        <v>18</v>
      </c>
      <c r="C4305" t="s">
        <v>19</v>
      </c>
      <c r="D4305" t="s">
        <v>20</v>
      </c>
      <c r="E4305">
        <v>0</v>
      </c>
      <c r="F4305">
        <v>126000</v>
      </c>
      <c r="G4305" t="s">
        <v>31</v>
      </c>
      <c r="H4305" t="s">
        <v>27</v>
      </c>
      <c r="I4305" t="s">
        <v>28</v>
      </c>
      <c r="J4305" t="s">
        <v>24</v>
      </c>
      <c r="K4305" s="6">
        <f t="shared" ca="1" si="276"/>
        <v>22950</v>
      </c>
      <c r="L4305">
        <v>-22811</v>
      </c>
      <c r="M4305" s="7">
        <f t="shared" ca="1" si="274"/>
        <v>62.453114305270361</v>
      </c>
      <c r="N4305" s="5" t="str">
        <f ca="1">VLOOKUP(Data!M4305,temp!$B$3:$C$9,2,1)</f>
        <v>60-70</v>
      </c>
      <c r="O4305">
        <v>-2234</v>
      </c>
      <c r="P4305" s="8">
        <f t="shared" si="275"/>
        <v>6.1163586584531142</v>
      </c>
      <c r="Q4305" s="5" t="str">
        <f t="shared" si="277"/>
        <v>Employed</v>
      </c>
      <c r="R4305">
        <v>1</v>
      </c>
      <c r="S4305">
        <v>1</v>
      </c>
      <c r="T4305">
        <v>1</v>
      </c>
      <c r="U4305">
        <v>0</v>
      </c>
      <c r="V4305" t="s">
        <v>47</v>
      </c>
      <c r="W4305">
        <v>2</v>
      </c>
    </row>
    <row r="4306" spans="1:23" x14ac:dyDescent="0.2">
      <c r="A4306">
        <v>5143359</v>
      </c>
      <c r="B4306" t="s">
        <v>18</v>
      </c>
      <c r="C4306" t="s">
        <v>19</v>
      </c>
      <c r="D4306" t="s">
        <v>20</v>
      </c>
      <c r="E4306">
        <v>0</v>
      </c>
      <c r="F4306">
        <v>126000</v>
      </c>
      <c r="G4306" t="s">
        <v>31</v>
      </c>
      <c r="H4306" t="s">
        <v>27</v>
      </c>
      <c r="I4306" t="s">
        <v>28</v>
      </c>
      <c r="J4306" t="s">
        <v>24</v>
      </c>
      <c r="K4306" s="6">
        <f t="shared" ca="1" si="276"/>
        <v>22950</v>
      </c>
      <c r="L4306">
        <v>-22811</v>
      </c>
      <c r="M4306" s="7">
        <f t="shared" ca="1" si="274"/>
        <v>62.453114305270361</v>
      </c>
      <c r="N4306" s="5" t="str">
        <f ca="1">VLOOKUP(Data!M4306,temp!$B$3:$C$9,2,1)</f>
        <v>60-70</v>
      </c>
      <c r="O4306">
        <v>-2234</v>
      </c>
      <c r="P4306" s="8">
        <f t="shared" si="275"/>
        <v>6.1163586584531142</v>
      </c>
      <c r="Q4306" s="5" t="str">
        <f t="shared" si="277"/>
        <v>Employed</v>
      </c>
      <c r="R4306">
        <v>1</v>
      </c>
      <c r="S4306">
        <v>1</v>
      </c>
      <c r="T4306">
        <v>1</v>
      </c>
      <c r="U4306">
        <v>0</v>
      </c>
      <c r="V4306" t="s">
        <v>47</v>
      </c>
      <c r="W4306">
        <v>2</v>
      </c>
    </row>
    <row r="4307" spans="1:23" x14ac:dyDescent="0.2">
      <c r="A4307">
        <v>5143370</v>
      </c>
      <c r="B4307" t="s">
        <v>18</v>
      </c>
      <c r="C4307" t="s">
        <v>19</v>
      </c>
      <c r="D4307" t="s">
        <v>19</v>
      </c>
      <c r="E4307">
        <v>0</v>
      </c>
      <c r="F4307">
        <v>112500</v>
      </c>
      <c r="G4307" t="s">
        <v>21</v>
      </c>
      <c r="H4307" t="s">
        <v>27</v>
      </c>
      <c r="I4307" t="s">
        <v>28</v>
      </c>
      <c r="J4307" t="s">
        <v>24</v>
      </c>
      <c r="K4307" s="6">
        <f t="shared" ca="1" si="276"/>
        <v>21760</v>
      </c>
      <c r="L4307">
        <v>-24001</v>
      </c>
      <c r="M4307" s="7">
        <f t="shared" ca="1" si="274"/>
        <v>65.711156741957566</v>
      </c>
      <c r="N4307" s="5" t="str">
        <f ca="1">VLOOKUP(Data!M4307,temp!$B$3:$C$9,2,1)</f>
        <v>60-70</v>
      </c>
      <c r="O4307">
        <v>365243</v>
      </c>
      <c r="P4307" s="8">
        <f t="shared" si="275"/>
        <v>0</v>
      </c>
      <c r="Q4307" s="5" t="str">
        <f t="shared" si="277"/>
        <v>Unemployed</v>
      </c>
      <c r="R4307">
        <v>1</v>
      </c>
      <c r="S4307">
        <v>0</v>
      </c>
      <c r="T4307">
        <v>0</v>
      </c>
      <c r="U4307">
        <v>0</v>
      </c>
      <c r="W4307">
        <v>2</v>
      </c>
    </row>
    <row r="4308" spans="1:23" x14ac:dyDescent="0.2">
      <c r="A4308">
        <v>5143381</v>
      </c>
      <c r="B4308" t="s">
        <v>25</v>
      </c>
      <c r="C4308" t="s">
        <v>20</v>
      </c>
      <c r="D4308" t="s">
        <v>20</v>
      </c>
      <c r="E4308">
        <v>0</v>
      </c>
      <c r="F4308">
        <v>103500</v>
      </c>
      <c r="G4308" t="s">
        <v>31</v>
      </c>
      <c r="H4308" t="s">
        <v>27</v>
      </c>
      <c r="I4308" t="s">
        <v>28</v>
      </c>
      <c r="J4308" t="s">
        <v>24</v>
      </c>
      <c r="K4308" s="6">
        <f t="shared" ca="1" si="276"/>
        <v>27218</v>
      </c>
      <c r="L4308">
        <v>-18543</v>
      </c>
      <c r="M4308" s="7">
        <f t="shared" ca="1" si="274"/>
        <v>50.767967145790557</v>
      </c>
      <c r="N4308" s="5" t="str">
        <f ca="1">VLOOKUP(Data!M4308,temp!$B$3:$C$9,2,1)</f>
        <v>50-60</v>
      </c>
      <c r="O4308">
        <v>-1353</v>
      </c>
      <c r="P4308" s="8">
        <f t="shared" si="275"/>
        <v>3.7043121149897331</v>
      </c>
      <c r="Q4308" s="5" t="str">
        <f t="shared" si="277"/>
        <v>Employed</v>
      </c>
      <c r="R4308">
        <v>1</v>
      </c>
      <c r="S4308">
        <v>0</v>
      </c>
      <c r="T4308">
        <v>0</v>
      </c>
      <c r="U4308">
        <v>0</v>
      </c>
      <c r="W4308">
        <v>2</v>
      </c>
    </row>
    <row r="4309" spans="1:23" x14ac:dyDescent="0.2">
      <c r="A4309">
        <v>5143385</v>
      </c>
      <c r="B4309" t="s">
        <v>25</v>
      </c>
      <c r="C4309" t="s">
        <v>20</v>
      </c>
      <c r="D4309" t="s">
        <v>20</v>
      </c>
      <c r="E4309">
        <v>0</v>
      </c>
      <c r="F4309">
        <v>103500</v>
      </c>
      <c r="G4309" t="s">
        <v>31</v>
      </c>
      <c r="H4309" t="s">
        <v>27</v>
      </c>
      <c r="I4309" t="s">
        <v>28</v>
      </c>
      <c r="J4309" t="s">
        <v>24</v>
      </c>
      <c r="K4309" s="6">
        <f t="shared" ca="1" si="276"/>
        <v>27218</v>
      </c>
      <c r="L4309">
        <v>-18543</v>
      </c>
      <c r="M4309" s="7">
        <f t="shared" ca="1" si="274"/>
        <v>50.767967145790557</v>
      </c>
      <c r="N4309" s="5" t="str">
        <f ca="1">VLOOKUP(Data!M4309,temp!$B$3:$C$9,2,1)</f>
        <v>50-60</v>
      </c>
      <c r="O4309">
        <v>-1353</v>
      </c>
      <c r="P4309" s="8">
        <f t="shared" si="275"/>
        <v>3.7043121149897331</v>
      </c>
      <c r="Q4309" s="5" t="str">
        <f t="shared" si="277"/>
        <v>Employed</v>
      </c>
      <c r="R4309">
        <v>1</v>
      </c>
      <c r="S4309">
        <v>0</v>
      </c>
      <c r="T4309">
        <v>0</v>
      </c>
      <c r="U4309">
        <v>0</v>
      </c>
      <c r="W4309">
        <v>2</v>
      </c>
    </row>
    <row r="4310" spans="1:23" x14ac:dyDescent="0.2">
      <c r="A4310">
        <v>5143386</v>
      </c>
      <c r="B4310" t="s">
        <v>25</v>
      </c>
      <c r="C4310" t="s">
        <v>20</v>
      </c>
      <c r="D4310" t="s">
        <v>20</v>
      </c>
      <c r="E4310">
        <v>0</v>
      </c>
      <c r="F4310">
        <v>103500</v>
      </c>
      <c r="G4310" t="s">
        <v>31</v>
      </c>
      <c r="H4310" t="s">
        <v>27</v>
      </c>
      <c r="I4310" t="s">
        <v>28</v>
      </c>
      <c r="J4310" t="s">
        <v>24</v>
      </c>
      <c r="K4310" s="6">
        <f t="shared" ca="1" si="276"/>
        <v>27218</v>
      </c>
      <c r="L4310">
        <v>-18543</v>
      </c>
      <c r="M4310" s="7">
        <f t="shared" ca="1" si="274"/>
        <v>50.767967145790557</v>
      </c>
      <c r="N4310" s="5" t="str">
        <f ca="1">VLOOKUP(Data!M4310,temp!$B$3:$C$9,2,1)</f>
        <v>50-60</v>
      </c>
      <c r="O4310">
        <v>-1353</v>
      </c>
      <c r="P4310" s="8">
        <f t="shared" si="275"/>
        <v>3.7043121149897331</v>
      </c>
      <c r="Q4310" s="5" t="str">
        <f t="shared" si="277"/>
        <v>Employed</v>
      </c>
      <c r="R4310">
        <v>1</v>
      </c>
      <c r="S4310">
        <v>0</v>
      </c>
      <c r="T4310">
        <v>0</v>
      </c>
      <c r="U4310">
        <v>0</v>
      </c>
      <c r="W4310">
        <v>2</v>
      </c>
    </row>
    <row r="4311" spans="1:23" x14ac:dyDescent="0.2">
      <c r="A4311">
        <v>5143396</v>
      </c>
      <c r="B4311" t="s">
        <v>18</v>
      </c>
      <c r="C4311" t="s">
        <v>19</v>
      </c>
      <c r="D4311" t="s">
        <v>20</v>
      </c>
      <c r="E4311">
        <v>0</v>
      </c>
      <c r="F4311">
        <v>153000</v>
      </c>
      <c r="G4311" t="s">
        <v>31</v>
      </c>
      <c r="H4311" t="s">
        <v>22</v>
      </c>
      <c r="I4311" t="s">
        <v>33</v>
      </c>
      <c r="J4311" t="s">
        <v>24</v>
      </c>
      <c r="K4311" s="6">
        <f t="shared" ca="1" si="276"/>
        <v>34999</v>
      </c>
      <c r="L4311">
        <v>-10762</v>
      </c>
      <c r="M4311" s="7">
        <f t="shared" ca="1" si="274"/>
        <v>29.464750171115675</v>
      </c>
      <c r="N4311" s="5" t="str">
        <f ca="1">VLOOKUP(Data!M4311,temp!$B$3:$C$9,2,1)</f>
        <v>20-30</v>
      </c>
      <c r="O4311">
        <v>-683</v>
      </c>
      <c r="P4311" s="8">
        <f t="shared" si="275"/>
        <v>1.8699520876112252</v>
      </c>
      <c r="Q4311" s="5" t="str">
        <f t="shared" si="277"/>
        <v>Employed</v>
      </c>
      <c r="R4311">
        <v>1</v>
      </c>
      <c r="S4311">
        <v>0</v>
      </c>
      <c r="T4311">
        <v>1</v>
      </c>
      <c r="U4311">
        <v>0</v>
      </c>
      <c r="V4311" t="s">
        <v>38</v>
      </c>
      <c r="W4311">
        <v>1</v>
      </c>
    </row>
    <row r="4312" spans="1:23" x14ac:dyDescent="0.2">
      <c r="A4312">
        <v>5143405</v>
      </c>
      <c r="B4312" t="s">
        <v>25</v>
      </c>
      <c r="C4312" t="s">
        <v>20</v>
      </c>
      <c r="D4312" t="s">
        <v>20</v>
      </c>
      <c r="E4312">
        <v>0</v>
      </c>
      <c r="F4312">
        <v>144000</v>
      </c>
      <c r="G4312" t="s">
        <v>26</v>
      </c>
      <c r="H4312" t="s">
        <v>22</v>
      </c>
      <c r="I4312" t="s">
        <v>28</v>
      </c>
      <c r="J4312" t="s">
        <v>24</v>
      </c>
      <c r="K4312" s="6">
        <f t="shared" ca="1" si="276"/>
        <v>26491</v>
      </c>
      <c r="L4312">
        <v>-19270</v>
      </c>
      <c r="M4312" s="7">
        <f t="shared" ca="1" si="274"/>
        <v>52.758384668035589</v>
      </c>
      <c r="N4312" s="5" t="str">
        <f ca="1">VLOOKUP(Data!M4312,temp!$B$3:$C$9,2,1)</f>
        <v>50-60</v>
      </c>
      <c r="O4312">
        <v>-2356</v>
      </c>
      <c r="P4312" s="8">
        <f t="shared" si="275"/>
        <v>6.4503764544832309</v>
      </c>
      <c r="Q4312" s="5" t="str">
        <f t="shared" si="277"/>
        <v>Employed</v>
      </c>
      <c r="R4312">
        <v>1</v>
      </c>
      <c r="S4312">
        <v>0</v>
      </c>
      <c r="T4312">
        <v>1</v>
      </c>
      <c r="U4312">
        <v>0</v>
      </c>
      <c r="V4312" t="s">
        <v>32</v>
      </c>
      <c r="W4312">
        <v>2</v>
      </c>
    </row>
    <row r="4313" spans="1:23" x14ac:dyDescent="0.2">
      <c r="A4313">
        <v>5143417</v>
      </c>
      <c r="B4313" t="s">
        <v>18</v>
      </c>
      <c r="C4313" t="s">
        <v>19</v>
      </c>
      <c r="D4313" t="s">
        <v>20</v>
      </c>
      <c r="E4313">
        <v>2</v>
      </c>
      <c r="F4313">
        <v>135000</v>
      </c>
      <c r="G4313" t="s">
        <v>31</v>
      </c>
      <c r="H4313" t="s">
        <v>36</v>
      </c>
      <c r="I4313" t="s">
        <v>28</v>
      </c>
      <c r="J4313" t="s">
        <v>24</v>
      </c>
      <c r="K4313" s="6">
        <f t="shared" ca="1" si="276"/>
        <v>35163</v>
      </c>
      <c r="L4313">
        <v>-10598</v>
      </c>
      <c r="M4313" s="7">
        <f t="shared" ca="1" si="274"/>
        <v>29.015742642026009</v>
      </c>
      <c r="N4313" s="5" t="str">
        <f ca="1">VLOOKUP(Data!M4313,temp!$B$3:$C$9,2,1)</f>
        <v>20-30</v>
      </c>
      <c r="O4313">
        <v>-2175</v>
      </c>
      <c r="P4313" s="8">
        <f t="shared" si="275"/>
        <v>5.9548254620123204</v>
      </c>
      <c r="Q4313" s="5" t="str">
        <f t="shared" si="277"/>
        <v>Employed</v>
      </c>
      <c r="R4313">
        <v>1</v>
      </c>
      <c r="S4313">
        <v>0</v>
      </c>
      <c r="T4313">
        <v>0</v>
      </c>
      <c r="U4313">
        <v>1</v>
      </c>
      <c r="V4313" t="s">
        <v>39</v>
      </c>
      <c r="W4313">
        <v>4</v>
      </c>
    </row>
    <row r="4314" spans="1:23" x14ac:dyDescent="0.2">
      <c r="A4314">
        <v>5143425</v>
      </c>
      <c r="B4314" t="s">
        <v>25</v>
      </c>
      <c r="C4314" t="s">
        <v>20</v>
      </c>
      <c r="D4314" t="s">
        <v>19</v>
      </c>
      <c r="E4314">
        <v>1</v>
      </c>
      <c r="F4314">
        <v>315000</v>
      </c>
      <c r="G4314" t="s">
        <v>35</v>
      </c>
      <c r="H4314" t="s">
        <v>22</v>
      </c>
      <c r="I4314" t="s">
        <v>28</v>
      </c>
      <c r="J4314" t="s">
        <v>45</v>
      </c>
      <c r="K4314" s="6">
        <f t="shared" ca="1" si="276"/>
        <v>36666</v>
      </c>
      <c r="L4314">
        <v>-9095</v>
      </c>
      <c r="M4314" s="7">
        <f t="shared" ca="1" si="274"/>
        <v>24.90075290896646</v>
      </c>
      <c r="N4314" s="5" t="str">
        <f ca="1">VLOOKUP(Data!M4314,temp!$B$3:$C$9,2,1)</f>
        <v>20-30</v>
      </c>
      <c r="O4314">
        <v>-926</v>
      </c>
      <c r="P4314" s="8">
        <f t="shared" si="275"/>
        <v>2.5352498288843259</v>
      </c>
      <c r="Q4314" s="5" t="str">
        <f t="shared" si="277"/>
        <v>Employed</v>
      </c>
      <c r="R4314">
        <v>1</v>
      </c>
      <c r="S4314">
        <v>0</v>
      </c>
      <c r="T4314">
        <v>0</v>
      </c>
      <c r="U4314">
        <v>0</v>
      </c>
      <c r="V4314" t="s">
        <v>38</v>
      </c>
      <c r="W4314">
        <v>3</v>
      </c>
    </row>
    <row r="4315" spans="1:23" x14ac:dyDescent="0.2">
      <c r="A4315">
        <v>5143428</v>
      </c>
      <c r="B4315" t="s">
        <v>18</v>
      </c>
      <c r="C4315" t="s">
        <v>19</v>
      </c>
      <c r="D4315" t="s">
        <v>20</v>
      </c>
      <c r="E4315">
        <v>0</v>
      </c>
      <c r="F4315">
        <v>180000</v>
      </c>
      <c r="G4315" t="s">
        <v>21</v>
      </c>
      <c r="H4315" t="s">
        <v>27</v>
      </c>
      <c r="I4315" t="s">
        <v>33</v>
      </c>
      <c r="J4315" t="s">
        <v>24</v>
      </c>
      <c r="K4315" s="6">
        <f t="shared" ca="1" si="276"/>
        <v>22330</v>
      </c>
      <c r="L4315">
        <v>-23431</v>
      </c>
      <c r="M4315" s="7">
        <f t="shared" ca="1" si="274"/>
        <v>64.150581793292261</v>
      </c>
      <c r="N4315" s="5" t="str">
        <f ca="1">VLOOKUP(Data!M4315,temp!$B$3:$C$9,2,1)</f>
        <v>60-70</v>
      </c>
      <c r="O4315">
        <v>365243</v>
      </c>
      <c r="P4315" s="8">
        <f t="shared" si="275"/>
        <v>0</v>
      </c>
      <c r="Q4315" s="5" t="str">
        <f t="shared" si="277"/>
        <v>Unemployed</v>
      </c>
      <c r="R4315">
        <v>1</v>
      </c>
      <c r="S4315">
        <v>0</v>
      </c>
      <c r="T4315">
        <v>0</v>
      </c>
      <c r="U4315">
        <v>0</v>
      </c>
      <c r="W4315">
        <v>1</v>
      </c>
    </row>
    <row r="4316" spans="1:23" x14ac:dyDescent="0.2">
      <c r="A4316">
        <v>5143441</v>
      </c>
      <c r="B4316" t="s">
        <v>18</v>
      </c>
      <c r="C4316" t="s">
        <v>19</v>
      </c>
      <c r="D4316" t="s">
        <v>20</v>
      </c>
      <c r="E4316">
        <v>0</v>
      </c>
      <c r="F4316">
        <v>117000</v>
      </c>
      <c r="G4316" t="s">
        <v>21</v>
      </c>
      <c r="H4316" t="s">
        <v>22</v>
      </c>
      <c r="I4316" t="s">
        <v>33</v>
      </c>
      <c r="J4316" t="s">
        <v>24</v>
      </c>
      <c r="K4316" s="6">
        <f t="shared" ca="1" si="276"/>
        <v>23034</v>
      </c>
      <c r="L4316">
        <v>-22727</v>
      </c>
      <c r="M4316" s="7">
        <f t="shared" ca="1" si="274"/>
        <v>62.223134839151264</v>
      </c>
      <c r="N4316" s="5" t="str">
        <f ca="1">VLOOKUP(Data!M4316,temp!$B$3:$C$9,2,1)</f>
        <v>60-70</v>
      </c>
      <c r="O4316">
        <v>365243</v>
      </c>
      <c r="P4316" s="8">
        <f t="shared" si="275"/>
        <v>0</v>
      </c>
      <c r="Q4316" s="5" t="str">
        <f t="shared" si="277"/>
        <v>Unemployed</v>
      </c>
      <c r="R4316">
        <v>1</v>
      </c>
      <c r="S4316">
        <v>0</v>
      </c>
      <c r="T4316">
        <v>0</v>
      </c>
      <c r="U4316">
        <v>0</v>
      </c>
      <c r="W4316">
        <v>1</v>
      </c>
    </row>
    <row r="4317" spans="1:23" x14ac:dyDescent="0.2">
      <c r="A4317">
        <v>5143487</v>
      </c>
      <c r="B4317" t="s">
        <v>25</v>
      </c>
      <c r="C4317" t="s">
        <v>19</v>
      </c>
      <c r="D4317" t="s">
        <v>20</v>
      </c>
      <c r="E4317">
        <v>1</v>
      </c>
      <c r="F4317">
        <v>157500</v>
      </c>
      <c r="G4317" t="s">
        <v>26</v>
      </c>
      <c r="H4317" t="s">
        <v>27</v>
      </c>
      <c r="I4317" t="s">
        <v>28</v>
      </c>
      <c r="J4317" t="s">
        <v>24</v>
      </c>
      <c r="K4317" s="6">
        <f t="shared" ca="1" si="276"/>
        <v>33826</v>
      </c>
      <c r="L4317">
        <v>-11935</v>
      </c>
      <c r="M4317" s="7">
        <f t="shared" ca="1" si="274"/>
        <v>32.676249144421632</v>
      </c>
      <c r="N4317" s="5" t="str">
        <f ca="1">VLOOKUP(Data!M4317,temp!$B$3:$C$9,2,1)</f>
        <v>30-40</v>
      </c>
      <c r="O4317">
        <v>-1200</v>
      </c>
      <c r="P4317" s="8">
        <f t="shared" si="275"/>
        <v>3.2854209445585214</v>
      </c>
      <c r="Q4317" s="5" t="str">
        <f t="shared" si="277"/>
        <v>Employed</v>
      </c>
      <c r="R4317">
        <v>1</v>
      </c>
      <c r="S4317">
        <v>0</v>
      </c>
      <c r="T4317">
        <v>0</v>
      </c>
      <c r="U4317">
        <v>0</v>
      </c>
      <c r="V4317" t="s">
        <v>30</v>
      </c>
      <c r="W4317">
        <v>3</v>
      </c>
    </row>
    <row r="4318" spans="1:23" x14ac:dyDescent="0.2">
      <c r="A4318">
        <v>5143503</v>
      </c>
      <c r="B4318" t="s">
        <v>18</v>
      </c>
      <c r="C4318" t="s">
        <v>19</v>
      </c>
      <c r="D4318" t="s">
        <v>20</v>
      </c>
      <c r="E4318">
        <v>1</v>
      </c>
      <c r="F4318">
        <v>121500</v>
      </c>
      <c r="G4318" t="s">
        <v>31</v>
      </c>
      <c r="H4318" t="s">
        <v>22</v>
      </c>
      <c r="I4318" t="s">
        <v>28</v>
      </c>
      <c r="J4318" t="s">
        <v>24</v>
      </c>
      <c r="K4318" s="6">
        <f t="shared" ca="1" si="276"/>
        <v>33780</v>
      </c>
      <c r="L4318">
        <v>-11981</v>
      </c>
      <c r="M4318" s="7">
        <f t="shared" ca="1" si="274"/>
        <v>32.802190280629709</v>
      </c>
      <c r="N4318" s="5" t="str">
        <f ca="1">VLOOKUP(Data!M4318,temp!$B$3:$C$9,2,1)</f>
        <v>30-40</v>
      </c>
      <c r="O4318">
        <v>-2965</v>
      </c>
      <c r="P4318" s="8">
        <f t="shared" si="275"/>
        <v>8.1177275838466798</v>
      </c>
      <c r="Q4318" s="5" t="str">
        <f t="shared" si="277"/>
        <v>Employed</v>
      </c>
      <c r="R4318">
        <v>1</v>
      </c>
      <c r="S4318">
        <v>1</v>
      </c>
      <c r="T4318">
        <v>0</v>
      </c>
      <c r="U4318">
        <v>0</v>
      </c>
      <c r="V4318" t="s">
        <v>44</v>
      </c>
      <c r="W4318">
        <v>3</v>
      </c>
    </row>
    <row r="4319" spans="1:23" x14ac:dyDescent="0.2">
      <c r="A4319">
        <v>5143504</v>
      </c>
      <c r="B4319" t="s">
        <v>18</v>
      </c>
      <c r="C4319" t="s">
        <v>19</v>
      </c>
      <c r="D4319" t="s">
        <v>20</v>
      </c>
      <c r="E4319">
        <v>1</v>
      </c>
      <c r="F4319">
        <v>121500</v>
      </c>
      <c r="G4319" t="s">
        <v>31</v>
      </c>
      <c r="H4319" t="s">
        <v>22</v>
      </c>
      <c r="I4319" t="s">
        <v>28</v>
      </c>
      <c r="J4319" t="s">
        <v>24</v>
      </c>
      <c r="K4319" s="6">
        <f t="shared" ca="1" si="276"/>
        <v>33780</v>
      </c>
      <c r="L4319">
        <v>-11981</v>
      </c>
      <c r="M4319" s="7">
        <f t="shared" ca="1" si="274"/>
        <v>32.802190280629709</v>
      </c>
      <c r="N4319" s="5" t="str">
        <f ca="1">VLOOKUP(Data!M4319,temp!$B$3:$C$9,2,1)</f>
        <v>30-40</v>
      </c>
      <c r="O4319">
        <v>-2965</v>
      </c>
      <c r="P4319" s="8">
        <f t="shared" si="275"/>
        <v>8.1177275838466798</v>
      </c>
      <c r="Q4319" s="5" t="str">
        <f t="shared" si="277"/>
        <v>Employed</v>
      </c>
      <c r="R4319">
        <v>1</v>
      </c>
      <c r="S4319">
        <v>1</v>
      </c>
      <c r="T4319">
        <v>0</v>
      </c>
      <c r="U4319">
        <v>0</v>
      </c>
      <c r="V4319" t="s">
        <v>44</v>
      </c>
      <c r="W4319">
        <v>3</v>
      </c>
    </row>
    <row r="4320" spans="1:23" x14ac:dyDescent="0.2">
      <c r="A4320">
        <v>5143516</v>
      </c>
      <c r="B4320" t="s">
        <v>18</v>
      </c>
      <c r="C4320" t="s">
        <v>19</v>
      </c>
      <c r="D4320" t="s">
        <v>20</v>
      </c>
      <c r="E4320">
        <v>0</v>
      </c>
      <c r="F4320">
        <v>247500</v>
      </c>
      <c r="G4320" t="s">
        <v>21</v>
      </c>
      <c r="H4320" t="s">
        <v>27</v>
      </c>
      <c r="I4320" t="s">
        <v>33</v>
      </c>
      <c r="J4320" t="s">
        <v>24</v>
      </c>
      <c r="K4320" s="6">
        <f t="shared" ca="1" si="276"/>
        <v>22481</v>
      </c>
      <c r="L4320">
        <v>-23280</v>
      </c>
      <c r="M4320" s="7">
        <f t="shared" ca="1" si="274"/>
        <v>63.737166324435321</v>
      </c>
      <c r="N4320" s="5" t="str">
        <f ca="1">VLOOKUP(Data!M4320,temp!$B$3:$C$9,2,1)</f>
        <v>60-70</v>
      </c>
      <c r="O4320">
        <v>365243</v>
      </c>
      <c r="P4320" s="8">
        <f t="shared" si="275"/>
        <v>0</v>
      </c>
      <c r="Q4320" s="5" t="str">
        <f t="shared" si="277"/>
        <v>Unemployed</v>
      </c>
      <c r="R4320">
        <v>1</v>
      </c>
      <c r="S4320">
        <v>0</v>
      </c>
      <c r="T4320">
        <v>0</v>
      </c>
      <c r="U4320">
        <v>0</v>
      </c>
      <c r="W4320">
        <v>1</v>
      </c>
    </row>
    <row r="4321" spans="1:23" x14ac:dyDescent="0.2">
      <c r="A4321">
        <v>5143533</v>
      </c>
      <c r="B4321" t="s">
        <v>18</v>
      </c>
      <c r="C4321" t="s">
        <v>19</v>
      </c>
      <c r="D4321" t="s">
        <v>20</v>
      </c>
      <c r="E4321">
        <v>0</v>
      </c>
      <c r="F4321">
        <v>270000</v>
      </c>
      <c r="G4321" t="s">
        <v>31</v>
      </c>
      <c r="H4321" t="s">
        <v>22</v>
      </c>
      <c r="I4321" t="s">
        <v>33</v>
      </c>
      <c r="J4321" t="s">
        <v>24</v>
      </c>
      <c r="K4321" s="6">
        <f t="shared" ca="1" si="276"/>
        <v>29093</v>
      </c>
      <c r="L4321">
        <v>-16668</v>
      </c>
      <c r="M4321" s="7">
        <f t="shared" ca="1" si="274"/>
        <v>45.634496919917865</v>
      </c>
      <c r="N4321" s="5" t="str">
        <f ca="1">VLOOKUP(Data!M4321,temp!$B$3:$C$9,2,1)</f>
        <v>40-50</v>
      </c>
      <c r="O4321">
        <v>-377</v>
      </c>
      <c r="P4321" s="8">
        <f t="shared" si="275"/>
        <v>1.0321697467488022</v>
      </c>
      <c r="Q4321" s="5" t="str">
        <f t="shared" si="277"/>
        <v>Employed</v>
      </c>
      <c r="R4321">
        <v>1</v>
      </c>
      <c r="S4321">
        <v>0</v>
      </c>
      <c r="T4321">
        <v>0</v>
      </c>
      <c r="U4321">
        <v>0</v>
      </c>
      <c r="V4321" t="s">
        <v>39</v>
      </c>
      <c r="W4321">
        <v>1</v>
      </c>
    </row>
    <row r="4322" spans="1:23" x14ac:dyDescent="0.2">
      <c r="A4322">
        <v>5143534</v>
      </c>
      <c r="B4322" t="s">
        <v>18</v>
      </c>
      <c r="C4322" t="s">
        <v>19</v>
      </c>
      <c r="D4322" t="s">
        <v>20</v>
      </c>
      <c r="E4322">
        <v>0</v>
      </c>
      <c r="F4322">
        <v>270000</v>
      </c>
      <c r="G4322" t="s">
        <v>31</v>
      </c>
      <c r="H4322" t="s">
        <v>22</v>
      </c>
      <c r="I4322" t="s">
        <v>33</v>
      </c>
      <c r="J4322" t="s">
        <v>24</v>
      </c>
      <c r="K4322" s="6">
        <f t="shared" ca="1" si="276"/>
        <v>29093</v>
      </c>
      <c r="L4322">
        <v>-16668</v>
      </c>
      <c r="M4322" s="7">
        <f t="shared" ca="1" si="274"/>
        <v>45.634496919917865</v>
      </c>
      <c r="N4322" s="5" t="str">
        <f ca="1">VLOOKUP(Data!M4322,temp!$B$3:$C$9,2,1)</f>
        <v>40-50</v>
      </c>
      <c r="O4322">
        <v>-377</v>
      </c>
      <c r="P4322" s="8">
        <f t="shared" si="275"/>
        <v>1.0321697467488022</v>
      </c>
      <c r="Q4322" s="5" t="str">
        <f t="shared" si="277"/>
        <v>Employed</v>
      </c>
      <c r="R4322">
        <v>1</v>
      </c>
      <c r="S4322">
        <v>0</v>
      </c>
      <c r="T4322">
        <v>0</v>
      </c>
      <c r="U4322">
        <v>0</v>
      </c>
      <c r="V4322" t="s">
        <v>39</v>
      </c>
      <c r="W4322">
        <v>1</v>
      </c>
    </row>
    <row r="4323" spans="1:23" x14ac:dyDescent="0.2">
      <c r="A4323">
        <v>5143546</v>
      </c>
      <c r="B4323" t="s">
        <v>18</v>
      </c>
      <c r="C4323" t="s">
        <v>19</v>
      </c>
      <c r="D4323" t="s">
        <v>20</v>
      </c>
      <c r="E4323">
        <v>0</v>
      </c>
      <c r="F4323">
        <v>112500</v>
      </c>
      <c r="G4323" t="s">
        <v>31</v>
      </c>
      <c r="H4323" t="s">
        <v>27</v>
      </c>
      <c r="I4323" t="s">
        <v>28</v>
      </c>
      <c r="J4323" t="s">
        <v>24</v>
      </c>
      <c r="K4323" s="6">
        <f t="shared" ca="1" si="276"/>
        <v>27326</v>
      </c>
      <c r="L4323">
        <v>-18435</v>
      </c>
      <c r="M4323" s="7">
        <f t="shared" ca="1" si="274"/>
        <v>50.47227926078029</v>
      </c>
      <c r="N4323" s="5" t="str">
        <f ca="1">VLOOKUP(Data!M4323,temp!$B$3:$C$9,2,1)</f>
        <v>50-60</v>
      </c>
      <c r="O4323">
        <v>-2175</v>
      </c>
      <c r="P4323" s="8">
        <f t="shared" si="275"/>
        <v>5.9548254620123204</v>
      </c>
      <c r="Q4323" s="5" t="str">
        <f t="shared" si="277"/>
        <v>Employed</v>
      </c>
      <c r="R4323">
        <v>1</v>
      </c>
      <c r="S4323">
        <v>0</v>
      </c>
      <c r="T4323">
        <v>1</v>
      </c>
      <c r="U4323">
        <v>0</v>
      </c>
      <c r="V4323" t="s">
        <v>39</v>
      </c>
      <c r="W4323">
        <v>2</v>
      </c>
    </row>
    <row r="4324" spans="1:23" x14ac:dyDescent="0.2">
      <c r="A4324">
        <v>5143552</v>
      </c>
      <c r="B4324" t="s">
        <v>18</v>
      </c>
      <c r="C4324" t="s">
        <v>19</v>
      </c>
      <c r="D4324" t="s">
        <v>20</v>
      </c>
      <c r="E4324">
        <v>0</v>
      </c>
      <c r="F4324">
        <v>112500</v>
      </c>
      <c r="G4324" t="s">
        <v>31</v>
      </c>
      <c r="H4324" t="s">
        <v>27</v>
      </c>
      <c r="I4324" t="s">
        <v>28</v>
      </c>
      <c r="J4324" t="s">
        <v>24</v>
      </c>
      <c r="K4324" s="6">
        <f t="shared" ca="1" si="276"/>
        <v>27326</v>
      </c>
      <c r="L4324">
        <v>-18435</v>
      </c>
      <c r="M4324" s="7">
        <f t="shared" ca="1" si="274"/>
        <v>50.47227926078029</v>
      </c>
      <c r="N4324" s="5" t="str">
        <f ca="1">VLOOKUP(Data!M4324,temp!$B$3:$C$9,2,1)</f>
        <v>50-60</v>
      </c>
      <c r="O4324">
        <v>-2175</v>
      </c>
      <c r="P4324" s="8">
        <f t="shared" si="275"/>
        <v>5.9548254620123204</v>
      </c>
      <c r="Q4324" s="5" t="str">
        <f t="shared" si="277"/>
        <v>Employed</v>
      </c>
      <c r="R4324">
        <v>1</v>
      </c>
      <c r="S4324">
        <v>0</v>
      </c>
      <c r="T4324">
        <v>1</v>
      </c>
      <c r="U4324">
        <v>0</v>
      </c>
      <c r="V4324" t="s">
        <v>39</v>
      </c>
      <c r="W4324">
        <v>2</v>
      </c>
    </row>
    <row r="4325" spans="1:23" x14ac:dyDescent="0.2">
      <c r="A4325">
        <v>5143562</v>
      </c>
      <c r="B4325" t="s">
        <v>25</v>
      </c>
      <c r="C4325" t="s">
        <v>19</v>
      </c>
      <c r="D4325" t="s">
        <v>19</v>
      </c>
      <c r="E4325">
        <v>2</v>
      </c>
      <c r="F4325">
        <v>202500</v>
      </c>
      <c r="G4325" t="s">
        <v>31</v>
      </c>
      <c r="H4325" t="s">
        <v>27</v>
      </c>
      <c r="I4325" t="s">
        <v>28</v>
      </c>
      <c r="J4325" t="s">
        <v>41</v>
      </c>
      <c r="K4325" s="6">
        <f t="shared" ca="1" si="276"/>
        <v>34807</v>
      </c>
      <c r="L4325">
        <v>-10954</v>
      </c>
      <c r="M4325" s="7">
        <f t="shared" ca="1" si="274"/>
        <v>29.990417522245039</v>
      </c>
      <c r="N4325" s="5" t="str">
        <f ca="1">VLOOKUP(Data!M4325,temp!$B$3:$C$9,2,1)</f>
        <v>20-30</v>
      </c>
      <c r="O4325">
        <v>-745</v>
      </c>
      <c r="P4325" s="8">
        <f t="shared" si="275"/>
        <v>2.0396988364134154</v>
      </c>
      <c r="Q4325" s="5" t="str">
        <f t="shared" si="277"/>
        <v>Employed</v>
      </c>
      <c r="R4325">
        <v>1</v>
      </c>
      <c r="S4325">
        <v>0</v>
      </c>
      <c r="T4325">
        <v>0</v>
      </c>
      <c r="U4325">
        <v>0</v>
      </c>
      <c r="V4325" t="s">
        <v>30</v>
      </c>
      <c r="W4325">
        <v>4</v>
      </c>
    </row>
    <row r="4326" spans="1:23" x14ac:dyDescent="0.2">
      <c r="A4326">
        <v>5143566</v>
      </c>
      <c r="B4326" t="s">
        <v>25</v>
      </c>
      <c r="C4326" t="s">
        <v>20</v>
      </c>
      <c r="D4326" t="s">
        <v>20</v>
      </c>
      <c r="E4326">
        <v>0</v>
      </c>
      <c r="F4326">
        <v>270000</v>
      </c>
      <c r="G4326" t="s">
        <v>31</v>
      </c>
      <c r="H4326" t="s">
        <v>27</v>
      </c>
      <c r="I4326" t="s">
        <v>28</v>
      </c>
      <c r="J4326" t="s">
        <v>24</v>
      </c>
      <c r="K4326" s="6">
        <f t="shared" ca="1" si="276"/>
        <v>26882</v>
      </c>
      <c r="L4326">
        <v>-18879</v>
      </c>
      <c r="M4326" s="7">
        <f t="shared" ca="1" si="274"/>
        <v>51.687885010266939</v>
      </c>
      <c r="N4326" s="5" t="str">
        <f ca="1">VLOOKUP(Data!M4326,temp!$B$3:$C$9,2,1)</f>
        <v>50-60</v>
      </c>
      <c r="O4326">
        <v>-2025</v>
      </c>
      <c r="P4326" s="8">
        <f t="shared" si="275"/>
        <v>5.5441478439425049</v>
      </c>
      <c r="Q4326" s="5" t="str">
        <f t="shared" si="277"/>
        <v>Employed</v>
      </c>
      <c r="R4326">
        <v>1</v>
      </c>
      <c r="S4326">
        <v>0</v>
      </c>
      <c r="T4326">
        <v>0</v>
      </c>
      <c r="U4326">
        <v>0</v>
      </c>
      <c r="V4326" t="s">
        <v>32</v>
      </c>
      <c r="W4326">
        <v>2</v>
      </c>
    </row>
    <row r="4327" spans="1:23" x14ac:dyDescent="0.2">
      <c r="A4327">
        <v>5143573</v>
      </c>
      <c r="B4327" t="s">
        <v>25</v>
      </c>
      <c r="C4327" t="s">
        <v>20</v>
      </c>
      <c r="D4327" t="s">
        <v>19</v>
      </c>
      <c r="E4327">
        <v>0</v>
      </c>
      <c r="F4327">
        <v>157500</v>
      </c>
      <c r="G4327" t="s">
        <v>31</v>
      </c>
      <c r="H4327" t="s">
        <v>36</v>
      </c>
      <c r="I4327" t="s">
        <v>28</v>
      </c>
      <c r="J4327" t="s">
        <v>41</v>
      </c>
      <c r="K4327" s="6">
        <f t="shared" ca="1" si="276"/>
        <v>36637</v>
      </c>
      <c r="L4327">
        <v>-9124</v>
      </c>
      <c r="M4327" s="7">
        <f t="shared" ca="1" si="274"/>
        <v>24.980150581793293</v>
      </c>
      <c r="N4327" s="5" t="str">
        <f ca="1">VLOOKUP(Data!M4327,temp!$B$3:$C$9,2,1)</f>
        <v>20-30</v>
      </c>
      <c r="O4327">
        <v>-960</v>
      </c>
      <c r="P4327" s="8">
        <f t="shared" si="275"/>
        <v>2.6283367556468171</v>
      </c>
      <c r="Q4327" s="5" t="str">
        <f t="shared" si="277"/>
        <v>Employed</v>
      </c>
      <c r="R4327">
        <v>1</v>
      </c>
      <c r="S4327">
        <v>1</v>
      </c>
      <c r="T4327">
        <v>0</v>
      </c>
      <c r="U4327">
        <v>0</v>
      </c>
      <c r="V4327" t="s">
        <v>30</v>
      </c>
      <c r="W4327">
        <v>2</v>
      </c>
    </row>
    <row r="4328" spans="1:23" x14ac:dyDescent="0.2">
      <c r="A4328">
        <v>5143597</v>
      </c>
      <c r="B4328" t="s">
        <v>18</v>
      </c>
      <c r="C4328" t="s">
        <v>19</v>
      </c>
      <c r="D4328" t="s">
        <v>19</v>
      </c>
      <c r="E4328">
        <v>0</v>
      </c>
      <c r="F4328">
        <v>90000</v>
      </c>
      <c r="G4328" t="s">
        <v>31</v>
      </c>
      <c r="H4328" t="s">
        <v>27</v>
      </c>
      <c r="I4328" t="s">
        <v>37</v>
      </c>
      <c r="J4328" t="s">
        <v>24</v>
      </c>
      <c r="K4328" s="6">
        <f t="shared" ca="1" si="276"/>
        <v>34122</v>
      </c>
      <c r="L4328">
        <v>-11639</v>
      </c>
      <c r="M4328" s="7">
        <f t="shared" ca="1" si="274"/>
        <v>31.865845311430526</v>
      </c>
      <c r="N4328" s="5" t="str">
        <f ca="1">VLOOKUP(Data!M4328,temp!$B$3:$C$9,2,1)</f>
        <v>30-40</v>
      </c>
      <c r="O4328">
        <v>-3333</v>
      </c>
      <c r="P4328" s="8">
        <f t="shared" si="275"/>
        <v>9.1252566735112932</v>
      </c>
      <c r="Q4328" s="5" t="str">
        <f t="shared" si="277"/>
        <v>Employed</v>
      </c>
      <c r="R4328">
        <v>1</v>
      </c>
      <c r="S4328">
        <v>1</v>
      </c>
      <c r="T4328">
        <v>0</v>
      </c>
      <c r="U4328">
        <v>0</v>
      </c>
      <c r="V4328" t="s">
        <v>54</v>
      </c>
      <c r="W4328">
        <v>2</v>
      </c>
    </row>
    <row r="4329" spans="1:23" x14ac:dyDescent="0.2">
      <c r="A4329">
        <v>5143600</v>
      </c>
      <c r="B4329" t="s">
        <v>18</v>
      </c>
      <c r="C4329" t="s">
        <v>19</v>
      </c>
      <c r="D4329" t="s">
        <v>19</v>
      </c>
      <c r="E4329">
        <v>0</v>
      </c>
      <c r="F4329">
        <v>90000</v>
      </c>
      <c r="G4329" t="s">
        <v>31</v>
      </c>
      <c r="H4329" t="s">
        <v>27</v>
      </c>
      <c r="I4329" t="s">
        <v>37</v>
      </c>
      <c r="J4329" t="s">
        <v>24</v>
      </c>
      <c r="K4329" s="6">
        <f t="shared" ca="1" si="276"/>
        <v>34122</v>
      </c>
      <c r="L4329">
        <v>-11639</v>
      </c>
      <c r="M4329" s="7">
        <f t="shared" ca="1" si="274"/>
        <v>31.865845311430526</v>
      </c>
      <c r="N4329" s="5" t="str">
        <f ca="1">VLOOKUP(Data!M4329,temp!$B$3:$C$9,2,1)</f>
        <v>30-40</v>
      </c>
      <c r="O4329">
        <v>-3333</v>
      </c>
      <c r="P4329" s="8">
        <f t="shared" si="275"/>
        <v>9.1252566735112932</v>
      </c>
      <c r="Q4329" s="5" t="str">
        <f t="shared" si="277"/>
        <v>Employed</v>
      </c>
      <c r="R4329">
        <v>1</v>
      </c>
      <c r="S4329">
        <v>1</v>
      </c>
      <c r="T4329">
        <v>0</v>
      </c>
      <c r="U4329">
        <v>0</v>
      </c>
      <c r="V4329" t="s">
        <v>54</v>
      </c>
      <c r="W4329">
        <v>2</v>
      </c>
    </row>
    <row r="4330" spans="1:23" x14ac:dyDescent="0.2">
      <c r="A4330">
        <v>5143608</v>
      </c>
      <c r="B4330" t="s">
        <v>18</v>
      </c>
      <c r="C4330" t="s">
        <v>19</v>
      </c>
      <c r="D4330" t="s">
        <v>20</v>
      </c>
      <c r="E4330">
        <v>0</v>
      </c>
      <c r="F4330">
        <v>148500</v>
      </c>
      <c r="G4330" t="s">
        <v>21</v>
      </c>
      <c r="H4330" t="s">
        <v>27</v>
      </c>
      <c r="I4330" t="s">
        <v>28</v>
      </c>
      <c r="J4330" t="s">
        <v>24</v>
      </c>
      <c r="K4330" s="6">
        <f t="shared" ca="1" si="276"/>
        <v>21597</v>
      </c>
      <c r="L4330">
        <v>-24164</v>
      </c>
      <c r="M4330" s="7">
        <f t="shared" ca="1" si="274"/>
        <v>66.157426420260094</v>
      </c>
      <c r="N4330" s="5" t="str">
        <f ca="1">VLOOKUP(Data!M4330,temp!$B$3:$C$9,2,1)</f>
        <v>60-70</v>
      </c>
      <c r="O4330">
        <v>365243</v>
      </c>
      <c r="P4330" s="8">
        <f t="shared" si="275"/>
        <v>0</v>
      </c>
      <c r="Q4330" s="5" t="str">
        <f t="shared" si="277"/>
        <v>Unemployed</v>
      </c>
      <c r="R4330">
        <v>1</v>
      </c>
      <c r="S4330">
        <v>0</v>
      </c>
      <c r="T4330">
        <v>1</v>
      </c>
      <c r="U4330">
        <v>0</v>
      </c>
      <c r="W4330">
        <v>2</v>
      </c>
    </row>
    <row r="4331" spans="1:23" x14ac:dyDescent="0.2">
      <c r="A4331">
        <v>5143611</v>
      </c>
      <c r="B4331" t="s">
        <v>25</v>
      </c>
      <c r="C4331" t="s">
        <v>20</v>
      </c>
      <c r="D4331" t="s">
        <v>20</v>
      </c>
      <c r="E4331">
        <v>0</v>
      </c>
      <c r="F4331">
        <v>157500</v>
      </c>
      <c r="G4331" t="s">
        <v>26</v>
      </c>
      <c r="H4331" t="s">
        <v>27</v>
      </c>
      <c r="I4331" t="s">
        <v>28</v>
      </c>
      <c r="J4331" t="s">
        <v>24</v>
      </c>
      <c r="K4331" s="6">
        <f t="shared" ca="1" si="276"/>
        <v>36813</v>
      </c>
      <c r="L4331">
        <v>-8948</v>
      </c>
      <c r="M4331" s="7">
        <f t="shared" ca="1" si="274"/>
        <v>24.498288843258042</v>
      </c>
      <c r="N4331" s="5" t="str">
        <f ca="1">VLOOKUP(Data!M4331,temp!$B$3:$C$9,2,1)</f>
        <v>20-30</v>
      </c>
      <c r="O4331">
        <v>-230</v>
      </c>
      <c r="P4331" s="8">
        <f t="shared" si="275"/>
        <v>0.62970568104038327</v>
      </c>
      <c r="Q4331" s="5" t="str">
        <f t="shared" si="277"/>
        <v>Employed</v>
      </c>
      <c r="R4331">
        <v>1</v>
      </c>
      <c r="S4331">
        <v>0</v>
      </c>
      <c r="T4331">
        <v>1</v>
      </c>
      <c r="U4331">
        <v>0</v>
      </c>
      <c r="V4331" t="s">
        <v>39</v>
      </c>
      <c r="W4331">
        <v>2</v>
      </c>
    </row>
    <row r="4332" spans="1:23" x14ac:dyDescent="0.2">
      <c r="A4332">
        <v>5143622</v>
      </c>
      <c r="B4332" t="s">
        <v>18</v>
      </c>
      <c r="C4332" t="s">
        <v>19</v>
      </c>
      <c r="D4332" t="s">
        <v>19</v>
      </c>
      <c r="E4332">
        <v>0</v>
      </c>
      <c r="F4332">
        <v>135000</v>
      </c>
      <c r="G4332" t="s">
        <v>31</v>
      </c>
      <c r="H4332" t="s">
        <v>27</v>
      </c>
      <c r="I4332" t="s">
        <v>28</v>
      </c>
      <c r="J4332" t="s">
        <v>24</v>
      </c>
      <c r="K4332" s="6">
        <f t="shared" ca="1" si="276"/>
        <v>29839</v>
      </c>
      <c r="L4332">
        <v>-15922</v>
      </c>
      <c r="M4332" s="7">
        <f t="shared" ca="1" si="274"/>
        <v>43.592060232717316</v>
      </c>
      <c r="N4332" s="5" t="str">
        <f ca="1">VLOOKUP(Data!M4332,temp!$B$3:$C$9,2,1)</f>
        <v>40-50</v>
      </c>
      <c r="O4332">
        <v>-2086</v>
      </c>
      <c r="P4332" s="8">
        <f t="shared" si="275"/>
        <v>5.7111567419575637</v>
      </c>
      <c r="Q4332" s="5" t="str">
        <f t="shared" si="277"/>
        <v>Employed</v>
      </c>
      <c r="R4332">
        <v>1</v>
      </c>
      <c r="S4332">
        <v>0</v>
      </c>
      <c r="T4332">
        <v>0</v>
      </c>
      <c r="U4332">
        <v>0</v>
      </c>
      <c r="V4332" t="s">
        <v>39</v>
      </c>
      <c r="W4332">
        <v>2</v>
      </c>
    </row>
    <row r="4333" spans="1:23" x14ac:dyDescent="0.2">
      <c r="A4333">
        <v>5143632</v>
      </c>
      <c r="B4333" t="s">
        <v>25</v>
      </c>
      <c r="C4333" t="s">
        <v>19</v>
      </c>
      <c r="D4333" t="s">
        <v>19</v>
      </c>
      <c r="E4333">
        <v>0</v>
      </c>
      <c r="F4333">
        <v>247500</v>
      </c>
      <c r="G4333" t="s">
        <v>31</v>
      </c>
      <c r="H4333" t="s">
        <v>22</v>
      </c>
      <c r="I4333" t="s">
        <v>37</v>
      </c>
      <c r="J4333" t="s">
        <v>24</v>
      </c>
      <c r="K4333" s="6">
        <f t="shared" ca="1" si="276"/>
        <v>30636</v>
      </c>
      <c r="L4333">
        <v>-15125</v>
      </c>
      <c r="M4333" s="7">
        <f t="shared" ca="1" si="274"/>
        <v>41.40999315537303</v>
      </c>
      <c r="N4333" s="5" t="str">
        <f ca="1">VLOOKUP(Data!M4333,temp!$B$3:$C$9,2,1)</f>
        <v>40-50</v>
      </c>
      <c r="O4333">
        <v>-199</v>
      </c>
      <c r="P4333" s="8">
        <f t="shared" si="275"/>
        <v>0.54483230663928817</v>
      </c>
      <c r="Q4333" s="5" t="str">
        <f t="shared" si="277"/>
        <v>Employed</v>
      </c>
      <c r="R4333">
        <v>1</v>
      </c>
      <c r="S4333">
        <v>0</v>
      </c>
      <c r="T4333">
        <v>0</v>
      </c>
      <c r="U4333">
        <v>0</v>
      </c>
      <c r="V4333" t="s">
        <v>30</v>
      </c>
      <c r="W4333">
        <v>2</v>
      </c>
    </row>
    <row r="4334" spans="1:23" x14ac:dyDescent="0.2">
      <c r="A4334">
        <v>5143637</v>
      </c>
      <c r="B4334" t="s">
        <v>18</v>
      </c>
      <c r="C4334" t="s">
        <v>20</v>
      </c>
      <c r="D4334" t="s">
        <v>20</v>
      </c>
      <c r="E4334">
        <v>0</v>
      </c>
      <c r="F4334">
        <v>81000</v>
      </c>
      <c r="G4334" t="s">
        <v>31</v>
      </c>
      <c r="H4334" t="s">
        <v>27</v>
      </c>
      <c r="I4334" t="s">
        <v>28</v>
      </c>
      <c r="J4334" t="s">
        <v>24</v>
      </c>
      <c r="K4334" s="6">
        <f t="shared" ca="1" si="276"/>
        <v>27380</v>
      </c>
      <c r="L4334">
        <v>-18381</v>
      </c>
      <c r="M4334" s="7">
        <f t="shared" ca="1" si="274"/>
        <v>50.324435318275157</v>
      </c>
      <c r="N4334" s="5" t="str">
        <f ca="1">VLOOKUP(Data!M4334,temp!$B$3:$C$9,2,1)</f>
        <v>50-60</v>
      </c>
      <c r="O4334">
        <v>-2451</v>
      </c>
      <c r="P4334" s="8">
        <f t="shared" si="275"/>
        <v>6.71047227926078</v>
      </c>
      <c r="Q4334" s="5" t="str">
        <f t="shared" si="277"/>
        <v>Employed</v>
      </c>
      <c r="R4334">
        <v>1</v>
      </c>
      <c r="S4334">
        <v>0</v>
      </c>
      <c r="T4334">
        <v>0</v>
      </c>
      <c r="U4334">
        <v>0</v>
      </c>
      <c r="V4334" t="s">
        <v>40</v>
      </c>
      <c r="W4334">
        <v>2</v>
      </c>
    </row>
    <row r="4335" spans="1:23" x14ac:dyDescent="0.2">
      <c r="A4335">
        <v>5145699</v>
      </c>
      <c r="B4335" t="s">
        <v>25</v>
      </c>
      <c r="C4335" t="s">
        <v>20</v>
      </c>
      <c r="D4335" t="s">
        <v>20</v>
      </c>
      <c r="E4335">
        <v>0</v>
      </c>
      <c r="F4335">
        <v>225000</v>
      </c>
      <c r="G4335" t="s">
        <v>31</v>
      </c>
      <c r="H4335" t="s">
        <v>22</v>
      </c>
      <c r="I4335" t="s">
        <v>33</v>
      </c>
      <c r="J4335" t="s">
        <v>41</v>
      </c>
      <c r="K4335" s="6">
        <f t="shared" ca="1" si="276"/>
        <v>36317</v>
      </c>
      <c r="L4335">
        <v>-9444</v>
      </c>
      <c r="M4335" s="7">
        <f t="shared" ca="1" si="274"/>
        <v>25.856262833675565</v>
      </c>
      <c r="N4335" s="5" t="str">
        <f ca="1">VLOOKUP(Data!M4335,temp!$B$3:$C$9,2,1)</f>
        <v>20-30</v>
      </c>
      <c r="O4335">
        <v>-663</v>
      </c>
      <c r="P4335" s="8">
        <f t="shared" si="275"/>
        <v>1.8151950718685832</v>
      </c>
      <c r="Q4335" s="5" t="str">
        <f t="shared" si="277"/>
        <v>Employed</v>
      </c>
      <c r="R4335">
        <v>1</v>
      </c>
      <c r="S4335">
        <v>1</v>
      </c>
      <c r="T4335">
        <v>1</v>
      </c>
      <c r="U4335">
        <v>0</v>
      </c>
      <c r="W4335">
        <v>1</v>
      </c>
    </row>
    <row r="4336" spans="1:23" x14ac:dyDescent="0.2">
      <c r="A4336">
        <v>5145700</v>
      </c>
      <c r="B4336" t="s">
        <v>25</v>
      </c>
      <c r="C4336" t="s">
        <v>20</v>
      </c>
      <c r="D4336" t="s">
        <v>20</v>
      </c>
      <c r="E4336">
        <v>0</v>
      </c>
      <c r="F4336">
        <v>225000</v>
      </c>
      <c r="G4336" t="s">
        <v>31</v>
      </c>
      <c r="H4336" t="s">
        <v>22</v>
      </c>
      <c r="I4336" t="s">
        <v>33</v>
      </c>
      <c r="J4336" t="s">
        <v>41</v>
      </c>
      <c r="K4336" s="6">
        <f t="shared" ca="1" si="276"/>
        <v>36317</v>
      </c>
      <c r="L4336">
        <v>-9444</v>
      </c>
      <c r="M4336" s="7">
        <f t="shared" ca="1" si="274"/>
        <v>25.856262833675565</v>
      </c>
      <c r="N4336" s="5" t="str">
        <f ca="1">VLOOKUP(Data!M4336,temp!$B$3:$C$9,2,1)</f>
        <v>20-30</v>
      </c>
      <c r="O4336">
        <v>-663</v>
      </c>
      <c r="P4336" s="8">
        <f t="shared" si="275"/>
        <v>1.8151950718685832</v>
      </c>
      <c r="Q4336" s="5" t="str">
        <f t="shared" si="277"/>
        <v>Employed</v>
      </c>
      <c r="R4336">
        <v>1</v>
      </c>
      <c r="S4336">
        <v>1</v>
      </c>
      <c r="T4336">
        <v>1</v>
      </c>
      <c r="U4336">
        <v>0</v>
      </c>
      <c r="W4336">
        <v>1</v>
      </c>
    </row>
    <row r="4337" spans="1:23" x14ac:dyDescent="0.2">
      <c r="A4337">
        <v>5145722</v>
      </c>
      <c r="B4337" t="s">
        <v>25</v>
      </c>
      <c r="C4337" t="s">
        <v>20</v>
      </c>
      <c r="D4337" t="s">
        <v>20</v>
      </c>
      <c r="E4337">
        <v>0</v>
      </c>
      <c r="F4337">
        <v>315000</v>
      </c>
      <c r="G4337" t="s">
        <v>31</v>
      </c>
      <c r="H4337" t="s">
        <v>22</v>
      </c>
      <c r="I4337" t="s">
        <v>33</v>
      </c>
      <c r="J4337" t="s">
        <v>24</v>
      </c>
      <c r="K4337" s="6">
        <f t="shared" ca="1" si="276"/>
        <v>35433</v>
      </c>
      <c r="L4337">
        <v>-10328</v>
      </c>
      <c r="M4337" s="7">
        <f t="shared" ca="1" si="274"/>
        <v>28.276522929500342</v>
      </c>
      <c r="N4337" s="5" t="str">
        <f ca="1">VLOOKUP(Data!M4337,temp!$B$3:$C$9,2,1)</f>
        <v>20-30</v>
      </c>
      <c r="O4337">
        <v>-543</v>
      </c>
      <c r="P4337" s="8">
        <f t="shared" si="275"/>
        <v>1.4866529774127311</v>
      </c>
      <c r="Q4337" s="5" t="str">
        <f t="shared" si="277"/>
        <v>Employed</v>
      </c>
      <c r="R4337">
        <v>1</v>
      </c>
      <c r="S4337">
        <v>0</v>
      </c>
      <c r="T4337">
        <v>1</v>
      </c>
      <c r="U4337">
        <v>0</v>
      </c>
      <c r="V4337" t="s">
        <v>47</v>
      </c>
      <c r="W4337">
        <v>1</v>
      </c>
    </row>
    <row r="4338" spans="1:23" x14ac:dyDescent="0.2">
      <c r="A4338">
        <v>5145723</v>
      </c>
      <c r="B4338" t="s">
        <v>25</v>
      </c>
      <c r="C4338" t="s">
        <v>20</v>
      </c>
      <c r="D4338" t="s">
        <v>20</v>
      </c>
      <c r="E4338">
        <v>0</v>
      </c>
      <c r="F4338">
        <v>315000</v>
      </c>
      <c r="G4338" t="s">
        <v>31</v>
      </c>
      <c r="H4338" t="s">
        <v>22</v>
      </c>
      <c r="I4338" t="s">
        <v>33</v>
      </c>
      <c r="J4338" t="s">
        <v>24</v>
      </c>
      <c r="K4338" s="6">
        <f t="shared" ca="1" si="276"/>
        <v>35433</v>
      </c>
      <c r="L4338">
        <v>-10328</v>
      </c>
      <c r="M4338" s="7">
        <f t="shared" ca="1" si="274"/>
        <v>28.276522929500342</v>
      </c>
      <c r="N4338" s="5" t="str">
        <f ca="1">VLOOKUP(Data!M4338,temp!$B$3:$C$9,2,1)</f>
        <v>20-30</v>
      </c>
      <c r="O4338">
        <v>-543</v>
      </c>
      <c r="P4338" s="8">
        <f t="shared" si="275"/>
        <v>1.4866529774127311</v>
      </c>
      <c r="Q4338" s="5" t="str">
        <f t="shared" si="277"/>
        <v>Employed</v>
      </c>
      <c r="R4338">
        <v>1</v>
      </c>
      <c r="S4338">
        <v>0</v>
      </c>
      <c r="T4338">
        <v>1</v>
      </c>
      <c r="U4338">
        <v>0</v>
      </c>
      <c r="V4338" t="s">
        <v>47</v>
      </c>
      <c r="W4338">
        <v>1</v>
      </c>
    </row>
    <row r="4339" spans="1:23" x14ac:dyDescent="0.2">
      <c r="A4339">
        <v>5145731</v>
      </c>
      <c r="B4339" t="s">
        <v>25</v>
      </c>
      <c r="C4339" t="s">
        <v>20</v>
      </c>
      <c r="D4339" t="s">
        <v>19</v>
      </c>
      <c r="E4339">
        <v>1</v>
      </c>
      <c r="F4339">
        <v>292500</v>
      </c>
      <c r="G4339" t="s">
        <v>26</v>
      </c>
      <c r="H4339" t="s">
        <v>27</v>
      </c>
      <c r="I4339" t="s">
        <v>28</v>
      </c>
      <c r="J4339" t="s">
        <v>24</v>
      </c>
      <c r="K4339" s="6">
        <f t="shared" ca="1" si="276"/>
        <v>36433</v>
      </c>
      <c r="L4339">
        <v>-9328</v>
      </c>
      <c r="M4339" s="7">
        <f t="shared" ca="1" si="274"/>
        <v>25.538672142368242</v>
      </c>
      <c r="N4339" s="5" t="str">
        <f ca="1">VLOOKUP(Data!M4339,temp!$B$3:$C$9,2,1)</f>
        <v>20-30</v>
      </c>
      <c r="O4339">
        <v>-1000</v>
      </c>
      <c r="P4339" s="8">
        <f t="shared" si="275"/>
        <v>2.7378507871321012</v>
      </c>
      <c r="Q4339" s="5" t="str">
        <f t="shared" si="277"/>
        <v>Employed</v>
      </c>
      <c r="R4339">
        <v>1</v>
      </c>
      <c r="S4339">
        <v>0</v>
      </c>
      <c r="T4339">
        <v>0</v>
      </c>
      <c r="U4339">
        <v>0</v>
      </c>
      <c r="V4339" t="s">
        <v>30</v>
      </c>
      <c r="W4339">
        <v>3</v>
      </c>
    </row>
    <row r="4340" spans="1:23" x14ac:dyDescent="0.2">
      <c r="A4340">
        <v>5145734</v>
      </c>
      <c r="B4340" t="s">
        <v>25</v>
      </c>
      <c r="C4340" t="s">
        <v>20</v>
      </c>
      <c r="D4340" t="s">
        <v>19</v>
      </c>
      <c r="E4340">
        <v>1</v>
      </c>
      <c r="F4340">
        <v>292500</v>
      </c>
      <c r="G4340" t="s">
        <v>26</v>
      </c>
      <c r="H4340" t="s">
        <v>27</v>
      </c>
      <c r="I4340" t="s">
        <v>28</v>
      </c>
      <c r="J4340" t="s">
        <v>24</v>
      </c>
      <c r="K4340" s="6">
        <f t="shared" ca="1" si="276"/>
        <v>36433</v>
      </c>
      <c r="L4340">
        <v>-9328</v>
      </c>
      <c r="M4340" s="7">
        <f t="shared" ca="1" si="274"/>
        <v>25.538672142368242</v>
      </c>
      <c r="N4340" s="5" t="str">
        <f ca="1">VLOOKUP(Data!M4340,temp!$B$3:$C$9,2,1)</f>
        <v>20-30</v>
      </c>
      <c r="O4340">
        <v>-1000</v>
      </c>
      <c r="P4340" s="8">
        <f t="shared" si="275"/>
        <v>2.7378507871321012</v>
      </c>
      <c r="Q4340" s="5" t="str">
        <f t="shared" si="277"/>
        <v>Employed</v>
      </c>
      <c r="R4340">
        <v>1</v>
      </c>
      <c r="S4340">
        <v>0</v>
      </c>
      <c r="T4340">
        <v>0</v>
      </c>
      <c r="U4340">
        <v>0</v>
      </c>
      <c r="V4340" t="s">
        <v>30</v>
      </c>
      <c r="W4340">
        <v>3</v>
      </c>
    </row>
    <row r="4341" spans="1:23" x14ac:dyDescent="0.2">
      <c r="A4341">
        <v>5145737</v>
      </c>
      <c r="B4341" t="s">
        <v>25</v>
      </c>
      <c r="C4341" t="s">
        <v>20</v>
      </c>
      <c r="D4341" t="s">
        <v>20</v>
      </c>
      <c r="E4341">
        <v>1</v>
      </c>
      <c r="F4341">
        <v>270000</v>
      </c>
      <c r="G4341" t="s">
        <v>31</v>
      </c>
      <c r="H4341" t="s">
        <v>22</v>
      </c>
      <c r="I4341" t="s">
        <v>28</v>
      </c>
      <c r="J4341" t="s">
        <v>24</v>
      </c>
      <c r="K4341" s="6">
        <f t="shared" ca="1" si="276"/>
        <v>25022</v>
      </c>
      <c r="L4341">
        <v>-20739</v>
      </c>
      <c r="M4341" s="7">
        <f t="shared" ca="1" si="274"/>
        <v>56.780287474332646</v>
      </c>
      <c r="N4341" s="5" t="str">
        <f ca="1">VLOOKUP(Data!M4341,temp!$B$3:$C$9,2,1)</f>
        <v>50-60</v>
      </c>
      <c r="O4341">
        <v>-117</v>
      </c>
      <c r="P4341" s="8">
        <f t="shared" si="275"/>
        <v>0.32032854209445583</v>
      </c>
      <c r="Q4341" s="5" t="str">
        <f t="shared" si="277"/>
        <v>Employed</v>
      </c>
      <c r="R4341">
        <v>1</v>
      </c>
      <c r="S4341">
        <v>0</v>
      </c>
      <c r="T4341">
        <v>0</v>
      </c>
      <c r="U4341">
        <v>0</v>
      </c>
      <c r="V4341" t="s">
        <v>29</v>
      </c>
      <c r="W4341">
        <v>3</v>
      </c>
    </row>
    <row r="4342" spans="1:23" x14ac:dyDescent="0.2">
      <c r="A4342">
        <v>5145744</v>
      </c>
      <c r="B4342" t="s">
        <v>18</v>
      </c>
      <c r="C4342" t="s">
        <v>20</v>
      </c>
      <c r="D4342" t="s">
        <v>20</v>
      </c>
      <c r="E4342">
        <v>0</v>
      </c>
      <c r="F4342">
        <v>157500</v>
      </c>
      <c r="G4342" t="s">
        <v>31</v>
      </c>
      <c r="H4342" t="s">
        <v>22</v>
      </c>
      <c r="I4342" t="s">
        <v>28</v>
      </c>
      <c r="J4342" t="s">
        <v>24</v>
      </c>
      <c r="K4342" s="6">
        <f t="shared" ca="1" si="276"/>
        <v>35732</v>
      </c>
      <c r="L4342">
        <v>-10029</v>
      </c>
      <c r="M4342" s="7">
        <f t="shared" ca="1" si="274"/>
        <v>27.457905544147845</v>
      </c>
      <c r="N4342" s="5" t="str">
        <f ca="1">VLOOKUP(Data!M4342,temp!$B$3:$C$9,2,1)</f>
        <v>20-30</v>
      </c>
      <c r="O4342">
        <v>-878</v>
      </c>
      <c r="P4342" s="8">
        <f t="shared" si="275"/>
        <v>2.4038329911019849</v>
      </c>
      <c r="Q4342" s="5" t="str">
        <f t="shared" si="277"/>
        <v>Employed</v>
      </c>
      <c r="R4342">
        <v>1</v>
      </c>
      <c r="S4342">
        <v>0</v>
      </c>
      <c r="T4342">
        <v>0</v>
      </c>
      <c r="U4342">
        <v>0</v>
      </c>
      <c r="V4342" t="s">
        <v>44</v>
      </c>
      <c r="W4342">
        <v>2</v>
      </c>
    </row>
    <row r="4343" spans="1:23" x14ac:dyDescent="0.2">
      <c r="A4343">
        <v>5145748</v>
      </c>
      <c r="B4343" t="s">
        <v>18</v>
      </c>
      <c r="C4343" t="s">
        <v>20</v>
      </c>
      <c r="D4343" t="s">
        <v>20</v>
      </c>
      <c r="E4343">
        <v>0</v>
      </c>
      <c r="F4343">
        <v>135000</v>
      </c>
      <c r="G4343" t="s">
        <v>31</v>
      </c>
      <c r="H4343" t="s">
        <v>22</v>
      </c>
      <c r="I4343" t="s">
        <v>28</v>
      </c>
      <c r="J4343" t="s">
        <v>24</v>
      </c>
      <c r="K4343" s="6">
        <f t="shared" ca="1" si="276"/>
        <v>30293</v>
      </c>
      <c r="L4343">
        <v>-15468</v>
      </c>
      <c r="M4343" s="7">
        <f t="shared" ca="1" si="274"/>
        <v>42.349075975359341</v>
      </c>
      <c r="N4343" s="5" t="str">
        <f ca="1">VLOOKUP(Data!M4343,temp!$B$3:$C$9,2,1)</f>
        <v>40-50</v>
      </c>
      <c r="O4343">
        <v>-4834</v>
      </c>
      <c r="P4343" s="8">
        <f t="shared" si="275"/>
        <v>13.234770704996578</v>
      </c>
      <c r="Q4343" s="5" t="str">
        <f t="shared" si="277"/>
        <v>Employed</v>
      </c>
      <c r="R4343">
        <v>1</v>
      </c>
      <c r="S4343">
        <v>0</v>
      </c>
      <c r="T4343">
        <v>0</v>
      </c>
      <c r="U4343">
        <v>1</v>
      </c>
      <c r="W4343">
        <v>2</v>
      </c>
    </row>
    <row r="4344" spans="1:23" x14ac:dyDescent="0.2">
      <c r="A4344">
        <v>5145749</v>
      </c>
      <c r="B4344" t="s">
        <v>18</v>
      </c>
      <c r="C4344" t="s">
        <v>20</v>
      </c>
      <c r="D4344" t="s">
        <v>20</v>
      </c>
      <c r="E4344">
        <v>0</v>
      </c>
      <c r="F4344">
        <v>135000</v>
      </c>
      <c r="G4344" t="s">
        <v>31</v>
      </c>
      <c r="H4344" t="s">
        <v>22</v>
      </c>
      <c r="I4344" t="s">
        <v>28</v>
      </c>
      <c r="J4344" t="s">
        <v>24</v>
      </c>
      <c r="K4344" s="6">
        <f t="shared" ca="1" si="276"/>
        <v>30293</v>
      </c>
      <c r="L4344">
        <v>-15468</v>
      </c>
      <c r="M4344" s="7">
        <f t="shared" ca="1" si="274"/>
        <v>42.349075975359341</v>
      </c>
      <c r="N4344" s="5" t="str">
        <f ca="1">VLOOKUP(Data!M4344,temp!$B$3:$C$9,2,1)</f>
        <v>40-50</v>
      </c>
      <c r="O4344">
        <v>-4834</v>
      </c>
      <c r="P4344" s="8">
        <f t="shared" si="275"/>
        <v>13.234770704996578</v>
      </c>
      <c r="Q4344" s="5" t="str">
        <f t="shared" si="277"/>
        <v>Employed</v>
      </c>
      <c r="R4344">
        <v>1</v>
      </c>
      <c r="S4344">
        <v>0</v>
      </c>
      <c r="T4344">
        <v>0</v>
      </c>
      <c r="U4344">
        <v>1</v>
      </c>
      <c r="W4344">
        <v>2</v>
      </c>
    </row>
    <row r="4345" spans="1:23" x14ac:dyDescent="0.2">
      <c r="A4345">
        <v>5145772</v>
      </c>
      <c r="B4345" t="s">
        <v>18</v>
      </c>
      <c r="C4345" t="s">
        <v>20</v>
      </c>
      <c r="D4345" t="s">
        <v>20</v>
      </c>
      <c r="E4345">
        <v>4</v>
      </c>
      <c r="F4345">
        <v>112500</v>
      </c>
      <c r="G4345" t="s">
        <v>31</v>
      </c>
      <c r="H4345" t="s">
        <v>22</v>
      </c>
      <c r="I4345" t="s">
        <v>28</v>
      </c>
      <c r="J4345" t="s">
        <v>24</v>
      </c>
      <c r="K4345" s="6">
        <f t="shared" ca="1" si="276"/>
        <v>32090</v>
      </c>
      <c r="L4345">
        <v>-13671</v>
      </c>
      <c r="M4345" s="7">
        <f t="shared" ca="1" si="274"/>
        <v>37.429158110882959</v>
      </c>
      <c r="N4345" s="5" t="str">
        <f ca="1">VLOOKUP(Data!M4345,temp!$B$3:$C$9,2,1)</f>
        <v>30-40</v>
      </c>
      <c r="O4345">
        <v>-1974</v>
      </c>
      <c r="P4345" s="8">
        <f t="shared" si="275"/>
        <v>5.4045174537987677</v>
      </c>
      <c r="Q4345" s="5" t="str">
        <f t="shared" si="277"/>
        <v>Employed</v>
      </c>
      <c r="R4345">
        <v>1</v>
      </c>
      <c r="S4345">
        <v>0</v>
      </c>
      <c r="T4345">
        <v>0</v>
      </c>
      <c r="U4345">
        <v>0</v>
      </c>
      <c r="V4345" t="s">
        <v>38</v>
      </c>
      <c r="W4345">
        <v>6</v>
      </c>
    </row>
    <row r="4346" spans="1:23" x14ac:dyDescent="0.2">
      <c r="A4346">
        <v>5145801</v>
      </c>
      <c r="B4346" t="s">
        <v>18</v>
      </c>
      <c r="C4346" t="s">
        <v>19</v>
      </c>
      <c r="D4346" t="s">
        <v>20</v>
      </c>
      <c r="E4346">
        <v>0</v>
      </c>
      <c r="F4346">
        <v>112500</v>
      </c>
      <c r="G4346" t="s">
        <v>21</v>
      </c>
      <c r="H4346" t="s">
        <v>27</v>
      </c>
      <c r="I4346" t="s">
        <v>28</v>
      </c>
      <c r="J4346" t="s">
        <v>41</v>
      </c>
      <c r="K4346" s="6">
        <f t="shared" ca="1" si="276"/>
        <v>24411</v>
      </c>
      <c r="L4346">
        <v>-21350</v>
      </c>
      <c r="M4346" s="7">
        <f t="shared" ca="1" si="274"/>
        <v>58.453114305270361</v>
      </c>
      <c r="N4346" s="5" t="str">
        <f ca="1">VLOOKUP(Data!M4346,temp!$B$3:$C$9,2,1)</f>
        <v>50-60</v>
      </c>
      <c r="O4346">
        <v>365243</v>
      </c>
      <c r="P4346" s="8">
        <f t="shared" si="275"/>
        <v>0</v>
      </c>
      <c r="Q4346" s="5" t="str">
        <f t="shared" si="277"/>
        <v>Unemployed</v>
      </c>
      <c r="R4346">
        <v>1</v>
      </c>
      <c r="S4346">
        <v>0</v>
      </c>
      <c r="T4346">
        <v>0</v>
      </c>
      <c r="U4346">
        <v>0</v>
      </c>
      <c r="W4346">
        <v>2</v>
      </c>
    </row>
    <row r="4347" spans="1:23" x14ac:dyDescent="0.2">
      <c r="A4347">
        <v>5145805</v>
      </c>
      <c r="B4347" t="s">
        <v>18</v>
      </c>
      <c r="C4347" t="s">
        <v>19</v>
      </c>
      <c r="D4347" t="s">
        <v>20</v>
      </c>
      <c r="E4347">
        <v>0</v>
      </c>
      <c r="F4347">
        <v>202500</v>
      </c>
      <c r="G4347" t="s">
        <v>31</v>
      </c>
      <c r="H4347" t="s">
        <v>27</v>
      </c>
      <c r="I4347" t="s">
        <v>23</v>
      </c>
      <c r="J4347" t="s">
        <v>24</v>
      </c>
      <c r="K4347" s="6">
        <f t="shared" ca="1" si="276"/>
        <v>30428</v>
      </c>
      <c r="L4347">
        <v>-15333</v>
      </c>
      <c r="M4347" s="7">
        <f t="shared" ca="1" si="274"/>
        <v>41.979466119096507</v>
      </c>
      <c r="N4347" s="5" t="str">
        <f ca="1">VLOOKUP(Data!M4347,temp!$B$3:$C$9,2,1)</f>
        <v>40-50</v>
      </c>
      <c r="O4347">
        <v>-1106</v>
      </c>
      <c r="P4347" s="8">
        <f t="shared" si="275"/>
        <v>3.0280629705681039</v>
      </c>
      <c r="Q4347" s="5" t="str">
        <f t="shared" si="277"/>
        <v>Employed</v>
      </c>
      <c r="R4347">
        <v>1</v>
      </c>
      <c r="S4347">
        <v>0</v>
      </c>
      <c r="T4347">
        <v>0</v>
      </c>
      <c r="U4347">
        <v>0</v>
      </c>
      <c r="V4347" t="s">
        <v>29</v>
      </c>
      <c r="W4347">
        <v>1</v>
      </c>
    </row>
    <row r="4348" spans="1:23" x14ac:dyDescent="0.2">
      <c r="A4348">
        <v>5145807</v>
      </c>
      <c r="B4348" t="s">
        <v>18</v>
      </c>
      <c r="C4348" t="s">
        <v>19</v>
      </c>
      <c r="D4348" t="s">
        <v>20</v>
      </c>
      <c r="E4348">
        <v>0</v>
      </c>
      <c r="F4348">
        <v>180000</v>
      </c>
      <c r="G4348" t="s">
        <v>21</v>
      </c>
      <c r="H4348" t="s">
        <v>27</v>
      </c>
      <c r="I4348" t="s">
        <v>28</v>
      </c>
      <c r="J4348" t="s">
        <v>24</v>
      </c>
      <c r="K4348" s="6">
        <f t="shared" ca="1" si="276"/>
        <v>26040</v>
      </c>
      <c r="L4348">
        <v>-19721</v>
      </c>
      <c r="M4348" s="7">
        <f t="shared" ca="1" si="274"/>
        <v>53.993155373032167</v>
      </c>
      <c r="N4348" s="5" t="str">
        <f ca="1">VLOOKUP(Data!M4348,temp!$B$3:$C$9,2,1)</f>
        <v>50-60</v>
      </c>
      <c r="O4348">
        <v>365243</v>
      </c>
      <c r="P4348" s="8">
        <f t="shared" si="275"/>
        <v>0</v>
      </c>
      <c r="Q4348" s="5" t="str">
        <f t="shared" si="277"/>
        <v>Unemployed</v>
      </c>
      <c r="R4348">
        <v>1</v>
      </c>
      <c r="S4348">
        <v>0</v>
      </c>
      <c r="T4348">
        <v>0</v>
      </c>
      <c r="U4348">
        <v>0</v>
      </c>
      <c r="W4348">
        <v>2</v>
      </c>
    </row>
    <row r="4349" spans="1:23" x14ac:dyDescent="0.2">
      <c r="A4349">
        <v>5145819</v>
      </c>
      <c r="B4349" t="s">
        <v>18</v>
      </c>
      <c r="C4349" t="s">
        <v>19</v>
      </c>
      <c r="D4349" t="s">
        <v>20</v>
      </c>
      <c r="E4349">
        <v>0</v>
      </c>
      <c r="F4349">
        <v>247500</v>
      </c>
      <c r="G4349" t="s">
        <v>31</v>
      </c>
      <c r="H4349" t="s">
        <v>27</v>
      </c>
      <c r="I4349" t="s">
        <v>23</v>
      </c>
      <c r="J4349" t="s">
        <v>24</v>
      </c>
      <c r="K4349" s="6">
        <f t="shared" ca="1" si="276"/>
        <v>28547</v>
      </c>
      <c r="L4349">
        <v>-17214</v>
      </c>
      <c r="M4349" s="7">
        <f t="shared" ca="1" si="274"/>
        <v>47.129363449691994</v>
      </c>
      <c r="N4349" s="5" t="str">
        <f ca="1">VLOOKUP(Data!M4349,temp!$B$3:$C$9,2,1)</f>
        <v>40-50</v>
      </c>
      <c r="O4349">
        <v>-5184</v>
      </c>
      <c r="P4349" s="8">
        <f t="shared" si="275"/>
        <v>14.193018480492814</v>
      </c>
      <c r="Q4349" s="5" t="str">
        <f t="shared" si="277"/>
        <v>Employed</v>
      </c>
      <c r="R4349">
        <v>1</v>
      </c>
      <c r="S4349">
        <v>1</v>
      </c>
      <c r="T4349">
        <v>1</v>
      </c>
      <c r="U4349">
        <v>0</v>
      </c>
      <c r="V4349" t="s">
        <v>29</v>
      </c>
      <c r="W4349">
        <v>1</v>
      </c>
    </row>
    <row r="4350" spans="1:23" x14ac:dyDescent="0.2">
      <c r="A4350">
        <v>5145823</v>
      </c>
      <c r="B4350" t="s">
        <v>25</v>
      </c>
      <c r="C4350" t="s">
        <v>20</v>
      </c>
      <c r="D4350" t="s">
        <v>19</v>
      </c>
      <c r="E4350">
        <v>0</v>
      </c>
      <c r="F4350">
        <v>135000</v>
      </c>
      <c r="G4350" t="s">
        <v>31</v>
      </c>
      <c r="H4350" t="s">
        <v>27</v>
      </c>
      <c r="I4350" t="s">
        <v>28</v>
      </c>
      <c r="J4350" t="s">
        <v>41</v>
      </c>
      <c r="K4350" s="6">
        <f t="shared" ca="1" si="276"/>
        <v>36603</v>
      </c>
      <c r="L4350">
        <v>-9158</v>
      </c>
      <c r="M4350" s="7">
        <f t="shared" ca="1" si="274"/>
        <v>25.073237508555785</v>
      </c>
      <c r="N4350" s="5" t="str">
        <f ca="1">VLOOKUP(Data!M4350,temp!$B$3:$C$9,2,1)</f>
        <v>20-30</v>
      </c>
      <c r="O4350">
        <v>-735</v>
      </c>
      <c r="P4350" s="8">
        <f t="shared" si="275"/>
        <v>2.0123203285420943</v>
      </c>
      <c r="Q4350" s="5" t="str">
        <f t="shared" si="277"/>
        <v>Employed</v>
      </c>
      <c r="R4350">
        <v>1</v>
      </c>
      <c r="S4350">
        <v>0</v>
      </c>
      <c r="T4350">
        <v>0</v>
      </c>
      <c r="U4350">
        <v>0</v>
      </c>
      <c r="V4350" t="s">
        <v>29</v>
      </c>
      <c r="W4350">
        <v>2</v>
      </c>
    </row>
    <row r="4351" spans="1:23" x14ac:dyDescent="0.2">
      <c r="A4351">
        <v>5145846</v>
      </c>
      <c r="B4351" t="s">
        <v>18</v>
      </c>
      <c r="C4351" t="s">
        <v>19</v>
      </c>
      <c r="D4351" t="s">
        <v>20</v>
      </c>
      <c r="E4351">
        <v>1</v>
      </c>
      <c r="F4351">
        <v>256500</v>
      </c>
      <c r="G4351" t="s">
        <v>35</v>
      </c>
      <c r="H4351" t="s">
        <v>22</v>
      </c>
      <c r="I4351" t="s">
        <v>28</v>
      </c>
      <c r="J4351" t="s">
        <v>24</v>
      </c>
      <c r="K4351" s="6">
        <f t="shared" ca="1" si="276"/>
        <v>28167</v>
      </c>
      <c r="L4351">
        <v>-17594</v>
      </c>
      <c r="M4351" s="7">
        <f t="shared" ca="1" si="274"/>
        <v>48.16974674880219</v>
      </c>
      <c r="N4351" s="5" t="str">
        <f ca="1">VLOOKUP(Data!M4351,temp!$B$3:$C$9,2,1)</f>
        <v>40-50</v>
      </c>
      <c r="O4351">
        <v>-1315</v>
      </c>
      <c r="P4351" s="8">
        <f t="shared" si="275"/>
        <v>3.6002737850787132</v>
      </c>
      <c r="Q4351" s="5" t="str">
        <f t="shared" si="277"/>
        <v>Employed</v>
      </c>
      <c r="R4351">
        <v>1</v>
      </c>
      <c r="S4351">
        <v>0</v>
      </c>
      <c r="T4351">
        <v>1</v>
      </c>
      <c r="U4351">
        <v>0</v>
      </c>
      <c r="V4351" t="s">
        <v>32</v>
      </c>
      <c r="W4351">
        <v>3</v>
      </c>
    </row>
    <row r="4352" spans="1:23" x14ac:dyDescent="0.2">
      <c r="A4352">
        <v>5145850</v>
      </c>
      <c r="B4352" t="s">
        <v>18</v>
      </c>
      <c r="C4352" t="s">
        <v>19</v>
      </c>
      <c r="D4352" t="s">
        <v>20</v>
      </c>
      <c r="E4352">
        <v>0</v>
      </c>
      <c r="F4352">
        <v>180000</v>
      </c>
      <c r="G4352" t="s">
        <v>26</v>
      </c>
      <c r="H4352" t="s">
        <v>22</v>
      </c>
      <c r="I4352" t="s">
        <v>33</v>
      </c>
      <c r="J4352" t="s">
        <v>24</v>
      </c>
      <c r="K4352" s="6">
        <f t="shared" ca="1" si="276"/>
        <v>29366</v>
      </c>
      <c r="L4352">
        <v>-16395</v>
      </c>
      <c r="M4352" s="7">
        <f t="shared" ca="1" si="274"/>
        <v>44.887063655030801</v>
      </c>
      <c r="N4352" s="5" t="str">
        <f ca="1">VLOOKUP(Data!M4352,temp!$B$3:$C$9,2,1)</f>
        <v>40-50</v>
      </c>
      <c r="O4352">
        <v>-888</v>
      </c>
      <c r="P4352" s="8">
        <f t="shared" si="275"/>
        <v>2.431211498973306</v>
      </c>
      <c r="Q4352" s="5" t="str">
        <f t="shared" si="277"/>
        <v>Employed</v>
      </c>
      <c r="R4352">
        <v>1</v>
      </c>
      <c r="S4352">
        <v>1</v>
      </c>
      <c r="T4352">
        <v>0</v>
      </c>
      <c r="U4352">
        <v>0</v>
      </c>
      <c r="V4352" t="s">
        <v>47</v>
      </c>
      <c r="W4352">
        <v>1</v>
      </c>
    </row>
    <row r="4353" spans="1:23" x14ac:dyDescent="0.2">
      <c r="A4353">
        <v>5145851</v>
      </c>
      <c r="B4353" t="s">
        <v>18</v>
      </c>
      <c r="C4353" t="s">
        <v>19</v>
      </c>
      <c r="D4353" t="s">
        <v>20</v>
      </c>
      <c r="E4353">
        <v>0</v>
      </c>
      <c r="F4353">
        <v>180000</v>
      </c>
      <c r="G4353" t="s">
        <v>26</v>
      </c>
      <c r="H4353" t="s">
        <v>22</v>
      </c>
      <c r="I4353" t="s">
        <v>33</v>
      </c>
      <c r="J4353" t="s">
        <v>24</v>
      </c>
      <c r="K4353" s="6">
        <f t="shared" ca="1" si="276"/>
        <v>29366</v>
      </c>
      <c r="L4353">
        <v>-16395</v>
      </c>
      <c r="M4353" s="7">
        <f t="shared" ca="1" si="274"/>
        <v>44.887063655030801</v>
      </c>
      <c r="N4353" s="5" t="str">
        <f ca="1">VLOOKUP(Data!M4353,temp!$B$3:$C$9,2,1)</f>
        <v>40-50</v>
      </c>
      <c r="O4353">
        <v>-888</v>
      </c>
      <c r="P4353" s="8">
        <f t="shared" si="275"/>
        <v>2.431211498973306</v>
      </c>
      <c r="Q4353" s="5" t="str">
        <f t="shared" si="277"/>
        <v>Employed</v>
      </c>
      <c r="R4353">
        <v>1</v>
      </c>
      <c r="S4353">
        <v>1</v>
      </c>
      <c r="T4353">
        <v>0</v>
      </c>
      <c r="U4353">
        <v>0</v>
      </c>
      <c r="V4353" t="s">
        <v>47</v>
      </c>
      <c r="W4353">
        <v>1</v>
      </c>
    </row>
    <row r="4354" spans="1:23" x14ac:dyDescent="0.2">
      <c r="A4354">
        <v>5145857</v>
      </c>
      <c r="B4354" t="s">
        <v>18</v>
      </c>
      <c r="C4354" t="s">
        <v>19</v>
      </c>
      <c r="D4354" t="s">
        <v>19</v>
      </c>
      <c r="E4354">
        <v>1</v>
      </c>
      <c r="F4354">
        <v>180000</v>
      </c>
      <c r="G4354" t="s">
        <v>26</v>
      </c>
      <c r="H4354" t="s">
        <v>27</v>
      </c>
      <c r="I4354" t="s">
        <v>28</v>
      </c>
      <c r="J4354" t="s">
        <v>24</v>
      </c>
      <c r="K4354" s="6">
        <f t="shared" ca="1" si="276"/>
        <v>31639</v>
      </c>
      <c r="L4354">
        <v>-14122</v>
      </c>
      <c r="M4354" s="7">
        <f t="shared" ca="1" si="274"/>
        <v>38.663928815879537</v>
      </c>
      <c r="N4354" s="5" t="str">
        <f ca="1">VLOOKUP(Data!M4354,temp!$B$3:$C$9,2,1)</f>
        <v>30-40</v>
      </c>
      <c r="O4354">
        <v>-796</v>
      </c>
      <c r="P4354" s="8">
        <f t="shared" si="275"/>
        <v>2.1793292265571527</v>
      </c>
      <c r="Q4354" s="5" t="str">
        <f t="shared" si="277"/>
        <v>Employed</v>
      </c>
      <c r="R4354">
        <v>1</v>
      </c>
      <c r="S4354">
        <v>0</v>
      </c>
      <c r="T4354">
        <v>0</v>
      </c>
      <c r="U4354">
        <v>0</v>
      </c>
      <c r="V4354" t="s">
        <v>29</v>
      </c>
      <c r="W4354">
        <v>3</v>
      </c>
    </row>
    <row r="4355" spans="1:23" x14ac:dyDescent="0.2">
      <c r="A4355">
        <v>5145887</v>
      </c>
      <c r="B4355" t="s">
        <v>18</v>
      </c>
      <c r="C4355" t="s">
        <v>19</v>
      </c>
      <c r="D4355" t="s">
        <v>20</v>
      </c>
      <c r="E4355">
        <v>0</v>
      </c>
      <c r="F4355">
        <v>72000</v>
      </c>
      <c r="G4355" t="s">
        <v>21</v>
      </c>
      <c r="H4355" t="s">
        <v>27</v>
      </c>
      <c r="I4355" t="s">
        <v>28</v>
      </c>
      <c r="J4355" t="s">
        <v>24</v>
      </c>
      <c r="K4355" s="6">
        <f t="shared" ca="1" si="276"/>
        <v>23582</v>
      </c>
      <c r="L4355">
        <v>-22179</v>
      </c>
      <c r="M4355" s="7">
        <f t="shared" ref="M4355:M4418" ca="1" si="278">(TODAY()-K4355)/365.25</f>
        <v>60.722792607802873</v>
      </c>
      <c r="N4355" s="5" t="str">
        <f ca="1">VLOOKUP(Data!M4355,temp!$B$3:$C$9,2,1)</f>
        <v>60-70</v>
      </c>
      <c r="O4355">
        <v>365243</v>
      </c>
      <c r="P4355" s="8">
        <f t="shared" ref="P4355:P4418" si="279">IF(O4355&lt;=0,ABS(O4355)/365.25,0)</f>
        <v>0</v>
      </c>
      <c r="Q4355" s="5" t="str">
        <f t="shared" si="277"/>
        <v>Unemployed</v>
      </c>
      <c r="R4355">
        <v>1</v>
      </c>
      <c r="S4355">
        <v>0</v>
      </c>
      <c r="T4355">
        <v>0</v>
      </c>
      <c r="U4355">
        <v>0</v>
      </c>
      <c r="W4355">
        <v>2</v>
      </c>
    </row>
    <row r="4356" spans="1:23" x14ac:dyDescent="0.2">
      <c r="A4356">
        <v>5145888</v>
      </c>
      <c r="B4356" t="s">
        <v>18</v>
      </c>
      <c r="C4356" t="s">
        <v>19</v>
      </c>
      <c r="D4356" t="s">
        <v>20</v>
      </c>
      <c r="E4356">
        <v>0</v>
      </c>
      <c r="F4356">
        <v>72000</v>
      </c>
      <c r="G4356" t="s">
        <v>21</v>
      </c>
      <c r="H4356" t="s">
        <v>27</v>
      </c>
      <c r="I4356" t="s">
        <v>28</v>
      </c>
      <c r="J4356" t="s">
        <v>24</v>
      </c>
      <c r="K4356" s="6">
        <f t="shared" ca="1" si="276"/>
        <v>23582</v>
      </c>
      <c r="L4356">
        <v>-22179</v>
      </c>
      <c r="M4356" s="7">
        <f t="shared" ca="1" si="278"/>
        <v>60.722792607802873</v>
      </c>
      <c r="N4356" s="5" t="str">
        <f ca="1">VLOOKUP(Data!M4356,temp!$B$3:$C$9,2,1)</f>
        <v>60-70</v>
      </c>
      <c r="O4356">
        <v>365243</v>
      </c>
      <c r="P4356" s="8">
        <f t="shared" si="279"/>
        <v>0</v>
      </c>
      <c r="Q4356" s="5" t="str">
        <f t="shared" si="277"/>
        <v>Unemployed</v>
      </c>
      <c r="R4356">
        <v>1</v>
      </c>
      <c r="S4356">
        <v>0</v>
      </c>
      <c r="T4356">
        <v>0</v>
      </c>
      <c r="U4356">
        <v>0</v>
      </c>
      <c r="W4356">
        <v>2</v>
      </c>
    </row>
    <row r="4357" spans="1:23" x14ac:dyDescent="0.2">
      <c r="A4357">
        <v>5145897</v>
      </c>
      <c r="B4357" t="s">
        <v>18</v>
      </c>
      <c r="C4357" t="s">
        <v>19</v>
      </c>
      <c r="D4357" t="s">
        <v>20</v>
      </c>
      <c r="E4357">
        <v>0</v>
      </c>
      <c r="F4357">
        <v>90000</v>
      </c>
      <c r="G4357" t="s">
        <v>21</v>
      </c>
      <c r="H4357" t="s">
        <v>27</v>
      </c>
      <c r="I4357" t="s">
        <v>28</v>
      </c>
      <c r="J4357" t="s">
        <v>24</v>
      </c>
      <c r="K4357" s="6">
        <f t="shared" ca="1" si="276"/>
        <v>25399</v>
      </c>
      <c r="L4357">
        <v>-20362</v>
      </c>
      <c r="M4357" s="7">
        <f t="shared" ca="1" si="278"/>
        <v>55.748117727583846</v>
      </c>
      <c r="N4357" s="5" t="str">
        <f ca="1">VLOOKUP(Data!M4357,temp!$B$3:$C$9,2,1)</f>
        <v>50-60</v>
      </c>
      <c r="O4357">
        <v>365243</v>
      </c>
      <c r="P4357" s="8">
        <f t="shared" si="279"/>
        <v>0</v>
      </c>
      <c r="Q4357" s="5" t="str">
        <f t="shared" si="277"/>
        <v>Unemployed</v>
      </c>
      <c r="R4357">
        <v>1</v>
      </c>
      <c r="S4357">
        <v>0</v>
      </c>
      <c r="T4357">
        <v>0</v>
      </c>
      <c r="U4357">
        <v>0</v>
      </c>
      <c r="W4357">
        <v>2</v>
      </c>
    </row>
    <row r="4358" spans="1:23" x14ac:dyDescent="0.2">
      <c r="A4358">
        <v>5145920</v>
      </c>
      <c r="B4358" t="s">
        <v>25</v>
      </c>
      <c r="C4358" t="s">
        <v>20</v>
      </c>
      <c r="D4358" t="s">
        <v>20</v>
      </c>
      <c r="E4358">
        <v>1</v>
      </c>
      <c r="F4358">
        <v>180000</v>
      </c>
      <c r="G4358" t="s">
        <v>26</v>
      </c>
      <c r="H4358" t="s">
        <v>22</v>
      </c>
      <c r="I4358" t="s">
        <v>28</v>
      </c>
      <c r="J4358" t="s">
        <v>24</v>
      </c>
      <c r="K4358" s="6">
        <f t="shared" ca="1" si="276"/>
        <v>30630</v>
      </c>
      <c r="L4358">
        <v>-15131</v>
      </c>
      <c r="M4358" s="7">
        <f t="shared" ca="1" si="278"/>
        <v>41.426420260095824</v>
      </c>
      <c r="N4358" s="5" t="str">
        <f ca="1">VLOOKUP(Data!M4358,temp!$B$3:$C$9,2,1)</f>
        <v>40-50</v>
      </c>
      <c r="O4358">
        <v>-1466</v>
      </c>
      <c r="P4358" s="8">
        <f t="shared" si="279"/>
        <v>4.0136892539356603</v>
      </c>
      <c r="Q4358" s="5" t="str">
        <f t="shared" si="277"/>
        <v>Employed</v>
      </c>
      <c r="R4358">
        <v>1</v>
      </c>
      <c r="S4358">
        <v>0</v>
      </c>
      <c r="T4358">
        <v>0</v>
      </c>
      <c r="U4358">
        <v>1</v>
      </c>
      <c r="W4358">
        <v>3</v>
      </c>
    </row>
    <row r="4359" spans="1:23" x14ac:dyDescent="0.2">
      <c r="A4359">
        <v>5145922</v>
      </c>
      <c r="B4359" t="s">
        <v>25</v>
      </c>
      <c r="C4359" t="s">
        <v>20</v>
      </c>
      <c r="D4359" t="s">
        <v>20</v>
      </c>
      <c r="E4359">
        <v>1</v>
      </c>
      <c r="F4359">
        <v>180000</v>
      </c>
      <c r="G4359" t="s">
        <v>26</v>
      </c>
      <c r="H4359" t="s">
        <v>22</v>
      </c>
      <c r="I4359" t="s">
        <v>28</v>
      </c>
      <c r="J4359" t="s">
        <v>24</v>
      </c>
      <c r="K4359" s="6">
        <f t="shared" ca="1" si="276"/>
        <v>30630</v>
      </c>
      <c r="L4359">
        <v>-15131</v>
      </c>
      <c r="M4359" s="7">
        <f t="shared" ca="1" si="278"/>
        <v>41.426420260095824</v>
      </c>
      <c r="N4359" s="5" t="str">
        <f ca="1">VLOOKUP(Data!M4359,temp!$B$3:$C$9,2,1)</f>
        <v>40-50</v>
      </c>
      <c r="O4359">
        <v>-1466</v>
      </c>
      <c r="P4359" s="8">
        <f t="shared" si="279"/>
        <v>4.0136892539356603</v>
      </c>
      <c r="Q4359" s="5" t="str">
        <f t="shared" si="277"/>
        <v>Employed</v>
      </c>
      <c r="R4359">
        <v>1</v>
      </c>
      <c r="S4359">
        <v>0</v>
      </c>
      <c r="T4359">
        <v>0</v>
      </c>
      <c r="U4359">
        <v>1</v>
      </c>
      <c r="W4359">
        <v>3</v>
      </c>
    </row>
    <row r="4360" spans="1:23" x14ac:dyDescent="0.2">
      <c r="A4360">
        <v>5145944</v>
      </c>
      <c r="B4360" t="s">
        <v>18</v>
      </c>
      <c r="C4360" t="s">
        <v>19</v>
      </c>
      <c r="D4360" t="s">
        <v>20</v>
      </c>
      <c r="E4360">
        <v>1</v>
      </c>
      <c r="F4360">
        <v>337500</v>
      </c>
      <c r="G4360" t="s">
        <v>26</v>
      </c>
      <c r="H4360" t="s">
        <v>22</v>
      </c>
      <c r="I4360" t="s">
        <v>33</v>
      </c>
      <c r="J4360" t="s">
        <v>24</v>
      </c>
      <c r="K4360" s="6">
        <f t="shared" ref="K4360:K4423" ca="1" si="280">TODAY()+($L4360)</f>
        <v>31353</v>
      </c>
      <c r="L4360">
        <v>-14408</v>
      </c>
      <c r="M4360" s="7">
        <f t="shared" ca="1" si="278"/>
        <v>39.446954140999317</v>
      </c>
      <c r="N4360" s="5" t="str">
        <f ca="1">VLOOKUP(Data!M4360,temp!$B$3:$C$9,2,1)</f>
        <v>30-40</v>
      </c>
      <c r="O4360">
        <v>-431</v>
      </c>
      <c r="P4360" s="8">
        <f t="shared" si="279"/>
        <v>1.1800136892539357</v>
      </c>
      <c r="Q4360" s="5" t="str">
        <f t="shared" ref="Q4360:Q4423" si="281">IF($O4360&gt;0,"Unemployed","Employed")</f>
        <v>Employed</v>
      </c>
      <c r="R4360">
        <v>1</v>
      </c>
      <c r="S4360">
        <v>0</v>
      </c>
      <c r="T4360">
        <v>0</v>
      </c>
      <c r="U4360">
        <v>0</v>
      </c>
      <c r="V4360" t="s">
        <v>44</v>
      </c>
      <c r="W4360">
        <v>2</v>
      </c>
    </row>
    <row r="4361" spans="1:23" x14ac:dyDescent="0.2">
      <c r="A4361">
        <v>5145964</v>
      </c>
      <c r="B4361" t="s">
        <v>18</v>
      </c>
      <c r="C4361" t="s">
        <v>19</v>
      </c>
      <c r="D4361" t="s">
        <v>19</v>
      </c>
      <c r="E4361">
        <v>2</v>
      </c>
      <c r="F4361">
        <v>130500</v>
      </c>
      <c r="G4361" t="s">
        <v>31</v>
      </c>
      <c r="H4361" t="s">
        <v>27</v>
      </c>
      <c r="I4361" t="s">
        <v>28</v>
      </c>
      <c r="J4361" t="s">
        <v>24</v>
      </c>
      <c r="K4361" s="6">
        <f t="shared" ca="1" si="280"/>
        <v>30325</v>
      </c>
      <c r="L4361">
        <v>-15436</v>
      </c>
      <c r="M4361" s="7">
        <f t="shared" ca="1" si="278"/>
        <v>42.261464750171115</v>
      </c>
      <c r="N4361" s="5" t="str">
        <f ca="1">VLOOKUP(Data!M4361,temp!$B$3:$C$9,2,1)</f>
        <v>40-50</v>
      </c>
      <c r="O4361">
        <v>-3476</v>
      </c>
      <c r="P4361" s="8">
        <f t="shared" si="279"/>
        <v>9.5167693360711834</v>
      </c>
      <c r="Q4361" s="5" t="str">
        <f t="shared" si="281"/>
        <v>Employed</v>
      </c>
      <c r="R4361">
        <v>1</v>
      </c>
      <c r="S4361">
        <v>0</v>
      </c>
      <c r="T4361">
        <v>0</v>
      </c>
      <c r="U4361">
        <v>0</v>
      </c>
      <c r="V4361" t="s">
        <v>39</v>
      </c>
      <c r="W4361">
        <v>4</v>
      </c>
    </row>
    <row r="4362" spans="1:23" x14ac:dyDescent="0.2">
      <c r="A4362">
        <v>5145965</v>
      </c>
      <c r="B4362" t="s">
        <v>18</v>
      </c>
      <c r="C4362" t="s">
        <v>19</v>
      </c>
      <c r="D4362" t="s">
        <v>19</v>
      </c>
      <c r="E4362">
        <v>2</v>
      </c>
      <c r="F4362">
        <v>130500</v>
      </c>
      <c r="G4362" t="s">
        <v>31</v>
      </c>
      <c r="H4362" t="s">
        <v>27</v>
      </c>
      <c r="I4362" t="s">
        <v>28</v>
      </c>
      <c r="J4362" t="s">
        <v>24</v>
      </c>
      <c r="K4362" s="6">
        <f t="shared" ca="1" si="280"/>
        <v>30325</v>
      </c>
      <c r="L4362">
        <v>-15436</v>
      </c>
      <c r="M4362" s="7">
        <f t="shared" ca="1" si="278"/>
        <v>42.261464750171115</v>
      </c>
      <c r="N4362" s="5" t="str">
        <f ca="1">VLOOKUP(Data!M4362,temp!$B$3:$C$9,2,1)</f>
        <v>40-50</v>
      </c>
      <c r="O4362">
        <v>-3476</v>
      </c>
      <c r="P4362" s="8">
        <f t="shared" si="279"/>
        <v>9.5167693360711834</v>
      </c>
      <c r="Q4362" s="5" t="str">
        <f t="shared" si="281"/>
        <v>Employed</v>
      </c>
      <c r="R4362">
        <v>1</v>
      </c>
      <c r="S4362">
        <v>0</v>
      </c>
      <c r="T4362">
        <v>0</v>
      </c>
      <c r="U4362">
        <v>0</v>
      </c>
      <c r="V4362" t="s">
        <v>39</v>
      </c>
      <c r="W4362">
        <v>4</v>
      </c>
    </row>
    <row r="4363" spans="1:23" x14ac:dyDescent="0.2">
      <c r="A4363">
        <v>5145968</v>
      </c>
      <c r="B4363" t="s">
        <v>18</v>
      </c>
      <c r="C4363" t="s">
        <v>19</v>
      </c>
      <c r="D4363" t="s">
        <v>20</v>
      </c>
      <c r="E4363">
        <v>0</v>
      </c>
      <c r="F4363">
        <v>112500</v>
      </c>
      <c r="G4363" t="s">
        <v>21</v>
      </c>
      <c r="H4363" t="s">
        <v>27</v>
      </c>
      <c r="I4363" t="s">
        <v>42</v>
      </c>
      <c r="J4363" t="s">
        <v>24</v>
      </c>
      <c r="K4363" s="6">
        <f t="shared" ca="1" si="280"/>
        <v>22743</v>
      </c>
      <c r="L4363">
        <v>-23018</v>
      </c>
      <c r="M4363" s="7">
        <f t="shared" ca="1" si="278"/>
        <v>63.019849418206711</v>
      </c>
      <c r="N4363" s="5" t="str">
        <f ca="1">VLOOKUP(Data!M4363,temp!$B$3:$C$9,2,1)</f>
        <v>60-70</v>
      </c>
      <c r="O4363">
        <v>365243</v>
      </c>
      <c r="P4363" s="8">
        <f t="shared" si="279"/>
        <v>0</v>
      </c>
      <c r="Q4363" s="5" t="str">
        <f t="shared" si="281"/>
        <v>Unemployed</v>
      </c>
      <c r="R4363">
        <v>1</v>
      </c>
      <c r="S4363">
        <v>0</v>
      </c>
      <c r="T4363">
        <v>0</v>
      </c>
      <c r="U4363">
        <v>0</v>
      </c>
      <c r="W4363">
        <v>1</v>
      </c>
    </row>
    <row r="4364" spans="1:23" x14ac:dyDescent="0.2">
      <c r="A4364">
        <v>5145970</v>
      </c>
      <c r="B4364" t="s">
        <v>18</v>
      </c>
      <c r="C4364" t="s">
        <v>19</v>
      </c>
      <c r="D4364" t="s">
        <v>20</v>
      </c>
      <c r="E4364">
        <v>0</v>
      </c>
      <c r="F4364">
        <v>112500</v>
      </c>
      <c r="G4364" t="s">
        <v>21</v>
      </c>
      <c r="H4364" t="s">
        <v>27</v>
      </c>
      <c r="I4364" t="s">
        <v>42</v>
      </c>
      <c r="J4364" t="s">
        <v>24</v>
      </c>
      <c r="K4364" s="6">
        <f t="shared" ca="1" si="280"/>
        <v>22743</v>
      </c>
      <c r="L4364">
        <v>-23018</v>
      </c>
      <c r="M4364" s="7">
        <f t="shared" ca="1" si="278"/>
        <v>63.019849418206711</v>
      </c>
      <c r="N4364" s="5" t="str">
        <f ca="1">VLOOKUP(Data!M4364,temp!$B$3:$C$9,2,1)</f>
        <v>60-70</v>
      </c>
      <c r="O4364">
        <v>365243</v>
      </c>
      <c r="P4364" s="8">
        <f t="shared" si="279"/>
        <v>0</v>
      </c>
      <c r="Q4364" s="5" t="str">
        <f t="shared" si="281"/>
        <v>Unemployed</v>
      </c>
      <c r="R4364">
        <v>1</v>
      </c>
      <c r="S4364">
        <v>0</v>
      </c>
      <c r="T4364">
        <v>0</v>
      </c>
      <c r="U4364">
        <v>0</v>
      </c>
      <c r="W4364">
        <v>1</v>
      </c>
    </row>
    <row r="4365" spans="1:23" x14ac:dyDescent="0.2">
      <c r="A4365">
        <v>5145978</v>
      </c>
      <c r="B4365" t="s">
        <v>18</v>
      </c>
      <c r="C4365" t="s">
        <v>20</v>
      </c>
      <c r="D4365" t="s">
        <v>19</v>
      </c>
      <c r="E4365">
        <v>0</v>
      </c>
      <c r="F4365">
        <v>112500</v>
      </c>
      <c r="G4365" t="s">
        <v>35</v>
      </c>
      <c r="H4365" t="s">
        <v>27</v>
      </c>
      <c r="I4365" t="s">
        <v>42</v>
      </c>
      <c r="J4365" t="s">
        <v>24</v>
      </c>
      <c r="K4365" s="6">
        <f t="shared" ca="1" si="280"/>
        <v>26223</v>
      </c>
      <c r="L4365">
        <v>-19538</v>
      </c>
      <c r="M4365" s="7">
        <f t="shared" ca="1" si="278"/>
        <v>53.492128678986994</v>
      </c>
      <c r="N4365" s="5" t="str">
        <f ca="1">VLOOKUP(Data!M4365,temp!$B$3:$C$9,2,1)</f>
        <v>50-60</v>
      </c>
      <c r="O4365">
        <v>-5880</v>
      </c>
      <c r="P4365" s="8">
        <f t="shared" si="279"/>
        <v>16.098562628336754</v>
      </c>
      <c r="Q4365" s="5" t="str">
        <f t="shared" si="281"/>
        <v>Employed</v>
      </c>
      <c r="R4365">
        <v>1</v>
      </c>
      <c r="S4365">
        <v>0</v>
      </c>
      <c r="T4365">
        <v>0</v>
      </c>
      <c r="U4365">
        <v>0</v>
      </c>
      <c r="V4365" t="s">
        <v>52</v>
      </c>
      <c r="W4365">
        <v>1</v>
      </c>
    </row>
    <row r="4366" spans="1:23" x14ac:dyDescent="0.2">
      <c r="A4366">
        <v>5145981</v>
      </c>
      <c r="B4366" t="s">
        <v>18</v>
      </c>
      <c r="C4366" t="s">
        <v>20</v>
      </c>
      <c r="D4366" t="s">
        <v>19</v>
      </c>
      <c r="E4366">
        <v>0</v>
      </c>
      <c r="F4366">
        <v>112500</v>
      </c>
      <c r="G4366" t="s">
        <v>35</v>
      </c>
      <c r="H4366" t="s">
        <v>27</v>
      </c>
      <c r="I4366" t="s">
        <v>42</v>
      </c>
      <c r="J4366" t="s">
        <v>24</v>
      </c>
      <c r="K4366" s="6">
        <f t="shared" ca="1" si="280"/>
        <v>26223</v>
      </c>
      <c r="L4366">
        <v>-19538</v>
      </c>
      <c r="M4366" s="7">
        <f t="shared" ca="1" si="278"/>
        <v>53.492128678986994</v>
      </c>
      <c r="N4366" s="5" t="str">
        <f ca="1">VLOOKUP(Data!M4366,temp!$B$3:$C$9,2,1)</f>
        <v>50-60</v>
      </c>
      <c r="O4366">
        <v>-5880</v>
      </c>
      <c r="P4366" s="8">
        <f t="shared" si="279"/>
        <v>16.098562628336754</v>
      </c>
      <c r="Q4366" s="5" t="str">
        <f t="shared" si="281"/>
        <v>Employed</v>
      </c>
      <c r="R4366">
        <v>1</v>
      </c>
      <c r="S4366">
        <v>0</v>
      </c>
      <c r="T4366">
        <v>0</v>
      </c>
      <c r="U4366">
        <v>0</v>
      </c>
      <c r="V4366" t="s">
        <v>52</v>
      </c>
      <c r="W4366">
        <v>1</v>
      </c>
    </row>
    <row r="4367" spans="1:23" x14ac:dyDescent="0.2">
      <c r="A4367">
        <v>5146000</v>
      </c>
      <c r="B4367" t="s">
        <v>18</v>
      </c>
      <c r="C4367" t="s">
        <v>19</v>
      </c>
      <c r="D4367" t="s">
        <v>20</v>
      </c>
      <c r="E4367">
        <v>0</v>
      </c>
      <c r="F4367">
        <v>157500</v>
      </c>
      <c r="G4367" t="s">
        <v>21</v>
      </c>
      <c r="H4367" t="s">
        <v>22</v>
      </c>
      <c r="I4367" t="s">
        <v>28</v>
      </c>
      <c r="J4367" t="s">
        <v>24</v>
      </c>
      <c r="K4367" s="6">
        <f t="shared" ca="1" si="280"/>
        <v>23347</v>
      </c>
      <c r="L4367">
        <v>-22414</v>
      </c>
      <c r="M4367" s="7">
        <f t="shared" ca="1" si="278"/>
        <v>61.366187542778917</v>
      </c>
      <c r="N4367" s="5" t="str">
        <f ca="1">VLOOKUP(Data!M4367,temp!$B$3:$C$9,2,1)</f>
        <v>60-70</v>
      </c>
      <c r="O4367">
        <v>365243</v>
      </c>
      <c r="P4367" s="8">
        <f t="shared" si="279"/>
        <v>0</v>
      </c>
      <c r="Q4367" s="5" t="str">
        <f t="shared" si="281"/>
        <v>Unemployed</v>
      </c>
      <c r="R4367">
        <v>1</v>
      </c>
      <c r="S4367">
        <v>0</v>
      </c>
      <c r="T4367">
        <v>1</v>
      </c>
      <c r="U4367">
        <v>0</v>
      </c>
      <c r="W4367">
        <v>2</v>
      </c>
    </row>
    <row r="4368" spans="1:23" x14ac:dyDescent="0.2">
      <c r="A4368">
        <v>5146002</v>
      </c>
      <c r="B4368" t="s">
        <v>25</v>
      </c>
      <c r="C4368" t="s">
        <v>20</v>
      </c>
      <c r="D4368" t="s">
        <v>20</v>
      </c>
      <c r="E4368">
        <v>0</v>
      </c>
      <c r="F4368">
        <v>225000</v>
      </c>
      <c r="G4368" t="s">
        <v>31</v>
      </c>
      <c r="H4368" t="s">
        <v>27</v>
      </c>
      <c r="I4368" t="s">
        <v>33</v>
      </c>
      <c r="J4368" t="s">
        <v>24</v>
      </c>
      <c r="K4368" s="6">
        <f t="shared" ca="1" si="280"/>
        <v>35584</v>
      </c>
      <c r="L4368">
        <v>-10177</v>
      </c>
      <c r="M4368" s="7">
        <f t="shared" ca="1" si="278"/>
        <v>27.863107460643395</v>
      </c>
      <c r="N4368" s="5" t="str">
        <f ca="1">VLOOKUP(Data!M4368,temp!$B$3:$C$9,2,1)</f>
        <v>20-30</v>
      </c>
      <c r="O4368">
        <v>-189</v>
      </c>
      <c r="P4368" s="8">
        <f t="shared" si="279"/>
        <v>0.51745379876796715</v>
      </c>
      <c r="Q4368" s="5" t="str">
        <f t="shared" si="281"/>
        <v>Employed</v>
      </c>
      <c r="R4368">
        <v>1</v>
      </c>
      <c r="S4368">
        <v>0</v>
      </c>
      <c r="T4368">
        <v>0</v>
      </c>
      <c r="U4368">
        <v>1</v>
      </c>
      <c r="V4368" t="s">
        <v>32</v>
      </c>
      <c r="W4368">
        <v>1</v>
      </c>
    </row>
    <row r="4369" spans="1:23" x14ac:dyDescent="0.2">
      <c r="A4369">
        <v>5146007</v>
      </c>
      <c r="B4369" t="s">
        <v>25</v>
      </c>
      <c r="C4369" t="s">
        <v>20</v>
      </c>
      <c r="D4369" t="s">
        <v>19</v>
      </c>
      <c r="E4369">
        <v>2</v>
      </c>
      <c r="F4369">
        <v>180000</v>
      </c>
      <c r="G4369" t="s">
        <v>31</v>
      </c>
      <c r="H4369" t="s">
        <v>27</v>
      </c>
      <c r="I4369" t="s">
        <v>28</v>
      </c>
      <c r="J4369" t="s">
        <v>24</v>
      </c>
      <c r="K4369" s="6">
        <f t="shared" ca="1" si="280"/>
        <v>36419</v>
      </c>
      <c r="L4369">
        <v>-9342</v>
      </c>
      <c r="M4369" s="7">
        <f t="shared" ca="1" si="278"/>
        <v>25.577002053388089</v>
      </c>
      <c r="N4369" s="5" t="str">
        <f ca="1">VLOOKUP(Data!M4369,temp!$B$3:$C$9,2,1)</f>
        <v>20-30</v>
      </c>
      <c r="O4369">
        <v>-615</v>
      </c>
      <c r="P4369" s="8">
        <f t="shared" si="279"/>
        <v>1.6837782340862424</v>
      </c>
      <c r="Q4369" s="5" t="str">
        <f t="shared" si="281"/>
        <v>Employed</v>
      </c>
      <c r="R4369">
        <v>1</v>
      </c>
      <c r="S4369">
        <v>0</v>
      </c>
      <c r="T4369">
        <v>0</v>
      </c>
      <c r="U4369">
        <v>0</v>
      </c>
      <c r="V4369" t="s">
        <v>29</v>
      </c>
      <c r="W4369">
        <v>4</v>
      </c>
    </row>
    <row r="4370" spans="1:23" x14ac:dyDescent="0.2">
      <c r="A4370">
        <v>5146025</v>
      </c>
      <c r="B4370" t="s">
        <v>18</v>
      </c>
      <c r="C4370" t="s">
        <v>19</v>
      </c>
      <c r="D4370" t="s">
        <v>20</v>
      </c>
      <c r="E4370">
        <v>0</v>
      </c>
      <c r="F4370">
        <v>360000</v>
      </c>
      <c r="G4370" t="s">
        <v>26</v>
      </c>
      <c r="H4370" t="s">
        <v>22</v>
      </c>
      <c r="I4370" t="s">
        <v>28</v>
      </c>
      <c r="J4370" t="s">
        <v>24</v>
      </c>
      <c r="K4370" s="6">
        <f t="shared" ca="1" si="280"/>
        <v>34672</v>
      </c>
      <c r="L4370">
        <v>-11089</v>
      </c>
      <c r="M4370" s="7">
        <f t="shared" ca="1" si="278"/>
        <v>30.360027378507873</v>
      </c>
      <c r="N4370" s="5" t="str">
        <f ca="1">VLOOKUP(Data!M4370,temp!$B$3:$C$9,2,1)</f>
        <v>30-40</v>
      </c>
      <c r="O4370">
        <v>-3902</v>
      </c>
      <c r="P4370" s="8">
        <f t="shared" si="279"/>
        <v>10.683093771389458</v>
      </c>
      <c r="Q4370" s="5" t="str">
        <f t="shared" si="281"/>
        <v>Employed</v>
      </c>
      <c r="R4370">
        <v>1</v>
      </c>
      <c r="S4370">
        <v>0</v>
      </c>
      <c r="T4370">
        <v>1</v>
      </c>
      <c r="U4370">
        <v>0</v>
      </c>
      <c r="V4370" t="s">
        <v>38</v>
      </c>
      <c r="W4370">
        <v>2</v>
      </c>
    </row>
    <row r="4371" spans="1:23" x14ac:dyDescent="0.2">
      <c r="A4371">
        <v>5146028</v>
      </c>
      <c r="B4371" t="s">
        <v>18</v>
      </c>
      <c r="C4371" t="s">
        <v>19</v>
      </c>
      <c r="D4371" t="s">
        <v>20</v>
      </c>
      <c r="E4371">
        <v>0</v>
      </c>
      <c r="F4371">
        <v>360000</v>
      </c>
      <c r="G4371" t="s">
        <v>26</v>
      </c>
      <c r="H4371" t="s">
        <v>22</v>
      </c>
      <c r="I4371" t="s">
        <v>28</v>
      </c>
      <c r="J4371" t="s">
        <v>24</v>
      </c>
      <c r="K4371" s="6">
        <f t="shared" ca="1" si="280"/>
        <v>34672</v>
      </c>
      <c r="L4371">
        <v>-11089</v>
      </c>
      <c r="M4371" s="7">
        <f t="shared" ca="1" si="278"/>
        <v>30.360027378507873</v>
      </c>
      <c r="N4371" s="5" t="str">
        <f ca="1">VLOOKUP(Data!M4371,temp!$B$3:$C$9,2,1)</f>
        <v>30-40</v>
      </c>
      <c r="O4371">
        <v>-3902</v>
      </c>
      <c r="P4371" s="8">
        <f t="shared" si="279"/>
        <v>10.683093771389458</v>
      </c>
      <c r="Q4371" s="5" t="str">
        <f t="shared" si="281"/>
        <v>Employed</v>
      </c>
      <c r="R4371">
        <v>1</v>
      </c>
      <c r="S4371">
        <v>0</v>
      </c>
      <c r="T4371">
        <v>1</v>
      </c>
      <c r="U4371">
        <v>0</v>
      </c>
      <c r="V4371" t="s">
        <v>38</v>
      </c>
      <c r="W4371">
        <v>2</v>
      </c>
    </row>
    <row r="4372" spans="1:23" x14ac:dyDescent="0.2">
      <c r="A4372">
        <v>5146029</v>
      </c>
      <c r="B4372" t="s">
        <v>18</v>
      </c>
      <c r="C4372" t="s">
        <v>19</v>
      </c>
      <c r="D4372" t="s">
        <v>20</v>
      </c>
      <c r="E4372">
        <v>0</v>
      </c>
      <c r="F4372">
        <v>360000</v>
      </c>
      <c r="G4372" t="s">
        <v>26</v>
      </c>
      <c r="H4372" t="s">
        <v>22</v>
      </c>
      <c r="I4372" t="s">
        <v>28</v>
      </c>
      <c r="J4372" t="s">
        <v>24</v>
      </c>
      <c r="K4372" s="6">
        <f t="shared" ca="1" si="280"/>
        <v>34672</v>
      </c>
      <c r="L4372">
        <v>-11089</v>
      </c>
      <c r="M4372" s="7">
        <f t="shared" ca="1" si="278"/>
        <v>30.360027378507873</v>
      </c>
      <c r="N4372" s="5" t="str">
        <f ca="1">VLOOKUP(Data!M4372,temp!$B$3:$C$9,2,1)</f>
        <v>30-40</v>
      </c>
      <c r="O4372">
        <v>-3902</v>
      </c>
      <c r="P4372" s="8">
        <f t="shared" si="279"/>
        <v>10.683093771389458</v>
      </c>
      <c r="Q4372" s="5" t="str">
        <f t="shared" si="281"/>
        <v>Employed</v>
      </c>
      <c r="R4372">
        <v>1</v>
      </c>
      <c r="S4372">
        <v>0</v>
      </c>
      <c r="T4372">
        <v>1</v>
      </c>
      <c r="U4372">
        <v>0</v>
      </c>
      <c r="V4372" t="s">
        <v>38</v>
      </c>
      <c r="W4372">
        <v>2</v>
      </c>
    </row>
    <row r="4373" spans="1:23" x14ac:dyDescent="0.2">
      <c r="A4373">
        <v>5146041</v>
      </c>
      <c r="B4373" t="s">
        <v>18</v>
      </c>
      <c r="C4373" t="s">
        <v>19</v>
      </c>
      <c r="D4373" t="s">
        <v>20</v>
      </c>
      <c r="E4373">
        <v>0</v>
      </c>
      <c r="F4373">
        <v>360000</v>
      </c>
      <c r="G4373" t="s">
        <v>26</v>
      </c>
      <c r="H4373" t="s">
        <v>27</v>
      </c>
      <c r="I4373" t="s">
        <v>33</v>
      </c>
      <c r="J4373" t="s">
        <v>24</v>
      </c>
      <c r="K4373" s="6">
        <f t="shared" ca="1" si="280"/>
        <v>27184</v>
      </c>
      <c r="L4373">
        <v>-18577</v>
      </c>
      <c r="M4373" s="7">
        <f t="shared" ca="1" si="278"/>
        <v>50.861054072553046</v>
      </c>
      <c r="N4373" s="5" t="str">
        <f ca="1">VLOOKUP(Data!M4373,temp!$B$3:$C$9,2,1)</f>
        <v>50-60</v>
      </c>
      <c r="O4373">
        <v>-2441</v>
      </c>
      <c r="P4373" s="8">
        <f t="shared" si="279"/>
        <v>6.6830937713894594</v>
      </c>
      <c r="Q4373" s="5" t="str">
        <f t="shared" si="281"/>
        <v>Employed</v>
      </c>
      <c r="R4373">
        <v>1</v>
      </c>
      <c r="S4373">
        <v>0</v>
      </c>
      <c r="T4373">
        <v>0</v>
      </c>
      <c r="U4373">
        <v>0</v>
      </c>
      <c r="V4373" t="s">
        <v>44</v>
      </c>
      <c r="W4373">
        <v>1</v>
      </c>
    </row>
    <row r="4374" spans="1:23" x14ac:dyDescent="0.2">
      <c r="A4374">
        <v>5146043</v>
      </c>
      <c r="B4374" t="s">
        <v>18</v>
      </c>
      <c r="C4374" t="s">
        <v>19</v>
      </c>
      <c r="D4374" t="s">
        <v>20</v>
      </c>
      <c r="E4374">
        <v>0</v>
      </c>
      <c r="F4374">
        <v>360000</v>
      </c>
      <c r="G4374" t="s">
        <v>26</v>
      </c>
      <c r="H4374" t="s">
        <v>27</v>
      </c>
      <c r="I4374" t="s">
        <v>33</v>
      </c>
      <c r="J4374" t="s">
        <v>24</v>
      </c>
      <c r="K4374" s="6">
        <f t="shared" ca="1" si="280"/>
        <v>27184</v>
      </c>
      <c r="L4374">
        <v>-18577</v>
      </c>
      <c r="M4374" s="7">
        <f t="shared" ca="1" si="278"/>
        <v>50.861054072553046</v>
      </c>
      <c r="N4374" s="5" t="str">
        <f ca="1">VLOOKUP(Data!M4374,temp!$B$3:$C$9,2,1)</f>
        <v>50-60</v>
      </c>
      <c r="O4374">
        <v>-2441</v>
      </c>
      <c r="P4374" s="8">
        <f t="shared" si="279"/>
        <v>6.6830937713894594</v>
      </c>
      <c r="Q4374" s="5" t="str">
        <f t="shared" si="281"/>
        <v>Employed</v>
      </c>
      <c r="R4374">
        <v>1</v>
      </c>
      <c r="S4374">
        <v>0</v>
      </c>
      <c r="T4374">
        <v>0</v>
      </c>
      <c r="U4374">
        <v>0</v>
      </c>
      <c r="V4374" t="s">
        <v>44</v>
      </c>
      <c r="W4374">
        <v>1</v>
      </c>
    </row>
    <row r="4375" spans="1:23" x14ac:dyDescent="0.2">
      <c r="A4375">
        <v>5146062</v>
      </c>
      <c r="B4375" t="s">
        <v>18</v>
      </c>
      <c r="C4375" t="s">
        <v>19</v>
      </c>
      <c r="D4375" t="s">
        <v>20</v>
      </c>
      <c r="E4375">
        <v>0</v>
      </c>
      <c r="F4375">
        <v>157500</v>
      </c>
      <c r="G4375" t="s">
        <v>31</v>
      </c>
      <c r="H4375" t="s">
        <v>27</v>
      </c>
      <c r="I4375" t="s">
        <v>23</v>
      </c>
      <c r="J4375" t="s">
        <v>24</v>
      </c>
      <c r="K4375" s="6">
        <f t="shared" ca="1" si="280"/>
        <v>26310</v>
      </c>
      <c r="L4375">
        <v>-19451</v>
      </c>
      <c r="M4375" s="7">
        <f t="shared" ca="1" si="278"/>
        <v>53.2539356605065</v>
      </c>
      <c r="N4375" s="5" t="str">
        <f ca="1">VLOOKUP(Data!M4375,temp!$B$3:$C$9,2,1)</f>
        <v>50-60</v>
      </c>
      <c r="O4375">
        <v>-278</v>
      </c>
      <c r="P4375" s="8">
        <f t="shared" si="279"/>
        <v>0.76112251882272419</v>
      </c>
      <c r="Q4375" s="5" t="str">
        <f t="shared" si="281"/>
        <v>Employed</v>
      </c>
      <c r="R4375">
        <v>1</v>
      </c>
      <c r="S4375">
        <v>0</v>
      </c>
      <c r="T4375">
        <v>0</v>
      </c>
      <c r="U4375">
        <v>0</v>
      </c>
      <c r="V4375" t="s">
        <v>29</v>
      </c>
      <c r="W4375">
        <v>1</v>
      </c>
    </row>
    <row r="4376" spans="1:23" x14ac:dyDescent="0.2">
      <c r="A4376">
        <v>5146064</v>
      </c>
      <c r="B4376" t="s">
        <v>25</v>
      </c>
      <c r="C4376" t="s">
        <v>20</v>
      </c>
      <c r="D4376" t="s">
        <v>20</v>
      </c>
      <c r="E4376">
        <v>0</v>
      </c>
      <c r="F4376">
        <v>180000</v>
      </c>
      <c r="G4376" t="s">
        <v>21</v>
      </c>
      <c r="H4376" t="s">
        <v>27</v>
      </c>
      <c r="I4376" t="s">
        <v>33</v>
      </c>
      <c r="J4376" t="s">
        <v>24</v>
      </c>
      <c r="K4376" s="6">
        <f t="shared" ca="1" si="280"/>
        <v>23335</v>
      </c>
      <c r="L4376">
        <v>-22426</v>
      </c>
      <c r="M4376" s="7">
        <f t="shared" ca="1" si="278"/>
        <v>61.399041752224505</v>
      </c>
      <c r="N4376" s="5" t="str">
        <f ca="1">VLOOKUP(Data!M4376,temp!$B$3:$C$9,2,1)</f>
        <v>60-70</v>
      </c>
      <c r="O4376">
        <v>365243</v>
      </c>
      <c r="P4376" s="8">
        <f t="shared" si="279"/>
        <v>0</v>
      </c>
      <c r="Q4376" s="5" t="str">
        <f t="shared" si="281"/>
        <v>Unemployed</v>
      </c>
      <c r="R4376">
        <v>1</v>
      </c>
      <c r="S4376">
        <v>0</v>
      </c>
      <c r="T4376">
        <v>0</v>
      </c>
      <c r="U4376">
        <v>0</v>
      </c>
      <c r="W4376">
        <v>1</v>
      </c>
    </row>
    <row r="4377" spans="1:23" x14ac:dyDescent="0.2">
      <c r="A4377">
        <v>5146077</v>
      </c>
      <c r="B4377" t="s">
        <v>18</v>
      </c>
      <c r="C4377" t="s">
        <v>19</v>
      </c>
      <c r="D4377" t="s">
        <v>20</v>
      </c>
      <c r="E4377">
        <v>1</v>
      </c>
      <c r="F4377">
        <v>108000</v>
      </c>
      <c r="G4377" t="s">
        <v>31</v>
      </c>
      <c r="H4377" t="s">
        <v>27</v>
      </c>
      <c r="I4377" t="s">
        <v>28</v>
      </c>
      <c r="J4377" t="s">
        <v>24</v>
      </c>
      <c r="K4377" s="6">
        <f t="shared" ca="1" si="280"/>
        <v>33038</v>
      </c>
      <c r="L4377">
        <v>-12723</v>
      </c>
      <c r="M4377" s="7">
        <f t="shared" ca="1" si="278"/>
        <v>34.833675564681727</v>
      </c>
      <c r="N4377" s="5" t="str">
        <f ca="1">VLOOKUP(Data!M4377,temp!$B$3:$C$9,2,1)</f>
        <v>30-40</v>
      </c>
      <c r="O4377">
        <v>-1132</v>
      </c>
      <c r="P4377" s="8">
        <f t="shared" si="279"/>
        <v>3.0992470910335386</v>
      </c>
      <c r="Q4377" s="5" t="str">
        <f t="shared" si="281"/>
        <v>Employed</v>
      </c>
      <c r="R4377">
        <v>1</v>
      </c>
      <c r="S4377">
        <v>1</v>
      </c>
      <c r="T4377">
        <v>1</v>
      </c>
      <c r="U4377">
        <v>0</v>
      </c>
      <c r="V4377" t="s">
        <v>39</v>
      </c>
      <c r="W4377">
        <v>3</v>
      </c>
    </row>
    <row r="4378" spans="1:23" x14ac:dyDescent="0.2">
      <c r="A4378">
        <v>5146086</v>
      </c>
      <c r="B4378" t="s">
        <v>25</v>
      </c>
      <c r="C4378" t="s">
        <v>19</v>
      </c>
      <c r="D4378" t="s">
        <v>19</v>
      </c>
      <c r="E4378">
        <v>0</v>
      </c>
      <c r="F4378">
        <v>148500</v>
      </c>
      <c r="G4378" t="s">
        <v>31</v>
      </c>
      <c r="H4378" t="s">
        <v>27</v>
      </c>
      <c r="I4378" t="s">
        <v>33</v>
      </c>
      <c r="J4378" t="s">
        <v>45</v>
      </c>
      <c r="K4378" s="6">
        <f t="shared" ca="1" si="280"/>
        <v>31639</v>
      </c>
      <c r="L4378">
        <v>-14122</v>
      </c>
      <c r="M4378" s="7">
        <f t="shared" ca="1" si="278"/>
        <v>38.663928815879537</v>
      </c>
      <c r="N4378" s="5" t="str">
        <f ca="1">VLOOKUP(Data!M4378,temp!$B$3:$C$9,2,1)</f>
        <v>30-40</v>
      </c>
      <c r="O4378">
        <v>-1193</v>
      </c>
      <c r="P4378" s="8">
        <f t="shared" si="279"/>
        <v>3.2662559890485969</v>
      </c>
      <c r="Q4378" s="5" t="str">
        <f t="shared" si="281"/>
        <v>Employed</v>
      </c>
      <c r="R4378">
        <v>1</v>
      </c>
      <c r="S4378">
        <v>0</v>
      </c>
      <c r="T4378">
        <v>0</v>
      </c>
      <c r="U4378">
        <v>1</v>
      </c>
      <c r="V4378" t="s">
        <v>29</v>
      </c>
      <c r="W4378">
        <v>1</v>
      </c>
    </row>
    <row r="4379" spans="1:23" x14ac:dyDescent="0.2">
      <c r="A4379">
        <v>5146087</v>
      </c>
      <c r="B4379" t="s">
        <v>25</v>
      </c>
      <c r="C4379" t="s">
        <v>19</v>
      </c>
      <c r="D4379" t="s">
        <v>19</v>
      </c>
      <c r="E4379">
        <v>0</v>
      </c>
      <c r="F4379">
        <v>148500</v>
      </c>
      <c r="G4379" t="s">
        <v>31</v>
      </c>
      <c r="H4379" t="s">
        <v>27</v>
      </c>
      <c r="I4379" t="s">
        <v>33</v>
      </c>
      <c r="J4379" t="s">
        <v>45</v>
      </c>
      <c r="K4379" s="6">
        <f t="shared" ca="1" si="280"/>
        <v>31639</v>
      </c>
      <c r="L4379">
        <v>-14122</v>
      </c>
      <c r="M4379" s="7">
        <f t="shared" ca="1" si="278"/>
        <v>38.663928815879537</v>
      </c>
      <c r="N4379" s="5" t="str">
        <f ca="1">VLOOKUP(Data!M4379,temp!$B$3:$C$9,2,1)</f>
        <v>30-40</v>
      </c>
      <c r="O4379">
        <v>-1193</v>
      </c>
      <c r="P4379" s="8">
        <f t="shared" si="279"/>
        <v>3.2662559890485969</v>
      </c>
      <c r="Q4379" s="5" t="str">
        <f t="shared" si="281"/>
        <v>Employed</v>
      </c>
      <c r="R4379">
        <v>1</v>
      </c>
      <c r="S4379">
        <v>0</v>
      </c>
      <c r="T4379">
        <v>0</v>
      </c>
      <c r="U4379">
        <v>1</v>
      </c>
      <c r="V4379" t="s">
        <v>29</v>
      </c>
      <c r="W4379">
        <v>1</v>
      </c>
    </row>
    <row r="4380" spans="1:23" x14ac:dyDescent="0.2">
      <c r="A4380">
        <v>5146098</v>
      </c>
      <c r="B4380" t="s">
        <v>18</v>
      </c>
      <c r="C4380" t="s">
        <v>20</v>
      </c>
      <c r="D4380" t="s">
        <v>20</v>
      </c>
      <c r="E4380">
        <v>0</v>
      </c>
      <c r="F4380">
        <v>175500</v>
      </c>
      <c r="G4380" t="s">
        <v>31</v>
      </c>
      <c r="H4380" t="s">
        <v>27</v>
      </c>
      <c r="I4380" t="s">
        <v>28</v>
      </c>
      <c r="J4380" t="s">
        <v>24</v>
      </c>
      <c r="K4380" s="6">
        <f t="shared" ca="1" si="280"/>
        <v>27708</v>
      </c>
      <c r="L4380">
        <v>-18053</v>
      </c>
      <c r="M4380" s="7">
        <f t="shared" ca="1" si="278"/>
        <v>49.426420260095824</v>
      </c>
      <c r="N4380" s="5" t="str">
        <f ca="1">VLOOKUP(Data!M4380,temp!$B$3:$C$9,2,1)</f>
        <v>40-50</v>
      </c>
      <c r="O4380">
        <v>-3141</v>
      </c>
      <c r="P4380" s="8">
        <f t="shared" si="279"/>
        <v>8.5995893223819309</v>
      </c>
      <c r="Q4380" s="5" t="str">
        <f t="shared" si="281"/>
        <v>Employed</v>
      </c>
      <c r="R4380">
        <v>1</v>
      </c>
      <c r="S4380">
        <v>0</v>
      </c>
      <c r="T4380">
        <v>0</v>
      </c>
      <c r="U4380">
        <v>0</v>
      </c>
      <c r="V4380" t="s">
        <v>39</v>
      </c>
      <c r="W4380">
        <v>2</v>
      </c>
    </row>
    <row r="4381" spans="1:23" x14ac:dyDescent="0.2">
      <c r="A4381">
        <v>5146103</v>
      </c>
      <c r="B4381" t="s">
        <v>18</v>
      </c>
      <c r="C4381" t="s">
        <v>20</v>
      </c>
      <c r="D4381" t="s">
        <v>20</v>
      </c>
      <c r="E4381">
        <v>0</v>
      </c>
      <c r="F4381">
        <v>175500</v>
      </c>
      <c r="G4381" t="s">
        <v>31</v>
      </c>
      <c r="H4381" t="s">
        <v>27</v>
      </c>
      <c r="I4381" t="s">
        <v>28</v>
      </c>
      <c r="J4381" t="s">
        <v>24</v>
      </c>
      <c r="K4381" s="6">
        <f t="shared" ca="1" si="280"/>
        <v>27708</v>
      </c>
      <c r="L4381">
        <v>-18053</v>
      </c>
      <c r="M4381" s="7">
        <f t="shared" ca="1" si="278"/>
        <v>49.426420260095824</v>
      </c>
      <c r="N4381" s="5" t="str">
        <f ca="1">VLOOKUP(Data!M4381,temp!$B$3:$C$9,2,1)</f>
        <v>40-50</v>
      </c>
      <c r="O4381">
        <v>-3141</v>
      </c>
      <c r="P4381" s="8">
        <f t="shared" si="279"/>
        <v>8.5995893223819309</v>
      </c>
      <c r="Q4381" s="5" t="str">
        <f t="shared" si="281"/>
        <v>Employed</v>
      </c>
      <c r="R4381">
        <v>1</v>
      </c>
      <c r="S4381">
        <v>0</v>
      </c>
      <c r="T4381">
        <v>0</v>
      </c>
      <c r="U4381">
        <v>0</v>
      </c>
      <c r="V4381" t="s">
        <v>39</v>
      </c>
      <c r="W4381">
        <v>2</v>
      </c>
    </row>
    <row r="4382" spans="1:23" x14ac:dyDescent="0.2">
      <c r="A4382">
        <v>5146126</v>
      </c>
      <c r="B4382" t="s">
        <v>18</v>
      </c>
      <c r="C4382" t="s">
        <v>20</v>
      </c>
      <c r="D4382" t="s">
        <v>20</v>
      </c>
      <c r="E4382">
        <v>0</v>
      </c>
      <c r="F4382">
        <v>180000</v>
      </c>
      <c r="G4382" t="s">
        <v>31</v>
      </c>
      <c r="H4382" t="s">
        <v>27</v>
      </c>
      <c r="I4382" t="s">
        <v>37</v>
      </c>
      <c r="J4382" t="s">
        <v>24</v>
      </c>
      <c r="K4382" s="6">
        <f t="shared" ca="1" si="280"/>
        <v>30224</v>
      </c>
      <c r="L4382">
        <v>-15537</v>
      </c>
      <c r="M4382" s="7">
        <f t="shared" ca="1" si="278"/>
        <v>42.53798767967146</v>
      </c>
      <c r="N4382" s="5" t="str">
        <f ca="1">VLOOKUP(Data!M4382,temp!$B$3:$C$9,2,1)</f>
        <v>40-50</v>
      </c>
      <c r="O4382">
        <v>-7218</v>
      </c>
      <c r="P4382" s="8">
        <f t="shared" si="279"/>
        <v>19.761806981519506</v>
      </c>
      <c r="Q4382" s="5" t="str">
        <f t="shared" si="281"/>
        <v>Employed</v>
      </c>
      <c r="R4382">
        <v>1</v>
      </c>
      <c r="S4382">
        <v>0</v>
      </c>
      <c r="T4382">
        <v>0</v>
      </c>
      <c r="U4382">
        <v>0</v>
      </c>
      <c r="W4382">
        <v>2</v>
      </c>
    </row>
    <row r="4383" spans="1:23" x14ac:dyDescent="0.2">
      <c r="A4383">
        <v>5146140</v>
      </c>
      <c r="B4383" t="s">
        <v>18</v>
      </c>
      <c r="C4383" t="s">
        <v>19</v>
      </c>
      <c r="D4383" t="s">
        <v>20</v>
      </c>
      <c r="E4383">
        <v>0</v>
      </c>
      <c r="F4383">
        <v>135000</v>
      </c>
      <c r="G4383" t="s">
        <v>31</v>
      </c>
      <c r="H4383" t="s">
        <v>27</v>
      </c>
      <c r="I4383" t="s">
        <v>28</v>
      </c>
      <c r="J4383" t="s">
        <v>24</v>
      </c>
      <c r="K4383" s="6">
        <f t="shared" ca="1" si="280"/>
        <v>35591</v>
      </c>
      <c r="L4383">
        <v>-10170</v>
      </c>
      <c r="M4383" s="7">
        <f t="shared" ca="1" si="278"/>
        <v>27.843942505133469</v>
      </c>
      <c r="N4383" s="5" t="str">
        <f ca="1">VLOOKUP(Data!M4383,temp!$B$3:$C$9,2,1)</f>
        <v>20-30</v>
      </c>
      <c r="O4383">
        <v>-2196</v>
      </c>
      <c r="P4383" s="8">
        <f t="shared" si="279"/>
        <v>6.0123203285420947</v>
      </c>
      <c r="Q4383" s="5" t="str">
        <f t="shared" si="281"/>
        <v>Employed</v>
      </c>
      <c r="R4383">
        <v>1</v>
      </c>
      <c r="S4383">
        <v>1</v>
      </c>
      <c r="T4383">
        <v>1</v>
      </c>
      <c r="U4383">
        <v>0</v>
      </c>
      <c r="V4383" t="s">
        <v>55</v>
      </c>
      <c r="W4383">
        <v>2</v>
      </c>
    </row>
    <row r="4384" spans="1:23" x14ac:dyDescent="0.2">
      <c r="A4384">
        <v>5146143</v>
      </c>
      <c r="B4384" t="s">
        <v>25</v>
      </c>
      <c r="C4384" t="s">
        <v>19</v>
      </c>
      <c r="D4384" t="s">
        <v>20</v>
      </c>
      <c r="E4384">
        <v>0</v>
      </c>
      <c r="F4384">
        <v>135000</v>
      </c>
      <c r="G4384" t="s">
        <v>26</v>
      </c>
      <c r="H4384" t="s">
        <v>22</v>
      </c>
      <c r="I4384" t="s">
        <v>28</v>
      </c>
      <c r="J4384" t="s">
        <v>24</v>
      </c>
      <c r="K4384" s="6">
        <f t="shared" ca="1" si="280"/>
        <v>27208</v>
      </c>
      <c r="L4384">
        <v>-18553</v>
      </c>
      <c r="M4384" s="7">
        <f t="shared" ca="1" si="278"/>
        <v>50.795345653661876</v>
      </c>
      <c r="N4384" s="5" t="str">
        <f ca="1">VLOOKUP(Data!M4384,temp!$B$3:$C$9,2,1)</f>
        <v>50-60</v>
      </c>
      <c r="O4384">
        <v>-4084</v>
      </c>
      <c r="P4384" s="8">
        <f t="shared" si="279"/>
        <v>11.181382614647502</v>
      </c>
      <c r="Q4384" s="5" t="str">
        <f t="shared" si="281"/>
        <v>Employed</v>
      </c>
      <c r="R4384">
        <v>1</v>
      </c>
      <c r="S4384">
        <v>0</v>
      </c>
      <c r="T4384">
        <v>0</v>
      </c>
      <c r="U4384">
        <v>0</v>
      </c>
      <c r="V4384" t="s">
        <v>32</v>
      </c>
      <c r="W4384">
        <v>2</v>
      </c>
    </row>
    <row r="4385" spans="1:23" x14ac:dyDescent="0.2">
      <c r="A4385">
        <v>5146157</v>
      </c>
      <c r="B4385" t="s">
        <v>18</v>
      </c>
      <c r="C4385" t="s">
        <v>19</v>
      </c>
      <c r="D4385" t="s">
        <v>20</v>
      </c>
      <c r="E4385">
        <v>0</v>
      </c>
      <c r="F4385">
        <v>247500</v>
      </c>
      <c r="G4385" t="s">
        <v>21</v>
      </c>
      <c r="H4385" t="s">
        <v>27</v>
      </c>
      <c r="I4385" t="s">
        <v>33</v>
      </c>
      <c r="J4385" t="s">
        <v>24</v>
      </c>
      <c r="K4385" s="6">
        <f t="shared" ca="1" si="280"/>
        <v>23931</v>
      </c>
      <c r="L4385">
        <v>-21830</v>
      </c>
      <c r="M4385" s="7">
        <f t="shared" ca="1" si="278"/>
        <v>59.767282683093768</v>
      </c>
      <c r="N4385" s="5" t="str">
        <f ca="1">VLOOKUP(Data!M4385,temp!$B$3:$C$9,2,1)</f>
        <v>50-60</v>
      </c>
      <c r="O4385">
        <v>365243</v>
      </c>
      <c r="P4385" s="8">
        <f t="shared" si="279"/>
        <v>0</v>
      </c>
      <c r="Q4385" s="5" t="str">
        <f t="shared" si="281"/>
        <v>Unemployed</v>
      </c>
      <c r="R4385">
        <v>1</v>
      </c>
      <c r="S4385">
        <v>0</v>
      </c>
      <c r="T4385">
        <v>1</v>
      </c>
      <c r="U4385">
        <v>0</v>
      </c>
      <c r="W4385">
        <v>1</v>
      </c>
    </row>
    <row r="4386" spans="1:23" x14ac:dyDescent="0.2">
      <c r="A4386">
        <v>5146175</v>
      </c>
      <c r="B4386" t="s">
        <v>18</v>
      </c>
      <c r="C4386" t="s">
        <v>20</v>
      </c>
      <c r="D4386" t="s">
        <v>20</v>
      </c>
      <c r="E4386">
        <v>2</v>
      </c>
      <c r="F4386">
        <v>180000</v>
      </c>
      <c r="G4386" t="s">
        <v>31</v>
      </c>
      <c r="H4386" t="s">
        <v>22</v>
      </c>
      <c r="I4386" t="s">
        <v>33</v>
      </c>
      <c r="J4386" t="s">
        <v>45</v>
      </c>
      <c r="K4386" s="6">
        <f t="shared" ca="1" si="280"/>
        <v>35328</v>
      </c>
      <c r="L4386">
        <v>-10433</v>
      </c>
      <c r="M4386" s="7">
        <f t="shared" ca="1" si="278"/>
        <v>28.563997262149211</v>
      </c>
      <c r="N4386" s="5" t="str">
        <f ca="1">VLOOKUP(Data!M4386,temp!$B$3:$C$9,2,1)</f>
        <v>20-30</v>
      </c>
      <c r="O4386">
        <v>-3019</v>
      </c>
      <c r="P4386" s="8">
        <f t="shared" si="279"/>
        <v>8.2655715263518132</v>
      </c>
      <c r="Q4386" s="5" t="str">
        <f t="shared" si="281"/>
        <v>Employed</v>
      </c>
      <c r="R4386">
        <v>1</v>
      </c>
      <c r="S4386">
        <v>0</v>
      </c>
      <c r="T4386">
        <v>0</v>
      </c>
      <c r="U4386">
        <v>0</v>
      </c>
      <c r="V4386" t="s">
        <v>29</v>
      </c>
      <c r="W4386">
        <v>3</v>
      </c>
    </row>
    <row r="4387" spans="1:23" x14ac:dyDescent="0.2">
      <c r="A4387">
        <v>5146187</v>
      </c>
      <c r="B4387" t="s">
        <v>25</v>
      </c>
      <c r="C4387" t="s">
        <v>19</v>
      </c>
      <c r="D4387" t="s">
        <v>19</v>
      </c>
      <c r="E4387">
        <v>0</v>
      </c>
      <c r="F4387">
        <v>202500</v>
      </c>
      <c r="G4387" t="s">
        <v>31</v>
      </c>
      <c r="H4387" t="s">
        <v>27</v>
      </c>
      <c r="I4387" t="s">
        <v>28</v>
      </c>
      <c r="J4387" t="s">
        <v>45</v>
      </c>
      <c r="K4387" s="6">
        <f t="shared" ca="1" si="280"/>
        <v>27480</v>
      </c>
      <c r="L4387">
        <v>-18281</v>
      </c>
      <c r="M4387" s="7">
        <f t="shared" ca="1" si="278"/>
        <v>50.050650239561946</v>
      </c>
      <c r="N4387" s="5" t="str">
        <f ca="1">VLOOKUP(Data!M4387,temp!$B$3:$C$9,2,1)</f>
        <v>50-60</v>
      </c>
      <c r="O4387">
        <v>-3596</v>
      </c>
      <c r="P4387" s="8">
        <f t="shared" si="279"/>
        <v>9.8453114305270368</v>
      </c>
      <c r="Q4387" s="5" t="str">
        <f t="shared" si="281"/>
        <v>Employed</v>
      </c>
      <c r="R4387">
        <v>1</v>
      </c>
      <c r="S4387">
        <v>0</v>
      </c>
      <c r="T4387">
        <v>0</v>
      </c>
      <c r="U4387">
        <v>0</v>
      </c>
      <c r="V4387" t="s">
        <v>29</v>
      </c>
      <c r="W4387">
        <v>2</v>
      </c>
    </row>
    <row r="4388" spans="1:23" x14ac:dyDescent="0.2">
      <c r="A4388">
        <v>5146191</v>
      </c>
      <c r="B4388" t="s">
        <v>25</v>
      </c>
      <c r="C4388" t="s">
        <v>19</v>
      </c>
      <c r="D4388" t="s">
        <v>20</v>
      </c>
      <c r="E4388">
        <v>0</v>
      </c>
      <c r="F4388">
        <v>270000</v>
      </c>
      <c r="G4388" t="s">
        <v>21</v>
      </c>
      <c r="H4388" t="s">
        <v>27</v>
      </c>
      <c r="I4388" t="s">
        <v>28</v>
      </c>
      <c r="J4388" t="s">
        <v>24</v>
      </c>
      <c r="K4388" s="6">
        <f t="shared" ca="1" si="280"/>
        <v>28714</v>
      </c>
      <c r="L4388">
        <v>-17047</v>
      </c>
      <c r="M4388" s="7">
        <f t="shared" ca="1" si="278"/>
        <v>46.672142368240934</v>
      </c>
      <c r="N4388" s="5" t="str">
        <f ca="1">VLOOKUP(Data!M4388,temp!$B$3:$C$9,2,1)</f>
        <v>40-50</v>
      </c>
      <c r="O4388">
        <v>365243</v>
      </c>
      <c r="P4388" s="8">
        <f t="shared" si="279"/>
        <v>0</v>
      </c>
      <c r="Q4388" s="5" t="str">
        <f t="shared" si="281"/>
        <v>Unemployed</v>
      </c>
      <c r="R4388">
        <v>1</v>
      </c>
      <c r="S4388">
        <v>0</v>
      </c>
      <c r="T4388">
        <v>0</v>
      </c>
      <c r="U4388">
        <v>0</v>
      </c>
      <c r="W4388">
        <v>2</v>
      </c>
    </row>
    <row r="4389" spans="1:23" x14ac:dyDescent="0.2">
      <c r="A4389">
        <v>5146236</v>
      </c>
      <c r="B4389" t="s">
        <v>18</v>
      </c>
      <c r="C4389" t="s">
        <v>19</v>
      </c>
      <c r="D4389" t="s">
        <v>20</v>
      </c>
      <c r="E4389">
        <v>0</v>
      </c>
      <c r="F4389">
        <v>157500</v>
      </c>
      <c r="G4389" t="s">
        <v>31</v>
      </c>
      <c r="H4389" t="s">
        <v>22</v>
      </c>
      <c r="I4389" t="s">
        <v>37</v>
      </c>
      <c r="J4389" t="s">
        <v>41</v>
      </c>
      <c r="K4389" s="6">
        <f t="shared" ca="1" si="280"/>
        <v>37523</v>
      </c>
      <c r="L4389">
        <v>-8238</v>
      </c>
      <c r="M4389" s="7">
        <f t="shared" ca="1" si="278"/>
        <v>22.55441478439425</v>
      </c>
      <c r="N4389" s="5" t="str">
        <f ca="1">VLOOKUP(Data!M4389,temp!$B$3:$C$9,2,1)</f>
        <v>20-30</v>
      </c>
      <c r="O4389">
        <v>-674</v>
      </c>
      <c r="P4389" s="8">
        <f t="shared" si="279"/>
        <v>1.8453114305270362</v>
      </c>
      <c r="Q4389" s="5" t="str">
        <f t="shared" si="281"/>
        <v>Employed</v>
      </c>
      <c r="R4389">
        <v>1</v>
      </c>
      <c r="S4389">
        <v>0</v>
      </c>
      <c r="T4389">
        <v>0</v>
      </c>
      <c r="U4389">
        <v>0</v>
      </c>
      <c r="V4389" t="s">
        <v>44</v>
      </c>
      <c r="W4389">
        <v>2</v>
      </c>
    </row>
    <row r="4390" spans="1:23" x14ac:dyDescent="0.2">
      <c r="A4390">
        <v>5146245</v>
      </c>
      <c r="B4390" t="s">
        <v>18</v>
      </c>
      <c r="C4390" t="s">
        <v>19</v>
      </c>
      <c r="D4390" t="s">
        <v>20</v>
      </c>
      <c r="E4390">
        <v>0</v>
      </c>
      <c r="F4390">
        <v>238500</v>
      </c>
      <c r="G4390" t="s">
        <v>21</v>
      </c>
      <c r="H4390" t="s">
        <v>27</v>
      </c>
      <c r="I4390" t="s">
        <v>28</v>
      </c>
      <c r="J4390" t="s">
        <v>24</v>
      </c>
      <c r="K4390" s="6">
        <f t="shared" ca="1" si="280"/>
        <v>22590</v>
      </c>
      <c r="L4390">
        <v>-23171</v>
      </c>
      <c r="M4390" s="7">
        <f t="shared" ca="1" si="278"/>
        <v>63.43874058863792</v>
      </c>
      <c r="N4390" s="5" t="str">
        <f ca="1">VLOOKUP(Data!M4390,temp!$B$3:$C$9,2,1)</f>
        <v>60-70</v>
      </c>
      <c r="O4390">
        <v>365243</v>
      </c>
      <c r="P4390" s="8">
        <f t="shared" si="279"/>
        <v>0</v>
      </c>
      <c r="Q4390" s="5" t="str">
        <f t="shared" si="281"/>
        <v>Unemployed</v>
      </c>
      <c r="R4390">
        <v>1</v>
      </c>
      <c r="S4390">
        <v>0</v>
      </c>
      <c r="T4390">
        <v>0</v>
      </c>
      <c r="U4390">
        <v>0</v>
      </c>
      <c r="W4390">
        <v>2</v>
      </c>
    </row>
    <row r="4391" spans="1:23" x14ac:dyDescent="0.2">
      <c r="A4391">
        <v>5146285</v>
      </c>
      <c r="B4391" t="s">
        <v>18</v>
      </c>
      <c r="C4391" t="s">
        <v>19</v>
      </c>
      <c r="D4391" t="s">
        <v>20</v>
      </c>
      <c r="E4391">
        <v>0</v>
      </c>
      <c r="F4391">
        <v>180000</v>
      </c>
      <c r="G4391" t="s">
        <v>35</v>
      </c>
      <c r="H4391" t="s">
        <v>27</v>
      </c>
      <c r="I4391" t="s">
        <v>37</v>
      </c>
      <c r="J4391" t="s">
        <v>24</v>
      </c>
      <c r="K4391" s="6">
        <f t="shared" ca="1" si="280"/>
        <v>29670</v>
      </c>
      <c r="L4391">
        <v>-16091</v>
      </c>
      <c r="M4391" s="7">
        <f t="shared" ca="1" si="278"/>
        <v>44.054757015742645</v>
      </c>
      <c r="N4391" s="5" t="str">
        <f ca="1">VLOOKUP(Data!M4391,temp!$B$3:$C$9,2,1)</f>
        <v>40-50</v>
      </c>
      <c r="O4391">
        <v>-7371</v>
      </c>
      <c r="P4391" s="8">
        <f t="shared" si="279"/>
        <v>20.180698151950718</v>
      </c>
      <c r="Q4391" s="5" t="str">
        <f t="shared" si="281"/>
        <v>Employed</v>
      </c>
      <c r="R4391">
        <v>1</v>
      </c>
      <c r="S4391">
        <v>1</v>
      </c>
      <c r="T4391">
        <v>0</v>
      </c>
      <c r="U4391">
        <v>0</v>
      </c>
      <c r="V4391" t="s">
        <v>38</v>
      </c>
      <c r="W4391">
        <v>2</v>
      </c>
    </row>
    <row r="4392" spans="1:23" x14ac:dyDescent="0.2">
      <c r="A4392">
        <v>5146297</v>
      </c>
      <c r="B4392" t="s">
        <v>18</v>
      </c>
      <c r="C4392" t="s">
        <v>19</v>
      </c>
      <c r="D4392" t="s">
        <v>19</v>
      </c>
      <c r="E4392">
        <v>0</v>
      </c>
      <c r="F4392">
        <v>67500</v>
      </c>
      <c r="G4392" t="s">
        <v>31</v>
      </c>
      <c r="H4392" t="s">
        <v>27</v>
      </c>
      <c r="I4392" t="s">
        <v>28</v>
      </c>
      <c r="J4392" t="s">
        <v>24</v>
      </c>
      <c r="K4392" s="6">
        <f t="shared" ca="1" si="280"/>
        <v>27732</v>
      </c>
      <c r="L4392">
        <v>-18029</v>
      </c>
      <c r="M4392" s="7">
        <f t="shared" ca="1" si="278"/>
        <v>49.360711841204655</v>
      </c>
      <c r="N4392" s="5" t="str">
        <f ca="1">VLOOKUP(Data!M4392,temp!$B$3:$C$9,2,1)</f>
        <v>40-50</v>
      </c>
      <c r="O4392">
        <v>-3902</v>
      </c>
      <c r="P4392" s="8">
        <f t="shared" si="279"/>
        <v>10.683093771389458</v>
      </c>
      <c r="Q4392" s="5" t="str">
        <f t="shared" si="281"/>
        <v>Employed</v>
      </c>
      <c r="R4392">
        <v>1</v>
      </c>
      <c r="S4392">
        <v>1</v>
      </c>
      <c r="T4392">
        <v>0</v>
      </c>
      <c r="U4392">
        <v>0</v>
      </c>
      <c r="V4392" t="s">
        <v>40</v>
      </c>
      <c r="W4392">
        <v>2</v>
      </c>
    </row>
    <row r="4393" spans="1:23" x14ac:dyDescent="0.2">
      <c r="A4393">
        <v>5146298</v>
      </c>
      <c r="B4393" t="s">
        <v>18</v>
      </c>
      <c r="C4393" t="s">
        <v>19</v>
      </c>
      <c r="D4393" t="s">
        <v>19</v>
      </c>
      <c r="E4393">
        <v>0</v>
      </c>
      <c r="F4393">
        <v>67500</v>
      </c>
      <c r="G4393" t="s">
        <v>31</v>
      </c>
      <c r="H4393" t="s">
        <v>27</v>
      </c>
      <c r="I4393" t="s">
        <v>28</v>
      </c>
      <c r="J4393" t="s">
        <v>24</v>
      </c>
      <c r="K4393" s="6">
        <f t="shared" ca="1" si="280"/>
        <v>27732</v>
      </c>
      <c r="L4393">
        <v>-18029</v>
      </c>
      <c r="M4393" s="7">
        <f t="shared" ca="1" si="278"/>
        <v>49.360711841204655</v>
      </c>
      <c r="N4393" s="5" t="str">
        <f ca="1">VLOOKUP(Data!M4393,temp!$B$3:$C$9,2,1)</f>
        <v>40-50</v>
      </c>
      <c r="O4393">
        <v>-3902</v>
      </c>
      <c r="P4393" s="8">
        <f t="shared" si="279"/>
        <v>10.683093771389458</v>
      </c>
      <c r="Q4393" s="5" t="str">
        <f t="shared" si="281"/>
        <v>Employed</v>
      </c>
      <c r="R4393">
        <v>1</v>
      </c>
      <c r="S4393">
        <v>1</v>
      </c>
      <c r="T4393">
        <v>0</v>
      </c>
      <c r="U4393">
        <v>0</v>
      </c>
      <c r="V4393" t="s">
        <v>40</v>
      </c>
      <c r="W4393">
        <v>2</v>
      </c>
    </row>
    <row r="4394" spans="1:23" x14ac:dyDescent="0.2">
      <c r="A4394">
        <v>5146317</v>
      </c>
      <c r="B4394" t="s">
        <v>18</v>
      </c>
      <c r="C4394" t="s">
        <v>19</v>
      </c>
      <c r="D4394" t="s">
        <v>20</v>
      </c>
      <c r="E4394">
        <v>0</v>
      </c>
      <c r="F4394">
        <v>135000</v>
      </c>
      <c r="G4394" t="s">
        <v>31</v>
      </c>
      <c r="H4394" t="s">
        <v>27</v>
      </c>
      <c r="I4394" t="s">
        <v>23</v>
      </c>
      <c r="J4394" t="s">
        <v>24</v>
      </c>
      <c r="K4394" s="6">
        <f t="shared" ca="1" si="280"/>
        <v>31001</v>
      </c>
      <c r="L4394">
        <v>-14760</v>
      </c>
      <c r="M4394" s="7">
        <f t="shared" ca="1" si="278"/>
        <v>40.410677618069812</v>
      </c>
      <c r="N4394" s="5" t="str">
        <f ca="1">VLOOKUP(Data!M4394,temp!$B$3:$C$9,2,1)</f>
        <v>40-50</v>
      </c>
      <c r="O4394">
        <v>-1315</v>
      </c>
      <c r="P4394" s="8">
        <f t="shared" si="279"/>
        <v>3.6002737850787132</v>
      </c>
      <c r="Q4394" s="5" t="str">
        <f t="shared" si="281"/>
        <v>Employed</v>
      </c>
      <c r="R4394">
        <v>1</v>
      </c>
      <c r="S4394">
        <v>0</v>
      </c>
      <c r="T4394">
        <v>0</v>
      </c>
      <c r="U4394">
        <v>0</v>
      </c>
      <c r="W4394">
        <v>1</v>
      </c>
    </row>
    <row r="4395" spans="1:23" x14ac:dyDescent="0.2">
      <c r="A4395">
        <v>5146374</v>
      </c>
      <c r="B4395" t="s">
        <v>25</v>
      </c>
      <c r="C4395" t="s">
        <v>19</v>
      </c>
      <c r="D4395" t="s">
        <v>20</v>
      </c>
      <c r="E4395">
        <v>0</v>
      </c>
      <c r="F4395">
        <v>270000</v>
      </c>
      <c r="G4395" t="s">
        <v>26</v>
      </c>
      <c r="H4395" t="s">
        <v>27</v>
      </c>
      <c r="I4395" t="s">
        <v>28</v>
      </c>
      <c r="J4395" t="s">
        <v>24</v>
      </c>
      <c r="K4395" s="6">
        <f t="shared" ca="1" si="280"/>
        <v>29904</v>
      </c>
      <c r="L4395">
        <v>-15857</v>
      </c>
      <c r="M4395" s="7">
        <f t="shared" ca="1" si="278"/>
        <v>43.414099931553729</v>
      </c>
      <c r="N4395" s="5" t="str">
        <f ca="1">VLOOKUP(Data!M4395,temp!$B$3:$C$9,2,1)</f>
        <v>40-50</v>
      </c>
      <c r="O4395">
        <v>-4633</v>
      </c>
      <c r="P4395" s="8">
        <f t="shared" si="279"/>
        <v>12.684462696783026</v>
      </c>
      <c r="Q4395" s="5" t="str">
        <f t="shared" si="281"/>
        <v>Employed</v>
      </c>
      <c r="R4395">
        <v>1</v>
      </c>
      <c r="S4395">
        <v>0</v>
      </c>
      <c r="T4395">
        <v>0</v>
      </c>
      <c r="U4395">
        <v>0</v>
      </c>
      <c r="V4395" t="s">
        <v>29</v>
      </c>
      <c r="W4395">
        <v>2</v>
      </c>
    </row>
    <row r="4396" spans="1:23" x14ac:dyDescent="0.2">
      <c r="A4396">
        <v>5146390</v>
      </c>
      <c r="B4396" t="s">
        <v>18</v>
      </c>
      <c r="C4396" t="s">
        <v>19</v>
      </c>
      <c r="D4396" t="s">
        <v>20</v>
      </c>
      <c r="E4396">
        <v>0</v>
      </c>
      <c r="F4396">
        <v>198000</v>
      </c>
      <c r="G4396" t="s">
        <v>21</v>
      </c>
      <c r="H4396" t="s">
        <v>27</v>
      </c>
      <c r="I4396" t="s">
        <v>23</v>
      </c>
      <c r="J4396" t="s">
        <v>24</v>
      </c>
      <c r="K4396" s="6">
        <f t="shared" ca="1" si="280"/>
        <v>25247</v>
      </c>
      <c r="L4396">
        <v>-20514</v>
      </c>
      <c r="M4396" s="7">
        <f t="shared" ca="1" si="278"/>
        <v>56.164271047227928</v>
      </c>
      <c r="N4396" s="5" t="str">
        <f ca="1">VLOOKUP(Data!M4396,temp!$B$3:$C$9,2,1)</f>
        <v>50-60</v>
      </c>
      <c r="O4396">
        <v>365243</v>
      </c>
      <c r="P4396" s="8">
        <f t="shared" si="279"/>
        <v>0</v>
      </c>
      <c r="Q4396" s="5" t="str">
        <f t="shared" si="281"/>
        <v>Unemployed</v>
      </c>
      <c r="R4396">
        <v>1</v>
      </c>
      <c r="S4396">
        <v>0</v>
      </c>
      <c r="T4396">
        <v>0</v>
      </c>
      <c r="U4396">
        <v>0</v>
      </c>
      <c r="W4396">
        <v>1</v>
      </c>
    </row>
    <row r="4397" spans="1:23" x14ac:dyDescent="0.2">
      <c r="A4397">
        <v>5146394</v>
      </c>
      <c r="B4397" t="s">
        <v>18</v>
      </c>
      <c r="C4397" t="s">
        <v>19</v>
      </c>
      <c r="D4397" t="s">
        <v>20</v>
      </c>
      <c r="E4397">
        <v>0</v>
      </c>
      <c r="F4397">
        <v>198000</v>
      </c>
      <c r="G4397" t="s">
        <v>21</v>
      </c>
      <c r="H4397" t="s">
        <v>27</v>
      </c>
      <c r="I4397" t="s">
        <v>23</v>
      </c>
      <c r="J4397" t="s">
        <v>24</v>
      </c>
      <c r="K4397" s="6">
        <f t="shared" ca="1" si="280"/>
        <v>25247</v>
      </c>
      <c r="L4397">
        <v>-20514</v>
      </c>
      <c r="M4397" s="7">
        <f t="shared" ca="1" si="278"/>
        <v>56.164271047227928</v>
      </c>
      <c r="N4397" s="5" t="str">
        <f ca="1">VLOOKUP(Data!M4397,temp!$B$3:$C$9,2,1)</f>
        <v>50-60</v>
      </c>
      <c r="O4397">
        <v>365243</v>
      </c>
      <c r="P4397" s="8">
        <f t="shared" si="279"/>
        <v>0</v>
      </c>
      <c r="Q4397" s="5" t="str">
        <f t="shared" si="281"/>
        <v>Unemployed</v>
      </c>
      <c r="R4397">
        <v>1</v>
      </c>
      <c r="S4397">
        <v>0</v>
      </c>
      <c r="T4397">
        <v>0</v>
      </c>
      <c r="U4397">
        <v>0</v>
      </c>
      <c r="W4397">
        <v>1</v>
      </c>
    </row>
    <row r="4398" spans="1:23" x14ac:dyDescent="0.2">
      <c r="A4398">
        <v>5146424</v>
      </c>
      <c r="B4398" t="s">
        <v>18</v>
      </c>
      <c r="C4398" t="s">
        <v>19</v>
      </c>
      <c r="D4398" t="s">
        <v>20</v>
      </c>
      <c r="E4398">
        <v>0</v>
      </c>
      <c r="F4398">
        <v>112500</v>
      </c>
      <c r="G4398" t="s">
        <v>26</v>
      </c>
      <c r="H4398" t="s">
        <v>22</v>
      </c>
      <c r="I4398" t="s">
        <v>37</v>
      </c>
      <c r="J4398" t="s">
        <v>24</v>
      </c>
      <c r="K4398" s="6">
        <f t="shared" ca="1" si="280"/>
        <v>22439</v>
      </c>
      <c r="L4398">
        <v>-23322</v>
      </c>
      <c r="M4398" s="7">
        <f t="shared" ca="1" si="278"/>
        <v>63.852156057494867</v>
      </c>
      <c r="N4398" s="5" t="str">
        <f ca="1">VLOOKUP(Data!M4398,temp!$B$3:$C$9,2,1)</f>
        <v>60-70</v>
      </c>
      <c r="O4398">
        <v>-5607</v>
      </c>
      <c r="P4398" s="8">
        <f t="shared" si="279"/>
        <v>15.351129363449692</v>
      </c>
      <c r="Q4398" s="5" t="str">
        <f t="shared" si="281"/>
        <v>Employed</v>
      </c>
      <c r="R4398">
        <v>1</v>
      </c>
      <c r="S4398">
        <v>0</v>
      </c>
      <c r="T4398">
        <v>0</v>
      </c>
      <c r="U4398">
        <v>0</v>
      </c>
      <c r="V4398" t="s">
        <v>50</v>
      </c>
      <c r="W4398">
        <v>2</v>
      </c>
    </row>
    <row r="4399" spans="1:23" x14ac:dyDescent="0.2">
      <c r="A4399">
        <v>5146431</v>
      </c>
      <c r="B4399" t="s">
        <v>25</v>
      </c>
      <c r="C4399" t="s">
        <v>20</v>
      </c>
      <c r="D4399" t="s">
        <v>19</v>
      </c>
      <c r="E4399">
        <v>0</v>
      </c>
      <c r="F4399">
        <v>261000</v>
      </c>
      <c r="G4399" t="s">
        <v>26</v>
      </c>
      <c r="H4399" t="s">
        <v>36</v>
      </c>
      <c r="I4399" t="s">
        <v>37</v>
      </c>
      <c r="J4399" t="s">
        <v>41</v>
      </c>
      <c r="K4399" s="6">
        <f t="shared" ca="1" si="280"/>
        <v>36864</v>
      </c>
      <c r="L4399">
        <v>-8897</v>
      </c>
      <c r="M4399" s="7">
        <f t="shared" ca="1" si="278"/>
        <v>24.358658453114305</v>
      </c>
      <c r="N4399" s="5" t="str">
        <f ca="1">VLOOKUP(Data!M4399,temp!$B$3:$C$9,2,1)</f>
        <v>20-30</v>
      </c>
      <c r="O4399">
        <v>-674</v>
      </c>
      <c r="P4399" s="8">
        <f t="shared" si="279"/>
        <v>1.8453114305270362</v>
      </c>
      <c r="Q4399" s="5" t="str">
        <f t="shared" si="281"/>
        <v>Employed</v>
      </c>
      <c r="R4399">
        <v>1</v>
      </c>
      <c r="S4399">
        <v>0</v>
      </c>
      <c r="T4399">
        <v>0</v>
      </c>
      <c r="U4399">
        <v>0</v>
      </c>
      <c r="V4399" t="s">
        <v>39</v>
      </c>
      <c r="W4399">
        <v>2</v>
      </c>
    </row>
    <row r="4400" spans="1:23" x14ac:dyDescent="0.2">
      <c r="A4400">
        <v>5146434</v>
      </c>
      <c r="B4400" t="s">
        <v>18</v>
      </c>
      <c r="C4400" t="s">
        <v>19</v>
      </c>
      <c r="D4400" t="s">
        <v>20</v>
      </c>
      <c r="E4400">
        <v>1</v>
      </c>
      <c r="F4400">
        <v>90000</v>
      </c>
      <c r="G4400" t="s">
        <v>26</v>
      </c>
      <c r="H4400" t="s">
        <v>27</v>
      </c>
      <c r="I4400" t="s">
        <v>33</v>
      </c>
      <c r="J4400" t="s">
        <v>24</v>
      </c>
      <c r="K4400" s="6">
        <f t="shared" ca="1" si="280"/>
        <v>35236</v>
      </c>
      <c r="L4400">
        <v>-10525</v>
      </c>
      <c r="M4400" s="7">
        <f t="shared" ca="1" si="278"/>
        <v>28.815879534565365</v>
      </c>
      <c r="N4400" s="5" t="str">
        <f ca="1">VLOOKUP(Data!M4400,temp!$B$3:$C$9,2,1)</f>
        <v>20-30</v>
      </c>
      <c r="O4400">
        <v>-2135</v>
      </c>
      <c r="P4400" s="8">
        <f t="shared" si="279"/>
        <v>5.8453114305270359</v>
      </c>
      <c r="Q4400" s="5" t="str">
        <f t="shared" si="281"/>
        <v>Employed</v>
      </c>
      <c r="R4400">
        <v>1</v>
      </c>
      <c r="S4400">
        <v>1</v>
      </c>
      <c r="T4400">
        <v>1</v>
      </c>
      <c r="U4400">
        <v>0</v>
      </c>
      <c r="V4400" t="s">
        <v>39</v>
      </c>
      <c r="W4400">
        <v>2</v>
      </c>
    </row>
    <row r="4401" spans="1:23" x14ac:dyDescent="0.2">
      <c r="A4401">
        <v>5146447</v>
      </c>
      <c r="B4401" t="s">
        <v>18</v>
      </c>
      <c r="C4401" t="s">
        <v>19</v>
      </c>
      <c r="D4401" t="s">
        <v>20</v>
      </c>
      <c r="E4401">
        <v>0</v>
      </c>
      <c r="F4401">
        <v>135000</v>
      </c>
      <c r="G4401" t="s">
        <v>31</v>
      </c>
      <c r="H4401" t="s">
        <v>27</v>
      </c>
      <c r="I4401" t="s">
        <v>42</v>
      </c>
      <c r="J4401" t="s">
        <v>24</v>
      </c>
      <c r="K4401" s="6">
        <f t="shared" ca="1" si="280"/>
        <v>31367</v>
      </c>
      <c r="L4401">
        <v>-14394</v>
      </c>
      <c r="M4401" s="7">
        <f t="shared" ca="1" si="278"/>
        <v>39.408624229979466</v>
      </c>
      <c r="N4401" s="5" t="str">
        <f ca="1">VLOOKUP(Data!M4401,temp!$B$3:$C$9,2,1)</f>
        <v>30-40</v>
      </c>
      <c r="O4401">
        <v>-919</v>
      </c>
      <c r="P4401" s="8">
        <f t="shared" si="279"/>
        <v>2.516084873374401</v>
      </c>
      <c r="Q4401" s="5" t="str">
        <f t="shared" si="281"/>
        <v>Employed</v>
      </c>
      <c r="R4401">
        <v>1</v>
      </c>
      <c r="S4401">
        <v>0</v>
      </c>
      <c r="T4401">
        <v>1</v>
      </c>
      <c r="U4401">
        <v>0</v>
      </c>
      <c r="V4401" t="s">
        <v>32</v>
      </c>
      <c r="W4401">
        <v>1</v>
      </c>
    </row>
    <row r="4402" spans="1:23" x14ac:dyDescent="0.2">
      <c r="A4402">
        <v>5146459</v>
      </c>
      <c r="B4402" t="s">
        <v>18</v>
      </c>
      <c r="C4402" t="s">
        <v>19</v>
      </c>
      <c r="D4402" t="s">
        <v>20</v>
      </c>
      <c r="E4402">
        <v>0</v>
      </c>
      <c r="F4402">
        <v>135000</v>
      </c>
      <c r="G4402" t="s">
        <v>26</v>
      </c>
      <c r="H4402" t="s">
        <v>27</v>
      </c>
      <c r="I4402" t="s">
        <v>28</v>
      </c>
      <c r="J4402" t="s">
        <v>24</v>
      </c>
      <c r="K4402" s="6">
        <f t="shared" ca="1" si="280"/>
        <v>30354</v>
      </c>
      <c r="L4402">
        <v>-15407</v>
      </c>
      <c r="M4402" s="7">
        <f t="shared" ca="1" si="278"/>
        <v>42.182067077344286</v>
      </c>
      <c r="N4402" s="5" t="str">
        <f ca="1">VLOOKUP(Data!M4402,temp!$B$3:$C$9,2,1)</f>
        <v>40-50</v>
      </c>
      <c r="O4402">
        <v>-1801</v>
      </c>
      <c r="P4402" s="8">
        <f t="shared" si="279"/>
        <v>4.9308692676249146</v>
      </c>
      <c r="Q4402" s="5" t="str">
        <f t="shared" si="281"/>
        <v>Employed</v>
      </c>
      <c r="R4402">
        <v>1</v>
      </c>
      <c r="S4402">
        <v>0</v>
      </c>
      <c r="T4402">
        <v>0</v>
      </c>
      <c r="U4402">
        <v>0</v>
      </c>
      <c r="V4402" t="s">
        <v>54</v>
      </c>
      <c r="W4402">
        <v>2</v>
      </c>
    </row>
    <row r="4403" spans="1:23" x14ac:dyDescent="0.2">
      <c r="A4403">
        <v>5146467</v>
      </c>
      <c r="B4403" t="s">
        <v>25</v>
      </c>
      <c r="C4403" t="s">
        <v>20</v>
      </c>
      <c r="D4403" t="s">
        <v>19</v>
      </c>
      <c r="E4403">
        <v>0</v>
      </c>
      <c r="F4403">
        <v>360000</v>
      </c>
      <c r="G4403" t="s">
        <v>35</v>
      </c>
      <c r="H4403" t="s">
        <v>22</v>
      </c>
      <c r="I4403" t="s">
        <v>28</v>
      </c>
      <c r="J4403" t="s">
        <v>24</v>
      </c>
      <c r="K4403" s="6">
        <f t="shared" ca="1" si="280"/>
        <v>35778</v>
      </c>
      <c r="L4403">
        <v>-9983</v>
      </c>
      <c r="M4403" s="7">
        <f t="shared" ca="1" si="278"/>
        <v>27.331964407939768</v>
      </c>
      <c r="N4403" s="5" t="str">
        <f ca="1">VLOOKUP(Data!M4403,temp!$B$3:$C$9,2,1)</f>
        <v>20-30</v>
      </c>
      <c r="O4403">
        <v>-1923</v>
      </c>
      <c r="P4403" s="8">
        <f t="shared" si="279"/>
        <v>5.2648870636550305</v>
      </c>
      <c r="Q4403" s="5" t="str">
        <f t="shared" si="281"/>
        <v>Employed</v>
      </c>
      <c r="R4403">
        <v>1</v>
      </c>
      <c r="S4403">
        <v>0</v>
      </c>
      <c r="T4403">
        <v>0</v>
      </c>
      <c r="U4403">
        <v>0</v>
      </c>
      <c r="W4403">
        <v>2</v>
      </c>
    </row>
    <row r="4404" spans="1:23" x14ac:dyDescent="0.2">
      <c r="A4404">
        <v>5146479</v>
      </c>
      <c r="B4404" t="s">
        <v>18</v>
      </c>
      <c r="C4404" t="s">
        <v>19</v>
      </c>
      <c r="D4404" t="s">
        <v>20</v>
      </c>
      <c r="E4404">
        <v>0</v>
      </c>
      <c r="F4404">
        <v>90000</v>
      </c>
      <c r="G4404" t="s">
        <v>26</v>
      </c>
      <c r="H4404" t="s">
        <v>27</v>
      </c>
      <c r="I4404" t="s">
        <v>28</v>
      </c>
      <c r="J4404" t="s">
        <v>24</v>
      </c>
      <c r="K4404" s="6">
        <f t="shared" ca="1" si="280"/>
        <v>27017</v>
      </c>
      <c r="L4404">
        <v>-18744</v>
      </c>
      <c r="M4404" s="7">
        <f t="shared" ca="1" si="278"/>
        <v>51.318275154004105</v>
      </c>
      <c r="N4404" s="5" t="str">
        <f ca="1">VLOOKUP(Data!M4404,temp!$B$3:$C$9,2,1)</f>
        <v>50-60</v>
      </c>
      <c r="O4404">
        <v>-3141</v>
      </c>
      <c r="P4404" s="8">
        <f t="shared" si="279"/>
        <v>8.5995893223819309</v>
      </c>
      <c r="Q4404" s="5" t="str">
        <f t="shared" si="281"/>
        <v>Employed</v>
      </c>
      <c r="R4404">
        <v>1</v>
      </c>
      <c r="S4404">
        <v>0</v>
      </c>
      <c r="T4404">
        <v>1</v>
      </c>
      <c r="U4404">
        <v>0</v>
      </c>
      <c r="V4404" t="s">
        <v>29</v>
      </c>
      <c r="W4404">
        <v>2</v>
      </c>
    </row>
    <row r="4405" spans="1:23" x14ac:dyDescent="0.2">
      <c r="A4405">
        <v>5146490</v>
      </c>
      <c r="B4405" t="s">
        <v>18</v>
      </c>
      <c r="C4405" t="s">
        <v>19</v>
      </c>
      <c r="D4405" t="s">
        <v>20</v>
      </c>
      <c r="E4405">
        <v>0</v>
      </c>
      <c r="F4405">
        <v>157500</v>
      </c>
      <c r="G4405" t="s">
        <v>35</v>
      </c>
      <c r="H4405" t="s">
        <v>22</v>
      </c>
      <c r="I4405" t="s">
        <v>28</v>
      </c>
      <c r="J4405" t="s">
        <v>24</v>
      </c>
      <c r="K4405" s="6">
        <f t="shared" ca="1" si="280"/>
        <v>36448</v>
      </c>
      <c r="L4405">
        <v>-9313</v>
      </c>
      <c r="M4405" s="7">
        <f t="shared" ca="1" si="278"/>
        <v>25.49760438056126</v>
      </c>
      <c r="N4405" s="5" t="str">
        <f ca="1">VLOOKUP(Data!M4405,temp!$B$3:$C$9,2,1)</f>
        <v>20-30</v>
      </c>
      <c r="O4405">
        <v>-615</v>
      </c>
      <c r="P4405" s="8">
        <f t="shared" si="279"/>
        <v>1.6837782340862424</v>
      </c>
      <c r="Q4405" s="5" t="str">
        <f t="shared" si="281"/>
        <v>Employed</v>
      </c>
      <c r="R4405">
        <v>1</v>
      </c>
      <c r="S4405">
        <v>0</v>
      </c>
      <c r="T4405">
        <v>0</v>
      </c>
      <c r="U4405">
        <v>0</v>
      </c>
      <c r="W4405">
        <v>2</v>
      </c>
    </row>
    <row r="4406" spans="1:23" x14ac:dyDescent="0.2">
      <c r="A4406">
        <v>5146493</v>
      </c>
      <c r="B4406" t="s">
        <v>18</v>
      </c>
      <c r="C4406" t="s">
        <v>19</v>
      </c>
      <c r="D4406" t="s">
        <v>20</v>
      </c>
      <c r="E4406">
        <v>0</v>
      </c>
      <c r="F4406">
        <v>157500</v>
      </c>
      <c r="G4406" t="s">
        <v>35</v>
      </c>
      <c r="H4406" t="s">
        <v>22</v>
      </c>
      <c r="I4406" t="s">
        <v>28</v>
      </c>
      <c r="J4406" t="s">
        <v>24</v>
      </c>
      <c r="K4406" s="6">
        <f t="shared" ca="1" si="280"/>
        <v>36448</v>
      </c>
      <c r="L4406">
        <v>-9313</v>
      </c>
      <c r="M4406" s="7">
        <f t="shared" ca="1" si="278"/>
        <v>25.49760438056126</v>
      </c>
      <c r="N4406" s="5" t="str">
        <f ca="1">VLOOKUP(Data!M4406,temp!$B$3:$C$9,2,1)</f>
        <v>20-30</v>
      </c>
      <c r="O4406">
        <v>-615</v>
      </c>
      <c r="P4406" s="8">
        <f t="shared" si="279"/>
        <v>1.6837782340862424</v>
      </c>
      <c r="Q4406" s="5" t="str">
        <f t="shared" si="281"/>
        <v>Employed</v>
      </c>
      <c r="R4406">
        <v>1</v>
      </c>
      <c r="S4406">
        <v>0</v>
      </c>
      <c r="T4406">
        <v>0</v>
      </c>
      <c r="U4406">
        <v>0</v>
      </c>
      <c r="W4406">
        <v>2</v>
      </c>
    </row>
    <row r="4407" spans="1:23" x14ac:dyDescent="0.2">
      <c r="A4407">
        <v>5146501</v>
      </c>
      <c r="B4407" t="s">
        <v>25</v>
      </c>
      <c r="C4407" t="s">
        <v>19</v>
      </c>
      <c r="D4407" t="s">
        <v>19</v>
      </c>
      <c r="E4407">
        <v>1</v>
      </c>
      <c r="F4407">
        <v>112500</v>
      </c>
      <c r="G4407" t="s">
        <v>31</v>
      </c>
      <c r="H4407" t="s">
        <v>27</v>
      </c>
      <c r="I4407" t="s">
        <v>37</v>
      </c>
      <c r="J4407" t="s">
        <v>24</v>
      </c>
      <c r="K4407" s="6">
        <f t="shared" ca="1" si="280"/>
        <v>27899</v>
      </c>
      <c r="L4407">
        <v>-17862</v>
      </c>
      <c r="M4407" s="7">
        <f t="shared" ca="1" si="278"/>
        <v>48.903490759753595</v>
      </c>
      <c r="N4407" s="5" t="str">
        <f ca="1">VLOOKUP(Data!M4407,temp!$B$3:$C$9,2,1)</f>
        <v>40-50</v>
      </c>
      <c r="O4407">
        <v>-523</v>
      </c>
      <c r="P4407" s="8">
        <f t="shared" si="279"/>
        <v>1.431895961670089</v>
      </c>
      <c r="Q4407" s="5" t="str">
        <f t="shared" si="281"/>
        <v>Employed</v>
      </c>
      <c r="R4407">
        <v>1</v>
      </c>
      <c r="S4407">
        <v>0</v>
      </c>
      <c r="T4407">
        <v>0</v>
      </c>
      <c r="U4407">
        <v>0</v>
      </c>
      <c r="V4407" t="s">
        <v>29</v>
      </c>
      <c r="W4407">
        <v>3</v>
      </c>
    </row>
    <row r="4408" spans="1:23" x14ac:dyDescent="0.2">
      <c r="A4408">
        <v>5146510</v>
      </c>
      <c r="B4408" t="s">
        <v>18</v>
      </c>
      <c r="C4408" t="s">
        <v>19</v>
      </c>
      <c r="D4408" t="s">
        <v>20</v>
      </c>
      <c r="E4408">
        <v>1</v>
      </c>
      <c r="F4408">
        <v>225000</v>
      </c>
      <c r="G4408" t="s">
        <v>35</v>
      </c>
      <c r="H4408" t="s">
        <v>27</v>
      </c>
      <c r="I4408" t="s">
        <v>33</v>
      </c>
      <c r="J4408" t="s">
        <v>24</v>
      </c>
      <c r="K4408" s="6">
        <f t="shared" ca="1" si="280"/>
        <v>29862</v>
      </c>
      <c r="L4408">
        <v>-15899</v>
      </c>
      <c r="M4408" s="7">
        <f t="shared" ca="1" si="278"/>
        <v>43.529089664613281</v>
      </c>
      <c r="N4408" s="5" t="str">
        <f ca="1">VLOOKUP(Data!M4408,temp!$B$3:$C$9,2,1)</f>
        <v>40-50</v>
      </c>
      <c r="O4408">
        <v>-3993</v>
      </c>
      <c r="P4408" s="8">
        <f t="shared" si="279"/>
        <v>10.932238193018481</v>
      </c>
      <c r="Q4408" s="5" t="str">
        <f t="shared" si="281"/>
        <v>Employed</v>
      </c>
      <c r="R4408">
        <v>1</v>
      </c>
      <c r="S4408">
        <v>0</v>
      </c>
      <c r="T4408">
        <v>0</v>
      </c>
      <c r="U4408">
        <v>0</v>
      </c>
      <c r="W4408">
        <v>2</v>
      </c>
    </row>
    <row r="4409" spans="1:23" x14ac:dyDescent="0.2">
      <c r="A4409">
        <v>5146512</v>
      </c>
      <c r="B4409" t="s">
        <v>18</v>
      </c>
      <c r="C4409" t="s">
        <v>19</v>
      </c>
      <c r="D4409" t="s">
        <v>20</v>
      </c>
      <c r="E4409">
        <v>1</v>
      </c>
      <c r="F4409">
        <v>225000</v>
      </c>
      <c r="G4409" t="s">
        <v>35</v>
      </c>
      <c r="H4409" t="s">
        <v>27</v>
      </c>
      <c r="I4409" t="s">
        <v>33</v>
      </c>
      <c r="J4409" t="s">
        <v>24</v>
      </c>
      <c r="K4409" s="6">
        <f t="shared" ca="1" si="280"/>
        <v>29862</v>
      </c>
      <c r="L4409">
        <v>-15899</v>
      </c>
      <c r="M4409" s="7">
        <f t="shared" ca="1" si="278"/>
        <v>43.529089664613281</v>
      </c>
      <c r="N4409" s="5" t="str">
        <f ca="1">VLOOKUP(Data!M4409,temp!$B$3:$C$9,2,1)</f>
        <v>40-50</v>
      </c>
      <c r="O4409">
        <v>-3993</v>
      </c>
      <c r="P4409" s="8">
        <f t="shared" si="279"/>
        <v>10.932238193018481</v>
      </c>
      <c r="Q4409" s="5" t="str">
        <f t="shared" si="281"/>
        <v>Employed</v>
      </c>
      <c r="R4409">
        <v>1</v>
      </c>
      <c r="S4409">
        <v>0</v>
      </c>
      <c r="T4409">
        <v>0</v>
      </c>
      <c r="U4409">
        <v>0</v>
      </c>
      <c r="W4409">
        <v>2</v>
      </c>
    </row>
    <row r="4410" spans="1:23" x14ac:dyDescent="0.2">
      <c r="A4410">
        <v>5146524</v>
      </c>
      <c r="B4410" t="s">
        <v>18</v>
      </c>
      <c r="C4410" t="s">
        <v>19</v>
      </c>
      <c r="D4410" t="s">
        <v>20</v>
      </c>
      <c r="E4410">
        <v>1</v>
      </c>
      <c r="F4410">
        <v>225000</v>
      </c>
      <c r="G4410" t="s">
        <v>35</v>
      </c>
      <c r="H4410" t="s">
        <v>27</v>
      </c>
      <c r="I4410" t="s">
        <v>33</v>
      </c>
      <c r="J4410" t="s">
        <v>24</v>
      </c>
      <c r="K4410" s="6">
        <f t="shared" ca="1" si="280"/>
        <v>29862</v>
      </c>
      <c r="L4410">
        <v>-15899</v>
      </c>
      <c r="M4410" s="7">
        <f t="shared" ca="1" si="278"/>
        <v>43.529089664613281</v>
      </c>
      <c r="N4410" s="5" t="str">
        <f ca="1">VLOOKUP(Data!M4410,temp!$B$3:$C$9,2,1)</f>
        <v>40-50</v>
      </c>
      <c r="O4410">
        <v>-3993</v>
      </c>
      <c r="P4410" s="8">
        <f t="shared" si="279"/>
        <v>10.932238193018481</v>
      </c>
      <c r="Q4410" s="5" t="str">
        <f t="shared" si="281"/>
        <v>Employed</v>
      </c>
      <c r="R4410">
        <v>1</v>
      </c>
      <c r="S4410">
        <v>0</v>
      </c>
      <c r="T4410">
        <v>0</v>
      </c>
      <c r="U4410">
        <v>0</v>
      </c>
      <c r="W4410">
        <v>2</v>
      </c>
    </row>
    <row r="4411" spans="1:23" x14ac:dyDescent="0.2">
      <c r="A4411">
        <v>5146553</v>
      </c>
      <c r="B4411" t="s">
        <v>18</v>
      </c>
      <c r="C4411" t="s">
        <v>19</v>
      </c>
      <c r="D4411" t="s">
        <v>20</v>
      </c>
      <c r="E4411">
        <v>0</v>
      </c>
      <c r="F4411">
        <v>180000</v>
      </c>
      <c r="G4411" t="s">
        <v>26</v>
      </c>
      <c r="H4411" t="s">
        <v>27</v>
      </c>
      <c r="I4411" t="s">
        <v>28</v>
      </c>
      <c r="J4411" t="s">
        <v>24</v>
      </c>
      <c r="K4411" s="6">
        <f t="shared" ca="1" si="280"/>
        <v>27945</v>
      </c>
      <c r="L4411">
        <v>-17816</v>
      </c>
      <c r="M4411" s="7">
        <f t="shared" ca="1" si="278"/>
        <v>48.777549623545518</v>
      </c>
      <c r="N4411" s="5" t="str">
        <f ca="1">VLOOKUP(Data!M4411,temp!$B$3:$C$9,2,1)</f>
        <v>40-50</v>
      </c>
      <c r="O4411">
        <v>-1285</v>
      </c>
      <c r="P4411" s="8">
        <f t="shared" si="279"/>
        <v>3.5181382614647503</v>
      </c>
      <c r="Q4411" s="5" t="str">
        <f t="shared" si="281"/>
        <v>Employed</v>
      </c>
      <c r="R4411">
        <v>1</v>
      </c>
      <c r="S4411">
        <v>0</v>
      </c>
      <c r="T4411">
        <v>0</v>
      </c>
      <c r="U4411">
        <v>0</v>
      </c>
      <c r="V4411" t="s">
        <v>50</v>
      </c>
      <c r="W4411">
        <v>2</v>
      </c>
    </row>
    <row r="4412" spans="1:23" x14ac:dyDescent="0.2">
      <c r="A4412">
        <v>5146557</v>
      </c>
      <c r="B4412" t="s">
        <v>25</v>
      </c>
      <c r="C4412" t="s">
        <v>19</v>
      </c>
      <c r="D4412" t="s">
        <v>20</v>
      </c>
      <c r="E4412">
        <v>2</v>
      </c>
      <c r="F4412">
        <v>157500</v>
      </c>
      <c r="G4412" t="s">
        <v>31</v>
      </c>
      <c r="H4412" t="s">
        <v>27</v>
      </c>
      <c r="I4412" t="s">
        <v>28</v>
      </c>
      <c r="J4412" t="s">
        <v>24</v>
      </c>
      <c r="K4412" s="6">
        <f t="shared" ca="1" si="280"/>
        <v>30730</v>
      </c>
      <c r="L4412">
        <v>-15031</v>
      </c>
      <c r="M4412" s="7">
        <f t="shared" ca="1" si="278"/>
        <v>41.152635181382614</v>
      </c>
      <c r="N4412" s="5" t="str">
        <f ca="1">VLOOKUP(Data!M4412,temp!$B$3:$C$9,2,1)</f>
        <v>40-50</v>
      </c>
      <c r="O4412">
        <v>-1436</v>
      </c>
      <c r="P4412" s="8">
        <f t="shared" si="279"/>
        <v>3.9315537303216974</v>
      </c>
      <c r="Q4412" s="5" t="str">
        <f t="shared" si="281"/>
        <v>Employed</v>
      </c>
      <c r="R4412">
        <v>1</v>
      </c>
      <c r="S4412">
        <v>0</v>
      </c>
      <c r="T4412">
        <v>0</v>
      </c>
      <c r="U4412">
        <v>0</v>
      </c>
      <c r="V4412" t="s">
        <v>29</v>
      </c>
      <c r="W4412">
        <v>4</v>
      </c>
    </row>
    <row r="4413" spans="1:23" x14ac:dyDescent="0.2">
      <c r="A4413">
        <v>5146577</v>
      </c>
      <c r="B4413" t="s">
        <v>25</v>
      </c>
      <c r="C4413" t="s">
        <v>20</v>
      </c>
      <c r="D4413" t="s">
        <v>20</v>
      </c>
      <c r="E4413">
        <v>0</v>
      </c>
      <c r="F4413">
        <v>135000</v>
      </c>
      <c r="G4413" t="s">
        <v>31</v>
      </c>
      <c r="H4413" t="s">
        <v>27</v>
      </c>
      <c r="I4413" t="s">
        <v>28</v>
      </c>
      <c r="J4413" t="s">
        <v>41</v>
      </c>
      <c r="K4413" s="6">
        <f t="shared" ca="1" si="280"/>
        <v>29490</v>
      </c>
      <c r="L4413">
        <v>-16271</v>
      </c>
      <c r="M4413" s="7">
        <f t="shared" ca="1" si="278"/>
        <v>44.547570157426421</v>
      </c>
      <c r="N4413" s="5" t="str">
        <f ca="1">VLOOKUP(Data!M4413,temp!$B$3:$C$9,2,1)</f>
        <v>40-50</v>
      </c>
      <c r="O4413">
        <v>-3111</v>
      </c>
      <c r="P4413" s="8">
        <f t="shared" si="279"/>
        <v>8.517453798767967</v>
      </c>
      <c r="Q4413" s="5" t="str">
        <f t="shared" si="281"/>
        <v>Employed</v>
      </c>
      <c r="R4413">
        <v>1</v>
      </c>
      <c r="S4413">
        <v>0</v>
      </c>
      <c r="T4413">
        <v>0</v>
      </c>
      <c r="U4413">
        <v>0</v>
      </c>
      <c r="V4413" t="s">
        <v>38</v>
      </c>
      <c r="W4413">
        <v>2</v>
      </c>
    </row>
    <row r="4414" spans="1:23" x14ac:dyDescent="0.2">
      <c r="A4414">
        <v>5146584</v>
      </c>
      <c r="B4414" t="s">
        <v>25</v>
      </c>
      <c r="C4414" t="s">
        <v>20</v>
      </c>
      <c r="D4414" t="s">
        <v>20</v>
      </c>
      <c r="E4414">
        <v>0</v>
      </c>
      <c r="F4414">
        <v>135000</v>
      </c>
      <c r="G4414" t="s">
        <v>31</v>
      </c>
      <c r="H4414" t="s">
        <v>27</v>
      </c>
      <c r="I4414" t="s">
        <v>28</v>
      </c>
      <c r="J4414" t="s">
        <v>41</v>
      </c>
      <c r="K4414" s="6">
        <f t="shared" ca="1" si="280"/>
        <v>29490</v>
      </c>
      <c r="L4414">
        <v>-16271</v>
      </c>
      <c r="M4414" s="7">
        <f t="shared" ca="1" si="278"/>
        <v>44.547570157426421</v>
      </c>
      <c r="N4414" s="5" t="str">
        <f ca="1">VLOOKUP(Data!M4414,temp!$B$3:$C$9,2,1)</f>
        <v>40-50</v>
      </c>
      <c r="O4414">
        <v>-3111</v>
      </c>
      <c r="P4414" s="8">
        <f t="shared" si="279"/>
        <v>8.517453798767967</v>
      </c>
      <c r="Q4414" s="5" t="str">
        <f t="shared" si="281"/>
        <v>Employed</v>
      </c>
      <c r="R4414">
        <v>1</v>
      </c>
      <c r="S4414">
        <v>0</v>
      </c>
      <c r="T4414">
        <v>0</v>
      </c>
      <c r="U4414">
        <v>0</v>
      </c>
      <c r="V4414" t="s">
        <v>38</v>
      </c>
      <c r="W4414">
        <v>2</v>
      </c>
    </row>
    <row r="4415" spans="1:23" x14ac:dyDescent="0.2">
      <c r="A4415">
        <v>5148430</v>
      </c>
      <c r="B4415" t="s">
        <v>18</v>
      </c>
      <c r="C4415" t="s">
        <v>19</v>
      </c>
      <c r="D4415" t="s">
        <v>20</v>
      </c>
      <c r="E4415">
        <v>0</v>
      </c>
      <c r="F4415">
        <v>135000</v>
      </c>
      <c r="G4415" t="s">
        <v>26</v>
      </c>
      <c r="H4415" t="s">
        <v>27</v>
      </c>
      <c r="I4415" t="s">
        <v>37</v>
      </c>
      <c r="J4415" t="s">
        <v>24</v>
      </c>
      <c r="K4415" s="6">
        <f t="shared" ca="1" si="280"/>
        <v>28870</v>
      </c>
      <c r="L4415">
        <v>-16891</v>
      </c>
      <c r="M4415" s="7">
        <f t="shared" ca="1" si="278"/>
        <v>46.245037645448321</v>
      </c>
      <c r="N4415" s="5" t="str">
        <f ca="1">VLOOKUP(Data!M4415,temp!$B$3:$C$9,2,1)</f>
        <v>40-50</v>
      </c>
      <c r="O4415">
        <v>-3332</v>
      </c>
      <c r="P4415" s="8">
        <f t="shared" si="279"/>
        <v>9.122518822724162</v>
      </c>
      <c r="Q4415" s="5" t="str">
        <f t="shared" si="281"/>
        <v>Employed</v>
      </c>
      <c r="R4415">
        <v>1</v>
      </c>
      <c r="S4415">
        <v>1</v>
      </c>
      <c r="T4415">
        <v>1</v>
      </c>
      <c r="U4415">
        <v>0</v>
      </c>
      <c r="V4415" t="s">
        <v>30</v>
      </c>
      <c r="W4415">
        <v>2</v>
      </c>
    </row>
    <row r="4416" spans="1:23" x14ac:dyDescent="0.2">
      <c r="A4416">
        <v>5148434</v>
      </c>
      <c r="B4416" t="s">
        <v>25</v>
      </c>
      <c r="C4416" t="s">
        <v>19</v>
      </c>
      <c r="D4416" t="s">
        <v>20</v>
      </c>
      <c r="E4416">
        <v>0</v>
      </c>
      <c r="F4416">
        <v>202500</v>
      </c>
      <c r="G4416" t="s">
        <v>26</v>
      </c>
      <c r="H4416" t="s">
        <v>22</v>
      </c>
      <c r="I4416" t="s">
        <v>28</v>
      </c>
      <c r="J4416" t="s">
        <v>24</v>
      </c>
      <c r="K4416" s="6">
        <f t="shared" ca="1" si="280"/>
        <v>34222</v>
      </c>
      <c r="L4416">
        <v>-11539</v>
      </c>
      <c r="M4416" s="7">
        <f t="shared" ca="1" si="278"/>
        <v>31.592060232717316</v>
      </c>
      <c r="N4416" s="5" t="str">
        <f ca="1">VLOOKUP(Data!M4416,temp!$B$3:$C$9,2,1)</f>
        <v>30-40</v>
      </c>
      <c r="O4416">
        <v>-410</v>
      </c>
      <c r="P4416" s="8">
        <f t="shared" si="279"/>
        <v>1.1225188227241616</v>
      </c>
      <c r="Q4416" s="5" t="str">
        <f t="shared" si="281"/>
        <v>Employed</v>
      </c>
      <c r="R4416">
        <v>1</v>
      </c>
      <c r="S4416">
        <v>0</v>
      </c>
      <c r="T4416">
        <v>0</v>
      </c>
      <c r="U4416">
        <v>1</v>
      </c>
      <c r="W4416">
        <v>2</v>
      </c>
    </row>
    <row r="4417" spans="1:23" x14ac:dyDescent="0.2">
      <c r="A4417">
        <v>5148439</v>
      </c>
      <c r="B4417" t="s">
        <v>18</v>
      </c>
      <c r="C4417" t="s">
        <v>19</v>
      </c>
      <c r="D4417" t="s">
        <v>20</v>
      </c>
      <c r="E4417">
        <v>0</v>
      </c>
      <c r="F4417">
        <v>202500</v>
      </c>
      <c r="G4417" t="s">
        <v>26</v>
      </c>
      <c r="H4417" t="s">
        <v>27</v>
      </c>
      <c r="I4417" t="s">
        <v>33</v>
      </c>
      <c r="J4417" t="s">
        <v>24</v>
      </c>
      <c r="K4417" s="6">
        <f t="shared" ca="1" si="280"/>
        <v>37319</v>
      </c>
      <c r="L4417">
        <v>-8442</v>
      </c>
      <c r="M4417" s="7">
        <f t="shared" ca="1" si="278"/>
        <v>23.112936344969199</v>
      </c>
      <c r="N4417" s="5" t="str">
        <f ca="1">VLOOKUP(Data!M4417,temp!$B$3:$C$9,2,1)</f>
        <v>20-30</v>
      </c>
      <c r="O4417">
        <v>-410</v>
      </c>
      <c r="P4417" s="8">
        <f t="shared" si="279"/>
        <v>1.1225188227241616</v>
      </c>
      <c r="Q4417" s="5" t="str">
        <f t="shared" si="281"/>
        <v>Employed</v>
      </c>
      <c r="R4417">
        <v>1</v>
      </c>
      <c r="S4417">
        <v>0</v>
      </c>
      <c r="T4417">
        <v>0</v>
      </c>
      <c r="U4417">
        <v>0</v>
      </c>
      <c r="V4417" t="s">
        <v>38</v>
      </c>
      <c r="W4417">
        <v>1</v>
      </c>
    </row>
    <row r="4418" spans="1:23" x14ac:dyDescent="0.2">
      <c r="A4418">
        <v>5148468</v>
      </c>
      <c r="B4418" t="s">
        <v>18</v>
      </c>
      <c r="C4418" t="s">
        <v>19</v>
      </c>
      <c r="D4418" t="s">
        <v>20</v>
      </c>
      <c r="E4418">
        <v>1</v>
      </c>
      <c r="F4418">
        <v>135000</v>
      </c>
      <c r="G4418" t="s">
        <v>31</v>
      </c>
      <c r="H4418" t="s">
        <v>27</v>
      </c>
      <c r="I4418" t="s">
        <v>37</v>
      </c>
      <c r="J4418" t="s">
        <v>41</v>
      </c>
      <c r="K4418" s="6">
        <f t="shared" ca="1" si="280"/>
        <v>34335</v>
      </c>
      <c r="L4418">
        <v>-11426</v>
      </c>
      <c r="M4418" s="7">
        <f t="shared" ca="1" si="278"/>
        <v>31.282683093771389</v>
      </c>
      <c r="N4418" s="5" t="str">
        <f ca="1">VLOOKUP(Data!M4418,temp!$B$3:$C$9,2,1)</f>
        <v>30-40</v>
      </c>
      <c r="O4418">
        <v>-229</v>
      </c>
      <c r="P4418" s="8">
        <f t="shared" si="279"/>
        <v>0.6269678302532512</v>
      </c>
      <c r="Q4418" s="5" t="str">
        <f t="shared" si="281"/>
        <v>Employed</v>
      </c>
      <c r="R4418">
        <v>1</v>
      </c>
      <c r="S4418">
        <v>0</v>
      </c>
      <c r="T4418">
        <v>0</v>
      </c>
      <c r="U4418">
        <v>0</v>
      </c>
      <c r="V4418" t="s">
        <v>39</v>
      </c>
      <c r="W4418">
        <v>3</v>
      </c>
    </row>
    <row r="4419" spans="1:23" x14ac:dyDescent="0.2">
      <c r="A4419">
        <v>5148481</v>
      </c>
      <c r="B4419" t="s">
        <v>18</v>
      </c>
      <c r="C4419" t="s">
        <v>19</v>
      </c>
      <c r="D4419" t="s">
        <v>20</v>
      </c>
      <c r="E4419">
        <v>0</v>
      </c>
      <c r="F4419">
        <v>157500</v>
      </c>
      <c r="G4419" t="s">
        <v>31</v>
      </c>
      <c r="H4419" t="s">
        <v>27</v>
      </c>
      <c r="I4419" t="s">
        <v>28</v>
      </c>
      <c r="J4419" t="s">
        <v>24</v>
      </c>
      <c r="K4419" s="6">
        <f t="shared" ca="1" si="280"/>
        <v>28849</v>
      </c>
      <c r="L4419">
        <v>-16912</v>
      </c>
      <c r="M4419" s="7">
        <f t="shared" ref="M4419:M4482" ca="1" si="282">(TODAY()-K4419)/365.25</f>
        <v>46.3025325119781</v>
      </c>
      <c r="N4419" s="5" t="str">
        <f ca="1">VLOOKUP(Data!M4419,temp!$B$3:$C$9,2,1)</f>
        <v>40-50</v>
      </c>
      <c r="O4419">
        <v>-6499</v>
      </c>
      <c r="P4419" s="8">
        <f t="shared" ref="P4419:P4482" si="283">IF(O4419&lt;=0,ABS(O4419)/365.25,0)</f>
        <v>17.793292265571527</v>
      </c>
      <c r="Q4419" s="5" t="str">
        <f t="shared" si="281"/>
        <v>Employed</v>
      </c>
      <c r="R4419">
        <v>1</v>
      </c>
      <c r="S4419">
        <v>0</v>
      </c>
      <c r="T4419">
        <v>0</v>
      </c>
      <c r="U4419">
        <v>0</v>
      </c>
      <c r="W4419">
        <v>2</v>
      </c>
    </row>
    <row r="4420" spans="1:23" x14ac:dyDescent="0.2">
      <c r="A4420">
        <v>5148500</v>
      </c>
      <c r="B4420" t="s">
        <v>18</v>
      </c>
      <c r="C4420" t="s">
        <v>20</v>
      </c>
      <c r="D4420" t="s">
        <v>20</v>
      </c>
      <c r="E4420">
        <v>0</v>
      </c>
      <c r="F4420">
        <v>180000</v>
      </c>
      <c r="G4420" t="s">
        <v>31</v>
      </c>
      <c r="H4420" t="s">
        <v>22</v>
      </c>
      <c r="I4420" t="s">
        <v>28</v>
      </c>
      <c r="J4420" t="s">
        <v>24</v>
      </c>
      <c r="K4420" s="6">
        <f t="shared" ca="1" si="280"/>
        <v>29243</v>
      </c>
      <c r="L4420">
        <v>-16518</v>
      </c>
      <c r="M4420" s="7">
        <f t="shared" ca="1" si="282"/>
        <v>45.223819301848046</v>
      </c>
      <c r="N4420" s="5" t="str">
        <f ca="1">VLOOKUP(Data!M4420,temp!$B$3:$C$9,2,1)</f>
        <v>40-50</v>
      </c>
      <c r="O4420">
        <v>-410</v>
      </c>
      <c r="P4420" s="8">
        <f t="shared" si="283"/>
        <v>1.1225188227241616</v>
      </c>
      <c r="Q4420" s="5" t="str">
        <f t="shared" si="281"/>
        <v>Employed</v>
      </c>
      <c r="R4420">
        <v>1</v>
      </c>
      <c r="S4420">
        <v>0</v>
      </c>
      <c r="T4420">
        <v>0</v>
      </c>
      <c r="U4420">
        <v>0</v>
      </c>
      <c r="W4420">
        <v>2</v>
      </c>
    </row>
    <row r="4421" spans="1:23" x14ac:dyDescent="0.2">
      <c r="A4421">
        <v>5148550</v>
      </c>
      <c r="B4421" t="s">
        <v>18</v>
      </c>
      <c r="C4421" t="s">
        <v>20</v>
      </c>
      <c r="D4421" t="s">
        <v>20</v>
      </c>
      <c r="E4421">
        <v>0</v>
      </c>
      <c r="F4421">
        <v>157500</v>
      </c>
      <c r="G4421" t="s">
        <v>31</v>
      </c>
      <c r="H4421" t="s">
        <v>27</v>
      </c>
      <c r="I4421" t="s">
        <v>28</v>
      </c>
      <c r="J4421" t="s">
        <v>24</v>
      </c>
      <c r="K4421" s="6">
        <f t="shared" ca="1" si="280"/>
        <v>27539</v>
      </c>
      <c r="L4421">
        <v>-18222</v>
      </c>
      <c r="M4421" s="7">
        <f t="shared" ca="1" si="282"/>
        <v>49.889117043121146</v>
      </c>
      <c r="N4421" s="5" t="str">
        <f ca="1">VLOOKUP(Data!M4421,temp!$B$3:$C$9,2,1)</f>
        <v>40-50</v>
      </c>
      <c r="O4421">
        <v>-5555</v>
      </c>
      <c r="P4421" s="8">
        <f t="shared" si="283"/>
        <v>15.208761122518823</v>
      </c>
      <c r="Q4421" s="5" t="str">
        <f t="shared" si="281"/>
        <v>Employed</v>
      </c>
      <c r="R4421">
        <v>1</v>
      </c>
      <c r="S4421">
        <v>0</v>
      </c>
      <c r="T4421">
        <v>0</v>
      </c>
      <c r="U4421">
        <v>0</v>
      </c>
      <c r="W4421">
        <v>2</v>
      </c>
    </row>
    <row r="4422" spans="1:23" x14ac:dyDescent="0.2">
      <c r="A4422">
        <v>5148573</v>
      </c>
      <c r="B4422" t="s">
        <v>18</v>
      </c>
      <c r="C4422" t="s">
        <v>19</v>
      </c>
      <c r="D4422" t="s">
        <v>20</v>
      </c>
      <c r="E4422">
        <v>0</v>
      </c>
      <c r="F4422">
        <v>81000</v>
      </c>
      <c r="G4422" t="s">
        <v>21</v>
      </c>
      <c r="H4422" t="s">
        <v>27</v>
      </c>
      <c r="I4422" t="s">
        <v>28</v>
      </c>
      <c r="J4422" t="s">
        <v>24</v>
      </c>
      <c r="K4422" s="6">
        <f t="shared" ca="1" si="280"/>
        <v>24913</v>
      </c>
      <c r="L4422">
        <v>-20848</v>
      </c>
      <c r="M4422" s="7">
        <f t="shared" ca="1" si="282"/>
        <v>57.078713210130047</v>
      </c>
      <c r="N4422" s="5" t="str">
        <f ca="1">VLOOKUP(Data!M4422,temp!$B$3:$C$9,2,1)</f>
        <v>50-60</v>
      </c>
      <c r="O4422">
        <v>365243</v>
      </c>
      <c r="P4422" s="8">
        <f t="shared" si="283"/>
        <v>0</v>
      </c>
      <c r="Q4422" s="5" t="str">
        <f t="shared" si="281"/>
        <v>Unemployed</v>
      </c>
      <c r="R4422">
        <v>1</v>
      </c>
      <c r="S4422">
        <v>0</v>
      </c>
      <c r="T4422">
        <v>0</v>
      </c>
      <c r="U4422">
        <v>0</v>
      </c>
      <c r="W4422">
        <v>2</v>
      </c>
    </row>
    <row r="4423" spans="1:23" x14ac:dyDescent="0.2">
      <c r="A4423">
        <v>5148577</v>
      </c>
      <c r="B4423" t="s">
        <v>25</v>
      </c>
      <c r="C4423" t="s">
        <v>20</v>
      </c>
      <c r="D4423" t="s">
        <v>20</v>
      </c>
      <c r="E4423">
        <v>0</v>
      </c>
      <c r="F4423">
        <v>225000</v>
      </c>
      <c r="G4423" t="s">
        <v>31</v>
      </c>
      <c r="H4423" t="s">
        <v>27</v>
      </c>
      <c r="I4423" t="s">
        <v>28</v>
      </c>
      <c r="J4423" t="s">
        <v>24</v>
      </c>
      <c r="K4423" s="6">
        <f t="shared" ca="1" si="280"/>
        <v>31161</v>
      </c>
      <c r="L4423">
        <v>-14600</v>
      </c>
      <c r="M4423" s="7">
        <f t="shared" ca="1" si="282"/>
        <v>39.972621492128681</v>
      </c>
      <c r="N4423" s="5" t="str">
        <f ca="1">VLOOKUP(Data!M4423,temp!$B$3:$C$9,2,1)</f>
        <v>30-40</v>
      </c>
      <c r="O4423">
        <v>-1203</v>
      </c>
      <c r="P4423" s="8">
        <f t="shared" si="283"/>
        <v>3.2936344969199181</v>
      </c>
      <c r="Q4423" s="5" t="str">
        <f t="shared" si="281"/>
        <v>Employed</v>
      </c>
      <c r="R4423">
        <v>1</v>
      </c>
      <c r="S4423">
        <v>0</v>
      </c>
      <c r="T4423">
        <v>0</v>
      </c>
      <c r="U4423">
        <v>0</v>
      </c>
      <c r="V4423" t="s">
        <v>32</v>
      </c>
      <c r="W4423">
        <v>2</v>
      </c>
    </row>
    <row r="4424" spans="1:23" x14ac:dyDescent="0.2">
      <c r="A4424">
        <v>5148580</v>
      </c>
      <c r="B4424" t="s">
        <v>18</v>
      </c>
      <c r="C4424" t="s">
        <v>19</v>
      </c>
      <c r="D4424" t="s">
        <v>20</v>
      </c>
      <c r="E4424">
        <v>0</v>
      </c>
      <c r="F4424">
        <v>157500</v>
      </c>
      <c r="G4424" t="s">
        <v>26</v>
      </c>
      <c r="H4424" t="s">
        <v>27</v>
      </c>
      <c r="I4424" t="s">
        <v>28</v>
      </c>
      <c r="J4424" t="s">
        <v>24</v>
      </c>
      <c r="K4424" s="6">
        <f t="shared" ref="K4424:K4487" ca="1" si="284">TODAY()+($L4424)</f>
        <v>30196</v>
      </c>
      <c r="L4424">
        <v>-15565</v>
      </c>
      <c r="M4424" s="7">
        <f t="shared" ca="1" si="282"/>
        <v>42.614647501711154</v>
      </c>
      <c r="N4424" s="5" t="str">
        <f ca="1">VLOOKUP(Data!M4424,temp!$B$3:$C$9,2,1)</f>
        <v>40-50</v>
      </c>
      <c r="O4424">
        <v>-1386</v>
      </c>
      <c r="P4424" s="8">
        <f t="shared" si="283"/>
        <v>3.7946611909650922</v>
      </c>
      <c r="Q4424" s="5" t="str">
        <f t="shared" ref="Q4424:Q4487" si="285">IF($O4424&gt;0,"Unemployed","Employed")</f>
        <v>Employed</v>
      </c>
      <c r="R4424">
        <v>1</v>
      </c>
      <c r="S4424">
        <v>0</v>
      </c>
      <c r="T4424">
        <v>0</v>
      </c>
      <c r="U4424">
        <v>0</v>
      </c>
      <c r="W4424">
        <v>2</v>
      </c>
    </row>
    <row r="4425" spans="1:23" x14ac:dyDescent="0.2">
      <c r="A4425">
        <v>5148585</v>
      </c>
      <c r="B4425" t="s">
        <v>25</v>
      </c>
      <c r="C4425" t="s">
        <v>20</v>
      </c>
      <c r="D4425" t="s">
        <v>20</v>
      </c>
      <c r="E4425">
        <v>0</v>
      </c>
      <c r="F4425">
        <v>180000</v>
      </c>
      <c r="G4425" t="s">
        <v>31</v>
      </c>
      <c r="H4425" t="s">
        <v>27</v>
      </c>
      <c r="I4425" t="s">
        <v>28</v>
      </c>
      <c r="J4425" t="s">
        <v>24</v>
      </c>
      <c r="K4425" s="6">
        <f t="shared" ca="1" si="284"/>
        <v>34539</v>
      </c>
      <c r="L4425">
        <v>-11222</v>
      </c>
      <c r="M4425" s="7">
        <f t="shared" ca="1" si="282"/>
        <v>30.72416153319644</v>
      </c>
      <c r="N4425" s="5" t="str">
        <f ca="1">VLOOKUP(Data!M4425,temp!$B$3:$C$9,2,1)</f>
        <v>30-40</v>
      </c>
      <c r="O4425">
        <v>-1386</v>
      </c>
      <c r="P4425" s="8">
        <f t="shared" si="283"/>
        <v>3.7946611909650922</v>
      </c>
      <c r="Q4425" s="5" t="str">
        <f t="shared" si="285"/>
        <v>Employed</v>
      </c>
      <c r="R4425">
        <v>1</v>
      </c>
      <c r="S4425">
        <v>0</v>
      </c>
      <c r="T4425">
        <v>0</v>
      </c>
      <c r="U4425">
        <v>0</v>
      </c>
      <c r="V4425" t="s">
        <v>30</v>
      </c>
      <c r="W4425">
        <v>2</v>
      </c>
    </row>
    <row r="4426" spans="1:23" x14ac:dyDescent="0.2">
      <c r="A4426">
        <v>5148602</v>
      </c>
      <c r="B4426" t="s">
        <v>25</v>
      </c>
      <c r="C4426" t="s">
        <v>19</v>
      </c>
      <c r="D4426" t="s">
        <v>20</v>
      </c>
      <c r="E4426">
        <v>0</v>
      </c>
      <c r="F4426">
        <v>225000</v>
      </c>
      <c r="G4426" t="s">
        <v>21</v>
      </c>
      <c r="H4426" t="s">
        <v>27</v>
      </c>
      <c r="I4426" t="s">
        <v>28</v>
      </c>
      <c r="J4426" t="s">
        <v>24</v>
      </c>
      <c r="K4426" s="6">
        <f t="shared" ca="1" si="284"/>
        <v>22815</v>
      </c>
      <c r="L4426">
        <v>-22946</v>
      </c>
      <c r="M4426" s="7">
        <f t="shared" ca="1" si="282"/>
        <v>62.822724161533195</v>
      </c>
      <c r="N4426" s="5" t="str">
        <f ca="1">VLOOKUP(Data!M4426,temp!$B$3:$C$9,2,1)</f>
        <v>60-70</v>
      </c>
      <c r="O4426">
        <v>365243</v>
      </c>
      <c r="P4426" s="8">
        <f t="shared" si="283"/>
        <v>0</v>
      </c>
      <c r="Q4426" s="5" t="str">
        <f t="shared" si="285"/>
        <v>Unemployed</v>
      </c>
      <c r="R4426">
        <v>1</v>
      </c>
      <c r="S4426">
        <v>0</v>
      </c>
      <c r="T4426">
        <v>0</v>
      </c>
      <c r="U4426">
        <v>0</v>
      </c>
      <c r="W4426">
        <v>2</v>
      </c>
    </row>
    <row r="4427" spans="1:23" x14ac:dyDescent="0.2">
      <c r="A4427">
        <v>5148615</v>
      </c>
      <c r="B4427" t="s">
        <v>25</v>
      </c>
      <c r="C4427" t="s">
        <v>19</v>
      </c>
      <c r="D4427" t="s">
        <v>19</v>
      </c>
      <c r="E4427">
        <v>0</v>
      </c>
      <c r="F4427">
        <v>135000</v>
      </c>
      <c r="G4427" t="s">
        <v>26</v>
      </c>
      <c r="H4427" t="s">
        <v>27</v>
      </c>
      <c r="I4427" t="s">
        <v>33</v>
      </c>
      <c r="J4427" t="s">
        <v>34</v>
      </c>
      <c r="K4427" s="6">
        <f t="shared" ca="1" si="284"/>
        <v>37349</v>
      </c>
      <c r="L4427">
        <v>-8412</v>
      </c>
      <c r="M4427" s="7">
        <f t="shared" ca="1" si="282"/>
        <v>23.030800821355236</v>
      </c>
      <c r="N4427" s="5" t="str">
        <f ca="1">VLOOKUP(Data!M4427,temp!$B$3:$C$9,2,1)</f>
        <v>20-30</v>
      </c>
      <c r="O4427">
        <v>-1051</v>
      </c>
      <c r="P4427" s="8">
        <f t="shared" si="283"/>
        <v>2.8774811772758384</v>
      </c>
      <c r="Q4427" s="5" t="str">
        <f t="shared" si="285"/>
        <v>Employed</v>
      </c>
      <c r="R4427">
        <v>1</v>
      </c>
      <c r="S4427">
        <v>0</v>
      </c>
      <c r="T4427">
        <v>0</v>
      </c>
      <c r="U4427">
        <v>1</v>
      </c>
      <c r="V4427" t="s">
        <v>29</v>
      </c>
      <c r="W4427">
        <v>1</v>
      </c>
    </row>
    <row r="4428" spans="1:23" x14ac:dyDescent="0.2">
      <c r="A4428">
        <v>5148621</v>
      </c>
      <c r="B4428" t="s">
        <v>18</v>
      </c>
      <c r="C4428" t="s">
        <v>19</v>
      </c>
      <c r="D4428" t="s">
        <v>20</v>
      </c>
      <c r="E4428">
        <v>0</v>
      </c>
      <c r="F4428">
        <v>99000</v>
      </c>
      <c r="G4428" t="s">
        <v>21</v>
      </c>
      <c r="H4428" t="s">
        <v>27</v>
      </c>
      <c r="I4428" t="s">
        <v>33</v>
      </c>
      <c r="J4428" t="s">
        <v>24</v>
      </c>
      <c r="K4428" s="6">
        <f t="shared" ca="1" si="284"/>
        <v>22932</v>
      </c>
      <c r="L4428">
        <v>-22829</v>
      </c>
      <c r="M4428" s="7">
        <f t="shared" ca="1" si="282"/>
        <v>62.502395619438744</v>
      </c>
      <c r="N4428" s="5" t="str">
        <f ca="1">VLOOKUP(Data!M4428,temp!$B$3:$C$9,2,1)</f>
        <v>60-70</v>
      </c>
      <c r="O4428">
        <v>365243</v>
      </c>
      <c r="P4428" s="8">
        <f t="shared" si="283"/>
        <v>0</v>
      </c>
      <c r="Q4428" s="5" t="str">
        <f t="shared" si="285"/>
        <v>Unemployed</v>
      </c>
      <c r="R4428">
        <v>1</v>
      </c>
      <c r="S4428">
        <v>0</v>
      </c>
      <c r="T4428">
        <v>0</v>
      </c>
      <c r="U4428">
        <v>0</v>
      </c>
      <c r="W4428">
        <v>1</v>
      </c>
    </row>
    <row r="4429" spans="1:23" x14ac:dyDescent="0.2">
      <c r="A4429">
        <v>5148651</v>
      </c>
      <c r="B4429" t="s">
        <v>18</v>
      </c>
      <c r="C4429" t="s">
        <v>20</v>
      </c>
      <c r="D4429" t="s">
        <v>20</v>
      </c>
      <c r="E4429">
        <v>1</v>
      </c>
      <c r="F4429">
        <v>202500</v>
      </c>
      <c r="G4429" t="s">
        <v>26</v>
      </c>
      <c r="H4429" t="s">
        <v>27</v>
      </c>
      <c r="I4429" t="s">
        <v>28</v>
      </c>
      <c r="J4429" t="s">
        <v>24</v>
      </c>
      <c r="K4429" s="6">
        <f t="shared" ca="1" si="284"/>
        <v>30415</v>
      </c>
      <c r="L4429">
        <v>-15346</v>
      </c>
      <c r="M4429" s="7">
        <f t="shared" ca="1" si="282"/>
        <v>42.015058179329223</v>
      </c>
      <c r="N4429" s="5" t="str">
        <f ca="1">VLOOKUP(Data!M4429,temp!$B$3:$C$9,2,1)</f>
        <v>40-50</v>
      </c>
      <c r="O4429">
        <v>-2481</v>
      </c>
      <c r="P4429" s="8">
        <f t="shared" si="283"/>
        <v>6.792607802874743</v>
      </c>
      <c r="Q4429" s="5" t="str">
        <f t="shared" si="285"/>
        <v>Employed</v>
      </c>
      <c r="R4429">
        <v>1</v>
      </c>
      <c r="S4429">
        <v>0</v>
      </c>
      <c r="T4429">
        <v>0</v>
      </c>
      <c r="U4429">
        <v>0</v>
      </c>
      <c r="V4429" t="s">
        <v>29</v>
      </c>
      <c r="W4429">
        <v>3</v>
      </c>
    </row>
    <row r="4430" spans="1:23" x14ac:dyDescent="0.2">
      <c r="A4430">
        <v>5148653</v>
      </c>
      <c r="B4430" t="s">
        <v>18</v>
      </c>
      <c r="C4430" t="s">
        <v>20</v>
      </c>
      <c r="D4430" t="s">
        <v>20</v>
      </c>
      <c r="E4430">
        <v>1</v>
      </c>
      <c r="F4430">
        <v>202500</v>
      </c>
      <c r="G4430" t="s">
        <v>26</v>
      </c>
      <c r="H4430" t="s">
        <v>27</v>
      </c>
      <c r="I4430" t="s">
        <v>28</v>
      </c>
      <c r="J4430" t="s">
        <v>24</v>
      </c>
      <c r="K4430" s="6">
        <f t="shared" ca="1" si="284"/>
        <v>30415</v>
      </c>
      <c r="L4430">
        <v>-15346</v>
      </c>
      <c r="M4430" s="7">
        <f t="shared" ca="1" si="282"/>
        <v>42.015058179329223</v>
      </c>
      <c r="N4430" s="5" t="str">
        <f ca="1">VLOOKUP(Data!M4430,temp!$B$3:$C$9,2,1)</f>
        <v>40-50</v>
      </c>
      <c r="O4430">
        <v>-2481</v>
      </c>
      <c r="P4430" s="8">
        <f t="shared" si="283"/>
        <v>6.792607802874743</v>
      </c>
      <c r="Q4430" s="5" t="str">
        <f t="shared" si="285"/>
        <v>Employed</v>
      </c>
      <c r="R4430">
        <v>1</v>
      </c>
      <c r="S4430">
        <v>0</v>
      </c>
      <c r="T4430">
        <v>0</v>
      </c>
      <c r="U4430">
        <v>0</v>
      </c>
      <c r="V4430" t="s">
        <v>29</v>
      </c>
      <c r="W4430">
        <v>3</v>
      </c>
    </row>
    <row r="4431" spans="1:23" x14ac:dyDescent="0.2">
      <c r="A4431">
        <v>5148662</v>
      </c>
      <c r="B4431" t="s">
        <v>25</v>
      </c>
      <c r="C4431" t="s">
        <v>19</v>
      </c>
      <c r="D4431" t="s">
        <v>20</v>
      </c>
      <c r="E4431">
        <v>1</v>
      </c>
      <c r="F4431">
        <v>180000</v>
      </c>
      <c r="G4431" t="s">
        <v>26</v>
      </c>
      <c r="H4431" t="s">
        <v>27</v>
      </c>
      <c r="I4431" t="s">
        <v>28</v>
      </c>
      <c r="J4431" t="s">
        <v>45</v>
      </c>
      <c r="K4431" s="6">
        <f t="shared" ca="1" si="284"/>
        <v>33134</v>
      </c>
      <c r="L4431">
        <v>-12627</v>
      </c>
      <c r="M4431" s="7">
        <f t="shared" ca="1" si="282"/>
        <v>34.570841889117041</v>
      </c>
      <c r="N4431" s="5" t="str">
        <f ca="1">VLOOKUP(Data!M4431,temp!$B$3:$C$9,2,1)</f>
        <v>30-40</v>
      </c>
      <c r="O4431">
        <v>-2267</v>
      </c>
      <c r="P4431" s="8">
        <f t="shared" si="283"/>
        <v>6.2067077344284733</v>
      </c>
      <c r="Q4431" s="5" t="str">
        <f t="shared" si="285"/>
        <v>Employed</v>
      </c>
      <c r="R4431">
        <v>1</v>
      </c>
      <c r="S4431">
        <v>0</v>
      </c>
      <c r="T4431">
        <v>0</v>
      </c>
      <c r="U4431">
        <v>0</v>
      </c>
      <c r="V4431" t="s">
        <v>47</v>
      </c>
      <c r="W4431">
        <v>3</v>
      </c>
    </row>
    <row r="4432" spans="1:23" x14ac:dyDescent="0.2">
      <c r="A4432">
        <v>5148663</v>
      </c>
      <c r="B4432" t="s">
        <v>25</v>
      </c>
      <c r="C4432" t="s">
        <v>19</v>
      </c>
      <c r="D4432" t="s">
        <v>20</v>
      </c>
      <c r="E4432">
        <v>1</v>
      </c>
      <c r="F4432">
        <v>180000</v>
      </c>
      <c r="G4432" t="s">
        <v>26</v>
      </c>
      <c r="H4432" t="s">
        <v>27</v>
      </c>
      <c r="I4432" t="s">
        <v>28</v>
      </c>
      <c r="J4432" t="s">
        <v>45</v>
      </c>
      <c r="K4432" s="6">
        <f t="shared" ca="1" si="284"/>
        <v>33134</v>
      </c>
      <c r="L4432">
        <v>-12627</v>
      </c>
      <c r="M4432" s="7">
        <f t="shared" ca="1" si="282"/>
        <v>34.570841889117041</v>
      </c>
      <c r="N4432" s="5" t="str">
        <f ca="1">VLOOKUP(Data!M4432,temp!$B$3:$C$9,2,1)</f>
        <v>30-40</v>
      </c>
      <c r="O4432">
        <v>-2267</v>
      </c>
      <c r="P4432" s="8">
        <f t="shared" si="283"/>
        <v>6.2067077344284733</v>
      </c>
      <c r="Q4432" s="5" t="str">
        <f t="shared" si="285"/>
        <v>Employed</v>
      </c>
      <c r="R4432">
        <v>1</v>
      </c>
      <c r="S4432">
        <v>0</v>
      </c>
      <c r="T4432">
        <v>0</v>
      </c>
      <c r="U4432">
        <v>0</v>
      </c>
      <c r="V4432" t="s">
        <v>47</v>
      </c>
      <c r="W4432">
        <v>3</v>
      </c>
    </row>
    <row r="4433" spans="1:23" x14ac:dyDescent="0.2">
      <c r="A4433">
        <v>5148664</v>
      </c>
      <c r="B4433" t="s">
        <v>25</v>
      </c>
      <c r="C4433" t="s">
        <v>19</v>
      </c>
      <c r="D4433" t="s">
        <v>19</v>
      </c>
      <c r="E4433">
        <v>0</v>
      </c>
      <c r="F4433">
        <v>67500</v>
      </c>
      <c r="G4433" t="s">
        <v>31</v>
      </c>
      <c r="H4433" t="s">
        <v>27</v>
      </c>
      <c r="I4433" t="s">
        <v>33</v>
      </c>
      <c r="J4433" t="s">
        <v>24</v>
      </c>
      <c r="K4433" s="6">
        <f t="shared" ca="1" si="284"/>
        <v>25910</v>
      </c>
      <c r="L4433">
        <v>-19851</v>
      </c>
      <c r="M4433" s="7">
        <f t="shared" ca="1" si="282"/>
        <v>54.349075975359341</v>
      </c>
      <c r="N4433" s="5" t="str">
        <f ca="1">VLOOKUP(Data!M4433,temp!$B$3:$C$9,2,1)</f>
        <v>50-60</v>
      </c>
      <c r="O4433">
        <v>-10821</v>
      </c>
      <c r="P4433" s="8">
        <f t="shared" si="283"/>
        <v>29.626283367556468</v>
      </c>
      <c r="Q4433" s="5" t="str">
        <f t="shared" si="285"/>
        <v>Employed</v>
      </c>
      <c r="R4433">
        <v>1</v>
      </c>
      <c r="S4433">
        <v>0</v>
      </c>
      <c r="T4433">
        <v>0</v>
      </c>
      <c r="U4433">
        <v>0</v>
      </c>
      <c r="W4433">
        <v>1</v>
      </c>
    </row>
    <row r="4434" spans="1:23" x14ac:dyDescent="0.2">
      <c r="A4434">
        <v>5148669</v>
      </c>
      <c r="B4434" t="s">
        <v>25</v>
      </c>
      <c r="C4434" t="s">
        <v>20</v>
      </c>
      <c r="D4434" t="s">
        <v>20</v>
      </c>
      <c r="E4434">
        <v>1</v>
      </c>
      <c r="F4434">
        <v>810000</v>
      </c>
      <c r="G4434" t="s">
        <v>26</v>
      </c>
      <c r="H4434" t="s">
        <v>36</v>
      </c>
      <c r="I4434" t="s">
        <v>37</v>
      </c>
      <c r="J4434" t="s">
        <v>53</v>
      </c>
      <c r="K4434" s="6">
        <f t="shared" ca="1" si="284"/>
        <v>27839</v>
      </c>
      <c r="L4434">
        <v>-17922</v>
      </c>
      <c r="M4434" s="7">
        <f t="shared" ca="1" si="282"/>
        <v>49.067761806981522</v>
      </c>
      <c r="N4434" s="5" t="str">
        <f ca="1">VLOOKUP(Data!M4434,temp!$B$3:$C$9,2,1)</f>
        <v>40-50</v>
      </c>
      <c r="O4434">
        <v>-3455</v>
      </c>
      <c r="P4434" s="8">
        <f t="shared" si="283"/>
        <v>9.4592744695414108</v>
      </c>
      <c r="Q4434" s="5" t="str">
        <f t="shared" si="285"/>
        <v>Employed</v>
      </c>
      <c r="R4434">
        <v>1</v>
      </c>
      <c r="S4434">
        <v>0</v>
      </c>
      <c r="T4434">
        <v>0</v>
      </c>
      <c r="U4434">
        <v>0</v>
      </c>
      <c r="V4434" t="s">
        <v>40</v>
      </c>
      <c r="W4434">
        <v>3</v>
      </c>
    </row>
    <row r="4435" spans="1:23" x14ac:dyDescent="0.2">
      <c r="A4435">
        <v>5148682</v>
      </c>
      <c r="B4435" t="s">
        <v>18</v>
      </c>
      <c r="C4435" t="s">
        <v>19</v>
      </c>
      <c r="D4435" t="s">
        <v>19</v>
      </c>
      <c r="E4435">
        <v>0</v>
      </c>
      <c r="F4435">
        <v>121500</v>
      </c>
      <c r="G4435" t="s">
        <v>26</v>
      </c>
      <c r="H4435" t="s">
        <v>27</v>
      </c>
      <c r="I4435" t="s">
        <v>28</v>
      </c>
      <c r="J4435" t="s">
        <v>24</v>
      </c>
      <c r="K4435" s="6">
        <f t="shared" ca="1" si="284"/>
        <v>26933</v>
      </c>
      <c r="L4435">
        <v>-18828</v>
      </c>
      <c r="M4435" s="7">
        <f t="shared" ca="1" si="282"/>
        <v>51.548254620123203</v>
      </c>
      <c r="N4435" s="5" t="str">
        <f ca="1">VLOOKUP(Data!M4435,temp!$B$3:$C$9,2,1)</f>
        <v>50-60</v>
      </c>
      <c r="O4435">
        <v>-6195</v>
      </c>
      <c r="P4435" s="8">
        <f t="shared" si="283"/>
        <v>16.960985626283367</v>
      </c>
      <c r="Q4435" s="5" t="str">
        <f t="shared" si="285"/>
        <v>Employed</v>
      </c>
      <c r="R4435">
        <v>1</v>
      </c>
      <c r="S4435">
        <v>0</v>
      </c>
      <c r="T4435">
        <v>0</v>
      </c>
      <c r="U4435">
        <v>0</v>
      </c>
      <c r="W4435">
        <v>2</v>
      </c>
    </row>
    <row r="4436" spans="1:23" x14ac:dyDescent="0.2">
      <c r="A4436">
        <v>5148718</v>
      </c>
      <c r="B4436" t="s">
        <v>18</v>
      </c>
      <c r="C4436" t="s">
        <v>20</v>
      </c>
      <c r="D4436" t="s">
        <v>20</v>
      </c>
      <c r="E4436">
        <v>0</v>
      </c>
      <c r="F4436">
        <v>180000</v>
      </c>
      <c r="G4436" t="s">
        <v>26</v>
      </c>
      <c r="H4436" t="s">
        <v>27</v>
      </c>
      <c r="I4436" t="s">
        <v>28</v>
      </c>
      <c r="J4436" t="s">
        <v>24</v>
      </c>
      <c r="K4436" s="6">
        <f t="shared" ca="1" si="284"/>
        <v>32507</v>
      </c>
      <c r="L4436">
        <v>-13254</v>
      </c>
      <c r="M4436" s="7">
        <f t="shared" ca="1" si="282"/>
        <v>36.28747433264887</v>
      </c>
      <c r="N4436" s="5" t="str">
        <f ca="1">VLOOKUP(Data!M4436,temp!$B$3:$C$9,2,1)</f>
        <v>30-40</v>
      </c>
      <c r="O4436">
        <v>-2542</v>
      </c>
      <c r="P4436" s="8">
        <f t="shared" si="283"/>
        <v>6.9596167008898018</v>
      </c>
      <c r="Q4436" s="5" t="str">
        <f t="shared" si="285"/>
        <v>Employed</v>
      </c>
      <c r="R4436">
        <v>1</v>
      </c>
      <c r="S4436">
        <v>0</v>
      </c>
      <c r="T4436">
        <v>1</v>
      </c>
      <c r="U4436">
        <v>0</v>
      </c>
      <c r="W4436">
        <v>2</v>
      </c>
    </row>
    <row r="4437" spans="1:23" x14ac:dyDescent="0.2">
      <c r="A4437">
        <v>5148719</v>
      </c>
      <c r="B4437" t="s">
        <v>18</v>
      </c>
      <c r="C4437" t="s">
        <v>20</v>
      </c>
      <c r="D4437" t="s">
        <v>20</v>
      </c>
      <c r="E4437">
        <v>0</v>
      </c>
      <c r="F4437">
        <v>180000</v>
      </c>
      <c r="G4437" t="s">
        <v>26</v>
      </c>
      <c r="H4437" t="s">
        <v>27</v>
      </c>
      <c r="I4437" t="s">
        <v>28</v>
      </c>
      <c r="J4437" t="s">
        <v>24</v>
      </c>
      <c r="K4437" s="6">
        <f t="shared" ca="1" si="284"/>
        <v>32507</v>
      </c>
      <c r="L4437">
        <v>-13254</v>
      </c>
      <c r="M4437" s="7">
        <f t="shared" ca="1" si="282"/>
        <v>36.28747433264887</v>
      </c>
      <c r="N4437" s="5" t="str">
        <f ca="1">VLOOKUP(Data!M4437,temp!$B$3:$C$9,2,1)</f>
        <v>30-40</v>
      </c>
      <c r="O4437">
        <v>-2542</v>
      </c>
      <c r="P4437" s="8">
        <f t="shared" si="283"/>
        <v>6.9596167008898018</v>
      </c>
      <c r="Q4437" s="5" t="str">
        <f t="shared" si="285"/>
        <v>Employed</v>
      </c>
      <c r="R4437">
        <v>1</v>
      </c>
      <c r="S4437">
        <v>0</v>
      </c>
      <c r="T4437">
        <v>1</v>
      </c>
      <c r="U4437">
        <v>0</v>
      </c>
      <c r="W4437">
        <v>2</v>
      </c>
    </row>
    <row r="4438" spans="1:23" x14ac:dyDescent="0.2">
      <c r="A4438">
        <v>5148720</v>
      </c>
      <c r="B4438" t="s">
        <v>18</v>
      </c>
      <c r="C4438" t="s">
        <v>20</v>
      </c>
      <c r="D4438" t="s">
        <v>20</v>
      </c>
      <c r="E4438">
        <v>0</v>
      </c>
      <c r="F4438">
        <v>180000</v>
      </c>
      <c r="G4438" t="s">
        <v>26</v>
      </c>
      <c r="H4438" t="s">
        <v>27</v>
      </c>
      <c r="I4438" t="s">
        <v>28</v>
      </c>
      <c r="J4438" t="s">
        <v>24</v>
      </c>
      <c r="K4438" s="6">
        <f t="shared" ca="1" si="284"/>
        <v>32507</v>
      </c>
      <c r="L4438">
        <v>-13254</v>
      </c>
      <c r="M4438" s="7">
        <f t="shared" ca="1" si="282"/>
        <v>36.28747433264887</v>
      </c>
      <c r="N4438" s="5" t="str">
        <f ca="1">VLOOKUP(Data!M4438,temp!$B$3:$C$9,2,1)</f>
        <v>30-40</v>
      </c>
      <c r="O4438">
        <v>-2542</v>
      </c>
      <c r="P4438" s="8">
        <f t="shared" si="283"/>
        <v>6.9596167008898018</v>
      </c>
      <c r="Q4438" s="5" t="str">
        <f t="shared" si="285"/>
        <v>Employed</v>
      </c>
      <c r="R4438">
        <v>1</v>
      </c>
      <c r="S4438">
        <v>0</v>
      </c>
      <c r="T4438">
        <v>1</v>
      </c>
      <c r="U4438">
        <v>0</v>
      </c>
      <c r="W4438">
        <v>2</v>
      </c>
    </row>
    <row r="4439" spans="1:23" x14ac:dyDescent="0.2">
      <c r="A4439">
        <v>5148750</v>
      </c>
      <c r="B4439" t="s">
        <v>18</v>
      </c>
      <c r="C4439" t="s">
        <v>20</v>
      </c>
      <c r="D4439" t="s">
        <v>20</v>
      </c>
      <c r="E4439">
        <v>1</v>
      </c>
      <c r="F4439">
        <v>135000</v>
      </c>
      <c r="G4439" t="s">
        <v>26</v>
      </c>
      <c r="H4439" t="s">
        <v>36</v>
      </c>
      <c r="I4439" t="s">
        <v>37</v>
      </c>
      <c r="J4439" t="s">
        <v>24</v>
      </c>
      <c r="K4439" s="6">
        <f t="shared" ca="1" si="284"/>
        <v>34292</v>
      </c>
      <c r="L4439">
        <v>-11469</v>
      </c>
      <c r="M4439" s="7">
        <f t="shared" ca="1" si="282"/>
        <v>31.400410677618069</v>
      </c>
      <c r="N4439" s="5" t="str">
        <f ca="1">VLOOKUP(Data!M4439,temp!$B$3:$C$9,2,1)</f>
        <v>30-40</v>
      </c>
      <c r="O4439">
        <v>-686</v>
      </c>
      <c r="P4439" s="8">
        <f t="shared" si="283"/>
        <v>1.8781656399726214</v>
      </c>
      <c r="Q4439" s="5" t="str">
        <f t="shared" si="285"/>
        <v>Employed</v>
      </c>
      <c r="R4439">
        <v>1</v>
      </c>
      <c r="S4439">
        <v>0</v>
      </c>
      <c r="T4439">
        <v>1</v>
      </c>
      <c r="U4439">
        <v>0</v>
      </c>
      <c r="W4439">
        <v>3</v>
      </c>
    </row>
    <row r="4440" spans="1:23" x14ac:dyDescent="0.2">
      <c r="A4440">
        <v>5148772</v>
      </c>
      <c r="B4440" t="s">
        <v>25</v>
      </c>
      <c r="C4440" t="s">
        <v>20</v>
      </c>
      <c r="D4440" t="s">
        <v>20</v>
      </c>
      <c r="E4440">
        <v>0</v>
      </c>
      <c r="F4440">
        <v>144000</v>
      </c>
      <c r="G4440" t="s">
        <v>31</v>
      </c>
      <c r="H4440" t="s">
        <v>27</v>
      </c>
      <c r="I4440" t="s">
        <v>28</v>
      </c>
      <c r="J4440" t="s">
        <v>24</v>
      </c>
      <c r="K4440" s="6">
        <f t="shared" ca="1" si="284"/>
        <v>35394</v>
      </c>
      <c r="L4440">
        <v>-10367</v>
      </c>
      <c r="M4440" s="7">
        <f t="shared" ca="1" si="282"/>
        <v>28.383299110198493</v>
      </c>
      <c r="N4440" s="5" t="str">
        <f ca="1">VLOOKUP(Data!M4440,temp!$B$3:$C$9,2,1)</f>
        <v>20-30</v>
      </c>
      <c r="O4440">
        <v>-2389</v>
      </c>
      <c r="P4440" s="8">
        <f t="shared" si="283"/>
        <v>6.5407255304585901</v>
      </c>
      <c r="Q4440" s="5" t="str">
        <f t="shared" si="285"/>
        <v>Employed</v>
      </c>
      <c r="R4440">
        <v>1</v>
      </c>
      <c r="S4440">
        <v>0</v>
      </c>
      <c r="T4440">
        <v>1</v>
      </c>
      <c r="U4440">
        <v>0</v>
      </c>
      <c r="V4440" t="s">
        <v>39</v>
      </c>
      <c r="W4440">
        <v>2</v>
      </c>
    </row>
    <row r="4441" spans="1:23" x14ac:dyDescent="0.2">
      <c r="A4441">
        <v>5148819</v>
      </c>
      <c r="B4441" t="s">
        <v>18</v>
      </c>
      <c r="C4441" t="s">
        <v>20</v>
      </c>
      <c r="D4441" t="s">
        <v>20</v>
      </c>
      <c r="E4441">
        <v>0</v>
      </c>
      <c r="F4441">
        <v>135000</v>
      </c>
      <c r="G4441" t="s">
        <v>31</v>
      </c>
      <c r="H4441" t="s">
        <v>22</v>
      </c>
      <c r="I4441" t="s">
        <v>37</v>
      </c>
      <c r="J4441" t="s">
        <v>24</v>
      </c>
      <c r="K4441" s="6">
        <f t="shared" ca="1" si="284"/>
        <v>25920</v>
      </c>
      <c r="L4441">
        <v>-19841</v>
      </c>
      <c r="M4441" s="7">
        <f t="shared" ca="1" si="282"/>
        <v>54.321697467488022</v>
      </c>
      <c r="N4441" s="5" t="str">
        <f ca="1">VLOOKUP(Data!M4441,temp!$B$3:$C$9,2,1)</f>
        <v>50-60</v>
      </c>
      <c r="O4441">
        <v>-4428</v>
      </c>
      <c r="P4441" s="8">
        <f t="shared" si="283"/>
        <v>12.123203285420944</v>
      </c>
      <c r="Q4441" s="5" t="str">
        <f t="shared" si="285"/>
        <v>Employed</v>
      </c>
      <c r="R4441">
        <v>1</v>
      </c>
      <c r="S4441">
        <v>1</v>
      </c>
      <c r="T4441">
        <v>1</v>
      </c>
      <c r="U4441">
        <v>0</v>
      </c>
      <c r="V4441" t="s">
        <v>32</v>
      </c>
      <c r="W4441">
        <v>2</v>
      </c>
    </row>
    <row r="4442" spans="1:23" x14ac:dyDescent="0.2">
      <c r="A4442">
        <v>5148820</v>
      </c>
      <c r="B4442" t="s">
        <v>18</v>
      </c>
      <c r="C4442" t="s">
        <v>20</v>
      </c>
      <c r="D4442" t="s">
        <v>20</v>
      </c>
      <c r="E4442">
        <v>0</v>
      </c>
      <c r="F4442">
        <v>135000</v>
      </c>
      <c r="G4442" t="s">
        <v>31</v>
      </c>
      <c r="H4442" t="s">
        <v>22</v>
      </c>
      <c r="I4442" t="s">
        <v>37</v>
      </c>
      <c r="J4442" t="s">
        <v>24</v>
      </c>
      <c r="K4442" s="6">
        <f t="shared" ca="1" si="284"/>
        <v>25920</v>
      </c>
      <c r="L4442">
        <v>-19841</v>
      </c>
      <c r="M4442" s="7">
        <f t="shared" ca="1" si="282"/>
        <v>54.321697467488022</v>
      </c>
      <c r="N4442" s="5" t="str">
        <f ca="1">VLOOKUP(Data!M4442,temp!$B$3:$C$9,2,1)</f>
        <v>50-60</v>
      </c>
      <c r="O4442">
        <v>-4428</v>
      </c>
      <c r="P4442" s="8">
        <f t="shared" si="283"/>
        <v>12.123203285420944</v>
      </c>
      <c r="Q4442" s="5" t="str">
        <f t="shared" si="285"/>
        <v>Employed</v>
      </c>
      <c r="R4442">
        <v>1</v>
      </c>
      <c r="S4442">
        <v>1</v>
      </c>
      <c r="T4442">
        <v>1</v>
      </c>
      <c r="U4442">
        <v>0</v>
      </c>
      <c r="V4442" t="s">
        <v>32</v>
      </c>
      <c r="W4442">
        <v>2</v>
      </c>
    </row>
    <row r="4443" spans="1:23" x14ac:dyDescent="0.2">
      <c r="A4443">
        <v>5148828</v>
      </c>
      <c r="B4443" t="s">
        <v>18</v>
      </c>
      <c r="C4443" t="s">
        <v>19</v>
      </c>
      <c r="D4443" t="s">
        <v>20</v>
      </c>
      <c r="E4443">
        <v>1</v>
      </c>
      <c r="F4443">
        <v>225000</v>
      </c>
      <c r="G4443" t="s">
        <v>31</v>
      </c>
      <c r="H4443" t="s">
        <v>27</v>
      </c>
      <c r="I4443" t="s">
        <v>28</v>
      </c>
      <c r="J4443" t="s">
        <v>24</v>
      </c>
      <c r="K4443" s="6">
        <f t="shared" ca="1" si="284"/>
        <v>31404</v>
      </c>
      <c r="L4443">
        <v>-14357</v>
      </c>
      <c r="M4443" s="7">
        <f t="shared" ca="1" si="282"/>
        <v>39.307323750855581</v>
      </c>
      <c r="N4443" s="5" t="str">
        <f ca="1">VLOOKUP(Data!M4443,temp!$B$3:$C$9,2,1)</f>
        <v>30-40</v>
      </c>
      <c r="O4443">
        <v>-3120</v>
      </c>
      <c r="P4443" s="8">
        <f t="shared" si="283"/>
        <v>8.5420944558521565</v>
      </c>
      <c r="Q4443" s="5" t="str">
        <f t="shared" si="285"/>
        <v>Employed</v>
      </c>
      <c r="R4443">
        <v>1</v>
      </c>
      <c r="S4443">
        <v>1</v>
      </c>
      <c r="T4443">
        <v>1</v>
      </c>
      <c r="U4443">
        <v>0</v>
      </c>
      <c r="V4443" t="s">
        <v>39</v>
      </c>
      <c r="W4443">
        <v>3</v>
      </c>
    </row>
    <row r="4444" spans="1:23" x14ac:dyDescent="0.2">
      <c r="A4444">
        <v>5148834</v>
      </c>
      <c r="B4444" t="s">
        <v>18</v>
      </c>
      <c r="C4444" t="s">
        <v>20</v>
      </c>
      <c r="D4444" t="s">
        <v>20</v>
      </c>
      <c r="E4444">
        <v>1</v>
      </c>
      <c r="F4444">
        <v>135000</v>
      </c>
      <c r="G4444" t="s">
        <v>31</v>
      </c>
      <c r="H4444" t="s">
        <v>22</v>
      </c>
      <c r="I4444" t="s">
        <v>28</v>
      </c>
      <c r="J4444" t="s">
        <v>24</v>
      </c>
      <c r="K4444" s="6">
        <f t="shared" ca="1" si="284"/>
        <v>34449</v>
      </c>
      <c r="L4444">
        <v>-11312</v>
      </c>
      <c r="M4444" s="7">
        <f t="shared" ca="1" si="282"/>
        <v>30.970568104038328</v>
      </c>
      <c r="N4444" s="5" t="str">
        <f ca="1">VLOOKUP(Data!M4444,temp!$B$3:$C$9,2,1)</f>
        <v>30-40</v>
      </c>
      <c r="O4444">
        <v>-472</v>
      </c>
      <c r="P4444" s="8">
        <f t="shared" si="283"/>
        <v>1.2922655715263518</v>
      </c>
      <c r="Q4444" s="5" t="str">
        <f t="shared" si="285"/>
        <v>Employed</v>
      </c>
      <c r="R4444">
        <v>1</v>
      </c>
      <c r="S4444">
        <v>0</v>
      </c>
      <c r="T4444">
        <v>0</v>
      </c>
      <c r="U4444">
        <v>1</v>
      </c>
      <c r="V4444" t="s">
        <v>39</v>
      </c>
      <c r="W4444">
        <v>3</v>
      </c>
    </row>
    <row r="4445" spans="1:23" x14ac:dyDescent="0.2">
      <c r="A4445">
        <v>5148853</v>
      </c>
      <c r="B4445" t="s">
        <v>25</v>
      </c>
      <c r="C4445" t="s">
        <v>20</v>
      </c>
      <c r="D4445" t="s">
        <v>20</v>
      </c>
      <c r="E4445">
        <v>0</v>
      </c>
      <c r="F4445">
        <v>261000</v>
      </c>
      <c r="G4445" t="s">
        <v>31</v>
      </c>
      <c r="H4445" t="s">
        <v>27</v>
      </c>
      <c r="I4445" t="s">
        <v>28</v>
      </c>
      <c r="J4445" t="s">
        <v>24</v>
      </c>
      <c r="K4445" s="6">
        <f t="shared" ca="1" si="284"/>
        <v>30053</v>
      </c>
      <c r="L4445">
        <v>-15708</v>
      </c>
      <c r="M4445" s="7">
        <f t="shared" ca="1" si="282"/>
        <v>43.006160164271044</v>
      </c>
      <c r="N4445" s="5" t="str">
        <f ca="1">VLOOKUP(Data!M4445,temp!$B$3:$C$9,2,1)</f>
        <v>40-50</v>
      </c>
      <c r="O4445">
        <v>-5250</v>
      </c>
      <c r="P4445" s="8">
        <f t="shared" si="283"/>
        <v>14.373716632443532</v>
      </c>
      <c r="Q4445" s="5" t="str">
        <f t="shared" si="285"/>
        <v>Employed</v>
      </c>
      <c r="R4445">
        <v>1</v>
      </c>
      <c r="S4445">
        <v>0</v>
      </c>
      <c r="T4445">
        <v>0</v>
      </c>
      <c r="U4445">
        <v>0</v>
      </c>
      <c r="V4445" t="s">
        <v>29</v>
      </c>
      <c r="W4445">
        <v>2</v>
      </c>
    </row>
    <row r="4446" spans="1:23" x14ac:dyDescent="0.2">
      <c r="A4446">
        <v>5148858</v>
      </c>
      <c r="B4446" t="s">
        <v>25</v>
      </c>
      <c r="C4446" t="s">
        <v>19</v>
      </c>
      <c r="D4446" t="s">
        <v>19</v>
      </c>
      <c r="E4446">
        <v>2</v>
      </c>
      <c r="F4446">
        <v>112500</v>
      </c>
      <c r="G4446" t="s">
        <v>31</v>
      </c>
      <c r="H4446" t="s">
        <v>22</v>
      </c>
      <c r="I4446" t="s">
        <v>28</v>
      </c>
      <c r="J4446" t="s">
        <v>24</v>
      </c>
      <c r="K4446" s="6">
        <f t="shared" ca="1" si="284"/>
        <v>34483</v>
      </c>
      <c r="L4446">
        <v>-11278</v>
      </c>
      <c r="M4446" s="7">
        <f t="shared" ca="1" si="282"/>
        <v>30.87748117727584</v>
      </c>
      <c r="N4446" s="5" t="str">
        <f ca="1">VLOOKUP(Data!M4446,temp!$B$3:$C$9,2,1)</f>
        <v>30-40</v>
      </c>
      <c r="O4446">
        <v>-4459</v>
      </c>
      <c r="P4446" s="8">
        <f t="shared" si="283"/>
        <v>12.208076659822039</v>
      </c>
      <c r="Q4446" s="5" t="str">
        <f t="shared" si="285"/>
        <v>Employed</v>
      </c>
      <c r="R4446">
        <v>1</v>
      </c>
      <c r="S4446">
        <v>0</v>
      </c>
      <c r="T4446">
        <v>0</v>
      </c>
      <c r="U4446">
        <v>0</v>
      </c>
      <c r="V4446" t="s">
        <v>48</v>
      </c>
      <c r="W4446">
        <v>4</v>
      </c>
    </row>
    <row r="4447" spans="1:23" x14ac:dyDescent="0.2">
      <c r="A4447">
        <v>5148879</v>
      </c>
      <c r="B4447" t="s">
        <v>18</v>
      </c>
      <c r="C4447" t="s">
        <v>20</v>
      </c>
      <c r="D4447" t="s">
        <v>20</v>
      </c>
      <c r="E4447">
        <v>0</v>
      </c>
      <c r="F4447">
        <v>202500</v>
      </c>
      <c r="G4447" t="s">
        <v>31</v>
      </c>
      <c r="H4447" t="s">
        <v>36</v>
      </c>
      <c r="I4447" t="s">
        <v>28</v>
      </c>
      <c r="J4447" t="s">
        <v>24</v>
      </c>
      <c r="K4447" s="6">
        <f t="shared" ca="1" si="284"/>
        <v>27168</v>
      </c>
      <c r="L4447">
        <v>-18593</v>
      </c>
      <c r="M4447" s="7">
        <f t="shared" ca="1" si="282"/>
        <v>50.904859685147159</v>
      </c>
      <c r="N4447" s="5" t="str">
        <f ca="1">VLOOKUP(Data!M4447,temp!$B$3:$C$9,2,1)</f>
        <v>50-60</v>
      </c>
      <c r="O4447">
        <v>-5434</v>
      </c>
      <c r="P4447" s="8">
        <f t="shared" si="283"/>
        <v>14.877481177275838</v>
      </c>
      <c r="Q4447" s="5" t="str">
        <f t="shared" si="285"/>
        <v>Employed</v>
      </c>
      <c r="R4447">
        <v>1</v>
      </c>
      <c r="S4447">
        <v>1</v>
      </c>
      <c r="T4447">
        <v>1</v>
      </c>
      <c r="U4447">
        <v>0</v>
      </c>
      <c r="V4447" t="s">
        <v>44</v>
      </c>
      <c r="W4447">
        <v>2</v>
      </c>
    </row>
    <row r="4448" spans="1:23" x14ac:dyDescent="0.2">
      <c r="A4448">
        <v>5148881</v>
      </c>
      <c r="B4448" t="s">
        <v>18</v>
      </c>
      <c r="C4448" t="s">
        <v>20</v>
      </c>
      <c r="D4448" t="s">
        <v>20</v>
      </c>
      <c r="E4448">
        <v>0</v>
      </c>
      <c r="F4448">
        <v>202500</v>
      </c>
      <c r="G4448" t="s">
        <v>31</v>
      </c>
      <c r="H4448" t="s">
        <v>36</v>
      </c>
      <c r="I4448" t="s">
        <v>28</v>
      </c>
      <c r="J4448" t="s">
        <v>24</v>
      </c>
      <c r="K4448" s="6">
        <f t="shared" ca="1" si="284"/>
        <v>27168</v>
      </c>
      <c r="L4448">
        <v>-18593</v>
      </c>
      <c r="M4448" s="7">
        <f t="shared" ca="1" si="282"/>
        <v>50.904859685147159</v>
      </c>
      <c r="N4448" s="5" t="str">
        <f ca="1">VLOOKUP(Data!M4448,temp!$B$3:$C$9,2,1)</f>
        <v>50-60</v>
      </c>
      <c r="O4448">
        <v>-5434</v>
      </c>
      <c r="P4448" s="8">
        <f t="shared" si="283"/>
        <v>14.877481177275838</v>
      </c>
      <c r="Q4448" s="5" t="str">
        <f t="shared" si="285"/>
        <v>Employed</v>
      </c>
      <c r="R4448">
        <v>1</v>
      </c>
      <c r="S4448">
        <v>1</v>
      </c>
      <c r="T4448">
        <v>1</v>
      </c>
      <c r="U4448">
        <v>0</v>
      </c>
      <c r="V4448" t="s">
        <v>44</v>
      </c>
      <c r="W4448">
        <v>2</v>
      </c>
    </row>
    <row r="4449" spans="1:23" x14ac:dyDescent="0.2">
      <c r="A4449">
        <v>5148884</v>
      </c>
      <c r="B4449" t="s">
        <v>18</v>
      </c>
      <c r="C4449" t="s">
        <v>19</v>
      </c>
      <c r="D4449" t="s">
        <v>20</v>
      </c>
      <c r="E4449">
        <v>0</v>
      </c>
      <c r="F4449">
        <v>108000</v>
      </c>
      <c r="G4449" t="s">
        <v>31</v>
      </c>
      <c r="H4449" t="s">
        <v>27</v>
      </c>
      <c r="I4449" t="s">
        <v>23</v>
      </c>
      <c r="J4449" t="s">
        <v>24</v>
      </c>
      <c r="K4449" s="6">
        <f t="shared" ca="1" si="284"/>
        <v>29345</v>
      </c>
      <c r="L4449">
        <v>-16416</v>
      </c>
      <c r="M4449" s="7">
        <f t="shared" ca="1" si="282"/>
        <v>44.944558521560573</v>
      </c>
      <c r="N4449" s="5" t="str">
        <f ca="1">VLOOKUP(Data!M4449,temp!$B$3:$C$9,2,1)</f>
        <v>40-50</v>
      </c>
      <c r="O4449">
        <v>-1782</v>
      </c>
      <c r="P4449" s="8">
        <f t="shared" si="283"/>
        <v>4.8788501026694044</v>
      </c>
      <c r="Q4449" s="5" t="str">
        <f t="shared" si="285"/>
        <v>Employed</v>
      </c>
      <c r="R4449">
        <v>1</v>
      </c>
      <c r="S4449">
        <v>0</v>
      </c>
      <c r="T4449">
        <v>0</v>
      </c>
      <c r="U4449">
        <v>0</v>
      </c>
      <c r="V4449" t="s">
        <v>29</v>
      </c>
      <c r="W4449">
        <v>1</v>
      </c>
    </row>
    <row r="4450" spans="1:23" x14ac:dyDescent="0.2">
      <c r="A4450">
        <v>5148896</v>
      </c>
      <c r="B4450" t="s">
        <v>25</v>
      </c>
      <c r="C4450" t="s">
        <v>19</v>
      </c>
      <c r="D4450" t="s">
        <v>20</v>
      </c>
      <c r="E4450">
        <v>0</v>
      </c>
      <c r="F4450">
        <v>90900</v>
      </c>
      <c r="G4450" t="s">
        <v>21</v>
      </c>
      <c r="H4450" t="s">
        <v>27</v>
      </c>
      <c r="I4450" t="s">
        <v>28</v>
      </c>
      <c r="J4450" t="s">
        <v>24</v>
      </c>
      <c r="K4450" s="6">
        <f t="shared" ca="1" si="284"/>
        <v>23528</v>
      </c>
      <c r="L4450">
        <v>-22233</v>
      </c>
      <c r="M4450" s="7">
        <f t="shared" ca="1" si="282"/>
        <v>60.870636550308006</v>
      </c>
      <c r="N4450" s="5" t="str">
        <f ca="1">VLOOKUP(Data!M4450,temp!$B$3:$C$9,2,1)</f>
        <v>60-70</v>
      </c>
      <c r="O4450">
        <v>365243</v>
      </c>
      <c r="P4450" s="8">
        <f t="shared" si="283"/>
        <v>0</v>
      </c>
      <c r="Q4450" s="5" t="str">
        <f t="shared" si="285"/>
        <v>Unemployed</v>
      </c>
      <c r="R4450">
        <v>1</v>
      </c>
      <c r="S4450">
        <v>0</v>
      </c>
      <c r="T4450">
        <v>1</v>
      </c>
      <c r="U4450">
        <v>0</v>
      </c>
      <c r="W4450">
        <v>2</v>
      </c>
    </row>
    <row r="4451" spans="1:23" x14ac:dyDescent="0.2">
      <c r="A4451">
        <v>5148897</v>
      </c>
      <c r="B4451" t="s">
        <v>25</v>
      </c>
      <c r="C4451" t="s">
        <v>19</v>
      </c>
      <c r="D4451" t="s">
        <v>20</v>
      </c>
      <c r="E4451">
        <v>0</v>
      </c>
      <c r="F4451">
        <v>90900</v>
      </c>
      <c r="G4451" t="s">
        <v>21</v>
      </c>
      <c r="H4451" t="s">
        <v>27</v>
      </c>
      <c r="I4451" t="s">
        <v>28</v>
      </c>
      <c r="J4451" t="s">
        <v>24</v>
      </c>
      <c r="K4451" s="6">
        <f t="shared" ca="1" si="284"/>
        <v>23528</v>
      </c>
      <c r="L4451">
        <v>-22233</v>
      </c>
      <c r="M4451" s="7">
        <f t="shared" ca="1" si="282"/>
        <v>60.870636550308006</v>
      </c>
      <c r="N4451" s="5" t="str">
        <f ca="1">VLOOKUP(Data!M4451,temp!$B$3:$C$9,2,1)</f>
        <v>60-70</v>
      </c>
      <c r="O4451">
        <v>365243</v>
      </c>
      <c r="P4451" s="8">
        <f t="shared" si="283"/>
        <v>0</v>
      </c>
      <c r="Q4451" s="5" t="str">
        <f t="shared" si="285"/>
        <v>Unemployed</v>
      </c>
      <c r="R4451">
        <v>1</v>
      </c>
      <c r="S4451">
        <v>0</v>
      </c>
      <c r="T4451">
        <v>1</v>
      </c>
      <c r="U4451">
        <v>0</v>
      </c>
      <c r="W4451">
        <v>2</v>
      </c>
    </row>
    <row r="4452" spans="1:23" x14ac:dyDescent="0.2">
      <c r="A4452">
        <v>5148948</v>
      </c>
      <c r="B4452" t="s">
        <v>18</v>
      </c>
      <c r="C4452" t="s">
        <v>19</v>
      </c>
      <c r="D4452" t="s">
        <v>20</v>
      </c>
      <c r="E4452">
        <v>0</v>
      </c>
      <c r="F4452">
        <v>90000</v>
      </c>
      <c r="G4452" t="s">
        <v>31</v>
      </c>
      <c r="H4452" t="s">
        <v>27</v>
      </c>
      <c r="I4452" t="s">
        <v>28</v>
      </c>
      <c r="J4452" t="s">
        <v>45</v>
      </c>
      <c r="K4452" s="6">
        <f t="shared" ca="1" si="284"/>
        <v>28053</v>
      </c>
      <c r="L4452">
        <v>-17708</v>
      </c>
      <c r="M4452" s="7">
        <f t="shared" ca="1" si="282"/>
        <v>48.481861738535251</v>
      </c>
      <c r="N4452" s="5" t="str">
        <f ca="1">VLOOKUP(Data!M4452,temp!$B$3:$C$9,2,1)</f>
        <v>40-50</v>
      </c>
      <c r="O4452">
        <v>-5555</v>
      </c>
      <c r="P4452" s="8">
        <f t="shared" si="283"/>
        <v>15.208761122518823</v>
      </c>
      <c r="Q4452" s="5" t="str">
        <f t="shared" si="285"/>
        <v>Employed</v>
      </c>
      <c r="R4452">
        <v>1</v>
      </c>
      <c r="S4452">
        <v>0</v>
      </c>
      <c r="T4452">
        <v>0</v>
      </c>
      <c r="U4452">
        <v>0</v>
      </c>
      <c r="V4452" t="s">
        <v>29</v>
      </c>
      <c r="W4452">
        <v>2</v>
      </c>
    </row>
    <row r="4453" spans="1:23" x14ac:dyDescent="0.2">
      <c r="A4453">
        <v>5148970</v>
      </c>
      <c r="B4453" t="s">
        <v>25</v>
      </c>
      <c r="C4453" t="s">
        <v>20</v>
      </c>
      <c r="D4453" t="s">
        <v>20</v>
      </c>
      <c r="E4453">
        <v>0</v>
      </c>
      <c r="F4453">
        <v>495000</v>
      </c>
      <c r="G4453" t="s">
        <v>31</v>
      </c>
      <c r="H4453" t="s">
        <v>27</v>
      </c>
      <c r="I4453" t="s">
        <v>33</v>
      </c>
      <c r="J4453" t="s">
        <v>34</v>
      </c>
      <c r="K4453" s="6">
        <f t="shared" ca="1" si="284"/>
        <v>31403</v>
      </c>
      <c r="L4453">
        <v>-14358</v>
      </c>
      <c r="M4453" s="7">
        <f t="shared" ca="1" si="282"/>
        <v>39.310061601642708</v>
      </c>
      <c r="N4453" s="5" t="str">
        <f ca="1">VLOOKUP(Data!M4453,temp!$B$3:$C$9,2,1)</f>
        <v>30-40</v>
      </c>
      <c r="O4453">
        <v>-5373</v>
      </c>
      <c r="P4453" s="8">
        <f t="shared" si="283"/>
        <v>14.710472279260781</v>
      </c>
      <c r="Q4453" s="5" t="str">
        <f t="shared" si="285"/>
        <v>Employed</v>
      </c>
      <c r="R4453">
        <v>1</v>
      </c>
      <c r="S4453">
        <v>0</v>
      </c>
      <c r="T4453">
        <v>0</v>
      </c>
      <c r="U4453">
        <v>0</v>
      </c>
      <c r="V4453" t="s">
        <v>55</v>
      </c>
      <c r="W4453">
        <v>1</v>
      </c>
    </row>
    <row r="4454" spans="1:23" x14ac:dyDescent="0.2">
      <c r="A4454">
        <v>5149016</v>
      </c>
      <c r="B4454" t="s">
        <v>18</v>
      </c>
      <c r="C4454" t="s">
        <v>19</v>
      </c>
      <c r="D4454" t="s">
        <v>20</v>
      </c>
      <c r="E4454">
        <v>0</v>
      </c>
      <c r="F4454">
        <v>225000</v>
      </c>
      <c r="G4454" t="s">
        <v>31</v>
      </c>
      <c r="H4454" t="s">
        <v>27</v>
      </c>
      <c r="I4454" t="s">
        <v>28</v>
      </c>
      <c r="J4454" t="s">
        <v>24</v>
      </c>
      <c r="K4454" s="6">
        <f t="shared" ca="1" si="284"/>
        <v>28386</v>
      </c>
      <c r="L4454">
        <v>-17375</v>
      </c>
      <c r="M4454" s="7">
        <f t="shared" ca="1" si="282"/>
        <v>47.570157426420259</v>
      </c>
      <c r="N4454" s="5" t="str">
        <f ca="1">VLOOKUP(Data!M4454,temp!$B$3:$C$9,2,1)</f>
        <v>40-50</v>
      </c>
      <c r="O4454">
        <v>-3759</v>
      </c>
      <c r="P4454" s="8">
        <f t="shared" si="283"/>
        <v>10.291581108829568</v>
      </c>
      <c r="Q4454" s="5" t="str">
        <f t="shared" si="285"/>
        <v>Employed</v>
      </c>
      <c r="R4454">
        <v>1</v>
      </c>
      <c r="S4454">
        <v>0</v>
      </c>
      <c r="T4454">
        <v>0</v>
      </c>
      <c r="U4454">
        <v>0</v>
      </c>
      <c r="W4454">
        <v>2</v>
      </c>
    </row>
    <row r="4455" spans="1:23" x14ac:dyDescent="0.2">
      <c r="A4455">
        <v>5149026</v>
      </c>
      <c r="B4455" t="s">
        <v>18</v>
      </c>
      <c r="C4455" t="s">
        <v>19</v>
      </c>
      <c r="D4455" t="s">
        <v>20</v>
      </c>
      <c r="E4455">
        <v>0</v>
      </c>
      <c r="F4455">
        <v>162000</v>
      </c>
      <c r="G4455" t="s">
        <v>21</v>
      </c>
      <c r="H4455" t="s">
        <v>27</v>
      </c>
      <c r="I4455" t="s">
        <v>28</v>
      </c>
      <c r="J4455" t="s">
        <v>24</v>
      </c>
      <c r="K4455" s="6">
        <f t="shared" ca="1" si="284"/>
        <v>22966</v>
      </c>
      <c r="L4455">
        <v>-22795</v>
      </c>
      <c r="M4455" s="7">
        <f t="shared" ca="1" si="282"/>
        <v>62.409308692676248</v>
      </c>
      <c r="N4455" s="5" t="str">
        <f ca="1">VLOOKUP(Data!M4455,temp!$B$3:$C$9,2,1)</f>
        <v>60-70</v>
      </c>
      <c r="O4455">
        <v>365243</v>
      </c>
      <c r="P4455" s="8">
        <f t="shared" si="283"/>
        <v>0</v>
      </c>
      <c r="Q4455" s="5" t="str">
        <f t="shared" si="285"/>
        <v>Unemployed</v>
      </c>
      <c r="R4455">
        <v>1</v>
      </c>
      <c r="S4455">
        <v>0</v>
      </c>
      <c r="T4455">
        <v>0</v>
      </c>
      <c r="U4455">
        <v>0</v>
      </c>
      <c r="W4455">
        <v>2</v>
      </c>
    </row>
    <row r="4456" spans="1:23" x14ac:dyDescent="0.2">
      <c r="A4456">
        <v>5149035</v>
      </c>
      <c r="B4456" t="s">
        <v>18</v>
      </c>
      <c r="C4456" t="s">
        <v>19</v>
      </c>
      <c r="D4456" t="s">
        <v>20</v>
      </c>
      <c r="E4456">
        <v>0</v>
      </c>
      <c r="F4456">
        <v>180000</v>
      </c>
      <c r="G4456" t="s">
        <v>35</v>
      </c>
      <c r="H4456" t="s">
        <v>22</v>
      </c>
      <c r="I4456" t="s">
        <v>28</v>
      </c>
      <c r="J4456" t="s">
        <v>24</v>
      </c>
      <c r="K4456" s="6">
        <f t="shared" ca="1" si="284"/>
        <v>28278</v>
      </c>
      <c r="L4456">
        <v>-17483</v>
      </c>
      <c r="M4456" s="7">
        <f t="shared" ca="1" si="282"/>
        <v>47.865845311430526</v>
      </c>
      <c r="N4456" s="5" t="str">
        <f ca="1">VLOOKUP(Data!M4456,temp!$B$3:$C$9,2,1)</f>
        <v>40-50</v>
      </c>
      <c r="O4456">
        <v>-1203</v>
      </c>
      <c r="P4456" s="8">
        <f t="shared" si="283"/>
        <v>3.2936344969199181</v>
      </c>
      <c r="Q4456" s="5" t="str">
        <f t="shared" si="285"/>
        <v>Employed</v>
      </c>
      <c r="R4456">
        <v>1</v>
      </c>
      <c r="S4456">
        <v>0</v>
      </c>
      <c r="T4456">
        <v>0</v>
      </c>
      <c r="U4456">
        <v>0</v>
      </c>
      <c r="V4456" t="s">
        <v>38</v>
      </c>
      <c r="W4456">
        <v>2</v>
      </c>
    </row>
    <row r="4457" spans="1:23" x14ac:dyDescent="0.2">
      <c r="A4457">
        <v>5149058</v>
      </c>
      <c r="B4457" t="s">
        <v>18</v>
      </c>
      <c r="C4457" t="s">
        <v>19</v>
      </c>
      <c r="D4457" t="s">
        <v>20</v>
      </c>
      <c r="E4457">
        <v>0</v>
      </c>
      <c r="F4457">
        <v>180000</v>
      </c>
      <c r="G4457" t="s">
        <v>35</v>
      </c>
      <c r="H4457" t="s">
        <v>27</v>
      </c>
      <c r="I4457" t="s">
        <v>28</v>
      </c>
      <c r="J4457" t="s">
        <v>45</v>
      </c>
      <c r="K4457" s="6">
        <f t="shared" ca="1" si="284"/>
        <v>26600</v>
      </c>
      <c r="L4457">
        <v>-19161</v>
      </c>
      <c r="M4457" s="7">
        <f t="shared" ca="1" si="282"/>
        <v>52.459958932238195</v>
      </c>
      <c r="N4457" s="5" t="str">
        <f ca="1">VLOOKUP(Data!M4457,temp!$B$3:$C$9,2,1)</f>
        <v>50-60</v>
      </c>
      <c r="O4457">
        <v>-4581</v>
      </c>
      <c r="P4457" s="8">
        <f t="shared" si="283"/>
        <v>12.542094455852157</v>
      </c>
      <c r="Q4457" s="5" t="str">
        <f t="shared" si="285"/>
        <v>Employed</v>
      </c>
      <c r="R4457">
        <v>1</v>
      </c>
      <c r="S4457">
        <v>0</v>
      </c>
      <c r="T4457">
        <v>0</v>
      </c>
      <c r="U4457">
        <v>0</v>
      </c>
      <c r="V4457" t="s">
        <v>46</v>
      </c>
      <c r="W4457">
        <v>2</v>
      </c>
    </row>
    <row r="4458" spans="1:23" x14ac:dyDescent="0.2">
      <c r="A4458">
        <v>5149061</v>
      </c>
      <c r="B4458" t="s">
        <v>18</v>
      </c>
      <c r="C4458" t="s">
        <v>19</v>
      </c>
      <c r="D4458" t="s">
        <v>20</v>
      </c>
      <c r="E4458">
        <v>0</v>
      </c>
      <c r="F4458">
        <v>67500</v>
      </c>
      <c r="G4458" t="s">
        <v>21</v>
      </c>
      <c r="H4458" t="s">
        <v>27</v>
      </c>
      <c r="I4458" t="s">
        <v>28</v>
      </c>
      <c r="J4458" t="s">
        <v>24</v>
      </c>
      <c r="K4458" s="6">
        <f t="shared" ca="1" si="284"/>
        <v>25194</v>
      </c>
      <c r="L4458">
        <v>-20567</v>
      </c>
      <c r="M4458" s="7">
        <f t="shared" ca="1" si="282"/>
        <v>56.309377138945926</v>
      </c>
      <c r="N4458" s="5" t="str">
        <f ca="1">VLOOKUP(Data!M4458,temp!$B$3:$C$9,2,1)</f>
        <v>50-60</v>
      </c>
      <c r="O4458">
        <v>365243</v>
      </c>
      <c r="P4458" s="8">
        <f t="shared" si="283"/>
        <v>0</v>
      </c>
      <c r="Q4458" s="5" t="str">
        <f t="shared" si="285"/>
        <v>Unemployed</v>
      </c>
      <c r="R4458">
        <v>1</v>
      </c>
      <c r="S4458">
        <v>0</v>
      </c>
      <c r="T4458">
        <v>0</v>
      </c>
      <c r="U4458">
        <v>0</v>
      </c>
      <c r="W4458">
        <v>2</v>
      </c>
    </row>
    <row r="4459" spans="1:23" x14ac:dyDescent="0.2">
      <c r="A4459">
        <v>5149072</v>
      </c>
      <c r="B4459" t="s">
        <v>25</v>
      </c>
      <c r="C4459" t="s">
        <v>20</v>
      </c>
      <c r="D4459" t="s">
        <v>20</v>
      </c>
      <c r="E4459">
        <v>2</v>
      </c>
      <c r="F4459">
        <v>225000</v>
      </c>
      <c r="G4459" t="s">
        <v>26</v>
      </c>
      <c r="H4459" t="s">
        <v>22</v>
      </c>
      <c r="I4459" t="s">
        <v>28</v>
      </c>
      <c r="J4459" t="s">
        <v>24</v>
      </c>
      <c r="K4459" s="6">
        <f t="shared" ca="1" si="284"/>
        <v>30892</v>
      </c>
      <c r="L4459">
        <v>-14869</v>
      </c>
      <c r="M4459" s="7">
        <f t="shared" ca="1" si="282"/>
        <v>40.709103353867214</v>
      </c>
      <c r="N4459" s="5" t="str">
        <f ca="1">VLOOKUP(Data!M4459,temp!$B$3:$C$9,2,1)</f>
        <v>40-50</v>
      </c>
      <c r="O4459">
        <v>-229</v>
      </c>
      <c r="P4459" s="8">
        <f t="shared" si="283"/>
        <v>0.6269678302532512</v>
      </c>
      <c r="Q4459" s="5" t="str">
        <f t="shared" si="285"/>
        <v>Employed</v>
      </c>
      <c r="R4459">
        <v>1</v>
      </c>
      <c r="S4459">
        <v>0</v>
      </c>
      <c r="T4459">
        <v>0</v>
      </c>
      <c r="U4459">
        <v>1</v>
      </c>
      <c r="W4459">
        <v>4</v>
      </c>
    </row>
    <row r="4460" spans="1:23" x14ac:dyDescent="0.2">
      <c r="A4460">
        <v>5149077</v>
      </c>
      <c r="B4460" t="s">
        <v>18</v>
      </c>
      <c r="C4460" t="s">
        <v>19</v>
      </c>
      <c r="D4460" t="s">
        <v>20</v>
      </c>
      <c r="E4460">
        <v>1</v>
      </c>
      <c r="F4460">
        <v>63000</v>
      </c>
      <c r="G4460" t="s">
        <v>35</v>
      </c>
      <c r="H4460" t="s">
        <v>27</v>
      </c>
      <c r="I4460" t="s">
        <v>28</v>
      </c>
      <c r="J4460" t="s">
        <v>24</v>
      </c>
      <c r="K4460" s="6">
        <f t="shared" ca="1" si="284"/>
        <v>35538</v>
      </c>
      <c r="L4460">
        <v>-10223</v>
      </c>
      <c r="M4460" s="7">
        <f t="shared" ca="1" si="282"/>
        <v>27.989048596851472</v>
      </c>
      <c r="N4460" s="5" t="str">
        <f ca="1">VLOOKUP(Data!M4460,temp!$B$3:$C$9,2,1)</f>
        <v>20-30</v>
      </c>
      <c r="O4460">
        <v>-775</v>
      </c>
      <c r="P4460" s="8">
        <f t="shared" si="283"/>
        <v>2.1218343600273784</v>
      </c>
      <c r="Q4460" s="5" t="str">
        <f t="shared" si="285"/>
        <v>Employed</v>
      </c>
      <c r="R4460">
        <v>1</v>
      </c>
      <c r="S4460">
        <v>0</v>
      </c>
      <c r="T4460">
        <v>0</v>
      </c>
      <c r="U4460">
        <v>0</v>
      </c>
      <c r="V4460" t="s">
        <v>29</v>
      </c>
      <c r="W4460">
        <v>3</v>
      </c>
    </row>
    <row r="4461" spans="1:23" x14ac:dyDescent="0.2">
      <c r="A4461">
        <v>5149090</v>
      </c>
      <c r="B4461" t="s">
        <v>25</v>
      </c>
      <c r="C4461" t="s">
        <v>19</v>
      </c>
      <c r="D4461" t="s">
        <v>20</v>
      </c>
      <c r="E4461">
        <v>1</v>
      </c>
      <c r="F4461">
        <v>202500</v>
      </c>
      <c r="G4461" t="s">
        <v>31</v>
      </c>
      <c r="H4461" t="s">
        <v>27</v>
      </c>
      <c r="I4461" t="s">
        <v>28</v>
      </c>
      <c r="J4461" t="s">
        <v>24</v>
      </c>
      <c r="K4461" s="6">
        <f t="shared" ca="1" si="284"/>
        <v>31147</v>
      </c>
      <c r="L4461">
        <v>-14614</v>
      </c>
      <c r="M4461" s="7">
        <f t="shared" ca="1" si="282"/>
        <v>40.010951403148532</v>
      </c>
      <c r="N4461" s="5" t="str">
        <f ca="1">VLOOKUP(Data!M4461,temp!$B$3:$C$9,2,1)</f>
        <v>40-50</v>
      </c>
      <c r="O4461">
        <v>-563</v>
      </c>
      <c r="P4461" s="8">
        <f t="shared" si="283"/>
        <v>1.5414099931553731</v>
      </c>
      <c r="Q4461" s="5" t="str">
        <f t="shared" si="285"/>
        <v>Employed</v>
      </c>
      <c r="R4461">
        <v>1</v>
      </c>
      <c r="S4461">
        <v>0</v>
      </c>
      <c r="T4461">
        <v>0</v>
      </c>
      <c r="U4461">
        <v>0</v>
      </c>
      <c r="V4461" t="s">
        <v>29</v>
      </c>
      <c r="W4461">
        <v>3</v>
      </c>
    </row>
    <row r="4462" spans="1:23" x14ac:dyDescent="0.2">
      <c r="A4462">
        <v>5149094</v>
      </c>
      <c r="B4462" t="s">
        <v>18</v>
      </c>
      <c r="C4462" t="s">
        <v>19</v>
      </c>
      <c r="D4462" t="s">
        <v>20</v>
      </c>
      <c r="E4462">
        <v>0</v>
      </c>
      <c r="F4462">
        <v>99000</v>
      </c>
      <c r="G4462" t="s">
        <v>31</v>
      </c>
      <c r="H4462" t="s">
        <v>27</v>
      </c>
      <c r="I4462" t="s">
        <v>28</v>
      </c>
      <c r="J4462" t="s">
        <v>24</v>
      </c>
      <c r="K4462" s="6">
        <f t="shared" ca="1" si="284"/>
        <v>23580</v>
      </c>
      <c r="L4462">
        <v>-22181</v>
      </c>
      <c r="M4462" s="7">
        <f t="shared" ca="1" si="282"/>
        <v>60.728268309377142</v>
      </c>
      <c r="N4462" s="5" t="str">
        <f ca="1">VLOOKUP(Data!M4462,temp!$B$3:$C$9,2,1)</f>
        <v>60-70</v>
      </c>
      <c r="O4462">
        <v>-14413</v>
      </c>
      <c r="P4462" s="8">
        <f t="shared" si="283"/>
        <v>39.460643394934976</v>
      </c>
      <c r="Q4462" s="5" t="str">
        <f t="shared" si="285"/>
        <v>Employed</v>
      </c>
      <c r="R4462">
        <v>1</v>
      </c>
      <c r="S4462">
        <v>1</v>
      </c>
      <c r="T4462">
        <v>0</v>
      </c>
      <c r="U4462">
        <v>0</v>
      </c>
      <c r="W4462">
        <v>2</v>
      </c>
    </row>
    <row r="4463" spans="1:23" x14ac:dyDescent="0.2">
      <c r="A4463">
        <v>5149119</v>
      </c>
      <c r="B4463" t="s">
        <v>18</v>
      </c>
      <c r="C4463" t="s">
        <v>19</v>
      </c>
      <c r="D4463" t="s">
        <v>20</v>
      </c>
      <c r="E4463">
        <v>0</v>
      </c>
      <c r="F4463">
        <v>360000</v>
      </c>
      <c r="G4463" t="s">
        <v>31</v>
      </c>
      <c r="H4463" t="s">
        <v>22</v>
      </c>
      <c r="I4463" t="s">
        <v>23</v>
      </c>
      <c r="J4463" t="s">
        <v>24</v>
      </c>
      <c r="K4463" s="6">
        <f t="shared" ca="1" si="284"/>
        <v>26862</v>
      </c>
      <c r="L4463">
        <v>-18899</v>
      </c>
      <c r="M4463" s="7">
        <f t="shared" ca="1" si="282"/>
        <v>51.742642026009584</v>
      </c>
      <c r="N4463" s="5" t="str">
        <f ca="1">VLOOKUP(Data!M4463,temp!$B$3:$C$9,2,1)</f>
        <v>50-60</v>
      </c>
      <c r="O4463">
        <v>-8538</v>
      </c>
      <c r="P4463" s="8">
        <f t="shared" si="283"/>
        <v>23.375770020533881</v>
      </c>
      <c r="Q4463" s="5" t="str">
        <f t="shared" si="285"/>
        <v>Employed</v>
      </c>
      <c r="R4463">
        <v>1</v>
      </c>
      <c r="S4463">
        <v>0</v>
      </c>
      <c r="T4463">
        <v>1</v>
      </c>
      <c r="U4463">
        <v>0</v>
      </c>
      <c r="V4463" t="s">
        <v>32</v>
      </c>
      <c r="W4463">
        <v>1</v>
      </c>
    </row>
    <row r="4464" spans="1:23" x14ac:dyDescent="0.2">
      <c r="A4464">
        <v>5149120</v>
      </c>
      <c r="B4464" t="s">
        <v>18</v>
      </c>
      <c r="C4464" t="s">
        <v>19</v>
      </c>
      <c r="D4464" t="s">
        <v>20</v>
      </c>
      <c r="E4464">
        <v>0</v>
      </c>
      <c r="F4464">
        <v>360000</v>
      </c>
      <c r="G4464" t="s">
        <v>31</v>
      </c>
      <c r="H4464" t="s">
        <v>22</v>
      </c>
      <c r="I4464" t="s">
        <v>23</v>
      </c>
      <c r="J4464" t="s">
        <v>24</v>
      </c>
      <c r="K4464" s="6">
        <f t="shared" ca="1" si="284"/>
        <v>26862</v>
      </c>
      <c r="L4464">
        <v>-18899</v>
      </c>
      <c r="M4464" s="7">
        <f t="shared" ca="1" si="282"/>
        <v>51.742642026009584</v>
      </c>
      <c r="N4464" s="5" t="str">
        <f ca="1">VLOOKUP(Data!M4464,temp!$B$3:$C$9,2,1)</f>
        <v>50-60</v>
      </c>
      <c r="O4464">
        <v>-8538</v>
      </c>
      <c r="P4464" s="8">
        <f t="shared" si="283"/>
        <v>23.375770020533881</v>
      </c>
      <c r="Q4464" s="5" t="str">
        <f t="shared" si="285"/>
        <v>Employed</v>
      </c>
      <c r="R4464">
        <v>1</v>
      </c>
      <c r="S4464">
        <v>0</v>
      </c>
      <c r="T4464">
        <v>1</v>
      </c>
      <c r="U4464">
        <v>0</v>
      </c>
      <c r="V4464" t="s">
        <v>32</v>
      </c>
      <c r="W4464">
        <v>1</v>
      </c>
    </row>
    <row r="4465" spans="1:23" x14ac:dyDescent="0.2">
      <c r="A4465">
        <v>5149123</v>
      </c>
      <c r="B4465" t="s">
        <v>18</v>
      </c>
      <c r="C4465" t="s">
        <v>19</v>
      </c>
      <c r="D4465" t="s">
        <v>20</v>
      </c>
      <c r="E4465">
        <v>0</v>
      </c>
      <c r="F4465">
        <v>360000</v>
      </c>
      <c r="G4465" t="s">
        <v>31</v>
      </c>
      <c r="H4465" t="s">
        <v>22</v>
      </c>
      <c r="I4465" t="s">
        <v>23</v>
      </c>
      <c r="J4465" t="s">
        <v>24</v>
      </c>
      <c r="K4465" s="6">
        <f t="shared" ca="1" si="284"/>
        <v>26862</v>
      </c>
      <c r="L4465">
        <v>-18899</v>
      </c>
      <c r="M4465" s="7">
        <f t="shared" ca="1" si="282"/>
        <v>51.742642026009584</v>
      </c>
      <c r="N4465" s="5" t="str">
        <f ca="1">VLOOKUP(Data!M4465,temp!$B$3:$C$9,2,1)</f>
        <v>50-60</v>
      </c>
      <c r="O4465">
        <v>-8538</v>
      </c>
      <c r="P4465" s="8">
        <f t="shared" si="283"/>
        <v>23.375770020533881</v>
      </c>
      <c r="Q4465" s="5" t="str">
        <f t="shared" si="285"/>
        <v>Employed</v>
      </c>
      <c r="R4465">
        <v>1</v>
      </c>
      <c r="S4465">
        <v>0</v>
      </c>
      <c r="T4465">
        <v>1</v>
      </c>
      <c r="U4465">
        <v>0</v>
      </c>
      <c r="V4465" t="s">
        <v>32</v>
      </c>
      <c r="W4465">
        <v>1</v>
      </c>
    </row>
    <row r="4466" spans="1:23" x14ac:dyDescent="0.2">
      <c r="A4466">
        <v>5149137</v>
      </c>
      <c r="B4466" t="s">
        <v>18</v>
      </c>
      <c r="C4466" t="s">
        <v>19</v>
      </c>
      <c r="D4466" t="s">
        <v>20</v>
      </c>
      <c r="E4466">
        <v>0</v>
      </c>
      <c r="F4466">
        <v>180000</v>
      </c>
      <c r="G4466" t="s">
        <v>31</v>
      </c>
      <c r="H4466" t="s">
        <v>27</v>
      </c>
      <c r="I4466" t="s">
        <v>37</v>
      </c>
      <c r="J4466" t="s">
        <v>24</v>
      </c>
      <c r="K4466" s="6">
        <f t="shared" ca="1" si="284"/>
        <v>33025</v>
      </c>
      <c r="L4466">
        <v>-12736</v>
      </c>
      <c r="M4466" s="7">
        <f t="shared" ca="1" si="282"/>
        <v>34.869267624914443</v>
      </c>
      <c r="N4466" s="5" t="str">
        <f ca="1">VLOOKUP(Data!M4466,temp!$B$3:$C$9,2,1)</f>
        <v>30-40</v>
      </c>
      <c r="O4466">
        <v>-2725</v>
      </c>
      <c r="P4466" s="8">
        <f t="shared" si="283"/>
        <v>7.4606433949349764</v>
      </c>
      <c r="Q4466" s="5" t="str">
        <f t="shared" si="285"/>
        <v>Employed</v>
      </c>
      <c r="R4466">
        <v>1</v>
      </c>
      <c r="S4466">
        <v>0</v>
      </c>
      <c r="T4466">
        <v>0</v>
      </c>
      <c r="U4466">
        <v>0</v>
      </c>
      <c r="V4466" t="s">
        <v>29</v>
      </c>
      <c r="W4466">
        <v>2</v>
      </c>
    </row>
    <row r="4467" spans="1:23" x14ac:dyDescent="0.2">
      <c r="A4467">
        <v>5149162</v>
      </c>
      <c r="B4467" t="s">
        <v>25</v>
      </c>
      <c r="C4467" t="s">
        <v>20</v>
      </c>
      <c r="D4467" t="s">
        <v>20</v>
      </c>
      <c r="E4467">
        <v>0</v>
      </c>
      <c r="F4467">
        <v>247500</v>
      </c>
      <c r="G4467" t="s">
        <v>31</v>
      </c>
      <c r="H4467" t="s">
        <v>27</v>
      </c>
      <c r="I4467" t="s">
        <v>28</v>
      </c>
      <c r="J4467" t="s">
        <v>24</v>
      </c>
      <c r="K4467" s="6">
        <f t="shared" ca="1" si="284"/>
        <v>34809</v>
      </c>
      <c r="L4467">
        <v>-10952</v>
      </c>
      <c r="M4467" s="7">
        <f t="shared" ca="1" si="282"/>
        <v>29.984941820670773</v>
      </c>
      <c r="N4467" s="5" t="str">
        <f ca="1">VLOOKUP(Data!M4467,temp!$B$3:$C$9,2,1)</f>
        <v>20-30</v>
      </c>
      <c r="O4467">
        <v>-3577</v>
      </c>
      <c r="P4467" s="8">
        <f t="shared" si="283"/>
        <v>9.7932922655715267</v>
      </c>
      <c r="Q4467" s="5" t="str">
        <f t="shared" si="285"/>
        <v>Employed</v>
      </c>
      <c r="R4467">
        <v>1</v>
      </c>
      <c r="S4467">
        <v>1</v>
      </c>
      <c r="T4467">
        <v>0</v>
      </c>
      <c r="U4467">
        <v>0</v>
      </c>
      <c r="V4467" t="s">
        <v>29</v>
      </c>
      <c r="W4467">
        <v>2</v>
      </c>
    </row>
    <row r="4468" spans="1:23" x14ac:dyDescent="0.2">
      <c r="A4468">
        <v>5149206</v>
      </c>
      <c r="B4468" t="s">
        <v>18</v>
      </c>
      <c r="C4468" t="s">
        <v>20</v>
      </c>
      <c r="D4468" t="s">
        <v>19</v>
      </c>
      <c r="E4468">
        <v>0</v>
      </c>
      <c r="F4468">
        <v>112500</v>
      </c>
      <c r="G4468" t="s">
        <v>31</v>
      </c>
      <c r="H4468" t="s">
        <v>27</v>
      </c>
      <c r="I4468" t="s">
        <v>28</v>
      </c>
      <c r="J4468" t="s">
        <v>24</v>
      </c>
      <c r="K4468" s="6">
        <f t="shared" ca="1" si="284"/>
        <v>30517</v>
      </c>
      <c r="L4468">
        <v>-15244</v>
      </c>
      <c r="M4468" s="7">
        <f t="shared" ca="1" si="282"/>
        <v>41.735797399041751</v>
      </c>
      <c r="N4468" s="5" t="str">
        <f ca="1">VLOOKUP(Data!M4468,temp!$B$3:$C$9,2,1)</f>
        <v>40-50</v>
      </c>
      <c r="O4468">
        <v>-2998</v>
      </c>
      <c r="P4468" s="8">
        <f t="shared" si="283"/>
        <v>8.2080766598220389</v>
      </c>
      <c r="Q4468" s="5" t="str">
        <f t="shared" si="285"/>
        <v>Employed</v>
      </c>
      <c r="R4468">
        <v>1</v>
      </c>
      <c r="S4468">
        <v>0</v>
      </c>
      <c r="T4468">
        <v>0</v>
      </c>
      <c r="U4468">
        <v>0</v>
      </c>
      <c r="V4468" t="s">
        <v>55</v>
      </c>
      <c r="W4468">
        <v>2</v>
      </c>
    </row>
    <row r="4469" spans="1:23" x14ac:dyDescent="0.2">
      <c r="A4469">
        <v>5149236</v>
      </c>
      <c r="B4469" t="s">
        <v>18</v>
      </c>
      <c r="C4469" t="s">
        <v>19</v>
      </c>
      <c r="D4469" t="s">
        <v>20</v>
      </c>
      <c r="E4469">
        <v>0</v>
      </c>
      <c r="F4469">
        <v>247500</v>
      </c>
      <c r="G4469" t="s">
        <v>26</v>
      </c>
      <c r="H4469" t="s">
        <v>22</v>
      </c>
      <c r="I4469" t="s">
        <v>42</v>
      </c>
      <c r="J4469" t="s">
        <v>24</v>
      </c>
      <c r="K4469" s="6">
        <f t="shared" ca="1" si="284"/>
        <v>22422</v>
      </c>
      <c r="L4469">
        <v>-23339</v>
      </c>
      <c r="M4469" s="7">
        <f t="shared" ca="1" si="282"/>
        <v>63.898699520876114</v>
      </c>
      <c r="N4469" s="5" t="str">
        <f ca="1">VLOOKUP(Data!M4469,temp!$B$3:$C$9,2,1)</f>
        <v>60-70</v>
      </c>
      <c r="O4469">
        <v>-1233</v>
      </c>
      <c r="P4469" s="8">
        <f t="shared" si="283"/>
        <v>3.375770020533881</v>
      </c>
      <c r="Q4469" s="5" t="str">
        <f t="shared" si="285"/>
        <v>Employed</v>
      </c>
      <c r="R4469">
        <v>1</v>
      </c>
      <c r="S4469">
        <v>0</v>
      </c>
      <c r="T4469">
        <v>1</v>
      </c>
      <c r="U4469">
        <v>0</v>
      </c>
      <c r="W4469">
        <v>1</v>
      </c>
    </row>
    <row r="4470" spans="1:23" x14ac:dyDescent="0.2">
      <c r="A4470">
        <v>5149249</v>
      </c>
      <c r="B4470" t="s">
        <v>18</v>
      </c>
      <c r="C4470" t="s">
        <v>19</v>
      </c>
      <c r="D4470" t="s">
        <v>20</v>
      </c>
      <c r="E4470">
        <v>0</v>
      </c>
      <c r="F4470">
        <v>135000</v>
      </c>
      <c r="G4470" t="s">
        <v>26</v>
      </c>
      <c r="H4470" t="s">
        <v>27</v>
      </c>
      <c r="I4470" t="s">
        <v>37</v>
      </c>
      <c r="J4470" t="s">
        <v>24</v>
      </c>
      <c r="K4470" s="6">
        <f t="shared" ca="1" si="284"/>
        <v>33578</v>
      </c>
      <c r="L4470">
        <v>-12183</v>
      </c>
      <c r="M4470" s="7">
        <f t="shared" ca="1" si="282"/>
        <v>33.355236139630392</v>
      </c>
      <c r="N4470" s="5" t="str">
        <f ca="1">VLOOKUP(Data!M4470,temp!$B$3:$C$9,2,1)</f>
        <v>30-40</v>
      </c>
      <c r="O4470">
        <v>-655</v>
      </c>
      <c r="P4470" s="8">
        <f t="shared" si="283"/>
        <v>1.7932922655715264</v>
      </c>
      <c r="Q4470" s="5" t="str">
        <f t="shared" si="285"/>
        <v>Employed</v>
      </c>
      <c r="R4470">
        <v>1</v>
      </c>
      <c r="S4470">
        <v>1</v>
      </c>
      <c r="T4470">
        <v>0</v>
      </c>
      <c r="U4470">
        <v>0</v>
      </c>
      <c r="V4470" t="s">
        <v>55</v>
      </c>
      <c r="W4470">
        <v>2</v>
      </c>
    </row>
    <row r="4471" spans="1:23" x14ac:dyDescent="0.2">
      <c r="A4471">
        <v>5149253</v>
      </c>
      <c r="B4471" t="s">
        <v>18</v>
      </c>
      <c r="C4471" t="s">
        <v>20</v>
      </c>
      <c r="D4471" t="s">
        <v>20</v>
      </c>
      <c r="E4471">
        <v>1</v>
      </c>
      <c r="F4471">
        <v>180000</v>
      </c>
      <c r="G4471" t="s">
        <v>31</v>
      </c>
      <c r="H4471" t="s">
        <v>27</v>
      </c>
      <c r="I4471" t="s">
        <v>28</v>
      </c>
      <c r="J4471" t="s">
        <v>24</v>
      </c>
      <c r="K4471" s="6">
        <f t="shared" ca="1" si="284"/>
        <v>31853</v>
      </c>
      <c r="L4471">
        <v>-13908</v>
      </c>
      <c r="M4471" s="7">
        <f t="shared" ca="1" si="282"/>
        <v>38.078028747433265</v>
      </c>
      <c r="N4471" s="5" t="str">
        <f ca="1">VLOOKUP(Data!M4471,temp!$B$3:$C$9,2,1)</f>
        <v>30-40</v>
      </c>
      <c r="O4471">
        <v>-2512</v>
      </c>
      <c r="P4471" s="8">
        <f t="shared" si="283"/>
        <v>6.8774811772758389</v>
      </c>
      <c r="Q4471" s="5" t="str">
        <f t="shared" si="285"/>
        <v>Employed</v>
      </c>
      <c r="R4471">
        <v>1</v>
      </c>
      <c r="S4471">
        <v>0</v>
      </c>
      <c r="T4471">
        <v>0</v>
      </c>
      <c r="U4471">
        <v>0</v>
      </c>
      <c r="V4471" t="s">
        <v>55</v>
      </c>
      <c r="W4471">
        <v>3</v>
      </c>
    </row>
    <row r="4472" spans="1:23" x14ac:dyDescent="0.2">
      <c r="A4472">
        <v>5149254</v>
      </c>
      <c r="B4472" t="s">
        <v>18</v>
      </c>
      <c r="C4472" t="s">
        <v>20</v>
      </c>
      <c r="D4472" t="s">
        <v>20</v>
      </c>
      <c r="E4472">
        <v>1</v>
      </c>
      <c r="F4472">
        <v>180000</v>
      </c>
      <c r="G4472" t="s">
        <v>31</v>
      </c>
      <c r="H4472" t="s">
        <v>27</v>
      </c>
      <c r="I4472" t="s">
        <v>28</v>
      </c>
      <c r="J4472" t="s">
        <v>24</v>
      </c>
      <c r="K4472" s="6">
        <f t="shared" ca="1" si="284"/>
        <v>31853</v>
      </c>
      <c r="L4472">
        <v>-13908</v>
      </c>
      <c r="M4472" s="7">
        <f t="shared" ca="1" si="282"/>
        <v>38.078028747433265</v>
      </c>
      <c r="N4472" s="5" t="str">
        <f ca="1">VLOOKUP(Data!M4472,temp!$B$3:$C$9,2,1)</f>
        <v>30-40</v>
      </c>
      <c r="O4472">
        <v>-2512</v>
      </c>
      <c r="P4472" s="8">
        <f t="shared" si="283"/>
        <v>6.8774811772758389</v>
      </c>
      <c r="Q4472" s="5" t="str">
        <f t="shared" si="285"/>
        <v>Employed</v>
      </c>
      <c r="R4472">
        <v>1</v>
      </c>
      <c r="S4472">
        <v>0</v>
      </c>
      <c r="T4472">
        <v>0</v>
      </c>
      <c r="U4472">
        <v>0</v>
      </c>
      <c r="V4472" t="s">
        <v>55</v>
      </c>
      <c r="W4472">
        <v>3</v>
      </c>
    </row>
    <row r="4473" spans="1:23" x14ac:dyDescent="0.2">
      <c r="A4473">
        <v>5149259</v>
      </c>
      <c r="B4473" t="s">
        <v>25</v>
      </c>
      <c r="C4473" t="s">
        <v>20</v>
      </c>
      <c r="D4473" t="s">
        <v>19</v>
      </c>
      <c r="E4473">
        <v>2</v>
      </c>
      <c r="F4473">
        <v>157500</v>
      </c>
      <c r="G4473" t="s">
        <v>31</v>
      </c>
      <c r="H4473" t="s">
        <v>27</v>
      </c>
      <c r="I4473" t="s">
        <v>28</v>
      </c>
      <c r="J4473" t="s">
        <v>24</v>
      </c>
      <c r="K4473" s="6">
        <f t="shared" ca="1" si="284"/>
        <v>30919</v>
      </c>
      <c r="L4473">
        <v>-14842</v>
      </c>
      <c r="M4473" s="7">
        <f t="shared" ca="1" si="282"/>
        <v>40.635181382614647</v>
      </c>
      <c r="N4473" s="5" t="str">
        <f ca="1">VLOOKUP(Data!M4473,temp!$B$3:$C$9,2,1)</f>
        <v>40-50</v>
      </c>
      <c r="O4473">
        <v>-5189</v>
      </c>
      <c r="P4473" s="8">
        <f t="shared" si="283"/>
        <v>14.206707734428473</v>
      </c>
      <c r="Q4473" s="5" t="str">
        <f t="shared" si="285"/>
        <v>Employed</v>
      </c>
      <c r="R4473">
        <v>1</v>
      </c>
      <c r="S4473">
        <v>0</v>
      </c>
      <c r="T4473">
        <v>1</v>
      </c>
      <c r="U4473">
        <v>0</v>
      </c>
      <c r="V4473" t="s">
        <v>30</v>
      </c>
      <c r="W4473">
        <v>4</v>
      </c>
    </row>
    <row r="4474" spans="1:23" x14ac:dyDescent="0.2">
      <c r="A4474">
        <v>5149269</v>
      </c>
      <c r="B4474" t="s">
        <v>25</v>
      </c>
      <c r="C4474" t="s">
        <v>20</v>
      </c>
      <c r="D4474" t="s">
        <v>20</v>
      </c>
      <c r="E4474">
        <v>0</v>
      </c>
      <c r="F4474">
        <v>270000</v>
      </c>
      <c r="G4474" t="s">
        <v>31</v>
      </c>
      <c r="H4474" t="s">
        <v>27</v>
      </c>
      <c r="I4474" t="s">
        <v>28</v>
      </c>
      <c r="J4474" t="s">
        <v>24</v>
      </c>
      <c r="K4474" s="6">
        <f t="shared" ca="1" si="284"/>
        <v>23527</v>
      </c>
      <c r="L4474">
        <v>-22234</v>
      </c>
      <c r="M4474" s="7">
        <f t="shared" ca="1" si="282"/>
        <v>60.873374401095141</v>
      </c>
      <c r="N4474" s="5" t="str">
        <f ca="1">VLOOKUP(Data!M4474,temp!$B$3:$C$9,2,1)</f>
        <v>60-70</v>
      </c>
      <c r="O4474">
        <v>-1506</v>
      </c>
      <c r="P4474" s="8">
        <f t="shared" si="283"/>
        <v>4.1232032854209448</v>
      </c>
      <c r="Q4474" s="5" t="str">
        <f t="shared" si="285"/>
        <v>Employed</v>
      </c>
      <c r="R4474">
        <v>1</v>
      </c>
      <c r="S4474">
        <v>0</v>
      </c>
      <c r="T4474">
        <v>1</v>
      </c>
      <c r="U4474">
        <v>0</v>
      </c>
      <c r="V4474" t="s">
        <v>57</v>
      </c>
      <c r="W4474">
        <v>2</v>
      </c>
    </row>
    <row r="4475" spans="1:23" x14ac:dyDescent="0.2">
      <c r="A4475">
        <v>5149271</v>
      </c>
      <c r="B4475" t="s">
        <v>25</v>
      </c>
      <c r="C4475" t="s">
        <v>20</v>
      </c>
      <c r="D4475" t="s">
        <v>20</v>
      </c>
      <c r="E4475">
        <v>0</v>
      </c>
      <c r="F4475">
        <v>270000</v>
      </c>
      <c r="G4475" t="s">
        <v>31</v>
      </c>
      <c r="H4475" t="s">
        <v>27</v>
      </c>
      <c r="I4475" t="s">
        <v>28</v>
      </c>
      <c r="J4475" t="s">
        <v>24</v>
      </c>
      <c r="K4475" s="6">
        <f t="shared" ca="1" si="284"/>
        <v>23527</v>
      </c>
      <c r="L4475">
        <v>-22234</v>
      </c>
      <c r="M4475" s="7">
        <f t="shared" ca="1" si="282"/>
        <v>60.873374401095141</v>
      </c>
      <c r="N4475" s="5" t="str">
        <f ca="1">VLOOKUP(Data!M4475,temp!$B$3:$C$9,2,1)</f>
        <v>60-70</v>
      </c>
      <c r="O4475">
        <v>-1506</v>
      </c>
      <c r="P4475" s="8">
        <f t="shared" si="283"/>
        <v>4.1232032854209448</v>
      </c>
      <c r="Q4475" s="5" t="str">
        <f t="shared" si="285"/>
        <v>Employed</v>
      </c>
      <c r="R4475">
        <v>1</v>
      </c>
      <c r="S4475">
        <v>0</v>
      </c>
      <c r="T4475">
        <v>1</v>
      </c>
      <c r="U4475">
        <v>0</v>
      </c>
      <c r="V4475" t="s">
        <v>57</v>
      </c>
      <c r="W4475">
        <v>2</v>
      </c>
    </row>
    <row r="4476" spans="1:23" x14ac:dyDescent="0.2">
      <c r="A4476">
        <v>5149293</v>
      </c>
      <c r="B4476" t="s">
        <v>18</v>
      </c>
      <c r="C4476" t="s">
        <v>20</v>
      </c>
      <c r="D4476" t="s">
        <v>20</v>
      </c>
      <c r="E4476">
        <v>1</v>
      </c>
      <c r="F4476">
        <v>225000</v>
      </c>
      <c r="G4476" t="s">
        <v>31</v>
      </c>
      <c r="H4476" t="s">
        <v>27</v>
      </c>
      <c r="I4476" t="s">
        <v>37</v>
      </c>
      <c r="J4476" t="s">
        <v>24</v>
      </c>
      <c r="K4476" s="6">
        <f t="shared" ca="1" si="284"/>
        <v>30318</v>
      </c>
      <c r="L4476">
        <v>-15443</v>
      </c>
      <c r="M4476" s="7">
        <f t="shared" ca="1" si="282"/>
        <v>42.280629705681044</v>
      </c>
      <c r="N4476" s="5" t="str">
        <f ca="1">VLOOKUP(Data!M4476,temp!$B$3:$C$9,2,1)</f>
        <v>40-50</v>
      </c>
      <c r="O4476">
        <v>-290</v>
      </c>
      <c r="P4476" s="8">
        <f t="shared" si="283"/>
        <v>0.79397672826830934</v>
      </c>
      <c r="Q4476" s="5" t="str">
        <f t="shared" si="285"/>
        <v>Employed</v>
      </c>
      <c r="R4476">
        <v>1</v>
      </c>
      <c r="S4476">
        <v>0</v>
      </c>
      <c r="T4476">
        <v>0</v>
      </c>
      <c r="U4476">
        <v>0</v>
      </c>
      <c r="V4476" t="s">
        <v>39</v>
      </c>
      <c r="W4476">
        <v>3</v>
      </c>
    </row>
    <row r="4477" spans="1:23" x14ac:dyDescent="0.2">
      <c r="A4477">
        <v>5149319</v>
      </c>
      <c r="B4477" t="s">
        <v>18</v>
      </c>
      <c r="C4477" t="s">
        <v>20</v>
      </c>
      <c r="D4477" t="s">
        <v>20</v>
      </c>
      <c r="E4477">
        <v>1</v>
      </c>
      <c r="F4477">
        <v>180000</v>
      </c>
      <c r="G4477" t="s">
        <v>31</v>
      </c>
      <c r="H4477" t="s">
        <v>22</v>
      </c>
      <c r="I4477" t="s">
        <v>23</v>
      </c>
      <c r="J4477" t="s">
        <v>24</v>
      </c>
      <c r="K4477" s="6">
        <f t="shared" ca="1" si="284"/>
        <v>26923</v>
      </c>
      <c r="L4477">
        <v>-18838</v>
      </c>
      <c r="M4477" s="7">
        <f t="shared" ca="1" si="282"/>
        <v>51.575633127994521</v>
      </c>
      <c r="N4477" s="5" t="str">
        <f ca="1">VLOOKUP(Data!M4477,temp!$B$3:$C$9,2,1)</f>
        <v>50-60</v>
      </c>
      <c r="O4477">
        <v>-5981</v>
      </c>
      <c r="P4477" s="8">
        <f t="shared" si="283"/>
        <v>16.3750855578371</v>
      </c>
      <c r="Q4477" s="5" t="str">
        <f t="shared" si="285"/>
        <v>Employed</v>
      </c>
      <c r="R4477">
        <v>1</v>
      </c>
      <c r="S4477">
        <v>0</v>
      </c>
      <c r="T4477">
        <v>0</v>
      </c>
      <c r="U4477">
        <v>0</v>
      </c>
      <c r="V4477" t="s">
        <v>32</v>
      </c>
      <c r="W4477">
        <v>2</v>
      </c>
    </row>
    <row r="4478" spans="1:23" x14ac:dyDescent="0.2">
      <c r="A4478">
        <v>5149327</v>
      </c>
      <c r="B4478" t="s">
        <v>18</v>
      </c>
      <c r="C4478" t="s">
        <v>20</v>
      </c>
      <c r="D4478" t="s">
        <v>20</v>
      </c>
      <c r="E4478">
        <v>1</v>
      </c>
      <c r="F4478">
        <v>180000</v>
      </c>
      <c r="G4478" t="s">
        <v>31</v>
      </c>
      <c r="H4478" t="s">
        <v>22</v>
      </c>
      <c r="I4478" t="s">
        <v>23</v>
      </c>
      <c r="J4478" t="s">
        <v>24</v>
      </c>
      <c r="K4478" s="6">
        <f t="shared" ca="1" si="284"/>
        <v>26923</v>
      </c>
      <c r="L4478">
        <v>-18838</v>
      </c>
      <c r="M4478" s="7">
        <f t="shared" ca="1" si="282"/>
        <v>51.575633127994521</v>
      </c>
      <c r="N4478" s="5" t="str">
        <f ca="1">VLOOKUP(Data!M4478,temp!$B$3:$C$9,2,1)</f>
        <v>50-60</v>
      </c>
      <c r="O4478">
        <v>-5981</v>
      </c>
      <c r="P4478" s="8">
        <f t="shared" si="283"/>
        <v>16.3750855578371</v>
      </c>
      <c r="Q4478" s="5" t="str">
        <f t="shared" si="285"/>
        <v>Employed</v>
      </c>
      <c r="R4478">
        <v>1</v>
      </c>
      <c r="S4478">
        <v>0</v>
      </c>
      <c r="T4478">
        <v>0</v>
      </c>
      <c r="U4478">
        <v>0</v>
      </c>
      <c r="V4478" t="s">
        <v>32</v>
      </c>
      <c r="W4478">
        <v>2</v>
      </c>
    </row>
    <row r="4479" spans="1:23" x14ac:dyDescent="0.2">
      <c r="A4479">
        <v>5149340</v>
      </c>
      <c r="B4479" t="s">
        <v>18</v>
      </c>
      <c r="C4479" t="s">
        <v>20</v>
      </c>
      <c r="D4479" t="s">
        <v>20</v>
      </c>
      <c r="E4479">
        <v>0</v>
      </c>
      <c r="F4479">
        <v>292500</v>
      </c>
      <c r="G4479" t="s">
        <v>26</v>
      </c>
      <c r="H4479" t="s">
        <v>22</v>
      </c>
      <c r="I4479" t="s">
        <v>33</v>
      </c>
      <c r="J4479" t="s">
        <v>24</v>
      </c>
      <c r="K4479" s="6">
        <f t="shared" ca="1" si="284"/>
        <v>28831</v>
      </c>
      <c r="L4479">
        <v>-16930</v>
      </c>
      <c r="M4479" s="7">
        <f t="shared" ca="1" si="282"/>
        <v>46.351813826146476</v>
      </c>
      <c r="N4479" s="5" t="str">
        <f ca="1">VLOOKUP(Data!M4479,temp!$B$3:$C$9,2,1)</f>
        <v>40-50</v>
      </c>
      <c r="O4479">
        <v>-8995</v>
      </c>
      <c r="P4479" s="8">
        <f t="shared" si="283"/>
        <v>24.62696783025325</v>
      </c>
      <c r="Q4479" s="5" t="str">
        <f t="shared" si="285"/>
        <v>Employed</v>
      </c>
      <c r="R4479">
        <v>1</v>
      </c>
      <c r="S4479">
        <v>0</v>
      </c>
      <c r="T4479">
        <v>0</v>
      </c>
      <c r="U4479">
        <v>0</v>
      </c>
      <c r="V4479" t="s">
        <v>47</v>
      </c>
      <c r="W4479">
        <v>1</v>
      </c>
    </row>
    <row r="4480" spans="1:23" x14ac:dyDescent="0.2">
      <c r="A4480">
        <v>5149348</v>
      </c>
      <c r="B4480" t="s">
        <v>18</v>
      </c>
      <c r="C4480" t="s">
        <v>19</v>
      </c>
      <c r="D4480" t="s">
        <v>20</v>
      </c>
      <c r="E4480">
        <v>0</v>
      </c>
      <c r="F4480">
        <v>405000</v>
      </c>
      <c r="G4480" t="s">
        <v>26</v>
      </c>
      <c r="H4480" t="s">
        <v>27</v>
      </c>
      <c r="I4480" t="s">
        <v>33</v>
      </c>
      <c r="J4480" t="s">
        <v>24</v>
      </c>
      <c r="K4480" s="6">
        <f t="shared" ca="1" si="284"/>
        <v>32399</v>
      </c>
      <c r="L4480">
        <v>-13362</v>
      </c>
      <c r="M4480" s="7">
        <f t="shared" ca="1" si="282"/>
        <v>36.583162217659137</v>
      </c>
      <c r="N4480" s="5" t="str">
        <f ca="1">VLOOKUP(Data!M4480,temp!$B$3:$C$9,2,1)</f>
        <v>30-40</v>
      </c>
      <c r="O4480">
        <v>-1963</v>
      </c>
      <c r="P4480" s="8">
        <f t="shared" si="283"/>
        <v>5.3744010951403149</v>
      </c>
      <c r="Q4480" s="5" t="str">
        <f t="shared" si="285"/>
        <v>Employed</v>
      </c>
      <c r="R4480">
        <v>1</v>
      </c>
      <c r="S4480">
        <v>0</v>
      </c>
      <c r="T4480">
        <v>0</v>
      </c>
      <c r="U4480">
        <v>0</v>
      </c>
      <c r="V4480" t="s">
        <v>39</v>
      </c>
      <c r="W4480">
        <v>1</v>
      </c>
    </row>
    <row r="4481" spans="1:23" x14ac:dyDescent="0.2">
      <c r="A4481">
        <v>5149356</v>
      </c>
      <c r="B4481" t="s">
        <v>25</v>
      </c>
      <c r="C4481" t="s">
        <v>19</v>
      </c>
      <c r="D4481" t="s">
        <v>20</v>
      </c>
      <c r="E4481">
        <v>0</v>
      </c>
      <c r="F4481">
        <v>306000</v>
      </c>
      <c r="G4481" t="s">
        <v>26</v>
      </c>
      <c r="H4481" t="s">
        <v>22</v>
      </c>
      <c r="I4481" t="s">
        <v>33</v>
      </c>
      <c r="J4481" t="s">
        <v>24</v>
      </c>
      <c r="K4481" s="6">
        <f t="shared" ca="1" si="284"/>
        <v>33273</v>
      </c>
      <c r="L4481">
        <v>-12488</v>
      </c>
      <c r="M4481" s="7">
        <f t="shared" ca="1" si="282"/>
        <v>34.190280629705683</v>
      </c>
      <c r="N4481" s="5" t="str">
        <f ca="1">VLOOKUP(Data!M4481,temp!$B$3:$C$9,2,1)</f>
        <v>30-40</v>
      </c>
      <c r="O4481">
        <v>-2512</v>
      </c>
      <c r="P4481" s="8">
        <f t="shared" si="283"/>
        <v>6.8774811772758389</v>
      </c>
      <c r="Q4481" s="5" t="str">
        <f t="shared" si="285"/>
        <v>Employed</v>
      </c>
      <c r="R4481">
        <v>1</v>
      </c>
      <c r="S4481">
        <v>1</v>
      </c>
      <c r="T4481">
        <v>0</v>
      </c>
      <c r="U4481">
        <v>0</v>
      </c>
      <c r="W4481">
        <v>1</v>
      </c>
    </row>
    <row r="4482" spans="1:23" x14ac:dyDescent="0.2">
      <c r="A4482">
        <v>5149372</v>
      </c>
      <c r="B4482" t="s">
        <v>18</v>
      </c>
      <c r="C4482" t="s">
        <v>19</v>
      </c>
      <c r="D4482" t="s">
        <v>20</v>
      </c>
      <c r="E4482">
        <v>0</v>
      </c>
      <c r="F4482">
        <v>157500</v>
      </c>
      <c r="G4482" t="s">
        <v>31</v>
      </c>
      <c r="H4482" t="s">
        <v>27</v>
      </c>
      <c r="I4482" t="s">
        <v>28</v>
      </c>
      <c r="J4482" t="s">
        <v>24</v>
      </c>
      <c r="K4482" s="6">
        <f t="shared" ca="1" si="284"/>
        <v>27012</v>
      </c>
      <c r="L4482">
        <v>-18749</v>
      </c>
      <c r="M4482" s="7">
        <f t="shared" ca="1" si="282"/>
        <v>51.331964407939765</v>
      </c>
      <c r="N4482" s="5" t="str">
        <f ca="1">VLOOKUP(Data!M4482,temp!$B$3:$C$9,2,1)</f>
        <v>50-60</v>
      </c>
      <c r="O4482">
        <v>-2542</v>
      </c>
      <c r="P4482" s="8">
        <f t="shared" si="283"/>
        <v>6.9596167008898018</v>
      </c>
      <c r="Q4482" s="5" t="str">
        <f t="shared" si="285"/>
        <v>Employed</v>
      </c>
      <c r="R4482">
        <v>1</v>
      </c>
      <c r="S4482">
        <v>0</v>
      </c>
      <c r="T4482">
        <v>0</v>
      </c>
      <c r="U4482">
        <v>0</v>
      </c>
      <c r="V4482" t="s">
        <v>39</v>
      </c>
      <c r="W4482">
        <v>2</v>
      </c>
    </row>
    <row r="4483" spans="1:23" x14ac:dyDescent="0.2">
      <c r="A4483">
        <v>5149396</v>
      </c>
      <c r="B4483" t="s">
        <v>18</v>
      </c>
      <c r="C4483" t="s">
        <v>19</v>
      </c>
      <c r="D4483" t="s">
        <v>19</v>
      </c>
      <c r="E4483">
        <v>1</v>
      </c>
      <c r="F4483">
        <v>135000</v>
      </c>
      <c r="G4483" t="s">
        <v>26</v>
      </c>
      <c r="H4483" t="s">
        <v>27</v>
      </c>
      <c r="I4483" t="s">
        <v>28</v>
      </c>
      <c r="J4483" t="s">
        <v>41</v>
      </c>
      <c r="K4483" s="6">
        <f t="shared" ca="1" si="284"/>
        <v>32072</v>
      </c>
      <c r="L4483">
        <v>-13689</v>
      </c>
      <c r="M4483" s="7">
        <f t="shared" ref="M4483:M4546" ca="1" si="286">(TODAY()-K4483)/365.25</f>
        <v>37.478439425051334</v>
      </c>
      <c r="N4483" s="5" t="str">
        <f ca="1">VLOOKUP(Data!M4483,temp!$B$3:$C$9,2,1)</f>
        <v>30-40</v>
      </c>
      <c r="O4483">
        <v>-1172</v>
      </c>
      <c r="P4483" s="8">
        <f t="shared" ref="P4483:P4546" si="287">IF(O4483&lt;=0,ABS(O4483)/365.25,0)</f>
        <v>3.2087611225188226</v>
      </c>
      <c r="Q4483" s="5" t="str">
        <f t="shared" si="285"/>
        <v>Employed</v>
      </c>
      <c r="R4483">
        <v>1</v>
      </c>
      <c r="S4483">
        <v>0</v>
      </c>
      <c r="T4483">
        <v>0</v>
      </c>
      <c r="U4483">
        <v>0</v>
      </c>
      <c r="V4483" t="s">
        <v>39</v>
      </c>
      <c r="W4483">
        <v>3</v>
      </c>
    </row>
    <row r="4484" spans="1:23" x14ac:dyDescent="0.2">
      <c r="A4484">
        <v>5149401</v>
      </c>
      <c r="B4484" t="s">
        <v>18</v>
      </c>
      <c r="C4484" t="s">
        <v>19</v>
      </c>
      <c r="D4484" t="s">
        <v>19</v>
      </c>
      <c r="E4484">
        <v>1</v>
      </c>
      <c r="F4484">
        <v>135000</v>
      </c>
      <c r="G4484" t="s">
        <v>26</v>
      </c>
      <c r="H4484" t="s">
        <v>27</v>
      </c>
      <c r="I4484" t="s">
        <v>28</v>
      </c>
      <c r="J4484" t="s">
        <v>41</v>
      </c>
      <c r="K4484" s="6">
        <f t="shared" ca="1" si="284"/>
        <v>32072</v>
      </c>
      <c r="L4484">
        <v>-13689</v>
      </c>
      <c r="M4484" s="7">
        <f t="shared" ca="1" si="286"/>
        <v>37.478439425051334</v>
      </c>
      <c r="N4484" s="5" t="str">
        <f ca="1">VLOOKUP(Data!M4484,temp!$B$3:$C$9,2,1)</f>
        <v>30-40</v>
      </c>
      <c r="O4484">
        <v>-1172</v>
      </c>
      <c r="P4484" s="8">
        <f t="shared" si="287"/>
        <v>3.2087611225188226</v>
      </c>
      <c r="Q4484" s="5" t="str">
        <f t="shared" si="285"/>
        <v>Employed</v>
      </c>
      <c r="R4484">
        <v>1</v>
      </c>
      <c r="S4484">
        <v>0</v>
      </c>
      <c r="T4484">
        <v>0</v>
      </c>
      <c r="U4484">
        <v>0</v>
      </c>
      <c r="V4484" t="s">
        <v>39</v>
      </c>
      <c r="W4484">
        <v>3</v>
      </c>
    </row>
    <row r="4485" spans="1:23" x14ac:dyDescent="0.2">
      <c r="A4485">
        <v>5149403</v>
      </c>
      <c r="B4485" t="s">
        <v>18</v>
      </c>
      <c r="C4485" t="s">
        <v>19</v>
      </c>
      <c r="D4485" t="s">
        <v>19</v>
      </c>
      <c r="E4485">
        <v>1</v>
      </c>
      <c r="F4485">
        <v>135000</v>
      </c>
      <c r="G4485" t="s">
        <v>26</v>
      </c>
      <c r="H4485" t="s">
        <v>27</v>
      </c>
      <c r="I4485" t="s">
        <v>28</v>
      </c>
      <c r="J4485" t="s">
        <v>41</v>
      </c>
      <c r="K4485" s="6">
        <f t="shared" ca="1" si="284"/>
        <v>32072</v>
      </c>
      <c r="L4485">
        <v>-13689</v>
      </c>
      <c r="M4485" s="7">
        <f t="shared" ca="1" si="286"/>
        <v>37.478439425051334</v>
      </c>
      <c r="N4485" s="5" t="str">
        <f ca="1">VLOOKUP(Data!M4485,temp!$B$3:$C$9,2,1)</f>
        <v>30-40</v>
      </c>
      <c r="O4485">
        <v>-1172</v>
      </c>
      <c r="P4485" s="8">
        <f t="shared" si="287"/>
        <v>3.2087611225188226</v>
      </c>
      <c r="Q4485" s="5" t="str">
        <f t="shared" si="285"/>
        <v>Employed</v>
      </c>
      <c r="R4485">
        <v>1</v>
      </c>
      <c r="S4485">
        <v>0</v>
      </c>
      <c r="T4485">
        <v>0</v>
      </c>
      <c r="U4485">
        <v>0</v>
      </c>
      <c r="V4485" t="s">
        <v>39</v>
      </c>
      <c r="W4485">
        <v>3</v>
      </c>
    </row>
    <row r="4486" spans="1:23" x14ac:dyDescent="0.2">
      <c r="A4486">
        <v>5149446</v>
      </c>
      <c r="B4486" t="s">
        <v>25</v>
      </c>
      <c r="C4486" t="s">
        <v>20</v>
      </c>
      <c r="D4486" t="s">
        <v>20</v>
      </c>
      <c r="E4486">
        <v>0</v>
      </c>
      <c r="F4486">
        <v>238500</v>
      </c>
      <c r="G4486" t="s">
        <v>31</v>
      </c>
      <c r="H4486" t="s">
        <v>22</v>
      </c>
      <c r="I4486" t="s">
        <v>28</v>
      </c>
      <c r="J4486" t="s">
        <v>41</v>
      </c>
      <c r="K4486" s="6">
        <f t="shared" ca="1" si="284"/>
        <v>33574</v>
      </c>
      <c r="L4486">
        <v>-12187</v>
      </c>
      <c r="M4486" s="7">
        <f t="shared" ca="1" si="286"/>
        <v>33.366187542778917</v>
      </c>
      <c r="N4486" s="5" t="str">
        <f ca="1">VLOOKUP(Data!M4486,temp!$B$3:$C$9,2,1)</f>
        <v>30-40</v>
      </c>
      <c r="O4486">
        <v>-2602</v>
      </c>
      <c r="P4486" s="8">
        <f t="shared" si="287"/>
        <v>7.1238877481177276</v>
      </c>
      <c r="Q4486" s="5" t="str">
        <f t="shared" si="285"/>
        <v>Employed</v>
      </c>
      <c r="R4486">
        <v>1</v>
      </c>
      <c r="S4486">
        <v>0</v>
      </c>
      <c r="T4486">
        <v>0</v>
      </c>
      <c r="U4486">
        <v>0</v>
      </c>
      <c r="V4486" t="s">
        <v>29</v>
      </c>
      <c r="W4486">
        <v>2</v>
      </c>
    </row>
    <row r="4487" spans="1:23" x14ac:dyDescent="0.2">
      <c r="A4487">
        <v>5149455</v>
      </c>
      <c r="B4487" t="s">
        <v>25</v>
      </c>
      <c r="C4487" t="s">
        <v>20</v>
      </c>
      <c r="D4487" t="s">
        <v>20</v>
      </c>
      <c r="E4487">
        <v>0</v>
      </c>
      <c r="F4487">
        <v>238500</v>
      </c>
      <c r="G4487" t="s">
        <v>31</v>
      </c>
      <c r="H4487" t="s">
        <v>22</v>
      </c>
      <c r="I4487" t="s">
        <v>28</v>
      </c>
      <c r="J4487" t="s">
        <v>41</v>
      </c>
      <c r="K4487" s="6">
        <f t="shared" ca="1" si="284"/>
        <v>33574</v>
      </c>
      <c r="L4487">
        <v>-12187</v>
      </c>
      <c r="M4487" s="7">
        <f t="shared" ca="1" si="286"/>
        <v>33.366187542778917</v>
      </c>
      <c r="N4487" s="5" t="str">
        <f ca="1">VLOOKUP(Data!M4487,temp!$B$3:$C$9,2,1)</f>
        <v>30-40</v>
      </c>
      <c r="O4487">
        <v>-2602</v>
      </c>
      <c r="P4487" s="8">
        <f t="shared" si="287"/>
        <v>7.1238877481177276</v>
      </c>
      <c r="Q4487" s="5" t="str">
        <f t="shared" si="285"/>
        <v>Employed</v>
      </c>
      <c r="R4487">
        <v>1</v>
      </c>
      <c r="S4487">
        <v>0</v>
      </c>
      <c r="T4487">
        <v>0</v>
      </c>
      <c r="U4487">
        <v>0</v>
      </c>
      <c r="V4487" t="s">
        <v>29</v>
      </c>
      <c r="W4487">
        <v>2</v>
      </c>
    </row>
    <row r="4488" spans="1:23" x14ac:dyDescent="0.2">
      <c r="A4488">
        <v>5149462</v>
      </c>
      <c r="B4488" t="s">
        <v>18</v>
      </c>
      <c r="C4488" t="s">
        <v>19</v>
      </c>
      <c r="D4488" t="s">
        <v>20</v>
      </c>
      <c r="E4488">
        <v>0</v>
      </c>
      <c r="F4488">
        <v>193500</v>
      </c>
      <c r="G4488" t="s">
        <v>26</v>
      </c>
      <c r="H4488" t="s">
        <v>27</v>
      </c>
      <c r="I4488" t="s">
        <v>28</v>
      </c>
      <c r="J4488" t="s">
        <v>24</v>
      </c>
      <c r="K4488" s="6">
        <f t="shared" ref="K4488:K4551" ca="1" si="288">TODAY()+($L4488)</f>
        <v>30314</v>
      </c>
      <c r="L4488">
        <v>-15447</v>
      </c>
      <c r="M4488" s="7">
        <f t="shared" ca="1" si="286"/>
        <v>42.291581108829568</v>
      </c>
      <c r="N4488" s="5" t="str">
        <f ca="1">VLOOKUP(Data!M4488,temp!$B$3:$C$9,2,1)</f>
        <v>40-50</v>
      </c>
      <c r="O4488">
        <v>-1721</v>
      </c>
      <c r="P4488" s="8">
        <f t="shared" si="287"/>
        <v>4.7118412046543465</v>
      </c>
      <c r="Q4488" s="5" t="str">
        <f t="shared" ref="Q4488:Q4551" si="289">IF($O4488&gt;0,"Unemployed","Employed")</f>
        <v>Employed</v>
      </c>
      <c r="R4488">
        <v>1</v>
      </c>
      <c r="S4488">
        <v>0</v>
      </c>
      <c r="T4488">
        <v>0</v>
      </c>
      <c r="U4488">
        <v>0</v>
      </c>
      <c r="V4488" t="s">
        <v>39</v>
      </c>
      <c r="W4488">
        <v>2</v>
      </c>
    </row>
    <row r="4489" spans="1:23" x14ac:dyDescent="0.2">
      <c r="A4489">
        <v>5149468</v>
      </c>
      <c r="B4489" t="s">
        <v>18</v>
      </c>
      <c r="C4489" t="s">
        <v>19</v>
      </c>
      <c r="D4489" t="s">
        <v>20</v>
      </c>
      <c r="E4489">
        <v>0</v>
      </c>
      <c r="F4489">
        <v>193500</v>
      </c>
      <c r="G4489" t="s">
        <v>26</v>
      </c>
      <c r="H4489" t="s">
        <v>27</v>
      </c>
      <c r="I4489" t="s">
        <v>28</v>
      </c>
      <c r="J4489" t="s">
        <v>24</v>
      </c>
      <c r="K4489" s="6">
        <f t="shared" ca="1" si="288"/>
        <v>30314</v>
      </c>
      <c r="L4489">
        <v>-15447</v>
      </c>
      <c r="M4489" s="7">
        <f t="shared" ca="1" si="286"/>
        <v>42.291581108829568</v>
      </c>
      <c r="N4489" s="5" t="str">
        <f ca="1">VLOOKUP(Data!M4489,temp!$B$3:$C$9,2,1)</f>
        <v>40-50</v>
      </c>
      <c r="O4489">
        <v>-1721</v>
      </c>
      <c r="P4489" s="8">
        <f t="shared" si="287"/>
        <v>4.7118412046543465</v>
      </c>
      <c r="Q4489" s="5" t="str">
        <f t="shared" si="289"/>
        <v>Employed</v>
      </c>
      <c r="R4489">
        <v>1</v>
      </c>
      <c r="S4489">
        <v>0</v>
      </c>
      <c r="T4489">
        <v>0</v>
      </c>
      <c r="U4489">
        <v>0</v>
      </c>
      <c r="V4489" t="s">
        <v>39</v>
      </c>
      <c r="W4489">
        <v>2</v>
      </c>
    </row>
    <row r="4490" spans="1:23" x14ac:dyDescent="0.2">
      <c r="A4490">
        <v>5149472</v>
      </c>
      <c r="B4490" t="s">
        <v>18</v>
      </c>
      <c r="C4490" t="s">
        <v>20</v>
      </c>
      <c r="D4490" t="s">
        <v>20</v>
      </c>
      <c r="E4490">
        <v>1</v>
      </c>
      <c r="F4490">
        <v>135000</v>
      </c>
      <c r="G4490" t="s">
        <v>26</v>
      </c>
      <c r="H4490" t="s">
        <v>22</v>
      </c>
      <c r="I4490" t="s">
        <v>28</v>
      </c>
      <c r="J4490" t="s">
        <v>24</v>
      </c>
      <c r="K4490" s="6">
        <f t="shared" ca="1" si="288"/>
        <v>34483</v>
      </c>
      <c r="L4490">
        <v>-11278</v>
      </c>
      <c r="M4490" s="7">
        <f t="shared" ca="1" si="286"/>
        <v>30.87748117727584</v>
      </c>
      <c r="N4490" s="5" t="str">
        <f ca="1">VLOOKUP(Data!M4490,temp!$B$3:$C$9,2,1)</f>
        <v>30-40</v>
      </c>
      <c r="O4490">
        <v>-2481</v>
      </c>
      <c r="P4490" s="8">
        <f t="shared" si="287"/>
        <v>6.792607802874743</v>
      </c>
      <c r="Q4490" s="5" t="str">
        <f t="shared" si="289"/>
        <v>Employed</v>
      </c>
      <c r="R4490">
        <v>1</v>
      </c>
      <c r="S4490">
        <v>0</v>
      </c>
      <c r="T4490">
        <v>0</v>
      </c>
      <c r="U4490">
        <v>0</v>
      </c>
      <c r="W4490">
        <v>3</v>
      </c>
    </row>
    <row r="4491" spans="1:23" x14ac:dyDescent="0.2">
      <c r="A4491">
        <v>5149475</v>
      </c>
      <c r="B4491" t="s">
        <v>18</v>
      </c>
      <c r="C4491" t="s">
        <v>20</v>
      </c>
      <c r="D4491" t="s">
        <v>20</v>
      </c>
      <c r="E4491">
        <v>1</v>
      </c>
      <c r="F4491">
        <v>135000</v>
      </c>
      <c r="G4491" t="s">
        <v>26</v>
      </c>
      <c r="H4491" t="s">
        <v>22</v>
      </c>
      <c r="I4491" t="s">
        <v>28</v>
      </c>
      <c r="J4491" t="s">
        <v>24</v>
      </c>
      <c r="K4491" s="6">
        <f t="shared" ca="1" si="288"/>
        <v>34483</v>
      </c>
      <c r="L4491">
        <v>-11278</v>
      </c>
      <c r="M4491" s="7">
        <f t="shared" ca="1" si="286"/>
        <v>30.87748117727584</v>
      </c>
      <c r="N4491" s="5" t="str">
        <f ca="1">VLOOKUP(Data!M4491,temp!$B$3:$C$9,2,1)</f>
        <v>30-40</v>
      </c>
      <c r="O4491">
        <v>-2481</v>
      </c>
      <c r="P4491" s="8">
        <f t="shared" si="287"/>
        <v>6.792607802874743</v>
      </c>
      <c r="Q4491" s="5" t="str">
        <f t="shared" si="289"/>
        <v>Employed</v>
      </c>
      <c r="R4491">
        <v>1</v>
      </c>
      <c r="S4491">
        <v>0</v>
      </c>
      <c r="T4491">
        <v>0</v>
      </c>
      <c r="U4491">
        <v>0</v>
      </c>
      <c r="W4491">
        <v>3</v>
      </c>
    </row>
    <row r="4492" spans="1:23" x14ac:dyDescent="0.2">
      <c r="A4492">
        <v>5149479</v>
      </c>
      <c r="B4492" t="s">
        <v>18</v>
      </c>
      <c r="C4492" t="s">
        <v>20</v>
      </c>
      <c r="D4492" t="s">
        <v>20</v>
      </c>
      <c r="E4492">
        <v>1</v>
      </c>
      <c r="F4492">
        <v>135000</v>
      </c>
      <c r="G4492" t="s">
        <v>26</v>
      </c>
      <c r="H4492" t="s">
        <v>22</v>
      </c>
      <c r="I4492" t="s">
        <v>28</v>
      </c>
      <c r="J4492" t="s">
        <v>24</v>
      </c>
      <c r="K4492" s="6">
        <f t="shared" ca="1" si="288"/>
        <v>34483</v>
      </c>
      <c r="L4492">
        <v>-11278</v>
      </c>
      <c r="M4492" s="7">
        <f t="shared" ca="1" si="286"/>
        <v>30.87748117727584</v>
      </c>
      <c r="N4492" s="5" t="str">
        <f ca="1">VLOOKUP(Data!M4492,temp!$B$3:$C$9,2,1)</f>
        <v>30-40</v>
      </c>
      <c r="O4492">
        <v>-2481</v>
      </c>
      <c r="P4492" s="8">
        <f t="shared" si="287"/>
        <v>6.792607802874743</v>
      </c>
      <c r="Q4492" s="5" t="str">
        <f t="shared" si="289"/>
        <v>Employed</v>
      </c>
      <c r="R4492">
        <v>1</v>
      </c>
      <c r="S4492">
        <v>0</v>
      </c>
      <c r="T4492">
        <v>0</v>
      </c>
      <c r="U4492">
        <v>0</v>
      </c>
      <c r="W4492">
        <v>3</v>
      </c>
    </row>
    <row r="4493" spans="1:23" x14ac:dyDescent="0.2">
      <c r="A4493">
        <v>5149491</v>
      </c>
      <c r="B4493" t="s">
        <v>18</v>
      </c>
      <c r="C4493" t="s">
        <v>20</v>
      </c>
      <c r="D4493" t="s">
        <v>20</v>
      </c>
      <c r="E4493">
        <v>0</v>
      </c>
      <c r="F4493">
        <v>90000</v>
      </c>
      <c r="G4493" t="s">
        <v>31</v>
      </c>
      <c r="H4493" t="s">
        <v>22</v>
      </c>
      <c r="I4493" t="s">
        <v>28</v>
      </c>
      <c r="J4493" t="s">
        <v>24</v>
      </c>
      <c r="K4493" s="6">
        <f t="shared" ca="1" si="288"/>
        <v>34410</v>
      </c>
      <c r="L4493">
        <v>-11351</v>
      </c>
      <c r="M4493" s="7">
        <f t="shared" ca="1" si="286"/>
        <v>31.077344284736483</v>
      </c>
      <c r="N4493" s="5" t="str">
        <f ca="1">VLOOKUP(Data!M4493,temp!$B$3:$C$9,2,1)</f>
        <v>30-40</v>
      </c>
      <c r="O4493">
        <v>-1172</v>
      </c>
      <c r="P4493" s="8">
        <f t="shared" si="287"/>
        <v>3.2087611225188226</v>
      </c>
      <c r="Q4493" s="5" t="str">
        <f t="shared" si="289"/>
        <v>Employed</v>
      </c>
      <c r="R4493">
        <v>1</v>
      </c>
      <c r="S4493">
        <v>1</v>
      </c>
      <c r="T4493">
        <v>0</v>
      </c>
      <c r="U4493">
        <v>0</v>
      </c>
      <c r="V4493" t="s">
        <v>29</v>
      </c>
      <c r="W4493">
        <v>2</v>
      </c>
    </row>
    <row r="4494" spans="1:23" x14ac:dyDescent="0.2">
      <c r="A4494">
        <v>5149495</v>
      </c>
      <c r="B4494" t="s">
        <v>18</v>
      </c>
      <c r="C4494" t="s">
        <v>20</v>
      </c>
      <c r="D4494" t="s">
        <v>20</v>
      </c>
      <c r="E4494">
        <v>1</v>
      </c>
      <c r="F4494">
        <v>360000</v>
      </c>
      <c r="G4494" t="s">
        <v>31</v>
      </c>
      <c r="H4494" t="s">
        <v>22</v>
      </c>
      <c r="I4494" t="s">
        <v>28</v>
      </c>
      <c r="J4494" t="s">
        <v>24</v>
      </c>
      <c r="K4494" s="6">
        <f t="shared" ca="1" si="288"/>
        <v>33394</v>
      </c>
      <c r="L4494">
        <v>-12367</v>
      </c>
      <c r="M4494" s="7">
        <f t="shared" ca="1" si="286"/>
        <v>33.8590006844627</v>
      </c>
      <c r="N4494" s="5" t="str">
        <f ca="1">VLOOKUP(Data!M4494,temp!$B$3:$C$9,2,1)</f>
        <v>30-40</v>
      </c>
      <c r="O4494">
        <v>-928</v>
      </c>
      <c r="P4494" s="8">
        <f t="shared" si="287"/>
        <v>2.5407255304585901</v>
      </c>
      <c r="Q4494" s="5" t="str">
        <f t="shared" si="289"/>
        <v>Employed</v>
      </c>
      <c r="R4494">
        <v>1</v>
      </c>
      <c r="S4494">
        <v>1</v>
      </c>
      <c r="T4494">
        <v>0</v>
      </c>
      <c r="U4494">
        <v>0</v>
      </c>
      <c r="V4494" t="s">
        <v>38</v>
      </c>
      <c r="W4494">
        <v>3</v>
      </c>
    </row>
    <row r="4495" spans="1:23" x14ac:dyDescent="0.2">
      <c r="A4495">
        <v>5149527</v>
      </c>
      <c r="B4495" t="s">
        <v>18</v>
      </c>
      <c r="C4495" t="s">
        <v>19</v>
      </c>
      <c r="D4495" t="s">
        <v>20</v>
      </c>
      <c r="E4495">
        <v>0</v>
      </c>
      <c r="F4495">
        <v>112500</v>
      </c>
      <c r="G4495" t="s">
        <v>21</v>
      </c>
      <c r="H4495" t="s">
        <v>27</v>
      </c>
      <c r="I4495" t="s">
        <v>28</v>
      </c>
      <c r="J4495" t="s">
        <v>24</v>
      </c>
      <c r="K4495" s="6">
        <f t="shared" ca="1" si="288"/>
        <v>27095</v>
      </c>
      <c r="L4495">
        <v>-18666</v>
      </c>
      <c r="M4495" s="7">
        <f t="shared" ca="1" si="286"/>
        <v>51.104722792607802</v>
      </c>
      <c r="N4495" s="5" t="str">
        <f ca="1">VLOOKUP(Data!M4495,temp!$B$3:$C$9,2,1)</f>
        <v>50-60</v>
      </c>
      <c r="O4495">
        <v>365243</v>
      </c>
      <c r="P4495" s="8">
        <f t="shared" si="287"/>
        <v>0</v>
      </c>
      <c r="Q4495" s="5" t="str">
        <f t="shared" si="289"/>
        <v>Unemployed</v>
      </c>
      <c r="R4495">
        <v>1</v>
      </c>
      <c r="S4495">
        <v>0</v>
      </c>
      <c r="T4495">
        <v>1</v>
      </c>
      <c r="U4495">
        <v>0</v>
      </c>
      <c r="W4495">
        <v>2</v>
      </c>
    </row>
    <row r="4496" spans="1:23" x14ac:dyDescent="0.2">
      <c r="A4496">
        <v>5149529</v>
      </c>
      <c r="B4496" t="s">
        <v>18</v>
      </c>
      <c r="C4496" t="s">
        <v>19</v>
      </c>
      <c r="D4496" t="s">
        <v>20</v>
      </c>
      <c r="E4496">
        <v>0</v>
      </c>
      <c r="F4496">
        <v>130500</v>
      </c>
      <c r="G4496" t="s">
        <v>35</v>
      </c>
      <c r="H4496" t="s">
        <v>27</v>
      </c>
      <c r="I4496" t="s">
        <v>28</v>
      </c>
      <c r="J4496" t="s">
        <v>24</v>
      </c>
      <c r="K4496" s="6">
        <f t="shared" ca="1" si="288"/>
        <v>33085</v>
      </c>
      <c r="L4496">
        <v>-12676</v>
      </c>
      <c r="M4496" s="7">
        <f t="shared" ca="1" si="286"/>
        <v>34.704996577686515</v>
      </c>
      <c r="N4496" s="5" t="str">
        <f ca="1">VLOOKUP(Data!M4496,temp!$B$3:$C$9,2,1)</f>
        <v>30-40</v>
      </c>
      <c r="O4496">
        <v>-3455</v>
      </c>
      <c r="P4496" s="8">
        <f t="shared" si="287"/>
        <v>9.4592744695414108</v>
      </c>
      <c r="Q4496" s="5" t="str">
        <f t="shared" si="289"/>
        <v>Employed</v>
      </c>
      <c r="R4496">
        <v>1</v>
      </c>
      <c r="S4496">
        <v>0</v>
      </c>
      <c r="T4496">
        <v>0</v>
      </c>
      <c r="U4496">
        <v>0</v>
      </c>
      <c r="V4496" t="s">
        <v>38</v>
      </c>
      <c r="W4496">
        <v>2</v>
      </c>
    </row>
    <row r="4497" spans="1:23" x14ac:dyDescent="0.2">
      <c r="A4497">
        <v>5149540</v>
      </c>
      <c r="B4497" t="s">
        <v>18</v>
      </c>
      <c r="C4497" t="s">
        <v>19</v>
      </c>
      <c r="D4497" t="s">
        <v>20</v>
      </c>
      <c r="E4497">
        <v>0</v>
      </c>
      <c r="F4497">
        <v>130500</v>
      </c>
      <c r="G4497" t="s">
        <v>35</v>
      </c>
      <c r="H4497" t="s">
        <v>27</v>
      </c>
      <c r="I4497" t="s">
        <v>28</v>
      </c>
      <c r="J4497" t="s">
        <v>24</v>
      </c>
      <c r="K4497" s="6">
        <f t="shared" ca="1" si="288"/>
        <v>33085</v>
      </c>
      <c r="L4497">
        <v>-12676</v>
      </c>
      <c r="M4497" s="7">
        <f t="shared" ca="1" si="286"/>
        <v>34.704996577686515</v>
      </c>
      <c r="N4497" s="5" t="str">
        <f ca="1">VLOOKUP(Data!M4497,temp!$B$3:$C$9,2,1)</f>
        <v>30-40</v>
      </c>
      <c r="O4497">
        <v>-3455</v>
      </c>
      <c r="P4497" s="8">
        <f t="shared" si="287"/>
        <v>9.4592744695414108</v>
      </c>
      <c r="Q4497" s="5" t="str">
        <f t="shared" si="289"/>
        <v>Employed</v>
      </c>
      <c r="R4497">
        <v>1</v>
      </c>
      <c r="S4497">
        <v>0</v>
      </c>
      <c r="T4497">
        <v>0</v>
      </c>
      <c r="U4497">
        <v>0</v>
      </c>
      <c r="V4497" t="s">
        <v>38</v>
      </c>
      <c r="W4497">
        <v>2</v>
      </c>
    </row>
    <row r="4498" spans="1:23" x14ac:dyDescent="0.2">
      <c r="A4498">
        <v>5149542</v>
      </c>
      <c r="B4498" t="s">
        <v>18</v>
      </c>
      <c r="C4498" t="s">
        <v>19</v>
      </c>
      <c r="D4498" t="s">
        <v>20</v>
      </c>
      <c r="E4498">
        <v>0</v>
      </c>
      <c r="F4498">
        <v>130500</v>
      </c>
      <c r="G4498" t="s">
        <v>35</v>
      </c>
      <c r="H4498" t="s">
        <v>27</v>
      </c>
      <c r="I4498" t="s">
        <v>28</v>
      </c>
      <c r="J4498" t="s">
        <v>24</v>
      </c>
      <c r="K4498" s="6">
        <f t="shared" ca="1" si="288"/>
        <v>33085</v>
      </c>
      <c r="L4498">
        <v>-12676</v>
      </c>
      <c r="M4498" s="7">
        <f t="shared" ca="1" si="286"/>
        <v>34.704996577686515</v>
      </c>
      <c r="N4498" s="5" t="str">
        <f ca="1">VLOOKUP(Data!M4498,temp!$B$3:$C$9,2,1)</f>
        <v>30-40</v>
      </c>
      <c r="O4498">
        <v>-3455</v>
      </c>
      <c r="P4498" s="8">
        <f t="shared" si="287"/>
        <v>9.4592744695414108</v>
      </c>
      <c r="Q4498" s="5" t="str">
        <f t="shared" si="289"/>
        <v>Employed</v>
      </c>
      <c r="R4498">
        <v>1</v>
      </c>
      <c r="S4498">
        <v>0</v>
      </c>
      <c r="T4498">
        <v>0</v>
      </c>
      <c r="U4498">
        <v>0</v>
      </c>
      <c r="V4498" t="s">
        <v>38</v>
      </c>
      <c r="W4498">
        <v>2</v>
      </c>
    </row>
    <row r="4499" spans="1:23" x14ac:dyDescent="0.2">
      <c r="A4499">
        <v>5149545</v>
      </c>
      <c r="B4499" t="s">
        <v>18</v>
      </c>
      <c r="C4499" t="s">
        <v>19</v>
      </c>
      <c r="D4499" t="s">
        <v>20</v>
      </c>
      <c r="E4499">
        <v>0</v>
      </c>
      <c r="F4499">
        <v>130500</v>
      </c>
      <c r="G4499" t="s">
        <v>35</v>
      </c>
      <c r="H4499" t="s">
        <v>27</v>
      </c>
      <c r="I4499" t="s">
        <v>28</v>
      </c>
      <c r="J4499" t="s">
        <v>24</v>
      </c>
      <c r="K4499" s="6">
        <f t="shared" ca="1" si="288"/>
        <v>33085</v>
      </c>
      <c r="L4499">
        <v>-12676</v>
      </c>
      <c r="M4499" s="7">
        <f t="shared" ca="1" si="286"/>
        <v>34.704996577686515</v>
      </c>
      <c r="N4499" s="5" t="str">
        <f ca="1">VLOOKUP(Data!M4499,temp!$B$3:$C$9,2,1)</f>
        <v>30-40</v>
      </c>
      <c r="O4499">
        <v>-3455</v>
      </c>
      <c r="P4499" s="8">
        <f t="shared" si="287"/>
        <v>9.4592744695414108</v>
      </c>
      <c r="Q4499" s="5" t="str">
        <f t="shared" si="289"/>
        <v>Employed</v>
      </c>
      <c r="R4499">
        <v>1</v>
      </c>
      <c r="S4499">
        <v>0</v>
      </c>
      <c r="T4499">
        <v>0</v>
      </c>
      <c r="U4499">
        <v>0</v>
      </c>
      <c r="V4499" t="s">
        <v>38</v>
      </c>
      <c r="W4499">
        <v>2</v>
      </c>
    </row>
    <row r="4500" spans="1:23" x14ac:dyDescent="0.2">
      <c r="A4500">
        <v>5149553</v>
      </c>
      <c r="B4500" t="s">
        <v>18</v>
      </c>
      <c r="C4500" t="s">
        <v>19</v>
      </c>
      <c r="D4500" t="s">
        <v>20</v>
      </c>
      <c r="E4500">
        <v>1</v>
      </c>
      <c r="F4500">
        <v>247500</v>
      </c>
      <c r="G4500" t="s">
        <v>26</v>
      </c>
      <c r="H4500" t="s">
        <v>22</v>
      </c>
      <c r="I4500" t="s">
        <v>28</v>
      </c>
      <c r="J4500" t="s">
        <v>24</v>
      </c>
      <c r="K4500" s="6">
        <f t="shared" ca="1" si="288"/>
        <v>31390</v>
      </c>
      <c r="L4500">
        <v>-14371</v>
      </c>
      <c r="M4500" s="7">
        <f t="shared" ca="1" si="286"/>
        <v>39.345653661875431</v>
      </c>
      <c r="N4500" s="5" t="str">
        <f ca="1">VLOOKUP(Data!M4500,temp!$B$3:$C$9,2,1)</f>
        <v>30-40</v>
      </c>
      <c r="O4500">
        <v>-1325</v>
      </c>
      <c r="P4500" s="8">
        <f t="shared" si="287"/>
        <v>3.6276522929500343</v>
      </c>
      <c r="Q4500" s="5" t="str">
        <f t="shared" si="289"/>
        <v>Employed</v>
      </c>
      <c r="R4500">
        <v>1</v>
      </c>
      <c r="S4500">
        <v>0</v>
      </c>
      <c r="T4500">
        <v>0</v>
      </c>
      <c r="U4500">
        <v>1</v>
      </c>
      <c r="V4500" t="s">
        <v>32</v>
      </c>
      <c r="W4500">
        <v>3</v>
      </c>
    </row>
    <row r="4501" spans="1:23" x14ac:dyDescent="0.2">
      <c r="A4501">
        <v>5149568</v>
      </c>
      <c r="B4501" t="s">
        <v>18</v>
      </c>
      <c r="C4501" t="s">
        <v>19</v>
      </c>
      <c r="D4501" t="s">
        <v>20</v>
      </c>
      <c r="E4501">
        <v>0</v>
      </c>
      <c r="F4501">
        <v>135000</v>
      </c>
      <c r="G4501" t="s">
        <v>26</v>
      </c>
      <c r="H4501" t="s">
        <v>27</v>
      </c>
      <c r="I4501" t="s">
        <v>28</v>
      </c>
      <c r="J4501" t="s">
        <v>24</v>
      </c>
      <c r="K4501" s="6">
        <f t="shared" ca="1" si="288"/>
        <v>28796</v>
      </c>
      <c r="L4501">
        <v>-16965</v>
      </c>
      <c r="M4501" s="7">
        <f t="shared" ca="1" si="286"/>
        <v>46.447638603696099</v>
      </c>
      <c r="N4501" s="5" t="str">
        <f ca="1">VLOOKUP(Data!M4501,temp!$B$3:$C$9,2,1)</f>
        <v>40-50</v>
      </c>
      <c r="O4501">
        <v>-928</v>
      </c>
      <c r="P4501" s="8">
        <f t="shared" si="287"/>
        <v>2.5407255304585901</v>
      </c>
      <c r="Q4501" s="5" t="str">
        <f t="shared" si="289"/>
        <v>Employed</v>
      </c>
      <c r="R4501">
        <v>1</v>
      </c>
      <c r="S4501">
        <v>0</v>
      </c>
      <c r="T4501">
        <v>0</v>
      </c>
      <c r="U4501">
        <v>0</v>
      </c>
      <c r="V4501" t="s">
        <v>44</v>
      </c>
      <c r="W4501">
        <v>2</v>
      </c>
    </row>
    <row r="4502" spans="1:23" x14ac:dyDescent="0.2">
      <c r="A4502">
        <v>5149577</v>
      </c>
      <c r="B4502" t="s">
        <v>18</v>
      </c>
      <c r="C4502" t="s">
        <v>19</v>
      </c>
      <c r="D4502" t="s">
        <v>20</v>
      </c>
      <c r="E4502">
        <v>0</v>
      </c>
      <c r="F4502">
        <v>135000</v>
      </c>
      <c r="G4502" t="s">
        <v>26</v>
      </c>
      <c r="H4502" t="s">
        <v>27</v>
      </c>
      <c r="I4502" t="s">
        <v>28</v>
      </c>
      <c r="J4502" t="s">
        <v>24</v>
      </c>
      <c r="K4502" s="6">
        <f t="shared" ca="1" si="288"/>
        <v>28796</v>
      </c>
      <c r="L4502">
        <v>-16965</v>
      </c>
      <c r="M4502" s="7">
        <f t="shared" ca="1" si="286"/>
        <v>46.447638603696099</v>
      </c>
      <c r="N4502" s="5" t="str">
        <f ca="1">VLOOKUP(Data!M4502,temp!$B$3:$C$9,2,1)</f>
        <v>40-50</v>
      </c>
      <c r="O4502">
        <v>-928</v>
      </c>
      <c r="P4502" s="8">
        <f t="shared" si="287"/>
        <v>2.5407255304585901</v>
      </c>
      <c r="Q4502" s="5" t="str">
        <f t="shared" si="289"/>
        <v>Employed</v>
      </c>
      <c r="R4502">
        <v>1</v>
      </c>
      <c r="S4502">
        <v>0</v>
      </c>
      <c r="T4502">
        <v>0</v>
      </c>
      <c r="U4502">
        <v>0</v>
      </c>
      <c r="V4502" t="s">
        <v>44</v>
      </c>
      <c r="W4502">
        <v>2</v>
      </c>
    </row>
    <row r="4503" spans="1:23" x14ac:dyDescent="0.2">
      <c r="A4503">
        <v>5149595</v>
      </c>
      <c r="B4503" t="s">
        <v>18</v>
      </c>
      <c r="C4503" t="s">
        <v>19</v>
      </c>
      <c r="D4503" t="s">
        <v>20</v>
      </c>
      <c r="E4503">
        <v>0</v>
      </c>
      <c r="F4503">
        <v>157500</v>
      </c>
      <c r="G4503" t="s">
        <v>31</v>
      </c>
      <c r="H4503" t="s">
        <v>22</v>
      </c>
      <c r="I4503" t="s">
        <v>28</v>
      </c>
      <c r="J4503" t="s">
        <v>24</v>
      </c>
      <c r="K4503" s="6">
        <f t="shared" ca="1" si="288"/>
        <v>33472</v>
      </c>
      <c r="L4503">
        <v>-12289</v>
      </c>
      <c r="M4503" s="7">
        <f t="shared" ca="1" si="286"/>
        <v>33.64544832306639</v>
      </c>
      <c r="N4503" s="5" t="str">
        <f ca="1">VLOOKUP(Data!M4503,temp!$B$3:$C$9,2,1)</f>
        <v>30-40</v>
      </c>
      <c r="O4503">
        <v>-1812</v>
      </c>
      <c r="P4503" s="8">
        <f t="shared" si="287"/>
        <v>4.9609856262833674</v>
      </c>
      <c r="Q4503" s="5" t="str">
        <f t="shared" si="289"/>
        <v>Employed</v>
      </c>
      <c r="R4503">
        <v>1</v>
      </c>
      <c r="S4503">
        <v>0</v>
      </c>
      <c r="T4503">
        <v>1</v>
      </c>
      <c r="U4503">
        <v>0</v>
      </c>
      <c r="V4503" t="s">
        <v>38</v>
      </c>
      <c r="W4503">
        <v>2</v>
      </c>
    </row>
    <row r="4504" spans="1:23" x14ac:dyDescent="0.2">
      <c r="A4504">
        <v>5149599</v>
      </c>
      <c r="B4504" t="s">
        <v>18</v>
      </c>
      <c r="C4504" t="s">
        <v>19</v>
      </c>
      <c r="D4504" t="s">
        <v>20</v>
      </c>
      <c r="E4504">
        <v>0</v>
      </c>
      <c r="F4504">
        <v>225000</v>
      </c>
      <c r="G4504" t="s">
        <v>26</v>
      </c>
      <c r="H4504" t="s">
        <v>27</v>
      </c>
      <c r="I4504" t="s">
        <v>37</v>
      </c>
      <c r="J4504" t="s">
        <v>24</v>
      </c>
      <c r="K4504" s="6">
        <f t="shared" ca="1" si="288"/>
        <v>27904</v>
      </c>
      <c r="L4504">
        <v>-17857</v>
      </c>
      <c r="M4504" s="7">
        <f t="shared" ca="1" si="286"/>
        <v>48.889801505817935</v>
      </c>
      <c r="N4504" s="5" t="str">
        <f ca="1">VLOOKUP(Data!M4504,temp!$B$3:$C$9,2,1)</f>
        <v>40-50</v>
      </c>
      <c r="O4504">
        <v>-229</v>
      </c>
      <c r="P4504" s="8">
        <f t="shared" si="287"/>
        <v>0.6269678302532512</v>
      </c>
      <c r="Q4504" s="5" t="str">
        <f t="shared" si="289"/>
        <v>Employed</v>
      </c>
      <c r="R4504">
        <v>1</v>
      </c>
      <c r="S4504">
        <v>1</v>
      </c>
      <c r="T4504">
        <v>0</v>
      </c>
      <c r="U4504">
        <v>0</v>
      </c>
      <c r="W4504">
        <v>2</v>
      </c>
    </row>
    <row r="4505" spans="1:23" x14ac:dyDescent="0.2">
      <c r="A4505">
        <v>5149602</v>
      </c>
      <c r="B4505" t="s">
        <v>18</v>
      </c>
      <c r="C4505" t="s">
        <v>19</v>
      </c>
      <c r="D4505" t="s">
        <v>20</v>
      </c>
      <c r="E4505">
        <v>0</v>
      </c>
      <c r="F4505">
        <v>225000</v>
      </c>
      <c r="G4505" t="s">
        <v>26</v>
      </c>
      <c r="H4505" t="s">
        <v>27</v>
      </c>
      <c r="I4505" t="s">
        <v>37</v>
      </c>
      <c r="J4505" t="s">
        <v>24</v>
      </c>
      <c r="K4505" s="6">
        <f t="shared" ca="1" si="288"/>
        <v>27904</v>
      </c>
      <c r="L4505">
        <v>-17857</v>
      </c>
      <c r="M4505" s="7">
        <f t="shared" ca="1" si="286"/>
        <v>48.889801505817935</v>
      </c>
      <c r="N4505" s="5" t="str">
        <f ca="1">VLOOKUP(Data!M4505,temp!$B$3:$C$9,2,1)</f>
        <v>40-50</v>
      </c>
      <c r="O4505">
        <v>-229</v>
      </c>
      <c r="P4505" s="8">
        <f t="shared" si="287"/>
        <v>0.6269678302532512</v>
      </c>
      <c r="Q4505" s="5" t="str">
        <f t="shared" si="289"/>
        <v>Employed</v>
      </c>
      <c r="R4505">
        <v>1</v>
      </c>
      <c r="S4505">
        <v>1</v>
      </c>
      <c r="T4505">
        <v>0</v>
      </c>
      <c r="U4505">
        <v>0</v>
      </c>
      <c r="W4505">
        <v>2</v>
      </c>
    </row>
    <row r="4506" spans="1:23" x14ac:dyDescent="0.2">
      <c r="A4506">
        <v>5149603</v>
      </c>
      <c r="B4506" t="s">
        <v>18</v>
      </c>
      <c r="C4506" t="s">
        <v>19</v>
      </c>
      <c r="D4506" t="s">
        <v>20</v>
      </c>
      <c r="E4506">
        <v>0</v>
      </c>
      <c r="F4506">
        <v>225000</v>
      </c>
      <c r="G4506" t="s">
        <v>26</v>
      </c>
      <c r="H4506" t="s">
        <v>27</v>
      </c>
      <c r="I4506" t="s">
        <v>37</v>
      </c>
      <c r="J4506" t="s">
        <v>24</v>
      </c>
      <c r="K4506" s="6">
        <f t="shared" ca="1" si="288"/>
        <v>27904</v>
      </c>
      <c r="L4506">
        <v>-17857</v>
      </c>
      <c r="M4506" s="7">
        <f t="shared" ca="1" si="286"/>
        <v>48.889801505817935</v>
      </c>
      <c r="N4506" s="5" t="str">
        <f ca="1">VLOOKUP(Data!M4506,temp!$B$3:$C$9,2,1)</f>
        <v>40-50</v>
      </c>
      <c r="O4506">
        <v>-229</v>
      </c>
      <c r="P4506" s="8">
        <f t="shared" si="287"/>
        <v>0.6269678302532512</v>
      </c>
      <c r="Q4506" s="5" t="str">
        <f t="shared" si="289"/>
        <v>Employed</v>
      </c>
      <c r="R4506">
        <v>1</v>
      </c>
      <c r="S4506">
        <v>1</v>
      </c>
      <c r="T4506">
        <v>0</v>
      </c>
      <c r="U4506">
        <v>0</v>
      </c>
      <c r="W4506">
        <v>2</v>
      </c>
    </row>
    <row r="4507" spans="1:23" x14ac:dyDescent="0.2">
      <c r="A4507">
        <v>5149604</v>
      </c>
      <c r="B4507" t="s">
        <v>25</v>
      </c>
      <c r="C4507" t="s">
        <v>19</v>
      </c>
      <c r="D4507" t="s">
        <v>20</v>
      </c>
      <c r="E4507">
        <v>0</v>
      </c>
      <c r="F4507">
        <v>157500</v>
      </c>
      <c r="G4507" t="s">
        <v>26</v>
      </c>
      <c r="H4507" t="s">
        <v>22</v>
      </c>
      <c r="I4507" t="s">
        <v>28</v>
      </c>
      <c r="J4507" t="s">
        <v>34</v>
      </c>
      <c r="K4507" s="6">
        <f t="shared" ca="1" si="288"/>
        <v>35414</v>
      </c>
      <c r="L4507">
        <v>-10347</v>
      </c>
      <c r="M4507" s="7">
        <f t="shared" ca="1" si="286"/>
        <v>28.328542094455852</v>
      </c>
      <c r="N4507" s="5" t="str">
        <f ca="1">VLOOKUP(Data!M4507,temp!$B$3:$C$9,2,1)</f>
        <v>20-30</v>
      </c>
      <c r="O4507">
        <v>-2420</v>
      </c>
      <c r="P4507" s="8">
        <f t="shared" si="287"/>
        <v>6.6255989048596851</v>
      </c>
      <c r="Q4507" s="5" t="str">
        <f t="shared" si="289"/>
        <v>Employed</v>
      </c>
      <c r="R4507">
        <v>1</v>
      </c>
      <c r="S4507">
        <v>0</v>
      </c>
      <c r="T4507">
        <v>0</v>
      </c>
      <c r="U4507">
        <v>0</v>
      </c>
      <c r="V4507" t="s">
        <v>38</v>
      </c>
      <c r="W4507">
        <v>2</v>
      </c>
    </row>
    <row r="4508" spans="1:23" x14ac:dyDescent="0.2">
      <c r="A4508">
        <v>5149610</v>
      </c>
      <c r="B4508" t="s">
        <v>25</v>
      </c>
      <c r="C4508" t="s">
        <v>19</v>
      </c>
      <c r="D4508" t="s">
        <v>20</v>
      </c>
      <c r="E4508">
        <v>0</v>
      </c>
      <c r="F4508">
        <v>157500</v>
      </c>
      <c r="G4508" t="s">
        <v>26</v>
      </c>
      <c r="H4508" t="s">
        <v>22</v>
      </c>
      <c r="I4508" t="s">
        <v>28</v>
      </c>
      <c r="J4508" t="s">
        <v>34</v>
      </c>
      <c r="K4508" s="6">
        <f t="shared" ca="1" si="288"/>
        <v>35414</v>
      </c>
      <c r="L4508">
        <v>-10347</v>
      </c>
      <c r="M4508" s="7">
        <f t="shared" ca="1" si="286"/>
        <v>28.328542094455852</v>
      </c>
      <c r="N4508" s="5" t="str">
        <f ca="1">VLOOKUP(Data!M4508,temp!$B$3:$C$9,2,1)</f>
        <v>20-30</v>
      </c>
      <c r="O4508">
        <v>-2420</v>
      </c>
      <c r="P4508" s="8">
        <f t="shared" si="287"/>
        <v>6.6255989048596851</v>
      </c>
      <c r="Q4508" s="5" t="str">
        <f t="shared" si="289"/>
        <v>Employed</v>
      </c>
      <c r="R4508">
        <v>1</v>
      </c>
      <c r="S4508">
        <v>0</v>
      </c>
      <c r="T4508">
        <v>0</v>
      </c>
      <c r="U4508">
        <v>0</v>
      </c>
      <c r="V4508" t="s">
        <v>38</v>
      </c>
      <c r="W4508">
        <v>2</v>
      </c>
    </row>
    <row r="4509" spans="1:23" x14ac:dyDescent="0.2">
      <c r="A4509">
        <v>5149614</v>
      </c>
      <c r="B4509" t="s">
        <v>25</v>
      </c>
      <c r="C4509" t="s">
        <v>20</v>
      </c>
      <c r="D4509" t="s">
        <v>20</v>
      </c>
      <c r="E4509">
        <v>0</v>
      </c>
      <c r="F4509">
        <v>180000</v>
      </c>
      <c r="G4509" t="s">
        <v>26</v>
      </c>
      <c r="H4509" t="s">
        <v>27</v>
      </c>
      <c r="I4509" t="s">
        <v>28</v>
      </c>
      <c r="J4509" t="s">
        <v>24</v>
      </c>
      <c r="K4509" s="6">
        <f t="shared" ca="1" si="288"/>
        <v>33396</v>
      </c>
      <c r="L4509">
        <v>-12365</v>
      </c>
      <c r="M4509" s="7">
        <f t="shared" ca="1" si="286"/>
        <v>33.85352498288843</v>
      </c>
      <c r="N4509" s="5" t="str">
        <f ca="1">VLOOKUP(Data!M4509,temp!$B$3:$C$9,2,1)</f>
        <v>30-40</v>
      </c>
      <c r="O4509">
        <v>-1141</v>
      </c>
      <c r="P4509" s="8">
        <f t="shared" si="287"/>
        <v>3.1238877481177276</v>
      </c>
      <c r="Q4509" s="5" t="str">
        <f t="shared" si="289"/>
        <v>Employed</v>
      </c>
      <c r="R4509">
        <v>1</v>
      </c>
      <c r="S4509">
        <v>0</v>
      </c>
      <c r="T4509">
        <v>0</v>
      </c>
      <c r="U4509">
        <v>0</v>
      </c>
      <c r="V4509" t="s">
        <v>29</v>
      </c>
      <c r="W4509">
        <v>2</v>
      </c>
    </row>
    <row r="4510" spans="1:23" x14ac:dyDescent="0.2">
      <c r="A4510">
        <v>5149628</v>
      </c>
      <c r="B4510" t="s">
        <v>25</v>
      </c>
      <c r="C4510" t="s">
        <v>20</v>
      </c>
      <c r="D4510" t="s">
        <v>20</v>
      </c>
      <c r="E4510">
        <v>0</v>
      </c>
      <c r="F4510">
        <v>382500</v>
      </c>
      <c r="G4510" t="s">
        <v>31</v>
      </c>
      <c r="H4510" t="s">
        <v>22</v>
      </c>
      <c r="I4510" t="s">
        <v>28</v>
      </c>
      <c r="J4510" t="s">
        <v>24</v>
      </c>
      <c r="K4510" s="6">
        <f t="shared" ca="1" si="288"/>
        <v>35315</v>
      </c>
      <c r="L4510">
        <v>-10446</v>
      </c>
      <c r="M4510" s="7">
        <f t="shared" ca="1" si="286"/>
        <v>28.599589322381931</v>
      </c>
      <c r="N4510" s="5" t="str">
        <f ca="1">VLOOKUP(Data!M4510,temp!$B$3:$C$9,2,1)</f>
        <v>20-30</v>
      </c>
      <c r="O4510">
        <v>-2420</v>
      </c>
      <c r="P4510" s="8">
        <f t="shared" si="287"/>
        <v>6.6255989048596851</v>
      </c>
      <c r="Q4510" s="5" t="str">
        <f t="shared" si="289"/>
        <v>Employed</v>
      </c>
      <c r="R4510">
        <v>1</v>
      </c>
      <c r="S4510">
        <v>0</v>
      </c>
      <c r="T4510">
        <v>0</v>
      </c>
      <c r="U4510">
        <v>0</v>
      </c>
      <c r="V4510" t="s">
        <v>29</v>
      </c>
      <c r="W4510">
        <v>2</v>
      </c>
    </row>
    <row r="4511" spans="1:23" x14ac:dyDescent="0.2">
      <c r="A4511">
        <v>5149637</v>
      </c>
      <c r="B4511" t="s">
        <v>18</v>
      </c>
      <c r="C4511" t="s">
        <v>19</v>
      </c>
      <c r="D4511" t="s">
        <v>20</v>
      </c>
      <c r="E4511">
        <v>0</v>
      </c>
      <c r="F4511">
        <v>157500</v>
      </c>
      <c r="G4511" t="s">
        <v>31</v>
      </c>
      <c r="H4511" t="s">
        <v>27</v>
      </c>
      <c r="I4511" t="s">
        <v>37</v>
      </c>
      <c r="J4511" t="s">
        <v>24</v>
      </c>
      <c r="K4511" s="6">
        <f t="shared" ca="1" si="288"/>
        <v>31840</v>
      </c>
      <c r="L4511">
        <v>-13921</v>
      </c>
      <c r="M4511" s="7">
        <f t="shared" ca="1" si="286"/>
        <v>38.113620807665981</v>
      </c>
      <c r="N4511" s="5" t="str">
        <f ca="1">VLOOKUP(Data!M4511,temp!$B$3:$C$9,2,1)</f>
        <v>30-40</v>
      </c>
      <c r="O4511">
        <v>-2542</v>
      </c>
      <c r="P4511" s="8">
        <f t="shared" si="287"/>
        <v>6.9596167008898018</v>
      </c>
      <c r="Q4511" s="5" t="str">
        <f t="shared" si="289"/>
        <v>Employed</v>
      </c>
      <c r="R4511">
        <v>1</v>
      </c>
      <c r="S4511">
        <v>0</v>
      </c>
      <c r="T4511">
        <v>0</v>
      </c>
      <c r="U4511">
        <v>0</v>
      </c>
      <c r="V4511" t="s">
        <v>39</v>
      </c>
      <c r="W4511">
        <v>2</v>
      </c>
    </row>
    <row r="4512" spans="1:23" x14ac:dyDescent="0.2">
      <c r="A4512">
        <v>5149638</v>
      </c>
      <c r="B4512" t="s">
        <v>18</v>
      </c>
      <c r="C4512" t="s">
        <v>19</v>
      </c>
      <c r="D4512" t="s">
        <v>20</v>
      </c>
      <c r="E4512">
        <v>0</v>
      </c>
      <c r="F4512">
        <v>157500</v>
      </c>
      <c r="G4512" t="s">
        <v>31</v>
      </c>
      <c r="H4512" t="s">
        <v>27</v>
      </c>
      <c r="I4512" t="s">
        <v>37</v>
      </c>
      <c r="J4512" t="s">
        <v>24</v>
      </c>
      <c r="K4512" s="6">
        <f t="shared" ca="1" si="288"/>
        <v>31840</v>
      </c>
      <c r="L4512">
        <v>-13921</v>
      </c>
      <c r="M4512" s="7">
        <f t="shared" ca="1" si="286"/>
        <v>38.113620807665981</v>
      </c>
      <c r="N4512" s="5" t="str">
        <f ca="1">VLOOKUP(Data!M4512,temp!$B$3:$C$9,2,1)</f>
        <v>30-40</v>
      </c>
      <c r="O4512">
        <v>-2542</v>
      </c>
      <c r="P4512" s="8">
        <f t="shared" si="287"/>
        <v>6.9596167008898018</v>
      </c>
      <c r="Q4512" s="5" t="str">
        <f t="shared" si="289"/>
        <v>Employed</v>
      </c>
      <c r="R4512">
        <v>1</v>
      </c>
      <c r="S4512">
        <v>0</v>
      </c>
      <c r="T4512">
        <v>0</v>
      </c>
      <c r="U4512">
        <v>0</v>
      </c>
      <c r="V4512" t="s">
        <v>39</v>
      </c>
      <c r="W4512">
        <v>2</v>
      </c>
    </row>
    <row r="4513" spans="1:23" x14ac:dyDescent="0.2">
      <c r="A4513">
        <v>5149644</v>
      </c>
      <c r="B4513" t="s">
        <v>18</v>
      </c>
      <c r="C4513" t="s">
        <v>19</v>
      </c>
      <c r="D4513" t="s">
        <v>20</v>
      </c>
      <c r="E4513">
        <v>0</v>
      </c>
      <c r="F4513">
        <v>292500</v>
      </c>
      <c r="G4513" t="s">
        <v>21</v>
      </c>
      <c r="H4513" t="s">
        <v>27</v>
      </c>
      <c r="I4513" t="s">
        <v>33</v>
      </c>
      <c r="J4513" t="s">
        <v>24</v>
      </c>
      <c r="K4513" s="6">
        <f t="shared" ca="1" si="288"/>
        <v>23185</v>
      </c>
      <c r="L4513">
        <v>-22576</v>
      </c>
      <c r="M4513" s="7">
        <f t="shared" ca="1" si="286"/>
        <v>61.809719370294317</v>
      </c>
      <c r="N4513" s="5" t="str">
        <f ca="1">VLOOKUP(Data!M4513,temp!$B$3:$C$9,2,1)</f>
        <v>60-70</v>
      </c>
      <c r="O4513">
        <v>365243</v>
      </c>
      <c r="P4513" s="8">
        <f t="shared" si="287"/>
        <v>0</v>
      </c>
      <c r="Q4513" s="5" t="str">
        <f t="shared" si="289"/>
        <v>Unemployed</v>
      </c>
      <c r="R4513">
        <v>1</v>
      </c>
      <c r="S4513">
        <v>0</v>
      </c>
      <c r="T4513">
        <v>0</v>
      </c>
      <c r="U4513">
        <v>0</v>
      </c>
      <c r="W4513">
        <v>1</v>
      </c>
    </row>
    <row r="4514" spans="1:23" x14ac:dyDescent="0.2">
      <c r="A4514">
        <v>5149655</v>
      </c>
      <c r="B4514" t="s">
        <v>18</v>
      </c>
      <c r="C4514" t="s">
        <v>19</v>
      </c>
      <c r="D4514" t="s">
        <v>20</v>
      </c>
      <c r="E4514">
        <v>0</v>
      </c>
      <c r="F4514">
        <v>292500</v>
      </c>
      <c r="G4514" t="s">
        <v>21</v>
      </c>
      <c r="H4514" t="s">
        <v>27</v>
      </c>
      <c r="I4514" t="s">
        <v>33</v>
      </c>
      <c r="J4514" t="s">
        <v>24</v>
      </c>
      <c r="K4514" s="6">
        <f t="shared" ca="1" si="288"/>
        <v>23185</v>
      </c>
      <c r="L4514">
        <v>-22576</v>
      </c>
      <c r="M4514" s="7">
        <f t="shared" ca="1" si="286"/>
        <v>61.809719370294317</v>
      </c>
      <c r="N4514" s="5" t="str">
        <f ca="1">VLOOKUP(Data!M4514,temp!$B$3:$C$9,2,1)</f>
        <v>60-70</v>
      </c>
      <c r="O4514">
        <v>365243</v>
      </c>
      <c r="P4514" s="8">
        <f t="shared" si="287"/>
        <v>0</v>
      </c>
      <c r="Q4514" s="5" t="str">
        <f t="shared" si="289"/>
        <v>Unemployed</v>
      </c>
      <c r="R4514">
        <v>1</v>
      </c>
      <c r="S4514">
        <v>0</v>
      </c>
      <c r="T4514">
        <v>0</v>
      </c>
      <c r="U4514">
        <v>0</v>
      </c>
      <c r="W4514">
        <v>1</v>
      </c>
    </row>
    <row r="4515" spans="1:23" x14ac:dyDescent="0.2">
      <c r="A4515">
        <v>5149663</v>
      </c>
      <c r="B4515" t="s">
        <v>18</v>
      </c>
      <c r="C4515" t="s">
        <v>19</v>
      </c>
      <c r="D4515" t="s">
        <v>20</v>
      </c>
      <c r="E4515">
        <v>1</v>
      </c>
      <c r="F4515">
        <v>180000</v>
      </c>
      <c r="G4515" t="s">
        <v>26</v>
      </c>
      <c r="H4515" t="s">
        <v>27</v>
      </c>
      <c r="I4515" t="s">
        <v>37</v>
      </c>
      <c r="J4515" t="s">
        <v>24</v>
      </c>
      <c r="K4515" s="6">
        <f t="shared" ca="1" si="288"/>
        <v>33841</v>
      </c>
      <c r="L4515">
        <v>-11920</v>
      </c>
      <c r="M4515" s="7">
        <f t="shared" ca="1" si="286"/>
        <v>32.635181382614647</v>
      </c>
      <c r="N4515" s="5" t="str">
        <f ca="1">VLOOKUP(Data!M4515,temp!$B$3:$C$9,2,1)</f>
        <v>30-40</v>
      </c>
      <c r="O4515">
        <v>-2967</v>
      </c>
      <c r="P4515" s="8">
        <f t="shared" si="287"/>
        <v>8.1232032854209439</v>
      </c>
      <c r="Q4515" s="5" t="str">
        <f t="shared" si="289"/>
        <v>Employed</v>
      </c>
      <c r="R4515">
        <v>1</v>
      </c>
      <c r="S4515">
        <v>0</v>
      </c>
      <c r="T4515">
        <v>0</v>
      </c>
      <c r="U4515">
        <v>0</v>
      </c>
      <c r="V4515" t="s">
        <v>57</v>
      </c>
      <c r="W4515">
        <v>3</v>
      </c>
    </row>
    <row r="4516" spans="1:23" x14ac:dyDescent="0.2">
      <c r="A4516">
        <v>5149684</v>
      </c>
      <c r="B4516" t="s">
        <v>18</v>
      </c>
      <c r="C4516" t="s">
        <v>20</v>
      </c>
      <c r="D4516" t="s">
        <v>20</v>
      </c>
      <c r="E4516">
        <v>3</v>
      </c>
      <c r="F4516">
        <v>405000</v>
      </c>
      <c r="G4516" t="s">
        <v>31</v>
      </c>
      <c r="H4516" t="s">
        <v>27</v>
      </c>
      <c r="I4516" t="s">
        <v>28</v>
      </c>
      <c r="J4516" t="s">
        <v>24</v>
      </c>
      <c r="K4516" s="6">
        <f t="shared" ca="1" si="288"/>
        <v>31875</v>
      </c>
      <c r="L4516">
        <v>-13886</v>
      </c>
      <c r="M4516" s="7">
        <f t="shared" ca="1" si="286"/>
        <v>38.017796030116358</v>
      </c>
      <c r="N4516" s="5" t="str">
        <f ca="1">VLOOKUP(Data!M4516,temp!$B$3:$C$9,2,1)</f>
        <v>30-40</v>
      </c>
      <c r="O4516">
        <v>-4003</v>
      </c>
      <c r="P4516" s="8">
        <f t="shared" si="287"/>
        <v>10.959616700889802</v>
      </c>
      <c r="Q4516" s="5" t="str">
        <f t="shared" si="289"/>
        <v>Employed</v>
      </c>
      <c r="R4516">
        <v>1</v>
      </c>
      <c r="S4516">
        <v>0</v>
      </c>
      <c r="T4516">
        <v>0</v>
      </c>
      <c r="U4516">
        <v>0</v>
      </c>
      <c r="V4516" t="s">
        <v>44</v>
      </c>
      <c r="W4516">
        <v>5</v>
      </c>
    </row>
    <row r="4517" spans="1:23" x14ac:dyDescent="0.2">
      <c r="A4517">
        <v>5149693</v>
      </c>
      <c r="B4517" t="s">
        <v>18</v>
      </c>
      <c r="C4517" t="s">
        <v>19</v>
      </c>
      <c r="D4517" t="s">
        <v>19</v>
      </c>
      <c r="E4517">
        <v>0</v>
      </c>
      <c r="F4517">
        <v>157500</v>
      </c>
      <c r="G4517" t="s">
        <v>31</v>
      </c>
      <c r="H4517" t="s">
        <v>36</v>
      </c>
      <c r="I4517" t="s">
        <v>28</v>
      </c>
      <c r="J4517" t="s">
        <v>41</v>
      </c>
      <c r="K4517" s="6">
        <f t="shared" ca="1" si="288"/>
        <v>31818</v>
      </c>
      <c r="L4517">
        <v>-13943</v>
      </c>
      <c r="M4517" s="7">
        <f t="shared" ca="1" si="286"/>
        <v>38.173853524982889</v>
      </c>
      <c r="N4517" s="5" t="str">
        <f ca="1">VLOOKUP(Data!M4517,temp!$B$3:$C$9,2,1)</f>
        <v>30-40</v>
      </c>
      <c r="O4517">
        <v>-6407</v>
      </c>
      <c r="P4517" s="8">
        <f t="shared" si="287"/>
        <v>17.541409993155373</v>
      </c>
      <c r="Q4517" s="5" t="str">
        <f t="shared" si="289"/>
        <v>Employed</v>
      </c>
      <c r="R4517">
        <v>1</v>
      </c>
      <c r="S4517">
        <v>0</v>
      </c>
      <c r="T4517">
        <v>0</v>
      </c>
      <c r="U4517">
        <v>0</v>
      </c>
      <c r="V4517" t="s">
        <v>38</v>
      </c>
      <c r="W4517">
        <v>2</v>
      </c>
    </row>
    <row r="4518" spans="1:23" x14ac:dyDescent="0.2">
      <c r="A4518">
        <v>5149696</v>
      </c>
      <c r="B4518" t="s">
        <v>18</v>
      </c>
      <c r="C4518" t="s">
        <v>19</v>
      </c>
      <c r="D4518" t="s">
        <v>19</v>
      </c>
      <c r="E4518">
        <v>0</v>
      </c>
      <c r="F4518">
        <v>157500</v>
      </c>
      <c r="G4518" t="s">
        <v>31</v>
      </c>
      <c r="H4518" t="s">
        <v>36</v>
      </c>
      <c r="I4518" t="s">
        <v>28</v>
      </c>
      <c r="J4518" t="s">
        <v>41</v>
      </c>
      <c r="K4518" s="6">
        <f t="shared" ca="1" si="288"/>
        <v>31818</v>
      </c>
      <c r="L4518">
        <v>-13943</v>
      </c>
      <c r="M4518" s="7">
        <f t="shared" ca="1" si="286"/>
        <v>38.173853524982889</v>
      </c>
      <c r="N4518" s="5" t="str">
        <f ca="1">VLOOKUP(Data!M4518,temp!$B$3:$C$9,2,1)</f>
        <v>30-40</v>
      </c>
      <c r="O4518">
        <v>-6407</v>
      </c>
      <c r="P4518" s="8">
        <f t="shared" si="287"/>
        <v>17.541409993155373</v>
      </c>
      <c r="Q4518" s="5" t="str">
        <f t="shared" si="289"/>
        <v>Employed</v>
      </c>
      <c r="R4518">
        <v>1</v>
      </c>
      <c r="S4518">
        <v>0</v>
      </c>
      <c r="T4518">
        <v>0</v>
      </c>
      <c r="U4518">
        <v>0</v>
      </c>
      <c r="V4518" t="s">
        <v>38</v>
      </c>
      <c r="W4518">
        <v>2</v>
      </c>
    </row>
    <row r="4519" spans="1:23" x14ac:dyDescent="0.2">
      <c r="A4519">
        <v>5149701</v>
      </c>
      <c r="B4519" t="s">
        <v>18</v>
      </c>
      <c r="C4519" t="s">
        <v>19</v>
      </c>
      <c r="D4519" t="s">
        <v>20</v>
      </c>
      <c r="E4519">
        <v>2</v>
      </c>
      <c r="F4519">
        <v>112500</v>
      </c>
      <c r="G4519" t="s">
        <v>31</v>
      </c>
      <c r="H4519" t="s">
        <v>27</v>
      </c>
      <c r="I4519" t="s">
        <v>28</v>
      </c>
      <c r="J4519" t="s">
        <v>24</v>
      </c>
      <c r="K4519" s="6">
        <f t="shared" ca="1" si="288"/>
        <v>33434</v>
      </c>
      <c r="L4519">
        <v>-12327</v>
      </c>
      <c r="M4519" s="7">
        <f t="shared" ca="1" si="286"/>
        <v>33.74948665297741</v>
      </c>
      <c r="N4519" s="5" t="str">
        <f ca="1">VLOOKUP(Data!M4519,temp!$B$3:$C$9,2,1)</f>
        <v>30-40</v>
      </c>
      <c r="O4519">
        <v>-1112</v>
      </c>
      <c r="P4519" s="8">
        <f t="shared" si="287"/>
        <v>3.0444900752908968</v>
      </c>
      <c r="Q4519" s="5" t="str">
        <f t="shared" si="289"/>
        <v>Employed</v>
      </c>
      <c r="R4519">
        <v>1</v>
      </c>
      <c r="S4519">
        <v>0</v>
      </c>
      <c r="T4519">
        <v>0</v>
      </c>
      <c r="U4519">
        <v>1</v>
      </c>
      <c r="V4519" t="s">
        <v>39</v>
      </c>
      <c r="W4519">
        <v>4</v>
      </c>
    </row>
    <row r="4520" spans="1:23" x14ac:dyDescent="0.2">
      <c r="A4520">
        <v>5149718</v>
      </c>
      <c r="B4520" t="s">
        <v>18</v>
      </c>
      <c r="C4520" t="s">
        <v>19</v>
      </c>
      <c r="D4520" t="s">
        <v>20</v>
      </c>
      <c r="E4520">
        <v>0</v>
      </c>
      <c r="F4520">
        <v>180000</v>
      </c>
      <c r="G4520" t="s">
        <v>26</v>
      </c>
      <c r="H4520" t="s">
        <v>27</v>
      </c>
      <c r="I4520" t="s">
        <v>28</v>
      </c>
      <c r="J4520" t="s">
        <v>24</v>
      </c>
      <c r="K4520" s="6">
        <f t="shared" ca="1" si="288"/>
        <v>35189</v>
      </c>
      <c r="L4520">
        <v>-10572</v>
      </c>
      <c r="M4520" s="7">
        <f t="shared" ca="1" si="286"/>
        <v>28.944558521560573</v>
      </c>
      <c r="N4520" s="5" t="str">
        <f ca="1">VLOOKUP(Data!M4520,temp!$B$3:$C$9,2,1)</f>
        <v>20-30</v>
      </c>
      <c r="O4520">
        <v>-137</v>
      </c>
      <c r="P4520" s="8">
        <f t="shared" si="287"/>
        <v>0.3750855578370979</v>
      </c>
      <c r="Q4520" s="5" t="str">
        <f t="shared" si="289"/>
        <v>Employed</v>
      </c>
      <c r="R4520">
        <v>1</v>
      </c>
      <c r="S4520">
        <v>0</v>
      </c>
      <c r="T4520">
        <v>0</v>
      </c>
      <c r="U4520">
        <v>0</v>
      </c>
      <c r="W4520">
        <v>2</v>
      </c>
    </row>
    <row r="4521" spans="1:23" x14ac:dyDescent="0.2">
      <c r="A4521">
        <v>5149722</v>
      </c>
      <c r="B4521" t="s">
        <v>18</v>
      </c>
      <c r="C4521" t="s">
        <v>19</v>
      </c>
      <c r="D4521" t="s">
        <v>20</v>
      </c>
      <c r="E4521">
        <v>0</v>
      </c>
      <c r="F4521">
        <v>180000</v>
      </c>
      <c r="G4521" t="s">
        <v>26</v>
      </c>
      <c r="H4521" t="s">
        <v>27</v>
      </c>
      <c r="I4521" t="s">
        <v>28</v>
      </c>
      <c r="J4521" t="s">
        <v>24</v>
      </c>
      <c r="K4521" s="6">
        <f t="shared" ca="1" si="288"/>
        <v>35189</v>
      </c>
      <c r="L4521">
        <v>-10572</v>
      </c>
      <c r="M4521" s="7">
        <f t="shared" ca="1" si="286"/>
        <v>28.944558521560573</v>
      </c>
      <c r="N4521" s="5" t="str">
        <f ca="1">VLOOKUP(Data!M4521,temp!$B$3:$C$9,2,1)</f>
        <v>20-30</v>
      </c>
      <c r="O4521">
        <v>-137</v>
      </c>
      <c r="P4521" s="8">
        <f t="shared" si="287"/>
        <v>0.3750855578370979</v>
      </c>
      <c r="Q4521" s="5" t="str">
        <f t="shared" si="289"/>
        <v>Employed</v>
      </c>
      <c r="R4521">
        <v>1</v>
      </c>
      <c r="S4521">
        <v>0</v>
      </c>
      <c r="T4521">
        <v>0</v>
      </c>
      <c r="U4521">
        <v>0</v>
      </c>
      <c r="W4521">
        <v>2</v>
      </c>
    </row>
    <row r="4522" spans="1:23" x14ac:dyDescent="0.2">
      <c r="A4522">
        <v>5149729</v>
      </c>
      <c r="B4522" t="s">
        <v>25</v>
      </c>
      <c r="C4522" t="s">
        <v>20</v>
      </c>
      <c r="D4522" t="s">
        <v>20</v>
      </c>
      <c r="E4522">
        <v>0</v>
      </c>
      <c r="F4522">
        <v>90000</v>
      </c>
      <c r="G4522" t="s">
        <v>31</v>
      </c>
      <c r="H4522" t="s">
        <v>27</v>
      </c>
      <c r="I4522" t="s">
        <v>28</v>
      </c>
      <c r="J4522" t="s">
        <v>24</v>
      </c>
      <c r="K4522" s="6">
        <f t="shared" ca="1" si="288"/>
        <v>26660</v>
      </c>
      <c r="L4522">
        <v>-19101</v>
      </c>
      <c r="M4522" s="7">
        <f t="shared" ca="1" si="286"/>
        <v>52.295687885010267</v>
      </c>
      <c r="N4522" s="5" t="str">
        <f ca="1">VLOOKUP(Data!M4522,temp!$B$3:$C$9,2,1)</f>
        <v>50-60</v>
      </c>
      <c r="O4522">
        <v>-1721</v>
      </c>
      <c r="P4522" s="8">
        <f t="shared" si="287"/>
        <v>4.7118412046543465</v>
      </c>
      <c r="Q4522" s="5" t="str">
        <f t="shared" si="289"/>
        <v>Employed</v>
      </c>
      <c r="R4522">
        <v>1</v>
      </c>
      <c r="S4522">
        <v>0</v>
      </c>
      <c r="T4522">
        <v>0</v>
      </c>
      <c r="U4522">
        <v>0</v>
      </c>
      <c r="W4522">
        <v>2</v>
      </c>
    </row>
    <row r="4523" spans="1:23" x14ac:dyDescent="0.2">
      <c r="A4523">
        <v>5149738</v>
      </c>
      <c r="B4523" t="s">
        <v>18</v>
      </c>
      <c r="C4523" t="s">
        <v>20</v>
      </c>
      <c r="D4523" t="s">
        <v>20</v>
      </c>
      <c r="E4523">
        <v>0</v>
      </c>
      <c r="F4523">
        <v>238500</v>
      </c>
      <c r="G4523" t="s">
        <v>31</v>
      </c>
      <c r="H4523" t="s">
        <v>27</v>
      </c>
      <c r="I4523" t="s">
        <v>28</v>
      </c>
      <c r="J4523" t="s">
        <v>34</v>
      </c>
      <c r="K4523" s="6">
        <f t="shared" ca="1" si="288"/>
        <v>30338</v>
      </c>
      <c r="L4523">
        <v>-15423</v>
      </c>
      <c r="M4523" s="7">
        <f t="shared" ca="1" si="286"/>
        <v>42.225872689938399</v>
      </c>
      <c r="N4523" s="5" t="str">
        <f ca="1">VLOOKUP(Data!M4523,temp!$B$3:$C$9,2,1)</f>
        <v>40-50</v>
      </c>
      <c r="O4523">
        <v>-4003</v>
      </c>
      <c r="P4523" s="8">
        <f t="shared" si="287"/>
        <v>10.959616700889802</v>
      </c>
      <c r="Q4523" s="5" t="str">
        <f t="shared" si="289"/>
        <v>Employed</v>
      </c>
      <c r="R4523">
        <v>1</v>
      </c>
      <c r="S4523">
        <v>0</v>
      </c>
      <c r="T4523">
        <v>0</v>
      </c>
      <c r="U4523">
        <v>0</v>
      </c>
      <c r="V4523" t="s">
        <v>29</v>
      </c>
      <c r="W4523">
        <v>2</v>
      </c>
    </row>
    <row r="4524" spans="1:23" x14ac:dyDescent="0.2">
      <c r="A4524">
        <v>5149741</v>
      </c>
      <c r="B4524" t="s">
        <v>18</v>
      </c>
      <c r="C4524" t="s">
        <v>20</v>
      </c>
      <c r="D4524" t="s">
        <v>20</v>
      </c>
      <c r="E4524">
        <v>0</v>
      </c>
      <c r="F4524">
        <v>238500</v>
      </c>
      <c r="G4524" t="s">
        <v>31</v>
      </c>
      <c r="H4524" t="s">
        <v>27</v>
      </c>
      <c r="I4524" t="s">
        <v>28</v>
      </c>
      <c r="J4524" t="s">
        <v>34</v>
      </c>
      <c r="K4524" s="6">
        <f t="shared" ca="1" si="288"/>
        <v>30338</v>
      </c>
      <c r="L4524">
        <v>-15423</v>
      </c>
      <c r="M4524" s="7">
        <f t="shared" ca="1" si="286"/>
        <v>42.225872689938399</v>
      </c>
      <c r="N4524" s="5" t="str">
        <f ca="1">VLOOKUP(Data!M4524,temp!$B$3:$C$9,2,1)</f>
        <v>40-50</v>
      </c>
      <c r="O4524">
        <v>-4003</v>
      </c>
      <c r="P4524" s="8">
        <f t="shared" si="287"/>
        <v>10.959616700889802</v>
      </c>
      <c r="Q4524" s="5" t="str">
        <f t="shared" si="289"/>
        <v>Employed</v>
      </c>
      <c r="R4524">
        <v>1</v>
      </c>
      <c r="S4524">
        <v>0</v>
      </c>
      <c r="T4524">
        <v>0</v>
      </c>
      <c r="U4524">
        <v>0</v>
      </c>
      <c r="V4524" t="s">
        <v>29</v>
      </c>
      <c r="W4524">
        <v>2</v>
      </c>
    </row>
    <row r="4525" spans="1:23" x14ac:dyDescent="0.2">
      <c r="A4525">
        <v>5149749</v>
      </c>
      <c r="B4525" t="s">
        <v>18</v>
      </c>
      <c r="C4525" t="s">
        <v>19</v>
      </c>
      <c r="D4525" t="s">
        <v>20</v>
      </c>
      <c r="E4525">
        <v>1</v>
      </c>
      <c r="F4525">
        <v>180000</v>
      </c>
      <c r="G4525" t="s">
        <v>35</v>
      </c>
      <c r="H4525" t="s">
        <v>27</v>
      </c>
      <c r="I4525" t="s">
        <v>33</v>
      </c>
      <c r="J4525" t="s">
        <v>24</v>
      </c>
      <c r="K4525" s="6">
        <f t="shared" ca="1" si="288"/>
        <v>32294</v>
      </c>
      <c r="L4525">
        <v>-13467</v>
      </c>
      <c r="M4525" s="7">
        <f t="shared" ca="1" si="286"/>
        <v>36.870636550308006</v>
      </c>
      <c r="N4525" s="5" t="str">
        <f ca="1">VLOOKUP(Data!M4525,temp!$B$3:$C$9,2,1)</f>
        <v>30-40</v>
      </c>
      <c r="O4525">
        <v>-3850</v>
      </c>
      <c r="P4525" s="8">
        <f t="shared" si="287"/>
        <v>10.540725530458589</v>
      </c>
      <c r="Q4525" s="5" t="str">
        <f t="shared" si="289"/>
        <v>Employed</v>
      </c>
      <c r="R4525">
        <v>1</v>
      </c>
      <c r="S4525">
        <v>0</v>
      </c>
      <c r="T4525">
        <v>1</v>
      </c>
      <c r="U4525">
        <v>0</v>
      </c>
      <c r="V4525" t="s">
        <v>50</v>
      </c>
      <c r="W4525">
        <v>2</v>
      </c>
    </row>
    <row r="4526" spans="1:23" x14ac:dyDescent="0.2">
      <c r="A4526">
        <v>5149754</v>
      </c>
      <c r="B4526" t="s">
        <v>18</v>
      </c>
      <c r="C4526" t="s">
        <v>19</v>
      </c>
      <c r="D4526" t="s">
        <v>20</v>
      </c>
      <c r="E4526">
        <v>1</v>
      </c>
      <c r="F4526">
        <v>180000</v>
      </c>
      <c r="G4526" t="s">
        <v>35</v>
      </c>
      <c r="H4526" t="s">
        <v>27</v>
      </c>
      <c r="I4526" t="s">
        <v>33</v>
      </c>
      <c r="J4526" t="s">
        <v>24</v>
      </c>
      <c r="K4526" s="6">
        <f t="shared" ca="1" si="288"/>
        <v>32294</v>
      </c>
      <c r="L4526">
        <v>-13467</v>
      </c>
      <c r="M4526" s="7">
        <f t="shared" ca="1" si="286"/>
        <v>36.870636550308006</v>
      </c>
      <c r="N4526" s="5" t="str">
        <f ca="1">VLOOKUP(Data!M4526,temp!$B$3:$C$9,2,1)</f>
        <v>30-40</v>
      </c>
      <c r="O4526">
        <v>-3850</v>
      </c>
      <c r="P4526" s="8">
        <f t="shared" si="287"/>
        <v>10.540725530458589</v>
      </c>
      <c r="Q4526" s="5" t="str">
        <f t="shared" si="289"/>
        <v>Employed</v>
      </c>
      <c r="R4526">
        <v>1</v>
      </c>
      <c r="S4526">
        <v>0</v>
      </c>
      <c r="T4526">
        <v>1</v>
      </c>
      <c r="U4526">
        <v>0</v>
      </c>
      <c r="V4526" t="s">
        <v>50</v>
      </c>
      <c r="W4526">
        <v>2</v>
      </c>
    </row>
    <row r="4527" spans="1:23" x14ac:dyDescent="0.2">
      <c r="A4527">
        <v>5149770</v>
      </c>
      <c r="B4527" t="s">
        <v>18</v>
      </c>
      <c r="C4527" t="s">
        <v>20</v>
      </c>
      <c r="D4527" t="s">
        <v>20</v>
      </c>
      <c r="E4527">
        <v>0</v>
      </c>
      <c r="F4527">
        <v>130500</v>
      </c>
      <c r="G4527" t="s">
        <v>31</v>
      </c>
      <c r="H4527" t="s">
        <v>27</v>
      </c>
      <c r="I4527" t="s">
        <v>28</v>
      </c>
      <c r="J4527" t="s">
        <v>24</v>
      </c>
      <c r="K4527" s="6">
        <f t="shared" ca="1" si="288"/>
        <v>29624</v>
      </c>
      <c r="L4527">
        <v>-16137</v>
      </c>
      <c r="M4527" s="7">
        <f t="shared" ca="1" si="286"/>
        <v>44.180698151950722</v>
      </c>
      <c r="N4527" s="5" t="str">
        <f ca="1">VLOOKUP(Data!M4527,temp!$B$3:$C$9,2,1)</f>
        <v>40-50</v>
      </c>
      <c r="O4527">
        <v>-9391</v>
      </c>
      <c r="P4527" s="8">
        <f t="shared" si="287"/>
        <v>25.711156741957563</v>
      </c>
      <c r="Q4527" s="5" t="str">
        <f t="shared" si="289"/>
        <v>Employed</v>
      </c>
      <c r="R4527">
        <v>1</v>
      </c>
      <c r="S4527">
        <v>0</v>
      </c>
      <c r="T4527">
        <v>1</v>
      </c>
      <c r="U4527">
        <v>0</v>
      </c>
      <c r="V4527" t="s">
        <v>29</v>
      </c>
      <c r="W4527">
        <v>2</v>
      </c>
    </row>
    <row r="4528" spans="1:23" x14ac:dyDescent="0.2">
      <c r="A4528">
        <v>5149773</v>
      </c>
      <c r="B4528" t="s">
        <v>18</v>
      </c>
      <c r="C4528" t="s">
        <v>20</v>
      </c>
      <c r="D4528" t="s">
        <v>20</v>
      </c>
      <c r="E4528">
        <v>0</v>
      </c>
      <c r="F4528">
        <v>130500</v>
      </c>
      <c r="G4528" t="s">
        <v>31</v>
      </c>
      <c r="H4528" t="s">
        <v>27</v>
      </c>
      <c r="I4528" t="s">
        <v>28</v>
      </c>
      <c r="J4528" t="s">
        <v>24</v>
      </c>
      <c r="K4528" s="6">
        <f t="shared" ca="1" si="288"/>
        <v>29624</v>
      </c>
      <c r="L4528">
        <v>-16137</v>
      </c>
      <c r="M4528" s="7">
        <f t="shared" ca="1" si="286"/>
        <v>44.180698151950722</v>
      </c>
      <c r="N4528" s="5" t="str">
        <f ca="1">VLOOKUP(Data!M4528,temp!$B$3:$C$9,2,1)</f>
        <v>40-50</v>
      </c>
      <c r="O4528">
        <v>-9391</v>
      </c>
      <c r="P4528" s="8">
        <f t="shared" si="287"/>
        <v>25.711156741957563</v>
      </c>
      <c r="Q4528" s="5" t="str">
        <f t="shared" si="289"/>
        <v>Employed</v>
      </c>
      <c r="R4528">
        <v>1</v>
      </c>
      <c r="S4528">
        <v>0</v>
      </c>
      <c r="T4528">
        <v>1</v>
      </c>
      <c r="U4528">
        <v>0</v>
      </c>
      <c r="V4528" t="s">
        <v>29</v>
      </c>
      <c r="W4528">
        <v>2</v>
      </c>
    </row>
    <row r="4529" spans="1:23" x14ac:dyDescent="0.2">
      <c r="A4529">
        <v>5149799</v>
      </c>
      <c r="B4529" t="s">
        <v>18</v>
      </c>
      <c r="C4529" t="s">
        <v>19</v>
      </c>
      <c r="D4529" t="s">
        <v>20</v>
      </c>
      <c r="E4529">
        <v>0</v>
      </c>
      <c r="F4529">
        <v>126000</v>
      </c>
      <c r="G4529" t="s">
        <v>26</v>
      </c>
      <c r="H4529" t="s">
        <v>27</v>
      </c>
      <c r="I4529" t="s">
        <v>37</v>
      </c>
      <c r="J4529" t="s">
        <v>45</v>
      </c>
      <c r="K4529" s="6">
        <f t="shared" ca="1" si="288"/>
        <v>35343</v>
      </c>
      <c r="L4529">
        <v>-10418</v>
      </c>
      <c r="M4529" s="7">
        <f t="shared" ca="1" si="286"/>
        <v>28.522929500342233</v>
      </c>
      <c r="N4529" s="5" t="str">
        <f ca="1">VLOOKUP(Data!M4529,temp!$B$3:$C$9,2,1)</f>
        <v>20-30</v>
      </c>
      <c r="O4529">
        <v>-2024</v>
      </c>
      <c r="P4529" s="8">
        <f t="shared" si="287"/>
        <v>5.5414099931553729</v>
      </c>
      <c r="Q4529" s="5" t="str">
        <f t="shared" si="289"/>
        <v>Employed</v>
      </c>
      <c r="R4529">
        <v>1</v>
      </c>
      <c r="S4529">
        <v>1</v>
      </c>
      <c r="T4529">
        <v>1</v>
      </c>
      <c r="U4529">
        <v>0</v>
      </c>
      <c r="V4529" t="s">
        <v>29</v>
      </c>
      <c r="W4529">
        <v>2</v>
      </c>
    </row>
    <row r="4530" spans="1:23" x14ac:dyDescent="0.2">
      <c r="A4530">
        <v>5149808</v>
      </c>
      <c r="B4530" t="s">
        <v>18</v>
      </c>
      <c r="C4530" t="s">
        <v>19</v>
      </c>
      <c r="D4530" t="s">
        <v>20</v>
      </c>
      <c r="E4530">
        <v>0</v>
      </c>
      <c r="F4530">
        <v>135000</v>
      </c>
      <c r="G4530" t="s">
        <v>35</v>
      </c>
      <c r="H4530" t="s">
        <v>36</v>
      </c>
      <c r="I4530" t="s">
        <v>33</v>
      </c>
      <c r="J4530" t="s">
        <v>41</v>
      </c>
      <c r="K4530" s="6">
        <f t="shared" ca="1" si="288"/>
        <v>35888</v>
      </c>
      <c r="L4530">
        <v>-9873</v>
      </c>
      <c r="M4530" s="7">
        <f t="shared" ca="1" si="286"/>
        <v>27.030800821355236</v>
      </c>
      <c r="N4530" s="5" t="str">
        <f ca="1">VLOOKUP(Data!M4530,temp!$B$3:$C$9,2,1)</f>
        <v>20-30</v>
      </c>
      <c r="O4530">
        <v>-2086</v>
      </c>
      <c r="P4530" s="8">
        <f t="shared" si="287"/>
        <v>5.7111567419575637</v>
      </c>
      <c r="Q4530" s="5" t="str">
        <f t="shared" si="289"/>
        <v>Employed</v>
      </c>
      <c r="R4530">
        <v>1</v>
      </c>
      <c r="S4530">
        <v>0</v>
      </c>
      <c r="T4530">
        <v>1</v>
      </c>
      <c r="U4530">
        <v>1</v>
      </c>
      <c r="W4530">
        <v>1</v>
      </c>
    </row>
    <row r="4531" spans="1:23" x14ac:dyDescent="0.2">
      <c r="A4531">
        <v>5149814</v>
      </c>
      <c r="B4531" t="s">
        <v>18</v>
      </c>
      <c r="C4531" t="s">
        <v>19</v>
      </c>
      <c r="D4531" t="s">
        <v>20</v>
      </c>
      <c r="E4531">
        <v>0</v>
      </c>
      <c r="F4531">
        <v>180000</v>
      </c>
      <c r="G4531" t="s">
        <v>31</v>
      </c>
      <c r="H4531" t="s">
        <v>27</v>
      </c>
      <c r="I4531" t="s">
        <v>28</v>
      </c>
      <c r="J4531" t="s">
        <v>24</v>
      </c>
      <c r="K4531" s="6">
        <f t="shared" ca="1" si="288"/>
        <v>25788</v>
      </c>
      <c r="L4531">
        <v>-19973</v>
      </c>
      <c r="M4531" s="7">
        <f t="shared" ca="1" si="286"/>
        <v>54.683093771389458</v>
      </c>
      <c r="N4531" s="5" t="str">
        <f ca="1">VLOOKUP(Data!M4531,temp!$B$3:$C$9,2,1)</f>
        <v>50-60</v>
      </c>
      <c r="O4531">
        <v>-5311</v>
      </c>
      <c r="P4531" s="8">
        <f t="shared" si="287"/>
        <v>14.540725530458589</v>
      </c>
      <c r="Q4531" s="5" t="str">
        <f t="shared" si="289"/>
        <v>Employed</v>
      </c>
      <c r="R4531">
        <v>1</v>
      </c>
      <c r="S4531">
        <v>0</v>
      </c>
      <c r="T4531">
        <v>0</v>
      </c>
      <c r="U4531">
        <v>0</v>
      </c>
      <c r="V4531" t="s">
        <v>39</v>
      </c>
      <c r="W4531">
        <v>2</v>
      </c>
    </row>
    <row r="4532" spans="1:23" x14ac:dyDescent="0.2">
      <c r="A4532">
        <v>5149828</v>
      </c>
      <c r="B4532" t="s">
        <v>25</v>
      </c>
      <c r="C4532" t="s">
        <v>20</v>
      </c>
      <c r="D4532" t="s">
        <v>20</v>
      </c>
      <c r="E4532">
        <v>0</v>
      </c>
      <c r="F4532">
        <v>315000</v>
      </c>
      <c r="G4532" t="s">
        <v>31</v>
      </c>
      <c r="H4532" t="s">
        <v>27</v>
      </c>
      <c r="I4532" t="s">
        <v>28</v>
      </c>
      <c r="J4532" t="s">
        <v>24</v>
      </c>
      <c r="K4532" s="6">
        <f t="shared" ca="1" si="288"/>
        <v>28413</v>
      </c>
      <c r="L4532">
        <v>-17348</v>
      </c>
      <c r="M4532" s="7">
        <f t="shared" ca="1" si="286"/>
        <v>47.496235455167692</v>
      </c>
      <c r="N4532" s="5" t="str">
        <f ca="1">VLOOKUP(Data!M4532,temp!$B$3:$C$9,2,1)</f>
        <v>40-50</v>
      </c>
      <c r="O4532">
        <v>-2420</v>
      </c>
      <c r="P4532" s="8">
        <f t="shared" si="287"/>
        <v>6.6255989048596851</v>
      </c>
      <c r="Q4532" s="5" t="str">
        <f t="shared" si="289"/>
        <v>Employed</v>
      </c>
      <c r="R4532">
        <v>1</v>
      </c>
      <c r="S4532">
        <v>0</v>
      </c>
      <c r="T4532">
        <v>0</v>
      </c>
      <c r="U4532">
        <v>0</v>
      </c>
      <c r="V4532" t="s">
        <v>32</v>
      </c>
      <c r="W4532">
        <v>2</v>
      </c>
    </row>
    <row r="4533" spans="1:23" x14ac:dyDescent="0.2">
      <c r="A4533">
        <v>5149834</v>
      </c>
      <c r="B4533" t="s">
        <v>18</v>
      </c>
      <c r="C4533" t="s">
        <v>19</v>
      </c>
      <c r="D4533" t="s">
        <v>20</v>
      </c>
      <c r="E4533">
        <v>0</v>
      </c>
      <c r="F4533">
        <v>157500</v>
      </c>
      <c r="G4533" t="s">
        <v>26</v>
      </c>
      <c r="H4533" t="s">
        <v>22</v>
      </c>
      <c r="I4533" t="s">
        <v>28</v>
      </c>
      <c r="J4533" t="s">
        <v>24</v>
      </c>
      <c r="K4533" s="6">
        <f t="shared" ca="1" si="288"/>
        <v>33374</v>
      </c>
      <c r="L4533">
        <v>-12387</v>
      </c>
      <c r="M4533" s="7">
        <f t="shared" ca="1" si="286"/>
        <v>33.913757700205338</v>
      </c>
      <c r="N4533" s="5" t="str">
        <f ca="1">VLOOKUP(Data!M4533,temp!$B$3:$C$9,2,1)</f>
        <v>30-40</v>
      </c>
      <c r="O4533">
        <v>-1325</v>
      </c>
      <c r="P4533" s="8">
        <f t="shared" si="287"/>
        <v>3.6276522929500343</v>
      </c>
      <c r="Q4533" s="5" t="str">
        <f t="shared" si="289"/>
        <v>Employed</v>
      </c>
      <c r="R4533">
        <v>1</v>
      </c>
      <c r="S4533">
        <v>0</v>
      </c>
      <c r="T4533">
        <v>1</v>
      </c>
      <c r="U4533">
        <v>1</v>
      </c>
      <c r="V4533" t="s">
        <v>50</v>
      </c>
      <c r="W4533">
        <v>2</v>
      </c>
    </row>
    <row r="4534" spans="1:23" x14ac:dyDescent="0.2">
      <c r="A4534">
        <v>5149836</v>
      </c>
      <c r="B4534" t="s">
        <v>18</v>
      </c>
      <c r="C4534" t="s">
        <v>19</v>
      </c>
      <c r="D4534" t="s">
        <v>20</v>
      </c>
      <c r="E4534">
        <v>0</v>
      </c>
      <c r="F4534">
        <v>157500</v>
      </c>
      <c r="G4534" t="s">
        <v>26</v>
      </c>
      <c r="H4534" t="s">
        <v>22</v>
      </c>
      <c r="I4534" t="s">
        <v>28</v>
      </c>
      <c r="J4534" t="s">
        <v>24</v>
      </c>
      <c r="K4534" s="6">
        <f t="shared" ca="1" si="288"/>
        <v>33374</v>
      </c>
      <c r="L4534">
        <v>-12387</v>
      </c>
      <c r="M4534" s="7">
        <f t="shared" ca="1" si="286"/>
        <v>33.913757700205338</v>
      </c>
      <c r="N4534" s="5" t="str">
        <f ca="1">VLOOKUP(Data!M4534,temp!$B$3:$C$9,2,1)</f>
        <v>30-40</v>
      </c>
      <c r="O4534">
        <v>-1325</v>
      </c>
      <c r="P4534" s="8">
        <f t="shared" si="287"/>
        <v>3.6276522929500343</v>
      </c>
      <c r="Q4534" s="5" t="str">
        <f t="shared" si="289"/>
        <v>Employed</v>
      </c>
      <c r="R4534">
        <v>1</v>
      </c>
      <c r="S4534">
        <v>0</v>
      </c>
      <c r="T4534">
        <v>1</v>
      </c>
      <c r="U4534">
        <v>1</v>
      </c>
      <c r="V4534" t="s">
        <v>50</v>
      </c>
      <c r="W4534">
        <v>2</v>
      </c>
    </row>
    <row r="4535" spans="1:23" x14ac:dyDescent="0.2">
      <c r="A4535">
        <v>5149847</v>
      </c>
      <c r="B4535" t="s">
        <v>25</v>
      </c>
      <c r="C4535" t="s">
        <v>20</v>
      </c>
      <c r="D4535" t="s">
        <v>20</v>
      </c>
      <c r="E4535">
        <v>1</v>
      </c>
      <c r="F4535">
        <v>360000</v>
      </c>
      <c r="G4535" t="s">
        <v>31</v>
      </c>
      <c r="H4535" t="s">
        <v>22</v>
      </c>
      <c r="I4535" t="s">
        <v>28</v>
      </c>
      <c r="J4535" t="s">
        <v>24</v>
      </c>
      <c r="K4535" s="6">
        <f t="shared" ca="1" si="288"/>
        <v>29511</v>
      </c>
      <c r="L4535">
        <v>-16250</v>
      </c>
      <c r="M4535" s="7">
        <f t="shared" ca="1" si="286"/>
        <v>44.490075290896648</v>
      </c>
      <c r="N4535" s="5" t="str">
        <f ca="1">VLOOKUP(Data!M4535,temp!$B$3:$C$9,2,1)</f>
        <v>40-50</v>
      </c>
      <c r="O4535">
        <v>-747</v>
      </c>
      <c r="P4535" s="8">
        <f t="shared" si="287"/>
        <v>2.0451745379876796</v>
      </c>
      <c r="Q4535" s="5" t="str">
        <f t="shared" si="289"/>
        <v>Employed</v>
      </c>
      <c r="R4535">
        <v>1</v>
      </c>
      <c r="S4535">
        <v>0</v>
      </c>
      <c r="T4535">
        <v>0</v>
      </c>
      <c r="U4535">
        <v>0</v>
      </c>
      <c r="V4535" t="s">
        <v>32</v>
      </c>
      <c r="W4535">
        <v>3</v>
      </c>
    </row>
    <row r="4536" spans="1:23" x14ac:dyDescent="0.2">
      <c r="A4536">
        <v>5149852</v>
      </c>
      <c r="B4536" t="s">
        <v>25</v>
      </c>
      <c r="C4536" t="s">
        <v>20</v>
      </c>
      <c r="D4536" t="s">
        <v>20</v>
      </c>
      <c r="E4536">
        <v>2</v>
      </c>
      <c r="F4536">
        <v>225000</v>
      </c>
      <c r="G4536" t="s">
        <v>31</v>
      </c>
      <c r="H4536" t="s">
        <v>27</v>
      </c>
      <c r="I4536" t="s">
        <v>28</v>
      </c>
      <c r="J4536" t="s">
        <v>24</v>
      </c>
      <c r="K4536" s="6">
        <f t="shared" ca="1" si="288"/>
        <v>30838</v>
      </c>
      <c r="L4536">
        <v>-14923</v>
      </c>
      <c r="M4536" s="7">
        <f t="shared" ca="1" si="286"/>
        <v>40.856947296372347</v>
      </c>
      <c r="N4536" s="5" t="str">
        <f ca="1">VLOOKUP(Data!M4536,temp!$B$3:$C$9,2,1)</f>
        <v>40-50</v>
      </c>
      <c r="O4536">
        <v>-5434</v>
      </c>
      <c r="P4536" s="8">
        <f t="shared" si="287"/>
        <v>14.877481177275838</v>
      </c>
      <c r="Q4536" s="5" t="str">
        <f t="shared" si="289"/>
        <v>Employed</v>
      </c>
      <c r="R4536">
        <v>1</v>
      </c>
      <c r="S4536">
        <v>1</v>
      </c>
      <c r="T4536">
        <v>1</v>
      </c>
      <c r="U4536">
        <v>0</v>
      </c>
      <c r="W4536">
        <v>4</v>
      </c>
    </row>
    <row r="4537" spans="1:23" x14ac:dyDescent="0.2">
      <c r="A4537">
        <v>5149859</v>
      </c>
      <c r="B4537" t="s">
        <v>18</v>
      </c>
      <c r="C4537" t="s">
        <v>19</v>
      </c>
      <c r="D4537" t="s">
        <v>20</v>
      </c>
      <c r="E4537">
        <v>2</v>
      </c>
      <c r="F4537">
        <v>90000</v>
      </c>
      <c r="G4537" t="s">
        <v>35</v>
      </c>
      <c r="H4537" t="s">
        <v>27</v>
      </c>
      <c r="I4537" t="s">
        <v>28</v>
      </c>
      <c r="J4537" t="s">
        <v>41</v>
      </c>
      <c r="K4537" s="6">
        <f t="shared" ca="1" si="288"/>
        <v>32772</v>
      </c>
      <c r="L4537">
        <v>-12989</v>
      </c>
      <c r="M4537" s="7">
        <f t="shared" ca="1" si="286"/>
        <v>35.561943874058862</v>
      </c>
      <c r="N4537" s="5" t="str">
        <f ca="1">VLOOKUP(Data!M4537,temp!$B$3:$C$9,2,1)</f>
        <v>30-40</v>
      </c>
      <c r="O4537">
        <v>-6195</v>
      </c>
      <c r="P4537" s="8">
        <f t="shared" si="287"/>
        <v>16.960985626283367</v>
      </c>
      <c r="Q4537" s="5" t="str">
        <f t="shared" si="289"/>
        <v>Employed</v>
      </c>
      <c r="R4537">
        <v>1</v>
      </c>
      <c r="S4537">
        <v>0</v>
      </c>
      <c r="T4537">
        <v>0</v>
      </c>
      <c r="U4537">
        <v>0</v>
      </c>
      <c r="V4537" t="s">
        <v>30</v>
      </c>
      <c r="W4537">
        <v>4</v>
      </c>
    </row>
    <row r="4538" spans="1:23" x14ac:dyDescent="0.2">
      <c r="A4538">
        <v>5149866</v>
      </c>
      <c r="B4538" t="s">
        <v>18</v>
      </c>
      <c r="C4538" t="s">
        <v>19</v>
      </c>
      <c r="D4538" t="s">
        <v>20</v>
      </c>
      <c r="E4538">
        <v>2</v>
      </c>
      <c r="F4538">
        <v>157500</v>
      </c>
      <c r="G4538" t="s">
        <v>31</v>
      </c>
      <c r="H4538" t="s">
        <v>27</v>
      </c>
      <c r="I4538" t="s">
        <v>23</v>
      </c>
      <c r="J4538" t="s">
        <v>24</v>
      </c>
      <c r="K4538" s="6">
        <f t="shared" ca="1" si="288"/>
        <v>32045</v>
      </c>
      <c r="L4538">
        <v>-13716</v>
      </c>
      <c r="M4538" s="7">
        <f t="shared" ca="1" si="286"/>
        <v>37.552361396303901</v>
      </c>
      <c r="N4538" s="5" t="str">
        <f ca="1">VLOOKUP(Data!M4538,temp!$B$3:$C$9,2,1)</f>
        <v>30-40</v>
      </c>
      <c r="O4538">
        <v>-1325</v>
      </c>
      <c r="P4538" s="8">
        <f t="shared" si="287"/>
        <v>3.6276522929500343</v>
      </c>
      <c r="Q4538" s="5" t="str">
        <f t="shared" si="289"/>
        <v>Employed</v>
      </c>
      <c r="R4538">
        <v>1</v>
      </c>
      <c r="S4538">
        <v>0</v>
      </c>
      <c r="T4538">
        <v>0</v>
      </c>
      <c r="U4538">
        <v>0</v>
      </c>
      <c r="V4538" t="s">
        <v>29</v>
      </c>
      <c r="W4538">
        <v>3</v>
      </c>
    </row>
    <row r="4539" spans="1:23" x14ac:dyDescent="0.2">
      <c r="A4539">
        <v>5149879</v>
      </c>
      <c r="B4539" t="s">
        <v>18</v>
      </c>
      <c r="C4539" t="s">
        <v>20</v>
      </c>
      <c r="D4539" t="s">
        <v>20</v>
      </c>
      <c r="E4539">
        <v>1</v>
      </c>
      <c r="F4539">
        <v>391500</v>
      </c>
      <c r="G4539" t="s">
        <v>26</v>
      </c>
      <c r="H4539" t="s">
        <v>22</v>
      </c>
      <c r="I4539" t="s">
        <v>28</v>
      </c>
      <c r="J4539" t="s">
        <v>24</v>
      </c>
      <c r="K4539" s="6">
        <f t="shared" ca="1" si="288"/>
        <v>28338</v>
      </c>
      <c r="L4539">
        <v>-17423</v>
      </c>
      <c r="M4539" s="7">
        <f t="shared" ca="1" si="286"/>
        <v>47.701574264202598</v>
      </c>
      <c r="N4539" s="5" t="str">
        <f ca="1">VLOOKUP(Data!M4539,temp!$B$3:$C$9,2,1)</f>
        <v>40-50</v>
      </c>
      <c r="O4539">
        <v>-472</v>
      </c>
      <c r="P4539" s="8">
        <f t="shared" si="287"/>
        <v>1.2922655715263518</v>
      </c>
      <c r="Q4539" s="5" t="str">
        <f t="shared" si="289"/>
        <v>Employed</v>
      </c>
      <c r="R4539">
        <v>1</v>
      </c>
      <c r="S4539">
        <v>0</v>
      </c>
      <c r="T4539">
        <v>1</v>
      </c>
      <c r="U4539">
        <v>0</v>
      </c>
      <c r="V4539" t="s">
        <v>32</v>
      </c>
      <c r="W4539">
        <v>3</v>
      </c>
    </row>
    <row r="4540" spans="1:23" x14ac:dyDescent="0.2">
      <c r="A4540">
        <v>5149884</v>
      </c>
      <c r="B4540" t="s">
        <v>18</v>
      </c>
      <c r="C4540" t="s">
        <v>19</v>
      </c>
      <c r="D4540" t="s">
        <v>20</v>
      </c>
      <c r="E4540">
        <v>0</v>
      </c>
      <c r="F4540">
        <v>202500</v>
      </c>
      <c r="G4540" t="s">
        <v>26</v>
      </c>
      <c r="H4540" t="s">
        <v>27</v>
      </c>
      <c r="I4540" t="s">
        <v>28</v>
      </c>
      <c r="J4540" t="s">
        <v>24</v>
      </c>
      <c r="K4540" s="6">
        <f t="shared" ca="1" si="288"/>
        <v>29820</v>
      </c>
      <c r="L4540">
        <v>-15941</v>
      </c>
      <c r="M4540" s="7">
        <f t="shared" ca="1" si="286"/>
        <v>43.644079397672826</v>
      </c>
      <c r="N4540" s="5" t="str">
        <f ca="1">VLOOKUP(Data!M4540,temp!$B$3:$C$9,2,1)</f>
        <v>40-50</v>
      </c>
      <c r="O4540">
        <v>-5830</v>
      </c>
      <c r="P4540" s="8">
        <f t="shared" si="287"/>
        <v>15.961670088980151</v>
      </c>
      <c r="Q4540" s="5" t="str">
        <f t="shared" si="289"/>
        <v>Employed</v>
      </c>
      <c r="R4540">
        <v>1</v>
      </c>
      <c r="S4540">
        <v>0</v>
      </c>
      <c r="T4540">
        <v>0</v>
      </c>
      <c r="U4540">
        <v>0</v>
      </c>
      <c r="V4540" t="s">
        <v>32</v>
      </c>
      <c r="W4540">
        <v>2</v>
      </c>
    </row>
    <row r="4541" spans="1:23" x14ac:dyDescent="0.2">
      <c r="A4541">
        <v>5149888</v>
      </c>
      <c r="B4541" t="s">
        <v>18</v>
      </c>
      <c r="C4541" t="s">
        <v>19</v>
      </c>
      <c r="D4541" t="s">
        <v>20</v>
      </c>
      <c r="E4541">
        <v>0</v>
      </c>
      <c r="F4541">
        <v>202500</v>
      </c>
      <c r="G4541" t="s">
        <v>26</v>
      </c>
      <c r="H4541" t="s">
        <v>27</v>
      </c>
      <c r="I4541" t="s">
        <v>28</v>
      </c>
      <c r="J4541" t="s">
        <v>24</v>
      </c>
      <c r="K4541" s="6">
        <f t="shared" ca="1" si="288"/>
        <v>29820</v>
      </c>
      <c r="L4541">
        <v>-15941</v>
      </c>
      <c r="M4541" s="7">
        <f t="shared" ca="1" si="286"/>
        <v>43.644079397672826</v>
      </c>
      <c r="N4541" s="5" t="str">
        <f ca="1">VLOOKUP(Data!M4541,temp!$B$3:$C$9,2,1)</f>
        <v>40-50</v>
      </c>
      <c r="O4541">
        <v>-5830</v>
      </c>
      <c r="P4541" s="8">
        <f t="shared" si="287"/>
        <v>15.961670088980151</v>
      </c>
      <c r="Q4541" s="5" t="str">
        <f t="shared" si="289"/>
        <v>Employed</v>
      </c>
      <c r="R4541">
        <v>1</v>
      </c>
      <c r="S4541">
        <v>0</v>
      </c>
      <c r="T4541">
        <v>0</v>
      </c>
      <c r="U4541">
        <v>0</v>
      </c>
      <c r="V4541" t="s">
        <v>32</v>
      </c>
      <c r="W4541">
        <v>2</v>
      </c>
    </row>
    <row r="4542" spans="1:23" x14ac:dyDescent="0.2">
      <c r="A4542">
        <v>5149894</v>
      </c>
      <c r="B4542" t="s">
        <v>18</v>
      </c>
      <c r="C4542" t="s">
        <v>19</v>
      </c>
      <c r="D4542" t="s">
        <v>20</v>
      </c>
      <c r="E4542">
        <v>0</v>
      </c>
      <c r="F4542">
        <v>202500</v>
      </c>
      <c r="G4542" t="s">
        <v>26</v>
      </c>
      <c r="H4542" t="s">
        <v>27</v>
      </c>
      <c r="I4542" t="s">
        <v>28</v>
      </c>
      <c r="J4542" t="s">
        <v>24</v>
      </c>
      <c r="K4542" s="6">
        <f t="shared" ca="1" si="288"/>
        <v>29820</v>
      </c>
      <c r="L4542">
        <v>-15941</v>
      </c>
      <c r="M4542" s="7">
        <f t="shared" ca="1" si="286"/>
        <v>43.644079397672826</v>
      </c>
      <c r="N4542" s="5" t="str">
        <f ca="1">VLOOKUP(Data!M4542,temp!$B$3:$C$9,2,1)</f>
        <v>40-50</v>
      </c>
      <c r="O4542">
        <v>-5830</v>
      </c>
      <c r="P4542" s="8">
        <f t="shared" si="287"/>
        <v>15.961670088980151</v>
      </c>
      <c r="Q4542" s="5" t="str">
        <f t="shared" si="289"/>
        <v>Employed</v>
      </c>
      <c r="R4542">
        <v>1</v>
      </c>
      <c r="S4542">
        <v>0</v>
      </c>
      <c r="T4542">
        <v>0</v>
      </c>
      <c r="U4542">
        <v>0</v>
      </c>
      <c r="V4542" t="s">
        <v>32</v>
      </c>
      <c r="W4542">
        <v>2</v>
      </c>
    </row>
    <row r="4543" spans="1:23" x14ac:dyDescent="0.2">
      <c r="A4543">
        <v>5149910</v>
      </c>
      <c r="B4543" t="s">
        <v>18</v>
      </c>
      <c r="C4543" t="s">
        <v>20</v>
      </c>
      <c r="D4543" t="s">
        <v>20</v>
      </c>
      <c r="E4543">
        <v>0</v>
      </c>
      <c r="F4543">
        <v>112500</v>
      </c>
      <c r="G4543" t="s">
        <v>31</v>
      </c>
      <c r="H4543" t="s">
        <v>27</v>
      </c>
      <c r="I4543" t="s">
        <v>28</v>
      </c>
      <c r="J4543" t="s">
        <v>24</v>
      </c>
      <c r="K4543" s="6">
        <f t="shared" ca="1" si="288"/>
        <v>30099</v>
      </c>
      <c r="L4543">
        <v>-15662</v>
      </c>
      <c r="M4543" s="7">
        <f t="shared" ca="1" si="286"/>
        <v>42.880219028062967</v>
      </c>
      <c r="N4543" s="5" t="str">
        <f ca="1">VLOOKUP(Data!M4543,temp!$B$3:$C$9,2,1)</f>
        <v>40-50</v>
      </c>
      <c r="O4543">
        <v>-2694</v>
      </c>
      <c r="P4543" s="8">
        <f t="shared" si="287"/>
        <v>7.3757700205338805</v>
      </c>
      <c r="Q4543" s="5" t="str">
        <f t="shared" si="289"/>
        <v>Employed</v>
      </c>
      <c r="R4543">
        <v>1</v>
      </c>
      <c r="S4543">
        <v>0</v>
      </c>
      <c r="T4543">
        <v>0</v>
      </c>
      <c r="U4543">
        <v>0</v>
      </c>
      <c r="V4543" t="s">
        <v>39</v>
      </c>
      <c r="W4543">
        <v>2</v>
      </c>
    </row>
    <row r="4544" spans="1:23" x14ac:dyDescent="0.2">
      <c r="A4544">
        <v>5149915</v>
      </c>
      <c r="B4544" t="s">
        <v>18</v>
      </c>
      <c r="C4544" t="s">
        <v>19</v>
      </c>
      <c r="D4544" t="s">
        <v>20</v>
      </c>
      <c r="E4544">
        <v>1</v>
      </c>
      <c r="F4544">
        <v>252000</v>
      </c>
      <c r="G4544" t="s">
        <v>35</v>
      </c>
      <c r="H4544" t="s">
        <v>22</v>
      </c>
      <c r="I4544" t="s">
        <v>33</v>
      </c>
      <c r="J4544" t="s">
        <v>24</v>
      </c>
      <c r="K4544" s="6">
        <f t="shared" ca="1" si="288"/>
        <v>29783</v>
      </c>
      <c r="L4544">
        <v>-15978</v>
      </c>
      <c r="M4544" s="7">
        <f t="shared" ca="1" si="286"/>
        <v>43.745379876796711</v>
      </c>
      <c r="N4544" s="5" t="str">
        <f ca="1">VLOOKUP(Data!M4544,temp!$B$3:$C$9,2,1)</f>
        <v>40-50</v>
      </c>
      <c r="O4544">
        <v>-2389</v>
      </c>
      <c r="P4544" s="8">
        <f t="shared" si="287"/>
        <v>6.5407255304585901</v>
      </c>
      <c r="Q4544" s="5" t="str">
        <f t="shared" si="289"/>
        <v>Employed</v>
      </c>
      <c r="R4544">
        <v>1</v>
      </c>
      <c r="S4544">
        <v>0</v>
      </c>
      <c r="T4544">
        <v>0</v>
      </c>
      <c r="U4544">
        <v>1</v>
      </c>
      <c r="V4544" t="s">
        <v>38</v>
      </c>
      <c r="W4544">
        <v>2</v>
      </c>
    </row>
    <row r="4545" spans="1:23" x14ac:dyDescent="0.2">
      <c r="A4545">
        <v>5149919</v>
      </c>
      <c r="B4545" t="s">
        <v>18</v>
      </c>
      <c r="C4545" t="s">
        <v>19</v>
      </c>
      <c r="D4545" t="s">
        <v>20</v>
      </c>
      <c r="E4545">
        <v>1</v>
      </c>
      <c r="F4545">
        <v>252000</v>
      </c>
      <c r="G4545" t="s">
        <v>35</v>
      </c>
      <c r="H4545" t="s">
        <v>22</v>
      </c>
      <c r="I4545" t="s">
        <v>33</v>
      </c>
      <c r="J4545" t="s">
        <v>24</v>
      </c>
      <c r="K4545" s="6">
        <f t="shared" ca="1" si="288"/>
        <v>29783</v>
      </c>
      <c r="L4545">
        <v>-15978</v>
      </c>
      <c r="M4545" s="7">
        <f t="shared" ca="1" si="286"/>
        <v>43.745379876796711</v>
      </c>
      <c r="N4545" s="5" t="str">
        <f ca="1">VLOOKUP(Data!M4545,temp!$B$3:$C$9,2,1)</f>
        <v>40-50</v>
      </c>
      <c r="O4545">
        <v>-2389</v>
      </c>
      <c r="P4545" s="8">
        <f t="shared" si="287"/>
        <v>6.5407255304585901</v>
      </c>
      <c r="Q4545" s="5" t="str">
        <f t="shared" si="289"/>
        <v>Employed</v>
      </c>
      <c r="R4545">
        <v>1</v>
      </c>
      <c r="S4545">
        <v>0</v>
      </c>
      <c r="T4545">
        <v>0</v>
      </c>
      <c r="U4545">
        <v>1</v>
      </c>
      <c r="V4545" t="s">
        <v>38</v>
      </c>
      <c r="W4545">
        <v>2</v>
      </c>
    </row>
    <row r="4546" spans="1:23" x14ac:dyDescent="0.2">
      <c r="A4546">
        <v>5149920</v>
      </c>
      <c r="B4546" t="s">
        <v>18</v>
      </c>
      <c r="C4546" t="s">
        <v>19</v>
      </c>
      <c r="D4546" t="s">
        <v>20</v>
      </c>
      <c r="E4546">
        <v>1</v>
      </c>
      <c r="F4546">
        <v>252000</v>
      </c>
      <c r="G4546" t="s">
        <v>35</v>
      </c>
      <c r="H4546" t="s">
        <v>22</v>
      </c>
      <c r="I4546" t="s">
        <v>33</v>
      </c>
      <c r="J4546" t="s">
        <v>24</v>
      </c>
      <c r="K4546" s="6">
        <f t="shared" ca="1" si="288"/>
        <v>29783</v>
      </c>
      <c r="L4546">
        <v>-15978</v>
      </c>
      <c r="M4546" s="7">
        <f t="shared" ca="1" si="286"/>
        <v>43.745379876796711</v>
      </c>
      <c r="N4546" s="5" t="str">
        <f ca="1">VLOOKUP(Data!M4546,temp!$B$3:$C$9,2,1)</f>
        <v>40-50</v>
      </c>
      <c r="O4546">
        <v>-2389</v>
      </c>
      <c r="P4546" s="8">
        <f t="shared" si="287"/>
        <v>6.5407255304585901</v>
      </c>
      <c r="Q4546" s="5" t="str">
        <f t="shared" si="289"/>
        <v>Employed</v>
      </c>
      <c r="R4546">
        <v>1</v>
      </c>
      <c r="S4546">
        <v>0</v>
      </c>
      <c r="T4546">
        <v>0</v>
      </c>
      <c r="U4546">
        <v>1</v>
      </c>
      <c r="V4546" t="s">
        <v>38</v>
      </c>
      <c r="W4546">
        <v>2</v>
      </c>
    </row>
    <row r="4547" spans="1:23" x14ac:dyDescent="0.2">
      <c r="A4547">
        <v>5149945</v>
      </c>
      <c r="B4547" t="s">
        <v>18</v>
      </c>
      <c r="C4547" t="s">
        <v>19</v>
      </c>
      <c r="D4547" t="s">
        <v>20</v>
      </c>
      <c r="E4547">
        <v>0</v>
      </c>
      <c r="F4547">
        <v>180000</v>
      </c>
      <c r="G4547" t="s">
        <v>31</v>
      </c>
      <c r="H4547" t="s">
        <v>22</v>
      </c>
      <c r="I4547" t="s">
        <v>28</v>
      </c>
      <c r="J4547" t="s">
        <v>24</v>
      </c>
      <c r="K4547" s="6">
        <f t="shared" ca="1" si="288"/>
        <v>23533</v>
      </c>
      <c r="L4547">
        <v>-22228</v>
      </c>
      <c r="M4547" s="7">
        <f t="shared" ref="M4547:M4583" ca="1" si="290">(TODAY()-K4547)/365.25</f>
        <v>60.856947296372347</v>
      </c>
      <c r="N4547" s="5" t="str">
        <f ca="1">VLOOKUP(Data!M4547,temp!$B$3:$C$9,2,1)</f>
        <v>60-70</v>
      </c>
      <c r="O4547">
        <v>-686</v>
      </c>
      <c r="P4547" s="8">
        <f t="shared" ref="P4547:P4583" si="291">IF(O4547&lt;=0,ABS(O4547)/365.25,0)</f>
        <v>1.8781656399726214</v>
      </c>
      <c r="Q4547" s="5" t="str">
        <f t="shared" si="289"/>
        <v>Employed</v>
      </c>
      <c r="R4547">
        <v>1</v>
      </c>
      <c r="S4547">
        <v>1</v>
      </c>
      <c r="T4547">
        <v>1</v>
      </c>
      <c r="U4547">
        <v>0</v>
      </c>
      <c r="V4547" t="s">
        <v>47</v>
      </c>
      <c r="W4547">
        <v>2</v>
      </c>
    </row>
    <row r="4548" spans="1:23" x14ac:dyDescent="0.2">
      <c r="A4548">
        <v>5149946</v>
      </c>
      <c r="B4548" t="s">
        <v>18</v>
      </c>
      <c r="C4548" t="s">
        <v>19</v>
      </c>
      <c r="D4548" t="s">
        <v>20</v>
      </c>
      <c r="E4548">
        <v>0</v>
      </c>
      <c r="F4548">
        <v>180000</v>
      </c>
      <c r="G4548" t="s">
        <v>31</v>
      </c>
      <c r="H4548" t="s">
        <v>22</v>
      </c>
      <c r="I4548" t="s">
        <v>28</v>
      </c>
      <c r="J4548" t="s">
        <v>24</v>
      </c>
      <c r="K4548" s="6">
        <f t="shared" ca="1" si="288"/>
        <v>23533</v>
      </c>
      <c r="L4548">
        <v>-22228</v>
      </c>
      <c r="M4548" s="7">
        <f t="shared" ca="1" si="290"/>
        <v>60.856947296372347</v>
      </c>
      <c r="N4548" s="5" t="str">
        <f ca="1">VLOOKUP(Data!M4548,temp!$B$3:$C$9,2,1)</f>
        <v>60-70</v>
      </c>
      <c r="O4548">
        <v>-686</v>
      </c>
      <c r="P4548" s="8">
        <f t="shared" si="291"/>
        <v>1.8781656399726214</v>
      </c>
      <c r="Q4548" s="5" t="str">
        <f t="shared" si="289"/>
        <v>Employed</v>
      </c>
      <c r="R4548">
        <v>1</v>
      </c>
      <c r="S4548">
        <v>1</v>
      </c>
      <c r="T4548">
        <v>1</v>
      </c>
      <c r="U4548">
        <v>0</v>
      </c>
      <c r="V4548" t="s">
        <v>47</v>
      </c>
      <c r="W4548">
        <v>2</v>
      </c>
    </row>
    <row r="4549" spans="1:23" x14ac:dyDescent="0.2">
      <c r="A4549">
        <v>5149951</v>
      </c>
      <c r="B4549" t="s">
        <v>18</v>
      </c>
      <c r="C4549" t="s">
        <v>19</v>
      </c>
      <c r="D4549" t="s">
        <v>20</v>
      </c>
      <c r="E4549">
        <v>0</v>
      </c>
      <c r="F4549">
        <v>180000</v>
      </c>
      <c r="G4549" t="s">
        <v>31</v>
      </c>
      <c r="H4549" t="s">
        <v>22</v>
      </c>
      <c r="I4549" t="s">
        <v>28</v>
      </c>
      <c r="J4549" t="s">
        <v>24</v>
      </c>
      <c r="K4549" s="6">
        <f t="shared" ca="1" si="288"/>
        <v>23533</v>
      </c>
      <c r="L4549">
        <v>-22228</v>
      </c>
      <c r="M4549" s="7">
        <f t="shared" ca="1" si="290"/>
        <v>60.856947296372347</v>
      </c>
      <c r="N4549" s="5" t="str">
        <f ca="1">VLOOKUP(Data!M4549,temp!$B$3:$C$9,2,1)</f>
        <v>60-70</v>
      </c>
      <c r="O4549">
        <v>-686</v>
      </c>
      <c r="P4549" s="8">
        <f t="shared" si="291"/>
        <v>1.8781656399726214</v>
      </c>
      <c r="Q4549" s="5" t="str">
        <f t="shared" si="289"/>
        <v>Employed</v>
      </c>
      <c r="R4549">
        <v>1</v>
      </c>
      <c r="S4549">
        <v>1</v>
      </c>
      <c r="T4549">
        <v>1</v>
      </c>
      <c r="U4549">
        <v>0</v>
      </c>
      <c r="V4549" t="s">
        <v>47</v>
      </c>
      <c r="W4549">
        <v>2</v>
      </c>
    </row>
    <row r="4550" spans="1:23" x14ac:dyDescent="0.2">
      <c r="A4550">
        <v>5149952</v>
      </c>
      <c r="B4550" t="s">
        <v>18</v>
      </c>
      <c r="C4550" t="s">
        <v>19</v>
      </c>
      <c r="D4550" t="s">
        <v>20</v>
      </c>
      <c r="E4550">
        <v>1</v>
      </c>
      <c r="F4550">
        <v>67500</v>
      </c>
      <c r="G4550" t="s">
        <v>26</v>
      </c>
      <c r="H4550" t="s">
        <v>22</v>
      </c>
      <c r="I4550" t="s">
        <v>28</v>
      </c>
      <c r="J4550" t="s">
        <v>24</v>
      </c>
      <c r="K4550" s="6">
        <f t="shared" ca="1" si="288"/>
        <v>34977</v>
      </c>
      <c r="L4550">
        <v>-10784</v>
      </c>
      <c r="M4550" s="7">
        <f t="shared" ca="1" si="290"/>
        <v>29.524982888432579</v>
      </c>
      <c r="N4550" s="5" t="str">
        <f ca="1">VLOOKUP(Data!M4550,temp!$B$3:$C$9,2,1)</f>
        <v>20-30</v>
      </c>
      <c r="O4550">
        <v>-2512</v>
      </c>
      <c r="P4550" s="8">
        <f t="shared" si="291"/>
        <v>6.8774811772758389</v>
      </c>
      <c r="Q4550" s="5" t="str">
        <f t="shared" si="289"/>
        <v>Employed</v>
      </c>
      <c r="R4550">
        <v>1</v>
      </c>
      <c r="S4550">
        <v>0</v>
      </c>
      <c r="T4550">
        <v>0</v>
      </c>
      <c r="U4550">
        <v>0</v>
      </c>
      <c r="V4550" t="s">
        <v>38</v>
      </c>
      <c r="W4550">
        <v>3</v>
      </c>
    </row>
    <row r="4551" spans="1:23" x14ac:dyDescent="0.2">
      <c r="A4551">
        <v>5149953</v>
      </c>
      <c r="B4551" t="s">
        <v>18</v>
      </c>
      <c r="C4551" t="s">
        <v>19</v>
      </c>
      <c r="D4551" t="s">
        <v>20</v>
      </c>
      <c r="E4551">
        <v>0</v>
      </c>
      <c r="F4551">
        <v>180000</v>
      </c>
      <c r="G4551" t="s">
        <v>31</v>
      </c>
      <c r="H4551" t="s">
        <v>27</v>
      </c>
      <c r="I4551" t="s">
        <v>33</v>
      </c>
      <c r="J4551" t="s">
        <v>24</v>
      </c>
      <c r="K4551" s="6">
        <f t="shared" ca="1" si="288"/>
        <v>31482</v>
      </c>
      <c r="L4551">
        <v>-14279</v>
      </c>
      <c r="M4551" s="7">
        <f t="shared" ca="1" si="290"/>
        <v>39.093771389459278</v>
      </c>
      <c r="N4551" s="5" t="str">
        <f ca="1">VLOOKUP(Data!M4551,temp!$B$3:$C$9,2,1)</f>
        <v>30-40</v>
      </c>
      <c r="O4551">
        <v>-2939</v>
      </c>
      <c r="P4551" s="8">
        <f t="shared" si="291"/>
        <v>8.046543463381246</v>
      </c>
      <c r="Q4551" s="5" t="str">
        <f t="shared" si="289"/>
        <v>Employed</v>
      </c>
      <c r="R4551">
        <v>1</v>
      </c>
      <c r="S4551">
        <v>0</v>
      </c>
      <c r="T4551">
        <v>0</v>
      </c>
      <c r="U4551">
        <v>0</v>
      </c>
      <c r="V4551" t="s">
        <v>39</v>
      </c>
      <c r="W4551">
        <v>1</v>
      </c>
    </row>
    <row r="4552" spans="1:23" x14ac:dyDescent="0.2">
      <c r="A4552">
        <v>5149960</v>
      </c>
      <c r="B4552" t="s">
        <v>18</v>
      </c>
      <c r="C4552" t="s">
        <v>19</v>
      </c>
      <c r="D4552" t="s">
        <v>20</v>
      </c>
      <c r="E4552">
        <v>0</v>
      </c>
      <c r="F4552">
        <v>180000</v>
      </c>
      <c r="G4552" t="s">
        <v>31</v>
      </c>
      <c r="H4552" t="s">
        <v>27</v>
      </c>
      <c r="I4552" t="s">
        <v>33</v>
      </c>
      <c r="J4552" t="s">
        <v>24</v>
      </c>
      <c r="K4552" s="6">
        <f t="shared" ref="K4552:K4583" ca="1" si="292">TODAY()+($L4552)</f>
        <v>31482</v>
      </c>
      <c r="L4552">
        <v>-14279</v>
      </c>
      <c r="M4552" s="7">
        <f t="shared" ca="1" si="290"/>
        <v>39.093771389459278</v>
      </c>
      <c r="N4552" s="5" t="str">
        <f ca="1">VLOOKUP(Data!M4552,temp!$B$3:$C$9,2,1)</f>
        <v>30-40</v>
      </c>
      <c r="O4552">
        <v>-2939</v>
      </c>
      <c r="P4552" s="8">
        <f t="shared" si="291"/>
        <v>8.046543463381246</v>
      </c>
      <c r="Q4552" s="5" t="str">
        <f t="shared" ref="Q4552:Q4583" si="293">IF($O4552&gt;0,"Unemployed","Employed")</f>
        <v>Employed</v>
      </c>
      <c r="R4552">
        <v>1</v>
      </c>
      <c r="S4552">
        <v>0</v>
      </c>
      <c r="T4552">
        <v>0</v>
      </c>
      <c r="U4552">
        <v>0</v>
      </c>
      <c r="V4552" t="s">
        <v>39</v>
      </c>
      <c r="W4552">
        <v>1</v>
      </c>
    </row>
    <row r="4553" spans="1:23" x14ac:dyDescent="0.2">
      <c r="A4553">
        <v>5149965</v>
      </c>
      <c r="B4553" t="s">
        <v>18</v>
      </c>
      <c r="C4553" t="s">
        <v>19</v>
      </c>
      <c r="D4553" t="s">
        <v>20</v>
      </c>
      <c r="E4553">
        <v>0</v>
      </c>
      <c r="F4553">
        <v>180000</v>
      </c>
      <c r="G4553" t="s">
        <v>31</v>
      </c>
      <c r="H4553" t="s">
        <v>27</v>
      </c>
      <c r="I4553" t="s">
        <v>33</v>
      </c>
      <c r="J4553" t="s">
        <v>24</v>
      </c>
      <c r="K4553" s="6">
        <f t="shared" ca="1" si="292"/>
        <v>31482</v>
      </c>
      <c r="L4553">
        <v>-14279</v>
      </c>
      <c r="M4553" s="7">
        <f t="shared" ca="1" si="290"/>
        <v>39.093771389459278</v>
      </c>
      <c r="N4553" s="5" t="str">
        <f ca="1">VLOOKUP(Data!M4553,temp!$B$3:$C$9,2,1)</f>
        <v>30-40</v>
      </c>
      <c r="O4553">
        <v>-2939</v>
      </c>
      <c r="P4553" s="8">
        <f t="shared" si="291"/>
        <v>8.046543463381246</v>
      </c>
      <c r="Q4553" s="5" t="str">
        <f t="shared" si="293"/>
        <v>Employed</v>
      </c>
      <c r="R4553">
        <v>1</v>
      </c>
      <c r="S4553">
        <v>0</v>
      </c>
      <c r="T4553">
        <v>0</v>
      </c>
      <c r="U4553">
        <v>0</v>
      </c>
      <c r="V4553" t="s">
        <v>39</v>
      </c>
      <c r="W4553">
        <v>1</v>
      </c>
    </row>
    <row r="4554" spans="1:23" x14ac:dyDescent="0.2">
      <c r="A4554">
        <v>5149978</v>
      </c>
      <c r="B4554" t="s">
        <v>18</v>
      </c>
      <c r="C4554" t="s">
        <v>19</v>
      </c>
      <c r="D4554" t="s">
        <v>20</v>
      </c>
      <c r="E4554">
        <v>1</v>
      </c>
      <c r="F4554">
        <v>405000</v>
      </c>
      <c r="G4554" t="s">
        <v>35</v>
      </c>
      <c r="H4554" t="s">
        <v>22</v>
      </c>
      <c r="I4554" t="s">
        <v>28</v>
      </c>
      <c r="J4554" t="s">
        <v>24</v>
      </c>
      <c r="K4554" s="6">
        <f t="shared" ca="1" si="292"/>
        <v>33029</v>
      </c>
      <c r="L4554">
        <v>-12732</v>
      </c>
      <c r="M4554" s="7">
        <f t="shared" ca="1" si="290"/>
        <v>34.858316221765911</v>
      </c>
      <c r="N4554" s="5" t="str">
        <f ca="1">VLOOKUP(Data!M4554,temp!$B$3:$C$9,2,1)</f>
        <v>30-40</v>
      </c>
      <c r="O4554">
        <v>-4520</v>
      </c>
      <c r="P4554" s="8">
        <f t="shared" si="291"/>
        <v>12.375085557837098</v>
      </c>
      <c r="Q4554" s="5" t="str">
        <f t="shared" si="293"/>
        <v>Employed</v>
      </c>
      <c r="R4554">
        <v>1</v>
      </c>
      <c r="S4554">
        <v>0</v>
      </c>
      <c r="T4554">
        <v>0</v>
      </c>
      <c r="U4554">
        <v>0</v>
      </c>
      <c r="V4554" t="s">
        <v>38</v>
      </c>
      <c r="W4554">
        <v>3</v>
      </c>
    </row>
    <row r="4555" spans="1:23" x14ac:dyDescent="0.2">
      <c r="A4555">
        <v>5150000</v>
      </c>
      <c r="B4555" t="s">
        <v>25</v>
      </c>
      <c r="C4555" t="s">
        <v>20</v>
      </c>
      <c r="D4555" t="s">
        <v>20</v>
      </c>
      <c r="E4555">
        <v>1</v>
      </c>
      <c r="F4555">
        <v>225000</v>
      </c>
      <c r="G4555" t="s">
        <v>31</v>
      </c>
      <c r="H4555" t="s">
        <v>22</v>
      </c>
      <c r="I4555" t="s">
        <v>23</v>
      </c>
      <c r="J4555" t="s">
        <v>45</v>
      </c>
      <c r="K4555" s="6">
        <f t="shared" ca="1" si="292"/>
        <v>28556</v>
      </c>
      <c r="L4555">
        <v>-17205</v>
      </c>
      <c r="M4555" s="7">
        <f t="shared" ca="1" si="290"/>
        <v>47.104722792607802</v>
      </c>
      <c r="N4555" s="5" t="str">
        <f ca="1">VLOOKUP(Data!M4555,temp!$B$3:$C$9,2,1)</f>
        <v>40-50</v>
      </c>
      <c r="O4555">
        <v>-2055</v>
      </c>
      <c r="P4555" s="8">
        <f t="shared" si="291"/>
        <v>5.6262833675564679</v>
      </c>
      <c r="Q4555" s="5" t="str">
        <f t="shared" si="293"/>
        <v>Employed</v>
      </c>
      <c r="R4555">
        <v>1</v>
      </c>
      <c r="S4555">
        <v>0</v>
      </c>
      <c r="T4555">
        <v>1</v>
      </c>
      <c r="U4555">
        <v>0</v>
      </c>
      <c r="V4555" t="s">
        <v>40</v>
      </c>
      <c r="W4555">
        <v>2</v>
      </c>
    </row>
    <row r="4556" spans="1:23" x14ac:dyDescent="0.2">
      <c r="A4556">
        <v>5150009</v>
      </c>
      <c r="B4556" t="s">
        <v>25</v>
      </c>
      <c r="C4556" t="s">
        <v>20</v>
      </c>
      <c r="D4556" t="s">
        <v>20</v>
      </c>
      <c r="E4556">
        <v>1</v>
      </c>
      <c r="F4556">
        <v>180000</v>
      </c>
      <c r="G4556" t="s">
        <v>31</v>
      </c>
      <c r="H4556" t="s">
        <v>27</v>
      </c>
      <c r="I4556" t="s">
        <v>37</v>
      </c>
      <c r="J4556" t="s">
        <v>24</v>
      </c>
      <c r="K4556" s="6">
        <f t="shared" ca="1" si="292"/>
        <v>31311</v>
      </c>
      <c r="L4556">
        <v>-14450</v>
      </c>
      <c r="M4556" s="7">
        <f t="shared" ca="1" si="290"/>
        <v>39.561943874058862</v>
      </c>
      <c r="N4556" s="5" t="str">
        <f ca="1">VLOOKUP(Data!M4556,temp!$B$3:$C$9,2,1)</f>
        <v>30-40</v>
      </c>
      <c r="O4556">
        <v>-3243</v>
      </c>
      <c r="P4556" s="8">
        <f t="shared" si="291"/>
        <v>8.8788501026694053</v>
      </c>
      <c r="Q4556" s="5" t="str">
        <f t="shared" si="293"/>
        <v>Employed</v>
      </c>
      <c r="R4556">
        <v>1</v>
      </c>
      <c r="S4556">
        <v>0</v>
      </c>
      <c r="T4556">
        <v>0</v>
      </c>
      <c r="U4556">
        <v>0</v>
      </c>
      <c r="W4556">
        <v>3</v>
      </c>
    </row>
    <row r="4557" spans="1:23" x14ac:dyDescent="0.2">
      <c r="A4557">
        <v>5150023</v>
      </c>
      <c r="B4557" t="s">
        <v>25</v>
      </c>
      <c r="C4557" t="s">
        <v>20</v>
      </c>
      <c r="D4557" t="s">
        <v>20</v>
      </c>
      <c r="E4557">
        <v>1</v>
      </c>
      <c r="F4557">
        <v>180000</v>
      </c>
      <c r="G4557" t="s">
        <v>31</v>
      </c>
      <c r="H4557" t="s">
        <v>27</v>
      </c>
      <c r="I4557" t="s">
        <v>37</v>
      </c>
      <c r="J4557" t="s">
        <v>24</v>
      </c>
      <c r="K4557" s="6">
        <f t="shared" ca="1" si="292"/>
        <v>31311</v>
      </c>
      <c r="L4557">
        <v>-14450</v>
      </c>
      <c r="M4557" s="7">
        <f t="shared" ca="1" si="290"/>
        <v>39.561943874058862</v>
      </c>
      <c r="N4557" s="5" t="str">
        <f ca="1">VLOOKUP(Data!M4557,temp!$B$3:$C$9,2,1)</f>
        <v>30-40</v>
      </c>
      <c r="O4557">
        <v>-3243</v>
      </c>
      <c r="P4557" s="8">
        <f t="shared" si="291"/>
        <v>8.8788501026694053</v>
      </c>
      <c r="Q4557" s="5" t="str">
        <f t="shared" si="293"/>
        <v>Employed</v>
      </c>
      <c r="R4557">
        <v>1</v>
      </c>
      <c r="S4557">
        <v>0</v>
      </c>
      <c r="T4557">
        <v>0</v>
      </c>
      <c r="U4557">
        <v>0</v>
      </c>
      <c r="W4557">
        <v>3</v>
      </c>
    </row>
    <row r="4558" spans="1:23" x14ac:dyDescent="0.2">
      <c r="A4558">
        <v>5150027</v>
      </c>
      <c r="B4558" t="s">
        <v>25</v>
      </c>
      <c r="C4558" t="s">
        <v>20</v>
      </c>
      <c r="D4558" t="s">
        <v>20</v>
      </c>
      <c r="E4558">
        <v>1</v>
      </c>
      <c r="F4558">
        <v>180000</v>
      </c>
      <c r="G4558" t="s">
        <v>31</v>
      </c>
      <c r="H4558" t="s">
        <v>27</v>
      </c>
      <c r="I4558" t="s">
        <v>37</v>
      </c>
      <c r="J4558" t="s">
        <v>24</v>
      </c>
      <c r="K4558" s="6">
        <f t="shared" ca="1" si="292"/>
        <v>31311</v>
      </c>
      <c r="L4558">
        <v>-14450</v>
      </c>
      <c r="M4558" s="7">
        <f t="shared" ca="1" si="290"/>
        <v>39.561943874058862</v>
      </c>
      <c r="N4558" s="5" t="str">
        <f ca="1">VLOOKUP(Data!M4558,temp!$B$3:$C$9,2,1)</f>
        <v>30-40</v>
      </c>
      <c r="O4558">
        <v>-3243</v>
      </c>
      <c r="P4558" s="8">
        <f t="shared" si="291"/>
        <v>8.8788501026694053</v>
      </c>
      <c r="Q4558" s="5" t="str">
        <f t="shared" si="293"/>
        <v>Employed</v>
      </c>
      <c r="R4558">
        <v>1</v>
      </c>
      <c r="S4558">
        <v>0</v>
      </c>
      <c r="T4558">
        <v>0</v>
      </c>
      <c r="U4558">
        <v>0</v>
      </c>
      <c r="W4558">
        <v>3</v>
      </c>
    </row>
    <row r="4559" spans="1:23" x14ac:dyDescent="0.2">
      <c r="A4559">
        <v>5150029</v>
      </c>
      <c r="B4559" t="s">
        <v>25</v>
      </c>
      <c r="C4559" t="s">
        <v>20</v>
      </c>
      <c r="D4559" t="s">
        <v>20</v>
      </c>
      <c r="E4559">
        <v>1</v>
      </c>
      <c r="F4559">
        <v>180000</v>
      </c>
      <c r="G4559" t="s">
        <v>31</v>
      </c>
      <c r="H4559" t="s">
        <v>27</v>
      </c>
      <c r="I4559" t="s">
        <v>37</v>
      </c>
      <c r="J4559" t="s">
        <v>24</v>
      </c>
      <c r="K4559" s="6">
        <f t="shared" ca="1" si="292"/>
        <v>31311</v>
      </c>
      <c r="L4559">
        <v>-14450</v>
      </c>
      <c r="M4559" s="7">
        <f t="shared" ca="1" si="290"/>
        <v>39.561943874058862</v>
      </c>
      <c r="N4559" s="5" t="str">
        <f ca="1">VLOOKUP(Data!M4559,temp!$B$3:$C$9,2,1)</f>
        <v>30-40</v>
      </c>
      <c r="O4559">
        <v>-3243</v>
      </c>
      <c r="P4559" s="8">
        <f t="shared" si="291"/>
        <v>8.8788501026694053</v>
      </c>
      <c r="Q4559" s="5" t="str">
        <f t="shared" si="293"/>
        <v>Employed</v>
      </c>
      <c r="R4559">
        <v>1</v>
      </c>
      <c r="S4559">
        <v>0</v>
      </c>
      <c r="T4559">
        <v>0</v>
      </c>
      <c r="U4559">
        <v>0</v>
      </c>
      <c r="W4559">
        <v>3</v>
      </c>
    </row>
    <row r="4560" spans="1:23" x14ac:dyDescent="0.2">
      <c r="A4560">
        <v>5150056</v>
      </c>
      <c r="B4560" t="s">
        <v>18</v>
      </c>
      <c r="C4560" t="s">
        <v>19</v>
      </c>
      <c r="D4560" t="s">
        <v>20</v>
      </c>
      <c r="E4560">
        <v>0</v>
      </c>
      <c r="F4560">
        <v>180000</v>
      </c>
      <c r="G4560" t="s">
        <v>31</v>
      </c>
      <c r="H4560" t="s">
        <v>36</v>
      </c>
      <c r="I4560" t="s">
        <v>33</v>
      </c>
      <c r="J4560" t="s">
        <v>24</v>
      </c>
      <c r="K4560" s="6">
        <f t="shared" ca="1" si="292"/>
        <v>36899</v>
      </c>
      <c r="L4560">
        <v>-8862</v>
      </c>
      <c r="M4560" s="7">
        <f t="shared" ca="1" si="290"/>
        <v>24.262833675564682</v>
      </c>
      <c r="N4560" s="5" t="str">
        <f ca="1">VLOOKUP(Data!M4560,temp!$B$3:$C$9,2,1)</f>
        <v>20-30</v>
      </c>
      <c r="O4560">
        <v>-716</v>
      </c>
      <c r="P4560" s="8">
        <f t="shared" si="291"/>
        <v>1.9603011635865846</v>
      </c>
      <c r="Q4560" s="5" t="str">
        <f t="shared" si="293"/>
        <v>Employed</v>
      </c>
      <c r="R4560">
        <v>1</v>
      </c>
      <c r="S4560">
        <v>0</v>
      </c>
      <c r="T4560">
        <v>0</v>
      </c>
      <c r="U4560">
        <v>0</v>
      </c>
      <c r="V4560" t="s">
        <v>29</v>
      </c>
      <c r="W4560">
        <v>1</v>
      </c>
    </row>
    <row r="4561" spans="1:23" x14ac:dyDescent="0.2">
      <c r="A4561">
        <v>5150058</v>
      </c>
      <c r="B4561" t="s">
        <v>18</v>
      </c>
      <c r="C4561" t="s">
        <v>19</v>
      </c>
      <c r="D4561" t="s">
        <v>20</v>
      </c>
      <c r="E4561">
        <v>0</v>
      </c>
      <c r="F4561">
        <v>63000</v>
      </c>
      <c r="G4561" t="s">
        <v>31</v>
      </c>
      <c r="H4561" t="s">
        <v>27</v>
      </c>
      <c r="I4561" t="s">
        <v>28</v>
      </c>
      <c r="J4561" t="s">
        <v>24</v>
      </c>
      <c r="K4561" s="6">
        <f t="shared" ca="1" si="292"/>
        <v>28646</v>
      </c>
      <c r="L4561">
        <v>-17115</v>
      </c>
      <c r="M4561" s="7">
        <f t="shared" ca="1" si="290"/>
        <v>46.858316221765911</v>
      </c>
      <c r="N4561" s="5" t="str">
        <f ca="1">VLOOKUP(Data!M4561,temp!$B$3:$C$9,2,1)</f>
        <v>40-50</v>
      </c>
      <c r="O4561">
        <v>-229</v>
      </c>
      <c r="P4561" s="8">
        <f t="shared" si="291"/>
        <v>0.6269678302532512</v>
      </c>
      <c r="Q4561" s="5" t="str">
        <f t="shared" si="293"/>
        <v>Employed</v>
      </c>
      <c r="R4561">
        <v>1</v>
      </c>
      <c r="S4561">
        <v>0</v>
      </c>
      <c r="T4561">
        <v>1</v>
      </c>
      <c r="U4561">
        <v>0</v>
      </c>
      <c r="V4561" t="s">
        <v>38</v>
      </c>
      <c r="W4561">
        <v>2</v>
      </c>
    </row>
    <row r="4562" spans="1:23" x14ac:dyDescent="0.2">
      <c r="A4562">
        <v>5150061</v>
      </c>
      <c r="B4562" t="s">
        <v>25</v>
      </c>
      <c r="C4562" t="s">
        <v>19</v>
      </c>
      <c r="D4562" t="s">
        <v>20</v>
      </c>
      <c r="E4562">
        <v>0</v>
      </c>
      <c r="F4562">
        <v>225000</v>
      </c>
      <c r="G4562" t="s">
        <v>31</v>
      </c>
      <c r="H4562" t="s">
        <v>27</v>
      </c>
      <c r="I4562" t="s">
        <v>33</v>
      </c>
      <c r="J4562" t="s">
        <v>24</v>
      </c>
      <c r="K4562" s="6">
        <f t="shared" ca="1" si="292"/>
        <v>35231</v>
      </c>
      <c r="L4562">
        <v>-10530</v>
      </c>
      <c r="M4562" s="7">
        <f t="shared" ca="1" si="290"/>
        <v>28.829568788501028</v>
      </c>
      <c r="N4562" s="5" t="str">
        <f ca="1">VLOOKUP(Data!M4562,temp!$B$3:$C$9,2,1)</f>
        <v>20-30</v>
      </c>
      <c r="O4562">
        <v>-2328</v>
      </c>
      <c r="P4562" s="8">
        <f t="shared" si="291"/>
        <v>6.3737166324435321</v>
      </c>
      <c r="Q4562" s="5" t="str">
        <f t="shared" si="293"/>
        <v>Employed</v>
      </c>
      <c r="R4562">
        <v>1</v>
      </c>
      <c r="S4562">
        <v>0</v>
      </c>
      <c r="T4562">
        <v>0</v>
      </c>
      <c r="U4562">
        <v>0</v>
      </c>
      <c r="V4562" t="s">
        <v>29</v>
      </c>
      <c r="W4562">
        <v>1</v>
      </c>
    </row>
    <row r="4563" spans="1:23" x14ac:dyDescent="0.2">
      <c r="A4563">
        <v>5150070</v>
      </c>
      <c r="B4563" t="s">
        <v>18</v>
      </c>
      <c r="C4563" t="s">
        <v>19</v>
      </c>
      <c r="D4563" t="s">
        <v>20</v>
      </c>
      <c r="E4563">
        <v>2</v>
      </c>
      <c r="F4563">
        <v>112500</v>
      </c>
      <c r="G4563" t="s">
        <v>35</v>
      </c>
      <c r="H4563" t="s">
        <v>22</v>
      </c>
      <c r="I4563" t="s">
        <v>28</v>
      </c>
      <c r="J4563" t="s">
        <v>24</v>
      </c>
      <c r="K4563" s="6">
        <f t="shared" ca="1" si="292"/>
        <v>34113</v>
      </c>
      <c r="L4563">
        <v>-11648</v>
      </c>
      <c r="M4563" s="7">
        <f t="shared" ca="1" si="290"/>
        <v>31.890485968514717</v>
      </c>
      <c r="N4563" s="5" t="str">
        <f ca="1">VLOOKUP(Data!M4563,temp!$B$3:$C$9,2,1)</f>
        <v>30-40</v>
      </c>
      <c r="O4563">
        <v>-3243</v>
      </c>
      <c r="P4563" s="8">
        <f t="shared" si="291"/>
        <v>8.8788501026694053</v>
      </c>
      <c r="Q4563" s="5" t="str">
        <f t="shared" si="293"/>
        <v>Employed</v>
      </c>
      <c r="R4563">
        <v>1</v>
      </c>
      <c r="S4563">
        <v>0</v>
      </c>
      <c r="T4563">
        <v>0</v>
      </c>
      <c r="U4563">
        <v>0</v>
      </c>
      <c r="V4563" t="s">
        <v>38</v>
      </c>
      <c r="W4563">
        <v>4</v>
      </c>
    </row>
    <row r="4564" spans="1:23" x14ac:dyDescent="0.2">
      <c r="A4564">
        <v>5150072</v>
      </c>
      <c r="B4564" t="s">
        <v>25</v>
      </c>
      <c r="C4564" t="s">
        <v>20</v>
      </c>
      <c r="D4564" t="s">
        <v>19</v>
      </c>
      <c r="E4564">
        <v>0</v>
      </c>
      <c r="F4564">
        <v>67500</v>
      </c>
      <c r="G4564" t="s">
        <v>26</v>
      </c>
      <c r="H4564" t="s">
        <v>27</v>
      </c>
      <c r="I4564" t="s">
        <v>33</v>
      </c>
      <c r="J4564" t="s">
        <v>45</v>
      </c>
      <c r="K4564" s="6">
        <f t="shared" ca="1" si="292"/>
        <v>36714</v>
      </c>
      <c r="L4564">
        <v>-9047</v>
      </c>
      <c r="M4564" s="7">
        <f t="shared" ca="1" si="290"/>
        <v>24.769336071184121</v>
      </c>
      <c r="N4564" s="5" t="str">
        <f ca="1">VLOOKUP(Data!M4564,temp!$B$3:$C$9,2,1)</f>
        <v>20-30</v>
      </c>
      <c r="O4564">
        <v>-716</v>
      </c>
      <c r="P4564" s="8">
        <f t="shared" si="291"/>
        <v>1.9603011635865846</v>
      </c>
      <c r="Q4564" s="5" t="str">
        <f t="shared" si="293"/>
        <v>Employed</v>
      </c>
      <c r="R4564">
        <v>1</v>
      </c>
      <c r="S4564">
        <v>0</v>
      </c>
      <c r="T4564">
        <v>0</v>
      </c>
      <c r="U4564">
        <v>0</v>
      </c>
      <c r="V4564" t="s">
        <v>40</v>
      </c>
      <c r="W4564">
        <v>1</v>
      </c>
    </row>
    <row r="4565" spans="1:23" x14ac:dyDescent="0.2">
      <c r="A4565">
        <v>5150142</v>
      </c>
      <c r="B4565" t="s">
        <v>18</v>
      </c>
      <c r="C4565" t="s">
        <v>19</v>
      </c>
      <c r="D4565" t="s">
        <v>19</v>
      </c>
      <c r="E4565">
        <v>0</v>
      </c>
      <c r="F4565">
        <v>117000</v>
      </c>
      <c r="G4565" t="s">
        <v>31</v>
      </c>
      <c r="H4565" t="s">
        <v>27</v>
      </c>
      <c r="I4565" t="s">
        <v>33</v>
      </c>
      <c r="J4565" t="s">
        <v>24</v>
      </c>
      <c r="K4565" s="6">
        <f t="shared" ca="1" si="292"/>
        <v>29316</v>
      </c>
      <c r="L4565">
        <v>-16445</v>
      </c>
      <c r="M4565" s="7">
        <f t="shared" ca="1" si="290"/>
        <v>45.023956194387409</v>
      </c>
      <c r="N4565" s="5" t="str">
        <f ca="1">VLOOKUP(Data!M4565,temp!$B$3:$C$9,2,1)</f>
        <v>40-50</v>
      </c>
      <c r="O4565">
        <v>-340</v>
      </c>
      <c r="P4565" s="8">
        <f t="shared" si="291"/>
        <v>0.9308692676249144</v>
      </c>
      <c r="Q4565" s="5" t="str">
        <f t="shared" si="293"/>
        <v>Employed</v>
      </c>
      <c r="R4565">
        <v>1</v>
      </c>
      <c r="S4565">
        <v>0</v>
      </c>
      <c r="T4565">
        <v>0</v>
      </c>
      <c r="U4565">
        <v>0</v>
      </c>
      <c r="V4565" t="s">
        <v>39</v>
      </c>
      <c r="W4565">
        <v>1</v>
      </c>
    </row>
    <row r="4566" spans="1:23" x14ac:dyDescent="0.2">
      <c r="A4566">
        <v>5150148</v>
      </c>
      <c r="B4566" t="s">
        <v>18</v>
      </c>
      <c r="C4566" t="s">
        <v>19</v>
      </c>
      <c r="D4566" t="s">
        <v>20</v>
      </c>
      <c r="E4566">
        <v>2</v>
      </c>
      <c r="F4566">
        <v>112500</v>
      </c>
      <c r="G4566" t="s">
        <v>31</v>
      </c>
      <c r="H4566" t="s">
        <v>27</v>
      </c>
      <c r="I4566" t="s">
        <v>33</v>
      </c>
      <c r="J4566" t="s">
        <v>24</v>
      </c>
      <c r="K4566" s="6">
        <f t="shared" ca="1" si="292"/>
        <v>33640</v>
      </c>
      <c r="L4566">
        <v>-12121</v>
      </c>
      <c r="M4566" s="7">
        <f t="shared" ca="1" si="290"/>
        <v>33.185489390828202</v>
      </c>
      <c r="N4566" s="5" t="str">
        <f ca="1">VLOOKUP(Data!M4566,temp!$B$3:$C$9,2,1)</f>
        <v>30-40</v>
      </c>
      <c r="O4566">
        <v>-3718</v>
      </c>
      <c r="P4566" s="8">
        <f t="shared" si="291"/>
        <v>10.179329226557153</v>
      </c>
      <c r="Q4566" s="5" t="str">
        <f t="shared" si="293"/>
        <v>Employed</v>
      </c>
      <c r="R4566">
        <v>1</v>
      </c>
      <c r="S4566">
        <v>0</v>
      </c>
      <c r="T4566">
        <v>0</v>
      </c>
      <c r="U4566">
        <v>0</v>
      </c>
      <c r="V4566" t="s">
        <v>38</v>
      </c>
      <c r="W4566">
        <v>3</v>
      </c>
    </row>
    <row r="4567" spans="1:23" x14ac:dyDescent="0.2">
      <c r="A4567">
        <v>5150184</v>
      </c>
      <c r="B4567" t="s">
        <v>25</v>
      </c>
      <c r="C4567" t="s">
        <v>19</v>
      </c>
      <c r="D4567" t="s">
        <v>20</v>
      </c>
      <c r="E4567">
        <v>0</v>
      </c>
      <c r="F4567">
        <v>225000</v>
      </c>
      <c r="G4567" t="s">
        <v>21</v>
      </c>
      <c r="H4567" t="s">
        <v>27</v>
      </c>
      <c r="I4567" t="s">
        <v>33</v>
      </c>
      <c r="J4567" t="s">
        <v>24</v>
      </c>
      <c r="K4567" s="6">
        <f t="shared" ca="1" si="292"/>
        <v>36147</v>
      </c>
      <c r="L4567">
        <v>-9614</v>
      </c>
      <c r="M4567" s="7">
        <f t="shared" ca="1" si="290"/>
        <v>26.321697467488022</v>
      </c>
      <c r="N4567" s="5" t="str">
        <f ca="1">VLOOKUP(Data!M4567,temp!$B$3:$C$9,2,1)</f>
        <v>20-30</v>
      </c>
      <c r="O4567">
        <v>365243</v>
      </c>
      <c r="P4567" s="8">
        <f t="shared" si="291"/>
        <v>0</v>
      </c>
      <c r="Q4567" s="5" t="str">
        <f t="shared" si="293"/>
        <v>Unemployed</v>
      </c>
      <c r="R4567">
        <v>1</v>
      </c>
      <c r="S4567">
        <v>0</v>
      </c>
      <c r="T4567">
        <v>0</v>
      </c>
      <c r="U4567">
        <v>0</v>
      </c>
      <c r="W4567">
        <v>1</v>
      </c>
    </row>
    <row r="4568" spans="1:23" x14ac:dyDescent="0.2">
      <c r="A4568">
        <v>5150217</v>
      </c>
      <c r="B4568" t="s">
        <v>25</v>
      </c>
      <c r="C4568" t="s">
        <v>20</v>
      </c>
      <c r="D4568" t="s">
        <v>20</v>
      </c>
      <c r="E4568">
        <v>0</v>
      </c>
      <c r="F4568">
        <v>116100</v>
      </c>
      <c r="G4568" t="s">
        <v>31</v>
      </c>
      <c r="H4568" t="s">
        <v>27</v>
      </c>
      <c r="I4568" t="s">
        <v>28</v>
      </c>
      <c r="J4568" t="s">
        <v>24</v>
      </c>
      <c r="K4568" s="6">
        <f t="shared" ca="1" si="292"/>
        <v>35625</v>
      </c>
      <c r="L4568">
        <v>-10136</v>
      </c>
      <c r="M4568" s="7">
        <f t="shared" ca="1" si="290"/>
        <v>27.750855578370977</v>
      </c>
      <c r="N4568" s="5" t="str">
        <f ca="1">VLOOKUP(Data!M4568,temp!$B$3:$C$9,2,1)</f>
        <v>20-30</v>
      </c>
      <c r="O4568">
        <v>-2441</v>
      </c>
      <c r="P4568" s="8">
        <f t="shared" si="291"/>
        <v>6.6830937713894594</v>
      </c>
      <c r="Q4568" s="5" t="str">
        <f t="shared" si="293"/>
        <v>Employed</v>
      </c>
      <c r="R4568">
        <v>1</v>
      </c>
      <c r="S4568">
        <v>0</v>
      </c>
      <c r="T4568">
        <v>0</v>
      </c>
      <c r="U4568">
        <v>0</v>
      </c>
      <c r="V4568" t="s">
        <v>29</v>
      </c>
      <c r="W4568">
        <v>2</v>
      </c>
    </row>
    <row r="4569" spans="1:23" x14ac:dyDescent="0.2">
      <c r="A4569">
        <v>5150234</v>
      </c>
      <c r="B4569" t="s">
        <v>18</v>
      </c>
      <c r="C4569" t="s">
        <v>19</v>
      </c>
      <c r="D4569" t="s">
        <v>19</v>
      </c>
      <c r="E4569">
        <v>1</v>
      </c>
      <c r="F4569">
        <v>202500</v>
      </c>
      <c r="G4569" t="s">
        <v>35</v>
      </c>
      <c r="H4569" t="s">
        <v>22</v>
      </c>
      <c r="I4569" t="s">
        <v>23</v>
      </c>
      <c r="J4569" t="s">
        <v>24</v>
      </c>
      <c r="K4569" s="6">
        <f t="shared" ca="1" si="292"/>
        <v>32569</v>
      </c>
      <c r="L4569">
        <v>-13192</v>
      </c>
      <c r="M4569" s="7">
        <f t="shared" ca="1" si="290"/>
        <v>36.11772758384668</v>
      </c>
      <c r="N4569" s="5" t="str">
        <f ca="1">VLOOKUP(Data!M4569,temp!$B$3:$C$9,2,1)</f>
        <v>30-40</v>
      </c>
      <c r="O4569">
        <v>-3841</v>
      </c>
      <c r="P4569" s="8">
        <f t="shared" si="291"/>
        <v>10.516084873374401</v>
      </c>
      <c r="Q4569" s="5" t="str">
        <f t="shared" si="293"/>
        <v>Employed</v>
      </c>
      <c r="R4569">
        <v>1</v>
      </c>
      <c r="S4569">
        <v>0</v>
      </c>
      <c r="T4569">
        <v>0</v>
      </c>
      <c r="U4569">
        <v>0</v>
      </c>
      <c r="V4569" t="s">
        <v>38</v>
      </c>
      <c r="W4569">
        <v>2</v>
      </c>
    </row>
    <row r="4570" spans="1:23" x14ac:dyDescent="0.2">
      <c r="A4570">
        <v>5150284</v>
      </c>
      <c r="B4570" t="s">
        <v>18</v>
      </c>
      <c r="C4570" t="s">
        <v>19</v>
      </c>
      <c r="D4570" t="s">
        <v>20</v>
      </c>
      <c r="E4570">
        <v>0</v>
      </c>
      <c r="F4570">
        <v>132750</v>
      </c>
      <c r="G4570" t="s">
        <v>21</v>
      </c>
      <c r="H4570" t="s">
        <v>27</v>
      </c>
      <c r="I4570" t="s">
        <v>23</v>
      </c>
      <c r="J4570" t="s">
        <v>24</v>
      </c>
      <c r="K4570" s="6">
        <f t="shared" ca="1" si="292"/>
        <v>25386</v>
      </c>
      <c r="L4570">
        <v>-20375</v>
      </c>
      <c r="M4570" s="7">
        <f t="shared" ca="1" si="290"/>
        <v>55.783709787816562</v>
      </c>
      <c r="N4570" s="5" t="str">
        <f ca="1">VLOOKUP(Data!M4570,temp!$B$3:$C$9,2,1)</f>
        <v>50-60</v>
      </c>
      <c r="O4570">
        <v>365243</v>
      </c>
      <c r="P4570" s="8">
        <f t="shared" si="291"/>
        <v>0</v>
      </c>
      <c r="Q4570" s="5" t="str">
        <f t="shared" si="293"/>
        <v>Unemployed</v>
      </c>
      <c r="R4570">
        <v>1</v>
      </c>
      <c r="S4570">
        <v>0</v>
      </c>
      <c r="T4570">
        <v>0</v>
      </c>
      <c r="U4570">
        <v>0</v>
      </c>
      <c r="W4570">
        <v>1</v>
      </c>
    </row>
    <row r="4571" spans="1:23" x14ac:dyDescent="0.2">
      <c r="A4571">
        <v>5150286</v>
      </c>
      <c r="B4571" t="s">
        <v>18</v>
      </c>
      <c r="C4571" t="s">
        <v>19</v>
      </c>
      <c r="D4571" t="s">
        <v>20</v>
      </c>
      <c r="E4571">
        <v>0</v>
      </c>
      <c r="F4571">
        <v>132750</v>
      </c>
      <c r="G4571" t="s">
        <v>21</v>
      </c>
      <c r="H4571" t="s">
        <v>27</v>
      </c>
      <c r="I4571" t="s">
        <v>23</v>
      </c>
      <c r="J4571" t="s">
        <v>24</v>
      </c>
      <c r="K4571" s="6">
        <f t="shared" ca="1" si="292"/>
        <v>25386</v>
      </c>
      <c r="L4571">
        <v>-20375</v>
      </c>
      <c r="M4571" s="7">
        <f t="shared" ca="1" si="290"/>
        <v>55.783709787816562</v>
      </c>
      <c r="N4571" s="5" t="str">
        <f ca="1">VLOOKUP(Data!M4571,temp!$B$3:$C$9,2,1)</f>
        <v>50-60</v>
      </c>
      <c r="O4571">
        <v>365243</v>
      </c>
      <c r="P4571" s="8">
        <f t="shared" si="291"/>
        <v>0</v>
      </c>
      <c r="Q4571" s="5" t="str">
        <f t="shared" si="293"/>
        <v>Unemployed</v>
      </c>
      <c r="R4571">
        <v>1</v>
      </c>
      <c r="S4571">
        <v>0</v>
      </c>
      <c r="T4571">
        <v>0</v>
      </c>
      <c r="U4571">
        <v>0</v>
      </c>
      <c r="W4571">
        <v>1</v>
      </c>
    </row>
    <row r="4572" spans="1:23" x14ac:dyDescent="0.2">
      <c r="A4572">
        <v>5150305</v>
      </c>
      <c r="B4572" t="s">
        <v>18</v>
      </c>
      <c r="C4572" t="s">
        <v>20</v>
      </c>
      <c r="D4572" t="s">
        <v>20</v>
      </c>
      <c r="E4572">
        <v>0</v>
      </c>
      <c r="F4572">
        <v>76500</v>
      </c>
      <c r="G4572" t="s">
        <v>21</v>
      </c>
      <c r="H4572" t="s">
        <v>27</v>
      </c>
      <c r="I4572" t="s">
        <v>28</v>
      </c>
      <c r="J4572" t="s">
        <v>24</v>
      </c>
      <c r="K4572" s="6">
        <f t="shared" ca="1" si="292"/>
        <v>24637</v>
      </c>
      <c r="L4572">
        <v>-21124</v>
      </c>
      <c r="M4572" s="7">
        <f t="shared" ca="1" si="290"/>
        <v>57.834360027378509</v>
      </c>
      <c r="N4572" s="5" t="str">
        <f ca="1">VLOOKUP(Data!M4572,temp!$B$3:$C$9,2,1)</f>
        <v>50-60</v>
      </c>
      <c r="O4572">
        <v>365243</v>
      </c>
      <c r="P4572" s="8">
        <f t="shared" si="291"/>
        <v>0</v>
      </c>
      <c r="Q4572" s="5" t="str">
        <f t="shared" si="293"/>
        <v>Unemployed</v>
      </c>
      <c r="R4572">
        <v>1</v>
      </c>
      <c r="S4572">
        <v>0</v>
      </c>
      <c r="T4572">
        <v>0</v>
      </c>
      <c r="U4572">
        <v>0</v>
      </c>
      <c r="W4572">
        <v>2</v>
      </c>
    </row>
    <row r="4573" spans="1:23" x14ac:dyDescent="0.2">
      <c r="A4573">
        <v>5150331</v>
      </c>
      <c r="B4573" t="s">
        <v>25</v>
      </c>
      <c r="C4573" t="s">
        <v>19</v>
      </c>
      <c r="D4573" t="s">
        <v>20</v>
      </c>
      <c r="E4573">
        <v>0</v>
      </c>
      <c r="F4573">
        <v>153000</v>
      </c>
      <c r="G4573" t="s">
        <v>31</v>
      </c>
      <c r="H4573" t="s">
        <v>27</v>
      </c>
      <c r="I4573" t="s">
        <v>28</v>
      </c>
      <c r="J4573" t="s">
        <v>24</v>
      </c>
      <c r="K4573" s="6">
        <f t="shared" ca="1" si="292"/>
        <v>33588</v>
      </c>
      <c r="L4573">
        <v>-12173</v>
      </c>
      <c r="M4573" s="7">
        <f t="shared" ca="1" si="290"/>
        <v>33.327857631759066</v>
      </c>
      <c r="N4573" s="5" t="str">
        <f ca="1">VLOOKUP(Data!M4573,temp!$B$3:$C$9,2,1)</f>
        <v>30-40</v>
      </c>
      <c r="O4573">
        <v>-309</v>
      </c>
      <c r="P4573" s="8">
        <f t="shared" si="291"/>
        <v>0.8459958932238193</v>
      </c>
      <c r="Q4573" s="5" t="str">
        <f t="shared" si="293"/>
        <v>Employed</v>
      </c>
      <c r="R4573">
        <v>1</v>
      </c>
      <c r="S4573">
        <v>0</v>
      </c>
      <c r="T4573">
        <v>0</v>
      </c>
      <c r="U4573">
        <v>0</v>
      </c>
      <c r="V4573" t="s">
        <v>29</v>
      </c>
      <c r="W4573">
        <v>2</v>
      </c>
    </row>
    <row r="4574" spans="1:23" x14ac:dyDescent="0.2">
      <c r="A4574">
        <v>5150333</v>
      </c>
      <c r="B4574" t="s">
        <v>25</v>
      </c>
      <c r="C4574" t="s">
        <v>19</v>
      </c>
      <c r="D4574" t="s">
        <v>20</v>
      </c>
      <c r="E4574">
        <v>0</v>
      </c>
      <c r="F4574">
        <v>153000</v>
      </c>
      <c r="G4574" t="s">
        <v>31</v>
      </c>
      <c r="H4574" t="s">
        <v>27</v>
      </c>
      <c r="I4574" t="s">
        <v>28</v>
      </c>
      <c r="J4574" t="s">
        <v>24</v>
      </c>
      <c r="K4574" s="6">
        <f t="shared" ca="1" si="292"/>
        <v>33588</v>
      </c>
      <c r="L4574">
        <v>-12173</v>
      </c>
      <c r="M4574" s="7">
        <f t="shared" ca="1" si="290"/>
        <v>33.327857631759066</v>
      </c>
      <c r="N4574" s="5" t="str">
        <f ca="1">VLOOKUP(Data!M4574,temp!$B$3:$C$9,2,1)</f>
        <v>30-40</v>
      </c>
      <c r="O4574">
        <v>-309</v>
      </c>
      <c r="P4574" s="8">
        <f t="shared" si="291"/>
        <v>0.8459958932238193</v>
      </c>
      <c r="Q4574" s="5" t="str">
        <f t="shared" si="293"/>
        <v>Employed</v>
      </c>
      <c r="R4574">
        <v>1</v>
      </c>
      <c r="S4574">
        <v>0</v>
      </c>
      <c r="T4574">
        <v>0</v>
      </c>
      <c r="U4574">
        <v>0</v>
      </c>
      <c r="V4574" t="s">
        <v>29</v>
      </c>
      <c r="W4574">
        <v>2</v>
      </c>
    </row>
    <row r="4575" spans="1:23" x14ac:dyDescent="0.2">
      <c r="A4575">
        <v>5150338</v>
      </c>
      <c r="B4575" t="s">
        <v>18</v>
      </c>
      <c r="C4575" t="s">
        <v>20</v>
      </c>
      <c r="D4575" t="s">
        <v>19</v>
      </c>
      <c r="E4575">
        <v>0</v>
      </c>
      <c r="F4575">
        <v>180000</v>
      </c>
      <c r="G4575" t="s">
        <v>26</v>
      </c>
      <c r="H4575" t="s">
        <v>27</v>
      </c>
      <c r="I4575" t="s">
        <v>28</v>
      </c>
      <c r="J4575" t="s">
        <v>24</v>
      </c>
      <c r="K4575" s="6">
        <f t="shared" ca="1" si="292"/>
        <v>34373</v>
      </c>
      <c r="L4575">
        <v>-11388</v>
      </c>
      <c r="M4575" s="7">
        <f t="shared" ca="1" si="290"/>
        <v>31.178644763860369</v>
      </c>
      <c r="N4575" s="5" t="str">
        <f ca="1">VLOOKUP(Data!M4575,temp!$B$3:$C$9,2,1)</f>
        <v>30-40</v>
      </c>
      <c r="O4575">
        <v>-1315</v>
      </c>
      <c r="P4575" s="8">
        <f t="shared" si="291"/>
        <v>3.6002737850787132</v>
      </c>
      <c r="Q4575" s="5" t="str">
        <f t="shared" si="293"/>
        <v>Employed</v>
      </c>
      <c r="R4575">
        <v>1</v>
      </c>
      <c r="S4575">
        <v>0</v>
      </c>
      <c r="T4575">
        <v>0</v>
      </c>
      <c r="U4575">
        <v>0</v>
      </c>
      <c r="V4575" t="s">
        <v>38</v>
      </c>
      <c r="W4575">
        <v>2</v>
      </c>
    </row>
    <row r="4576" spans="1:23" x14ac:dyDescent="0.2">
      <c r="A4576">
        <v>5150361</v>
      </c>
      <c r="B4576" t="s">
        <v>18</v>
      </c>
      <c r="C4576" t="s">
        <v>19</v>
      </c>
      <c r="D4576" t="s">
        <v>20</v>
      </c>
      <c r="E4576">
        <v>0</v>
      </c>
      <c r="F4576">
        <v>175500</v>
      </c>
      <c r="G4576" t="s">
        <v>26</v>
      </c>
      <c r="H4576" t="s">
        <v>22</v>
      </c>
      <c r="I4576" t="s">
        <v>28</v>
      </c>
      <c r="J4576" t="s">
        <v>24</v>
      </c>
      <c r="K4576" s="6">
        <f t="shared" ca="1" si="292"/>
        <v>30513</v>
      </c>
      <c r="L4576">
        <v>-15248</v>
      </c>
      <c r="M4576" s="7">
        <f t="shared" ca="1" si="290"/>
        <v>41.746748802190282</v>
      </c>
      <c r="N4576" s="5" t="str">
        <f ca="1">VLOOKUP(Data!M4576,temp!$B$3:$C$9,2,1)</f>
        <v>40-50</v>
      </c>
      <c r="O4576">
        <v>-2227</v>
      </c>
      <c r="P4576" s="8">
        <f t="shared" si="291"/>
        <v>6.0971937029431897</v>
      </c>
      <c r="Q4576" s="5" t="str">
        <f t="shared" si="293"/>
        <v>Employed</v>
      </c>
      <c r="R4576">
        <v>1</v>
      </c>
      <c r="S4576">
        <v>1</v>
      </c>
      <c r="T4576">
        <v>1</v>
      </c>
      <c r="U4576">
        <v>0</v>
      </c>
      <c r="V4576" t="s">
        <v>32</v>
      </c>
      <c r="W4576">
        <v>2</v>
      </c>
    </row>
    <row r="4577" spans="1:23" x14ac:dyDescent="0.2">
      <c r="A4577">
        <v>5150389</v>
      </c>
      <c r="B4577" t="s">
        <v>18</v>
      </c>
      <c r="C4577" t="s">
        <v>20</v>
      </c>
      <c r="D4577" t="s">
        <v>20</v>
      </c>
      <c r="E4577">
        <v>1</v>
      </c>
      <c r="F4577">
        <v>315000</v>
      </c>
      <c r="G4577" t="s">
        <v>26</v>
      </c>
      <c r="H4577" t="s">
        <v>27</v>
      </c>
      <c r="I4577" t="s">
        <v>28</v>
      </c>
      <c r="J4577" t="s">
        <v>45</v>
      </c>
      <c r="K4577" s="6">
        <f t="shared" ca="1" si="292"/>
        <v>29666</v>
      </c>
      <c r="L4577">
        <v>-16095</v>
      </c>
      <c r="M4577" s="7">
        <f t="shared" ca="1" si="290"/>
        <v>44.06570841889117</v>
      </c>
      <c r="N4577" s="5" t="str">
        <f ca="1">VLOOKUP(Data!M4577,temp!$B$3:$C$9,2,1)</f>
        <v>40-50</v>
      </c>
      <c r="O4577">
        <v>-7979</v>
      </c>
      <c r="P4577" s="8">
        <f t="shared" si="291"/>
        <v>21.845311430527037</v>
      </c>
      <c r="Q4577" s="5" t="str">
        <f t="shared" si="293"/>
        <v>Employed</v>
      </c>
      <c r="R4577">
        <v>1</v>
      </c>
      <c r="S4577">
        <v>0</v>
      </c>
      <c r="T4577">
        <v>0</v>
      </c>
      <c r="U4577">
        <v>0</v>
      </c>
      <c r="V4577" t="s">
        <v>50</v>
      </c>
      <c r="W4577">
        <v>3</v>
      </c>
    </row>
    <row r="4578" spans="1:23" x14ac:dyDescent="0.2">
      <c r="A4578">
        <v>5150395</v>
      </c>
      <c r="B4578" t="s">
        <v>18</v>
      </c>
      <c r="C4578" t="s">
        <v>20</v>
      </c>
      <c r="D4578" t="s">
        <v>20</v>
      </c>
      <c r="E4578">
        <v>1</v>
      </c>
      <c r="F4578">
        <v>315000</v>
      </c>
      <c r="G4578" t="s">
        <v>26</v>
      </c>
      <c r="H4578" t="s">
        <v>27</v>
      </c>
      <c r="I4578" t="s">
        <v>28</v>
      </c>
      <c r="J4578" t="s">
        <v>45</v>
      </c>
      <c r="K4578" s="6">
        <f t="shared" ca="1" si="292"/>
        <v>29666</v>
      </c>
      <c r="L4578">
        <v>-16095</v>
      </c>
      <c r="M4578" s="7">
        <f t="shared" ca="1" si="290"/>
        <v>44.06570841889117</v>
      </c>
      <c r="N4578" s="5" t="str">
        <f ca="1">VLOOKUP(Data!M4578,temp!$B$3:$C$9,2,1)</f>
        <v>40-50</v>
      </c>
      <c r="O4578">
        <v>-7979</v>
      </c>
      <c r="P4578" s="8">
        <f t="shared" si="291"/>
        <v>21.845311430527037</v>
      </c>
      <c r="Q4578" s="5" t="str">
        <f t="shared" si="293"/>
        <v>Employed</v>
      </c>
      <c r="R4578">
        <v>1</v>
      </c>
      <c r="S4578">
        <v>0</v>
      </c>
      <c r="T4578">
        <v>0</v>
      </c>
      <c r="U4578">
        <v>0</v>
      </c>
      <c r="V4578" t="s">
        <v>50</v>
      </c>
      <c r="W4578">
        <v>3</v>
      </c>
    </row>
    <row r="4579" spans="1:23" x14ac:dyDescent="0.2">
      <c r="A4579">
        <v>5150400</v>
      </c>
      <c r="B4579" t="s">
        <v>25</v>
      </c>
      <c r="C4579" t="s">
        <v>20</v>
      </c>
      <c r="D4579" t="s">
        <v>20</v>
      </c>
      <c r="E4579">
        <v>2</v>
      </c>
      <c r="F4579">
        <v>157500</v>
      </c>
      <c r="G4579" t="s">
        <v>31</v>
      </c>
      <c r="H4579" t="s">
        <v>27</v>
      </c>
      <c r="I4579" t="s">
        <v>28</v>
      </c>
      <c r="J4579" t="s">
        <v>24</v>
      </c>
      <c r="K4579" s="6">
        <f t="shared" ca="1" si="292"/>
        <v>31449</v>
      </c>
      <c r="L4579">
        <v>-14312</v>
      </c>
      <c r="M4579" s="7">
        <f t="shared" ca="1" si="290"/>
        <v>39.184120465434631</v>
      </c>
      <c r="N4579" s="5" t="str">
        <f ca="1">VLOOKUP(Data!M4579,temp!$B$3:$C$9,2,1)</f>
        <v>30-40</v>
      </c>
      <c r="O4579">
        <v>-4480</v>
      </c>
      <c r="P4579" s="8">
        <f t="shared" si="291"/>
        <v>12.265571526351813</v>
      </c>
      <c r="Q4579" s="5" t="str">
        <f t="shared" si="293"/>
        <v>Employed</v>
      </c>
      <c r="R4579">
        <v>1</v>
      </c>
      <c r="S4579">
        <v>1</v>
      </c>
      <c r="T4579">
        <v>1</v>
      </c>
      <c r="U4579">
        <v>0</v>
      </c>
      <c r="V4579" t="s">
        <v>29</v>
      </c>
      <c r="W4579">
        <v>4</v>
      </c>
    </row>
    <row r="4580" spans="1:23" x14ac:dyDescent="0.2">
      <c r="A4580">
        <v>5150401</v>
      </c>
      <c r="B4580" t="s">
        <v>25</v>
      </c>
      <c r="C4580" t="s">
        <v>20</v>
      </c>
      <c r="D4580" t="s">
        <v>20</v>
      </c>
      <c r="E4580">
        <v>2</v>
      </c>
      <c r="F4580">
        <v>157500</v>
      </c>
      <c r="G4580" t="s">
        <v>31</v>
      </c>
      <c r="H4580" t="s">
        <v>27</v>
      </c>
      <c r="I4580" t="s">
        <v>28</v>
      </c>
      <c r="J4580" t="s">
        <v>24</v>
      </c>
      <c r="K4580" s="6">
        <f t="shared" ca="1" si="292"/>
        <v>31449</v>
      </c>
      <c r="L4580">
        <v>-14312</v>
      </c>
      <c r="M4580" s="7">
        <f t="shared" ca="1" si="290"/>
        <v>39.184120465434631</v>
      </c>
      <c r="N4580" s="5" t="str">
        <f ca="1">VLOOKUP(Data!M4580,temp!$B$3:$C$9,2,1)</f>
        <v>30-40</v>
      </c>
      <c r="O4580">
        <v>-4480</v>
      </c>
      <c r="P4580" s="8">
        <f t="shared" si="291"/>
        <v>12.265571526351813</v>
      </c>
      <c r="Q4580" s="5" t="str">
        <f t="shared" si="293"/>
        <v>Employed</v>
      </c>
      <c r="R4580">
        <v>1</v>
      </c>
      <c r="S4580">
        <v>1</v>
      </c>
      <c r="T4580">
        <v>1</v>
      </c>
      <c r="U4580">
        <v>0</v>
      </c>
      <c r="V4580" t="s">
        <v>29</v>
      </c>
      <c r="W4580">
        <v>4</v>
      </c>
    </row>
    <row r="4581" spans="1:23" x14ac:dyDescent="0.2">
      <c r="A4581">
        <v>5150411</v>
      </c>
      <c r="B4581" t="s">
        <v>18</v>
      </c>
      <c r="C4581" t="s">
        <v>19</v>
      </c>
      <c r="D4581" t="s">
        <v>20</v>
      </c>
      <c r="E4581">
        <v>0</v>
      </c>
      <c r="F4581">
        <v>67500</v>
      </c>
      <c r="G4581" t="s">
        <v>21</v>
      </c>
      <c r="H4581" t="s">
        <v>27</v>
      </c>
      <c r="I4581" t="s">
        <v>42</v>
      </c>
      <c r="J4581" t="s">
        <v>24</v>
      </c>
      <c r="K4581" s="6">
        <f t="shared" ca="1" si="292"/>
        <v>23645</v>
      </c>
      <c r="L4581">
        <v>-22116</v>
      </c>
      <c r="M4581" s="7">
        <f t="shared" ca="1" si="290"/>
        <v>60.550308008213555</v>
      </c>
      <c r="N4581" s="5" t="str">
        <f ca="1">VLOOKUP(Data!M4581,temp!$B$3:$C$9,2,1)</f>
        <v>60-70</v>
      </c>
      <c r="O4581">
        <v>365243</v>
      </c>
      <c r="P4581" s="8">
        <f t="shared" si="291"/>
        <v>0</v>
      </c>
      <c r="Q4581" s="5" t="str">
        <f t="shared" si="293"/>
        <v>Unemployed</v>
      </c>
      <c r="R4581">
        <v>1</v>
      </c>
      <c r="S4581">
        <v>0</v>
      </c>
      <c r="T4581">
        <v>0</v>
      </c>
      <c r="U4581">
        <v>0</v>
      </c>
      <c r="W4581">
        <v>1</v>
      </c>
    </row>
    <row r="4582" spans="1:23" x14ac:dyDescent="0.2">
      <c r="A4582">
        <v>5150416</v>
      </c>
      <c r="B4582" t="s">
        <v>18</v>
      </c>
      <c r="C4582" t="s">
        <v>19</v>
      </c>
      <c r="D4582" t="s">
        <v>20</v>
      </c>
      <c r="E4582">
        <v>0</v>
      </c>
      <c r="F4582">
        <v>67500</v>
      </c>
      <c r="G4582" t="s">
        <v>21</v>
      </c>
      <c r="H4582" t="s">
        <v>27</v>
      </c>
      <c r="I4582" t="s">
        <v>42</v>
      </c>
      <c r="J4582" t="s">
        <v>24</v>
      </c>
      <c r="K4582" s="6">
        <f t="shared" ca="1" si="292"/>
        <v>23645</v>
      </c>
      <c r="L4582">
        <v>-22116</v>
      </c>
      <c r="M4582" s="7">
        <f t="shared" ca="1" si="290"/>
        <v>60.550308008213555</v>
      </c>
      <c r="N4582" s="5" t="str">
        <f ca="1">VLOOKUP(Data!M4582,temp!$B$3:$C$9,2,1)</f>
        <v>60-70</v>
      </c>
      <c r="O4582">
        <v>365243</v>
      </c>
      <c r="P4582" s="8">
        <f t="shared" si="291"/>
        <v>0</v>
      </c>
      <c r="Q4582" s="5" t="str">
        <f t="shared" si="293"/>
        <v>Unemployed</v>
      </c>
      <c r="R4582">
        <v>1</v>
      </c>
      <c r="S4582">
        <v>0</v>
      </c>
      <c r="T4582">
        <v>0</v>
      </c>
      <c r="U4582">
        <v>0</v>
      </c>
      <c r="W4582">
        <v>1</v>
      </c>
    </row>
    <row r="4583" spans="1:23" x14ac:dyDescent="0.2">
      <c r="A4583">
        <v>5150478</v>
      </c>
      <c r="B4583" t="s">
        <v>25</v>
      </c>
      <c r="C4583" t="s">
        <v>20</v>
      </c>
      <c r="D4583" t="s">
        <v>20</v>
      </c>
      <c r="E4583">
        <v>0</v>
      </c>
      <c r="F4583">
        <v>202500</v>
      </c>
      <c r="G4583" t="s">
        <v>31</v>
      </c>
      <c r="H4583" t="s">
        <v>27</v>
      </c>
      <c r="I4583" t="s">
        <v>37</v>
      </c>
      <c r="J4583" t="s">
        <v>24</v>
      </c>
      <c r="K4583" s="6">
        <f t="shared" ca="1" si="292"/>
        <v>34875</v>
      </c>
      <c r="L4583">
        <v>-10886</v>
      </c>
      <c r="M4583" s="7">
        <f t="shared" ca="1" si="290"/>
        <v>29.804243668720055</v>
      </c>
      <c r="N4583" s="5" t="str">
        <f ca="1">VLOOKUP(Data!M4583,temp!$B$3:$C$9,2,1)</f>
        <v>20-30</v>
      </c>
      <c r="O4583">
        <v>-1315</v>
      </c>
      <c r="P4583" s="8">
        <f t="shared" si="291"/>
        <v>3.6002737850787132</v>
      </c>
      <c r="Q4583" s="5" t="str">
        <f t="shared" si="293"/>
        <v>Employed</v>
      </c>
      <c r="R4583">
        <v>1</v>
      </c>
      <c r="S4583">
        <v>1</v>
      </c>
      <c r="T4583">
        <v>0</v>
      </c>
      <c r="U4583">
        <v>0</v>
      </c>
      <c r="V4583" t="s">
        <v>29</v>
      </c>
      <c r="W458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2D418-F28D-47E0-BA9D-0F31FDC125CC}">
  <dimension ref="B1:G9"/>
  <sheetViews>
    <sheetView workbookViewId="0">
      <selection activeCell="G8" sqref="G8"/>
    </sheetView>
  </sheetViews>
  <sheetFormatPr defaultRowHeight="15" x14ac:dyDescent="0.2"/>
  <cols>
    <col min="3" max="3" width="10.4921875" bestFit="1" customWidth="1"/>
  </cols>
  <sheetData>
    <row r="1" spans="2:7" x14ac:dyDescent="0.2">
      <c r="B1" s="11" t="s">
        <v>62</v>
      </c>
      <c r="C1" s="12" t="s">
        <v>66</v>
      </c>
      <c r="D1" s="1"/>
      <c r="E1" s="1"/>
      <c r="F1" s="1"/>
      <c r="G1" s="1"/>
    </row>
    <row r="2" spans="2:7" x14ac:dyDescent="0.2">
      <c r="B2" s="11"/>
      <c r="C2" s="13"/>
      <c r="D2" s="2"/>
      <c r="E2" s="1"/>
      <c r="F2" s="1"/>
      <c r="G2" s="1"/>
    </row>
    <row r="3" spans="2:7" x14ac:dyDescent="0.2">
      <c r="B3" s="11">
        <v>10</v>
      </c>
      <c r="C3" s="14" t="s">
        <v>73</v>
      </c>
      <c r="D3" s="1"/>
      <c r="E3" s="1"/>
      <c r="F3" s="1"/>
      <c r="G3" s="1"/>
    </row>
    <row r="4" spans="2:7" x14ac:dyDescent="0.2">
      <c r="B4" s="11">
        <v>20</v>
      </c>
      <c r="C4" s="12" t="s">
        <v>67</v>
      </c>
      <c r="D4" s="1"/>
      <c r="E4" s="1"/>
      <c r="F4" s="1"/>
      <c r="G4" s="1"/>
    </row>
    <row r="5" spans="2:7" x14ac:dyDescent="0.2">
      <c r="B5" s="11">
        <v>30</v>
      </c>
      <c r="C5" s="12" t="s">
        <v>68</v>
      </c>
      <c r="D5" s="1"/>
      <c r="E5" s="1"/>
      <c r="F5" s="1"/>
      <c r="G5" s="1"/>
    </row>
    <row r="6" spans="2:7" x14ac:dyDescent="0.2">
      <c r="B6" s="11">
        <v>40</v>
      </c>
      <c r="C6" s="12" t="s">
        <v>69</v>
      </c>
    </row>
    <row r="7" spans="2:7" x14ac:dyDescent="0.2">
      <c r="B7" s="11">
        <v>50</v>
      </c>
      <c r="C7" s="12" t="s">
        <v>70</v>
      </c>
    </row>
    <row r="8" spans="2:7" x14ac:dyDescent="0.2">
      <c r="B8" s="11">
        <v>60</v>
      </c>
      <c r="C8" s="12" t="s">
        <v>71</v>
      </c>
    </row>
    <row r="9" spans="2:7" x14ac:dyDescent="0.2">
      <c r="B9" s="11">
        <v>70</v>
      </c>
      <c r="C9" s="12" t="s">
        <v>72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5FDF-743B-4AFA-A332-8C160530299A}">
  <dimension ref="A3:D10"/>
  <sheetViews>
    <sheetView tabSelected="1" workbookViewId="0">
      <selection activeCell="E28" sqref="E28"/>
    </sheetView>
  </sheetViews>
  <sheetFormatPr defaultRowHeight="15" x14ac:dyDescent="0.2"/>
  <cols>
    <col min="1" max="1" width="21.65625" bestFit="1" customWidth="1"/>
    <col min="2" max="2" width="9.28125" bestFit="1" customWidth="1"/>
    <col min="3" max="3" width="4.9765625" bestFit="1" customWidth="1"/>
    <col min="4" max="4" width="10.76171875" bestFit="1" customWidth="1"/>
    <col min="5" max="73" width="4.5703125" bestFit="1" customWidth="1"/>
    <col min="74" max="74" width="5.51171875" bestFit="1" customWidth="1"/>
    <col min="75" max="254" width="4.5703125" bestFit="1" customWidth="1"/>
    <col min="255" max="255" width="5.51171875" bestFit="1" customWidth="1"/>
    <col min="256" max="263" width="4.5703125" bestFit="1" customWidth="1"/>
    <col min="264" max="264" width="5.51171875" bestFit="1" customWidth="1"/>
    <col min="265" max="318" width="4.5703125" bestFit="1" customWidth="1"/>
    <col min="319" max="319" width="5.51171875" bestFit="1" customWidth="1"/>
    <col min="320" max="320" width="4.5703125" bestFit="1" customWidth="1"/>
    <col min="321" max="321" width="5.51171875" bestFit="1" customWidth="1"/>
    <col min="322" max="322" width="4.5703125" bestFit="1" customWidth="1"/>
    <col min="323" max="323" width="5.51171875" bestFit="1" customWidth="1"/>
    <col min="324" max="333" width="4.5703125" bestFit="1" customWidth="1"/>
    <col min="334" max="334" width="5.51171875" bestFit="1" customWidth="1"/>
    <col min="335" max="345" width="4.5703125" bestFit="1" customWidth="1"/>
    <col min="346" max="346" width="5.51171875" bestFit="1" customWidth="1"/>
    <col min="347" max="408" width="4.5703125" bestFit="1" customWidth="1"/>
    <col min="409" max="409" width="5.51171875" bestFit="1" customWidth="1"/>
    <col min="410" max="468" width="4.5703125" bestFit="1" customWidth="1"/>
    <col min="469" max="469" width="5.51171875" bestFit="1" customWidth="1"/>
    <col min="470" max="504" width="4.5703125" bestFit="1" customWidth="1"/>
    <col min="505" max="505" width="5.51171875" bestFit="1" customWidth="1"/>
    <col min="506" max="558" width="4.5703125" bestFit="1" customWidth="1"/>
    <col min="559" max="559" width="5.51171875" bestFit="1" customWidth="1"/>
    <col min="560" max="570" width="4.5703125" bestFit="1" customWidth="1"/>
    <col min="571" max="571" width="5.51171875" bestFit="1" customWidth="1"/>
    <col min="572" max="600" width="4.5703125" bestFit="1" customWidth="1"/>
    <col min="601" max="601" width="5.51171875" bestFit="1" customWidth="1"/>
    <col min="602" max="622" width="4.5703125" bestFit="1" customWidth="1"/>
    <col min="623" max="623" width="5.51171875" bestFit="1" customWidth="1"/>
    <col min="624" max="627" width="4.5703125" bestFit="1" customWidth="1"/>
    <col min="628" max="628" width="5.51171875" bestFit="1" customWidth="1"/>
    <col min="629" max="682" width="4.5703125" bestFit="1" customWidth="1"/>
    <col min="683" max="683" width="5.51171875" bestFit="1" customWidth="1"/>
    <col min="684" max="702" width="4.5703125" bestFit="1" customWidth="1"/>
    <col min="703" max="703" width="5.51171875" bestFit="1" customWidth="1"/>
    <col min="704" max="705" width="4.5703125" bestFit="1" customWidth="1"/>
    <col min="706" max="706" width="5.51171875" bestFit="1" customWidth="1"/>
    <col min="707" max="721" width="4.5703125" bestFit="1" customWidth="1"/>
    <col min="722" max="722" width="5.51171875" bestFit="1" customWidth="1"/>
    <col min="723" max="724" width="4.5703125" bestFit="1" customWidth="1"/>
    <col min="725" max="725" width="5.51171875" bestFit="1" customWidth="1"/>
    <col min="726" max="739" width="4.5703125" bestFit="1" customWidth="1"/>
    <col min="740" max="740" width="5.51171875" bestFit="1" customWidth="1"/>
    <col min="741" max="742" width="4.5703125" bestFit="1" customWidth="1"/>
    <col min="743" max="744" width="5.51171875" bestFit="1" customWidth="1"/>
    <col min="745" max="756" width="4.5703125" bestFit="1" customWidth="1"/>
    <col min="757" max="757" width="5.51171875" bestFit="1" customWidth="1"/>
    <col min="758" max="774" width="4.5703125" bestFit="1" customWidth="1"/>
    <col min="775" max="775" width="5.51171875" bestFit="1" customWidth="1"/>
    <col min="776" max="778" width="4.5703125" bestFit="1" customWidth="1"/>
    <col min="779" max="779" width="5.51171875" bestFit="1" customWidth="1"/>
    <col min="780" max="786" width="4.5703125" bestFit="1" customWidth="1"/>
    <col min="787" max="787" width="5.51171875" bestFit="1" customWidth="1"/>
    <col min="788" max="796" width="4.5703125" bestFit="1" customWidth="1"/>
    <col min="797" max="797" width="5.51171875" bestFit="1" customWidth="1"/>
    <col min="798" max="811" width="4.5703125" bestFit="1" customWidth="1"/>
    <col min="812" max="813" width="5.51171875" bestFit="1" customWidth="1"/>
    <col min="814" max="814" width="4.5703125" bestFit="1" customWidth="1"/>
    <col min="815" max="815" width="5.51171875" bestFit="1" customWidth="1"/>
    <col min="816" max="822" width="4.5703125" bestFit="1" customWidth="1"/>
    <col min="823" max="823" width="5.51171875" bestFit="1" customWidth="1"/>
    <col min="824" max="827" width="4.5703125" bestFit="1" customWidth="1"/>
    <col min="828" max="828" width="5.51171875" bestFit="1" customWidth="1"/>
    <col min="829" max="833" width="4.5703125" bestFit="1" customWidth="1"/>
    <col min="834" max="834" width="5.51171875" bestFit="1" customWidth="1"/>
    <col min="835" max="844" width="4.5703125" bestFit="1" customWidth="1"/>
    <col min="845" max="845" width="5.51171875" bestFit="1" customWidth="1"/>
    <col min="846" max="854" width="4.5703125" bestFit="1" customWidth="1"/>
    <col min="855" max="855" width="5.51171875" bestFit="1" customWidth="1"/>
    <col min="856" max="859" width="4.5703125" bestFit="1" customWidth="1"/>
    <col min="860" max="860" width="5.51171875" bestFit="1" customWidth="1"/>
    <col min="861" max="863" width="4.5703125" bestFit="1" customWidth="1"/>
    <col min="864" max="864" width="5.51171875" bestFit="1" customWidth="1"/>
    <col min="865" max="894" width="4.5703125" bestFit="1" customWidth="1"/>
    <col min="895" max="895" width="5.51171875" bestFit="1" customWidth="1"/>
    <col min="896" max="897" width="4.5703125" bestFit="1" customWidth="1"/>
    <col min="898" max="898" width="5.51171875" bestFit="1" customWidth="1"/>
    <col min="899" max="902" width="4.5703125" bestFit="1" customWidth="1"/>
    <col min="903" max="903" width="5.51171875" bestFit="1" customWidth="1"/>
    <col min="904" max="909" width="4.5703125" bestFit="1" customWidth="1"/>
    <col min="910" max="910" width="5.51171875" bestFit="1" customWidth="1"/>
    <col min="911" max="918" width="4.5703125" bestFit="1" customWidth="1"/>
    <col min="919" max="919" width="5.51171875" bestFit="1" customWidth="1"/>
    <col min="920" max="923" width="4.5703125" bestFit="1" customWidth="1"/>
    <col min="924" max="925" width="5.51171875" bestFit="1" customWidth="1"/>
    <col min="926" max="927" width="4.5703125" bestFit="1" customWidth="1"/>
    <col min="928" max="928" width="5.51171875" bestFit="1" customWidth="1"/>
    <col min="929" max="929" width="4.5703125" bestFit="1" customWidth="1"/>
    <col min="930" max="930" width="5.51171875" bestFit="1" customWidth="1"/>
    <col min="931" max="931" width="4.5703125" bestFit="1" customWidth="1"/>
    <col min="932" max="932" width="5.51171875" bestFit="1" customWidth="1"/>
    <col min="933" max="952" width="4.5703125" bestFit="1" customWidth="1"/>
    <col min="953" max="954" width="5.51171875" bestFit="1" customWidth="1"/>
    <col min="955" max="967" width="4.5703125" bestFit="1" customWidth="1"/>
    <col min="968" max="968" width="5.51171875" bestFit="1" customWidth="1"/>
    <col min="969" max="971" width="4.5703125" bestFit="1" customWidth="1"/>
    <col min="972" max="972" width="5.51171875" bestFit="1" customWidth="1"/>
    <col min="973" max="989" width="4.5703125" bestFit="1" customWidth="1"/>
    <col min="990" max="990" width="5.51171875" bestFit="1" customWidth="1"/>
    <col min="991" max="997" width="4.5703125" bestFit="1" customWidth="1"/>
    <col min="998" max="998" width="5.51171875" bestFit="1" customWidth="1"/>
    <col min="999" max="1006" width="4.5703125" bestFit="1" customWidth="1"/>
    <col min="1007" max="1007" width="5.51171875" bestFit="1" customWidth="1"/>
    <col min="1008" max="1009" width="4.5703125" bestFit="1" customWidth="1"/>
    <col min="1010" max="1010" width="5.51171875" bestFit="1" customWidth="1"/>
    <col min="1011" max="1011" width="4.5703125" bestFit="1" customWidth="1"/>
    <col min="1012" max="1012" width="5.51171875" bestFit="1" customWidth="1"/>
    <col min="1013" max="1014" width="4.5703125" bestFit="1" customWidth="1"/>
    <col min="1015" max="1016" width="5.51171875" bestFit="1" customWidth="1"/>
    <col min="1017" max="1017" width="4.5703125" bestFit="1" customWidth="1"/>
    <col min="1018" max="1018" width="5.51171875" bestFit="1" customWidth="1"/>
    <col min="1019" max="1022" width="4.5703125" bestFit="1" customWidth="1"/>
    <col min="1023" max="1023" width="5.51171875" bestFit="1" customWidth="1"/>
    <col min="1024" max="1028" width="4.5703125" bestFit="1" customWidth="1"/>
    <col min="1029" max="1029" width="5.51171875" bestFit="1" customWidth="1"/>
    <col min="1030" max="1031" width="4.5703125" bestFit="1" customWidth="1"/>
    <col min="1032" max="1032" width="5.51171875" bestFit="1" customWidth="1"/>
    <col min="1033" max="1035" width="4.5703125" bestFit="1" customWidth="1"/>
    <col min="1036" max="1036" width="5.51171875" bestFit="1" customWidth="1"/>
    <col min="1037" max="1046" width="4.5703125" bestFit="1" customWidth="1"/>
    <col min="1047" max="1047" width="5.51171875" bestFit="1" customWidth="1"/>
    <col min="1048" max="1050" width="4.5703125" bestFit="1" customWidth="1"/>
    <col min="1051" max="1051" width="5.51171875" bestFit="1" customWidth="1"/>
    <col min="1052" max="1053" width="4.5703125" bestFit="1" customWidth="1"/>
    <col min="1054" max="1054" width="5.51171875" bestFit="1" customWidth="1"/>
    <col min="1055" max="1055" width="4.5703125" bestFit="1" customWidth="1"/>
    <col min="1056" max="1056" width="5.51171875" bestFit="1" customWidth="1"/>
    <col min="1057" max="1057" width="4.5703125" bestFit="1" customWidth="1"/>
    <col min="1058" max="1058" width="5.51171875" bestFit="1" customWidth="1"/>
    <col min="1059" max="1067" width="4.5703125" bestFit="1" customWidth="1"/>
    <col min="1068" max="1068" width="5.51171875" bestFit="1" customWidth="1"/>
    <col min="1069" max="1076" width="4.5703125" bestFit="1" customWidth="1"/>
    <col min="1077" max="1077" width="5.51171875" bestFit="1" customWidth="1"/>
    <col min="1078" max="1078" width="4.5703125" bestFit="1" customWidth="1"/>
    <col min="1079" max="1079" width="5.51171875" bestFit="1" customWidth="1"/>
    <col min="1080" max="1081" width="4.5703125" bestFit="1" customWidth="1"/>
    <col min="1082" max="1082" width="5.51171875" bestFit="1" customWidth="1"/>
    <col min="1083" max="1084" width="4.5703125" bestFit="1" customWidth="1"/>
    <col min="1085" max="1085" width="5.51171875" bestFit="1" customWidth="1"/>
    <col min="1086" max="1089" width="4.5703125" bestFit="1" customWidth="1"/>
    <col min="1090" max="1090" width="5.51171875" bestFit="1" customWidth="1"/>
    <col min="1091" max="1097" width="4.5703125" bestFit="1" customWidth="1"/>
    <col min="1098" max="1098" width="5.51171875" bestFit="1" customWidth="1"/>
    <col min="1099" max="1121" width="4.5703125" bestFit="1" customWidth="1"/>
    <col min="1122" max="1122" width="5.51171875" bestFit="1" customWidth="1"/>
    <col min="1123" max="1123" width="4.5703125" bestFit="1" customWidth="1"/>
    <col min="1124" max="1124" width="5.51171875" bestFit="1" customWidth="1"/>
    <col min="1125" max="1135" width="4.5703125" bestFit="1" customWidth="1"/>
    <col min="1136" max="1136" width="5.51171875" bestFit="1" customWidth="1"/>
    <col min="1137" max="1139" width="4.5703125" bestFit="1" customWidth="1"/>
    <col min="1140" max="1140" width="5.51171875" bestFit="1" customWidth="1"/>
    <col min="1141" max="1144" width="4.5703125" bestFit="1" customWidth="1"/>
    <col min="1145" max="1145" width="5.51171875" bestFit="1" customWidth="1"/>
    <col min="1146" max="1150" width="4.5703125" bestFit="1" customWidth="1"/>
    <col min="1151" max="1151" width="5.51171875" bestFit="1" customWidth="1"/>
    <col min="1152" max="1153" width="4.5703125" bestFit="1" customWidth="1"/>
    <col min="1154" max="1154" width="5.51171875" bestFit="1" customWidth="1"/>
    <col min="1155" max="1155" width="4.5703125" bestFit="1" customWidth="1"/>
    <col min="1156" max="1156" width="5.51171875" bestFit="1" customWidth="1"/>
    <col min="1157" max="1161" width="4.5703125" bestFit="1" customWidth="1"/>
    <col min="1162" max="1162" width="5.51171875" bestFit="1" customWidth="1"/>
    <col min="1163" max="1169" width="4.5703125" bestFit="1" customWidth="1"/>
    <col min="1170" max="1170" width="5.51171875" bestFit="1" customWidth="1"/>
    <col min="1171" max="1179" width="4.5703125" bestFit="1" customWidth="1"/>
    <col min="1180" max="1180" width="5.51171875" bestFit="1" customWidth="1"/>
    <col min="1181" max="1185" width="4.5703125" bestFit="1" customWidth="1"/>
    <col min="1186" max="1186" width="5.51171875" bestFit="1" customWidth="1"/>
    <col min="1187" max="1187" width="4.5703125" bestFit="1" customWidth="1"/>
    <col min="1188" max="1188" width="5.51171875" bestFit="1" customWidth="1"/>
    <col min="1189" max="1190" width="4.5703125" bestFit="1" customWidth="1"/>
    <col min="1191" max="1191" width="5.51171875" bestFit="1" customWidth="1"/>
    <col min="1192" max="1198" width="4.5703125" bestFit="1" customWidth="1"/>
    <col min="1199" max="1199" width="5.51171875" bestFit="1" customWidth="1"/>
    <col min="1200" max="1205" width="4.5703125" bestFit="1" customWidth="1"/>
    <col min="1206" max="1206" width="5.51171875" bestFit="1" customWidth="1"/>
    <col min="1207" max="1210" width="4.5703125" bestFit="1" customWidth="1"/>
    <col min="1211" max="1211" width="5.51171875" bestFit="1" customWidth="1"/>
    <col min="1212" max="1218" width="4.5703125" bestFit="1" customWidth="1"/>
    <col min="1219" max="1219" width="5.51171875" bestFit="1" customWidth="1"/>
    <col min="1220" max="1221" width="4.5703125" bestFit="1" customWidth="1"/>
    <col min="1222" max="1222" width="5.51171875" bestFit="1" customWidth="1"/>
    <col min="1223" max="1224" width="4.5703125" bestFit="1" customWidth="1"/>
    <col min="1225" max="1225" width="5.51171875" bestFit="1" customWidth="1"/>
    <col min="1226" max="1227" width="4.5703125" bestFit="1" customWidth="1"/>
    <col min="1228" max="1228" width="5.51171875" bestFit="1" customWidth="1"/>
    <col min="1229" max="1230" width="4.5703125" bestFit="1" customWidth="1"/>
    <col min="1231" max="1231" width="5.51171875" bestFit="1" customWidth="1"/>
    <col min="1232" max="1240" width="4.5703125" bestFit="1" customWidth="1"/>
    <col min="1241" max="1241" width="5.51171875" bestFit="1" customWidth="1"/>
    <col min="1242" max="1250" width="4.5703125" bestFit="1" customWidth="1"/>
    <col min="1251" max="1251" width="5.51171875" bestFit="1" customWidth="1"/>
    <col min="1252" max="1266" width="4.5703125" bestFit="1" customWidth="1"/>
    <col min="1267" max="1267" width="5.51171875" bestFit="1" customWidth="1"/>
    <col min="1268" max="1277" width="4.5703125" bestFit="1" customWidth="1"/>
    <col min="1278" max="1278" width="5.51171875" bestFit="1" customWidth="1"/>
    <col min="1279" max="1280" width="4.5703125" bestFit="1" customWidth="1"/>
    <col min="1281" max="1281" width="5.51171875" bestFit="1" customWidth="1"/>
    <col min="1282" max="1284" width="4.5703125" bestFit="1" customWidth="1"/>
    <col min="1285" max="1285" width="5.51171875" bestFit="1" customWidth="1"/>
    <col min="1286" max="1303" width="4.5703125" bestFit="1" customWidth="1"/>
    <col min="1304" max="1304" width="5.51171875" bestFit="1" customWidth="1"/>
    <col min="1305" max="1307" width="4.5703125" bestFit="1" customWidth="1"/>
    <col min="1308" max="1308" width="5.51171875" bestFit="1" customWidth="1"/>
    <col min="1309" max="1309" width="4.5703125" bestFit="1" customWidth="1"/>
    <col min="1310" max="1310" width="5.51171875" bestFit="1" customWidth="1"/>
    <col min="1311" max="1312" width="4.5703125" bestFit="1" customWidth="1"/>
    <col min="1313" max="1313" width="5.51171875" bestFit="1" customWidth="1"/>
    <col min="1314" max="1314" width="4.5703125" bestFit="1" customWidth="1"/>
    <col min="1315" max="1315" width="5.51171875" bestFit="1" customWidth="1"/>
    <col min="1316" max="1320" width="4.5703125" bestFit="1" customWidth="1"/>
    <col min="1321" max="1321" width="5.51171875" bestFit="1" customWidth="1"/>
    <col min="1322" max="1326" width="4.5703125" bestFit="1" customWidth="1"/>
    <col min="1327" max="1327" width="5.51171875" bestFit="1" customWidth="1"/>
    <col min="1328" max="1333" width="4.5703125" bestFit="1" customWidth="1"/>
    <col min="1334" max="1334" width="5.51171875" bestFit="1" customWidth="1"/>
    <col min="1335" max="1344" width="4.5703125" bestFit="1" customWidth="1"/>
    <col min="1345" max="1346" width="5.51171875" bestFit="1" customWidth="1"/>
    <col min="1347" max="1354" width="4.5703125" bestFit="1" customWidth="1"/>
    <col min="1355" max="1355" width="5.51171875" bestFit="1" customWidth="1"/>
    <col min="1356" max="1368" width="4.5703125" bestFit="1" customWidth="1"/>
    <col min="1369" max="1369" width="5.51171875" bestFit="1" customWidth="1"/>
    <col min="1370" max="1371" width="4.5703125" bestFit="1" customWidth="1"/>
    <col min="1372" max="1373" width="5.51171875" bestFit="1" customWidth="1"/>
    <col min="1374" max="1377" width="4.5703125" bestFit="1" customWidth="1"/>
    <col min="1378" max="1378" width="5.51171875" bestFit="1" customWidth="1"/>
    <col min="1379" max="1379" width="4.5703125" bestFit="1" customWidth="1"/>
    <col min="1380" max="1380" width="5.51171875" bestFit="1" customWidth="1"/>
    <col min="1381" max="1388" width="4.5703125" bestFit="1" customWidth="1"/>
    <col min="1389" max="1389" width="5.51171875" bestFit="1" customWidth="1"/>
    <col min="1390" max="1400" width="4.5703125" bestFit="1" customWidth="1"/>
    <col min="1401" max="1401" width="5.51171875" bestFit="1" customWidth="1"/>
    <col min="1402" max="1402" width="4.5703125" bestFit="1" customWidth="1"/>
    <col min="1403" max="1403" width="5.51171875" bestFit="1" customWidth="1"/>
    <col min="1404" max="1408" width="4.5703125" bestFit="1" customWidth="1"/>
    <col min="1409" max="1409" width="5.51171875" bestFit="1" customWidth="1"/>
    <col min="1410" max="1413" width="4.5703125" bestFit="1" customWidth="1"/>
    <col min="1414" max="1414" width="5.51171875" bestFit="1" customWidth="1"/>
    <col min="1415" max="1416" width="4.5703125" bestFit="1" customWidth="1"/>
    <col min="1417" max="1417" width="5.51171875" bestFit="1" customWidth="1"/>
    <col min="1418" max="1430" width="4.5703125" bestFit="1" customWidth="1"/>
    <col min="1431" max="1431" width="5.51171875" bestFit="1" customWidth="1"/>
    <col min="1432" max="1432" width="4.5703125" bestFit="1" customWidth="1"/>
    <col min="1433" max="1434" width="5.51171875" bestFit="1" customWidth="1"/>
    <col min="1435" max="1451" width="4.5703125" bestFit="1" customWidth="1"/>
    <col min="1452" max="1452" width="5.51171875" bestFit="1" customWidth="1"/>
    <col min="1453" max="1454" width="4.5703125" bestFit="1" customWidth="1"/>
    <col min="1455" max="1456" width="5.51171875" bestFit="1" customWidth="1"/>
    <col min="1457" max="1462" width="4.5703125" bestFit="1" customWidth="1"/>
    <col min="1463" max="1463" width="5.51171875" bestFit="1" customWidth="1"/>
    <col min="1464" max="1467" width="4.5703125" bestFit="1" customWidth="1"/>
    <col min="1468" max="1468" width="5.51171875" bestFit="1" customWidth="1"/>
    <col min="1469" max="1475" width="4.5703125" bestFit="1" customWidth="1"/>
    <col min="1476" max="1476" width="5.51171875" bestFit="1" customWidth="1"/>
    <col min="1477" max="1479" width="4.5703125" bestFit="1" customWidth="1"/>
    <col min="1480" max="1480" width="5.51171875" bestFit="1" customWidth="1"/>
    <col min="1481" max="1488" width="4.5703125" bestFit="1" customWidth="1"/>
    <col min="1489" max="1489" width="5.51171875" bestFit="1" customWidth="1"/>
    <col min="1490" max="1493" width="4.5703125" bestFit="1" customWidth="1"/>
    <col min="1494" max="1494" width="5.51171875" bestFit="1" customWidth="1"/>
    <col min="1495" max="1504" width="4.5703125" bestFit="1" customWidth="1"/>
    <col min="1505" max="1505" width="5.51171875" bestFit="1" customWidth="1"/>
    <col min="1506" max="1508" width="4.5703125" bestFit="1" customWidth="1"/>
    <col min="1509" max="1509" width="5.51171875" bestFit="1" customWidth="1"/>
    <col min="1510" max="1520" width="4.5703125" bestFit="1" customWidth="1"/>
    <col min="1521" max="1521" width="5.51171875" bestFit="1" customWidth="1"/>
    <col min="1522" max="1524" width="4.5703125" bestFit="1" customWidth="1"/>
    <col min="1525" max="1525" width="5.51171875" bestFit="1" customWidth="1"/>
    <col min="1526" max="1530" width="4.5703125" bestFit="1" customWidth="1"/>
    <col min="1531" max="1532" width="5.51171875" bestFit="1" customWidth="1"/>
    <col min="1533" max="1544" width="4.5703125" bestFit="1" customWidth="1"/>
    <col min="1545" max="1546" width="5.51171875" bestFit="1" customWidth="1"/>
    <col min="1547" max="1556" width="4.5703125" bestFit="1" customWidth="1"/>
    <col min="1557" max="1557" width="5.51171875" bestFit="1" customWidth="1"/>
    <col min="1558" max="1560" width="4.5703125" bestFit="1" customWidth="1"/>
    <col min="1561" max="1561" width="5.51171875" bestFit="1" customWidth="1"/>
    <col min="1562" max="1562" width="4.5703125" bestFit="1" customWidth="1"/>
    <col min="1563" max="1563" width="5.51171875" bestFit="1" customWidth="1"/>
    <col min="1564" max="1568" width="4.5703125" bestFit="1" customWidth="1"/>
    <col min="1569" max="1569" width="5.51171875" bestFit="1" customWidth="1"/>
    <col min="1570" max="1582" width="4.5703125" bestFit="1" customWidth="1"/>
    <col min="1583" max="1583" width="5.51171875" bestFit="1" customWidth="1"/>
    <col min="1584" max="1584" width="4.5703125" bestFit="1" customWidth="1"/>
    <col min="1585" max="1585" width="5.51171875" bestFit="1" customWidth="1"/>
    <col min="1586" max="1590" width="4.5703125" bestFit="1" customWidth="1"/>
    <col min="1591" max="1591" width="5.51171875" bestFit="1" customWidth="1"/>
    <col min="1592" max="1611" width="4.5703125" bestFit="1" customWidth="1"/>
    <col min="1612" max="1612" width="5.51171875" bestFit="1" customWidth="1"/>
    <col min="1613" max="1613" width="4.5703125" bestFit="1" customWidth="1"/>
    <col min="1614" max="1614" width="5.51171875" bestFit="1" customWidth="1"/>
    <col min="1615" max="1626" width="4.5703125" bestFit="1" customWidth="1"/>
    <col min="1627" max="1628" width="5.51171875" bestFit="1" customWidth="1"/>
    <col min="1629" max="1630" width="4.5703125" bestFit="1" customWidth="1"/>
    <col min="1631" max="1632" width="5.51171875" bestFit="1" customWidth="1"/>
    <col min="1633" max="1636" width="4.5703125" bestFit="1" customWidth="1"/>
    <col min="1637" max="1637" width="5.51171875" bestFit="1" customWidth="1"/>
    <col min="1638" max="1638" width="4.5703125" bestFit="1" customWidth="1"/>
    <col min="1639" max="1639" width="5.51171875" bestFit="1" customWidth="1"/>
    <col min="1640" max="1644" width="4.5703125" bestFit="1" customWidth="1"/>
    <col min="1645" max="1645" width="5.51171875" bestFit="1" customWidth="1"/>
    <col min="1646" max="1647" width="4.5703125" bestFit="1" customWidth="1"/>
    <col min="1648" max="1648" width="5.51171875" bestFit="1" customWidth="1"/>
    <col min="1649" max="1649" width="4.5703125" bestFit="1" customWidth="1"/>
    <col min="1650" max="1650" width="5.51171875" bestFit="1" customWidth="1"/>
    <col min="1651" max="1651" width="4.5703125" bestFit="1" customWidth="1"/>
    <col min="1652" max="1652" width="5.51171875" bestFit="1" customWidth="1"/>
    <col min="1653" max="1672" width="4.5703125" bestFit="1" customWidth="1"/>
    <col min="1673" max="1673" width="5.51171875" bestFit="1" customWidth="1"/>
    <col min="1674" max="1678" width="4.5703125" bestFit="1" customWidth="1"/>
    <col min="1679" max="1679" width="5.51171875" bestFit="1" customWidth="1"/>
    <col min="1680" max="1706" width="4.5703125" bestFit="1" customWidth="1"/>
    <col min="1707" max="1707" width="5.51171875" bestFit="1" customWidth="1"/>
    <col min="1708" max="1709" width="4.5703125" bestFit="1" customWidth="1"/>
    <col min="1710" max="1710" width="5.51171875" bestFit="1" customWidth="1"/>
    <col min="1711" max="1714" width="4.5703125" bestFit="1" customWidth="1"/>
    <col min="1715" max="1716" width="5.51171875" bestFit="1" customWidth="1"/>
    <col min="1717" max="1728" width="4.5703125" bestFit="1" customWidth="1"/>
    <col min="1729" max="1729" width="5.51171875" bestFit="1" customWidth="1"/>
    <col min="1730" max="1741" width="4.5703125" bestFit="1" customWidth="1"/>
    <col min="1742" max="1742" width="5.51171875" bestFit="1" customWidth="1"/>
    <col min="1743" max="1758" width="4.5703125" bestFit="1" customWidth="1"/>
    <col min="1759" max="1759" width="5.51171875" bestFit="1" customWidth="1"/>
    <col min="1760" max="1769" width="4.5703125" bestFit="1" customWidth="1"/>
    <col min="1770" max="1770" width="5.51171875" bestFit="1" customWidth="1"/>
    <col min="1771" max="1786" width="4.5703125" bestFit="1" customWidth="1"/>
    <col min="1787" max="1787" width="5.51171875" bestFit="1" customWidth="1"/>
    <col min="1788" max="1792" width="4.5703125" bestFit="1" customWidth="1"/>
    <col min="1793" max="1793" width="5.51171875" bestFit="1" customWidth="1"/>
    <col min="1794" max="1796" width="4.5703125" bestFit="1" customWidth="1"/>
    <col min="1797" max="1797" width="5.51171875" bestFit="1" customWidth="1"/>
    <col min="1798" max="1799" width="4.5703125" bestFit="1" customWidth="1"/>
    <col min="1800" max="1800" width="5.51171875" bestFit="1" customWidth="1"/>
    <col min="1801" max="1821" width="4.5703125" bestFit="1" customWidth="1"/>
    <col min="1822" max="1822" width="5.51171875" bestFit="1" customWidth="1"/>
    <col min="1823" max="1823" width="4.5703125" bestFit="1" customWidth="1"/>
    <col min="1824" max="1824" width="5.51171875" bestFit="1" customWidth="1"/>
    <col min="1825" max="1829" width="4.5703125" bestFit="1" customWidth="1"/>
    <col min="1830" max="1830" width="5.51171875" bestFit="1" customWidth="1"/>
    <col min="1831" max="1841" width="4.5703125" bestFit="1" customWidth="1"/>
    <col min="1842" max="1842" width="5.51171875" bestFit="1" customWidth="1"/>
    <col min="1843" max="1845" width="4.5703125" bestFit="1" customWidth="1"/>
    <col min="1846" max="1847" width="5.51171875" bestFit="1" customWidth="1"/>
    <col min="1848" max="1848" width="4.5703125" bestFit="1" customWidth="1"/>
    <col min="1849" max="1849" width="5.51171875" bestFit="1" customWidth="1"/>
    <col min="1850" max="1852" width="4.5703125" bestFit="1" customWidth="1"/>
    <col min="1853" max="1853" width="5.51171875" bestFit="1" customWidth="1"/>
    <col min="1854" max="1855" width="4.5703125" bestFit="1" customWidth="1"/>
    <col min="1856" max="1856" width="5.51171875" bestFit="1" customWidth="1"/>
    <col min="1857" max="1857" width="4.5703125" bestFit="1" customWidth="1"/>
    <col min="1858" max="1858" width="5.51171875" bestFit="1" customWidth="1"/>
    <col min="1859" max="1860" width="4.5703125" bestFit="1" customWidth="1"/>
    <col min="1861" max="1861" width="5.51171875" bestFit="1" customWidth="1"/>
    <col min="1862" max="1863" width="4.5703125" bestFit="1" customWidth="1"/>
    <col min="1864" max="1866" width="5.51171875" bestFit="1" customWidth="1"/>
    <col min="1867" max="1875" width="4.5703125" bestFit="1" customWidth="1"/>
    <col min="1876" max="1876" width="5.51171875" bestFit="1" customWidth="1"/>
    <col min="1877" max="1883" width="4.5703125" bestFit="1" customWidth="1"/>
    <col min="1884" max="1884" width="5.51171875" bestFit="1" customWidth="1"/>
    <col min="1885" max="1902" width="4.5703125" bestFit="1" customWidth="1"/>
    <col min="1903" max="1903" width="5.51171875" bestFit="1" customWidth="1"/>
    <col min="1904" max="1905" width="4.5703125" bestFit="1" customWidth="1"/>
    <col min="1906" max="1906" width="5.51171875" bestFit="1" customWidth="1"/>
    <col min="1907" max="1911" width="4.5703125" bestFit="1" customWidth="1"/>
    <col min="1912" max="1912" width="5.51171875" bestFit="1" customWidth="1"/>
    <col min="1913" max="1914" width="4.5703125" bestFit="1" customWidth="1"/>
    <col min="1915" max="1916" width="5.51171875" bestFit="1" customWidth="1"/>
    <col min="1917" max="1927" width="4.5703125" bestFit="1" customWidth="1"/>
    <col min="1928" max="1928" width="5.51171875" bestFit="1" customWidth="1"/>
    <col min="1929" max="1931" width="4.5703125" bestFit="1" customWidth="1"/>
    <col min="1932" max="1932" width="5.51171875" bestFit="1" customWidth="1"/>
    <col min="1933" max="1933" width="4.5703125" bestFit="1" customWidth="1"/>
    <col min="1934" max="1934" width="5.51171875" bestFit="1" customWidth="1"/>
    <col min="1935" max="1945" width="4.5703125" bestFit="1" customWidth="1"/>
    <col min="1946" max="1946" width="5.51171875" bestFit="1" customWidth="1"/>
    <col min="1947" max="1949" width="4.5703125" bestFit="1" customWidth="1"/>
    <col min="1950" max="1950" width="5.51171875" bestFit="1" customWidth="1"/>
    <col min="1951" max="1953" width="4.5703125" bestFit="1" customWidth="1"/>
    <col min="1954" max="1954" width="5.51171875" bestFit="1" customWidth="1"/>
    <col min="1955" max="1969" width="4.5703125" bestFit="1" customWidth="1"/>
    <col min="1970" max="1970" width="5.51171875" bestFit="1" customWidth="1"/>
    <col min="1971" max="1987" width="4.5703125" bestFit="1" customWidth="1"/>
    <col min="1988" max="1988" width="5.51171875" bestFit="1" customWidth="1"/>
    <col min="1989" max="1997" width="4.5703125" bestFit="1" customWidth="1"/>
    <col min="1998" max="1998" width="5.51171875" bestFit="1" customWidth="1"/>
    <col min="1999" max="2006" width="4.5703125" bestFit="1" customWidth="1"/>
    <col min="2007" max="2007" width="5.51171875" bestFit="1" customWidth="1"/>
    <col min="2008" max="2010" width="4.5703125" bestFit="1" customWidth="1"/>
    <col min="2011" max="2011" width="5.51171875" bestFit="1" customWidth="1"/>
    <col min="2012" max="2012" width="4.5703125" bestFit="1" customWidth="1"/>
    <col min="2013" max="2014" width="5.51171875" bestFit="1" customWidth="1"/>
    <col min="2015" max="2016" width="4.5703125" bestFit="1" customWidth="1"/>
    <col min="2017" max="2017" width="5.51171875" bestFit="1" customWidth="1"/>
    <col min="2018" max="2019" width="4.5703125" bestFit="1" customWidth="1"/>
    <col min="2020" max="2020" width="5.51171875" bestFit="1" customWidth="1"/>
    <col min="2021" max="2022" width="4.5703125" bestFit="1" customWidth="1"/>
    <col min="2023" max="2023" width="5.51171875" bestFit="1" customWidth="1"/>
    <col min="2024" max="2026" width="4.5703125" bestFit="1" customWidth="1"/>
    <col min="2027" max="2028" width="5.51171875" bestFit="1" customWidth="1"/>
    <col min="2029" max="2031" width="4.5703125" bestFit="1" customWidth="1"/>
    <col min="2032" max="2032" width="5.51171875" bestFit="1" customWidth="1"/>
    <col min="2033" max="2033" width="4.5703125" bestFit="1" customWidth="1"/>
    <col min="2034" max="2034" width="5.51171875" bestFit="1" customWidth="1"/>
    <col min="2035" max="2037" width="4.5703125" bestFit="1" customWidth="1"/>
    <col min="2038" max="2038" width="5.51171875" bestFit="1" customWidth="1"/>
    <col min="2039" max="2039" width="4.5703125" bestFit="1" customWidth="1"/>
    <col min="2040" max="2040" width="5.51171875" bestFit="1" customWidth="1"/>
    <col min="2041" max="2043" width="4.5703125" bestFit="1" customWidth="1"/>
    <col min="2044" max="2044" width="5.51171875" bestFit="1" customWidth="1"/>
    <col min="2045" max="2046" width="4.5703125" bestFit="1" customWidth="1"/>
    <col min="2047" max="2049" width="5.51171875" bestFit="1" customWidth="1"/>
    <col min="2050" max="2051" width="4.5703125" bestFit="1" customWidth="1"/>
    <col min="2052" max="2052" width="5.51171875" bestFit="1" customWidth="1"/>
    <col min="2053" max="2058" width="4.5703125" bestFit="1" customWidth="1"/>
    <col min="2059" max="2059" width="5.51171875" bestFit="1" customWidth="1"/>
    <col min="2060" max="2060" width="4.5703125" bestFit="1" customWidth="1"/>
    <col min="2061" max="2061" width="5.51171875" bestFit="1" customWidth="1"/>
    <col min="2062" max="2062" width="4.5703125" bestFit="1" customWidth="1"/>
    <col min="2063" max="2065" width="5.51171875" bestFit="1" customWidth="1"/>
    <col min="2066" max="2068" width="4.5703125" bestFit="1" customWidth="1"/>
    <col min="2069" max="2069" width="5.51171875" bestFit="1" customWidth="1"/>
    <col min="2070" max="2070" width="4.5703125" bestFit="1" customWidth="1"/>
    <col min="2071" max="2072" width="5.51171875" bestFit="1" customWidth="1"/>
    <col min="2073" max="2074" width="4.5703125" bestFit="1" customWidth="1"/>
    <col min="2075" max="2075" width="5.51171875" bestFit="1" customWidth="1"/>
    <col min="2076" max="2081" width="4.5703125" bestFit="1" customWidth="1"/>
    <col min="2082" max="2084" width="5.51171875" bestFit="1" customWidth="1"/>
    <col min="2085" max="2088" width="4.5703125" bestFit="1" customWidth="1"/>
    <col min="2089" max="2090" width="5.51171875" bestFit="1" customWidth="1"/>
    <col min="2091" max="2092" width="4.5703125" bestFit="1" customWidth="1"/>
    <col min="2093" max="2093" width="5.51171875" bestFit="1" customWidth="1"/>
    <col min="2094" max="2094" width="4.5703125" bestFit="1" customWidth="1"/>
    <col min="2095" max="2096" width="5.51171875" bestFit="1" customWidth="1"/>
    <col min="2097" max="2097" width="4.5703125" bestFit="1" customWidth="1"/>
    <col min="2098" max="2098" width="5.51171875" bestFit="1" customWidth="1"/>
    <col min="2099" max="2101" width="4.5703125" bestFit="1" customWidth="1"/>
    <col min="2102" max="2102" width="5.51171875" bestFit="1" customWidth="1"/>
    <col min="2103" max="2105" width="4.5703125" bestFit="1" customWidth="1"/>
    <col min="2106" max="2107" width="5.51171875" bestFit="1" customWidth="1"/>
    <col min="2108" max="2108" width="4.5703125" bestFit="1" customWidth="1"/>
    <col min="2109" max="2109" width="5.51171875" bestFit="1" customWidth="1"/>
    <col min="2110" max="2111" width="4.5703125" bestFit="1" customWidth="1"/>
    <col min="2112" max="2112" width="5.51171875" bestFit="1" customWidth="1"/>
    <col min="2113" max="2115" width="4.5703125" bestFit="1" customWidth="1"/>
    <col min="2116" max="2116" width="5.51171875" bestFit="1" customWidth="1"/>
    <col min="2117" max="2117" width="4.5703125" bestFit="1" customWidth="1"/>
    <col min="2118" max="2119" width="5.51171875" bestFit="1" customWidth="1"/>
    <col min="2120" max="2121" width="4.5703125" bestFit="1" customWidth="1"/>
    <col min="2122" max="2122" width="5.51171875" bestFit="1" customWidth="1"/>
    <col min="2123" max="2124" width="4.5703125" bestFit="1" customWidth="1"/>
    <col min="2125" max="2125" width="5.51171875" bestFit="1" customWidth="1"/>
    <col min="2126" max="2126" width="4.5703125" bestFit="1" customWidth="1"/>
    <col min="2127" max="2128" width="5.51171875" bestFit="1" customWidth="1"/>
    <col min="2129" max="2133" width="4.5703125" bestFit="1" customWidth="1"/>
    <col min="2134" max="2134" width="5.51171875" bestFit="1" customWidth="1"/>
    <col min="2135" max="2135" width="4.5703125" bestFit="1" customWidth="1"/>
    <col min="2136" max="2136" width="5.51171875" bestFit="1" customWidth="1"/>
    <col min="2137" max="2140" width="4.5703125" bestFit="1" customWidth="1"/>
    <col min="2141" max="2142" width="5.51171875" bestFit="1" customWidth="1"/>
    <col min="2143" max="2143" width="4.5703125" bestFit="1" customWidth="1"/>
    <col min="2144" max="2144" width="5.51171875" bestFit="1" customWidth="1"/>
    <col min="2145" max="2147" width="4.5703125" bestFit="1" customWidth="1"/>
    <col min="2148" max="2148" width="5.51171875" bestFit="1" customWidth="1"/>
    <col min="2149" max="2153" width="4.5703125" bestFit="1" customWidth="1"/>
    <col min="2154" max="2156" width="5.51171875" bestFit="1" customWidth="1"/>
    <col min="2157" max="2157" width="4.5703125" bestFit="1" customWidth="1"/>
    <col min="2158" max="2158" width="5.51171875" bestFit="1" customWidth="1"/>
    <col min="2159" max="2164" width="4.5703125" bestFit="1" customWidth="1"/>
    <col min="2165" max="2165" width="5.51171875" bestFit="1" customWidth="1"/>
    <col min="2166" max="2167" width="4.5703125" bestFit="1" customWidth="1"/>
    <col min="2168" max="2168" width="5.51171875" bestFit="1" customWidth="1"/>
    <col min="2169" max="2173" width="4.5703125" bestFit="1" customWidth="1"/>
    <col min="2174" max="2175" width="5.51171875" bestFit="1" customWidth="1"/>
    <col min="2176" max="2180" width="4.5703125" bestFit="1" customWidth="1"/>
    <col min="2181" max="2181" width="5.51171875" bestFit="1" customWidth="1"/>
    <col min="2182" max="2184" width="4.5703125" bestFit="1" customWidth="1"/>
    <col min="2185" max="2185" width="5.51171875" bestFit="1" customWidth="1"/>
    <col min="2186" max="2187" width="4.5703125" bestFit="1" customWidth="1"/>
    <col min="2188" max="2188" width="5.51171875" bestFit="1" customWidth="1"/>
    <col min="2189" max="2193" width="4.5703125" bestFit="1" customWidth="1"/>
    <col min="2194" max="2194" width="5.51171875" bestFit="1" customWidth="1"/>
    <col min="2195" max="2197" width="4.5703125" bestFit="1" customWidth="1"/>
    <col min="2198" max="2199" width="5.51171875" bestFit="1" customWidth="1"/>
    <col min="2200" max="2200" width="4.5703125" bestFit="1" customWidth="1"/>
    <col min="2201" max="2202" width="5.51171875" bestFit="1" customWidth="1"/>
    <col min="2203" max="2204" width="4.5703125" bestFit="1" customWidth="1"/>
    <col min="2205" max="2205" width="5.51171875" bestFit="1" customWidth="1"/>
    <col min="2206" max="2208" width="4.5703125" bestFit="1" customWidth="1"/>
    <col min="2209" max="2209" width="5.51171875" bestFit="1" customWidth="1"/>
    <col min="2210" max="2214" width="4.5703125" bestFit="1" customWidth="1"/>
    <col min="2215" max="2215" width="5.51171875" bestFit="1" customWidth="1"/>
    <col min="2216" max="2217" width="4.5703125" bestFit="1" customWidth="1"/>
    <col min="2218" max="2218" width="5.51171875" bestFit="1" customWidth="1"/>
    <col min="2219" max="2221" width="4.5703125" bestFit="1" customWidth="1"/>
    <col min="2222" max="2222" width="5.51171875" bestFit="1" customWidth="1"/>
    <col min="2223" max="2224" width="4.5703125" bestFit="1" customWidth="1"/>
    <col min="2225" max="2226" width="5.51171875" bestFit="1" customWidth="1"/>
    <col min="2227" max="2230" width="4.5703125" bestFit="1" customWidth="1"/>
    <col min="2231" max="2231" width="5.51171875" bestFit="1" customWidth="1"/>
    <col min="2232" max="2235" width="4.5703125" bestFit="1" customWidth="1"/>
    <col min="2236" max="2236" width="5.51171875" bestFit="1" customWidth="1"/>
    <col min="2237" max="2250" width="4.5703125" bestFit="1" customWidth="1"/>
    <col min="2251" max="2251" width="5.51171875" bestFit="1" customWidth="1"/>
    <col min="2252" max="2256" width="4.5703125" bestFit="1" customWidth="1"/>
    <col min="2257" max="2257" width="5.51171875" bestFit="1" customWidth="1"/>
    <col min="2258" max="2259" width="4.5703125" bestFit="1" customWidth="1"/>
    <col min="2260" max="2260" width="5.51171875" bestFit="1" customWidth="1"/>
    <col min="2261" max="2261" width="4.5703125" bestFit="1" customWidth="1"/>
    <col min="2262" max="2264" width="5.51171875" bestFit="1" customWidth="1"/>
    <col min="2265" max="2266" width="4.5703125" bestFit="1" customWidth="1"/>
    <col min="2267" max="2267" width="5.51171875" bestFit="1" customWidth="1"/>
    <col min="2268" max="2268" width="4.5703125" bestFit="1" customWidth="1"/>
    <col min="2269" max="2269" width="5.51171875" bestFit="1" customWidth="1"/>
    <col min="2270" max="2270" width="4.5703125" bestFit="1" customWidth="1"/>
    <col min="2271" max="2271" width="5.51171875" bestFit="1" customWidth="1"/>
    <col min="2272" max="2273" width="4.5703125" bestFit="1" customWidth="1"/>
    <col min="2274" max="2274" width="5.51171875" bestFit="1" customWidth="1"/>
    <col min="2275" max="2277" width="4.5703125" bestFit="1" customWidth="1"/>
    <col min="2278" max="2278" width="5.51171875" bestFit="1" customWidth="1"/>
    <col min="2279" max="2282" width="4.5703125" bestFit="1" customWidth="1"/>
    <col min="2283" max="2284" width="5.51171875" bestFit="1" customWidth="1"/>
    <col min="2285" max="2285" width="4.5703125" bestFit="1" customWidth="1"/>
    <col min="2286" max="2286" width="5.51171875" bestFit="1" customWidth="1"/>
    <col min="2287" max="2288" width="4.5703125" bestFit="1" customWidth="1"/>
    <col min="2289" max="2289" width="5.51171875" bestFit="1" customWidth="1"/>
    <col min="2290" max="2293" width="4.5703125" bestFit="1" customWidth="1"/>
    <col min="2294" max="2295" width="5.51171875" bestFit="1" customWidth="1"/>
    <col min="2296" max="2296" width="4.5703125" bestFit="1" customWidth="1"/>
    <col min="2297" max="2297" width="5.51171875" bestFit="1" customWidth="1"/>
    <col min="2298" max="2298" width="4.5703125" bestFit="1" customWidth="1"/>
    <col min="2299" max="2299" width="5.51171875" bestFit="1" customWidth="1"/>
    <col min="2300" max="2300" width="4.5703125" bestFit="1" customWidth="1"/>
    <col min="2301" max="2303" width="5.51171875" bestFit="1" customWidth="1"/>
    <col min="2304" max="2304" width="4.5703125" bestFit="1" customWidth="1"/>
    <col min="2305" max="2305" width="5.51171875" bestFit="1" customWidth="1"/>
    <col min="2306" max="2312" width="4.5703125" bestFit="1" customWidth="1"/>
    <col min="2313" max="2313" width="5.51171875" bestFit="1" customWidth="1"/>
    <col min="2314" max="2314" width="4.5703125" bestFit="1" customWidth="1"/>
    <col min="2315" max="2315" width="5.51171875" bestFit="1" customWidth="1"/>
    <col min="2316" max="2316" width="4.5703125" bestFit="1" customWidth="1"/>
    <col min="2317" max="2317" width="5.51171875" bestFit="1" customWidth="1"/>
    <col min="2318" max="2318" width="4.5703125" bestFit="1" customWidth="1"/>
    <col min="2319" max="2319" width="5.51171875" bestFit="1" customWidth="1"/>
    <col min="2320" max="2320" width="4.5703125" bestFit="1" customWidth="1"/>
    <col min="2321" max="2321" width="5.51171875" bestFit="1" customWidth="1"/>
    <col min="2322" max="2323" width="4.5703125" bestFit="1" customWidth="1"/>
    <col min="2324" max="2324" width="5.51171875" bestFit="1" customWidth="1"/>
    <col min="2325" max="2325" width="4.5703125" bestFit="1" customWidth="1"/>
    <col min="2326" max="2326" width="5.51171875" bestFit="1" customWidth="1"/>
    <col min="2327" max="2328" width="4.5703125" bestFit="1" customWidth="1"/>
    <col min="2329" max="2329" width="5.51171875" bestFit="1" customWidth="1"/>
    <col min="2330" max="2332" width="4.5703125" bestFit="1" customWidth="1"/>
    <col min="2333" max="2333" width="5.51171875" bestFit="1" customWidth="1"/>
    <col min="2334" max="2335" width="4.5703125" bestFit="1" customWidth="1"/>
    <col min="2336" max="2336" width="5.51171875" bestFit="1" customWidth="1"/>
    <col min="2337" max="2337" width="4.5703125" bestFit="1" customWidth="1"/>
    <col min="2338" max="2338" width="5.51171875" bestFit="1" customWidth="1"/>
    <col min="2339" max="2347" width="4.5703125" bestFit="1" customWidth="1"/>
    <col min="2348" max="2348" width="5.51171875" bestFit="1" customWidth="1"/>
    <col min="2349" max="2350" width="4.5703125" bestFit="1" customWidth="1"/>
    <col min="2351" max="2351" width="5.51171875" bestFit="1" customWidth="1"/>
    <col min="2352" max="2353" width="4.5703125" bestFit="1" customWidth="1"/>
    <col min="2354" max="2354" width="5.51171875" bestFit="1" customWidth="1"/>
    <col min="2355" max="2357" width="4.5703125" bestFit="1" customWidth="1"/>
    <col min="2358" max="2359" width="5.51171875" bestFit="1" customWidth="1"/>
    <col min="2360" max="2364" width="4.5703125" bestFit="1" customWidth="1"/>
    <col min="2365" max="2365" width="5.51171875" bestFit="1" customWidth="1"/>
    <col min="2366" max="2366" width="4.5703125" bestFit="1" customWidth="1"/>
    <col min="2367" max="2367" width="5.51171875" bestFit="1" customWidth="1"/>
    <col min="2368" max="2368" width="4.5703125" bestFit="1" customWidth="1"/>
    <col min="2369" max="2372" width="5.51171875" bestFit="1" customWidth="1"/>
    <col min="2373" max="2376" width="4.5703125" bestFit="1" customWidth="1"/>
    <col min="2377" max="2377" width="5.51171875" bestFit="1" customWidth="1"/>
    <col min="2378" max="2378" width="4.5703125" bestFit="1" customWidth="1"/>
    <col min="2379" max="2379" width="5.51171875" bestFit="1" customWidth="1"/>
    <col min="2380" max="2386" width="4.5703125" bestFit="1" customWidth="1"/>
    <col min="2387" max="2388" width="5.51171875" bestFit="1" customWidth="1"/>
    <col min="2389" max="2391" width="4.5703125" bestFit="1" customWidth="1"/>
    <col min="2392" max="2393" width="5.51171875" bestFit="1" customWidth="1"/>
    <col min="2394" max="2395" width="4.5703125" bestFit="1" customWidth="1"/>
    <col min="2396" max="2396" width="5.51171875" bestFit="1" customWidth="1"/>
    <col min="2397" max="2397" width="4.5703125" bestFit="1" customWidth="1"/>
    <col min="2398" max="2400" width="5.51171875" bestFit="1" customWidth="1"/>
    <col min="2401" max="2402" width="4.5703125" bestFit="1" customWidth="1"/>
    <col min="2403" max="2403" width="5.51171875" bestFit="1" customWidth="1"/>
    <col min="2404" max="2406" width="4.5703125" bestFit="1" customWidth="1"/>
    <col min="2407" max="2409" width="5.51171875" bestFit="1" customWidth="1"/>
    <col min="2410" max="2413" width="4.5703125" bestFit="1" customWidth="1"/>
    <col min="2414" max="2414" width="5.51171875" bestFit="1" customWidth="1"/>
    <col min="2415" max="2415" width="4.5703125" bestFit="1" customWidth="1"/>
    <col min="2416" max="2416" width="5.51171875" bestFit="1" customWidth="1"/>
    <col min="2417" max="2419" width="4.5703125" bestFit="1" customWidth="1"/>
    <col min="2420" max="2421" width="5.51171875" bestFit="1" customWidth="1"/>
    <col min="2422" max="2422" width="4.5703125" bestFit="1" customWidth="1"/>
    <col min="2423" max="2423" width="5.51171875" bestFit="1" customWidth="1"/>
    <col min="2424" max="2426" width="4.5703125" bestFit="1" customWidth="1"/>
    <col min="2427" max="2429" width="5.51171875" bestFit="1" customWidth="1"/>
    <col min="2430" max="2430" width="4.5703125" bestFit="1" customWidth="1"/>
    <col min="2431" max="2431" width="5.51171875" bestFit="1" customWidth="1"/>
    <col min="2432" max="2433" width="4.5703125" bestFit="1" customWidth="1"/>
    <col min="2434" max="2434" width="5.51171875" bestFit="1" customWidth="1"/>
    <col min="2435" max="2435" width="4.5703125" bestFit="1" customWidth="1"/>
    <col min="2436" max="2436" width="5.51171875" bestFit="1" customWidth="1"/>
    <col min="2437" max="2441" width="4.5703125" bestFit="1" customWidth="1"/>
    <col min="2442" max="2442" width="5.51171875" bestFit="1" customWidth="1"/>
    <col min="2443" max="2445" width="4.5703125" bestFit="1" customWidth="1"/>
    <col min="2446" max="2446" width="5.51171875" bestFit="1" customWidth="1"/>
    <col min="2447" max="2447" width="4.5703125" bestFit="1" customWidth="1"/>
    <col min="2448" max="2448" width="5.51171875" bestFit="1" customWidth="1"/>
    <col min="2449" max="2450" width="4.5703125" bestFit="1" customWidth="1"/>
    <col min="2451" max="2453" width="5.51171875" bestFit="1" customWidth="1"/>
    <col min="2454" max="2454" width="4.5703125" bestFit="1" customWidth="1"/>
    <col min="2455" max="2456" width="5.51171875" bestFit="1" customWidth="1"/>
    <col min="2457" max="2457" width="4.5703125" bestFit="1" customWidth="1"/>
    <col min="2458" max="2458" width="5.51171875" bestFit="1" customWidth="1"/>
    <col min="2459" max="2459" width="4.5703125" bestFit="1" customWidth="1"/>
    <col min="2460" max="2460" width="5.51171875" bestFit="1" customWidth="1"/>
    <col min="2461" max="2462" width="4.5703125" bestFit="1" customWidth="1"/>
    <col min="2463" max="2463" width="5.51171875" bestFit="1" customWidth="1"/>
    <col min="2464" max="2466" width="4.5703125" bestFit="1" customWidth="1"/>
    <col min="2467" max="2467" width="5.51171875" bestFit="1" customWidth="1"/>
    <col min="2468" max="2468" width="4.5703125" bestFit="1" customWidth="1"/>
    <col min="2469" max="2469" width="5.51171875" bestFit="1" customWidth="1"/>
    <col min="2470" max="2471" width="4.5703125" bestFit="1" customWidth="1"/>
    <col min="2472" max="2472" width="5.51171875" bestFit="1" customWidth="1"/>
    <col min="2473" max="2473" width="4.5703125" bestFit="1" customWidth="1"/>
    <col min="2474" max="2475" width="5.51171875" bestFit="1" customWidth="1"/>
    <col min="2476" max="2479" width="4.5703125" bestFit="1" customWidth="1"/>
    <col min="2480" max="2481" width="5.51171875" bestFit="1" customWidth="1"/>
    <col min="2482" max="2484" width="4.5703125" bestFit="1" customWidth="1"/>
    <col min="2485" max="2485" width="5.51171875" bestFit="1" customWidth="1"/>
    <col min="2486" max="2492" width="4.5703125" bestFit="1" customWidth="1"/>
    <col min="2493" max="2495" width="5.51171875" bestFit="1" customWidth="1"/>
    <col min="2496" max="2497" width="4.5703125" bestFit="1" customWidth="1"/>
    <col min="2498" max="2498" width="5.51171875" bestFit="1" customWidth="1"/>
    <col min="2499" max="2499" width="4.5703125" bestFit="1" customWidth="1"/>
    <col min="2500" max="2501" width="5.51171875" bestFit="1" customWidth="1"/>
    <col min="2502" max="2504" width="4.5703125" bestFit="1" customWidth="1"/>
    <col min="2505" max="2505" width="5.51171875" bestFit="1" customWidth="1"/>
    <col min="2506" max="2506" width="4.5703125" bestFit="1" customWidth="1"/>
    <col min="2507" max="2507" width="5.51171875" bestFit="1" customWidth="1"/>
    <col min="2508" max="2508" width="4.5703125" bestFit="1" customWidth="1"/>
    <col min="2509" max="2509" width="5.51171875" bestFit="1" customWidth="1"/>
    <col min="2510" max="2510" width="4.5703125" bestFit="1" customWidth="1"/>
    <col min="2511" max="2511" width="5.51171875" bestFit="1" customWidth="1"/>
    <col min="2512" max="2514" width="4.5703125" bestFit="1" customWidth="1"/>
    <col min="2515" max="2515" width="5.51171875" bestFit="1" customWidth="1"/>
    <col min="2516" max="2517" width="4.5703125" bestFit="1" customWidth="1"/>
    <col min="2518" max="2518" width="5.51171875" bestFit="1" customWidth="1"/>
    <col min="2519" max="2520" width="4.5703125" bestFit="1" customWidth="1"/>
    <col min="2521" max="2522" width="5.51171875" bestFit="1" customWidth="1"/>
    <col min="2523" max="2523" width="4.5703125" bestFit="1" customWidth="1"/>
    <col min="2524" max="2525" width="5.51171875" bestFit="1" customWidth="1"/>
    <col min="2526" max="2526" width="4.5703125" bestFit="1" customWidth="1"/>
    <col min="2527" max="2527" width="5.51171875" bestFit="1" customWidth="1"/>
    <col min="2528" max="2528" width="4.5703125" bestFit="1" customWidth="1"/>
    <col min="2529" max="2529" width="5.51171875" bestFit="1" customWidth="1"/>
    <col min="2530" max="2531" width="4.5703125" bestFit="1" customWidth="1"/>
    <col min="2532" max="2532" width="5.51171875" bestFit="1" customWidth="1"/>
    <col min="2533" max="2533" width="4.5703125" bestFit="1" customWidth="1"/>
    <col min="2534" max="2537" width="5.51171875" bestFit="1" customWidth="1"/>
    <col min="2538" max="2538" width="4.5703125" bestFit="1" customWidth="1"/>
    <col min="2539" max="2539" width="5.51171875" bestFit="1" customWidth="1"/>
    <col min="2540" max="2542" width="4.5703125" bestFit="1" customWidth="1"/>
    <col min="2543" max="2544" width="5.51171875" bestFit="1" customWidth="1"/>
    <col min="2545" max="2547" width="4.5703125" bestFit="1" customWidth="1"/>
    <col min="2548" max="2551" width="5.51171875" bestFit="1" customWidth="1"/>
    <col min="2552" max="2562" width="4.5703125" bestFit="1" customWidth="1"/>
    <col min="2563" max="2563" width="5.51171875" bestFit="1" customWidth="1"/>
    <col min="2564" max="2565" width="4.5703125" bestFit="1" customWidth="1"/>
    <col min="2566" max="2566" width="5.51171875" bestFit="1" customWidth="1"/>
    <col min="2567" max="2567" width="4.5703125" bestFit="1" customWidth="1"/>
    <col min="2568" max="2568" width="5.51171875" bestFit="1" customWidth="1"/>
    <col min="2569" max="2570" width="4.5703125" bestFit="1" customWidth="1"/>
    <col min="2571" max="2571" width="5.51171875" bestFit="1" customWidth="1"/>
    <col min="2572" max="2573" width="4.5703125" bestFit="1" customWidth="1"/>
    <col min="2574" max="2574" width="5.51171875" bestFit="1" customWidth="1"/>
    <col min="2575" max="2577" width="4.5703125" bestFit="1" customWidth="1"/>
    <col min="2578" max="2578" width="5.51171875" bestFit="1" customWidth="1"/>
    <col min="2579" max="2581" width="4.5703125" bestFit="1" customWidth="1"/>
    <col min="2582" max="2582" width="5.51171875" bestFit="1" customWidth="1"/>
    <col min="2583" max="2583" width="4.5703125" bestFit="1" customWidth="1"/>
    <col min="2584" max="2584" width="5.51171875" bestFit="1" customWidth="1"/>
    <col min="2585" max="2589" width="4.5703125" bestFit="1" customWidth="1"/>
    <col min="2590" max="2590" width="5.51171875" bestFit="1" customWidth="1"/>
    <col min="2591" max="2591" width="4.5703125" bestFit="1" customWidth="1"/>
    <col min="2592" max="2593" width="5.51171875" bestFit="1" customWidth="1"/>
    <col min="2594" max="2599" width="4.5703125" bestFit="1" customWidth="1"/>
    <col min="2600" max="2600" width="5.51171875" bestFit="1" customWidth="1"/>
    <col min="2601" max="2603" width="4.5703125" bestFit="1" customWidth="1"/>
    <col min="2604" max="2604" width="5.51171875" bestFit="1" customWidth="1"/>
    <col min="2605" max="2608" width="4.5703125" bestFit="1" customWidth="1"/>
    <col min="2609" max="2609" width="5.51171875" bestFit="1" customWidth="1"/>
    <col min="2610" max="2611" width="4.5703125" bestFit="1" customWidth="1"/>
    <col min="2612" max="2612" width="5.51171875" bestFit="1" customWidth="1"/>
    <col min="2613" max="2613" width="4.5703125" bestFit="1" customWidth="1"/>
    <col min="2614" max="2616" width="5.51171875" bestFit="1" customWidth="1"/>
    <col min="2617" max="2618" width="4.5703125" bestFit="1" customWidth="1"/>
    <col min="2619" max="2619" width="5.51171875" bestFit="1" customWidth="1"/>
    <col min="2620" max="2622" width="4.5703125" bestFit="1" customWidth="1"/>
    <col min="2623" max="2624" width="5.51171875" bestFit="1" customWidth="1"/>
    <col min="2625" max="2629" width="4.5703125" bestFit="1" customWidth="1"/>
    <col min="2630" max="2630" width="5.51171875" bestFit="1" customWidth="1"/>
    <col min="2631" max="2634" width="4.5703125" bestFit="1" customWidth="1"/>
    <col min="2635" max="2635" width="5.51171875" bestFit="1" customWidth="1"/>
    <col min="2636" max="2638" width="4.5703125" bestFit="1" customWidth="1"/>
    <col min="2639" max="2641" width="5.51171875" bestFit="1" customWidth="1"/>
    <col min="2642" max="2649" width="4.5703125" bestFit="1" customWidth="1"/>
    <col min="2650" max="2650" width="5.51171875" bestFit="1" customWidth="1"/>
    <col min="2651" max="2652" width="4.5703125" bestFit="1" customWidth="1"/>
    <col min="2653" max="2653" width="5.51171875" bestFit="1" customWidth="1"/>
    <col min="2654" max="2655" width="4.5703125" bestFit="1" customWidth="1"/>
    <col min="2656" max="2656" width="5.51171875" bestFit="1" customWidth="1"/>
    <col min="2657" max="2662" width="4.5703125" bestFit="1" customWidth="1"/>
    <col min="2663" max="2664" width="5.51171875" bestFit="1" customWidth="1"/>
    <col min="2665" max="2667" width="4.5703125" bestFit="1" customWidth="1"/>
    <col min="2668" max="2669" width="5.51171875" bestFit="1" customWidth="1"/>
    <col min="2670" max="2670" width="4.5703125" bestFit="1" customWidth="1"/>
    <col min="2671" max="2671" width="5.51171875" bestFit="1" customWidth="1"/>
    <col min="2672" max="2675" width="4.5703125" bestFit="1" customWidth="1"/>
    <col min="2676" max="2677" width="5.51171875" bestFit="1" customWidth="1"/>
    <col min="2678" max="2678" width="4.5703125" bestFit="1" customWidth="1"/>
    <col min="2679" max="2679" width="5.51171875" bestFit="1" customWidth="1"/>
    <col min="2680" max="2685" width="4.5703125" bestFit="1" customWidth="1"/>
    <col min="2686" max="2686" width="5.51171875" bestFit="1" customWidth="1"/>
    <col min="2687" max="2687" width="4.5703125" bestFit="1" customWidth="1"/>
    <col min="2688" max="2688" width="5.51171875" bestFit="1" customWidth="1"/>
    <col min="2689" max="2689" width="4.5703125" bestFit="1" customWidth="1"/>
    <col min="2690" max="2690" width="5.51171875" bestFit="1" customWidth="1"/>
    <col min="2691" max="2691" width="4.5703125" bestFit="1" customWidth="1"/>
    <col min="2692" max="2692" width="5.51171875" bestFit="1" customWidth="1"/>
    <col min="2693" max="2693" width="4.5703125" bestFit="1" customWidth="1"/>
    <col min="2694" max="2695" width="5.51171875" bestFit="1" customWidth="1"/>
    <col min="2696" max="2696" width="4.5703125" bestFit="1" customWidth="1"/>
    <col min="2697" max="2697" width="5.51171875" bestFit="1" customWidth="1"/>
    <col min="2698" max="2698" width="4.5703125" bestFit="1" customWidth="1"/>
    <col min="2699" max="2699" width="5.51171875" bestFit="1" customWidth="1"/>
    <col min="2700" max="2700" width="4.5703125" bestFit="1" customWidth="1"/>
    <col min="2701" max="2702" width="5.51171875" bestFit="1" customWidth="1"/>
    <col min="2703" max="2705" width="4.5703125" bestFit="1" customWidth="1"/>
    <col min="2706" max="2706" width="5.51171875" bestFit="1" customWidth="1"/>
    <col min="2707" max="2708" width="4.5703125" bestFit="1" customWidth="1"/>
    <col min="2709" max="2711" width="5.51171875" bestFit="1" customWidth="1"/>
    <col min="2712" max="2712" width="4.5703125" bestFit="1" customWidth="1"/>
    <col min="2713" max="2713" width="5.51171875" bestFit="1" customWidth="1"/>
    <col min="2714" max="2719" width="4.5703125" bestFit="1" customWidth="1"/>
    <col min="2720" max="2720" width="5.51171875" bestFit="1" customWidth="1"/>
    <col min="2721" max="2722" width="4.5703125" bestFit="1" customWidth="1"/>
    <col min="2723" max="2723" width="5.51171875" bestFit="1" customWidth="1"/>
    <col min="2724" max="2725" width="4.5703125" bestFit="1" customWidth="1"/>
    <col min="2726" max="2726" width="5.51171875" bestFit="1" customWidth="1"/>
    <col min="2727" max="2728" width="4.5703125" bestFit="1" customWidth="1"/>
    <col min="2729" max="2729" width="5.51171875" bestFit="1" customWidth="1"/>
    <col min="2730" max="2731" width="4.5703125" bestFit="1" customWidth="1"/>
    <col min="2732" max="2732" width="5.51171875" bestFit="1" customWidth="1"/>
    <col min="2733" max="2733" width="4.5703125" bestFit="1" customWidth="1"/>
    <col min="2734" max="2736" width="5.51171875" bestFit="1" customWidth="1"/>
    <col min="2737" max="2740" width="4.5703125" bestFit="1" customWidth="1"/>
    <col min="2741" max="2741" width="5.51171875" bestFit="1" customWidth="1"/>
    <col min="2742" max="2744" width="4.5703125" bestFit="1" customWidth="1"/>
    <col min="2745" max="2745" width="5.51171875" bestFit="1" customWidth="1"/>
    <col min="2746" max="2747" width="4.5703125" bestFit="1" customWidth="1"/>
    <col min="2748" max="2748" width="5.51171875" bestFit="1" customWidth="1"/>
    <col min="2749" max="2749" width="4.5703125" bestFit="1" customWidth="1"/>
    <col min="2750" max="2751" width="5.51171875" bestFit="1" customWidth="1"/>
    <col min="2752" max="2752" width="4.5703125" bestFit="1" customWidth="1"/>
    <col min="2753" max="2753" width="5.51171875" bestFit="1" customWidth="1"/>
    <col min="2754" max="2755" width="4.5703125" bestFit="1" customWidth="1"/>
    <col min="2756" max="2757" width="5.51171875" bestFit="1" customWidth="1"/>
    <col min="2758" max="2758" width="4.5703125" bestFit="1" customWidth="1"/>
    <col min="2759" max="2759" width="5.51171875" bestFit="1" customWidth="1"/>
    <col min="2760" max="2761" width="4.5703125" bestFit="1" customWidth="1"/>
    <col min="2762" max="2762" width="5.51171875" bestFit="1" customWidth="1"/>
    <col min="2763" max="2766" width="4.5703125" bestFit="1" customWidth="1"/>
    <col min="2767" max="2767" width="5.51171875" bestFit="1" customWidth="1"/>
    <col min="2768" max="2770" width="4.5703125" bestFit="1" customWidth="1"/>
    <col min="2771" max="2771" width="5.51171875" bestFit="1" customWidth="1"/>
    <col min="2772" max="2772" width="4.5703125" bestFit="1" customWidth="1"/>
    <col min="2773" max="2773" width="5.51171875" bestFit="1" customWidth="1"/>
    <col min="2774" max="2776" width="4.5703125" bestFit="1" customWidth="1"/>
    <col min="2777" max="2778" width="5.51171875" bestFit="1" customWidth="1"/>
    <col min="2779" max="2781" width="4.5703125" bestFit="1" customWidth="1"/>
    <col min="2782" max="2782" width="5.51171875" bestFit="1" customWidth="1"/>
    <col min="2783" max="2783" width="4.5703125" bestFit="1" customWidth="1"/>
    <col min="2784" max="2785" width="5.51171875" bestFit="1" customWidth="1"/>
    <col min="2786" max="2786" width="4.5703125" bestFit="1" customWidth="1"/>
    <col min="2787" max="2787" width="5.51171875" bestFit="1" customWidth="1"/>
    <col min="2788" max="2788" width="4.5703125" bestFit="1" customWidth="1"/>
    <col min="2789" max="2791" width="5.51171875" bestFit="1" customWidth="1"/>
    <col min="2792" max="2792" width="4.5703125" bestFit="1" customWidth="1"/>
    <col min="2793" max="2793" width="5.51171875" bestFit="1" customWidth="1"/>
    <col min="2794" max="2794" width="4.5703125" bestFit="1" customWidth="1"/>
    <col min="2795" max="2795" width="5.51171875" bestFit="1" customWidth="1"/>
    <col min="2796" max="2798" width="4.5703125" bestFit="1" customWidth="1"/>
    <col min="2799" max="2799" width="5.51171875" bestFit="1" customWidth="1"/>
    <col min="2800" max="2808" width="4.5703125" bestFit="1" customWidth="1"/>
    <col min="2809" max="2810" width="5.51171875" bestFit="1" customWidth="1"/>
    <col min="2811" max="2812" width="4.5703125" bestFit="1" customWidth="1"/>
    <col min="2813" max="2813" width="5.51171875" bestFit="1" customWidth="1"/>
    <col min="2814" max="2815" width="4.5703125" bestFit="1" customWidth="1"/>
    <col min="2816" max="2816" width="5.51171875" bestFit="1" customWidth="1"/>
    <col min="2817" max="2821" width="4.5703125" bestFit="1" customWidth="1"/>
    <col min="2822" max="2822" width="5.51171875" bestFit="1" customWidth="1"/>
    <col min="2823" max="2827" width="4.5703125" bestFit="1" customWidth="1"/>
    <col min="2828" max="2829" width="5.51171875" bestFit="1" customWidth="1"/>
    <col min="2830" max="2838" width="4.5703125" bestFit="1" customWidth="1"/>
    <col min="2839" max="2839" width="5.51171875" bestFit="1" customWidth="1"/>
    <col min="2840" max="2853" width="4.5703125" bestFit="1" customWidth="1"/>
    <col min="2854" max="2855" width="5.51171875" bestFit="1" customWidth="1"/>
    <col min="2856" max="2860" width="4.5703125" bestFit="1" customWidth="1"/>
    <col min="2861" max="2861" width="5.51171875" bestFit="1" customWidth="1"/>
    <col min="2862" max="2863" width="4.5703125" bestFit="1" customWidth="1"/>
    <col min="2864" max="2864" width="5.51171875" bestFit="1" customWidth="1"/>
    <col min="2865" max="2868" width="4.5703125" bestFit="1" customWidth="1"/>
    <col min="2869" max="2869" width="5.51171875" bestFit="1" customWidth="1"/>
    <col min="2870" max="2875" width="4.5703125" bestFit="1" customWidth="1"/>
    <col min="2876" max="2876" width="5.51171875" bestFit="1" customWidth="1"/>
    <col min="2877" max="2878" width="4.5703125" bestFit="1" customWidth="1"/>
    <col min="2879" max="2880" width="5.51171875" bestFit="1" customWidth="1"/>
    <col min="2881" max="2885" width="4.5703125" bestFit="1" customWidth="1"/>
    <col min="2886" max="2886" width="5.51171875" bestFit="1" customWidth="1"/>
    <col min="2887" max="2887" width="4.5703125" bestFit="1" customWidth="1"/>
    <col min="2888" max="2888" width="5.51171875" bestFit="1" customWidth="1"/>
    <col min="2889" max="2889" width="4.5703125" bestFit="1" customWidth="1"/>
    <col min="2890" max="2890" width="5.51171875" bestFit="1" customWidth="1"/>
    <col min="2891" max="2892" width="4.5703125" bestFit="1" customWidth="1"/>
    <col min="2893" max="2893" width="5.51171875" bestFit="1" customWidth="1"/>
    <col min="2894" max="2901" width="4.5703125" bestFit="1" customWidth="1"/>
    <col min="2902" max="2902" width="5.51171875" bestFit="1" customWidth="1"/>
    <col min="2903" max="2906" width="4.5703125" bestFit="1" customWidth="1"/>
    <col min="2907" max="2908" width="5.51171875" bestFit="1" customWidth="1"/>
    <col min="2909" max="2910" width="4.5703125" bestFit="1" customWidth="1"/>
    <col min="2911" max="2911" width="5.51171875" bestFit="1" customWidth="1"/>
    <col min="2912" max="2916" width="4.5703125" bestFit="1" customWidth="1"/>
    <col min="2917" max="2918" width="5.51171875" bestFit="1" customWidth="1"/>
    <col min="2919" max="2920" width="4.5703125" bestFit="1" customWidth="1"/>
    <col min="2921" max="2921" width="5.51171875" bestFit="1" customWidth="1"/>
    <col min="2922" max="2924" width="4.5703125" bestFit="1" customWidth="1"/>
    <col min="2925" max="2925" width="5.51171875" bestFit="1" customWidth="1"/>
    <col min="2926" max="2927" width="4.5703125" bestFit="1" customWidth="1"/>
    <col min="2928" max="2928" width="5.51171875" bestFit="1" customWidth="1"/>
    <col min="2929" max="2929" width="4.5703125" bestFit="1" customWidth="1"/>
    <col min="2930" max="2930" width="5.51171875" bestFit="1" customWidth="1"/>
    <col min="2931" max="2933" width="4.5703125" bestFit="1" customWidth="1"/>
    <col min="2934" max="2934" width="5.51171875" bestFit="1" customWidth="1"/>
    <col min="2935" max="2938" width="4.5703125" bestFit="1" customWidth="1"/>
    <col min="2939" max="2940" width="5.51171875" bestFit="1" customWidth="1"/>
    <col min="2941" max="2942" width="4.5703125" bestFit="1" customWidth="1"/>
    <col min="2943" max="2943" width="5.51171875" bestFit="1" customWidth="1"/>
    <col min="2944" max="2949" width="4.5703125" bestFit="1" customWidth="1"/>
    <col min="2950" max="2950" width="5.51171875" bestFit="1" customWidth="1"/>
    <col min="2951" max="2952" width="4.5703125" bestFit="1" customWidth="1"/>
    <col min="2953" max="2953" width="10.76171875" bestFit="1" customWidth="1"/>
  </cols>
  <sheetData>
    <row r="3" spans="1:4" x14ac:dyDescent="0.2">
      <c r="A3" s="3" t="s">
        <v>75</v>
      </c>
      <c r="B3" s="3" t="s">
        <v>99</v>
      </c>
    </row>
    <row r="4" spans="1:4" x14ac:dyDescent="0.2">
      <c r="A4" s="3" t="s">
        <v>76</v>
      </c>
      <c r="B4" t="s">
        <v>18</v>
      </c>
      <c r="C4" t="s">
        <v>25</v>
      </c>
      <c r="D4" t="s">
        <v>74</v>
      </c>
    </row>
    <row r="5" spans="1:4" x14ac:dyDescent="0.2">
      <c r="A5" s="4" t="s">
        <v>67</v>
      </c>
      <c r="B5" s="15">
        <v>314</v>
      </c>
      <c r="C5" s="15">
        <v>326</v>
      </c>
      <c r="D5" s="15">
        <v>640</v>
      </c>
    </row>
    <row r="6" spans="1:4" x14ac:dyDescent="0.2">
      <c r="A6" s="4" t="s">
        <v>68</v>
      </c>
      <c r="B6" s="15">
        <v>863</v>
      </c>
      <c r="C6" s="15">
        <v>465</v>
      </c>
      <c r="D6" s="15">
        <v>1328</v>
      </c>
    </row>
    <row r="7" spans="1:4" x14ac:dyDescent="0.2">
      <c r="A7" s="4" t="s">
        <v>69</v>
      </c>
      <c r="B7" s="15">
        <v>789</v>
      </c>
      <c r="C7" s="15">
        <v>392</v>
      </c>
      <c r="D7" s="15">
        <v>1181</v>
      </c>
    </row>
    <row r="8" spans="1:4" x14ac:dyDescent="0.2">
      <c r="A8" s="4" t="s">
        <v>70</v>
      </c>
      <c r="B8" s="15">
        <v>757</v>
      </c>
      <c r="C8" s="15">
        <v>241</v>
      </c>
      <c r="D8" s="15">
        <v>998</v>
      </c>
    </row>
    <row r="9" spans="1:4" x14ac:dyDescent="0.2">
      <c r="A9" s="4" t="s">
        <v>71</v>
      </c>
      <c r="B9" s="15">
        <v>351</v>
      </c>
      <c r="C9" s="15">
        <v>84</v>
      </c>
      <c r="D9" s="15">
        <v>435</v>
      </c>
    </row>
    <row r="10" spans="1:4" x14ac:dyDescent="0.2">
      <c r="A10" s="4" t="s">
        <v>74</v>
      </c>
      <c r="B10" s="15">
        <v>3074</v>
      </c>
      <c r="C10" s="15">
        <v>1508</v>
      </c>
      <c r="D10" s="15">
        <v>4582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DD86-6B06-4605-954D-A2B5A2F7E335}">
  <dimension ref="A4:D11"/>
  <sheetViews>
    <sheetView workbookViewId="0">
      <selection activeCell="G7" sqref="G7"/>
    </sheetView>
  </sheetViews>
  <sheetFormatPr defaultRowHeight="15" x14ac:dyDescent="0.2"/>
  <cols>
    <col min="1" max="1" width="25.828125" bestFit="1" customWidth="1"/>
    <col min="2" max="2" width="9.28125" bestFit="1" customWidth="1"/>
    <col min="3" max="3" width="4.9765625" bestFit="1" customWidth="1"/>
    <col min="4" max="4" width="10.76171875" bestFit="1" customWidth="1"/>
    <col min="5" max="6" width="5.6484375" bestFit="1" customWidth="1"/>
    <col min="7" max="7" width="10.76171875" bestFit="1" customWidth="1"/>
    <col min="8" max="12" width="5.6484375" bestFit="1" customWidth="1"/>
    <col min="13" max="13" width="7.3984375" bestFit="1" customWidth="1"/>
    <col min="14" max="14" width="10.76171875" bestFit="1" customWidth="1"/>
  </cols>
  <sheetData>
    <row r="4" spans="1:4" x14ac:dyDescent="0.2">
      <c r="A4" s="3" t="s">
        <v>75</v>
      </c>
      <c r="B4" s="3" t="s">
        <v>99</v>
      </c>
    </row>
    <row r="5" spans="1:4" x14ac:dyDescent="0.2">
      <c r="A5" s="3" t="s">
        <v>101</v>
      </c>
      <c r="B5" t="s">
        <v>18</v>
      </c>
      <c r="C5" t="s">
        <v>25</v>
      </c>
      <c r="D5" t="s">
        <v>74</v>
      </c>
    </row>
    <row r="6" spans="1:4" x14ac:dyDescent="0.2">
      <c r="A6" s="4" t="s">
        <v>60</v>
      </c>
      <c r="B6">
        <v>4</v>
      </c>
      <c r="D6">
        <v>4</v>
      </c>
    </row>
    <row r="7" spans="1:4" x14ac:dyDescent="0.2">
      <c r="A7" s="4" t="s">
        <v>22</v>
      </c>
      <c r="B7">
        <v>852</v>
      </c>
      <c r="C7">
        <v>387</v>
      </c>
      <c r="D7">
        <v>1239</v>
      </c>
    </row>
    <row r="8" spans="1:4" x14ac:dyDescent="0.2">
      <c r="A8" s="4" t="s">
        <v>36</v>
      </c>
      <c r="B8">
        <v>106</v>
      </c>
      <c r="C8">
        <v>75</v>
      </c>
      <c r="D8">
        <v>181</v>
      </c>
    </row>
    <row r="9" spans="1:4" x14ac:dyDescent="0.2">
      <c r="A9" s="4" t="s">
        <v>51</v>
      </c>
      <c r="B9">
        <v>40</v>
      </c>
      <c r="C9">
        <v>14</v>
      </c>
      <c r="D9">
        <v>54</v>
      </c>
    </row>
    <row r="10" spans="1:4" x14ac:dyDescent="0.2">
      <c r="A10" s="4" t="s">
        <v>27</v>
      </c>
      <c r="B10">
        <v>2072</v>
      </c>
      <c r="C10">
        <v>1032</v>
      </c>
      <c r="D10">
        <v>3104</v>
      </c>
    </row>
    <row r="11" spans="1:4" x14ac:dyDescent="0.2">
      <c r="A11" s="4" t="s">
        <v>74</v>
      </c>
      <c r="B11">
        <v>3074</v>
      </c>
      <c r="C11">
        <v>1508</v>
      </c>
      <c r="D11">
        <v>4582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052E-BFE4-446C-B115-801B7569AC90}">
  <dimension ref="A3:B6"/>
  <sheetViews>
    <sheetView workbookViewId="0">
      <selection activeCell="E3" sqref="E3"/>
    </sheetView>
  </sheetViews>
  <sheetFormatPr defaultRowHeight="15" x14ac:dyDescent="0.2"/>
  <cols>
    <col min="1" max="1" width="19.90625" bestFit="1" customWidth="1"/>
    <col min="2" max="2" width="10.4921875" bestFit="1" customWidth="1"/>
    <col min="3" max="3" width="11.97265625" bestFit="1" customWidth="1"/>
    <col min="4" max="4" width="9.55078125" bestFit="1" customWidth="1"/>
    <col min="5" max="5" width="17.890625" bestFit="1" customWidth="1"/>
    <col min="6" max="6" width="6.859375" bestFit="1" customWidth="1"/>
    <col min="7" max="7" width="10.76171875" bestFit="1" customWidth="1"/>
  </cols>
  <sheetData>
    <row r="3" spans="1:2" x14ac:dyDescent="0.2">
      <c r="A3" s="3" t="s">
        <v>102</v>
      </c>
      <c r="B3" t="s">
        <v>96</v>
      </c>
    </row>
    <row r="4" spans="1:2" x14ac:dyDescent="0.2">
      <c r="A4" s="4" t="s">
        <v>78</v>
      </c>
      <c r="B4">
        <v>3854</v>
      </c>
    </row>
    <row r="5" spans="1:2" x14ac:dyDescent="0.2">
      <c r="A5" s="4" t="s">
        <v>79</v>
      </c>
      <c r="B5">
        <v>728</v>
      </c>
    </row>
    <row r="6" spans="1:2" x14ac:dyDescent="0.2">
      <c r="A6" s="4" t="s">
        <v>74</v>
      </c>
      <c r="B6">
        <v>4582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D35C-60F9-407D-8283-617964D7D48D}">
  <dimension ref="A3:I10"/>
  <sheetViews>
    <sheetView workbookViewId="0">
      <selection activeCell="A14" sqref="A14"/>
    </sheetView>
  </sheetViews>
  <sheetFormatPr defaultRowHeight="15" x14ac:dyDescent="0.2"/>
  <cols>
    <col min="1" max="1" width="29.7265625" bestFit="1" customWidth="1"/>
    <col min="2" max="2" width="22.8671875" bestFit="1" customWidth="1"/>
    <col min="3" max="6" width="11.97265625" bestFit="1" customWidth="1"/>
    <col min="7" max="8" width="6.9921875" bestFit="1" customWidth="1"/>
    <col min="9" max="9" width="11.97265625" bestFit="1" customWidth="1"/>
    <col min="10" max="10" width="6.9921875" bestFit="1" customWidth="1"/>
    <col min="11" max="11" width="11.97265625" bestFit="1" customWidth="1"/>
    <col min="12" max="13" width="6.9921875" bestFit="1" customWidth="1"/>
    <col min="14" max="14" width="14.125" bestFit="1" customWidth="1"/>
    <col min="15" max="15" width="13.98828125" bestFit="1" customWidth="1"/>
    <col min="16" max="17" width="11.97265625" bestFit="1" customWidth="1"/>
    <col min="18" max="18" width="9.01171875" bestFit="1" customWidth="1"/>
    <col min="19" max="20" width="6.9921875" bestFit="1" customWidth="1"/>
    <col min="21" max="21" width="16.8125" bestFit="1" customWidth="1"/>
    <col min="22" max="22" width="9.68359375" bestFit="1" customWidth="1"/>
    <col min="23" max="23" width="12.375" bestFit="1" customWidth="1"/>
    <col min="24" max="26" width="11.97265625" bestFit="1" customWidth="1"/>
    <col min="27" max="27" width="6.9921875" bestFit="1" customWidth="1"/>
    <col min="28" max="28" width="11.97265625" bestFit="1" customWidth="1"/>
    <col min="29" max="30" width="6.9921875" bestFit="1" customWidth="1"/>
    <col min="31" max="31" width="12.77734375" bestFit="1" customWidth="1"/>
    <col min="32" max="32" width="11.97265625" bestFit="1" customWidth="1"/>
  </cols>
  <sheetData>
    <row r="3" spans="1:9" x14ac:dyDescent="0.2">
      <c r="A3" s="3" t="s">
        <v>77</v>
      </c>
      <c r="B3" s="3" t="s">
        <v>103</v>
      </c>
    </row>
    <row r="4" spans="1:9" x14ac:dyDescent="0.2">
      <c r="A4" s="3" t="s">
        <v>104</v>
      </c>
      <c r="B4">
        <v>1</v>
      </c>
      <c r="C4">
        <v>2</v>
      </c>
      <c r="D4">
        <v>3</v>
      </c>
      <c r="E4">
        <v>4</v>
      </c>
      <c r="F4">
        <v>5</v>
      </c>
      <c r="G4">
        <v>6</v>
      </c>
      <c r="H4">
        <v>7</v>
      </c>
      <c r="I4" t="s">
        <v>74</v>
      </c>
    </row>
    <row r="5" spans="1:9" x14ac:dyDescent="0.2">
      <c r="A5" s="4" t="s">
        <v>26</v>
      </c>
      <c r="B5">
        <v>222994.34293193716</v>
      </c>
      <c r="C5">
        <v>215747.7940140845</v>
      </c>
      <c r="D5">
        <v>210988.125</v>
      </c>
      <c r="E5">
        <v>191927.4193548387</v>
      </c>
      <c r="F5">
        <v>127350</v>
      </c>
      <c r="G5">
        <v>150000</v>
      </c>
      <c r="I5">
        <v>212983.3180995475</v>
      </c>
    </row>
    <row r="6" spans="1:9" x14ac:dyDescent="0.2">
      <c r="A6" s="4" t="s">
        <v>21</v>
      </c>
      <c r="B6">
        <v>148699.75609756098</v>
      </c>
      <c r="C6">
        <v>144677</v>
      </c>
      <c r="D6">
        <v>167135.29411764705</v>
      </c>
      <c r="E6">
        <v>111500</v>
      </c>
      <c r="F6">
        <v>292500</v>
      </c>
      <c r="I6">
        <v>146530.67901234567</v>
      </c>
    </row>
    <row r="7" spans="1:9" x14ac:dyDescent="0.2">
      <c r="A7" s="4" t="s">
        <v>35</v>
      </c>
      <c r="B7">
        <v>191700</v>
      </c>
      <c r="C7">
        <v>200086.14285714287</v>
      </c>
      <c r="D7">
        <v>217269.23076923078</v>
      </c>
      <c r="E7">
        <v>232402.5</v>
      </c>
      <c r="F7">
        <v>123500</v>
      </c>
      <c r="G7">
        <v>202500</v>
      </c>
      <c r="I7">
        <v>205334.4135338346</v>
      </c>
    </row>
    <row r="8" spans="1:9" x14ac:dyDescent="0.2">
      <c r="A8" s="4" t="s">
        <v>59</v>
      </c>
      <c r="D8">
        <v>112500</v>
      </c>
      <c r="I8">
        <v>112500</v>
      </c>
    </row>
    <row r="9" spans="1:9" x14ac:dyDescent="0.2">
      <c r="A9" s="4" t="s">
        <v>31</v>
      </c>
      <c r="B9">
        <v>179637.8672985782</v>
      </c>
      <c r="C9">
        <v>187060.03648068669</v>
      </c>
      <c r="D9">
        <v>183282.13552361395</v>
      </c>
      <c r="E9">
        <v>177390</v>
      </c>
      <c r="F9">
        <v>158958.62068965516</v>
      </c>
      <c r="G9">
        <v>162000</v>
      </c>
      <c r="H9">
        <v>135000</v>
      </c>
      <c r="I9">
        <v>183530.63138841567</v>
      </c>
    </row>
    <row r="10" spans="1:9" x14ac:dyDescent="0.2">
      <c r="A10" s="4" t="s">
        <v>74</v>
      </c>
      <c r="B10">
        <v>182670.32972665149</v>
      </c>
      <c r="C10">
        <v>186140.29189077369</v>
      </c>
      <c r="D10">
        <v>194163.24422843257</v>
      </c>
      <c r="E10">
        <v>187488.80597014926</v>
      </c>
      <c r="F10">
        <v>154358.82352941178</v>
      </c>
      <c r="G10">
        <v>171500</v>
      </c>
      <c r="H10">
        <v>135000</v>
      </c>
      <c r="I10">
        <v>186629.91815800959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B198-E484-4C1F-B0EA-B96E255982DB}">
  <dimension ref="A3:B10"/>
  <sheetViews>
    <sheetView topLeftCell="D1" workbookViewId="0">
      <selection activeCell="B21" sqref="B21"/>
    </sheetView>
  </sheetViews>
  <sheetFormatPr defaultRowHeight="15" x14ac:dyDescent="0.2"/>
  <cols>
    <col min="1" max="1" width="18.16015625" bestFit="1" customWidth="1"/>
    <col min="2" max="2" width="27.3046875" bestFit="1" customWidth="1"/>
    <col min="3" max="3" width="11.97265625" bestFit="1" customWidth="1"/>
    <col min="4" max="5" width="9.953125" bestFit="1" customWidth="1"/>
    <col min="6" max="6" width="9.01171875" bestFit="1" customWidth="1"/>
    <col min="7" max="7" width="11.97265625" bestFit="1" customWidth="1"/>
    <col min="8" max="8" width="7.6640625" bestFit="1" customWidth="1"/>
    <col min="9" max="9" width="4.03515625" bestFit="1" customWidth="1"/>
    <col min="10" max="10" width="10.35546875" bestFit="1" customWidth="1"/>
    <col min="11" max="11" width="7.6640625" bestFit="1" customWidth="1"/>
    <col min="12" max="12" width="4.03515625" bestFit="1" customWidth="1"/>
    <col min="13" max="13" width="10.35546875" bestFit="1" customWidth="1"/>
    <col min="14" max="14" width="7.6640625" bestFit="1" customWidth="1"/>
    <col min="15" max="15" width="2.95703125" bestFit="1" customWidth="1"/>
    <col min="16" max="16" width="10.35546875" bestFit="1" customWidth="1"/>
    <col min="17" max="17" width="10.76171875" bestFit="1" customWidth="1"/>
  </cols>
  <sheetData>
    <row r="3" spans="1:2" x14ac:dyDescent="0.2">
      <c r="A3" s="3" t="s">
        <v>105</v>
      </c>
      <c r="B3" t="s">
        <v>97</v>
      </c>
    </row>
    <row r="4" spans="1:2" x14ac:dyDescent="0.2">
      <c r="A4" s="4" t="s">
        <v>43</v>
      </c>
      <c r="B4">
        <v>23</v>
      </c>
    </row>
    <row r="5" spans="1:2" x14ac:dyDescent="0.2">
      <c r="A5" s="4" t="s">
        <v>24</v>
      </c>
      <c r="B5">
        <v>4081</v>
      </c>
    </row>
    <row r="6" spans="1:2" x14ac:dyDescent="0.2">
      <c r="A6" s="4" t="s">
        <v>45</v>
      </c>
      <c r="B6">
        <v>144</v>
      </c>
    </row>
    <row r="7" spans="1:2" x14ac:dyDescent="0.2">
      <c r="A7" s="4" t="s">
        <v>53</v>
      </c>
      <c r="B7">
        <v>36</v>
      </c>
    </row>
    <row r="8" spans="1:2" x14ac:dyDescent="0.2">
      <c r="A8" s="4" t="s">
        <v>34</v>
      </c>
      <c r="B8">
        <v>78</v>
      </c>
    </row>
    <row r="9" spans="1:2" x14ac:dyDescent="0.2">
      <c r="A9" s="4" t="s">
        <v>41</v>
      </c>
      <c r="B9">
        <v>220</v>
      </c>
    </row>
    <row r="10" spans="1:2" x14ac:dyDescent="0.2">
      <c r="A10" s="4" t="s">
        <v>74</v>
      </c>
      <c r="B10">
        <v>4582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00EE-84AC-4876-8552-560842B9FE69}">
  <dimension ref="A3:D10"/>
  <sheetViews>
    <sheetView topLeftCell="A3" workbookViewId="0">
      <selection activeCell="F3" sqref="F3"/>
    </sheetView>
  </sheetViews>
  <sheetFormatPr defaultRowHeight="15" x14ac:dyDescent="0.2"/>
  <cols>
    <col min="1" max="1" width="29.0546875" bestFit="1" customWidth="1"/>
    <col min="2" max="2" width="12.64453125" bestFit="1" customWidth="1"/>
    <col min="3" max="3" width="11.8359375" bestFit="1" customWidth="1"/>
    <col min="4" max="4" width="10.76171875" bestFit="1" customWidth="1"/>
  </cols>
  <sheetData>
    <row r="3" spans="1:4" x14ac:dyDescent="0.2">
      <c r="A3" s="3" t="s">
        <v>80</v>
      </c>
      <c r="B3" s="3" t="s">
        <v>106</v>
      </c>
    </row>
    <row r="4" spans="1:4" x14ac:dyDescent="0.2">
      <c r="A4" s="3" t="s">
        <v>107</v>
      </c>
      <c r="B4" t="s">
        <v>78</v>
      </c>
      <c r="C4" t="s">
        <v>79</v>
      </c>
      <c r="D4" t="s">
        <v>74</v>
      </c>
    </row>
    <row r="5" spans="1:4" x14ac:dyDescent="0.2">
      <c r="A5" s="4" t="s">
        <v>37</v>
      </c>
      <c r="B5">
        <v>328</v>
      </c>
      <c r="C5">
        <v>39</v>
      </c>
      <c r="D5">
        <v>367</v>
      </c>
    </row>
    <row r="6" spans="1:4" x14ac:dyDescent="0.2">
      <c r="A6" s="4" t="s">
        <v>28</v>
      </c>
      <c r="B6">
        <v>2681</v>
      </c>
      <c r="C6">
        <v>484</v>
      </c>
      <c r="D6">
        <v>3165</v>
      </c>
    </row>
    <row r="7" spans="1:4" x14ac:dyDescent="0.2">
      <c r="A7" s="4" t="s">
        <v>23</v>
      </c>
      <c r="B7">
        <v>189</v>
      </c>
      <c r="C7">
        <v>31</v>
      </c>
      <c r="D7">
        <v>220</v>
      </c>
    </row>
    <row r="8" spans="1:4" x14ac:dyDescent="0.2">
      <c r="A8" s="4" t="s">
        <v>33</v>
      </c>
      <c r="B8">
        <v>556</v>
      </c>
      <c r="C8">
        <v>75</v>
      </c>
      <c r="D8">
        <v>631</v>
      </c>
    </row>
    <row r="9" spans="1:4" x14ac:dyDescent="0.2">
      <c r="A9" s="4" t="s">
        <v>42</v>
      </c>
      <c r="B9">
        <v>100</v>
      </c>
      <c r="C9">
        <v>99</v>
      </c>
      <c r="D9">
        <v>199</v>
      </c>
    </row>
    <row r="10" spans="1:4" x14ac:dyDescent="0.2">
      <c r="A10" s="4" t="s">
        <v>74</v>
      </c>
      <c r="B10">
        <v>3854</v>
      </c>
      <c r="C10">
        <v>728</v>
      </c>
      <c r="D10">
        <v>4582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D4EC-830E-4160-AD53-43B97A49AFAD}">
  <dimension ref="A2:D8"/>
  <sheetViews>
    <sheetView workbookViewId="0">
      <selection activeCell="F3" sqref="F3"/>
    </sheetView>
  </sheetViews>
  <sheetFormatPr defaultRowHeight="15" x14ac:dyDescent="0.2"/>
  <cols>
    <col min="2" max="2" width="2.6875" customWidth="1"/>
    <col min="3" max="3" width="29.99609375" bestFit="1" customWidth="1"/>
    <col min="4" max="4" width="64.97265625" bestFit="1" customWidth="1"/>
  </cols>
  <sheetData>
    <row r="2" spans="1:4" x14ac:dyDescent="0.2">
      <c r="A2" s="10" t="s">
        <v>81</v>
      </c>
      <c r="B2" s="11"/>
      <c r="C2" s="11"/>
      <c r="D2" s="10" t="s">
        <v>90</v>
      </c>
    </row>
    <row r="3" spans="1:4" x14ac:dyDescent="0.2">
      <c r="A3" s="11"/>
      <c r="B3" s="11" t="s">
        <v>82</v>
      </c>
      <c r="C3" s="11" t="s">
        <v>83</v>
      </c>
      <c r="D3" s="11" t="s">
        <v>91</v>
      </c>
    </row>
    <row r="4" spans="1:4" x14ac:dyDescent="0.2">
      <c r="A4" s="11"/>
      <c r="B4" s="11" t="s">
        <v>84</v>
      </c>
      <c r="C4" s="11" t="s">
        <v>87</v>
      </c>
      <c r="D4" s="11" t="s">
        <v>92</v>
      </c>
    </row>
    <row r="5" spans="1:4" x14ac:dyDescent="0.2">
      <c r="A5" s="11"/>
      <c r="B5" s="11" t="s">
        <v>85</v>
      </c>
      <c r="C5" s="11" t="s">
        <v>88</v>
      </c>
      <c r="D5" s="11" t="s">
        <v>93</v>
      </c>
    </row>
    <row r="6" spans="1:4" x14ac:dyDescent="0.2">
      <c r="A6" s="11"/>
      <c r="B6" s="11" t="s">
        <v>86</v>
      </c>
      <c r="C6" s="11" t="s">
        <v>89</v>
      </c>
      <c r="D6" s="11" t="s">
        <v>94</v>
      </c>
    </row>
    <row r="7" spans="1:4" x14ac:dyDescent="0.2">
      <c r="A7" s="11"/>
      <c r="B7" s="11"/>
      <c r="C7" s="11"/>
      <c r="D7" s="11" t="s">
        <v>98</v>
      </c>
    </row>
    <row r="8" spans="1:4" x14ac:dyDescent="0.2">
      <c r="A8" s="11"/>
      <c r="B8" s="11"/>
      <c r="C8" s="11"/>
      <c r="D8" s="11" t="s">
        <v>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B577-BFCB-4D1A-856C-11223C0173B5}">
  <dimension ref="A1:T19"/>
  <sheetViews>
    <sheetView zoomScale="48" zoomScaleNormal="63" workbookViewId="0">
      <selection activeCell="AE20" sqref="AE20"/>
    </sheetView>
  </sheetViews>
  <sheetFormatPr defaultRowHeight="15" x14ac:dyDescent="0.2"/>
  <sheetData>
    <row r="1" spans="1:20" ht="14.45" customHeight="1" x14ac:dyDescent="0.2">
      <c r="A1" s="16" t="s">
        <v>100</v>
      </c>
      <c r="B1" s="16"/>
      <c r="C1" s="16"/>
      <c r="D1" s="16"/>
      <c r="E1" s="16"/>
      <c r="F1" s="16"/>
      <c r="G1" s="16"/>
      <c r="H1" s="16"/>
      <c r="I1" s="16"/>
      <c r="J1" s="16"/>
      <c r="K1" s="16"/>
      <c r="L1" s="16"/>
      <c r="M1" s="16"/>
      <c r="N1" s="16"/>
      <c r="O1" s="16"/>
      <c r="P1" s="16"/>
      <c r="Q1" s="16"/>
      <c r="R1" s="16"/>
      <c r="S1" s="16"/>
      <c r="T1" s="16"/>
    </row>
    <row r="2" spans="1:20" ht="14.45" customHeight="1" x14ac:dyDescent="0.2">
      <c r="A2" s="16"/>
      <c r="B2" s="16"/>
      <c r="C2" s="16"/>
      <c r="D2" s="16"/>
      <c r="E2" s="16"/>
      <c r="F2" s="16"/>
      <c r="G2" s="16"/>
      <c r="H2" s="16"/>
      <c r="I2" s="16"/>
      <c r="J2" s="16"/>
      <c r="K2" s="16"/>
      <c r="L2" s="16"/>
      <c r="M2" s="16"/>
      <c r="N2" s="16"/>
      <c r="O2" s="16"/>
      <c r="P2" s="16"/>
      <c r="Q2" s="16"/>
      <c r="R2" s="16"/>
      <c r="S2" s="16"/>
      <c r="T2" s="16"/>
    </row>
    <row r="3" spans="1:20" ht="14.45" customHeight="1" x14ac:dyDescent="0.2">
      <c r="A3" s="16"/>
      <c r="B3" s="16"/>
      <c r="C3" s="16"/>
      <c r="D3" s="16"/>
      <c r="E3" s="16"/>
      <c r="F3" s="16"/>
      <c r="G3" s="16"/>
      <c r="H3" s="16"/>
      <c r="I3" s="16"/>
      <c r="J3" s="16"/>
      <c r="K3" s="16"/>
      <c r="L3" s="16"/>
      <c r="M3" s="16"/>
      <c r="N3" s="16"/>
      <c r="O3" s="16"/>
      <c r="P3" s="16"/>
      <c r="Q3" s="16"/>
      <c r="R3" s="16"/>
      <c r="S3" s="16"/>
      <c r="T3" s="16"/>
    </row>
    <row r="4" spans="1:20" ht="14.45" customHeight="1" x14ac:dyDescent="0.2">
      <c r="A4" s="16"/>
      <c r="B4" s="16"/>
      <c r="C4" s="16"/>
      <c r="D4" s="16"/>
      <c r="E4" s="16"/>
      <c r="F4" s="16"/>
      <c r="G4" s="16"/>
      <c r="H4" s="16"/>
      <c r="I4" s="16"/>
      <c r="J4" s="16"/>
      <c r="K4" s="16"/>
      <c r="L4" s="16"/>
      <c r="M4" s="16"/>
      <c r="N4" s="16"/>
      <c r="O4" s="16"/>
      <c r="P4" s="16"/>
      <c r="Q4" s="16"/>
      <c r="R4" s="16"/>
      <c r="S4" s="16"/>
      <c r="T4" s="16"/>
    </row>
    <row r="5" spans="1:20" ht="14.45" customHeight="1" x14ac:dyDescent="0.2">
      <c r="A5" s="16"/>
      <c r="B5" s="16"/>
      <c r="C5" s="16"/>
      <c r="D5" s="16"/>
      <c r="E5" s="16"/>
      <c r="F5" s="16"/>
      <c r="G5" s="16"/>
      <c r="H5" s="16"/>
      <c r="I5" s="16"/>
      <c r="J5" s="16"/>
      <c r="K5" s="16"/>
      <c r="L5" s="16"/>
      <c r="M5" s="16"/>
      <c r="N5" s="16"/>
      <c r="O5" s="16"/>
      <c r="P5" s="16"/>
      <c r="Q5" s="16"/>
      <c r="R5" s="16"/>
      <c r="S5" s="16"/>
      <c r="T5" s="16"/>
    </row>
    <row r="6" spans="1:20" ht="14.45" customHeight="1" x14ac:dyDescent="0.2">
      <c r="A6" s="16"/>
      <c r="B6" s="16"/>
      <c r="C6" s="16"/>
      <c r="D6" s="16"/>
      <c r="E6" s="16"/>
      <c r="F6" s="16"/>
      <c r="G6" s="16"/>
      <c r="H6" s="16"/>
      <c r="I6" s="16"/>
      <c r="J6" s="16"/>
      <c r="K6" s="16"/>
      <c r="L6" s="16"/>
      <c r="M6" s="16"/>
      <c r="N6" s="16"/>
      <c r="O6" s="16"/>
      <c r="P6" s="16"/>
      <c r="Q6" s="16"/>
      <c r="R6" s="16"/>
      <c r="S6" s="16"/>
      <c r="T6" s="16"/>
    </row>
    <row r="7" spans="1:20" ht="14.45" customHeight="1" x14ac:dyDescent="0.2"/>
    <row r="19" spans="12:12" x14ac:dyDescent="0.2">
      <c r="L19" s="9"/>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10</vt:i4>
      </vt:variant>
    </vt:vector>
  </HeadingPairs>
  <TitlesOfParts>
    <vt:vector size="10" baseType="lpstr">
      <vt:lpstr>Data</vt:lpstr>
      <vt:lpstr>temp</vt:lpstr>
      <vt:lpstr>Pivot table 1</vt:lpstr>
      <vt:lpstr>Pivot table 2</vt:lpstr>
      <vt:lpstr>Pivot table_3</vt:lpstr>
      <vt:lpstr>Pivot table 4</vt:lpstr>
      <vt:lpstr>Pivot table 5</vt:lpstr>
      <vt:lpstr>Pivot table 6</vt:lpstr>
      <vt:lpstr>Add inf</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Pradipto Ghorai</dc:creator>
  <cp:lastModifiedBy>066 K.Raja kiran</cp:lastModifiedBy>
  <dcterms:created xsi:type="dcterms:W3CDTF">2024-12-03T12:43:02Z</dcterms:created>
  <dcterms:modified xsi:type="dcterms:W3CDTF">2025-04-06T15:07:29Z</dcterms:modified>
</cp:coreProperties>
</file>